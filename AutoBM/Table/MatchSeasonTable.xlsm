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filterPrivacy="1" codeName="ThisWorkbook" defaultThemeVersion="124226"/>
  <xr:revisionPtr revIDLastSave="0" documentId="13_ncr:1_{22E3C0C7-4E42-4F13-A959-8ED4D3DD7AE3}" xr6:coauthVersionLast="47" xr6:coauthVersionMax="47" xr10:uidLastSave="{00000000-0000-0000-0000-000000000000}"/>
  <bookViews>
    <workbookView xWindow="9750" yWindow="765" windowWidth="18690" windowHeight="12465" firstSheet="1" activeTab="2" xr2:uid="{00000000-000D-0000-FFFF-FFFF00000000}"/>
  </bookViews>
  <sheets>
    <sheet name="MatchSeasonTable" sheetId="3" r:id="rId1"/>
    <sheet name="MatchBanPickSeasonTable" sheetId="4" r:id="rId2"/>
    <sheet name="#Arena_Season_Maker" sheetId="5" r:id="rId3"/>
    <sheet name="#BanPick_Season_Maker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3" i="5" l="1"/>
  <c r="B584" i="5"/>
  <c r="H584" i="5" s="1"/>
  <c r="B583" i="5"/>
  <c r="C583" i="5" s="1"/>
  <c r="B582" i="5"/>
  <c r="C582" i="5" s="1"/>
  <c r="B581" i="5"/>
  <c r="J581" i="5" s="1"/>
  <c r="B580" i="5"/>
  <c r="J580" i="5" s="1"/>
  <c r="B4" i="7"/>
  <c r="B7" i="7" s="1"/>
  <c r="C7" i="7" s="1"/>
  <c r="B8" i="7" s="1"/>
  <c r="C8" i="7" s="1"/>
  <c r="B4" i="5"/>
  <c r="B7" i="5" s="1"/>
  <c r="J7" i="5" s="1"/>
  <c r="C584" i="5" l="1"/>
  <c r="J584" i="5"/>
  <c r="M584" i="5" s="1"/>
  <c r="K583" i="5"/>
  <c r="I583" i="5"/>
  <c r="H583" i="5"/>
  <c r="M583" i="5" s="1"/>
  <c r="J583" i="5"/>
  <c r="K582" i="5"/>
  <c r="I582" i="5"/>
  <c r="N582" i="5" s="1"/>
  <c r="J582" i="5"/>
  <c r="H582" i="5"/>
  <c r="H581" i="5"/>
  <c r="M581" i="5" s="1"/>
  <c r="C581" i="5"/>
  <c r="C580" i="5"/>
  <c r="H580" i="5"/>
  <c r="M580" i="5" s="1"/>
  <c r="H7" i="5"/>
  <c r="M7" i="5" s="1"/>
  <c r="B9" i="7"/>
  <c r="C9" i="7" s="1"/>
  <c r="B10" i="7" s="1"/>
  <c r="C7" i="5"/>
  <c r="I7" i="7"/>
  <c r="K7" i="7"/>
  <c r="K584" i="5" l="1"/>
  <c r="I584" i="5"/>
  <c r="N584" i="5" s="1"/>
  <c r="N583" i="5"/>
  <c r="M582" i="5"/>
  <c r="K581" i="5"/>
  <c r="I581" i="5"/>
  <c r="K580" i="5"/>
  <c r="I580" i="5"/>
  <c r="N580" i="5" s="1"/>
  <c r="B8" i="5"/>
  <c r="K7" i="5"/>
  <c r="I7" i="5"/>
  <c r="N7" i="7"/>
  <c r="L7" i="7"/>
  <c r="J7" i="7"/>
  <c r="N581" i="5" l="1"/>
  <c r="N7" i="5"/>
  <c r="J8" i="5"/>
  <c r="H8" i="5"/>
  <c r="C8" i="5"/>
  <c r="O7" i="7"/>
  <c r="I8" i="7"/>
  <c r="K8" i="7"/>
  <c r="M8" i="5" l="1"/>
  <c r="K8" i="5"/>
  <c r="I8" i="5"/>
  <c r="N8" i="5" s="1"/>
  <c r="B9" i="5"/>
  <c r="L8" i="7"/>
  <c r="J8" i="7"/>
  <c r="N8" i="7"/>
  <c r="C9" i="5" l="1"/>
  <c r="J9" i="5"/>
  <c r="H9" i="5"/>
  <c r="M9" i="5" s="1"/>
  <c r="O8" i="7"/>
  <c r="I9" i="7"/>
  <c r="K9" i="7"/>
  <c r="B10" i="5" l="1"/>
  <c r="K9" i="5"/>
  <c r="I9" i="5"/>
  <c r="C10" i="7"/>
  <c r="B11" i="7" s="1"/>
  <c r="L9" i="7"/>
  <c r="J9" i="7"/>
  <c r="N9" i="7"/>
  <c r="N9" i="5" l="1"/>
  <c r="C10" i="5"/>
  <c r="J10" i="5"/>
  <c r="H10" i="5"/>
  <c r="O9" i="7"/>
  <c r="I10" i="7"/>
  <c r="K10" i="7"/>
  <c r="M10" i="5" l="1"/>
  <c r="B11" i="5"/>
  <c r="K10" i="5"/>
  <c r="I10" i="5"/>
  <c r="L10" i="7"/>
  <c r="C11" i="7"/>
  <c r="B12" i="7" s="1"/>
  <c r="J10" i="7"/>
  <c r="N10" i="7"/>
  <c r="N10" i="5" l="1"/>
  <c r="C11" i="5"/>
  <c r="J11" i="5"/>
  <c r="H11" i="5"/>
  <c r="O10" i="7"/>
  <c r="I11" i="7"/>
  <c r="K11" i="7"/>
  <c r="M11" i="5" l="1"/>
  <c r="B12" i="5"/>
  <c r="K11" i="5"/>
  <c r="I11" i="5"/>
  <c r="N11" i="7"/>
  <c r="C12" i="7"/>
  <c r="B13" i="7" s="1"/>
  <c r="L11" i="7"/>
  <c r="J11" i="7"/>
  <c r="N11" i="5" l="1"/>
  <c r="C12" i="5"/>
  <c r="J12" i="5"/>
  <c r="H12" i="5"/>
  <c r="O11" i="7"/>
  <c r="I12" i="7"/>
  <c r="K12" i="7"/>
  <c r="M12" i="5" l="1"/>
  <c r="B13" i="5"/>
  <c r="K12" i="5"/>
  <c r="I12" i="5"/>
  <c r="N12" i="7"/>
  <c r="J12" i="7"/>
  <c r="C13" i="7"/>
  <c r="B14" i="7" s="1"/>
  <c r="L12" i="7"/>
  <c r="N12" i="5" l="1"/>
  <c r="C13" i="5"/>
  <c r="J13" i="5"/>
  <c r="H13" i="5"/>
  <c r="M13" i="5" s="1"/>
  <c r="O12" i="7"/>
  <c r="K13" i="7"/>
  <c r="I13" i="7"/>
  <c r="B14" i="5" l="1"/>
  <c r="K13" i="5"/>
  <c r="I13" i="5"/>
  <c r="N13" i="5" s="1"/>
  <c r="N13" i="7"/>
  <c r="L13" i="7"/>
  <c r="J13" i="7"/>
  <c r="C14" i="7"/>
  <c r="B15" i="7" s="1"/>
  <c r="C14" i="5" l="1"/>
  <c r="J14" i="5"/>
  <c r="H14" i="5"/>
  <c r="M14" i="5" s="1"/>
  <c r="O13" i="7"/>
  <c r="K14" i="7"/>
  <c r="I14" i="7"/>
  <c r="B15" i="5" l="1"/>
  <c r="K14" i="5"/>
  <c r="I14" i="5"/>
  <c r="N14" i="7"/>
  <c r="L14" i="7"/>
  <c r="C15" i="7"/>
  <c r="B16" i="7" s="1"/>
  <c r="J14" i="7"/>
  <c r="N14" i="5" l="1"/>
  <c r="C15" i="5"/>
  <c r="J15" i="5"/>
  <c r="H15" i="5"/>
  <c r="O14" i="7"/>
  <c r="K15" i="7"/>
  <c r="I15" i="7"/>
  <c r="M15" i="5" l="1"/>
  <c r="B16" i="5"/>
  <c r="K15" i="5"/>
  <c r="I15" i="5"/>
  <c r="N15" i="7"/>
  <c r="L15" i="7"/>
  <c r="C16" i="7"/>
  <c r="B17" i="7" s="1"/>
  <c r="J15" i="7"/>
  <c r="N15" i="5" l="1"/>
  <c r="C16" i="5"/>
  <c r="H16" i="5"/>
  <c r="J16" i="5"/>
  <c r="O15" i="7"/>
  <c r="K16" i="7"/>
  <c r="I16" i="7"/>
  <c r="M16" i="5" l="1"/>
  <c r="B17" i="5"/>
  <c r="K16" i="5"/>
  <c r="I16" i="5"/>
  <c r="N16" i="7"/>
  <c r="L16" i="7"/>
  <c r="J16" i="7"/>
  <c r="C17" i="7"/>
  <c r="B18" i="7" s="1"/>
  <c r="N16" i="5" l="1"/>
  <c r="C17" i="5"/>
  <c r="J17" i="5"/>
  <c r="H17" i="5"/>
  <c r="O16" i="7"/>
  <c r="I17" i="7"/>
  <c r="K17" i="7"/>
  <c r="M17" i="5" l="1"/>
  <c r="B18" i="5"/>
  <c r="I17" i="5"/>
  <c r="K17" i="5"/>
  <c r="N17" i="7"/>
  <c r="L17" i="7"/>
  <c r="C18" i="7"/>
  <c r="B19" i="7" s="1"/>
  <c r="J17" i="7"/>
  <c r="N17" i="5" l="1"/>
  <c r="C18" i="5"/>
  <c r="J18" i="5"/>
  <c r="H18" i="5"/>
  <c r="O17" i="7"/>
  <c r="I18" i="7"/>
  <c r="K18" i="7"/>
  <c r="M18" i="5" l="1"/>
  <c r="B19" i="5"/>
  <c r="K18" i="5"/>
  <c r="I18" i="5"/>
  <c r="L18" i="7"/>
  <c r="C19" i="7"/>
  <c r="B20" i="7" s="1"/>
  <c r="J18" i="7"/>
  <c r="N18" i="7"/>
  <c r="N18" i="5" l="1"/>
  <c r="C19" i="5"/>
  <c r="J19" i="5"/>
  <c r="H19" i="5"/>
  <c r="O18" i="7"/>
  <c r="K19" i="7"/>
  <c r="I19" i="7"/>
  <c r="M19" i="5" l="1"/>
  <c r="B20" i="5"/>
  <c r="K19" i="5"/>
  <c r="I19" i="5"/>
  <c r="N19" i="7"/>
  <c r="L19" i="7"/>
  <c r="C20" i="7"/>
  <c r="B21" i="7" s="1"/>
  <c r="J19" i="7"/>
  <c r="N19" i="5" l="1"/>
  <c r="C20" i="5"/>
  <c r="J20" i="5"/>
  <c r="H20" i="5"/>
  <c r="O19" i="7"/>
  <c r="K20" i="7"/>
  <c r="I20" i="7"/>
  <c r="M20" i="5" l="1"/>
  <c r="B21" i="5"/>
  <c r="K20" i="5"/>
  <c r="I20" i="5"/>
  <c r="N20" i="7"/>
  <c r="L20" i="7"/>
  <c r="C21" i="7"/>
  <c r="B22" i="7" s="1"/>
  <c r="J20" i="7"/>
  <c r="N20" i="5" l="1"/>
  <c r="O20" i="7"/>
  <c r="C21" i="5"/>
  <c r="J21" i="5"/>
  <c r="H21" i="5"/>
  <c r="M21" i="5" s="1"/>
  <c r="I21" i="7"/>
  <c r="K21" i="7"/>
  <c r="B22" i="5" l="1"/>
  <c r="K21" i="5"/>
  <c r="I21" i="5"/>
  <c r="N21" i="5" s="1"/>
  <c r="N21" i="7"/>
  <c r="L21" i="7"/>
  <c r="J21" i="7"/>
  <c r="C22" i="7"/>
  <c r="B23" i="7" s="1"/>
  <c r="C22" i="5" l="1"/>
  <c r="J22" i="5"/>
  <c r="H22" i="5"/>
  <c r="M22" i="5" s="1"/>
  <c r="O21" i="7"/>
  <c r="K22" i="7"/>
  <c r="I22" i="7"/>
  <c r="B23" i="5" l="1"/>
  <c r="K22" i="5"/>
  <c r="I22" i="5"/>
  <c r="N22" i="7"/>
  <c r="L22" i="7"/>
  <c r="C23" i="7"/>
  <c r="B24" i="7" s="1"/>
  <c r="J22" i="7"/>
  <c r="N22" i="5" l="1"/>
  <c r="C23" i="5"/>
  <c r="J23" i="5"/>
  <c r="H23" i="5"/>
  <c r="O22" i="7"/>
  <c r="K23" i="7"/>
  <c r="I23" i="7"/>
  <c r="M23" i="5" l="1"/>
  <c r="B24" i="5"/>
  <c r="K23" i="5"/>
  <c r="I23" i="5"/>
  <c r="N23" i="5" s="1"/>
  <c r="N23" i="7"/>
  <c r="L23" i="7"/>
  <c r="C24" i="7"/>
  <c r="B25" i="7" s="1"/>
  <c r="J23" i="7"/>
  <c r="C24" i="5" l="1"/>
  <c r="J24" i="5"/>
  <c r="H24" i="5"/>
  <c r="M24" i="5" s="1"/>
  <c r="O23" i="7"/>
  <c r="K24" i="7"/>
  <c r="I24" i="7"/>
  <c r="B25" i="5" l="1"/>
  <c r="K24" i="5"/>
  <c r="I24" i="5"/>
  <c r="N24" i="7"/>
  <c r="L24" i="7"/>
  <c r="J24" i="7"/>
  <c r="C25" i="7"/>
  <c r="B26" i="7" s="1"/>
  <c r="N24" i="5" l="1"/>
  <c r="C25" i="5"/>
  <c r="J25" i="5"/>
  <c r="H25" i="5"/>
  <c r="O24" i="7"/>
  <c r="I25" i="7"/>
  <c r="K25" i="7"/>
  <c r="M25" i="5" l="1"/>
  <c r="B26" i="5"/>
  <c r="K25" i="5"/>
  <c r="I25" i="5"/>
  <c r="N25" i="7"/>
  <c r="L25" i="7"/>
  <c r="C26" i="7"/>
  <c r="B27" i="7" s="1"/>
  <c r="J25" i="7"/>
  <c r="N25" i="5" l="1"/>
  <c r="C26" i="5"/>
  <c r="H26" i="5"/>
  <c r="M26" i="5" s="1"/>
  <c r="J26" i="5"/>
  <c r="O25" i="7"/>
  <c r="I26" i="7"/>
  <c r="K26" i="7"/>
  <c r="B27" i="5" l="1"/>
  <c r="K26" i="5"/>
  <c r="I26" i="5"/>
  <c r="N26" i="7"/>
  <c r="L26" i="7"/>
  <c r="C27" i="7"/>
  <c r="B28" i="7" s="1"/>
  <c r="J26" i="7"/>
  <c r="N26" i="5" l="1"/>
  <c r="C27" i="5"/>
  <c r="J27" i="5"/>
  <c r="H27" i="5"/>
  <c r="O26" i="7"/>
  <c r="K27" i="7"/>
  <c r="I27" i="7"/>
  <c r="M27" i="5" l="1"/>
  <c r="B28" i="5"/>
  <c r="K27" i="5"/>
  <c r="I27" i="5"/>
  <c r="N27" i="7"/>
  <c r="L27" i="7"/>
  <c r="C28" i="7"/>
  <c r="B29" i="7" s="1"/>
  <c r="J27" i="7"/>
  <c r="N27" i="5" l="1"/>
  <c r="C28" i="5"/>
  <c r="J28" i="5"/>
  <c r="H28" i="5"/>
  <c r="O27" i="7"/>
  <c r="K28" i="7"/>
  <c r="I28" i="7"/>
  <c r="M28" i="5" l="1"/>
  <c r="B29" i="5"/>
  <c r="K28" i="5"/>
  <c r="I28" i="5"/>
  <c r="N28" i="7"/>
  <c r="L28" i="7"/>
  <c r="J28" i="7"/>
  <c r="C29" i="7"/>
  <c r="B30" i="7" s="1"/>
  <c r="N28" i="5" l="1"/>
  <c r="C29" i="5"/>
  <c r="J29" i="5"/>
  <c r="H29" i="5"/>
  <c r="O28" i="7"/>
  <c r="I29" i="7"/>
  <c r="K29" i="7"/>
  <c r="M29" i="5" l="1"/>
  <c r="B30" i="5"/>
  <c r="K29" i="5"/>
  <c r="I29" i="5"/>
  <c r="L29" i="7"/>
  <c r="J29" i="7"/>
  <c r="C30" i="7"/>
  <c r="B31" i="7" s="1"/>
  <c r="N29" i="7"/>
  <c r="N29" i="5" l="1"/>
  <c r="C30" i="5"/>
  <c r="J30" i="5"/>
  <c r="H30" i="5"/>
  <c r="O29" i="7"/>
  <c r="K30" i="7"/>
  <c r="I30" i="7"/>
  <c r="M30" i="5" l="1"/>
  <c r="B31" i="5"/>
  <c r="K30" i="5"/>
  <c r="I30" i="5"/>
  <c r="N30" i="7"/>
  <c r="L30" i="7"/>
  <c r="C31" i="7"/>
  <c r="B32" i="7" s="1"/>
  <c r="J30" i="7"/>
  <c r="N30" i="5" l="1"/>
  <c r="C31" i="5"/>
  <c r="J31" i="5"/>
  <c r="H31" i="5"/>
  <c r="O30" i="7"/>
  <c r="K31" i="7"/>
  <c r="I31" i="7"/>
  <c r="M31" i="5" l="1"/>
  <c r="B32" i="5"/>
  <c r="K31" i="5"/>
  <c r="I31" i="5"/>
  <c r="N31" i="7"/>
  <c r="L31" i="7"/>
  <c r="C32" i="7"/>
  <c r="B33" i="7" s="1"/>
  <c r="J31" i="7"/>
  <c r="N31" i="5" l="1"/>
  <c r="O31" i="7"/>
  <c r="C32" i="5"/>
  <c r="J32" i="5"/>
  <c r="H32" i="5"/>
  <c r="K32" i="7"/>
  <c r="I32" i="7"/>
  <c r="M32" i="5" l="1"/>
  <c r="B33" i="5"/>
  <c r="K32" i="5"/>
  <c r="I32" i="5"/>
  <c r="N32" i="7"/>
  <c r="L32" i="7"/>
  <c r="J32" i="7"/>
  <c r="C33" i="7"/>
  <c r="B34" i="7" s="1"/>
  <c r="N32" i="5" l="1"/>
  <c r="C33" i="5"/>
  <c r="J33" i="5"/>
  <c r="H33" i="5"/>
  <c r="O32" i="7"/>
  <c r="K33" i="7"/>
  <c r="I33" i="7"/>
  <c r="M33" i="5" l="1"/>
  <c r="B34" i="5"/>
  <c r="K33" i="5"/>
  <c r="I33" i="5"/>
  <c r="N33" i="7"/>
  <c r="L33" i="7"/>
  <c r="C34" i="7"/>
  <c r="B35" i="7" s="1"/>
  <c r="J33" i="7"/>
  <c r="N33" i="5" l="1"/>
  <c r="O33" i="7"/>
  <c r="C34" i="5"/>
  <c r="J34" i="5"/>
  <c r="H34" i="5"/>
  <c r="M34" i="5" s="1"/>
  <c r="K34" i="7"/>
  <c r="I34" i="7"/>
  <c r="B35" i="5" l="1"/>
  <c r="K34" i="5"/>
  <c r="I34" i="5"/>
  <c r="N34" i="5" s="1"/>
  <c r="N34" i="7"/>
  <c r="L34" i="7"/>
  <c r="J34" i="7"/>
  <c r="C35" i="7"/>
  <c r="B36" i="7" s="1"/>
  <c r="C35" i="5" l="1"/>
  <c r="J35" i="5"/>
  <c r="H35" i="5"/>
  <c r="O34" i="7"/>
  <c r="K35" i="7"/>
  <c r="I35" i="7"/>
  <c r="M35" i="5" l="1"/>
  <c r="B36" i="5"/>
  <c r="K35" i="5"/>
  <c r="I35" i="5"/>
  <c r="N35" i="7"/>
  <c r="L35" i="7"/>
  <c r="C36" i="7"/>
  <c r="B37" i="7" s="1"/>
  <c r="J35" i="7"/>
  <c r="N35" i="5" l="1"/>
  <c r="C36" i="5"/>
  <c r="J36" i="5"/>
  <c r="H36" i="5"/>
  <c r="O35" i="7"/>
  <c r="K36" i="7"/>
  <c r="I36" i="7"/>
  <c r="M36" i="5" l="1"/>
  <c r="B37" i="5"/>
  <c r="K36" i="5"/>
  <c r="I36" i="5"/>
  <c r="N36" i="7"/>
  <c r="L36" i="7"/>
  <c r="J36" i="7"/>
  <c r="C37" i="7"/>
  <c r="B38" i="7" s="1"/>
  <c r="N36" i="5" l="1"/>
  <c r="C37" i="5"/>
  <c r="J37" i="5"/>
  <c r="H37" i="5"/>
  <c r="O36" i="7"/>
  <c r="K37" i="7"/>
  <c r="I37" i="7"/>
  <c r="M37" i="5" l="1"/>
  <c r="B38" i="5"/>
  <c r="K37" i="5"/>
  <c r="I37" i="5"/>
  <c r="N37" i="7"/>
  <c r="L37" i="7"/>
  <c r="C38" i="7"/>
  <c r="B39" i="7" s="1"/>
  <c r="J37" i="7"/>
  <c r="N37" i="5" l="1"/>
  <c r="C38" i="5"/>
  <c r="H38" i="5"/>
  <c r="J38" i="5"/>
  <c r="O37" i="7"/>
  <c r="K38" i="7"/>
  <c r="I38" i="7"/>
  <c r="M38" i="5" l="1"/>
  <c r="B39" i="5"/>
  <c r="K38" i="5"/>
  <c r="I38" i="5"/>
  <c r="N38" i="7"/>
  <c r="L38" i="7"/>
  <c r="J38" i="7"/>
  <c r="C39" i="7"/>
  <c r="B40" i="7" s="1"/>
  <c r="N38" i="5" l="1"/>
  <c r="C39" i="5"/>
  <c r="J39" i="5"/>
  <c r="H39" i="5"/>
  <c r="O38" i="7"/>
  <c r="K39" i="7"/>
  <c r="I39" i="7"/>
  <c r="M39" i="5" l="1"/>
  <c r="B40" i="5"/>
  <c r="K39" i="5"/>
  <c r="I39" i="5"/>
  <c r="N39" i="7"/>
  <c r="L39" i="7"/>
  <c r="C40" i="7"/>
  <c r="B41" i="7" s="1"/>
  <c r="J39" i="7"/>
  <c r="N39" i="5" l="1"/>
  <c r="O39" i="7"/>
  <c r="C40" i="5"/>
  <c r="J40" i="5"/>
  <c r="H40" i="5"/>
  <c r="K40" i="7"/>
  <c r="I40" i="7"/>
  <c r="M40" i="5" l="1"/>
  <c r="B41" i="5"/>
  <c r="K40" i="5"/>
  <c r="I40" i="5"/>
  <c r="L40" i="7"/>
  <c r="J40" i="7"/>
  <c r="C41" i="7"/>
  <c r="B42" i="7" s="1"/>
  <c r="N40" i="7"/>
  <c r="N40" i="5" l="1"/>
  <c r="C41" i="5"/>
  <c r="J41" i="5"/>
  <c r="H41" i="5"/>
  <c r="O40" i="7"/>
  <c r="K41" i="7"/>
  <c r="I41" i="7"/>
  <c r="M41" i="5" l="1"/>
  <c r="B42" i="5"/>
  <c r="K41" i="5"/>
  <c r="I41" i="5"/>
  <c r="N41" i="7"/>
  <c r="L41" i="7"/>
  <c r="C42" i="7"/>
  <c r="B43" i="7" s="1"/>
  <c r="J41" i="7"/>
  <c r="N41" i="5" l="1"/>
  <c r="C42" i="5"/>
  <c r="J42" i="5"/>
  <c r="H42" i="5"/>
  <c r="O41" i="7"/>
  <c r="K42" i="7"/>
  <c r="I42" i="7"/>
  <c r="M42" i="5" l="1"/>
  <c r="B43" i="5"/>
  <c r="K42" i="5"/>
  <c r="I42" i="5"/>
  <c r="N42" i="7"/>
  <c r="L42" i="7"/>
  <c r="J42" i="7"/>
  <c r="C43" i="7"/>
  <c r="B44" i="7" s="1"/>
  <c r="N42" i="5" l="1"/>
  <c r="C43" i="5"/>
  <c r="J43" i="5"/>
  <c r="H43" i="5"/>
  <c r="O42" i="7"/>
  <c r="K43" i="7"/>
  <c r="I43" i="7"/>
  <c r="M43" i="5" l="1"/>
  <c r="B44" i="5"/>
  <c r="K43" i="5"/>
  <c r="I43" i="5"/>
  <c r="N43" i="7"/>
  <c r="L43" i="7"/>
  <c r="C44" i="7"/>
  <c r="B45" i="7" s="1"/>
  <c r="J43" i="7"/>
  <c r="N43" i="5" l="1"/>
  <c r="C44" i="5"/>
  <c r="J44" i="5"/>
  <c r="H44" i="5"/>
  <c r="O43" i="7"/>
  <c r="K44" i="7"/>
  <c r="I44" i="7"/>
  <c r="M44" i="5" l="1"/>
  <c r="B45" i="5"/>
  <c r="K44" i="5"/>
  <c r="I44" i="5"/>
  <c r="N44" i="7"/>
  <c r="L44" i="7"/>
  <c r="J44" i="7"/>
  <c r="O44" i="7" s="1"/>
  <c r="C45" i="7"/>
  <c r="B46" i="7" s="1"/>
  <c r="N44" i="5" l="1"/>
  <c r="C45" i="5"/>
  <c r="J45" i="5"/>
  <c r="H45" i="5"/>
  <c r="K45" i="7"/>
  <c r="I45" i="7"/>
  <c r="M45" i="5" l="1"/>
  <c r="B46" i="5"/>
  <c r="K45" i="5"/>
  <c r="I45" i="5"/>
  <c r="N45" i="7"/>
  <c r="L45" i="7"/>
  <c r="C46" i="7"/>
  <c r="B47" i="7" s="1"/>
  <c r="J45" i="7"/>
  <c r="N45" i="5" l="1"/>
  <c r="C46" i="5"/>
  <c r="J46" i="5"/>
  <c r="H46" i="5"/>
  <c r="O45" i="7"/>
  <c r="K46" i="7"/>
  <c r="I46" i="7"/>
  <c r="M46" i="5" l="1"/>
  <c r="B47" i="5"/>
  <c r="K46" i="5"/>
  <c r="I46" i="5"/>
  <c r="L46" i="7"/>
  <c r="J46" i="7"/>
  <c r="C47" i="7"/>
  <c r="B48" i="7" s="1"/>
  <c r="N46" i="7"/>
  <c r="N46" i="5" l="1"/>
  <c r="C47" i="5"/>
  <c r="J47" i="5"/>
  <c r="H47" i="5"/>
  <c r="O46" i="7"/>
  <c r="K47" i="7"/>
  <c r="I47" i="7"/>
  <c r="M47" i="5" l="1"/>
  <c r="B48" i="5"/>
  <c r="K47" i="5"/>
  <c r="I47" i="5"/>
  <c r="L47" i="7"/>
  <c r="C48" i="7"/>
  <c r="B49" i="7" s="1"/>
  <c r="J47" i="7"/>
  <c r="O47" i="7" s="1"/>
  <c r="N47" i="7"/>
  <c r="N47" i="5" l="1"/>
  <c r="C48" i="5"/>
  <c r="J48" i="5"/>
  <c r="H48" i="5"/>
  <c r="K48" i="7"/>
  <c r="I48" i="7"/>
  <c r="M48" i="5" l="1"/>
  <c r="B49" i="5"/>
  <c r="K48" i="5"/>
  <c r="I48" i="5"/>
  <c r="N48" i="7"/>
  <c r="L48" i="7"/>
  <c r="J48" i="7"/>
  <c r="C49" i="7"/>
  <c r="B50" i="7" s="1"/>
  <c r="N48" i="5" l="1"/>
  <c r="C49" i="5"/>
  <c r="J49" i="5"/>
  <c r="H49" i="5"/>
  <c r="O48" i="7"/>
  <c r="K49" i="7"/>
  <c r="I49" i="7"/>
  <c r="M49" i="5" l="1"/>
  <c r="N49" i="7"/>
  <c r="B50" i="5"/>
  <c r="K49" i="5"/>
  <c r="I49" i="5"/>
  <c r="L49" i="7"/>
  <c r="C50" i="7"/>
  <c r="B51" i="7" s="1"/>
  <c r="J49" i="7"/>
  <c r="N49" i="5" l="1"/>
  <c r="O49" i="7"/>
  <c r="C50" i="5"/>
  <c r="J50" i="5"/>
  <c r="H50" i="5"/>
  <c r="K50" i="7"/>
  <c r="I50" i="7"/>
  <c r="M50" i="5" l="1"/>
  <c r="B51" i="5"/>
  <c r="K50" i="5"/>
  <c r="I50" i="5"/>
  <c r="N50" i="7"/>
  <c r="L50" i="7"/>
  <c r="J50" i="7"/>
  <c r="C51" i="7"/>
  <c r="B52" i="7" s="1"/>
  <c r="N50" i="5" l="1"/>
  <c r="C51" i="5"/>
  <c r="J51" i="5"/>
  <c r="H51" i="5"/>
  <c r="O50" i="7"/>
  <c r="K51" i="7"/>
  <c r="I51" i="7"/>
  <c r="M51" i="5" l="1"/>
  <c r="B52" i="5"/>
  <c r="K51" i="5"/>
  <c r="I51" i="5"/>
  <c r="N51" i="7"/>
  <c r="L51" i="7"/>
  <c r="C52" i="7"/>
  <c r="B53" i="7" s="1"/>
  <c r="J51" i="7"/>
  <c r="N51" i="5" l="1"/>
  <c r="C52" i="5"/>
  <c r="J52" i="5"/>
  <c r="H52" i="5"/>
  <c r="O51" i="7"/>
  <c r="K52" i="7"/>
  <c r="I52" i="7"/>
  <c r="M52" i="5" l="1"/>
  <c r="B53" i="5"/>
  <c r="K52" i="5"/>
  <c r="I52" i="5"/>
  <c r="N52" i="7"/>
  <c r="L52" i="7"/>
  <c r="J52" i="7"/>
  <c r="C53" i="7"/>
  <c r="B54" i="7" s="1"/>
  <c r="N52" i="5" l="1"/>
  <c r="C53" i="5"/>
  <c r="J53" i="5"/>
  <c r="H53" i="5"/>
  <c r="O52" i="7"/>
  <c r="K53" i="7"/>
  <c r="I53" i="7"/>
  <c r="M53" i="5" l="1"/>
  <c r="B54" i="5"/>
  <c r="K53" i="5"/>
  <c r="I53" i="5"/>
  <c r="N53" i="7"/>
  <c r="L53" i="7"/>
  <c r="C54" i="7"/>
  <c r="B55" i="7" s="1"/>
  <c r="J53" i="7"/>
  <c r="O53" i="7" l="1"/>
  <c r="N53" i="5"/>
  <c r="C54" i="5"/>
  <c r="J54" i="5"/>
  <c r="H54" i="5"/>
  <c r="K54" i="7"/>
  <c r="I54" i="7"/>
  <c r="M54" i="5" l="1"/>
  <c r="B55" i="5"/>
  <c r="K54" i="5"/>
  <c r="I54" i="5"/>
  <c r="N54" i="7"/>
  <c r="L54" i="7"/>
  <c r="J54" i="7"/>
  <c r="C55" i="7"/>
  <c r="B56" i="7" s="1"/>
  <c r="N54" i="5" l="1"/>
  <c r="C55" i="5"/>
  <c r="J55" i="5"/>
  <c r="H55" i="5"/>
  <c r="O54" i="7"/>
  <c r="K55" i="7"/>
  <c r="I55" i="7"/>
  <c r="M55" i="5" l="1"/>
  <c r="B56" i="5"/>
  <c r="K55" i="5"/>
  <c r="I55" i="5"/>
  <c r="N55" i="7"/>
  <c r="L55" i="7"/>
  <c r="C56" i="7"/>
  <c r="B57" i="7" s="1"/>
  <c r="J55" i="7"/>
  <c r="O55" i="7" s="1"/>
  <c r="N55" i="5" l="1"/>
  <c r="C56" i="5"/>
  <c r="J56" i="5"/>
  <c r="H56" i="5"/>
  <c r="K56" i="7"/>
  <c r="I56" i="7"/>
  <c r="M56" i="5" l="1"/>
  <c r="B57" i="5"/>
  <c r="K56" i="5"/>
  <c r="I56" i="5"/>
  <c r="N56" i="7"/>
  <c r="L56" i="7"/>
  <c r="J56" i="7"/>
  <c r="C57" i="7"/>
  <c r="B58" i="7" s="1"/>
  <c r="N56" i="5" l="1"/>
  <c r="C57" i="5"/>
  <c r="J57" i="5"/>
  <c r="H57" i="5"/>
  <c r="M57" i="5" s="1"/>
  <c r="O56" i="7"/>
  <c r="K57" i="7"/>
  <c r="I57" i="7"/>
  <c r="B58" i="5" l="1"/>
  <c r="K57" i="5"/>
  <c r="I57" i="5"/>
  <c r="N57" i="7"/>
  <c r="L57" i="7"/>
  <c r="C58" i="7"/>
  <c r="B59" i="7" s="1"/>
  <c r="J57" i="7"/>
  <c r="N57" i="5" l="1"/>
  <c r="C58" i="5"/>
  <c r="H58" i="5"/>
  <c r="J58" i="5"/>
  <c r="O57" i="7"/>
  <c r="K58" i="7"/>
  <c r="I58" i="7"/>
  <c r="M58" i="5" l="1"/>
  <c r="B59" i="5"/>
  <c r="K58" i="5"/>
  <c r="I58" i="5"/>
  <c r="N58" i="7"/>
  <c r="L58" i="7"/>
  <c r="J58" i="7"/>
  <c r="C59" i="7"/>
  <c r="B60" i="7" s="1"/>
  <c r="N58" i="5" l="1"/>
  <c r="C59" i="5"/>
  <c r="J59" i="5"/>
  <c r="H59" i="5"/>
  <c r="O58" i="7"/>
  <c r="K59" i="7"/>
  <c r="I59" i="7"/>
  <c r="B60" i="5" l="1"/>
  <c r="K59" i="5"/>
  <c r="I59" i="5"/>
  <c r="N59" i="5" s="1"/>
  <c r="M59" i="5"/>
  <c r="N59" i="7"/>
  <c r="L59" i="7"/>
  <c r="C60" i="7"/>
  <c r="B61" i="7" s="1"/>
  <c r="J59" i="7"/>
  <c r="C60" i="5" l="1"/>
  <c r="H60" i="5"/>
  <c r="J60" i="5"/>
  <c r="O59" i="7"/>
  <c r="K60" i="7"/>
  <c r="I60" i="7"/>
  <c r="M60" i="5" l="1"/>
  <c r="B61" i="5"/>
  <c r="K60" i="5"/>
  <c r="I60" i="5"/>
  <c r="N60" i="7"/>
  <c r="L60" i="7"/>
  <c r="J60" i="7"/>
  <c r="C61" i="7"/>
  <c r="B62" i="7" s="1"/>
  <c r="N60" i="5" l="1"/>
  <c r="O60" i="7"/>
  <c r="C61" i="5"/>
  <c r="J61" i="5"/>
  <c r="H61" i="5"/>
  <c r="K61" i="7"/>
  <c r="I61" i="7"/>
  <c r="N61" i="7" s="1"/>
  <c r="M61" i="5" l="1"/>
  <c r="B62" i="5"/>
  <c r="K61" i="5"/>
  <c r="I61" i="5"/>
  <c r="L61" i="7"/>
  <c r="C62" i="7"/>
  <c r="B63" i="7" s="1"/>
  <c r="J61" i="7"/>
  <c r="C62" i="5" l="1"/>
  <c r="J62" i="5"/>
  <c r="H62" i="5"/>
  <c r="M62" i="5" s="1"/>
  <c r="N61" i="5"/>
  <c r="O61" i="7"/>
  <c r="K62" i="7"/>
  <c r="I62" i="7"/>
  <c r="B63" i="5" l="1"/>
  <c r="K62" i="5"/>
  <c r="I62" i="5"/>
  <c r="N62" i="7"/>
  <c r="L62" i="7"/>
  <c r="J62" i="7"/>
  <c r="C63" i="7"/>
  <c r="B64" i="7" s="1"/>
  <c r="N62" i="5" l="1"/>
  <c r="C63" i="5"/>
  <c r="J63" i="5"/>
  <c r="H63" i="5"/>
  <c r="O62" i="7"/>
  <c r="K63" i="7"/>
  <c r="I63" i="7"/>
  <c r="B64" i="5" l="1"/>
  <c r="K63" i="5"/>
  <c r="I63" i="5"/>
  <c r="N63" i="7"/>
  <c r="L63" i="7"/>
  <c r="C64" i="7"/>
  <c r="B65" i="7" s="1"/>
  <c r="J63" i="7"/>
  <c r="N63" i="5" l="1"/>
  <c r="C64" i="5"/>
  <c r="J64" i="5"/>
  <c r="H64" i="5"/>
  <c r="O63" i="7"/>
  <c r="K64" i="7"/>
  <c r="I64" i="7"/>
  <c r="N64" i="7" l="1"/>
  <c r="B65" i="5"/>
  <c r="K64" i="5"/>
  <c r="I64" i="5"/>
  <c r="M64" i="5"/>
  <c r="L64" i="7"/>
  <c r="J64" i="7"/>
  <c r="C65" i="7"/>
  <c r="B66" i="7" s="1"/>
  <c r="N64" i="5" l="1"/>
  <c r="C65" i="5"/>
  <c r="J65" i="5"/>
  <c r="H65" i="5"/>
  <c r="O64" i="7"/>
  <c r="K65" i="7"/>
  <c r="I65" i="7"/>
  <c r="M65" i="5" l="1"/>
  <c r="B66" i="5"/>
  <c r="K65" i="5"/>
  <c r="I65" i="5"/>
  <c r="N65" i="5" s="1"/>
  <c r="N65" i="7"/>
  <c r="L65" i="7"/>
  <c r="J65" i="7"/>
  <c r="C66" i="7"/>
  <c r="B67" i="7" s="1"/>
  <c r="C66" i="5" l="1"/>
  <c r="J66" i="5"/>
  <c r="H66" i="5"/>
  <c r="O65" i="7"/>
  <c r="K66" i="7"/>
  <c r="I66" i="7"/>
  <c r="M66" i="5" l="1"/>
  <c r="B67" i="5"/>
  <c r="K66" i="5"/>
  <c r="I66" i="5"/>
  <c r="N66" i="7"/>
  <c r="L66" i="7"/>
  <c r="J66" i="7"/>
  <c r="C67" i="7"/>
  <c r="B68" i="7" s="1"/>
  <c r="N66" i="5" l="1"/>
  <c r="C67" i="5"/>
  <c r="J67" i="5"/>
  <c r="H67" i="5"/>
  <c r="M67" i="5" s="1"/>
  <c r="O66" i="7"/>
  <c r="K67" i="7"/>
  <c r="I67" i="7"/>
  <c r="B68" i="5" l="1"/>
  <c r="K67" i="5"/>
  <c r="I67" i="5"/>
  <c r="N67" i="5" s="1"/>
  <c r="N67" i="7"/>
  <c r="L67" i="7"/>
  <c r="J67" i="7"/>
  <c r="C68" i="7"/>
  <c r="B69" i="7" s="1"/>
  <c r="C68" i="5" l="1"/>
  <c r="J68" i="5"/>
  <c r="H68" i="5"/>
  <c r="O67" i="7"/>
  <c r="K68" i="7"/>
  <c r="I68" i="7"/>
  <c r="B69" i="5" l="1"/>
  <c r="K68" i="5"/>
  <c r="I68" i="5"/>
  <c r="M68" i="5"/>
  <c r="N68" i="7"/>
  <c r="L68" i="7"/>
  <c r="J68" i="7"/>
  <c r="C69" i="7"/>
  <c r="B70" i="7" s="1"/>
  <c r="C69" i="5" l="1"/>
  <c r="J69" i="5"/>
  <c r="H69" i="5"/>
  <c r="N68" i="5"/>
  <c r="O68" i="7"/>
  <c r="K69" i="7"/>
  <c r="I69" i="7"/>
  <c r="B70" i="5" l="1"/>
  <c r="K69" i="5"/>
  <c r="I69" i="5"/>
  <c r="M69" i="5"/>
  <c r="N69" i="7"/>
  <c r="L69" i="7"/>
  <c r="J69" i="7"/>
  <c r="C70" i="7"/>
  <c r="B71" i="7" s="1"/>
  <c r="N69" i="5" l="1"/>
  <c r="C70" i="5"/>
  <c r="J70" i="5"/>
  <c r="H70" i="5"/>
  <c r="M70" i="5" s="1"/>
  <c r="O69" i="7"/>
  <c r="K70" i="7"/>
  <c r="I70" i="7"/>
  <c r="B71" i="5" l="1"/>
  <c r="K70" i="5"/>
  <c r="I70" i="5"/>
  <c r="N70" i="7"/>
  <c r="L70" i="7"/>
  <c r="J70" i="7"/>
  <c r="C71" i="7"/>
  <c r="B72" i="7" s="1"/>
  <c r="N70" i="5" l="1"/>
  <c r="C71" i="5"/>
  <c r="J71" i="5"/>
  <c r="H71" i="5"/>
  <c r="M71" i="5" s="1"/>
  <c r="O70" i="7"/>
  <c r="K71" i="7"/>
  <c r="I71" i="7"/>
  <c r="B72" i="5" l="1"/>
  <c r="K71" i="5"/>
  <c r="I71" i="5"/>
  <c r="N71" i="7"/>
  <c r="L71" i="7"/>
  <c r="J71" i="7"/>
  <c r="C72" i="7"/>
  <c r="B73" i="7" s="1"/>
  <c r="N71" i="5" l="1"/>
  <c r="C72" i="5"/>
  <c r="J72" i="5"/>
  <c r="H72" i="5"/>
  <c r="O71" i="7"/>
  <c r="K72" i="7"/>
  <c r="I72" i="7"/>
  <c r="M72" i="5" l="1"/>
  <c r="B73" i="5"/>
  <c r="K72" i="5"/>
  <c r="I72" i="5"/>
  <c r="N72" i="7"/>
  <c r="L72" i="7"/>
  <c r="J72" i="7"/>
  <c r="C73" i="7"/>
  <c r="B74" i="7" s="1"/>
  <c r="O72" i="7" l="1"/>
  <c r="N72" i="5"/>
  <c r="C73" i="5"/>
  <c r="J73" i="5"/>
  <c r="H73" i="5"/>
  <c r="K73" i="7"/>
  <c r="I73" i="7"/>
  <c r="N73" i="7" l="1"/>
  <c r="M73" i="5"/>
  <c r="B74" i="5"/>
  <c r="K73" i="5"/>
  <c r="I73" i="5"/>
  <c r="L73" i="7"/>
  <c r="J73" i="7"/>
  <c r="C74" i="7"/>
  <c r="B75" i="7" s="1"/>
  <c r="N73" i="5" l="1"/>
  <c r="C74" i="5"/>
  <c r="J74" i="5"/>
  <c r="H74" i="5"/>
  <c r="O73" i="7"/>
  <c r="K74" i="7"/>
  <c r="I74" i="7"/>
  <c r="M74" i="5" l="1"/>
  <c r="B75" i="5"/>
  <c r="K74" i="5"/>
  <c r="I74" i="5"/>
  <c r="N74" i="5" s="1"/>
  <c r="N74" i="7"/>
  <c r="L74" i="7"/>
  <c r="J74" i="7"/>
  <c r="C75" i="7"/>
  <c r="B76" i="7" s="1"/>
  <c r="O74" i="7" l="1"/>
  <c r="C75" i="5"/>
  <c r="J75" i="5"/>
  <c r="H75" i="5"/>
  <c r="K75" i="7"/>
  <c r="I75" i="7"/>
  <c r="M75" i="5" l="1"/>
  <c r="B76" i="5"/>
  <c r="K75" i="5"/>
  <c r="I75" i="5"/>
  <c r="N75" i="7"/>
  <c r="L75" i="7"/>
  <c r="J75" i="7"/>
  <c r="C76" i="7"/>
  <c r="B77" i="7" s="1"/>
  <c r="N75" i="5" l="1"/>
  <c r="C76" i="5"/>
  <c r="J76" i="5"/>
  <c r="H76" i="5"/>
  <c r="O75" i="7"/>
  <c r="K76" i="7"/>
  <c r="I76" i="7"/>
  <c r="M76" i="5" l="1"/>
  <c r="B77" i="5"/>
  <c r="K76" i="5"/>
  <c r="I76" i="5"/>
  <c r="N76" i="7"/>
  <c r="L76" i="7"/>
  <c r="J76" i="7"/>
  <c r="C77" i="7"/>
  <c r="B78" i="7" s="1"/>
  <c r="N76" i="5" l="1"/>
  <c r="C77" i="5"/>
  <c r="J77" i="5"/>
  <c r="H77" i="5"/>
  <c r="O76" i="7"/>
  <c r="K77" i="7"/>
  <c r="I77" i="7"/>
  <c r="N77" i="7" s="1"/>
  <c r="M77" i="5" l="1"/>
  <c r="B78" i="5"/>
  <c r="K77" i="5"/>
  <c r="I77" i="5"/>
  <c r="N77" i="5" s="1"/>
  <c r="L77" i="7"/>
  <c r="J77" i="7"/>
  <c r="C78" i="7"/>
  <c r="B79" i="7" s="1"/>
  <c r="C78" i="5" l="1"/>
  <c r="J78" i="5"/>
  <c r="H78" i="5"/>
  <c r="O77" i="7"/>
  <c r="K78" i="7"/>
  <c r="I78" i="7"/>
  <c r="M78" i="5" l="1"/>
  <c r="B79" i="5"/>
  <c r="K78" i="5"/>
  <c r="I78" i="5"/>
  <c r="N78" i="7"/>
  <c r="L78" i="7"/>
  <c r="J78" i="7"/>
  <c r="C79" i="7"/>
  <c r="B80" i="7" s="1"/>
  <c r="N78" i="5" l="1"/>
  <c r="C79" i="5"/>
  <c r="J79" i="5"/>
  <c r="H79" i="5"/>
  <c r="M79" i="5" s="1"/>
  <c r="O78" i="7"/>
  <c r="K79" i="7"/>
  <c r="I79" i="7"/>
  <c r="B80" i="5" l="1"/>
  <c r="K79" i="5"/>
  <c r="I79" i="5"/>
  <c r="N79" i="5" s="1"/>
  <c r="N79" i="7"/>
  <c r="L79" i="7"/>
  <c r="J79" i="7"/>
  <c r="C80" i="7"/>
  <c r="B81" i="7" s="1"/>
  <c r="C80" i="5" l="1"/>
  <c r="J80" i="5"/>
  <c r="H80" i="5"/>
  <c r="O79" i="7"/>
  <c r="K80" i="7"/>
  <c r="I80" i="7"/>
  <c r="N80" i="7" l="1"/>
  <c r="M80" i="5"/>
  <c r="B81" i="5"/>
  <c r="K80" i="5"/>
  <c r="I80" i="5"/>
  <c r="L80" i="7"/>
  <c r="J80" i="7"/>
  <c r="C81" i="7"/>
  <c r="B82" i="7" s="1"/>
  <c r="N80" i="5" l="1"/>
  <c r="O80" i="7"/>
  <c r="C81" i="5"/>
  <c r="J81" i="5"/>
  <c r="H81" i="5"/>
  <c r="K81" i="7"/>
  <c r="I81" i="7"/>
  <c r="M81" i="5" l="1"/>
  <c r="B82" i="5"/>
  <c r="K81" i="5"/>
  <c r="I81" i="5"/>
  <c r="N81" i="5" s="1"/>
  <c r="N81" i="7"/>
  <c r="L81" i="7"/>
  <c r="J81" i="7"/>
  <c r="C82" i="7"/>
  <c r="B83" i="7" s="1"/>
  <c r="C82" i="5" l="1"/>
  <c r="J82" i="5"/>
  <c r="H82" i="5"/>
  <c r="K82" i="7"/>
  <c r="I82" i="7"/>
  <c r="O81" i="7"/>
  <c r="M82" i="5" l="1"/>
  <c r="B83" i="5"/>
  <c r="K82" i="5"/>
  <c r="I82" i="5"/>
  <c r="N82" i="5" s="1"/>
  <c r="N82" i="7"/>
  <c r="L82" i="7"/>
  <c r="J82" i="7"/>
  <c r="C83" i="7"/>
  <c r="B84" i="7" s="1"/>
  <c r="O82" i="7" l="1"/>
  <c r="C83" i="5"/>
  <c r="J83" i="5"/>
  <c r="H83" i="5"/>
  <c r="K83" i="7"/>
  <c r="I83" i="7"/>
  <c r="M83" i="5" l="1"/>
  <c r="B84" i="5"/>
  <c r="K83" i="5"/>
  <c r="I83" i="5"/>
  <c r="N83" i="5" s="1"/>
  <c r="N83" i="7"/>
  <c r="L83" i="7"/>
  <c r="J83" i="7"/>
  <c r="C84" i="7"/>
  <c r="B85" i="7" s="1"/>
  <c r="C84" i="5" l="1"/>
  <c r="J84" i="5"/>
  <c r="H84" i="5"/>
  <c r="O83" i="7"/>
  <c r="K84" i="7"/>
  <c r="I84" i="7"/>
  <c r="M84" i="5" l="1"/>
  <c r="B85" i="5"/>
  <c r="K84" i="5"/>
  <c r="I84" i="5"/>
  <c r="N84" i="7"/>
  <c r="L84" i="7"/>
  <c r="J84" i="7"/>
  <c r="C85" i="7"/>
  <c r="B86" i="7" s="1"/>
  <c r="N84" i="5" l="1"/>
  <c r="C85" i="5"/>
  <c r="J85" i="5"/>
  <c r="H85" i="5"/>
  <c r="K85" i="7"/>
  <c r="I85" i="7"/>
  <c r="N85" i="7" s="1"/>
  <c r="O84" i="7"/>
  <c r="M85" i="5" l="1"/>
  <c r="B86" i="5"/>
  <c r="K85" i="5"/>
  <c r="I85" i="5"/>
  <c r="L85" i="7"/>
  <c r="J85" i="7"/>
  <c r="C86" i="7"/>
  <c r="B87" i="7" s="1"/>
  <c r="N85" i="5" l="1"/>
  <c r="C86" i="5"/>
  <c r="J86" i="5"/>
  <c r="H86" i="5"/>
  <c r="K86" i="7"/>
  <c r="I86" i="7"/>
  <c r="O85" i="7"/>
  <c r="M86" i="5" l="1"/>
  <c r="B87" i="5"/>
  <c r="K86" i="5"/>
  <c r="I86" i="5"/>
  <c r="N86" i="7"/>
  <c r="L86" i="7"/>
  <c r="J86" i="7"/>
  <c r="C87" i="7"/>
  <c r="B88" i="7" s="1"/>
  <c r="N86" i="5" l="1"/>
  <c r="C87" i="5"/>
  <c r="J87" i="5"/>
  <c r="H87" i="5"/>
  <c r="O86" i="7"/>
  <c r="K87" i="7"/>
  <c r="I87" i="7"/>
  <c r="M87" i="5" l="1"/>
  <c r="B88" i="5"/>
  <c r="K87" i="5"/>
  <c r="I87" i="5"/>
  <c r="N87" i="7"/>
  <c r="L87" i="7"/>
  <c r="J87" i="7"/>
  <c r="C88" i="7"/>
  <c r="B89" i="7" s="1"/>
  <c r="N87" i="5" l="1"/>
  <c r="C88" i="5"/>
  <c r="J88" i="5"/>
  <c r="H88" i="5"/>
  <c r="M88" i="5" s="1"/>
  <c r="O87" i="7"/>
  <c r="K88" i="7"/>
  <c r="I88" i="7"/>
  <c r="B89" i="5" l="1"/>
  <c r="K88" i="5"/>
  <c r="I88" i="5"/>
  <c r="N88" i="7"/>
  <c r="L88" i="7"/>
  <c r="J88" i="7"/>
  <c r="C89" i="7"/>
  <c r="B90" i="7" s="1"/>
  <c r="N88" i="5" l="1"/>
  <c r="C89" i="5"/>
  <c r="J89" i="5"/>
  <c r="H89" i="5"/>
  <c r="M89" i="5" s="1"/>
  <c r="O88" i="7"/>
  <c r="K89" i="7"/>
  <c r="I89" i="7"/>
  <c r="B90" i="5" l="1"/>
  <c r="K89" i="5"/>
  <c r="I89" i="5"/>
  <c r="N89" i="7"/>
  <c r="L89" i="7"/>
  <c r="J89" i="7"/>
  <c r="C90" i="7"/>
  <c r="B91" i="7" s="1"/>
  <c r="N89" i="5" l="1"/>
  <c r="C90" i="5"/>
  <c r="H90" i="5"/>
  <c r="J90" i="5"/>
  <c r="O89" i="7"/>
  <c r="K90" i="7"/>
  <c r="I90" i="7"/>
  <c r="M90" i="5" l="1"/>
  <c r="B91" i="5"/>
  <c r="K90" i="5"/>
  <c r="I90" i="5"/>
  <c r="N90" i="5" s="1"/>
  <c r="N90" i="7"/>
  <c r="L90" i="7"/>
  <c r="J90" i="7"/>
  <c r="C91" i="7"/>
  <c r="B92" i="7" s="1"/>
  <c r="C91" i="5" l="1"/>
  <c r="J91" i="5"/>
  <c r="H91" i="5"/>
  <c r="O90" i="7"/>
  <c r="K91" i="7"/>
  <c r="I91" i="7"/>
  <c r="M91" i="5" l="1"/>
  <c r="B92" i="5"/>
  <c r="K91" i="5"/>
  <c r="I91" i="5"/>
  <c r="N91" i="5" s="1"/>
  <c r="N91" i="7"/>
  <c r="L91" i="7"/>
  <c r="J91" i="7"/>
  <c r="C92" i="7"/>
  <c r="B93" i="7" s="1"/>
  <c r="C92" i="5" l="1"/>
  <c r="J92" i="5"/>
  <c r="H92" i="5"/>
  <c r="O91" i="7"/>
  <c r="K92" i="7"/>
  <c r="I92" i="7"/>
  <c r="N92" i="7" s="1"/>
  <c r="M92" i="5" l="1"/>
  <c r="B93" i="5"/>
  <c r="K92" i="5"/>
  <c r="I92" i="5"/>
  <c r="L92" i="7"/>
  <c r="J92" i="7"/>
  <c r="C93" i="7"/>
  <c r="B94" i="7" s="1"/>
  <c r="N92" i="5" l="1"/>
  <c r="C93" i="5"/>
  <c r="J93" i="5"/>
  <c r="H93" i="5"/>
  <c r="O92" i="7"/>
  <c r="K93" i="7"/>
  <c r="I93" i="7"/>
  <c r="N93" i="7" l="1"/>
  <c r="M93" i="5"/>
  <c r="B94" i="5"/>
  <c r="K93" i="5"/>
  <c r="I93" i="5"/>
  <c r="L93" i="7"/>
  <c r="J93" i="7"/>
  <c r="C94" i="7"/>
  <c r="B95" i="7" s="1"/>
  <c r="N93" i="5" l="1"/>
  <c r="C94" i="5"/>
  <c r="J94" i="5"/>
  <c r="H94" i="5"/>
  <c r="O93" i="7"/>
  <c r="K94" i="7"/>
  <c r="I94" i="7"/>
  <c r="M94" i="5" l="1"/>
  <c r="B95" i="5"/>
  <c r="K94" i="5"/>
  <c r="I94" i="5"/>
  <c r="N94" i="5" s="1"/>
  <c r="N94" i="7"/>
  <c r="L94" i="7"/>
  <c r="J94" i="7"/>
  <c r="C95" i="7"/>
  <c r="B96" i="7" s="1"/>
  <c r="O94" i="7" l="1"/>
  <c r="C95" i="5"/>
  <c r="J95" i="5"/>
  <c r="H95" i="5"/>
  <c r="M95" i="5" s="1"/>
  <c r="K95" i="7"/>
  <c r="I95" i="7"/>
  <c r="B96" i="5" l="1"/>
  <c r="K95" i="5"/>
  <c r="I95" i="5"/>
  <c r="N95" i="5" s="1"/>
  <c r="N95" i="7"/>
  <c r="L95" i="7"/>
  <c r="J95" i="7"/>
  <c r="C96" i="7"/>
  <c r="B97" i="7" s="1"/>
  <c r="C96" i="5" l="1"/>
  <c r="J96" i="5"/>
  <c r="H96" i="5"/>
  <c r="M96" i="5" s="1"/>
  <c r="O95" i="7"/>
  <c r="K96" i="7"/>
  <c r="I96" i="7"/>
  <c r="B97" i="5" l="1"/>
  <c r="K96" i="5"/>
  <c r="I96" i="5"/>
  <c r="N96" i="7"/>
  <c r="L96" i="7"/>
  <c r="J96" i="7"/>
  <c r="C97" i="7"/>
  <c r="B98" i="7" s="1"/>
  <c r="N96" i="5" l="1"/>
  <c r="C97" i="5"/>
  <c r="J97" i="5"/>
  <c r="H97" i="5"/>
  <c r="M97" i="5" s="1"/>
  <c r="O96" i="7"/>
  <c r="K97" i="7"/>
  <c r="I97" i="7"/>
  <c r="B98" i="5" l="1"/>
  <c r="K97" i="5"/>
  <c r="I97" i="5"/>
  <c r="N97" i="5" s="1"/>
  <c r="N97" i="7"/>
  <c r="L97" i="7"/>
  <c r="J97" i="7"/>
  <c r="C98" i="7"/>
  <c r="B99" i="7" s="1"/>
  <c r="C98" i="5" l="1"/>
  <c r="J98" i="5"/>
  <c r="H98" i="5"/>
  <c r="K98" i="7"/>
  <c r="I98" i="7"/>
  <c r="O97" i="7"/>
  <c r="M98" i="5" l="1"/>
  <c r="B99" i="5"/>
  <c r="K98" i="5"/>
  <c r="I98" i="5"/>
  <c r="N98" i="7"/>
  <c r="L98" i="7"/>
  <c r="J98" i="7"/>
  <c r="C99" i="7"/>
  <c r="B100" i="7" s="1"/>
  <c r="N98" i="5" l="1"/>
  <c r="C99" i="5"/>
  <c r="J99" i="5"/>
  <c r="H99" i="5"/>
  <c r="O98" i="7"/>
  <c r="K99" i="7"/>
  <c r="I99" i="7"/>
  <c r="M99" i="5" l="1"/>
  <c r="B100" i="5"/>
  <c r="K99" i="5"/>
  <c r="I99" i="5"/>
  <c r="N99" i="7"/>
  <c r="L99" i="7"/>
  <c r="J99" i="7"/>
  <c r="C100" i="7"/>
  <c r="B101" i="7" s="1"/>
  <c r="N99" i="5" l="1"/>
  <c r="C100" i="5"/>
  <c r="J100" i="5"/>
  <c r="H100" i="5"/>
  <c r="O99" i="7"/>
  <c r="K100" i="7"/>
  <c r="I100" i="7"/>
  <c r="M100" i="5" l="1"/>
  <c r="B101" i="5"/>
  <c r="K100" i="5"/>
  <c r="I100" i="5"/>
  <c r="N100" i="7"/>
  <c r="L100" i="7"/>
  <c r="J100" i="7"/>
  <c r="C101" i="7"/>
  <c r="B102" i="7" s="1"/>
  <c r="N100" i="5" l="1"/>
  <c r="C101" i="5"/>
  <c r="J101" i="5"/>
  <c r="H101" i="5"/>
  <c r="O100" i="7"/>
  <c r="K101" i="7"/>
  <c r="I101" i="7"/>
  <c r="M101" i="5" l="1"/>
  <c r="B102" i="5"/>
  <c r="K101" i="5"/>
  <c r="I101" i="5"/>
  <c r="N101" i="7"/>
  <c r="L101" i="7"/>
  <c r="J101" i="7"/>
  <c r="C102" i="7"/>
  <c r="B103" i="7" s="1"/>
  <c r="N101" i="5" l="1"/>
  <c r="C102" i="5"/>
  <c r="H102" i="5"/>
  <c r="J102" i="5"/>
  <c r="O101" i="7"/>
  <c r="K102" i="7"/>
  <c r="I102" i="7"/>
  <c r="M102" i="5" l="1"/>
  <c r="B103" i="5"/>
  <c r="K102" i="5"/>
  <c r="I102" i="5"/>
  <c r="N102" i="7"/>
  <c r="L102" i="7"/>
  <c r="J102" i="7"/>
  <c r="C103" i="7"/>
  <c r="B104" i="7" s="1"/>
  <c r="N102" i="5" l="1"/>
  <c r="C103" i="5"/>
  <c r="J103" i="5"/>
  <c r="H103" i="5"/>
  <c r="K103" i="7"/>
  <c r="I103" i="7"/>
  <c r="O102" i="7"/>
  <c r="M103" i="5" l="1"/>
  <c r="B104" i="5"/>
  <c r="K103" i="5"/>
  <c r="I103" i="5"/>
  <c r="N103" i="7"/>
  <c r="L103" i="7"/>
  <c r="J103" i="7"/>
  <c r="C104" i="7"/>
  <c r="B105" i="7" s="1"/>
  <c r="N103" i="5" l="1"/>
  <c r="C104" i="5"/>
  <c r="J104" i="5"/>
  <c r="H104" i="5"/>
  <c r="K104" i="7"/>
  <c r="I104" i="7"/>
  <c r="O103" i="7"/>
  <c r="M104" i="5" l="1"/>
  <c r="B105" i="5"/>
  <c r="K104" i="5"/>
  <c r="I104" i="5"/>
  <c r="N104" i="7"/>
  <c r="L104" i="7"/>
  <c r="J104" i="7"/>
  <c r="C105" i="7"/>
  <c r="B106" i="7" s="1"/>
  <c r="N104" i="5" l="1"/>
  <c r="C105" i="5"/>
  <c r="J105" i="5"/>
  <c r="H105" i="5"/>
  <c r="K105" i="7"/>
  <c r="I105" i="7"/>
  <c r="O104" i="7"/>
  <c r="M105" i="5" l="1"/>
  <c r="B106" i="5"/>
  <c r="K105" i="5"/>
  <c r="I105" i="5"/>
  <c r="N105" i="7"/>
  <c r="L105" i="7"/>
  <c r="J105" i="7"/>
  <c r="C106" i="7"/>
  <c r="B107" i="7" s="1"/>
  <c r="N105" i="5" l="1"/>
  <c r="C106" i="5"/>
  <c r="J106" i="5"/>
  <c r="H106" i="5"/>
  <c r="K106" i="7"/>
  <c r="I106" i="7"/>
  <c r="O105" i="7"/>
  <c r="M106" i="5" l="1"/>
  <c r="B107" i="5"/>
  <c r="K106" i="5"/>
  <c r="I106" i="5"/>
  <c r="N106" i="7"/>
  <c r="L106" i="7"/>
  <c r="J106" i="7"/>
  <c r="C107" i="7"/>
  <c r="B108" i="7" s="1"/>
  <c r="N106" i="5" l="1"/>
  <c r="C107" i="5"/>
  <c r="J107" i="5"/>
  <c r="H107" i="5"/>
  <c r="O106" i="7"/>
  <c r="I107" i="7"/>
  <c r="K107" i="7"/>
  <c r="M107" i="5" l="1"/>
  <c r="B108" i="5"/>
  <c r="K107" i="5"/>
  <c r="I107" i="5"/>
  <c r="N107" i="7"/>
  <c r="J107" i="7"/>
  <c r="C108" i="7"/>
  <c r="B109" i="7" s="1"/>
  <c r="L107" i="7"/>
  <c r="N107" i="5" l="1"/>
  <c r="C108" i="5"/>
  <c r="J108" i="5"/>
  <c r="H108" i="5"/>
  <c r="O107" i="7"/>
  <c r="I108" i="7"/>
  <c r="K108" i="7"/>
  <c r="M108" i="5" l="1"/>
  <c r="B109" i="5"/>
  <c r="K108" i="5"/>
  <c r="I108" i="5"/>
  <c r="N108" i="7"/>
  <c r="J108" i="7"/>
  <c r="C109" i="7"/>
  <c r="B110" i="7" s="1"/>
  <c r="L108" i="7"/>
  <c r="N108" i="5" l="1"/>
  <c r="C109" i="5"/>
  <c r="J109" i="5"/>
  <c r="H109" i="5"/>
  <c r="M109" i="5" s="1"/>
  <c r="I109" i="7"/>
  <c r="K109" i="7"/>
  <c r="O108" i="7"/>
  <c r="B110" i="5" l="1"/>
  <c r="K109" i="5"/>
  <c r="I109" i="5"/>
  <c r="N109" i="5" s="1"/>
  <c r="N109" i="7"/>
  <c r="J109" i="7"/>
  <c r="L109" i="7"/>
  <c r="C110" i="7"/>
  <c r="B111" i="7" s="1"/>
  <c r="C110" i="5" l="1"/>
  <c r="J110" i="5"/>
  <c r="H110" i="5"/>
  <c r="O109" i="7"/>
  <c r="I110" i="7"/>
  <c r="K110" i="7"/>
  <c r="N110" i="7" l="1"/>
  <c r="M110" i="5"/>
  <c r="B111" i="5"/>
  <c r="K110" i="5"/>
  <c r="I110" i="5"/>
  <c r="N110" i="5" s="1"/>
  <c r="J110" i="7"/>
  <c r="L110" i="7"/>
  <c r="C111" i="7"/>
  <c r="B112" i="7" s="1"/>
  <c r="C111" i="5" l="1"/>
  <c r="J111" i="5"/>
  <c r="H111" i="5"/>
  <c r="O110" i="7"/>
  <c r="I111" i="7"/>
  <c r="K111" i="7"/>
  <c r="M111" i="5" l="1"/>
  <c r="B112" i="5"/>
  <c r="K111" i="5"/>
  <c r="I111" i="5"/>
  <c r="J111" i="7"/>
  <c r="C112" i="7"/>
  <c r="B113" i="7" s="1"/>
  <c r="L111" i="7"/>
  <c r="N111" i="7"/>
  <c r="N111" i="5" l="1"/>
  <c r="C112" i="5"/>
  <c r="J112" i="5"/>
  <c r="H112" i="5"/>
  <c r="O111" i="7"/>
  <c r="I112" i="7"/>
  <c r="K112" i="7"/>
  <c r="M112" i="5" l="1"/>
  <c r="B113" i="5"/>
  <c r="K112" i="5"/>
  <c r="I112" i="5"/>
  <c r="N112" i="7"/>
  <c r="J112" i="7"/>
  <c r="C113" i="7"/>
  <c r="B114" i="7" s="1"/>
  <c r="L112" i="7"/>
  <c r="N112" i="5" l="1"/>
  <c r="C113" i="5"/>
  <c r="J113" i="5"/>
  <c r="H113" i="5"/>
  <c r="O112" i="7"/>
  <c r="I113" i="7"/>
  <c r="K113" i="7"/>
  <c r="M113" i="5" l="1"/>
  <c r="B114" i="5"/>
  <c r="K113" i="5"/>
  <c r="I113" i="5"/>
  <c r="N113" i="7"/>
  <c r="J113" i="7"/>
  <c r="L113" i="7"/>
  <c r="C114" i="7"/>
  <c r="B115" i="7" s="1"/>
  <c r="N113" i="5" l="1"/>
  <c r="C114" i="5"/>
  <c r="J114" i="5"/>
  <c r="H114" i="5"/>
  <c r="O113" i="7"/>
  <c r="I114" i="7"/>
  <c r="K114" i="7"/>
  <c r="M114" i="5" l="1"/>
  <c r="B115" i="5"/>
  <c r="K114" i="5"/>
  <c r="I114" i="5"/>
  <c r="N114" i="7"/>
  <c r="J114" i="7"/>
  <c r="L114" i="7"/>
  <c r="C115" i="7"/>
  <c r="B116" i="7" s="1"/>
  <c r="N114" i="5" l="1"/>
  <c r="C115" i="5"/>
  <c r="J115" i="5"/>
  <c r="H115" i="5"/>
  <c r="O114" i="7"/>
  <c r="I115" i="7"/>
  <c r="K115" i="7"/>
  <c r="M115" i="5" l="1"/>
  <c r="B116" i="5"/>
  <c r="K115" i="5"/>
  <c r="I115" i="5"/>
  <c r="N115" i="5" s="1"/>
  <c r="N115" i="7"/>
  <c r="J115" i="7"/>
  <c r="C116" i="7"/>
  <c r="B117" i="7" s="1"/>
  <c r="L115" i="7"/>
  <c r="C116" i="5" l="1"/>
  <c r="J116" i="5"/>
  <c r="H116" i="5"/>
  <c r="M116" i="5" s="1"/>
  <c r="I116" i="7"/>
  <c r="K116" i="7"/>
  <c r="O115" i="7"/>
  <c r="B117" i="5" l="1"/>
  <c r="K116" i="5"/>
  <c r="I116" i="5"/>
  <c r="J116" i="7"/>
  <c r="C117" i="7"/>
  <c r="B118" i="7" s="1"/>
  <c r="L116" i="7"/>
  <c r="N116" i="7"/>
  <c r="N116" i="5" l="1"/>
  <c r="C117" i="5"/>
  <c r="J117" i="5"/>
  <c r="H117" i="5"/>
  <c r="M117" i="5" s="1"/>
  <c r="I117" i="7"/>
  <c r="K117" i="7"/>
  <c r="O116" i="7"/>
  <c r="B118" i="5" l="1"/>
  <c r="K117" i="5"/>
  <c r="I117" i="5"/>
  <c r="J117" i="7"/>
  <c r="L117" i="7"/>
  <c r="C118" i="7"/>
  <c r="B119" i="7" s="1"/>
  <c r="N117" i="7"/>
  <c r="N117" i="5" l="1"/>
  <c r="C118" i="5"/>
  <c r="J118" i="5"/>
  <c r="H118" i="5"/>
  <c r="M118" i="5" s="1"/>
  <c r="O117" i="7"/>
  <c r="I118" i="7"/>
  <c r="K118" i="7"/>
  <c r="B119" i="5" l="1"/>
  <c r="K118" i="5"/>
  <c r="I118" i="5"/>
  <c r="N118" i="5" s="1"/>
  <c r="J118" i="7"/>
  <c r="L118" i="7"/>
  <c r="C119" i="7"/>
  <c r="B120" i="7" s="1"/>
  <c r="N118" i="7"/>
  <c r="C119" i="5" l="1"/>
  <c r="J119" i="5"/>
  <c r="H119" i="5"/>
  <c r="I119" i="7"/>
  <c r="K119" i="7"/>
  <c r="O118" i="7"/>
  <c r="M119" i="5" l="1"/>
  <c r="B120" i="5"/>
  <c r="K119" i="5"/>
  <c r="I119" i="5"/>
  <c r="J119" i="7"/>
  <c r="C120" i="7"/>
  <c r="B121" i="7" s="1"/>
  <c r="L119" i="7"/>
  <c r="N119" i="7"/>
  <c r="N119" i="5" l="1"/>
  <c r="C120" i="5"/>
  <c r="J120" i="5"/>
  <c r="H120" i="5"/>
  <c r="I120" i="7"/>
  <c r="K120" i="7"/>
  <c r="O119" i="7"/>
  <c r="M120" i="5" l="1"/>
  <c r="B121" i="5"/>
  <c r="K120" i="5"/>
  <c r="I120" i="5"/>
  <c r="J120" i="7"/>
  <c r="C121" i="7"/>
  <c r="B122" i="7" s="1"/>
  <c r="L120" i="7"/>
  <c r="N120" i="7"/>
  <c r="N120" i="5" l="1"/>
  <c r="C121" i="5"/>
  <c r="J121" i="5"/>
  <c r="H121" i="5"/>
  <c r="I121" i="7"/>
  <c r="K121" i="7"/>
  <c r="O120" i="7"/>
  <c r="M121" i="5" l="1"/>
  <c r="B122" i="5"/>
  <c r="K121" i="5"/>
  <c r="I121" i="5"/>
  <c r="J121" i="7"/>
  <c r="L121" i="7"/>
  <c r="C122" i="7"/>
  <c r="B123" i="7" s="1"/>
  <c r="N121" i="7"/>
  <c r="N121" i="5" l="1"/>
  <c r="C122" i="5"/>
  <c r="J122" i="5"/>
  <c r="H122" i="5"/>
  <c r="O121" i="7"/>
  <c r="I122" i="7"/>
  <c r="K122" i="7"/>
  <c r="M122" i="5" l="1"/>
  <c r="B123" i="5"/>
  <c r="K122" i="5"/>
  <c r="I122" i="5"/>
  <c r="N122" i="5" s="1"/>
  <c r="N122" i="7"/>
  <c r="J122" i="7"/>
  <c r="L122" i="7"/>
  <c r="C123" i="7"/>
  <c r="B124" i="7" s="1"/>
  <c r="C123" i="5" l="1"/>
  <c r="J123" i="5"/>
  <c r="H123" i="5"/>
  <c r="I123" i="7"/>
  <c r="K123" i="7"/>
  <c r="O122" i="7"/>
  <c r="M123" i="5" l="1"/>
  <c r="B124" i="5"/>
  <c r="K123" i="5"/>
  <c r="I123" i="5"/>
  <c r="N123" i="7"/>
  <c r="J123" i="7"/>
  <c r="C124" i="7"/>
  <c r="B125" i="7" s="1"/>
  <c r="L123" i="7"/>
  <c r="N123" i="5" l="1"/>
  <c r="C124" i="5"/>
  <c r="J124" i="5"/>
  <c r="H124" i="5"/>
  <c r="I124" i="7"/>
  <c r="K124" i="7"/>
  <c r="O123" i="7"/>
  <c r="M124" i="5" l="1"/>
  <c r="B125" i="5"/>
  <c r="K124" i="5"/>
  <c r="I124" i="5"/>
  <c r="J124" i="7"/>
  <c r="C125" i="7"/>
  <c r="B126" i="7" s="1"/>
  <c r="L124" i="7"/>
  <c r="N124" i="7"/>
  <c r="N124" i="5" l="1"/>
  <c r="C125" i="5"/>
  <c r="J125" i="5"/>
  <c r="H125" i="5"/>
  <c r="M125" i="5" s="1"/>
  <c r="I125" i="7"/>
  <c r="K125" i="7"/>
  <c r="O124" i="7"/>
  <c r="B126" i="5" l="1"/>
  <c r="K125" i="5"/>
  <c r="I125" i="5"/>
  <c r="N125" i="5" s="1"/>
  <c r="N125" i="7"/>
  <c r="J125" i="7"/>
  <c r="L125" i="7"/>
  <c r="C126" i="7"/>
  <c r="B127" i="7" s="1"/>
  <c r="C126" i="5" l="1"/>
  <c r="J126" i="5"/>
  <c r="H126" i="5"/>
  <c r="O125" i="7"/>
  <c r="I126" i="7"/>
  <c r="K126" i="7"/>
  <c r="M126" i="5" l="1"/>
  <c r="B127" i="5"/>
  <c r="K126" i="5"/>
  <c r="I126" i="5"/>
  <c r="N126" i="7"/>
  <c r="J126" i="7"/>
  <c r="L126" i="7"/>
  <c r="C127" i="7"/>
  <c r="B128" i="7" s="1"/>
  <c r="N126" i="5" l="1"/>
  <c r="C127" i="5"/>
  <c r="J127" i="5"/>
  <c r="H127" i="5"/>
  <c r="I127" i="7"/>
  <c r="K127" i="7"/>
  <c r="O126" i="7"/>
  <c r="M127" i="5" l="1"/>
  <c r="B128" i="5"/>
  <c r="K127" i="5"/>
  <c r="I127" i="5"/>
  <c r="N127" i="5" s="1"/>
  <c r="J127" i="7"/>
  <c r="C128" i="7"/>
  <c r="B129" i="7" s="1"/>
  <c r="L127" i="7"/>
  <c r="N127" i="7"/>
  <c r="C128" i="5" l="1"/>
  <c r="J128" i="5"/>
  <c r="H128" i="5"/>
  <c r="I128" i="7"/>
  <c r="K128" i="7"/>
  <c r="O127" i="7"/>
  <c r="M128" i="5" l="1"/>
  <c r="B129" i="5"/>
  <c r="K128" i="5"/>
  <c r="I128" i="5"/>
  <c r="J128" i="7"/>
  <c r="C129" i="7"/>
  <c r="B130" i="7" s="1"/>
  <c r="L128" i="7"/>
  <c r="N128" i="7"/>
  <c r="N128" i="5" l="1"/>
  <c r="C129" i="5"/>
  <c r="J129" i="5"/>
  <c r="H129" i="5"/>
  <c r="I129" i="7"/>
  <c r="K129" i="7"/>
  <c r="O128" i="7"/>
  <c r="M129" i="5" l="1"/>
  <c r="B130" i="5"/>
  <c r="K129" i="5"/>
  <c r="I129" i="5"/>
  <c r="J129" i="7"/>
  <c r="L129" i="7"/>
  <c r="C130" i="7"/>
  <c r="B131" i="7" s="1"/>
  <c r="N129" i="7"/>
  <c r="N129" i="5" l="1"/>
  <c r="C130" i="5"/>
  <c r="J130" i="5"/>
  <c r="H130" i="5"/>
  <c r="O129" i="7"/>
  <c r="I130" i="7"/>
  <c r="K130" i="7"/>
  <c r="M130" i="5" l="1"/>
  <c r="B131" i="5"/>
  <c r="K130" i="5"/>
  <c r="I130" i="5"/>
  <c r="N130" i="7"/>
  <c r="J130" i="7"/>
  <c r="L130" i="7"/>
  <c r="C131" i="7"/>
  <c r="B132" i="7" s="1"/>
  <c r="N130" i="5" l="1"/>
  <c r="C131" i="5"/>
  <c r="J131" i="5"/>
  <c r="H131" i="5"/>
  <c r="O130" i="7"/>
  <c r="I131" i="7"/>
  <c r="K131" i="7"/>
  <c r="M131" i="5" l="1"/>
  <c r="B132" i="5"/>
  <c r="K131" i="5"/>
  <c r="I131" i="5"/>
  <c r="J131" i="7"/>
  <c r="C132" i="7"/>
  <c r="B133" i="7" s="1"/>
  <c r="L131" i="7"/>
  <c r="N131" i="7"/>
  <c r="N131" i="5" l="1"/>
  <c r="C132" i="5"/>
  <c r="J132" i="5"/>
  <c r="H132" i="5"/>
  <c r="I132" i="7"/>
  <c r="K132" i="7"/>
  <c r="O131" i="7"/>
  <c r="M132" i="5" l="1"/>
  <c r="B133" i="5"/>
  <c r="K132" i="5"/>
  <c r="I132" i="5"/>
  <c r="N132" i="7"/>
  <c r="J132" i="7"/>
  <c r="C133" i="7"/>
  <c r="B134" i="7" s="1"/>
  <c r="L132" i="7"/>
  <c r="N132" i="5" l="1"/>
  <c r="C133" i="5"/>
  <c r="J133" i="5"/>
  <c r="H133" i="5"/>
  <c r="I133" i="7"/>
  <c r="K133" i="7"/>
  <c r="O132" i="7"/>
  <c r="M133" i="5" l="1"/>
  <c r="B134" i="5"/>
  <c r="K133" i="5"/>
  <c r="I133" i="5"/>
  <c r="J133" i="7"/>
  <c r="C134" i="7"/>
  <c r="B135" i="7" s="1"/>
  <c r="L133" i="7"/>
  <c r="N133" i="7"/>
  <c r="N133" i="5" l="1"/>
  <c r="C134" i="5"/>
  <c r="J134" i="5"/>
  <c r="H134" i="5"/>
  <c r="I134" i="7"/>
  <c r="K134" i="7"/>
  <c r="O133" i="7"/>
  <c r="M134" i="5" l="1"/>
  <c r="B135" i="5"/>
  <c r="K134" i="5"/>
  <c r="I134" i="5"/>
  <c r="N134" i="7"/>
  <c r="J134" i="7"/>
  <c r="C135" i="7"/>
  <c r="B136" i="7" s="1"/>
  <c r="L134" i="7"/>
  <c r="N134" i="5" l="1"/>
  <c r="C135" i="5"/>
  <c r="J135" i="5"/>
  <c r="H135" i="5"/>
  <c r="I135" i="7"/>
  <c r="K135" i="7"/>
  <c r="O134" i="7"/>
  <c r="M135" i="5" l="1"/>
  <c r="B136" i="5"/>
  <c r="K135" i="5"/>
  <c r="I135" i="5"/>
  <c r="J135" i="7"/>
  <c r="C136" i="7"/>
  <c r="B137" i="7" s="1"/>
  <c r="L135" i="7"/>
  <c r="N135" i="7"/>
  <c r="N135" i="5" l="1"/>
  <c r="C136" i="5"/>
  <c r="J136" i="5"/>
  <c r="H136" i="5"/>
  <c r="O135" i="7"/>
  <c r="I136" i="7"/>
  <c r="K136" i="7"/>
  <c r="M136" i="5" l="1"/>
  <c r="N136" i="7"/>
  <c r="B137" i="5"/>
  <c r="K136" i="5"/>
  <c r="I136" i="5"/>
  <c r="J136" i="7"/>
  <c r="C137" i="7"/>
  <c r="B138" i="7" s="1"/>
  <c r="L136" i="7"/>
  <c r="N136" i="5" l="1"/>
  <c r="C137" i="5"/>
  <c r="J137" i="5"/>
  <c r="H137" i="5"/>
  <c r="I137" i="7"/>
  <c r="K137" i="7"/>
  <c r="O136" i="7"/>
  <c r="M137" i="5" l="1"/>
  <c r="B138" i="5"/>
  <c r="K137" i="5"/>
  <c r="I137" i="5"/>
  <c r="N137" i="7"/>
  <c r="J137" i="7"/>
  <c r="C138" i="7"/>
  <c r="B139" i="7" s="1"/>
  <c r="L137" i="7"/>
  <c r="N137" i="5" l="1"/>
  <c r="C138" i="5"/>
  <c r="J138" i="5"/>
  <c r="H138" i="5"/>
  <c r="O137" i="7"/>
  <c r="I138" i="7"/>
  <c r="K138" i="7"/>
  <c r="M138" i="5" l="1"/>
  <c r="B139" i="5"/>
  <c r="K138" i="5"/>
  <c r="I138" i="5"/>
  <c r="N138" i="7"/>
  <c r="J138" i="7"/>
  <c r="C139" i="7"/>
  <c r="B140" i="7" s="1"/>
  <c r="L138" i="7"/>
  <c r="N138" i="5" l="1"/>
  <c r="C139" i="5"/>
  <c r="J139" i="5"/>
  <c r="H139" i="5"/>
  <c r="I139" i="7"/>
  <c r="K139" i="7"/>
  <c r="O138" i="7"/>
  <c r="M139" i="5" l="1"/>
  <c r="B140" i="5"/>
  <c r="K139" i="5"/>
  <c r="I139" i="5"/>
  <c r="N139" i="7"/>
  <c r="J139" i="7"/>
  <c r="C140" i="7"/>
  <c r="B141" i="7" s="1"/>
  <c r="L139" i="7"/>
  <c r="N139" i="5" l="1"/>
  <c r="C140" i="5"/>
  <c r="J140" i="5"/>
  <c r="H140" i="5"/>
  <c r="I140" i="7"/>
  <c r="K140" i="7"/>
  <c r="O139" i="7"/>
  <c r="M140" i="5" l="1"/>
  <c r="B141" i="5"/>
  <c r="K140" i="5"/>
  <c r="I140" i="5"/>
  <c r="J140" i="7"/>
  <c r="C141" i="7"/>
  <c r="B142" i="7" s="1"/>
  <c r="L140" i="7"/>
  <c r="N140" i="7"/>
  <c r="N140" i="5" l="1"/>
  <c r="C141" i="5"/>
  <c r="J141" i="5"/>
  <c r="H141" i="5"/>
  <c r="I141" i="7"/>
  <c r="K141" i="7"/>
  <c r="O140" i="7"/>
  <c r="M141" i="5" l="1"/>
  <c r="B142" i="5"/>
  <c r="K141" i="5"/>
  <c r="I141" i="5"/>
  <c r="N141" i="5" s="1"/>
  <c r="N141" i="7"/>
  <c r="J141" i="7"/>
  <c r="C142" i="7"/>
  <c r="B143" i="7" s="1"/>
  <c r="L141" i="7"/>
  <c r="C142" i="5" l="1"/>
  <c r="J142" i="5"/>
  <c r="H142" i="5"/>
  <c r="I142" i="7"/>
  <c r="K142" i="7"/>
  <c r="O141" i="7"/>
  <c r="M142" i="5" l="1"/>
  <c r="B143" i="5"/>
  <c r="K142" i="5"/>
  <c r="I142" i="5"/>
  <c r="N142" i="7"/>
  <c r="J142" i="7"/>
  <c r="C143" i="7"/>
  <c r="B144" i="7" s="1"/>
  <c r="L142" i="7"/>
  <c r="N142" i="5" l="1"/>
  <c r="C143" i="5"/>
  <c r="J143" i="5"/>
  <c r="H143" i="5"/>
  <c r="I143" i="7"/>
  <c r="K143" i="7"/>
  <c r="O142" i="7"/>
  <c r="M143" i="5" l="1"/>
  <c r="B144" i="5"/>
  <c r="K143" i="5"/>
  <c r="I143" i="5"/>
  <c r="N143" i="7"/>
  <c r="J143" i="7"/>
  <c r="C144" i="7"/>
  <c r="B145" i="7" s="1"/>
  <c r="L143" i="7"/>
  <c r="N143" i="5" l="1"/>
  <c r="C144" i="5"/>
  <c r="H144" i="5"/>
  <c r="J144" i="5"/>
  <c r="O143" i="7"/>
  <c r="I144" i="7"/>
  <c r="K144" i="7"/>
  <c r="M144" i="5" l="1"/>
  <c r="B145" i="5"/>
  <c r="K144" i="5"/>
  <c r="I144" i="5"/>
  <c r="N144" i="7"/>
  <c r="J144" i="7"/>
  <c r="C145" i="7"/>
  <c r="B146" i="7" s="1"/>
  <c r="L144" i="7"/>
  <c r="N144" i="5" l="1"/>
  <c r="C145" i="5"/>
  <c r="J145" i="5"/>
  <c r="H145" i="5"/>
  <c r="I145" i="7"/>
  <c r="K145" i="7"/>
  <c r="O144" i="7"/>
  <c r="M145" i="5" l="1"/>
  <c r="B146" i="5"/>
  <c r="K145" i="5"/>
  <c r="I145" i="5"/>
  <c r="N145" i="7"/>
  <c r="J145" i="7"/>
  <c r="C146" i="7"/>
  <c r="B147" i="7" s="1"/>
  <c r="L145" i="7"/>
  <c r="N145" i="5" l="1"/>
  <c r="C146" i="5"/>
  <c r="J146" i="5"/>
  <c r="H146" i="5"/>
  <c r="O145" i="7"/>
  <c r="I146" i="7"/>
  <c r="K146" i="7"/>
  <c r="M146" i="5" l="1"/>
  <c r="B147" i="5"/>
  <c r="K146" i="5"/>
  <c r="I146" i="5"/>
  <c r="N146" i="7"/>
  <c r="J146" i="7"/>
  <c r="C147" i="7"/>
  <c r="B148" i="7" s="1"/>
  <c r="L146" i="7"/>
  <c r="N146" i="5" l="1"/>
  <c r="C147" i="5"/>
  <c r="J147" i="5"/>
  <c r="H147" i="5"/>
  <c r="O146" i="7"/>
  <c r="I147" i="7"/>
  <c r="K147" i="7"/>
  <c r="M147" i="5" l="1"/>
  <c r="B148" i="5"/>
  <c r="K147" i="5"/>
  <c r="I147" i="5"/>
  <c r="N147" i="7"/>
  <c r="J147" i="7"/>
  <c r="C148" i="7"/>
  <c r="B149" i="7" s="1"/>
  <c r="L147" i="7"/>
  <c r="N147" i="5" l="1"/>
  <c r="C148" i="5"/>
  <c r="J148" i="5"/>
  <c r="H148" i="5"/>
  <c r="I148" i="7"/>
  <c r="K148" i="7"/>
  <c r="O147" i="7"/>
  <c r="M148" i="5" l="1"/>
  <c r="B149" i="5"/>
  <c r="K148" i="5"/>
  <c r="I148" i="5"/>
  <c r="N148" i="7"/>
  <c r="J148" i="7"/>
  <c r="C149" i="7"/>
  <c r="B150" i="7" s="1"/>
  <c r="L148" i="7"/>
  <c r="N148" i="5" l="1"/>
  <c r="C149" i="5"/>
  <c r="J149" i="5"/>
  <c r="H149" i="5"/>
  <c r="O148" i="7"/>
  <c r="I149" i="7"/>
  <c r="K149" i="7"/>
  <c r="M149" i="5" l="1"/>
  <c r="B150" i="5"/>
  <c r="K149" i="5"/>
  <c r="I149" i="5"/>
  <c r="J149" i="7"/>
  <c r="C150" i="7"/>
  <c r="B151" i="7" s="1"/>
  <c r="L149" i="7"/>
  <c r="N149" i="7"/>
  <c r="N149" i="5" l="1"/>
  <c r="C150" i="5"/>
  <c r="J150" i="5"/>
  <c r="H150" i="5"/>
  <c r="O149" i="7"/>
  <c r="I150" i="7"/>
  <c r="K150" i="7"/>
  <c r="M150" i="5" l="1"/>
  <c r="B151" i="5"/>
  <c r="K150" i="5"/>
  <c r="I150" i="5"/>
  <c r="N150" i="7"/>
  <c r="J150" i="7"/>
  <c r="C151" i="7"/>
  <c r="B152" i="7" s="1"/>
  <c r="L150" i="7"/>
  <c r="N150" i="5" l="1"/>
  <c r="C151" i="5"/>
  <c r="J151" i="5"/>
  <c r="H151" i="5"/>
  <c r="O150" i="7"/>
  <c r="I151" i="7"/>
  <c r="K151" i="7"/>
  <c r="M151" i="5" l="1"/>
  <c r="B152" i="5"/>
  <c r="K151" i="5"/>
  <c r="I151" i="5"/>
  <c r="N151" i="7"/>
  <c r="J151" i="7"/>
  <c r="C152" i="7"/>
  <c r="B153" i="7" s="1"/>
  <c r="L151" i="7"/>
  <c r="N151" i="5" l="1"/>
  <c r="C152" i="5"/>
  <c r="J152" i="5"/>
  <c r="H152" i="5"/>
  <c r="O151" i="7"/>
  <c r="I152" i="7"/>
  <c r="K152" i="7"/>
  <c r="M152" i="5" l="1"/>
  <c r="B153" i="5"/>
  <c r="K152" i="5"/>
  <c r="I152" i="5"/>
  <c r="N152" i="7"/>
  <c r="J152" i="7"/>
  <c r="C153" i="7"/>
  <c r="B154" i="7" s="1"/>
  <c r="L152" i="7"/>
  <c r="N152" i="5" l="1"/>
  <c r="C153" i="5"/>
  <c r="J153" i="5"/>
  <c r="H153" i="5"/>
  <c r="I153" i="7"/>
  <c r="K153" i="7"/>
  <c r="O152" i="7"/>
  <c r="M153" i="5" l="1"/>
  <c r="B154" i="5"/>
  <c r="K153" i="5"/>
  <c r="I153" i="5"/>
  <c r="N153" i="7"/>
  <c r="J153" i="7"/>
  <c r="C154" i="7"/>
  <c r="B155" i="7" s="1"/>
  <c r="L153" i="7"/>
  <c r="N153" i="5" l="1"/>
  <c r="C154" i="5"/>
  <c r="J154" i="5"/>
  <c r="H154" i="5"/>
  <c r="I154" i="7"/>
  <c r="K154" i="7"/>
  <c r="O153" i="7"/>
  <c r="M154" i="5" l="1"/>
  <c r="B155" i="5"/>
  <c r="K154" i="5"/>
  <c r="I154" i="5"/>
  <c r="N154" i="7"/>
  <c r="J154" i="7"/>
  <c r="C155" i="7"/>
  <c r="B156" i="7" s="1"/>
  <c r="L154" i="7"/>
  <c r="N154" i="5" l="1"/>
  <c r="C155" i="5"/>
  <c r="J155" i="5"/>
  <c r="H155" i="5"/>
  <c r="O154" i="7"/>
  <c r="I155" i="7"/>
  <c r="K155" i="7"/>
  <c r="M155" i="5" l="1"/>
  <c r="B156" i="5"/>
  <c r="K155" i="5"/>
  <c r="I155" i="5"/>
  <c r="N155" i="7"/>
  <c r="J155" i="7"/>
  <c r="C156" i="7"/>
  <c r="B157" i="7" s="1"/>
  <c r="L155" i="7"/>
  <c r="N155" i="5" l="1"/>
  <c r="C156" i="5"/>
  <c r="J156" i="5"/>
  <c r="H156" i="5"/>
  <c r="O155" i="7"/>
  <c r="I156" i="7"/>
  <c r="K156" i="7"/>
  <c r="M156" i="5" l="1"/>
  <c r="B157" i="5"/>
  <c r="K156" i="5"/>
  <c r="I156" i="5"/>
  <c r="N156" i="7"/>
  <c r="J156" i="7"/>
  <c r="C157" i="7"/>
  <c r="B158" i="7" s="1"/>
  <c r="L156" i="7"/>
  <c r="N156" i="5" l="1"/>
  <c r="C157" i="5"/>
  <c r="J157" i="5"/>
  <c r="H157" i="5"/>
  <c r="O156" i="7"/>
  <c r="I157" i="7"/>
  <c r="K157" i="7"/>
  <c r="M157" i="5" l="1"/>
  <c r="B158" i="5"/>
  <c r="K157" i="5"/>
  <c r="I157" i="5"/>
  <c r="N157" i="7"/>
  <c r="J157" i="7"/>
  <c r="C158" i="7"/>
  <c r="B159" i="7" s="1"/>
  <c r="L157" i="7"/>
  <c r="N157" i="5" l="1"/>
  <c r="C158" i="5"/>
  <c r="J158" i="5"/>
  <c r="H158" i="5"/>
  <c r="O157" i="7"/>
  <c r="I158" i="7"/>
  <c r="K158" i="7"/>
  <c r="M158" i="5" l="1"/>
  <c r="B159" i="5"/>
  <c r="K158" i="5"/>
  <c r="I158" i="5"/>
  <c r="N158" i="7"/>
  <c r="J158" i="7"/>
  <c r="C159" i="7"/>
  <c r="B160" i="7" s="1"/>
  <c r="L158" i="7"/>
  <c r="N158" i="5" l="1"/>
  <c r="C159" i="5"/>
  <c r="J159" i="5"/>
  <c r="H159" i="5"/>
  <c r="O158" i="7"/>
  <c r="I159" i="7"/>
  <c r="K159" i="7"/>
  <c r="M159" i="5" l="1"/>
  <c r="B160" i="5"/>
  <c r="K159" i="5"/>
  <c r="I159" i="5"/>
  <c r="N159" i="7"/>
  <c r="J159" i="7"/>
  <c r="C160" i="7"/>
  <c r="B161" i="7" s="1"/>
  <c r="L159" i="7"/>
  <c r="N159" i="5" l="1"/>
  <c r="C160" i="5"/>
  <c r="J160" i="5"/>
  <c r="H160" i="5"/>
  <c r="O159" i="7"/>
  <c r="I160" i="7"/>
  <c r="K160" i="7"/>
  <c r="M160" i="5" l="1"/>
  <c r="B161" i="5"/>
  <c r="K160" i="5"/>
  <c r="I160" i="5"/>
  <c r="N160" i="7"/>
  <c r="J160" i="7"/>
  <c r="C161" i="7"/>
  <c r="B162" i="7" s="1"/>
  <c r="L160" i="7"/>
  <c r="N160" i="5" l="1"/>
  <c r="C161" i="5"/>
  <c r="J161" i="5"/>
  <c r="H161" i="5"/>
  <c r="O160" i="7"/>
  <c r="I161" i="7"/>
  <c r="K161" i="7"/>
  <c r="M161" i="5" l="1"/>
  <c r="B162" i="5"/>
  <c r="K161" i="5"/>
  <c r="I161" i="5"/>
  <c r="N161" i="7"/>
  <c r="J161" i="7"/>
  <c r="C162" i="7"/>
  <c r="B163" i="7" s="1"/>
  <c r="L161" i="7"/>
  <c r="N161" i="5" l="1"/>
  <c r="C162" i="5"/>
  <c r="J162" i="5"/>
  <c r="H162" i="5"/>
  <c r="O161" i="7"/>
  <c r="I162" i="7"/>
  <c r="K162" i="7"/>
  <c r="M162" i="5" l="1"/>
  <c r="B163" i="5"/>
  <c r="K162" i="5"/>
  <c r="I162" i="5"/>
  <c r="N162" i="7"/>
  <c r="J162" i="7"/>
  <c r="C163" i="7"/>
  <c r="B164" i="7" s="1"/>
  <c r="L162" i="7"/>
  <c r="N162" i="5" l="1"/>
  <c r="C163" i="5"/>
  <c r="J163" i="5"/>
  <c r="H163" i="5"/>
  <c r="O162" i="7"/>
  <c r="I163" i="7"/>
  <c r="N163" i="7" s="1"/>
  <c r="K163" i="7"/>
  <c r="M163" i="5" l="1"/>
  <c r="B164" i="5"/>
  <c r="K163" i="5"/>
  <c r="I163" i="5"/>
  <c r="J163" i="7"/>
  <c r="C164" i="7"/>
  <c r="B165" i="7" s="1"/>
  <c r="L163" i="7"/>
  <c r="N163" i="5" l="1"/>
  <c r="C164" i="5"/>
  <c r="J164" i="5"/>
  <c r="H164" i="5"/>
  <c r="O163" i="7"/>
  <c r="I164" i="7"/>
  <c r="K164" i="7"/>
  <c r="M164" i="5" l="1"/>
  <c r="B165" i="5"/>
  <c r="K164" i="5"/>
  <c r="I164" i="5"/>
  <c r="N164" i="7"/>
  <c r="J164" i="7"/>
  <c r="C165" i="7"/>
  <c r="B166" i="7" s="1"/>
  <c r="L164" i="7"/>
  <c r="N164" i="5" l="1"/>
  <c r="C165" i="5"/>
  <c r="J165" i="5"/>
  <c r="H165" i="5"/>
  <c r="O164" i="7"/>
  <c r="I165" i="7"/>
  <c r="K165" i="7"/>
  <c r="M165" i="5" l="1"/>
  <c r="B166" i="5"/>
  <c r="K165" i="5"/>
  <c r="I165" i="5"/>
  <c r="N165" i="7"/>
  <c r="J165" i="7"/>
  <c r="C166" i="7"/>
  <c r="B167" i="7" s="1"/>
  <c r="L165" i="7"/>
  <c r="N165" i="5" l="1"/>
  <c r="C166" i="5"/>
  <c r="J166" i="5"/>
  <c r="H166" i="5"/>
  <c r="O165" i="7"/>
  <c r="I166" i="7"/>
  <c r="K166" i="7"/>
  <c r="M166" i="5" l="1"/>
  <c r="N166" i="7"/>
  <c r="B167" i="5"/>
  <c r="K166" i="5"/>
  <c r="I166" i="5"/>
  <c r="J166" i="7"/>
  <c r="C167" i="7"/>
  <c r="B168" i="7" s="1"/>
  <c r="L166" i="7"/>
  <c r="N166" i="5" l="1"/>
  <c r="C167" i="5"/>
  <c r="J167" i="5"/>
  <c r="H167" i="5"/>
  <c r="O166" i="7"/>
  <c r="I167" i="7"/>
  <c r="K167" i="7"/>
  <c r="M167" i="5" l="1"/>
  <c r="N167" i="7"/>
  <c r="B168" i="5"/>
  <c r="K167" i="5"/>
  <c r="I167" i="5"/>
  <c r="N167" i="5" s="1"/>
  <c r="J167" i="7"/>
  <c r="C168" i="7"/>
  <c r="B169" i="7" s="1"/>
  <c r="L167" i="7"/>
  <c r="C168" i="5" l="1"/>
  <c r="J168" i="5"/>
  <c r="H168" i="5"/>
  <c r="M168" i="5" s="1"/>
  <c r="O167" i="7"/>
  <c r="I168" i="7"/>
  <c r="K168" i="7"/>
  <c r="B169" i="5" l="1"/>
  <c r="I168" i="5"/>
  <c r="K168" i="5"/>
  <c r="N168" i="7"/>
  <c r="J168" i="7"/>
  <c r="C169" i="7"/>
  <c r="B170" i="7" s="1"/>
  <c r="L168" i="7"/>
  <c r="N168" i="5" l="1"/>
  <c r="C169" i="5"/>
  <c r="J169" i="5"/>
  <c r="H169" i="5"/>
  <c r="I169" i="7"/>
  <c r="K169" i="7"/>
  <c r="O168" i="7"/>
  <c r="M169" i="5" l="1"/>
  <c r="B170" i="5"/>
  <c r="K169" i="5"/>
  <c r="I169" i="5"/>
  <c r="N169" i="7"/>
  <c r="J169" i="7"/>
  <c r="C170" i="7"/>
  <c r="B171" i="7" s="1"/>
  <c r="L169" i="7"/>
  <c r="N169" i="5" l="1"/>
  <c r="C170" i="5"/>
  <c r="J170" i="5"/>
  <c r="H170" i="5"/>
  <c r="O169" i="7"/>
  <c r="I170" i="7"/>
  <c r="K170" i="7"/>
  <c r="M170" i="5" l="1"/>
  <c r="B171" i="5"/>
  <c r="K170" i="5"/>
  <c r="I170" i="5"/>
  <c r="N170" i="7"/>
  <c r="J170" i="7"/>
  <c r="C171" i="7"/>
  <c r="B172" i="7" s="1"/>
  <c r="L170" i="7"/>
  <c r="N170" i="5" l="1"/>
  <c r="C171" i="5"/>
  <c r="J171" i="5"/>
  <c r="H171" i="5"/>
  <c r="O170" i="7"/>
  <c r="I171" i="7"/>
  <c r="K171" i="7"/>
  <c r="M171" i="5" l="1"/>
  <c r="B172" i="5"/>
  <c r="K171" i="5"/>
  <c r="I171" i="5"/>
  <c r="N171" i="7"/>
  <c r="J171" i="7"/>
  <c r="C172" i="7"/>
  <c r="B173" i="7" s="1"/>
  <c r="L171" i="7"/>
  <c r="N171" i="5" l="1"/>
  <c r="C172" i="5"/>
  <c r="J172" i="5"/>
  <c r="H172" i="5"/>
  <c r="O171" i="7"/>
  <c r="I172" i="7"/>
  <c r="K172" i="7"/>
  <c r="M172" i="5" l="1"/>
  <c r="B173" i="5"/>
  <c r="K172" i="5"/>
  <c r="I172" i="5"/>
  <c r="N172" i="7"/>
  <c r="J172" i="7"/>
  <c r="C173" i="7"/>
  <c r="B174" i="7" s="1"/>
  <c r="L172" i="7"/>
  <c r="N172" i="5" l="1"/>
  <c r="C173" i="5"/>
  <c r="J173" i="5"/>
  <c r="H173" i="5"/>
  <c r="O172" i="7"/>
  <c r="I173" i="7"/>
  <c r="N173" i="7" s="1"/>
  <c r="K173" i="7"/>
  <c r="M173" i="5" l="1"/>
  <c r="B174" i="5"/>
  <c r="K173" i="5"/>
  <c r="I173" i="5"/>
  <c r="J173" i="7"/>
  <c r="C174" i="7"/>
  <c r="B175" i="7" s="1"/>
  <c r="L173" i="7"/>
  <c r="N173" i="5" l="1"/>
  <c r="C174" i="5"/>
  <c r="J174" i="5"/>
  <c r="H174" i="5"/>
  <c r="O173" i="7"/>
  <c r="I174" i="7"/>
  <c r="K174" i="7"/>
  <c r="M174" i="5" l="1"/>
  <c r="B175" i="5"/>
  <c r="K174" i="5"/>
  <c r="I174" i="5"/>
  <c r="N174" i="7"/>
  <c r="J174" i="7"/>
  <c r="C175" i="7"/>
  <c r="B176" i="7" s="1"/>
  <c r="L174" i="7"/>
  <c r="N174" i="5" l="1"/>
  <c r="C175" i="5"/>
  <c r="J175" i="5"/>
  <c r="H175" i="5"/>
  <c r="O174" i="7"/>
  <c r="I175" i="7"/>
  <c r="K175" i="7"/>
  <c r="M175" i="5" l="1"/>
  <c r="B176" i="5"/>
  <c r="K175" i="5"/>
  <c r="I175" i="5"/>
  <c r="N175" i="7"/>
  <c r="J175" i="7"/>
  <c r="C176" i="7"/>
  <c r="B177" i="7" s="1"/>
  <c r="L175" i="7"/>
  <c r="N175" i="5" l="1"/>
  <c r="C176" i="5"/>
  <c r="J176" i="5"/>
  <c r="H176" i="5"/>
  <c r="O175" i="7"/>
  <c r="I176" i="7"/>
  <c r="K176" i="7"/>
  <c r="M176" i="5" l="1"/>
  <c r="B177" i="5"/>
  <c r="K176" i="5"/>
  <c r="I176" i="5"/>
  <c r="N176" i="7"/>
  <c r="J176" i="7"/>
  <c r="C177" i="7"/>
  <c r="B178" i="7" s="1"/>
  <c r="L176" i="7"/>
  <c r="N176" i="5" l="1"/>
  <c r="C177" i="5"/>
  <c r="J177" i="5"/>
  <c r="H177" i="5"/>
  <c r="O176" i="7"/>
  <c r="I177" i="7"/>
  <c r="K177" i="7"/>
  <c r="M177" i="5" l="1"/>
  <c r="B178" i="5"/>
  <c r="K177" i="5"/>
  <c r="I177" i="5"/>
  <c r="N177" i="7"/>
  <c r="J177" i="7"/>
  <c r="C178" i="7"/>
  <c r="B179" i="7" s="1"/>
  <c r="L177" i="7"/>
  <c r="N177" i="5" l="1"/>
  <c r="C178" i="5"/>
  <c r="J178" i="5"/>
  <c r="H178" i="5"/>
  <c r="O177" i="7"/>
  <c r="I178" i="7"/>
  <c r="K178" i="7"/>
  <c r="M178" i="5" l="1"/>
  <c r="B179" i="5"/>
  <c r="K178" i="5"/>
  <c r="I178" i="5"/>
  <c r="N178" i="5" s="1"/>
  <c r="N178" i="7"/>
  <c r="J178" i="7"/>
  <c r="C179" i="7"/>
  <c r="B180" i="7" s="1"/>
  <c r="L178" i="7"/>
  <c r="C179" i="5" l="1"/>
  <c r="J179" i="5"/>
  <c r="H179" i="5"/>
  <c r="M179" i="5" s="1"/>
  <c r="O178" i="7"/>
  <c r="I179" i="7"/>
  <c r="K179" i="7"/>
  <c r="B180" i="5" l="1"/>
  <c r="K179" i="5"/>
  <c r="I179" i="5"/>
  <c r="N179" i="7"/>
  <c r="J179" i="7"/>
  <c r="C180" i="7"/>
  <c r="B181" i="7" s="1"/>
  <c r="L179" i="7"/>
  <c r="N179" i="5" l="1"/>
  <c r="C180" i="5"/>
  <c r="J180" i="5"/>
  <c r="H180" i="5"/>
  <c r="M180" i="5" s="1"/>
  <c r="O179" i="7"/>
  <c r="I180" i="7"/>
  <c r="K180" i="7"/>
  <c r="B181" i="5" l="1"/>
  <c r="K180" i="5"/>
  <c r="I180" i="5"/>
  <c r="N180" i="7"/>
  <c r="J180" i="7"/>
  <c r="C181" i="7"/>
  <c r="B182" i="7" s="1"/>
  <c r="L180" i="7"/>
  <c r="N180" i="5" l="1"/>
  <c r="C181" i="5"/>
  <c r="J181" i="5"/>
  <c r="H181" i="5"/>
  <c r="O180" i="7"/>
  <c r="I181" i="7"/>
  <c r="K181" i="7"/>
  <c r="M181" i="5" l="1"/>
  <c r="B182" i="5"/>
  <c r="K181" i="5"/>
  <c r="I181" i="5"/>
  <c r="N181" i="7"/>
  <c r="J181" i="7"/>
  <c r="C182" i="7"/>
  <c r="B183" i="7" s="1"/>
  <c r="L181" i="7"/>
  <c r="N181" i="5" l="1"/>
  <c r="C182" i="5"/>
  <c r="J182" i="5"/>
  <c r="H182" i="5"/>
  <c r="O181" i="7"/>
  <c r="I182" i="7"/>
  <c r="K182" i="7"/>
  <c r="M182" i="5" l="1"/>
  <c r="B183" i="5"/>
  <c r="K182" i="5"/>
  <c r="I182" i="5"/>
  <c r="N182" i="7"/>
  <c r="J182" i="7"/>
  <c r="C183" i="7"/>
  <c r="B184" i="7" s="1"/>
  <c r="L182" i="7"/>
  <c r="N182" i="5" l="1"/>
  <c r="C183" i="5"/>
  <c r="J183" i="5"/>
  <c r="H183" i="5"/>
  <c r="O182" i="7"/>
  <c r="I183" i="7"/>
  <c r="K183" i="7"/>
  <c r="M183" i="5" l="1"/>
  <c r="B184" i="5"/>
  <c r="K183" i="5"/>
  <c r="I183" i="5"/>
  <c r="N183" i="7"/>
  <c r="J183" i="7"/>
  <c r="C184" i="7"/>
  <c r="B185" i="7" s="1"/>
  <c r="L183" i="7"/>
  <c r="N183" i="5" l="1"/>
  <c r="C184" i="5"/>
  <c r="J184" i="5"/>
  <c r="H184" i="5"/>
  <c r="O183" i="7"/>
  <c r="I184" i="7"/>
  <c r="K184" i="7"/>
  <c r="M184" i="5" l="1"/>
  <c r="N184" i="7"/>
  <c r="B185" i="5"/>
  <c r="K184" i="5"/>
  <c r="I184" i="5"/>
  <c r="J184" i="7"/>
  <c r="C185" i="7"/>
  <c r="B186" i="7" s="1"/>
  <c r="L184" i="7"/>
  <c r="N184" i="5" l="1"/>
  <c r="C185" i="5"/>
  <c r="J185" i="5"/>
  <c r="H185" i="5"/>
  <c r="O184" i="7"/>
  <c r="I185" i="7"/>
  <c r="K185" i="7"/>
  <c r="M185" i="5" l="1"/>
  <c r="B186" i="5"/>
  <c r="K185" i="5"/>
  <c r="I185" i="5"/>
  <c r="N185" i="7"/>
  <c r="J185" i="7"/>
  <c r="C186" i="7"/>
  <c r="B187" i="7" s="1"/>
  <c r="L185" i="7"/>
  <c r="N185" i="5" l="1"/>
  <c r="C186" i="5"/>
  <c r="J186" i="5"/>
  <c r="H186" i="5"/>
  <c r="O185" i="7"/>
  <c r="I186" i="7"/>
  <c r="K186" i="7"/>
  <c r="M186" i="5" l="1"/>
  <c r="B187" i="5"/>
  <c r="K186" i="5"/>
  <c r="I186" i="5"/>
  <c r="N186" i="7"/>
  <c r="J186" i="7"/>
  <c r="C187" i="7"/>
  <c r="B188" i="7" s="1"/>
  <c r="L186" i="7"/>
  <c r="N186" i="5" l="1"/>
  <c r="C187" i="5"/>
  <c r="J187" i="5"/>
  <c r="H187" i="5"/>
  <c r="O186" i="7"/>
  <c r="I187" i="7"/>
  <c r="K187" i="7"/>
  <c r="M187" i="5" l="1"/>
  <c r="B188" i="5"/>
  <c r="K187" i="5"/>
  <c r="I187" i="5"/>
  <c r="N187" i="7"/>
  <c r="J187" i="7"/>
  <c r="C188" i="7"/>
  <c r="B189" i="7" s="1"/>
  <c r="L187" i="7"/>
  <c r="N187" i="5" l="1"/>
  <c r="C188" i="5"/>
  <c r="J188" i="5"/>
  <c r="H188" i="5"/>
  <c r="O187" i="7"/>
  <c r="I188" i="7"/>
  <c r="K188" i="7"/>
  <c r="M188" i="5" l="1"/>
  <c r="N188" i="7"/>
  <c r="B189" i="5"/>
  <c r="K188" i="5"/>
  <c r="I188" i="5"/>
  <c r="N188" i="5" s="1"/>
  <c r="J188" i="7"/>
  <c r="C189" i="7"/>
  <c r="B190" i="7" s="1"/>
  <c r="L188" i="7"/>
  <c r="C189" i="5" l="1"/>
  <c r="J189" i="5"/>
  <c r="H189" i="5"/>
  <c r="I189" i="7"/>
  <c r="K189" i="7"/>
  <c r="O188" i="7"/>
  <c r="M189" i="5" l="1"/>
  <c r="B190" i="5"/>
  <c r="K189" i="5"/>
  <c r="I189" i="5"/>
  <c r="N189" i="7"/>
  <c r="J189" i="7"/>
  <c r="C190" i="7"/>
  <c r="B191" i="7" s="1"/>
  <c r="L189" i="7"/>
  <c r="N189" i="5" l="1"/>
  <c r="C190" i="5"/>
  <c r="J190" i="5"/>
  <c r="H190" i="5"/>
  <c r="O189" i="7"/>
  <c r="I190" i="7"/>
  <c r="K190" i="7"/>
  <c r="M190" i="5" l="1"/>
  <c r="B191" i="5"/>
  <c r="K190" i="5"/>
  <c r="I190" i="5"/>
  <c r="N190" i="7"/>
  <c r="J190" i="7"/>
  <c r="C191" i="7"/>
  <c r="B192" i="7" s="1"/>
  <c r="L190" i="7"/>
  <c r="N190" i="5" l="1"/>
  <c r="C191" i="5"/>
  <c r="J191" i="5"/>
  <c r="H191" i="5"/>
  <c r="O190" i="7"/>
  <c r="I191" i="7"/>
  <c r="K191" i="7"/>
  <c r="M191" i="5" l="1"/>
  <c r="B192" i="5"/>
  <c r="K191" i="5"/>
  <c r="I191" i="5"/>
  <c r="N191" i="7"/>
  <c r="J191" i="7"/>
  <c r="C192" i="7"/>
  <c r="B193" i="7" s="1"/>
  <c r="L191" i="7"/>
  <c r="N191" i="5" l="1"/>
  <c r="C192" i="5"/>
  <c r="J192" i="5"/>
  <c r="H192" i="5"/>
  <c r="M192" i="5" s="1"/>
  <c r="O191" i="7"/>
  <c r="I192" i="7"/>
  <c r="K192" i="7"/>
  <c r="B193" i="5" l="1"/>
  <c r="K192" i="5"/>
  <c r="I192" i="5"/>
  <c r="N192" i="7"/>
  <c r="J192" i="7"/>
  <c r="C193" i="7"/>
  <c r="B194" i="7" s="1"/>
  <c r="L192" i="7"/>
  <c r="N192" i="5" l="1"/>
  <c r="C193" i="5"/>
  <c r="J193" i="5"/>
  <c r="H193" i="5"/>
  <c r="O192" i="7"/>
  <c r="I193" i="7"/>
  <c r="K193" i="7"/>
  <c r="M193" i="5" l="1"/>
  <c r="B194" i="5"/>
  <c r="K193" i="5"/>
  <c r="I193" i="5"/>
  <c r="N193" i="7"/>
  <c r="J193" i="7"/>
  <c r="C194" i="7"/>
  <c r="B195" i="7" s="1"/>
  <c r="L193" i="7"/>
  <c r="N193" i="5" l="1"/>
  <c r="C194" i="5"/>
  <c r="J194" i="5"/>
  <c r="H194" i="5"/>
  <c r="O193" i="7"/>
  <c r="I194" i="7"/>
  <c r="K194" i="7"/>
  <c r="M194" i="5" l="1"/>
  <c r="B195" i="5"/>
  <c r="K194" i="5"/>
  <c r="I194" i="5"/>
  <c r="N194" i="7"/>
  <c r="J194" i="7"/>
  <c r="C195" i="7"/>
  <c r="B196" i="7" s="1"/>
  <c r="L194" i="7"/>
  <c r="N194" i="5" l="1"/>
  <c r="C195" i="5"/>
  <c r="J195" i="5"/>
  <c r="H195" i="5"/>
  <c r="O194" i="7"/>
  <c r="I195" i="7"/>
  <c r="K195" i="7"/>
  <c r="M195" i="5" l="1"/>
  <c r="B196" i="5"/>
  <c r="K195" i="5"/>
  <c r="I195" i="5"/>
  <c r="J195" i="7"/>
  <c r="C196" i="7"/>
  <c r="B197" i="7" s="1"/>
  <c r="L195" i="7"/>
  <c r="N195" i="7"/>
  <c r="N195" i="5" l="1"/>
  <c r="C196" i="5"/>
  <c r="J196" i="5"/>
  <c r="H196" i="5"/>
  <c r="I196" i="7"/>
  <c r="K196" i="7"/>
  <c r="O195" i="7"/>
  <c r="M196" i="5" l="1"/>
  <c r="B197" i="5"/>
  <c r="K196" i="5"/>
  <c r="I196" i="5"/>
  <c r="J196" i="7"/>
  <c r="C197" i="7"/>
  <c r="B198" i="7" s="1"/>
  <c r="L196" i="7"/>
  <c r="N196" i="7"/>
  <c r="N196" i="5" l="1"/>
  <c r="C197" i="5"/>
  <c r="J197" i="5"/>
  <c r="H197" i="5"/>
  <c r="I197" i="7"/>
  <c r="K197" i="7"/>
  <c r="O196" i="7"/>
  <c r="M197" i="5" l="1"/>
  <c r="B198" i="5"/>
  <c r="K197" i="5"/>
  <c r="I197" i="5"/>
  <c r="J197" i="7"/>
  <c r="C198" i="7"/>
  <c r="B199" i="7" s="1"/>
  <c r="L197" i="7"/>
  <c r="N197" i="7"/>
  <c r="N197" i="5" l="1"/>
  <c r="C198" i="5"/>
  <c r="J198" i="5"/>
  <c r="H198" i="5"/>
  <c r="I198" i="7"/>
  <c r="K198" i="7"/>
  <c r="O197" i="7"/>
  <c r="N198" i="7" l="1"/>
  <c r="M198" i="5"/>
  <c r="B199" i="5"/>
  <c r="K198" i="5"/>
  <c r="I198" i="5"/>
  <c r="J198" i="7"/>
  <c r="C199" i="7"/>
  <c r="B200" i="7" s="1"/>
  <c r="L198" i="7"/>
  <c r="N198" i="5" l="1"/>
  <c r="C199" i="5"/>
  <c r="J199" i="5"/>
  <c r="H199" i="5"/>
  <c r="M199" i="5" s="1"/>
  <c r="I199" i="7"/>
  <c r="K199" i="7"/>
  <c r="O198" i="7"/>
  <c r="B200" i="5" l="1"/>
  <c r="K199" i="5"/>
  <c r="I199" i="5"/>
  <c r="J199" i="7"/>
  <c r="C200" i="7"/>
  <c r="B201" i="7" s="1"/>
  <c r="L199" i="7"/>
  <c r="N199" i="7"/>
  <c r="N199" i="5" l="1"/>
  <c r="C200" i="5"/>
  <c r="J200" i="5"/>
  <c r="H200" i="5"/>
  <c r="K200" i="7"/>
  <c r="I200" i="7"/>
  <c r="O199" i="7"/>
  <c r="M200" i="5" l="1"/>
  <c r="B201" i="5"/>
  <c r="K200" i="5"/>
  <c r="I200" i="5"/>
  <c r="N200" i="7"/>
  <c r="J200" i="7"/>
  <c r="L200" i="7"/>
  <c r="C201" i="7"/>
  <c r="B202" i="7" s="1"/>
  <c r="N200" i="5" l="1"/>
  <c r="C201" i="5"/>
  <c r="J201" i="5"/>
  <c r="H201" i="5"/>
  <c r="O200" i="7"/>
  <c r="K201" i="7"/>
  <c r="I201" i="7"/>
  <c r="M201" i="5" l="1"/>
  <c r="B202" i="5"/>
  <c r="I201" i="5"/>
  <c r="K201" i="5"/>
  <c r="N201" i="7"/>
  <c r="J201" i="7"/>
  <c r="L201" i="7"/>
  <c r="C202" i="7"/>
  <c r="B203" i="7" s="1"/>
  <c r="N201" i="5" l="1"/>
  <c r="O201" i="7"/>
  <c r="C202" i="5"/>
  <c r="J202" i="5"/>
  <c r="H202" i="5"/>
  <c r="K202" i="7"/>
  <c r="I202" i="7"/>
  <c r="M202" i="5" l="1"/>
  <c r="B203" i="5"/>
  <c r="K202" i="5"/>
  <c r="I202" i="5"/>
  <c r="N202" i="7"/>
  <c r="J202" i="7"/>
  <c r="C203" i="7"/>
  <c r="B204" i="7" s="1"/>
  <c r="L202" i="7"/>
  <c r="N202" i="5" l="1"/>
  <c r="C203" i="5"/>
  <c r="J203" i="5"/>
  <c r="H203" i="5"/>
  <c r="K203" i="7"/>
  <c r="I203" i="7"/>
  <c r="O202" i="7"/>
  <c r="M203" i="5" l="1"/>
  <c r="N203" i="7"/>
  <c r="B204" i="5"/>
  <c r="K203" i="5"/>
  <c r="I203" i="5"/>
  <c r="N203" i="5" s="1"/>
  <c r="J203" i="7"/>
  <c r="C204" i="7"/>
  <c r="B205" i="7" s="1"/>
  <c r="L203" i="7"/>
  <c r="C204" i="5" l="1"/>
  <c r="J204" i="5"/>
  <c r="H204" i="5"/>
  <c r="M204" i="5" s="1"/>
  <c r="K204" i="7"/>
  <c r="I204" i="7"/>
  <c r="O203" i="7"/>
  <c r="B205" i="5" l="1"/>
  <c r="K204" i="5"/>
  <c r="I204" i="5"/>
  <c r="N204" i="7"/>
  <c r="J204" i="7"/>
  <c r="L204" i="7"/>
  <c r="C205" i="7"/>
  <c r="B206" i="7" s="1"/>
  <c r="N204" i="5" l="1"/>
  <c r="C205" i="5"/>
  <c r="J205" i="5"/>
  <c r="H205" i="5"/>
  <c r="O204" i="7"/>
  <c r="K205" i="7"/>
  <c r="I205" i="7"/>
  <c r="N205" i="7" l="1"/>
  <c r="M205" i="5"/>
  <c r="B206" i="5"/>
  <c r="K205" i="5"/>
  <c r="I205" i="5"/>
  <c r="J205" i="7"/>
  <c r="C206" i="7"/>
  <c r="B207" i="7" s="1"/>
  <c r="L205" i="7"/>
  <c r="N205" i="5" l="1"/>
  <c r="C206" i="5"/>
  <c r="J206" i="5"/>
  <c r="H206" i="5"/>
  <c r="K206" i="7"/>
  <c r="I206" i="7"/>
  <c r="O205" i="7"/>
  <c r="M206" i="5" l="1"/>
  <c r="B207" i="5"/>
  <c r="K206" i="5"/>
  <c r="I206" i="5"/>
  <c r="N206" i="7"/>
  <c r="J206" i="7"/>
  <c r="C207" i="7"/>
  <c r="B208" i="7" s="1"/>
  <c r="L206" i="7"/>
  <c r="N206" i="5" l="1"/>
  <c r="C207" i="5"/>
  <c r="J207" i="5"/>
  <c r="H207" i="5"/>
  <c r="M207" i="5" s="1"/>
  <c r="K207" i="7"/>
  <c r="I207" i="7"/>
  <c r="O206" i="7"/>
  <c r="B208" i="5" l="1"/>
  <c r="K207" i="5"/>
  <c r="I207" i="5"/>
  <c r="N207" i="7"/>
  <c r="J207" i="7"/>
  <c r="C208" i="7"/>
  <c r="B209" i="7" s="1"/>
  <c r="L207" i="7"/>
  <c r="N207" i="5" l="1"/>
  <c r="C208" i="5"/>
  <c r="J208" i="5"/>
  <c r="H208" i="5"/>
  <c r="K208" i="7"/>
  <c r="I208" i="7"/>
  <c r="O207" i="7"/>
  <c r="M208" i="5" l="1"/>
  <c r="B209" i="5"/>
  <c r="K208" i="5"/>
  <c r="I208" i="5"/>
  <c r="N208" i="7"/>
  <c r="J208" i="7"/>
  <c r="L208" i="7"/>
  <c r="C209" i="7"/>
  <c r="B210" i="7" s="1"/>
  <c r="N208" i="5" l="1"/>
  <c r="C209" i="5"/>
  <c r="J209" i="5"/>
  <c r="H209" i="5"/>
  <c r="O208" i="7"/>
  <c r="K209" i="7"/>
  <c r="I209" i="7"/>
  <c r="M209" i="5" l="1"/>
  <c r="B210" i="5"/>
  <c r="K209" i="5"/>
  <c r="I209" i="5"/>
  <c r="N209" i="7"/>
  <c r="J209" i="7"/>
  <c r="L209" i="7"/>
  <c r="C210" i="7"/>
  <c r="B211" i="7" s="1"/>
  <c r="N209" i="5" l="1"/>
  <c r="C210" i="5"/>
  <c r="J210" i="5"/>
  <c r="H210" i="5"/>
  <c r="K210" i="7"/>
  <c r="I210" i="7"/>
  <c r="N210" i="7" s="1"/>
  <c r="O209" i="7"/>
  <c r="M210" i="5" l="1"/>
  <c r="B211" i="5"/>
  <c r="K210" i="5"/>
  <c r="I210" i="5"/>
  <c r="J210" i="7"/>
  <c r="C211" i="7"/>
  <c r="B212" i="7" s="1"/>
  <c r="L210" i="7"/>
  <c r="N210" i="5" l="1"/>
  <c r="C211" i="5"/>
  <c r="J211" i="5"/>
  <c r="H211" i="5"/>
  <c r="O210" i="7"/>
  <c r="K211" i="7"/>
  <c r="I211" i="7"/>
  <c r="N211" i="7" l="1"/>
  <c r="M211" i="5"/>
  <c r="B212" i="5"/>
  <c r="K211" i="5"/>
  <c r="I211" i="5"/>
  <c r="N211" i="5" s="1"/>
  <c r="J211" i="7"/>
  <c r="C212" i="7"/>
  <c r="B213" i="7" s="1"/>
  <c r="L211" i="7"/>
  <c r="C212" i="5" l="1"/>
  <c r="J212" i="5"/>
  <c r="H212" i="5"/>
  <c r="M212" i="5" s="1"/>
  <c r="O211" i="7"/>
  <c r="K212" i="7"/>
  <c r="I212" i="7"/>
  <c r="B213" i="5" l="1"/>
  <c r="K212" i="5"/>
  <c r="I212" i="5"/>
  <c r="N212" i="7"/>
  <c r="J212" i="7"/>
  <c r="L212" i="7"/>
  <c r="C213" i="7"/>
  <c r="B214" i="7" s="1"/>
  <c r="N212" i="5" l="1"/>
  <c r="C213" i="5"/>
  <c r="J213" i="5"/>
  <c r="H213" i="5"/>
  <c r="O212" i="7"/>
  <c r="K213" i="7"/>
  <c r="I213" i="7"/>
  <c r="M213" i="5" l="1"/>
  <c r="B214" i="5"/>
  <c r="K213" i="5"/>
  <c r="I213" i="5"/>
  <c r="N213" i="7"/>
  <c r="J213" i="7"/>
  <c r="C214" i="7"/>
  <c r="B215" i="7" s="1"/>
  <c r="L213" i="7"/>
  <c r="N213" i="5" l="1"/>
  <c r="C214" i="5"/>
  <c r="J214" i="5"/>
  <c r="H214" i="5"/>
  <c r="O213" i="7"/>
  <c r="K214" i="7"/>
  <c r="I214" i="7"/>
  <c r="M214" i="5" l="1"/>
  <c r="B215" i="5"/>
  <c r="K214" i="5"/>
  <c r="I214" i="5"/>
  <c r="N214" i="7"/>
  <c r="J214" i="7"/>
  <c r="C215" i="7"/>
  <c r="B216" i="7" s="1"/>
  <c r="L214" i="7"/>
  <c r="N214" i="5" l="1"/>
  <c r="C215" i="5"/>
  <c r="J215" i="5"/>
  <c r="H215" i="5"/>
  <c r="O214" i="7"/>
  <c r="K215" i="7"/>
  <c r="I215" i="7"/>
  <c r="M215" i="5" l="1"/>
  <c r="B216" i="5"/>
  <c r="K215" i="5"/>
  <c r="I215" i="5"/>
  <c r="N215" i="7"/>
  <c r="J215" i="7"/>
  <c r="C216" i="7"/>
  <c r="B217" i="7" s="1"/>
  <c r="L215" i="7"/>
  <c r="N215" i="5" l="1"/>
  <c r="C216" i="5"/>
  <c r="J216" i="5"/>
  <c r="H216" i="5"/>
  <c r="O215" i="7"/>
  <c r="K216" i="7"/>
  <c r="I216" i="7"/>
  <c r="M216" i="5" l="1"/>
  <c r="B217" i="5"/>
  <c r="K216" i="5"/>
  <c r="I216" i="5"/>
  <c r="N216" i="5" s="1"/>
  <c r="N216" i="7"/>
  <c r="J216" i="7"/>
  <c r="L216" i="7"/>
  <c r="C217" i="7"/>
  <c r="B218" i="7" s="1"/>
  <c r="C217" i="5" l="1"/>
  <c r="J217" i="5"/>
  <c r="H217" i="5"/>
  <c r="O216" i="7"/>
  <c r="K217" i="7"/>
  <c r="I217" i="7"/>
  <c r="N217" i="7" s="1"/>
  <c r="M217" i="5" l="1"/>
  <c r="B218" i="5"/>
  <c r="I217" i="5"/>
  <c r="K217" i="5"/>
  <c r="J217" i="7"/>
  <c r="C218" i="7"/>
  <c r="B219" i="7" s="1"/>
  <c r="L217" i="7"/>
  <c r="N217" i="5" l="1"/>
  <c r="C218" i="5"/>
  <c r="J218" i="5"/>
  <c r="H218" i="5"/>
  <c r="M218" i="5" s="1"/>
  <c r="O217" i="7"/>
  <c r="K218" i="7"/>
  <c r="I218" i="7"/>
  <c r="B219" i="5" l="1"/>
  <c r="K218" i="5"/>
  <c r="I218" i="5"/>
  <c r="N218" i="7"/>
  <c r="J218" i="7"/>
  <c r="C219" i="7"/>
  <c r="B220" i="7" s="1"/>
  <c r="L218" i="7"/>
  <c r="N218" i="5" l="1"/>
  <c r="C219" i="5"/>
  <c r="J219" i="5"/>
  <c r="H219" i="5"/>
  <c r="O218" i="7"/>
  <c r="K219" i="7"/>
  <c r="I219" i="7"/>
  <c r="M219" i="5" l="1"/>
  <c r="B220" i="5"/>
  <c r="K219" i="5"/>
  <c r="I219" i="5"/>
  <c r="N219" i="7"/>
  <c r="J219" i="7"/>
  <c r="C220" i="7"/>
  <c r="B221" i="7" s="1"/>
  <c r="L219" i="7"/>
  <c r="N219" i="5" l="1"/>
  <c r="C220" i="5"/>
  <c r="J220" i="5"/>
  <c r="H220" i="5"/>
  <c r="O219" i="7"/>
  <c r="K220" i="7"/>
  <c r="I220" i="7"/>
  <c r="M220" i="5" l="1"/>
  <c r="N220" i="7"/>
  <c r="B221" i="5"/>
  <c r="K220" i="5"/>
  <c r="I220" i="5"/>
  <c r="N220" i="5" s="1"/>
  <c r="J220" i="7"/>
  <c r="L220" i="7"/>
  <c r="C221" i="7"/>
  <c r="B222" i="7" s="1"/>
  <c r="O220" i="7" l="1"/>
  <c r="C221" i="5"/>
  <c r="J221" i="5"/>
  <c r="H221" i="5"/>
  <c r="M221" i="5" s="1"/>
  <c r="K221" i="7"/>
  <c r="I221" i="7"/>
  <c r="B222" i="5" l="1"/>
  <c r="K221" i="5"/>
  <c r="I221" i="5"/>
  <c r="N221" i="7"/>
  <c r="J221" i="7"/>
  <c r="C222" i="7"/>
  <c r="B223" i="7" s="1"/>
  <c r="L221" i="7"/>
  <c r="N221" i="5" l="1"/>
  <c r="C222" i="5"/>
  <c r="J222" i="5"/>
  <c r="H222" i="5"/>
  <c r="M222" i="5" s="1"/>
  <c r="O221" i="7"/>
  <c r="K222" i="7"/>
  <c r="I222" i="7"/>
  <c r="N222" i="7" l="1"/>
  <c r="B223" i="5"/>
  <c r="K222" i="5"/>
  <c r="I222" i="5"/>
  <c r="J222" i="7"/>
  <c r="C223" i="7"/>
  <c r="B224" i="7" s="1"/>
  <c r="L222" i="7"/>
  <c r="N222" i="5" l="1"/>
  <c r="C223" i="5"/>
  <c r="J223" i="5"/>
  <c r="H223" i="5"/>
  <c r="O222" i="7"/>
  <c r="K223" i="7"/>
  <c r="I223" i="7"/>
  <c r="N223" i="7" l="1"/>
  <c r="M223" i="5"/>
  <c r="B224" i="5"/>
  <c r="K223" i="5"/>
  <c r="I223" i="5"/>
  <c r="J223" i="7"/>
  <c r="C224" i="7"/>
  <c r="B225" i="7" s="1"/>
  <c r="L223" i="7"/>
  <c r="N223" i="5" l="1"/>
  <c r="C224" i="5"/>
  <c r="J224" i="5"/>
  <c r="H224" i="5"/>
  <c r="O223" i="7"/>
  <c r="K224" i="7"/>
  <c r="I224" i="7"/>
  <c r="M224" i="5" l="1"/>
  <c r="B225" i="5"/>
  <c r="K224" i="5"/>
  <c r="I224" i="5"/>
  <c r="N224" i="7"/>
  <c r="J224" i="7"/>
  <c r="L224" i="7"/>
  <c r="C225" i="7"/>
  <c r="B226" i="7" s="1"/>
  <c r="N224" i="5" l="1"/>
  <c r="C225" i="5"/>
  <c r="J225" i="5"/>
  <c r="H225" i="5"/>
  <c r="O224" i="7"/>
  <c r="K225" i="7"/>
  <c r="I225" i="7"/>
  <c r="M225" i="5" l="1"/>
  <c r="N225" i="7"/>
  <c r="B226" i="5"/>
  <c r="K225" i="5"/>
  <c r="I225" i="5"/>
  <c r="J225" i="7"/>
  <c r="C226" i="7"/>
  <c r="B227" i="7" s="1"/>
  <c r="L225" i="7"/>
  <c r="N225" i="5" l="1"/>
  <c r="C226" i="5"/>
  <c r="J226" i="5"/>
  <c r="H226" i="5"/>
  <c r="O225" i="7"/>
  <c r="K226" i="7"/>
  <c r="I226" i="7"/>
  <c r="M226" i="5" l="1"/>
  <c r="N226" i="7"/>
  <c r="B227" i="5"/>
  <c r="K226" i="5"/>
  <c r="I226" i="5"/>
  <c r="N226" i="5" s="1"/>
  <c r="J226" i="7"/>
  <c r="C227" i="7"/>
  <c r="B228" i="7" s="1"/>
  <c r="L226" i="7"/>
  <c r="C227" i="5" l="1"/>
  <c r="J227" i="5"/>
  <c r="H227" i="5"/>
  <c r="M227" i="5" s="1"/>
  <c r="O226" i="7"/>
  <c r="K227" i="7"/>
  <c r="I227" i="7"/>
  <c r="B228" i="5" l="1"/>
  <c r="K227" i="5"/>
  <c r="I227" i="5"/>
  <c r="N227" i="5" s="1"/>
  <c r="N227" i="7"/>
  <c r="J227" i="7"/>
  <c r="C228" i="7"/>
  <c r="B229" i="7" s="1"/>
  <c r="L227" i="7"/>
  <c r="C228" i="5" l="1"/>
  <c r="J228" i="5"/>
  <c r="H228" i="5"/>
  <c r="O227" i="7"/>
  <c r="K228" i="7"/>
  <c r="I228" i="7"/>
  <c r="N228" i="7" s="1"/>
  <c r="M228" i="5" l="1"/>
  <c r="B229" i="5"/>
  <c r="K228" i="5"/>
  <c r="I228" i="5"/>
  <c r="J228" i="7"/>
  <c r="L228" i="7"/>
  <c r="C229" i="7"/>
  <c r="B230" i="7" s="1"/>
  <c r="N228" i="5" l="1"/>
  <c r="C229" i="5"/>
  <c r="J229" i="5"/>
  <c r="H229" i="5"/>
  <c r="O228" i="7"/>
  <c r="K229" i="7"/>
  <c r="I229" i="7"/>
  <c r="M229" i="5" l="1"/>
  <c r="N229" i="7"/>
  <c r="B230" i="5"/>
  <c r="K229" i="5"/>
  <c r="I229" i="5"/>
  <c r="N229" i="5" s="1"/>
  <c r="J229" i="7"/>
  <c r="C230" i="7"/>
  <c r="B231" i="7" s="1"/>
  <c r="L229" i="7"/>
  <c r="C230" i="5" l="1"/>
  <c r="J230" i="5"/>
  <c r="H230" i="5"/>
  <c r="O229" i="7"/>
  <c r="K230" i="7"/>
  <c r="I230" i="7"/>
  <c r="N230" i="7" s="1"/>
  <c r="M230" i="5" l="1"/>
  <c r="B231" i="5"/>
  <c r="K230" i="5"/>
  <c r="I230" i="5"/>
  <c r="J230" i="7"/>
  <c r="C231" i="7"/>
  <c r="B232" i="7" s="1"/>
  <c r="L230" i="7"/>
  <c r="N230" i="5" l="1"/>
  <c r="C231" i="5"/>
  <c r="J231" i="5"/>
  <c r="H231" i="5"/>
  <c r="O230" i="7"/>
  <c r="K231" i="7"/>
  <c r="I231" i="7"/>
  <c r="N231" i="7" s="1"/>
  <c r="M231" i="5" l="1"/>
  <c r="B232" i="5"/>
  <c r="K231" i="5"/>
  <c r="I231" i="5"/>
  <c r="N231" i="5" s="1"/>
  <c r="J231" i="7"/>
  <c r="C232" i="7"/>
  <c r="B233" i="7" s="1"/>
  <c r="L231" i="7"/>
  <c r="C232" i="5" l="1"/>
  <c r="J232" i="5"/>
  <c r="H232" i="5"/>
  <c r="O231" i="7"/>
  <c r="K232" i="7"/>
  <c r="I232" i="7"/>
  <c r="N232" i="7" s="1"/>
  <c r="M232" i="5" l="1"/>
  <c r="B233" i="5"/>
  <c r="K232" i="5"/>
  <c r="I232" i="5"/>
  <c r="N232" i="5" s="1"/>
  <c r="J232" i="7"/>
  <c r="L232" i="7"/>
  <c r="C233" i="7"/>
  <c r="B234" i="7" s="1"/>
  <c r="C233" i="5" l="1"/>
  <c r="J233" i="5"/>
  <c r="H233" i="5"/>
  <c r="M233" i="5" s="1"/>
  <c r="O232" i="7"/>
  <c r="K233" i="7"/>
  <c r="I233" i="7"/>
  <c r="N233" i="7" s="1"/>
  <c r="B234" i="5" l="1"/>
  <c r="I233" i="5"/>
  <c r="K233" i="5"/>
  <c r="J233" i="7"/>
  <c r="C234" i="7"/>
  <c r="B235" i="7" s="1"/>
  <c r="L233" i="7"/>
  <c r="N233" i="5" l="1"/>
  <c r="C234" i="5"/>
  <c r="J234" i="5"/>
  <c r="H234" i="5"/>
  <c r="O233" i="7"/>
  <c r="K234" i="7"/>
  <c r="I234" i="7"/>
  <c r="M234" i="5" l="1"/>
  <c r="B235" i="5"/>
  <c r="K234" i="5"/>
  <c r="I234" i="5"/>
  <c r="N234" i="7"/>
  <c r="J234" i="7"/>
  <c r="C235" i="7"/>
  <c r="B236" i="7" s="1"/>
  <c r="L234" i="7"/>
  <c r="N234" i="5" l="1"/>
  <c r="C235" i="5"/>
  <c r="J235" i="5"/>
  <c r="H235" i="5"/>
  <c r="M235" i="5" s="1"/>
  <c r="K235" i="7"/>
  <c r="I235" i="7"/>
  <c r="N235" i="7" s="1"/>
  <c r="O234" i="7"/>
  <c r="B236" i="5" l="1"/>
  <c r="K235" i="5"/>
  <c r="I235" i="5"/>
  <c r="N235" i="5" s="1"/>
  <c r="J235" i="7"/>
  <c r="C236" i="7"/>
  <c r="B237" i="7" s="1"/>
  <c r="L235" i="7"/>
  <c r="C236" i="5" l="1"/>
  <c r="J236" i="5"/>
  <c r="H236" i="5"/>
  <c r="M236" i="5" s="1"/>
  <c r="K236" i="7"/>
  <c r="I236" i="7"/>
  <c r="O235" i="7"/>
  <c r="N236" i="7" l="1"/>
  <c r="B237" i="5"/>
  <c r="K236" i="5"/>
  <c r="I236" i="5"/>
  <c r="N236" i="5" s="1"/>
  <c r="J236" i="7"/>
  <c r="C237" i="7"/>
  <c r="B238" i="7" s="1"/>
  <c r="L236" i="7"/>
  <c r="C237" i="5" l="1"/>
  <c r="J237" i="5"/>
  <c r="H237" i="5"/>
  <c r="K237" i="7"/>
  <c r="I237" i="7"/>
  <c r="N237" i="7" s="1"/>
  <c r="O236" i="7"/>
  <c r="M237" i="5" l="1"/>
  <c r="B238" i="5"/>
  <c r="K237" i="5"/>
  <c r="I237" i="5"/>
  <c r="N237" i="5" s="1"/>
  <c r="J237" i="7"/>
  <c r="C238" i="7"/>
  <c r="B239" i="7" s="1"/>
  <c r="L237" i="7"/>
  <c r="C238" i="5" l="1"/>
  <c r="J238" i="5"/>
  <c r="H238" i="5"/>
  <c r="O237" i="7"/>
  <c r="K238" i="7"/>
  <c r="I238" i="7"/>
  <c r="M238" i="5" l="1"/>
  <c r="B239" i="5"/>
  <c r="K238" i="5"/>
  <c r="I238" i="5"/>
  <c r="N238" i="7"/>
  <c r="J238" i="7"/>
  <c r="C239" i="7"/>
  <c r="B240" i="7" s="1"/>
  <c r="L238" i="7"/>
  <c r="N238" i="5" l="1"/>
  <c r="C239" i="5"/>
  <c r="J239" i="5"/>
  <c r="H239" i="5"/>
  <c r="O238" i="7"/>
  <c r="K239" i="7"/>
  <c r="I239" i="7"/>
  <c r="N239" i="7" l="1"/>
  <c r="M239" i="5"/>
  <c r="B240" i="5"/>
  <c r="K239" i="5"/>
  <c r="I239" i="5"/>
  <c r="J239" i="7"/>
  <c r="C240" i="7"/>
  <c r="B241" i="7" s="1"/>
  <c r="L239" i="7"/>
  <c r="N239" i="5" l="1"/>
  <c r="C240" i="5"/>
  <c r="J240" i="5"/>
  <c r="H240" i="5"/>
  <c r="M240" i="5" s="1"/>
  <c r="K240" i="7"/>
  <c r="I240" i="7"/>
  <c r="O239" i="7"/>
  <c r="B241" i="5" l="1"/>
  <c r="K240" i="5"/>
  <c r="I240" i="5"/>
  <c r="N240" i="7"/>
  <c r="J240" i="7"/>
  <c r="L240" i="7"/>
  <c r="C241" i="7"/>
  <c r="B242" i="7" s="1"/>
  <c r="N240" i="5" l="1"/>
  <c r="C241" i="5"/>
  <c r="J241" i="5"/>
  <c r="H241" i="5"/>
  <c r="K241" i="7"/>
  <c r="I241" i="7"/>
  <c r="O240" i="7"/>
  <c r="M241" i="5" l="1"/>
  <c r="B242" i="5"/>
  <c r="K241" i="5"/>
  <c r="I241" i="5"/>
  <c r="N241" i="7"/>
  <c r="J241" i="7"/>
  <c r="C242" i="7"/>
  <c r="B243" i="7" s="1"/>
  <c r="L241" i="7"/>
  <c r="N241" i="5" l="1"/>
  <c r="C242" i="5"/>
  <c r="J242" i="5"/>
  <c r="H242" i="5"/>
  <c r="M242" i="5" s="1"/>
  <c r="O241" i="7"/>
  <c r="K242" i="7"/>
  <c r="I242" i="7"/>
  <c r="N242" i="7" l="1"/>
  <c r="B243" i="5"/>
  <c r="K242" i="5"/>
  <c r="I242" i="5"/>
  <c r="J242" i="7"/>
  <c r="C243" i="7"/>
  <c r="B244" i="7" s="1"/>
  <c r="L242" i="7"/>
  <c r="N242" i="5" l="1"/>
  <c r="C243" i="5"/>
  <c r="J243" i="5"/>
  <c r="H243" i="5"/>
  <c r="M243" i="5" s="1"/>
  <c r="K243" i="7"/>
  <c r="I243" i="7"/>
  <c r="N243" i="7" s="1"/>
  <c r="O242" i="7"/>
  <c r="B244" i="5" l="1"/>
  <c r="K243" i="5"/>
  <c r="I243" i="5"/>
  <c r="N243" i="5" s="1"/>
  <c r="J243" i="7"/>
  <c r="C244" i="7"/>
  <c r="B245" i="7" s="1"/>
  <c r="L243" i="7"/>
  <c r="C244" i="5" l="1"/>
  <c r="J244" i="5"/>
  <c r="H244" i="5"/>
  <c r="M244" i="5" s="1"/>
  <c r="K244" i="7"/>
  <c r="I244" i="7"/>
  <c r="O243" i="7"/>
  <c r="N244" i="7" l="1"/>
  <c r="B245" i="5"/>
  <c r="K244" i="5"/>
  <c r="I244" i="5"/>
  <c r="N244" i="5" s="1"/>
  <c r="J244" i="7"/>
  <c r="L244" i="7"/>
  <c r="C245" i="7"/>
  <c r="B246" i="7" s="1"/>
  <c r="C245" i="5" l="1"/>
  <c r="J245" i="5"/>
  <c r="H245" i="5"/>
  <c r="M245" i="5" s="1"/>
  <c r="O244" i="7"/>
  <c r="K245" i="7"/>
  <c r="I245" i="7"/>
  <c r="N245" i="7" l="1"/>
  <c r="B246" i="5"/>
  <c r="K245" i="5"/>
  <c r="I245" i="5"/>
  <c r="J245" i="7"/>
  <c r="C246" i="7"/>
  <c r="B247" i="7" s="1"/>
  <c r="L245" i="7"/>
  <c r="N245" i="5" l="1"/>
  <c r="C246" i="5"/>
  <c r="J246" i="5"/>
  <c r="H246" i="5"/>
  <c r="K246" i="7"/>
  <c r="I246" i="7"/>
  <c r="N246" i="7" s="1"/>
  <c r="O245" i="7"/>
  <c r="M246" i="5" l="1"/>
  <c r="B247" i="5"/>
  <c r="K246" i="5"/>
  <c r="I246" i="5"/>
  <c r="J246" i="7"/>
  <c r="C247" i="7"/>
  <c r="B248" i="7" s="1"/>
  <c r="L246" i="7"/>
  <c r="N246" i="5" l="1"/>
  <c r="C247" i="5"/>
  <c r="J247" i="5"/>
  <c r="H247" i="5"/>
  <c r="O246" i="7"/>
  <c r="K247" i="7"/>
  <c r="I247" i="7"/>
  <c r="M247" i="5" l="1"/>
  <c r="N247" i="7"/>
  <c r="B248" i="5"/>
  <c r="K247" i="5"/>
  <c r="I247" i="5"/>
  <c r="J247" i="7"/>
  <c r="C248" i="7"/>
  <c r="B249" i="7" s="1"/>
  <c r="L247" i="7"/>
  <c r="N247" i="5" l="1"/>
  <c r="C248" i="5"/>
  <c r="J248" i="5"/>
  <c r="H248" i="5"/>
  <c r="O247" i="7"/>
  <c r="K248" i="7"/>
  <c r="I248" i="7"/>
  <c r="N248" i="7" l="1"/>
  <c r="M248" i="5"/>
  <c r="B249" i="5"/>
  <c r="K248" i="5"/>
  <c r="I248" i="5"/>
  <c r="J248" i="7"/>
  <c r="C249" i="7"/>
  <c r="B250" i="7" s="1"/>
  <c r="L248" i="7"/>
  <c r="N248" i="5" l="1"/>
  <c r="C249" i="5"/>
  <c r="J249" i="5"/>
  <c r="H249" i="5"/>
  <c r="O248" i="7"/>
  <c r="K249" i="7"/>
  <c r="I249" i="7"/>
  <c r="M249" i="5" l="1"/>
  <c r="B250" i="5"/>
  <c r="K249" i="5"/>
  <c r="I249" i="5"/>
  <c r="N249" i="5" s="1"/>
  <c r="N249" i="7"/>
  <c r="J249" i="7"/>
  <c r="C250" i="7"/>
  <c r="B251" i="7" s="1"/>
  <c r="L249" i="7"/>
  <c r="C250" i="5" l="1"/>
  <c r="J250" i="5"/>
  <c r="H250" i="5"/>
  <c r="M250" i="5" s="1"/>
  <c r="O249" i="7"/>
  <c r="K250" i="7"/>
  <c r="I250" i="7"/>
  <c r="B251" i="5" l="1"/>
  <c r="K250" i="5"/>
  <c r="I250" i="5"/>
  <c r="N250" i="7"/>
  <c r="J250" i="7"/>
  <c r="C251" i="7"/>
  <c r="B252" i="7" s="1"/>
  <c r="L250" i="7"/>
  <c r="N250" i="5" l="1"/>
  <c r="C251" i="5"/>
  <c r="J251" i="5"/>
  <c r="H251" i="5"/>
  <c r="O250" i="7"/>
  <c r="K251" i="7"/>
  <c r="I251" i="7"/>
  <c r="N251" i="7" l="1"/>
  <c r="M251" i="5"/>
  <c r="B252" i="5"/>
  <c r="K251" i="5"/>
  <c r="I251" i="5"/>
  <c r="J251" i="7"/>
  <c r="C252" i="7"/>
  <c r="B253" i="7" s="1"/>
  <c r="L251" i="7"/>
  <c r="N251" i="5" l="1"/>
  <c r="C252" i="5"/>
  <c r="J252" i="5"/>
  <c r="H252" i="5"/>
  <c r="O251" i="7"/>
  <c r="K252" i="7"/>
  <c r="I252" i="7"/>
  <c r="M252" i="5" l="1"/>
  <c r="B253" i="5"/>
  <c r="K252" i="5"/>
  <c r="I252" i="5"/>
  <c r="J252" i="7"/>
  <c r="C253" i="7"/>
  <c r="B254" i="7" s="1"/>
  <c r="L252" i="7"/>
  <c r="N252" i="7"/>
  <c r="N252" i="5" l="1"/>
  <c r="C253" i="5"/>
  <c r="J253" i="5"/>
  <c r="H253" i="5"/>
  <c r="K253" i="7"/>
  <c r="I253" i="7"/>
  <c r="O252" i="7"/>
  <c r="M253" i="5" l="1"/>
  <c r="B254" i="5"/>
  <c r="K253" i="5"/>
  <c r="I253" i="5"/>
  <c r="N253" i="7"/>
  <c r="J253" i="7"/>
  <c r="C254" i="7"/>
  <c r="B255" i="7" s="1"/>
  <c r="L253" i="7"/>
  <c r="N253" i="5" l="1"/>
  <c r="C254" i="5"/>
  <c r="J254" i="5"/>
  <c r="H254" i="5"/>
  <c r="O253" i="7"/>
  <c r="K254" i="7"/>
  <c r="I254" i="7"/>
  <c r="M254" i="5" l="1"/>
  <c r="N254" i="7"/>
  <c r="B255" i="5"/>
  <c r="K254" i="5"/>
  <c r="I254" i="5"/>
  <c r="N254" i="5" s="1"/>
  <c r="J254" i="7"/>
  <c r="C255" i="7"/>
  <c r="B256" i="7" s="1"/>
  <c r="L254" i="7"/>
  <c r="C255" i="5" l="1"/>
  <c r="J255" i="5"/>
  <c r="H255" i="5"/>
  <c r="O254" i="7"/>
  <c r="K255" i="7"/>
  <c r="I255" i="7"/>
  <c r="M255" i="5" l="1"/>
  <c r="B256" i="5"/>
  <c r="K255" i="5"/>
  <c r="I255" i="5"/>
  <c r="N255" i="7"/>
  <c r="J255" i="7"/>
  <c r="C256" i="7"/>
  <c r="B257" i="7" s="1"/>
  <c r="L255" i="7"/>
  <c r="N255" i="5" l="1"/>
  <c r="C256" i="5"/>
  <c r="J256" i="5"/>
  <c r="H256" i="5"/>
  <c r="O255" i="7"/>
  <c r="K256" i="7"/>
  <c r="I256" i="7"/>
  <c r="M256" i="5" l="1"/>
  <c r="B257" i="5"/>
  <c r="K256" i="5"/>
  <c r="I256" i="5"/>
  <c r="N256" i="7"/>
  <c r="J256" i="7"/>
  <c r="L256" i="7"/>
  <c r="C257" i="7"/>
  <c r="B258" i="7" s="1"/>
  <c r="N256" i="5" l="1"/>
  <c r="C257" i="5"/>
  <c r="J257" i="5"/>
  <c r="H257" i="5"/>
  <c r="O256" i="7"/>
  <c r="K257" i="7"/>
  <c r="I257" i="7"/>
  <c r="M257" i="5" l="1"/>
  <c r="B258" i="5"/>
  <c r="K257" i="5"/>
  <c r="I257" i="5"/>
  <c r="N257" i="7"/>
  <c r="J257" i="7"/>
  <c r="C258" i="7"/>
  <c r="B259" i="7" s="1"/>
  <c r="L257" i="7"/>
  <c r="N257" i="5" l="1"/>
  <c r="C258" i="5"/>
  <c r="J258" i="5"/>
  <c r="H258" i="5"/>
  <c r="O257" i="7"/>
  <c r="K258" i="7"/>
  <c r="I258" i="7"/>
  <c r="M258" i="5" l="1"/>
  <c r="B259" i="5"/>
  <c r="K258" i="5"/>
  <c r="I258" i="5"/>
  <c r="N258" i="7"/>
  <c r="J258" i="7"/>
  <c r="C259" i="7"/>
  <c r="B260" i="7" s="1"/>
  <c r="L258" i="7"/>
  <c r="N258" i="5" l="1"/>
  <c r="C259" i="5"/>
  <c r="J259" i="5"/>
  <c r="H259" i="5"/>
  <c r="O258" i="7"/>
  <c r="K259" i="7"/>
  <c r="I259" i="7"/>
  <c r="M259" i="5" l="1"/>
  <c r="B260" i="5"/>
  <c r="K259" i="5"/>
  <c r="I259" i="5"/>
  <c r="N259" i="7"/>
  <c r="J259" i="7"/>
  <c r="C260" i="7"/>
  <c r="B261" i="7" s="1"/>
  <c r="L259" i="7"/>
  <c r="N259" i="5" l="1"/>
  <c r="C260" i="5"/>
  <c r="J260" i="5"/>
  <c r="H260" i="5"/>
  <c r="O259" i="7"/>
  <c r="K260" i="7"/>
  <c r="I260" i="7"/>
  <c r="M260" i="5" l="1"/>
  <c r="B261" i="5"/>
  <c r="K260" i="5"/>
  <c r="I260" i="5"/>
  <c r="J260" i="7"/>
  <c r="L260" i="7"/>
  <c r="C261" i="7"/>
  <c r="B262" i="7" s="1"/>
  <c r="N260" i="7"/>
  <c r="N260" i="5" l="1"/>
  <c r="C261" i="5"/>
  <c r="J261" i="5"/>
  <c r="H261" i="5"/>
  <c r="O260" i="7"/>
  <c r="K261" i="7"/>
  <c r="I261" i="7"/>
  <c r="M261" i="5" l="1"/>
  <c r="N261" i="7"/>
  <c r="B262" i="5"/>
  <c r="K261" i="5"/>
  <c r="I261" i="5"/>
  <c r="N261" i="5" s="1"/>
  <c r="J261" i="7"/>
  <c r="L261" i="7"/>
  <c r="C262" i="7"/>
  <c r="B263" i="7" s="1"/>
  <c r="C262" i="5" l="1"/>
  <c r="J262" i="5"/>
  <c r="H262" i="5"/>
  <c r="M262" i="5" s="1"/>
  <c r="O261" i="7"/>
  <c r="K262" i="7"/>
  <c r="I262" i="7"/>
  <c r="N262" i="7" l="1"/>
  <c r="B263" i="5"/>
  <c r="K262" i="5"/>
  <c r="I262" i="5"/>
  <c r="J262" i="7"/>
  <c r="L262" i="7"/>
  <c r="C263" i="7"/>
  <c r="B264" i="7" s="1"/>
  <c r="N262" i="5" l="1"/>
  <c r="C263" i="5"/>
  <c r="J263" i="5"/>
  <c r="H263" i="5"/>
  <c r="O262" i="7"/>
  <c r="K263" i="7"/>
  <c r="I263" i="7"/>
  <c r="M263" i="5" l="1"/>
  <c r="B264" i="5"/>
  <c r="K263" i="5"/>
  <c r="I263" i="5"/>
  <c r="N263" i="7"/>
  <c r="J263" i="7"/>
  <c r="C264" i="7"/>
  <c r="B265" i="7" s="1"/>
  <c r="L263" i="7"/>
  <c r="N263" i="5" l="1"/>
  <c r="C264" i="5"/>
  <c r="J264" i="5"/>
  <c r="H264" i="5"/>
  <c r="K264" i="7"/>
  <c r="I264" i="7"/>
  <c r="O263" i="7"/>
  <c r="M264" i="5" l="1"/>
  <c r="B265" i="5"/>
  <c r="K264" i="5"/>
  <c r="I264" i="5"/>
  <c r="N264" i="7"/>
  <c r="J264" i="7"/>
  <c r="C265" i="7"/>
  <c r="B266" i="7" s="1"/>
  <c r="L264" i="7"/>
  <c r="N264" i="5" l="1"/>
  <c r="C265" i="5"/>
  <c r="J265" i="5"/>
  <c r="H265" i="5"/>
  <c r="O264" i="7"/>
  <c r="K265" i="7"/>
  <c r="I265" i="7"/>
  <c r="M265" i="5" l="1"/>
  <c r="B266" i="5"/>
  <c r="I265" i="5"/>
  <c r="K265" i="5"/>
  <c r="N265" i="7"/>
  <c r="J265" i="7"/>
  <c r="L265" i="7"/>
  <c r="C266" i="7"/>
  <c r="B267" i="7" s="1"/>
  <c r="N265" i="5" l="1"/>
  <c r="C266" i="5"/>
  <c r="J266" i="5"/>
  <c r="H266" i="5"/>
  <c r="M266" i="5" s="1"/>
  <c r="O265" i="7"/>
  <c r="K266" i="7"/>
  <c r="I266" i="7"/>
  <c r="N266" i="7" l="1"/>
  <c r="B267" i="5"/>
  <c r="K266" i="5"/>
  <c r="I266" i="5"/>
  <c r="J266" i="7"/>
  <c r="C267" i="7"/>
  <c r="B268" i="7" s="1"/>
  <c r="L266" i="7"/>
  <c r="N266" i="5" l="1"/>
  <c r="C267" i="5"/>
  <c r="J267" i="5"/>
  <c r="H267" i="5"/>
  <c r="O266" i="7"/>
  <c r="K267" i="7"/>
  <c r="I267" i="7"/>
  <c r="N267" i="7" s="1"/>
  <c r="M267" i="5" l="1"/>
  <c r="B268" i="5"/>
  <c r="K267" i="5"/>
  <c r="I267" i="5"/>
  <c r="J267" i="7"/>
  <c r="C268" i="7"/>
  <c r="B269" i="7" s="1"/>
  <c r="L267" i="7"/>
  <c r="N267" i="5" l="1"/>
  <c r="C268" i="5"/>
  <c r="J268" i="5"/>
  <c r="H268" i="5"/>
  <c r="O267" i="7"/>
  <c r="K268" i="7"/>
  <c r="I268" i="7"/>
  <c r="M268" i="5" l="1"/>
  <c r="B269" i="5"/>
  <c r="K268" i="5"/>
  <c r="I268" i="5"/>
  <c r="N268" i="7"/>
  <c r="J268" i="7"/>
  <c r="C269" i="7"/>
  <c r="B270" i="7" s="1"/>
  <c r="L268" i="7"/>
  <c r="N268" i="5" l="1"/>
  <c r="C269" i="5"/>
  <c r="J269" i="5"/>
  <c r="H269" i="5"/>
  <c r="O268" i="7"/>
  <c r="K269" i="7"/>
  <c r="I269" i="7"/>
  <c r="M269" i="5" l="1"/>
  <c r="B270" i="5"/>
  <c r="K269" i="5"/>
  <c r="I269" i="5"/>
  <c r="N269" i="7"/>
  <c r="J269" i="7"/>
  <c r="L269" i="7"/>
  <c r="C270" i="7"/>
  <c r="B271" i="7" s="1"/>
  <c r="N269" i="5" l="1"/>
  <c r="C270" i="5"/>
  <c r="J270" i="5"/>
  <c r="H270" i="5"/>
  <c r="O269" i="7"/>
  <c r="K270" i="7"/>
  <c r="I270" i="7"/>
  <c r="M270" i="5" l="1"/>
  <c r="B271" i="5"/>
  <c r="K270" i="5"/>
  <c r="I270" i="5"/>
  <c r="N270" i="5" s="1"/>
  <c r="N270" i="7"/>
  <c r="J270" i="7"/>
  <c r="L270" i="7"/>
  <c r="C271" i="7"/>
  <c r="B272" i="7" s="1"/>
  <c r="C271" i="5" l="1"/>
  <c r="J271" i="5"/>
  <c r="H271" i="5"/>
  <c r="O270" i="7"/>
  <c r="K271" i="7"/>
  <c r="I271" i="7"/>
  <c r="N271" i="7" s="1"/>
  <c r="M271" i="5" l="1"/>
  <c r="B272" i="5"/>
  <c r="K271" i="5"/>
  <c r="I271" i="5"/>
  <c r="J271" i="7"/>
  <c r="C272" i="7"/>
  <c r="B273" i="7" s="1"/>
  <c r="L271" i="7"/>
  <c r="N271" i="5" l="1"/>
  <c r="C272" i="5"/>
  <c r="J272" i="5"/>
  <c r="H272" i="5"/>
  <c r="O271" i="7"/>
  <c r="K272" i="7"/>
  <c r="I272" i="7"/>
  <c r="M272" i="5" l="1"/>
  <c r="B273" i="5"/>
  <c r="K272" i="5"/>
  <c r="I272" i="5"/>
  <c r="N272" i="7"/>
  <c r="J272" i="7"/>
  <c r="C273" i="7"/>
  <c r="B274" i="7" s="1"/>
  <c r="L272" i="7"/>
  <c r="N272" i="5" l="1"/>
  <c r="C273" i="5"/>
  <c r="J273" i="5"/>
  <c r="H273" i="5"/>
  <c r="O272" i="7"/>
  <c r="K273" i="7"/>
  <c r="I273" i="7"/>
  <c r="M273" i="5" l="1"/>
  <c r="B274" i="5"/>
  <c r="K273" i="5"/>
  <c r="I273" i="5"/>
  <c r="N273" i="7"/>
  <c r="J273" i="7"/>
  <c r="L273" i="7"/>
  <c r="C274" i="7"/>
  <c r="B275" i="7" s="1"/>
  <c r="N273" i="5" l="1"/>
  <c r="C274" i="5"/>
  <c r="J274" i="5"/>
  <c r="H274" i="5"/>
  <c r="O273" i="7"/>
  <c r="K274" i="7"/>
  <c r="I274" i="7"/>
  <c r="M274" i="5" l="1"/>
  <c r="N274" i="7"/>
  <c r="B275" i="5"/>
  <c r="K274" i="5"/>
  <c r="I274" i="5"/>
  <c r="N274" i="5" s="1"/>
  <c r="J274" i="7"/>
  <c r="C275" i="7"/>
  <c r="B276" i="7" s="1"/>
  <c r="L274" i="7"/>
  <c r="C275" i="5" l="1"/>
  <c r="J275" i="5"/>
  <c r="H275" i="5"/>
  <c r="M275" i="5" s="1"/>
  <c r="O274" i="7"/>
  <c r="K275" i="7"/>
  <c r="I275" i="7"/>
  <c r="N275" i="7" s="1"/>
  <c r="B276" i="5" l="1"/>
  <c r="K275" i="5"/>
  <c r="I275" i="5"/>
  <c r="J275" i="7"/>
  <c r="C276" i="7"/>
  <c r="B277" i="7" s="1"/>
  <c r="L275" i="7"/>
  <c r="N275" i="5" l="1"/>
  <c r="C276" i="5"/>
  <c r="J276" i="5"/>
  <c r="H276" i="5"/>
  <c r="O275" i="7"/>
  <c r="K276" i="7"/>
  <c r="I276" i="7"/>
  <c r="M276" i="5" l="1"/>
  <c r="B277" i="5"/>
  <c r="K276" i="5"/>
  <c r="I276" i="5"/>
  <c r="N276" i="7"/>
  <c r="J276" i="7"/>
  <c r="L276" i="7"/>
  <c r="C277" i="7"/>
  <c r="B278" i="7" s="1"/>
  <c r="N276" i="5" l="1"/>
  <c r="C277" i="5"/>
  <c r="J277" i="5"/>
  <c r="H277" i="5"/>
  <c r="O276" i="7"/>
  <c r="K277" i="7"/>
  <c r="I277" i="7"/>
  <c r="M277" i="5" l="1"/>
  <c r="B278" i="5"/>
  <c r="K277" i="5"/>
  <c r="I277" i="5"/>
  <c r="N277" i="5" s="1"/>
  <c r="N277" i="7"/>
  <c r="J277" i="7"/>
  <c r="C278" i="7"/>
  <c r="B279" i="7" s="1"/>
  <c r="L277" i="7"/>
  <c r="C278" i="5" l="1"/>
  <c r="J278" i="5"/>
  <c r="H278" i="5"/>
  <c r="M278" i="5" s="1"/>
  <c r="O277" i="7"/>
  <c r="K278" i="7"/>
  <c r="I278" i="7"/>
  <c r="B279" i="5" l="1"/>
  <c r="K278" i="5"/>
  <c r="I278" i="5"/>
  <c r="N278" i="5" s="1"/>
  <c r="J278" i="7"/>
  <c r="C279" i="7"/>
  <c r="B280" i="7" s="1"/>
  <c r="L278" i="7"/>
  <c r="N278" i="7"/>
  <c r="C279" i="5" l="1"/>
  <c r="J279" i="5"/>
  <c r="H279" i="5"/>
  <c r="O278" i="7"/>
  <c r="K279" i="7"/>
  <c r="I279" i="7"/>
  <c r="M279" i="5" l="1"/>
  <c r="B280" i="5"/>
  <c r="K279" i="5"/>
  <c r="I279" i="5"/>
  <c r="J279" i="7"/>
  <c r="C280" i="7"/>
  <c r="B281" i="7" s="1"/>
  <c r="L279" i="7"/>
  <c r="N279" i="7"/>
  <c r="N279" i="5" l="1"/>
  <c r="C280" i="5"/>
  <c r="J280" i="5"/>
  <c r="H280" i="5"/>
  <c r="O279" i="7"/>
  <c r="K280" i="7"/>
  <c r="I280" i="7"/>
  <c r="M280" i="5" l="1"/>
  <c r="B281" i="5"/>
  <c r="K280" i="5"/>
  <c r="I280" i="5"/>
  <c r="N280" i="5" s="1"/>
  <c r="J280" i="7"/>
  <c r="C281" i="7"/>
  <c r="B282" i="7" s="1"/>
  <c r="L280" i="7"/>
  <c r="N280" i="7"/>
  <c r="C281" i="5" l="1"/>
  <c r="J281" i="5"/>
  <c r="H281" i="5"/>
  <c r="M281" i="5" s="1"/>
  <c r="O280" i="7"/>
  <c r="K281" i="7"/>
  <c r="I281" i="7"/>
  <c r="B282" i="5" l="1"/>
  <c r="I281" i="5"/>
  <c r="K281" i="5"/>
  <c r="J281" i="7"/>
  <c r="C282" i="7"/>
  <c r="B283" i="7" s="1"/>
  <c r="L281" i="7"/>
  <c r="N281" i="7"/>
  <c r="N281" i="5" l="1"/>
  <c r="C282" i="5"/>
  <c r="J282" i="5"/>
  <c r="H282" i="5"/>
  <c r="O281" i="7"/>
  <c r="K282" i="7"/>
  <c r="I282" i="7"/>
  <c r="M282" i="5" l="1"/>
  <c r="N282" i="7"/>
  <c r="B283" i="5"/>
  <c r="K282" i="5"/>
  <c r="I282" i="5"/>
  <c r="J282" i="7"/>
  <c r="C283" i="7"/>
  <c r="B284" i="7" s="1"/>
  <c r="L282" i="7"/>
  <c r="N282" i="5" l="1"/>
  <c r="C283" i="5"/>
  <c r="J283" i="5"/>
  <c r="H283" i="5"/>
  <c r="O282" i="7"/>
  <c r="K283" i="7"/>
  <c r="I283" i="7"/>
  <c r="N283" i="7" s="1"/>
  <c r="M283" i="5" l="1"/>
  <c r="B284" i="5"/>
  <c r="K283" i="5"/>
  <c r="I283" i="5"/>
  <c r="J283" i="7"/>
  <c r="C284" i="7"/>
  <c r="B285" i="7" s="1"/>
  <c r="L283" i="7"/>
  <c r="N283" i="5" l="1"/>
  <c r="C284" i="5"/>
  <c r="J284" i="5"/>
  <c r="H284" i="5"/>
  <c r="M284" i="5" s="1"/>
  <c r="K284" i="7"/>
  <c r="I284" i="7"/>
  <c r="O283" i="7"/>
  <c r="B285" i="5" l="1"/>
  <c r="K284" i="5"/>
  <c r="I284" i="5"/>
  <c r="N284" i="7"/>
  <c r="J284" i="7"/>
  <c r="C285" i="7"/>
  <c r="B286" i="7" s="1"/>
  <c r="L284" i="7"/>
  <c r="N284" i="5" l="1"/>
  <c r="C285" i="5"/>
  <c r="J285" i="5"/>
  <c r="H285" i="5"/>
  <c r="O284" i="7"/>
  <c r="K285" i="7"/>
  <c r="I285" i="7"/>
  <c r="M285" i="5" l="1"/>
  <c r="N285" i="7"/>
  <c r="B286" i="5"/>
  <c r="K285" i="5"/>
  <c r="I285" i="5"/>
  <c r="N285" i="5" s="1"/>
  <c r="J285" i="7"/>
  <c r="C286" i="7"/>
  <c r="B287" i="7" s="1"/>
  <c r="L285" i="7"/>
  <c r="C286" i="5" l="1"/>
  <c r="J286" i="5"/>
  <c r="H286" i="5"/>
  <c r="O285" i="7"/>
  <c r="K286" i="7"/>
  <c r="I286" i="7"/>
  <c r="M286" i="5" l="1"/>
  <c r="N286" i="7"/>
  <c r="B287" i="5"/>
  <c r="K286" i="5"/>
  <c r="I286" i="5"/>
  <c r="N286" i="5" s="1"/>
  <c r="J286" i="7"/>
  <c r="C287" i="7"/>
  <c r="B288" i="7" s="1"/>
  <c r="L286" i="7"/>
  <c r="C287" i="5" l="1"/>
  <c r="J287" i="5"/>
  <c r="H287" i="5"/>
  <c r="M287" i="5" s="1"/>
  <c r="O286" i="7"/>
  <c r="K287" i="7"/>
  <c r="I287" i="7"/>
  <c r="N287" i="7" s="1"/>
  <c r="B288" i="5" l="1"/>
  <c r="K287" i="5"/>
  <c r="I287" i="5"/>
  <c r="N287" i="5" s="1"/>
  <c r="J287" i="7"/>
  <c r="C288" i="7"/>
  <c r="B289" i="7" s="1"/>
  <c r="L287" i="7"/>
  <c r="C288" i="5" l="1"/>
  <c r="J288" i="5"/>
  <c r="H288" i="5"/>
  <c r="M288" i="5" s="1"/>
  <c r="O287" i="7"/>
  <c r="K288" i="7"/>
  <c r="I288" i="7"/>
  <c r="N288" i="7" s="1"/>
  <c r="B289" i="5" l="1"/>
  <c r="K288" i="5"/>
  <c r="I288" i="5"/>
  <c r="N288" i="5" s="1"/>
  <c r="J288" i="7"/>
  <c r="C289" i="7"/>
  <c r="B290" i="7" s="1"/>
  <c r="L288" i="7"/>
  <c r="C289" i="5" l="1"/>
  <c r="J289" i="5"/>
  <c r="H289" i="5"/>
  <c r="O288" i="7"/>
  <c r="K289" i="7"/>
  <c r="I289" i="7"/>
  <c r="N289" i="7" s="1"/>
  <c r="M289" i="5" l="1"/>
  <c r="B290" i="5"/>
  <c r="K289" i="5"/>
  <c r="I289" i="5"/>
  <c r="J289" i="7"/>
  <c r="C290" i="7"/>
  <c r="B291" i="7" s="1"/>
  <c r="L289" i="7"/>
  <c r="N289" i="5" l="1"/>
  <c r="C290" i="5"/>
  <c r="J290" i="5"/>
  <c r="H290" i="5"/>
  <c r="O289" i="7"/>
  <c r="K290" i="7"/>
  <c r="I290" i="7"/>
  <c r="M290" i="5" l="1"/>
  <c r="N290" i="7"/>
  <c r="B291" i="5"/>
  <c r="K290" i="5"/>
  <c r="I290" i="5"/>
  <c r="N290" i="5" s="1"/>
  <c r="J290" i="7"/>
  <c r="C291" i="7"/>
  <c r="B292" i="7" s="1"/>
  <c r="L290" i="7"/>
  <c r="C291" i="5" l="1"/>
  <c r="J291" i="5"/>
  <c r="H291" i="5"/>
  <c r="O290" i="7"/>
  <c r="K291" i="7"/>
  <c r="I291" i="7"/>
  <c r="M291" i="5" l="1"/>
  <c r="B292" i="5"/>
  <c r="K291" i="5"/>
  <c r="I291" i="5"/>
  <c r="N291" i="7"/>
  <c r="J291" i="7"/>
  <c r="C292" i="7"/>
  <c r="B293" i="7" s="1"/>
  <c r="L291" i="7"/>
  <c r="N291" i="5" l="1"/>
  <c r="C292" i="5"/>
  <c r="J292" i="5"/>
  <c r="H292" i="5"/>
  <c r="O291" i="7"/>
  <c r="K292" i="7"/>
  <c r="I292" i="7"/>
  <c r="M292" i="5" l="1"/>
  <c r="B293" i="5"/>
  <c r="K292" i="5"/>
  <c r="I292" i="5"/>
  <c r="N292" i="5" s="1"/>
  <c r="N292" i="7"/>
  <c r="J292" i="7"/>
  <c r="C293" i="7"/>
  <c r="B294" i="7" s="1"/>
  <c r="L292" i="7"/>
  <c r="C293" i="5" l="1"/>
  <c r="J293" i="5"/>
  <c r="H293" i="5"/>
  <c r="O292" i="7"/>
  <c r="K293" i="7"/>
  <c r="I293" i="7"/>
  <c r="M293" i="5" l="1"/>
  <c r="B294" i="5"/>
  <c r="K293" i="5"/>
  <c r="I293" i="5"/>
  <c r="N293" i="5" s="1"/>
  <c r="J293" i="7"/>
  <c r="C294" i="7"/>
  <c r="B295" i="7" s="1"/>
  <c r="L293" i="7"/>
  <c r="N293" i="7"/>
  <c r="C294" i="5" l="1"/>
  <c r="J294" i="5"/>
  <c r="H294" i="5"/>
  <c r="M294" i="5" s="1"/>
  <c r="O293" i="7"/>
  <c r="K294" i="7"/>
  <c r="I294" i="7"/>
  <c r="B295" i="5" l="1"/>
  <c r="K294" i="5"/>
  <c r="I294" i="5"/>
  <c r="J294" i="7"/>
  <c r="C295" i="7"/>
  <c r="B296" i="7" s="1"/>
  <c r="L294" i="7"/>
  <c r="N294" i="7"/>
  <c r="N294" i="5" l="1"/>
  <c r="C295" i="5"/>
  <c r="J295" i="5"/>
  <c r="H295" i="5"/>
  <c r="O294" i="7"/>
  <c r="K295" i="7"/>
  <c r="I295" i="7"/>
  <c r="M295" i="5" l="1"/>
  <c r="B296" i="5"/>
  <c r="K295" i="5"/>
  <c r="I295" i="5"/>
  <c r="N295" i="5" s="1"/>
  <c r="J295" i="7"/>
  <c r="C296" i="7"/>
  <c r="B297" i="7" s="1"/>
  <c r="L295" i="7"/>
  <c r="N295" i="7"/>
  <c r="C296" i="5" l="1"/>
  <c r="J296" i="5"/>
  <c r="H296" i="5"/>
  <c r="O295" i="7"/>
  <c r="K296" i="7"/>
  <c r="I296" i="7"/>
  <c r="N296" i="7" s="1"/>
  <c r="M296" i="5" l="1"/>
  <c r="B297" i="5"/>
  <c r="K296" i="5"/>
  <c r="I296" i="5"/>
  <c r="J296" i="7"/>
  <c r="C297" i="7"/>
  <c r="B298" i="7" s="1"/>
  <c r="L296" i="7"/>
  <c r="N296" i="5" l="1"/>
  <c r="C297" i="5"/>
  <c r="J297" i="5"/>
  <c r="H297" i="5"/>
  <c r="O296" i="7"/>
  <c r="K297" i="7"/>
  <c r="I297" i="7"/>
  <c r="M297" i="5" l="1"/>
  <c r="B298" i="5"/>
  <c r="I297" i="5"/>
  <c r="K297" i="5"/>
  <c r="N297" i="7"/>
  <c r="J297" i="7"/>
  <c r="C298" i="7"/>
  <c r="B299" i="7" s="1"/>
  <c r="L297" i="7"/>
  <c r="N297" i="5" l="1"/>
  <c r="C298" i="5"/>
  <c r="J298" i="5"/>
  <c r="H298" i="5"/>
  <c r="O297" i="7"/>
  <c r="K298" i="7"/>
  <c r="I298" i="7"/>
  <c r="N298" i="7" l="1"/>
  <c r="M298" i="5"/>
  <c r="B299" i="5"/>
  <c r="K298" i="5"/>
  <c r="I298" i="5"/>
  <c r="J298" i="7"/>
  <c r="C299" i="7"/>
  <c r="B300" i="7" s="1"/>
  <c r="L298" i="7"/>
  <c r="N298" i="5" l="1"/>
  <c r="C299" i="5"/>
  <c r="J299" i="5"/>
  <c r="H299" i="5"/>
  <c r="O298" i="7"/>
  <c r="K299" i="7"/>
  <c r="I299" i="7"/>
  <c r="M299" i="5" l="1"/>
  <c r="B300" i="5"/>
  <c r="K299" i="5"/>
  <c r="I299" i="5"/>
  <c r="N299" i="7"/>
  <c r="J299" i="7"/>
  <c r="C300" i="7"/>
  <c r="B301" i="7" s="1"/>
  <c r="L299" i="7"/>
  <c r="N299" i="5" l="1"/>
  <c r="C300" i="5"/>
  <c r="J300" i="5"/>
  <c r="H300" i="5"/>
  <c r="O299" i="7"/>
  <c r="K300" i="7"/>
  <c r="I300" i="7"/>
  <c r="M300" i="5" l="1"/>
  <c r="B301" i="5"/>
  <c r="K300" i="5"/>
  <c r="I300" i="5"/>
  <c r="N300" i="7"/>
  <c r="J300" i="7"/>
  <c r="C301" i="7"/>
  <c r="B302" i="7" s="1"/>
  <c r="L300" i="7"/>
  <c r="N300" i="5" l="1"/>
  <c r="C301" i="5"/>
  <c r="J301" i="5"/>
  <c r="H301" i="5"/>
  <c r="O300" i="7"/>
  <c r="K301" i="7"/>
  <c r="I301" i="7"/>
  <c r="M301" i="5" l="1"/>
  <c r="B302" i="5"/>
  <c r="K301" i="5"/>
  <c r="I301" i="5"/>
  <c r="N301" i="7"/>
  <c r="J301" i="7"/>
  <c r="C302" i="7"/>
  <c r="B303" i="7" s="1"/>
  <c r="L301" i="7"/>
  <c r="N301" i="5" l="1"/>
  <c r="C302" i="5"/>
  <c r="J302" i="5"/>
  <c r="H302" i="5"/>
  <c r="O301" i="7"/>
  <c r="K302" i="7"/>
  <c r="I302" i="7"/>
  <c r="M302" i="5" l="1"/>
  <c r="B303" i="5"/>
  <c r="K302" i="5"/>
  <c r="I302" i="5"/>
  <c r="N302" i="7"/>
  <c r="J302" i="7"/>
  <c r="C303" i="7"/>
  <c r="B304" i="7" s="1"/>
  <c r="L302" i="7"/>
  <c r="N302" i="5" l="1"/>
  <c r="O302" i="7"/>
  <c r="C303" i="5"/>
  <c r="J303" i="5"/>
  <c r="H303" i="5"/>
  <c r="K303" i="7"/>
  <c r="I303" i="7"/>
  <c r="N303" i="7" l="1"/>
  <c r="M303" i="5"/>
  <c r="B304" i="5"/>
  <c r="K303" i="5"/>
  <c r="I303" i="5"/>
  <c r="J303" i="7"/>
  <c r="C304" i="7"/>
  <c r="B305" i="7" s="1"/>
  <c r="L303" i="7"/>
  <c r="N303" i="5" l="1"/>
  <c r="C304" i="5"/>
  <c r="J304" i="5"/>
  <c r="H304" i="5"/>
  <c r="K304" i="7"/>
  <c r="I304" i="7"/>
  <c r="N304" i="7" s="1"/>
  <c r="O303" i="7"/>
  <c r="M304" i="5" l="1"/>
  <c r="B305" i="5"/>
  <c r="K304" i="5"/>
  <c r="I304" i="5"/>
  <c r="J304" i="7"/>
  <c r="C305" i="7"/>
  <c r="B306" i="7" s="1"/>
  <c r="L304" i="7"/>
  <c r="N304" i="5" l="1"/>
  <c r="C305" i="5"/>
  <c r="J305" i="5"/>
  <c r="H305" i="5"/>
  <c r="M305" i="5" s="1"/>
  <c r="K305" i="7"/>
  <c r="I305" i="7"/>
  <c r="N305" i="7" s="1"/>
  <c r="O304" i="7"/>
  <c r="B306" i="5" l="1"/>
  <c r="K305" i="5"/>
  <c r="I305" i="5"/>
  <c r="J305" i="7"/>
  <c r="C306" i="7"/>
  <c r="B307" i="7" s="1"/>
  <c r="L305" i="7"/>
  <c r="N305" i="5" l="1"/>
  <c r="C306" i="5"/>
  <c r="J306" i="5"/>
  <c r="H306" i="5"/>
  <c r="M306" i="5" s="1"/>
  <c r="O305" i="7"/>
  <c r="K306" i="7"/>
  <c r="I306" i="7"/>
  <c r="N306" i="7" l="1"/>
  <c r="B307" i="5"/>
  <c r="K306" i="5"/>
  <c r="I306" i="5"/>
  <c r="N306" i="5" s="1"/>
  <c r="J306" i="7"/>
  <c r="C307" i="7"/>
  <c r="B308" i="7" s="1"/>
  <c r="L306" i="7"/>
  <c r="C307" i="5" l="1"/>
  <c r="J307" i="5"/>
  <c r="H307" i="5"/>
  <c r="M307" i="5" s="1"/>
  <c r="O306" i="7"/>
  <c r="K307" i="7"/>
  <c r="I307" i="7"/>
  <c r="N307" i="7" l="1"/>
  <c r="B308" i="5"/>
  <c r="K307" i="5"/>
  <c r="I307" i="5"/>
  <c r="N307" i="5" s="1"/>
  <c r="J307" i="7"/>
  <c r="C308" i="7"/>
  <c r="B309" i="7" s="1"/>
  <c r="L307" i="7"/>
  <c r="C308" i="5" l="1"/>
  <c r="J308" i="5"/>
  <c r="H308" i="5"/>
  <c r="M308" i="5" s="1"/>
  <c r="O307" i="7"/>
  <c r="K308" i="7"/>
  <c r="I308" i="7"/>
  <c r="N308" i="7" s="1"/>
  <c r="B309" i="5" l="1"/>
  <c r="K308" i="5"/>
  <c r="I308" i="5"/>
  <c r="N308" i="5" s="1"/>
  <c r="J308" i="7"/>
  <c r="C309" i="7"/>
  <c r="B310" i="7" s="1"/>
  <c r="L308" i="7"/>
  <c r="C309" i="5" l="1"/>
  <c r="J309" i="5"/>
  <c r="H309" i="5"/>
  <c r="M309" i="5" s="1"/>
  <c r="O308" i="7"/>
  <c r="K309" i="7"/>
  <c r="I309" i="7"/>
  <c r="N309" i="7" l="1"/>
  <c r="B310" i="5"/>
  <c r="K309" i="5"/>
  <c r="I309" i="5"/>
  <c r="N309" i="5" s="1"/>
  <c r="J309" i="7"/>
  <c r="C310" i="7"/>
  <c r="B311" i="7" s="1"/>
  <c r="L309" i="7"/>
  <c r="C310" i="5" l="1"/>
  <c r="J310" i="5"/>
  <c r="H310" i="5"/>
  <c r="M310" i="5" s="1"/>
  <c r="O309" i="7"/>
  <c r="K310" i="7"/>
  <c r="I310" i="7"/>
  <c r="N310" i="7" s="1"/>
  <c r="B311" i="5" l="1"/>
  <c r="K310" i="5"/>
  <c r="I310" i="5"/>
  <c r="J310" i="7"/>
  <c r="C311" i="7"/>
  <c r="B312" i="7" s="1"/>
  <c r="L310" i="7"/>
  <c r="N310" i="5" l="1"/>
  <c r="C311" i="5"/>
  <c r="J311" i="5"/>
  <c r="H311" i="5"/>
  <c r="O310" i="7"/>
  <c r="K311" i="7"/>
  <c r="I311" i="7"/>
  <c r="M311" i="5" l="1"/>
  <c r="N311" i="7"/>
  <c r="B312" i="5"/>
  <c r="K311" i="5"/>
  <c r="I311" i="5"/>
  <c r="J311" i="7"/>
  <c r="C312" i="7"/>
  <c r="B313" i="7" s="1"/>
  <c r="L311" i="7"/>
  <c r="N311" i="5" l="1"/>
  <c r="C312" i="5"/>
  <c r="J312" i="5"/>
  <c r="H312" i="5"/>
  <c r="O311" i="7"/>
  <c r="K312" i="7"/>
  <c r="I312" i="7"/>
  <c r="M312" i="5" l="1"/>
  <c r="B313" i="5"/>
  <c r="K312" i="5"/>
  <c r="I312" i="5"/>
  <c r="N312" i="7"/>
  <c r="J312" i="7"/>
  <c r="C313" i="7"/>
  <c r="B314" i="7" s="1"/>
  <c r="L312" i="7"/>
  <c r="N312" i="5" l="1"/>
  <c r="C313" i="5"/>
  <c r="J313" i="5"/>
  <c r="H313" i="5"/>
  <c r="M313" i="5" s="1"/>
  <c r="O312" i="7"/>
  <c r="K313" i="7"/>
  <c r="I313" i="7"/>
  <c r="B314" i="5" l="1"/>
  <c r="K313" i="5"/>
  <c r="I313" i="5"/>
  <c r="N313" i="5" s="1"/>
  <c r="J313" i="7"/>
  <c r="C314" i="7"/>
  <c r="B315" i="7" s="1"/>
  <c r="L313" i="7"/>
  <c r="N313" i="7"/>
  <c r="C314" i="5" l="1"/>
  <c r="J314" i="5"/>
  <c r="H314" i="5"/>
  <c r="M314" i="5" s="1"/>
  <c r="O313" i="7"/>
  <c r="K314" i="7"/>
  <c r="I314" i="7"/>
  <c r="B315" i="5" l="1"/>
  <c r="K314" i="5"/>
  <c r="I314" i="5"/>
  <c r="C315" i="7"/>
  <c r="B316" i="7" s="1"/>
  <c r="J314" i="7"/>
  <c r="L314" i="7"/>
  <c r="N314" i="7"/>
  <c r="N314" i="5" l="1"/>
  <c r="C315" i="5"/>
  <c r="J315" i="5"/>
  <c r="H315" i="5"/>
  <c r="M315" i="5" s="1"/>
  <c r="O314" i="7"/>
  <c r="K315" i="7"/>
  <c r="I315" i="7"/>
  <c r="B316" i="5" l="1"/>
  <c r="K315" i="5"/>
  <c r="I315" i="5"/>
  <c r="N315" i="5" s="1"/>
  <c r="N315" i="7"/>
  <c r="C316" i="7"/>
  <c r="B317" i="7" s="1"/>
  <c r="L315" i="7"/>
  <c r="J315" i="7"/>
  <c r="O315" i="7" l="1"/>
  <c r="C316" i="5"/>
  <c r="J316" i="5"/>
  <c r="H316" i="5"/>
  <c r="K316" i="7"/>
  <c r="I316" i="7"/>
  <c r="N316" i="7" s="1"/>
  <c r="M316" i="5" l="1"/>
  <c r="B317" i="5"/>
  <c r="K316" i="5"/>
  <c r="I316" i="5"/>
  <c r="N316" i="5" s="1"/>
  <c r="C317" i="7"/>
  <c r="B318" i="7" s="1"/>
  <c r="L316" i="7"/>
  <c r="J316" i="7"/>
  <c r="C317" i="5" l="1"/>
  <c r="J317" i="5"/>
  <c r="H317" i="5"/>
  <c r="M317" i="5" s="1"/>
  <c r="O316" i="7"/>
  <c r="K317" i="7"/>
  <c r="I317" i="7"/>
  <c r="B318" i="5" l="1"/>
  <c r="K317" i="5"/>
  <c r="I317" i="5"/>
  <c r="N317" i="7"/>
  <c r="C318" i="7"/>
  <c r="B319" i="7" s="1"/>
  <c r="L317" i="7"/>
  <c r="J317" i="7"/>
  <c r="N317" i="5" l="1"/>
  <c r="C318" i="5"/>
  <c r="J318" i="5"/>
  <c r="H318" i="5"/>
  <c r="O317" i="7"/>
  <c r="I318" i="7"/>
  <c r="K318" i="7"/>
  <c r="M318" i="5" l="1"/>
  <c r="B319" i="5"/>
  <c r="K318" i="5"/>
  <c r="I318" i="5"/>
  <c r="N318" i="7"/>
  <c r="C319" i="7"/>
  <c r="B320" i="7" s="1"/>
  <c r="J318" i="7"/>
  <c r="L318" i="7"/>
  <c r="N318" i="5" l="1"/>
  <c r="C319" i="5"/>
  <c r="J319" i="5"/>
  <c r="H319" i="5"/>
  <c r="M319" i="5" s="1"/>
  <c r="O318" i="7"/>
  <c r="K319" i="7"/>
  <c r="I319" i="7"/>
  <c r="N319" i="7" s="1"/>
  <c r="B320" i="5" l="1"/>
  <c r="K319" i="5"/>
  <c r="I319" i="5"/>
  <c r="C320" i="7"/>
  <c r="B321" i="7" s="1"/>
  <c r="L319" i="7"/>
  <c r="J319" i="7"/>
  <c r="N319" i="5" l="1"/>
  <c r="C320" i="5"/>
  <c r="J320" i="5"/>
  <c r="H320" i="5"/>
  <c r="M320" i="5" s="1"/>
  <c r="O319" i="7"/>
  <c r="K320" i="7"/>
  <c r="I320" i="7"/>
  <c r="B321" i="5" l="1"/>
  <c r="K320" i="5"/>
  <c r="I320" i="5"/>
  <c r="N320" i="5" s="1"/>
  <c r="N320" i="7"/>
  <c r="C321" i="7"/>
  <c r="B322" i="7" s="1"/>
  <c r="L320" i="7"/>
  <c r="J320" i="7"/>
  <c r="O320" i="7" l="1"/>
  <c r="C321" i="5"/>
  <c r="J321" i="5"/>
  <c r="H321" i="5"/>
  <c r="M321" i="5" s="1"/>
  <c r="K321" i="7"/>
  <c r="I321" i="7"/>
  <c r="N321" i="7" l="1"/>
  <c r="B322" i="5"/>
  <c r="K321" i="5"/>
  <c r="I321" i="5"/>
  <c r="N321" i="5" s="1"/>
  <c r="C322" i="7"/>
  <c r="B323" i="7" s="1"/>
  <c r="L321" i="7"/>
  <c r="J321" i="7"/>
  <c r="C322" i="5" l="1"/>
  <c r="J322" i="5"/>
  <c r="H322" i="5"/>
  <c r="O321" i="7"/>
  <c r="I322" i="7"/>
  <c r="K322" i="7"/>
  <c r="M322" i="5" l="1"/>
  <c r="B323" i="5"/>
  <c r="K322" i="5"/>
  <c r="I322" i="5"/>
  <c r="N322" i="5" s="1"/>
  <c r="N322" i="7"/>
  <c r="C323" i="7"/>
  <c r="B324" i="7" s="1"/>
  <c r="J322" i="7"/>
  <c r="L322" i="7"/>
  <c r="C323" i="5" l="1"/>
  <c r="J323" i="5"/>
  <c r="H323" i="5"/>
  <c r="O322" i="7"/>
  <c r="K323" i="7"/>
  <c r="I323" i="7"/>
  <c r="M323" i="5" l="1"/>
  <c r="B324" i="5"/>
  <c r="K323" i="5"/>
  <c r="I323" i="5"/>
  <c r="N323" i="7"/>
  <c r="C324" i="7"/>
  <c r="B325" i="7" s="1"/>
  <c r="L323" i="7"/>
  <c r="J323" i="7"/>
  <c r="N323" i="5" l="1"/>
  <c r="O323" i="7"/>
  <c r="C324" i="5"/>
  <c r="J324" i="5"/>
  <c r="H324" i="5"/>
  <c r="K324" i="7"/>
  <c r="I324" i="7"/>
  <c r="N324" i="7" l="1"/>
  <c r="M324" i="5"/>
  <c r="B325" i="5"/>
  <c r="K324" i="5"/>
  <c r="I324" i="5"/>
  <c r="C325" i="7"/>
  <c r="B326" i="7" s="1"/>
  <c r="L324" i="7"/>
  <c r="J324" i="7"/>
  <c r="N324" i="5" l="1"/>
  <c r="O324" i="7"/>
  <c r="C325" i="5"/>
  <c r="J325" i="5"/>
  <c r="H325" i="5"/>
  <c r="K325" i="7"/>
  <c r="I325" i="7"/>
  <c r="N325" i="7" l="1"/>
  <c r="M325" i="5"/>
  <c r="B326" i="5"/>
  <c r="I325" i="5"/>
  <c r="K325" i="5"/>
  <c r="C326" i="7"/>
  <c r="B327" i="7" s="1"/>
  <c r="L325" i="7"/>
  <c r="J325" i="7"/>
  <c r="N325" i="5" l="1"/>
  <c r="C326" i="5"/>
  <c r="J326" i="5"/>
  <c r="H326" i="5"/>
  <c r="O325" i="7"/>
  <c r="I326" i="7"/>
  <c r="K326" i="7"/>
  <c r="M326" i="5" l="1"/>
  <c r="B327" i="5"/>
  <c r="K326" i="5"/>
  <c r="I326" i="5"/>
  <c r="N326" i="7"/>
  <c r="C327" i="7"/>
  <c r="B328" i="7" s="1"/>
  <c r="J326" i="7"/>
  <c r="L326" i="7"/>
  <c r="N326" i="5" l="1"/>
  <c r="C327" i="5"/>
  <c r="J327" i="5"/>
  <c r="H327" i="5"/>
  <c r="M327" i="5" s="1"/>
  <c r="O326" i="7"/>
  <c r="K327" i="7"/>
  <c r="I327" i="7"/>
  <c r="B328" i="5" l="1"/>
  <c r="I327" i="5"/>
  <c r="K327" i="5"/>
  <c r="N327" i="7"/>
  <c r="C328" i="7"/>
  <c r="B329" i="7" s="1"/>
  <c r="L327" i="7"/>
  <c r="J327" i="7"/>
  <c r="N327" i="5" l="1"/>
  <c r="O327" i="7"/>
  <c r="C328" i="5"/>
  <c r="J328" i="5"/>
  <c r="H328" i="5"/>
  <c r="M328" i="5" s="1"/>
  <c r="K328" i="7"/>
  <c r="I328" i="7"/>
  <c r="N328" i="7" s="1"/>
  <c r="B329" i="5" l="1"/>
  <c r="K328" i="5"/>
  <c r="I328" i="5"/>
  <c r="C329" i="7"/>
  <c r="B330" i="7" s="1"/>
  <c r="L328" i="7"/>
  <c r="J328" i="7"/>
  <c r="O328" i="7" l="1"/>
  <c r="N328" i="5"/>
  <c r="C329" i="5"/>
  <c r="J329" i="5"/>
  <c r="H329" i="5"/>
  <c r="M329" i="5" s="1"/>
  <c r="K329" i="7"/>
  <c r="I329" i="7"/>
  <c r="B330" i="5" l="1"/>
  <c r="K329" i="5"/>
  <c r="I329" i="5"/>
  <c r="N329" i="7"/>
  <c r="C330" i="7"/>
  <c r="B331" i="7" s="1"/>
  <c r="L329" i="7"/>
  <c r="J329" i="7"/>
  <c r="N329" i="5" l="1"/>
  <c r="O329" i="7"/>
  <c r="C330" i="5"/>
  <c r="J330" i="5"/>
  <c r="H330" i="5"/>
  <c r="I330" i="7"/>
  <c r="K330" i="7"/>
  <c r="M330" i="5" l="1"/>
  <c r="B331" i="5"/>
  <c r="K330" i="5"/>
  <c r="I330" i="5"/>
  <c r="N330" i="7"/>
  <c r="C331" i="7"/>
  <c r="B332" i="7" s="1"/>
  <c r="J330" i="7"/>
  <c r="L330" i="7"/>
  <c r="C331" i="5" l="1"/>
  <c r="J331" i="5"/>
  <c r="H331" i="5"/>
  <c r="M331" i="5" s="1"/>
  <c r="N330" i="5"/>
  <c r="O330" i="7"/>
  <c r="K331" i="7"/>
  <c r="I331" i="7"/>
  <c r="B332" i="5" l="1"/>
  <c r="K331" i="5"/>
  <c r="I331" i="5"/>
  <c r="N331" i="7"/>
  <c r="C332" i="7"/>
  <c r="B333" i="7" s="1"/>
  <c r="L331" i="7"/>
  <c r="J331" i="7"/>
  <c r="N331" i="5" l="1"/>
  <c r="O331" i="7"/>
  <c r="C332" i="5"/>
  <c r="J332" i="5"/>
  <c r="H332" i="5"/>
  <c r="M332" i="5" s="1"/>
  <c r="K332" i="7"/>
  <c r="I332" i="7"/>
  <c r="N332" i="7" l="1"/>
  <c r="B333" i="5"/>
  <c r="K332" i="5"/>
  <c r="I332" i="5"/>
  <c r="N332" i="5" s="1"/>
  <c r="C333" i="7"/>
  <c r="B334" i="7" s="1"/>
  <c r="L332" i="7"/>
  <c r="J332" i="7"/>
  <c r="C333" i="5" l="1"/>
  <c r="J333" i="5"/>
  <c r="H333" i="5"/>
  <c r="O332" i="7"/>
  <c r="K333" i="7"/>
  <c r="I333" i="7"/>
  <c r="M333" i="5" l="1"/>
  <c r="B334" i="5"/>
  <c r="K333" i="5"/>
  <c r="I333" i="5"/>
  <c r="N333" i="7"/>
  <c r="C334" i="7"/>
  <c r="B335" i="7" s="1"/>
  <c r="L333" i="7"/>
  <c r="J333" i="7"/>
  <c r="N333" i="5" l="1"/>
  <c r="O333" i="7"/>
  <c r="C334" i="5"/>
  <c r="J334" i="5"/>
  <c r="H334" i="5"/>
  <c r="M334" i="5" s="1"/>
  <c r="I334" i="7"/>
  <c r="K334" i="7"/>
  <c r="B335" i="5" l="1"/>
  <c r="K334" i="5"/>
  <c r="I334" i="5"/>
  <c r="N334" i="7"/>
  <c r="C335" i="7"/>
  <c r="B336" i="7" s="1"/>
  <c r="J334" i="7"/>
  <c r="L334" i="7"/>
  <c r="N334" i="5" l="1"/>
  <c r="C335" i="5"/>
  <c r="J335" i="5"/>
  <c r="H335" i="5"/>
  <c r="O334" i="7"/>
  <c r="K335" i="7"/>
  <c r="I335" i="7"/>
  <c r="M335" i="5" l="1"/>
  <c r="B336" i="5"/>
  <c r="K335" i="5"/>
  <c r="I335" i="5"/>
  <c r="C336" i="7"/>
  <c r="B337" i="7" s="1"/>
  <c r="L335" i="7"/>
  <c r="J335" i="7"/>
  <c r="N335" i="7"/>
  <c r="N335" i="5" l="1"/>
  <c r="C336" i="5"/>
  <c r="J336" i="5"/>
  <c r="H336" i="5"/>
  <c r="O335" i="7"/>
  <c r="K336" i="7"/>
  <c r="I336" i="7"/>
  <c r="N336" i="7" l="1"/>
  <c r="M336" i="5"/>
  <c r="B337" i="5"/>
  <c r="K336" i="5"/>
  <c r="I336" i="5"/>
  <c r="N336" i="5" s="1"/>
  <c r="C337" i="7"/>
  <c r="B338" i="7" s="1"/>
  <c r="L336" i="7"/>
  <c r="J336" i="7"/>
  <c r="C337" i="5" l="1"/>
  <c r="J337" i="5"/>
  <c r="H337" i="5"/>
  <c r="M337" i="5" s="1"/>
  <c r="O336" i="7"/>
  <c r="K337" i="7"/>
  <c r="I337" i="7"/>
  <c r="B338" i="5" l="1"/>
  <c r="I337" i="5"/>
  <c r="K337" i="5"/>
  <c r="N337" i="7"/>
  <c r="C338" i="7"/>
  <c r="B339" i="7" s="1"/>
  <c r="L337" i="7"/>
  <c r="J337" i="7"/>
  <c r="N337" i="5" l="1"/>
  <c r="C338" i="5"/>
  <c r="J338" i="5"/>
  <c r="H338" i="5"/>
  <c r="O337" i="7"/>
  <c r="I338" i="7"/>
  <c r="K338" i="7"/>
  <c r="M338" i="5" l="1"/>
  <c r="B339" i="5"/>
  <c r="K338" i="5"/>
  <c r="I338" i="5"/>
  <c r="N338" i="7"/>
  <c r="C339" i="7"/>
  <c r="B340" i="7" s="1"/>
  <c r="J338" i="7"/>
  <c r="L338" i="7"/>
  <c r="N338" i="5" l="1"/>
  <c r="C339" i="5"/>
  <c r="J339" i="5"/>
  <c r="H339" i="5"/>
  <c r="O338" i="7"/>
  <c r="K339" i="7"/>
  <c r="I339" i="7"/>
  <c r="M339" i="5" l="1"/>
  <c r="B340" i="5"/>
  <c r="K339" i="5"/>
  <c r="I339" i="5"/>
  <c r="N339" i="7"/>
  <c r="C340" i="7"/>
  <c r="B341" i="7" s="1"/>
  <c r="L339" i="7"/>
  <c r="J339" i="7"/>
  <c r="N339" i="5" l="1"/>
  <c r="C340" i="5"/>
  <c r="J340" i="5"/>
  <c r="H340" i="5"/>
  <c r="O339" i="7"/>
  <c r="K340" i="7"/>
  <c r="I340" i="7"/>
  <c r="N340" i="7" l="1"/>
  <c r="M340" i="5"/>
  <c r="B341" i="5"/>
  <c r="K340" i="5"/>
  <c r="I340" i="5"/>
  <c r="C341" i="7"/>
  <c r="B342" i="7" s="1"/>
  <c r="L340" i="7"/>
  <c r="J340" i="7"/>
  <c r="N340" i="5" l="1"/>
  <c r="C341" i="5"/>
  <c r="J341" i="5"/>
  <c r="H341" i="5"/>
  <c r="O340" i="7"/>
  <c r="I341" i="7"/>
  <c r="K341" i="7"/>
  <c r="M341" i="5" l="1"/>
  <c r="B342" i="5"/>
  <c r="K341" i="5"/>
  <c r="I341" i="5"/>
  <c r="N341" i="7"/>
  <c r="C342" i="7"/>
  <c r="B343" i="7" s="1"/>
  <c r="J341" i="7"/>
  <c r="L341" i="7"/>
  <c r="N341" i="5" l="1"/>
  <c r="C342" i="5"/>
  <c r="J342" i="5"/>
  <c r="H342" i="5"/>
  <c r="O341" i="7"/>
  <c r="K342" i="7"/>
  <c r="I342" i="7"/>
  <c r="M342" i="5" l="1"/>
  <c r="B343" i="5"/>
  <c r="K342" i="5"/>
  <c r="I342" i="5"/>
  <c r="N342" i="7"/>
  <c r="C343" i="7"/>
  <c r="B344" i="7" s="1"/>
  <c r="L342" i="7"/>
  <c r="J342" i="7"/>
  <c r="N342" i="5" l="1"/>
  <c r="O342" i="7"/>
  <c r="C343" i="5"/>
  <c r="J343" i="5"/>
  <c r="H343" i="5"/>
  <c r="M343" i="5" s="1"/>
  <c r="K343" i="7"/>
  <c r="I343" i="7"/>
  <c r="N343" i="7" l="1"/>
  <c r="B344" i="5"/>
  <c r="K343" i="5"/>
  <c r="I343" i="5"/>
  <c r="C344" i="7"/>
  <c r="B345" i="7" s="1"/>
  <c r="L343" i="7"/>
  <c r="J343" i="7"/>
  <c r="N343" i="5" l="1"/>
  <c r="C344" i="5"/>
  <c r="J344" i="5"/>
  <c r="H344" i="5"/>
  <c r="O343" i="7"/>
  <c r="K344" i="7"/>
  <c r="I344" i="7"/>
  <c r="M344" i="5" l="1"/>
  <c r="N344" i="7"/>
  <c r="B345" i="5"/>
  <c r="K344" i="5"/>
  <c r="I344" i="5"/>
  <c r="C345" i="7"/>
  <c r="B346" i="7" s="1"/>
  <c r="J344" i="7"/>
  <c r="L344" i="7"/>
  <c r="O344" i="7" l="1"/>
  <c r="N344" i="5"/>
  <c r="C345" i="5"/>
  <c r="J345" i="5"/>
  <c r="H345" i="5"/>
  <c r="M345" i="5" s="1"/>
  <c r="K345" i="7"/>
  <c r="I345" i="7"/>
  <c r="B346" i="5" l="1"/>
  <c r="K345" i="5"/>
  <c r="I345" i="5"/>
  <c r="N345" i="5" s="1"/>
  <c r="N345" i="7"/>
  <c r="C346" i="7"/>
  <c r="B347" i="7" s="1"/>
  <c r="L345" i="7"/>
  <c r="J345" i="7"/>
  <c r="C346" i="5" l="1"/>
  <c r="J346" i="5"/>
  <c r="H346" i="5"/>
  <c r="I346" i="7"/>
  <c r="K346" i="7"/>
  <c r="O345" i="7"/>
  <c r="M346" i="5" l="1"/>
  <c r="B347" i="5"/>
  <c r="K346" i="5"/>
  <c r="I346" i="5"/>
  <c r="N346" i="7"/>
  <c r="C347" i="7"/>
  <c r="B348" i="7" s="1"/>
  <c r="J346" i="7"/>
  <c r="L346" i="7"/>
  <c r="N346" i="5" l="1"/>
  <c r="C347" i="5"/>
  <c r="J347" i="5"/>
  <c r="H347" i="5"/>
  <c r="O346" i="7"/>
  <c r="K347" i="7"/>
  <c r="I347" i="7"/>
  <c r="N347" i="7" l="1"/>
  <c r="M347" i="5"/>
  <c r="B348" i="5"/>
  <c r="I347" i="5"/>
  <c r="K347" i="5"/>
  <c r="C348" i="7"/>
  <c r="B349" i="7" s="1"/>
  <c r="J347" i="7"/>
  <c r="L347" i="7"/>
  <c r="N347" i="5" l="1"/>
  <c r="O347" i="7"/>
  <c r="C348" i="5"/>
  <c r="J348" i="5"/>
  <c r="H348" i="5"/>
  <c r="I348" i="7"/>
  <c r="K348" i="7"/>
  <c r="M348" i="5" l="1"/>
  <c r="B349" i="5"/>
  <c r="K348" i="5"/>
  <c r="I348" i="5"/>
  <c r="N348" i="7"/>
  <c r="C349" i="7"/>
  <c r="B350" i="7" s="1"/>
  <c r="J348" i="7"/>
  <c r="L348" i="7"/>
  <c r="N348" i="5" l="1"/>
  <c r="C349" i="5"/>
  <c r="J349" i="5"/>
  <c r="H349" i="5"/>
  <c r="M349" i="5" s="1"/>
  <c r="O348" i="7"/>
  <c r="K349" i="7"/>
  <c r="I349" i="7"/>
  <c r="N349" i="7" l="1"/>
  <c r="B350" i="5"/>
  <c r="K349" i="5"/>
  <c r="I349" i="5"/>
  <c r="N349" i="5" s="1"/>
  <c r="C350" i="7"/>
  <c r="B351" i="7" s="1"/>
  <c r="J349" i="7"/>
  <c r="L349" i="7"/>
  <c r="O349" i="7" l="1"/>
  <c r="C350" i="5"/>
  <c r="J350" i="5"/>
  <c r="H350" i="5"/>
  <c r="I350" i="7"/>
  <c r="K350" i="7"/>
  <c r="M350" i="5" l="1"/>
  <c r="B351" i="5"/>
  <c r="K350" i="5"/>
  <c r="I350" i="5"/>
  <c r="N350" i="7"/>
  <c r="C351" i="7"/>
  <c r="B352" i="7" s="1"/>
  <c r="J350" i="7"/>
  <c r="L350" i="7"/>
  <c r="N350" i="5" l="1"/>
  <c r="C351" i="5"/>
  <c r="J351" i="5"/>
  <c r="H351" i="5"/>
  <c r="O350" i="7"/>
  <c r="K351" i="7"/>
  <c r="I351" i="7"/>
  <c r="M351" i="5" l="1"/>
  <c r="N351" i="7"/>
  <c r="B352" i="5"/>
  <c r="K351" i="5"/>
  <c r="I351" i="5"/>
  <c r="C352" i="7"/>
  <c r="B353" i="7" s="1"/>
  <c r="J351" i="7"/>
  <c r="L351" i="7"/>
  <c r="N351" i="5" l="1"/>
  <c r="C352" i="5"/>
  <c r="J352" i="5"/>
  <c r="H352" i="5"/>
  <c r="O351" i="7"/>
  <c r="I352" i="7"/>
  <c r="K352" i="7"/>
  <c r="M352" i="5" l="1"/>
  <c r="B353" i="5"/>
  <c r="K352" i="5"/>
  <c r="I352" i="5"/>
  <c r="N352" i="5" s="1"/>
  <c r="C353" i="7"/>
  <c r="B354" i="7" s="1"/>
  <c r="J352" i="7"/>
  <c r="L352" i="7"/>
  <c r="N352" i="7"/>
  <c r="C353" i="5" l="1"/>
  <c r="J353" i="5"/>
  <c r="H353" i="5"/>
  <c r="O352" i="7"/>
  <c r="K353" i="7"/>
  <c r="I353" i="7"/>
  <c r="M353" i="5" l="1"/>
  <c r="B354" i="5"/>
  <c r="K353" i="5"/>
  <c r="I353" i="5"/>
  <c r="N353" i="7"/>
  <c r="C354" i="7"/>
  <c r="B355" i="7" s="1"/>
  <c r="J353" i="7"/>
  <c r="L353" i="7"/>
  <c r="N353" i="5" l="1"/>
  <c r="C354" i="5"/>
  <c r="J354" i="5"/>
  <c r="H354" i="5"/>
  <c r="O353" i="7"/>
  <c r="I354" i="7"/>
  <c r="K354" i="7"/>
  <c r="M354" i="5" l="1"/>
  <c r="B355" i="5"/>
  <c r="K354" i="5"/>
  <c r="I354" i="5"/>
  <c r="N354" i="7"/>
  <c r="C355" i="7"/>
  <c r="B356" i="7" s="1"/>
  <c r="J354" i="7"/>
  <c r="L354" i="7"/>
  <c r="N354" i="5" l="1"/>
  <c r="C355" i="5"/>
  <c r="J355" i="5"/>
  <c r="H355" i="5"/>
  <c r="O354" i="7"/>
  <c r="K355" i="7"/>
  <c r="I355" i="7"/>
  <c r="M355" i="5" l="1"/>
  <c r="N355" i="7"/>
  <c r="B356" i="5"/>
  <c r="K355" i="5"/>
  <c r="I355" i="5"/>
  <c r="C356" i="7"/>
  <c r="B357" i="7" s="1"/>
  <c r="J355" i="7"/>
  <c r="L355" i="7"/>
  <c r="N355" i="5" l="1"/>
  <c r="C356" i="5"/>
  <c r="J356" i="5"/>
  <c r="H356" i="5"/>
  <c r="O355" i="7"/>
  <c r="I356" i="7"/>
  <c r="K356" i="7"/>
  <c r="M356" i="5" l="1"/>
  <c r="B357" i="5"/>
  <c r="K356" i="5"/>
  <c r="I356" i="5"/>
  <c r="N356" i="7"/>
  <c r="C357" i="7"/>
  <c r="B358" i="7" s="1"/>
  <c r="J356" i="7"/>
  <c r="L356" i="7"/>
  <c r="N356" i="5" l="1"/>
  <c r="C357" i="5"/>
  <c r="J357" i="5"/>
  <c r="H357" i="5"/>
  <c r="O356" i="7"/>
  <c r="K357" i="7"/>
  <c r="I357" i="7"/>
  <c r="N357" i="7" l="1"/>
  <c r="M357" i="5"/>
  <c r="B358" i="5"/>
  <c r="K357" i="5"/>
  <c r="I357" i="5"/>
  <c r="C358" i="7"/>
  <c r="B359" i="7" s="1"/>
  <c r="J357" i="7"/>
  <c r="L357" i="7"/>
  <c r="N357" i="5" l="1"/>
  <c r="C358" i="5"/>
  <c r="J358" i="5"/>
  <c r="H358" i="5"/>
  <c r="O357" i="7"/>
  <c r="I358" i="7"/>
  <c r="K358" i="7"/>
  <c r="M358" i="5" l="1"/>
  <c r="B359" i="5"/>
  <c r="K358" i="5"/>
  <c r="I358" i="5"/>
  <c r="N358" i="5" s="1"/>
  <c r="N358" i="7"/>
  <c r="C359" i="7"/>
  <c r="B360" i="7" s="1"/>
  <c r="J358" i="7"/>
  <c r="L358" i="7"/>
  <c r="O358" i="7" l="1"/>
  <c r="C359" i="5"/>
  <c r="J359" i="5"/>
  <c r="H359" i="5"/>
  <c r="K359" i="7"/>
  <c r="I359" i="7"/>
  <c r="M359" i="5" l="1"/>
  <c r="B360" i="5"/>
  <c r="I359" i="5"/>
  <c r="K359" i="5"/>
  <c r="N359" i="7"/>
  <c r="C360" i="7"/>
  <c r="B361" i="7" s="1"/>
  <c r="J359" i="7"/>
  <c r="L359" i="7"/>
  <c r="N359" i="5" l="1"/>
  <c r="C360" i="5"/>
  <c r="J360" i="5"/>
  <c r="H360" i="5"/>
  <c r="O359" i="7"/>
  <c r="I360" i="7"/>
  <c r="K360" i="7"/>
  <c r="M360" i="5" l="1"/>
  <c r="B361" i="5"/>
  <c r="K360" i="5"/>
  <c r="I360" i="5"/>
  <c r="N360" i="7"/>
  <c r="C361" i="7"/>
  <c r="B362" i="7" s="1"/>
  <c r="J360" i="7"/>
  <c r="L360" i="7"/>
  <c r="N360" i="5" l="1"/>
  <c r="C361" i="5"/>
  <c r="J361" i="5"/>
  <c r="H361" i="5"/>
  <c r="O360" i="7"/>
  <c r="K361" i="7"/>
  <c r="I361" i="7"/>
  <c r="M361" i="5" l="1"/>
  <c r="B362" i="5"/>
  <c r="K361" i="5"/>
  <c r="I361" i="5"/>
  <c r="N361" i="7"/>
  <c r="C362" i="7"/>
  <c r="B363" i="7" s="1"/>
  <c r="J361" i="7"/>
  <c r="O361" i="7" s="1"/>
  <c r="L361" i="7"/>
  <c r="N361" i="5" l="1"/>
  <c r="C362" i="5"/>
  <c r="J362" i="5"/>
  <c r="H362" i="5"/>
  <c r="M362" i="5" s="1"/>
  <c r="I362" i="7"/>
  <c r="K362" i="7"/>
  <c r="B363" i="5" l="1"/>
  <c r="K362" i="5"/>
  <c r="I362" i="5"/>
  <c r="C363" i="7"/>
  <c r="B364" i="7" s="1"/>
  <c r="J362" i="7"/>
  <c r="L362" i="7"/>
  <c r="N362" i="7"/>
  <c r="N362" i="5" l="1"/>
  <c r="O362" i="7"/>
  <c r="C363" i="5"/>
  <c r="J363" i="5"/>
  <c r="H363" i="5"/>
  <c r="M363" i="5" s="1"/>
  <c r="K363" i="7"/>
  <c r="I363" i="7"/>
  <c r="N363" i="7" l="1"/>
  <c r="B364" i="5"/>
  <c r="K363" i="5"/>
  <c r="I363" i="5"/>
  <c r="C364" i="7"/>
  <c r="B365" i="7" s="1"/>
  <c r="J363" i="7"/>
  <c r="L363" i="7"/>
  <c r="N363" i="5" l="1"/>
  <c r="C364" i="5"/>
  <c r="J364" i="5"/>
  <c r="H364" i="5"/>
  <c r="O363" i="7"/>
  <c r="I364" i="7"/>
  <c r="K364" i="7"/>
  <c r="M364" i="5" l="1"/>
  <c r="B365" i="5"/>
  <c r="K364" i="5"/>
  <c r="I364" i="5"/>
  <c r="N364" i="7"/>
  <c r="C365" i="7"/>
  <c r="B366" i="7" s="1"/>
  <c r="L364" i="7"/>
  <c r="J364" i="7"/>
  <c r="N364" i="5" l="1"/>
  <c r="C365" i="5"/>
  <c r="J365" i="5"/>
  <c r="H365" i="5"/>
  <c r="O364" i="7"/>
  <c r="K365" i="7"/>
  <c r="I365" i="7"/>
  <c r="N365" i="7" l="1"/>
  <c r="M365" i="5"/>
  <c r="B366" i="5"/>
  <c r="K365" i="5"/>
  <c r="I365" i="5"/>
  <c r="C366" i="7"/>
  <c r="B367" i="7" s="1"/>
  <c r="L365" i="7"/>
  <c r="J365" i="7"/>
  <c r="N365" i="5" l="1"/>
  <c r="C366" i="5"/>
  <c r="J366" i="5"/>
  <c r="H366" i="5"/>
  <c r="O365" i="7"/>
  <c r="K366" i="7"/>
  <c r="I366" i="7"/>
  <c r="M366" i="5" l="1"/>
  <c r="B367" i="5"/>
  <c r="K366" i="5"/>
  <c r="I366" i="5"/>
  <c r="N366" i="7"/>
  <c r="C367" i="7"/>
  <c r="B368" i="7" s="1"/>
  <c r="L366" i="7"/>
  <c r="J366" i="7"/>
  <c r="O366" i="7" l="1"/>
  <c r="N366" i="5"/>
  <c r="C367" i="5"/>
  <c r="J367" i="5"/>
  <c r="H367" i="5"/>
  <c r="K367" i="7"/>
  <c r="I367" i="7"/>
  <c r="M367" i="5" l="1"/>
  <c r="B368" i="5"/>
  <c r="K367" i="5"/>
  <c r="I367" i="5"/>
  <c r="N367" i="7"/>
  <c r="C368" i="7"/>
  <c r="B369" i="7" s="1"/>
  <c r="L367" i="7"/>
  <c r="J367" i="7"/>
  <c r="N367" i="5" l="1"/>
  <c r="O367" i="7"/>
  <c r="C368" i="5"/>
  <c r="J368" i="5"/>
  <c r="H368" i="5"/>
  <c r="M368" i="5" s="1"/>
  <c r="K368" i="7"/>
  <c r="I368" i="7"/>
  <c r="B369" i="5" l="1"/>
  <c r="K368" i="5"/>
  <c r="I368" i="5"/>
  <c r="N368" i="5" s="1"/>
  <c r="C369" i="7"/>
  <c r="B370" i="7" s="1"/>
  <c r="L368" i="7"/>
  <c r="J368" i="7"/>
  <c r="N368" i="7"/>
  <c r="C369" i="5" l="1"/>
  <c r="J369" i="5"/>
  <c r="H369" i="5"/>
  <c r="O368" i="7"/>
  <c r="K369" i="7"/>
  <c r="I369" i="7"/>
  <c r="M369" i="5" l="1"/>
  <c r="N369" i="7"/>
  <c r="B370" i="5"/>
  <c r="K369" i="5"/>
  <c r="I369" i="5"/>
  <c r="N369" i="5" s="1"/>
  <c r="C370" i="7"/>
  <c r="B371" i="7" s="1"/>
  <c r="L369" i="7"/>
  <c r="J369" i="7"/>
  <c r="O369" i="7" l="1"/>
  <c r="C370" i="5"/>
  <c r="J370" i="5"/>
  <c r="H370" i="5"/>
  <c r="K370" i="7"/>
  <c r="I370" i="7"/>
  <c r="M370" i="5" l="1"/>
  <c r="B371" i="5"/>
  <c r="K370" i="5"/>
  <c r="I370" i="5"/>
  <c r="N370" i="7"/>
  <c r="C371" i="7"/>
  <c r="B372" i="7" s="1"/>
  <c r="L370" i="7"/>
  <c r="J370" i="7"/>
  <c r="N370" i="5" l="1"/>
  <c r="C371" i="5"/>
  <c r="J371" i="5"/>
  <c r="H371" i="5"/>
  <c r="O370" i="7"/>
  <c r="K371" i="7"/>
  <c r="I371" i="7"/>
  <c r="N371" i="7" l="1"/>
  <c r="M371" i="5"/>
  <c r="B372" i="5"/>
  <c r="K371" i="5"/>
  <c r="I371" i="5"/>
  <c r="C372" i="7"/>
  <c r="B373" i="7" s="1"/>
  <c r="L371" i="7"/>
  <c r="J371" i="7"/>
  <c r="O371" i="7" s="1"/>
  <c r="N371" i="5" l="1"/>
  <c r="C372" i="5"/>
  <c r="J372" i="5"/>
  <c r="H372" i="5"/>
  <c r="I372" i="7"/>
  <c r="K372" i="7"/>
  <c r="M372" i="5" l="1"/>
  <c r="B373" i="5"/>
  <c r="K372" i="5"/>
  <c r="I372" i="5"/>
  <c r="N372" i="5" s="1"/>
  <c r="N372" i="7"/>
  <c r="C373" i="7"/>
  <c r="B374" i="7" s="1"/>
  <c r="L372" i="7"/>
  <c r="J372" i="7"/>
  <c r="O372" i="7" l="1"/>
  <c r="C373" i="5"/>
  <c r="J373" i="5"/>
  <c r="H373" i="5"/>
  <c r="M373" i="5" s="1"/>
  <c r="K373" i="7"/>
  <c r="I373" i="7"/>
  <c r="N373" i="7" l="1"/>
  <c r="B374" i="5"/>
  <c r="K373" i="5"/>
  <c r="I373" i="5"/>
  <c r="C374" i="7"/>
  <c r="B375" i="7" s="1"/>
  <c r="L373" i="7"/>
  <c r="J373" i="7"/>
  <c r="N373" i="5" l="1"/>
  <c r="C374" i="5"/>
  <c r="J374" i="5"/>
  <c r="H374" i="5"/>
  <c r="M374" i="5" s="1"/>
  <c r="O373" i="7"/>
  <c r="K374" i="7"/>
  <c r="I374" i="7"/>
  <c r="B375" i="5" l="1"/>
  <c r="K374" i="5"/>
  <c r="I374" i="5"/>
  <c r="C375" i="7"/>
  <c r="B376" i="7" s="1"/>
  <c r="L374" i="7"/>
  <c r="J374" i="7"/>
  <c r="O374" i="7" s="1"/>
  <c r="N374" i="7"/>
  <c r="N374" i="5" l="1"/>
  <c r="C375" i="5"/>
  <c r="J375" i="5"/>
  <c r="H375" i="5"/>
  <c r="K375" i="7"/>
  <c r="I375" i="7"/>
  <c r="N375" i="7" l="1"/>
  <c r="M375" i="5"/>
  <c r="B376" i="5"/>
  <c r="K375" i="5"/>
  <c r="I375" i="5"/>
  <c r="N375" i="5" s="1"/>
  <c r="C376" i="7"/>
  <c r="B377" i="7" s="1"/>
  <c r="L375" i="7"/>
  <c r="J375" i="7"/>
  <c r="O375" i="7" l="1"/>
  <c r="C376" i="5"/>
  <c r="J376" i="5"/>
  <c r="H376" i="5"/>
  <c r="K376" i="7"/>
  <c r="I376" i="7"/>
  <c r="N376" i="7" s="1"/>
  <c r="M376" i="5" l="1"/>
  <c r="B377" i="5"/>
  <c r="K376" i="5"/>
  <c r="I376" i="5"/>
  <c r="C377" i="7"/>
  <c r="B378" i="7" s="1"/>
  <c r="L376" i="7"/>
  <c r="J376" i="7"/>
  <c r="O376" i="7" l="1"/>
  <c r="N376" i="5"/>
  <c r="C377" i="5"/>
  <c r="J377" i="5"/>
  <c r="H377" i="5"/>
  <c r="M377" i="5" s="1"/>
  <c r="K377" i="7"/>
  <c r="I377" i="7"/>
  <c r="N377" i="7" l="1"/>
  <c r="B378" i="5"/>
  <c r="K377" i="5"/>
  <c r="I377" i="5"/>
  <c r="C378" i="7"/>
  <c r="B379" i="7" s="1"/>
  <c r="L377" i="7"/>
  <c r="J377" i="7"/>
  <c r="O377" i="7" l="1"/>
  <c r="N377" i="5"/>
  <c r="C378" i="5"/>
  <c r="J378" i="5"/>
  <c r="H378" i="5"/>
  <c r="M378" i="5" s="1"/>
  <c r="K378" i="7"/>
  <c r="I378" i="7"/>
  <c r="N378" i="7" l="1"/>
  <c r="B379" i="5"/>
  <c r="K378" i="5"/>
  <c r="I378" i="5"/>
  <c r="C379" i="7"/>
  <c r="B380" i="7" s="1"/>
  <c r="L378" i="7"/>
  <c r="J378" i="7"/>
  <c r="N378" i="5" l="1"/>
  <c r="C379" i="5"/>
  <c r="J379" i="5"/>
  <c r="H379" i="5"/>
  <c r="M379" i="5" s="1"/>
  <c r="O378" i="7"/>
  <c r="K379" i="7"/>
  <c r="I379" i="7"/>
  <c r="B380" i="5" l="1"/>
  <c r="I379" i="5"/>
  <c r="K379" i="5"/>
  <c r="C380" i="7"/>
  <c r="B381" i="7" s="1"/>
  <c r="L379" i="7"/>
  <c r="J379" i="7"/>
  <c r="N379" i="7"/>
  <c r="N379" i="5" l="1"/>
  <c r="C380" i="5"/>
  <c r="J380" i="5"/>
  <c r="H380" i="5"/>
  <c r="O379" i="7"/>
  <c r="K380" i="7"/>
  <c r="I380" i="7"/>
  <c r="M380" i="5" l="1"/>
  <c r="B381" i="5"/>
  <c r="K380" i="5"/>
  <c r="I380" i="5"/>
  <c r="C381" i="7"/>
  <c r="B382" i="7" s="1"/>
  <c r="L380" i="7"/>
  <c r="J380" i="7"/>
  <c r="N380" i="7"/>
  <c r="N380" i="5" l="1"/>
  <c r="C381" i="5"/>
  <c r="J381" i="5"/>
  <c r="H381" i="5"/>
  <c r="M381" i="5" s="1"/>
  <c r="O380" i="7"/>
  <c r="K381" i="7"/>
  <c r="I381" i="7"/>
  <c r="N381" i="7" l="1"/>
  <c r="B382" i="5"/>
  <c r="K381" i="5"/>
  <c r="I381" i="5"/>
  <c r="N381" i="5" s="1"/>
  <c r="C382" i="7"/>
  <c r="B383" i="7" s="1"/>
  <c r="L381" i="7"/>
  <c r="J381" i="7"/>
  <c r="C382" i="5" l="1"/>
  <c r="J382" i="5"/>
  <c r="H382" i="5"/>
  <c r="O381" i="7"/>
  <c r="K382" i="7"/>
  <c r="I382" i="7"/>
  <c r="M382" i="5" l="1"/>
  <c r="B383" i="5"/>
  <c r="K382" i="5"/>
  <c r="I382" i="5"/>
  <c r="N382" i="5" s="1"/>
  <c r="N382" i="7"/>
  <c r="C383" i="7"/>
  <c r="B384" i="7" s="1"/>
  <c r="L382" i="7"/>
  <c r="J382" i="7"/>
  <c r="C383" i="5" l="1"/>
  <c r="J383" i="5"/>
  <c r="H383" i="5"/>
  <c r="O382" i="7"/>
  <c r="K383" i="7"/>
  <c r="I383" i="7"/>
  <c r="M383" i="5" l="1"/>
  <c r="B384" i="5"/>
  <c r="K383" i="5"/>
  <c r="I383" i="5"/>
  <c r="N383" i="5" s="1"/>
  <c r="N383" i="7"/>
  <c r="C384" i="7"/>
  <c r="B385" i="7" s="1"/>
  <c r="L383" i="7"/>
  <c r="J383" i="7"/>
  <c r="O383" i="7" l="1"/>
  <c r="C384" i="5"/>
  <c r="J384" i="5"/>
  <c r="H384" i="5"/>
  <c r="M384" i="5" s="1"/>
  <c r="K384" i="7"/>
  <c r="I384" i="7"/>
  <c r="N384" i="7" s="1"/>
  <c r="B385" i="5" l="1"/>
  <c r="K384" i="5"/>
  <c r="I384" i="5"/>
  <c r="N384" i="5" s="1"/>
  <c r="C385" i="7"/>
  <c r="B386" i="7" s="1"/>
  <c r="L384" i="7"/>
  <c r="J384" i="7"/>
  <c r="O384" i="7" s="1"/>
  <c r="C385" i="5" l="1"/>
  <c r="J385" i="5"/>
  <c r="H385" i="5"/>
  <c r="K385" i="7"/>
  <c r="I385" i="7"/>
  <c r="M385" i="5" l="1"/>
  <c r="B386" i="5"/>
  <c r="K385" i="5"/>
  <c r="I385" i="5"/>
  <c r="N385" i="7"/>
  <c r="C386" i="7"/>
  <c r="B387" i="7" s="1"/>
  <c r="L385" i="7"/>
  <c r="J385" i="7"/>
  <c r="N385" i="5" l="1"/>
  <c r="O385" i="7"/>
  <c r="C386" i="5"/>
  <c r="J386" i="5"/>
  <c r="H386" i="5"/>
  <c r="M386" i="5" s="1"/>
  <c r="K386" i="7"/>
  <c r="I386" i="7"/>
  <c r="B387" i="5" l="1"/>
  <c r="K386" i="5"/>
  <c r="I386" i="5"/>
  <c r="N386" i="5" s="1"/>
  <c r="N386" i="7"/>
  <c r="C387" i="7"/>
  <c r="B388" i="7" s="1"/>
  <c r="L386" i="7"/>
  <c r="J386" i="7"/>
  <c r="C387" i="5" l="1"/>
  <c r="J387" i="5"/>
  <c r="H387" i="5"/>
  <c r="M387" i="5" s="1"/>
  <c r="O386" i="7"/>
  <c r="K387" i="7"/>
  <c r="I387" i="7"/>
  <c r="B388" i="5" l="1"/>
  <c r="K387" i="5"/>
  <c r="I387" i="5"/>
  <c r="N387" i="7"/>
  <c r="C388" i="7"/>
  <c r="B389" i="7" s="1"/>
  <c r="L387" i="7"/>
  <c r="J387" i="7"/>
  <c r="N387" i="5" l="1"/>
  <c r="C388" i="5"/>
  <c r="J388" i="5"/>
  <c r="H388" i="5"/>
  <c r="O387" i="7"/>
  <c r="K388" i="7"/>
  <c r="I388" i="7"/>
  <c r="M388" i="5" l="1"/>
  <c r="B389" i="5"/>
  <c r="K388" i="5"/>
  <c r="I388" i="5"/>
  <c r="C389" i="7"/>
  <c r="B390" i="7" s="1"/>
  <c r="L388" i="7"/>
  <c r="J388" i="7"/>
  <c r="N388" i="7"/>
  <c r="N388" i="5" l="1"/>
  <c r="O388" i="7"/>
  <c r="C389" i="5"/>
  <c r="J389" i="5"/>
  <c r="H389" i="5"/>
  <c r="M389" i="5" s="1"/>
  <c r="K389" i="7"/>
  <c r="I389" i="7"/>
  <c r="N389" i="7" l="1"/>
  <c r="B390" i="5"/>
  <c r="K389" i="5"/>
  <c r="I389" i="5"/>
  <c r="C390" i="7"/>
  <c r="B391" i="7" s="1"/>
  <c r="L389" i="7"/>
  <c r="J389" i="7"/>
  <c r="N389" i="5" l="1"/>
  <c r="O389" i="7"/>
  <c r="C390" i="5"/>
  <c r="J390" i="5"/>
  <c r="H390" i="5"/>
  <c r="M390" i="5" s="1"/>
  <c r="K390" i="7"/>
  <c r="I390" i="7"/>
  <c r="N390" i="7" l="1"/>
  <c r="B391" i="5"/>
  <c r="K390" i="5"/>
  <c r="I390" i="5"/>
  <c r="C391" i="7"/>
  <c r="B392" i="7" s="1"/>
  <c r="L390" i="7"/>
  <c r="J390" i="7"/>
  <c r="N390" i="5" l="1"/>
  <c r="C391" i="5"/>
  <c r="J391" i="5"/>
  <c r="H391" i="5"/>
  <c r="O390" i="7"/>
  <c r="K391" i="7"/>
  <c r="I391" i="7"/>
  <c r="M391" i="5" l="1"/>
  <c r="B392" i="5"/>
  <c r="I391" i="5"/>
  <c r="K391" i="5"/>
  <c r="N391" i="7"/>
  <c r="C392" i="7"/>
  <c r="B393" i="7" s="1"/>
  <c r="L391" i="7"/>
  <c r="J391" i="7"/>
  <c r="O391" i="7" l="1"/>
  <c r="N391" i="5"/>
  <c r="C392" i="5"/>
  <c r="J392" i="5"/>
  <c r="H392" i="5"/>
  <c r="K392" i="7"/>
  <c r="I392" i="7"/>
  <c r="N392" i="7" l="1"/>
  <c r="M392" i="5"/>
  <c r="B393" i="5"/>
  <c r="K392" i="5"/>
  <c r="I392" i="5"/>
  <c r="N392" i="5" s="1"/>
  <c r="C393" i="7"/>
  <c r="B394" i="7" s="1"/>
  <c r="L392" i="7"/>
  <c r="J392" i="7"/>
  <c r="C393" i="5" l="1"/>
  <c r="J393" i="5"/>
  <c r="H393" i="5"/>
  <c r="M393" i="5" s="1"/>
  <c r="O392" i="7"/>
  <c r="K393" i="7"/>
  <c r="I393" i="7"/>
  <c r="N393" i="7" l="1"/>
  <c r="B394" i="5"/>
  <c r="K393" i="5"/>
  <c r="I393" i="5"/>
  <c r="C394" i="7"/>
  <c r="B395" i="7" s="1"/>
  <c r="L393" i="7"/>
  <c r="J393" i="7"/>
  <c r="N393" i="5" l="1"/>
  <c r="O393" i="7"/>
  <c r="C394" i="5"/>
  <c r="J394" i="5"/>
  <c r="H394" i="5"/>
  <c r="K394" i="7"/>
  <c r="I394" i="7"/>
  <c r="N394" i="7" l="1"/>
  <c r="M394" i="5"/>
  <c r="B395" i="5"/>
  <c r="K394" i="5"/>
  <c r="I394" i="5"/>
  <c r="C395" i="7"/>
  <c r="B396" i="7" s="1"/>
  <c r="L394" i="7"/>
  <c r="J394" i="7"/>
  <c r="N394" i="5" l="1"/>
  <c r="C395" i="5"/>
  <c r="J395" i="5"/>
  <c r="H395" i="5"/>
  <c r="O394" i="7"/>
  <c r="K395" i="7"/>
  <c r="I395" i="7"/>
  <c r="M395" i="5" l="1"/>
  <c r="B396" i="5"/>
  <c r="K395" i="5"/>
  <c r="I395" i="5"/>
  <c r="C396" i="7"/>
  <c r="B397" i="7" s="1"/>
  <c r="L395" i="7"/>
  <c r="J395" i="7"/>
  <c r="N395" i="7"/>
  <c r="N395" i="5" l="1"/>
  <c r="O395" i="7"/>
  <c r="C396" i="5"/>
  <c r="J396" i="5"/>
  <c r="H396" i="5"/>
  <c r="K396" i="7"/>
  <c r="I396" i="7"/>
  <c r="N396" i="7" s="1"/>
  <c r="M396" i="5" l="1"/>
  <c r="B397" i="5"/>
  <c r="K396" i="5"/>
  <c r="I396" i="5"/>
  <c r="C397" i="7"/>
  <c r="B398" i="7" s="1"/>
  <c r="L396" i="7"/>
  <c r="J396" i="7"/>
  <c r="N396" i="5" l="1"/>
  <c r="C397" i="5"/>
  <c r="J397" i="5"/>
  <c r="H397" i="5"/>
  <c r="O396" i="7"/>
  <c r="K397" i="7"/>
  <c r="I397" i="7"/>
  <c r="N397" i="7" l="1"/>
  <c r="M397" i="5"/>
  <c r="B398" i="5"/>
  <c r="K397" i="5"/>
  <c r="I397" i="5"/>
  <c r="C398" i="7"/>
  <c r="B399" i="7" s="1"/>
  <c r="L397" i="7"/>
  <c r="J397" i="7"/>
  <c r="N397" i="5" l="1"/>
  <c r="O397" i="7"/>
  <c r="C398" i="5"/>
  <c r="J398" i="5"/>
  <c r="H398" i="5"/>
  <c r="K398" i="7"/>
  <c r="I398" i="7"/>
  <c r="M398" i="5" l="1"/>
  <c r="N398" i="7"/>
  <c r="B399" i="5"/>
  <c r="K398" i="5"/>
  <c r="I398" i="5"/>
  <c r="C399" i="7"/>
  <c r="B400" i="7" s="1"/>
  <c r="L398" i="7"/>
  <c r="J398" i="7"/>
  <c r="N398" i="5" l="1"/>
  <c r="C399" i="5"/>
  <c r="J399" i="5"/>
  <c r="H399" i="5"/>
  <c r="M399" i="5" s="1"/>
  <c r="O398" i="7"/>
  <c r="K399" i="7"/>
  <c r="I399" i="7"/>
  <c r="B400" i="5" l="1"/>
  <c r="K399" i="5"/>
  <c r="I399" i="5"/>
  <c r="N399" i="5" s="1"/>
  <c r="C400" i="7"/>
  <c r="B401" i="7" s="1"/>
  <c r="L399" i="7"/>
  <c r="J399" i="7"/>
  <c r="N399" i="7"/>
  <c r="O399" i="7" l="1"/>
  <c r="C400" i="5"/>
  <c r="J400" i="5"/>
  <c r="H400" i="5"/>
  <c r="M400" i="5" s="1"/>
  <c r="K400" i="7"/>
  <c r="I400" i="7"/>
  <c r="B401" i="5" l="1"/>
  <c r="K400" i="5"/>
  <c r="I400" i="5"/>
  <c r="C401" i="7"/>
  <c r="B402" i="7" s="1"/>
  <c r="L400" i="7"/>
  <c r="J400" i="7"/>
  <c r="O400" i="7" s="1"/>
  <c r="N400" i="7"/>
  <c r="N400" i="5" l="1"/>
  <c r="C401" i="5"/>
  <c r="J401" i="5"/>
  <c r="H401" i="5"/>
  <c r="K401" i="7"/>
  <c r="I401" i="7"/>
  <c r="N401" i="7" s="1"/>
  <c r="M401" i="5" l="1"/>
  <c r="B402" i="5"/>
  <c r="I401" i="5"/>
  <c r="N401" i="5" s="1"/>
  <c r="K401" i="5"/>
  <c r="C402" i="7"/>
  <c r="B403" i="7" s="1"/>
  <c r="L401" i="7"/>
  <c r="J401" i="7"/>
  <c r="C402" i="5" l="1"/>
  <c r="J402" i="5"/>
  <c r="H402" i="5"/>
  <c r="O401" i="7"/>
  <c r="K402" i="7"/>
  <c r="I402" i="7"/>
  <c r="N402" i="7" l="1"/>
  <c r="M402" i="5"/>
  <c r="B403" i="5"/>
  <c r="K402" i="5"/>
  <c r="I402" i="5"/>
  <c r="N402" i="5" s="1"/>
  <c r="C403" i="7"/>
  <c r="B404" i="7" s="1"/>
  <c r="L402" i="7"/>
  <c r="J402" i="7"/>
  <c r="C403" i="5" l="1"/>
  <c r="J403" i="5"/>
  <c r="H403" i="5"/>
  <c r="M403" i="5" s="1"/>
  <c r="O402" i="7"/>
  <c r="K403" i="7"/>
  <c r="I403" i="7"/>
  <c r="B404" i="5" l="1"/>
  <c r="K403" i="5"/>
  <c r="I403" i="5"/>
  <c r="N403" i="7"/>
  <c r="C404" i="7"/>
  <c r="B405" i="7" s="1"/>
  <c r="L403" i="7"/>
  <c r="J403" i="7"/>
  <c r="N403" i="5" l="1"/>
  <c r="C404" i="5"/>
  <c r="J404" i="5"/>
  <c r="H404" i="5"/>
  <c r="M404" i="5" s="1"/>
  <c r="O403" i="7"/>
  <c r="K404" i="7"/>
  <c r="I404" i="7"/>
  <c r="B405" i="5" l="1"/>
  <c r="K404" i="5"/>
  <c r="I404" i="5"/>
  <c r="N404" i="5" s="1"/>
  <c r="N404" i="7"/>
  <c r="C405" i="7"/>
  <c r="B406" i="7" s="1"/>
  <c r="L404" i="7"/>
  <c r="J404" i="7"/>
  <c r="C405" i="5" l="1"/>
  <c r="J405" i="5"/>
  <c r="H405" i="5"/>
  <c r="M405" i="5" s="1"/>
  <c r="O404" i="7"/>
  <c r="K405" i="7"/>
  <c r="I405" i="7"/>
  <c r="B406" i="5" l="1"/>
  <c r="K405" i="5"/>
  <c r="I405" i="5"/>
  <c r="N405" i="5" s="1"/>
  <c r="N405" i="7"/>
  <c r="C406" i="7"/>
  <c r="B407" i="7" s="1"/>
  <c r="L405" i="7"/>
  <c r="J405" i="7"/>
  <c r="O405" i="7" l="1"/>
  <c r="C406" i="5"/>
  <c r="J406" i="5"/>
  <c r="H406" i="5"/>
  <c r="M406" i="5" s="1"/>
  <c r="K406" i="7"/>
  <c r="I406" i="7"/>
  <c r="N406" i="7" s="1"/>
  <c r="B407" i="5" l="1"/>
  <c r="K406" i="5"/>
  <c r="I406" i="5"/>
  <c r="N406" i="5" s="1"/>
  <c r="C407" i="7"/>
  <c r="B408" i="7" s="1"/>
  <c r="L406" i="7"/>
  <c r="J406" i="7"/>
  <c r="C407" i="5" l="1"/>
  <c r="H407" i="5"/>
  <c r="J407" i="5"/>
  <c r="O406" i="7"/>
  <c r="K407" i="7"/>
  <c r="I407" i="7"/>
  <c r="M407" i="5" l="1"/>
  <c r="B408" i="5"/>
  <c r="K407" i="5"/>
  <c r="I407" i="5"/>
  <c r="N407" i="5" s="1"/>
  <c r="C408" i="7"/>
  <c r="B409" i="7" s="1"/>
  <c r="L407" i="7"/>
  <c r="J407" i="7"/>
  <c r="N407" i="7"/>
  <c r="C408" i="5" l="1"/>
  <c r="J408" i="5"/>
  <c r="H408" i="5"/>
  <c r="M408" i="5" s="1"/>
  <c r="O407" i="7"/>
  <c r="K408" i="7"/>
  <c r="I408" i="7"/>
  <c r="N408" i="7" l="1"/>
  <c r="B409" i="5"/>
  <c r="K408" i="5"/>
  <c r="I408" i="5"/>
  <c r="J408" i="7"/>
  <c r="C409" i="7"/>
  <c r="B410" i="7" s="1"/>
  <c r="L408" i="7"/>
  <c r="N408" i="5" l="1"/>
  <c r="C409" i="5"/>
  <c r="J409" i="5"/>
  <c r="H409" i="5"/>
  <c r="O408" i="7"/>
  <c r="K409" i="7"/>
  <c r="I409" i="7"/>
  <c r="N409" i="7" l="1"/>
  <c r="M409" i="5"/>
  <c r="B410" i="5"/>
  <c r="K409" i="5"/>
  <c r="I409" i="5"/>
  <c r="N409" i="5" s="1"/>
  <c r="J409" i="7"/>
  <c r="C410" i="7"/>
  <c r="B411" i="7" s="1"/>
  <c r="L409" i="7"/>
  <c r="C410" i="5" l="1"/>
  <c r="J410" i="5"/>
  <c r="H410" i="5"/>
  <c r="M410" i="5" s="1"/>
  <c r="O409" i="7"/>
  <c r="K410" i="7"/>
  <c r="I410" i="7"/>
  <c r="N410" i="7" l="1"/>
  <c r="B411" i="5"/>
  <c r="K410" i="5"/>
  <c r="I410" i="5"/>
  <c r="J410" i="7"/>
  <c r="L410" i="7"/>
  <c r="C411" i="7"/>
  <c r="B412" i="7" s="1"/>
  <c r="N410" i="5" l="1"/>
  <c r="C411" i="5"/>
  <c r="J411" i="5"/>
  <c r="H411" i="5"/>
  <c r="O410" i="7"/>
  <c r="K411" i="7"/>
  <c r="I411" i="7"/>
  <c r="N411" i="7" l="1"/>
  <c r="M411" i="5"/>
  <c r="B412" i="5"/>
  <c r="K411" i="5"/>
  <c r="I411" i="5"/>
  <c r="N411" i="5" s="1"/>
  <c r="J411" i="7"/>
  <c r="C412" i="7"/>
  <c r="B413" i="7" s="1"/>
  <c r="L411" i="7"/>
  <c r="C412" i="5" l="1"/>
  <c r="J412" i="5"/>
  <c r="H412" i="5"/>
  <c r="M412" i="5" s="1"/>
  <c r="O411" i="7"/>
  <c r="K412" i="7"/>
  <c r="I412" i="7"/>
  <c r="N412" i="7" l="1"/>
  <c r="B413" i="5"/>
  <c r="K412" i="5"/>
  <c r="I412" i="5"/>
  <c r="J412" i="7"/>
  <c r="C413" i="7"/>
  <c r="B414" i="7" s="1"/>
  <c r="L412" i="7"/>
  <c r="N412" i="5" l="1"/>
  <c r="C413" i="5"/>
  <c r="J413" i="5"/>
  <c r="H413" i="5"/>
  <c r="O412" i="7"/>
  <c r="K413" i="7"/>
  <c r="I413" i="7"/>
  <c r="M413" i="5" l="1"/>
  <c r="N413" i="7"/>
  <c r="B414" i="5"/>
  <c r="K413" i="5"/>
  <c r="I413" i="5"/>
  <c r="J413" i="7"/>
  <c r="C414" i="7"/>
  <c r="B415" i="7" s="1"/>
  <c r="L413" i="7"/>
  <c r="N413" i="5" l="1"/>
  <c r="C414" i="5"/>
  <c r="J414" i="5"/>
  <c r="H414" i="5"/>
  <c r="O413" i="7"/>
  <c r="K414" i="7"/>
  <c r="I414" i="7"/>
  <c r="M414" i="5" l="1"/>
  <c r="N414" i="7"/>
  <c r="B415" i="5"/>
  <c r="K414" i="5"/>
  <c r="I414" i="5"/>
  <c r="N414" i="5" s="1"/>
  <c r="J414" i="7"/>
  <c r="L414" i="7"/>
  <c r="C415" i="7"/>
  <c r="B416" i="7" s="1"/>
  <c r="O414" i="7" l="1"/>
  <c r="C415" i="5"/>
  <c r="J415" i="5"/>
  <c r="H415" i="5"/>
  <c r="K415" i="7"/>
  <c r="I415" i="7"/>
  <c r="M415" i="5" l="1"/>
  <c r="B416" i="5"/>
  <c r="K415" i="5"/>
  <c r="I415" i="5"/>
  <c r="N415" i="7"/>
  <c r="J415" i="7"/>
  <c r="C416" i="7"/>
  <c r="B417" i="7" s="1"/>
  <c r="L415" i="7"/>
  <c r="N415" i="5" l="1"/>
  <c r="C416" i="5"/>
  <c r="J416" i="5"/>
  <c r="H416" i="5"/>
  <c r="O415" i="7"/>
  <c r="K416" i="7"/>
  <c r="I416" i="7"/>
  <c r="M416" i="5" l="1"/>
  <c r="B417" i="5"/>
  <c r="K416" i="5"/>
  <c r="I416" i="5"/>
  <c r="N416" i="7"/>
  <c r="J416" i="7"/>
  <c r="C417" i="7"/>
  <c r="B418" i="7" s="1"/>
  <c r="L416" i="7"/>
  <c r="N416" i="5" l="1"/>
  <c r="C417" i="5"/>
  <c r="H417" i="5"/>
  <c r="J417" i="5"/>
  <c r="O416" i="7"/>
  <c r="K417" i="7"/>
  <c r="I417" i="7"/>
  <c r="M417" i="5" l="1"/>
  <c r="N417" i="7"/>
  <c r="B418" i="5"/>
  <c r="K417" i="5"/>
  <c r="I417" i="5"/>
  <c r="N417" i="5" s="1"/>
  <c r="J417" i="7"/>
  <c r="C418" i="7"/>
  <c r="B419" i="7" s="1"/>
  <c r="L417" i="7"/>
  <c r="C418" i="5" l="1"/>
  <c r="J418" i="5"/>
  <c r="H418" i="5"/>
  <c r="O417" i="7"/>
  <c r="K418" i="7"/>
  <c r="I418" i="7"/>
  <c r="M418" i="5" l="1"/>
  <c r="N418" i="7"/>
  <c r="B419" i="5"/>
  <c r="K418" i="5"/>
  <c r="I418" i="5"/>
  <c r="J418" i="7"/>
  <c r="L418" i="7"/>
  <c r="C419" i="7"/>
  <c r="B420" i="7" s="1"/>
  <c r="N418" i="5" l="1"/>
  <c r="C419" i="5"/>
  <c r="J419" i="5"/>
  <c r="H419" i="5"/>
  <c r="O418" i="7"/>
  <c r="K419" i="7"/>
  <c r="I419" i="7"/>
  <c r="M419" i="5" l="1"/>
  <c r="N419" i="7"/>
  <c r="B420" i="5"/>
  <c r="K419" i="5"/>
  <c r="I419" i="5"/>
  <c r="J419" i="7"/>
  <c r="C420" i="7"/>
  <c r="B421" i="7" s="1"/>
  <c r="L419" i="7"/>
  <c r="N419" i="5" l="1"/>
  <c r="C420" i="5"/>
  <c r="J420" i="5"/>
  <c r="H420" i="5"/>
  <c r="M420" i="5" s="1"/>
  <c r="O419" i="7"/>
  <c r="K420" i="7"/>
  <c r="I420" i="7"/>
  <c r="B421" i="5" l="1"/>
  <c r="K420" i="5"/>
  <c r="I420" i="5"/>
  <c r="N420" i="7"/>
  <c r="J420" i="7"/>
  <c r="C421" i="7"/>
  <c r="B422" i="7" s="1"/>
  <c r="L420" i="7"/>
  <c r="N420" i="5" l="1"/>
  <c r="C421" i="5"/>
  <c r="J421" i="5"/>
  <c r="H421" i="5"/>
  <c r="M421" i="5" s="1"/>
  <c r="O420" i="7"/>
  <c r="K421" i="7"/>
  <c r="I421" i="7"/>
  <c r="B422" i="5" l="1"/>
  <c r="K421" i="5"/>
  <c r="I421" i="5"/>
  <c r="N421" i="5" s="1"/>
  <c r="N421" i="7"/>
  <c r="J421" i="7"/>
  <c r="C422" i="7"/>
  <c r="B423" i="7" s="1"/>
  <c r="L421" i="7"/>
  <c r="C422" i="5" l="1"/>
  <c r="J422" i="5"/>
  <c r="H422" i="5"/>
  <c r="M422" i="5" s="1"/>
  <c r="O421" i="7"/>
  <c r="K422" i="7"/>
  <c r="I422" i="7"/>
  <c r="N422" i="7" s="1"/>
  <c r="B423" i="5" l="1"/>
  <c r="K422" i="5"/>
  <c r="I422" i="5"/>
  <c r="N422" i="5" s="1"/>
  <c r="J422" i="7"/>
  <c r="L422" i="7"/>
  <c r="C423" i="7"/>
  <c r="B424" i="7" s="1"/>
  <c r="O422" i="7" l="1"/>
  <c r="C423" i="5"/>
  <c r="J423" i="5"/>
  <c r="H423" i="5"/>
  <c r="K423" i="7"/>
  <c r="I423" i="7"/>
  <c r="N423" i="7" s="1"/>
  <c r="M423" i="5" l="1"/>
  <c r="B424" i="5"/>
  <c r="I423" i="5"/>
  <c r="K423" i="5"/>
  <c r="J423" i="7"/>
  <c r="C424" i="7"/>
  <c r="B425" i="7" s="1"/>
  <c r="L423" i="7"/>
  <c r="N423" i="5" l="1"/>
  <c r="C424" i="5"/>
  <c r="J424" i="5"/>
  <c r="H424" i="5"/>
  <c r="O423" i="7"/>
  <c r="K424" i="7"/>
  <c r="I424" i="7"/>
  <c r="M424" i="5" l="1"/>
  <c r="N424" i="7"/>
  <c r="B425" i="5"/>
  <c r="K424" i="5"/>
  <c r="I424" i="5"/>
  <c r="N424" i="5" s="1"/>
  <c r="J424" i="7"/>
  <c r="C425" i="7"/>
  <c r="B426" i="7" s="1"/>
  <c r="L424" i="7"/>
  <c r="C425" i="5" l="1"/>
  <c r="J425" i="5"/>
  <c r="H425" i="5"/>
  <c r="K425" i="7"/>
  <c r="I425" i="7"/>
  <c r="O424" i="7"/>
  <c r="M425" i="5" l="1"/>
  <c r="N425" i="7"/>
  <c r="B426" i="5"/>
  <c r="K425" i="5"/>
  <c r="I425" i="5"/>
  <c r="N425" i="5" s="1"/>
  <c r="J425" i="7"/>
  <c r="L425" i="7"/>
  <c r="C426" i="7"/>
  <c r="B427" i="7" s="1"/>
  <c r="C426" i="5" l="1"/>
  <c r="J426" i="5"/>
  <c r="H426" i="5"/>
  <c r="M426" i="5" s="1"/>
  <c r="O425" i="7"/>
  <c r="K426" i="7"/>
  <c r="I426" i="7"/>
  <c r="N426" i="7" s="1"/>
  <c r="B427" i="5" l="1"/>
  <c r="K426" i="5"/>
  <c r="I426" i="5"/>
  <c r="J426" i="7"/>
  <c r="C427" i="7"/>
  <c r="B428" i="7" s="1"/>
  <c r="L426" i="7"/>
  <c r="N426" i="5" l="1"/>
  <c r="C427" i="5"/>
  <c r="J427" i="5"/>
  <c r="H427" i="5"/>
  <c r="O426" i="7"/>
  <c r="K427" i="7"/>
  <c r="I427" i="7"/>
  <c r="M427" i="5" l="1"/>
  <c r="N427" i="7"/>
  <c r="B428" i="5"/>
  <c r="K427" i="5"/>
  <c r="I427" i="5"/>
  <c r="N427" i="5" s="1"/>
  <c r="J427" i="7"/>
  <c r="L427" i="7"/>
  <c r="C428" i="7"/>
  <c r="B429" i="7" s="1"/>
  <c r="O427" i="7" l="1"/>
  <c r="C428" i="5"/>
  <c r="J428" i="5"/>
  <c r="H428" i="5"/>
  <c r="K428" i="7"/>
  <c r="I428" i="7"/>
  <c r="M428" i="5" l="1"/>
  <c r="B429" i="5"/>
  <c r="K428" i="5"/>
  <c r="I428" i="5"/>
  <c r="N428" i="7"/>
  <c r="J428" i="7"/>
  <c r="C429" i="7"/>
  <c r="B430" i="7" s="1"/>
  <c r="L428" i="7"/>
  <c r="N428" i="5" l="1"/>
  <c r="C429" i="5"/>
  <c r="J429" i="5"/>
  <c r="H429" i="5"/>
  <c r="O428" i="7"/>
  <c r="K429" i="7"/>
  <c r="I429" i="7"/>
  <c r="N429" i="7" l="1"/>
  <c r="M429" i="5"/>
  <c r="B430" i="5"/>
  <c r="K429" i="5"/>
  <c r="I429" i="5"/>
  <c r="J429" i="7"/>
  <c r="C430" i="7"/>
  <c r="B431" i="7" s="1"/>
  <c r="L429" i="7"/>
  <c r="N429" i="5" l="1"/>
  <c r="C430" i="5"/>
  <c r="J430" i="5"/>
  <c r="H430" i="5"/>
  <c r="M430" i="5" s="1"/>
  <c r="O429" i="7"/>
  <c r="K430" i="7"/>
  <c r="I430" i="7"/>
  <c r="N430" i="7" l="1"/>
  <c r="B431" i="5"/>
  <c r="K430" i="5"/>
  <c r="I430" i="5"/>
  <c r="N430" i="5" s="1"/>
  <c r="J430" i="7"/>
  <c r="L430" i="7"/>
  <c r="C431" i="7"/>
  <c r="B432" i="7" s="1"/>
  <c r="C431" i="5" l="1"/>
  <c r="J431" i="5"/>
  <c r="H431" i="5"/>
  <c r="M431" i="5" s="1"/>
  <c r="O430" i="7"/>
  <c r="K431" i="7"/>
  <c r="I431" i="7"/>
  <c r="B432" i="5" l="1"/>
  <c r="K431" i="5"/>
  <c r="I431" i="5"/>
  <c r="N431" i="5" s="1"/>
  <c r="N431" i="7"/>
  <c r="J431" i="7"/>
  <c r="C432" i="7"/>
  <c r="B433" i="7" s="1"/>
  <c r="L431" i="7"/>
  <c r="C432" i="5" l="1"/>
  <c r="J432" i="5"/>
  <c r="H432" i="5"/>
  <c r="M432" i="5" s="1"/>
  <c r="K432" i="7"/>
  <c r="I432" i="7"/>
  <c r="O431" i="7"/>
  <c r="N432" i="7" l="1"/>
  <c r="B433" i="5"/>
  <c r="K432" i="5"/>
  <c r="I432" i="5"/>
  <c r="J432" i="7"/>
  <c r="C433" i="7"/>
  <c r="B434" i="7" s="1"/>
  <c r="L432" i="7"/>
  <c r="N432" i="5" l="1"/>
  <c r="C433" i="5"/>
  <c r="J433" i="5"/>
  <c r="H433" i="5"/>
  <c r="K433" i="7"/>
  <c r="I433" i="7"/>
  <c r="O432" i="7"/>
  <c r="M433" i="5" l="1"/>
  <c r="B434" i="5"/>
  <c r="K433" i="5"/>
  <c r="I433" i="5"/>
  <c r="N433" i="7"/>
  <c r="J433" i="7"/>
  <c r="L433" i="7"/>
  <c r="C434" i="7"/>
  <c r="B435" i="7" s="1"/>
  <c r="N433" i="5" l="1"/>
  <c r="O433" i="7"/>
  <c r="C434" i="5"/>
  <c r="J434" i="5"/>
  <c r="H434" i="5"/>
  <c r="K434" i="7"/>
  <c r="I434" i="7"/>
  <c r="N434" i="7" l="1"/>
  <c r="M434" i="5"/>
  <c r="B435" i="5"/>
  <c r="K434" i="5"/>
  <c r="I434" i="5"/>
  <c r="N434" i="5" s="1"/>
  <c r="J434" i="7"/>
  <c r="C435" i="7"/>
  <c r="B436" i="7" s="1"/>
  <c r="L434" i="7"/>
  <c r="C435" i="5" l="1"/>
  <c r="J435" i="5"/>
  <c r="H435" i="5"/>
  <c r="O434" i="7"/>
  <c r="K435" i="7"/>
  <c r="I435" i="7"/>
  <c r="M435" i="5" l="1"/>
  <c r="B436" i="5"/>
  <c r="K435" i="5"/>
  <c r="I435" i="5"/>
  <c r="N435" i="7"/>
  <c r="J435" i="7"/>
  <c r="L435" i="7"/>
  <c r="C436" i="7"/>
  <c r="B437" i="7" s="1"/>
  <c r="N435" i="5" l="1"/>
  <c r="C436" i="5"/>
  <c r="J436" i="5"/>
  <c r="H436" i="5"/>
  <c r="O435" i="7"/>
  <c r="K436" i="7"/>
  <c r="I436" i="7"/>
  <c r="M436" i="5" l="1"/>
  <c r="B437" i="5"/>
  <c r="K436" i="5"/>
  <c r="I436" i="5"/>
  <c r="N436" i="7"/>
  <c r="J436" i="7"/>
  <c r="C437" i="7"/>
  <c r="B438" i="7" s="1"/>
  <c r="L436" i="7"/>
  <c r="N436" i="5" l="1"/>
  <c r="C437" i="5"/>
  <c r="J437" i="5"/>
  <c r="H437" i="5"/>
  <c r="M437" i="5" s="1"/>
  <c r="O436" i="7"/>
  <c r="K437" i="7"/>
  <c r="I437" i="7"/>
  <c r="B438" i="5" l="1"/>
  <c r="K437" i="5"/>
  <c r="I437" i="5"/>
  <c r="N437" i="7"/>
  <c r="J437" i="7"/>
  <c r="C438" i="7"/>
  <c r="B439" i="7" s="1"/>
  <c r="L437" i="7"/>
  <c r="N437" i="5" l="1"/>
  <c r="C438" i="5"/>
  <c r="J438" i="5"/>
  <c r="H438" i="5"/>
  <c r="M438" i="5" s="1"/>
  <c r="K438" i="7"/>
  <c r="I438" i="7"/>
  <c r="O437" i="7"/>
  <c r="B439" i="5" l="1"/>
  <c r="K438" i="5"/>
  <c r="I438" i="5"/>
  <c r="N438" i="7"/>
  <c r="J438" i="7"/>
  <c r="C439" i="7"/>
  <c r="B440" i="7" s="1"/>
  <c r="L438" i="7"/>
  <c r="N438" i="5" l="1"/>
  <c r="C439" i="5"/>
  <c r="J439" i="5"/>
  <c r="H439" i="5"/>
  <c r="O438" i="7"/>
  <c r="K439" i="7"/>
  <c r="I439" i="7"/>
  <c r="N439" i="7" l="1"/>
  <c r="M439" i="5"/>
  <c r="B440" i="5"/>
  <c r="I439" i="5"/>
  <c r="K439" i="5"/>
  <c r="J439" i="7"/>
  <c r="C440" i="7"/>
  <c r="B441" i="7" s="1"/>
  <c r="L439" i="7"/>
  <c r="N439" i="5" l="1"/>
  <c r="C440" i="5"/>
  <c r="J440" i="5"/>
  <c r="H440" i="5"/>
  <c r="O439" i="7"/>
  <c r="K440" i="7"/>
  <c r="I440" i="7"/>
  <c r="N440" i="7" l="1"/>
  <c r="M440" i="5"/>
  <c r="B441" i="5"/>
  <c r="K440" i="5"/>
  <c r="I440" i="5"/>
  <c r="J440" i="7"/>
  <c r="C441" i="7"/>
  <c r="B442" i="7" s="1"/>
  <c r="L440" i="7"/>
  <c r="N440" i="5" l="1"/>
  <c r="C441" i="5"/>
  <c r="J441" i="5"/>
  <c r="H441" i="5"/>
  <c r="O440" i="7"/>
  <c r="K441" i="7"/>
  <c r="I441" i="7"/>
  <c r="M441" i="5" l="1"/>
  <c r="B442" i="5"/>
  <c r="K441" i="5"/>
  <c r="I441" i="5"/>
  <c r="N441" i="5" s="1"/>
  <c r="N441" i="7"/>
  <c r="J441" i="7"/>
  <c r="C442" i="7"/>
  <c r="B443" i="7" s="1"/>
  <c r="L441" i="7"/>
  <c r="C442" i="5" l="1"/>
  <c r="J442" i="5"/>
  <c r="H442" i="5"/>
  <c r="K442" i="7"/>
  <c r="I442" i="7"/>
  <c r="N442" i="7" s="1"/>
  <c r="O441" i="7"/>
  <c r="M442" i="5" l="1"/>
  <c r="B443" i="5"/>
  <c r="K442" i="5"/>
  <c r="I442" i="5"/>
  <c r="N442" i="5" s="1"/>
  <c r="J442" i="7"/>
  <c r="C443" i="7"/>
  <c r="B444" i="7" s="1"/>
  <c r="L442" i="7"/>
  <c r="C443" i="5" l="1"/>
  <c r="J443" i="5"/>
  <c r="H443" i="5"/>
  <c r="O442" i="7"/>
  <c r="K443" i="7"/>
  <c r="I443" i="7"/>
  <c r="M443" i="5" l="1"/>
  <c r="N443" i="7"/>
  <c r="B444" i="5"/>
  <c r="K443" i="5"/>
  <c r="I443" i="5"/>
  <c r="J443" i="7"/>
  <c r="C444" i="7"/>
  <c r="B445" i="7" s="1"/>
  <c r="L443" i="7"/>
  <c r="N443" i="5" l="1"/>
  <c r="C444" i="5"/>
  <c r="J444" i="5"/>
  <c r="H444" i="5"/>
  <c r="M444" i="5" s="1"/>
  <c r="K444" i="7"/>
  <c r="I444" i="7"/>
  <c r="N444" i="7" s="1"/>
  <c r="O443" i="7"/>
  <c r="B445" i="5" l="1"/>
  <c r="K444" i="5"/>
  <c r="I444" i="5"/>
  <c r="J444" i="7"/>
  <c r="C445" i="7"/>
  <c r="B446" i="7" s="1"/>
  <c r="L444" i="7"/>
  <c r="N444" i="5" l="1"/>
  <c r="C445" i="5"/>
  <c r="J445" i="5"/>
  <c r="H445" i="5"/>
  <c r="M445" i="5" s="1"/>
  <c r="O444" i="7"/>
  <c r="K445" i="7"/>
  <c r="I445" i="7"/>
  <c r="B446" i="5" l="1"/>
  <c r="K445" i="5"/>
  <c r="I445" i="5"/>
  <c r="N445" i="7"/>
  <c r="J445" i="7"/>
  <c r="C446" i="7"/>
  <c r="B447" i="7" s="1"/>
  <c r="L445" i="7"/>
  <c r="N445" i="5" l="1"/>
  <c r="C446" i="5"/>
  <c r="J446" i="5"/>
  <c r="H446" i="5"/>
  <c r="K446" i="7"/>
  <c r="I446" i="7"/>
  <c r="N446" i="7" s="1"/>
  <c r="O445" i="7"/>
  <c r="M446" i="5" l="1"/>
  <c r="B447" i="5"/>
  <c r="K446" i="5"/>
  <c r="I446" i="5"/>
  <c r="J446" i="7"/>
  <c r="C447" i="7"/>
  <c r="B448" i="7" s="1"/>
  <c r="L446" i="7"/>
  <c r="N446" i="5" l="1"/>
  <c r="C447" i="5"/>
  <c r="J447" i="5"/>
  <c r="H447" i="5"/>
  <c r="K447" i="7"/>
  <c r="I447" i="7"/>
  <c r="N447" i="7" s="1"/>
  <c r="O446" i="7"/>
  <c r="M447" i="5" l="1"/>
  <c r="B448" i="5"/>
  <c r="K447" i="5"/>
  <c r="I447" i="5"/>
  <c r="J447" i="7"/>
  <c r="C448" i="7"/>
  <c r="B449" i="7" s="1"/>
  <c r="L447" i="7"/>
  <c r="N447" i="5" l="1"/>
  <c r="C448" i="5"/>
  <c r="J448" i="5"/>
  <c r="H448" i="5"/>
  <c r="K448" i="7"/>
  <c r="I448" i="7"/>
  <c r="O447" i="7"/>
  <c r="M448" i="5" l="1"/>
  <c r="N448" i="7"/>
  <c r="B449" i="5"/>
  <c r="K448" i="5"/>
  <c r="I448" i="5"/>
  <c r="J448" i="7"/>
  <c r="C449" i="7"/>
  <c r="B450" i="7" s="1"/>
  <c r="L448" i="7"/>
  <c r="N448" i="5" l="1"/>
  <c r="C449" i="5"/>
  <c r="J449" i="5"/>
  <c r="H449" i="5"/>
  <c r="K449" i="7"/>
  <c r="I449" i="7"/>
  <c r="O448" i="7"/>
  <c r="M449" i="5" l="1"/>
  <c r="N449" i="7"/>
  <c r="B450" i="5"/>
  <c r="K449" i="5"/>
  <c r="I449" i="5"/>
  <c r="N449" i="5" s="1"/>
  <c r="J449" i="7"/>
  <c r="C450" i="7"/>
  <c r="B451" i="7" s="1"/>
  <c r="L449" i="7"/>
  <c r="C450" i="5" l="1"/>
  <c r="J450" i="5"/>
  <c r="H450" i="5"/>
  <c r="M450" i="5" s="1"/>
  <c r="K450" i="7"/>
  <c r="I450" i="7"/>
  <c r="O449" i="7"/>
  <c r="B451" i="5" l="1"/>
  <c r="K450" i="5"/>
  <c r="I450" i="5"/>
  <c r="N450" i="7"/>
  <c r="J450" i="7"/>
  <c r="C451" i="7"/>
  <c r="B452" i="7" s="1"/>
  <c r="L450" i="7"/>
  <c r="N450" i="5" l="1"/>
  <c r="C451" i="5"/>
  <c r="J451" i="5"/>
  <c r="H451" i="5"/>
  <c r="M451" i="5" s="1"/>
  <c r="O450" i="7"/>
  <c r="K451" i="7"/>
  <c r="I451" i="7"/>
  <c r="B452" i="5" l="1"/>
  <c r="K451" i="5"/>
  <c r="I451" i="5"/>
  <c r="N451" i="7"/>
  <c r="J451" i="7"/>
  <c r="L451" i="7"/>
  <c r="C452" i="7"/>
  <c r="B453" i="7" s="1"/>
  <c r="N451" i="5" l="1"/>
  <c r="C452" i="5"/>
  <c r="J452" i="5"/>
  <c r="H452" i="5"/>
  <c r="M452" i="5" s="1"/>
  <c r="O451" i="7"/>
  <c r="K452" i="7"/>
  <c r="I452" i="7"/>
  <c r="B453" i="5" l="1"/>
  <c r="K452" i="5"/>
  <c r="I452" i="5"/>
  <c r="N452" i="7"/>
  <c r="J452" i="7"/>
  <c r="C453" i="7"/>
  <c r="B454" i="7" s="1"/>
  <c r="L452" i="7"/>
  <c r="N452" i="5" l="1"/>
  <c r="C453" i="5"/>
  <c r="J453" i="5"/>
  <c r="H453" i="5"/>
  <c r="M453" i="5" s="1"/>
  <c r="K453" i="7"/>
  <c r="I453" i="7"/>
  <c r="O452" i="7"/>
  <c r="B454" i="5" l="1"/>
  <c r="K453" i="5"/>
  <c r="I453" i="5"/>
  <c r="N453" i="7"/>
  <c r="J453" i="7"/>
  <c r="C454" i="7"/>
  <c r="B455" i="7" s="1"/>
  <c r="L453" i="7"/>
  <c r="N453" i="5" l="1"/>
  <c r="C454" i="5"/>
  <c r="J454" i="5"/>
  <c r="H454" i="5"/>
  <c r="M454" i="5" s="1"/>
  <c r="K454" i="7"/>
  <c r="I454" i="7"/>
  <c r="O453" i="7"/>
  <c r="B455" i="5" l="1"/>
  <c r="K454" i="5"/>
  <c r="I454" i="5"/>
  <c r="N454" i="7"/>
  <c r="J454" i="7"/>
  <c r="C455" i="7"/>
  <c r="B456" i="7" s="1"/>
  <c r="L454" i="7"/>
  <c r="N454" i="5" l="1"/>
  <c r="C455" i="5"/>
  <c r="J455" i="5"/>
  <c r="H455" i="5"/>
  <c r="O454" i="7"/>
  <c r="K455" i="7"/>
  <c r="I455" i="7"/>
  <c r="N455" i="7" l="1"/>
  <c r="M455" i="5"/>
  <c r="B456" i="5"/>
  <c r="I455" i="5"/>
  <c r="K455" i="5"/>
  <c r="J455" i="7"/>
  <c r="C456" i="7"/>
  <c r="B457" i="7" s="1"/>
  <c r="L455" i="7"/>
  <c r="N455" i="5" l="1"/>
  <c r="C456" i="5"/>
  <c r="J456" i="5"/>
  <c r="H456" i="5"/>
  <c r="K456" i="7"/>
  <c r="I456" i="7"/>
  <c r="O455" i="7"/>
  <c r="N456" i="7" l="1"/>
  <c r="M456" i="5"/>
  <c r="B457" i="5"/>
  <c r="K456" i="5"/>
  <c r="I456" i="5"/>
  <c r="J456" i="7"/>
  <c r="L456" i="7"/>
  <c r="C457" i="7"/>
  <c r="B458" i="7" s="1"/>
  <c r="N456" i="5" l="1"/>
  <c r="O456" i="7"/>
  <c r="C457" i="5"/>
  <c r="J457" i="5"/>
  <c r="H457" i="5"/>
  <c r="K457" i="7"/>
  <c r="I457" i="7"/>
  <c r="M457" i="5" l="1"/>
  <c r="B458" i="5"/>
  <c r="K457" i="5"/>
  <c r="I457" i="5"/>
  <c r="N457" i="5" s="1"/>
  <c r="J457" i="7"/>
  <c r="C458" i="7"/>
  <c r="B459" i="7" s="1"/>
  <c r="L457" i="7"/>
  <c r="N457" i="7"/>
  <c r="C458" i="5" l="1"/>
  <c r="J458" i="5"/>
  <c r="H458" i="5"/>
  <c r="K458" i="7"/>
  <c r="I458" i="7"/>
  <c r="O457" i="7"/>
  <c r="N458" i="7" l="1"/>
  <c r="M458" i="5"/>
  <c r="B459" i="5"/>
  <c r="K458" i="5"/>
  <c r="I458" i="5"/>
  <c r="N458" i="5" s="1"/>
  <c r="J458" i="7"/>
  <c r="C459" i="7"/>
  <c r="B460" i="7" s="1"/>
  <c r="L458" i="7"/>
  <c r="C459" i="5" l="1"/>
  <c r="J459" i="5"/>
  <c r="H459" i="5"/>
  <c r="O458" i="7"/>
  <c r="K459" i="7"/>
  <c r="I459" i="7"/>
  <c r="M459" i="5" l="1"/>
  <c r="B460" i="5"/>
  <c r="K459" i="5"/>
  <c r="I459" i="5"/>
  <c r="N459" i="7"/>
  <c r="J459" i="7"/>
  <c r="L459" i="7"/>
  <c r="C460" i="7"/>
  <c r="B461" i="7" s="1"/>
  <c r="N459" i="5" l="1"/>
  <c r="O459" i="7"/>
  <c r="C460" i="5"/>
  <c r="J460" i="5"/>
  <c r="H460" i="5"/>
  <c r="M460" i="5" s="1"/>
  <c r="K460" i="7"/>
  <c r="I460" i="7"/>
  <c r="B461" i="5" l="1"/>
  <c r="K460" i="5"/>
  <c r="I460" i="5"/>
  <c r="N460" i="5" s="1"/>
  <c r="N460" i="7"/>
  <c r="J460" i="7"/>
  <c r="C461" i="7"/>
  <c r="B462" i="7" s="1"/>
  <c r="L460" i="7"/>
  <c r="C461" i="5" l="1"/>
  <c r="J461" i="5"/>
  <c r="H461" i="5"/>
  <c r="O460" i="7"/>
  <c r="K461" i="7"/>
  <c r="I461" i="7"/>
  <c r="M461" i="5" l="1"/>
  <c r="B462" i="5"/>
  <c r="K461" i="5"/>
  <c r="I461" i="5"/>
  <c r="J461" i="7"/>
  <c r="C462" i="7"/>
  <c r="B463" i="7" s="1"/>
  <c r="L461" i="7"/>
  <c r="N461" i="7"/>
  <c r="N461" i="5" l="1"/>
  <c r="C462" i="5"/>
  <c r="J462" i="5"/>
  <c r="H462" i="5"/>
  <c r="K462" i="7"/>
  <c r="I462" i="7"/>
  <c r="N462" i="7" s="1"/>
  <c r="O461" i="7"/>
  <c r="M462" i="5" l="1"/>
  <c r="B463" i="5"/>
  <c r="K462" i="5"/>
  <c r="I462" i="5"/>
  <c r="J462" i="7"/>
  <c r="C463" i="7"/>
  <c r="B464" i="7" s="1"/>
  <c r="L462" i="7"/>
  <c r="N462" i="5" l="1"/>
  <c r="C463" i="5"/>
  <c r="J463" i="5"/>
  <c r="H463" i="5"/>
  <c r="O462" i="7"/>
  <c r="K463" i="7"/>
  <c r="I463" i="7"/>
  <c r="M463" i="5" l="1"/>
  <c r="B464" i="5"/>
  <c r="K463" i="5"/>
  <c r="I463" i="5"/>
  <c r="N463" i="7"/>
  <c r="J463" i="7"/>
  <c r="C464" i="7"/>
  <c r="B465" i="7" s="1"/>
  <c r="L463" i="7"/>
  <c r="N463" i="5" l="1"/>
  <c r="C464" i="5"/>
  <c r="J464" i="5"/>
  <c r="H464" i="5"/>
  <c r="K464" i="7"/>
  <c r="I464" i="7"/>
  <c r="O463" i="7"/>
  <c r="M464" i="5" l="1"/>
  <c r="B465" i="5"/>
  <c r="K464" i="5"/>
  <c r="I464" i="5"/>
  <c r="N464" i="7"/>
  <c r="J464" i="7"/>
  <c r="C465" i="7"/>
  <c r="B466" i="7" s="1"/>
  <c r="L464" i="7"/>
  <c r="N464" i="5" l="1"/>
  <c r="C465" i="5"/>
  <c r="J465" i="5"/>
  <c r="H465" i="5"/>
  <c r="O464" i="7"/>
  <c r="K465" i="7"/>
  <c r="I465" i="7"/>
  <c r="M465" i="5" l="1"/>
  <c r="B466" i="5"/>
  <c r="I465" i="5"/>
  <c r="K465" i="5"/>
  <c r="N465" i="7"/>
  <c r="J465" i="7"/>
  <c r="C466" i="7"/>
  <c r="B467" i="7" s="1"/>
  <c r="L465" i="7"/>
  <c r="N465" i="5" l="1"/>
  <c r="C466" i="5"/>
  <c r="J466" i="5"/>
  <c r="H466" i="5"/>
  <c r="O465" i="7"/>
  <c r="K466" i="7"/>
  <c r="I466" i="7"/>
  <c r="M466" i="5" l="1"/>
  <c r="B467" i="5"/>
  <c r="K466" i="5"/>
  <c r="I466" i="5"/>
  <c r="N466" i="7"/>
  <c r="J466" i="7"/>
  <c r="C467" i="7"/>
  <c r="B468" i="7" s="1"/>
  <c r="L466" i="7"/>
  <c r="N466" i="5" l="1"/>
  <c r="C467" i="5"/>
  <c r="J467" i="5"/>
  <c r="H467" i="5"/>
  <c r="O466" i="7"/>
  <c r="K467" i="7"/>
  <c r="I467" i="7"/>
  <c r="N467" i="7" s="1"/>
  <c r="M467" i="5" l="1"/>
  <c r="B468" i="5"/>
  <c r="K467" i="5"/>
  <c r="I467" i="5"/>
  <c r="J467" i="7"/>
  <c r="C468" i="7"/>
  <c r="B469" i="7" s="1"/>
  <c r="L467" i="7"/>
  <c r="N467" i="5" l="1"/>
  <c r="C468" i="5"/>
  <c r="J468" i="5"/>
  <c r="H468" i="5"/>
  <c r="O467" i="7"/>
  <c r="K468" i="7"/>
  <c r="I468" i="7"/>
  <c r="M468" i="5" l="1"/>
  <c r="N468" i="7"/>
  <c r="B469" i="5"/>
  <c r="K468" i="5"/>
  <c r="I468" i="5"/>
  <c r="J468" i="7"/>
  <c r="C469" i="7"/>
  <c r="B470" i="7" s="1"/>
  <c r="L468" i="7"/>
  <c r="N468" i="5" l="1"/>
  <c r="C469" i="5"/>
  <c r="J469" i="5"/>
  <c r="H469" i="5"/>
  <c r="O468" i="7"/>
  <c r="K469" i="7"/>
  <c r="I469" i="7"/>
  <c r="M469" i="5" l="1"/>
  <c r="B470" i="5"/>
  <c r="K469" i="5"/>
  <c r="I469" i="5"/>
  <c r="N469" i="7"/>
  <c r="J469" i="7"/>
  <c r="C470" i="7"/>
  <c r="B471" i="7" s="1"/>
  <c r="L469" i="7"/>
  <c r="N469" i="5" l="1"/>
  <c r="C470" i="5"/>
  <c r="H470" i="5"/>
  <c r="J470" i="5"/>
  <c r="O469" i="7"/>
  <c r="K470" i="7"/>
  <c r="I470" i="7"/>
  <c r="M470" i="5" l="1"/>
  <c r="B471" i="5"/>
  <c r="K470" i="5"/>
  <c r="I470" i="5"/>
  <c r="N470" i="7"/>
  <c r="J470" i="7"/>
  <c r="C471" i="7"/>
  <c r="B472" i="7" s="1"/>
  <c r="L470" i="7"/>
  <c r="N470" i="5" l="1"/>
  <c r="C471" i="5"/>
  <c r="J471" i="5"/>
  <c r="H471" i="5"/>
  <c r="K471" i="7"/>
  <c r="I471" i="7"/>
  <c r="N471" i="7" s="1"/>
  <c r="O470" i="7"/>
  <c r="M471" i="5" l="1"/>
  <c r="B472" i="5"/>
  <c r="K471" i="5"/>
  <c r="I471" i="5"/>
  <c r="J471" i="7"/>
  <c r="C472" i="7"/>
  <c r="B473" i="7" s="1"/>
  <c r="L471" i="7"/>
  <c r="N471" i="5" l="1"/>
  <c r="C472" i="5"/>
  <c r="J472" i="5"/>
  <c r="H472" i="5"/>
  <c r="M472" i="5" s="1"/>
  <c r="O471" i="7"/>
  <c r="K472" i="7"/>
  <c r="I472" i="7"/>
  <c r="N472" i="7" l="1"/>
  <c r="B473" i="5"/>
  <c r="K472" i="5"/>
  <c r="I472" i="5"/>
  <c r="N472" i="5" s="1"/>
  <c r="J472" i="7"/>
  <c r="C473" i="7"/>
  <c r="B474" i="7" s="1"/>
  <c r="L472" i="7"/>
  <c r="C473" i="5" l="1"/>
  <c r="J473" i="5"/>
  <c r="H473" i="5"/>
  <c r="O472" i="7"/>
  <c r="K473" i="7"/>
  <c r="I473" i="7"/>
  <c r="M473" i="5" l="1"/>
  <c r="N473" i="7"/>
  <c r="B474" i="5"/>
  <c r="K473" i="5"/>
  <c r="I473" i="5"/>
  <c r="N473" i="5" s="1"/>
  <c r="J473" i="7"/>
  <c r="C474" i="7"/>
  <c r="B475" i="7" s="1"/>
  <c r="L473" i="7"/>
  <c r="C474" i="5" l="1"/>
  <c r="J474" i="5"/>
  <c r="H474" i="5"/>
  <c r="M474" i="5" s="1"/>
  <c r="O473" i="7"/>
  <c r="K474" i="7"/>
  <c r="I474" i="7"/>
  <c r="B475" i="5" l="1"/>
  <c r="K474" i="5"/>
  <c r="I474" i="5"/>
  <c r="N474" i="7"/>
  <c r="J474" i="7"/>
  <c r="C475" i="7"/>
  <c r="B476" i="7" s="1"/>
  <c r="L474" i="7"/>
  <c r="N474" i="5" l="1"/>
  <c r="C475" i="5"/>
  <c r="J475" i="5"/>
  <c r="H475" i="5"/>
  <c r="M475" i="5" s="1"/>
  <c r="O474" i="7"/>
  <c r="K475" i="7"/>
  <c r="I475" i="7"/>
  <c r="B476" i="5" l="1"/>
  <c r="K475" i="5"/>
  <c r="I475" i="5"/>
  <c r="N475" i="7"/>
  <c r="J475" i="7"/>
  <c r="C476" i="7"/>
  <c r="B477" i="7" s="1"/>
  <c r="L475" i="7"/>
  <c r="N475" i="5" l="1"/>
  <c r="C476" i="5"/>
  <c r="J476" i="5"/>
  <c r="H476" i="5"/>
  <c r="O475" i="7"/>
  <c r="K476" i="7"/>
  <c r="I476" i="7"/>
  <c r="M476" i="5" l="1"/>
  <c r="N476" i="7"/>
  <c r="B477" i="5"/>
  <c r="K476" i="5"/>
  <c r="I476" i="5"/>
  <c r="N476" i="5" s="1"/>
  <c r="J476" i="7"/>
  <c r="C477" i="7"/>
  <c r="B478" i="7" s="1"/>
  <c r="L476" i="7"/>
  <c r="C477" i="5" l="1"/>
  <c r="J477" i="5"/>
  <c r="H477" i="5"/>
  <c r="O476" i="7"/>
  <c r="K477" i="7"/>
  <c r="I477" i="7"/>
  <c r="M477" i="5" l="1"/>
  <c r="B478" i="5"/>
  <c r="K477" i="5"/>
  <c r="I477" i="5"/>
  <c r="N477" i="7"/>
  <c r="J477" i="7"/>
  <c r="C478" i="7"/>
  <c r="B479" i="7" s="1"/>
  <c r="L477" i="7"/>
  <c r="N477" i="5" l="1"/>
  <c r="C478" i="5"/>
  <c r="H478" i="5"/>
  <c r="J478" i="5"/>
  <c r="O477" i="7"/>
  <c r="K478" i="7"/>
  <c r="I478" i="7"/>
  <c r="N478" i="7" l="1"/>
  <c r="M478" i="5"/>
  <c r="B479" i="5"/>
  <c r="K478" i="5"/>
  <c r="I478" i="5"/>
  <c r="J478" i="7"/>
  <c r="C479" i="7"/>
  <c r="B480" i="7" s="1"/>
  <c r="L478" i="7"/>
  <c r="N478" i="5" l="1"/>
  <c r="C479" i="5"/>
  <c r="J479" i="5"/>
  <c r="H479" i="5"/>
  <c r="O478" i="7"/>
  <c r="K479" i="7"/>
  <c r="I479" i="7"/>
  <c r="M479" i="5" l="1"/>
  <c r="B480" i="5"/>
  <c r="K479" i="5"/>
  <c r="I479" i="5"/>
  <c r="J479" i="7"/>
  <c r="C480" i="7"/>
  <c r="B481" i="7" s="1"/>
  <c r="L479" i="7"/>
  <c r="N479" i="7"/>
  <c r="N479" i="5" l="1"/>
  <c r="C480" i="5"/>
  <c r="J480" i="5"/>
  <c r="H480" i="5"/>
  <c r="O479" i="7"/>
  <c r="K480" i="7"/>
  <c r="I480" i="7"/>
  <c r="M480" i="5" l="1"/>
  <c r="N480" i="7"/>
  <c r="B481" i="5"/>
  <c r="K480" i="5"/>
  <c r="I480" i="5"/>
  <c r="N480" i="5" s="1"/>
  <c r="J480" i="7"/>
  <c r="C481" i="7"/>
  <c r="B482" i="7" s="1"/>
  <c r="L480" i="7"/>
  <c r="C481" i="5" l="1"/>
  <c r="J481" i="5"/>
  <c r="H481" i="5"/>
  <c r="M481" i="5" s="1"/>
  <c r="O480" i="7"/>
  <c r="K481" i="7"/>
  <c r="I481" i="7"/>
  <c r="N481" i="7" l="1"/>
  <c r="B482" i="5"/>
  <c r="K481" i="5"/>
  <c r="I481" i="5"/>
  <c r="N481" i="5" s="1"/>
  <c r="J481" i="7"/>
  <c r="C482" i="7"/>
  <c r="B483" i="7" s="1"/>
  <c r="L481" i="7"/>
  <c r="C482" i="5" l="1"/>
  <c r="J482" i="5"/>
  <c r="H482" i="5"/>
  <c r="O481" i="7"/>
  <c r="K482" i="7"/>
  <c r="I482" i="7"/>
  <c r="N482" i="7" s="1"/>
  <c r="M482" i="5" l="1"/>
  <c r="B483" i="5"/>
  <c r="K482" i="5"/>
  <c r="I482" i="5"/>
  <c r="J482" i="7"/>
  <c r="C483" i="7"/>
  <c r="B484" i="7" s="1"/>
  <c r="L482" i="7"/>
  <c r="N482" i="5" l="1"/>
  <c r="C483" i="5"/>
  <c r="J483" i="5"/>
  <c r="H483" i="5"/>
  <c r="O482" i="7"/>
  <c r="K483" i="7"/>
  <c r="I483" i="7"/>
  <c r="M483" i="5" l="1"/>
  <c r="B484" i="5"/>
  <c r="K483" i="5"/>
  <c r="I483" i="5"/>
  <c r="N483" i="7"/>
  <c r="J483" i="7"/>
  <c r="C484" i="7"/>
  <c r="B485" i="7" s="1"/>
  <c r="L483" i="7"/>
  <c r="N483" i="5" l="1"/>
  <c r="C484" i="5"/>
  <c r="J484" i="5"/>
  <c r="H484" i="5"/>
  <c r="O483" i="7"/>
  <c r="K484" i="7"/>
  <c r="I484" i="7"/>
  <c r="M484" i="5" l="1"/>
  <c r="B485" i="5"/>
  <c r="K484" i="5"/>
  <c r="I484" i="5"/>
  <c r="N484" i="7"/>
  <c r="J484" i="7"/>
  <c r="C485" i="7"/>
  <c r="B486" i="7" s="1"/>
  <c r="L484" i="7"/>
  <c r="N484" i="5" l="1"/>
  <c r="C485" i="5"/>
  <c r="J485" i="5"/>
  <c r="H485" i="5"/>
  <c r="K485" i="7"/>
  <c r="I485" i="7"/>
  <c r="O484" i="7"/>
  <c r="N485" i="7" l="1"/>
  <c r="M485" i="5"/>
  <c r="B486" i="5"/>
  <c r="K485" i="5"/>
  <c r="I485" i="5"/>
  <c r="N485" i="5" s="1"/>
  <c r="J485" i="7"/>
  <c r="C486" i="7"/>
  <c r="B487" i="7" s="1"/>
  <c r="L485" i="7"/>
  <c r="C486" i="5" l="1"/>
  <c r="J486" i="5"/>
  <c r="H486" i="5"/>
  <c r="M486" i="5" s="1"/>
  <c r="O485" i="7"/>
  <c r="K486" i="7"/>
  <c r="I486" i="7"/>
  <c r="N486" i="7" l="1"/>
  <c r="B487" i="5"/>
  <c r="K486" i="5"/>
  <c r="I486" i="5"/>
  <c r="N486" i="5" s="1"/>
  <c r="J486" i="7"/>
  <c r="C487" i="7"/>
  <c r="B488" i="7" s="1"/>
  <c r="L486" i="7"/>
  <c r="C487" i="5" l="1"/>
  <c r="J487" i="5"/>
  <c r="H487" i="5"/>
  <c r="O486" i="7"/>
  <c r="K487" i="7"/>
  <c r="I487" i="7"/>
  <c r="N487" i="7" l="1"/>
  <c r="M487" i="5"/>
  <c r="B488" i="5"/>
  <c r="K487" i="5"/>
  <c r="I487" i="5"/>
  <c r="J487" i="7"/>
  <c r="C488" i="7"/>
  <c r="B489" i="7" s="1"/>
  <c r="L487" i="7"/>
  <c r="N487" i="5" l="1"/>
  <c r="C488" i="5"/>
  <c r="J488" i="5"/>
  <c r="H488" i="5"/>
  <c r="O487" i="7"/>
  <c r="K488" i="7"/>
  <c r="I488" i="7"/>
  <c r="N488" i="7" l="1"/>
  <c r="M488" i="5"/>
  <c r="B489" i="5"/>
  <c r="K488" i="5"/>
  <c r="I488" i="5"/>
  <c r="N488" i="5" s="1"/>
  <c r="J488" i="7"/>
  <c r="C489" i="7"/>
  <c r="B490" i="7" s="1"/>
  <c r="L488" i="7"/>
  <c r="C489" i="5" l="1"/>
  <c r="J489" i="5"/>
  <c r="H489" i="5"/>
  <c r="O488" i="7"/>
  <c r="K489" i="7"/>
  <c r="I489" i="7"/>
  <c r="N489" i="7" l="1"/>
  <c r="M489" i="5"/>
  <c r="B490" i="5"/>
  <c r="K489" i="5"/>
  <c r="I489" i="5"/>
  <c r="J489" i="7"/>
  <c r="C490" i="7"/>
  <c r="B491" i="7" s="1"/>
  <c r="L489" i="7"/>
  <c r="N489" i="5" l="1"/>
  <c r="C490" i="5"/>
  <c r="J490" i="5"/>
  <c r="H490" i="5"/>
  <c r="M490" i="5" s="1"/>
  <c r="O489" i="7"/>
  <c r="K490" i="7"/>
  <c r="I490" i="7"/>
  <c r="N490" i="7" l="1"/>
  <c r="B491" i="5"/>
  <c r="K490" i="5"/>
  <c r="I490" i="5"/>
  <c r="N490" i="5" s="1"/>
  <c r="J490" i="7"/>
  <c r="C491" i="7"/>
  <c r="B492" i="7" s="1"/>
  <c r="L490" i="7"/>
  <c r="C491" i="5" l="1"/>
  <c r="J491" i="5"/>
  <c r="H491" i="5"/>
  <c r="K491" i="7"/>
  <c r="I491" i="7"/>
  <c r="N491" i="7" s="1"/>
  <c r="O490" i="7"/>
  <c r="M491" i="5" l="1"/>
  <c r="B492" i="5"/>
  <c r="K491" i="5"/>
  <c r="I491" i="5"/>
  <c r="J491" i="7"/>
  <c r="C492" i="7"/>
  <c r="B493" i="7" s="1"/>
  <c r="L491" i="7"/>
  <c r="N491" i="5" l="1"/>
  <c r="C492" i="5"/>
  <c r="J492" i="5"/>
  <c r="H492" i="5"/>
  <c r="M492" i="5" s="1"/>
  <c r="O491" i="7"/>
  <c r="K492" i="7"/>
  <c r="I492" i="7"/>
  <c r="N492" i="7" l="1"/>
  <c r="B493" i="5"/>
  <c r="K492" i="5"/>
  <c r="I492" i="5"/>
  <c r="J492" i="7"/>
  <c r="C493" i="7"/>
  <c r="B494" i="7" s="1"/>
  <c r="L492" i="7"/>
  <c r="N492" i="5" l="1"/>
  <c r="C493" i="5"/>
  <c r="J493" i="5"/>
  <c r="H493" i="5"/>
  <c r="O492" i="7"/>
  <c r="K493" i="7"/>
  <c r="I493" i="7"/>
  <c r="M493" i="5" l="1"/>
  <c r="B494" i="5"/>
  <c r="K493" i="5"/>
  <c r="I493" i="5"/>
  <c r="N493" i="7"/>
  <c r="J493" i="7"/>
  <c r="C494" i="7"/>
  <c r="B495" i="7" s="1"/>
  <c r="L493" i="7"/>
  <c r="N493" i="5" l="1"/>
  <c r="C494" i="5"/>
  <c r="H494" i="5"/>
  <c r="J494" i="5"/>
  <c r="O493" i="7"/>
  <c r="K494" i="7"/>
  <c r="I494" i="7"/>
  <c r="N494" i="7" l="1"/>
  <c r="M494" i="5"/>
  <c r="B495" i="5"/>
  <c r="K494" i="5"/>
  <c r="I494" i="5"/>
  <c r="N494" i="5" s="1"/>
  <c r="J494" i="7"/>
  <c r="C495" i="7"/>
  <c r="B496" i="7" s="1"/>
  <c r="L494" i="7"/>
  <c r="C495" i="5" l="1"/>
  <c r="J495" i="5"/>
  <c r="H495" i="5"/>
  <c r="O494" i="7"/>
  <c r="K495" i="7"/>
  <c r="I495" i="7"/>
  <c r="N495" i="7" s="1"/>
  <c r="M495" i="5" l="1"/>
  <c r="B496" i="5"/>
  <c r="K495" i="5"/>
  <c r="I495" i="5"/>
  <c r="L495" i="7"/>
  <c r="J495" i="7"/>
  <c r="C496" i="7"/>
  <c r="B497" i="7" s="1"/>
  <c r="N495" i="5" l="1"/>
  <c r="C496" i="5"/>
  <c r="J496" i="5"/>
  <c r="H496" i="5"/>
  <c r="O495" i="7"/>
  <c r="K496" i="7"/>
  <c r="I496" i="7"/>
  <c r="N496" i="7" l="1"/>
  <c r="M496" i="5"/>
  <c r="B497" i="5"/>
  <c r="K496" i="5"/>
  <c r="I496" i="5"/>
  <c r="L496" i="7"/>
  <c r="C497" i="7"/>
  <c r="B498" i="7" s="1"/>
  <c r="J496" i="7"/>
  <c r="N496" i="5" l="1"/>
  <c r="C497" i="5"/>
  <c r="J497" i="5"/>
  <c r="H497" i="5"/>
  <c r="M497" i="5" s="1"/>
  <c r="O496" i="7"/>
  <c r="I497" i="7"/>
  <c r="K497" i="7"/>
  <c r="B498" i="5" l="1"/>
  <c r="K497" i="5"/>
  <c r="I497" i="5"/>
  <c r="N497" i="7"/>
  <c r="L497" i="7"/>
  <c r="C498" i="7"/>
  <c r="B499" i="7" s="1"/>
  <c r="J497" i="7"/>
  <c r="O497" i="7" l="1"/>
  <c r="N497" i="5"/>
  <c r="C498" i="5"/>
  <c r="J498" i="5"/>
  <c r="H498" i="5"/>
  <c r="K498" i="7"/>
  <c r="I498" i="7"/>
  <c r="M498" i="5" l="1"/>
  <c r="N498" i="7"/>
  <c r="B499" i="5"/>
  <c r="K498" i="5"/>
  <c r="I498" i="5"/>
  <c r="L498" i="7"/>
  <c r="C499" i="7"/>
  <c r="B500" i="7" s="1"/>
  <c r="J498" i="7"/>
  <c r="N498" i="5" l="1"/>
  <c r="C499" i="5"/>
  <c r="J499" i="5"/>
  <c r="H499" i="5"/>
  <c r="M499" i="5" s="1"/>
  <c r="O498" i="7"/>
  <c r="K499" i="7"/>
  <c r="I499" i="7"/>
  <c r="B500" i="5" l="1"/>
  <c r="K499" i="5"/>
  <c r="I499" i="5"/>
  <c r="N499" i="7"/>
  <c r="L499" i="7"/>
  <c r="C500" i="7"/>
  <c r="B501" i="7" s="1"/>
  <c r="J499" i="7"/>
  <c r="N499" i="5" l="1"/>
  <c r="C500" i="5"/>
  <c r="J500" i="5"/>
  <c r="H500" i="5"/>
  <c r="O499" i="7"/>
  <c r="I500" i="7"/>
  <c r="K500" i="7"/>
  <c r="M500" i="5" l="1"/>
  <c r="B501" i="5"/>
  <c r="K500" i="5"/>
  <c r="I500" i="5"/>
  <c r="N500" i="7"/>
  <c r="L500" i="7"/>
  <c r="J500" i="7"/>
  <c r="C501" i="7"/>
  <c r="B502" i="7" s="1"/>
  <c r="N500" i="5" l="1"/>
  <c r="C501" i="5"/>
  <c r="J501" i="5"/>
  <c r="H501" i="5"/>
  <c r="O500" i="7"/>
  <c r="K501" i="7"/>
  <c r="I501" i="7"/>
  <c r="M501" i="5" l="1"/>
  <c r="B502" i="5"/>
  <c r="K501" i="5"/>
  <c r="I501" i="5"/>
  <c r="N501" i="7"/>
  <c r="L501" i="7"/>
  <c r="C502" i="7"/>
  <c r="B503" i="7" s="1"/>
  <c r="J501" i="7"/>
  <c r="N501" i="5" l="1"/>
  <c r="C502" i="5"/>
  <c r="H502" i="5"/>
  <c r="J502" i="5"/>
  <c r="O501" i="7"/>
  <c r="K502" i="7"/>
  <c r="I502" i="7"/>
  <c r="M502" i="5" l="1"/>
  <c r="B503" i="5"/>
  <c r="K502" i="5"/>
  <c r="I502" i="5"/>
  <c r="N502" i="5" s="1"/>
  <c r="N502" i="7"/>
  <c r="L502" i="7"/>
  <c r="C503" i="7"/>
  <c r="B504" i="7" s="1"/>
  <c r="J502" i="7"/>
  <c r="O502" i="7" l="1"/>
  <c r="C503" i="5"/>
  <c r="J503" i="5"/>
  <c r="H503" i="5"/>
  <c r="K503" i="7"/>
  <c r="I503" i="7"/>
  <c r="M503" i="5" l="1"/>
  <c r="B504" i="5"/>
  <c r="K503" i="5"/>
  <c r="I503" i="5"/>
  <c r="N503" i="5" s="1"/>
  <c r="N503" i="7"/>
  <c r="L503" i="7"/>
  <c r="J503" i="7"/>
  <c r="C504" i="7"/>
  <c r="B505" i="7" s="1"/>
  <c r="O503" i="7" l="1"/>
  <c r="C504" i="5"/>
  <c r="J504" i="5"/>
  <c r="H504" i="5"/>
  <c r="M504" i="5" s="1"/>
  <c r="K504" i="7"/>
  <c r="I504" i="7"/>
  <c r="N504" i="7" s="1"/>
  <c r="B505" i="5" l="1"/>
  <c r="K504" i="5"/>
  <c r="I504" i="5"/>
  <c r="L504" i="7"/>
  <c r="C505" i="7"/>
  <c r="B506" i="7" s="1"/>
  <c r="J504" i="7"/>
  <c r="O504" i="7" s="1"/>
  <c r="N504" i="5" l="1"/>
  <c r="C505" i="5"/>
  <c r="J505" i="5"/>
  <c r="H505" i="5"/>
  <c r="M505" i="5" s="1"/>
  <c r="I505" i="7"/>
  <c r="K505" i="7"/>
  <c r="B506" i="5" l="1"/>
  <c r="K505" i="5"/>
  <c r="I505" i="5"/>
  <c r="N505" i="5" s="1"/>
  <c r="N505" i="7"/>
  <c r="L505" i="7"/>
  <c r="C506" i="7"/>
  <c r="B507" i="7" s="1"/>
  <c r="J505" i="7"/>
  <c r="O505" i="7" l="1"/>
  <c r="C506" i="5"/>
  <c r="J506" i="5"/>
  <c r="H506" i="5"/>
  <c r="M506" i="5" s="1"/>
  <c r="K506" i="7"/>
  <c r="I506" i="7"/>
  <c r="N506" i="7" s="1"/>
  <c r="B507" i="5" l="1"/>
  <c r="K506" i="5"/>
  <c r="I506" i="5"/>
  <c r="L506" i="7"/>
  <c r="C507" i="7"/>
  <c r="B508" i="7" s="1"/>
  <c r="J506" i="7"/>
  <c r="N506" i="5" l="1"/>
  <c r="C507" i="5"/>
  <c r="J507" i="5"/>
  <c r="H507" i="5"/>
  <c r="O506" i="7"/>
  <c r="K507" i="7"/>
  <c r="I507" i="7"/>
  <c r="N507" i="7" l="1"/>
  <c r="M507" i="5"/>
  <c r="B508" i="5"/>
  <c r="K507" i="5"/>
  <c r="I507" i="5"/>
  <c r="N507" i="5" s="1"/>
  <c r="L507" i="7"/>
  <c r="C508" i="7"/>
  <c r="B509" i="7" s="1"/>
  <c r="J507" i="7"/>
  <c r="O507" i="7" l="1"/>
  <c r="C508" i="5"/>
  <c r="J508" i="5"/>
  <c r="H508" i="5"/>
  <c r="K508" i="7"/>
  <c r="I508" i="7"/>
  <c r="M508" i="5" l="1"/>
  <c r="B509" i="5"/>
  <c r="K508" i="5"/>
  <c r="I508" i="5"/>
  <c r="N508" i="7"/>
  <c r="L508" i="7"/>
  <c r="J508" i="7"/>
  <c r="C509" i="7"/>
  <c r="B510" i="7" s="1"/>
  <c r="O508" i="7" l="1"/>
  <c r="N508" i="5"/>
  <c r="C509" i="5"/>
  <c r="J509" i="5"/>
  <c r="H509" i="5"/>
  <c r="K509" i="7"/>
  <c r="I509" i="7"/>
  <c r="M509" i="5" l="1"/>
  <c r="N509" i="7"/>
  <c r="B510" i="5"/>
  <c r="K509" i="5"/>
  <c r="I509" i="5"/>
  <c r="L509" i="7"/>
  <c r="J509" i="7"/>
  <c r="C510" i="7"/>
  <c r="B511" i="7" s="1"/>
  <c r="O509" i="7" l="1"/>
  <c r="N509" i="5"/>
  <c r="C510" i="5"/>
  <c r="H510" i="5"/>
  <c r="J510" i="5"/>
  <c r="K510" i="7"/>
  <c r="I510" i="7"/>
  <c r="N510" i="7" l="1"/>
  <c r="M510" i="5"/>
  <c r="B511" i="5"/>
  <c r="K510" i="5"/>
  <c r="I510" i="5"/>
  <c r="L510" i="7"/>
  <c r="J510" i="7"/>
  <c r="C511" i="7"/>
  <c r="B512" i="7" s="1"/>
  <c r="N510" i="5" l="1"/>
  <c r="C511" i="5"/>
  <c r="J511" i="5"/>
  <c r="H511" i="5"/>
  <c r="O510" i="7"/>
  <c r="K511" i="7"/>
  <c r="I511" i="7"/>
  <c r="M511" i="5" l="1"/>
  <c r="N511" i="7"/>
  <c r="B512" i="5"/>
  <c r="K511" i="5"/>
  <c r="I511" i="5"/>
  <c r="N511" i="5" s="1"/>
  <c r="L511" i="7"/>
  <c r="J511" i="7"/>
  <c r="C512" i="7"/>
  <c r="B513" i="7" s="1"/>
  <c r="C512" i="5" l="1"/>
  <c r="J512" i="5"/>
  <c r="H512" i="5"/>
  <c r="O511" i="7"/>
  <c r="K512" i="7"/>
  <c r="I512" i="7"/>
  <c r="N512" i="7" l="1"/>
  <c r="M512" i="5"/>
  <c r="B513" i="5"/>
  <c r="K512" i="5"/>
  <c r="I512" i="5"/>
  <c r="L512" i="7"/>
  <c r="J512" i="7"/>
  <c r="C513" i="7"/>
  <c r="B514" i="7" s="1"/>
  <c r="O512" i="7" l="1"/>
  <c r="N512" i="5"/>
  <c r="C513" i="5"/>
  <c r="J513" i="5"/>
  <c r="H513" i="5"/>
  <c r="K513" i="7"/>
  <c r="I513" i="7"/>
  <c r="N513" i="7" l="1"/>
  <c r="M513" i="5"/>
  <c r="B514" i="5"/>
  <c r="K513" i="5"/>
  <c r="I513" i="5"/>
  <c r="N513" i="5" s="1"/>
  <c r="L513" i="7"/>
  <c r="J513" i="7"/>
  <c r="C514" i="7"/>
  <c r="B515" i="7" s="1"/>
  <c r="O513" i="7" l="1"/>
  <c r="C514" i="5"/>
  <c r="J514" i="5"/>
  <c r="H514" i="5"/>
  <c r="K514" i="7"/>
  <c r="I514" i="7"/>
  <c r="N514" i="7" s="1"/>
  <c r="M514" i="5" l="1"/>
  <c r="B515" i="5"/>
  <c r="I514" i="5"/>
  <c r="K514" i="5"/>
  <c r="L514" i="7"/>
  <c r="J514" i="7"/>
  <c r="O514" i="7" s="1"/>
  <c r="C515" i="7"/>
  <c r="B516" i="7" s="1"/>
  <c r="N514" i="5" l="1"/>
  <c r="C515" i="5"/>
  <c r="J515" i="5"/>
  <c r="H515" i="5"/>
  <c r="K515" i="7"/>
  <c r="I515" i="7"/>
  <c r="N515" i="7" s="1"/>
  <c r="M515" i="5" l="1"/>
  <c r="B516" i="5"/>
  <c r="K515" i="5"/>
  <c r="I515" i="5"/>
  <c r="L515" i="7"/>
  <c r="J515" i="7"/>
  <c r="O515" i="7" s="1"/>
  <c r="C516" i="7"/>
  <c r="B517" i="7" s="1"/>
  <c r="N515" i="5" l="1"/>
  <c r="C516" i="5"/>
  <c r="J516" i="5"/>
  <c r="H516" i="5"/>
  <c r="K516" i="7"/>
  <c r="I516" i="7"/>
  <c r="N516" i="7" s="1"/>
  <c r="M516" i="5" l="1"/>
  <c r="B517" i="5"/>
  <c r="K516" i="5"/>
  <c r="I516" i="5"/>
  <c r="N516" i="5" s="1"/>
  <c r="L516" i="7"/>
  <c r="J516" i="7"/>
  <c r="O516" i="7" s="1"/>
  <c r="C517" i="7"/>
  <c r="B518" i="7" s="1"/>
  <c r="C517" i="5" l="1"/>
  <c r="J517" i="5"/>
  <c r="H517" i="5"/>
  <c r="K517" i="7"/>
  <c r="I517" i="7"/>
  <c r="M517" i="5" l="1"/>
  <c r="B518" i="5"/>
  <c r="K517" i="5"/>
  <c r="I517" i="5"/>
  <c r="N517" i="5" s="1"/>
  <c r="N517" i="7"/>
  <c r="L517" i="7"/>
  <c r="J517" i="7"/>
  <c r="C518" i="7"/>
  <c r="B519" i="7" s="1"/>
  <c r="O517" i="7" l="1"/>
  <c r="C518" i="5"/>
  <c r="H518" i="5"/>
  <c r="J518" i="5"/>
  <c r="K518" i="7"/>
  <c r="I518" i="7"/>
  <c r="M518" i="5" l="1"/>
  <c r="B519" i="5"/>
  <c r="K518" i="5"/>
  <c r="I518" i="5"/>
  <c r="N518" i="5" s="1"/>
  <c r="N518" i="7"/>
  <c r="L518" i="7"/>
  <c r="J518" i="7"/>
  <c r="C519" i="7"/>
  <c r="B520" i="7" s="1"/>
  <c r="O518" i="7" l="1"/>
  <c r="C519" i="5"/>
  <c r="J519" i="5"/>
  <c r="H519" i="5"/>
  <c r="K519" i="7"/>
  <c r="I519" i="7"/>
  <c r="M519" i="5" l="1"/>
  <c r="B520" i="5"/>
  <c r="K519" i="5"/>
  <c r="I519" i="5"/>
  <c r="N519" i="7"/>
  <c r="L519" i="7"/>
  <c r="J519" i="7"/>
  <c r="C520" i="7"/>
  <c r="B521" i="7" s="1"/>
  <c r="N519" i="5" l="1"/>
  <c r="O519" i="7"/>
  <c r="C520" i="5"/>
  <c r="J520" i="5"/>
  <c r="H520" i="5"/>
  <c r="M520" i="5" s="1"/>
  <c r="K520" i="7"/>
  <c r="I520" i="7"/>
  <c r="N520" i="7" l="1"/>
  <c r="B521" i="5"/>
  <c r="K520" i="5"/>
  <c r="I520" i="5"/>
  <c r="L520" i="7"/>
  <c r="J520" i="7"/>
  <c r="O520" i="7" s="1"/>
  <c r="C521" i="7"/>
  <c r="B522" i="7" s="1"/>
  <c r="N520" i="5" l="1"/>
  <c r="C521" i="5"/>
  <c r="J521" i="5"/>
  <c r="H521" i="5"/>
  <c r="K521" i="7"/>
  <c r="I521" i="7"/>
  <c r="M521" i="5" l="1"/>
  <c r="N521" i="7"/>
  <c r="B522" i="5"/>
  <c r="K521" i="5"/>
  <c r="I521" i="5"/>
  <c r="L521" i="7"/>
  <c r="J521" i="7"/>
  <c r="C522" i="7"/>
  <c r="B523" i="7" s="1"/>
  <c r="N521" i="5" l="1"/>
  <c r="C522" i="5"/>
  <c r="J522" i="5"/>
  <c r="H522" i="5"/>
  <c r="O521" i="7"/>
  <c r="K522" i="7"/>
  <c r="I522" i="7"/>
  <c r="N522" i="7" l="1"/>
  <c r="M522" i="5"/>
  <c r="B523" i="5"/>
  <c r="K522" i="5"/>
  <c r="I522" i="5"/>
  <c r="N522" i="5" s="1"/>
  <c r="L522" i="7"/>
  <c r="J522" i="7"/>
  <c r="C523" i="7"/>
  <c r="B524" i="7" s="1"/>
  <c r="C523" i="5" l="1"/>
  <c r="J523" i="5"/>
  <c r="H523" i="5"/>
  <c r="M523" i="5" s="1"/>
  <c r="O522" i="7"/>
  <c r="K523" i="7"/>
  <c r="I523" i="7"/>
  <c r="N523" i="7" l="1"/>
  <c r="B524" i="5"/>
  <c r="K523" i="5"/>
  <c r="I523" i="5"/>
  <c r="L523" i="7"/>
  <c r="J523" i="7"/>
  <c r="C524" i="7"/>
  <c r="B525" i="7" s="1"/>
  <c r="N523" i="5" l="1"/>
  <c r="O523" i="7"/>
  <c r="C524" i="5"/>
  <c r="J524" i="5"/>
  <c r="H524" i="5"/>
  <c r="K524" i="7"/>
  <c r="I524" i="7"/>
  <c r="N524" i="7" l="1"/>
  <c r="M524" i="5"/>
  <c r="B525" i="5"/>
  <c r="K524" i="5"/>
  <c r="I524" i="5"/>
  <c r="L524" i="7"/>
  <c r="J524" i="7"/>
  <c r="C525" i="7"/>
  <c r="B526" i="7" s="1"/>
  <c r="N524" i="5" l="1"/>
  <c r="O524" i="7"/>
  <c r="C525" i="5"/>
  <c r="J525" i="5"/>
  <c r="H525" i="5"/>
  <c r="M525" i="5" s="1"/>
  <c r="K525" i="7"/>
  <c r="I525" i="7"/>
  <c r="N525" i="7" l="1"/>
  <c r="B526" i="5"/>
  <c r="K525" i="5"/>
  <c r="I525" i="5"/>
  <c r="N525" i="5" s="1"/>
  <c r="L525" i="7"/>
  <c r="J525" i="7"/>
  <c r="O525" i="7" s="1"/>
  <c r="C526" i="7"/>
  <c r="B527" i="7" s="1"/>
  <c r="C526" i="5" l="1"/>
  <c r="J526" i="5"/>
  <c r="H526" i="5"/>
  <c r="K526" i="7"/>
  <c r="I526" i="7"/>
  <c r="M526" i="5" l="1"/>
  <c r="B527" i="5"/>
  <c r="K526" i="5"/>
  <c r="I526" i="5"/>
  <c r="N526" i="7"/>
  <c r="L526" i="7"/>
  <c r="J526" i="7"/>
  <c r="C527" i="7"/>
  <c r="B528" i="7" s="1"/>
  <c r="N526" i="5" l="1"/>
  <c r="C527" i="5"/>
  <c r="J527" i="5"/>
  <c r="H527" i="5"/>
  <c r="O526" i="7"/>
  <c r="K527" i="7"/>
  <c r="I527" i="7"/>
  <c r="N527" i="7" l="1"/>
  <c r="M527" i="5"/>
  <c r="B528" i="5"/>
  <c r="K527" i="5"/>
  <c r="I527" i="5"/>
  <c r="N527" i="5" s="1"/>
  <c r="L527" i="7"/>
  <c r="J527" i="7"/>
  <c r="C528" i="7"/>
  <c r="B529" i="7" s="1"/>
  <c r="O527" i="7" l="1"/>
  <c r="C528" i="5"/>
  <c r="J528" i="5"/>
  <c r="H528" i="5"/>
  <c r="K528" i="7"/>
  <c r="I528" i="7"/>
  <c r="N528" i="7" s="1"/>
  <c r="M528" i="5" l="1"/>
  <c r="B529" i="5"/>
  <c r="K528" i="5"/>
  <c r="I528" i="5"/>
  <c r="L528" i="7"/>
  <c r="J528" i="7"/>
  <c r="C529" i="7"/>
  <c r="B530" i="7" s="1"/>
  <c r="N528" i="5" l="1"/>
  <c r="O528" i="7"/>
  <c r="C529" i="5"/>
  <c r="J529" i="5"/>
  <c r="H529" i="5"/>
  <c r="K529" i="7"/>
  <c r="I529" i="7"/>
  <c r="N529" i="7" l="1"/>
  <c r="M529" i="5"/>
  <c r="B530" i="5"/>
  <c r="K529" i="5"/>
  <c r="I529" i="5"/>
  <c r="L529" i="7"/>
  <c r="J529" i="7"/>
  <c r="C530" i="7"/>
  <c r="B531" i="7" s="1"/>
  <c r="N529" i="5" l="1"/>
  <c r="O529" i="7"/>
  <c r="C530" i="5"/>
  <c r="J530" i="5"/>
  <c r="H530" i="5"/>
  <c r="M530" i="5" s="1"/>
  <c r="K530" i="7"/>
  <c r="I530" i="7"/>
  <c r="N530" i="7" l="1"/>
  <c r="B531" i="5"/>
  <c r="K530" i="5"/>
  <c r="I530" i="5"/>
  <c r="N530" i="5" s="1"/>
  <c r="L530" i="7"/>
  <c r="J530" i="7"/>
  <c r="O530" i="7" s="1"/>
  <c r="C531" i="7"/>
  <c r="B532" i="7" s="1"/>
  <c r="C531" i="5" l="1"/>
  <c r="J531" i="5"/>
  <c r="H531" i="5"/>
  <c r="M531" i="5" s="1"/>
  <c r="K531" i="7"/>
  <c r="I531" i="7"/>
  <c r="N531" i="7" l="1"/>
  <c r="B532" i="5"/>
  <c r="K531" i="5"/>
  <c r="I531" i="5"/>
  <c r="N531" i="5" s="1"/>
  <c r="L531" i="7"/>
  <c r="J531" i="7"/>
  <c r="O531" i="7" s="1"/>
  <c r="C532" i="7"/>
  <c r="B533" i="7" s="1"/>
  <c r="C532" i="5" l="1"/>
  <c r="J532" i="5"/>
  <c r="H532" i="5"/>
  <c r="M532" i="5" s="1"/>
  <c r="K532" i="7"/>
  <c r="I532" i="7"/>
  <c r="N532" i="7" s="1"/>
  <c r="B533" i="5" l="1"/>
  <c r="K532" i="5"/>
  <c r="I532" i="5"/>
  <c r="N532" i="5" s="1"/>
  <c r="L532" i="7"/>
  <c r="J532" i="7"/>
  <c r="O532" i="7" s="1"/>
  <c r="C533" i="7"/>
  <c r="B534" i="7" s="1"/>
  <c r="C533" i="5" l="1"/>
  <c r="J533" i="5"/>
  <c r="H533" i="5"/>
  <c r="M533" i="5" s="1"/>
  <c r="K533" i="7"/>
  <c r="I533" i="7"/>
  <c r="N533" i="7" s="1"/>
  <c r="B534" i="5" l="1"/>
  <c r="K533" i="5"/>
  <c r="I533" i="5"/>
  <c r="L533" i="7"/>
  <c r="J533" i="7"/>
  <c r="C534" i="7"/>
  <c r="B535" i="7" s="1"/>
  <c r="N533" i="5" l="1"/>
  <c r="C534" i="5"/>
  <c r="H534" i="5"/>
  <c r="J534" i="5"/>
  <c r="K534" i="7"/>
  <c r="I534" i="7"/>
  <c r="O533" i="7"/>
  <c r="M534" i="5" l="1"/>
  <c r="B535" i="5"/>
  <c r="K534" i="5"/>
  <c r="I534" i="5"/>
  <c r="L534" i="7"/>
  <c r="J534" i="7"/>
  <c r="C535" i="7"/>
  <c r="B536" i="7" s="1"/>
  <c r="N534" i="7"/>
  <c r="N534" i="5" l="1"/>
  <c r="C535" i="5"/>
  <c r="J535" i="5"/>
  <c r="H535" i="5"/>
  <c r="K535" i="7"/>
  <c r="I535" i="7"/>
  <c r="O534" i="7"/>
  <c r="M535" i="5" l="1"/>
  <c r="B536" i="5"/>
  <c r="K535" i="5"/>
  <c r="I535" i="5"/>
  <c r="N535" i="5" s="1"/>
  <c r="L535" i="7"/>
  <c r="J535" i="7"/>
  <c r="C536" i="7"/>
  <c r="B537" i="7" s="1"/>
  <c r="N535" i="7"/>
  <c r="O535" i="7" l="1"/>
  <c r="C536" i="5"/>
  <c r="J536" i="5"/>
  <c r="H536" i="5"/>
  <c r="M536" i="5" s="1"/>
  <c r="K536" i="7"/>
  <c r="I536" i="7"/>
  <c r="N536" i="7" s="1"/>
  <c r="B537" i="5" l="1"/>
  <c r="K536" i="5"/>
  <c r="I536" i="5"/>
  <c r="L536" i="7"/>
  <c r="J536" i="7"/>
  <c r="O536" i="7" s="1"/>
  <c r="C537" i="7"/>
  <c r="B538" i="7" s="1"/>
  <c r="N536" i="5" l="1"/>
  <c r="C537" i="5"/>
  <c r="J537" i="5"/>
  <c r="H537" i="5"/>
  <c r="K537" i="7"/>
  <c r="I537" i="7"/>
  <c r="N537" i="7" s="1"/>
  <c r="M537" i="5" l="1"/>
  <c r="B538" i="5"/>
  <c r="K537" i="5"/>
  <c r="I537" i="5"/>
  <c r="N537" i="5" s="1"/>
  <c r="L537" i="7"/>
  <c r="J537" i="7"/>
  <c r="C538" i="7"/>
  <c r="B539" i="7" s="1"/>
  <c r="O537" i="7" l="1"/>
  <c r="C538" i="5"/>
  <c r="J538" i="5"/>
  <c r="H538" i="5"/>
  <c r="M538" i="5" s="1"/>
  <c r="K538" i="7"/>
  <c r="I538" i="7"/>
  <c r="N538" i="7" s="1"/>
  <c r="B539" i="5" l="1"/>
  <c r="K538" i="5"/>
  <c r="I538" i="5"/>
  <c r="L538" i="7"/>
  <c r="J538" i="7"/>
  <c r="O538" i="7" s="1"/>
  <c r="C539" i="7"/>
  <c r="B540" i="7" s="1"/>
  <c r="N538" i="5" l="1"/>
  <c r="C539" i="5"/>
  <c r="J539" i="5"/>
  <c r="H539" i="5"/>
  <c r="K539" i="7"/>
  <c r="I539" i="7"/>
  <c r="N539" i="7" s="1"/>
  <c r="M539" i="5" l="1"/>
  <c r="B540" i="5"/>
  <c r="K539" i="5"/>
  <c r="I539" i="5"/>
  <c r="L539" i="7"/>
  <c r="J539" i="7"/>
  <c r="O539" i="7" s="1"/>
  <c r="C540" i="7"/>
  <c r="B541" i="7" s="1"/>
  <c r="N539" i="5" l="1"/>
  <c r="C540" i="5"/>
  <c r="J540" i="5"/>
  <c r="H540" i="5"/>
  <c r="K540" i="7"/>
  <c r="I540" i="7"/>
  <c r="N540" i="7" s="1"/>
  <c r="M540" i="5" l="1"/>
  <c r="B541" i="5"/>
  <c r="K540" i="5"/>
  <c r="I540" i="5"/>
  <c r="L540" i="7"/>
  <c r="J540" i="7"/>
  <c r="O540" i="7" s="1"/>
  <c r="C541" i="7"/>
  <c r="B542" i="7" s="1"/>
  <c r="N540" i="5" l="1"/>
  <c r="C541" i="5"/>
  <c r="J541" i="5"/>
  <c r="H541" i="5"/>
  <c r="M541" i="5" s="1"/>
  <c r="K541" i="7"/>
  <c r="I541" i="7"/>
  <c r="N541" i="7" s="1"/>
  <c r="B542" i="5" l="1"/>
  <c r="K541" i="5"/>
  <c r="I541" i="5"/>
  <c r="L541" i="7"/>
  <c r="J541" i="7"/>
  <c r="O541" i="7" s="1"/>
  <c r="C542" i="7"/>
  <c r="B543" i="7" s="1"/>
  <c r="N541" i="5" l="1"/>
  <c r="C542" i="5"/>
  <c r="H542" i="5"/>
  <c r="J542" i="5"/>
  <c r="K542" i="7"/>
  <c r="I542" i="7"/>
  <c r="M542" i="5" l="1"/>
  <c r="B543" i="5"/>
  <c r="K542" i="5"/>
  <c r="I542" i="5"/>
  <c r="N542" i="7"/>
  <c r="L542" i="7"/>
  <c r="J542" i="7"/>
  <c r="C543" i="7"/>
  <c r="B544" i="7" s="1"/>
  <c r="N542" i="5" l="1"/>
  <c r="C543" i="5"/>
  <c r="J543" i="5"/>
  <c r="H543" i="5"/>
  <c r="O542" i="7"/>
  <c r="K543" i="7"/>
  <c r="I543" i="7"/>
  <c r="M543" i="5" l="1"/>
  <c r="N543" i="7"/>
  <c r="B544" i="5"/>
  <c r="K543" i="5"/>
  <c r="I543" i="5"/>
  <c r="L543" i="7"/>
  <c r="J543" i="7"/>
  <c r="C544" i="7"/>
  <c r="B545" i="7" s="1"/>
  <c r="N543" i="5" l="1"/>
  <c r="C544" i="5"/>
  <c r="J544" i="5"/>
  <c r="H544" i="5"/>
  <c r="K544" i="7"/>
  <c r="I544" i="7"/>
  <c r="O543" i="7"/>
  <c r="M544" i="5" l="1"/>
  <c r="B545" i="5"/>
  <c r="K544" i="5"/>
  <c r="I544" i="5"/>
  <c r="N544" i="5" s="1"/>
  <c r="N544" i="7"/>
  <c r="L544" i="7"/>
  <c r="J544" i="7"/>
  <c r="O544" i="7" s="1"/>
  <c r="C545" i="7"/>
  <c r="B546" i="7" s="1"/>
  <c r="C545" i="5" l="1"/>
  <c r="J545" i="5"/>
  <c r="H545" i="5"/>
  <c r="M545" i="5" s="1"/>
  <c r="K545" i="7"/>
  <c r="I545" i="7"/>
  <c r="B546" i="5" l="1"/>
  <c r="K545" i="5"/>
  <c r="I545" i="5"/>
  <c r="N545" i="5" s="1"/>
  <c r="N545" i="7"/>
  <c r="L545" i="7"/>
  <c r="J545" i="7"/>
  <c r="C546" i="7"/>
  <c r="B547" i="7" s="1"/>
  <c r="C546" i="5" l="1"/>
  <c r="J546" i="5"/>
  <c r="H546" i="5"/>
  <c r="O545" i="7"/>
  <c r="K546" i="7"/>
  <c r="I546" i="7"/>
  <c r="M546" i="5" l="1"/>
  <c r="B547" i="5"/>
  <c r="I546" i="5"/>
  <c r="K546" i="5"/>
  <c r="N546" i="7"/>
  <c r="L546" i="7"/>
  <c r="J546" i="7"/>
  <c r="C547" i="7"/>
  <c r="B548" i="7" s="1"/>
  <c r="N546" i="5" l="1"/>
  <c r="C547" i="5"/>
  <c r="J547" i="5"/>
  <c r="H547" i="5"/>
  <c r="M547" i="5" s="1"/>
  <c r="O546" i="7"/>
  <c r="K547" i="7"/>
  <c r="I547" i="7"/>
  <c r="N547" i="7" l="1"/>
  <c r="B548" i="5"/>
  <c r="K547" i="5"/>
  <c r="I547" i="5"/>
  <c r="L547" i="7"/>
  <c r="J547" i="7"/>
  <c r="O547" i="7" s="1"/>
  <c r="C548" i="7"/>
  <c r="B549" i="7" s="1"/>
  <c r="N547" i="5" l="1"/>
  <c r="C548" i="5"/>
  <c r="J548" i="5"/>
  <c r="H548" i="5"/>
  <c r="K548" i="7"/>
  <c r="I548" i="7"/>
  <c r="N548" i="7" s="1"/>
  <c r="M548" i="5" l="1"/>
  <c r="B549" i="5"/>
  <c r="K548" i="5"/>
  <c r="I548" i="5"/>
  <c r="L548" i="7"/>
  <c r="J548" i="7"/>
  <c r="O548" i="7" s="1"/>
  <c r="C549" i="7"/>
  <c r="B550" i="7" s="1"/>
  <c r="N548" i="5" l="1"/>
  <c r="C549" i="5"/>
  <c r="J549" i="5"/>
  <c r="H549" i="5"/>
  <c r="K549" i="7"/>
  <c r="I549" i="7"/>
  <c r="M549" i="5" l="1"/>
  <c r="B550" i="5"/>
  <c r="K549" i="5"/>
  <c r="I549" i="5"/>
  <c r="N549" i="7"/>
  <c r="L549" i="7"/>
  <c r="J549" i="7"/>
  <c r="C550" i="7"/>
  <c r="B551" i="7" s="1"/>
  <c r="N549" i="5" l="1"/>
  <c r="C550" i="5"/>
  <c r="H550" i="5"/>
  <c r="J550" i="5"/>
  <c r="O549" i="7"/>
  <c r="K550" i="7"/>
  <c r="I550" i="7"/>
  <c r="N550" i="7" l="1"/>
  <c r="M550" i="5"/>
  <c r="B551" i="5"/>
  <c r="K550" i="5"/>
  <c r="I550" i="5"/>
  <c r="L550" i="7"/>
  <c r="J550" i="7"/>
  <c r="C551" i="7"/>
  <c r="B552" i="7" s="1"/>
  <c r="O550" i="7" l="1"/>
  <c r="N550" i="5"/>
  <c r="C551" i="5"/>
  <c r="J551" i="5"/>
  <c r="H551" i="5"/>
  <c r="M551" i="5" s="1"/>
  <c r="K551" i="7"/>
  <c r="I551" i="7"/>
  <c r="N551" i="7" l="1"/>
  <c r="B552" i="5"/>
  <c r="K551" i="5"/>
  <c r="I551" i="5"/>
  <c r="N551" i="5" s="1"/>
  <c r="L551" i="7"/>
  <c r="J551" i="7"/>
  <c r="O551" i="7" s="1"/>
  <c r="C552" i="7"/>
  <c r="B553" i="7" s="1"/>
  <c r="C552" i="5" l="1"/>
  <c r="J552" i="5"/>
  <c r="H552" i="5"/>
  <c r="K552" i="7"/>
  <c r="I552" i="7"/>
  <c r="M552" i="5" l="1"/>
  <c r="B553" i="5"/>
  <c r="K552" i="5"/>
  <c r="I552" i="5"/>
  <c r="N552" i="5" s="1"/>
  <c r="N552" i="7"/>
  <c r="L552" i="7"/>
  <c r="J552" i="7"/>
  <c r="C553" i="7"/>
  <c r="B554" i="7" s="1"/>
  <c r="O552" i="7" l="1"/>
  <c r="C553" i="5"/>
  <c r="J553" i="5"/>
  <c r="H553" i="5"/>
  <c r="K553" i="7"/>
  <c r="I553" i="7"/>
  <c r="N553" i="7" s="1"/>
  <c r="M553" i="5" l="1"/>
  <c r="B554" i="5"/>
  <c r="K553" i="5"/>
  <c r="I553" i="5"/>
  <c r="L553" i="7"/>
  <c r="J553" i="7"/>
  <c r="C554" i="7"/>
  <c r="B555" i="7" s="1"/>
  <c r="N553" i="5" l="1"/>
  <c r="O553" i="7"/>
  <c r="C554" i="5"/>
  <c r="J554" i="5"/>
  <c r="H554" i="5"/>
  <c r="K554" i="7"/>
  <c r="I554" i="7"/>
  <c r="M554" i="5" l="1"/>
  <c r="N554" i="7"/>
  <c r="B555" i="5"/>
  <c r="K554" i="5"/>
  <c r="I554" i="5"/>
  <c r="N554" i="5" s="1"/>
  <c r="L554" i="7"/>
  <c r="J554" i="7"/>
  <c r="C555" i="7"/>
  <c r="B556" i="7" s="1"/>
  <c r="O554" i="7" l="1"/>
  <c r="C555" i="5"/>
  <c r="J555" i="5"/>
  <c r="H555" i="5"/>
  <c r="M555" i="5" s="1"/>
  <c r="K555" i="7"/>
  <c r="I555" i="7"/>
  <c r="N555" i="7" l="1"/>
  <c r="B556" i="5"/>
  <c r="K555" i="5"/>
  <c r="I555" i="5"/>
  <c r="L555" i="7"/>
  <c r="J555" i="7"/>
  <c r="O555" i="7" s="1"/>
  <c r="C556" i="7"/>
  <c r="B557" i="7" s="1"/>
  <c r="N555" i="5" l="1"/>
  <c r="C556" i="5"/>
  <c r="J556" i="5"/>
  <c r="H556" i="5"/>
  <c r="K556" i="7"/>
  <c r="I556" i="7"/>
  <c r="N556" i="7" s="1"/>
  <c r="M556" i="5" l="1"/>
  <c r="B557" i="5"/>
  <c r="K556" i="5"/>
  <c r="I556" i="5"/>
  <c r="N556" i="5" s="1"/>
  <c r="L556" i="7"/>
  <c r="J556" i="7"/>
  <c r="C557" i="7"/>
  <c r="B558" i="7" s="1"/>
  <c r="C557" i="5" l="1"/>
  <c r="J557" i="5"/>
  <c r="H557" i="5"/>
  <c r="M557" i="5" s="1"/>
  <c r="O556" i="7"/>
  <c r="K557" i="7"/>
  <c r="I557" i="7"/>
  <c r="N557" i="7" s="1"/>
  <c r="B558" i="5" l="1"/>
  <c r="K557" i="5"/>
  <c r="I557" i="5"/>
  <c r="L557" i="7"/>
  <c r="J557" i="7"/>
  <c r="C558" i="7"/>
  <c r="B559" i="7" s="1"/>
  <c r="O557" i="7" l="1"/>
  <c r="N557" i="5"/>
  <c r="C558" i="5"/>
  <c r="H558" i="5"/>
  <c r="J558" i="5"/>
  <c r="K558" i="7"/>
  <c r="I558" i="7"/>
  <c r="M558" i="5" l="1"/>
  <c r="B559" i="5"/>
  <c r="K558" i="5"/>
  <c r="I558" i="5"/>
  <c r="N558" i="7"/>
  <c r="L558" i="7"/>
  <c r="J558" i="7"/>
  <c r="C559" i="7"/>
  <c r="B560" i="7" s="1"/>
  <c r="N558" i="5" l="1"/>
  <c r="O558" i="7"/>
  <c r="C559" i="5"/>
  <c r="J559" i="5"/>
  <c r="H559" i="5"/>
  <c r="K559" i="7"/>
  <c r="I559" i="7"/>
  <c r="M559" i="5" l="1"/>
  <c r="B560" i="5"/>
  <c r="K559" i="5"/>
  <c r="I559" i="5"/>
  <c r="N559" i="5" s="1"/>
  <c r="N559" i="7"/>
  <c r="L559" i="7"/>
  <c r="J559" i="7"/>
  <c r="C560" i="7"/>
  <c r="B561" i="7" s="1"/>
  <c r="C560" i="5" l="1"/>
  <c r="J560" i="5"/>
  <c r="H560" i="5"/>
  <c r="M560" i="5" s="1"/>
  <c r="O559" i="7"/>
  <c r="K560" i="7"/>
  <c r="I560" i="7"/>
  <c r="N560" i="7" s="1"/>
  <c r="B561" i="5" l="1"/>
  <c r="K560" i="5"/>
  <c r="I560" i="5"/>
  <c r="N560" i="5" s="1"/>
  <c r="L560" i="7"/>
  <c r="J560" i="7"/>
  <c r="C561" i="7"/>
  <c r="B562" i="7" s="1"/>
  <c r="C561" i="5" l="1"/>
  <c r="J561" i="5"/>
  <c r="H561" i="5"/>
  <c r="M561" i="5" s="1"/>
  <c r="O560" i="7"/>
  <c r="K561" i="7"/>
  <c r="I561" i="7"/>
  <c r="N561" i="7" s="1"/>
  <c r="B562" i="5" l="1"/>
  <c r="K561" i="5"/>
  <c r="I561" i="5"/>
  <c r="N561" i="5" s="1"/>
  <c r="L561" i="7"/>
  <c r="J561" i="7"/>
  <c r="C562" i="7"/>
  <c r="B563" i="7" s="1"/>
  <c r="C562" i="5" l="1"/>
  <c r="J562" i="5"/>
  <c r="H562" i="5"/>
  <c r="M562" i="5" s="1"/>
  <c r="O561" i="7"/>
  <c r="K562" i="7"/>
  <c r="I562" i="7"/>
  <c r="N562" i="7" s="1"/>
  <c r="B563" i="5" l="1"/>
  <c r="I562" i="5"/>
  <c r="K562" i="5"/>
  <c r="L562" i="7"/>
  <c r="J562" i="7"/>
  <c r="C563" i="7"/>
  <c r="B564" i="7" s="1"/>
  <c r="N562" i="5" l="1"/>
  <c r="C563" i="5"/>
  <c r="J563" i="5"/>
  <c r="H563" i="5"/>
  <c r="O562" i="7"/>
  <c r="K563" i="7"/>
  <c r="I563" i="7"/>
  <c r="M563" i="5" l="1"/>
  <c r="B564" i="5"/>
  <c r="K563" i="5"/>
  <c r="I563" i="5"/>
  <c r="N563" i="7"/>
  <c r="L563" i="7"/>
  <c r="J563" i="7"/>
  <c r="C564" i="7"/>
  <c r="B565" i="7" s="1"/>
  <c r="N563" i="5" l="1"/>
  <c r="C564" i="5"/>
  <c r="J564" i="5"/>
  <c r="H564" i="5"/>
  <c r="M564" i="5" s="1"/>
  <c r="O563" i="7"/>
  <c r="K564" i="7"/>
  <c r="I564" i="7"/>
  <c r="N564" i="7" l="1"/>
  <c r="B565" i="5"/>
  <c r="K564" i="5"/>
  <c r="I564" i="5"/>
  <c r="N564" i="5" s="1"/>
  <c r="L564" i="7"/>
  <c r="J564" i="7"/>
  <c r="O564" i="7" s="1"/>
  <c r="C565" i="7"/>
  <c r="B566" i="7" s="1"/>
  <c r="C565" i="5" l="1"/>
  <c r="J565" i="5"/>
  <c r="H565" i="5"/>
  <c r="M565" i="5" s="1"/>
  <c r="K565" i="7"/>
  <c r="I565" i="7"/>
  <c r="B566" i="5" l="1"/>
  <c r="K565" i="5"/>
  <c r="I565" i="5"/>
  <c r="N565" i="7"/>
  <c r="L565" i="7"/>
  <c r="J565" i="7"/>
  <c r="O565" i="7" s="1"/>
  <c r="C566" i="7"/>
  <c r="B567" i="7" s="1"/>
  <c r="N565" i="5" l="1"/>
  <c r="C566" i="5"/>
  <c r="J566" i="5"/>
  <c r="H566" i="5"/>
  <c r="M566" i="5" s="1"/>
  <c r="K566" i="7"/>
  <c r="I566" i="7"/>
  <c r="N566" i="7" s="1"/>
  <c r="B567" i="5" l="1"/>
  <c r="K566" i="5"/>
  <c r="I566" i="5"/>
  <c r="N566" i="5" s="1"/>
  <c r="L566" i="7"/>
  <c r="J566" i="7"/>
  <c r="C567" i="7"/>
  <c r="B568" i="7" s="1"/>
  <c r="C567" i="5" l="1"/>
  <c r="J567" i="5"/>
  <c r="H567" i="5"/>
  <c r="M567" i="5" s="1"/>
  <c r="O566" i="7"/>
  <c r="K567" i="7"/>
  <c r="I567" i="7"/>
  <c r="N567" i="7" l="1"/>
  <c r="B568" i="5"/>
  <c r="K567" i="5"/>
  <c r="I567" i="5"/>
  <c r="L567" i="7"/>
  <c r="J567" i="7"/>
  <c r="C568" i="7"/>
  <c r="B569" i="7" s="1"/>
  <c r="N567" i="5" l="1"/>
  <c r="C568" i="5"/>
  <c r="J568" i="5"/>
  <c r="H568" i="5"/>
  <c r="O567" i="7"/>
  <c r="K568" i="7"/>
  <c r="I568" i="7"/>
  <c r="M568" i="5" l="1"/>
  <c r="N568" i="7"/>
  <c r="B569" i="5"/>
  <c r="K568" i="5"/>
  <c r="I568" i="5"/>
  <c r="L568" i="7"/>
  <c r="J568" i="7"/>
  <c r="C569" i="7"/>
  <c r="B570" i="7" s="1"/>
  <c r="N568" i="5" l="1"/>
  <c r="C569" i="5"/>
  <c r="J569" i="5"/>
  <c r="H569" i="5"/>
  <c r="M569" i="5" s="1"/>
  <c r="O568" i="7"/>
  <c r="K569" i="7"/>
  <c r="I569" i="7"/>
  <c r="B570" i="5" l="1"/>
  <c r="K569" i="5"/>
  <c r="I569" i="5"/>
  <c r="N569" i="7"/>
  <c r="L569" i="7"/>
  <c r="J569" i="7"/>
  <c r="C570" i="7"/>
  <c r="B571" i="7" s="1"/>
  <c r="N569" i="5" l="1"/>
  <c r="C570" i="5"/>
  <c r="J570" i="5"/>
  <c r="H570" i="5"/>
  <c r="O569" i="7"/>
  <c r="K570" i="7"/>
  <c r="I570" i="7"/>
  <c r="M570" i="5" l="1"/>
  <c r="B571" i="5"/>
  <c r="K570" i="5"/>
  <c r="I570" i="5"/>
  <c r="N570" i="5" s="1"/>
  <c r="N570" i="7"/>
  <c r="L570" i="7"/>
  <c r="J570" i="7"/>
  <c r="C571" i="7"/>
  <c r="B572" i="7" s="1"/>
  <c r="O570" i="7" l="1"/>
  <c r="C571" i="5"/>
  <c r="J571" i="5"/>
  <c r="H571" i="5"/>
  <c r="K571" i="7"/>
  <c r="I571" i="7"/>
  <c r="M571" i="5" l="1"/>
  <c r="B572" i="5"/>
  <c r="K571" i="5"/>
  <c r="I571" i="5"/>
  <c r="N571" i="7"/>
  <c r="L571" i="7"/>
  <c r="J571" i="7"/>
  <c r="C572" i="7"/>
  <c r="B573" i="7" s="1"/>
  <c r="N571" i="5" l="1"/>
  <c r="C572" i="5"/>
  <c r="J572" i="5"/>
  <c r="H572" i="5"/>
  <c r="M572" i="5" s="1"/>
  <c r="O571" i="7"/>
  <c r="K572" i="7"/>
  <c r="I572" i="7"/>
  <c r="N572" i="7" l="1"/>
  <c r="B573" i="5"/>
  <c r="K572" i="5"/>
  <c r="I572" i="5"/>
  <c r="L572" i="7"/>
  <c r="J572" i="7"/>
  <c r="O572" i="7" s="1"/>
  <c r="C573" i="7"/>
  <c r="B574" i="7" s="1"/>
  <c r="N572" i="5" l="1"/>
  <c r="C573" i="5"/>
  <c r="J573" i="5"/>
  <c r="H573" i="5"/>
  <c r="K573" i="7"/>
  <c r="I573" i="7"/>
  <c r="M573" i="5" l="1"/>
  <c r="B574" i="5"/>
  <c r="K573" i="5"/>
  <c r="I573" i="5"/>
  <c r="N573" i="7"/>
  <c r="L573" i="7"/>
  <c r="J573" i="7"/>
  <c r="C574" i="7"/>
  <c r="B575" i="7" s="1"/>
  <c r="N573" i="5" l="1"/>
  <c r="O573" i="7"/>
  <c r="C574" i="5"/>
  <c r="H574" i="5"/>
  <c r="J574" i="5"/>
  <c r="K574" i="7"/>
  <c r="I574" i="7"/>
  <c r="M574" i="5" l="1"/>
  <c r="N574" i="7"/>
  <c r="B575" i="5"/>
  <c r="K574" i="5"/>
  <c r="I574" i="5"/>
  <c r="L574" i="7"/>
  <c r="J574" i="7"/>
  <c r="C575" i="7"/>
  <c r="B576" i="7" s="1"/>
  <c r="O574" i="7" l="1"/>
  <c r="N574" i="5"/>
  <c r="C575" i="5"/>
  <c r="J575" i="5"/>
  <c r="H575" i="5"/>
  <c r="M575" i="5" s="1"/>
  <c r="K575" i="7"/>
  <c r="I575" i="7"/>
  <c r="N575" i="7" l="1"/>
  <c r="B576" i="5"/>
  <c r="K575" i="5"/>
  <c r="I575" i="5"/>
  <c r="L575" i="7"/>
  <c r="J575" i="7"/>
  <c r="O575" i="7" s="1"/>
  <c r="C576" i="7"/>
  <c r="B577" i="7" s="1"/>
  <c r="N575" i="5" l="1"/>
  <c r="C576" i="5"/>
  <c r="J576" i="5"/>
  <c r="H576" i="5"/>
  <c r="M576" i="5" s="1"/>
  <c r="K576" i="7"/>
  <c r="I576" i="7"/>
  <c r="N576" i="7" s="1"/>
  <c r="B577" i="5" l="1"/>
  <c r="K576" i="5"/>
  <c r="I576" i="5"/>
  <c r="N576" i="5" s="1"/>
  <c r="L576" i="7"/>
  <c r="J576" i="7"/>
  <c r="C577" i="7"/>
  <c r="B578" i="7" s="1"/>
  <c r="C577" i="5" l="1"/>
  <c r="J577" i="5"/>
  <c r="H577" i="5"/>
  <c r="M577" i="5" s="1"/>
  <c r="O576" i="7"/>
  <c r="K577" i="7"/>
  <c r="I577" i="7"/>
  <c r="N577" i="7" s="1"/>
  <c r="B578" i="5" l="1"/>
  <c r="K577" i="5"/>
  <c r="I577" i="5"/>
  <c r="L577" i="7"/>
  <c r="J577" i="7"/>
  <c r="O577" i="7" s="1"/>
  <c r="C578" i="7"/>
  <c r="B579" i="7" s="1"/>
  <c r="N577" i="5" l="1"/>
  <c r="C578" i="5"/>
  <c r="J578" i="5"/>
  <c r="H578" i="5"/>
  <c r="K578" i="7"/>
  <c r="I578" i="7"/>
  <c r="N578" i="7" s="1"/>
  <c r="M578" i="5" l="1"/>
  <c r="B579" i="5"/>
  <c r="K578" i="5"/>
  <c r="I578" i="5"/>
  <c r="N578" i="5" s="1"/>
  <c r="L578" i="7"/>
  <c r="J578" i="7"/>
  <c r="C579" i="7"/>
  <c r="C579" i="5" l="1"/>
  <c r="J579" i="5"/>
  <c r="H579" i="5"/>
  <c r="M579" i="5" s="1"/>
  <c r="O578" i="7"/>
  <c r="K579" i="7"/>
  <c r="I579" i="7"/>
  <c r="N579" i="7" s="1"/>
  <c r="K579" i="5" l="1"/>
  <c r="I579" i="5"/>
  <c r="N579" i="5" s="1"/>
  <c r="L579" i="7"/>
  <c r="J579" i="7"/>
  <c r="O579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tc={D5814675-F026-4E91-9C1A-7A10F11EA5E6}</author>
    <author>tc={A332AD69-DDBC-4144-8EB5-8E1C8AB52F6D}</author>
    <author>tc={6F7030B0-864F-4C1A-AD25-2F5B71D456B1}</author>
  </authors>
  <commentList>
    <comment ref="A1" authorId="0" shapeId="0" xr:uid="{D5814675-F026-4E91-9C1A-7A10F11EA5E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결투장 시즌 인덱스</t>
      </text>
    </comment>
    <comment ref="C1" authorId="1" shapeId="0" xr:uid="{A332AD69-DDBC-4144-8EB5-8E1C8AB52F6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시작 시간 (Loal시)</t>
      </text>
    </comment>
    <comment ref="D1" authorId="2" shapeId="0" xr:uid="{6F7030B0-864F-4C1A-AD25-2F5B71D456B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종료 시간 (Loal시)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tc={9FA292CB-C206-473E-8CEC-D37C67CCEAE5}</author>
    <author>tc={C1B60E88-B4E2-480E-895A-4B02DB0B79D8}</author>
    <author>tc={557D4EE0-E15B-4D70-8CA3-37F465381BEC}</author>
    <author>tc={5C812762-AA83-410E-AAE4-4501B2AAB5EA}</author>
    <author>tc={FA8BE474-38AD-4D53-9CB8-D6365E46B4CA}</author>
    <author>tc={9AE7BE08-B68D-4612-A6AC-591AFFBC1D29}</author>
    <author>tc={84AA6B6F-2046-4ADF-A985-5D3F9927E56D}</author>
    <author>tc={4E1FFD1A-5227-4E4D-B957-9A998D9F4254}</author>
    <author>tc={638B7AE6-2184-40EC-8EF6-D705C9731B8E}</author>
    <author>tc={1A8B4E18-797D-45B4-8D2F-3BF99A2CF10F}</author>
    <author>tc={EC3FE521-32CD-48BC-8FC6-61D3A5BCBB6D}</author>
    <author>tc={45170795-5583-4E04-85FC-C3615503AEC8}</author>
  </authors>
  <commentList>
    <comment ref="A1" authorId="0" shapeId="0" xr:uid="{9FA292CB-C206-473E-8CEC-D37C67CCEAE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결투장 시즌 인덱스</t>
      </text>
    </comment>
    <comment ref="C1" authorId="1" shapeId="0" xr:uid="{C1B60E88-B4E2-480E-895A-4B02DB0B79D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표기</t>
      </text>
    </comment>
    <comment ref="D1" authorId="2" shapeId="0" xr:uid="{557D4EE0-E15B-4D70-8CA3-37F465381BE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기록실 시즌 표기</t>
      </text>
    </comment>
    <comment ref="E1" authorId="3" shapeId="0" xr:uid="{5C812762-AA83-410E-AAE4-4501B2AAB5E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시작 시간(UTC)</t>
      </text>
    </comment>
    <comment ref="F1" authorId="4" shapeId="0" xr:uid="{FA8BE474-38AD-4D53-9CB8-D6365E46B4C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종료 시간(UTC)</t>
      </text>
    </comment>
    <comment ref="H1" authorId="5" shapeId="0" xr:uid="{9AE7BE08-B68D-4612-A6AC-591AFFBC1D2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종류
Regular - 정규
Free - 프리</t>
      </text>
    </comment>
    <comment ref="I1" authorId="6" shapeId="0" xr:uid="{84AA6B6F-2046-4ADF-A985-5D3F9927E56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보상 지급 여부
정규에 지급</t>
      </text>
    </comment>
    <comment ref="J1" authorId="7" shapeId="0" xr:uid="{4E1FFD1A-5227-4E4D-B957-9A998D9F425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가능 시간(Local)</t>
      </text>
    </comment>
    <comment ref="K1" authorId="8" shapeId="0" xr:uid="{638B7AE6-2184-40EC-8EF6-D705C9731B8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가능 시간(Local)</t>
      </text>
    </comment>
    <comment ref="L1" authorId="9" shapeId="0" xr:uid="{1A8B4E18-797D-45B4-8D2F-3BF99A2CF10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참여를 위한 영웅 각성도 조건</t>
      </text>
    </comment>
    <comment ref="M1" authorId="10" shapeId="0" xr:uid="{EC3FE521-32CD-48BC-8FC6-61D3A5BCBB6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참여를 위한 영웅 레벨 조건</t>
      </text>
    </comment>
    <comment ref="N1" authorId="11" shapeId="0" xr:uid="{45170795-5583-4E04-85FC-C3615503AEC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참여를 위해 조건이 맞는 보유 영웅 수</t>
      </text>
    </comment>
  </commentList>
</comments>
</file>

<file path=xl/sharedStrings.xml><?xml version="1.0" encoding="utf-8"?>
<sst xmlns="http://schemas.openxmlformats.org/spreadsheetml/2006/main" count="1909" uniqueCount="1177">
  <si>
    <t>Index</t>
    <phoneticPr fontId="8" type="noConversion"/>
  </si>
  <si>
    <t>Name</t>
    <phoneticPr fontId="6" type="noConversion"/>
  </si>
  <si>
    <t>Begin</t>
    <phoneticPr fontId="6" type="noConversion"/>
  </si>
  <si>
    <t>End</t>
    <phoneticPr fontId="6" type="noConversion"/>
  </si>
  <si>
    <t>Description</t>
    <phoneticPr fontId="6" type="noConversion"/>
  </si>
  <si>
    <t>SEASON1</t>
    <phoneticPr fontId="6" type="noConversion"/>
  </si>
  <si>
    <t>2016-09-04 01:00:00</t>
    <phoneticPr fontId="6" type="noConversion"/>
  </si>
  <si>
    <t>2016-08-28 01:00:00</t>
    <phoneticPr fontId="6" type="noConversion"/>
  </si>
  <si>
    <t>2016-08-27 23:59:59</t>
    <phoneticPr fontId="6" type="noConversion"/>
  </si>
  <si>
    <t>2016-09-03 23:59:59</t>
    <phoneticPr fontId="6" type="noConversion"/>
  </si>
  <si>
    <t>SEASON2</t>
  </si>
  <si>
    <t>SEASON3</t>
  </si>
  <si>
    <t>SEASON4</t>
  </si>
  <si>
    <t>SEASON5</t>
  </si>
  <si>
    <t>SEASON6</t>
  </si>
  <si>
    <t>SEASON7</t>
  </si>
  <si>
    <t>SEASON8</t>
  </si>
  <si>
    <t>SEASON9</t>
  </si>
  <si>
    <t>SEASON10</t>
  </si>
  <si>
    <t>SEASON11</t>
  </si>
  <si>
    <t>SEASON12</t>
  </si>
  <si>
    <t>SEASON13</t>
  </si>
  <si>
    <t>SEASON14</t>
  </si>
  <si>
    <t>SEASON15</t>
  </si>
  <si>
    <t>2016-08-25 01:00:00</t>
    <phoneticPr fontId="6" type="noConversion"/>
  </si>
  <si>
    <t>2016-08-25 23:59:59</t>
    <phoneticPr fontId="6" type="noConversion"/>
  </si>
  <si>
    <t>2016-08-26 01:00:00</t>
    <phoneticPr fontId="6" type="noConversion"/>
  </si>
  <si>
    <t>2016-08-26 23:59:59</t>
    <phoneticPr fontId="6" type="noConversion"/>
  </si>
  <si>
    <t>2016-08-27 01:00:00</t>
    <phoneticPr fontId="6" type="noConversion"/>
  </si>
  <si>
    <t>2016-08-28 23:59:59</t>
    <phoneticPr fontId="6" type="noConversion"/>
  </si>
  <si>
    <t>2016-08-29 23:59:59</t>
    <phoneticPr fontId="6" type="noConversion"/>
  </si>
  <si>
    <t>2016-08-29 01:00:00</t>
    <phoneticPr fontId="6" type="noConversion"/>
  </si>
  <si>
    <t>2016-08-30 01:00:00</t>
    <phoneticPr fontId="6" type="noConversion"/>
  </si>
  <si>
    <t>2016-08-30 23:59:59</t>
    <phoneticPr fontId="6" type="noConversion"/>
  </si>
  <si>
    <t>2016-08-31 23:59:59</t>
    <phoneticPr fontId="6" type="noConversion"/>
  </si>
  <si>
    <t>2016-08-31 01:00:00</t>
    <phoneticPr fontId="6" type="noConversion"/>
  </si>
  <si>
    <t>2016-09-01 01:00:00</t>
    <phoneticPr fontId="6" type="noConversion"/>
  </si>
  <si>
    <t>2016-09-01 23:59:59</t>
    <phoneticPr fontId="6" type="noConversion"/>
  </si>
  <si>
    <t>2016-09-02 01:00:00</t>
    <phoneticPr fontId="6" type="noConversion"/>
  </si>
  <si>
    <t>2016-09-02 23:59:59</t>
    <phoneticPr fontId="6" type="noConversion"/>
  </si>
  <si>
    <t>2016-09-03 01:00:00</t>
    <phoneticPr fontId="6" type="noConversion"/>
  </si>
  <si>
    <t>2016-09-05 01:00:00</t>
    <phoneticPr fontId="6" type="noConversion"/>
  </si>
  <si>
    <t>TEST LAST SEASON</t>
    <phoneticPr fontId="6" type="noConversion"/>
  </si>
  <si>
    <t>TEST SEASON1</t>
    <phoneticPr fontId="6" type="noConversion"/>
  </si>
  <si>
    <t>TEST SEASON2</t>
  </si>
  <si>
    <t>TEST SEASON3</t>
  </si>
  <si>
    <t>TEST SEASON4</t>
  </si>
  <si>
    <t>TEST SEASON5</t>
  </si>
  <si>
    <t>TEST SEASON6</t>
  </si>
  <si>
    <t>TEST SEASON7</t>
  </si>
  <si>
    <t>TEST SEASON8</t>
  </si>
  <si>
    <t>TEST SEASON9</t>
  </si>
  <si>
    <t>TEST SEASON10</t>
  </si>
  <si>
    <t>TEST SEASON11</t>
  </si>
  <si>
    <t>TEST SEASON12</t>
  </si>
  <si>
    <t>TEST SEASON13</t>
  </si>
  <si>
    <t>TEST SEASON14</t>
  </si>
  <si>
    <t>TEST SEASON15</t>
  </si>
  <si>
    <t>TEST SEASON16</t>
  </si>
  <si>
    <t>2016-09-05 00:00:01</t>
    <phoneticPr fontId="6" type="noConversion"/>
  </si>
  <si>
    <t>2016-09-08 00:00:01</t>
    <phoneticPr fontId="6" type="noConversion"/>
  </si>
  <si>
    <t>2016-09-08 01:00:00</t>
    <phoneticPr fontId="6" type="noConversion"/>
  </si>
  <si>
    <t>2016-09-11 00:00:01</t>
    <phoneticPr fontId="6" type="noConversion"/>
  </si>
  <si>
    <t>2016-09-11 01:00:00</t>
    <phoneticPr fontId="6" type="noConversion"/>
  </si>
  <si>
    <t>2016-09-14 00:00:01</t>
    <phoneticPr fontId="6" type="noConversion"/>
  </si>
  <si>
    <t>2016-09-14 01:00:00</t>
    <phoneticPr fontId="6" type="noConversion"/>
  </si>
  <si>
    <t>2016-09-17 00:00:01</t>
    <phoneticPr fontId="6" type="noConversion"/>
  </si>
  <si>
    <t>2016-09-17 01:00:00</t>
    <phoneticPr fontId="6" type="noConversion"/>
  </si>
  <si>
    <t>2016-09-19 00:00:01</t>
    <phoneticPr fontId="6" type="noConversion"/>
  </si>
  <si>
    <t>2016-09-19 01:00:00</t>
    <phoneticPr fontId="6" type="noConversion"/>
  </si>
  <si>
    <t>2016-09-26 00:00:01</t>
    <phoneticPr fontId="6" type="noConversion"/>
  </si>
  <si>
    <t>2016-09-26 01:00:00</t>
    <phoneticPr fontId="6" type="noConversion"/>
  </si>
  <si>
    <t>2016-10-03 00:00:01</t>
    <phoneticPr fontId="6" type="noConversion"/>
  </si>
  <si>
    <t>2016-10-03 01:00:00</t>
    <phoneticPr fontId="6" type="noConversion"/>
  </si>
  <si>
    <t>2016-10-10 00:00:01</t>
    <phoneticPr fontId="6" type="noConversion"/>
  </si>
  <si>
    <t>2016-10-10 01:00:00</t>
    <phoneticPr fontId="6" type="noConversion"/>
  </si>
  <si>
    <t>2016-10-17 00:00:01</t>
    <phoneticPr fontId="6" type="noConversion"/>
  </si>
  <si>
    <t>2016-10-17 01:00:00</t>
    <phoneticPr fontId="6" type="noConversion"/>
  </si>
  <si>
    <t>2016-10-24 00:00:01</t>
    <phoneticPr fontId="6" type="noConversion"/>
  </si>
  <si>
    <t>2016-10-31 01:00:00</t>
    <phoneticPr fontId="6" type="noConversion"/>
  </si>
  <si>
    <t>2016-10-24 01:00:00</t>
    <phoneticPr fontId="6" type="noConversion"/>
  </si>
  <si>
    <t>2016-10-31 00:00:01</t>
    <phoneticPr fontId="6" type="noConversion"/>
  </si>
  <si>
    <t>2016-11-07 00:00:01</t>
    <phoneticPr fontId="6" type="noConversion"/>
  </si>
  <si>
    <t>2016-11-07 01:00:00</t>
    <phoneticPr fontId="6" type="noConversion"/>
  </si>
  <si>
    <t>2016-11-14 00:00:01</t>
    <phoneticPr fontId="6" type="noConversion"/>
  </si>
  <si>
    <t>2016-11-21 01:00:00</t>
    <phoneticPr fontId="6" type="noConversion"/>
  </si>
  <si>
    <t>2016-11-28 00:00:01</t>
    <phoneticPr fontId="6" type="noConversion"/>
  </si>
  <si>
    <t>2016-11-14 01:00:00</t>
    <phoneticPr fontId="6" type="noConversion"/>
  </si>
  <si>
    <t>2016-11-21 00:00:01</t>
    <phoneticPr fontId="6" type="noConversion"/>
  </si>
  <si>
    <t>2016-11-28 01:00:00</t>
    <phoneticPr fontId="6" type="noConversion"/>
  </si>
  <si>
    <t>2016-12-05 00:00:01</t>
    <phoneticPr fontId="6" type="noConversion"/>
  </si>
  <si>
    <t>2016-12-05 01:00:00</t>
    <phoneticPr fontId="6" type="noConversion"/>
  </si>
  <si>
    <t>2016-12-12 00:00:01</t>
    <phoneticPr fontId="6" type="noConversion"/>
  </si>
  <si>
    <t>2016-12-12 01:00:00</t>
    <phoneticPr fontId="6" type="noConversion"/>
  </si>
  <si>
    <t>2016-12-19 00:00:01</t>
    <phoneticPr fontId="6" type="noConversion"/>
  </si>
  <si>
    <t>2016-12-19 01:00:00</t>
    <phoneticPr fontId="6" type="noConversion"/>
  </si>
  <si>
    <t>2016-12-26 00:00:01</t>
    <phoneticPr fontId="6" type="noConversion"/>
  </si>
  <si>
    <t>2016-12-26 01:00:00</t>
    <phoneticPr fontId="6" type="noConversion"/>
  </si>
  <si>
    <t>2017-01-02 00:00:01</t>
    <phoneticPr fontId="6" type="noConversion"/>
  </si>
  <si>
    <t>2017-01-02 01:00:00</t>
    <phoneticPr fontId="6" type="noConversion"/>
  </si>
  <si>
    <t>2017-01-09 00:00:01</t>
    <phoneticPr fontId="6" type="noConversion"/>
  </si>
  <si>
    <t>2017-01-09 01:00:00</t>
    <phoneticPr fontId="6" type="noConversion"/>
  </si>
  <si>
    <t>2017-01-16 00:00:01</t>
    <phoneticPr fontId="6" type="noConversion"/>
  </si>
  <si>
    <t>SEASON16</t>
  </si>
  <si>
    <t>SEASON17</t>
  </si>
  <si>
    <t>SEASON18</t>
  </si>
  <si>
    <t>SEASON19</t>
  </si>
  <si>
    <t>SEASON20</t>
  </si>
  <si>
    <t>SEASON21</t>
  </si>
  <si>
    <t>2017-01-16 01:00:00</t>
    <phoneticPr fontId="6" type="noConversion"/>
  </si>
  <si>
    <t>2017-01-23 00:00:01</t>
    <phoneticPr fontId="6" type="noConversion"/>
  </si>
  <si>
    <t>2017-01-23 01:00:00</t>
    <phoneticPr fontId="6" type="noConversion"/>
  </si>
  <si>
    <t>2017-01-30 00:00:01</t>
    <phoneticPr fontId="6" type="noConversion"/>
  </si>
  <si>
    <t>2017-01-30 01:00:00</t>
    <phoneticPr fontId="6" type="noConversion"/>
  </si>
  <si>
    <t>2017-02-06 00:00:01</t>
    <phoneticPr fontId="6" type="noConversion"/>
  </si>
  <si>
    <t>2017-02-06 01:00:00</t>
    <phoneticPr fontId="6" type="noConversion"/>
  </si>
  <si>
    <t>2017-02-13 00:00:01</t>
    <phoneticPr fontId="6" type="noConversion"/>
  </si>
  <si>
    <t>2017-02-13 01:00:00</t>
    <phoneticPr fontId="6" type="noConversion"/>
  </si>
  <si>
    <t>2017-02-20 00:00:01</t>
    <phoneticPr fontId="6" type="noConversion"/>
  </si>
  <si>
    <t>SEASON22</t>
  </si>
  <si>
    <t>SEASON22</t>
    <phoneticPr fontId="6" type="noConversion"/>
  </si>
  <si>
    <t>2017-02-20 01:00:00</t>
    <phoneticPr fontId="6" type="noConversion"/>
  </si>
  <si>
    <t>SEASON1</t>
    <phoneticPr fontId="6" type="noConversion"/>
  </si>
  <si>
    <t>SEASON23</t>
  </si>
  <si>
    <t>SEASON24</t>
  </si>
  <si>
    <t>SEASON25</t>
  </si>
  <si>
    <t>SEASON26</t>
  </si>
  <si>
    <t>SEASON27</t>
  </si>
  <si>
    <t>SEASON28</t>
  </si>
  <si>
    <t>SEASON29</t>
  </si>
  <si>
    <t>SEASON30</t>
  </si>
  <si>
    <t>SEASON31</t>
  </si>
  <si>
    <t>SEASON32</t>
  </si>
  <si>
    <t>SEASON33</t>
  </si>
  <si>
    <t>SEASON34</t>
  </si>
  <si>
    <t>SEASON35</t>
  </si>
  <si>
    <t>SEASON36</t>
  </si>
  <si>
    <t>SEASON37</t>
  </si>
  <si>
    <t>SEASON38</t>
  </si>
  <si>
    <t>SEASON39</t>
  </si>
  <si>
    <t>SEASON40</t>
  </si>
  <si>
    <t>SEASON41</t>
  </si>
  <si>
    <t>SEASON42</t>
  </si>
  <si>
    <t>SEASON43</t>
  </si>
  <si>
    <t>SEASON44</t>
  </si>
  <si>
    <t>SEASON45</t>
  </si>
  <si>
    <t>2017-02-27 00:00:01</t>
    <phoneticPr fontId="6" type="noConversion"/>
  </si>
  <si>
    <t>2017-02-27 01:00:00</t>
    <phoneticPr fontId="6" type="noConversion"/>
  </si>
  <si>
    <t>2017-03-06 00:00:01</t>
    <phoneticPr fontId="6" type="noConversion"/>
  </si>
  <si>
    <t>2017-03-13 00:00:01</t>
    <phoneticPr fontId="6" type="noConversion"/>
  </si>
  <si>
    <t>2017-03-13 01:00:00</t>
    <phoneticPr fontId="6" type="noConversion"/>
  </si>
  <si>
    <t>2017-03-20 00:00:01</t>
    <phoneticPr fontId="6" type="noConversion"/>
  </si>
  <si>
    <t>2017-03-27 00:00:01</t>
    <phoneticPr fontId="6" type="noConversion"/>
  </si>
  <si>
    <t>2017-03-20 01:00:00</t>
    <phoneticPr fontId="6" type="noConversion"/>
  </si>
  <si>
    <t>2017-03-27 01:00:00</t>
    <phoneticPr fontId="6" type="noConversion"/>
  </si>
  <si>
    <t>2017-04-03 00:00:01</t>
    <phoneticPr fontId="6" type="noConversion"/>
  </si>
  <si>
    <t>2017-04-03 01:00:00</t>
    <phoneticPr fontId="6" type="noConversion"/>
  </si>
  <si>
    <t>2017-04-10 00:00:01</t>
    <phoneticPr fontId="6" type="noConversion"/>
  </si>
  <si>
    <t>2017-04-10 01:00:00</t>
    <phoneticPr fontId="6" type="noConversion"/>
  </si>
  <si>
    <t>2017-04-17 00:00:01</t>
    <phoneticPr fontId="6" type="noConversion"/>
  </si>
  <si>
    <t>2017-04-24 00:00:01</t>
    <phoneticPr fontId="6" type="noConversion"/>
  </si>
  <si>
    <t>2017-04-17 01:00:00</t>
    <phoneticPr fontId="6" type="noConversion"/>
  </si>
  <si>
    <t>2017-04-24 01:00:00</t>
    <phoneticPr fontId="6" type="noConversion"/>
  </si>
  <si>
    <t>2017-05-01 00:00:01</t>
    <phoneticPr fontId="6" type="noConversion"/>
  </si>
  <si>
    <t>2017-05-01 01:00:00</t>
    <phoneticPr fontId="6" type="noConversion"/>
  </si>
  <si>
    <t>2017-05-08 00:00:01</t>
    <phoneticPr fontId="6" type="noConversion"/>
  </si>
  <si>
    <t>2017-05-08 01:00:00</t>
    <phoneticPr fontId="6" type="noConversion"/>
  </si>
  <si>
    <t>2017-05-15 00:00:01</t>
    <phoneticPr fontId="6" type="noConversion"/>
  </si>
  <si>
    <t>2017-05-15 01:00:00</t>
    <phoneticPr fontId="6" type="noConversion"/>
  </si>
  <si>
    <t>2017-05-22 00:00:01</t>
    <phoneticPr fontId="6" type="noConversion"/>
  </si>
  <si>
    <t>2017-05-22 01:00:00</t>
    <phoneticPr fontId="6" type="noConversion"/>
  </si>
  <si>
    <t>2017-05-29 00:00:01</t>
    <phoneticPr fontId="6" type="noConversion"/>
  </si>
  <si>
    <t>2017-05-29 01:00:00</t>
    <phoneticPr fontId="6" type="noConversion"/>
  </si>
  <si>
    <t>2017-06-05 00:00:01</t>
    <phoneticPr fontId="6" type="noConversion"/>
  </si>
  <si>
    <t>2017-06-05 01:00:00</t>
    <phoneticPr fontId="6" type="noConversion"/>
  </si>
  <si>
    <t>2017-06-12 00:00:01</t>
    <phoneticPr fontId="6" type="noConversion"/>
  </si>
  <si>
    <t>2017-06-12 01:00:00</t>
    <phoneticPr fontId="6" type="noConversion"/>
  </si>
  <si>
    <t>2017-06-19 00:00:01</t>
    <phoneticPr fontId="6" type="noConversion"/>
  </si>
  <si>
    <t>2017-06-19 01:00:00</t>
    <phoneticPr fontId="6" type="noConversion"/>
  </si>
  <si>
    <t>2017-06-26 00:00:01</t>
    <phoneticPr fontId="6" type="noConversion"/>
  </si>
  <si>
    <t>2017-06-26 01:00:00</t>
    <phoneticPr fontId="6" type="noConversion"/>
  </si>
  <si>
    <t>2017-07-03 00:00:01</t>
    <phoneticPr fontId="6" type="noConversion"/>
  </si>
  <si>
    <t>2017-07-03 01:00:00</t>
    <phoneticPr fontId="6" type="noConversion"/>
  </si>
  <si>
    <t>2017-07-10 00:00:01</t>
    <phoneticPr fontId="6" type="noConversion"/>
  </si>
  <si>
    <t>2017-07-10 01:00:00</t>
    <phoneticPr fontId="6" type="noConversion"/>
  </si>
  <si>
    <t>2017-07-17 00:00:01</t>
    <phoneticPr fontId="6" type="noConversion"/>
  </si>
  <si>
    <t>2017-07-17 01:00:00</t>
    <phoneticPr fontId="6" type="noConversion"/>
  </si>
  <si>
    <t>2017-07-24 00:00:01</t>
    <phoneticPr fontId="6" type="noConversion"/>
  </si>
  <si>
    <t>2017-07-24 01:00:00</t>
    <phoneticPr fontId="6" type="noConversion"/>
  </si>
  <si>
    <t>2017-07-31 00:00:01</t>
    <phoneticPr fontId="6" type="noConversion"/>
  </si>
  <si>
    <t>2017-03-06 03:00:00</t>
    <phoneticPr fontId="6" type="noConversion"/>
  </si>
  <si>
    <t>SEASON46</t>
  </si>
  <si>
    <t>SEASON47</t>
  </si>
  <si>
    <t>SEASON48</t>
  </si>
  <si>
    <t>SEASON49</t>
  </si>
  <si>
    <t>SEASON50</t>
  </si>
  <si>
    <t>SEASON51</t>
  </si>
  <si>
    <t>SEASON52</t>
  </si>
  <si>
    <t>SEASON53</t>
  </si>
  <si>
    <t>SEASON54</t>
  </si>
  <si>
    <t>SEASON55</t>
  </si>
  <si>
    <t>SEASON56</t>
  </si>
  <si>
    <t>SEASON57</t>
  </si>
  <si>
    <t>SEASON58</t>
  </si>
  <si>
    <t>SEASON59</t>
  </si>
  <si>
    <t>SEASON60</t>
  </si>
  <si>
    <t>SEASON61</t>
  </si>
  <si>
    <t>SEASON62</t>
  </si>
  <si>
    <t>SEASON63</t>
  </si>
  <si>
    <t>SEASON64</t>
  </si>
  <si>
    <t>SEASON65</t>
  </si>
  <si>
    <t>SEASON66</t>
  </si>
  <si>
    <t>SEASON67</t>
  </si>
  <si>
    <t>2017-07-31 01:00:00</t>
    <phoneticPr fontId="6" type="noConversion"/>
  </si>
  <si>
    <t>2017-08-07 00:00:01</t>
    <phoneticPr fontId="6" type="noConversion"/>
  </si>
  <si>
    <t>2017-08-14 00:00:01</t>
    <phoneticPr fontId="6" type="noConversion"/>
  </si>
  <si>
    <t>2017-08-21 00:00:01</t>
    <phoneticPr fontId="6" type="noConversion"/>
  </si>
  <si>
    <t>2017-08-28 00:00:01</t>
    <phoneticPr fontId="6" type="noConversion"/>
  </si>
  <si>
    <t>2017-09-04 00:00:01</t>
    <phoneticPr fontId="6" type="noConversion"/>
  </si>
  <si>
    <t>2017-09-11 00:00:01</t>
    <phoneticPr fontId="6" type="noConversion"/>
  </si>
  <si>
    <t>2017-09-18 00:00:01</t>
    <phoneticPr fontId="6" type="noConversion"/>
  </si>
  <si>
    <t>2017-09-25 00:00:01</t>
    <phoneticPr fontId="6" type="noConversion"/>
  </si>
  <si>
    <t>2017-10-02 00:00:01</t>
    <phoneticPr fontId="6" type="noConversion"/>
  </si>
  <si>
    <t>2017-10-09 00:00:01</t>
    <phoneticPr fontId="6" type="noConversion"/>
  </si>
  <si>
    <t>2017-10-16 00:00:01</t>
    <phoneticPr fontId="6" type="noConversion"/>
  </si>
  <si>
    <t>2017-10-23 00:00:01</t>
    <phoneticPr fontId="6" type="noConversion"/>
  </si>
  <si>
    <t>2017-10-30 00:00:01</t>
    <phoneticPr fontId="6" type="noConversion"/>
  </si>
  <si>
    <t>2017-11-06 00:00:01</t>
    <phoneticPr fontId="6" type="noConversion"/>
  </si>
  <si>
    <t>2017-11-13 00:00:01</t>
    <phoneticPr fontId="6" type="noConversion"/>
  </si>
  <si>
    <t>2017-08-07 01:00:00</t>
    <phoneticPr fontId="6" type="noConversion"/>
  </si>
  <si>
    <t>2017-08-14 01:00:00</t>
    <phoneticPr fontId="6" type="noConversion"/>
  </si>
  <si>
    <t>2017-08-21 01:00:00</t>
    <phoneticPr fontId="6" type="noConversion"/>
  </si>
  <si>
    <t>2017-08-28 01:00:00</t>
    <phoneticPr fontId="6" type="noConversion"/>
  </si>
  <si>
    <t>2017-09-04 01:00:00</t>
    <phoneticPr fontId="6" type="noConversion"/>
  </si>
  <si>
    <t>2017-09-11 01:00:00</t>
    <phoneticPr fontId="6" type="noConversion"/>
  </si>
  <si>
    <t>2017-09-18 01:00:00</t>
    <phoneticPr fontId="6" type="noConversion"/>
  </si>
  <si>
    <t>2017-09-25 01:00:00</t>
    <phoneticPr fontId="6" type="noConversion"/>
  </si>
  <si>
    <t>2017-10-02 01:00:00</t>
    <phoneticPr fontId="6" type="noConversion"/>
  </si>
  <si>
    <t>2017-10-09 01:00:00</t>
    <phoneticPr fontId="6" type="noConversion"/>
  </si>
  <si>
    <t>2017-10-16 01:00:00</t>
    <phoneticPr fontId="6" type="noConversion"/>
  </si>
  <si>
    <t>2017-10-23 01:00:00</t>
    <phoneticPr fontId="6" type="noConversion"/>
  </si>
  <si>
    <t>2017-10-30 01:00:00</t>
    <phoneticPr fontId="6" type="noConversion"/>
  </si>
  <si>
    <t>2017-11-06 01:00:00</t>
    <phoneticPr fontId="6" type="noConversion"/>
  </si>
  <si>
    <t>2017-11-13 01:00:00</t>
    <phoneticPr fontId="6" type="noConversion"/>
  </si>
  <si>
    <t>Name</t>
    <phoneticPr fontId="6" type="noConversion"/>
  </si>
  <si>
    <t>Begin</t>
    <phoneticPr fontId="6" type="noConversion"/>
  </si>
  <si>
    <t>End</t>
    <phoneticPr fontId="6" type="noConversion"/>
  </si>
  <si>
    <t>FREE SEASON2</t>
  </si>
  <si>
    <t>IsTakeReward</t>
    <phoneticPr fontId="6" type="noConversion"/>
  </si>
  <si>
    <t>PlayTimeBegin</t>
  </si>
  <si>
    <t>PlayTimeEnd</t>
  </si>
  <si>
    <t>22:00:00</t>
  </si>
  <si>
    <t>5</t>
  </si>
  <si>
    <t>60</t>
  </si>
  <si>
    <t>12</t>
  </si>
  <si>
    <t>LimitedHeroStar</t>
    <phoneticPr fontId="6" type="noConversion"/>
  </si>
  <si>
    <t>LimitedHeroLevel</t>
    <phoneticPr fontId="6" type="noConversion"/>
  </si>
  <si>
    <t>LimitedHeroCount</t>
    <phoneticPr fontId="6" type="noConversion"/>
  </si>
  <si>
    <t>SeasonIndex</t>
    <phoneticPr fontId="6" type="noConversion"/>
  </si>
  <si>
    <t>Free</t>
  </si>
  <si>
    <t>Regular</t>
  </si>
  <si>
    <t>SEASON68</t>
  </si>
  <si>
    <t>SEASON69</t>
  </si>
  <si>
    <t>SEASON70</t>
  </si>
  <si>
    <t>SEASON71</t>
  </si>
  <si>
    <t>SEASON72</t>
  </si>
  <si>
    <t>SEASON73</t>
  </si>
  <si>
    <t>SEASON74</t>
  </si>
  <si>
    <t>SEASON75</t>
  </si>
  <si>
    <t>SEASON76</t>
  </si>
  <si>
    <t>SEASON77</t>
  </si>
  <si>
    <t>SEASON78</t>
  </si>
  <si>
    <t>SEASON79</t>
  </si>
  <si>
    <t>SEASON80</t>
  </si>
  <si>
    <t>2017-10-27 00:00:01</t>
  </si>
  <si>
    <t>2017-10-27 01:00:00</t>
  </si>
  <si>
    <t>2017-11-03 00:00:01</t>
  </si>
  <si>
    <t>FREE SEASON1</t>
    <phoneticPr fontId="6" type="noConversion"/>
  </si>
  <si>
    <t>FALSE</t>
    <phoneticPr fontId="6" type="noConversion"/>
  </si>
  <si>
    <t>23:00:00</t>
    <phoneticPr fontId="6" type="noConversion"/>
  </si>
  <si>
    <t>05:00:00</t>
    <phoneticPr fontId="6" type="noConversion"/>
  </si>
  <si>
    <t>SEASON1</t>
    <phoneticPr fontId="6" type="noConversion"/>
  </si>
  <si>
    <t>TRUE</t>
    <phoneticPr fontId="6" type="noConversion"/>
  </si>
  <si>
    <t>20:00:00</t>
    <phoneticPr fontId="6" type="noConversion"/>
  </si>
  <si>
    <t>FREE SEASON2</t>
    <phoneticPr fontId="6" type="noConversion"/>
  </si>
  <si>
    <t>FALSE</t>
    <phoneticPr fontId="6" type="noConversion"/>
  </si>
  <si>
    <t>2017-10-20 01:00:00</t>
    <phoneticPr fontId="6" type="noConversion"/>
  </si>
  <si>
    <t>2017-11-15 20:00:00</t>
    <phoneticPr fontId="6" type="noConversion"/>
  </si>
  <si>
    <t>20:10:00</t>
    <phoneticPr fontId="6" type="noConversion"/>
  </si>
  <si>
    <t>2017-11-16 15:00:00</t>
    <phoneticPr fontId="6" type="noConversion"/>
  </si>
  <si>
    <t>15:00:00</t>
    <phoneticPr fontId="6" type="noConversion"/>
  </si>
  <si>
    <t>2017-11-15 23:59:59</t>
    <phoneticPr fontId="6" type="noConversion"/>
  </si>
  <si>
    <t>2017-11-16 00:00:00</t>
    <phoneticPr fontId="6" type="noConversion"/>
  </si>
  <si>
    <t>00:00:00</t>
    <phoneticPr fontId="6" type="noConversion"/>
  </si>
  <si>
    <t>22:55:00</t>
    <phoneticPr fontId="6" type="noConversion"/>
  </si>
  <si>
    <t>2017-11-20 00:00:01</t>
    <phoneticPr fontId="6" type="noConversion"/>
  </si>
  <si>
    <t>2017-11-20 01:00:00</t>
    <phoneticPr fontId="6" type="noConversion"/>
  </si>
  <si>
    <t>2017-11-27 00:00:01</t>
    <phoneticPr fontId="6" type="noConversion"/>
  </si>
  <si>
    <t>2017-11-27 01:00:00</t>
    <phoneticPr fontId="6" type="noConversion"/>
  </si>
  <si>
    <t>2017-12-04 00:00:01</t>
    <phoneticPr fontId="6" type="noConversion"/>
  </si>
  <si>
    <t>2017-12-04 01:00:00</t>
    <phoneticPr fontId="6" type="noConversion"/>
  </si>
  <si>
    <t>2017-12-11 00:00:01</t>
    <phoneticPr fontId="6" type="noConversion"/>
  </si>
  <si>
    <t>2017-12-11 01:00:00</t>
    <phoneticPr fontId="6" type="noConversion"/>
  </si>
  <si>
    <t>2017-12-18 00:00:01</t>
    <phoneticPr fontId="6" type="noConversion"/>
  </si>
  <si>
    <t>2017-12-18 01:00:00</t>
    <phoneticPr fontId="6" type="noConversion"/>
  </si>
  <si>
    <t>2017-12-25 01:00:00</t>
    <phoneticPr fontId="6" type="noConversion"/>
  </si>
  <si>
    <t>2018-01-01 01:00:00</t>
    <phoneticPr fontId="6" type="noConversion"/>
  </si>
  <si>
    <t>2018-01-08 01:00:00</t>
    <phoneticPr fontId="6" type="noConversion"/>
  </si>
  <si>
    <t>2018-01-15 01:00:00</t>
    <phoneticPr fontId="6" type="noConversion"/>
  </si>
  <si>
    <t>2018-01-22 01:00:00</t>
    <phoneticPr fontId="6" type="noConversion"/>
  </si>
  <si>
    <t>2018-01-29 01:00:00</t>
    <phoneticPr fontId="6" type="noConversion"/>
  </si>
  <si>
    <t>2018-02-05 01:00:00</t>
    <phoneticPr fontId="6" type="noConversion"/>
  </si>
  <si>
    <t>2018-02-12 01:00:00</t>
    <phoneticPr fontId="6" type="noConversion"/>
  </si>
  <si>
    <t>2018-02-19 01:00:00</t>
    <phoneticPr fontId="6" type="noConversion"/>
  </si>
  <si>
    <t>2018-02-26 01:00:00</t>
    <phoneticPr fontId="6" type="noConversion"/>
  </si>
  <si>
    <t>2018-03-05 01:00:00</t>
    <phoneticPr fontId="6" type="noConversion"/>
  </si>
  <si>
    <t>2018-03-12 01:00:00</t>
    <phoneticPr fontId="6" type="noConversion"/>
  </si>
  <si>
    <t>2018-03-19 01:00:00</t>
    <phoneticPr fontId="6" type="noConversion"/>
  </si>
  <si>
    <t>2018-03-26 01:00:00</t>
    <phoneticPr fontId="6" type="noConversion"/>
  </si>
  <si>
    <t>2017-12-25 00:00:01</t>
    <phoneticPr fontId="6" type="noConversion"/>
  </si>
  <si>
    <t>2018-01-01 00:00:01</t>
    <phoneticPr fontId="6" type="noConversion"/>
  </si>
  <si>
    <t>2018-01-08 00:00:01</t>
    <phoneticPr fontId="6" type="noConversion"/>
  </si>
  <si>
    <t>2018-01-15 00:00:01</t>
    <phoneticPr fontId="6" type="noConversion"/>
  </si>
  <si>
    <t>2018-01-22 00:00:01</t>
    <phoneticPr fontId="6" type="noConversion"/>
  </si>
  <si>
    <t>2018-01-29 00:00:01</t>
    <phoneticPr fontId="6" type="noConversion"/>
  </si>
  <si>
    <t>2018-02-05 00:00:01</t>
    <phoneticPr fontId="6" type="noConversion"/>
  </si>
  <si>
    <t>2018-02-12 00:00:01</t>
    <phoneticPr fontId="6" type="noConversion"/>
  </si>
  <si>
    <t>2018-02-19 00:00:01</t>
    <phoneticPr fontId="6" type="noConversion"/>
  </si>
  <si>
    <t>2018-02-26 00:00:01</t>
    <phoneticPr fontId="6" type="noConversion"/>
  </si>
  <si>
    <t>2018-03-05 00:00:01</t>
    <phoneticPr fontId="6" type="noConversion"/>
  </si>
  <si>
    <t>2018-03-12 00:00:01</t>
    <phoneticPr fontId="6" type="noConversion"/>
  </si>
  <si>
    <t>2018-03-19 00:00:01</t>
    <phoneticPr fontId="6" type="noConversion"/>
  </si>
  <si>
    <t>2018-03-26 00:00:01</t>
    <phoneticPr fontId="6" type="noConversion"/>
  </si>
  <si>
    <t>2017-11-16 16:00:00</t>
    <phoneticPr fontId="6" type="noConversion"/>
  </si>
  <si>
    <t>2017-11-16 16:30:00</t>
    <phoneticPr fontId="6" type="noConversion"/>
  </si>
  <si>
    <t>16:30:00</t>
    <phoneticPr fontId="6" type="noConversion"/>
  </si>
  <si>
    <t>16:00:00</t>
    <phoneticPr fontId="6" type="noConversion"/>
  </si>
  <si>
    <t>2017-11-16 17:30:00</t>
    <phoneticPr fontId="6" type="noConversion"/>
  </si>
  <si>
    <t>2017-12-07 00:00:01</t>
    <phoneticPr fontId="6" type="noConversion"/>
  </si>
  <si>
    <t>2017-12-07 01:00:00</t>
    <phoneticPr fontId="6" type="noConversion"/>
  </si>
  <si>
    <t>00:05:00</t>
    <phoneticPr fontId="6" type="noConversion"/>
  </si>
  <si>
    <t>23:59:00</t>
    <phoneticPr fontId="6" type="noConversion"/>
  </si>
  <si>
    <t>00:05:00</t>
    <phoneticPr fontId="6" type="noConversion"/>
  </si>
  <si>
    <t>23:59:59</t>
    <phoneticPr fontId="6" type="noConversion"/>
  </si>
  <si>
    <t>2017-12-20 23:59:59</t>
    <phoneticPr fontId="6" type="noConversion"/>
  </si>
  <si>
    <t>2017-12-21 00:00:00</t>
    <phoneticPr fontId="6" type="noConversion"/>
  </si>
  <si>
    <t>00:00:00</t>
    <phoneticPr fontId="6" type="noConversion"/>
  </si>
  <si>
    <t>15:29:29</t>
    <phoneticPr fontId="6" type="noConversion"/>
  </si>
  <si>
    <t>2018-01-10 23:59:59</t>
    <phoneticPr fontId="6" type="noConversion"/>
  </si>
  <si>
    <t>23:55:59</t>
    <phoneticPr fontId="6" type="noConversion"/>
  </si>
  <si>
    <t>2018-01-11 00:00:00</t>
    <phoneticPr fontId="6" type="noConversion"/>
  </si>
  <si>
    <t>18:00:00</t>
    <phoneticPr fontId="6" type="noConversion"/>
  </si>
  <si>
    <t>2018-02-08 00:00:00</t>
    <phoneticPr fontId="6" type="noConversion"/>
  </si>
  <si>
    <t>SEASON81</t>
  </si>
  <si>
    <t>SEASON82</t>
  </si>
  <si>
    <t>SEASON83</t>
  </si>
  <si>
    <t>SEASON84</t>
  </si>
  <si>
    <t>SEASON85</t>
  </si>
  <si>
    <t>SEASON86</t>
  </si>
  <si>
    <t>SEASON87</t>
  </si>
  <si>
    <t>SEASON88</t>
  </si>
  <si>
    <t>SEASON89</t>
  </si>
  <si>
    <t>SEASON90</t>
  </si>
  <si>
    <t>SEASON91</t>
  </si>
  <si>
    <t>SEASON92</t>
  </si>
  <si>
    <t>SEASON93</t>
  </si>
  <si>
    <t>SEASON94</t>
  </si>
  <si>
    <t>SEASON95</t>
  </si>
  <si>
    <t>SEASON96</t>
  </si>
  <si>
    <t>SEASON97</t>
  </si>
  <si>
    <t>SEASON98</t>
  </si>
  <si>
    <t>SEASON99</t>
  </si>
  <si>
    <t>SEASON100</t>
  </si>
  <si>
    <t>SEASON101</t>
  </si>
  <si>
    <t>SEASON102</t>
  </si>
  <si>
    <t>SEASON103</t>
  </si>
  <si>
    <t>SEASON104</t>
  </si>
  <si>
    <t>SEASON105</t>
  </si>
  <si>
    <t>SEASON106</t>
  </si>
  <si>
    <t>2018-04-02 01:00:00</t>
    <phoneticPr fontId="6" type="noConversion"/>
  </si>
  <si>
    <t>2018-04-09 01:00:00</t>
    <phoneticPr fontId="6" type="noConversion"/>
  </si>
  <si>
    <t>2018-04-16 01:00:00</t>
    <phoneticPr fontId="6" type="noConversion"/>
  </si>
  <si>
    <t>2018-04-23 01:00:00</t>
    <phoneticPr fontId="6" type="noConversion"/>
  </si>
  <si>
    <t>2018-04-30 01:00:00</t>
    <phoneticPr fontId="6" type="noConversion"/>
  </si>
  <si>
    <t>2018-05-07 01:00:00</t>
    <phoneticPr fontId="6" type="noConversion"/>
  </si>
  <si>
    <t>2018-05-14 01:00:00</t>
    <phoneticPr fontId="6" type="noConversion"/>
  </si>
  <si>
    <t>2018-05-21 01:00:00</t>
    <phoneticPr fontId="6" type="noConversion"/>
  </si>
  <si>
    <t>2018-05-28 01:00:00</t>
    <phoneticPr fontId="6" type="noConversion"/>
  </si>
  <si>
    <t>2018-06-04 01:00:00</t>
    <phoneticPr fontId="6" type="noConversion"/>
  </si>
  <si>
    <t>2018-06-11 01:00:00</t>
    <phoneticPr fontId="6" type="noConversion"/>
  </si>
  <si>
    <t>2018-06-18 01:00:00</t>
    <phoneticPr fontId="6" type="noConversion"/>
  </si>
  <si>
    <t>2018-06-25 01:00:00</t>
    <phoneticPr fontId="6" type="noConversion"/>
  </si>
  <si>
    <t>2018-07-02 01:00:00</t>
    <phoneticPr fontId="6" type="noConversion"/>
  </si>
  <si>
    <t>2018-07-09 01:00:00</t>
    <phoneticPr fontId="6" type="noConversion"/>
  </si>
  <si>
    <t>2018-07-16 01:00:00</t>
    <phoneticPr fontId="6" type="noConversion"/>
  </si>
  <si>
    <t>2018-07-23 01:00:00</t>
    <phoneticPr fontId="6" type="noConversion"/>
  </si>
  <si>
    <t>2018-07-30 01:00:00</t>
    <phoneticPr fontId="6" type="noConversion"/>
  </si>
  <si>
    <t>2018-08-06 01:00:00</t>
    <phoneticPr fontId="6" type="noConversion"/>
  </si>
  <si>
    <t>2018-08-13 01:00:00</t>
    <phoneticPr fontId="6" type="noConversion"/>
  </si>
  <si>
    <t>2018-08-20 01:00:00</t>
    <phoneticPr fontId="6" type="noConversion"/>
  </si>
  <si>
    <t>2018-08-27 01:00:00</t>
    <phoneticPr fontId="6" type="noConversion"/>
  </si>
  <si>
    <t>2018-09-03 01:00:00</t>
    <phoneticPr fontId="6" type="noConversion"/>
  </si>
  <si>
    <t>2018-09-10 01:00:00</t>
    <phoneticPr fontId="6" type="noConversion"/>
  </si>
  <si>
    <t>2018-09-17 01:00:00</t>
    <phoneticPr fontId="6" type="noConversion"/>
  </si>
  <si>
    <t>2018-09-24 01:00:00</t>
    <phoneticPr fontId="6" type="noConversion"/>
  </si>
  <si>
    <t>False</t>
    <phoneticPr fontId="6" type="noConversion"/>
  </si>
  <si>
    <t>ActiveTier</t>
    <phoneticPr fontId="6" type="noConversion"/>
  </si>
  <si>
    <t>True</t>
    <phoneticPr fontId="6" type="noConversion"/>
  </si>
  <si>
    <t>FREE SEASON3</t>
    <phoneticPr fontId="6" type="noConversion"/>
  </si>
  <si>
    <t>MatchSeasonType</t>
    <phoneticPr fontId="6" type="noConversion"/>
  </si>
  <si>
    <t>2018-02-07 23:59:59</t>
    <phoneticPr fontId="6" type="noConversion"/>
  </si>
  <si>
    <t>2018-04-07 23:59:59</t>
    <phoneticPr fontId="6" type="noConversion"/>
  </si>
  <si>
    <t>2018-04-08 01:00:00</t>
    <phoneticPr fontId="6" type="noConversion"/>
  </si>
  <si>
    <t>18:00:00</t>
    <phoneticPr fontId="6" type="noConversion"/>
  </si>
  <si>
    <t>2018-04-02 00:00:01</t>
    <phoneticPr fontId="6" type="noConversion"/>
  </si>
  <si>
    <t>2018-04-09 00:00:01</t>
    <phoneticPr fontId="6" type="noConversion"/>
  </si>
  <si>
    <t>2018-04-16 00:00:01</t>
    <phoneticPr fontId="6" type="noConversion"/>
  </si>
  <si>
    <t>2018-04-23 00:00:01</t>
    <phoneticPr fontId="6" type="noConversion"/>
  </si>
  <si>
    <t>2018-04-30 00:00:01</t>
    <phoneticPr fontId="6" type="noConversion"/>
  </si>
  <si>
    <t>2018-05-07 00:00:01</t>
    <phoneticPr fontId="6" type="noConversion"/>
  </si>
  <si>
    <t>2018-05-14 00:00:01</t>
    <phoneticPr fontId="6" type="noConversion"/>
  </si>
  <si>
    <t>2018-05-21 00:00:01</t>
    <phoneticPr fontId="6" type="noConversion"/>
  </si>
  <si>
    <t>2018-05-28 00:00:01</t>
    <phoneticPr fontId="6" type="noConversion"/>
  </si>
  <si>
    <t>2018-06-04 00:00:01</t>
    <phoneticPr fontId="6" type="noConversion"/>
  </si>
  <si>
    <t>2018-06-11 00:00:01</t>
    <phoneticPr fontId="6" type="noConversion"/>
  </si>
  <si>
    <t>2018-06-18 00:00:01</t>
    <phoneticPr fontId="6" type="noConversion"/>
  </si>
  <si>
    <t>2018-06-25 00:00:01</t>
    <phoneticPr fontId="6" type="noConversion"/>
  </si>
  <si>
    <t>2018-07-02 00:00:01</t>
    <phoneticPr fontId="6" type="noConversion"/>
  </si>
  <si>
    <t>2018-07-09 00:00:01</t>
    <phoneticPr fontId="6" type="noConversion"/>
  </si>
  <si>
    <t>2018-07-16 00:00:01</t>
    <phoneticPr fontId="6" type="noConversion"/>
  </si>
  <si>
    <t>2018-07-23 00:00:01</t>
    <phoneticPr fontId="6" type="noConversion"/>
  </si>
  <si>
    <t>2018-07-30 00:00:01</t>
    <phoneticPr fontId="6" type="noConversion"/>
  </si>
  <si>
    <t>2018-08-06 00:00:01</t>
    <phoneticPr fontId="6" type="noConversion"/>
  </si>
  <si>
    <t>2018-08-13 00:00:01</t>
    <phoneticPr fontId="6" type="noConversion"/>
  </si>
  <si>
    <t>2018-08-20 00:00:01</t>
    <phoneticPr fontId="6" type="noConversion"/>
  </si>
  <si>
    <t>2018-08-27 00:00:01</t>
    <phoneticPr fontId="6" type="noConversion"/>
  </si>
  <si>
    <t>2018-09-03 00:00:01</t>
    <phoneticPr fontId="6" type="noConversion"/>
  </si>
  <si>
    <t>2018-09-10 00:00:01</t>
    <phoneticPr fontId="6" type="noConversion"/>
  </si>
  <si>
    <t>2018-09-17 00:00:01</t>
    <phoneticPr fontId="6" type="noConversion"/>
  </si>
  <si>
    <t>2018-09-24 00:00:01</t>
    <phoneticPr fontId="6" type="noConversion"/>
  </si>
  <si>
    <t>2018-10-01 00:00:01</t>
    <phoneticPr fontId="6" type="noConversion"/>
  </si>
  <si>
    <t>SEASON107</t>
  </si>
  <si>
    <t>SEASON108</t>
  </si>
  <si>
    <t>SEASON109</t>
  </si>
  <si>
    <t>SEASON110</t>
  </si>
  <si>
    <t>SEASON111</t>
  </si>
  <si>
    <t>SEASON112</t>
  </si>
  <si>
    <t>SEASON113</t>
  </si>
  <si>
    <t>SEASON114</t>
  </si>
  <si>
    <t>SEASON115</t>
  </si>
  <si>
    <t>SEASON116</t>
  </si>
  <si>
    <t>SEASON117</t>
  </si>
  <si>
    <t>SEASON118</t>
  </si>
  <si>
    <t>SEASON119</t>
  </si>
  <si>
    <t>SEASON120</t>
  </si>
  <si>
    <t>2018-10-01 01:00:00</t>
    <phoneticPr fontId="6" type="noConversion"/>
  </si>
  <si>
    <t>2018-10-08 01:00:00</t>
    <phoneticPr fontId="6" type="noConversion"/>
  </si>
  <si>
    <t>2018-10-15 01:00:00</t>
    <phoneticPr fontId="6" type="noConversion"/>
  </si>
  <si>
    <t>2018-10-22 01:00:00</t>
    <phoneticPr fontId="6" type="noConversion"/>
  </si>
  <si>
    <t>2018-10-29 01:00:00</t>
    <phoneticPr fontId="6" type="noConversion"/>
  </si>
  <si>
    <t>2018-11-05 01:00:00</t>
    <phoneticPr fontId="6" type="noConversion"/>
  </si>
  <si>
    <t>2018-11-12 01:00:00</t>
    <phoneticPr fontId="6" type="noConversion"/>
  </si>
  <si>
    <t>2018-11-19 01:00:00</t>
    <phoneticPr fontId="6" type="noConversion"/>
  </si>
  <si>
    <t>2018-11-26 01:00:00</t>
    <phoneticPr fontId="6" type="noConversion"/>
  </si>
  <si>
    <t>2018-12-03 01:00:00</t>
    <phoneticPr fontId="6" type="noConversion"/>
  </si>
  <si>
    <t>2018-12-10 01:00:00</t>
    <phoneticPr fontId="6" type="noConversion"/>
  </si>
  <si>
    <t>2018-12-17 01:00:00</t>
    <phoneticPr fontId="6" type="noConversion"/>
  </si>
  <si>
    <t>2018-12-24 01:00:00</t>
    <phoneticPr fontId="6" type="noConversion"/>
  </si>
  <si>
    <t>2018-12-31 01:00:00</t>
    <phoneticPr fontId="6" type="noConversion"/>
  </si>
  <si>
    <t>2018-10-08 00:00:01</t>
    <phoneticPr fontId="6" type="noConversion"/>
  </si>
  <si>
    <t>2018-10-15 00:00:01</t>
    <phoneticPr fontId="6" type="noConversion"/>
  </si>
  <si>
    <t>2018-10-22 00:00:01</t>
    <phoneticPr fontId="6" type="noConversion"/>
  </si>
  <si>
    <t>2018-10-29 00:00:01</t>
    <phoneticPr fontId="6" type="noConversion"/>
  </si>
  <si>
    <t>2018-11-05 00:00:01</t>
    <phoneticPr fontId="6" type="noConversion"/>
  </si>
  <si>
    <t>2018-11-12 00:00:01</t>
    <phoneticPr fontId="6" type="noConversion"/>
  </si>
  <si>
    <t>2018-11-19 00:00:01</t>
    <phoneticPr fontId="6" type="noConversion"/>
  </si>
  <si>
    <t>2018-11-26 00:00:01</t>
    <phoneticPr fontId="6" type="noConversion"/>
  </si>
  <si>
    <t>2018-12-03 00:00:01</t>
    <phoneticPr fontId="6" type="noConversion"/>
  </si>
  <si>
    <t>2018-12-10 00:00:01</t>
    <phoneticPr fontId="6" type="noConversion"/>
  </si>
  <si>
    <t>2018-12-17 00:00:01</t>
    <phoneticPr fontId="6" type="noConversion"/>
  </si>
  <si>
    <t>2018-12-24 00:00:01</t>
    <phoneticPr fontId="6" type="noConversion"/>
  </si>
  <si>
    <t>2018-12-31 00:00:01</t>
    <phoneticPr fontId="6" type="noConversion"/>
  </si>
  <si>
    <t>2019-01-07 00:00:01</t>
    <phoneticPr fontId="6" type="noConversion"/>
  </si>
  <si>
    <t>SEASON2</t>
    <phoneticPr fontId="6" type="noConversion"/>
  </si>
  <si>
    <t>2018-10-07 23:59:59</t>
    <phoneticPr fontId="6" type="noConversion"/>
  </si>
  <si>
    <t>FREE SEASON4</t>
    <phoneticPr fontId="6" type="noConversion"/>
  </si>
  <si>
    <t>2018-08-07 23:59:59</t>
    <phoneticPr fontId="6" type="noConversion"/>
  </si>
  <si>
    <t>2018-08-08 01:00:00</t>
    <phoneticPr fontId="6" type="noConversion"/>
  </si>
  <si>
    <t>12:00:00</t>
    <phoneticPr fontId="6" type="noConversion"/>
  </si>
  <si>
    <t>00:00:00</t>
    <phoneticPr fontId="6" type="noConversion"/>
  </si>
  <si>
    <t>23:59:59</t>
    <phoneticPr fontId="6" type="noConversion"/>
  </si>
  <si>
    <t>SEASON3</t>
    <phoneticPr fontId="6" type="noConversion"/>
  </si>
  <si>
    <t>FREE SEASON5</t>
    <phoneticPr fontId="6" type="noConversion"/>
  </si>
  <si>
    <t>2019-01-07 01:00:00</t>
  </si>
  <si>
    <t>2019-01-14 00:00:01</t>
  </si>
  <si>
    <t>SEASON121</t>
  </si>
  <si>
    <t>2019-01-14 01:00:00</t>
  </si>
  <si>
    <t>2019-01-21 00:00:01</t>
  </si>
  <si>
    <t>SEASON122</t>
  </si>
  <si>
    <t>2019-01-21 01:00:00</t>
  </si>
  <si>
    <t>2019-01-28 00:00:01</t>
  </si>
  <si>
    <t>SEASON123</t>
  </si>
  <si>
    <t>2019-01-28 01:00:00</t>
  </si>
  <si>
    <t>2019-02-04 00:00:01</t>
  </si>
  <si>
    <t>SEASON124</t>
  </si>
  <si>
    <t>2019-02-04 01:00:00</t>
  </si>
  <si>
    <t>2019-02-11 00:00:01</t>
  </si>
  <si>
    <t>SEASON125</t>
  </si>
  <si>
    <t>2019-02-11 01:00:00</t>
  </si>
  <si>
    <t>2019-02-18 00:00:01</t>
  </si>
  <si>
    <t>SEASON126</t>
  </si>
  <si>
    <t>2019-02-18 01:00:00</t>
  </si>
  <si>
    <t>2019-02-25 00:00:01</t>
  </si>
  <si>
    <t>SEASON127</t>
  </si>
  <si>
    <t>2019-02-25 01:00:00</t>
  </si>
  <si>
    <t>2019-03-04 00:00:01</t>
  </si>
  <si>
    <t>SEASON128</t>
  </si>
  <si>
    <t>2019-03-04 01:00:00</t>
  </si>
  <si>
    <t>2019-03-11 00:00:01</t>
  </si>
  <si>
    <t>SEASON129</t>
  </si>
  <si>
    <t>2019-03-11 01:00:00</t>
  </si>
  <si>
    <t>2019-03-18 00:00:01</t>
  </si>
  <si>
    <t>SEASON130</t>
  </si>
  <si>
    <t>2019-03-18 01:00:00</t>
  </si>
  <si>
    <t>2019-03-25 00:00:01</t>
  </si>
  <si>
    <t>SEASON131</t>
  </si>
  <si>
    <t>2019-03-25 01:00:00</t>
  </si>
  <si>
    <t>2019-04-01 00:00:01</t>
  </si>
  <si>
    <t>SEASON132</t>
  </si>
  <si>
    <t>2019-04-01 01:00:00</t>
  </si>
  <si>
    <t>2019-04-08 00:00:01</t>
  </si>
  <si>
    <t>SEASON133</t>
  </si>
  <si>
    <t>2019-04-08 01:00:00</t>
  </si>
  <si>
    <t>2019-04-15 00:00:01</t>
  </si>
  <si>
    <t>SEASON134</t>
  </si>
  <si>
    <t>2019-04-15 01:00:00</t>
  </si>
  <si>
    <t>2019-04-22 00:00:01</t>
  </si>
  <si>
    <t>SEASON135</t>
  </si>
  <si>
    <t>2019-04-22 01:00:00</t>
  </si>
  <si>
    <t>2019-04-29 00:00:01</t>
  </si>
  <si>
    <t>SEASON136</t>
  </si>
  <si>
    <t>2019-04-29 01:00:00</t>
  </si>
  <si>
    <t>2019-05-06 00:00:01</t>
  </si>
  <si>
    <t>SEASON137</t>
  </si>
  <si>
    <t>2019-05-06 01:00:00</t>
  </si>
  <si>
    <t>2019-05-13 00:00:01</t>
  </si>
  <si>
    <t>SEASON138</t>
  </si>
  <si>
    <t>2019-05-13 01:00:00</t>
  </si>
  <si>
    <t>2019-05-20 00:00:01</t>
  </si>
  <si>
    <t>SEASON139</t>
  </si>
  <si>
    <t>2019-05-20 01:00:00</t>
  </si>
  <si>
    <t>2019-05-27 00:00:01</t>
  </si>
  <si>
    <t>SEASON140</t>
  </si>
  <si>
    <t>2019-05-27 01:00:00</t>
  </si>
  <si>
    <t>2019-06-03 00:00:01</t>
  </si>
  <si>
    <t>SEASON141</t>
  </si>
  <si>
    <t>2019-06-03 01:00:00</t>
  </si>
  <si>
    <t>2019-06-10 00:00:01</t>
  </si>
  <si>
    <t>SEASON142</t>
  </si>
  <si>
    <t>2019-06-10 01:00:00</t>
  </si>
  <si>
    <t>2019-06-17 00:00:01</t>
  </si>
  <si>
    <t>SEASON143</t>
  </si>
  <si>
    <t>2019-06-17 01:00:00</t>
  </si>
  <si>
    <t>2019-06-24 00:00:01</t>
  </si>
  <si>
    <t>SEASON144</t>
  </si>
  <si>
    <t>2019-06-24 01:00:00</t>
  </si>
  <si>
    <t>2019-07-01 00:00:01</t>
  </si>
  <si>
    <t>SEASON145</t>
  </si>
  <si>
    <t>2019-07-01 01:00:00</t>
  </si>
  <si>
    <t>2019-07-08 00:00:01</t>
  </si>
  <si>
    <t>SEASON146</t>
  </si>
  <si>
    <t>2019-07-08 01:00:00</t>
  </si>
  <si>
    <t>2019-07-15 00:00:01</t>
  </si>
  <si>
    <t>SEASON147</t>
  </si>
  <si>
    <t>2019-07-15 01:00:00</t>
  </si>
  <si>
    <t>2019-07-22 00:00:01</t>
  </si>
  <si>
    <t>SEASON148</t>
  </si>
  <si>
    <t>2019-07-22 01:00:00</t>
  </si>
  <si>
    <t>2019-07-29 00:00:01</t>
  </si>
  <si>
    <t>SEASON149</t>
  </si>
  <si>
    <t>2019-07-29 01:00:00</t>
  </si>
  <si>
    <t>2019-08-05 00:00:01</t>
  </si>
  <si>
    <t>SEASON150</t>
  </si>
  <si>
    <t>2019-08-05 01:00:00</t>
  </si>
  <si>
    <t>2019-08-12 00:00:01</t>
  </si>
  <si>
    <t>SEASON151</t>
  </si>
  <si>
    <t>2019-08-12 01:00:00</t>
  </si>
  <si>
    <t>2019-08-19 00:00:01</t>
  </si>
  <si>
    <t>SEASON152</t>
  </si>
  <si>
    <t>2019-08-19 01:00:00</t>
  </si>
  <si>
    <t>2019-08-26 00:00:01</t>
  </si>
  <si>
    <t>SEASON153</t>
  </si>
  <si>
    <t>2019-08-26 01:00:00</t>
  </si>
  <si>
    <t>2019-09-02 00:00:01</t>
  </si>
  <si>
    <t>SEASON154</t>
  </si>
  <si>
    <t>2019-09-02 01:00:00</t>
  </si>
  <si>
    <t>2019-09-09 00:00:01</t>
  </si>
  <si>
    <t>SEASON155</t>
  </si>
  <si>
    <t>2019-09-09 01:00:00</t>
  </si>
  <si>
    <t>2019-09-16 00:00:01</t>
  </si>
  <si>
    <t>SEASON156</t>
  </si>
  <si>
    <t>2019-09-16 01:00:00</t>
  </si>
  <si>
    <t>2019-09-23 00:00:01</t>
  </si>
  <si>
    <t>SEASON157</t>
  </si>
  <si>
    <t>2019-09-23 01:00:00</t>
  </si>
  <si>
    <t>2019-09-30 00:00:01</t>
  </si>
  <si>
    <t>SEASON158</t>
  </si>
  <si>
    <t>2019-09-30 01:00:00</t>
  </si>
  <si>
    <t>2019-10-07 00:00:01</t>
  </si>
  <si>
    <t>SEASON159</t>
  </si>
  <si>
    <t>2019-10-07 01:00:00</t>
  </si>
  <si>
    <t>2019-10-14 00:00:01</t>
  </si>
  <si>
    <t>SEASON160</t>
  </si>
  <si>
    <t>2019-10-14 01:00:00</t>
  </si>
  <si>
    <t>2019-10-21 00:00:01</t>
  </si>
  <si>
    <t>SEASON161</t>
  </si>
  <si>
    <t>2019-10-21 01:00:00</t>
  </si>
  <si>
    <t>2019-10-28 00:00:01</t>
  </si>
  <si>
    <t>SEASON162</t>
  </si>
  <si>
    <t>2019-10-28 01:00:00</t>
  </si>
  <si>
    <t>2019-11-04 00:00:01</t>
  </si>
  <si>
    <t>SEASON163</t>
  </si>
  <si>
    <t>2019-11-04 01:00:00</t>
  </si>
  <si>
    <t>2019-11-11 00:00:01</t>
  </si>
  <si>
    <t>SEASON164</t>
  </si>
  <si>
    <t>2019-11-11 01:00:00</t>
  </si>
  <si>
    <t>2019-11-18 00:00:01</t>
  </si>
  <si>
    <t>SEASON165</t>
  </si>
  <si>
    <t>2019-11-18 01:00:00</t>
  </si>
  <si>
    <t>2019-11-25 00:00:01</t>
  </si>
  <si>
    <t>SEASON166</t>
  </si>
  <si>
    <t>2019-11-25 01:00:00</t>
  </si>
  <si>
    <t>2019-12-02 00:00:01</t>
  </si>
  <si>
    <t>SEASON167</t>
  </si>
  <si>
    <t>2019-12-02 01:00:00</t>
  </si>
  <si>
    <t>2019-12-09 00:00:01</t>
  </si>
  <si>
    <t>SEASON168</t>
  </si>
  <si>
    <t>2019-12-09 01:00:00</t>
  </si>
  <si>
    <t>2019-12-16 00:00:01</t>
  </si>
  <si>
    <t>SEASON169</t>
  </si>
  <si>
    <t>2019-12-16 01:00:00</t>
  </si>
  <si>
    <t>2019-12-23 00:00:01</t>
  </si>
  <si>
    <t>SEASON170</t>
  </si>
  <si>
    <t>2019-12-23 01:00:00</t>
  </si>
  <si>
    <t>2019-12-30 00:00:01</t>
  </si>
  <si>
    <t>SEASON171</t>
  </si>
  <si>
    <t>2019-12-30 01:00:00</t>
  </si>
  <si>
    <t>2020-01-06 00:00:01</t>
  </si>
  <si>
    <t>SEASON172</t>
  </si>
  <si>
    <t>GLOBAL SEASON 1</t>
    <phoneticPr fontId="6" type="noConversion"/>
  </si>
  <si>
    <t>FREE SEASON5</t>
  </si>
  <si>
    <t>GLOBAL SEASON 2</t>
  </si>
  <si>
    <t>2018-10-07 16:00:00</t>
    <phoneticPr fontId="6" type="noConversion"/>
  </si>
  <si>
    <t>2019-01-13 17:00:00</t>
    <phoneticPr fontId="6" type="noConversion"/>
  </si>
  <si>
    <t>2019-03-10 17:00:00</t>
    <phoneticPr fontId="6" type="noConversion"/>
  </si>
  <si>
    <t>2019-01-13 14:59:59</t>
    <phoneticPr fontId="6" type="noConversion"/>
  </si>
  <si>
    <t>2019-03-10 14:59:59</t>
    <phoneticPr fontId="6" type="noConversion"/>
  </si>
  <si>
    <t>2019-03-24 14:59:59</t>
    <phoneticPr fontId="6" type="noConversion"/>
  </si>
  <si>
    <t>FREE SEASON6</t>
    <phoneticPr fontId="6" type="noConversion"/>
  </si>
  <si>
    <t>GLOBAL SEASON 3</t>
    <phoneticPr fontId="6" type="noConversion"/>
  </si>
  <si>
    <t>SEASON5</t>
    <phoneticPr fontId="6" type="noConversion"/>
  </si>
  <si>
    <t>시즌 시작 시간</t>
    <phoneticPr fontId="6" type="noConversion"/>
  </si>
  <si>
    <t>◀ 한국 시간으로 입력</t>
    <phoneticPr fontId="6" type="noConversion"/>
  </si>
  <si>
    <t>정산 시간 (시간)</t>
    <phoneticPr fontId="6" type="noConversion"/>
  </si>
  <si>
    <t>시즌 기간 (일)</t>
    <phoneticPr fontId="6" type="noConversion"/>
  </si>
  <si>
    <t>▼ 아래 값을 복사하세요</t>
    <phoneticPr fontId="6" type="noConversion"/>
  </si>
  <si>
    <t>시즌 기간 (주)</t>
    <phoneticPr fontId="6" type="noConversion"/>
  </si>
  <si>
    <t>시즌 간 휴식 기간 ㈜</t>
    <phoneticPr fontId="6" type="noConversion"/>
  </si>
  <si>
    <t>시즌 간 휴식 기간 (일)</t>
    <phoneticPr fontId="6" type="noConversion"/>
  </si>
  <si>
    <t>프리 시즌 기간 (주)</t>
    <phoneticPr fontId="6" type="noConversion"/>
  </si>
  <si>
    <t>프리 시즌 기간 (일)</t>
    <phoneticPr fontId="6" type="noConversion"/>
  </si>
  <si>
    <t>◀ 한국 시간 으로 입력</t>
    <phoneticPr fontId="6" type="noConversion"/>
  </si>
  <si>
    <t>ShowSeasonIndex</t>
    <phoneticPr fontId="6" type="noConversion"/>
  </si>
  <si>
    <t>2019-03-24 17:00:00</t>
  </si>
  <si>
    <t>2019-05-19 14:59:59</t>
  </si>
  <si>
    <t>2019-05-19 17:00:00</t>
  </si>
  <si>
    <t>2019-08-11 14:59:59</t>
  </si>
  <si>
    <t>2019-06-16 14:59:59</t>
    <phoneticPr fontId="6" type="noConversion"/>
  </si>
  <si>
    <t>2019-06-16 17:00:00</t>
    <phoneticPr fontId="6" type="noConversion"/>
  </si>
  <si>
    <t>2019-08-25 14:59:59</t>
    <phoneticPr fontId="6" type="noConversion"/>
  </si>
  <si>
    <t>FREE SEASON7</t>
    <phoneticPr fontId="6" type="noConversion"/>
  </si>
  <si>
    <t>GLOBAL SEASON 4</t>
    <phoneticPr fontId="6" type="noConversion"/>
  </si>
  <si>
    <t>2019-10-20 14:59:59</t>
    <phoneticPr fontId="6" type="noConversion"/>
  </si>
  <si>
    <t>SEASON6</t>
    <phoneticPr fontId="6" type="noConversion"/>
  </si>
  <si>
    <t>2019-08-11 17:00:00</t>
    <phoneticPr fontId="6" type="noConversion"/>
  </si>
  <si>
    <t>2019-08-25 17:00:00</t>
    <phoneticPr fontId="6" type="noConversion"/>
  </si>
  <si>
    <t>2019-10-20 17:00:00</t>
    <phoneticPr fontId="6" type="noConversion"/>
  </si>
  <si>
    <t>2019-11-03 14:59:59</t>
    <phoneticPr fontId="6" type="noConversion"/>
  </si>
  <si>
    <t>FREE SEASON8</t>
    <phoneticPr fontId="6" type="noConversion"/>
  </si>
  <si>
    <t>GLOBAL SEASON 5</t>
    <phoneticPr fontId="6" type="noConversion"/>
  </si>
  <si>
    <t>2019-11-03 17:00:00</t>
    <phoneticPr fontId="6" type="noConversion"/>
  </si>
  <si>
    <t>SEASON7</t>
    <phoneticPr fontId="6" type="noConversion"/>
  </si>
  <si>
    <t>2019-12-29 14:59:59</t>
    <phoneticPr fontId="6" type="noConversion"/>
  </si>
  <si>
    <t>SEASON173</t>
  </si>
  <si>
    <t>SEASON174</t>
  </si>
  <si>
    <t>SEASON175</t>
  </si>
  <si>
    <t>SEASON176</t>
  </si>
  <si>
    <t>SEASON177</t>
  </si>
  <si>
    <t>SEASON178</t>
  </si>
  <si>
    <t>SEASON179</t>
  </si>
  <si>
    <t>SEASON180</t>
  </si>
  <si>
    <t>SEASON181</t>
  </si>
  <si>
    <t>SEASON182</t>
  </si>
  <si>
    <t>SEASON183</t>
  </si>
  <si>
    <t>SEASON184</t>
  </si>
  <si>
    <t>SEASON185</t>
  </si>
  <si>
    <t>SEASON186</t>
  </si>
  <si>
    <t>SEASON187</t>
  </si>
  <si>
    <t>SEASON188</t>
  </si>
  <si>
    <t>SEASON189</t>
  </si>
  <si>
    <t>SEASON190</t>
  </si>
  <si>
    <t>SEASON191</t>
  </si>
  <si>
    <t>SEASON192</t>
  </si>
  <si>
    <t>SEASON193</t>
  </si>
  <si>
    <t>SEASON194</t>
  </si>
  <si>
    <t>SEASON195</t>
  </si>
  <si>
    <t>SEASON196</t>
  </si>
  <si>
    <t>SEASON197</t>
  </si>
  <si>
    <t>SEASON198</t>
  </si>
  <si>
    <t>SEASON199</t>
  </si>
  <si>
    <t>SEASON200</t>
  </si>
  <si>
    <t>SEASON201</t>
  </si>
  <si>
    <t>SEASON202</t>
  </si>
  <si>
    <t>SEASON203</t>
  </si>
  <si>
    <t>SEASON204</t>
  </si>
  <si>
    <t>SEASON205</t>
  </si>
  <si>
    <t>SEASON206</t>
  </si>
  <si>
    <t>SEASON207</t>
  </si>
  <si>
    <t>SEASON208</t>
  </si>
  <si>
    <t>SEASON209</t>
  </si>
  <si>
    <t>SEASON210</t>
  </si>
  <si>
    <t>SEASON211</t>
  </si>
  <si>
    <t>SEASON212</t>
  </si>
  <si>
    <t>SEASON213</t>
  </si>
  <si>
    <t>SEASON214</t>
  </si>
  <si>
    <t>SEASON215</t>
  </si>
  <si>
    <t>SEASON216</t>
  </si>
  <si>
    <t>SEASON217</t>
  </si>
  <si>
    <t>SEASON218</t>
  </si>
  <si>
    <t>SEASON219</t>
  </si>
  <si>
    <t>SEASON220</t>
  </si>
  <si>
    <t>SEASON221</t>
  </si>
  <si>
    <t>SEASON222</t>
  </si>
  <si>
    <t>SEASON223</t>
  </si>
  <si>
    <t>SEASON224</t>
  </si>
  <si>
    <t>2020-01-13 00:00:01</t>
    <phoneticPr fontId="6" type="noConversion"/>
  </si>
  <si>
    <t>2020-01-06 01:00:00</t>
    <phoneticPr fontId="6" type="noConversion"/>
  </si>
  <si>
    <t>2020-01-20 00:00:01</t>
    <phoneticPr fontId="6" type="noConversion"/>
  </si>
  <si>
    <t>2020-01-27 00:00:01</t>
    <phoneticPr fontId="6" type="noConversion"/>
  </si>
  <si>
    <t>2020-02-03 00:00:01</t>
    <phoneticPr fontId="6" type="noConversion"/>
  </si>
  <si>
    <t>2020-02-10 00:00:01</t>
    <phoneticPr fontId="6" type="noConversion"/>
  </si>
  <si>
    <t>2020-02-17 00:00:01</t>
    <phoneticPr fontId="6" type="noConversion"/>
  </si>
  <si>
    <t>2020-02-24 00:00:01</t>
    <phoneticPr fontId="6" type="noConversion"/>
  </si>
  <si>
    <t>2020-03-02 00:00:01</t>
    <phoneticPr fontId="6" type="noConversion"/>
  </si>
  <si>
    <t>2020-03-09 00:00:01</t>
    <phoneticPr fontId="6" type="noConversion"/>
  </si>
  <si>
    <t>2020-03-16 00:00:01</t>
    <phoneticPr fontId="6" type="noConversion"/>
  </si>
  <si>
    <t>2020-03-23 00:00:01</t>
    <phoneticPr fontId="6" type="noConversion"/>
  </si>
  <si>
    <t>2020-03-30 00:00:01</t>
    <phoneticPr fontId="6" type="noConversion"/>
  </si>
  <si>
    <t>2020-04-06 00:00:01</t>
    <phoneticPr fontId="6" type="noConversion"/>
  </si>
  <si>
    <t>2020-04-13 00:00:01</t>
    <phoneticPr fontId="6" type="noConversion"/>
  </si>
  <si>
    <t>2020-04-20 00:00:01</t>
    <phoneticPr fontId="6" type="noConversion"/>
  </si>
  <si>
    <t>2020-04-27 00:00:01</t>
    <phoneticPr fontId="6" type="noConversion"/>
  </si>
  <si>
    <t>2020-05-04 00:00:01</t>
    <phoneticPr fontId="6" type="noConversion"/>
  </si>
  <si>
    <t>2020-05-11 00:00:01</t>
    <phoneticPr fontId="6" type="noConversion"/>
  </si>
  <si>
    <t>2020-05-18 00:00:01</t>
    <phoneticPr fontId="6" type="noConversion"/>
  </si>
  <si>
    <t>2020-05-25 00:00:01</t>
    <phoneticPr fontId="6" type="noConversion"/>
  </si>
  <si>
    <t>2020-06-01 00:00:01</t>
    <phoneticPr fontId="6" type="noConversion"/>
  </si>
  <si>
    <t>2020-06-08 00:00:01</t>
    <phoneticPr fontId="6" type="noConversion"/>
  </si>
  <si>
    <t>2020-06-15 00:00:01</t>
    <phoneticPr fontId="6" type="noConversion"/>
  </si>
  <si>
    <t>2020-06-22 00:00:01</t>
    <phoneticPr fontId="6" type="noConversion"/>
  </si>
  <si>
    <t>2020-06-29 00:00:01</t>
    <phoneticPr fontId="6" type="noConversion"/>
  </si>
  <si>
    <t>2020-07-06 00:00:01</t>
    <phoneticPr fontId="6" type="noConversion"/>
  </si>
  <si>
    <t>2020-07-13 00:00:01</t>
    <phoneticPr fontId="6" type="noConversion"/>
  </si>
  <si>
    <t>2020-07-20 00:00:01</t>
    <phoneticPr fontId="6" type="noConversion"/>
  </si>
  <si>
    <t>2020-07-27 00:00:01</t>
    <phoneticPr fontId="6" type="noConversion"/>
  </si>
  <si>
    <t>2020-08-03 00:00:01</t>
    <phoneticPr fontId="6" type="noConversion"/>
  </si>
  <si>
    <t>2020-08-10 00:00:01</t>
    <phoneticPr fontId="6" type="noConversion"/>
  </si>
  <si>
    <t>2020-08-17 00:00:01</t>
    <phoneticPr fontId="6" type="noConversion"/>
  </si>
  <si>
    <t>2020-08-24 00:00:01</t>
    <phoneticPr fontId="6" type="noConversion"/>
  </si>
  <si>
    <t>2020-08-31 00:00:01</t>
    <phoneticPr fontId="6" type="noConversion"/>
  </si>
  <si>
    <t>2020-09-07 00:00:01</t>
    <phoneticPr fontId="6" type="noConversion"/>
  </si>
  <si>
    <t>2020-09-14 00:00:01</t>
    <phoneticPr fontId="6" type="noConversion"/>
  </si>
  <si>
    <t>2020-09-21 00:00:01</t>
    <phoneticPr fontId="6" type="noConversion"/>
  </si>
  <si>
    <t>2020-09-28 00:00:01</t>
    <phoneticPr fontId="6" type="noConversion"/>
  </si>
  <si>
    <t>2020-10-05 00:00:01</t>
    <phoneticPr fontId="6" type="noConversion"/>
  </si>
  <si>
    <t>2020-10-12 00:00:01</t>
    <phoneticPr fontId="6" type="noConversion"/>
  </si>
  <si>
    <t>2020-10-19 00:00:01</t>
    <phoneticPr fontId="6" type="noConversion"/>
  </si>
  <si>
    <t>2020-10-26 00:00:01</t>
    <phoneticPr fontId="6" type="noConversion"/>
  </si>
  <si>
    <t>2020-11-02 00:00:01</t>
    <phoneticPr fontId="6" type="noConversion"/>
  </si>
  <si>
    <t>2020-11-09 00:00:01</t>
    <phoneticPr fontId="6" type="noConversion"/>
  </si>
  <si>
    <t>2020-11-16 00:00:01</t>
    <phoneticPr fontId="6" type="noConversion"/>
  </si>
  <si>
    <t>2020-11-23 00:00:01</t>
    <phoneticPr fontId="6" type="noConversion"/>
  </si>
  <si>
    <t>2020-11-30 00:00:01</t>
    <phoneticPr fontId="6" type="noConversion"/>
  </si>
  <si>
    <t>2020-12-07 00:00:01</t>
    <phoneticPr fontId="6" type="noConversion"/>
  </si>
  <si>
    <t>2020-12-14 00:00:01</t>
    <phoneticPr fontId="6" type="noConversion"/>
  </si>
  <si>
    <t>2020-12-21 00:00:01</t>
    <phoneticPr fontId="6" type="noConversion"/>
  </si>
  <si>
    <t>2020-12-28 00:00:01</t>
    <phoneticPr fontId="6" type="noConversion"/>
  </si>
  <si>
    <t>2021-01-04 00:00:01</t>
    <phoneticPr fontId="6" type="noConversion"/>
  </si>
  <si>
    <t>2020-01-13 01:00:00</t>
    <phoneticPr fontId="6" type="noConversion"/>
  </si>
  <si>
    <t>2020-01-20 01:00:00</t>
    <phoneticPr fontId="6" type="noConversion"/>
  </si>
  <si>
    <t>2020-01-27 01:00:00</t>
    <phoneticPr fontId="6" type="noConversion"/>
  </si>
  <si>
    <t>2020-02-03 01:00:00</t>
    <phoneticPr fontId="6" type="noConversion"/>
  </si>
  <si>
    <t>2020-02-10 01:00:00</t>
    <phoneticPr fontId="6" type="noConversion"/>
  </si>
  <si>
    <t>2020-02-17 01:00:00</t>
    <phoneticPr fontId="6" type="noConversion"/>
  </si>
  <si>
    <t>2020-02-24 01:00:00</t>
    <phoneticPr fontId="6" type="noConversion"/>
  </si>
  <si>
    <t>2020-03-02 01:00:00</t>
    <phoneticPr fontId="6" type="noConversion"/>
  </si>
  <si>
    <t>2020-03-09 01:00:00</t>
    <phoneticPr fontId="6" type="noConversion"/>
  </si>
  <si>
    <t>2020-03-16 01:00:00</t>
    <phoneticPr fontId="6" type="noConversion"/>
  </si>
  <si>
    <t>2020-03-23 01:00:00</t>
    <phoneticPr fontId="6" type="noConversion"/>
  </si>
  <si>
    <t>2020-03-30 01:00:00</t>
    <phoneticPr fontId="6" type="noConversion"/>
  </si>
  <si>
    <t>2020-04-06 01:00:00</t>
    <phoneticPr fontId="6" type="noConversion"/>
  </si>
  <si>
    <t>2020-04-13 01:00:00</t>
    <phoneticPr fontId="6" type="noConversion"/>
  </si>
  <si>
    <t>2020-04-20 01:00:00</t>
    <phoneticPr fontId="6" type="noConversion"/>
  </si>
  <si>
    <t>2020-04-27 01:00:00</t>
    <phoneticPr fontId="6" type="noConversion"/>
  </si>
  <si>
    <t>2020-05-04 01:00:00</t>
    <phoneticPr fontId="6" type="noConversion"/>
  </si>
  <si>
    <t>2020-05-11 01:00:00</t>
    <phoneticPr fontId="6" type="noConversion"/>
  </si>
  <si>
    <t>2020-05-18 01:00:00</t>
    <phoneticPr fontId="6" type="noConversion"/>
  </si>
  <si>
    <t>2020-05-25 01:00:00</t>
    <phoneticPr fontId="6" type="noConversion"/>
  </si>
  <si>
    <t>2020-06-01 01:00:00</t>
    <phoneticPr fontId="6" type="noConversion"/>
  </si>
  <si>
    <t>2020-06-08 01:00:00</t>
    <phoneticPr fontId="6" type="noConversion"/>
  </si>
  <si>
    <t>2020-06-15 01:00:00</t>
    <phoneticPr fontId="6" type="noConversion"/>
  </si>
  <si>
    <t>2020-06-22 01:00:00</t>
    <phoneticPr fontId="6" type="noConversion"/>
  </si>
  <si>
    <t>2020-06-29 01:00:00</t>
    <phoneticPr fontId="6" type="noConversion"/>
  </si>
  <si>
    <t>2020-07-06 01:00:00</t>
    <phoneticPr fontId="6" type="noConversion"/>
  </si>
  <si>
    <t>2020-07-13 01:00:00</t>
    <phoneticPr fontId="6" type="noConversion"/>
  </si>
  <si>
    <t>2020-07-20 01:00:00</t>
    <phoneticPr fontId="6" type="noConversion"/>
  </si>
  <si>
    <t>2020-07-27 01:00:00</t>
    <phoneticPr fontId="6" type="noConversion"/>
  </si>
  <si>
    <t>2020-08-03 01:00:00</t>
    <phoneticPr fontId="6" type="noConversion"/>
  </si>
  <si>
    <t>2020-08-10 01:00:00</t>
    <phoneticPr fontId="6" type="noConversion"/>
  </si>
  <si>
    <t>2020-08-17 01:00:00</t>
    <phoneticPr fontId="6" type="noConversion"/>
  </si>
  <si>
    <t>2020-08-24 01:00:00</t>
    <phoneticPr fontId="6" type="noConversion"/>
  </si>
  <si>
    <t>2020-09-07 01:00:00</t>
    <phoneticPr fontId="6" type="noConversion"/>
  </si>
  <si>
    <t>2020-08-31 01:00:00</t>
    <phoneticPr fontId="6" type="noConversion"/>
  </si>
  <si>
    <t>2020-09-14 01:00:00</t>
    <phoneticPr fontId="6" type="noConversion"/>
  </si>
  <si>
    <t>2020-09-21 01:00:00</t>
    <phoneticPr fontId="6" type="noConversion"/>
  </si>
  <si>
    <t>2020-09-28 01:00:00</t>
    <phoneticPr fontId="6" type="noConversion"/>
  </si>
  <si>
    <t>2020-10-05 01:00:00</t>
    <phoneticPr fontId="6" type="noConversion"/>
  </si>
  <si>
    <t>2020-10-12 01:00:00</t>
    <phoneticPr fontId="6" type="noConversion"/>
  </si>
  <si>
    <t>2020-10-19 01:00:00</t>
    <phoneticPr fontId="6" type="noConversion"/>
  </si>
  <si>
    <t>2020-10-26 01:00:00</t>
    <phoneticPr fontId="6" type="noConversion"/>
  </si>
  <si>
    <t>2020-11-02 01:00:00</t>
    <phoneticPr fontId="6" type="noConversion"/>
  </si>
  <si>
    <t>2020-11-09 01:00:00</t>
    <phoneticPr fontId="6" type="noConversion"/>
  </si>
  <si>
    <t>2020-11-16 01:00:00</t>
    <phoneticPr fontId="6" type="noConversion"/>
  </si>
  <si>
    <t>2020-11-23 01:00:00</t>
    <phoneticPr fontId="6" type="noConversion"/>
  </si>
  <si>
    <t>2020-11-30 01:00:00</t>
    <phoneticPr fontId="6" type="noConversion"/>
  </si>
  <si>
    <t>2020-12-07 01:00:00</t>
    <phoneticPr fontId="6" type="noConversion"/>
  </si>
  <si>
    <t>2020-12-14 01:00:00</t>
    <phoneticPr fontId="6" type="noConversion"/>
  </si>
  <si>
    <t>2020-12-21 01:00:00</t>
    <phoneticPr fontId="6" type="noConversion"/>
  </si>
  <si>
    <t>2020-12-28 01:00:00</t>
    <phoneticPr fontId="6" type="noConversion"/>
  </si>
  <si>
    <t>2019-12-29 17:00:00</t>
    <phoneticPr fontId="6" type="noConversion"/>
  </si>
  <si>
    <t>FREE SEASON9</t>
    <phoneticPr fontId="6" type="noConversion"/>
  </si>
  <si>
    <t>2020-01-21 14:59:59</t>
    <phoneticPr fontId="6" type="noConversion"/>
  </si>
  <si>
    <t>GLOBAL SEASON 6</t>
    <phoneticPr fontId="6" type="noConversion"/>
  </si>
  <si>
    <t>2020-01-21 17:00:00</t>
    <phoneticPr fontId="6" type="noConversion"/>
  </si>
  <si>
    <t>SEASON8</t>
    <phoneticPr fontId="6" type="noConversion"/>
  </si>
  <si>
    <t>2020-03-15 14:59:59</t>
    <phoneticPr fontId="6" type="noConversion"/>
  </si>
  <si>
    <t>2020-03-15 17:00:00</t>
    <phoneticPr fontId="6" type="noConversion"/>
  </si>
  <si>
    <t>2020-03-29 14:59:59</t>
    <phoneticPr fontId="6" type="noConversion"/>
  </si>
  <si>
    <t>FREE SEASON10</t>
    <phoneticPr fontId="6" type="noConversion"/>
  </si>
  <si>
    <t>GLOBAL SEASON 7</t>
    <phoneticPr fontId="6" type="noConversion"/>
  </si>
  <si>
    <t>2020-03-29 17:00:00</t>
    <phoneticPr fontId="6" type="noConversion"/>
  </si>
  <si>
    <t>FREE SEASON11</t>
    <phoneticPr fontId="6" type="noConversion"/>
  </si>
  <si>
    <t>RecommendHeroIndices[]</t>
    <phoneticPr fontId="6" type="noConversion"/>
  </si>
  <si>
    <t>2020-05-24 14:59:59</t>
    <phoneticPr fontId="6" type="noConversion"/>
  </si>
  <si>
    <t>2020-05-24 17:00:00</t>
    <phoneticPr fontId="6" type="noConversion"/>
  </si>
  <si>
    <t>2020-06-07 14:59:59</t>
    <phoneticPr fontId="6" type="noConversion"/>
  </si>
  <si>
    <t>GLOBAL SEASON 8</t>
    <phoneticPr fontId="6" type="noConversion"/>
  </si>
  <si>
    <t>2020-06-07 17:00:00</t>
    <phoneticPr fontId="6" type="noConversion"/>
  </si>
  <si>
    <t>2020-08-02 14:59:59</t>
    <phoneticPr fontId="6" type="noConversion"/>
  </si>
  <si>
    <t>SEASON9</t>
    <phoneticPr fontId="6" type="noConversion"/>
  </si>
  <si>
    <t>Int</t>
    <phoneticPr fontId="6" type="noConversion"/>
  </si>
  <si>
    <t>String</t>
    <phoneticPr fontId="6" type="noConversion"/>
  </si>
  <si>
    <t>2020-08-02 17:00:00</t>
    <phoneticPr fontId="6" type="noConversion"/>
  </si>
  <si>
    <t>2020-08-16 14:59:59</t>
    <phoneticPr fontId="6" type="noConversion"/>
  </si>
  <si>
    <t>GLOBAL SEASON 9</t>
    <phoneticPr fontId="6" type="noConversion"/>
  </si>
  <si>
    <t>SEASON10</t>
    <phoneticPr fontId="6" type="noConversion"/>
  </si>
  <si>
    <t>SEASON11</t>
    <phoneticPr fontId="6" type="noConversion"/>
  </si>
  <si>
    <t>2020-08-16 17:00:00</t>
    <phoneticPr fontId="6" type="noConversion"/>
  </si>
  <si>
    <t>2020-10-11 14:59:59</t>
    <phoneticPr fontId="6" type="noConversion"/>
  </si>
  <si>
    <t>2021-01-04 01:00:00</t>
  </si>
  <si>
    <t>2021-01-11 00:00:01</t>
  </si>
  <si>
    <t>2021-01-11 01:00:00</t>
  </si>
  <si>
    <t>2021-01-18 00:00:01</t>
  </si>
  <si>
    <t>2021-01-18 01:00:00</t>
  </si>
  <si>
    <t>2021-01-25 00:00:01</t>
  </si>
  <si>
    <t>2021-01-25 01:00:00</t>
  </si>
  <si>
    <t>2021-02-01 00:00:01</t>
  </si>
  <si>
    <t>2021-02-01 01:00:00</t>
  </si>
  <si>
    <t>2021-02-08 00:00:01</t>
  </si>
  <si>
    <t>2021-02-08 01:00:00</t>
  </si>
  <si>
    <t>2021-02-15 00:00:01</t>
  </si>
  <si>
    <t>2021-02-15 01:00:00</t>
  </si>
  <si>
    <t>2021-02-22 00:00:01</t>
  </si>
  <si>
    <t>2021-02-22 01:00:00</t>
  </si>
  <si>
    <t>2021-03-01 00:00:01</t>
  </si>
  <si>
    <t>2021-03-01 01:00:00</t>
  </si>
  <si>
    <t>2021-03-08 00:00:01</t>
  </si>
  <si>
    <t>2021-03-08 01:00:00</t>
  </si>
  <si>
    <t>2021-03-15 00:00:01</t>
  </si>
  <si>
    <t>2021-03-15 01:00:00</t>
  </si>
  <si>
    <t>2021-03-22 00:00:01</t>
  </si>
  <si>
    <t>2021-03-22 01:00:00</t>
  </si>
  <si>
    <t>2021-03-29 00:00:01</t>
  </si>
  <si>
    <t>2021-03-29 01:00:00</t>
  </si>
  <si>
    <t>2021-04-05 00:00:01</t>
  </si>
  <si>
    <t>2021-04-05 01:00:00</t>
  </si>
  <si>
    <t>2021-04-12 00:00:01</t>
  </si>
  <si>
    <t>2021-04-12 01:00:00</t>
  </si>
  <si>
    <t>2021-04-19 00:00:01</t>
  </si>
  <si>
    <t>2021-04-19 01:00:00</t>
  </si>
  <si>
    <t>2021-04-26 00:00:01</t>
  </si>
  <si>
    <t>2021-04-26 01:00:00</t>
  </si>
  <si>
    <t>2021-05-03 00:00:01</t>
  </si>
  <si>
    <t>2021-05-03 01:00:00</t>
  </si>
  <si>
    <t>2021-05-10 00:00:01</t>
  </si>
  <si>
    <t>2021-05-10 01:00:00</t>
  </si>
  <si>
    <t>2021-05-17 00:00:01</t>
  </si>
  <si>
    <t>2021-05-17 01:00:00</t>
  </si>
  <si>
    <t>2021-05-24 00:00:01</t>
  </si>
  <si>
    <t>2021-05-24 01:00:00</t>
  </si>
  <si>
    <t>2021-05-31 00:00:01</t>
  </si>
  <si>
    <t>2021-05-31 01:00:00</t>
  </si>
  <si>
    <t>2021-06-07 00:00:01</t>
  </si>
  <si>
    <t>2021-06-07 01:00:00</t>
  </si>
  <si>
    <t>2021-06-14 00:00:01</t>
  </si>
  <si>
    <t>2021-06-14 01:00:00</t>
  </si>
  <si>
    <t>2021-06-21 00:00:01</t>
  </si>
  <si>
    <t>2021-06-21 01:00:00</t>
  </si>
  <si>
    <t>2021-06-28 00:00:01</t>
  </si>
  <si>
    <t>2021-06-28 01:00:00</t>
  </si>
  <si>
    <t>2021-07-05 00:00:01</t>
  </si>
  <si>
    <t>2021-07-05 01:00:00</t>
  </si>
  <si>
    <t>2021-07-12 00:00:01</t>
  </si>
  <si>
    <t>2021-07-12 01:00:00</t>
  </si>
  <si>
    <t>2021-07-19 00:00:01</t>
  </si>
  <si>
    <t>2021-07-19 01:00:00</t>
  </si>
  <si>
    <t>2021-07-26 00:00:01</t>
  </si>
  <si>
    <t>2021-07-26 01:00:00</t>
  </si>
  <si>
    <t>2021-08-02 00:00:01</t>
  </si>
  <si>
    <t>2021-08-02 01:00:00</t>
  </si>
  <si>
    <t>2021-08-09 00:00:01</t>
  </si>
  <si>
    <t>2021-08-09 01:00:00</t>
  </si>
  <si>
    <t>2021-08-16 00:00:01</t>
  </si>
  <si>
    <t>2021-08-16 01:00:00</t>
  </si>
  <si>
    <t>2021-08-23 00:00:01</t>
  </si>
  <si>
    <t>2021-08-23 01:00:00</t>
  </si>
  <si>
    <t>2021-08-30 00:00:01</t>
  </si>
  <si>
    <t>2021-08-30 01:00:00</t>
  </si>
  <si>
    <t>2021-09-06 00:00:01</t>
  </si>
  <si>
    <t>2021-09-06 01:00:00</t>
  </si>
  <si>
    <t>2021-09-13 00:00:01</t>
  </si>
  <si>
    <t>2021-09-13 01:00:00</t>
  </si>
  <si>
    <t>2021-09-20 00:00:01</t>
  </si>
  <si>
    <t>2021-09-20 01:00:00</t>
  </si>
  <si>
    <t>2021-09-27 00:00:01</t>
  </si>
  <si>
    <t>2021-09-27 01:00:00</t>
  </si>
  <si>
    <t>2021-10-04 00:00:01</t>
  </si>
  <si>
    <t>2021-10-04 01:00:00</t>
  </si>
  <si>
    <t>2021-10-11 00:00:01</t>
  </si>
  <si>
    <t>2021-10-11 01:00:00</t>
  </si>
  <si>
    <t>2021-10-18 00:00:01</t>
  </si>
  <si>
    <t>2021-10-18 01:00:00</t>
  </si>
  <si>
    <t>2021-10-25 00:00:01</t>
  </si>
  <si>
    <t>2021-10-25 01:00:00</t>
  </si>
  <si>
    <t>2021-11-01 00:00:01</t>
  </si>
  <si>
    <t>2021-11-01 01:00:00</t>
  </si>
  <si>
    <t>2021-11-08 00:00:01</t>
  </si>
  <si>
    <t>2021-11-08 01:00:00</t>
  </si>
  <si>
    <t>2021-11-15 00:00:01</t>
  </si>
  <si>
    <t>2021-11-15 01:00:00</t>
  </si>
  <si>
    <t>2021-11-22 00:00:01</t>
  </si>
  <si>
    <t>2021-11-22 01:00:00</t>
  </si>
  <si>
    <t>2021-11-29 00:00:01</t>
  </si>
  <si>
    <t>2021-11-29 01:00:00</t>
  </si>
  <si>
    <t>2021-12-06 00:00:01</t>
  </si>
  <si>
    <t>2021-12-06 01:00:00</t>
  </si>
  <si>
    <t>2021-12-13 00:00:01</t>
  </si>
  <si>
    <t>2021-12-13 01:00:00</t>
  </si>
  <si>
    <t>2021-12-20 00:00:01</t>
  </si>
  <si>
    <t>2021-12-20 01:00:00</t>
  </si>
  <si>
    <t>2021-12-27 00:00:01</t>
  </si>
  <si>
    <t>2021-12-27 01:00:00</t>
  </si>
  <si>
    <t>2022-01-03 00:00:01</t>
  </si>
  <si>
    <t>SEASON225</t>
  </si>
  <si>
    <t>SEASON226</t>
  </si>
  <si>
    <t>SEASON227</t>
  </si>
  <si>
    <t>SEASON228</t>
  </si>
  <si>
    <t>SEASON229</t>
  </si>
  <si>
    <t>SEASON230</t>
  </si>
  <si>
    <t>SEASON231</t>
  </si>
  <si>
    <t>SEASON232</t>
  </si>
  <si>
    <t>SEASON233</t>
  </si>
  <si>
    <t>SEASON234</t>
  </si>
  <si>
    <t>SEASON235</t>
  </si>
  <si>
    <t>SEASON236</t>
  </si>
  <si>
    <t>SEASON237</t>
  </si>
  <si>
    <t>SEASON238</t>
  </si>
  <si>
    <t>SEASON239</t>
  </si>
  <si>
    <t>SEASON240</t>
  </si>
  <si>
    <t>SEASON241</t>
  </si>
  <si>
    <t>SEASON242</t>
  </si>
  <si>
    <t>SEASON243</t>
  </si>
  <si>
    <t>SEASON244</t>
  </si>
  <si>
    <t>SEASON245</t>
  </si>
  <si>
    <t>SEASON246</t>
  </si>
  <si>
    <t>SEASON247</t>
  </si>
  <si>
    <t>SEASON248</t>
  </si>
  <si>
    <t>SEASON249</t>
  </si>
  <si>
    <t>SEASON250</t>
  </si>
  <si>
    <t>SEASON251</t>
  </si>
  <si>
    <t>SEASON252</t>
  </si>
  <si>
    <t>SEASON253</t>
  </si>
  <si>
    <t>SEASON254</t>
  </si>
  <si>
    <t>SEASON255</t>
  </si>
  <si>
    <t>SEASON256</t>
  </si>
  <si>
    <t>SEASON257</t>
  </si>
  <si>
    <t>SEASON258</t>
  </si>
  <si>
    <t>SEASON259</t>
  </si>
  <si>
    <t>SEASON260</t>
  </si>
  <si>
    <t>SEASON261</t>
  </si>
  <si>
    <t>SEASON262</t>
  </si>
  <si>
    <t>SEASON263</t>
  </si>
  <si>
    <t>SEASON264</t>
  </si>
  <si>
    <t>SEASON265</t>
  </si>
  <si>
    <t>SEASON266</t>
  </si>
  <si>
    <t>SEASON267</t>
  </si>
  <si>
    <t>SEASON268</t>
  </si>
  <si>
    <t>SEASON269</t>
  </si>
  <si>
    <t>SEASON270</t>
  </si>
  <si>
    <t>SEASON271</t>
  </si>
  <si>
    <t>SEASON272</t>
  </si>
  <si>
    <t>SEASON273</t>
  </si>
  <si>
    <t>SEASON274</t>
  </si>
  <si>
    <t>SEASON275</t>
  </si>
  <si>
    <t>SEASON276</t>
  </si>
  <si>
    <t>FREE SEASON12</t>
    <phoneticPr fontId="6" type="noConversion"/>
  </si>
  <si>
    <t>2020-10-11 17:00:00</t>
    <phoneticPr fontId="6" type="noConversion"/>
  </si>
  <si>
    <t>2020-10-25 14:59:59</t>
    <phoneticPr fontId="6" type="noConversion"/>
  </si>
  <si>
    <t>GLOBAL SEASON 10</t>
    <phoneticPr fontId="6" type="noConversion"/>
  </si>
  <si>
    <t>2020-10-25 17:00:00</t>
    <phoneticPr fontId="6" type="noConversion"/>
  </si>
  <si>
    <t>SEASON12</t>
    <phoneticPr fontId="6" type="noConversion"/>
  </si>
  <si>
    <t>2020-12-20 14:59:59</t>
    <phoneticPr fontId="6" type="noConversion"/>
  </si>
  <si>
    <t>FREE SEASON13</t>
    <phoneticPr fontId="6" type="noConversion"/>
  </si>
  <si>
    <t>2020-12-20 17:00:00</t>
    <phoneticPr fontId="6" type="noConversion"/>
  </si>
  <si>
    <t>2021-01-03 14:59:59</t>
    <phoneticPr fontId="6" type="noConversion"/>
  </si>
  <si>
    <t>GLOBAL SEASON 11</t>
    <phoneticPr fontId="6" type="noConversion"/>
  </si>
  <si>
    <t>2021-01-03 17:00:00</t>
    <phoneticPr fontId="6" type="noConversion"/>
  </si>
  <si>
    <t>2021-02-28 14:59:59</t>
    <phoneticPr fontId="6" type="noConversion"/>
  </si>
  <si>
    <t>FREE SEASON14</t>
    <phoneticPr fontId="6" type="noConversion"/>
  </si>
  <si>
    <t>2021-02-28 17:00:00</t>
    <phoneticPr fontId="6" type="noConversion"/>
  </si>
  <si>
    <t>2021-03-14 14:59:59</t>
    <phoneticPr fontId="6" type="noConversion"/>
  </si>
  <si>
    <t>GLOBAL SEASON 12</t>
    <phoneticPr fontId="6" type="noConversion"/>
  </si>
  <si>
    <t>2021-03-14 17:00:00</t>
    <phoneticPr fontId="6" type="noConversion"/>
  </si>
  <si>
    <t>2021-05-09 14:59:59</t>
    <phoneticPr fontId="6" type="noConversion"/>
  </si>
  <si>
    <t>2021-05-09 17:00:00</t>
    <phoneticPr fontId="6" type="noConversion"/>
  </si>
  <si>
    <t>2021-05-23 14:59:59</t>
    <phoneticPr fontId="6" type="noConversion"/>
  </si>
  <si>
    <t>2021-05-23 17:00:00</t>
    <phoneticPr fontId="6" type="noConversion"/>
  </si>
  <si>
    <t>2021-07-18 14:59:59</t>
    <phoneticPr fontId="6" type="noConversion"/>
  </si>
  <si>
    <t>2021-07-18 17:00:00</t>
    <phoneticPr fontId="6" type="noConversion"/>
  </si>
  <si>
    <t>2021-08-01 14:59:59</t>
    <phoneticPr fontId="6" type="noConversion"/>
  </si>
  <si>
    <t>GLOBAL SEASON 13</t>
    <phoneticPr fontId="6" type="noConversion"/>
  </si>
  <si>
    <t>SEASON13</t>
    <phoneticPr fontId="6" type="noConversion"/>
  </si>
  <si>
    <t>SEASON14</t>
    <phoneticPr fontId="6" type="noConversion"/>
  </si>
  <si>
    <t>SEASON15</t>
    <phoneticPr fontId="6" type="noConversion"/>
  </si>
  <si>
    <t>2021-08-01 17:00:00</t>
    <phoneticPr fontId="6" type="noConversion"/>
  </si>
  <si>
    <t>GLOBAL SEASON 14</t>
    <phoneticPr fontId="6" type="noConversion"/>
  </si>
  <si>
    <t>SEASON16</t>
    <phoneticPr fontId="6" type="noConversion"/>
  </si>
  <si>
    <t>FREE SEASON15</t>
    <phoneticPr fontId="6" type="noConversion"/>
  </si>
  <si>
    <t>2021-09-26 14:59:59</t>
    <phoneticPr fontId="6" type="noConversion"/>
  </si>
  <si>
    <t>2021-09-26 17:00:00</t>
    <phoneticPr fontId="6" type="noConversion"/>
  </si>
  <si>
    <t>2021-10-10 14:59:59</t>
    <phoneticPr fontId="6" type="noConversion"/>
  </si>
  <si>
    <t>GLOBAL SEASON 15</t>
    <phoneticPr fontId="6" type="noConversion"/>
  </si>
  <si>
    <t>2021-10-10 17:00:00</t>
    <phoneticPr fontId="6" type="noConversion"/>
  </si>
  <si>
    <t>2021-12-05 14:59:59</t>
    <phoneticPr fontId="6" type="noConversion"/>
  </si>
  <si>
    <t>2021-12-05 17:00:00</t>
    <phoneticPr fontId="6" type="noConversion"/>
  </si>
  <si>
    <t>2021-12-19 14:59:59</t>
    <phoneticPr fontId="6" type="noConversion"/>
  </si>
  <si>
    <t>SEASON17</t>
    <phoneticPr fontId="6" type="noConversion"/>
  </si>
  <si>
    <t>FREE SEASON16</t>
    <phoneticPr fontId="6" type="noConversion"/>
  </si>
  <si>
    <t>FREE SEASON17</t>
    <phoneticPr fontId="6" type="noConversion"/>
  </si>
  <si>
    <t>FREE SEASON18</t>
    <phoneticPr fontId="6" type="noConversion"/>
  </si>
  <si>
    <t>SEASON18</t>
    <phoneticPr fontId="6" type="noConversion"/>
  </si>
  <si>
    <t>FREE SEASON19</t>
    <phoneticPr fontId="6" type="noConversion"/>
  </si>
  <si>
    <t>2021-12-19 17:00:00</t>
    <phoneticPr fontId="6" type="noConversion"/>
  </si>
  <si>
    <t>2022-02-13 14:59:59</t>
    <phoneticPr fontId="6" type="noConversion"/>
  </si>
  <si>
    <t>2022-02-13 17:00:00</t>
    <phoneticPr fontId="6" type="noConversion"/>
  </si>
  <si>
    <t>2022-02-27 14:59:59</t>
    <phoneticPr fontId="6" type="noConversion"/>
  </si>
  <si>
    <t>GLOBAL SEASON 16</t>
    <phoneticPr fontId="6" type="noConversion"/>
  </si>
  <si>
    <t>2022-04-24 14:59:59</t>
    <phoneticPr fontId="6" type="noConversion"/>
  </si>
  <si>
    <t>2022-02-27 17:00:00</t>
    <phoneticPr fontId="6" type="noConversion"/>
  </si>
  <si>
    <t>2022-04-24 17:00:00</t>
    <phoneticPr fontId="6" type="noConversion"/>
  </si>
  <si>
    <t>FREE SEASON20</t>
    <phoneticPr fontId="6" type="noConversion"/>
  </si>
  <si>
    <t>SEASON19</t>
    <phoneticPr fontId="6" type="noConversion"/>
  </si>
  <si>
    <t>2022-05-08 14:59:59</t>
    <phoneticPr fontId="6" type="noConversion"/>
  </si>
  <si>
    <t>293</t>
    <phoneticPr fontId="6" type="noConversion"/>
  </si>
  <si>
    <t>294</t>
    <phoneticPr fontId="6" type="noConversion"/>
  </si>
  <si>
    <t>295</t>
    <phoneticPr fontId="6" type="noConversion"/>
  </si>
  <si>
    <t>296</t>
    <phoneticPr fontId="6" type="noConversion"/>
  </si>
  <si>
    <t>297</t>
    <phoneticPr fontId="6" type="noConversion"/>
  </si>
  <si>
    <t>SEASON276</t>
    <phoneticPr fontId="6" type="noConversion"/>
  </si>
  <si>
    <t>SEASON277</t>
    <phoneticPr fontId="6" type="noConversion"/>
  </si>
  <si>
    <t>SEASON278</t>
    <phoneticPr fontId="6" type="noConversion"/>
  </si>
  <si>
    <t>SEASON279</t>
    <phoneticPr fontId="6" type="noConversion"/>
  </si>
  <si>
    <t>SEASON280</t>
    <phoneticPr fontId="6" type="noConversion"/>
  </si>
  <si>
    <t>SEASON281</t>
    <phoneticPr fontId="6" type="noConversion"/>
  </si>
  <si>
    <t>2022-01-03 01:00:00</t>
    <phoneticPr fontId="6" type="noConversion"/>
  </si>
  <si>
    <t>2022-01-10 01:00:00</t>
    <phoneticPr fontId="6" type="noConversion"/>
  </si>
  <si>
    <t>2022-01-17 01:00:00</t>
    <phoneticPr fontId="6" type="noConversion"/>
  </si>
  <si>
    <t>2022-01-24 01:00:00</t>
    <phoneticPr fontId="6" type="noConversion"/>
  </si>
  <si>
    <t>2022-01-10 00:00:01</t>
    <phoneticPr fontId="6" type="noConversion"/>
  </si>
  <si>
    <t>2022-01-17 00:00:01</t>
    <phoneticPr fontId="6" type="noConversion"/>
  </si>
  <si>
    <t>2022-01-24 00:00:01</t>
    <phoneticPr fontId="6" type="noConversion"/>
  </si>
  <si>
    <t>2022-01-31 00:00:01</t>
    <phoneticPr fontId="6" type="noConversion"/>
  </si>
  <si>
    <t>2022-02-07 00:00:01</t>
    <phoneticPr fontId="6" type="noConversion"/>
  </si>
  <si>
    <t>2022-01-31 01:00:00</t>
    <phoneticPr fontId="6" type="noConversion"/>
  </si>
  <si>
    <t>SEASON280</t>
  </si>
  <si>
    <t>SEASON281</t>
  </si>
  <si>
    <t>SEASON282</t>
  </si>
  <si>
    <t>SEASON283</t>
  </si>
  <si>
    <t>SEASON284</t>
  </si>
  <si>
    <t>SEASON285</t>
  </si>
  <si>
    <t>SEASON286</t>
  </si>
  <si>
    <t>SEASON287</t>
  </si>
  <si>
    <t>SEASON288</t>
  </si>
  <si>
    <t>SEASON289</t>
  </si>
  <si>
    <t>SEASON290</t>
  </si>
  <si>
    <t>SEASON291</t>
  </si>
  <si>
    <t>SEASON292</t>
  </si>
  <si>
    <t>SEASON293</t>
  </si>
  <si>
    <t>SEASON294</t>
  </si>
  <si>
    <t>SEASON295</t>
  </si>
  <si>
    <t>SEASON296</t>
  </si>
  <si>
    <t>SEASON297</t>
  </si>
  <si>
    <t>SEASON298</t>
  </si>
  <si>
    <t>SEASON299</t>
  </si>
  <si>
    <t>SEASON300</t>
  </si>
  <si>
    <t>SEASON301</t>
  </si>
  <si>
    <t>SEASON302</t>
  </si>
  <si>
    <t>SEASON303</t>
  </si>
  <si>
    <t>SEASON304</t>
  </si>
  <si>
    <t>SEASON305</t>
  </si>
  <si>
    <t>SEASON306</t>
  </si>
  <si>
    <t>SEASON307</t>
  </si>
  <si>
    <t>SEASON308</t>
  </si>
  <si>
    <t>SEASON309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</si>
  <si>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</si>
  <si>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</si>
  <si>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</si>
  <si>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</si>
  <si>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</si>
  <si>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</si>
  <si>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</si>
  <si>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</si>
  <si>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</si>
  <si>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</si>
  <si>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</si>
  <si>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</si>
  <si>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</si>
  <si>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</si>
  <si>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</si>
  <si>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</si>
  <si>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</si>
  <si>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</si>
  <si>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</si>
  <si>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</si>
  <si>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</si>
  <si>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</si>
  <si>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</si>
  <si>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</si>
  <si>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</si>
  <si>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</si>
  <si>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</si>
  <si>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</si>
  <si>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</si>
  <si>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</si>
  <si>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SEASON279</t>
  </si>
  <si>
    <t>SEASON310</t>
  </si>
  <si>
    <t>SEASON311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</si>
</sst>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&quot;-&quot;mm&quot;-&quot;dd"/>
    <numFmt numFmtId="177" formatCode="yyyy&quot;-&quot;mm&quot;-&quot;dd\ hh:mm:ss;@"/>
  </numFmts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rgb="FF0000FF"/>
      <name val="맑은 고딕"/>
      <family val="2"/>
      <charset val="129"/>
      <scheme val="minor"/>
    </font>
    <font>
      <sz val="9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5" fillId="0" borderId="0">
      <alignment vertical="center"/>
    </xf>
    <xf numFmtId="0" fontId="9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3">
    <xf numFmtId="0" fontId="0" fillId="0" borderId="0" xfId="0"/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right"/>
    </xf>
    <xf numFmtId="49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49" fontId="10" fillId="2" borderId="1" xfId="1" applyNumberFormat="1" applyFont="1" applyFill="1" applyBorder="1" applyAlignment="1">
      <alignment horizontal="right" vertical="center" textRotation="90"/>
    </xf>
    <xf numFmtId="49" fontId="10" fillId="2" borderId="1" xfId="1" applyNumberFormat="1" applyFont="1" applyFill="1" applyBorder="1" applyAlignment="1">
      <alignment horizontal="center" vertical="center" textRotation="90"/>
    </xf>
    <xf numFmtId="49" fontId="10" fillId="2" borderId="1" xfId="0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Alignment="1">
      <alignment vertical="center"/>
    </xf>
    <xf numFmtId="0" fontId="10" fillId="3" borderId="0" xfId="0" applyFont="1" applyFill="1" applyAlignment="1">
      <alignment vertical="center"/>
    </xf>
    <xf numFmtId="49" fontId="7" fillId="3" borderId="0" xfId="0" applyNumberFormat="1" applyFont="1" applyFill="1" applyAlignment="1">
      <alignment horizontal="center"/>
    </xf>
    <xf numFmtId="49" fontId="10" fillId="3" borderId="0" xfId="0" applyNumberFormat="1" applyFont="1" applyFill="1" applyAlignment="1">
      <alignment vertical="center"/>
    </xf>
    <xf numFmtId="49" fontId="7" fillId="3" borderId="0" xfId="0" applyNumberFormat="1" applyFont="1" applyFill="1" applyAlignment="1">
      <alignment horizontal="left" vertical="center"/>
    </xf>
    <xf numFmtId="49" fontId="10" fillId="2" borderId="1" xfId="4" applyNumberFormat="1" applyFont="1" applyFill="1" applyBorder="1" applyAlignment="1">
      <alignment horizontal="center" vertical="center" textRotation="90"/>
    </xf>
    <xf numFmtId="0" fontId="10" fillId="3" borderId="0" xfId="6" applyFont="1" applyFill="1" applyAlignment="1">
      <alignment vertical="center"/>
    </xf>
    <xf numFmtId="49" fontId="7" fillId="3" borderId="0" xfId="6" applyNumberFormat="1" applyFont="1" applyFill="1" applyAlignment="1">
      <alignment horizontal="left" vertical="center"/>
    </xf>
    <xf numFmtId="49" fontId="10" fillId="0" borderId="0" xfId="11" applyNumberFormat="1" applyFont="1" applyAlignment="1">
      <alignment vertical="center"/>
    </xf>
    <xf numFmtId="49" fontId="10" fillId="3" borderId="0" xfId="11" applyNumberFormat="1" applyFont="1" applyFill="1" applyAlignment="1">
      <alignment vertical="center"/>
    </xf>
    <xf numFmtId="49" fontId="7" fillId="3" borderId="0" xfId="0" applyNumberFormat="1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3" borderId="1" xfId="0" applyNumberFormat="1" applyFill="1" applyBorder="1"/>
    <xf numFmtId="49" fontId="12" fillId="0" borderId="0" xfId="0" applyNumberFormat="1" applyFont="1" applyAlignment="1">
      <alignment vertical="center"/>
    </xf>
    <xf numFmtId="0" fontId="0" fillId="3" borderId="1" xfId="0" applyFill="1" applyBorder="1" applyAlignment="1">
      <alignment horizontal="center"/>
    </xf>
    <xf numFmtId="177" fontId="0" fillId="0" borderId="0" xfId="0" applyNumberFormat="1"/>
    <xf numFmtId="0" fontId="0" fillId="0" borderId="0" xfId="0" applyNumberFormat="1"/>
    <xf numFmtId="177" fontId="0" fillId="0" borderId="1" xfId="0" applyNumberFormat="1" applyBorder="1"/>
    <xf numFmtId="49" fontId="10" fillId="4" borderId="1" xfId="1" applyNumberFormat="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horizontal="center" vertical="center"/>
    </xf>
    <xf numFmtId="49" fontId="10" fillId="4" borderId="0" xfId="0" applyNumberFormat="1" applyFont="1" applyFill="1" applyAlignment="1">
      <alignment horizontal="center" vertical="center"/>
    </xf>
    <xf numFmtId="49" fontId="10" fillId="4" borderId="0" xfId="0" applyNumberFormat="1" applyFont="1" applyFill="1" applyAlignment="1">
      <alignment horizontal="center" vertical="center" textRotation="90"/>
    </xf>
    <xf numFmtId="0" fontId="7" fillId="0" borderId="0" xfId="0" applyNumberFormat="1" applyFont="1" applyAlignment="1">
      <alignment horizontal="center"/>
    </xf>
    <xf numFmtId="177" fontId="13" fillId="0" borderId="0" xfId="0" applyNumberFormat="1" applyFont="1"/>
    <xf numFmtId="0" fontId="10" fillId="0" borderId="0" xfId="0" applyFont="1" applyFill="1" applyAlignment="1">
      <alignment vertical="center"/>
    </xf>
  </cellXfs>
  <cellStyles count="19">
    <cellStyle name="표준" xfId="0" builtinId="0"/>
    <cellStyle name="표준 12" xfId="2" xr:uid="{00000000-0005-0000-0000-000001000000}"/>
    <cellStyle name="표준 2" xfId="6" xr:uid="{00000000-0005-0000-0000-000002000000}"/>
    <cellStyle name="표준 2 2" xfId="1" xr:uid="{00000000-0005-0000-0000-000003000000}"/>
    <cellStyle name="표준 2 2 10" xfId="3" xr:uid="{00000000-0005-0000-0000-000004000000}"/>
    <cellStyle name="표준 2 2 10 2" xfId="8" xr:uid="{00000000-0005-0000-0000-000005000000}"/>
    <cellStyle name="표준 2 2 10 2 2" xfId="17" xr:uid="{00000000-0005-0000-0000-000006000000}"/>
    <cellStyle name="표준 2 2 10 3" xfId="13" xr:uid="{00000000-0005-0000-0000-000007000000}"/>
    <cellStyle name="표준 2 2 2" xfId="4" xr:uid="{00000000-0005-0000-0000-000008000000}"/>
    <cellStyle name="표준 2 2 2 2" xfId="9" xr:uid="{00000000-0005-0000-0000-000009000000}"/>
    <cellStyle name="표준 2 2 2 2 2" xfId="18" xr:uid="{00000000-0005-0000-0000-00000A000000}"/>
    <cellStyle name="표준 2 2 2 3" xfId="14" xr:uid="{00000000-0005-0000-0000-00000B000000}"/>
    <cellStyle name="표준 2 2 3" xfId="7" xr:uid="{00000000-0005-0000-0000-00000C000000}"/>
    <cellStyle name="표준 2 2 3 2" xfId="16" xr:uid="{00000000-0005-0000-0000-00000D000000}"/>
    <cellStyle name="표준 2 2 4" xfId="12" xr:uid="{00000000-0005-0000-0000-00000E000000}"/>
    <cellStyle name="표준 3" xfId="5" xr:uid="{00000000-0005-0000-0000-00000F000000}"/>
    <cellStyle name="표준 3 2" xfId="15" xr:uid="{00000000-0005-0000-0000-000010000000}"/>
    <cellStyle name="표준 4" xfId="11" xr:uid="{00000000-0005-0000-0000-000011000000}"/>
    <cellStyle name="표준 5" xfId="10" xr:uid="{00000000-0005-0000-0000-000012000000}"/>
  </cellStyles>
  <dxfs count="3">
    <dxf>
      <fill>
        <patternFill>
          <bgColor rgb="FFC0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1:51:06.74" personId="{00000000-0000-0000-0000-000000000000}" id="{D5814675-F026-4E91-9C1A-7A10F11EA5E6}">
    <text>결투장 시즌 인덱스</text>
  </threadedComment>
  <threadedComment ref="C1" dT="2020-09-28T11:51:19.71" personId="{00000000-0000-0000-0000-000000000000}" id="{A332AD69-DDBC-4144-8EB5-8E1C8AB52F6D}">
    <text>시작 시간 (Loal시)</text>
  </threadedComment>
  <threadedComment ref="D1" dT="2020-09-28T11:51:27.30" personId="{00000000-0000-0000-0000-000000000000}" id="{6F7030B0-864F-4C1A-AD25-2F5B71D456B1}">
    <text>종료 시간 (Loal시)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0-09-28T11:51:06.74" personId="{00000000-0000-0000-0000-000000000000}" id="{9FA292CB-C206-473E-8CEC-D37C67CCEAE5}">
    <text>결투장 시즌 인덱스</text>
  </threadedComment>
  <threadedComment ref="C1" dT="2020-09-28T11:51:42.71" personId="{00000000-0000-0000-0000-000000000000}" id="{C1B60E88-B4E2-480E-895A-4B02DB0B79D8}">
    <text>시즌 표기</text>
  </threadedComment>
  <threadedComment ref="D1" dT="2020-09-28T11:53:30.15" personId="{00000000-0000-0000-0000-000000000000}" id="{557D4EE0-E15B-4D70-8CA3-37F465381BEC}">
    <text>기록실 시즌 표기</text>
  </threadedComment>
  <threadedComment ref="E1" dT="2020-09-28T11:53:42.09" personId="{00000000-0000-0000-0000-000000000000}" id="{5C812762-AA83-410E-AAE4-4501B2AAB5EA}">
    <text>시작 시간(UTC)</text>
  </threadedComment>
  <threadedComment ref="F1" dT="2020-09-28T11:53:49.44" personId="{00000000-0000-0000-0000-000000000000}" id="{FA8BE474-38AD-4D53-9CB8-D6365E46B4CA}">
    <text>종료 시간(UTC)</text>
  </threadedComment>
  <threadedComment ref="H1" dT="2020-09-28T11:54:07.33" personId="{00000000-0000-0000-0000-000000000000}" id="{9AE7BE08-B68D-4612-A6AC-591AFFBC1D29}">
    <text>시즌 종류
Regular - 정규
Free - 프리</text>
  </threadedComment>
  <threadedComment ref="I1" dT="2020-09-28T11:54:26.16" personId="{00000000-0000-0000-0000-000000000000}" id="{84AA6B6F-2046-4ADF-A985-5D3F9927E56D}">
    <text>보상 지급 여부
정규에 지급</text>
  </threadedComment>
  <threadedComment ref="J1" dT="2020-09-28T11:54:41.64" personId="{00000000-0000-0000-0000-000000000000}" id="{4E1FFD1A-5227-4E4D-B957-9A998D9F4254}">
    <text>전투 가능 시간(Local)</text>
  </threadedComment>
  <threadedComment ref="K1" dT="2020-09-28T11:54:45.09" personId="{00000000-0000-0000-0000-000000000000}" id="{638B7AE6-2184-40EC-8EF6-D705C9731B8E}">
    <text>전투 가능 시간(Local)</text>
  </threadedComment>
  <threadedComment ref="L1" dT="2020-09-28T11:55:07.88" personId="{00000000-0000-0000-0000-000000000000}" id="{1A8B4E18-797D-45B4-8D2F-3BF99A2CF10F}">
    <text>참여를 위한 영웅 각성도 조건</text>
  </threadedComment>
  <threadedComment ref="M1" dT="2020-09-28T11:55:13.40" personId="{00000000-0000-0000-0000-000000000000}" id="{EC3FE521-32CD-48BC-8FC6-61D3A5BCBB6D}">
    <text>참여를 위한 영웅 레벨 조건</text>
  </threadedComment>
  <threadedComment ref="N1" dT="2020-09-28T11:55:27.99" personId="{00000000-0000-0000-0000-000000000000}" id="{45170795-5583-4E04-85FC-C3615503AEC8}">
    <text>참여를 위해 조건이 맞는 보유 영웅 수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329"/>
  <sheetViews>
    <sheetView workbookViewId="0">
      <pane xSplit="2" ySplit="1" topLeftCell="C301" activePane="bottomRight" state="frozen"/>
      <selection pane="topRight" activeCell="C1" sqref="C1"/>
      <selection pane="bottomLeft" activeCell="A4" sqref="A4"/>
      <selection pane="bottomRight" activeCell="E312" sqref="E312"/>
    </sheetView>
  </sheetViews>
  <sheetFormatPr defaultRowHeight="14.1" customHeight="1" x14ac:dyDescent="0.2"/>
  <cols>
    <col min="1" max="1" width="7.5" style="2" customWidth="1"/>
    <col min="2" max="2" width="15.625" style="1" customWidth="1"/>
    <col min="3" max="4" width="16.625" style="1" customWidth="1"/>
    <col min="5" max="6" width="9" style="1"/>
    <col min="7" max="8" width="20.125" style="1" customWidth="1"/>
    <col min="9" max="16384" width="9" style="1"/>
  </cols>
  <sheetData>
    <row r="1" spans="1:29" s="7" customFormat="1" ht="66" customHeight="1" x14ac:dyDescent="0.3">
      <c r="A1" s="5" t="s">
        <v>0</v>
      </c>
      <c r="B1" s="6" t="s">
        <v>1</v>
      </c>
      <c r="C1" s="6" t="s">
        <v>2</v>
      </c>
      <c r="D1" s="6" t="s">
        <v>3</v>
      </c>
      <c r="E1" s="7" t="s">
        <v>4</v>
      </c>
    </row>
    <row r="2" spans="1:29" s="29" customFormat="1" ht="18" customHeight="1" x14ac:dyDescent="0.3">
      <c r="A2" s="26" t="s">
        <v>870</v>
      </c>
      <c r="B2" s="27" t="s">
        <v>871</v>
      </c>
      <c r="C2" s="27" t="s">
        <v>871</v>
      </c>
      <c r="D2" s="27" t="s">
        <v>871</v>
      </c>
      <c r="E2" s="27" t="s">
        <v>871</v>
      </c>
      <c r="F2" s="27"/>
      <c r="G2" s="27"/>
      <c r="H2" s="27"/>
      <c r="I2" s="27"/>
      <c r="J2" s="28"/>
      <c r="K2" s="28"/>
      <c r="L2" s="27"/>
      <c r="M2" s="27"/>
      <c r="N2" s="27"/>
      <c r="O2" s="27"/>
      <c r="P2" s="28"/>
      <c r="Q2" s="28"/>
      <c r="R2" s="27"/>
      <c r="S2" s="27"/>
      <c r="T2" s="27"/>
      <c r="U2" s="27"/>
      <c r="V2" s="28"/>
      <c r="W2" s="28"/>
      <c r="X2" s="27"/>
      <c r="Y2" s="27"/>
      <c r="Z2" s="27"/>
      <c r="AA2" s="27"/>
      <c r="AB2" s="28"/>
      <c r="AC2" s="28"/>
    </row>
    <row r="3" spans="1:29" s="3" customFormat="1" ht="14.1" customHeight="1" x14ac:dyDescent="0.3">
      <c r="A3" s="4">
        <v>1</v>
      </c>
      <c r="B3" s="4" t="s">
        <v>43</v>
      </c>
      <c r="C3" s="8" t="s">
        <v>24</v>
      </c>
      <c r="D3" s="8" t="s">
        <v>25</v>
      </c>
      <c r="E3" s="4" t="s">
        <v>43</v>
      </c>
    </row>
    <row r="4" spans="1:29" s="3" customFormat="1" ht="14.1" customHeight="1" x14ac:dyDescent="0.3">
      <c r="A4" s="4">
        <v>2</v>
      </c>
      <c r="B4" s="4" t="s">
        <v>44</v>
      </c>
      <c r="C4" s="8" t="s">
        <v>26</v>
      </c>
      <c r="D4" s="8" t="s">
        <v>27</v>
      </c>
      <c r="E4" s="4" t="s">
        <v>44</v>
      </c>
    </row>
    <row r="5" spans="1:29" s="3" customFormat="1" ht="14.1" customHeight="1" x14ac:dyDescent="0.3">
      <c r="A5" s="4">
        <v>3</v>
      </c>
      <c r="B5" s="4" t="s">
        <v>45</v>
      </c>
      <c r="C5" s="8" t="s">
        <v>28</v>
      </c>
      <c r="D5" s="8" t="s">
        <v>8</v>
      </c>
      <c r="E5" s="4" t="s">
        <v>45</v>
      </c>
    </row>
    <row r="6" spans="1:29" s="3" customFormat="1" ht="14.1" customHeight="1" x14ac:dyDescent="0.3">
      <c r="A6" s="4">
        <v>4</v>
      </c>
      <c r="B6" s="4" t="s">
        <v>46</v>
      </c>
      <c r="C6" s="8" t="s">
        <v>7</v>
      </c>
      <c r="D6" s="8" t="s">
        <v>29</v>
      </c>
      <c r="E6" s="4" t="s">
        <v>46</v>
      </c>
    </row>
    <row r="7" spans="1:29" s="3" customFormat="1" ht="14.1" customHeight="1" x14ac:dyDescent="0.3">
      <c r="A7" s="4">
        <v>5</v>
      </c>
      <c r="B7" s="4" t="s">
        <v>47</v>
      </c>
      <c r="C7" s="8" t="s">
        <v>31</v>
      </c>
      <c r="D7" s="8" t="s">
        <v>30</v>
      </c>
      <c r="E7" s="4" t="s">
        <v>47</v>
      </c>
    </row>
    <row r="8" spans="1:29" s="3" customFormat="1" ht="14.1" customHeight="1" x14ac:dyDescent="0.3">
      <c r="A8" s="4">
        <v>6</v>
      </c>
      <c r="B8" s="4" t="s">
        <v>48</v>
      </c>
      <c r="C8" s="8" t="s">
        <v>32</v>
      </c>
      <c r="D8" s="8" t="s">
        <v>33</v>
      </c>
      <c r="E8" s="4" t="s">
        <v>48</v>
      </c>
    </row>
    <row r="9" spans="1:29" s="3" customFormat="1" ht="14.1" customHeight="1" x14ac:dyDescent="0.3">
      <c r="A9" s="4">
        <v>7</v>
      </c>
      <c r="B9" s="4" t="s">
        <v>49</v>
      </c>
      <c r="C9" s="8" t="s">
        <v>35</v>
      </c>
      <c r="D9" s="8" t="s">
        <v>34</v>
      </c>
      <c r="E9" s="4" t="s">
        <v>49</v>
      </c>
    </row>
    <row r="10" spans="1:29" s="3" customFormat="1" ht="14.1" customHeight="1" x14ac:dyDescent="0.3">
      <c r="A10" s="4">
        <v>8</v>
      </c>
      <c r="B10" s="4" t="s">
        <v>50</v>
      </c>
      <c r="C10" s="8" t="s">
        <v>36</v>
      </c>
      <c r="D10" s="8" t="s">
        <v>37</v>
      </c>
      <c r="E10" s="4" t="s">
        <v>50</v>
      </c>
    </row>
    <row r="11" spans="1:29" s="3" customFormat="1" ht="14.1" customHeight="1" x14ac:dyDescent="0.3">
      <c r="A11" s="4">
        <v>9</v>
      </c>
      <c r="B11" s="4" t="s">
        <v>51</v>
      </c>
      <c r="C11" s="8" t="s">
        <v>38</v>
      </c>
      <c r="D11" s="8" t="s">
        <v>39</v>
      </c>
      <c r="E11" s="4" t="s">
        <v>51</v>
      </c>
    </row>
    <row r="12" spans="1:29" s="3" customFormat="1" ht="14.1" customHeight="1" x14ac:dyDescent="0.3">
      <c r="A12" s="4">
        <v>10</v>
      </c>
      <c r="B12" s="4" t="s">
        <v>52</v>
      </c>
      <c r="C12" s="8" t="s">
        <v>40</v>
      </c>
      <c r="D12" s="8" t="s">
        <v>9</v>
      </c>
      <c r="E12" s="4" t="s">
        <v>52</v>
      </c>
    </row>
    <row r="13" spans="1:29" s="3" customFormat="1" ht="14.1" customHeight="1" x14ac:dyDescent="0.3">
      <c r="A13" s="4">
        <v>11</v>
      </c>
      <c r="B13" s="4" t="s">
        <v>53</v>
      </c>
      <c r="C13" s="8" t="s">
        <v>6</v>
      </c>
      <c r="D13" s="8" t="s">
        <v>59</v>
      </c>
      <c r="E13" s="4" t="s">
        <v>53</v>
      </c>
    </row>
    <row r="14" spans="1:29" s="3" customFormat="1" ht="14.1" customHeight="1" x14ac:dyDescent="0.3">
      <c r="A14" s="4">
        <v>12</v>
      </c>
      <c r="B14" s="4" t="s">
        <v>54</v>
      </c>
      <c r="C14" s="8" t="s">
        <v>41</v>
      </c>
      <c r="D14" s="8" t="s">
        <v>60</v>
      </c>
      <c r="E14" s="4" t="s">
        <v>54</v>
      </c>
    </row>
    <row r="15" spans="1:29" s="3" customFormat="1" ht="14.1" customHeight="1" x14ac:dyDescent="0.3">
      <c r="A15" s="4">
        <v>13</v>
      </c>
      <c r="B15" s="4" t="s">
        <v>55</v>
      </c>
      <c r="C15" s="8" t="s">
        <v>61</v>
      </c>
      <c r="D15" s="8" t="s">
        <v>62</v>
      </c>
      <c r="E15" s="4" t="s">
        <v>55</v>
      </c>
    </row>
    <row r="16" spans="1:29" s="3" customFormat="1" ht="14.1" customHeight="1" x14ac:dyDescent="0.3">
      <c r="A16" s="4">
        <v>14</v>
      </c>
      <c r="B16" s="4" t="s">
        <v>56</v>
      </c>
      <c r="C16" s="8" t="s">
        <v>63</v>
      </c>
      <c r="D16" s="8" t="s">
        <v>64</v>
      </c>
      <c r="E16" s="4" t="s">
        <v>56</v>
      </c>
    </row>
    <row r="17" spans="1:5" s="3" customFormat="1" ht="14.1" customHeight="1" x14ac:dyDescent="0.3">
      <c r="A17" s="4">
        <v>15</v>
      </c>
      <c r="B17" s="4" t="s">
        <v>57</v>
      </c>
      <c r="C17" s="8" t="s">
        <v>65</v>
      </c>
      <c r="D17" s="8" t="s">
        <v>66</v>
      </c>
      <c r="E17" s="4" t="s">
        <v>57</v>
      </c>
    </row>
    <row r="18" spans="1:5" s="3" customFormat="1" ht="14.1" customHeight="1" x14ac:dyDescent="0.3">
      <c r="A18" s="4">
        <v>16</v>
      </c>
      <c r="B18" s="4" t="s">
        <v>58</v>
      </c>
      <c r="C18" s="8" t="s">
        <v>67</v>
      </c>
      <c r="D18" s="8" t="s">
        <v>68</v>
      </c>
      <c r="E18" s="4" t="s">
        <v>58</v>
      </c>
    </row>
    <row r="19" spans="1:5" s="3" customFormat="1" ht="14.1" customHeight="1" x14ac:dyDescent="0.3">
      <c r="A19" s="4">
        <v>17</v>
      </c>
      <c r="B19" s="4" t="s">
        <v>42</v>
      </c>
      <c r="C19" s="8" t="s">
        <v>69</v>
      </c>
      <c r="D19" s="8" t="s">
        <v>70</v>
      </c>
      <c r="E19" s="4" t="s">
        <v>122</v>
      </c>
    </row>
    <row r="20" spans="1:5" s="3" customFormat="1" ht="14.1" customHeight="1" x14ac:dyDescent="0.3">
      <c r="A20" s="4">
        <v>18</v>
      </c>
      <c r="B20" s="4" t="s">
        <v>5</v>
      </c>
      <c r="C20" s="8" t="s">
        <v>71</v>
      </c>
      <c r="D20" s="8" t="s">
        <v>72</v>
      </c>
      <c r="E20" s="4" t="s">
        <v>10</v>
      </c>
    </row>
    <row r="21" spans="1:5" ht="14.1" customHeight="1" x14ac:dyDescent="0.2">
      <c r="A21" s="4">
        <v>19</v>
      </c>
      <c r="B21" s="4" t="s">
        <v>10</v>
      </c>
      <c r="C21" s="8" t="s">
        <v>73</v>
      </c>
      <c r="D21" s="8" t="s">
        <v>74</v>
      </c>
      <c r="E21" s="4" t="s">
        <v>11</v>
      </c>
    </row>
    <row r="22" spans="1:5" ht="14.1" customHeight="1" x14ac:dyDescent="0.2">
      <c r="A22" s="4">
        <v>20</v>
      </c>
      <c r="B22" s="4" t="s">
        <v>11</v>
      </c>
      <c r="C22" s="8" t="s">
        <v>75</v>
      </c>
      <c r="D22" s="8" t="s">
        <v>76</v>
      </c>
      <c r="E22" s="4" t="s">
        <v>12</v>
      </c>
    </row>
    <row r="23" spans="1:5" ht="14.1" customHeight="1" x14ac:dyDescent="0.2">
      <c r="A23" s="4">
        <v>21</v>
      </c>
      <c r="B23" s="4" t="s">
        <v>12</v>
      </c>
      <c r="C23" s="8" t="s">
        <v>77</v>
      </c>
      <c r="D23" s="8" t="s">
        <v>78</v>
      </c>
      <c r="E23" s="4" t="s">
        <v>13</v>
      </c>
    </row>
    <row r="24" spans="1:5" ht="14.1" customHeight="1" x14ac:dyDescent="0.2">
      <c r="A24" s="4">
        <v>22</v>
      </c>
      <c r="B24" s="4" t="s">
        <v>13</v>
      </c>
      <c r="C24" s="8" t="s">
        <v>80</v>
      </c>
      <c r="D24" s="8" t="s">
        <v>81</v>
      </c>
      <c r="E24" s="4" t="s">
        <v>14</v>
      </c>
    </row>
    <row r="25" spans="1:5" ht="14.1" customHeight="1" x14ac:dyDescent="0.2">
      <c r="A25" s="4">
        <v>23</v>
      </c>
      <c r="B25" s="4" t="s">
        <v>14</v>
      </c>
      <c r="C25" s="8" t="s">
        <v>79</v>
      </c>
      <c r="D25" s="8" t="s">
        <v>82</v>
      </c>
      <c r="E25" s="4" t="s">
        <v>15</v>
      </c>
    </row>
    <row r="26" spans="1:5" ht="14.1" customHeight="1" x14ac:dyDescent="0.2">
      <c r="A26" s="4">
        <v>24</v>
      </c>
      <c r="B26" s="4" t="s">
        <v>15</v>
      </c>
      <c r="C26" s="8" t="s">
        <v>83</v>
      </c>
      <c r="D26" s="8" t="s">
        <v>84</v>
      </c>
      <c r="E26" s="4" t="s">
        <v>16</v>
      </c>
    </row>
    <row r="27" spans="1:5" ht="14.1" customHeight="1" x14ac:dyDescent="0.2">
      <c r="A27" s="4">
        <v>25</v>
      </c>
      <c r="B27" s="4" t="s">
        <v>16</v>
      </c>
      <c r="C27" s="8" t="s">
        <v>87</v>
      </c>
      <c r="D27" s="8" t="s">
        <v>88</v>
      </c>
      <c r="E27" s="4" t="s">
        <v>17</v>
      </c>
    </row>
    <row r="28" spans="1:5" ht="14.1" customHeight="1" x14ac:dyDescent="0.2">
      <c r="A28" s="4">
        <v>26</v>
      </c>
      <c r="B28" s="4" t="s">
        <v>17</v>
      </c>
      <c r="C28" s="8" t="s">
        <v>85</v>
      </c>
      <c r="D28" s="8" t="s">
        <v>86</v>
      </c>
      <c r="E28" s="4" t="s">
        <v>18</v>
      </c>
    </row>
    <row r="29" spans="1:5" ht="14.1" customHeight="1" x14ac:dyDescent="0.2">
      <c r="A29" s="4">
        <v>27</v>
      </c>
      <c r="B29" s="4" t="s">
        <v>18</v>
      </c>
      <c r="C29" s="8" t="s">
        <v>89</v>
      </c>
      <c r="D29" s="8" t="s">
        <v>90</v>
      </c>
      <c r="E29" s="4" t="s">
        <v>19</v>
      </c>
    </row>
    <row r="30" spans="1:5" ht="14.1" customHeight="1" x14ac:dyDescent="0.2">
      <c r="A30" s="4">
        <v>28</v>
      </c>
      <c r="B30" s="4" t="s">
        <v>19</v>
      </c>
      <c r="C30" s="8" t="s">
        <v>91</v>
      </c>
      <c r="D30" s="8" t="s">
        <v>92</v>
      </c>
      <c r="E30" s="4" t="s">
        <v>20</v>
      </c>
    </row>
    <row r="31" spans="1:5" ht="14.1" customHeight="1" x14ac:dyDescent="0.2">
      <c r="A31" s="4">
        <v>29</v>
      </c>
      <c r="B31" s="4" t="s">
        <v>20</v>
      </c>
      <c r="C31" s="8" t="s">
        <v>93</v>
      </c>
      <c r="D31" s="8" t="s">
        <v>94</v>
      </c>
      <c r="E31" s="4" t="s">
        <v>21</v>
      </c>
    </row>
    <row r="32" spans="1:5" ht="14.1" customHeight="1" x14ac:dyDescent="0.2">
      <c r="A32" s="4">
        <v>30</v>
      </c>
      <c r="B32" s="4" t="s">
        <v>21</v>
      </c>
      <c r="C32" s="8" t="s">
        <v>95</v>
      </c>
      <c r="D32" s="8" t="s">
        <v>96</v>
      </c>
      <c r="E32" s="4" t="s">
        <v>22</v>
      </c>
    </row>
    <row r="33" spans="1:5" ht="14.1" customHeight="1" x14ac:dyDescent="0.2">
      <c r="A33" s="4">
        <v>31</v>
      </c>
      <c r="B33" s="4" t="s">
        <v>22</v>
      </c>
      <c r="C33" s="8" t="s">
        <v>97</v>
      </c>
      <c r="D33" s="8" t="s">
        <v>98</v>
      </c>
      <c r="E33" s="4" t="s">
        <v>23</v>
      </c>
    </row>
    <row r="34" spans="1:5" ht="14.1" customHeight="1" x14ac:dyDescent="0.2">
      <c r="A34" s="4">
        <v>32</v>
      </c>
      <c r="B34" s="4" t="s">
        <v>23</v>
      </c>
      <c r="C34" s="8" t="s">
        <v>99</v>
      </c>
      <c r="D34" s="8" t="s">
        <v>100</v>
      </c>
      <c r="E34" s="4" t="s">
        <v>103</v>
      </c>
    </row>
    <row r="35" spans="1:5" ht="14.1" customHeight="1" x14ac:dyDescent="0.2">
      <c r="A35" s="4">
        <v>33</v>
      </c>
      <c r="B35" s="4" t="s">
        <v>103</v>
      </c>
      <c r="C35" s="8" t="s">
        <v>101</v>
      </c>
      <c r="D35" s="8" t="s">
        <v>102</v>
      </c>
      <c r="E35" s="4" t="s">
        <v>104</v>
      </c>
    </row>
    <row r="36" spans="1:5" ht="14.1" customHeight="1" x14ac:dyDescent="0.2">
      <c r="A36" s="4">
        <v>34</v>
      </c>
      <c r="B36" s="4" t="s">
        <v>104</v>
      </c>
      <c r="C36" s="8" t="s">
        <v>109</v>
      </c>
      <c r="D36" s="8" t="s">
        <v>110</v>
      </c>
      <c r="E36" s="4" t="s">
        <v>105</v>
      </c>
    </row>
    <row r="37" spans="1:5" ht="14.1" customHeight="1" x14ac:dyDescent="0.2">
      <c r="A37" s="4">
        <v>35</v>
      </c>
      <c r="B37" s="4" t="s">
        <v>105</v>
      </c>
      <c r="C37" s="8" t="s">
        <v>111</v>
      </c>
      <c r="D37" s="8" t="s">
        <v>112</v>
      </c>
      <c r="E37" s="4" t="s">
        <v>106</v>
      </c>
    </row>
    <row r="38" spans="1:5" ht="14.1" customHeight="1" x14ac:dyDescent="0.2">
      <c r="A38" s="4">
        <v>36</v>
      </c>
      <c r="B38" s="4" t="s">
        <v>106</v>
      </c>
      <c r="C38" s="8" t="s">
        <v>113</v>
      </c>
      <c r="D38" s="8" t="s">
        <v>114</v>
      </c>
      <c r="E38" s="4" t="s">
        <v>107</v>
      </c>
    </row>
    <row r="39" spans="1:5" ht="14.1" customHeight="1" x14ac:dyDescent="0.2">
      <c r="A39" s="4">
        <v>37</v>
      </c>
      <c r="B39" s="4" t="s">
        <v>107</v>
      </c>
      <c r="C39" s="8" t="s">
        <v>115</v>
      </c>
      <c r="D39" s="8" t="s">
        <v>116</v>
      </c>
      <c r="E39" s="4" t="s">
        <v>108</v>
      </c>
    </row>
    <row r="40" spans="1:5" ht="14.1" customHeight="1" x14ac:dyDescent="0.2">
      <c r="A40" s="4">
        <v>38</v>
      </c>
      <c r="B40" s="4" t="s">
        <v>108</v>
      </c>
      <c r="C40" s="8" t="s">
        <v>117</v>
      </c>
      <c r="D40" s="8" t="s">
        <v>118</v>
      </c>
      <c r="E40" s="4" t="s">
        <v>119</v>
      </c>
    </row>
    <row r="41" spans="1:5" ht="14.1" customHeight="1" x14ac:dyDescent="0.2">
      <c r="A41" s="4">
        <v>39</v>
      </c>
      <c r="B41" s="4" t="s">
        <v>120</v>
      </c>
      <c r="C41" s="8" t="s">
        <v>121</v>
      </c>
      <c r="D41" s="8" t="s">
        <v>146</v>
      </c>
      <c r="E41" s="4" t="s">
        <v>123</v>
      </c>
    </row>
    <row r="42" spans="1:5" ht="14.1" customHeight="1" x14ac:dyDescent="0.2">
      <c r="A42" s="4">
        <v>40</v>
      </c>
      <c r="B42" s="4" t="s">
        <v>123</v>
      </c>
      <c r="C42" s="8" t="s">
        <v>147</v>
      </c>
      <c r="D42" s="8" t="s">
        <v>148</v>
      </c>
      <c r="E42" s="4" t="s">
        <v>124</v>
      </c>
    </row>
    <row r="43" spans="1:5" ht="14.1" customHeight="1" x14ac:dyDescent="0.2">
      <c r="A43" s="4">
        <v>41</v>
      </c>
      <c r="B43" s="4" t="s">
        <v>124</v>
      </c>
      <c r="C43" s="8" t="s">
        <v>190</v>
      </c>
      <c r="D43" s="8" t="s">
        <v>149</v>
      </c>
      <c r="E43" s="4" t="s">
        <v>125</v>
      </c>
    </row>
    <row r="44" spans="1:5" ht="14.1" customHeight="1" x14ac:dyDescent="0.2">
      <c r="A44" s="4">
        <v>42</v>
      </c>
      <c r="B44" s="4" t="s">
        <v>125</v>
      </c>
      <c r="C44" s="8" t="s">
        <v>150</v>
      </c>
      <c r="D44" s="8" t="s">
        <v>151</v>
      </c>
      <c r="E44" s="4" t="s">
        <v>126</v>
      </c>
    </row>
    <row r="45" spans="1:5" ht="14.1" customHeight="1" x14ac:dyDescent="0.2">
      <c r="A45" s="4">
        <v>43</v>
      </c>
      <c r="B45" s="4" t="s">
        <v>126</v>
      </c>
      <c r="C45" s="8" t="s">
        <v>153</v>
      </c>
      <c r="D45" s="8" t="s">
        <v>152</v>
      </c>
      <c r="E45" s="4" t="s">
        <v>127</v>
      </c>
    </row>
    <row r="46" spans="1:5" ht="14.1" customHeight="1" x14ac:dyDescent="0.2">
      <c r="A46" s="4">
        <v>44</v>
      </c>
      <c r="B46" s="4" t="s">
        <v>127</v>
      </c>
      <c r="C46" s="8" t="s">
        <v>154</v>
      </c>
      <c r="D46" s="8" t="s">
        <v>155</v>
      </c>
      <c r="E46" s="4" t="s">
        <v>128</v>
      </c>
    </row>
    <row r="47" spans="1:5" ht="14.1" customHeight="1" x14ac:dyDescent="0.2">
      <c r="A47" s="4">
        <v>45</v>
      </c>
      <c r="B47" s="4" t="s">
        <v>128</v>
      </c>
      <c r="C47" s="8" t="s">
        <v>156</v>
      </c>
      <c r="D47" s="8" t="s">
        <v>157</v>
      </c>
      <c r="E47" s="4" t="s">
        <v>129</v>
      </c>
    </row>
    <row r="48" spans="1:5" ht="14.1" customHeight="1" x14ac:dyDescent="0.2">
      <c r="A48" s="4">
        <v>46</v>
      </c>
      <c r="B48" s="4" t="s">
        <v>129</v>
      </c>
      <c r="C48" s="8" t="s">
        <v>158</v>
      </c>
      <c r="D48" s="8" t="s">
        <v>159</v>
      </c>
      <c r="E48" s="4" t="s">
        <v>130</v>
      </c>
    </row>
    <row r="49" spans="1:5" ht="14.1" customHeight="1" x14ac:dyDescent="0.2">
      <c r="A49" s="4">
        <v>47</v>
      </c>
      <c r="B49" s="4" t="s">
        <v>130</v>
      </c>
      <c r="C49" s="8" t="s">
        <v>161</v>
      </c>
      <c r="D49" s="8" t="s">
        <v>160</v>
      </c>
      <c r="E49" s="4" t="s">
        <v>131</v>
      </c>
    </row>
    <row r="50" spans="1:5" ht="14.1" customHeight="1" x14ac:dyDescent="0.2">
      <c r="A50" s="4">
        <v>48</v>
      </c>
      <c r="B50" s="4" t="s">
        <v>131</v>
      </c>
      <c r="C50" s="8" t="s">
        <v>162</v>
      </c>
      <c r="D50" s="8" t="s">
        <v>163</v>
      </c>
      <c r="E50" s="4" t="s">
        <v>132</v>
      </c>
    </row>
    <row r="51" spans="1:5" ht="14.1" customHeight="1" x14ac:dyDescent="0.2">
      <c r="A51" s="4">
        <v>49</v>
      </c>
      <c r="B51" s="4" t="s">
        <v>132</v>
      </c>
      <c r="C51" s="8" t="s">
        <v>164</v>
      </c>
      <c r="D51" s="8" t="s">
        <v>165</v>
      </c>
      <c r="E51" s="4" t="s">
        <v>133</v>
      </c>
    </row>
    <row r="52" spans="1:5" ht="14.1" customHeight="1" x14ac:dyDescent="0.2">
      <c r="A52" s="4">
        <v>50</v>
      </c>
      <c r="B52" s="4" t="s">
        <v>133</v>
      </c>
      <c r="C52" s="8" t="s">
        <v>166</v>
      </c>
      <c r="D52" s="8" t="s">
        <v>167</v>
      </c>
      <c r="E52" s="4" t="s">
        <v>134</v>
      </c>
    </row>
    <row r="53" spans="1:5" ht="14.1" customHeight="1" x14ac:dyDescent="0.2">
      <c r="A53" s="4">
        <v>51</v>
      </c>
      <c r="B53" s="4" t="s">
        <v>134</v>
      </c>
      <c r="C53" s="8" t="s">
        <v>168</v>
      </c>
      <c r="D53" s="8" t="s">
        <v>169</v>
      </c>
      <c r="E53" s="4" t="s">
        <v>135</v>
      </c>
    </row>
    <row r="54" spans="1:5" ht="14.1" customHeight="1" x14ac:dyDescent="0.2">
      <c r="A54" s="4">
        <v>52</v>
      </c>
      <c r="B54" s="4" t="s">
        <v>135</v>
      </c>
      <c r="C54" s="8" t="s">
        <v>170</v>
      </c>
      <c r="D54" s="8" t="s">
        <v>171</v>
      </c>
      <c r="E54" s="4" t="s">
        <v>136</v>
      </c>
    </row>
    <row r="55" spans="1:5" ht="14.1" customHeight="1" x14ac:dyDescent="0.2">
      <c r="A55" s="4">
        <v>53</v>
      </c>
      <c r="B55" s="4" t="s">
        <v>136</v>
      </c>
      <c r="C55" s="8" t="s">
        <v>172</v>
      </c>
      <c r="D55" s="8" t="s">
        <v>173</v>
      </c>
      <c r="E55" s="4" t="s">
        <v>137</v>
      </c>
    </row>
    <row r="56" spans="1:5" ht="14.1" customHeight="1" x14ac:dyDescent="0.2">
      <c r="A56" s="4">
        <v>54</v>
      </c>
      <c r="B56" s="4" t="s">
        <v>137</v>
      </c>
      <c r="C56" s="8" t="s">
        <v>174</v>
      </c>
      <c r="D56" s="8" t="s">
        <v>175</v>
      </c>
      <c r="E56" s="4" t="s">
        <v>138</v>
      </c>
    </row>
    <row r="57" spans="1:5" ht="14.1" customHeight="1" x14ac:dyDescent="0.2">
      <c r="A57" s="4">
        <v>55</v>
      </c>
      <c r="B57" s="4" t="s">
        <v>138</v>
      </c>
      <c r="C57" s="8" t="s">
        <v>176</v>
      </c>
      <c r="D57" s="8" t="s">
        <v>177</v>
      </c>
      <c r="E57" s="4" t="s">
        <v>139</v>
      </c>
    </row>
    <row r="58" spans="1:5" ht="14.1" customHeight="1" x14ac:dyDescent="0.2">
      <c r="A58" s="4">
        <v>56</v>
      </c>
      <c r="B58" s="4" t="s">
        <v>139</v>
      </c>
      <c r="C58" s="8" t="s">
        <v>178</v>
      </c>
      <c r="D58" s="8" t="s">
        <v>179</v>
      </c>
      <c r="E58" s="4" t="s">
        <v>140</v>
      </c>
    </row>
    <row r="59" spans="1:5" ht="14.1" customHeight="1" x14ac:dyDescent="0.2">
      <c r="A59" s="4">
        <v>57</v>
      </c>
      <c r="B59" s="4" t="s">
        <v>140</v>
      </c>
      <c r="C59" s="8" t="s">
        <v>180</v>
      </c>
      <c r="D59" s="8" t="s">
        <v>181</v>
      </c>
      <c r="E59" s="4" t="s">
        <v>141</v>
      </c>
    </row>
    <row r="60" spans="1:5" ht="14.1" customHeight="1" x14ac:dyDescent="0.2">
      <c r="A60" s="4">
        <v>58</v>
      </c>
      <c r="B60" s="4" t="s">
        <v>141</v>
      </c>
      <c r="C60" s="8" t="s">
        <v>182</v>
      </c>
      <c r="D60" s="8" t="s">
        <v>183</v>
      </c>
      <c r="E60" s="4" t="s">
        <v>142</v>
      </c>
    </row>
    <row r="61" spans="1:5" ht="14.1" customHeight="1" x14ac:dyDescent="0.2">
      <c r="A61" s="4">
        <v>59</v>
      </c>
      <c r="B61" s="4" t="s">
        <v>142</v>
      </c>
      <c r="C61" s="8" t="s">
        <v>184</v>
      </c>
      <c r="D61" s="8" t="s">
        <v>185</v>
      </c>
      <c r="E61" s="4" t="s">
        <v>143</v>
      </c>
    </row>
    <row r="62" spans="1:5" ht="14.1" customHeight="1" x14ac:dyDescent="0.2">
      <c r="A62" s="4">
        <v>60</v>
      </c>
      <c r="B62" s="4" t="s">
        <v>143</v>
      </c>
      <c r="C62" s="8" t="s">
        <v>186</v>
      </c>
      <c r="D62" s="8" t="s">
        <v>187</v>
      </c>
      <c r="E62" s="4" t="s">
        <v>144</v>
      </c>
    </row>
    <row r="63" spans="1:5" ht="14.1" customHeight="1" x14ac:dyDescent="0.2">
      <c r="A63" s="4">
        <v>61</v>
      </c>
      <c r="B63" s="4" t="s">
        <v>144</v>
      </c>
      <c r="C63" s="8" t="s">
        <v>188</v>
      </c>
      <c r="D63" s="8" t="s">
        <v>189</v>
      </c>
      <c r="E63" s="4" t="s">
        <v>145</v>
      </c>
    </row>
    <row r="64" spans="1:5" ht="14.1" customHeight="1" x14ac:dyDescent="0.2">
      <c r="A64" s="4">
        <v>62</v>
      </c>
      <c r="B64" s="4" t="s">
        <v>145</v>
      </c>
      <c r="C64" s="8" t="s">
        <v>213</v>
      </c>
      <c r="D64" s="8" t="s">
        <v>214</v>
      </c>
      <c r="E64" s="4" t="s">
        <v>191</v>
      </c>
    </row>
    <row r="65" spans="1:5" s="10" customFormat="1" ht="14.1" customHeight="1" x14ac:dyDescent="0.2">
      <c r="A65" s="9">
        <v>63</v>
      </c>
      <c r="B65" s="9" t="s">
        <v>191</v>
      </c>
      <c r="C65" s="12" t="s">
        <v>229</v>
      </c>
      <c r="D65" s="11" t="s">
        <v>215</v>
      </c>
      <c r="E65" s="9" t="s">
        <v>192</v>
      </c>
    </row>
    <row r="66" spans="1:5" s="10" customFormat="1" ht="14.1" customHeight="1" x14ac:dyDescent="0.2">
      <c r="A66" s="9">
        <v>64</v>
      </c>
      <c r="B66" s="9" t="s">
        <v>192</v>
      </c>
      <c r="C66" s="12" t="s">
        <v>230</v>
      </c>
      <c r="D66" s="11" t="s">
        <v>216</v>
      </c>
      <c r="E66" s="9" t="s">
        <v>193</v>
      </c>
    </row>
    <row r="67" spans="1:5" s="10" customFormat="1" ht="14.1" customHeight="1" x14ac:dyDescent="0.2">
      <c r="A67" s="9">
        <v>65</v>
      </c>
      <c r="B67" s="9" t="s">
        <v>193</v>
      </c>
      <c r="C67" s="12" t="s">
        <v>231</v>
      </c>
      <c r="D67" s="11" t="s">
        <v>217</v>
      </c>
      <c r="E67" s="9" t="s">
        <v>194</v>
      </c>
    </row>
    <row r="68" spans="1:5" s="10" customFormat="1" ht="14.1" customHeight="1" x14ac:dyDescent="0.2">
      <c r="A68" s="9">
        <v>66</v>
      </c>
      <c r="B68" s="9" t="s">
        <v>194</v>
      </c>
      <c r="C68" s="12" t="s">
        <v>232</v>
      </c>
      <c r="D68" s="11" t="s">
        <v>218</v>
      </c>
      <c r="E68" s="9" t="s">
        <v>195</v>
      </c>
    </row>
    <row r="69" spans="1:5" s="10" customFormat="1" ht="14.1" customHeight="1" x14ac:dyDescent="0.2">
      <c r="A69" s="9">
        <v>67</v>
      </c>
      <c r="B69" s="9" t="s">
        <v>195</v>
      </c>
      <c r="C69" s="12" t="s">
        <v>233</v>
      </c>
      <c r="D69" s="11" t="s">
        <v>219</v>
      </c>
      <c r="E69" s="9" t="s">
        <v>196</v>
      </c>
    </row>
    <row r="70" spans="1:5" s="10" customFormat="1" ht="14.1" customHeight="1" x14ac:dyDescent="0.2">
      <c r="A70" s="9">
        <v>68</v>
      </c>
      <c r="B70" s="9" t="s">
        <v>196</v>
      </c>
      <c r="C70" s="12" t="s">
        <v>234</v>
      </c>
      <c r="D70" s="11" t="s">
        <v>220</v>
      </c>
      <c r="E70" s="9" t="s">
        <v>197</v>
      </c>
    </row>
    <row r="71" spans="1:5" s="10" customFormat="1" ht="14.1" customHeight="1" x14ac:dyDescent="0.2">
      <c r="A71" s="9">
        <v>69</v>
      </c>
      <c r="B71" s="9" t="s">
        <v>197</v>
      </c>
      <c r="C71" s="12" t="s">
        <v>235</v>
      </c>
      <c r="D71" s="11" t="s">
        <v>221</v>
      </c>
      <c r="E71" s="9" t="s">
        <v>198</v>
      </c>
    </row>
    <row r="72" spans="1:5" s="10" customFormat="1" ht="14.1" customHeight="1" x14ac:dyDescent="0.2">
      <c r="A72" s="9">
        <v>70</v>
      </c>
      <c r="B72" s="9" t="s">
        <v>198</v>
      </c>
      <c r="C72" s="12" t="s">
        <v>236</v>
      </c>
      <c r="D72" s="11" t="s">
        <v>222</v>
      </c>
      <c r="E72" s="9" t="s">
        <v>199</v>
      </c>
    </row>
    <row r="73" spans="1:5" s="10" customFormat="1" ht="14.1" customHeight="1" x14ac:dyDescent="0.2">
      <c r="A73" s="9">
        <v>71</v>
      </c>
      <c r="B73" s="9" t="s">
        <v>199</v>
      </c>
      <c r="C73" s="12" t="s">
        <v>237</v>
      </c>
      <c r="D73" s="11" t="s">
        <v>223</v>
      </c>
      <c r="E73" s="9" t="s">
        <v>200</v>
      </c>
    </row>
    <row r="74" spans="1:5" s="10" customFormat="1" ht="14.1" customHeight="1" x14ac:dyDescent="0.2">
      <c r="A74" s="9">
        <v>72</v>
      </c>
      <c r="B74" s="9" t="s">
        <v>200</v>
      </c>
      <c r="C74" s="12" t="s">
        <v>238</v>
      </c>
      <c r="D74" s="11" t="s">
        <v>224</v>
      </c>
      <c r="E74" s="9" t="s">
        <v>201</v>
      </c>
    </row>
    <row r="75" spans="1:5" s="10" customFormat="1" ht="14.1" customHeight="1" x14ac:dyDescent="0.2">
      <c r="A75" s="9">
        <v>73</v>
      </c>
      <c r="B75" s="9" t="s">
        <v>201</v>
      </c>
      <c r="C75" s="12" t="s">
        <v>239</v>
      </c>
      <c r="D75" s="11" t="s">
        <v>225</v>
      </c>
      <c r="E75" s="9" t="s">
        <v>202</v>
      </c>
    </row>
    <row r="76" spans="1:5" s="10" customFormat="1" ht="14.1" customHeight="1" x14ac:dyDescent="0.2">
      <c r="A76" s="9">
        <v>74</v>
      </c>
      <c r="B76" s="9" t="s">
        <v>202</v>
      </c>
      <c r="C76" s="12" t="s">
        <v>240</v>
      </c>
      <c r="D76" s="11" t="s">
        <v>226</v>
      </c>
      <c r="E76" s="9" t="s">
        <v>203</v>
      </c>
    </row>
    <row r="77" spans="1:5" s="10" customFormat="1" ht="14.1" customHeight="1" x14ac:dyDescent="0.2">
      <c r="A77" s="9">
        <v>75</v>
      </c>
      <c r="B77" s="9" t="s">
        <v>203</v>
      </c>
      <c r="C77" s="12" t="s">
        <v>241</v>
      </c>
      <c r="D77" s="11" t="s">
        <v>227</v>
      </c>
      <c r="E77" s="9" t="s">
        <v>204</v>
      </c>
    </row>
    <row r="78" spans="1:5" s="10" customFormat="1" ht="14.1" customHeight="1" x14ac:dyDescent="0.2">
      <c r="A78" s="9">
        <v>76</v>
      </c>
      <c r="B78" s="9" t="s">
        <v>204</v>
      </c>
      <c r="C78" s="12" t="s">
        <v>242</v>
      </c>
      <c r="D78" s="11" t="s">
        <v>228</v>
      </c>
      <c r="E78" s="9" t="s">
        <v>205</v>
      </c>
    </row>
    <row r="79" spans="1:5" s="10" customFormat="1" ht="14.1" customHeight="1" x14ac:dyDescent="0.2">
      <c r="A79" s="9">
        <v>77</v>
      </c>
      <c r="B79" s="9" t="s">
        <v>205</v>
      </c>
      <c r="C79" s="12" t="s">
        <v>243</v>
      </c>
      <c r="D79" s="11" t="s">
        <v>295</v>
      </c>
      <c r="E79" s="9" t="s">
        <v>206</v>
      </c>
    </row>
    <row r="80" spans="1:5" s="10" customFormat="1" ht="14.1" customHeight="1" x14ac:dyDescent="0.2">
      <c r="A80" s="9">
        <v>78</v>
      </c>
      <c r="B80" s="9" t="s">
        <v>206</v>
      </c>
      <c r="C80" s="11" t="s">
        <v>296</v>
      </c>
      <c r="D80" s="11" t="s">
        <v>297</v>
      </c>
      <c r="E80" s="9" t="s">
        <v>207</v>
      </c>
    </row>
    <row r="81" spans="1:5" s="10" customFormat="1" ht="14.1" customHeight="1" x14ac:dyDescent="0.2">
      <c r="A81" s="9">
        <v>79</v>
      </c>
      <c r="B81" s="9" t="s">
        <v>207</v>
      </c>
      <c r="C81" s="11" t="s">
        <v>298</v>
      </c>
      <c r="D81" s="11" t="s">
        <v>299</v>
      </c>
      <c r="E81" s="9" t="s">
        <v>208</v>
      </c>
    </row>
    <row r="82" spans="1:5" s="10" customFormat="1" ht="14.1" customHeight="1" x14ac:dyDescent="0.2">
      <c r="A82" s="9">
        <v>80</v>
      </c>
      <c r="B82" s="9" t="s">
        <v>208</v>
      </c>
      <c r="C82" s="11" t="s">
        <v>300</v>
      </c>
      <c r="D82" s="11" t="s">
        <v>301</v>
      </c>
      <c r="E82" s="9" t="s">
        <v>209</v>
      </c>
    </row>
    <row r="83" spans="1:5" s="10" customFormat="1" ht="14.1" customHeight="1" x14ac:dyDescent="0.2">
      <c r="A83" s="9">
        <v>81</v>
      </c>
      <c r="B83" s="9" t="s">
        <v>209</v>
      </c>
      <c r="C83" s="11" t="s">
        <v>302</v>
      </c>
      <c r="D83" s="11" t="s">
        <v>303</v>
      </c>
      <c r="E83" s="9" t="s">
        <v>210</v>
      </c>
    </row>
    <row r="84" spans="1:5" s="10" customFormat="1" ht="14.1" customHeight="1" x14ac:dyDescent="0.2">
      <c r="A84" s="9">
        <v>82</v>
      </c>
      <c r="B84" s="9" t="s">
        <v>210</v>
      </c>
      <c r="C84" s="11" t="s">
        <v>304</v>
      </c>
      <c r="D84" s="11" t="s">
        <v>319</v>
      </c>
      <c r="E84" s="9" t="s">
        <v>211</v>
      </c>
    </row>
    <row r="85" spans="1:5" s="10" customFormat="1" ht="14.1" customHeight="1" x14ac:dyDescent="0.2">
      <c r="A85" s="9">
        <v>83</v>
      </c>
      <c r="B85" s="9" t="s">
        <v>211</v>
      </c>
      <c r="C85" s="11" t="s">
        <v>305</v>
      </c>
      <c r="D85" s="11" t="s">
        <v>320</v>
      </c>
      <c r="E85" s="9" t="s">
        <v>212</v>
      </c>
    </row>
    <row r="86" spans="1:5" ht="14.1" customHeight="1" x14ac:dyDescent="0.2">
      <c r="A86" s="9">
        <v>84</v>
      </c>
      <c r="B86" s="9" t="s">
        <v>212</v>
      </c>
      <c r="C86" s="11" t="s">
        <v>306</v>
      </c>
      <c r="D86" s="11" t="s">
        <v>321</v>
      </c>
      <c r="E86" s="9" t="s">
        <v>261</v>
      </c>
    </row>
    <row r="87" spans="1:5" ht="14.1" customHeight="1" x14ac:dyDescent="0.2">
      <c r="A87" s="14">
        <v>85</v>
      </c>
      <c r="B87" s="14" t="s">
        <v>261</v>
      </c>
      <c r="C87" s="11" t="s">
        <v>307</v>
      </c>
      <c r="D87" s="11" t="s">
        <v>322</v>
      </c>
      <c r="E87" s="14" t="s">
        <v>262</v>
      </c>
    </row>
    <row r="88" spans="1:5" ht="14.1" customHeight="1" x14ac:dyDescent="0.2">
      <c r="A88" s="14">
        <v>86</v>
      </c>
      <c r="B88" s="14" t="s">
        <v>262</v>
      </c>
      <c r="C88" s="11" t="s">
        <v>308</v>
      </c>
      <c r="D88" s="11" t="s">
        <v>323</v>
      </c>
      <c r="E88" s="14" t="s">
        <v>263</v>
      </c>
    </row>
    <row r="89" spans="1:5" ht="14.1" customHeight="1" x14ac:dyDescent="0.2">
      <c r="A89" s="14">
        <v>87</v>
      </c>
      <c r="B89" s="14" t="s">
        <v>263</v>
      </c>
      <c r="C89" s="11" t="s">
        <v>309</v>
      </c>
      <c r="D89" s="11" t="s">
        <v>324</v>
      </c>
      <c r="E89" s="14" t="s">
        <v>264</v>
      </c>
    </row>
    <row r="90" spans="1:5" ht="14.1" customHeight="1" x14ac:dyDescent="0.2">
      <c r="A90" s="14">
        <v>88</v>
      </c>
      <c r="B90" s="14" t="s">
        <v>264</v>
      </c>
      <c r="C90" s="11" t="s">
        <v>310</v>
      </c>
      <c r="D90" s="11" t="s">
        <v>325</v>
      </c>
      <c r="E90" s="14" t="s">
        <v>265</v>
      </c>
    </row>
    <row r="91" spans="1:5" ht="14.1" customHeight="1" x14ac:dyDescent="0.2">
      <c r="A91" s="14">
        <v>89</v>
      </c>
      <c r="B91" s="14" t="s">
        <v>265</v>
      </c>
      <c r="C91" s="11" t="s">
        <v>311</v>
      </c>
      <c r="D91" s="11" t="s">
        <v>326</v>
      </c>
      <c r="E91" s="14" t="s">
        <v>266</v>
      </c>
    </row>
    <row r="92" spans="1:5" ht="14.1" customHeight="1" x14ac:dyDescent="0.2">
      <c r="A92" s="14">
        <v>90</v>
      </c>
      <c r="B92" s="14" t="s">
        <v>266</v>
      </c>
      <c r="C92" s="11" t="s">
        <v>312</v>
      </c>
      <c r="D92" s="11" t="s">
        <v>327</v>
      </c>
      <c r="E92" s="14" t="s">
        <v>267</v>
      </c>
    </row>
    <row r="93" spans="1:5" ht="14.1" customHeight="1" x14ac:dyDescent="0.2">
      <c r="A93" s="14">
        <v>91</v>
      </c>
      <c r="B93" s="14" t="s">
        <v>267</v>
      </c>
      <c r="C93" s="11" t="s">
        <v>313</v>
      </c>
      <c r="D93" s="11" t="s">
        <v>328</v>
      </c>
      <c r="E93" s="14" t="s">
        <v>268</v>
      </c>
    </row>
    <row r="94" spans="1:5" ht="14.1" customHeight="1" x14ac:dyDescent="0.2">
      <c r="A94" s="14">
        <v>92</v>
      </c>
      <c r="B94" s="14" t="s">
        <v>268</v>
      </c>
      <c r="C94" s="11" t="s">
        <v>314</v>
      </c>
      <c r="D94" s="11" t="s">
        <v>329</v>
      </c>
      <c r="E94" s="14" t="s">
        <v>269</v>
      </c>
    </row>
    <row r="95" spans="1:5" ht="14.1" customHeight="1" x14ac:dyDescent="0.2">
      <c r="A95" s="14">
        <v>93</v>
      </c>
      <c r="B95" s="14" t="s">
        <v>269</v>
      </c>
      <c r="C95" s="11" t="s">
        <v>315</v>
      </c>
      <c r="D95" s="11" t="s">
        <v>330</v>
      </c>
      <c r="E95" s="14" t="s">
        <v>270</v>
      </c>
    </row>
    <row r="96" spans="1:5" ht="14.1" customHeight="1" x14ac:dyDescent="0.2">
      <c r="A96" s="14">
        <v>94</v>
      </c>
      <c r="B96" s="14" t="s">
        <v>270</v>
      </c>
      <c r="C96" s="11" t="s">
        <v>316</v>
      </c>
      <c r="D96" s="11" t="s">
        <v>331</v>
      </c>
      <c r="E96" s="14" t="s">
        <v>271</v>
      </c>
    </row>
    <row r="97" spans="1:5" ht="14.1" customHeight="1" x14ac:dyDescent="0.2">
      <c r="A97" s="14">
        <v>95</v>
      </c>
      <c r="B97" s="14" t="s">
        <v>271</v>
      </c>
      <c r="C97" s="11" t="s">
        <v>317</v>
      </c>
      <c r="D97" s="11" t="s">
        <v>332</v>
      </c>
      <c r="E97" s="14" t="s">
        <v>272</v>
      </c>
    </row>
    <row r="98" spans="1:5" ht="14.1" customHeight="1" x14ac:dyDescent="0.2">
      <c r="A98" s="14">
        <v>96</v>
      </c>
      <c r="B98" s="14" t="s">
        <v>272</v>
      </c>
      <c r="C98" s="11" t="s">
        <v>318</v>
      </c>
      <c r="D98" s="15" t="s">
        <v>414</v>
      </c>
      <c r="E98" s="14" t="s">
        <v>273</v>
      </c>
    </row>
    <row r="99" spans="1:5" ht="14.1" customHeight="1" x14ac:dyDescent="0.2">
      <c r="A99" s="14">
        <v>97</v>
      </c>
      <c r="B99" s="14" t="s">
        <v>273</v>
      </c>
      <c r="C99" s="11" t="s">
        <v>379</v>
      </c>
      <c r="D99" s="11" t="s">
        <v>415</v>
      </c>
      <c r="E99" s="14" t="s">
        <v>353</v>
      </c>
    </row>
    <row r="100" spans="1:5" ht="14.1" customHeight="1" x14ac:dyDescent="0.2">
      <c r="A100" s="14">
        <v>98</v>
      </c>
      <c r="B100" s="14" t="s">
        <v>353</v>
      </c>
      <c r="C100" s="11" t="s">
        <v>380</v>
      </c>
      <c r="D100" s="11" t="s">
        <v>416</v>
      </c>
      <c r="E100" s="14" t="s">
        <v>354</v>
      </c>
    </row>
    <row r="101" spans="1:5" ht="14.1" customHeight="1" x14ac:dyDescent="0.2">
      <c r="A101" s="14">
        <v>99</v>
      </c>
      <c r="B101" s="14" t="s">
        <v>354</v>
      </c>
      <c r="C101" s="11" t="s">
        <v>381</v>
      </c>
      <c r="D101" s="11" t="s">
        <v>417</v>
      </c>
      <c r="E101" s="14" t="s">
        <v>355</v>
      </c>
    </row>
    <row r="102" spans="1:5" ht="14.1" customHeight="1" x14ac:dyDescent="0.2">
      <c r="A102" s="14">
        <v>100</v>
      </c>
      <c r="B102" s="14" t="s">
        <v>355</v>
      </c>
      <c r="C102" s="11" t="s">
        <v>382</v>
      </c>
      <c r="D102" s="11" t="s">
        <v>418</v>
      </c>
      <c r="E102" s="14" t="s">
        <v>356</v>
      </c>
    </row>
    <row r="103" spans="1:5" ht="14.1" customHeight="1" x14ac:dyDescent="0.2">
      <c r="A103" s="14">
        <v>101</v>
      </c>
      <c r="B103" s="14" t="s">
        <v>356</v>
      </c>
      <c r="C103" s="11" t="s">
        <v>383</v>
      </c>
      <c r="D103" s="11" t="s">
        <v>419</v>
      </c>
      <c r="E103" s="14" t="s">
        <v>357</v>
      </c>
    </row>
    <row r="104" spans="1:5" ht="14.1" customHeight="1" x14ac:dyDescent="0.2">
      <c r="A104" s="14">
        <v>102</v>
      </c>
      <c r="B104" s="14" t="s">
        <v>357</v>
      </c>
      <c r="C104" s="11" t="s">
        <v>384</v>
      </c>
      <c r="D104" s="11" t="s">
        <v>420</v>
      </c>
      <c r="E104" s="14" t="s">
        <v>358</v>
      </c>
    </row>
    <row r="105" spans="1:5" ht="14.1" customHeight="1" x14ac:dyDescent="0.2">
      <c r="A105" s="14">
        <v>103</v>
      </c>
      <c r="B105" s="14" t="s">
        <v>358</v>
      </c>
      <c r="C105" s="11" t="s">
        <v>385</v>
      </c>
      <c r="D105" s="11" t="s">
        <v>421</v>
      </c>
      <c r="E105" s="14" t="s">
        <v>359</v>
      </c>
    </row>
    <row r="106" spans="1:5" ht="14.1" customHeight="1" x14ac:dyDescent="0.2">
      <c r="A106" s="14">
        <v>104</v>
      </c>
      <c r="B106" s="14" t="s">
        <v>359</v>
      </c>
      <c r="C106" s="11" t="s">
        <v>386</v>
      </c>
      <c r="D106" s="11" t="s">
        <v>422</v>
      </c>
      <c r="E106" s="14" t="s">
        <v>360</v>
      </c>
    </row>
    <row r="107" spans="1:5" ht="14.1" customHeight="1" x14ac:dyDescent="0.2">
      <c r="A107" s="14">
        <v>105</v>
      </c>
      <c r="B107" s="14" t="s">
        <v>360</v>
      </c>
      <c r="C107" s="11" t="s">
        <v>387</v>
      </c>
      <c r="D107" s="11" t="s">
        <v>423</v>
      </c>
      <c r="E107" s="14" t="s">
        <v>361</v>
      </c>
    </row>
    <row r="108" spans="1:5" ht="14.1" customHeight="1" x14ac:dyDescent="0.2">
      <c r="A108" s="14">
        <v>106</v>
      </c>
      <c r="B108" s="14" t="s">
        <v>361</v>
      </c>
      <c r="C108" s="11" t="s">
        <v>388</v>
      </c>
      <c r="D108" s="11" t="s">
        <v>424</v>
      </c>
      <c r="E108" s="14" t="s">
        <v>362</v>
      </c>
    </row>
    <row r="109" spans="1:5" ht="14.1" customHeight="1" x14ac:dyDescent="0.2">
      <c r="A109" s="14">
        <v>107</v>
      </c>
      <c r="B109" s="14" t="s">
        <v>362</v>
      </c>
      <c r="C109" s="11" t="s">
        <v>389</v>
      </c>
      <c r="D109" s="11" t="s">
        <v>425</v>
      </c>
      <c r="E109" s="14" t="s">
        <v>363</v>
      </c>
    </row>
    <row r="110" spans="1:5" ht="14.1" customHeight="1" x14ac:dyDescent="0.2">
      <c r="A110" s="14">
        <v>108</v>
      </c>
      <c r="B110" s="14" t="s">
        <v>363</v>
      </c>
      <c r="C110" s="11" t="s">
        <v>390</v>
      </c>
      <c r="D110" s="11" t="s">
        <v>426</v>
      </c>
      <c r="E110" s="14" t="s">
        <v>364</v>
      </c>
    </row>
    <row r="111" spans="1:5" ht="14.1" customHeight="1" x14ac:dyDescent="0.2">
      <c r="A111" s="14">
        <v>109</v>
      </c>
      <c r="B111" s="14" t="s">
        <v>364</v>
      </c>
      <c r="C111" s="11" t="s">
        <v>391</v>
      </c>
      <c r="D111" s="11" t="s">
        <v>427</v>
      </c>
      <c r="E111" s="14" t="s">
        <v>365</v>
      </c>
    </row>
    <row r="112" spans="1:5" ht="14.1" customHeight="1" x14ac:dyDescent="0.2">
      <c r="A112" s="14">
        <v>110</v>
      </c>
      <c r="B112" s="14" t="s">
        <v>365</v>
      </c>
      <c r="C112" s="11" t="s">
        <v>392</v>
      </c>
      <c r="D112" s="11" t="s">
        <v>428</v>
      </c>
      <c r="E112" s="14" t="s">
        <v>366</v>
      </c>
    </row>
    <row r="113" spans="1:5" ht="14.1" customHeight="1" x14ac:dyDescent="0.2">
      <c r="A113" s="14">
        <v>111</v>
      </c>
      <c r="B113" s="14" t="s">
        <v>366</v>
      </c>
      <c r="C113" s="11" t="s">
        <v>393</v>
      </c>
      <c r="D113" s="11" t="s">
        <v>429</v>
      </c>
      <c r="E113" s="14" t="s">
        <v>367</v>
      </c>
    </row>
    <row r="114" spans="1:5" ht="14.1" customHeight="1" x14ac:dyDescent="0.2">
      <c r="A114" s="14">
        <v>112</v>
      </c>
      <c r="B114" s="14" t="s">
        <v>367</v>
      </c>
      <c r="C114" s="11" t="s">
        <v>394</v>
      </c>
      <c r="D114" s="11" t="s">
        <v>430</v>
      </c>
      <c r="E114" s="14" t="s">
        <v>368</v>
      </c>
    </row>
    <row r="115" spans="1:5" ht="14.1" customHeight="1" x14ac:dyDescent="0.2">
      <c r="A115" s="14">
        <v>113</v>
      </c>
      <c r="B115" s="14" t="s">
        <v>368</v>
      </c>
      <c r="C115" s="11" t="s">
        <v>395</v>
      </c>
      <c r="D115" s="11" t="s">
        <v>431</v>
      </c>
      <c r="E115" s="14" t="s">
        <v>369</v>
      </c>
    </row>
    <row r="116" spans="1:5" ht="14.1" customHeight="1" x14ac:dyDescent="0.2">
      <c r="A116" s="14">
        <v>114</v>
      </c>
      <c r="B116" s="14" t="s">
        <v>369</v>
      </c>
      <c r="C116" s="11" t="s">
        <v>396</v>
      </c>
      <c r="D116" s="11" t="s">
        <v>432</v>
      </c>
      <c r="E116" s="14" t="s">
        <v>370</v>
      </c>
    </row>
    <row r="117" spans="1:5" ht="14.1" customHeight="1" x14ac:dyDescent="0.2">
      <c r="A117" s="14">
        <v>115</v>
      </c>
      <c r="B117" s="14" t="s">
        <v>370</v>
      </c>
      <c r="C117" s="11" t="s">
        <v>397</v>
      </c>
      <c r="D117" s="11" t="s">
        <v>433</v>
      </c>
      <c r="E117" s="14" t="s">
        <v>371</v>
      </c>
    </row>
    <row r="118" spans="1:5" ht="14.1" customHeight="1" x14ac:dyDescent="0.2">
      <c r="A118" s="14">
        <v>116</v>
      </c>
      <c r="B118" s="14" t="s">
        <v>371</v>
      </c>
      <c r="C118" s="11" t="s">
        <v>398</v>
      </c>
      <c r="D118" s="11" t="s">
        <v>434</v>
      </c>
      <c r="E118" s="14" t="s">
        <v>372</v>
      </c>
    </row>
    <row r="119" spans="1:5" ht="14.1" customHeight="1" x14ac:dyDescent="0.2">
      <c r="A119" s="14">
        <v>117</v>
      </c>
      <c r="B119" s="14" t="s">
        <v>372</v>
      </c>
      <c r="C119" s="11" t="s">
        <v>399</v>
      </c>
      <c r="D119" s="11" t="s">
        <v>435</v>
      </c>
      <c r="E119" s="14" t="s">
        <v>373</v>
      </c>
    </row>
    <row r="120" spans="1:5" ht="14.1" customHeight="1" x14ac:dyDescent="0.2">
      <c r="A120" s="14">
        <v>118</v>
      </c>
      <c r="B120" s="14" t="s">
        <v>373</v>
      </c>
      <c r="C120" s="11" t="s">
        <v>400</v>
      </c>
      <c r="D120" s="11" t="s">
        <v>436</v>
      </c>
      <c r="E120" s="14" t="s">
        <v>374</v>
      </c>
    </row>
    <row r="121" spans="1:5" ht="14.1" customHeight="1" x14ac:dyDescent="0.2">
      <c r="A121" s="14">
        <v>119</v>
      </c>
      <c r="B121" s="14" t="s">
        <v>374</v>
      </c>
      <c r="C121" s="11" t="s">
        <v>401</v>
      </c>
      <c r="D121" s="11" t="s">
        <v>437</v>
      </c>
      <c r="E121" s="14" t="s">
        <v>375</v>
      </c>
    </row>
    <row r="122" spans="1:5" ht="14.1" customHeight="1" x14ac:dyDescent="0.2">
      <c r="A122" s="14">
        <v>120</v>
      </c>
      <c r="B122" s="14" t="s">
        <v>375</v>
      </c>
      <c r="C122" s="11" t="s">
        <v>402</v>
      </c>
      <c r="D122" s="11" t="s">
        <v>438</v>
      </c>
      <c r="E122" s="14" t="s">
        <v>376</v>
      </c>
    </row>
    <row r="123" spans="1:5" ht="14.1" customHeight="1" x14ac:dyDescent="0.2">
      <c r="A123" s="14">
        <v>121</v>
      </c>
      <c r="B123" s="14" t="s">
        <v>376</v>
      </c>
      <c r="C123" s="11" t="s">
        <v>403</v>
      </c>
      <c r="D123" s="11" t="s">
        <v>439</v>
      </c>
      <c r="E123" s="14" t="s">
        <v>377</v>
      </c>
    </row>
    <row r="124" spans="1:5" ht="14.1" customHeight="1" x14ac:dyDescent="0.2">
      <c r="A124" s="14">
        <v>122</v>
      </c>
      <c r="B124" s="14" t="s">
        <v>377</v>
      </c>
      <c r="C124" s="11" t="s">
        <v>404</v>
      </c>
      <c r="D124" s="11" t="s">
        <v>440</v>
      </c>
      <c r="E124" s="14" t="s">
        <v>378</v>
      </c>
    </row>
    <row r="125" spans="1:5" ht="14.1" customHeight="1" x14ac:dyDescent="0.2">
      <c r="A125" s="14">
        <v>123</v>
      </c>
      <c r="B125" s="14" t="s">
        <v>378</v>
      </c>
      <c r="C125" s="11" t="s">
        <v>455</v>
      </c>
      <c r="D125" s="11" t="s">
        <v>469</v>
      </c>
      <c r="E125" s="14" t="s">
        <v>441</v>
      </c>
    </row>
    <row r="126" spans="1:5" ht="14.1" customHeight="1" x14ac:dyDescent="0.2">
      <c r="A126" s="14">
        <v>124</v>
      </c>
      <c r="B126" s="14" t="s">
        <v>441</v>
      </c>
      <c r="C126" s="11" t="s">
        <v>456</v>
      </c>
      <c r="D126" s="11" t="s">
        <v>470</v>
      </c>
      <c r="E126" s="14" t="s">
        <v>442</v>
      </c>
    </row>
    <row r="127" spans="1:5" ht="14.1" customHeight="1" x14ac:dyDescent="0.2">
      <c r="A127" s="14">
        <v>125</v>
      </c>
      <c r="B127" s="14" t="s">
        <v>442</v>
      </c>
      <c r="C127" s="11" t="s">
        <v>457</v>
      </c>
      <c r="D127" s="11" t="s">
        <v>471</v>
      </c>
      <c r="E127" s="14" t="s">
        <v>443</v>
      </c>
    </row>
    <row r="128" spans="1:5" ht="14.1" customHeight="1" x14ac:dyDescent="0.2">
      <c r="A128" s="14">
        <v>126</v>
      </c>
      <c r="B128" s="14" t="s">
        <v>443</v>
      </c>
      <c r="C128" s="11" t="s">
        <v>458</v>
      </c>
      <c r="D128" s="11" t="s">
        <v>472</v>
      </c>
      <c r="E128" s="14" t="s">
        <v>444</v>
      </c>
    </row>
    <row r="129" spans="1:5" ht="14.1" customHeight="1" x14ac:dyDescent="0.2">
      <c r="A129" s="14">
        <v>127</v>
      </c>
      <c r="B129" s="14" t="s">
        <v>444</v>
      </c>
      <c r="C129" s="11" t="s">
        <v>459</v>
      </c>
      <c r="D129" s="11" t="s">
        <v>473</v>
      </c>
      <c r="E129" s="14" t="s">
        <v>445</v>
      </c>
    </row>
    <row r="130" spans="1:5" ht="14.1" customHeight="1" x14ac:dyDescent="0.2">
      <c r="A130" s="14">
        <v>128</v>
      </c>
      <c r="B130" s="14" t="s">
        <v>445</v>
      </c>
      <c r="C130" s="11" t="s">
        <v>460</v>
      </c>
      <c r="D130" s="11" t="s">
        <v>474</v>
      </c>
      <c r="E130" s="14" t="s">
        <v>446</v>
      </c>
    </row>
    <row r="131" spans="1:5" ht="14.1" customHeight="1" x14ac:dyDescent="0.2">
      <c r="A131" s="14">
        <v>129</v>
      </c>
      <c r="B131" s="14" t="s">
        <v>446</v>
      </c>
      <c r="C131" s="11" t="s">
        <v>461</v>
      </c>
      <c r="D131" s="11" t="s">
        <v>475</v>
      </c>
      <c r="E131" s="14" t="s">
        <v>447</v>
      </c>
    </row>
    <row r="132" spans="1:5" ht="14.1" customHeight="1" x14ac:dyDescent="0.2">
      <c r="A132" s="14">
        <v>130</v>
      </c>
      <c r="B132" s="14" t="s">
        <v>447</v>
      </c>
      <c r="C132" s="11" t="s">
        <v>462</v>
      </c>
      <c r="D132" s="11" t="s">
        <v>476</v>
      </c>
      <c r="E132" s="14" t="s">
        <v>448</v>
      </c>
    </row>
    <row r="133" spans="1:5" ht="14.1" customHeight="1" x14ac:dyDescent="0.2">
      <c r="A133" s="14">
        <v>131</v>
      </c>
      <c r="B133" s="14" t="s">
        <v>448</v>
      </c>
      <c r="C133" s="11" t="s">
        <v>463</v>
      </c>
      <c r="D133" s="11" t="s">
        <v>477</v>
      </c>
      <c r="E133" s="14" t="s">
        <v>449</v>
      </c>
    </row>
    <row r="134" spans="1:5" ht="14.1" customHeight="1" x14ac:dyDescent="0.2">
      <c r="A134" s="14">
        <v>132</v>
      </c>
      <c r="B134" s="14" t="s">
        <v>449</v>
      </c>
      <c r="C134" s="11" t="s">
        <v>464</v>
      </c>
      <c r="D134" s="11" t="s">
        <v>478</v>
      </c>
      <c r="E134" s="14" t="s">
        <v>450</v>
      </c>
    </row>
    <row r="135" spans="1:5" ht="14.1" customHeight="1" x14ac:dyDescent="0.2">
      <c r="A135" s="14">
        <v>133</v>
      </c>
      <c r="B135" s="14" t="s">
        <v>450</v>
      </c>
      <c r="C135" s="11" t="s">
        <v>465</v>
      </c>
      <c r="D135" s="11" t="s">
        <v>479</v>
      </c>
      <c r="E135" s="14" t="s">
        <v>451</v>
      </c>
    </row>
    <row r="136" spans="1:5" ht="14.1" customHeight="1" x14ac:dyDescent="0.2">
      <c r="A136" s="14">
        <v>134</v>
      </c>
      <c r="B136" s="14" t="s">
        <v>451</v>
      </c>
      <c r="C136" s="11" t="s">
        <v>466</v>
      </c>
      <c r="D136" s="11" t="s">
        <v>480</v>
      </c>
      <c r="E136" s="14" t="s">
        <v>452</v>
      </c>
    </row>
    <row r="137" spans="1:5" ht="14.1" customHeight="1" x14ac:dyDescent="0.2">
      <c r="A137" s="14">
        <v>135</v>
      </c>
      <c r="B137" s="14" t="s">
        <v>452</v>
      </c>
      <c r="C137" s="11" t="s">
        <v>467</v>
      </c>
      <c r="D137" s="11" t="s">
        <v>481</v>
      </c>
      <c r="E137" s="14" t="s">
        <v>453</v>
      </c>
    </row>
    <row r="138" spans="1:5" ht="14.1" customHeight="1" x14ac:dyDescent="0.2">
      <c r="A138" s="14">
        <v>136</v>
      </c>
      <c r="B138" s="14" t="s">
        <v>453</v>
      </c>
      <c r="C138" s="11" t="s">
        <v>468</v>
      </c>
      <c r="D138" s="11" t="s">
        <v>482</v>
      </c>
      <c r="E138" s="14" t="s">
        <v>454</v>
      </c>
    </row>
    <row r="139" spans="1:5" ht="14.1" customHeight="1" x14ac:dyDescent="0.2">
      <c r="A139" s="2">
        <v>137</v>
      </c>
      <c r="B139" s="1" t="s">
        <v>454</v>
      </c>
      <c r="C139" s="1" t="s">
        <v>493</v>
      </c>
      <c r="D139" s="1" t="s">
        <v>494</v>
      </c>
      <c r="E139" s="1" t="s">
        <v>495</v>
      </c>
    </row>
    <row r="140" spans="1:5" ht="14.1" customHeight="1" x14ac:dyDescent="0.2">
      <c r="A140" s="2">
        <v>138</v>
      </c>
      <c r="B140" s="1" t="s">
        <v>495</v>
      </c>
      <c r="C140" s="1" t="s">
        <v>496</v>
      </c>
      <c r="D140" s="1" t="s">
        <v>497</v>
      </c>
      <c r="E140" s="1" t="s">
        <v>498</v>
      </c>
    </row>
    <row r="141" spans="1:5" ht="14.1" customHeight="1" x14ac:dyDescent="0.2">
      <c r="A141" s="2">
        <v>139</v>
      </c>
      <c r="B141" s="1" t="s">
        <v>498</v>
      </c>
      <c r="C141" s="1" t="s">
        <v>499</v>
      </c>
      <c r="D141" s="1" t="s">
        <v>500</v>
      </c>
      <c r="E141" s="1" t="s">
        <v>501</v>
      </c>
    </row>
    <row r="142" spans="1:5" ht="14.1" customHeight="1" x14ac:dyDescent="0.2">
      <c r="A142" s="2">
        <v>140</v>
      </c>
      <c r="B142" s="1" t="s">
        <v>501</v>
      </c>
      <c r="C142" s="1" t="s">
        <v>502</v>
      </c>
      <c r="D142" s="1" t="s">
        <v>503</v>
      </c>
      <c r="E142" s="1" t="s">
        <v>504</v>
      </c>
    </row>
    <row r="143" spans="1:5" ht="14.1" customHeight="1" x14ac:dyDescent="0.2">
      <c r="A143" s="2">
        <v>141</v>
      </c>
      <c r="B143" s="1" t="s">
        <v>504</v>
      </c>
      <c r="C143" s="1" t="s">
        <v>505</v>
      </c>
      <c r="D143" s="1" t="s">
        <v>506</v>
      </c>
      <c r="E143" s="1" t="s">
        <v>507</v>
      </c>
    </row>
    <row r="144" spans="1:5" ht="14.1" customHeight="1" x14ac:dyDescent="0.2">
      <c r="A144" s="2">
        <v>142</v>
      </c>
      <c r="B144" s="1" t="s">
        <v>507</v>
      </c>
      <c r="C144" s="1" t="s">
        <v>508</v>
      </c>
      <c r="D144" s="1" t="s">
        <v>509</v>
      </c>
      <c r="E144" s="1" t="s">
        <v>510</v>
      </c>
    </row>
    <row r="145" spans="1:5" ht="14.1" customHeight="1" x14ac:dyDescent="0.2">
      <c r="A145" s="2">
        <v>143</v>
      </c>
      <c r="B145" s="1" t="s">
        <v>510</v>
      </c>
      <c r="C145" s="1" t="s">
        <v>511</v>
      </c>
      <c r="D145" s="1" t="s">
        <v>512</v>
      </c>
      <c r="E145" s="1" t="s">
        <v>513</v>
      </c>
    </row>
    <row r="146" spans="1:5" ht="14.1" customHeight="1" x14ac:dyDescent="0.2">
      <c r="A146" s="2">
        <v>144</v>
      </c>
      <c r="B146" s="1" t="s">
        <v>513</v>
      </c>
      <c r="C146" s="1" t="s">
        <v>514</v>
      </c>
      <c r="D146" s="1" t="s">
        <v>515</v>
      </c>
      <c r="E146" s="1" t="s">
        <v>516</v>
      </c>
    </row>
    <row r="147" spans="1:5" ht="14.1" customHeight="1" x14ac:dyDescent="0.2">
      <c r="A147" s="2">
        <v>145</v>
      </c>
      <c r="B147" s="1" t="s">
        <v>516</v>
      </c>
      <c r="C147" s="1" t="s">
        <v>517</v>
      </c>
      <c r="D147" s="1" t="s">
        <v>518</v>
      </c>
      <c r="E147" s="1" t="s">
        <v>519</v>
      </c>
    </row>
    <row r="148" spans="1:5" ht="14.1" customHeight="1" x14ac:dyDescent="0.2">
      <c r="A148" s="2">
        <v>146</v>
      </c>
      <c r="B148" s="1" t="s">
        <v>519</v>
      </c>
      <c r="C148" s="1" t="s">
        <v>520</v>
      </c>
      <c r="D148" s="1" t="s">
        <v>521</v>
      </c>
      <c r="E148" s="1" t="s">
        <v>522</v>
      </c>
    </row>
    <row r="149" spans="1:5" ht="14.1" customHeight="1" x14ac:dyDescent="0.2">
      <c r="A149" s="2">
        <v>147</v>
      </c>
      <c r="B149" s="1" t="s">
        <v>522</v>
      </c>
      <c r="C149" s="1" t="s">
        <v>523</v>
      </c>
      <c r="D149" s="1" t="s">
        <v>524</v>
      </c>
      <c r="E149" s="1" t="s">
        <v>525</v>
      </c>
    </row>
    <row r="150" spans="1:5" ht="14.1" customHeight="1" x14ac:dyDescent="0.2">
      <c r="A150" s="2">
        <v>148</v>
      </c>
      <c r="B150" s="1" t="s">
        <v>525</v>
      </c>
      <c r="C150" s="1" t="s">
        <v>526</v>
      </c>
      <c r="D150" s="1" t="s">
        <v>527</v>
      </c>
      <c r="E150" s="1" t="s">
        <v>528</v>
      </c>
    </row>
    <row r="151" spans="1:5" ht="14.1" customHeight="1" x14ac:dyDescent="0.2">
      <c r="A151" s="2">
        <v>149</v>
      </c>
      <c r="B151" s="1" t="s">
        <v>528</v>
      </c>
      <c r="C151" s="1" t="s">
        <v>529</v>
      </c>
      <c r="D151" s="1" t="s">
        <v>530</v>
      </c>
      <c r="E151" s="1" t="s">
        <v>531</v>
      </c>
    </row>
    <row r="152" spans="1:5" ht="14.1" customHeight="1" x14ac:dyDescent="0.2">
      <c r="A152" s="2">
        <v>150</v>
      </c>
      <c r="B152" s="1" t="s">
        <v>531</v>
      </c>
      <c r="C152" s="1" t="s">
        <v>532</v>
      </c>
      <c r="D152" s="1" t="s">
        <v>533</v>
      </c>
      <c r="E152" s="1" t="s">
        <v>534</v>
      </c>
    </row>
    <row r="153" spans="1:5" ht="14.1" customHeight="1" x14ac:dyDescent="0.2">
      <c r="A153" s="2">
        <v>151</v>
      </c>
      <c r="B153" s="1" t="s">
        <v>534</v>
      </c>
      <c r="C153" s="1" t="s">
        <v>535</v>
      </c>
      <c r="D153" s="1" t="s">
        <v>536</v>
      </c>
      <c r="E153" s="1" t="s">
        <v>537</v>
      </c>
    </row>
    <row r="154" spans="1:5" ht="14.1" customHeight="1" x14ac:dyDescent="0.2">
      <c r="A154" s="2">
        <v>152</v>
      </c>
      <c r="B154" s="1" t="s">
        <v>537</v>
      </c>
      <c r="C154" s="1" t="s">
        <v>538</v>
      </c>
      <c r="D154" s="1" t="s">
        <v>539</v>
      </c>
      <c r="E154" s="1" t="s">
        <v>540</v>
      </c>
    </row>
    <row r="155" spans="1:5" ht="14.1" customHeight="1" x14ac:dyDescent="0.2">
      <c r="A155" s="2">
        <v>153</v>
      </c>
      <c r="B155" s="1" t="s">
        <v>540</v>
      </c>
      <c r="C155" s="1" t="s">
        <v>541</v>
      </c>
      <c r="D155" s="1" t="s">
        <v>542</v>
      </c>
      <c r="E155" s="1" t="s">
        <v>543</v>
      </c>
    </row>
    <row r="156" spans="1:5" ht="14.1" customHeight="1" x14ac:dyDescent="0.2">
      <c r="A156" s="2">
        <v>154</v>
      </c>
      <c r="B156" s="1" t="s">
        <v>543</v>
      </c>
      <c r="C156" s="1" t="s">
        <v>544</v>
      </c>
      <c r="D156" s="1" t="s">
        <v>545</v>
      </c>
      <c r="E156" s="1" t="s">
        <v>546</v>
      </c>
    </row>
    <row r="157" spans="1:5" ht="14.1" customHeight="1" x14ac:dyDescent="0.2">
      <c r="A157" s="2">
        <v>155</v>
      </c>
      <c r="B157" s="1" t="s">
        <v>546</v>
      </c>
      <c r="C157" s="1" t="s">
        <v>547</v>
      </c>
      <c r="D157" s="1" t="s">
        <v>548</v>
      </c>
      <c r="E157" s="1" t="s">
        <v>549</v>
      </c>
    </row>
    <row r="158" spans="1:5" ht="14.1" customHeight="1" x14ac:dyDescent="0.2">
      <c r="A158" s="2">
        <v>156</v>
      </c>
      <c r="B158" s="1" t="s">
        <v>549</v>
      </c>
      <c r="C158" s="1" t="s">
        <v>550</v>
      </c>
      <c r="D158" s="1" t="s">
        <v>551</v>
      </c>
      <c r="E158" s="1" t="s">
        <v>552</v>
      </c>
    </row>
    <row r="159" spans="1:5" ht="14.1" customHeight="1" x14ac:dyDescent="0.2">
      <c r="A159" s="2">
        <v>157</v>
      </c>
      <c r="B159" s="1" t="s">
        <v>552</v>
      </c>
      <c r="C159" s="1" t="s">
        <v>553</v>
      </c>
      <c r="D159" s="1" t="s">
        <v>554</v>
      </c>
      <c r="E159" s="1" t="s">
        <v>555</v>
      </c>
    </row>
    <row r="160" spans="1:5" ht="14.1" customHeight="1" x14ac:dyDescent="0.2">
      <c r="A160" s="2">
        <v>158</v>
      </c>
      <c r="B160" s="1" t="s">
        <v>555</v>
      </c>
      <c r="C160" s="1" t="s">
        <v>556</v>
      </c>
      <c r="D160" s="1" t="s">
        <v>557</v>
      </c>
      <c r="E160" s="1" t="s">
        <v>558</v>
      </c>
    </row>
    <row r="161" spans="1:5" ht="14.1" customHeight="1" x14ac:dyDescent="0.2">
      <c r="A161" s="2">
        <v>159</v>
      </c>
      <c r="B161" s="1" t="s">
        <v>558</v>
      </c>
      <c r="C161" s="1" t="s">
        <v>559</v>
      </c>
      <c r="D161" s="1" t="s">
        <v>560</v>
      </c>
      <c r="E161" s="1" t="s">
        <v>561</v>
      </c>
    </row>
    <row r="162" spans="1:5" ht="14.1" customHeight="1" x14ac:dyDescent="0.2">
      <c r="A162" s="2">
        <v>160</v>
      </c>
      <c r="B162" s="1" t="s">
        <v>561</v>
      </c>
      <c r="C162" s="1" t="s">
        <v>562</v>
      </c>
      <c r="D162" s="1" t="s">
        <v>563</v>
      </c>
      <c r="E162" s="1" t="s">
        <v>564</v>
      </c>
    </row>
    <row r="163" spans="1:5" ht="14.1" customHeight="1" x14ac:dyDescent="0.2">
      <c r="A163" s="2">
        <v>161</v>
      </c>
      <c r="B163" s="1" t="s">
        <v>564</v>
      </c>
      <c r="C163" s="1" t="s">
        <v>565</v>
      </c>
      <c r="D163" s="1" t="s">
        <v>566</v>
      </c>
      <c r="E163" s="1" t="s">
        <v>567</v>
      </c>
    </row>
    <row r="164" spans="1:5" ht="14.1" customHeight="1" x14ac:dyDescent="0.2">
      <c r="A164" s="2">
        <v>162</v>
      </c>
      <c r="B164" s="1" t="s">
        <v>567</v>
      </c>
      <c r="C164" s="1" t="s">
        <v>568</v>
      </c>
      <c r="D164" s="1" t="s">
        <v>569</v>
      </c>
      <c r="E164" s="1" t="s">
        <v>570</v>
      </c>
    </row>
    <row r="165" spans="1:5" ht="14.1" customHeight="1" x14ac:dyDescent="0.2">
      <c r="A165" s="2">
        <v>163</v>
      </c>
      <c r="B165" s="1" t="s">
        <v>570</v>
      </c>
      <c r="C165" s="1" t="s">
        <v>571</v>
      </c>
      <c r="D165" s="1" t="s">
        <v>572</v>
      </c>
      <c r="E165" s="1" t="s">
        <v>573</v>
      </c>
    </row>
    <row r="166" spans="1:5" ht="14.1" customHeight="1" x14ac:dyDescent="0.2">
      <c r="A166" s="2">
        <v>164</v>
      </c>
      <c r="B166" s="1" t="s">
        <v>573</v>
      </c>
      <c r="C166" s="1" t="s">
        <v>574</v>
      </c>
      <c r="D166" s="1" t="s">
        <v>575</v>
      </c>
      <c r="E166" s="1" t="s">
        <v>576</v>
      </c>
    </row>
    <row r="167" spans="1:5" ht="14.1" customHeight="1" x14ac:dyDescent="0.2">
      <c r="A167" s="2">
        <v>165</v>
      </c>
      <c r="B167" s="1" t="s">
        <v>576</v>
      </c>
      <c r="C167" s="1" t="s">
        <v>577</v>
      </c>
      <c r="D167" s="1" t="s">
        <v>578</v>
      </c>
      <c r="E167" s="1" t="s">
        <v>579</v>
      </c>
    </row>
    <row r="168" spans="1:5" ht="14.1" customHeight="1" x14ac:dyDescent="0.2">
      <c r="A168" s="2">
        <v>166</v>
      </c>
      <c r="B168" s="1" t="s">
        <v>579</v>
      </c>
      <c r="C168" s="1" t="s">
        <v>580</v>
      </c>
      <c r="D168" s="1" t="s">
        <v>581</v>
      </c>
      <c r="E168" s="1" t="s">
        <v>582</v>
      </c>
    </row>
    <row r="169" spans="1:5" ht="14.1" customHeight="1" x14ac:dyDescent="0.2">
      <c r="A169" s="2">
        <v>167</v>
      </c>
      <c r="B169" s="1" t="s">
        <v>582</v>
      </c>
      <c r="C169" s="1" t="s">
        <v>583</v>
      </c>
      <c r="D169" s="1" t="s">
        <v>584</v>
      </c>
      <c r="E169" s="1" t="s">
        <v>585</v>
      </c>
    </row>
    <row r="170" spans="1:5" ht="14.1" customHeight="1" x14ac:dyDescent="0.2">
      <c r="A170" s="2">
        <v>168</v>
      </c>
      <c r="B170" s="1" t="s">
        <v>585</v>
      </c>
      <c r="C170" s="1" t="s">
        <v>586</v>
      </c>
      <c r="D170" s="1" t="s">
        <v>587</v>
      </c>
      <c r="E170" s="1" t="s">
        <v>588</v>
      </c>
    </row>
    <row r="171" spans="1:5" ht="14.1" customHeight="1" x14ac:dyDescent="0.2">
      <c r="A171" s="2">
        <v>169</v>
      </c>
      <c r="B171" s="1" t="s">
        <v>588</v>
      </c>
      <c r="C171" s="1" t="s">
        <v>589</v>
      </c>
      <c r="D171" s="1" t="s">
        <v>590</v>
      </c>
      <c r="E171" s="1" t="s">
        <v>591</v>
      </c>
    </row>
    <row r="172" spans="1:5" ht="14.1" customHeight="1" x14ac:dyDescent="0.2">
      <c r="A172" s="2">
        <v>170</v>
      </c>
      <c r="B172" s="1" t="s">
        <v>591</v>
      </c>
      <c r="C172" s="1" t="s">
        <v>592</v>
      </c>
      <c r="D172" s="1" t="s">
        <v>593</v>
      </c>
      <c r="E172" s="1" t="s">
        <v>594</v>
      </c>
    </row>
    <row r="173" spans="1:5" ht="14.1" customHeight="1" x14ac:dyDescent="0.2">
      <c r="A173" s="2">
        <v>171</v>
      </c>
      <c r="B173" s="1" t="s">
        <v>594</v>
      </c>
      <c r="C173" s="1" t="s">
        <v>595</v>
      </c>
      <c r="D173" s="1" t="s">
        <v>596</v>
      </c>
      <c r="E173" s="1" t="s">
        <v>597</v>
      </c>
    </row>
    <row r="174" spans="1:5" ht="14.1" customHeight="1" x14ac:dyDescent="0.2">
      <c r="A174" s="2">
        <v>172</v>
      </c>
      <c r="B174" s="1" t="s">
        <v>597</v>
      </c>
      <c r="C174" s="1" t="s">
        <v>598</v>
      </c>
      <c r="D174" s="1" t="s">
        <v>599</v>
      </c>
      <c r="E174" s="1" t="s">
        <v>600</v>
      </c>
    </row>
    <row r="175" spans="1:5" ht="14.1" customHeight="1" x14ac:dyDescent="0.2">
      <c r="A175" s="2">
        <v>173</v>
      </c>
      <c r="B175" s="1" t="s">
        <v>600</v>
      </c>
      <c r="C175" s="1" t="s">
        <v>601</v>
      </c>
      <c r="D175" s="1" t="s">
        <v>602</v>
      </c>
      <c r="E175" s="1" t="s">
        <v>603</v>
      </c>
    </row>
    <row r="176" spans="1:5" ht="14.1" customHeight="1" x14ac:dyDescent="0.2">
      <c r="A176" s="2">
        <v>174</v>
      </c>
      <c r="B176" s="1" t="s">
        <v>603</v>
      </c>
      <c r="C176" s="1" t="s">
        <v>604</v>
      </c>
      <c r="D176" s="1" t="s">
        <v>605</v>
      </c>
      <c r="E176" s="1" t="s">
        <v>606</v>
      </c>
    </row>
    <row r="177" spans="1:5" ht="14.1" customHeight="1" x14ac:dyDescent="0.2">
      <c r="A177" s="2">
        <v>175</v>
      </c>
      <c r="B177" s="1" t="s">
        <v>606</v>
      </c>
      <c r="C177" s="1" t="s">
        <v>607</v>
      </c>
      <c r="D177" s="1" t="s">
        <v>608</v>
      </c>
      <c r="E177" s="1" t="s">
        <v>609</v>
      </c>
    </row>
    <row r="178" spans="1:5" ht="14.1" customHeight="1" x14ac:dyDescent="0.2">
      <c r="A178" s="2">
        <v>176</v>
      </c>
      <c r="B178" s="1" t="s">
        <v>609</v>
      </c>
      <c r="C178" s="1" t="s">
        <v>610</v>
      </c>
      <c r="D178" s="1" t="s">
        <v>611</v>
      </c>
      <c r="E178" s="1" t="s">
        <v>612</v>
      </c>
    </row>
    <row r="179" spans="1:5" ht="14.1" customHeight="1" x14ac:dyDescent="0.2">
      <c r="A179" s="2">
        <v>177</v>
      </c>
      <c r="B179" s="1" t="s">
        <v>612</v>
      </c>
      <c r="C179" s="1" t="s">
        <v>613</v>
      </c>
      <c r="D179" s="1" t="s">
        <v>614</v>
      </c>
      <c r="E179" s="1" t="s">
        <v>615</v>
      </c>
    </row>
    <row r="180" spans="1:5" ht="14.1" customHeight="1" x14ac:dyDescent="0.2">
      <c r="A180" s="2">
        <v>178</v>
      </c>
      <c r="B180" s="1" t="s">
        <v>615</v>
      </c>
      <c r="C180" s="1" t="s">
        <v>616</v>
      </c>
      <c r="D180" s="1" t="s">
        <v>617</v>
      </c>
      <c r="E180" s="1" t="s">
        <v>618</v>
      </c>
    </row>
    <row r="181" spans="1:5" ht="14.1" customHeight="1" x14ac:dyDescent="0.2">
      <c r="A181" s="2">
        <v>179</v>
      </c>
      <c r="B181" s="1" t="s">
        <v>618</v>
      </c>
      <c r="C181" s="1" t="s">
        <v>619</v>
      </c>
      <c r="D181" s="1" t="s">
        <v>620</v>
      </c>
      <c r="E181" s="1" t="s">
        <v>621</v>
      </c>
    </row>
    <row r="182" spans="1:5" ht="14.1" customHeight="1" x14ac:dyDescent="0.2">
      <c r="A182" s="2">
        <v>180</v>
      </c>
      <c r="B182" s="1" t="s">
        <v>621</v>
      </c>
      <c r="C182" s="1" t="s">
        <v>622</v>
      </c>
      <c r="D182" s="1" t="s">
        <v>623</v>
      </c>
      <c r="E182" s="1" t="s">
        <v>624</v>
      </c>
    </row>
    <row r="183" spans="1:5" ht="14.1" customHeight="1" x14ac:dyDescent="0.2">
      <c r="A183" s="2">
        <v>181</v>
      </c>
      <c r="B183" s="1" t="s">
        <v>624</v>
      </c>
      <c r="C183" s="1" t="s">
        <v>625</v>
      </c>
      <c r="D183" s="1" t="s">
        <v>626</v>
      </c>
      <c r="E183" s="1" t="s">
        <v>627</v>
      </c>
    </row>
    <row r="184" spans="1:5" ht="14.1" customHeight="1" x14ac:dyDescent="0.2">
      <c r="A184" s="2">
        <v>182</v>
      </c>
      <c r="B184" s="1" t="s">
        <v>627</v>
      </c>
      <c r="C184" s="1" t="s">
        <v>628</v>
      </c>
      <c r="D184" s="1" t="s">
        <v>629</v>
      </c>
      <c r="E184" s="1" t="s">
        <v>630</v>
      </c>
    </row>
    <row r="185" spans="1:5" ht="14.1" customHeight="1" x14ac:dyDescent="0.2">
      <c r="A185" s="2">
        <v>183</v>
      </c>
      <c r="B185" s="1" t="s">
        <v>630</v>
      </c>
      <c r="C185" s="1" t="s">
        <v>631</v>
      </c>
      <c r="D185" s="1" t="s">
        <v>632</v>
      </c>
      <c r="E185" s="1" t="s">
        <v>633</v>
      </c>
    </row>
    <row r="186" spans="1:5" ht="14.1" customHeight="1" x14ac:dyDescent="0.2">
      <c r="A186" s="2">
        <v>184</v>
      </c>
      <c r="B186" s="1" t="s">
        <v>633</v>
      </c>
      <c r="C186" s="1" t="s">
        <v>634</v>
      </c>
      <c r="D186" s="1" t="s">
        <v>635</v>
      </c>
      <c r="E186" s="1" t="s">
        <v>636</v>
      </c>
    </row>
    <row r="187" spans="1:5" ht="14.1" customHeight="1" x14ac:dyDescent="0.2">
      <c r="A187" s="2">
        <v>185</v>
      </c>
      <c r="B187" s="1" t="s">
        <v>636</v>
      </c>
      <c r="C187" s="1" t="s">
        <v>637</v>
      </c>
      <c r="D187" s="1" t="s">
        <v>638</v>
      </c>
      <c r="E187" s="1" t="s">
        <v>639</v>
      </c>
    </row>
    <row r="188" spans="1:5" ht="14.1" customHeight="1" x14ac:dyDescent="0.2">
      <c r="A188" s="2">
        <v>186</v>
      </c>
      <c r="B188" s="1" t="s">
        <v>639</v>
      </c>
      <c r="C188" s="1" t="s">
        <v>640</v>
      </c>
      <c r="D188" s="1" t="s">
        <v>641</v>
      </c>
      <c r="E188" s="1" t="s">
        <v>642</v>
      </c>
    </row>
    <row r="189" spans="1:5" ht="14.1" customHeight="1" x14ac:dyDescent="0.2">
      <c r="A189" s="2">
        <v>187</v>
      </c>
      <c r="B189" s="1" t="s">
        <v>642</v>
      </c>
      <c r="C189" s="1" t="s">
        <v>643</v>
      </c>
      <c r="D189" s="1" t="s">
        <v>644</v>
      </c>
      <c r="E189" s="1" t="s">
        <v>645</v>
      </c>
    </row>
    <row r="190" spans="1:5" ht="14.1" customHeight="1" x14ac:dyDescent="0.2">
      <c r="A190" s="2">
        <v>188</v>
      </c>
      <c r="B190" s="1" t="s">
        <v>645</v>
      </c>
      <c r="C190" s="1" t="s">
        <v>646</v>
      </c>
      <c r="D190" s="1" t="s">
        <v>647</v>
      </c>
      <c r="E190" s="1" t="s">
        <v>648</v>
      </c>
    </row>
    <row r="191" spans="1:5" ht="14.1" customHeight="1" x14ac:dyDescent="0.2">
      <c r="A191" s="2">
        <v>189</v>
      </c>
      <c r="B191" s="1" t="s">
        <v>648</v>
      </c>
      <c r="C191" s="1" t="s">
        <v>746</v>
      </c>
      <c r="D191" s="1" t="s">
        <v>745</v>
      </c>
      <c r="E191" s="1" t="s">
        <v>693</v>
      </c>
    </row>
    <row r="192" spans="1:5" ht="14.1" customHeight="1" x14ac:dyDescent="0.2">
      <c r="A192" s="2">
        <v>190</v>
      </c>
      <c r="B192" s="1" t="s">
        <v>693</v>
      </c>
      <c r="C192" s="1" t="s">
        <v>798</v>
      </c>
      <c r="D192" s="1" t="s">
        <v>747</v>
      </c>
      <c r="E192" s="1" t="s">
        <v>694</v>
      </c>
    </row>
    <row r="193" spans="1:5" ht="14.1" customHeight="1" x14ac:dyDescent="0.2">
      <c r="A193" s="2">
        <v>191</v>
      </c>
      <c r="B193" s="1" t="s">
        <v>694</v>
      </c>
      <c r="C193" s="1" t="s">
        <v>799</v>
      </c>
      <c r="D193" s="1" t="s">
        <v>748</v>
      </c>
      <c r="E193" s="1" t="s">
        <v>695</v>
      </c>
    </row>
    <row r="194" spans="1:5" ht="14.1" customHeight="1" x14ac:dyDescent="0.2">
      <c r="A194" s="2">
        <v>192</v>
      </c>
      <c r="B194" s="1" t="s">
        <v>695</v>
      </c>
      <c r="C194" s="1" t="s">
        <v>800</v>
      </c>
      <c r="D194" s="1" t="s">
        <v>749</v>
      </c>
      <c r="E194" s="1" t="s">
        <v>696</v>
      </c>
    </row>
    <row r="195" spans="1:5" ht="14.1" customHeight="1" x14ac:dyDescent="0.2">
      <c r="A195" s="2">
        <v>193</v>
      </c>
      <c r="B195" s="1" t="s">
        <v>696</v>
      </c>
      <c r="C195" s="1" t="s">
        <v>801</v>
      </c>
      <c r="D195" s="1" t="s">
        <v>750</v>
      </c>
      <c r="E195" s="1" t="s">
        <v>697</v>
      </c>
    </row>
    <row r="196" spans="1:5" ht="14.1" customHeight="1" x14ac:dyDescent="0.2">
      <c r="A196" s="2">
        <v>194</v>
      </c>
      <c r="B196" s="1" t="s">
        <v>697</v>
      </c>
      <c r="C196" s="1" t="s">
        <v>802</v>
      </c>
      <c r="D196" s="1" t="s">
        <v>751</v>
      </c>
      <c r="E196" s="1" t="s">
        <v>698</v>
      </c>
    </row>
    <row r="197" spans="1:5" ht="14.1" customHeight="1" x14ac:dyDescent="0.2">
      <c r="A197" s="2">
        <v>195</v>
      </c>
      <c r="B197" s="1" t="s">
        <v>698</v>
      </c>
      <c r="C197" s="1" t="s">
        <v>803</v>
      </c>
      <c r="D197" s="1" t="s">
        <v>752</v>
      </c>
      <c r="E197" s="1" t="s">
        <v>699</v>
      </c>
    </row>
    <row r="198" spans="1:5" ht="14.1" customHeight="1" x14ac:dyDescent="0.2">
      <c r="A198" s="2">
        <v>196</v>
      </c>
      <c r="B198" s="1" t="s">
        <v>699</v>
      </c>
      <c r="C198" s="1" t="s">
        <v>804</v>
      </c>
      <c r="D198" s="1" t="s">
        <v>753</v>
      </c>
      <c r="E198" s="1" t="s">
        <v>700</v>
      </c>
    </row>
    <row r="199" spans="1:5" ht="14.1" customHeight="1" x14ac:dyDescent="0.2">
      <c r="A199" s="2">
        <v>197</v>
      </c>
      <c r="B199" s="1" t="s">
        <v>700</v>
      </c>
      <c r="C199" s="1" t="s">
        <v>805</v>
      </c>
      <c r="D199" s="1" t="s">
        <v>754</v>
      </c>
      <c r="E199" s="1" t="s">
        <v>701</v>
      </c>
    </row>
    <row r="200" spans="1:5" ht="14.1" customHeight="1" x14ac:dyDescent="0.2">
      <c r="A200" s="2">
        <v>198</v>
      </c>
      <c r="B200" s="1" t="s">
        <v>701</v>
      </c>
      <c r="C200" s="1" t="s">
        <v>806</v>
      </c>
      <c r="D200" s="1" t="s">
        <v>755</v>
      </c>
      <c r="E200" s="1" t="s">
        <v>702</v>
      </c>
    </row>
    <row r="201" spans="1:5" ht="14.1" customHeight="1" x14ac:dyDescent="0.2">
      <c r="A201" s="2">
        <v>199</v>
      </c>
      <c r="B201" s="1" t="s">
        <v>702</v>
      </c>
      <c r="C201" s="1" t="s">
        <v>807</v>
      </c>
      <c r="D201" s="1" t="s">
        <v>756</v>
      </c>
      <c r="E201" s="1" t="s">
        <v>703</v>
      </c>
    </row>
    <row r="202" spans="1:5" ht="14.1" customHeight="1" x14ac:dyDescent="0.2">
      <c r="A202" s="2">
        <v>200</v>
      </c>
      <c r="B202" s="1" t="s">
        <v>703</v>
      </c>
      <c r="C202" s="1" t="s">
        <v>808</v>
      </c>
      <c r="D202" s="1" t="s">
        <v>757</v>
      </c>
      <c r="E202" s="1" t="s">
        <v>704</v>
      </c>
    </row>
    <row r="203" spans="1:5" ht="14.1" customHeight="1" x14ac:dyDescent="0.2">
      <c r="A203" s="2">
        <v>201</v>
      </c>
      <c r="B203" s="1" t="s">
        <v>704</v>
      </c>
      <c r="C203" s="1" t="s">
        <v>809</v>
      </c>
      <c r="D203" s="1" t="s">
        <v>758</v>
      </c>
      <c r="E203" s="1" t="s">
        <v>705</v>
      </c>
    </row>
    <row r="204" spans="1:5" ht="14.1" customHeight="1" x14ac:dyDescent="0.2">
      <c r="A204" s="2">
        <v>202</v>
      </c>
      <c r="B204" s="1" t="s">
        <v>705</v>
      </c>
      <c r="C204" s="1" t="s">
        <v>810</v>
      </c>
      <c r="D204" s="1" t="s">
        <v>759</v>
      </c>
      <c r="E204" s="1" t="s">
        <v>706</v>
      </c>
    </row>
    <row r="205" spans="1:5" ht="14.1" customHeight="1" x14ac:dyDescent="0.2">
      <c r="A205" s="2">
        <v>203</v>
      </c>
      <c r="B205" s="1" t="s">
        <v>706</v>
      </c>
      <c r="C205" s="1" t="s">
        <v>811</v>
      </c>
      <c r="D205" s="1" t="s">
        <v>760</v>
      </c>
      <c r="E205" s="1" t="s">
        <v>707</v>
      </c>
    </row>
    <row r="206" spans="1:5" ht="14.1" customHeight="1" x14ac:dyDescent="0.2">
      <c r="A206" s="2">
        <v>204</v>
      </c>
      <c r="B206" s="1" t="s">
        <v>707</v>
      </c>
      <c r="C206" s="1" t="s">
        <v>812</v>
      </c>
      <c r="D206" s="1" t="s">
        <v>761</v>
      </c>
      <c r="E206" s="1" t="s">
        <v>708</v>
      </c>
    </row>
    <row r="207" spans="1:5" ht="14.1" customHeight="1" x14ac:dyDescent="0.2">
      <c r="A207" s="2">
        <v>205</v>
      </c>
      <c r="B207" s="1" t="s">
        <v>708</v>
      </c>
      <c r="C207" s="1" t="s">
        <v>813</v>
      </c>
      <c r="D207" s="1" t="s">
        <v>762</v>
      </c>
      <c r="E207" s="1" t="s">
        <v>709</v>
      </c>
    </row>
    <row r="208" spans="1:5" ht="14.1" customHeight="1" x14ac:dyDescent="0.2">
      <c r="A208" s="2">
        <v>206</v>
      </c>
      <c r="B208" s="1" t="s">
        <v>709</v>
      </c>
      <c r="C208" s="1" t="s">
        <v>814</v>
      </c>
      <c r="D208" s="1" t="s">
        <v>763</v>
      </c>
      <c r="E208" s="1" t="s">
        <v>710</v>
      </c>
    </row>
    <row r="209" spans="1:5" ht="14.1" customHeight="1" x14ac:dyDescent="0.2">
      <c r="A209" s="2">
        <v>207</v>
      </c>
      <c r="B209" s="1" t="s">
        <v>710</v>
      </c>
      <c r="C209" s="1" t="s">
        <v>815</v>
      </c>
      <c r="D209" s="1" t="s">
        <v>764</v>
      </c>
      <c r="E209" s="1" t="s">
        <v>711</v>
      </c>
    </row>
    <row r="210" spans="1:5" ht="14.1" customHeight="1" x14ac:dyDescent="0.2">
      <c r="A210" s="2">
        <v>208</v>
      </c>
      <c r="B210" s="1" t="s">
        <v>711</v>
      </c>
      <c r="C210" s="1" t="s">
        <v>816</v>
      </c>
      <c r="D210" s="1" t="s">
        <v>765</v>
      </c>
      <c r="E210" s="1" t="s">
        <v>712</v>
      </c>
    </row>
    <row r="211" spans="1:5" ht="14.1" customHeight="1" x14ac:dyDescent="0.2">
      <c r="A211" s="2">
        <v>209</v>
      </c>
      <c r="B211" s="1" t="s">
        <v>712</v>
      </c>
      <c r="C211" s="1" t="s">
        <v>817</v>
      </c>
      <c r="D211" s="1" t="s">
        <v>766</v>
      </c>
      <c r="E211" s="1" t="s">
        <v>713</v>
      </c>
    </row>
    <row r="212" spans="1:5" ht="14.1" customHeight="1" x14ac:dyDescent="0.2">
      <c r="A212" s="2">
        <v>210</v>
      </c>
      <c r="B212" s="1" t="s">
        <v>713</v>
      </c>
      <c r="C212" s="1" t="s">
        <v>818</v>
      </c>
      <c r="D212" s="1" t="s">
        <v>767</v>
      </c>
      <c r="E212" s="1" t="s">
        <v>714</v>
      </c>
    </row>
    <row r="213" spans="1:5" ht="14.1" customHeight="1" x14ac:dyDescent="0.2">
      <c r="A213" s="2">
        <v>211</v>
      </c>
      <c r="B213" s="1" t="s">
        <v>714</v>
      </c>
      <c r="C213" s="1" t="s">
        <v>819</v>
      </c>
      <c r="D213" s="1" t="s">
        <v>768</v>
      </c>
      <c r="E213" s="1" t="s">
        <v>715</v>
      </c>
    </row>
    <row r="214" spans="1:5" ht="14.1" customHeight="1" x14ac:dyDescent="0.2">
      <c r="A214" s="2">
        <v>212</v>
      </c>
      <c r="B214" s="1" t="s">
        <v>715</v>
      </c>
      <c r="C214" s="1" t="s">
        <v>820</v>
      </c>
      <c r="D214" s="1" t="s">
        <v>769</v>
      </c>
      <c r="E214" s="1" t="s">
        <v>716</v>
      </c>
    </row>
    <row r="215" spans="1:5" ht="14.1" customHeight="1" x14ac:dyDescent="0.2">
      <c r="A215" s="2">
        <v>213</v>
      </c>
      <c r="B215" s="1" t="s">
        <v>716</v>
      </c>
      <c r="C215" s="1" t="s">
        <v>821</v>
      </c>
      <c r="D215" s="1" t="s">
        <v>770</v>
      </c>
      <c r="E215" s="1" t="s">
        <v>717</v>
      </c>
    </row>
    <row r="216" spans="1:5" ht="14.1" customHeight="1" x14ac:dyDescent="0.2">
      <c r="A216" s="2">
        <v>214</v>
      </c>
      <c r="B216" s="1" t="s">
        <v>717</v>
      </c>
      <c r="C216" s="1" t="s">
        <v>822</v>
      </c>
      <c r="D216" s="1" t="s">
        <v>771</v>
      </c>
      <c r="E216" s="1" t="s">
        <v>718</v>
      </c>
    </row>
    <row r="217" spans="1:5" ht="14.1" customHeight="1" x14ac:dyDescent="0.2">
      <c r="A217" s="2">
        <v>215</v>
      </c>
      <c r="B217" s="1" t="s">
        <v>718</v>
      </c>
      <c r="C217" s="1" t="s">
        <v>823</v>
      </c>
      <c r="D217" s="1" t="s">
        <v>772</v>
      </c>
      <c r="E217" s="1" t="s">
        <v>719</v>
      </c>
    </row>
    <row r="218" spans="1:5" ht="14.1" customHeight="1" x14ac:dyDescent="0.2">
      <c r="A218" s="2">
        <v>216</v>
      </c>
      <c r="B218" s="1" t="s">
        <v>719</v>
      </c>
      <c r="C218" s="1" t="s">
        <v>824</v>
      </c>
      <c r="D218" s="1" t="s">
        <v>773</v>
      </c>
      <c r="E218" s="1" t="s">
        <v>720</v>
      </c>
    </row>
    <row r="219" spans="1:5" ht="14.1" customHeight="1" x14ac:dyDescent="0.2">
      <c r="A219" s="2">
        <v>217</v>
      </c>
      <c r="B219" s="1" t="s">
        <v>720</v>
      </c>
      <c r="C219" s="1" t="s">
        <v>825</v>
      </c>
      <c r="D219" s="1" t="s">
        <v>774</v>
      </c>
      <c r="E219" s="1" t="s">
        <v>721</v>
      </c>
    </row>
    <row r="220" spans="1:5" ht="14.1" customHeight="1" x14ac:dyDescent="0.2">
      <c r="A220" s="2">
        <v>218</v>
      </c>
      <c r="B220" s="1" t="s">
        <v>721</v>
      </c>
      <c r="C220" s="1" t="s">
        <v>826</v>
      </c>
      <c r="D220" s="1" t="s">
        <v>775</v>
      </c>
      <c r="E220" s="1" t="s">
        <v>722</v>
      </c>
    </row>
    <row r="221" spans="1:5" ht="14.1" customHeight="1" x14ac:dyDescent="0.2">
      <c r="A221" s="2">
        <v>219</v>
      </c>
      <c r="B221" s="1" t="s">
        <v>722</v>
      </c>
      <c r="C221" s="1" t="s">
        <v>827</v>
      </c>
      <c r="D221" s="1" t="s">
        <v>776</v>
      </c>
      <c r="E221" s="1" t="s">
        <v>723</v>
      </c>
    </row>
    <row r="222" spans="1:5" ht="14.1" customHeight="1" x14ac:dyDescent="0.2">
      <c r="A222" s="2">
        <v>220</v>
      </c>
      <c r="B222" s="1" t="s">
        <v>723</v>
      </c>
      <c r="C222" s="1" t="s">
        <v>828</v>
      </c>
      <c r="D222" s="1" t="s">
        <v>777</v>
      </c>
      <c r="E222" s="1" t="s">
        <v>724</v>
      </c>
    </row>
    <row r="223" spans="1:5" ht="14.1" customHeight="1" x14ac:dyDescent="0.2">
      <c r="A223" s="2">
        <v>221</v>
      </c>
      <c r="B223" s="1" t="s">
        <v>724</v>
      </c>
      <c r="C223" s="1" t="s">
        <v>829</v>
      </c>
      <c r="D223" s="1" t="s">
        <v>778</v>
      </c>
      <c r="E223" s="1" t="s">
        <v>725</v>
      </c>
    </row>
    <row r="224" spans="1:5" ht="14.1" customHeight="1" x14ac:dyDescent="0.2">
      <c r="A224" s="2">
        <v>222</v>
      </c>
      <c r="B224" s="1" t="s">
        <v>725</v>
      </c>
      <c r="C224" s="1" t="s">
        <v>830</v>
      </c>
      <c r="D224" s="1" t="s">
        <v>779</v>
      </c>
      <c r="E224" s="1" t="s">
        <v>726</v>
      </c>
    </row>
    <row r="225" spans="1:5" ht="14.1" customHeight="1" x14ac:dyDescent="0.2">
      <c r="A225" s="2">
        <v>223</v>
      </c>
      <c r="B225" s="1" t="s">
        <v>726</v>
      </c>
      <c r="C225" s="1" t="s">
        <v>832</v>
      </c>
      <c r="D225" s="1" t="s">
        <v>780</v>
      </c>
      <c r="E225" s="1" t="s">
        <v>727</v>
      </c>
    </row>
    <row r="226" spans="1:5" ht="14.1" customHeight="1" x14ac:dyDescent="0.2">
      <c r="A226" s="2">
        <v>224</v>
      </c>
      <c r="B226" s="1" t="s">
        <v>727</v>
      </c>
      <c r="C226" s="1" t="s">
        <v>831</v>
      </c>
      <c r="D226" s="1" t="s">
        <v>781</v>
      </c>
      <c r="E226" s="1" t="s">
        <v>728</v>
      </c>
    </row>
    <row r="227" spans="1:5" ht="14.1" customHeight="1" x14ac:dyDescent="0.2">
      <c r="A227" s="2">
        <v>225</v>
      </c>
      <c r="B227" s="1" t="s">
        <v>728</v>
      </c>
      <c r="C227" s="1" t="s">
        <v>833</v>
      </c>
      <c r="D227" s="1" t="s">
        <v>782</v>
      </c>
      <c r="E227" s="1" t="s">
        <v>729</v>
      </c>
    </row>
    <row r="228" spans="1:5" ht="14.1" customHeight="1" x14ac:dyDescent="0.2">
      <c r="A228" s="2">
        <v>226</v>
      </c>
      <c r="B228" s="1" t="s">
        <v>729</v>
      </c>
      <c r="C228" s="1" t="s">
        <v>834</v>
      </c>
      <c r="D228" s="1" t="s">
        <v>783</v>
      </c>
      <c r="E228" s="1" t="s">
        <v>730</v>
      </c>
    </row>
    <row r="229" spans="1:5" ht="14.1" customHeight="1" x14ac:dyDescent="0.2">
      <c r="A229" s="2">
        <v>227</v>
      </c>
      <c r="B229" s="1" t="s">
        <v>730</v>
      </c>
      <c r="C229" s="1" t="s">
        <v>835</v>
      </c>
      <c r="D229" s="1" t="s">
        <v>784</v>
      </c>
      <c r="E229" s="1" t="s">
        <v>731</v>
      </c>
    </row>
    <row r="230" spans="1:5" ht="14.1" customHeight="1" x14ac:dyDescent="0.2">
      <c r="A230" s="2">
        <v>228</v>
      </c>
      <c r="B230" s="1" t="s">
        <v>731</v>
      </c>
      <c r="C230" s="1" t="s">
        <v>836</v>
      </c>
      <c r="D230" s="1" t="s">
        <v>785</v>
      </c>
      <c r="E230" s="1" t="s">
        <v>732</v>
      </c>
    </row>
    <row r="231" spans="1:5" ht="14.1" customHeight="1" x14ac:dyDescent="0.2">
      <c r="A231" s="2">
        <v>229</v>
      </c>
      <c r="B231" s="1" t="s">
        <v>732</v>
      </c>
      <c r="C231" s="1" t="s">
        <v>837</v>
      </c>
      <c r="D231" s="1" t="s">
        <v>786</v>
      </c>
      <c r="E231" s="1" t="s">
        <v>733</v>
      </c>
    </row>
    <row r="232" spans="1:5" ht="14.1" customHeight="1" x14ac:dyDescent="0.2">
      <c r="A232" s="2">
        <v>230</v>
      </c>
      <c r="B232" s="1" t="s">
        <v>733</v>
      </c>
      <c r="C232" s="1" t="s">
        <v>838</v>
      </c>
      <c r="D232" s="1" t="s">
        <v>787</v>
      </c>
      <c r="E232" s="1" t="s">
        <v>734</v>
      </c>
    </row>
    <row r="233" spans="1:5" ht="14.1" customHeight="1" x14ac:dyDescent="0.2">
      <c r="A233" s="2">
        <v>231</v>
      </c>
      <c r="B233" s="1" t="s">
        <v>734</v>
      </c>
      <c r="C233" s="1" t="s">
        <v>839</v>
      </c>
      <c r="D233" s="1" t="s">
        <v>788</v>
      </c>
      <c r="E233" s="1" t="s">
        <v>735</v>
      </c>
    </row>
    <row r="234" spans="1:5" ht="14.1" customHeight="1" x14ac:dyDescent="0.2">
      <c r="A234" s="2">
        <v>232</v>
      </c>
      <c r="B234" s="1" t="s">
        <v>735</v>
      </c>
      <c r="C234" s="1" t="s">
        <v>840</v>
      </c>
      <c r="D234" s="1" t="s">
        <v>789</v>
      </c>
      <c r="E234" s="1" t="s">
        <v>736</v>
      </c>
    </row>
    <row r="235" spans="1:5" ht="14.1" customHeight="1" x14ac:dyDescent="0.2">
      <c r="A235" s="2">
        <v>233</v>
      </c>
      <c r="B235" s="1" t="s">
        <v>736</v>
      </c>
      <c r="C235" s="1" t="s">
        <v>841</v>
      </c>
      <c r="D235" s="1" t="s">
        <v>790</v>
      </c>
      <c r="E235" s="1" t="s">
        <v>737</v>
      </c>
    </row>
    <row r="236" spans="1:5" ht="14.1" customHeight="1" x14ac:dyDescent="0.2">
      <c r="A236" s="2">
        <v>234</v>
      </c>
      <c r="B236" s="1" t="s">
        <v>737</v>
      </c>
      <c r="C236" s="1" t="s">
        <v>842</v>
      </c>
      <c r="D236" s="1" t="s">
        <v>791</v>
      </c>
      <c r="E236" s="1" t="s">
        <v>738</v>
      </c>
    </row>
    <row r="237" spans="1:5" ht="14.1" customHeight="1" x14ac:dyDescent="0.2">
      <c r="A237" s="2">
        <v>235</v>
      </c>
      <c r="B237" s="1" t="s">
        <v>738</v>
      </c>
      <c r="C237" s="1" t="s">
        <v>843</v>
      </c>
      <c r="D237" s="1" t="s">
        <v>792</v>
      </c>
      <c r="E237" s="1" t="s">
        <v>739</v>
      </c>
    </row>
    <row r="238" spans="1:5" ht="14.1" customHeight="1" x14ac:dyDescent="0.2">
      <c r="A238" s="2">
        <v>236</v>
      </c>
      <c r="B238" s="1" t="s">
        <v>739</v>
      </c>
      <c r="C238" s="1" t="s">
        <v>844</v>
      </c>
      <c r="D238" s="1" t="s">
        <v>793</v>
      </c>
      <c r="E238" s="1" t="s">
        <v>740</v>
      </c>
    </row>
    <row r="239" spans="1:5" ht="14.1" customHeight="1" x14ac:dyDescent="0.2">
      <c r="A239" s="2">
        <v>237</v>
      </c>
      <c r="B239" s="1" t="s">
        <v>740</v>
      </c>
      <c r="C239" s="1" t="s">
        <v>845</v>
      </c>
      <c r="D239" s="1" t="s">
        <v>794</v>
      </c>
      <c r="E239" s="1" t="s">
        <v>741</v>
      </c>
    </row>
    <row r="240" spans="1:5" ht="14.1" customHeight="1" x14ac:dyDescent="0.2">
      <c r="A240" s="2">
        <v>238</v>
      </c>
      <c r="B240" s="1" t="s">
        <v>741</v>
      </c>
      <c r="C240" s="1" t="s">
        <v>846</v>
      </c>
      <c r="D240" s="1" t="s">
        <v>795</v>
      </c>
      <c r="E240" s="1" t="s">
        <v>742</v>
      </c>
    </row>
    <row r="241" spans="1:5" ht="14.1" customHeight="1" x14ac:dyDescent="0.2">
      <c r="A241" s="2">
        <v>239</v>
      </c>
      <c r="B241" s="1" t="s">
        <v>742</v>
      </c>
      <c r="C241" s="1" t="s">
        <v>847</v>
      </c>
      <c r="D241" s="1" t="s">
        <v>796</v>
      </c>
      <c r="E241" s="1" t="s">
        <v>743</v>
      </c>
    </row>
    <row r="242" spans="1:5" ht="14.1" customHeight="1" x14ac:dyDescent="0.2">
      <c r="A242" s="2">
        <v>240</v>
      </c>
      <c r="B242" s="1" t="s">
        <v>743</v>
      </c>
      <c r="C242" s="1" t="s">
        <v>848</v>
      </c>
      <c r="D242" s="1" t="s">
        <v>797</v>
      </c>
      <c r="E242" s="1" t="s">
        <v>744</v>
      </c>
    </row>
    <row r="243" spans="1:5" ht="14.1" customHeight="1" x14ac:dyDescent="0.2">
      <c r="A243" s="2">
        <v>241</v>
      </c>
      <c r="B243" s="1" t="s">
        <v>744</v>
      </c>
      <c r="C243" s="1" t="s">
        <v>879</v>
      </c>
      <c r="D243" s="1" t="s">
        <v>880</v>
      </c>
      <c r="E243" s="1" t="s">
        <v>983</v>
      </c>
    </row>
    <row r="244" spans="1:5" ht="14.1" customHeight="1" x14ac:dyDescent="0.2">
      <c r="A244" s="2">
        <v>242</v>
      </c>
      <c r="B244" s="1" t="s">
        <v>983</v>
      </c>
      <c r="C244" s="1" t="s">
        <v>881</v>
      </c>
      <c r="D244" s="1" t="s">
        <v>882</v>
      </c>
      <c r="E244" s="1" t="s">
        <v>984</v>
      </c>
    </row>
    <row r="245" spans="1:5" ht="14.1" customHeight="1" x14ac:dyDescent="0.2">
      <c r="A245" s="2">
        <v>243</v>
      </c>
      <c r="B245" s="1" t="s">
        <v>984</v>
      </c>
      <c r="C245" s="1" t="s">
        <v>883</v>
      </c>
      <c r="D245" s="1" t="s">
        <v>884</v>
      </c>
      <c r="E245" s="1" t="s">
        <v>985</v>
      </c>
    </row>
    <row r="246" spans="1:5" ht="14.1" customHeight="1" x14ac:dyDescent="0.2">
      <c r="A246" s="2">
        <v>244</v>
      </c>
      <c r="B246" s="1" t="s">
        <v>985</v>
      </c>
      <c r="C246" s="1" t="s">
        <v>885</v>
      </c>
      <c r="D246" s="1" t="s">
        <v>886</v>
      </c>
      <c r="E246" s="1" t="s">
        <v>986</v>
      </c>
    </row>
    <row r="247" spans="1:5" ht="14.1" customHeight="1" x14ac:dyDescent="0.2">
      <c r="A247" s="2">
        <v>245</v>
      </c>
      <c r="B247" s="1" t="s">
        <v>986</v>
      </c>
      <c r="C247" s="1" t="s">
        <v>887</v>
      </c>
      <c r="D247" s="1" t="s">
        <v>888</v>
      </c>
      <c r="E247" s="1" t="s">
        <v>987</v>
      </c>
    </row>
    <row r="248" spans="1:5" ht="14.1" customHeight="1" x14ac:dyDescent="0.2">
      <c r="A248" s="2">
        <v>246</v>
      </c>
      <c r="B248" s="1" t="s">
        <v>987</v>
      </c>
      <c r="C248" s="1" t="s">
        <v>889</v>
      </c>
      <c r="D248" s="1" t="s">
        <v>890</v>
      </c>
      <c r="E248" s="1" t="s">
        <v>988</v>
      </c>
    </row>
    <row r="249" spans="1:5" ht="14.1" customHeight="1" x14ac:dyDescent="0.2">
      <c r="A249" s="2">
        <v>247</v>
      </c>
      <c r="B249" s="1" t="s">
        <v>988</v>
      </c>
      <c r="C249" s="1" t="s">
        <v>891</v>
      </c>
      <c r="D249" s="1" t="s">
        <v>892</v>
      </c>
      <c r="E249" s="1" t="s">
        <v>989</v>
      </c>
    </row>
    <row r="250" spans="1:5" ht="14.1" customHeight="1" x14ac:dyDescent="0.2">
      <c r="A250" s="2">
        <v>248</v>
      </c>
      <c r="B250" s="1" t="s">
        <v>989</v>
      </c>
      <c r="C250" s="1" t="s">
        <v>893</v>
      </c>
      <c r="D250" s="1" t="s">
        <v>894</v>
      </c>
      <c r="E250" s="1" t="s">
        <v>990</v>
      </c>
    </row>
    <row r="251" spans="1:5" ht="14.1" customHeight="1" x14ac:dyDescent="0.2">
      <c r="A251" s="2">
        <v>249</v>
      </c>
      <c r="B251" s="1" t="s">
        <v>990</v>
      </c>
      <c r="C251" s="1" t="s">
        <v>895</v>
      </c>
      <c r="D251" s="1" t="s">
        <v>896</v>
      </c>
      <c r="E251" s="1" t="s">
        <v>991</v>
      </c>
    </row>
    <row r="252" spans="1:5" ht="14.1" customHeight="1" x14ac:dyDescent="0.2">
      <c r="A252" s="2">
        <v>250</v>
      </c>
      <c r="B252" s="1" t="s">
        <v>991</v>
      </c>
      <c r="C252" s="1" t="s">
        <v>897</v>
      </c>
      <c r="D252" s="1" t="s">
        <v>898</v>
      </c>
      <c r="E252" s="1" t="s">
        <v>992</v>
      </c>
    </row>
    <row r="253" spans="1:5" ht="14.1" customHeight="1" x14ac:dyDescent="0.2">
      <c r="A253" s="2">
        <v>251</v>
      </c>
      <c r="B253" s="1" t="s">
        <v>992</v>
      </c>
      <c r="C253" s="1" t="s">
        <v>899</v>
      </c>
      <c r="D253" s="1" t="s">
        <v>900</v>
      </c>
      <c r="E253" s="1" t="s">
        <v>993</v>
      </c>
    </row>
    <row r="254" spans="1:5" ht="14.1" customHeight="1" x14ac:dyDescent="0.2">
      <c r="A254" s="2">
        <v>252</v>
      </c>
      <c r="B254" s="1" t="s">
        <v>993</v>
      </c>
      <c r="C254" s="1" t="s">
        <v>901</v>
      </c>
      <c r="D254" s="1" t="s">
        <v>902</v>
      </c>
      <c r="E254" s="1" t="s">
        <v>994</v>
      </c>
    </row>
    <row r="255" spans="1:5" ht="14.1" customHeight="1" x14ac:dyDescent="0.2">
      <c r="A255" s="2">
        <v>253</v>
      </c>
      <c r="B255" s="1" t="s">
        <v>994</v>
      </c>
      <c r="C255" s="1" t="s">
        <v>903</v>
      </c>
      <c r="D255" s="1" t="s">
        <v>904</v>
      </c>
      <c r="E255" s="1" t="s">
        <v>995</v>
      </c>
    </row>
    <row r="256" spans="1:5" ht="14.1" customHeight="1" x14ac:dyDescent="0.2">
      <c r="A256" s="2">
        <v>254</v>
      </c>
      <c r="B256" s="1" t="s">
        <v>995</v>
      </c>
      <c r="C256" s="1" t="s">
        <v>905</v>
      </c>
      <c r="D256" s="1" t="s">
        <v>906</v>
      </c>
      <c r="E256" s="1" t="s">
        <v>996</v>
      </c>
    </row>
    <row r="257" spans="1:5" ht="14.1" customHeight="1" x14ac:dyDescent="0.2">
      <c r="A257" s="2">
        <v>255</v>
      </c>
      <c r="B257" s="1" t="s">
        <v>996</v>
      </c>
      <c r="C257" s="1" t="s">
        <v>907</v>
      </c>
      <c r="D257" s="1" t="s">
        <v>908</v>
      </c>
      <c r="E257" s="1" t="s">
        <v>997</v>
      </c>
    </row>
    <row r="258" spans="1:5" ht="14.1" customHeight="1" x14ac:dyDescent="0.2">
      <c r="A258" s="2">
        <v>256</v>
      </c>
      <c r="B258" s="1" t="s">
        <v>997</v>
      </c>
      <c r="C258" s="1" t="s">
        <v>909</v>
      </c>
      <c r="D258" s="1" t="s">
        <v>910</v>
      </c>
      <c r="E258" s="1" t="s">
        <v>998</v>
      </c>
    </row>
    <row r="259" spans="1:5" ht="14.1" customHeight="1" x14ac:dyDescent="0.2">
      <c r="A259" s="2">
        <v>257</v>
      </c>
      <c r="B259" s="1" t="s">
        <v>998</v>
      </c>
      <c r="C259" s="1" t="s">
        <v>911</v>
      </c>
      <c r="D259" s="1" t="s">
        <v>912</v>
      </c>
      <c r="E259" s="1" t="s">
        <v>999</v>
      </c>
    </row>
    <row r="260" spans="1:5" ht="14.1" customHeight="1" x14ac:dyDescent="0.2">
      <c r="A260" s="2">
        <v>258</v>
      </c>
      <c r="B260" s="1" t="s">
        <v>999</v>
      </c>
      <c r="C260" s="1" t="s">
        <v>913</v>
      </c>
      <c r="D260" s="1" t="s">
        <v>914</v>
      </c>
      <c r="E260" s="1" t="s">
        <v>1000</v>
      </c>
    </row>
    <row r="261" spans="1:5" ht="14.1" customHeight="1" x14ac:dyDescent="0.2">
      <c r="A261" s="2">
        <v>259</v>
      </c>
      <c r="B261" s="1" t="s">
        <v>1000</v>
      </c>
      <c r="C261" s="1" t="s">
        <v>915</v>
      </c>
      <c r="D261" s="1" t="s">
        <v>916</v>
      </c>
      <c r="E261" s="1" t="s">
        <v>1001</v>
      </c>
    </row>
    <row r="262" spans="1:5" ht="14.1" customHeight="1" x14ac:dyDescent="0.2">
      <c r="A262" s="2">
        <v>260</v>
      </c>
      <c r="B262" s="1" t="s">
        <v>1001</v>
      </c>
      <c r="C262" s="1" t="s">
        <v>917</v>
      </c>
      <c r="D262" s="1" t="s">
        <v>918</v>
      </c>
      <c r="E262" s="1" t="s">
        <v>1002</v>
      </c>
    </row>
    <row r="263" spans="1:5" ht="14.1" customHeight="1" x14ac:dyDescent="0.2">
      <c r="A263" s="2">
        <v>261</v>
      </c>
      <c r="B263" s="1" t="s">
        <v>1002</v>
      </c>
      <c r="C263" s="1" t="s">
        <v>919</v>
      </c>
      <c r="D263" s="1" t="s">
        <v>920</v>
      </c>
      <c r="E263" s="1" t="s">
        <v>1003</v>
      </c>
    </row>
    <row r="264" spans="1:5" ht="14.1" customHeight="1" x14ac:dyDescent="0.2">
      <c r="A264" s="2">
        <v>262</v>
      </c>
      <c r="B264" s="1" t="s">
        <v>1003</v>
      </c>
      <c r="C264" s="1" t="s">
        <v>921</v>
      </c>
      <c r="D264" s="1" t="s">
        <v>922</v>
      </c>
      <c r="E264" s="1" t="s">
        <v>1004</v>
      </c>
    </row>
    <row r="265" spans="1:5" ht="14.1" customHeight="1" x14ac:dyDescent="0.2">
      <c r="A265" s="2">
        <v>263</v>
      </c>
      <c r="B265" s="1" t="s">
        <v>1004</v>
      </c>
      <c r="C265" s="1" t="s">
        <v>923</v>
      </c>
      <c r="D265" s="1" t="s">
        <v>924</v>
      </c>
      <c r="E265" s="1" t="s">
        <v>1005</v>
      </c>
    </row>
    <row r="266" spans="1:5" ht="14.1" customHeight="1" x14ac:dyDescent="0.2">
      <c r="A266" s="2">
        <v>264</v>
      </c>
      <c r="B266" s="1" t="s">
        <v>1005</v>
      </c>
      <c r="C266" s="1" t="s">
        <v>925</v>
      </c>
      <c r="D266" s="1" t="s">
        <v>926</v>
      </c>
      <c r="E266" s="1" t="s">
        <v>1006</v>
      </c>
    </row>
    <row r="267" spans="1:5" ht="14.1" customHeight="1" x14ac:dyDescent="0.2">
      <c r="A267" s="2">
        <v>265</v>
      </c>
      <c r="B267" s="1" t="s">
        <v>1006</v>
      </c>
      <c r="C267" s="1" t="s">
        <v>927</v>
      </c>
      <c r="D267" s="1" t="s">
        <v>928</v>
      </c>
      <c r="E267" s="1" t="s">
        <v>1007</v>
      </c>
    </row>
    <row r="268" spans="1:5" ht="14.1" customHeight="1" x14ac:dyDescent="0.2">
      <c r="A268" s="2">
        <v>266</v>
      </c>
      <c r="B268" s="1" t="s">
        <v>1007</v>
      </c>
      <c r="C268" s="1" t="s">
        <v>929</v>
      </c>
      <c r="D268" s="1" t="s">
        <v>930</v>
      </c>
      <c r="E268" s="1" t="s">
        <v>1008</v>
      </c>
    </row>
    <row r="269" spans="1:5" ht="14.1" customHeight="1" x14ac:dyDescent="0.2">
      <c r="A269" s="2">
        <v>267</v>
      </c>
      <c r="B269" s="1" t="s">
        <v>1008</v>
      </c>
      <c r="C269" s="1" t="s">
        <v>931</v>
      </c>
      <c r="D269" s="1" t="s">
        <v>932</v>
      </c>
      <c r="E269" s="1" t="s">
        <v>1009</v>
      </c>
    </row>
    <row r="270" spans="1:5" ht="14.1" customHeight="1" x14ac:dyDescent="0.2">
      <c r="A270" s="2">
        <v>268</v>
      </c>
      <c r="B270" s="1" t="s">
        <v>1009</v>
      </c>
      <c r="C270" s="1" t="s">
        <v>933</v>
      </c>
      <c r="D270" s="1" t="s">
        <v>934</v>
      </c>
      <c r="E270" s="1" t="s">
        <v>1010</v>
      </c>
    </row>
    <row r="271" spans="1:5" ht="14.1" customHeight="1" x14ac:dyDescent="0.2">
      <c r="A271" s="2">
        <v>269</v>
      </c>
      <c r="B271" s="1" t="s">
        <v>1010</v>
      </c>
      <c r="C271" s="1" t="s">
        <v>935</v>
      </c>
      <c r="D271" s="1" t="s">
        <v>936</v>
      </c>
      <c r="E271" s="1" t="s">
        <v>1011</v>
      </c>
    </row>
    <row r="272" spans="1:5" ht="14.1" customHeight="1" x14ac:dyDescent="0.2">
      <c r="A272" s="2">
        <v>270</v>
      </c>
      <c r="B272" s="1" t="s">
        <v>1011</v>
      </c>
      <c r="C272" s="1" t="s">
        <v>937</v>
      </c>
      <c r="D272" s="1" t="s">
        <v>938</v>
      </c>
      <c r="E272" s="1" t="s">
        <v>1012</v>
      </c>
    </row>
    <row r="273" spans="1:5" ht="14.1" customHeight="1" x14ac:dyDescent="0.2">
      <c r="A273" s="2">
        <v>271</v>
      </c>
      <c r="B273" s="1" t="s">
        <v>1012</v>
      </c>
      <c r="C273" s="1" t="s">
        <v>939</v>
      </c>
      <c r="D273" s="1" t="s">
        <v>940</v>
      </c>
      <c r="E273" s="1" t="s">
        <v>1013</v>
      </c>
    </row>
    <row r="274" spans="1:5" ht="14.1" customHeight="1" x14ac:dyDescent="0.2">
      <c r="A274" s="2">
        <v>272</v>
      </c>
      <c r="B274" s="1" t="s">
        <v>1013</v>
      </c>
      <c r="C274" s="1" t="s">
        <v>941</v>
      </c>
      <c r="D274" s="1" t="s">
        <v>942</v>
      </c>
      <c r="E274" s="1" t="s">
        <v>1014</v>
      </c>
    </row>
    <row r="275" spans="1:5" ht="14.1" customHeight="1" x14ac:dyDescent="0.2">
      <c r="A275" s="2">
        <v>273</v>
      </c>
      <c r="B275" s="1" t="s">
        <v>1014</v>
      </c>
      <c r="C275" s="1" t="s">
        <v>943</v>
      </c>
      <c r="D275" s="1" t="s">
        <v>944</v>
      </c>
      <c r="E275" s="1" t="s">
        <v>1015</v>
      </c>
    </row>
    <row r="276" spans="1:5" ht="14.1" customHeight="1" x14ac:dyDescent="0.2">
      <c r="A276" s="2">
        <v>274</v>
      </c>
      <c r="B276" s="1" t="s">
        <v>1015</v>
      </c>
      <c r="C276" s="1" t="s">
        <v>945</v>
      </c>
      <c r="D276" s="1" t="s">
        <v>946</v>
      </c>
      <c r="E276" s="1" t="s">
        <v>1016</v>
      </c>
    </row>
    <row r="277" spans="1:5" ht="14.1" customHeight="1" x14ac:dyDescent="0.2">
      <c r="A277" s="2">
        <v>275</v>
      </c>
      <c r="B277" s="1" t="s">
        <v>1016</v>
      </c>
      <c r="C277" s="1" t="s">
        <v>947</v>
      </c>
      <c r="D277" s="1" t="s">
        <v>948</v>
      </c>
      <c r="E277" s="1" t="s">
        <v>1017</v>
      </c>
    </row>
    <row r="278" spans="1:5" ht="14.1" customHeight="1" x14ac:dyDescent="0.2">
      <c r="A278" s="2">
        <v>276</v>
      </c>
      <c r="B278" s="1" t="s">
        <v>1017</v>
      </c>
      <c r="C278" s="1" t="s">
        <v>949</v>
      </c>
      <c r="D278" s="1" t="s">
        <v>950</v>
      </c>
      <c r="E278" s="1" t="s">
        <v>1018</v>
      </c>
    </row>
    <row r="279" spans="1:5" ht="14.1" customHeight="1" x14ac:dyDescent="0.2">
      <c r="A279" s="2">
        <v>277</v>
      </c>
      <c r="B279" s="1" t="s">
        <v>1018</v>
      </c>
      <c r="C279" s="1" t="s">
        <v>951</v>
      </c>
      <c r="D279" s="1" t="s">
        <v>952</v>
      </c>
      <c r="E279" s="1" t="s">
        <v>1019</v>
      </c>
    </row>
    <row r="280" spans="1:5" ht="14.1" customHeight="1" x14ac:dyDescent="0.2">
      <c r="A280" s="2">
        <v>278</v>
      </c>
      <c r="B280" s="1" t="s">
        <v>1019</v>
      </c>
      <c r="C280" s="1" t="s">
        <v>953</v>
      </c>
      <c r="D280" s="1" t="s">
        <v>954</v>
      </c>
      <c r="E280" s="1" t="s">
        <v>1020</v>
      </c>
    </row>
    <row r="281" spans="1:5" ht="14.1" customHeight="1" x14ac:dyDescent="0.2">
      <c r="A281" s="2">
        <v>279</v>
      </c>
      <c r="B281" s="1" t="s">
        <v>1020</v>
      </c>
      <c r="C281" s="1" t="s">
        <v>955</v>
      </c>
      <c r="D281" s="1" t="s">
        <v>956</v>
      </c>
      <c r="E281" s="1" t="s">
        <v>1021</v>
      </c>
    </row>
    <row r="282" spans="1:5" ht="14.1" customHeight="1" x14ac:dyDescent="0.2">
      <c r="A282" s="2">
        <v>280</v>
      </c>
      <c r="B282" s="1" t="s">
        <v>1021</v>
      </c>
      <c r="C282" s="1" t="s">
        <v>957</v>
      </c>
      <c r="D282" s="1" t="s">
        <v>958</v>
      </c>
      <c r="E282" s="1" t="s">
        <v>1022</v>
      </c>
    </row>
    <row r="283" spans="1:5" ht="14.1" customHeight="1" x14ac:dyDescent="0.2">
      <c r="A283" s="2">
        <v>281</v>
      </c>
      <c r="B283" s="1" t="s">
        <v>1022</v>
      </c>
      <c r="C283" s="1" t="s">
        <v>959</v>
      </c>
      <c r="D283" s="1" t="s">
        <v>960</v>
      </c>
      <c r="E283" s="1" t="s">
        <v>1023</v>
      </c>
    </row>
    <row r="284" spans="1:5" ht="14.1" customHeight="1" x14ac:dyDescent="0.2">
      <c r="A284" s="2">
        <v>282</v>
      </c>
      <c r="B284" s="1" t="s">
        <v>1023</v>
      </c>
      <c r="C284" s="1" t="s">
        <v>961</v>
      </c>
      <c r="D284" s="1" t="s">
        <v>962</v>
      </c>
      <c r="E284" s="1" t="s">
        <v>1024</v>
      </c>
    </row>
    <row r="285" spans="1:5" ht="14.1" customHeight="1" x14ac:dyDescent="0.2">
      <c r="A285" s="2">
        <v>283</v>
      </c>
      <c r="B285" s="1" t="s">
        <v>1024</v>
      </c>
      <c r="C285" s="1" t="s">
        <v>963</v>
      </c>
      <c r="D285" s="1" t="s">
        <v>964</v>
      </c>
      <c r="E285" s="1" t="s">
        <v>1025</v>
      </c>
    </row>
    <row r="286" spans="1:5" ht="14.1" customHeight="1" x14ac:dyDescent="0.2">
      <c r="A286" s="2">
        <v>284</v>
      </c>
      <c r="B286" s="1" t="s">
        <v>1025</v>
      </c>
      <c r="C286" s="1" t="s">
        <v>965</v>
      </c>
      <c r="D286" s="1" t="s">
        <v>966</v>
      </c>
      <c r="E286" s="1" t="s">
        <v>1026</v>
      </c>
    </row>
    <row r="287" spans="1:5" ht="14.1" customHeight="1" x14ac:dyDescent="0.2">
      <c r="A287" s="2">
        <v>285</v>
      </c>
      <c r="B287" s="1" t="s">
        <v>1026</v>
      </c>
      <c r="C287" s="1" t="s">
        <v>967</v>
      </c>
      <c r="D287" s="1" t="s">
        <v>968</v>
      </c>
      <c r="E287" s="1" t="s">
        <v>1027</v>
      </c>
    </row>
    <row r="288" spans="1:5" ht="14.1" customHeight="1" x14ac:dyDescent="0.2">
      <c r="A288" s="2">
        <v>286</v>
      </c>
      <c r="B288" s="1" t="s">
        <v>1027</v>
      </c>
      <c r="C288" s="1" t="s">
        <v>969</v>
      </c>
      <c r="D288" s="1" t="s">
        <v>970</v>
      </c>
      <c r="E288" s="1" t="s">
        <v>1028</v>
      </c>
    </row>
    <row r="289" spans="1:8" ht="14.1" customHeight="1" x14ac:dyDescent="0.2">
      <c r="A289" s="2">
        <v>287</v>
      </c>
      <c r="B289" s="1" t="s">
        <v>1028</v>
      </c>
      <c r="C289" s="1" t="s">
        <v>971</v>
      </c>
      <c r="D289" s="1" t="s">
        <v>972</v>
      </c>
      <c r="E289" s="1" t="s">
        <v>1029</v>
      </c>
    </row>
    <row r="290" spans="1:8" ht="14.1" customHeight="1" x14ac:dyDescent="0.2">
      <c r="A290" s="2">
        <v>288</v>
      </c>
      <c r="B290" s="1" t="s">
        <v>1029</v>
      </c>
      <c r="C290" s="1" t="s">
        <v>973</v>
      </c>
      <c r="D290" s="1" t="s">
        <v>974</v>
      </c>
      <c r="E290" s="1" t="s">
        <v>1030</v>
      </c>
    </row>
    <row r="291" spans="1:8" ht="14.1" customHeight="1" x14ac:dyDescent="0.2">
      <c r="A291" s="2">
        <v>289</v>
      </c>
      <c r="B291" s="1" t="s">
        <v>1030</v>
      </c>
      <c r="C291" s="1" t="s">
        <v>975</v>
      </c>
      <c r="D291" s="1" t="s">
        <v>976</v>
      </c>
      <c r="E291" s="1" t="s">
        <v>1031</v>
      </c>
    </row>
    <row r="292" spans="1:8" ht="14.1" customHeight="1" x14ac:dyDescent="0.2">
      <c r="A292" s="2">
        <v>290</v>
      </c>
      <c r="B292" s="1" t="s">
        <v>1031</v>
      </c>
      <c r="C292" s="1" t="s">
        <v>977</v>
      </c>
      <c r="D292" s="1" t="s">
        <v>978</v>
      </c>
      <c r="E292" s="1" t="s">
        <v>1032</v>
      </c>
    </row>
    <row r="293" spans="1:8" ht="14.1" customHeight="1" x14ac:dyDescent="0.2">
      <c r="A293" s="2">
        <v>291</v>
      </c>
      <c r="B293" s="1" t="s">
        <v>1032</v>
      </c>
      <c r="C293" s="1" t="s">
        <v>979</v>
      </c>
      <c r="D293" s="1" t="s">
        <v>980</v>
      </c>
      <c r="E293" s="1" t="s">
        <v>1033</v>
      </c>
    </row>
    <row r="294" spans="1:8" ht="14.1" customHeight="1" x14ac:dyDescent="0.2">
      <c r="A294" s="2">
        <v>292</v>
      </c>
      <c r="B294" s="1" t="s">
        <v>1033</v>
      </c>
      <c r="C294" s="1" t="s">
        <v>981</v>
      </c>
      <c r="D294" s="1" t="s">
        <v>982</v>
      </c>
      <c r="E294" s="1" t="s">
        <v>1034</v>
      </c>
    </row>
    <row r="295" spans="1:8" ht="14.1" customHeight="1" x14ac:dyDescent="0.2">
      <c r="A295" s="2" t="s">
        <v>1093</v>
      </c>
      <c r="B295" s="1" t="s">
        <v>1098</v>
      </c>
      <c r="C295" s="1" t="s">
        <v>1104</v>
      </c>
      <c r="D295" s="1" t="s">
        <v>1108</v>
      </c>
      <c r="E295" s="1" t="s">
        <v>1099</v>
      </c>
    </row>
    <row r="296" spans="1:8" ht="14.1" customHeight="1" x14ac:dyDescent="0.2">
      <c r="A296" s="2" t="s">
        <v>1094</v>
      </c>
      <c r="B296" s="1" t="s">
        <v>1099</v>
      </c>
      <c r="C296" s="1" t="s">
        <v>1105</v>
      </c>
      <c r="D296" s="1" t="s">
        <v>1109</v>
      </c>
      <c r="E296" s="1" t="s">
        <v>1100</v>
      </c>
    </row>
    <row r="297" spans="1:8" ht="14.1" customHeight="1" x14ac:dyDescent="0.2">
      <c r="A297" s="2" t="s">
        <v>1095</v>
      </c>
      <c r="B297" s="1" t="s">
        <v>1100</v>
      </c>
      <c r="C297" s="1" t="s">
        <v>1106</v>
      </c>
      <c r="D297" s="1" t="s">
        <v>1110</v>
      </c>
      <c r="E297" s="1" t="s">
        <v>1101</v>
      </c>
    </row>
    <row r="298" spans="1:8" ht="14.1" customHeight="1" x14ac:dyDescent="0.2">
      <c r="A298" s="2" t="s">
        <v>1096</v>
      </c>
      <c r="B298" s="1" t="s">
        <v>1174</v>
      </c>
      <c r="C298" s="1" t="s">
        <v>1107</v>
      </c>
      <c r="D298" s="1" t="s">
        <v>1111</v>
      </c>
      <c r="E298" s="1" t="s">
        <v>1102</v>
      </c>
    </row>
    <row r="299" spans="1:8" ht="14.1" customHeight="1" x14ac:dyDescent="0.2">
      <c r="A299" s="2" t="s">
        <v>1097</v>
      </c>
      <c r="B299" s="1" t="s">
        <v>1114</v>
      </c>
      <c r="C299" s="1" t="s">
        <v>1113</v>
      </c>
      <c r="D299" s="1" t="s">
        <v>1112</v>
      </c>
      <c r="E299" s="1" t="s">
        <v>1103</v>
      </c>
    </row>
    <row r="300" spans="1:8" ht="14.1" customHeight="1" x14ac:dyDescent="0.3">
      <c r="A300" s="2" t="s">
        <v>1144</v>
      </c>
      <c r="B300" s="1" t="s">
        <v>1115</v>
      </c>
      <c r="C300" s="31">
        <v>44592.041666666664</v>
      </c>
      <c r="D300" s="31">
        <v>44599.000011574077</v>
      </c>
      <c r="E300" s="1" t="s">
        <v>1116</v>
      </c>
      <c r="F300" s="30"/>
      <c r="H300" s="23"/>
    </row>
    <row r="301" spans="1:8" ht="14.1" customHeight="1" x14ac:dyDescent="0.3">
      <c r="A301" s="2" t="s">
        <v>1145</v>
      </c>
      <c r="B301" s="1" t="s">
        <v>1116</v>
      </c>
      <c r="C301" s="31">
        <v>44599.041666666664</v>
      </c>
      <c r="D301" s="31">
        <v>44606.000011574077</v>
      </c>
      <c r="E301" s="1" t="s">
        <v>1117</v>
      </c>
      <c r="F301" s="30"/>
      <c r="G301" s="24"/>
      <c r="H301" s="24"/>
    </row>
    <row r="302" spans="1:8" ht="14.1" customHeight="1" x14ac:dyDescent="0.3">
      <c r="A302" s="2" t="s">
        <v>1146</v>
      </c>
      <c r="B302" s="1" t="s">
        <v>1117</v>
      </c>
      <c r="C302" s="31">
        <v>44606.041666666664</v>
      </c>
      <c r="D302" s="31">
        <v>44613.000011574077</v>
      </c>
      <c r="E302" s="1" t="s">
        <v>1118</v>
      </c>
      <c r="F302" s="30"/>
      <c r="G302" s="23"/>
      <c r="H302" s="24"/>
    </row>
    <row r="303" spans="1:8" ht="14.1" customHeight="1" x14ac:dyDescent="0.3">
      <c r="A303" s="2" t="s">
        <v>1147</v>
      </c>
      <c r="B303" s="1" t="s">
        <v>1118</v>
      </c>
      <c r="C303" s="31">
        <v>44613.041666666664</v>
      </c>
      <c r="D303" s="31">
        <v>44620.000011574077</v>
      </c>
      <c r="E303" s="1" t="s">
        <v>1119</v>
      </c>
      <c r="F303" s="30"/>
      <c r="G303" s="23"/>
      <c r="H303" s="24"/>
    </row>
    <row r="304" spans="1:8" ht="14.1" customHeight="1" x14ac:dyDescent="0.3">
      <c r="A304" s="2" t="s">
        <v>1148</v>
      </c>
      <c r="B304" s="1" t="s">
        <v>1119</v>
      </c>
      <c r="C304" s="31">
        <v>44620.041666666664</v>
      </c>
      <c r="D304" s="31">
        <v>44627.000011574077</v>
      </c>
      <c r="E304" s="1" t="s">
        <v>1120</v>
      </c>
      <c r="F304" s="30"/>
      <c r="G304" s="23"/>
      <c r="H304" s="23"/>
    </row>
    <row r="305" spans="1:8" ht="14.1" customHeight="1" x14ac:dyDescent="0.3">
      <c r="A305" s="2" t="s">
        <v>1149</v>
      </c>
      <c r="B305" s="1" t="s">
        <v>1120</v>
      </c>
      <c r="C305" s="31">
        <v>44627.041666666664</v>
      </c>
      <c r="D305" s="31">
        <v>44634.000011574077</v>
      </c>
      <c r="E305" s="1" t="s">
        <v>1121</v>
      </c>
      <c r="F305" s="30"/>
      <c r="G305" s="23"/>
      <c r="H305" s="23"/>
    </row>
    <row r="306" spans="1:8" ht="14.1" customHeight="1" x14ac:dyDescent="0.3">
      <c r="A306" s="2" t="s">
        <v>1150</v>
      </c>
      <c r="B306" s="1" t="s">
        <v>1121</v>
      </c>
      <c r="C306" s="31">
        <v>44634.041666666664</v>
      </c>
      <c r="D306" s="31">
        <v>44641.000011574077</v>
      </c>
      <c r="E306" s="1" t="s">
        <v>1122</v>
      </c>
      <c r="F306" s="30"/>
      <c r="G306" s="23"/>
      <c r="H306" s="23"/>
    </row>
    <row r="307" spans="1:8" ht="14.1" customHeight="1" x14ac:dyDescent="0.3">
      <c r="A307" s="2" t="s">
        <v>1151</v>
      </c>
      <c r="B307" s="1" t="s">
        <v>1122</v>
      </c>
      <c r="C307" s="31">
        <v>44641.041666666664</v>
      </c>
      <c r="D307" s="31">
        <v>44648.000011574077</v>
      </c>
      <c r="E307" s="1" t="s">
        <v>1123</v>
      </c>
      <c r="F307" s="30"/>
      <c r="G307" s="23"/>
      <c r="H307" s="23"/>
    </row>
    <row r="308" spans="1:8" ht="14.1" customHeight="1" x14ac:dyDescent="0.3">
      <c r="A308" s="2" t="s">
        <v>1152</v>
      </c>
      <c r="B308" s="1" t="s">
        <v>1123</v>
      </c>
      <c r="C308" s="31">
        <v>44648.041666666664</v>
      </c>
      <c r="D308" s="31">
        <v>44655.000011574077</v>
      </c>
      <c r="E308" s="1" t="s">
        <v>1124</v>
      </c>
      <c r="F308" s="30"/>
      <c r="G308" s="23"/>
      <c r="H308" s="23"/>
    </row>
    <row r="309" spans="1:8" ht="14.1" customHeight="1" x14ac:dyDescent="0.3">
      <c r="A309" s="2" t="s">
        <v>1153</v>
      </c>
      <c r="B309" s="1" t="s">
        <v>1124</v>
      </c>
      <c r="C309" s="31">
        <v>44655.041666666664</v>
      </c>
      <c r="D309" s="31">
        <v>44662.000011574077</v>
      </c>
      <c r="E309" s="1" t="s">
        <v>1125</v>
      </c>
      <c r="F309" s="30"/>
      <c r="G309" s="23"/>
      <c r="H309" s="23"/>
    </row>
    <row r="310" spans="1:8" ht="14.1" customHeight="1" x14ac:dyDescent="0.3">
      <c r="A310" s="2" t="s">
        <v>1154</v>
      </c>
      <c r="B310" s="1" t="s">
        <v>1125</v>
      </c>
      <c r="C310" s="31">
        <v>44662.041666666664</v>
      </c>
      <c r="D310" s="31">
        <v>44669.000011574077</v>
      </c>
      <c r="E310" s="1" t="s">
        <v>1126</v>
      </c>
      <c r="F310" s="30"/>
      <c r="G310" s="23"/>
      <c r="H310" s="23"/>
    </row>
    <row r="311" spans="1:8" ht="14.1" customHeight="1" x14ac:dyDescent="0.3">
      <c r="A311" s="2" t="s">
        <v>1155</v>
      </c>
      <c r="B311" s="1" t="s">
        <v>1126</v>
      </c>
      <c r="C311" s="31">
        <v>44669.041666666664</v>
      </c>
      <c r="D311" s="31">
        <v>44676.000011574077</v>
      </c>
      <c r="E311" s="1" t="s">
        <v>1127</v>
      </c>
      <c r="F311" s="30"/>
      <c r="G311" s="23"/>
      <c r="H311" s="23"/>
    </row>
    <row r="312" spans="1:8" ht="14.1" customHeight="1" x14ac:dyDescent="0.3">
      <c r="A312" s="2" t="s">
        <v>1156</v>
      </c>
      <c r="B312" s="1" t="s">
        <v>1127</v>
      </c>
      <c r="C312" s="31">
        <v>44676.041666666664</v>
      </c>
      <c r="D312" s="31">
        <v>44683.000011574077</v>
      </c>
      <c r="E312" s="1" t="s">
        <v>1128</v>
      </c>
      <c r="F312" s="30"/>
      <c r="G312" s="23"/>
      <c r="H312" s="23"/>
    </row>
    <row r="313" spans="1:8" ht="14.1" customHeight="1" x14ac:dyDescent="0.3">
      <c r="A313" s="2" t="s">
        <v>1157</v>
      </c>
      <c r="B313" s="1" t="s">
        <v>1128</v>
      </c>
      <c r="C313" s="31">
        <v>44683.041666666664</v>
      </c>
      <c r="D313" s="31">
        <v>44690.000011574077</v>
      </c>
      <c r="E313" s="1" t="s">
        <v>1129</v>
      </c>
      <c r="F313" s="30"/>
      <c r="G313" s="23"/>
      <c r="H313" s="23"/>
    </row>
    <row r="314" spans="1:8" ht="14.1" customHeight="1" x14ac:dyDescent="0.3">
      <c r="A314" s="2" t="s">
        <v>1158</v>
      </c>
      <c r="B314" s="1" t="s">
        <v>1129</v>
      </c>
      <c r="C314" s="31">
        <v>44690.041666666664</v>
      </c>
      <c r="D314" s="31">
        <v>44697.000011574077</v>
      </c>
      <c r="E314" s="1" t="s">
        <v>1130</v>
      </c>
      <c r="F314" s="30"/>
      <c r="G314" s="23"/>
      <c r="H314" s="23"/>
    </row>
    <row r="315" spans="1:8" ht="14.1" customHeight="1" x14ac:dyDescent="0.3">
      <c r="A315" s="2" t="s">
        <v>1159</v>
      </c>
      <c r="B315" s="1" t="s">
        <v>1130</v>
      </c>
      <c r="C315" s="31">
        <v>44697.041666666664</v>
      </c>
      <c r="D315" s="31">
        <v>44704.000011574077</v>
      </c>
      <c r="E315" s="1" t="s">
        <v>1131</v>
      </c>
      <c r="F315" s="30"/>
      <c r="G315" s="23"/>
      <c r="H315" s="23"/>
    </row>
    <row r="316" spans="1:8" ht="14.1" customHeight="1" x14ac:dyDescent="0.3">
      <c r="A316" s="2" t="s">
        <v>1160</v>
      </c>
      <c r="B316" s="1" t="s">
        <v>1131</v>
      </c>
      <c r="C316" s="31">
        <v>44704.041666666664</v>
      </c>
      <c r="D316" s="31">
        <v>44711.000011574077</v>
      </c>
      <c r="E316" s="1" t="s">
        <v>1132</v>
      </c>
      <c r="F316" s="30"/>
      <c r="G316" s="23"/>
      <c r="H316" s="23"/>
    </row>
    <row r="317" spans="1:8" ht="14.1" customHeight="1" x14ac:dyDescent="0.3">
      <c r="A317" s="2" t="s">
        <v>1161</v>
      </c>
      <c r="B317" s="1" t="s">
        <v>1132</v>
      </c>
      <c r="C317" s="31">
        <v>44711.041666666664</v>
      </c>
      <c r="D317" s="31">
        <v>44718.000011574077</v>
      </c>
      <c r="E317" s="1" t="s">
        <v>1133</v>
      </c>
      <c r="F317" s="30"/>
      <c r="G317" s="23"/>
      <c r="H317" s="23"/>
    </row>
    <row r="318" spans="1:8" ht="14.1" customHeight="1" x14ac:dyDescent="0.3">
      <c r="A318" s="2" t="s">
        <v>1162</v>
      </c>
      <c r="B318" s="1" t="s">
        <v>1133</v>
      </c>
      <c r="C318" s="31">
        <v>44718.041666666664</v>
      </c>
      <c r="D318" s="31">
        <v>44725.000011574077</v>
      </c>
      <c r="E318" s="1" t="s">
        <v>1134</v>
      </c>
      <c r="F318" s="30"/>
      <c r="G318" s="23"/>
      <c r="H318" s="23"/>
    </row>
    <row r="319" spans="1:8" ht="14.1" customHeight="1" x14ac:dyDescent="0.3">
      <c r="A319" s="2" t="s">
        <v>1163</v>
      </c>
      <c r="B319" s="1" t="s">
        <v>1134</v>
      </c>
      <c r="C319" s="31">
        <v>44725.041666666664</v>
      </c>
      <c r="D319" s="31">
        <v>44732.000011574077</v>
      </c>
      <c r="E319" s="1" t="s">
        <v>1135</v>
      </c>
      <c r="F319" s="30"/>
      <c r="G319" s="23"/>
      <c r="H319" s="23"/>
    </row>
    <row r="320" spans="1:8" ht="14.1" customHeight="1" x14ac:dyDescent="0.2">
      <c r="A320" s="2" t="s">
        <v>1164</v>
      </c>
      <c r="B320" s="1" t="s">
        <v>1135</v>
      </c>
      <c r="C320" s="31">
        <v>44732.041666666664</v>
      </c>
      <c r="D320" s="31">
        <v>44739.000011574077</v>
      </c>
      <c r="E320" s="1" t="s">
        <v>1136</v>
      </c>
    </row>
    <row r="321" spans="1:5" ht="14.1" customHeight="1" x14ac:dyDescent="0.2">
      <c r="A321" s="2" t="s">
        <v>1165</v>
      </c>
      <c r="B321" s="1" t="s">
        <v>1136</v>
      </c>
      <c r="C321" s="31">
        <v>44739.041666666664</v>
      </c>
      <c r="D321" s="31">
        <v>44746.000011574077</v>
      </c>
      <c r="E321" s="1" t="s">
        <v>1137</v>
      </c>
    </row>
    <row r="322" spans="1:5" ht="14.1" customHeight="1" x14ac:dyDescent="0.2">
      <c r="A322" s="2" t="s">
        <v>1166</v>
      </c>
      <c r="B322" s="1" t="s">
        <v>1137</v>
      </c>
      <c r="C322" s="31">
        <v>44746.041666666664</v>
      </c>
      <c r="D322" s="31">
        <v>44753.000011574077</v>
      </c>
      <c r="E322" s="1" t="s">
        <v>1138</v>
      </c>
    </row>
    <row r="323" spans="1:5" ht="14.1" customHeight="1" x14ac:dyDescent="0.2">
      <c r="A323" s="2" t="s">
        <v>1167</v>
      </c>
      <c r="B323" s="1" t="s">
        <v>1138</v>
      </c>
      <c r="C323" s="31">
        <v>44753.041666666664</v>
      </c>
      <c r="D323" s="31">
        <v>44760.000011574077</v>
      </c>
      <c r="E323" s="1" t="s">
        <v>1139</v>
      </c>
    </row>
    <row r="324" spans="1:5" ht="14.1" customHeight="1" x14ac:dyDescent="0.2">
      <c r="A324" s="2" t="s">
        <v>1168</v>
      </c>
      <c r="B324" s="1" t="s">
        <v>1139</v>
      </c>
      <c r="C324" s="31">
        <v>44760.041666666664</v>
      </c>
      <c r="D324" s="31">
        <v>44767.000011574077</v>
      </c>
      <c r="E324" s="1" t="s">
        <v>1140</v>
      </c>
    </row>
    <row r="325" spans="1:5" ht="14.1" customHeight="1" x14ac:dyDescent="0.2">
      <c r="A325" s="2" t="s">
        <v>1169</v>
      </c>
      <c r="B325" s="1" t="s">
        <v>1140</v>
      </c>
      <c r="C325" s="31">
        <v>44767.041666666664</v>
      </c>
      <c r="D325" s="31">
        <v>44774.000011574077</v>
      </c>
      <c r="E325" s="1" t="s">
        <v>1141</v>
      </c>
    </row>
    <row r="326" spans="1:5" ht="14.1" customHeight="1" x14ac:dyDescent="0.2">
      <c r="A326" s="2" t="s">
        <v>1170</v>
      </c>
      <c r="B326" s="1" t="s">
        <v>1141</v>
      </c>
      <c r="C326" s="31">
        <v>44774.041666666664</v>
      </c>
      <c r="D326" s="31">
        <v>44781.000011574077</v>
      </c>
      <c r="E326" s="1" t="s">
        <v>1142</v>
      </c>
    </row>
    <row r="327" spans="1:5" ht="14.1" customHeight="1" x14ac:dyDescent="0.2">
      <c r="A327" s="2" t="s">
        <v>1171</v>
      </c>
      <c r="B327" s="1" t="s">
        <v>1142</v>
      </c>
      <c r="C327" s="31">
        <v>44781.041666666664</v>
      </c>
      <c r="D327" s="31">
        <v>44788.000011574077</v>
      </c>
      <c r="E327" s="1" t="s">
        <v>1143</v>
      </c>
    </row>
    <row r="328" spans="1:5" ht="14.1" customHeight="1" x14ac:dyDescent="0.2">
      <c r="A328" s="2" t="s">
        <v>1172</v>
      </c>
      <c r="B328" s="1" t="s">
        <v>1143</v>
      </c>
      <c r="C328" s="31">
        <v>44788.041666666664</v>
      </c>
      <c r="D328" s="31">
        <v>44795.000011574077</v>
      </c>
      <c r="E328" s="1" t="s">
        <v>1175</v>
      </c>
    </row>
    <row r="329" spans="1:5" ht="14.1" customHeight="1" x14ac:dyDescent="0.2">
      <c r="A329" s="2" t="s">
        <v>1173</v>
      </c>
      <c r="B329" s="1" t="s">
        <v>1175</v>
      </c>
      <c r="C329" s="31">
        <v>44795.041666666664</v>
      </c>
      <c r="D329" s="31">
        <v>44802.000011574077</v>
      </c>
      <c r="E329" s="1" t="s">
        <v>1176</v>
      </c>
    </row>
  </sheetData>
  <phoneticPr fontId="6" type="noConversion"/>
  <conditionalFormatting sqref="F2">
    <cfRule type="expression" dxfId="0" priority="1">
      <formula>ISERROR(F2)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-0.249977111117893"/>
  </sheetPr>
  <dimension ref="A1:AC51"/>
  <sheetViews>
    <sheetView workbookViewId="0">
      <pane xSplit="2" ySplit="1" topLeftCell="C20" activePane="bottomRight" state="frozen"/>
      <selection pane="topRight" activeCell="C1" sqref="C1"/>
      <selection pane="bottomLeft" activeCell="A4" sqref="A4"/>
      <selection pane="bottomRight" activeCell="A52" sqref="A52"/>
    </sheetView>
  </sheetViews>
  <sheetFormatPr defaultRowHeight="14.1" customHeight="1" x14ac:dyDescent="0.2"/>
  <cols>
    <col min="1" max="1" width="7.5" style="2" customWidth="1"/>
    <col min="2" max="2" width="15.625" style="1" customWidth="1"/>
    <col min="3" max="3" width="3.25" style="1" bestFit="1" customWidth="1"/>
    <col min="4" max="4" width="5.25" style="1" customWidth="1"/>
    <col min="5" max="6" width="16.625" style="1" customWidth="1"/>
    <col min="7" max="9" width="20.625" style="1"/>
    <col min="10" max="11" width="7.5" style="1" bestFit="1" customWidth="1"/>
    <col min="12" max="12" width="2.75" style="1" bestFit="1" customWidth="1"/>
    <col min="13" max="14" width="3.25" style="1" bestFit="1" customWidth="1"/>
    <col min="15" max="16384" width="9" style="1"/>
  </cols>
  <sheetData>
    <row r="1" spans="1:29" s="7" customFormat="1" ht="66" customHeight="1" x14ac:dyDescent="0.3">
      <c r="A1" s="5" t="s">
        <v>0</v>
      </c>
      <c r="B1" s="13" t="s">
        <v>244</v>
      </c>
      <c r="C1" s="13" t="s">
        <v>258</v>
      </c>
      <c r="D1" s="13" t="s">
        <v>672</v>
      </c>
      <c r="E1" s="13" t="s">
        <v>245</v>
      </c>
      <c r="F1" s="13" t="s">
        <v>246</v>
      </c>
      <c r="G1" s="7" t="s">
        <v>4</v>
      </c>
      <c r="H1" s="7" t="s">
        <v>409</v>
      </c>
      <c r="I1" s="7" t="s">
        <v>248</v>
      </c>
      <c r="J1" s="7" t="s">
        <v>249</v>
      </c>
      <c r="K1" s="7" t="s">
        <v>250</v>
      </c>
      <c r="L1" s="7" t="s">
        <v>255</v>
      </c>
      <c r="M1" s="7" t="s">
        <v>256</v>
      </c>
      <c r="N1" s="7" t="s">
        <v>257</v>
      </c>
      <c r="O1" s="7" t="s">
        <v>862</v>
      </c>
      <c r="P1" s="7" t="s">
        <v>406</v>
      </c>
    </row>
    <row r="2" spans="1:29" s="29" customFormat="1" ht="18" customHeight="1" x14ac:dyDescent="0.3">
      <c r="A2" s="26" t="s">
        <v>870</v>
      </c>
      <c r="B2" s="27" t="s">
        <v>871</v>
      </c>
      <c r="C2" s="26" t="s">
        <v>870</v>
      </c>
      <c r="D2" s="26" t="s">
        <v>870</v>
      </c>
      <c r="E2" s="27" t="s">
        <v>871</v>
      </c>
      <c r="F2" s="27" t="s">
        <v>871</v>
      </c>
      <c r="G2" s="27" t="s">
        <v>871</v>
      </c>
      <c r="H2" s="27" t="s">
        <v>871</v>
      </c>
      <c r="I2" s="27"/>
      <c r="J2" s="27" t="s">
        <v>871</v>
      </c>
      <c r="K2" s="27" t="s">
        <v>871</v>
      </c>
      <c r="L2" s="26" t="s">
        <v>870</v>
      </c>
      <c r="M2" s="26" t="s">
        <v>870</v>
      </c>
      <c r="N2" s="26" t="s">
        <v>870</v>
      </c>
      <c r="O2" s="27"/>
      <c r="P2" s="28"/>
      <c r="Q2" s="28"/>
      <c r="R2" s="27"/>
      <c r="S2" s="27"/>
      <c r="T2" s="27"/>
      <c r="U2" s="27"/>
      <c r="V2" s="28"/>
      <c r="W2" s="28"/>
      <c r="X2" s="27"/>
      <c r="Y2" s="27"/>
      <c r="Z2" s="27"/>
      <c r="AA2" s="27"/>
      <c r="AB2" s="28"/>
      <c r="AC2" s="28"/>
    </row>
    <row r="3" spans="1:29" s="3" customFormat="1" ht="14.1" customHeight="1" x14ac:dyDescent="0.3">
      <c r="A3" s="4">
        <v>1</v>
      </c>
      <c r="B3" s="4" t="s">
        <v>277</v>
      </c>
      <c r="C3" s="4">
        <v>1</v>
      </c>
      <c r="D3" s="4"/>
      <c r="E3" s="16" t="s">
        <v>286</v>
      </c>
      <c r="F3" s="16" t="s">
        <v>274</v>
      </c>
      <c r="G3" s="4" t="s">
        <v>277</v>
      </c>
      <c r="H3" s="3" t="s">
        <v>259</v>
      </c>
      <c r="I3" s="3" t="s">
        <v>278</v>
      </c>
      <c r="J3" s="3" t="s">
        <v>279</v>
      </c>
      <c r="K3" s="3" t="s">
        <v>280</v>
      </c>
      <c r="L3" s="3" t="s">
        <v>252</v>
      </c>
      <c r="M3" s="3" t="s">
        <v>253</v>
      </c>
      <c r="N3" s="3" t="s">
        <v>254</v>
      </c>
      <c r="P3" s="3" t="s">
        <v>405</v>
      </c>
    </row>
    <row r="4" spans="1:29" s="3" customFormat="1" ht="14.1" customHeight="1" x14ac:dyDescent="0.3">
      <c r="A4" s="4">
        <v>2</v>
      </c>
      <c r="B4" s="4" t="s">
        <v>281</v>
      </c>
      <c r="C4" s="4">
        <v>1</v>
      </c>
      <c r="D4" s="4"/>
      <c r="E4" s="16" t="s">
        <v>275</v>
      </c>
      <c r="F4" s="16" t="s">
        <v>276</v>
      </c>
      <c r="G4" s="4" t="s">
        <v>281</v>
      </c>
      <c r="H4" s="3" t="s">
        <v>260</v>
      </c>
      <c r="I4" s="3" t="s">
        <v>282</v>
      </c>
      <c r="J4" s="3" t="s">
        <v>283</v>
      </c>
      <c r="K4" s="3" t="s">
        <v>251</v>
      </c>
      <c r="L4" s="3" t="s">
        <v>252</v>
      </c>
      <c r="M4" s="3" t="s">
        <v>253</v>
      </c>
      <c r="N4" s="3" t="s">
        <v>254</v>
      </c>
      <c r="P4" s="3" t="s">
        <v>405</v>
      </c>
    </row>
    <row r="5" spans="1:29" s="3" customFormat="1" ht="14.1" customHeight="1" x14ac:dyDescent="0.3">
      <c r="A5" s="4">
        <v>3</v>
      </c>
      <c r="B5" s="4" t="s">
        <v>284</v>
      </c>
      <c r="C5" s="4">
        <v>2</v>
      </c>
      <c r="D5" s="4"/>
      <c r="E5" s="16" t="s">
        <v>287</v>
      </c>
      <c r="F5" s="16" t="s">
        <v>291</v>
      </c>
      <c r="G5" s="4" t="s">
        <v>247</v>
      </c>
      <c r="H5" s="3" t="s">
        <v>259</v>
      </c>
      <c r="I5" s="3" t="s">
        <v>278</v>
      </c>
      <c r="J5" s="3" t="s">
        <v>288</v>
      </c>
      <c r="K5" s="3" t="s">
        <v>294</v>
      </c>
      <c r="L5" s="3" t="s">
        <v>252</v>
      </c>
      <c r="M5" s="3" t="s">
        <v>253</v>
      </c>
      <c r="N5" s="3" t="s">
        <v>254</v>
      </c>
      <c r="P5" s="3" t="s">
        <v>405</v>
      </c>
    </row>
    <row r="6" spans="1:29" s="3" customFormat="1" ht="14.1" customHeight="1" x14ac:dyDescent="0.3">
      <c r="A6" s="4">
        <v>4</v>
      </c>
      <c r="B6" s="4" t="s">
        <v>284</v>
      </c>
      <c r="C6" s="4">
        <v>3</v>
      </c>
      <c r="D6" s="4"/>
      <c r="E6" s="16" t="s">
        <v>292</v>
      </c>
      <c r="F6" s="16" t="s">
        <v>289</v>
      </c>
      <c r="G6" s="4" t="s">
        <v>247</v>
      </c>
      <c r="H6" s="3" t="s">
        <v>259</v>
      </c>
      <c r="I6" s="3" t="s">
        <v>278</v>
      </c>
      <c r="J6" s="3" t="s">
        <v>293</v>
      </c>
      <c r="K6" s="3" t="s">
        <v>290</v>
      </c>
      <c r="L6" s="3" t="s">
        <v>252</v>
      </c>
      <c r="M6" s="3" t="s">
        <v>253</v>
      </c>
      <c r="N6" s="3" t="s">
        <v>254</v>
      </c>
      <c r="P6" s="3" t="s">
        <v>405</v>
      </c>
    </row>
    <row r="7" spans="1:29" s="3" customFormat="1" ht="14.1" customHeight="1" x14ac:dyDescent="0.3">
      <c r="A7" s="4">
        <v>5</v>
      </c>
      <c r="B7" s="4" t="s">
        <v>284</v>
      </c>
      <c r="C7" s="4">
        <v>4</v>
      </c>
      <c r="D7" s="4"/>
      <c r="E7" s="16" t="s">
        <v>333</v>
      </c>
      <c r="F7" s="16" t="s">
        <v>334</v>
      </c>
      <c r="G7" s="4" t="s">
        <v>247</v>
      </c>
      <c r="H7" s="3" t="s">
        <v>259</v>
      </c>
      <c r="I7" s="3" t="s">
        <v>278</v>
      </c>
      <c r="J7" s="3" t="s">
        <v>336</v>
      </c>
      <c r="K7" s="3" t="s">
        <v>335</v>
      </c>
      <c r="L7" s="3" t="s">
        <v>252</v>
      </c>
      <c r="M7" s="3" t="s">
        <v>253</v>
      </c>
      <c r="N7" s="3" t="s">
        <v>254</v>
      </c>
      <c r="P7" s="3" t="s">
        <v>405</v>
      </c>
    </row>
    <row r="8" spans="1:29" s="3" customFormat="1" ht="14.1" customHeight="1" x14ac:dyDescent="0.3">
      <c r="A8" s="4">
        <v>6</v>
      </c>
      <c r="B8" s="4" t="s">
        <v>284</v>
      </c>
      <c r="C8" s="4">
        <v>5</v>
      </c>
      <c r="D8" s="4"/>
      <c r="E8" s="16" t="s">
        <v>337</v>
      </c>
      <c r="F8" s="16" t="s">
        <v>338</v>
      </c>
      <c r="G8" s="4" t="s">
        <v>247</v>
      </c>
      <c r="H8" s="3" t="s">
        <v>259</v>
      </c>
      <c r="I8" s="3" t="s">
        <v>285</v>
      </c>
      <c r="J8" s="3" t="s">
        <v>340</v>
      </c>
      <c r="K8" s="3" t="s">
        <v>341</v>
      </c>
      <c r="L8" s="3" t="s">
        <v>252</v>
      </c>
      <c r="M8" s="3" t="s">
        <v>253</v>
      </c>
      <c r="N8" s="3" t="s">
        <v>254</v>
      </c>
      <c r="P8" s="3" t="s">
        <v>405</v>
      </c>
    </row>
    <row r="9" spans="1:29" s="3" customFormat="1" ht="14.1" customHeight="1" x14ac:dyDescent="0.3">
      <c r="A9" s="4">
        <v>7</v>
      </c>
      <c r="B9" s="4" t="s">
        <v>284</v>
      </c>
      <c r="C9" s="4">
        <v>6</v>
      </c>
      <c r="D9" s="4"/>
      <c r="E9" s="16" t="s">
        <v>339</v>
      </c>
      <c r="F9" s="16" t="s">
        <v>344</v>
      </c>
      <c r="G9" s="4" t="s">
        <v>247</v>
      </c>
      <c r="H9" s="3" t="s">
        <v>259</v>
      </c>
      <c r="I9" s="3" t="s">
        <v>285</v>
      </c>
      <c r="J9" s="3" t="s">
        <v>342</v>
      </c>
      <c r="K9" s="3" t="s">
        <v>343</v>
      </c>
      <c r="L9" s="3" t="s">
        <v>252</v>
      </c>
      <c r="M9" s="3" t="s">
        <v>253</v>
      </c>
      <c r="N9" s="3" t="s">
        <v>254</v>
      </c>
      <c r="P9" s="3" t="s">
        <v>405</v>
      </c>
    </row>
    <row r="10" spans="1:29" s="3" customFormat="1" ht="14.1" customHeight="1" x14ac:dyDescent="0.3">
      <c r="A10" s="4">
        <v>8</v>
      </c>
      <c r="B10" s="4" t="s">
        <v>284</v>
      </c>
      <c r="C10" s="4">
        <v>7</v>
      </c>
      <c r="D10" s="4"/>
      <c r="E10" s="16" t="s">
        <v>345</v>
      </c>
      <c r="F10" s="16" t="s">
        <v>348</v>
      </c>
      <c r="G10" s="4" t="s">
        <v>247</v>
      </c>
      <c r="H10" s="3" t="s">
        <v>259</v>
      </c>
      <c r="I10" s="3" t="s">
        <v>285</v>
      </c>
      <c r="J10" s="3" t="s">
        <v>346</v>
      </c>
      <c r="K10" s="3" t="s">
        <v>347</v>
      </c>
      <c r="L10" s="3" t="s">
        <v>252</v>
      </c>
      <c r="M10" s="3" t="s">
        <v>253</v>
      </c>
      <c r="N10" s="3" t="s">
        <v>254</v>
      </c>
      <c r="P10" s="3" t="s">
        <v>405</v>
      </c>
    </row>
    <row r="11" spans="1:29" s="3" customFormat="1" ht="14.1" customHeight="1" x14ac:dyDescent="0.3">
      <c r="A11" s="4">
        <v>9</v>
      </c>
      <c r="B11" s="4" t="s">
        <v>284</v>
      </c>
      <c r="C11" s="4">
        <v>8</v>
      </c>
      <c r="D11" s="4"/>
      <c r="E11" s="16" t="s">
        <v>350</v>
      </c>
      <c r="F11" s="16" t="s">
        <v>410</v>
      </c>
      <c r="G11" s="4" t="s">
        <v>247</v>
      </c>
      <c r="H11" s="3" t="s">
        <v>259</v>
      </c>
      <c r="I11" s="3" t="s">
        <v>278</v>
      </c>
      <c r="J11" s="3" t="s">
        <v>351</v>
      </c>
      <c r="K11" s="3" t="s">
        <v>349</v>
      </c>
      <c r="L11" s="3" t="s">
        <v>252</v>
      </c>
      <c r="M11" s="3" t="s">
        <v>253</v>
      </c>
      <c r="N11" s="3" t="s">
        <v>254</v>
      </c>
      <c r="P11" s="3" t="s">
        <v>405</v>
      </c>
    </row>
    <row r="12" spans="1:29" ht="14.1" customHeight="1" x14ac:dyDescent="0.2">
      <c r="A12" s="4">
        <v>10</v>
      </c>
      <c r="B12" s="4" t="s">
        <v>5</v>
      </c>
      <c r="C12" s="4">
        <v>9</v>
      </c>
      <c r="D12" s="4"/>
      <c r="E12" s="16" t="s">
        <v>352</v>
      </c>
      <c r="F12" s="16" t="s">
        <v>411</v>
      </c>
      <c r="G12" s="4" t="s">
        <v>5</v>
      </c>
      <c r="H12" s="3" t="s">
        <v>260</v>
      </c>
      <c r="I12" s="3" t="s">
        <v>278</v>
      </c>
      <c r="J12" s="3" t="s">
        <v>413</v>
      </c>
      <c r="K12" s="3" t="s">
        <v>349</v>
      </c>
      <c r="L12" s="3" t="s">
        <v>252</v>
      </c>
      <c r="M12" s="3" t="s">
        <v>253</v>
      </c>
      <c r="N12" s="3" t="s">
        <v>254</v>
      </c>
      <c r="O12" s="3"/>
      <c r="P12" s="3" t="s">
        <v>405</v>
      </c>
    </row>
    <row r="13" spans="1:29" ht="14.1" customHeight="1" x14ac:dyDescent="0.2">
      <c r="A13" s="4">
        <v>11</v>
      </c>
      <c r="B13" s="4" t="s">
        <v>408</v>
      </c>
      <c r="C13" s="4">
        <v>10</v>
      </c>
      <c r="D13" s="4"/>
      <c r="E13" s="16" t="s">
        <v>412</v>
      </c>
      <c r="F13" s="16" t="s">
        <v>486</v>
      </c>
      <c r="G13" s="4" t="s">
        <v>408</v>
      </c>
      <c r="H13" s="3" t="s">
        <v>259</v>
      </c>
      <c r="I13" s="3" t="s">
        <v>278</v>
      </c>
      <c r="J13" s="3" t="s">
        <v>351</v>
      </c>
      <c r="K13" s="3" t="s">
        <v>349</v>
      </c>
      <c r="L13" s="3" t="s">
        <v>252</v>
      </c>
      <c r="M13" s="3" t="s">
        <v>253</v>
      </c>
      <c r="N13" s="3" t="s">
        <v>254</v>
      </c>
      <c r="O13" s="3"/>
      <c r="P13" s="3" t="s">
        <v>407</v>
      </c>
    </row>
    <row r="14" spans="1:29" ht="14.1" customHeight="1" x14ac:dyDescent="0.2">
      <c r="A14" s="4">
        <v>12</v>
      </c>
      <c r="B14" s="4" t="s">
        <v>483</v>
      </c>
      <c r="C14" s="4">
        <v>11</v>
      </c>
      <c r="D14" s="4"/>
      <c r="E14" s="16" t="s">
        <v>487</v>
      </c>
      <c r="F14" s="16" t="s">
        <v>484</v>
      </c>
      <c r="G14" s="4" t="s">
        <v>483</v>
      </c>
      <c r="H14" s="3" t="s">
        <v>260</v>
      </c>
      <c r="I14" s="3" t="s">
        <v>282</v>
      </c>
      <c r="J14" s="3" t="s">
        <v>488</v>
      </c>
      <c r="K14" s="3" t="s">
        <v>349</v>
      </c>
      <c r="L14" s="3" t="s">
        <v>252</v>
      </c>
      <c r="M14" s="3" t="s">
        <v>253</v>
      </c>
      <c r="N14" s="3" t="s">
        <v>254</v>
      </c>
      <c r="O14" s="3"/>
      <c r="P14" s="3" t="s">
        <v>407</v>
      </c>
    </row>
    <row r="15" spans="1:29" ht="14.1" customHeight="1" x14ac:dyDescent="0.2">
      <c r="A15" s="4">
        <v>13</v>
      </c>
      <c r="B15" s="4" t="s">
        <v>485</v>
      </c>
      <c r="C15" s="4">
        <v>12</v>
      </c>
      <c r="D15" s="4"/>
      <c r="E15" s="16" t="s">
        <v>652</v>
      </c>
      <c r="F15" s="16" t="s">
        <v>655</v>
      </c>
      <c r="G15" s="4" t="s">
        <v>485</v>
      </c>
      <c r="H15" s="3" t="s">
        <v>259</v>
      </c>
      <c r="I15" s="3" t="s">
        <v>278</v>
      </c>
      <c r="J15" s="3" t="s">
        <v>489</v>
      </c>
      <c r="K15" s="3" t="s">
        <v>490</v>
      </c>
      <c r="L15" s="3" t="s">
        <v>252</v>
      </c>
      <c r="M15" s="3" t="s">
        <v>253</v>
      </c>
      <c r="N15" s="3" t="s">
        <v>254</v>
      </c>
      <c r="O15" s="3"/>
      <c r="P15" s="3" t="s">
        <v>407</v>
      </c>
    </row>
    <row r="16" spans="1:29" s="10" customFormat="1" ht="14.1" customHeight="1" x14ac:dyDescent="0.2">
      <c r="A16" s="9">
        <v>14</v>
      </c>
      <c r="B16" s="9" t="s">
        <v>649</v>
      </c>
      <c r="C16" s="9">
        <v>13</v>
      </c>
      <c r="D16" s="9">
        <v>1</v>
      </c>
      <c r="E16" s="17" t="s">
        <v>653</v>
      </c>
      <c r="F16" s="17" t="s">
        <v>656</v>
      </c>
      <c r="G16" s="9" t="s">
        <v>491</v>
      </c>
      <c r="H16" s="18" t="s">
        <v>260</v>
      </c>
      <c r="I16" s="18" t="s">
        <v>282</v>
      </c>
      <c r="J16" s="18" t="s">
        <v>489</v>
      </c>
      <c r="K16" s="18" t="s">
        <v>349</v>
      </c>
      <c r="L16" s="18" t="s">
        <v>252</v>
      </c>
      <c r="M16" s="18" t="s">
        <v>253</v>
      </c>
      <c r="N16" s="18" t="s">
        <v>254</v>
      </c>
      <c r="O16" s="18"/>
      <c r="P16" s="18" t="s">
        <v>407</v>
      </c>
    </row>
    <row r="17" spans="1:16" ht="14.1" customHeight="1" x14ac:dyDescent="0.2">
      <c r="A17" s="4">
        <v>15</v>
      </c>
      <c r="B17" s="4" t="s">
        <v>492</v>
      </c>
      <c r="C17" s="4">
        <v>14</v>
      </c>
      <c r="D17" s="4"/>
      <c r="E17" s="16" t="s">
        <v>654</v>
      </c>
      <c r="F17" s="16" t="s">
        <v>657</v>
      </c>
      <c r="G17" s="4" t="s">
        <v>650</v>
      </c>
      <c r="H17" s="3" t="s">
        <v>259</v>
      </c>
      <c r="I17" s="3" t="s">
        <v>278</v>
      </c>
      <c r="J17" s="3" t="s">
        <v>489</v>
      </c>
      <c r="K17" s="3" t="s">
        <v>490</v>
      </c>
      <c r="L17" s="3" t="s">
        <v>252</v>
      </c>
      <c r="M17" s="3" t="s">
        <v>253</v>
      </c>
      <c r="N17" s="3" t="s">
        <v>254</v>
      </c>
      <c r="O17" s="3"/>
      <c r="P17" s="3" t="s">
        <v>407</v>
      </c>
    </row>
    <row r="18" spans="1:16" ht="14.1" customHeight="1" x14ac:dyDescent="0.2">
      <c r="A18" s="9">
        <v>16</v>
      </c>
      <c r="B18" s="9" t="s">
        <v>651</v>
      </c>
      <c r="C18" s="9">
        <v>15</v>
      </c>
      <c r="D18" s="9">
        <v>2</v>
      </c>
      <c r="E18" s="16" t="s">
        <v>673</v>
      </c>
      <c r="F18" s="16" t="s">
        <v>674</v>
      </c>
      <c r="G18" s="9" t="s">
        <v>12</v>
      </c>
      <c r="H18" s="18" t="s">
        <v>260</v>
      </c>
      <c r="I18" s="18" t="s">
        <v>282</v>
      </c>
      <c r="J18" s="18" t="s">
        <v>293</v>
      </c>
      <c r="K18" s="18" t="s">
        <v>349</v>
      </c>
      <c r="L18" s="18" t="s">
        <v>252</v>
      </c>
      <c r="M18" s="18" t="s">
        <v>253</v>
      </c>
      <c r="N18" s="18" t="s">
        <v>254</v>
      </c>
      <c r="O18" s="18"/>
      <c r="P18" s="18" t="s">
        <v>407</v>
      </c>
    </row>
    <row r="19" spans="1:16" ht="14.1" customHeight="1" x14ac:dyDescent="0.2">
      <c r="A19" s="4">
        <v>17</v>
      </c>
      <c r="B19" s="4" t="s">
        <v>492</v>
      </c>
      <c r="C19" s="4">
        <v>16</v>
      </c>
      <c r="D19" s="4"/>
      <c r="E19" s="16" t="s">
        <v>675</v>
      </c>
      <c r="F19" s="16" t="s">
        <v>677</v>
      </c>
      <c r="G19" s="4" t="s">
        <v>658</v>
      </c>
      <c r="H19" s="3" t="s">
        <v>259</v>
      </c>
      <c r="I19" s="3" t="s">
        <v>278</v>
      </c>
      <c r="J19" s="3" t="s">
        <v>293</v>
      </c>
      <c r="K19" s="3" t="s">
        <v>343</v>
      </c>
      <c r="L19" s="3" t="s">
        <v>252</v>
      </c>
      <c r="M19" s="3" t="s">
        <v>253</v>
      </c>
      <c r="N19" s="3" t="s">
        <v>254</v>
      </c>
      <c r="O19" s="3"/>
      <c r="P19" s="3" t="s">
        <v>407</v>
      </c>
    </row>
    <row r="20" spans="1:16" ht="14.1" customHeight="1" x14ac:dyDescent="0.2">
      <c r="A20" s="9">
        <v>18</v>
      </c>
      <c r="B20" s="9" t="s">
        <v>659</v>
      </c>
      <c r="C20" s="9">
        <v>17</v>
      </c>
      <c r="D20" s="9">
        <v>3</v>
      </c>
      <c r="E20" s="16" t="s">
        <v>678</v>
      </c>
      <c r="F20" s="16" t="s">
        <v>676</v>
      </c>
      <c r="G20" s="9" t="s">
        <v>660</v>
      </c>
      <c r="H20" s="18" t="s">
        <v>260</v>
      </c>
      <c r="I20" s="18" t="s">
        <v>282</v>
      </c>
      <c r="J20" s="18" t="s">
        <v>293</v>
      </c>
      <c r="K20" s="18" t="s">
        <v>349</v>
      </c>
      <c r="L20" s="18" t="s">
        <v>252</v>
      </c>
      <c r="M20" s="18" t="s">
        <v>253</v>
      </c>
      <c r="N20" s="18" t="s">
        <v>254</v>
      </c>
      <c r="O20" s="18"/>
      <c r="P20" s="18" t="s">
        <v>407</v>
      </c>
    </row>
    <row r="21" spans="1:16" ht="14.1" customHeight="1" x14ac:dyDescent="0.2">
      <c r="A21" s="4">
        <v>19</v>
      </c>
      <c r="B21" s="4" t="s">
        <v>658</v>
      </c>
      <c r="C21" s="4">
        <v>18</v>
      </c>
      <c r="D21" s="4"/>
      <c r="E21" s="16" t="s">
        <v>684</v>
      </c>
      <c r="F21" s="16" t="s">
        <v>679</v>
      </c>
      <c r="G21" s="4" t="s">
        <v>680</v>
      </c>
      <c r="H21" s="3" t="s">
        <v>259</v>
      </c>
      <c r="I21" s="3" t="s">
        <v>278</v>
      </c>
      <c r="J21" s="3" t="s">
        <v>293</v>
      </c>
      <c r="K21" s="3" t="s">
        <v>343</v>
      </c>
      <c r="L21" s="3" t="s">
        <v>252</v>
      </c>
      <c r="M21" s="3" t="s">
        <v>253</v>
      </c>
      <c r="N21" s="3" t="s">
        <v>254</v>
      </c>
      <c r="O21" s="3"/>
      <c r="P21" s="3" t="s">
        <v>407</v>
      </c>
    </row>
    <row r="22" spans="1:16" ht="14.1" customHeight="1" x14ac:dyDescent="0.2">
      <c r="A22" s="9">
        <v>20</v>
      </c>
      <c r="B22" s="9" t="s">
        <v>681</v>
      </c>
      <c r="C22" s="9">
        <v>19</v>
      </c>
      <c r="D22" s="9">
        <v>4</v>
      </c>
      <c r="E22" s="16" t="s">
        <v>685</v>
      </c>
      <c r="F22" s="16" t="s">
        <v>682</v>
      </c>
      <c r="G22" s="9" t="s">
        <v>683</v>
      </c>
      <c r="H22" s="18" t="s">
        <v>260</v>
      </c>
      <c r="I22" s="18" t="s">
        <v>282</v>
      </c>
      <c r="J22" s="18" t="s">
        <v>293</v>
      </c>
      <c r="K22" s="18" t="s">
        <v>349</v>
      </c>
      <c r="L22" s="18" t="s">
        <v>252</v>
      </c>
      <c r="M22" s="18" t="s">
        <v>253</v>
      </c>
      <c r="N22" s="18" t="s">
        <v>254</v>
      </c>
      <c r="O22" s="18"/>
      <c r="P22" s="18" t="s">
        <v>407</v>
      </c>
    </row>
    <row r="23" spans="1:16" ht="14.1" customHeight="1" x14ac:dyDescent="0.2">
      <c r="A23" s="4">
        <v>21</v>
      </c>
      <c r="B23" s="4" t="s">
        <v>680</v>
      </c>
      <c r="C23" s="4">
        <v>20</v>
      </c>
      <c r="D23" s="4"/>
      <c r="E23" s="16" t="s">
        <v>686</v>
      </c>
      <c r="F23" s="16" t="s">
        <v>687</v>
      </c>
      <c r="G23" s="4" t="s">
        <v>688</v>
      </c>
      <c r="H23" s="3" t="s">
        <v>259</v>
      </c>
      <c r="I23" s="3" t="s">
        <v>278</v>
      </c>
      <c r="J23" s="3" t="s">
        <v>293</v>
      </c>
      <c r="K23" s="3" t="s">
        <v>343</v>
      </c>
      <c r="L23" s="3" t="s">
        <v>252</v>
      </c>
      <c r="M23" s="3" t="s">
        <v>253</v>
      </c>
      <c r="N23" s="3" t="s">
        <v>254</v>
      </c>
      <c r="O23" s="3"/>
      <c r="P23" s="3" t="s">
        <v>407</v>
      </c>
    </row>
    <row r="24" spans="1:16" ht="14.1" customHeight="1" x14ac:dyDescent="0.2">
      <c r="A24" s="9">
        <v>22</v>
      </c>
      <c r="B24" s="9" t="s">
        <v>689</v>
      </c>
      <c r="C24" s="9">
        <v>21</v>
      </c>
      <c r="D24" s="9">
        <v>5</v>
      </c>
      <c r="E24" s="16" t="s">
        <v>690</v>
      </c>
      <c r="F24" s="16" t="s">
        <v>692</v>
      </c>
      <c r="G24" s="9" t="s">
        <v>691</v>
      </c>
      <c r="H24" s="18" t="s">
        <v>260</v>
      </c>
      <c r="I24" s="18" t="s">
        <v>282</v>
      </c>
      <c r="J24" s="18" t="s">
        <v>293</v>
      </c>
      <c r="K24" s="18" t="s">
        <v>349</v>
      </c>
      <c r="L24" s="18" t="s">
        <v>252</v>
      </c>
      <c r="M24" s="18" t="s">
        <v>253</v>
      </c>
      <c r="N24" s="18" t="s">
        <v>254</v>
      </c>
      <c r="O24" s="18"/>
      <c r="P24" s="18" t="s">
        <v>407</v>
      </c>
    </row>
    <row r="25" spans="1:16" ht="14.1" customHeight="1" x14ac:dyDescent="0.2">
      <c r="A25" s="4">
        <v>23</v>
      </c>
      <c r="B25" s="4" t="s">
        <v>688</v>
      </c>
      <c r="C25" s="4">
        <v>22</v>
      </c>
      <c r="D25" s="4"/>
      <c r="E25" s="16" t="s">
        <v>849</v>
      </c>
      <c r="F25" s="16" t="s">
        <v>851</v>
      </c>
      <c r="G25" s="4" t="s">
        <v>850</v>
      </c>
      <c r="H25" s="3" t="s">
        <v>259</v>
      </c>
      <c r="I25" s="3" t="s">
        <v>278</v>
      </c>
      <c r="J25" s="3" t="s">
        <v>293</v>
      </c>
      <c r="K25" s="3" t="s">
        <v>343</v>
      </c>
      <c r="L25" s="3" t="s">
        <v>252</v>
      </c>
      <c r="M25" s="3" t="s">
        <v>253</v>
      </c>
      <c r="N25" s="3" t="s">
        <v>254</v>
      </c>
      <c r="O25" s="3"/>
      <c r="P25" s="3" t="s">
        <v>407</v>
      </c>
    </row>
    <row r="26" spans="1:16" ht="14.1" customHeight="1" x14ac:dyDescent="0.2">
      <c r="A26" s="9">
        <v>24</v>
      </c>
      <c r="B26" s="9" t="s">
        <v>852</v>
      </c>
      <c r="C26" s="9">
        <v>23</v>
      </c>
      <c r="D26" s="9">
        <v>6</v>
      </c>
      <c r="E26" s="16" t="s">
        <v>853</v>
      </c>
      <c r="F26" s="16" t="s">
        <v>855</v>
      </c>
      <c r="G26" s="9" t="s">
        <v>854</v>
      </c>
      <c r="H26" s="18" t="s">
        <v>260</v>
      </c>
      <c r="I26" s="18" t="s">
        <v>282</v>
      </c>
      <c r="J26" s="18" t="s">
        <v>293</v>
      </c>
      <c r="K26" s="18" t="s">
        <v>349</v>
      </c>
      <c r="L26" s="18" t="s">
        <v>252</v>
      </c>
      <c r="M26" s="18" t="s">
        <v>253</v>
      </c>
      <c r="N26" s="18" t="s">
        <v>254</v>
      </c>
      <c r="O26" s="18"/>
      <c r="P26" s="18" t="s">
        <v>407</v>
      </c>
    </row>
    <row r="27" spans="1:16" ht="14.1" customHeight="1" x14ac:dyDescent="0.2">
      <c r="A27" s="4">
        <v>25</v>
      </c>
      <c r="B27" s="4" t="s">
        <v>850</v>
      </c>
      <c r="C27" s="4">
        <v>24</v>
      </c>
      <c r="D27" s="4"/>
      <c r="E27" s="16" t="s">
        <v>856</v>
      </c>
      <c r="F27" s="16" t="s">
        <v>857</v>
      </c>
      <c r="G27" s="4" t="s">
        <v>858</v>
      </c>
      <c r="H27" s="3" t="s">
        <v>259</v>
      </c>
      <c r="I27" s="3" t="s">
        <v>278</v>
      </c>
      <c r="J27" s="3" t="s">
        <v>293</v>
      </c>
      <c r="K27" s="3" t="s">
        <v>343</v>
      </c>
      <c r="L27" s="3" t="s">
        <v>252</v>
      </c>
      <c r="M27" s="3" t="s">
        <v>253</v>
      </c>
      <c r="N27" s="3" t="s">
        <v>254</v>
      </c>
      <c r="O27" s="3"/>
      <c r="P27" s="3" t="s">
        <v>407</v>
      </c>
    </row>
    <row r="28" spans="1:16" ht="14.1" customHeight="1" x14ac:dyDescent="0.2">
      <c r="A28" s="9">
        <v>26</v>
      </c>
      <c r="B28" s="9" t="s">
        <v>859</v>
      </c>
      <c r="C28" s="9">
        <v>25</v>
      </c>
      <c r="D28" s="9">
        <v>7</v>
      </c>
      <c r="E28" s="16" t="s">
        <v>860</v>
      </c>
      <c r="F28" s="16" t="s">
        <v>863</v>
      </c>
      <c r="G28" s="9" t="s">
        <v>869</v>
      </c>
      <c r="H28" s="18" t="s">
        <v>260</v>
      </c>
      <c r="I28" s="18" t="s">
        <v>282</v>
      </c>
      <c r="J28" s="18" t="s">
        <v>293</v>
      </c>
      <c r="K28" s="18" t="s">
        <v>349</v>
      </c>
      <c r="L28" s="18" t="s">
        <v>252</v>
      </c>
      <c r="M28" s="18" t="s">
        <v>253</v>
      </c>
      <c r="N28" s="18" t="s">
        <v>254</v>
      </c>
      <c r="O28" s="18"/>
      <c r="P28" s="18" t="s">
        <v>407</v>
      </c>
    </row>
    <row r="29" spans="1:16" ht="14.1" customHeight="1" x14ac:dyDescent="0.2">
      <c r="A29" s="4">
        <v>27</v>
      </c>
      <c r="B29" s="4" t="s">
        <v>858</v>
      </c>
      <c r="C29" s="4">
        <v>26</v>
      </c>
      <c r="D29" s="4"/>
      <c r="E29" s="16" t="s">
        <v>864</v>
      </c>
      <c r="F29" s="16" t="s">
        <v>865</v>
      </c>
      <c r="G29" s="4" t="s">
        <v>861</v>
      </c>
      <c r="H29" s="3" t="s">
        <v>259</v>
      </c>
      <c r="I29" s="3" t="s">
        <v>278</v>
      </c>
      <c r="J29" s="3" t="s">
        <v>293</v>
      </c>
      <c r="K29" s="3" t="s">
        <v>343</v>
      </c>
      <c r="L29" s="3" t="s">
        <v>252</v>
      </c>
      <c r="M29" s="3" t="s">
        <v>253</v>
      </c>
      <c r="N29" s="3" t="s">
        <v>254</v>
      </c>
      <c r="O29" s="3"/>
      <c r="P29" s="3" t="s">
        <v>407</v>
      </c>
    </row>
    <row r="30" spans="1:16" ht="14.1" customHeight="1" x14ac:dyDescent="0.2">
      <c r="A30" s="9">
        <v>28</v>
      </c>
      <c r="B30" s="9" t="s">
        <v>866</v>
      </c>
      <c r="C30" s="9">
        <v>27</v>
      </c>
      <c r="D30" s="9">
        <v>8</v>
      </c>
      <c r="E30" s="16" t="s">
        <v>867</v>
      </c>
      <c r="F30" s="16" t="s">
        <v>868</v>
      </c>
      <c r="G30" s="9" t="s">
        <v>875</v>
      </c>
      <c r="H30" s="18" t="s">
        <v>260</v>
      </c>
      <c r="I30" s="18" t="s">
        <v>282</v>
      </c>
      <c r="J30" s="18" t="s">
        <v>293</v>
      </c>
      <c r="K30" s="18" t="s">
        <v>349</v>
      </c>
      <c r="L30" s="18" t="s">
        <v>252</v>
      </c>
      <c r="M30" s="18" t="s">
        <v>253</v>
      </c>
      <c r="N30" s="18" t="s">
        <v>254</v>
      </c>
      <c r="O30" s="18"/>
      <c r="P30" s="18" t="s">
        <v>407</v>
      </c>
    </row>
    <row r="31" spans="1:16" ht="14.1" customHeight="1" x14ac:dyDescent="0.2">
      <c r="A31" s="4">
        <v>29</v>
      </c>
      <c r="B31" s="4" t="s">
        <v>861</v>
      </c>
      <c r="C31" s="4">
        <v>28</v>
      </c>
      <c r="D31" s="4"/>
      <c r="E31" s="16" t="s">
        <v>872</v>
      </c>
      <c r="F31" s="16" t="s">
        <v>873</v>
      </c>
      <c r="G31" s="4" t="s">
        <v>861</v>
      </c>
      <c r="H31" s="3" t="s">
        <v>259</v>
      </c>
      <c r="I31" s="3" t="s">
        <v>278</v>
      </c>
      <c r="J31" s="3" t="s">
        <v>293</v>
      </c>
      <c r="K31" s="3" t="s">
        <v>343</v>
      </c>
      <c r="L31" s="3" t="s">
        <v>252</v>
      </c>
      <c r="M31" s="3" t="s">
        <v>253</v>
      </c>
      <c r="N31" s="3" t="s">
        <v>254</v>
      </c>
      <c r="O31" s="3"/>
      <c r="P31" s="3" t="s">
        <v>407</v>
      </c>
    </row>
    <row r="32" spans="1:16" ht="14.1" customHeight="1" x14ac:dyDescent="0.2">
      <c r="A32" s="9">
        <v>30</v>
      </c>
      <c r="B32" s="9" t="s">
        <v>874</v>
      </c>
      <c r="C32" s="9">
        <v>29</v>
      </c>
      <c r="D32" s="9">
        <v>9</v>
      </c>
      <c r="E32" s="16" t="s">
        <v>877</v>
      </c>
      <c r="F32" s="16" t="s">
        <v>878</v>
      </c>
      <c r="G32" s="9" t="s">
        <v>876</v>
      </c>
      <c r="H32" s="18" t="s">
        <v>260</v>
      </c>
      <c r="I32" s="18" t="s">
        <v>282</v>
      </c>
      <c r="J32" s="18" t="s">
        <v>293</v>
      </c>
      <c r="K32" s="18" t="s">
        <v>349</v>
      </c>
      <c r="L32" s="18" t="s">
        <v>252</v>
      </c>
      <c r="M32" s="18" t="s">
        <v>253</v>
      </c>
      <c r="N32" s="18" t="s">
        <v>254</v>
      </c>
      <c r="O32" s="18"/>
      <c r="P32" s="18" t="s">
        <v>407</v>
      </c>
    </row>
    <row r="33" spans="1:16" ht="14.1" customHeight="1" x14ac:dyDescent="0.2">
      <c r="A33" s="4">
        <v>31</v>
      </c>
      <c r="B33" s="4" t="s">
        <v>1035</v>
      </c>
      <c r="C33" s="4">
        <v>30</v>
      </c>
      <c r="D33" s="4"/>
      <c r="E33" s="16" t="s">
        <v>1036</v>
      </c>
      <c r="F33" s="16" t="s">
        <v>1037</v>
      </c>
      <c r="G33" s="4" t="s">
        <v>1035</v>
      </c>
      <c r="H33" s="3" t="s">
        <v>259</v>
      </c>
      <c r="I33" s="3" t="s">
        <v>278</v>
      </c>
      <c r="J33" s="3" t="s">
        <v>293</v>
      </c>
      <c r="K33" s="3" t="s">
        <v>343</v>
      </c>
      <c r="L33" s="3" t="s">
        <v>252</v>
      </c>
      <c r="M33" s="3" t="s">
        <v>253</v>
      </c>
      <c r="N33" s="3" t="s">
        <v>254</v>
      </c>
      <c r="O33" s="3"/>
      <c r="P33" s="3" t="s">
        <v>407</v>
      </c>
    </row>
    <row r="34" spans="1:16" ht="14.1" customHeight="1" x14ac:dyDescent="0.2">
      <c r="A34" s="9">
        <v>32</v>
      </c>
      <c r="B34" s="9" t="s">
        <v>1038</v>
      </c>
      <c r="C34" s="9">
        <v>31</v>
      </c>
      <c r="D34" s="9">
        <v>10</v>
      </c>
      <c r="E34" s="16" t="s">
        <v>1039</v>
      </c>
      <c r="F34" s="16" t="s">
        <v>1041</v>
      </c>
      <c r="G34" s="9" t="s">
        <v>1040</v>
      </c>
      <c r="H34" s="18" t="s">
        <v>260</v>
      </c>
      <c r="I34" s="18" t="s">
        <v>282</v>
      </c>
      <c r="J34" s="18" t="s">
        <v>293</v>
      </c>
      <c r="K34" s="18" t="s">
        <v>349</v>
      </c>
      <c r="L34" s="18" t="s">
        <v>252</v>
      </c>
      <c r="M34" s="18" t="s">
        <v>253</v>
      </c>
      <c r="N34" s="18" t="s">
        <v>254</v>
      </c>
      <c r="O34" s="18"/>
      <c r="P34" s="18" t="s">
        <v>407</v>
      </c>
    </row>
    <row r="35" spans="1:16" ht="14.1" customHeight="1" x14ac:dyDescent="0.2">
      <c r="A35" s="4">
        <v>33</v>
      </c>
      <c r="B35" s="4" t="s">
        <v>1042</v>
      </c>
      <c r="C35" s="4">
        <v>32</v>
      </c>
      <c r="D35" s="4"/>
      <c r="E35" s="16" t="s">
        <v>1043</v>
      </c>
      <c r="F35" s="16" t="s">
        <v>1044</v>
      </c>
      <c r="G35" s="4" t="s">
        <v>1042</v>
      </c>
      <c r="H35" s="3" t="s">
        <v>259</v>
      </c>
      <c r="I35" s="3" t="s">
        <v>278</v>
      </c>
      <c r="J35" s="3" t="s">
        <v>293</v>
      </c>
      <c r="K35" s="3" t="s">
        <v>343</v>
      </c>
      <c r="L35" s="3" t="s">
        <v>252</v>
      </c>
      <c r="M35" s="3" t="s">
        <v>253</v>
      </c>
      <c r="N35" s="3" t="s">
        <v>254</v>
      </c>
      <c r="O35" s="3"/>
      <c r="P35" s="3" t="s">
        <v>407</v>
      </c>
    </row>
    <row r="36" spans="1:16" ht="14.1" customHeight="1" x14ac:dyDescent="0.2">
      <c r="A36" s="9">
        <v>34</v>
      </c>
      <c r="B36" s="9" t="s">
        <v>1045</v>
      </c>
      <c r="C36" s="9">
        <v>33</v>
      </c>
      <c r="D36" s="9">
        <v>11</v>
      </c>
      <c r="E36" s="16" t="s">
        <v>1046</v>
      </c>
      <c r="F36" s="16" t="s">
        <v>1047</v>
      </c>
      <c r="G36" s="9" t="s">
        <v>1061</v>
      </c>
      <c r="H36" s="18" t="s">
        <v>260</v>
      </c>
      <c r="I36" s="18" t="s">
        <v>282</v>
      </c>
      <c r="J36" s="18" t="s">
        <v>293</v>
      </c>
      <c r="K36" s="18" t="s">
        <v>349</v>
      </c>
      <c r="L36" s="18" t="s">
        <v>252</v>
      </c>
      <c r="M36" s="18" t="s">
        <v>253</v>
      </c>
      <c r="N36" s="18" t="s">
        <v>254</v>
      </c>
      <c r="O36" s="18"/>
      <c r="P36" s="18" t="s">
        <v>407</v>
      </c>
    </row>
    <row r="37" spans="1:16" ht="14.1" customHeight="1" x14ac:dyDescent="0.2">
      <c r="A37" s="4">
        <v>35</v>
      </c>
      <c r="B37" s="4" t="s">
        <v>1048</v>
      </c>
      <c r="C37" s="4">
        <v>34</v>
      </c>
      <c r="D37" s="4"/>
      <c r="E37" s="16" t="s">
        <v>1049</v>
      </c>
      <c r="F37" s="16" t="s">
        <v>1050</v>
      </c>
      <c r="G37" s="4" t="s">
        <v>1048</v>
      </c>
      <c r="H37" s="3" t="s">
        <v>259</v>
      </c>
      <c r="I37" s="3" t="s">
        <v>278</v>
      </c>
      <c r="J37" s="3" t="s">
        <v>293</v>
      </c>
      <c r="K37" s="3" t="s">
        <v>343</v>
      </c>
      <c r="L37" s="3" t="s">
        <v>252</v>
      </c>
      <c r="M37" s="3" t="s">
        <v>253</v>
      </c>
      <c r="N37" s="3" t="s">
        <v>254</v>
      </c>
      <c r="O37" s="3"/>
      <c r="P37" s="3" t="s">
        <v>407</v>
      </c>
    </row>
    <row r="38" spans="1:16" ht="14.1" customHeight="1" x14ac:dyDescent="0.2">
      <c r="A38" s="9">
        <v>36</v>
      </c>
      <c r="B38" s="9" t="s">
        <v>1051</v>
      </c>
      <c r="C38" s="9">
        <v>35</v>
      </c>
      <c r="D38" s="9">
        <v>12</v>
      </c>
      <c r="E38" s="16" t="s">
        <v>1052</v>
      </c>
      <c r="F38" s="16" t="s">
        <v>1053</v>
      </c>
      <c r="G38" s="9" t="s">
        <v>1062</v>
      </c>
      <c r="H38" s="18" t="s">
        <v>260</v>
      </c>
      <c r="I38" s="18" t="s">
        <v>282</v>
      </c>
      <c r="J38" s="18" t="s">
        <v>293</v>
      </c>
      <c r="K38" s="18" t="s">
        <v>349</v>
      </c>
      <c r="L38" s="18" t="s">
        <v>252</v>
      </c>
      <c r="M38" s="18" t="s">
        <v>253</v>
      </c>
      <c r="N38" s="18" t="s">
        <v>254</v>
      </c>
      <c r="O38" s="18"/>
      <c r="P38" s="18" t="s">
        <v>407</v>
      </c>
    </row>
    <row r="39" spans="1:16" ht="14.1" customHeight="1" x14ac:dyDescent="0.2">
      <c r="A39" s="4">
        <v>37</v>
      </c>
      <c r="B39" s="4" t="s">
        <v>1048</v>
      </c>
      <c r="C39" s="4">
        <v>36</v>
      </c>
      <c r="D39" s="4"/>
      <c r="E39" s="16" t="s">
        <v>1054</v>
      </c>
      <c r="F39" s="16" t="s">
        <v>1055</v>
      </c>
      <c r="G39" s="4" t="s">
        <v>1067</v>
      </c>
      <c r="H39" s="3" t="s">
        <v>259</v>
      </c>
      <c r="I39" s="3" t="s">
        <v>278</v>
      </c>
      <c r="J39" s="3" t="s">
        <v>293</v>
      </c>
      <c r="K39" s="3" t="s">
        <v>343</v>
      </c>
      <c r="L39" s="3" t="s">
        <v>252</v>
      </c>
      <c r="M39" s="3" t="s">
        <v>253</v>
      </c>
      <c r="N39" s="3" t="s">
        <v>254</v>
      </c>
      <c r="O39" s="3"/>
      <c r="P39" s="3" t="s">
        <v>407</v>
      </c>
    </row>
    <row r="40" spans="1:16" ht="14.1" customHeight="1" x14ac:dyDescent="0.2">
      <c r="A40" s="9">
        <v>38</v>
      </c>
      <c r="B40" s="9" t="s">
        <v>1060</v>
      </c>
      <c r="C40" s="9">
        <v>37</v>
      </c>
      <c r="D40" s="9">
        <v>13</v>
      </c>
      <c r="E40" s="16" t="s">
        <v>1056</v>
      </c>
      <c r="F40" s="16" t="s">
        <v>1057</v>
      </c>
      <c r="G40" s="9" t="s">
        <v>1063</v>
      </c>
      <c r="H40" s="18" t="s">
        <v>260</v>
      </c>
      <c r="I40" s="18" t="s">
        <v>282</v>
      </c>
      <c r="J40" s="18" t="s">
        <v>293</v>
      </c>
      <c r="K40" s="18" t="s">
        <v>349</v>
      </c>
      <c r="L40" s="18" t="s">
        <v>252</v>
      </c>
      <c r="M40" s="18" t="s">
        <v>253</v>
      </c>
      <c r="N40" s="18" t="s">
        <v>254</v>
      </c>
      <c r="O40" s="18"/>
      <c r="P40" s="18" t="s">
        <v>407</v>
      </c>
    </row>
    <row r="41" spans="1:16" ht="14.1" customHeight="1" x14ac:dyDescent="0.2">
      <c r="A41" s="4">
        <v>39</v>
      </c>
      <c r="B41" s="4" t="s">
        <v>1048</v>
      </c>
      <c r="C41" s="4">
        <v>38</v>
      </c>
      <c r="D41" s="4"/>
      <c r="E41" s="16" t="s">
        <v>1058</v>
      </c>
      <c r="F41" s="16" t="s">
        <v>1059</v>
      </c>
      <c r="G41" s="4" t="s">
        <v>1077</v>
      </c>
      <c r="H41" s="3" t="s">
        <v>259</v>
      </c>
      <c r="I41" s="3" t="s">
        <v>278</v>
      </c>
      <c r="J41" s="3" t="s">
        <v>293</v>
      </c>
      <c r="K41" s="3" t="s">
        <v>343</v>
      </c>
      <c r="L41" s="3" t="s">
        <v>252</v>
      </c>
      <c r="M41" s="3" t="s">
        <v>253</v>
      </c>
      <c r="N41" s="3" t="s">
        <v>254</v>
      </c>
      <c r="O41" s="3"/>
      <c r="P41" s="3" t="s">
        <v>407</v>
      </c>
    </row>
    <row r="42" spans="1:16" ht="14.1" customHeight="1" x14ac:dyDescent="0.2">
      <c r="A42" s="9">
        <v>40</v>
      </c>
      <c r="B42" s="9" t="s">
        <v>1065</v>
      </c>
      <c r="C42" s="9">
        <v>39</v>
      </c>
      <c r="D42" s="9">
        <v>14</v>
      </c>
      <c r="E42" s="16" t="s">
        <v>1064</v>
      </c>
      <c r="F42" s="16" t="s">
        <v>1068</v>
      </c>
      <c r="G42" s="9" t="s">
        <v>1066</v>
      </c>
      <c r="H42" s="18" t="s">
        <v>260</v>
      </c>
      <c r="I42" s="18" t="s">
        <v>282</v>
      </c>
      <c r="J42" s="18" t="s">
        <v>293</v>
      </c>
      <c r="K42" s="18" t="s">
        <v>349</v>
      </c>
      <c r="L42" s="18" t="s">
        <v>252</v>
      </c>
      <c r="M42" s="18" t="s">
        <v>253</v>
      </c>
      <c r="N42" s="18" t="s">
        <v>254</v>
      </c>
      <c r="O42" s="18"/>
      <c r="P42" s="18" t="s">
        <v>407</v>
      </c>
    </row>
    <row r="43" spans="1:16" ht="14.1" customHeight="1" x14ac:dyDescent="0.2">
      <c r="A43" s="4">
        <v>41</v>
      </c>
      <c r="B43" s="4" t="s">
        <v>1067</v>
      </c>
      <c r="C43" s="4">
        <v>40</v>
      </c>
      <c r="D43" s="4"/>
      <c r="E43" s="16" t="s">
        <v>1069</v>
      </c>
      <c r="F43" s="16" t="s">
        <v>1070</v>
      </c>
      <c r="G43" s="4" t="s">
        <v>1078</v>
      </c>
      <c r="H43" s="3" t="s">
        <v>259</v>
      </c>
      <c r="I43" s="3" t="s">
        <v>278</v>
      </c>
      <c r="J43" s="3" t="s">
        <v>293</v>
      </c>
      <c r="K43" s="3" t="s">
        <v>343</v>
      </c>
      <c r="L43" s="3" t="s">
        <v>252</v>
      </c>
      <c r="M43" s="3" t="s">
        <v>253</v>
      </c>
      <c r="N43" s="3" t="s">
        <v>254</v>
      </c>
      <c r="O43" s="3"/>
      <c r="P43" s="3" t="s">
        <v>407</v>
      </c>
    </row>
    <row r="44" spans="1:16" ht="14.1" customHeight="1" x14ac:dyDescent="0.2">
      <c r="A44" s="9">
        <v>42</v>
      </c>
      <c r="B44" s="9" t="s">
        <v>1071</v>
      </c>
      <c r="C44" s="9">
        <v>41</v>
      </c>
      <c r="D44" s="9">
        <v>15</v>
      </c>
      <c r="E44" s="16" t="s">
        <v>1072</v>
      </c>
      <c r="F44" s="16" t="s">
        <v>1073</v>
      </c>
      <c r="G44" s="9" t="s">
        <v>1076</v>
      </c>
      <c r="H44" s="18" t="s">
        <v>260</v>
      </c>
      <c r="I44" s="18" t="s">
        <v>282</v>
      </c>
      <c r="J44" s="18" t="s">
        <v>293</v>
      </c>
      <c r="K44" s="18" t="s">
        <v>349</v>
      </c>
      <c r="L44" s="18" t="s">
        <v>252</v>
      </c>
      <c r="M44" s="18" t="s">
        <v>253</v>
      </c>
      <c r="N44" s="18" t="s">
        <v>254</v>
      </c>
      <c r="O44" s="18"/>
      <c r="P44" s="18" t="s">
        <v>407</v>
      </c>
    </row>
    <row r="45" spans="1:16" ht="14.1" customHeight="1" x14ac:dyDescent="0.2">
      <c r="A45" s="4">
        <v>43</v>
      </c>
      <c r="B45" s="4" t="s">
        <v>1067</v>
      </c>
      <c r="C45" s="4">
        <v>42</v>
      </c>
      <c r="D45" s="4"/>
      <c r="E45" s="16" t="s">
        <v>1074</v>
      </c>
      <c r="F45" s="16" t="s">
        <v>1075</v>
      </c>
      <c r="G45" s="4" t="s">
        <v>1079</v>
      </c>
      <c r="H45" s="3" t="s">
        <v>259</v>
      </c>
      <c r="I45" s="3" t="s">
        <v>278</v>
      </c>
      <c r="J45" s="3" t="s">
        <v>293</v>
      </c>
      <c r="K45" s="3" t="s">
        <v>343</v>
      </c>
      <c r="L45" s="3" t="s">
        <v>252</v>
      </c>
      <c r="M45" s="3" t="s">
        <v>253</v>
      </c>
      <c r="N45" s="3" t="s">
        <v>254</v>
      </c>
      <c r="O45" s="3"/>
      <c r="P45" s="3" t="s">
        <v>407</v>
      </c>
    </row>
    <row r="46" spans="1:16" ht="14.1" customHeight="1" x14ac:dyDescent="0.2">
      <c r="A46" s="9">
        <v>44</v>
      </c>
      <c r="B46" s="9" t="s">
        <v>1071</v>
      </c>
      <c r="C46" s="9">
        <v>43</v>
      </c>
      <c r="D46" s="9">
        <v>16</v>
      </c>
      <c r="E46" s="16" t="s">
        <v>1082</v>
      </c>
      <c r="F46" s="16" t="s">
        <v>1083</v>
      </c>
      <c r="G46" s="9" t="s">
        <v>1080</v>
      </c>
      <c r="H46" s="18" t="s">
        <v>260</v>
      </c>
      <c r="I46" s="18" t="s">
        <v>282</v>
      </c>
      <c r="J46" s="18" t="s">
        <v>293</v>
      </c>
      <c r="K46" s="18" t="s">
        <v>349</v>
      </c>
      <c r="L46" s="18" t="s">
        <v>252</v>
      </c>
      <c r="M46" s="18" t="s">
        <v>253</v>
      </c>
      <c r="N46" s="18" t="s">
        <v>254</v>
      </c>
      <c r="O46" s="18"/>
      <c r="P46" s="18" t="s">
        <v>407</v>
      </c>
    </row>
    <row r="47" spans="1:16" ht="14.1" customHeight="1" x14ac:dyDescent="0.2">
      <c r="A47" s="4">
        <v>45</v>
      </c>
      <c r="B47" s="4" t="s">
        <v>1067</v>
      </c>
      <c r="C47" s="4">
        <v>44</v>
      </c>
      <c r="D47" s="4"/>
      <c r="E47" s="16" t="s">
        <v>1084</v>
      </c>
      <c r="F47" s="16" t="s">
        <v>1085</v>
      </c>
      <c r="G47" s="4" t="s">
        <v>1081</v>
      </c>
      <c r="H47" s="3" t="s">
        <v>259</v>
      </c>
      <c r="I47" s="3" t="s">
        <v>278</v>
      </c>
      <c r="J47" s="3" t="s">
        <v>293</v>
      </c>
      <c r="K47" s="3" t="s">
        <v>343</v>
      </c>
      <c r="L47" s="3" t="s">
        <v>252</v>
      </c>
      <c r="M47" s="3" t="s">
        <v>253</v>
      </c>
      <c r="N47" s="3" t="s">
        <v>254</v>
      </c>
      <c r="O47" s="3"/>
      <c r="P47" s="3" t="s">
        <v>407</v>
      </c>
    </row>
    <row r="48" spans="1:16" ht="14.1" customHeight="1" x14ac:dyDescent="0.2">
      <c r="A48" s="9">
        <v>46</v>
      </c>
      <c r="B48" s="9" t="s">
        <v>1086</v>
      </c>
      <c r="C48" s="9">
        <v>45</v>
      </c>
      <c r="D48" s="9">
        <v>17</v>
      </c>
      <c r="E48" s="16" t="s">
        <v>1088</v>
      </c>
      <c r="F48" s="16" t="s">
        <v>1087</v>
      </c>
      <c r="G48" s="9" t="s">
        <v>1091</v>
      </c>
      <c r="H48" s="18" t="s">
        <v>260</v>
      </c>
      <c r="I48" s="18" t="s">
        <v>282</v>
      </c>
      <c r="J48" s="18" t="s">
        <v>293</v>
      </c>
      <c r="K48" s="18" t="s">
        <v>349</v>
      </c>
      <c r="L48" s="18" t="s">
        <v>252</v>
      </c>
      <c r="M48" s="18" t="s">
        <v>253</v>
      </c>
      <c r="N48" s="18" t="s">
        <v>254</v>
      </c>
      <c r="O48" s="18"/>
      <c r="P48" s="18" t="s">
        <v>407</v>
      </c>
    </row>
    <row r="49" spans="1:16" ht="14.1" customHeight="1" x14ac:dyDescent="0.2">
      <c r="A49" s="4">
        <v>47</v>
      </c>
      <c r="B49" s="4" t="s">
        <v>1077</v>
      </c>
      <c r="C49" s="4">
        <v>46</v>
      </c>
      <c r="D49" s="4"/>
      <c r="E49" s="16" t="s">
        <v>1089</v>
      </c>
      <c r="F49" s="16" t="s">
        <v>1092</v>
      </c>
      <c r="G49" s="4" t="s">
        <v>1090</v>
      </c>
      <c r="H49" s="3" t="s">
        <v>259</v>
      </c>
      <c r="I49" s="3" t="s">
        <v>278</v>
      </c>
      <c r="J49" s="3" t="s">
        <v>293</v>
      </c>
      <c r="K49" s="3" t="s">
        <v>343</v>
      </c>
      <c r="L49" s="3" t="s">
        <v>252</v>
      </c>
      <c r="M49" s="3" t="s">
        <v>253</v>
      </c>
      <c r="N49" s="3" t="s">
        <v>254</v>
      </c>
      <c r="O49" s="3"/>
      <c r="P49" s="3" t="s">
        <v>407</v>
      </c>
    </row>
    <row r="50" spans="1:16" ht="14.1" customHeight="1" x14ac:dyDescent="0.2">
      <c r="A50" s="32"/>
      <c r="B50" s="32"/>
      <c r="C50" s="32"/>
      <c r="D50" s="32"/>
      <c r="E50" s="16"/>
      <c r="F50" s="16"/>
      <c r="G50" s="4"/>
      <c r="H50" s="4"/>
    </row>
    <row r="51" spans="1:16" ht="14.1" customHeight="1" x14ac:dyDescent="0.2">
      <c r="A51" s="32"/>
      <c r="B51" s="32"/>
      <c r="C51" s="32"/>
      <c r="D51" s="32"/>
      <c r="E51" s="16"/>
      <c r="F51" s="16"/>
    </row>
  </sheetData>
  <phoneticPr fontId="6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-0.249977111117893"/>
  </sheetPr>
  <dimension ref="B2:N584"/>
  <sheetViews>
    <sheetView tabSelected="1" topLeftCell="B23" workbookViewId="0">
      <selection activeCell="F51" sqref="F51"/>
    </sheetView>
  </sheetViews>
  <sheetFormatPr defaultRowHeight="16.5" x14ac:dyDescent="0.3"/>
  <cols>
    <col min="2" max="3" width="19.25" bestFit="1" customWidth="1"/>
    <col min="5" max="5" width="13" bestFit="1" customWidth="1"/>
    <col min="6" max="6" width="15.875" bestFit="1" customWidth="1"/>
    <col min="7" max="7" width="0" hidden="1" customWidth="1"/>
    <col min="8" max="8" width="11.125" hidden="1" customWidth="1"/>
    <col min="9" max="12" width="0" hidden="1" customWidth="1"/>
    <col min="13" max="14" width="19.25" bestFit="1" customWidth="1"/>
  </cols>
  <sheetData>
    <row r="2" spans="2:14" x14ac:dyDescent="0.3">
      <c r="B2" s="19" t="s">
        <v>661</v>
      </c>
      <c r="E2" s="19" t="s">
        <v>664</v>
      </c>
      <c r="F2" s="19" t="s">
        <v>663</v>
      </c>
    </row>
    <row r="3" spans="2:14" x14ac:dyDescent="0.3">
      <c r="B3" s="20">
        <v>44200</v>
      </c>
      <c r="C3" s="21" t="s">
        <v>662</v>
      </c>
      <c r="E3" s="22">
        <v>7</v>
      </c>
      <c r="F3" s="22">
        <v>1</v>
      </c>
    </row>
    <row r="4" spans="2:14" hidden="1" x14ac:dyDescent="0.3">
      <c r="B4" s="23">
        <f>B3</f>
        <v>44200</v>
      </c>
    </row>
    <row r="5" spans="2:14" x14ac:dyDescent="0.3">
      <c r="M5" s="21" t="s">
        <v>665</v>
      </c>
    </row>
    <row r="6" spans="2:14" ht="26.25" x14ac:dyDescent="0.3">
      <c r="B6" s="6" t="s">
        <v>2</v>
      </c>
      <c r="C6" s="6" t="s">
        <v>3</v>
      </c>
      <c r="M6" s="6" t="s">
        <v>2</v>
      </c>
      <c r="N6" s="6" t="s">
        <v>3</v>
      </c>
    </row>
    <row r="7" spans="2:14" x14ac:dyDescent="0.3">
      <c r="B7" s="23">
        <f>B4+TIME(F3,0,0)</f>
        <v>44200.041666666664</v>
      </c>
      <c r="C7" s="23">
        <f>B7+$E$3-TIME($F$3,0,0)+TIME(0,0,1)</f>
        <v>44207.000011574077</v>
      </c>
      <c r="H7" t="str">
        <f>TEXT(B7,"yyyy-mm-dd")</f>
        <v>2021-01-04</v>
      </c>
      <c r="I7" t="str">
        <f>TEXT(C7,"yyyy-mm-dd")</f>
        <v>2021-01-11</v>
      </c>
      <c r="J7" s="24" t="str">
        <f>TEXT(B7,"hh:mm:ss")</f>
        <v>01:00:00</v>
      </c>
      <c r="K7" s="24" t="str">
        <f>TEXT(C7,"hh:mm:ss")</f>
        <v>00:00:01</v>
      </c>
      <c r="M7" s="25" t="str">
        <f>CONCATENATE(H7," ",J7)</f>
        <v>2021-01-04 01:00:00</v>
      </c>
      <c r="N7" s="25" t="str">
        <f>CONCATENATE(I7," ",K7)</f>
        <v>2021-01-11 00:00:01</v>
      </c>
    </row>
    <row r="8" spans="2:14" x14ac:dyDescent="0.3">
      <c r="B8" s="23">
        <f>C7+TIME($F$3,0,0)-TIME(0,0,1)</f>
        <v>44207.041666666664</v>
      </c>
      <c r="C8" s="23">
        <f>B8+$E$3-TIME($F$3,0,0)+TIME(0,0,1)</f>
        <v>44214.000011574077</v>
      </c>
      <c r="H8" t="str">
        <f t="shared" ref="H8:H71" si="0">TEXT(B8,"yyyy-mm-dd")</f>
        <v>2021-01-11</v>
      </c>
      <c r="I8" t="str">
        <f t="shared" ref="I8:I71" si="1">TEXT(C8,"yyyy-mm-dd")</f>
        <v>2021-01-18</v>
      </c>
      <c r="J8" s="24" t="str">
        <f t="shared" ref="J8:J71" si="2">TEXT(B8,"hh:mm:ss")</f>
        <v>01:00:00</v>
      </c>
      <c r="K8" s="24" t="str">
        <f t="shared" ref="K8:K71" si="3">TEXT(C8,"hh:mm:ss")</f>
        <v>00:00:01</v>
      </c>
      <c r="M8" s="25" t="str">
        <f t="shared" ref="M8:M71" si="4">CONCATENATE(H8," ",J8)</f>
        <v>2021-01-11 01:00:00</v>
      </c>
      <c r="N8" s="25" t="str">
        <f t="shared" ref="N8:N71" si="5">CONCATENATE(I8," ",K8)</f>
        <v>2021-01-18 00:00:01</v>
      </c>
    </row>
    <row r="9" spans="2:14" x14ac:dyDescent="0.3">
      <c r="B9" s="23">
        <f t="shared" ref="B9:B72" si="6">C8+TIME($F$3,0,0)-TIME(0,0,1)</f>
        <v>44214.041666666664</v>
      </c>
      <c r="C9" s="23">
        <f t="shared" ref="C9:C72" si="7">B9+$E$3-TIME($F$3,0,0)+TIME(0,0,1)</f>
        <v>44221.000011574077</v>
      </c>
      <c r="H9" t="str">
        <f t="shared" si="0"/>
        <v>2021-01-18</v>
      </c>
      <c r="I9" t="str">
        <f t="shared" si="1"/>
        <v>2021-01-25</v>
      </c>
      <c r="J9" s="24" t="str">
        <f t="shared" si="2"/>
        <v>01:00:00</v>
      </c>
      <c r="K9" s="24" t="str">
        <f t="shared" si="3"/>
        <v>00:00:01</v>
      </c>
      <c r="M9" s="25" t="str">
        <f t="shared" si="4"/>
        <v>2021-01-18 01:00:00</v>
      </c>
      <c r="N9" s="25" t="str">
        <f t="shared" si="5"/>
        <v>2021-01-25 00:00:01</v>
      </c>
    </row>
    <row r="10" spans="2:14" x14ac:dyDescent="0.3">
      <c r="B10" s="23">
        <f t="shared" si="6"/>
        <v>44221.041666666664</v>
      </c>
      <c r="C10" s="23">
        <f t="shared" si="7"/>
        <v>44228.000011574077</v>
      </c>
      <c r="H10" t="str">
        <f t="shared" si="0"/>
        <v>2021-01-25</v>
      </c>
      <c r="I10" t="str">
        <f t="shared" si="1"/>
        <v>2021-02-01</v>
      </c>
      <c r="J10" s="24" t="str">
        <f t="shared" si="2"/>
        <v>01:00:00</v>
      </c>
      <c r="K10" s="24" t="str">
        <f t="shared" si="3"/>
        <v>00:00:01</v>
      </c>
      <c r="M10" s="25" t="str">
        <f t="shared" si="4"/>
        <v>2021-01-25 01:00:00</v>
      </c>
      <c r="N10" s="25" t="str">
        <f t="shared" si="5"/>
        <v>2021-02-01 00:00:01</v>
      </c>
    </row>
    <row r="11" spans="2:14" x14ac:dyDescent="0.3">
      <c r="B11" s="23">
        <f t="shared" si="6"/>
        <v>44228.041666666664</v>
      </c>
      <c r="C11" s="23">
        <f t="shared" si="7"/>
        <v>44235.000011574077</v>
      </c>
      <c r="H11" t="str">
        <f t="shared" si="0"/>
        <v>2021-02-01</v>
      </c>
      <c r="I11" t="str">
        <f t="shared" si="1"/>
        <v>2021-02-08</v>
      </c>
      <c r="J11" s="24" t="str">
        <f t="shared" si="2"/>
        <v>01:00:00</v>
      </c>
      <c r="K11" s="24" t="str">
        <f t="shared" si="3"/>
        <v>00:00:01</v>
      </c>
      <c r="M11" s="25" t="str">
        <f t="shared" si="4"/>
        <v>2021-02-01 01:00:00</v>
      </c>
      <c r="N11" s="25" t="str">
        <f t="shared" si="5"/>
        <v>2021-02-08 00:00:01</v>
      </c>
    </row>
    <row r="12" spans="2:14" x14ac:dyDescent="0.3">
      <c r="B12" s="23">
        <f t="shared" si="6"/>
        <v>44235.041666666664</v>
      </c>
      <c r="C12" s="23">
        <f t="shared" si="7"/>
        <v>44242.000011574077</v>
      </c>
      <c r="H12" t="str">
        <f t="shared" si="0"/>
        <v>2021-02-08</v>
      </c>
      <c r="I12" t="str">
        <f t="shared" si="1"/>
        <v>2021-02-15</v>
      </c>
      <c r="J12" s="24" t="str">
        <f t="shared" si="2"/>
        <v>01:00:00</v>
      </c>
      <c r="K12" s="24" t="str">
        <f t="shared" si="3"/>
        <v>00:00:01</v>
      </c>
      <c r="M12" s="25" t="str">
        <f t="shared" si="4"/>
        <v>2021-02-08 01:00:00</v>
      </c>
      <c r="N12" s="25" t="str">
        <f t="shared" si="5"/>
        <v>2021-02-15 00:00:01</v>
      </c>
    </row>
    <row r="13" spans="2:14" x14ac:dyDescent="0.3">
      <c r="B13" s="23">
        <f t="shared" si="6"/>
        <v>44242.041666666664</v>
      </c>
      <c r="C13" s="23">
        <f t="shared" si="7"/>
        <v>44249.000011574077</v>
      </c>
      <c r="H13" t="str">
        <f t="shared" si="0"/>
        <v>2021-02-15</v>
      </c>
      <c r="I13" t="str">
        <f t="shared" si="1"/>
        <v>2021-02-22</v>
      </c>
      <c r="J13" s="24" t="str">
        <f t="shared" si="2"/>
        <v>01:00:00</v>
      </c>
      <c r="K13" s="24" t="str">
        <f t="shared" si="3"/>
        <v>00:00:01</v>
      </c>
      <c r="M13" s="25" t="str">
        <f t="shared" si="4"/>
        <v>2021-02-15 01:00:00</v>
      </c>
      <c r="N13" s="25" t="str">
        <f t="shared" si="5"/>
        <v>2021-02-22 00:00:01</v>
      </c>
    </row>
    <row r="14" spans="2:14" x14ac:dyDescent="0.3">
      <c r="B14" s="23">
        <f t="shared" si="6"/>
        <v>44249.041666666664</v>
      </c>
      <c r="C14" s="23">
        <f t="shared" si="7"/>
        <v>44256.000011574077</v>
      </c>
      <c r="H14" t="str">
        <f t="shared" si="0"/>
        <v>2021-02-22</v>
      </c>
      <c r="I14" t="str">
        <f t="shared" si="1"/>
        <v>2021-03-01</v>
      </c>
      <c r="J14" s="24" t="str">
        <f t="shared" si="2"/>
        <v>01:00:00</v>
      </c>
      <c r="K14" s="24" t="str">
        <f t="shared" si="3"/>
        <v>00:00:01</v>
      </c>
      <c r="M14" s="25" t="str">
        <f t="shared" si="4"/>
        <v>2021-02-22 01:00:00</v>
      </c>
      <c r="N14" s="25" t="str">
        <f t="shared" si="5"/>
        <v>2021-03-01 00:00:01</v>
      </c>
    </row>
    <row r="15" spans="2:14" x14ac:dyDescent="0.3">
      <c r="B15" s="23">
        <f t="shared" si="6"/>
        <v>44256.041666666664</v>
      </c>
      <c r="C15" s="23">
        <f t="shared" si="7"/>
        <v>44263.000011574077</v>
      </c>
      <c r="H15" t="str">
        <f t="shared" si="0"/>
        <v>2021-03-01</v>
      </c>
      <c r="I15" t="str">
        <f t="shared" si="1"/>
        <v>2021-03-08</v>
      </c>
      <c r="J15" s="24" t="str">
        <f t="shared" si="2"/>
        <v>01:00:00</v>
      </c>
      <c r="K15" s="24" t="str">
        <f t="shared" si="3"/>
        <v>00:00:01</v>
      </c>
      <c r="M15" s="25" t="str">
        <f t="shared" si="4"/>
        <v>2021-03-01 01:00:00</v>
      </c>
      <c r="N15" s="25" t="str">
        <f t="shared" si="5"/>
        <v>2021-03-08 00:00:01</v>
      </c>
    </row>
    <row r="16" spans="2:14" x14ac:dyDescent="0.3">
      <c r="B16" s="23">
        <f t="shared" si="6"/>
        <v>44263.041666666664</v>
      </c>
      <c r="C16" s="23">
        <f t="shared" si="7"/>
        <v>44270.000011574077</v>
      </c>
      <c r="H16" t="str">
        <f t="shared" si="0"/>
        <v>2021-03-08</v>
      </c>
      <c r="I16" t="str">
        <f t="shared" si="1"/>
        <v>2021-03-15</v>
      </c>
      <c r="J16" s="24" t="str">
        <f t="shared" si="2"/>
        <v>01:00:00</v>
      </c>
      <c r="K16" s="24" t="str">
        <f t="shared" si="3"/>
        <v>00:00:01</v>
      </c>
      <c r="M16" s="25" t="str">
        <f t="shared" si="4"/>
        <v>2021-03-08 01:00:00</v>
      </c>
      <c r="N16" s="25" t="str">
        <f t="shared" si="5"/>
        <v>2021-03-15 00:00:01</v>
      </c>
    </row>
    <row r="17" spans="2:14" x14ac:dyDescent="0.3">
      <c r="B17" s="23">
        <f t="shared" si="6"/>
        <v>44270.041666666664</v>
      </c>
      <c r="C17" s="23">
        <f t="shared" si="7"/>
        <v>44277.000011574077</v>
      </c>
      <c r="H17" t="str">
        <f t="shared" si="0"/>
        <v>2021-03-15</v>
      </c>
      <c r="I17" t="str">
        <f t="shared" si="1"/>
        <v>2021-03-22</v>
      </c>
      <c r="J17" s="24" t="str">
        <f t="shared" si="2"/>
        <v>01:00:00</v>
      </c>
      <c r="K17" s="24" t="str">
        <f t="shared" si="3"/>
        <v>00:00:01</v>
      </c>
      <c r="M17" s="25" t="str">
        <f t="shared" si="4"/>
        <v>2021-03-15 01:00:00</v>
      </c>
      <c r="N17" s="25" t="str">
        <f t="shared" si="5"/>
        <v>2021-03-22 00:00:01</v>
      </c>
    </row>
    <row r="18" spans="2:14" x14ac:dyDescent="0.3">
      <c r="B18" s="23">
        <f t="shared" si="6"/>
        <v>44277.041666666664</v>
      </c>
      <c r="C18" s="23">
        <f t="shared" si="7"/>
        <v>44284.000011574077</v>
      </c>
      <c r="H18" t="str">
        <f t="shared" si="0"/>
        <v>2021-03-22</v>
      </c>
      <c r="I18" t="str">
        <f t="shared" si="1"/>
        <v>2021-03-29</v>
      </c>
      <c r="J18" s="24" t="str">
        <f t="shared" si="2"/>
        <v>01:00:00</v>
      </c>
      <c r="K18" s="24" t="str">
        <f t="shared" si="3"/>
        <v>00:00:01</v>
      </c>
      <c r="M18" s="25" t="str">
        <f t="shared" si="4"/>
        <v>2021-03-22 01:00:00</v>
      </c>
      <c r="N18" s="25" t="str">
        <f t="shared" si="5"/>
        <v>2021-03-29 00:00:01</v>
      </c>
    </row>
    <row r="19" spans="2:14" x14ac:dyDescent="0.3">
      <c r="B19" s="23">
        <f t="shared" si="6"/>
        <v>44284.041666666664</v>
      </c>
      <c r="C19" s="23">
        <f t="shared" si="7"/>
        <v>44291.000011574077</v>
      </c>
      <c r="H19" t="str">
        <f t="shared" si="0"/>
        <v>2021-03-29</v>
      </c>
      <c r="I19" t="str">
        <f t="shared" si="1"/>
        <v>2021-04-05</v>
      </c>
      <c r="J19" s="24" t="str">
        <f t="shared" si="2"/>
        <v>01:00:00</v>
      </c>
      <c r="K19" s="24" t="str">
        <f t="shared" si="3"/>
        <v>00:00:01</v>
      </c>
      <c r="M19" s="25" t="str">
        <f t="shared" si="4"/>
        <v>2021-03-29 01:00:00</v>
      </c>
      <c r="N19" s="25" t="str">
        <f t="shared" si="5"/>
        <v>2021-04-05 00:00:01</v>
      </c>
    </row>
    <row r="20" spans="2:14" x14ac:dyDescent="0.3">
      <c r="B20" s="23">
        <f t="shared" si="6"/>
        <v>44291.041666666664</v>
      </c>
      <c r="C20" s="23">
        <f t="shared" si="7"/>
        <v>44298.000011574077</v>
      </c>
      <c r="H20" t="str">
        <f t="shared" si="0"/>
        <v>2021-04-05</v>
      </c>
      <c r="I20" t="str">
        <f t="shared" si="1"/>
        <v>2021-04-12</v>
      </c>
      <c r="J20" s="24" t="str">
        <f t="shared" si="2"/>
        <v>01:00:00</v>
      </c>
      <c r="K20" s="24" t="str">
        <f t="shared" si="3"/>
        <v>00:00:01</v>
      </c>
      <c r="M20" s="25" t="str">
        <f t="shared" si="4"/>
        <v>2021-04-05 01:00:00</v>
      </c>
      <c r="N20" s="25" t="str">
        <f t="shared" si="5"/>
        <v>2021-04-12 00:00:01</v>
      </c>
    </row>
    <row r="21" spans="2:14" x14ac:dyDescent="0.3">
      <c r="B21" s="23">
        <f t="shared" si="6"/>
        <v>44298.041666666664</v>
      </c>
      <c r="C21" s="23">
        <f t="shared" si="7"/>
        <v>44305.000011574077</v>
      </c>
      <c r="H21" t="str">
        <f t="shared" si="0"/>
        <v>2021-04-12</v>
      </c>
      <c r="I21" t="str">
        <f t="shared" si="1"/>
        <v>2021-04-19</v>
      </c>
      <c r="J21" s="24" t="str">
        <f t="shared" si="2"/>
        <v>01:00:00</v>
      </c>
      <c r="K21" s="24" t="str">
        <f t="shared" si="3"/>
        <v>00:00:01</v>
      </c>
      <c r="M21" s="25" t="str">
        <f t="shared" si="4"/>
        <v>2021-04-12 01:00:00</v>
      </c>
      <c r="N21" s="25" t="str">
        <f t="shared" si="5"/>
        <v>2021-04-19 00:00:01</v>
      </c>
    </row>
    <row r="22" spans="2:14" x14ac:dyDescent="0.3">
      <c r="B22" s="23">
        <f t="shared" si="6"/>
        <v>44305.041666666664</v>
      </c>
      <c r="C22" s="23">
        <f t="shared" si="7"/>
        <v>44312.000011574077</v>
      </c>
      <c r="H22" t="str">
        <f t="shared" si="0"/>
        <v>2021-04-19</v>
      </c>
      <c r="I22" t="str">
        <f t="shared" si="1"/>
        <v>2021-04-26</v>
      </c>
      <c r="J22" s="24" t="str">
        <f t="shared" si="2"/>
        <v>01:00:00</v>
      </c>
      <c r="K22" s="24" t="str">
        <f t="shared" si="3"/>
        <v>00:00:01</v>
      </c>
      <c r="M22" s="25" t="str">
        <f t="shared" si="4"/>
        <v>2021-04-19 01:00:00</v>
      </c>
      <c r="N22" s="25" t="str">
        <f t="shared" si="5"/>
        <v>2021-04-26 00:00:01</v>
      </c>
    </row>
    <row r="23" spans="2:14" x14ac:dyDescent="0.3">
      <c r="B23" s="23">
        <f t="shared" si="6"/>
        <v>44312.041666666664</v>
      </c>
      <c r="C23" s="23">
        <f t="shared" si="7"/>
        <v>44319.000011574077</v>
      </c>
      <c r="H23" t="str">
        <f t="shared" si="0"/>
        <v>2021-04-26</v>
      </c>
      <c r="I23" t="str">
        <f t="shared" si="1"/>
        <v>2021-05-03</v>
      </c>
      <c r="J23" s="24" t="str">
        <f t="shared" si="2"/>
        <v>01:00:00</v>
      </c>
      <c r="K23" s="24" t="str">
        <f t="shared" si="3"/>
        <v>00:00:01</v>
      </c>
      <c r="M23" s="25" t="str">
        <f t="shared" si="4"/>
        <v>2021-04-26 01:00:00</v>
      </c>
      <c r="N23" s="25" t="str">
        <f t="shared" si="5"/>
        <v>2021-05-03 00:00:01</v>
      </c>
    </row>
    <row r="24" spans="2:14" x14ac:dyDescent="0.3">
      <c r="B24" s="23">
        <f t="shared" si="6"/>
        <v>44319.041666666664</v>
      </c>
      <c r="C24" s="23">
        <f t="shared" si="7"/>
        <v>44326.000011574077</v>
      </c>
      <c r="H24" t="str">
        <f t="shared" si="0"/>
        <v>2021-05-03</v>
      </c>
      <c r="I24" t="str">
        <f t="shared" si="1"/>
        <v>2021-05-10</v>
      </c>
      <c r="J24" s="24" t="str">
        <f t="shared" si="2"/>
        <v>01:00:00</v>
      </c>
      <c r="K24" s="24" t="str">
        <f t="shared" si="3"/>
        <v>00:00:01</v>
      </c>
      <c r="M24" s="25" t="str">
        <f t="shared" si="4"/>
        <v>2021-05-03 01:00:00</v>
      </c>
      <c r="N24" s="25" t="str">
        <f t="shared" si="5"/>
        <v>2021-05-10 00:00:01</v>
      </c>
    </row>
    <row r="25" spans="2:14" x14ac:dyDescent="0.3">
      <c r="B25" s="23">
        <f t="shared" si="6"/>
        <v>44326.041666666664</v>
      </c>
      <c r="C25" s="23">
        <f t="shared" si="7"/>
        <v>44333.000011574077</v>
      </c>
      <c r="H25" t="str">
        <f t="shared" si="0"/>
        <v>2021-05-10</v>
      </c>
      <c r="I25" t="str">
        <f t="shared" si="1"/>
        <v>2021-05-17</v>
      </c>
      <c r="J25" s="24" t="str">
        <f t="shared" si="2"/>
        <v>01:00:00</v>
      </c>
      <c r="K25" s="24" t="str">
        <f t="shared" si="3"/>
        <v>00:00:01</v>
      </c>
      <c r="M25" s="25" t="str">
        <f t="shared" si="4"/>
        <v>2021-05-10 01:00:00</v>
      </c>
      <c r="N25" s="25" t="str">
        <f t="shared" si="5"/>
        <v>2021-05-17 00:00:01</v>
      </c>
    </row>
    <row r="26" spans="2:14" x14ac:dyDescent="0.3">
      <c r="B26" s="23">
        <f t="shared" si="6"/>
        <v>44333.041666666664</v>
      </c>
      <c r="C26" s="23">
        <f t="shared" si="7"/>
        <v>44340.000011574077</v>
      </c>
      <c r="H26" t="str">
        <f t="shared" si="0"/>
        <v>2021-05-17</v>
      </c>
      <c r="I26" t="str">
        <f t="shared" si="1"/>
        <v>2021-05-24</v>
      </c>
      <c r="J26" s="24" t="str">
        <f t="shared" si="2"/>
        <v>01:00:00</v>
      </c>
      <c r="K26" s="24" t="str">
        <f t="shared" si="3"/>
        <v>00:00:01</v>
      </c>
      <c r="M26" s="25" t="str">
        <f t="shared" si="4"/>
        <v>2021-05-17 01:00:00</v>
      </c>
      <c r="N26" s="25" t="str">
        <f t="shared" si="5"/>
        <v>2021-05-24 00:00:01</v>
      </c>
    </row>
    <row r="27" spans="2:14" x14ac:dyDescent="0.3">
      <c r="B27" s="23">
        <f t="shared" si="6"/>
        <v>44340.041666666664</v>
      </c>
      <c r="C27" s="23">
        <f t="shared" si="7"/>
        <v>44347.000011574077</v>
      </c>
      <c r="H27" t="str">
        <f t="shared" si="0"/>
        <v>2021-05-24</v>
      </c>
      <c r="I27" t="str">
        <f t="shared" si="1"/>
        <v>2021-05-31</v>
      </c>
      <c r="J27" s="24" t="str">
        <f t="shared" si="2"/>
        <v>01:00:00</v>
      </c>
      <c r="K27" s="24" t="str">
        <f t="shared" si="3"/>
        <v>00:00:01</v>
      </c>
      <c r="M27" s="25" t="str">
        <f t="shared" si="4"/>
        <v>2021-05-24 01:00:00</v>
      </c>
      <c r="N27" s="25" t="str">
        <f t="shared" si="5"/>
        <v>2021-05-31 00:00:01</v>
      </c>
    </row>
    <row r="28" spans="2:14" x14ac:dyDescent="0.3">
      <c r="B28" s="23">
        <f t="shared" si="6"/>
        <v>44347.041666666664</v>
      </c>
      <c r="C28" s="23">
        <f t="shared" si="7"/>
        <v>44354.000011574077</v>
      </c>
      <c r="H28" t="str">
        <f t="shared" si="0"/>
        <v>2021-05-31</v>
      </c>
      <c r="I28" t="str">
        <f t="shared" si="1"/>
        <v>2021-06-07</v>
      </c>
      <c r="J28" s="24" t="str">
        <f t="shared" si="2"/>
        <v>01:00:00</v>
      </c>
      <c r="K28" s="24" t="str">
        <f t="shared" si="3"/>
        <v>00:00:01</v>
      </c>
      <c r="M28" s="25" t="str">
        <f t="shared" si="4"/>
        <v>2021-05-31 01:00:00</v>
      </c>
      <c r="N28" s="25" t="str">
        <f t="shared" si="5"/>
        <v>2021-06-07 00:00:01</v>
      </c>
    </row>
    <row r="29" spans="2:14" x14ac:dyDescent="0.3">
      <c r="B29" s="23">
        <f t="shared" si="6"/>
        <v>44354.041666666664</v>
      </c>
      <c r="C29" s="23">
        <f t="shared" si="7"/>
        <v>44361.000011574077</v>
      </c>
      <c r="H29" t="str">
        <f t="shared" si="0"/>
        <v>2021-06-07</v>
      </c>
      <c r="I29" t="str">
        <f t="shared" si="1"/>
        <v>2021-06-14</v>
      </c>
      <c r="J29" s="24" t="str">
        <f t="shared" si="2"/>
        <v>01:00:00</v>
      </c>
      <c r="K29" s="24" t="str">
        <f t="shared" si="3"/>
        <v>00:00:01</v>
      </c>
      <c r="M29" s="25" t="str">
        <f t="shared" si="4"/>
        <v>2021-06-07 01:00:00</v>
      </c>
      <c r="N29" s="25" t="str">
        <f t="shared" si="5"/>
        <v>2021-06-14 00:00:01</v>
      </c>
    </row>
    <row r="30" spans="2:14" x14ac:dyDescent="0.3">
      <c r="B30" s="23">
        <f t="shared" si="6"/>
        <v>44361.041666666664</v>
      </c>
      <c r="C30" s="23">
        <f t="shared" si="7"/>
        <v>44368.000011574077</v>
      </c>
      <c r="H30" t="str">
        <f t="shared" si="0"/>
        <v>2021-06-14</v>
      </c>
      <c r="I30" t="str">
        <f t="shared" si="1"/>
        <v>2021-06-21</v>
      </c>
      <c r="J30" s="24" t="str">
        <f t="shared" si="2"/>
        <v>01:00:00</v>
      </c>
      <c r="K30" s="24" t="str">
        <f t="shared" si="3"/>
        <v>00:00:01</v>
      </c>
      <c r="M30" s="25" t="str">
        <f t="shared" si="4"/>
        <v>2021-06-14 01:00:00</v>
      </c>
      <c r="N30" s="25" t="str">
        <f t="shared" si="5"/>
        <v>2021-06-21 00:00:01</v>
      </c>
    </row>
    <row r="31" spans="2:14" x14ac:dyDescent="0.3">
      <c r="B31" s="23">
        <f t="shared" si="6"/>
        <v>44368.041666666664</v>
      </c>
      <c r="C31" s="23">
        <f t="shared" si="7"/>
        <v>44375.000011574077</v>
      </c>
      <c r="H31" t="str">
        <f t="shared" si="0"/>
        <v>2021-06-21</v>
      </c>
      <c r="I31" t="str">
        <f t="shared" si="1"/>
        <v>2021-06-28</v>
      </c>
      <c r="J31" s="24" t="str">
        <f t="shared" si="2"/>
        <v>01:00:00</v>
      </c>
      <c r="K31" s="24" t="str">
        <f t="shared" si="3"/>
        <v>00:00:01</v>
      </c>
      <c r="M31" s="25" t="str">
        <f t="shared" si="4"/>
        <v>2021-06-21 01:00:00</v>
      </c>
      <c r="N31" s="25" t="str">
        <f t="shared" si="5"/>
        <v>2021-06-28 00:00:01</v>
      </c>
    </row>
    <row r="32" spans="2:14" x14ac:dyDescent="0.3">
      <c r="B32" s="23">
        <f t="shared" si="6"/>
        <v>44375.041666666664</v>
      </c>
      <c r="C32" s="23">
        <f t="shared" si="7"/>
        <v>44382.000011574077</v>
      </c>
      <c r="H32" t="str">
        <f t="shared" si="0"/>
        <v>2021-06-28</v>
      </c>
      <c r="I32" t="str">
        <f t="shared" si="1"/>
        <v>2021-07-05</v>
      </c>
      <c r="J32" s="24" t="str">
        <f t="shared" si="2"/>
        <v>01:00:00</v>
      </c>
      <c r="K32" s="24" t="str">
        <f t="shared" si="3"/>
        <v>00:00:01</v>
      </c>
      <c r="M32" s="25" t="str">
        <f t="shared" si="4"/>
        <v>2021-06-28 01:00:00</v>
      </c>
      <c r="N32" s="25" t="str">
        <f t="shared" si="5"/>
        <v>2021-07-05 00:00:01</v>
      </c>
    </row>
    <row r="33" spans="2:14" x14ac:dyDescent="0.3">
      <c r="B33" s="23">
        <f t="shared" si="6"/>
        <v>44382.041666666664</v>
      </c>
      <c r="C33" s="23">
        <f t="shared" si="7"/>
        <v>44389.000011574077</v>
      </c>
      <c r="H33" t="str">
        <f t="shared" si="0"/>
        <v>2021-07-05</v>
      </c>
      <c r="I33" t="str">
        <f t="shared" si="1"/>
        <v>2021-07-12</v>
      </c>
      <c r="J33" s="24" t="str">
        <f t="shared" si="2"/>
        <v>01:00:00</v>
      </c>
      <c r="K33" s="24" t="str">
        <f t="shared" si="3"/>
        <v>00:00:01</v>
      </c>
      <c r="M33" s="25" t="str">
        <f t="shared" si="4"/>
        <v>2021-07-05 01:00:00</v>
      </c>
      <c r="N33" s="25" t="str">
        <f t="shared" si="5"/>
        <v>2021-07-12 00:00:01</v>
      </c>
    </row>
    <row r="34" spans="2:14" x14ac:dyDescent="0.3">
      <c r="B34" s="23">
        <f t="shared" si="6"/>
        <v>44389.041666666664</v>
      </c>
      <c r="C34" s="23">
        <f t="shared" si="7"/>
        <v>44396.000011574077</v>
      </c>
      <c r="H34" t="str">
        <f t="shared" si="0"/>
        <v>2021-07-12</v>
      </c>
      <c r="I34" t="str">
        <f t="shared" si="1"/>
        <v>2021-07-19</v>
      </c>
      <c r="J34" s="24" t="str">
        <f t="shared" si="2"/>
        <v>01:00:00</v>
      </c>
      <c r="K34" s="24" t="str">
        <f t="shared" si="3"/>
        <v>00:00:01</v>
      </c>
      <c r="M34" s="25" t="str">
        <f t="shared" si="4"/>
        <v>2021-07-12 01:00:00</v>
      </c>
      <c r="N34" s="25" t="str">
        <f t="shared" si="5"/>
        <v>2021-07-19 00:00:01</v>
      </c>
    </row>
    <row r="35" spans="2:14" x14ac:dyDescent="0.3">
      <c r="B35" s="23">
        <f t="shared" si="6"/>
        <v>44396.041666666664</v>
      </c>
      <c r="C35" s="23">
        <f t="shared" si="7"/>
        <v>44403.000011574077</v>
      </c>
      <c r="H35" t="str">
        <f t="shared" si="0"/>
        <v>2021-07-19</v>
      </c>
      <c r="I35" t="str">
        <f t="shared" si="1"/>
        <v>2021-07-26</v>
      </c>
      <c r="J35" s="24" t="str">
        <f t="shared" si="2"/>
        <v>01:00:00</v>
      </c>
      <c r="K35" s="24" t="str">
        <f t="shared" si="3"/>
        <v>00:00:01</v>
      </c>
      <c r="M35" s="25" t="str">
        <f t="shared" si="4"/>
        <v>2021-07-19 01:00:00</v>
      </c>
      <c r="N35" s="25" t="str">
        <f t="shared" si="5"/>
        <v>2021-07-26 00:00:01</v>
      </c>
    </row>
    <row r="36" spans="2:14" x14ac:dyDescent="0.3">
      <c r="B36" s="23">
        <f t="shared" si="6"/>
        <v>44403.041666666664</v>
      </c>
      <c r="C36" s="23">
        <f t="shared" si="7"/>
        <v>44410.000011574077</v>
      </c>
      <c r="H36" t="str">
        <f t="shared" si="0"/>
        <v>2021-07-26</v>
      </c>
      <c r="I36" t="str">
        <f t="shared" si="1"/>
        <v>2021-08-02</v>
      </c>
      <c r="J36" s="24" t="str">
        <f t="shared" si="2"/>
        <v>01:00:00</v>
      </c>
      <c r="K36" s="24" t="str">
        <f t="shared" si="3"/>
        <v>00:00:01</v>
      </c>
      <c r="M36" s="25" t="str">
        <f t="shared" si="4"/>
        <v>2021-07-26 01:00:00</v>
      </c>
      <c r="N36" s="25" t="str">
        <f t="shared" si="5"/>
        <v>2021-08-02 00:00:01</v>
      </c>
    </row>
    <row r="37" spans="2:14" x14ac:dyDescent="0.3">
      <c r="B37" s="23">
        <f t="shared" si="6"/>
        <v>44410.041666666664</v>
      </c>
      <c r="C37" s="23">
        <f t="shared" si="7"/>
        <v>44417.000011574077</v>
      </c>
      <c r="H37" t="str">
        <f t="shared" si="0"/>
        <v>2021-08-02</v>
      </c>
      <c r="I37" t="str">
        <f t="shared" si="1"/>
        <v>2021-08-09</v>
      </c>
      <c r="J37" s="24" t="str">
        <f t="shared" si="2"/>
        <v>01:00:00</v>
      </c>
      <c r="K37" s="24" t="str">
        <f t="shared" si="3"/>
        <v>00:00:01</v>
      </c>
      <c r="M37" s="25" t="str">
        <f t="shared" si="4"/>
        <v>2021-08-02 01:00:00</v>
      </c>
      <c r="N37" s="25" t="str">
        <f t="shared" si="5"/>
        <v>2021-08-09 00:00:01</v>
      </c>
    </row>
    <row r="38" spans="2:14" x14ac:dyDescent="0.3">
      <c r="B38" s="23">
        <f t="shared" si="6"/>
        <v>44417.041666666664</v>
      </c>
      <c r="C38" s="23">
        <f t="shared" si="7"/>
        <v>44424.000011574077</v>
      </c>
      <c r="H38" t="str">
        <f t="shared" si="0"/>
        <v>2021-08-09</v>
      </c>
      <c r="I38" t="str">
        <f t="shared" si="1"/>
        <v>2021-08-16</v>
      </c>
      <c r="J38" s="24" t="str">
        <f t="shared" si="2"/>
        <v>01:00:00</v>
      </c>
      <c r="K38" s="24" t="str">
        <f t="shared" si="3"/>
        <v>00:00:01</v>
      </c>
      <c r="M38" s="25" t="str">
        <f t="shared" si="4"/>
        <v>2021-08-09 01:00:00</v>
      </c>
      <c r="N38" s="25" t="str">
        <f t="shared" si="5"/>
        <v>2021-08-16 00:00:01</v>
      </c>
    </row>
    <row r="39" spans="2:14" x14ac:dyDescent="0.3">
      <c r="B39" s="23">
        <f t="shared" si="6"/>
        <v>44424.041666666664</v>
      </c>
      <c r="C39" s="23">
        <f t="shared" si="7"/>
        <v>44431.000011574077</v>
      </c>
      <c r="H39" t="str">
        <f t="shared" si="0"/>
        <v>2021-08-16</v>
      </c>
      <c r="I39" t="str">
        <f t="shared" si="1"/>
        <v>2021-08-23</v>
      </c>
      <c r="J39" s="24" t="str">
        <f t="shared" si="2"/>
        <v>01:00:00</v>
      </c>
      <c r="K39" s="24" t="str">
        <f t="shared" si="3"/>
        <v>00:00:01</v>
      </c>
      <c r="M39" s="25" t="str">
        <f t="shared" si="4"/>
        <v>2021-08-16 01:00:00</v>
      </c>
      <c r="N39" s="25" t="str">
        <f t="shared" si="5"/>
        <v>2021-08-23 00:00:01</v>
      </c>
    </row>
    <row r="40" spans="2:14" x14ac:dyDescent="0.3">
      <c r="B40" s="23">
        <f t="shared" si="6"/>
        <v>44431.041666666664</v>
      </c>
      <c r="C40" s="23">
        <f t="shared" si="7"/>
        <v>44438.000011574077</v>
      </c>
      <c r="H40" t="str">
        <f t="shared" si="0"/>
        <v>2021-08-23</v>
      </c>
      <c r="I40" t="str">
        <f t="shared" si="1"/>
        <v>2021-08-30</v>
      </c>
      <c r="J40" s="24" t="str">
        <f t="shared" si="2"/>
        <v>01:00:00</v>
      </c>
      <c r="K40" s="24" t="str">
        <f t="shared" si="3"/>
        <v>00:00:01</v>
      </c>
      <c r="M40" s="25" t="str">
        <f t="shared" si="4"/>
        <v>2021-08-23 01:00:00</v>
      </c>
      <c r="N40" s="25" t="str">
        <f t="shared" si="5"/>
        <v>2021-08-30 00:00:01</v>
      </c>
    </row>
    <row r="41" spans="2:14" x14ac:dyDescent="0.3">
      <c r="B41" s="23">
        <f t="shared" si="6"/>
        <v>44438.041666666664</v>
      </c>
      <c r="C41" s="23">
        <f t="shared" si="7"/>
        <v>44445.000011574077</v>
      </c>
      <c r="H41" t="str">
        <f t="shared" si="0"/>
        <v>2021-08-30</v>
      </c>
      <c r="I41" t="str">
        <f t="shared" si="1"/>
        <v>2021-09-06</v>
      </c>
      <c r="J41" s="24" t="str">
        <f t="shared" si="2"/>
        <v>01:00:00</v>
      </c>
      <c r="K41" s="24" t="str">
        <f t="shared" si="3"/>
        <v>00:00:01</v>
      </c>
      <c r="M41" s="25" t="str">
        <f t="shared" si="4"/>
        <v>2021-08-30 01:00:00</v>
      </c>
      <c r="N41" s="25" t="str">
        <f t="shared" si="5"/>
        <v>2021-09-06 00:00:01</v>
      </c>
    </row>
    <row r="42" spans="2:14" x14ac:dyDescent="0.3">
      <c r="B42" s="23">
        <f t="shared" si="6"/>
        <v>44445.041666666664</v>
      </c>
      <c r="C42" s="23">
        <f t="shared" si="7"/>
        <v>44452.000011574077</v>
      </c>
      <c r="H42" t="str">
        <f t="shared" si="0"/>
        <v>2021-09-06</v>
      </c>
      <c r="I42" t="str">
        <f t="shared" si="1"/>
        <v>2021-09-13</v>
      </c>
      <c r="J42" s="24" t="str">
        <f t="shared" si="2"/>
        <v>01:00:00</v>
      </c>
      <c r="K42" s="24" t="str">
        <f t="shared" si="3"/>
        <v>00:00:01</v>
      </c>
      <c r="M42" s="25" t="str">
        <f t="shared" si="4"/>
        <v>2021-09-06 01:00:00</v>
      </c>
      <c r="N42" s="25" t="str">
        <f t="shared" si="5"/>
        <v>2021-09-13 00:00:01</v>
      </c>
    </row>
    <row r="43" spans="2:14" x14ac:dyDescent="0.3">
      <c r="B43" s="23">
        <f t="shared" si="6"/>
        <v>44452.041666666664</v>
      </c>
      <c r="C43" s="23">
        <f t="shared" si="7"/>
        <v>44459.000011574077</v>
      </c>
      <c r="H43" t="str">
        <f t="shared" si="0"/>
        <v>2021-09-13</v>
      </c>
      <c r="I43" t="str">
        <f t="shared" si="1"/>
        <v>2021-09-20</v>
      </c>
      <c r="J43" s="24" t="str">
        <f t="shared" si="2"/>
        <v>01:00:00</v>
      </c>
      <c r="K43" s="24" t="str">
        <f t="shared" si="3"/>
        <v>00:00:01</v>
      </c>
      <c r="M43" s="25" t="str">
        <f t="shared" si="4"/>
        <v>2021-09-13 01:00:00</v>
      </c>
      <c r="N43" s="25" t="str">
        <f t="shared" si="5"/>
        <v>2021-09-20 00:00:01</v>
      </c>
    </row>
    <row r="44" spans="2:14" x14ac:dyDescent="0.3">
      <c r="B44" s="23">
        <f t="shared" si="6"/>
        <v>44459.041666666664</v>
      </c>
      <c r="C44" s="23">
        <f t="shared" si="7"/>
        <v>44466.000011574077</v>
      </c>
      <c r="H44" t="str">
        <f t="shared" si="0"/>
        <v>2021-09-20</v>
      </c>
      <c r="I44" t="str">
        <f t="shared" si="1"/>
        <v>2021-09-27</v>
      </c>
      <c r="J44" s="24" t="str">
        <f t="shared" si="2"/>
        <v>01:00:00</v>
      </c>
      <c r="K44" s="24" t="str">
        <f t="shared" si="3"/>
        <v>00:00:01</v>
      </c>
      <c r="M44" s="25" t="str">
        <f t="shared" si="4"/>
        <v>2021-09-20 01:00:00</v>
      </c>
      <c r="N44" s="25" t="str">
        <f t="shared" si="5"/>
        <v>2021-09-27 00:00:01</v>
      </c>
    </row>
    <row r="45" spans="2:14" x14ac:dyDescent="0.3">
      <c r="B45" s="23">
        <f t="shared" si="6"/>
        <v>44466.041666666664</v>
      </c>
      <c r="C45" s="23">
        <f t="shared" si="7"/>
        <v>44473.000011574077</v>
      </c>
      <c r="H45" t="str">
        <f t="shared" si="0"/>
        <v>2021-09-27</v>
      </c>
      <c r="I45" t="str">
        <f t="shared" si="1"/>
        <v>2021-10-04</v>
      </c>
      <c r="J45" s="24" t="str">
        <f t="shared" si="2"/>
        <v>01:00:00</v>
      </c>
      <c r="K45" s="24" t="str">
        <f t="shared" si="3"/>
        <v>00:00:01</v>
      </c>
      <c r="M45" s="25" t="str">
        <f t="shared" si="4"/>
        <v>2021-09-27 01:00:00</v>
      </c>
      <c r="N45" s="25" t="str">
        <f t="shared" si="5"/>
        <v>2021-10-04 00:00:01</v>
      </c>
    </row>
    <row r="46" spans="2:14" x14ac:dyDescent="0.3">
      <c r="B46" s="23">
        <f t="shared" si="6"/>
        <v>44473.041666666664</v>
      </c>
      <c r="C46" s="23">
        <f t="shared" si="7"/>
        <v>44480.000011574077</v>
      </c>
      <c r="H46" t="str">
        <f t="shared" si="0"/>
        <v>2021-10-04</v>
      </c>
      <c r="I46" t="str">
        <f t="shared" si="1"/>
        <v>2021-10-11</v>
      </c>
      <c r="J46" s="24" t="str">
        <f t="shared" si="2"/>
        <v>01:00:00</v>
      </c>
      <c r="K46" s="24" t="str">
        <f t="shared" si="3"/>
        <v>00:00:01</v>
      </c>
      <c r="M46" s="25" t="str">
        <f t="shared" si="4"/>
        <v>2021-10-04 01:00:00</v>
      </c>
      <c r="N46" s="25" t="str">
        <f t="shared" si="5"/>
        <v>2021-10-11 00:00:01</v>
      </c>
    </row>
    <row r="47" spans="2:14" x14ac:dyDescent="0.3">
      <c r="B47" s="23">
        <f t="shared" si="6"/>
        <v>44480.041666666664</v>
      </c>
      <c r="C47" s="23">
        <f t="shared" si="7"/>
        <v>44487.000011574077</v>
      </c>
      <c r="H47" t="str">
        <f t="shared" si="0"/>
        <v>2021-10-11</v>
      </c>
      <c r="I47" t="str">
        <f t="shared" si="1"/>
        <v>2021-10-18</v>
      </c>
      <c r="J47" s="24" t="str">
        <f t="shared" si="2"/>
        <v>01:00:00</v>
      </c>
      <c r="K47" s="24" t="str">
        <f t="shared" si="3"/>
        <v>00:00:01</v>
      </c>
      <c r="M47" s="25" t="str">
        <f t="shared" si="4"/>
        <v>2021-10-11 01:00:00</v>
      </c>
      <c r="N47" s="25" t="str">
        <f t="shared" si="5"/>
        <v>2021-10-18 00:00:01</v>
      </c>
    </row>
    <row r="48" spans="2:14" x14ac:dyDescent="0.3">
      <c r="B48" s="23">
        <f t="shared" si="6"/>
        <v>44487.041666666664</v>
      </c>
      <c r="C48" s="23">
        <f t="shared" si="7"/>
        <v>44494.000011574077</v>
      </c>
      <c r="H48" t="str">
        <f t="shared" si="0"/>
        <v>2021-10-18</v>
      </c>
      <c r="I48" t="str">
        <f t="shared" si="1"/>
        <v>2021-10-25</v>
      </c>
      <c r="J48" s="24" t="str">
        <f t="shared" si="2"/>
        <v>01:00:00</v>
      </c>
      <c r="K48" s="24" t="str">
        <f t="shared" si="3"/>
        <v>00:00:01</v>
      </c>
      <c r="M48" s="25" t="str">
        <f t="shared" si="4"/>
        <v>2021-10-18 01:00:00</v>
      </c>
      <c r="N48" s="25" t="str">
        <f t="shared" si="5"/>
        <v>2021-10-25 00:00:01</v>
      </c>
    </row>
    <row r="49" spans="2:14" x14ac:dyDescent="0.3">
      <c r="B49" s="23">
        <f t="shared" si="6"/>
        <v>44494.041666666664</v>
      </c>
      <c r="C49" s="23">
        <f t="shared" si="7"/>
        <v>44501.000011574077</v>
      </c>
      <c r="H49" t="str">
        <f t="shared" si="0"/>
        <v>2021-10-25</v>
      </c>
      <c r="I49" t="str">
        <f t="shared" si="1"/>
        <v>2021-11-01</v>
      </c>
      <c r="J49" s="24" t="str">
        <f t="shared" si="2"/>
        <v>01:00:00</v>
      </c>
      <c r="K49" s="24" t="str">
        <f t="shared" si="3"/>
        <v>00:00:01</v>
      </c>
      <c r="M49" s="25" t="str">
        <f t="shared" si="4"/>
        <v>2021-10-25 01:00:00</v>
      </c>
      <c r="N49" s="25" t="str">
        <f t="shared" si="5"/>
        <v>2021-11-01 00:00:01</v>
      </c>
    </row>
    <row r="50" spans="2:14" x14ac:dyDescent="0.3">
      <c r="B50" s="23">
        <f t="shared" si="6"/>
        <v>44501.041666666664</v>
      </c>
      <c r="C50" s="23">
        <f t="shared" si="7"/>
        <v>44508.000011574077</v>
      </c>
      <c r="H50" t="str">
        <f t="shared" si="0"/>
        <v>2021-11-01</v>
      </c>
      <c r="I50" t="str">
        <f t="shared" si="1"/>
        <v>2021-11-08</v>
      </c>
      <c r="J50" s="24" t="str">
        <f t="shared" si="2"/>
        <v>01:00:00</v>
      </c>
      <c r="K50" s="24" t="str">
        <f t="shared" si="3"/>
        <v>00:00:01</v>
      </c>
      <c r="M50" s="25" t="str">
        <f t="shared" si="4"/>
        <v>2021-11-01 01:00:00</v>
      </c>
      <c r="N50" s="25" t="str">
        <f t="shared" si="5"/>
        <v>2021-11-08 00:00:01</v>
      </c>
    </row>
    <row r="51" spans="2:14" x14ac:dyDescent="0.3">
      <c r="B51" s="23">
        <f t="shared" si="6"/>
        <v>44508.041666666664</v>
      </c>
      <c r="C51" s="23">
        <f t="shared" si="7"/>
        <v>44515.000011574077</v>
      </c>
      <c r="H51" t="str">
        <f t="shared" si="0"/>
        <v>2021-11-08</v>
      </c>
      <c r="I51" t="str">
        <f t="shared" si="1"/>
        <v>2021-11-15</v>
      </c>
      <c r="J51" s="24" t="str">
        <f t="shared" si="2"/>
        <v>01:00:00</v>
      </c>
      <c r="K51" s="24" t="str">
        <f t="shared" si="3"/>
        <v>00:00:01</v>
      </c>
      <c r="M51" s="25" t="str">
        <f t="shared" si="4"/>
        <v>2021-11-08 01:00:00</v>
      </c>
      <c r="N51" s="25" t="str">
        <f t="shared" si="5"/>
        <v>2021-11-15 00:00:01</v>
      </c>
    </row>
    <row r="52" spans="2:14" x14ac:dyDescent="0.3">
      <c r="B52" s="23">
        <f t="shared" si="6"/>
        <v>44515.041666666664</v>
      </c>
      <c r="C52" s="23">
        <f t="shared" si="7"/>
        <v>44522.000011574077</v>
      </c>
      <c r="H52" t="str">
        <f t="shared" si="0"/>
        <v>2021-11-15</v>
      </c>
      <c r="I52" t="str">
        <f t="shared" si="1"/>
        <v>2021-11-22</v>
      </c>
      <c r="J52" s="24" t="str">
        <f t="shared" si="2"/>
        <v>01:00:00</v>
      </c>
      <c r="K52" s="24" t="str">
        <f t="shared" si="3"/>
        <v>00:00:01</v>
      </c>
      <c r="M52" s="25" t="str">
        <f t="shared" si="4"/>
        <v>2021-11-15 01:00:00</v>
      </c>
      <c r="N52" s="25" t="str">
        <f t="shared" si="5"/>
        <v>2021-11-22 00:00:01</v>
      </c>
    </row>
    <row r="53" spans="2:14" x14ac:dyDescent="0.3">
      <c r="B53" s="23">
        <f t="shared" si="6"/>
        <v>44522.041666666664</v>
      </c>
      <c r="C53" s="23">
        <f t="shared" si="7"/>
        <v>44529.000011574077</v>
      </c>
      <c r="H53" t="str">
        <f t="shared" si="0"/>
        <v>2021-11-22</v>
      </c>
      <c r="I53" t="str">
        <f t="shared" si="1"/>
        <v>2021-11-29</v>
      </c>
      <c r="J53" s="24" t="str">
        <f t="shared" si="2"/>
        <v>01:00:00</v>
      </c>
      <c r="K53" s="24" t="str">
        <f t="shared" si="3"/>
        <v>00:00:01</v>
      </c>
      <c r="M53" s="25" t="str">
        <f t="shared" si="4"/>
        <v>2021-11-22 01:00:00</v>
      </c>
      <c r="N53" s="25" t="str">
        <f t="shared" si="5"/>
        <v>2021-11-29 00:00:01</v>
      </c>
    </row>
    <row r="54" spans="2:14" x14ac:dyDescent="0.3">
      <c r="B54" s="23">
        <f t="shared" si="6"/>
        <v>44529.041666666664</v>
      </c>
      <c r="C54" s="23">
        <f t="shared" si="7"/>
        <v>44536.000011574077</v>
      </c>
      <c r="H54" t="str">
        <f t="shared" si="0"/>
        <v>2021-11-29</v>
      </c>
      <c r="I54" t="str">
        <f t="shared" si="1"/>
        <v>2021-12-06</v>
      </c>
      <c r="J54" s="24" t="str">
        <f t="shared" si="2"/>
        <v>01:00:00</v>
      </c>
      <c r="K54" s="24" t="str">
        <f t="shared" si="3"/>
        <v>00:00:01</v>
      </c>
      <c r="M54" s="25" t="str">
        <f t="shared" si="4"/>
        <v>2021-11-29 01:00:00</v>
      </c>
      <c r="N54" s="25" t="str">
        <f t="shared" si="5"/>
        <v>2021-12-06 00:00:01</v>
      </c>
    </row>
    <row r="55" spans="2:14" x14ac:dyDescent="0.3">
      <c r="B55" s="23">
        <f t="shared" si="6"/>
        <v>44536.041666666664</v>
      </c>
      <c r="C55" s="23">
        <f t="shared" si="7"/>
        <v>44543.000011574077</v>
      </c>
      <c r="H55" t="str">
        <f t="shared" si="0"/>
        <v>2021-12-06</v>
      </c>
      <c r="I55" t="str">
        <f t="shared" si="1"/>
        <v>2021-12-13</v>
      </c>
      <c r="J55" s="24" t="str">
        <f t="shared" si="2"/>
        <v>01:00:00</v>
      </c>
      <c r="K55" s="24" t="str">
        <f t="shared" si="3"/>
        <v>00:00:01</v>
      </c>
      <c r="M55" s="25" t="str">
        <f t="shared" si="4"/>
        <v>2021-12-06 01:00:00</v>
      </c>
      <c r="N55" s="25" t="str">
        <f t="shared" si="5"/>
        <v>2021-12-13 00:00:01</v>
      </c>
    </row>
    <row r="56" spans="2:14" x14ac:dyDescent="0.3">
      <c r="B56" s="23">
        <f t="shared" si="6"/>
        <v>44543.041666666664</v>
      </c>
      <c r="C56" s="23">
        <f t="shared" si="7"/>
        <v>44550.000011574077</v>
      </c>
      <c r="H56" t="str">
        <f t="shared" si="0"/>
        <v>2021-12-13</v>
      </c>
      <c r="I56" t="str">
        <f t="shared" si="1"/>
        <v>2021-12-20</v>
      </c>
      <c r="J56" s="24" t="str">
        <f t="shared" si="2"/>
        <v>01:00:00</v>
      </c>
      <c r="K56" s="24" t="str">
        <f t="shared" si="3"/>
        <v>00:00:01</v>
      </c>
      <c r="M56" s="25" t="str">
        <f t="shared" si="4"/>
        <v>2021-12-13 01:00:00</v>
      </c>
      <c r="N56" s="25" t="str">
        <f t="shared" si="5"/>
        <v>2021-12-20 00:00:01</v>
      </c>
    </row>
    <row r="57" spans="2:14" x14ac:dyDescent="0.3">
      <c r="B57" s="23">
        <f t="shared" si="6"/>
        <v>44550.041666666664</v>
      </c>
      <c r="C57" s="23">
        <f t="shared" si="7"/>
        <v>44557.000011574077</v>
      </c>
      <c r="H57" t="str">
        <f t="shared" si="0"/>
        <v>2021-12-20</v>
      </c>
      <c r="I57" t="str">
        <f t="shared" si="1"/>
        <v>2021-12-27</v>
      </c>
      <c r="J57" s="24" t="str">
        <f t="shared" si="2"/>
        <v>01:00:00</v>
      </c>
      <c r="K57" s="24" t="str">
        <f t="shared" si="3"/>
        <v>00:00:01</v>
      </c>
      <c r="M57" s="25" t="str">
        <f t="shared" si="4"/>
        <v>2021-12-20 01:00:00</v>
      </c>
      <c r="N57" s="25" t="str">
        <f t="shared" si="5"/>
        <v>2021-12-27 00:00:01</v>
      </c>
    </row>
    <row r="58" spans="2:14" x14ac:dyDescent="0.3">
      <c r="B58" s="23">
        <f t="shared" si="6"/>
        <v>44557.041666666664</v>
      </c>
      <c r="C58" s="23">
        <f t="shared" si="7"/>
        <v>44564.000011574077</v>
      </c>
      <c r="H58" t="str">
        <f t="shared" si="0"/>
        <v>2021-12-27</v>
      </c>
      <c r="I58" t="str">
        <f t="shared" si="1"/>
        <v>2022-01-03</v>
      </c>
      <c r="J58" s="24" t="str">
        <f t="shared" si="2"/>
        <v>01:00:00</v>
      </c>
      <c r="K58" s="24" t="str">
        <f t="shared" si="3"/>
        <v>00:00:01</v>
      </c>
      <c r="M58" s="25" t="str">
        <f t="shared" si="4"/>
        <v>2021-12-27 01:00:00</v>
      </c>
      <c r="N58" s="25" t="str">
        <f t="shared" si="5"/>
        <v>2022-01-03 00:00:01</v>
      </c>
    </row>
    <row r="59" spans="2:14" x14ac:dyDescent="0.3">
      <c r="B59" s="23">
        <f t="shared" si="6"/>
        <v>44564.041666666664</v>
      </c>
      <c r="C59" s="23">
        <f t="shared" si="7"/>
        <v>44571.000011574077</v>
      </c>
      <c r="H59" t="str">
        <f t="shared" si="0"/>
        <v>2022-01-03</v>
      </c>
      <c r="I59" t="str">
        <f t="shared" si="1"/>
        <v>2022-01-10</v>
      </c>
      <c r="J59" s="24" t="str">
        <f t="shared" si="2"/>
        <v>01:00:00</v>
      </c>
      <c r="K59" s="24" t="str">
        <f t="shared" si="3"/>
        <v>00:00:01</v>
      </c>
      <c r="M59" s="25" t="str">
        <f t="shared" si="4"/>
        <v>2022-01-03 01:00:00</v>
      </c>
      <c r="N59" s="25" t="str">
        <f t="shared" si="5"/>
        <v>2022-01-10 00:00:01</v>
      </c>
    </row>
    <row r="60" spans="2:14" x14ac:dyDescent="0.3">
      <c r="B60" s="23">
        <f t="shared" si="6"/>
        <v>44571.041666666664</v>
      </c>
      <c r="C60" s="23">
        <f t="shared" si="7"/>
        <v>44578.000011574077</v>
      </c>
      <c r="H60" t="str">
        <f t="shared" si="0"/>
        <v>2022-01-10</v>
      </c>
      <c r="I60" t="str">
        <f t="shared" si="1"/>
        <v>2022-01-17</v>
      </c>
      <c r="J60" s="24" t="str">
        <f t="shared" si="2"/>
        <v>01:00:00</v>
      </c>
      <c r="K60" s="24" t="str">
        <f t="shared" si="3"/>
        <v>00:00:01</v>
      </c>
      <c r="M60" s="25" t="str">
        <f t="shared" si="4"/>
        <v>2022-01-10 01:00:00</v>
      </c>
      <c r="N60" s="25" t="str">
        <f t="shared" si="5"/>
        <v>2022-01-17 00:00:01</v>
      </c>
    </row>
    <row r="61" spans="2:14" x14ac:dyDescent="0.3">
      <c r="B61" s="23">
        <f t="shared" si="6"/>
        <v>44578.041666666664</v>
      </c>
      <c r="C61" s="23">
        <f t="shared" si="7"/>
        <v>44585.000011574077</v>
      </c>
      <c r="H61" t="str">
        <f t="shared" si="0"/>
        <v>2022-01-17</v>
      </c>
      <c r="I61" t="str">
        <f t="shared" si="1"/>
        <v>2022-01-24</v>
      </c>
      <c r="J61" s="24" t="str">
        <f t="shared" si="2"/>
        <v>01:00:00</v>
      </c>
      <c r="K61" s="24" t="str">
        <f t="shared" si="3"/>
        <v>00:00:01</v>
      </c>
      <c r="M61" s="25" t="str">
        <f t="shared" si="4"/>
        <v>2022-01-17 01:00:00</v>
      </c>
      <c r="N61" s="25" t="str">
        <f t="shared" si="5"/>
        <v>2022-01-24 00:00:01</v>
      </c>
    </row>
    <row r="62" spans="2:14" x14ac:dyDescent="0.3">
      <c r="B62" s="23">
        <f t="shared" si="6"/>
        <v>44585.041666666664</v>
      </c>
      <c r="C62" s="23">
        <f t="shared" si="7"/>
        <v>44592.000011574077</v>
      </c>
      <c r="H62" t="str">
        <f t="shared" si="0"/>
        <v>2022-01-24</v>
      </c>
      <c r="I62" t="str">
        <f t="shared" si="1"/>
        <v>2022-01-31</v>
      </c>
      <c r="J62" s="24" t="str">
        <f t="shared" si="2"/>
        <v>01:00:00</v>
      </c>
      <c r="K62" s="24" t="str">
        <f t="shared" si="3"/>
        <v>00:00:01</v>
      </c>
      <c r="M62" s="25" t="str">
        <f t="shared" si="4"/>
        <v>2022-01-24 01:00:00</v>
      </c>
      <c r="N62" s="25" t="str">
        <f t="shared" si="5"/>
        <v>2022-01-31 00:00:01</v>
      </c>
    </row>
    <row r="63" spans="2:14" x14ac:dyDescent="0.3">
      <c r="B63" s="23">
        <f t="shared" si="6"/>
        <v>44592.041666666664</v>
      </c>
      <c r="C63" s="23">
        <f t="shared" si="7"/>
        <v>44599.000011574077</v>
      </c>
      <c r="H63" t="str">
        <f t="shared" si="0"/>
        <v>2022-01-31</v>
      </c>
      <c r="I63" t="str">
        <f t="shared" si="1"/>
        <v>2022-02-07</v>
      </c>
      <c r="J63" s="24" t="str">
        <f t="shared" si="2"/>
        <v>01:00:00</v>
      </c>
      <c r="K63" s="24" t="str">
        <f t="shared" si="3"/>
        <v>00:00:01</v>
      </c>
      <c r="M63" s="25" t="str">
        <f>CONCATENATE(H63," ",J63)</f>
        <v>2022-01-31 01:00:00</v>
      </c>
      <c r="N63" s="25" t="str">
        <f t="shared" si="5"/>
        <v>2022-02-07 00:00:01</v>
      </c>
    </row>
    <row r="64" spans="2:14" x14ac:dyDescent="0.3">
      <c r="B64" s="23">
        <f t="shared" si="6"/>
        <v>44599.041666666664</v>
      </c>
      <c r="C64" s="23">
        <f t="shared" si="7"/>
        <v>44606.000011574077</v>
      </c>
      <c r="H64" t="str">
        <f t="shared" si="0"/>
        <v>2022-02-07</v>
      </c>
      <c r="I64" t="str">
        <f t="shared" si="1"/>
        <v>2022-02-14</v>
      </c>
      <c r="J64" s="24" t="str">
        <f t="shared" si="2"/>
        <v>01:00:00</v>
      </c>
      <c r="K64" s="24" t="str">
        <f t="shared" si="3"/>
        <v>00:00:01</v>
      </c>
      <c r="M64" s="25" t="str">
        <f t="shared" si="4"/>
        <v>2022-02-07 01:00:00</v>
      </c>
      <c r="N64" s="25" t="str">
        <f t="shared" si="5"/>
        <v>2022-02-14 00:00:01</v>
      </c>
    </row>
    <row r="65" spans="2:14" x14ac:dyDescent="0.3">
      <c r="B65" s="23">
        <f t="shared" si="6"/>
        <v>44606.041666666664</v>
      </c>
      <c r="C65" s="23">
        <f t="shared" si="7"/>
        <v>44613.000011574077</v>
      </c>
      <c r="H65" t="str">
        <f t="shared" si="0"/>
        <v>2022-02-14</v>
      </c>
      <c r="I65" t="str">
        <f t="shared" si="1"/>
        <v>2022-02-21</v>
      </c>
      <c r="J65" s="24" t="str">
        <f t="shared" si="2"/>
        <v>01:00:00</v>
      </c>
      <c r="K65" s="24" t="str">
        <f t="shared" si="3"/>
        <v>00:00:01</v>
      </c>
      <c r="M65" s="25" t="str">
        <f t="shared" si="4"/>
        <v>2022-02-14 01:00:00</v>
      </c>
      <c r="N65" s="25" t="str">
        <f t="shared" si="5"/>
        <v>2022-02-21 00:00:01</v>
      </c>
    </row>
    <row r="66" spans="2:14" x14ac:dyDescent="0.3">
      <c r="B66" s="23">
        <f t="shared" si="6"/>
        <v>44613.041666666664</v>
      </c>
      <c r="C66" s="23">
        <f t="shared" si="7"/>
        <v>44620.000011574077</v>
      </c>
      <c r="H66" t="str">
        <f t="shared" si="0"/>
        <v>2022-02-21</v>
      </c>
      <c r="I66" t="str">
        <f t="shared" si="1"/>
        <v>2022-02-28</v>
      </c>
      <c r="J66" s="24" t="str">
        <f t="shared" si="2"/>
        <v>01:00:00</v>
      </c>
      <c r="K66" s="24" t="str">
        <f t="shared" si="3"/>
        <v>00:00:01</v>
      </c>
      <c r="M66" s="25" t="str">
        <f t="shared" si="4"/>
        <v>2022-02-21 01:00:00</v>
      </c>
      <c r="N66" s="25" t="str">
        <f t="shared" si="5"/>
        <v>2022-02-28 00:00:01</v>
      </c>
    </row>
    <row r="67" spans="2:14" x14ac:dyDescent="0.3">
      <c r="B67" s="23">
        <f t="shared" si="6"/>
        <v>44620.041666666664</v>
      </c>
      <c r="C67" s="23">
        <f t="shared" si="7"/>
        <v>44627.000011574077</v>
      </c>
      <c r="H67" t="str">
        <f t="shared" si="0"/>
        <v>2022-02-28</v>
      </c>
      <c r="I67" t="str">
        <f t="shared" si="1"/>
        <v>2022-03-07</v>
      </c>
      <c r="J67" s="24" t="str">
        <f t="shared" si="2"/>
        <v>01:00:00</v>
      </c>
      <c r="K67" s="24" t="str">
        <f t="shared" si="3"/>
        <v>00:00:01</v>
      </c>
      <c r="M67" s="25" t="str">
        <f t="shared" si="4"/>
        <v>2022-02-28 01:00:00</v>
      </c>
      <c r="N67" s="25" t="str">
        <f t="shared" si="5"/>
        <v>2022-03-07 00:00:01</v>
      </c>
    </row>
    <row r="68" spans="2:14" x14ac:dyDescent="0.3">
      <c r="B68" s="23">
        <f t="shared" si="6"/>
        <v>44627.041666666664</v>
      </c>
      <c r="C68" s="23">
        <f t="shared" si="7"/>
        <v>44634.000011574077</v>
      </c>
      <c r="H68" t="str">
        <f t="shared" si="0"/>
        <v>2022-03-07</v>
      </c>
      <c r="I68" t="str">
        <f t="shared" si="1"/>
        <v>2022-03-14</v>
      </c>
      <c r="J68" s="24" t="str">
        <f t="shared" si="2"/>
        <v>01:00:00</v>
      </c>
      <c r="K68" s="24" t="str">
        <f t="shared" si="3"/>
        <v>00:00:01</v>
      </c>
      <c r="M68" s="25" t="str">
        <f t="shared" si="4"/>
        <v>2022-03-07 01:00:00</v>
      </c>
      <c r="N68" s="25" t="str">
        <f t="shared" si="5"/>
        <v>2022-03-14 00:00:01</v>
      </c>
    </row>
    <row r="69" spans="2:14" x14ac:dyDescent="0.3">
      <c r="B69" s="23">
        <f t="shared" si="6"/>
        <v>44634.041666666664</v>
      </c>
      <c r="C69" s="23">
        <f t="shared" si="7"/>
        <v>44641.000011574077</v>
      </c>
      <c r="H69" t="str">
        <f t="shared" si="0"/>
        <v>2022-03-14</v>
      </c>
      <c r="I69" t="str">
        <f t="shared" si="1"/>
        <v>2022-03-21</v>
      </c>
      <c r="J69" s="24" t="str">
        <f t="shared" si="2"/>
        <v>01:00:00</v>
      </c>
      <c r="K69" s="24" t="str">
        <f t="shared" si="3"/>
        <v>00:00:01</v>
      </c>
      <c r="M69" s="25" t="str">
        <f t="shared" si="4"/>
        <v>2022-03-14 01:00:00</v>
      </c>
      <c r="N69" s="25" t="str">
        <f t="shared" si="5"/>
        <v>2022-03-21 00:00:01</v>
      </c>
    </row>
    <row r="70" spans="2:14" x14ac:dyDescent="0.3">
      <c r="B70" s="23">
        <f t="shared" si="6"/>
        <v>44641.041666666664</v>
      </c>
      <c r="C70" s="23">
        <f t="shared" si="7"/>
        <v>44648.000011574077</v>
      </c>
      <c r="H70" t="str">
        <f t="shared" si="0"/>
        <v>2022-03-21</v>
      </c>
      <c r="I70" t="str">
        <f t="shared" si="1"/>
        <v>2022-03-28</v>
      </c>
      <c r="J70" s="24" t="str">
        <f t="shared" si="2"/>
        <v>01:00:00</v>
      </c>
      <c r="K70" s="24" t="str">
        <f t="shared" si="3"/>
        <v>00:00:01</v>
      </c>
      <c r="M70" s="25" t="str">
        <f t="shared" si="4"/>
        <v>2022-03-21 01:00:00</v>
      </c>
      <c r="N70" s="25" t="str">
        <f t="shared" si="5"/>
        <v>2022-03-28 00:00:01</v>
      </c>
    </row>
    <row r="71" spans="2:14" x14ac:dyDescent="0.3">
      <c r="B71" s="23">
        <f t="shared" si="6"/>
        <v>44648.041666666664</v>
      </c>
      <c r="C71" s="23">
        <f t="shared" si="7"/>
        <v>44655.000011574077</v>
      </c>
      <c r="H71" t="str">
        <f t="shared" si="0"/>
        <v>2022-03-28</v>
      </c>
      <c r="I71" t="str">
        <f t="shared" si="1"/>
        <v>2022-04-04</v>
      </c>
      <c r="J71" s="24" t="str">
        <f t="shared" si="2"/>
        <v>01:00:00</v>
      </c>
      <c r="K71" s="24" t="str">
        <f t="shared" si="3"/>
        <v>00:00:01</v>
      </c>
      <c r="M71" s="25" t="str">
        <f t="shared" si="4"/>
        <v>2022-03-28 01:00:00</v>
      </c>
      <c r="N71" s="25" t="str">
        <f t="shared" si="5"/>
        <v>2022-04-04 00:00:01</v>
      </c>
    </row>
    <row r="72" spans="2:14" x14ac:dyDescent="0.3">
      <c r="B72" s="23">
        <f t="shared" si="6"/>
        <v>44655.041666666664</v>
      </c>
      <c r="C72" s="23">
        <f t="shared" si="7"/>
        <v>44662.000011574077</v>
      </c>
      <c r="H72" t="str">
        <f t="shared" ref="H72:H135" si="8">TEXT(B72,"yyyy-mm-dd")</f>
        <v>2022-04-04</v>
      </c>
      <c r="I72" t="str">
        <f t="shared" ref="I72:I135" si="9">TEXT(C72,"yyyy-mm-dd")</f>
        <v>2022-04-11</v>
      </c>
      <c r="J72" s="24" t="str">
        <f t="shared" ref="J72:J135" si="10">TEXT(B72,"hh:mm:ss")</f>
        <v>01:00:00</v>
      </c>
      <c r="K72" s="24" t="str">
        <f t="shared" ref="K72:K135" si="11">TEXT(C72,"hh:mm:ss")</f>
        <v>00:00:01</v>
      </c>
      <c r="M72" s="25" t="str">
        <f t="shared" ref="M72:M135" si="12">CONCATENATE(H72," ",J72)</f>
        <v>2022-04-04 01:00:00</v>
      </c>
      <c r="N72" s="25" t="str">
        <f t="shared" ref="N72:N135" si="13">CONCATENATE(I72," ",K72)</f>
        <v>2022-04-11 00:00:01</v>
      </c>
    </row>
    <row r="73" spans="2:14" x14ac:dyDescent="0.3">
      <c r="B73" s="23">
        <f t="shared" ref="B73:B136" si="14">C72+TIME($F$3,0,0)-TIME(0,0,1)</f>
        <v>44662.041666666664</v>
      </c>
      <c r="C73" s="23">
        <f t="shared" ref="C73:C136" si="15">B73+$E$3-TIME($F$3,0,0)+TIME(0,0,1)</f>
        <v>44669.000011574077</v>
      </c>
      <c r="H73" t="str">
        <f t="shared" si="8"/>
        <v>2022-04-11</v>
      </c>
      <c r="I73" t="str">
        <f t="shared" si="9"/>
        <v>2022-04-18</v>
      </c>
      <c r="J73" s="24" t="str">
        <f t="shared" si="10"/>
        <v>01:00:00</v>
      </c>
      <c r="K73" s="24" t="str">
        <f t="shared" si="11"/>
        <v>00:00:01</v>
      </c>
      <c r="M73" s="25" t="str">
        <f t="shared" si="12"/>
        <v>2022-04-11 01:00:00</v>
      </c>
      <c r="N73" s="25" t="str">
        <f t="shared" si="13"/>
        <v>2022-04-18 00:00:01</v>
      </c>
    </row>
    <row r="74" spans="2:14" x14ac:dyDescent="0.3">
      <c r="B74" s="23">
        <f t="shared" si="14"/>
        <v>44669.041666666664</v>
      </c>
      <c r="C74" s="23">
        <f t="shared" si="15"/>
        <v>44676.000011574077</v>
      </c>
      <c r="H74" t="str">
        <f t="shared" si="8"/>
        <v>2022-04-18</v>
      </c>
      <c r="I74" t="str">
        <f t="shared" si="9"/>
        <v>2022-04-25</v>
      </c>
      <c r="J74" s="24" t="str">
        <f t="shared" si="10"/>
        <v>01:00:00</v>
      </c>
      <c r="K74" s="24" t="str">
        <f t="shared" si="11"/>
        <v>00:00:01</v>
      </c>
      <c r="M74" s="25" t="str">
        <f t="shared" si="12"/>
        <v>2022-04-18 01:00:00</v>
      </c>
      <c r="N74" s="25" t="str">
        <f t="shared" si="13"/>
        <v>2022-04-25 00:00:01</v>
      </c>
    </row>
    <row r="75" spans="2:14" x14ac:dyDescent="0.3">
      <c r="B75" s="23">
        <f t="shared" si="14"/>
        <v>44676.041666666664</v>
      </c>
      <c r="C75" s="23">
        <f t="shared" si="15"/>
        <v>44683.000011574077</v>
      </c>
      <c r="H75" t="str">
        <f t="shared" si="8"/>
        <v>2022-04-25</v>
      </c>
      <c r="I75" t="str">
        <f t="shared" si="9"/>
        <v>2022-05-02</v>
      </c>
      <c r="J75" s="24" t="str">
        <f t="shared" si="10"/>
        <v>01:00:00</v>
      </c>
      <c r="K75" s="24" t="str">
        <f t="shared" si="11"/>
        <v>00:00:01</v>
      </c>
      <c r="M75" s="25" t="str">
        <f t="shared" si="12"/>
        <v>2022-04-25 01:00:00</v>
      </c>
      <c r="N75" s="25" t="str">
        <f t="shared" si="13"/>
        <v>2022-05-02 00:00:01</v>
      </c>
    </row>
    <row r="76" spans="2:14" x14ac:dyDescent="0.3">
      <c r="B76" s="23">
        <f t="shared" si="14"/>
        <v>44683.041666666664</v>
      </c>
      <c r="C76" s="23">
        <f t="shared" si="15"/>
        <v>44690.000011574077</v>
      </c>
      <c r="H76" t="str">
        <f t="shared" si="8"/>
        <v>2022-05-02</v>
      </c>
      <c r="I76" t="str">
        <f t="shared" si="9"/>
        <v>2022-05-09</v>
      </c>
      <c r="J76" s="24" t="str">
        <f t="shared" si="10"/>
        <v>01:00:00</v>
      </c>
      <c r="K76" s="24" t="str">
        <f t="shared" si="11"/>
        <v>00:00:01</v>
      </c>
      <c r="M76" s="25" t="str">
        <f t="shared" si="12"/>
        <v>2022-05-02 01:00:00</v>
      </c>
      <c r="N76" s="25" t="str">
        <f t="shared" si="13"/>
        <v>2022-05-09 00:00:01</v>
      </c>
    </row>
    <row r="77" spans="2:14" x14ac:dyDescent="0.3">
      <c r="B77" s="23">
        <f t="shared" si="14"/>
        <v>44690.041666666664</v>
      </c>
      <c r="C77" s="23">
        <f t="shared" si="15"/>
        <v>44697.000011574077</v>
      </c>
      <c r="H77" t="str">
        <f t="shared" si="8"/>
        <v>2022-05-09</v>
      </c>
      <c r="I77" t="str">
        <f t="shared" si="9"/>
        <v>2022-05-16</v>
      </c>
      <c r="J77" s="24" t="str">
        <f t="shared" si="10"/>
        <v>01:00:00</v>
      </c>
      <c r="K77" s="24" t="str">
        <f t="shared" si="11"/>
        <v>00:00:01</v>
      </c>
      <c r="M77" s="25" t="str">
        <f t="shared" si="12"/>
        <v>2022-05-09 01:00:00</v>
      </c>
      <c r="N77" s="25" t="str">
        <f t="shared" si="13"/>
        <v>2022-05-16 00:00:01</v>
      </c>
    </row>
    <row r="78" spans="2:14" x14ac:dyDescent="0.3">
      <c r="B78" s="23">
        <f t="shared" si="14"/>
        <v>44697.041666666664</v>
      </c>
      <c r="C78" s="23">
        <f t="shared" si="15"/>
        <v>44704.000011574077</v>
      </c>
      <c r="H78" t="str">
        <f t="shared" si="8"/>
        <v>2022-05-16</v>
      </c>
      <c r="I78" t="str">
        <f t="shared" si="9"/>
        <v>2022-05-23</v>
      </c>
      <c r="J78" s="24" t="str">
        <f t="shared" si="10"/>
        <v>01:00:00</v>
      </c>
      <c r="K78" s="24" t="str">
        <f t="shared" si="11"/>
        <v>00:00:01</v>
      </c>
      <c r="M78" s="25" t="str">
        <f t="shared" si="12"/>
        <v>2022-05-16 01:00:00</v>
      </c>
      <c r="N78" s="25" t="str">
        <f t="shared" si="13"/>
        <v>2022-05-23 00:00:01</v>
      </c>
    </row>
    <row r="79" spans="2:14" x14ac:dyDescent="0.3">
      <c r="B79" s="23">
        <f t="shared" si="14"/>
        <v>44704.041666666664</v>
      </c>
      <c r="C79" s="23">
        <f t="shared" si="15"/>
        <v>44711.000011574077</v>
      </c>
      <c r="H79" t="str">
        <f t="shared" si="8"/>
        <v>2022-05-23</v>
      </c>
      <c r="I79" t="str">
        <f t="shared" si="9"/>
        <v>2022-05-30</v>
      </c>
      <c r="J79" s="24" t="str">
        <f t="shared" si="10"/>
        <v>01:00:00</v>
      </c>
      <c r="K79" s="24" t="str">
        <f t="shared" si="11"/>
        <v>00:00:01</v>
      </c>
      <c r="M79" s="25" t="str">
        <f t="shared" si="12"/>
        <v>2022-05-23 01:00:00</v>
      </c>
      <c r="N79" s="25" t="str">
        <f t="shared" si="13"/>
        <v>2022-05-30 00:00:01</v>
      </c>
    </row>
    <row r="80" spans="2:14" x14ac:dyDescent="0.3">
      <c r="B80" s="23">
        <f t="shared" si="14"/>
        <v>44711.041666666664</v>
      </c>
      <c r="C80" s="23">
        <f t="shared" si="15"/>
        <v>44718.000011574077</v>
      </c>
      <c r="H80" t="str">
        <f t="shared" si="8"/>
        <v>2022-05-30</v>
      </c>
      <c r="I80" t="str">
        <f t="shared" si="9"/>
        <v>2022-06-06</v>
      </c>
      <c r="J80" s="24" t="str">
        <f t="shared" si="10"/>
        <v>01:00:00</v>
      </c>
      <c r="K80" s="24" t="str">
        <f t="shared" si="11"/>
        <v>00:00:01</v>
      </c>
      <c r="M80" s="25" t="str">
        <f t="shared" si="12"/>
        <v>2022-05-30 01:00:00</v>
      </c>
      <c r="N80" s="25" t="str">
        <f t="shared" si="13"/>
        <v>2022-06-06 00:00:01</v>
      </c>
    </row>
    <row r="81" spans="2:14" x14ac:dyDescent="0.3">
      <c r="B81" s="23">
        <f t="shared" si="14"/>
        <v>44718.041666666664</v>
      </c>
      <c r="C81" s="23">
        <f t="shared" si="15"/>
        <v>44725.000011574077</v>
      </c>
      <c r="H81" t="str">
        <f t="shared" si="8"/>
        <v>2022-06-06</v>
      </c>
      <c r="I81" t="str">
        <f t="shared" si="9"/>
        <v>2022-06-13</v>
      </c>
      <c r="J81" s="24" t="str">
        <f t="shared" si="10"/>
        <v>01:00:00</v>
      </c>
      <c r="K81" s="24" t="str">
        <f t="shared" si="11"/>
        <v>00:00:01</v>
      </c>
      <c r="M81" s="25" t="str">
        <f t="shared" si="12"/>
        <v>2022-06-06 01:00:00</v>
      </c>
      <c r="N81" s="25" t="str">
        <f t="shared" si="13"/>
        <v>2022-06-13 00:00:01</v>
      </c>
    </row>
    <row r="82" spans="2:14" x14ac:dyDescent="0.3">
      <c r="B82" s="23">
        <f t="shared" si="14"/>
        <v>44725.041666666664</v>
      </c>
      <c r="C82" s="23">
        <f t="shared" si="15"/>
        <v>44732.000011574077</v>
      </c>
      <c r="H82" t="str">
        <f t="shared" si="8"/>
        <v>2022-06-13</v>
      </c>
      <c r="I82" t="str">
        <f t="shared" si="9"/>
        <v>2022-06-20</v>
      </c>
      <c r="J82" s="24" t="str">
        <f t="shared" si="10"/>
        <v>01:00:00</v>
      </c>
      <c r="K82" s="24" t="str">
        <f t="shared" si="11"/>
        <v>00:00:01</v>
      </c>
      <c r="M82" s="25" t="str">
        <f t="shared" si="12"/>
        <v>2022-06-13 01:00:00</v>
      </c>
      <c r="N82" s="25" t="str">
        <f t="shared" si="13"/>
        <v>2022-06-20 00:00:01</v>
      </c>
    </row>
    <row r="83" spans="2:14" x14ac:dyDescent="0.3">
      <c r="B83" s="23">
        <f t="shared" si="14"/>
        <v>44732.041666666664</v>
      </c>
      <c r="C83" s="23">
        <f t="shared" si="15"/>
        <v>44739.000011574077</v>
      </c>
      <c r="H83" t="str">
        <f t="shared" si="8"/>
        <v>2022-06-20</v>
      </c>
      <c r="I83" t="str">
        <f t="shared" si="9"/>
        <v>2022-06-27</v>
      </c>
      <c r="J83" s="24" t="str">
        <f t="shared" si="10"/>
        <v>01:00:00</v>
      </c>
      <c r="K83" s="24" t="str">
        <f t="shared" si="11"/>
        <v>00:00:01</v>
      </c>
      <c r="M83" s="25" t="str">
        <f t="shared" si="12"/>
        <v>2022-06-20 01:00:00</v>
      </c>
      <c r="N83" s="25" t="str">
        <f t="shared" si="13"/>
        <v>2022-06-27 00:00:01</v>
      </c>
    </row>
    <row r="84" spans="2:14" x14ac:dyDescent="0.3">
      <c r="B84" s="23">
        <f t="shared" si="14"/>
        <v>44739.041666666664</v>
      </c>
      <c r="C84" s="23">
        <f t="shared" si="15"/>
        <v>44746.000011574077</v>
      </c>
      <c r="H84" t="str">
        <f t="shared" si="8"/>
        <v>2022-06-27</v>
      </c>
      <c r="I84" t="str">
        <f t="shared" si="9"/>
        <v>2022-07-04</v>
      </c>
      <c r="J84" s="24" t="str">
        <f t="shared" si="10"/>
        <v>01:00:00</v>
      </c>
      <c r="K84" s="24" t="str">
        <f t="shared" si="11"/>
        <v>00:00:01</v>
      </c>
      <c r="M84" s="25" t="str">
        <f t="shared" si="12"/>
        <v>2022-06-27 01:00:00</v>
      </c>
      <c r="N84" s="25" t="str">
        <f t="shared" si="13"/>
        <v>2022-07-04 00:00:01</v>
      </c>
    </row>
    <row r="85" spans="2:14" x14ac:dyDescent="0.3">
      <c r="B85" s="23">
        <f t="shared" si="14"/>
        <v>44746.041666666664</v>
      </c>
      <c r="C85" s="23">
        <f t="shared" si="15"/>
        <v>44753.000011574077</v>
      </c>
      <c r="H85" t="str">
        <f t="shared" si="8"/>
        <v>2022-07-04</v>
      </c>
      <c r="I85" t="str">
        <f t="shared" si="9"/>
        <v>2022-07-11</v>
      </c>
      <c r="J85" s="24" t="str">
        <f t="shared" si="10"/>
        <v>01:00:00</v>
      </c>
      <c r="K85" s="24" t="str">
        <f t="shared" si="11"/>
        <v>00:00:01</v>
      </c>
      <c r="M85" s="25" t="str">
        <f t="shared" si="12"/>
        <v>2022-07-04 01:00:00</v>
      </c>
      <c r="N85" s="25" t="str">
        <f t="shared" si="13"/>
        <v>2022-07-11 00:00:01</v>
      </c>
    </row>
    <row r="86" spans="2:14" x14ac:dyDescent="0.3">
      <c r="B86" s="23">
        <f t="shared" si="14"/>
        <v>44753.041666666664</v>
      </c>
      <c r="C86" s="23">
        <f t="shared" si="15"/>
        <v>44760.000011574077</v>
      </c>
      <c r="H86" t="str">
        <f t="shared" si="8"/>
        <v>2022-07-11</v>
      </c>
      <c r="I86" t="str">
        <f t="shared" si="9"/>
        <v>2022-07-18</v>
      </c>
      <c r="J86" s="24" t="str">
        <f t="shared" si="10"/>
        <v>01:00:00</v>
      </c>
      <c r="K86" s="24" t="str">
        <f t="shared" si="11"/>
        <v>00:00:01</v>
      </c>
      <c r="M86" s="25" t="str">
        <f t="shared" si="12"/>
        <v>2022-07-11 01:00:00</v>
      </c>
      <c r="N86" s="25" t="str">
        <f t="shared" si="13"/>
        <v>2022-07-18 00:00:01</v>
      </c>
    </row>
    <row r="87" spans="2:14" x14ac:dyDescent="0.3">
      <c r="B87" s="23">
        <f t="shared" si="14"/>
        <v>44760.041666666664</v>
      </c>
      <c r="C87" s="23">
        <f t="shared" si="15"/>
        <v>44767.000011574077</v>
      </c>
      <c r="H87" t="str">
        <f t="shared" si="8"/>
        <v>2022-07-18</v>
      </c>
      <c r="I87" t="str">
        <f t="shared" si="9"/>
        <v>2022-07-25</v>
      </c>
      <c r="J87" s="24" t="str">
        <f t="shared" si="10"/>
        <v>01:00:00</v>
      </c>
      <c r="K87" s="24" t="str">
        <f t="shared" si="11"/>
        <v>00:00:01</v>
      </c>
      <c r="M87" s="25" t="str">
        <f t="shared" si="12"/>
        <v>2022-07-18 01:00:00</v>
      </c>
      <c r="N87" s="25" t="str">
        <f t="shared" si="13"/>
        <v>2022-07-25 00:00:01</v>
      </c>
    </row>
    <row r="88" spans="2:14" x14ac:dyDescent="0.3">
      <c r="B88" s="23">
        <f t="shared" si="14"/>
        <v>44767.041666666664</v>
      </c>
      <c r="C88" s="23">
        <f t="shared" si="15"/>
        <v>44774.000011574077</v>
      </c>
      <c r="H88" t="str">
        <f t="shared" si="8"/>
        <v>2022-07-25</v>
      </c>
      <c r="I88" t="str">
        <f t="shared" si="9"/>
        <v>2022-08-01</v>
      </c>
      <c r="J88" s="24" t="str">
        <f t="shared" si="10"/>
        <v>01:00:00</v>
      </c>
      <c r="K88" s="24" t="str">
        <f t="shared" si="11"/>
        <v>00:00:01</v>
      </c>
      <c r="M88" s="25" t="str">
        <f t="shared" si="12"/>
        <v>2022-07-25 01:00:00</v>
      </c>
      <c r="N88" s="25" t="str">
        <f t="shared" si="13"/>
        <v>2022-08-01 00:00:01</v>
      </c>
    </row>
    <row r="89" spans="2:14" x14ac:dyDescent="0.3">
      <c r="B89" s="23">
        <f t="shared" si="14"/>
        <v>44774.041666666664</v>
      </c>
      <c r="C89" s="23">
        <f t="shared" si="15"/>
        <v>44781.000011574077</v>
      </c>
      <c r="H89" t="str">
        <f t="shared" si="8"/>
        <v>2022-08-01</v>
      </c>
      <c r="I89" t="str">
        <f t="shared" si="9"/>
        <v>2022-08-08</v>
      </c>
      <c r="J89" s="24" t="str">
        <f t="shared" si="10"/>
        <v>01:00:00</v>
      </c>
      <c r="K89" s="24" t="str">
        <f t="shared" si="11"/>
        <v>00:00:01</v>
      </c>
      <c r="M89" s="25" t="str">
        <f t="shared" si="12"/>
        <v>2022-08-01 01:00:00</v>
      </c>
      <c r="N89" s="25" t="str">
        <f t="shared" si="13"/>
        <v>2022-08-08 00:00:01</v>
      </c>
    </row>
    <row r="90" spans="2:14" x14ac:dyDescent="0.3">
      <c r="B90" s="23">
        <f t="shared" si="14"/>
        <v>44781.041666666664</v>
      </c>
      <c r="C90" s="23">
        <f t="shared" si="15"/>
        <v>44788.000011574077</v>
      </c>
      <c r="H90" t="str">
        <f t="shared" si="8"/>
        <v>2022-08-08</v>
      </c>
      <c r="I90" t="str">
        <f t="shared" si="9"/>
        <v>2022-08-15</v>
      </c>
      <c r="J90" s="24" t="str">
        <f t="shared" si="10"/>
        <v>01:00:00</v>
      </c>
      <c r="K90" s="24" t="str">
        <f t="shared" si="11"/>
        <v>00:00:01</v>
      </c>
      <c r="M90" s="25" t="str">
        <f t="shared" si="12"/>
        <v>2022-08-08 01:00:00</v>
      </c>
      <c r="N90" s="25" t="str">
        <f t="shared" si="13"/>
        <v>2022-08-15 00:00:01</v>
      </c>
    </row>
    <row r="91" spans="2:14" x14ac:dyDescent="0.3">
      <c r="B91" s="23">
        <f t="shared" si="14"/>
        <v>44788.041666666664</v>
      </c>
      <c r="C91" s="23">
        <f t="shared" si="15"/>
        <v>44795.000011574077</v>
      </c>
      <c r="H91" t="str">
        <f t="shared" si="8"/>
        <v>2022-08-15</v>
      </c>
      <c r="I91" t="str">
        <f t="shared" si="9"/>
        <v>2022-08-22</v>
      </c>
      <c r="J91" s="24" t="str">
        <f t="shared" si="10"/>
        <v>01:00:00</v>
      </c>
      <c r="K91" s="24" t="str">
        <f t="shared" si="11"/>
        <v>00:00:01</v>
      </c>
      <c r="M91" s="25" t="str">
        <f t="shared" si="12"/>
        <v>2022-08-15 01:00:00</v>
      </c>
      <c r="N91" s="25" t="str">
        <f t="shared" si="13"/>
        <v>2022-08-22 00:00:01</v>
      </c>
    </row>
    <row r="92" spans="2:14" x14ac:dyDescent="0.3">
      <c r="B92" s="23">
        <f t="shared" si="14"/>
        <v>44795.041666666664</v>
      </c>
      <c r="C92" s="23">
        <f t="shared" si="15"/>
        <v>44802.000011574077</v>
      </c>
      <c r="H92" t="str">
        <f t="shared" si="8"/>
        <v>2022-08-22</v>
      </c>
      <c r="I92" t="str">
        <f t="shared" si="9"/>
        <v>2022-08-29</v>
      </c>
      <c r="J92" s="24" t="str">
        <f t="shared" si="10"/>
        <v>01:00:00</v>
      </c>
      <c r="K92" s="24" t="str">
        <f t="shared" si="11"/>
        <v>00:00:01</v>
      </c>
      <c r="M92" s="25" t="str">
        <f t="shared" si="12"/>
        <v>2022-08-22 01:00:00</v>
      </c>
      <c r="N92" s="25" t="str">
        <f t="shared" si="13"/>
        <v>2022-08-29 00:00:01</v>
      </c>
    </row>
    <row r="93" spans="2:14" x14ac:dyDescent="0.3">
      <c r="B93" s="23">
        <f t="shared" si="14"/>
        <v>44802.041666666664</v>
      </c>
      <c r="C93" s="23">
        <f t="shared" si="15"/>
        <v>44809.000011574077</v>
      </c>
      <c r="H93" t="str">
        <f t="shared" si="8"/>
        <v>2022-08-29</v>
      </c>
      <c r="I93" t="str">
        <f t="shared" si="9"/>
        <v>2022-09-05</v>
      </c>
      <c r="J93" s="24" t="str">
        <f t="shared" si="10"/>
        <v>01:00:00</v>
      </c>
      <c r="K93" s="24" t="str">
        <f t="shared" si="11"/>
        <v>00:00:01</v>
      </c>
      <c r="M93" s="25" t="str">
        <f t="shared" si="12"/>
        <v>2022-08-29 01:00:00</v>
      </c>
      <c r="N93" s="25" t="str">
        <f t="shared" si="13"/>
        <v>2022-09-05 00:00:01</v>
      </c>
    </row>
    <row r="94" spans="2:14" x14ac:dyDescent="0.3">
      <c r="B94" s="23">
        <f t="shared" si="14"/>
        <v>44809.041666666664</v>
      </c>
      <c r="C94" s="23">
        <f t="shared" si="15"/>
        <v>44816.000011574077</v>
      </c>
      <c r="H94" t="str">
        <f t="shared" si="8"/>
        <v>2022-09-05</v>
      </c>
      <c r="I94" t="str">
        <f t="shared" si="9"/>
        <v>2022-09-12</v>
      </c>
      <c r="J94" s="24" t="str">
        <f t="shared" si="10"/>
        <v>01:00:00</v>
      </c>
      <c r="K94" s="24" t="str">
        <f t="shared" si="11"/>
        <v>00:00:01</v>
      </c>
      <c r="M94" s="25" t="str">
        <f t="shared" si="12"/>
        <v>2022-09-05 01:00:00</v>
      </c>
      <c r="N94" s="25" t="str">
        <f t="shared" si="13"/>
        <v>2022-09-12 00:00:01</v>
      </c>
    </row>
    <row r="95" spans="2:14" x14ac:dyDescent="0.3">
      <c r="B95" s="23">
        <f t="shared" si="14"/>
        <v>44816.041666666664</v>
      </c>
      <c r="C95" s="23">
        <f t="shared" si="15"/>
        <v>44823.000011574077</v>
      </c>
      <c r="H95" t="str">
        <f t="shared" si="8"/>
        <v>2022-09-12</v>
      </c>
      <c r="I95" t="str">
        <f t="shared" si="9"/>
        <v>2022-09-19</v>
      </c>
      <c r="J95" s="24" t="str">
        <f t="shared" si="10"/>
        <v>01:00:00</v>
      </c>
      <c r="K95" s="24" t="str">
        <f t="shared" si="11"/>
        <v>00:00:01</v>
      </c>
      <c r="M95" s="25" t="str">
        <f t="shared" si="12"/>
        <v>2022-09-12 01:00:00</v>
      </c>
      <c r="N95" s="25" t="str">
        <f t="shared" si="13"/>
        <v>2022-09-19 00:00:01</v>
      </c>
    </row>
    <row r="96" spans="2:14" x14ac:dyDescent="0.3">
      <c r="B96" s="23">
        <f t="shared" si="14"/>
        <v>44823.041666666664</v>
      </c>
      <c r="C96" s="23">
        <f t="shared" si="15"/>
        <v>44830.000011574077</v>
      </c>
      <c r="H96" t="str">
        <f t="shared" si="8"/>
        <v>2022-09-19</v>
      </c>
      <c r="I96" t="str">
        <f t="shared" si="9"/>
        <v>2022-09-26</v>
      </c>
      <c r="J96" s="24" t="str">
        <f t="shared" si="10"/>
        <v>01:00:00</v>
      </c>
      <c r="K96" s="24" t="str">
        <f t="shared" si="11"/>
        <v>00:00:01</v>
      </c>
      <c r="M96" s="25" t="str">
        <f t="shared" si="12"/>
        <v>2022-09-19 01:00:00</v>
      </c>
      <c r="N96" s="25" t="str">
        <f t="shared" si="13"/>
        <v>2022-09-26 00:00:01</v>
      </c>
    </row>
    <row r="97" spans="2:14" x14ac:dyDescent="0.3">
      <c r="B97" s="23">
        <f t="shared" si="14"/>
        <v>44830.041666666664</v>
      </c>
      <c r="C97" s="23">
        <f t="shared" si="15"/>
        <v>44837.000011574077</v>
      </c>
      <c r="H97" t="str">
        <f t="shared" si="8"/>
        <v>2022-09-26</v>
      </c>
      <c r="I97" t="str">
        <f t="shared" si="9"/>
        <v>2022-10-03</v>
      </c>
      <c r="J97" s="24" t="str">
        <f t="shared" si="10"/>
        <v>01:00:00</v>
      </c>
      <c r="K97" s="24" t="str">
        <f t="shared" si="11"/>
        <v>00:00:01</v>
      </c>
      <c r="M97" s="25" t="str">
        <f t="shared" si="12"/>
        <v>2022-09-26 01:00:00</v>
      </c>
      <c r="N97" s="25" t="str">
        <f t="shared" si="13"/>
        <v>2022-10-03 00:00:01</v>
      </c>
    </row>
    <row r="98" spans="2:14" x14ac:dyDescent="0.3">
      <c r="B98" s="23">
        <f t="shared" si="14"/>
        <v>44837.041666666664</v>
      </c>
      <c r="C98" s="23">
        <f t="shared" si="15"/>
        <v>44844.000011574077</v>
      </c>
      <c r="H98" t="str">
        <f t="shared" si="8"/>
        <v>2022-10-03</v>
      </c>
      <c r="I98" t="str">
        <f t="shared" si="9"/>
        <v>2022-10-10</v>
      </c>
      <c r="J98" s="24" t="str">
        <f t="shared" si="10"/>
        <v>01:00:00</v>
      </c>
      <c r="K98" s="24" t="str">
        <f t="shared" si="11"/>
        <v>00:00:01</v>
      </c>
      <c r="M98" s="25" t="str">
        <f t="shared" si="12"/>
        <v>2022-10-03 01:00:00</v>
      </c>
      <c r="N98" s="25" t="str">
        <f t="shared" si="13"/>
        <v>2022-10-10 00:00:01</v>
      </c>
    </row>
    <row r="99" spans="2:14" x14ac:dyDescent="0.3">
      <c r="B99" s="23">
        <f t="shared" si="14"/>
        <v>44844.041666666664</v>
      </c>
      <c r="C99" s="23">
        <f t="shared" si="15"/>
        <v>44851.000011574077</v>
      </c>
      <c r="H99" t="str">
        <f t="shared" si="8"/>
        <v>2022-10-10</v>
      </c>
      <c r="I99" t="str">
        <f t="shared" si="9"/>
        <v>2022-10-17</v>
      </c>
      <c r="J99" s="24" t="str">
        <f t="shared" si="10"/>
        <v>01:00:00</v>
      </c>
      <c r="K99" s="24" t="str">
        <f t="shared" si="11"/>
        <v>00:00:01</v>
      </c>
      <c r="M99" s="25" t="str">
        <f t="shared" si="12"/>
        <v>2022-10-10 01:00:00</v>
      </c>
      <c r="N99" s="25" t="str">
        <f t="shared" si="13"/>
        <v>2022-10-17 00:00:01</v>
      </c>
    </row>
    <row r="100" spans="2:14" x14ac:dyDescent="0.3">
      <c r="B100" s="23">
        <f t="shared" si="14"/>
        <v>44851.041666666664</v>
      </c>
      <c r="C100" s="23">
        <f t="shared" si="15"/>
        <v>44858.000011574077</v>
      </c>
      <c r="H100" t="str">
        <f t="shared" si="8"/>
        <v>2022-10-17</v>
      </c>
      <c r="I100" t="str">
        <f t="shared" si="9"/>
        <v>2022-10-24</v>
      </c>
      <c r="J100" s="24" t="str">
        <f t="shared" si="10"/>
        <v>01:00:00</v>
      </c>
      <c r="K100" s="24" t="str">
        <f t="shared" si="11"/>
        <v>00:00:01</v>
      </c>
      <c r="M100" s="25" t="str">
        <f t="shared" si="12"/>
        <v>2022-10-17 01:00:00</v>
      </c>
      <c r="N100" s="25" t="str">
        <f t="shared" si="13"/>
        <v>2022-10-24 00:00:01</v>
      </c>
    </row>
    <row r="101" spans="2:14" x14ac:dyDescent="0.3">
      <c r="B101" s="23">
        <f t="shared" si="14"/>
        <v>44858.041666666664</v>
      </c>
      <c r="C101" s="23">
        <f t="shared" si="15"/>
        <v>44865.000011574077</v>
      </c>
      <c r="H101" t="str">
        <f t="shared" si="8"/>
        <v>2022-10-24</v>
      </c>
      <c r="I101" t="str">
        <f t="shared" si="9"/>
        <v>2022-10-31</v>
      </c>
      <c r="J101" s="24" t="str">
        <f t="shared" si="10"/>
        <v>01:00:00</v>
      </c>
      <c r="K101" s="24" t="str">
        <f t="shared" si="11"/>
        <v>00:00:01</v>
      </c>
      <c r="M101" s="25" t="str">
        <f t="shared" si="12"/>
        <v>2022-10-24 01:00:00</v>
      </c>
      <c r="N101" s="25" t="str">
        <f t="shared" si="13"/>
        <v>2022-10-31 00:00:01</v>
      </c>
    </row>
    <row r="102" spans="2:14" x14ac:dyDescent="0.3">
      <c r="B102" s="23">
        <f t="shared" si="14"/>
        <v>44865.041666666664</v>
      </c>
      <c r="C102" s="23">
        <f t="shared" si="15"/>
        <v>44872.000011574077</v>
      </c>
      <c r="H102" t="str">
        <f t="shared" si="8"/>
        <v>2022-10-31</v>
      </c>
      <c r="I102" t="str">
        <f t="shared" si="9"/>
        <v>2022-11-07</v>
      </c>
      <c r="J102" s="24" t="str">
        <f t="shared" si="10"/>
        <v>01:00:00</v>
      </c>
      <c r="K102" s="24" t="str">
        <f t="shared" si="11"/>
        <v>00:00:01</v>
      </c>
      <c r="M102" s="25" t="str">
        <f t="shared" si="12"/>
        <v>2022-10-31 01:00:00</v>
      </c>
      <c r="N102" s="25" t="str">
        <f t="shared" si="13"/>
        <v>2022-11-07 00:00:01</v>
      </c>
    </row>
    <row r="103" spans="2:14" x14ac:dyDescent="0.3">
      <c r="B103" s="23">
        <f t="shared" si="14"/>
        <v>44872.041666666664</v>
      </c>
      <c r="C103" s="23">
        <f t="shared" si="15"/>
        <v>44879.000011574077</v>
      </c>
      <c r="H103" t="str">
        <f t="shared" si="8"/>
        <v>2022-11-07</v>
      </c>
      <c r="I103" t="str">
        <f t="shared" si="9"/>
        <v>2022-11-14</v>
      </c>
      <c r="J103" s="24" t="str">
        <f t="shared" si="10"/>
        <v>01:00:00</v>
      </c>
      <c r="K103" s="24" t="str">
        <f t="shared" si="11"/>
        <v>00:00:01</v>
      </c>
      <c r="M103" s="25" t="str">
        <f t="shared" si="12"/>
        <v>2022-11-07 01:00:00</v>
      </c>
      <c r="N103" s="25" t="str">
        <f t="shared" si="13"/>
        <v>2022-11-14 00:00:01</v>
      </c>
    </row>
    <row r="104" spans="2:14" x14ac:dyDescent="0.3">
      <c r="B104" s="23">
        <f t="shared" si="14"/>
        <v>44879.041666666664</v>
      </c>
      <c r="C104" s="23">
        <f t="shared" si="15"/>
        <v>44886.000011574077</v>
      </c>
      <c r="H104" t="str">
        <f t="shared" si="8"/>
        <v>2022-11-14</v>
      </c>
      <c r="I104" t="str">
        <f t="shared" si="9"/>
        <v>2022-11-21</v>
      </c>
      <c r="J104" s="24" t="str">
        <f t="shared" si="10"/>
        <v>01:00:00</v>
      </c>
      <c r="K104" s="24" t="str">
        <f t="shared" si="11"/>
        <v>00:00:01</v>
      </c>
      <c r="M104" s="25" t="str">
        <f t="shared" si="12"/>
        <v>2022-11-14 01:00:00</v>
      </c>
      <c r="N104" s="25" t="str">
        <f t="shared" si="13"/>
        <v>2022-11-21 00:00:01</v>
      </c>
    </row>
    <row r="105" spans="2:14" x14ac:dyDescent="0.3">
      <c r="B105" s="23">
        <f t="shared" si="14"/>
        <v>44886.041666666664</v>
      </c>
      <c r="C105" s="23">
        <f t="shared" si="15"/>
        <v>44893.000011574077</v>
      </c>
      <c r="H105" t="str">
        <f t="shared" si="8"/>
        <v>2022-11-21</v>
      </c>
      <c r="I105" t="str">
        <f t="shared" si="9"/>
        <v>2022-11-28</v>
      </c>
      <c r="J105" s="24" t="str">
        <f t="shared" si="10"/>
        <v>01:00:00</v>
      </c>
      <c r="K105" s="24" t="str">
        <f t="shared" si="11"/>
        <v>00:00:01</v>
      </c>
      <c r="M105" s="25" t="str">
        <f t="shared" si="12"/>
        <v>2022-11-21 01:00:00</v>
      </c>
      <c r="N105" s="25" t="str">
        <f t="shared" si="13"/>
        <v>2022-11-28 00:00:01</v>
      </c>
    </row>
    <row r="106" spans="2:14" x14ac:dyDescent="0.3">
      <c r="B106" s="23">
        <f t="shared" si="14"/>
        <v>44893.041666666664</v>
      </c>
      <c r="C106" s="23">
        <f t="shared" si="15"/>
        <v>44900.000011574077</v>
      </c>
      <c r="H106" t="str">
        <f t="shared" si="8"/>
        <v>2022-11-28</v>
      </c>
      <c r="I106" t="str">
        <f t="shared" si="9"/>
        <v>2022-12-05</v>
      </c>
      <c r="J106" s="24" t="str">
        <f t="shared" si="10"/>
        <v>01:00:00</v>
      </c>
      <c r="K106" s="24" t="str">
        <f t="shared" si="11"/>
        <v>00:00:01</v>
      </c>
      <c r="M106" s="25" t="str">
        <f t="shared" si="12"/>
        <v>2022-11-28 01:00:00</v>
      </c>
      <c r="N106" s="25" t="str">
        <f t="shared" si="13"/>
        <v>2022-12-05 00:00:01</v>
      </c>
    </row>
    <row r="107" spans="2:14" x14ac:dyDescent="0.3">
      <c r="B107" s="23">
        <f t="shared" si="14"/>
        <v>44900.041666666664</v>
      </c>
      <c r="C107" s="23">
        <f t="shared" si="15"/>
        <v>44907.000011574077</v>
      </c>
      <c r="H107" t="str">
        <f t="shared" si="8"/>
        <v>2022-12-05</v>
      </c>
      <c r="I107" t="str">
        <f t="shared" si="9"/>
        <v>2022-12-12</v>
      </c>
      <c r="J107" s="24" t="str">
        <f t="shared" si="10"/>
        <v>01:00:00</v>
      </c>
      <c r="K107" s="24" t="str">
        <f t="shared" si="11"/>
        <v>00:00:01</v>
      </c>
      <c r="M107" s="25" t="str">
        <f t="shared" si="12"/>
        <v>2022-12-05 01:00:00</v>
      </c>
      <c r="N107" s="25" t="str">
        <f t="shared" si="13"/>
        <v>2022-12-12 00:00:01</v>
      </c>
    </row>
    <row r="108" spans="2:14" x14ac:dyDescent="0.3">
      <c r="B108" s="23">
        <f t="shared" si="14"/>
        <v>44907.041666666664</v>
      </c>
      <c r="C108" s="23">
        <f t="shared" si="15"/>
        <v>44914.000011574077</v>
      </c>
      <c r="H108" t="str">
        <f t="shared" si="8"/>
        <v>2022-12-12</v>
      </c>
      <c r="I108" t="str">
        <f t="shared" si="9"/>
        <v>2022-12-19</v>
      </c>
      <c r="J108" s="24" t="str">
        <f t="shared" si="10"/>
        <v>01:00:00</v>
      </c>
      <c r="K108" s="24" t="str">
        <f t="shared" si="11"/>
        <v>00:00:01</v>
      </c>
      <c r="M108" s="25" t="str">
        <f t="shared" si="12"/>
        <v>2022-12-12 01:00:00</v>
      </c>
      <c r="N108" s="25" t="str">
        <f t="shared" si="13"/>
        <v>2022-12-19 00:00:01</v>
      </c>
    </row>
    <row r="109" spans="2:14" x14ac:dyDescent="0.3">
      <c r="B109" s="23">
        <f t="shared" si="14"/>
        <v>44914.041666666664</v>
      </c>
      <c r="C109" s="23">
        <f t="shared" si="15"/>
        <v>44921.000011574077</v>
      </c>
      <c r="H109" t="str">
        <f t="shared" si="8"/>
        <v>2022-12-19</v>
      </c>
      <c r="I109" t="str">
        <f t="shared" si="9"/>
        <v>2022-12-26</v>
      </c>
      <c r="J109" s="24" t="str">
        <f t="shared" si="10"/>
        <v>01:00:00</v>
      </c>
      <c r="K109" s="24" t="str">
        <f t="shared" si="11"/>
        <v>00:00:01</v>
      </c>
      <c r="M109" s="25" t="str">
        <f t="shared" si="12"/>
        <v>2022-12-19 01:00:00</v>
      </c>
      <c r="N109" s="25" t="str">
        <f t="shared" si="13"/>
        <v>2022-12-26 00:00:01</v>
      </c>
    </row>
    <row r="110" spans="2:14" x14ac:dyDescent="0.3">
      <c r="B110" s="23">
        <f t="shared" si="14"/>
        <v>44921.041666666664</v>
      </c>
      <c r="C110" s="23">
        <f t="shared" si="15"/>
        <v>44928.000011574077</v>
      </c>
      <c r="H110" t="str">
        <f t="shared" si="8"/>
        <v>2022-12-26</v>
      </c>
      <c r="I110" t="str">
        <f t="shared" si="9"/>
        <v>2023-01-02</v>
      </c>
      <c r="J110" s="24" t="str">
        <f t="shared" si="10"/>
        <v>01:00:00</v>
      </c>
      <c r="K110" s="24" t="str">
        <f t="shared" si="11"/>
        <v>00:00:01</v>
      </c>
      <c r="M110" s="25" t="str">
        <f t="shared" si="12"/>
        <v>2022-12-26 01:00:00</v>
      </c>
      <c r="N110" s="25" t="str">
        <f t="shared" si="13"/>
        <v>2023-01-02 00:00:01</v>
      </c>
    </row>
    <row r="111" spans="2:14" x14ac:dyDescent="0.3">
      <c r="B111" s="23">
        <f t="shared" si="14"/>
        <v>44928.041666666664</v>
      </c>
      <c r="C111" s="23">
        <f t="shared" si="15"/>
        <v>44935.000011574077</v>
      </c>
      <c r="H111" t="str">
        <f t="shared" si="8"/>
        <v>2023-01-02</v>
      </c>
      <c r="I111" t="str">
        <f t="shared" si="9"/>
        <v>2023-01-09</v>
      </c>
      <c r="J111" s="24" t="str">
        <f t="shared" si="10"/>
        <v>01:00:00</v>
      </c>
      <c r="K111" s="24" t="str">
        <f t="shared" si="11"/>
        <v>00:00:01</v>
      </c>
      <c r="M111" s="25" t="str">
        <f t="shared" si="12"/>
        <v>2023-01-02 01:00:00</v>
      </c>
      <c r="N111" s="25" t="str">
        <f t="shared" si="13"/>
        <v>2023-01-09 00:00:01</v>
      </c>
    </row>
    <row r="112" spans="2:14" x14ac:dyDescent="0.3">
      <c r="B112" s="23">
        <f t="shared" si="14"/>
        <v>44935.041666666664</v>
      </c>
      <c r="C112" s="23">
        <f t="shared" si="15"/>
        <v>44942.000011574077</v>
      </c>
      <c r="H112" t="str">
        <f t="shared" si="8"/>
        <v>2023-01-09</v>
      </c>
      <c r="I112" t="str">
        <f t="shared" si="9"/>
        <v>2023-01-16</v>
      </c>
      <c r="J112" s="24" t="str">
        <f t="shared" si="10"/>
        <v>01:00:00</v>
      </c>
      <c r="K112" s="24" t="str">
        <f t="shared" si="11"/>
        <v>00:00:01</v>
      </c>
      <c r="M112" s="25" t="str">
        <f t="shared" si="12"/>
        <v>2023-01-09 01:00:00</v>
      </c>
      <c r="N112" s="25" t="str">
        <f t="shared" si="13"/>
        <v>2023-01-16 00:00:01</v>
      </c>
    </row>
    <row r="113" spans="2:14" x14ac:dyDescent="0.3">
      <c r="B113" s="23">
        <f t="shared" si="14"/>
        <v>44942.041666666664</v>
      </c>
      <c r="C113" s="23">
        <f t="shared" si="15"/>
        <v>44949.000011574077</v>
      </c>
      <c r="H113" t="str">
        <f t="shared" si="8"/>
        <v>2023-01-16</v>
      </c>
      <c r="I113" t="str">
        <f t="shared" si="9"/>
        <v>2023-01-23</v>
      </c>
      <c r="J113" s="24" t="str">
        <f t="shared" si="10"/>
        <v>01:00:00</v>
      </c>
      <c r="K113" s="24" t="str">
        <f t="shared" si="11"/>
        <v>00:00:01</v>
      </c>
      <c r="M113" s="25" t="str">
        <f t="shared" si="12"/>
        <v>2023-01-16 01:00:00</v>
      </c>
      <c r="N113" s="25" t="str">
        <f t="shared" si="13"/>
        <v>2023-01-23 00:00:01</v>
      </c>
    </row>
    <row r="114" spans="2:14" x14ac:dyDescent="0.3">
      <c r="B114" s="23">
        <f t="shared" si="14"/>
        <v>44949.041666666664</v>
      </c>
      <c r="C114" s="23">
        <f t="shared" si="15"/>
        <v>44956.000011574077</v>
      </c>
      <c r="H114" t="str">
        <f t="shared" si="8"/>
        <v>2023-01-23</v>
      </c>
      <c r="I114" t="str">
        <f t="shared" si="9"/>
        <v>2023-01-30</v>
      </c>
      <c r="J114" s="24" t="str">
        <f t="shared" si="10"/>
        <v>01:00:00</v>
      </c>
      <c r="K114" s="24" t="str">
        <f t="shared" si="11"/>
        <v>00:00:01</v>
      </c>
      <c r="M114" s="25" t="str">
        <f t="shared" si="12"/>
        <v>2023-01-23 01:00:00</v>
      </c>
      <c r="N114" s="25" t="str">
        <f t="shared" si="13"/>
        <v>2023-01-30 00:00:01</v>
      </c>
    </row>
    <row r="115" spans="2:14" x14ac:dyDescent="0.3">
      <c r="B115" s="23">
        <f t="shared" si="14"/>
        <v>44956.041666666664</v>
      </c>
      <c r="C115" s="23">
        <f t="shared" si="15"/>
        <v>44963.000011574077</v>
      </c>
      <c r="H115" t="str">
        <f t="shared" si="8"/>
        <v>2023-01-30</v>
      </c>
      <c r="I115" t="str">
        <f t="shared" si="9"/>
        <v>2023-02-06</v>
      </c>
      <c r="J115" s="24" t="str">
        <f t="shared" si="10"/>
        <v>01:00:00</v>
      </c>
      <c r="K115" s="24" t="str">
        <f t="shared" si="11"/>
        <v>00:00:01</v>
      </c>
      <c r="M115" s="25" t="str">
        <f t="shared" si="12"/>
        <v>2023-01-30 01:00:00</v>
      </c>
      <c r="N115" s="25" t="str">
        <f t="shared" si="13"/>
        <v>2023-02-06 00:00:01</v>
      </c>
    </row>
    <row r="116" spans="2:14" x14ac:dyDescent="0.3">
      <c r="B116" s="23">
        <f t="shared" si="14"/>
        <v>44963.041666666664</v>
      </c>
      <c r="C116" s="23">
        <f t="shared" si="15"/>
        <v>44970.000011574077</v>
      </c>
      <c r="H116" t="str">
        <f t="shared" si="8"/>
        <v>2023-02-06</v>
      </c>
      <c r="I116" t="str">
        <f t="shared" si="9"/>
        <v>2023-02-13</v>
      </c>
      <c r="J116" s="24" t="str">
        <f t="shared" si="10"/>
        <v>01:00:00</v>
      </c>
      <c r="K116" s="24" t="str">
        <f t="shared" si="11"/>
        <v>00:00:01</v>
      </c>
      <c r="M116" s="25" t="str">
        <f t="shared" si="12"/>
        <v>2023-02-06 01:00:00</v>
      </c>
      <c r="N116" s="25" t="str">
        <f t="shared" si="13"/>
        <v>2023-02-13 00:00:01</v>
      </c>
    </row>
    <row r="117" spans="2:14" x14ac:dyDescent="0.3">
      <c r="B117" s="23">
        <f t="shared" si="14"/>
        <v>44970.041666666664</v>
      </c>
      <c r="C117" s="23">
        <f t="shared" si="15"/>
        <v>44977.000011574077</v>
      </c>
      <c r="H117" t="str">
        <f t="shared" si="8"/>
        <v>2023-02-13</v>
      </c>
      <c r="I117" t="str">
        <f t="shared" si="9"/>
        <v>2023-02-20</v>
      </c>
      <c r="J117" s="24" t="str">
        <f t="shared" si="10"/>
        <v>01:00:00</v>
      </c>
      <c r="K117" s="24" t="str">
        <f t="shared" si="11"/>
        <v>00:00:01</v>
      </c>
      <c r="M117" s="25" t="str">
        <f t="shared" si="12"/>
        <v>2023-02-13 01:00:00</v>
      </c>
      <c r="N117" s="25" t="str">
        <f t="shared" si="13"/>
        <v>2023-02-20 00:00:01</v>
      </c>
    </row>
    <row r="118" spans="2:14" x14ac:dyDescent="0.3">
      <c r="B118" s="23">
        <f t="shared" si="14"/>
        <v>44977.041666666664</v>
      </c>
      <c r="C118" s="23">
        <f t="shared" si="15"/>
        <v>44984.000011574077</v>
      </c>
      <c r="H118" t="str">
        <f t="shared" si="8"/>
        <v>2023-02-20</v>
      </c>
      <c r="I118" t="str">
        <f t="shared" si="9"/>
        <v>2023-02-27</v>
      </c>
      <c r="J118" s="24" t="str">
        <f t="shared" si="10"/>
        <v>01:00:00</v>
      </c>
      <c r="K118" s="24" t="str">
        <f t="shared" si="11"/>
        <v>00:00:01</v>
      </c>
      <c r="M118" s="25" t="str">
        <f t="shared" si="12"/>
        <v>2023-02-20 01:00:00</v>
      </c>
      <c r="N118" s="25" t="str">
        <f t="shared" si="13"/>
        <v>2023-02-27 00:00:01</v>
      </c>
    </row>
    <row r="119" spans="2:14" x14ac:dyDescent="0.3">
      <c r="B119" s="23">
        <f t="shared" si="14"/>
        <v>44984.041666666664</v>
      </c>
      <c r="C119" s="23">
        <f t="shared" si="15"/>
        <v>44991.000011574077</v>
      </c>
      <c r="H119" t="str">
        <f t="shared" si="8"/>
        <v>2023-02-27</v>
      </c>
      <c r="I119" t="str">
        <f t="shared" si="9"/>
        <v>2023-03-06</v>
      </c>
      <c r="J119" s="24" t="str">
        <f t="shared" si="10"/>
        <v>01:00:00</v>
      </c>
      <c r="K119" s="24" t="str">
        <f t="shared" si="11"/>
        <v>00:00:01</v>
      </c>
      <c r="M119" s="25" t="str">
        <f t="shared" si="12"/>
        <v>2023-02-27 01:00:00</v>
      </c>
      <c r="N119" s="25" t="str">
        <f t="shared" si="13"/>
        <v>2023-03-06 00:00:01</v>
      </c>
    </row>
    <row r="120" spans="2:14" x14ac:dyDescent="0.3">
      <c r="B120" s="23">
        <f t="shared" si="14"/>
        <v>44991.041666666664</v>
      </c>
      <c r="C120" s="23">
        <f t="shared" si="15"/>
        <v>44998.000011574077</v>
      </c>
      <c r="H120" t="str">
        <f t="shared" si="8"/>
        <v>2023-03-06</v>
      </c>
      <c r="I120" t="str">
        <f t="shared" si="9"/>
        <v>2023-03-13</v>
      </c>
      <c r="J120" s="24" t="str">
        <f t="shared" si="10"/>
        <v>01:00:00</v>
      </c>
      <c r="K120" s="24" t="str">
        <f t="shared" si="11"/>
        <v>00:00:01</v>
      </c>
      <c r="M120" s="25" t="str">
        <f t="shared" si="12"/>
        <v>2023-03-06 01:00:00</v>
      </c>
      <c r="N120" s="25" t="str">
        <f t="shared" si="13"/>
        <v>2023-03-13 00:00:01</v>
      </c>
    </row>
    <row r="121" spans="2:14" x14ac:dyDescent="0.3">
      <c r="B121" s="23">
        <f t="shared" si="14"/>
        <v>44998.041666666664</v>
      </c>
      <c r="C121" s="23">
        <f t="shared" si="15"/>
        <v>45005.000011574077</v>
      </c>
      <c r="H121" t="str">
        <f t="shared" si="8"/>
        <v>2023-03-13</v>
      </c>
      <c r="I121" t="str">
        <f t="shared" si="9"/>
        <v>2023-03-20</v>
      </c>
      <c r="J121" s="24" t="str">
        <f t="shared" si="10"/>
        <v>01:00:00</v>
      </c>
      <c r="K121" s="24" t="str">
        <f t="shared" si="11"/>
        <v>00:00:01</v>
      </c>
      <c r="M121" s="25" t="str">
        <f t="shared" si="12"/>
        <v>2023-03-13 01:00:00</v>
      </c>
      <c r="N121" s="25" t="str">
        <f t="shared" si="13"/>
        <v>2023-03-20 00:00:01</v>
      </c>
    </row>
    <row r="122" spans="2:14" x14ac:dyDescent="0.3">
      <c r="B122" s="23">
        <f t="shared" si="14"/>
        <v>45005.041666666664</v>
      </c>
      <c r="C122" s="23">
        <f t="shared" si="15"/>
        <v>45012.000011574077</v>
      </c>
      <c r="H122" t="str">
        <f t="shared" si="8"/>
        <v>2023-03-20</v>
      </c>
      <c r="I122" t="str">
        <f t="shared" si="9"/>
        <v>2023-03-27</v>
      </c>
      <c r="J122" s="24" t="str">
        <f t="shared" si="10"/>
        <v>01:00:00</v>
      </c>
      <c r="K122" s="24" t="str">
        <f t="shared" si="11"/>
        <v>00:00:01</v>
      </c>
      <c r="M122" s="25" t="str">
        <f t="shared" si="12"/>
        <v>2023-03-20 01:00:00</v>
      </c>
      <c r="N122" s="25" t="str">
        <f t="shared" si="13"/>
        <v>2023-03-27 00:00:01</v>
      </c>
    </row>
    <row r="123" spans="2:14" x14ac:dyDescent="0.3">
      <c r="B123" s="23">
        <f t="shared" si="14"/>
        <v>45012.041666666664</v>
      </c>
      <c r="C123" s="23">
        <f t="shared" si="15"/>
        <v>45019.000011574077</v>
      </c>
      <c r="H123" t="str">
        <f t="shared" si="8"/>
        <v>2023-03-27</v>
      </c>
      <c r="I123" t="str">
        <f t="shared" si="9"/>
        <v>2023-04-03</v>
      </c>
      <c r="J123" s="24" t="str">
        <f t="shared" si="10"/>
        <v>01:00:00</v>
      </c>
      <c r="K123" s="24" t="str">
        <f t="shared" si="11"/>
        <v>00:00:01</v>
      </c>
      <c r="M123" s="25" t="str">
        <f t="shared" si="12"/>
        <v>2023-03-27 01:00:00</v>
      </c>
      <c r="N123" s="25" t="str">
        <f t="shared" si="13"/>
        <v>2023-04-03 00:00:01</v>
      </c>
    </row>
    <row r="124" spans="2:14" x14ac:dyDescent="0.3">
      <c r="B124" s="23">
        <f t="shared" si="14"/>
        <v>45019.041666666664</v>
      </c>
      <c r="C124" s="23">
        <f t="shared" si="15"/>
        <v>45026.000011574077</v>
      </c>
      <c r="H124" t="str">
        <f t="shared" si="8"/>
        <v>2023-04-03</v>
      </c>
      <c r="I124" t="str">
        <f t="shared" si="9"/>
        <v>2023-04-10</v>
      </c>
      <c r="J124" s="24" t="str">
        <f t="shared" si="10"/>
        <v>01:00:00</v>
      </c>
      <c r="K124" s="24" t="str">
        <f t="shared" si="11"/>
        <v>00:00:01</v>
      </c>
      <c r="M124" s="25" t="str">
        <f t="shared" si="12"/>
        <v>2023-04-03 01:00:00</v>
      </c>
      <c r="N124" s="25" t="str">
        <f t="shared" si="13"/>
        <v>2023-04-10 00:00:01</v>
      </c>
    </row>
    <row r="125" spans="2:14" x14ac:dyDescent="0.3">
      <c r="B125" s="23">
        <f t="shared" si="14"/>
        <v>45026.041666666664</v>
      </c>
      <c r="C125" s="23">
        <f t="shared" si="15"/>
        <v>45033.000011574077</v>
      </c>
      <c r="H125" t="str">
        <f t="shared" si="8"/>
        <v>2023-04-10</v>
      </c>
      <c r="I125" t="str">
        <f t="shared" si="9"/>
        <v>2023-04-17</v>
      </c>
      <c r="J125" s="24" t="str">
        <f t="shared" si="10"/>
        <v>01:00:00</v>
      </c>
      <c r="K125" s="24" t="str">
        <f t="shared" si="11"/>
        <v>00:00:01</v>
      </c>
      <c r="M125" s="25" t="str">
        <f t="shared" si="12"/>
        <v>2023-04-10 01:00:00</v>
      </c>
      <c r="N125" s="25" t="str">
        <f t="shared" si="13"/>
        <v>2023-04-17 00:00:01</v>
      </c>
    </row>
    <row r="126" spans="2:14" x14ac:dyDescent="0.3">
      <c r="B126" s="23">
        <f t="shared" si="14"/>
        <v>45033.041666666664</v>
      </c>
      <c r="C126" s="23">
        <f t="shared" si="15"/>
        <v>45040.000011574077</v>
      </c>
      <c r="H126" t="str">
        <f t="shared" si="8"/>
        <v>2023-04-17</v>
      </c>
      <c r="I126" t="str">
        <f t="shared" si="9"/>
        <v>2023-04-24</v>
      </c>
      <c r="J126" s="24" t="str">
        <f t="shared" si="10"/>
        <v>01:00:00</v>
      </c>
      <c r="K126" s="24" t="str">
        <f t="shared" si="11"/>
        <v>00:00:01</v>
      </c>
      <c r="M126" s="25" t="str">
        <f t="shared" si="12"/>
        <v>2023-04-17 01:00:00</v>
      </c>
      <c r="N126" s="25" t="str">
        <f t="shared" si="13"/>
        <v>2023-04-24 00:00:01</v>
      </c>
    </row>
    <row r="127" spans="2:14" x14ac:dyDescent="0.3">
      <c r="B127" s="23">
        <f t="shared" si="14"/>
        <v>45040.041666666664</v>
      </c>
      <c r="C127" s="23">
        <f t="shared" si="15"/>
        <v>45047.000011574077</v>
      </c>
      <c r="H127" t="str">
        <f t="shared" si="8"/>
        <v>2023-04-24</v>
      </c>
      <c r="I127" t="str">
        <f t="shared" si="9"/>
        <v>2023-05-01</v>
      </c>
      <c r="J127" s="24" t="str">
        <f t="shared" si="10"/>
        <v>01:00:00</v>
      </c>
      <c r="K127" s="24" t="str">
        <f t="shared" si="11"/>
        <v>00:00:01</v>
      </c>
      <c r="M127" s="25" t="str">
        <f t="shared" si="12"/>
        <v>2023-04-24 01:00:00</v>
      </c>
      <c r="N127" s="25" t="str">
        <f t="shared" si="13"/>
        <v>2023-05-01 00:00:01</v>
      </c>
    </row>
    <row r="128" spans="2:14" x14ac:dyDescent="0.3">
      <c r="B128" s="23">
        <f t="shared" si="14"/>
        <v>45047.041666666664</v>
      </c>
      <c r="C128" s="23">
        <f t="shared" si="15"/>
        <v>45054.000011574077</v>
      </c>
      <c r="H128" t="str">
        <f t="shared" si="8"/>
        <v>2023-05-01</v>
      </c>
      <c r="I128" t="str">
        <f t="shared" si="9"/>
        <v>2023-05-08</v>
      </c>
      <c r="J128" s="24" t="str">
        <f t="shared" si="10"/>
        <v>01:00:00</v>
      </c>
      <c r="K128" s="24" t="str">
        <f t="shared" si="11"/>
        <v>00:00:01</v>
      </c>
      <c r="M128" s="25" t="str">
        <f t="shared" si="12"/>
        <v>2023-05-01 01:00:00</v>
      </c>
      <c r="N128" s="25" t="str">
        <f t="shared" si="13"/>
        <v>2023-05-08 00:00:01</v>
      </c>
    </row>
    <row r="129" spans="2:14" x14ac:dyDescent="0.3">
      <c r="B129" s="23">
        <f t="shared" si="14"/>
        <v>45054.041666666664</v>
      </c>
      <c r="C129" s="23">
        <f t="shared" si="15"/>
        <v>45061.000011574077</v>
      </c>
      <c r="H129" t="str">
        <f t="shared" si="8"/>
        <v>2023-05-08</v>
      </c>
      <c r="I129" t="str">
        <f t="shared" si="9"/>
        <v>2023-05-15</v>
      </c>
      <c r="J129" s="24" t="str">
        <f t="shared" si="10"/>
        <v>01:00:00</v>
      </c>
      <c r="K129" s="24" t="str">
        <f t="shared" si="11"/>
        <v>00:00:01</v>
      </c>
      <c r="M129" s="25" t="str">
        <f t="shared" si="12"/>
        <v>2023-05-08 01:00:00</v>
      </c>
      <c r="N129" s="25" t="str">
        <f t="shared" si="13"/>
        <v>2023-05-15 00:00:01</v>
      </c>
    </row>
    <row r="130" spans="2:14" x14ac:dyDescent="0.3">
      <c r="B130" s="23">
        <f t="shared" si="14"/>
        <v>45061.041666666664</v>
      </c>
      <c r="C130" s="23">
        <f t="shared" si="15"/>
        <v>45068.000011574077</v>
      </c>
      <c r="H130" t="str">
        <f t="shared" si="8"/>
        <v>2023-05-15</v>
      </c>
      <c r="I130" t="str">
        <f t="shared" si="9"/>
        <v>2023-05-22</v>
      </c>
      <c r="J130" s="24" t="str">
        <f t="shared" si="10"/>
        <v>01:00:00</v>
      </c>
      <c r="K130" s="24" t="str">
        <f t="shared" si="11"/>
        <v>00:00:01</v>
      </c>
      <c r="M130" s="25" t="str">
        <f t="shared" si="12"/>
        <v>2023-05-15 01:00:00</v>
      </c>
      <c r="N130" s="25" t="str">
        <f t="shared" si="13"/>
        <v>2023-05-22 00:00:01</v>
      </c>
    </row>
    <row r="131" spans="2:14" x14ac:dyDescent="0.3">
      <c r="B131" s="23">
        <f t="shared" si="14"/>
        <v>45068.041666666664</v>
      </c>
      <c r="C131" s="23">
        <f t="shared" si="15"/>
        <v>45075.000011574077</v>
      </c>
      <c r="H131" t="str">
        <f t="shared" si="8"/>
        <v>2023-05-22</v>
      </c>
      <c r="I131" t="str">
        <f t="shared" si="9"/>
        <v>2023-05-29</v>
      </c>
      <c r="J131" s="24" t="str">
        <f t="shared" si="10"/>
        <v>01:00:00</v>
      </c>
      <c r="K131" s="24" t="str">
        <f t="shared" si="11"/>
        <v>00:00:01</v>
      </c>
      <c r="M131" s="25" t="str">
        <f t="shared" si="12"/>
        <v>2023-05-22 01:00:00</v>
      </c>
      <c r="N131" s="25" t="str">
        <f t="shared" si="13"/>
        <v>2023-05-29 00:00:01</v>
      </c>
    </row>
    <row r="132" spans="2:14" x14ac:dyDescent="0.3">
      <c r="B132" s="23">
        <f t="shared" si="14"/>
        <v>45075.041666666664</v>
      </c>
      <c r="C132" s="23">
        <f t="shared" si="15"/>
        <v>45082.000011574077</v>
      </c>
      <c r="H132" t="str">
        <f t="shared" si="8"/>
        <v>2023-05-29</v>
      </c>
      <c r="I132" t="str">
        <f t="shared" si="9"/>
        <v>2023-06-05</v>
      </c>
      <c r="J132" s="24" t="str">
        <f t="shared" si="10"/>
        <v>01:00:00</v>
      </c>
      <c r="K132" s="24" t="str">
        <f t="shared" si="11"/>
        <v>00:00:01</v>
      </c>
      <c r="M132" s="25" t="str">
        <f t="shared" si="12"/>
        <v>2023-05-29 01:00:00</v>
      </c>
      <c r="N132" s="25" t="str">
        <f t="shared" si="13"/>
        <v>2023-06-05 00:00:01</v>
      </c>
    </row>
    <row r="133" spans="2:14" x14ac:dyDescent="0.3">
      <c r="B133" s="23">
        <f t="shared" si="14"/>
        <v>45082.041666666664</v>
      </c>
      <c r="C133" s="23">
        <f t="shared" si="15"/>
        <v>45089.000011574077</v>
      </c>
      <c r="H133" t="str">
        <f t="shared" si="8"/>
        <v>2023-06-05</v>
      </c>
      <c r="I133" t="str">
        <f t="shared" si="9"/>
        <v>2023-06-12</v>
      </c>
      <c r="J133" s="24" t="str">
        <f t="shared" si="10"/>
        <v>01:00:00</v>
      </c>
      <c r="K133" s="24" t="str">
        <f t="shared" si="11"/>
        <v>00:00:01</v>
      </c>
      <c r="M133" s="25" t="str">
        <f t="shared" si="12"/>
        <v>2023-06-05 01:00:00</v>
      </c>
      <c r="N133" s="25" t="str">
        <f t="shared" si="13"/>
        <v>2023-06-12 00:00:01</v>
      </c>
    </row>
    <row r="134" spans="2:14" x14ac:dyDescent="0.3">
      <c r="B134" s="23">
        <f t="shared" si="14"/>
        <v>45089.041666666664</v>
      </c>
      <c r="C134" s="23">
        <f t="shared" si="15"/>
        <v>45096.000011574077</v>
      </c>
      <c r="H134" t="str">
        <f t="shared" si="8"/>
        <v>2023-06-12</v>
      </c>
      <c r="I134" t="str">
        <f t="shared" si="9"/>
        <v>2023-06-19</v>
      </c>
      <c r="J134" s="24" t="str">
        <f t="shared" si="10"/>
        <v>01:00:00</v>
      </c>
      <c r="K134" s="24" t="str">
        <f t="shared" si="11"/>
        <v>00:00:01</v>
      </c>
      <c r="M134" s="25" t="str">
        <f t="shared" si="12"/>
        <v>2023-06-12 01:00:00</v>
      </c>
      <c r="N134" s="25" t="str">
        <f t="shared" si="13"/>
        <v>2023-06-19 00:00:01</v>
      </c>
    </row>
    <row r="135" spans="2:14" x14ac:dyDescent="0.3">
      <c r="B135" s="23">
        <f t="shared" si="14"/>
        <v>45096.041666666664</v>
      </c>
      <c r="C135" s="23">
        <f t="shared" si="15"/>
        <v>45103.000011574077</v>
      </c>
      <c r="H135" t="str">
        <f t="shared" si="8"/>
        <v>2023-06-19</v>
      </c>
      <c r="I135" t="str">
        <f t="shared" si="9"/>
        <v>2023-06-26</v>
      </c>
      <c r="J135" s="24" t="str">
        <f t="shared" si="10"/>
        <v>01:00:00</v>
      </c>
      <c r="K135" s="24" t="str">
        <f t="shared" si="11"/>
        <v>00:00:01</v>
      </c>
      <c r="M135" s="25" t="str">
        <f t="shared" si="12"/>
        <v>2023-06-19 01:00:00</v>
      </c>
      <c r="N135" s="25" t="str">
        <f t="shared" si="13"/>
        <v>2023-06-26 00:00:01</v>
      </c>
    </row>
    <row r="136" spans="2:14" x14ac:dyDescent="0.3">
      <c r="B136" s="23">
        <f t="shared" si="14"/>
        <v>45103.041666666664</v>
      </c>
      <c r="C136" s="23">
        <f t="shared" si="15"/>
        <v>45110.000011574077</v>
      </c>
      <c r="H136" t="str">
        <f t="shared" ref="H136:H199" si="16">TEXT(B136,"yyyy-mm-dd")</f>
        <v>2023-06-26</v>
      </c>
      <c r="I136" t="str">
        <f t="shared" ref="I136:I199" si="17">TEXT(C136,"yyyy-mm-dd")</f>
        <v>2023-07-03</v>
      </c>
      <c r="J136" s="24" t="str">
        <f t="shared" ref="J136:J199" si="18">TEXT(B136,"hh:mm:ss")</f>
        <v>01:00:00</v>
      </c>
      <c r="K136" s="24" t="str">
        <f t="shared" ref="K136:K199" si="19">TEXT(C136,"hh:mm:ss")</f>
        <v>00:00:01</v>
      </c>
      <c r="M136" s="25" t="str">
        <f t="shared" ref="M136:M199" si="20">CONCATENATE(H136," ",J136)</f>
        <v>2023-06-26 01:00:00</v>
      </c>
      <c r="N136" s="25" t="str">
        <f t="shared" ref="N136:N199" si="21">CONCATENATE(I136," ",K136)</f>
        <v>2023-07-03 00:00:01</v>
      </c>
    </row>
    <row r="137" spans="2:14" x14ac:dyDescent="0.3">
      <c r="B137" s="23">
        <f t="shared" ref="B137:B200" si="22">C136+TIME($F$3,0,0)-TIME(0,0,1)</f>
        <v>45110.041666666664</v>
      </c>
      <c r="C137" s="23">
        <f t="shared" ref="C137:C200" si="23">B137+$E$3-TIME($F$3,0,0)+TIME(0,0,1)</f>
        <v>45117.000011574077</v>
      </c>
      <c r="H137" t="str">
        <f t="shared" si="16"/>
        <v>2023-07-03</v>
      </c>
      <c r="I137" t="str">
        <f t="shared" si="17"/>
        <v>2023-07-10</v>
      </c>
      <c r="J137" s="24" t="str">
        <f t="shared" si="18"/>
        <v>01:00:00</v>
      </c>
      <c r="K137" s="24" t="str">
        <f t="shared" si="19"/>
        <v>00:00:01</v>
      </c>
      <c r="M137" s="25" t="str">
        <f t="shared" si="20"/>
        <v>2023-07-03 01:00:00</v>
      </c>
      <c r="N137" s="25" t="str">
        <f t="shared" si="21"/>
        <v>2023-07-10 00:00:01</v>
      </c>
    </row>
    <row r="138" spans="2:14" x14ac:dyDescent="0.3">
      <c r="B138" s="23">
        <f t="shared" si="22"/>
        <v>45117.041666666664</v>
      </c>
      <c r="C138" s="23">
        <f t="shared" si="23"/>
        <v>45124.000011574077</v>
      </c>
      <c r="H138" t="str">
        <f t="shared" si="16"/>
        <v>2023-07-10</v>
      </c>
      <c r="I138" t="str">
        <f t="shared" si="17"/>
        <v>2023-07-17</v>
      </c>
      <c r="J138" s="24" t="str">
        <f t="shared" si="18"/>
        <v>01:00:00</v>
      </c>
      <c r="K138" s="24" t="str">
        <f t="shared" si="19"/>
        <v>00:00:01</v>
      </c>
      <c r="M138" s="25" t="str">
        <f t="shared" si="20"/>
        <v>2023-07-10 01:00:00</v>
      </c>
      <c r="N138" s="25" t="str">
        <f t="shared" si="21"/>
        <v>2023-07-17 00:00:01</v>
      </c>
    </row>
    <row r="139" spans="2:14" x14ac:dyDescent="0.3">
      <c r="B139" s="23">
        <f t="shared" si="22"/>
        <v>45124.041666666664</v>
      </c>
      <c r="C139" s="23">
        <f t="shared" si="23"/>
        <v>45131.000011574077</v>
      </c>
      <c r="H139" t="str">
        <f t="shared" si="16"/>
        <v>2023-07-17</v>
      </c>
      <c r="I139" t="str">
        <f t="shared" si="17"/>
        <v>2023-07-24</v>
      </c>
      <c r="J139" s="24" t="str">
        <f t="shared" si="18"/>
        <v>01:00:00</v>
      </c>
      <c r="K139" s="24" t="str">
        <f t="shared" si="19"/>
        <v>00:00:01</v>
      </c>
      <c r="M139" s="25" t="str">
        <f t="shared" si="20"/>
        <v>2023-07-17 01:00:00</v>
      </c>
      <c r="N139" s="25" t="str">
        <f t="shared" si="21"/>
        <v>2023-07-24 00:00:01</v>
      </c>
    </row>
    <row r="140" spans="2:14" x14ac:dyDescent="0.3">
      <c r="B140" s="23">
        <f t="shared" si="22"/>
        <v>45131.041666666664</v>
      </c>
      <c r="C140" s="23">
        <f t="shared" si="23"/>
        <v>45138.000011574077</v>
      </c>
      <c r="H140" t="str">
        <f t="shared" si="16"/>
        <v>2023-07-24</v>
      </c>
      <c r="I140" t="str">
        <f t="shared" si="17"/>
        <v>2023-07-31</v>
      </c>
      <c r="J140" s="24" t="str">
        <f t="shared" si="18"/>
        <v>01:00:00</v>
      </c>
      <c r="K140" s="24" t="str">
        <f t="shared" si="19"/>
        <v>00:00:01</v>
      </c>
      <c r="M140" s="25" t="str">
        <f t="shared" si="20"/>
        <v>2023-07-24 01:00:00</v>
      </c>
      <c r="N140" s="25" t="str">
        <f t="shared" si="21"/>
        <v>2023-07-31 00:00:01</v>
      </c>
    </row>
    <row r="141" spans="2:14" x14ac:dyDescent="0.3">
      <c r="B141" s="23">
        <f t="shared" si="22"/>
        <v>45138.041666666664</v>
      </c>
      <c r="C141" s="23">
        <f t="shared" si="23"/>
        <v>45145.000011574077</v>
      </c>
      <c r="H141" t="str">
        <f t="shared" si="16"/>
        <v>2023-07-31</v>
      </c>
      <c r="I141" t="str">
        <f t="shared" si="17"/>
        <v>2023-08-07</v>
      </c>
      <c r="J141" s="24" t="str">
        <f t="shared" si="18"/>
        <v>01:00:00</v>
      </c>
      <c r="K141" s="24" t="str">
        <f t="shared" si="19"/>
        <v>00:00:01</v>
      </c>
      <c r="M141" s="25" t="str">
        <f t="shared" si="20"/>
        <v>2023-07-31 01:00:00</v>
      </c>
      <c r="N141" s="25" t="str">
        <f t="shared" si="21"/>
        <v>2023-08-07 00:00:01</v>
      </c>
    </row>
    <row r="142" spans="2:14" x14ac:dyDescent="0.3">
      <c r="B142" s="23">
        <f t="shared" si="22"/>
        <v>45145.041666666664</v>
      </c>
      <c r="C142" s="23">
        <f t="shared" si="23"/>
        <v>45152.000011574077</v>
      </c>
      <c r="H142" t="str">
        <f t="shared" si="16"/>
        <v>2023-08-07</v>
      </c>
      <c r="I142" t="str">
        <f t="shared" si="17"/>
        <v>2023-08-14</v>
      </c>
      <c r="J142" s="24" t="str">
        <f t="shared" si="18"/>
        <v>01:00:00</v>
      </c>
      <c r="K142" s="24" t="str">
        <f t="shared" si="19"/>
        <v>00:00:01</v>
      </c>
      <c r="M142" s="25" t="str">
        <f t="shared" si="20"/>
        <v>2023-08-07 01:00:00</v>
      </c>
      <c r="N142" s="25" t="str">
        <f t="shared" si="21"/>
        <v>2023-08-14 00:00:01</v>
      </c>
    </row>
    <row r="143" spans="2:14" x14ac:dyDescent="0.3">
      <c r="B143" s="23">
        <f t="shared" si="22"/>
        <v>45152.041666666664</v>
      </c>
      <c r="C143" s="23">
        <f t="shared" si="23"/>
        <v>45159.000011574077</v>
      </c>
      <c r="H143" t="str">
        <f t="shared" si="16"/>
        <v>2023-08-14</v>
      </c>
      <c r="I143" t="str">
        <f t="shared" si="17"/>
        <v>2023-08-21</v>
      </c>
      <c r="J143" s="24" t="str">
        <f t="shared" si="18"/>
        <v>01:00:00</v>
      </c>
      <c r="K143" s="24" t="str">
        <f t="shared" si="19"/>
        <v>00:00:01</v>
      </c>
      <c r="M143" s="25" t="str">
        <f t="shared" si="20"/>
        <v>2023-08-14 01:00:00</v>
      </c>
      <c r="N143" s="25" t="str">
        <f t="shared" si="21"/>
        <v>2023-08-21 00:00:01</v>
      </c>
    </row>
    <row r="144" spans="2:14" x14ac:dyDescent="0.3">
      <c r="B144" s="23">
        <f t="shared" si="22"/>
        <v>45159.041666666664</v>
      </c>
      <c r="C144" s="23">
        <f t="shared" si="23"/>
        <v>45166.000011574077</v>
      </c>
      <c r="H144" t="str">
        <f t="shared" si="16"/>
        <v>2023-08-21</v>
      </c>
      <c r="I144" t="str">
        <f t="shared" si="17"/>
        <v>2023-08-28</v>
      </c>
      <c r="J144" s="24" t="str">
        <f t="shared" si="18"/>
        <v>01:00:00</v>
      </c>
      <c r="K144" s="24" t="str">
        <f t="shared" si="19"/>
        <v>00:00:01</v>
      </c>
      <c r="M144" s="25" t="str">
        <f t="shared" si="20"/>
        <v>2023-08-21 01:00:00</v>
      </c>
      <c r="N144" s="25" t="str">
        <f t="shared" si="21"/>
        <v>2023-08-28 00:00:01</v>
      </c>
    </row>
    <row r="145" spans="2:14" x14ac:dyDescent="0.3">
      <c r="B145" s="23">
        <f t="shared" si="22"/>
        <v>45166.041666666664</v>
      </c>
      <c r="C145" s="23">
        <f t="shared" si="23"/>
        <v>45173.000011574077</v>
      </c>
      <c r="H145" t="str">
        <f t="shared" si="16"/>
        <v>2023-08-28</v>
      </c>
      <c r="I145" t="str">
        <f t="shared" si="17"/>
        <v>2023-09-04</v>
      </c>
      <c r="J145" s="24" t="str">
        <f t="shared" si="18"/>
        <v>01:00:00</v>
      </c>
      <c r="K145" s="24" t="str">
        <f t="shared" si="19"/>
        <v>00:00:01</v>
      </c>
      <c r="M145" s="25" t="str">
        <f t="shared" si="20"/>
        <v>2023-08-28 01:00:00</v>
      </c>
      <c r="N145" s="25" t="str">
        <f t="shared" si="21"/>
        <v>2023-09-04 00:00:01</v>
      </c>
    </row>
    <row r="146" spans="2:14" x14ac:dyDescent="0.3">
      <c r="B146" s="23">
        <f t="shared" si="22"/>
        <v>45173.041666666664</v>
      </c>
      <c r="C146" s="23">
        <f t="shared" si="23"/>
        <v>45180.000011574077</v>
      </c>
      <c r="H146" t="str">
        <f t="shared" si="16"/>
        <v>2023-09-04</v>
      </c>
      <c r="I146" t="str">
        <f t="shared" si="17"/>
        <v>2023-09-11</v>
      </c>
      <c r="J146" s="24" t="str">
        <f t="shared" si="18"/>
        <v>01:00:00</v>
      </c>
      <c r="K146" s="24" t="str">
        <f t="shared" si="19"/>
        <v>00:00:01</v>
      </c>
      <c r="M146" s="25" t="str">
        <f t="shared" si="20"/>
        <v>2023-09-04 01:00:00</v>
      </c>
      <c r="N146" s="25" t="str">
        <f t="shared" si="21"/>
        <v>2023-09-11 00:00:01</v>
      </c>
    </row>
    <row r="147" spans="2:14" x14ac:dyDescent="0.3">
      <c r="B147" s="23">
        <f t="shared" si="22"/>
        <v>45180.041666666664</v>
      </c>
      <c r="C147" s="23">
        <f t="shared" si="23"/>
        <v>45187.000011574077</v>
      </c>
      <c r="H147" t="str">
        <f t="shared" si="16"/>
        <v>2023-09-11</v>
      </c>
      <c r="I147" t="str">
        <f t="shared" si="17"/>
        <v>2023-09-18</v>
      </c>
      <c r="J147" s="24" t="str">
        <f t="shared" si="18"/>
        <v>01:00:00</v>
      </c>
      <c r="K147" s="24" t="str">
        <f t="shared" si="19"/>
        <v>00:00:01</v>
      </c>
      <c r="M147" s="25" t="str">
        <f t="shared" si="20"/>
        <v>2023-09-11 01:00:00</v>
      </c>
      <c r="N147" s="25" t="str">
        <f t="shared" si="21"/>
        <v>2023-09-18 00:00:01</v>
      </c>
    </row>
    <row r="148" spans="2:14" x14ac:dyDescent="0.3">
      <c r="B148" s="23">
        <f t="shared" si="22"/>
        <v>45187.041666666664</v>
      </c>
      <c r="C148" s="23">
        <f t="shared" si="23"/>
        <v>45194.000011574077</v>
      </c>
      <c r="H148" t="str">
        <f t="shared" si="16"/>
        <v>2023-09-18</v>
      </c>
      <c r="I148" t="str">
        <f t="shared" si="17"/>
        <v>2023-09-25</v>
      </c>
      <c r="J148" s="24" t="str">
        <f t="shared" si="18"/>
        <v>01:00:00</v>
      </c>
      <c r="K148" s="24" t="str">
        <f t="shared" si="19"/>
        <v>00:00:01</v>
      </c>
      <c r="M148" s="25" t="str">
        <f t="shared" si="20"/>
        <v>2023-09-18 01:00:00</v>
      </c>
      <c r="N148" s="25" t="str">
        <f t="shared" si="21"/>
        <v>2023-09-25 00:00:01</v>
      </c>
    </row>
    <row r="149" spans="2:14" x14ac:dyDescent="0.3">
      <c r="B149" s="23">
        <f t="shared" si="22"/>
        <v>45194.041666666664</v>
      </c>
      <c r="C149" s="23">
        <f t="shared" si="23"/>
        <v>45201.000011574077</v>
      </c>
      <c r="H149" t="str">
        <f t="shared" si="16"/>
        <v>2023-09-25</v>
      </c>
      <c r="I149" t="str">
        <f t="shared" si="17"/>
        <v>2023-10-02</v>
      </c>
      <c r="J149" s="24" t="str">
        <f t="shared" si="18"/>
        <v>01:00:00</v>
      </c>
      <c r="K149" s="24" t="str">
        <f t="shared" si="19"/>
        <v>00:00:01</v>
      </c>
      <c r="M149" s="25" t="str">
        <f t="shared" si="20"/>
        <v>2023-09-25 01:00:00</v>
      </c>
      <c r="N149" s="25" t="str">
        <f t="shared" si="21"/>
        <v>2023-10-02 00:00:01</v>
      </c>
    </row>
    <row r="150" spans="2:14" x14ac:dyDescent="0.3">
      <c r="B150" s="23">
        <f t="shared" si="22"/>
        <v>45201.041666666664</v>
      </c>
      <c r="C150" s="23">
        <f t="shared" si="23"/>
        <v>45208.000011574077</v>
      </c>
      <c r="H150" t="str">
        <f t="shared" si="16"/>
        <v>2023-10-02</v>
      </c>
      <c r="I150" t="str">
        <f t="shared" si="17"/>
        <v>2023-10-09</v>
      </c>
      <c r="J150" s="24" t="str">
        <f t="shared" si="18"/>
        <v>01:00:00</v>
      </c>
      <c r="K150" s="24" t="str">
        <f t="shared" si="19"/>
        <v>00:00:01</v>
      </c>
      <c r="M150" s="25" t="str">
        <f t="shared" si="20"/>
        <v>2023-10-02 01:00:00</v>
      </c>
      <c r="N150" s="25" t="str">
        <f t="shared" si="21"/>
        <v>2023-10-09 00:00:01</v>
      </c>
    </row>
    <row r="151" spans="2:14" x14ac:dyDescent="0.3">
      <c r="B151" s="23">
        <f t="shared" si="22"/>
        <v>45208.041666666664</v>
      </c>
      <c r="C151" s="23">
        <f t="shared" si="23"/>
        <v>45215.000011574077</v>
      </c>
      <c r="H151" t="str">
        <f t="shared" si="16"/>
        <v>2023-10-09</v>
      </c>
      <c r="I151" t="str">
        <f t="shared" si="17"/>
        <v>2023-10-16</v>
      </c>
      <c r="J151" s="24" t="str">
        <f t="shared" si="18"/>
        <v>01:00:00</v>
      </c>
      <c r="K151" s="24" t="str">
        <f t="shared" si="19"/>
        <v>00:00:01</v>
      </c>
      <c r="M151" s="25" t="str">
        <f t="shared" si="20"/>
        <v>2023-10-09 01:00:00</v>
      </c>
      <c r="N151" s="25" t="str">
        <f t="shared" si="21"/>
        <v>2023-10-16 00:00:01</v>
      </c>
    </row>
    <row r="152" spans="2:14" x14ac:dyDescent="0.3">
      <c r="B152" s="23">
        <f t="shared" si="22"/>
        <v>45215.041666666664</v>
      </c>
      <c r="C152" s="23">
        <f t="shared" si="23"/>
        <v>45222.000011574077</v>
      </c>
      <c r="H152" t="str">
        <f t="shared" si="16"/>
        <v>2023-10-16</v>
      </c>
      <c r="I152" t="str">
        <f t="shared" si="17"/>
        <v>2023-10-23</v>
      </c>
      <c r="J152" s="24" t="str">
        <f t="shared" si="18"/>
        <v>01:00:00</v>
      </c>
      <c r="K152" s="24" t="str">
        <f t="shared" si="19"/>
        <v>00:00:01</v>
      </c>
      <c r="M152" s="25" t="str">
        <f t="shared" si="20"/>
        <v>2023-10-16 01:00:00</v>
      </c>
      <c r="N152" s="25" t="str">
        <f t="shared" si="21"/>
        <v>2023-10-23 00:00:01</v>
      </c>
    </row>
    <row r="153" spans="2:14" x14ac:dyDescent="0.3">
      <c r="B153" s="23">
        <f t="shared" si="22"/>
        <v>45222.041666666664</v>
      </c>
      <c r="C153" s="23">
        <f t="shared" si="23"/>
        <v>45229.000011574077</v>
      </c>
      <c r="H153" t="str">
        <f t="shared" si="16"/>
        <v>2023-10-23</v>
      </c>
      <c r="I153" t="str">
        <f t="shared" si="17"/>
        <v>2023-10-30</v>
      </c>
      <c r="J153" s="24" t="str">
        <f t="shared" si="18"/>
        <v>01:00:00</v>
      </c>
      <c r="K153" s="24" t="str">
        <f t="shared" si="19"/>
        <v>00:00:01</v>
      </c>
      <c r="M153" s="25" t="str">
        <f t="shared" si="20"/>
        <v>2023-10-23 01:00:00</v>
      </c>
      <c r="N153" s="25" t="str">
        <f t="shared" si="21"/>
        <v>2023-10-30 00:00:01</v>
      </c>
    </row>
    <row r="154" spans="2:14" x14ac:dyDescent="0.3">
      <c r="B154" s="23">
        <f t="shared" si="22"/>
        <v>45229.041666666664</v>
      </c>
      <c r="C154" s="23">
        <f t="shared" si="23"/>
        <v>45236.000011574077</v>
      </c>
      <c r="H154" t="str">
        <f t="shared" si="16"/>
        <v>2023-10-30</v>
      </c>
      <c r="I154" t="str">
        <f t="shared" si="17"/>
        <v>2023-11-06</v>
      </c>
      <c r="J154" s="24" t="str">
        <f t="shared" si="18"/>
        <v>01:00:00</v>
      </c>
      <c r="K154" s="24" t="str">
        <f t="shared" si="19"/>
        <v>00:00:01</v>
      </c>
      <c r="M154" s="25" t="str">
        <f t="shared" si="20"/>
        <v>2023-10-30 01:00:00</v>
      </c>
      <c r="N154" s="25" t="str">
        <f t="shared" si="21"/>
        <v>2023-11-06 00:00:01</v>
      </c>
    </row>
    <row r="155" spans="2:14" x14ac:dyDescent="0.3">
      <c r="B155" s="23">
        <f t="shared" si="22"/>
        <v>45236.041666666664</v>
      </c>
      <c r="C155" s="23">
        <f t="shared" si="23"/>
        <v>45243.000011574077</v>
      </c>
      <c r="H155" t="str">
        <f t="shared" si="16"/>
        <v>2023-11-06</v>
      </c>
      <c r="I155" t="str">
        <f t="shared" si="17"/>
        <v>2023-11-13</v>
      </c>
      <c r="J155" s="24" t="str">
        <f t="shared" si="18"/>
        <v>01:00:00</v>
      </c>
      <c r="K155" s="24" t="str">
        <f t="shared" si="19"/>
        <v>00:00:01</v>
      </c>
      <c r="M155" s="25" t="str">
        <f t="shared" si="20"/>
        <v>2023-11-06 01:00:00</v>
      </c>
      <c r="N155" s="25" t="str">
        <f t="shared" si="21"/>
        <v>2023-11-13 00:00:01</v>
      </c>
    </row>
    <row r="156" spans="2:14" x14ac:dyDescent="0.3">
      <c r="B156" s="23">
        <f t="shared" si="22"/>
        <v>45243.041666666664</v>
      </c>
      <c r="C156" s="23">
        <f t="shared" si="23"/>
        <v>45250.000011574077</v>
      </c>
      <c r="H156" t="str">
        <f t="shared" si="16"/>
        <v>2023-11-13</v>
      </c>
      <c r="I156" t="str">
        <f t="shared" si="17"/>
        <v>2023-11-20</v>
      </c>
      <c r="J156" s="24" t="str">
        <f t="shared" si="18"/>
        <v>01:00:00</v>
      </c>
      <c r="K156" s="24" t="str">
        <f t="shared" si="19"/>
        <v>00:00:01</v>
      </c>
      <c r="M156" s="25" t="str">
        <f t="shared" si="20"/>
        <v>2023-11-13 01:00:00</v>
      </c>
      <c r="N156" s="25" t="str">
        <f t="shared" si="21"/>
        <v>2023-11-20 00:00:01</v>
      </c>
    </row>
    <row r="157" spans="2:14" x14ac:dyDescent="0.3">
      <c r="B157" s="23">
        <f t="shared" si="22"/>
        <v>45250.041666666664</v>
      </c>
      <c r="C157" s="23">
        <f t="shared" si="23"/>
        <v>45257.000011574077</v>
      </c>
      <c r="H157" t="str">
        <f t="shared" si="16"/>
        <v>2023-11-20</v>
      </c>
      <c r="I157" t="str">
        <f t="shared" si="17"/>
        <v>2023-11-27</v>
      </c>
      <c r="J157" s="24" t="str">
        <f t="shared" si="18"/>
        <v>01:00:00</v>
      </c>
      <c r="K157" s="24" t="str">
        <f t="shared" si="19"/>
        <v>00:00:01</v>
      </c>
      <c r="M157" s="25" t="str">
        <f t="shared" si="20"/>
        <v>2023-11-20 01:00:00</v>
      </c>
      <c r="N157" s="25" t="str">
        <f t="shared" si="21"/>
        <v>2023-11-27 00:00:01</v>
      </c>
    </row>
    <row r="158" spans="2:14" x14ac:dyDescent="0.3">
      <c r="B158" s="23">
        <f t="shared" si="22"/>
        <v>45257.041666666664</v>
      </c>
      <c r="C158" s="23">
        <f t="shared" si="23"/>
        <v>45264.000011574077</v>
      </c>
      <c r="H158" t="str">
        <f t="shared" si="16"/>
        <v>2023-11-27</v>
      </c>
      <c r="I158" t="str">
        <f t="shared" si="17"/>
        <v>2023-12-04</v>
      </c>
      <c r="J158" s="24" t="str">
        <f t="shared" si="18"/>
        <v>01:00:00</v>
      </c>
      <c r="K158" s="24" t="str">
        <f t="shared" si="19"/>
        <v>00:00:01</v>
      </c>
      <c r="M158" s="25" t="str">
        <f t="shared" si="20"/>
        <v>2023-11-27 01:00:00</v>
      </c>
      <c r="N158" s="25" t="str">
        <f t="shared" si="21"/>
        <v>2023-12-04 00:00:01</v>
      </c>
    </row>
    <row r="159" spans="2:14" x14ac:dyDescent="0.3">
      <c r="B159" s="23">
        <f t="shared" si="22"/>
        <v>45264.041666666664</v>
      </c>
      <c r="C159" s="23">
        <f t="shared" si="23"/>
        <v>45271.000011574077</v>
      </c>
      <c r="H159" t="str">
        <f t="shared" si="16"/>
        <v>2023-12-04</v>
      </c>
      <c r="I159" t="str">
        <f t="shared" si="17"/>
        <v>2023-12-11</v>
      </c>
      <c r="J159" s="24" t="str">
        <f t="shared" si="18"/>
        <v>01:00:00</v>
      </c>
      <c r="K159" s="24" t="str">
        <f t="shared" si="19"/>
        <v>00:00:01</v>
      </c>
      <c r="M159" s="25" t="str">
        <f t="shared" si="20"/>
        <v>2023-12-04 01:00:00</v>
      </c>
      <c r="N159" s="25" t="str">
        <f t="shared" si="21"/>
        <v>2023-12-11 00:00:01</v>
      </c>
    </row>
    <row r="160" spans="2:14" x14ac:dyDescent="0.3">
      <c r="B160" s="23">
        <f t="shared" si="22"/>
        <v>45271.041666666664</v>
      </c>
      <c r="C160" s="23">
        <f t="shared" si="23"/>
        <v>45278.000011574077</v>
      </c>
      <c r="H160" t="str">
        <f t="shared" si="16"/>
        <v>2023-12-11</v>
      </c>
      <c r="I160" t="str">
        <f t="shared" si="17"/>
        <v>2023-12-18</v>
      </c>
      <c r="J160" s="24" t="str">
        <f t="shared" si="18"/>
        <v>01:00:00</v>
      </c>
      <c r="K160" s="24" t="str">
        <f t="shared" si="19"/>
        <v>00:00:01</v>
      </c>
      <c r="M160" s="25" t="str">
        <f t="shared" si="20"/>
        <v>2023-12-11 01:00:00</v>
      </c>
      <c r="N160" s="25" t="str">
        <f t="shared" si="21"/>
        <v>2023-12-18 00:00:01</v>
      </c>
    </row>
    <row r="161" spans="2:14" x14ac:dyDescent="0.3">
      <c r="B161" s="23">
        <f t="shared" si="22"/>
        <v>45278.041666666664</v>
      </c>
      <c r="C161" s="23">
        <f t="shared" si="23"/>
        <v>45285.000011574077</v>
      </c>
      <c r="H161" t="str">
        <f t="shared" si="16"/>
        <v>2023-12-18</v>
      </c>
      <c r="I161" t="str">
        <f t="shared" si="17"/>
        <v>2023-12-25</v>
      </c>
      <c r="J161" s="24" t="str">
        <f t="shared" si="18"/>
        <v>01:00:00</v>
      </c>
      <c r="K161" s="24" t="str">
        <f t="shared" si="19"/>
        <v>00:00:01</v>
      </c>
      <c r="M161" s="25" t="str">
        <f t="shared" si="20"/>
        <v>2023-12-18 01:00:00</v>
      </c>
      <c r="N161" s="25" t="str">
        <f t="shared" si="21"/>
        <v>2023-12-25 00:00:01</v>
      </c>
    </row>
    <row r="162" spans="2:14" x14ac:dyDescent="0.3">
      <c r="B162" s="23">
        <f t="shared" si="22"/>
        <v>45285.041666666664</v>
      </c>
      <c r="C162" s="23">
        <f t="shared" si="23"/>
        <v>45292.000011574077</v>
      </c>
      <c r="H162" t="str">
        <f t="shared" si="16"/>
        <v>2023-12-25</v>
      </c>
      <c r="I162" t="str">
        <f t="shared" si="17"/>
        <v>2024-01-01</v>
      </c>
      <c r="J162" s="24" t="str">
        <f t="shared" si="18"/>
        <v>01:00:00</v>
      </c>
      <c r="K162" s="24" t="str">
        <f t="shared" si="19"/>
        <v>00:00:01</v>
      </c>
      <c r="M162" s="25" t="str">
        <f t="shared" si="20"/>
        <v>2023-12-25 01:00:00</v>
      </c>
      <c r="N162" s="25" t="str">
        <f t="shared" si="21"/>
        <v>2024-01-01 00:00:01</v>
      </c>
    </row>
    <row r="163" spans="2:14" x14ac:dyDescent="0.3">
      <c r="B163" s="23">
        <f t="shared" si="22"/>
        <v>45292.041666666664</v>
      </c>
      <c r="C163" s="23">
        <f t="shared" si="23"/>
        <v>45299.000011574077</v>
      </c>
      <c r="H163" t="str">
        <f t="shared" si="16"/>
        <v>2024-01-01</v>
      </c>
      <c r="I163" t="str">
        <f t="shared" si="17"/>
        <v>2024-01-08</v>
      </c>
      <c r="J163" s="24" t="str">
        <f t="shared" si="18"/>
        <v>01:00:00</v>
      </c>
      <c r="K163" s="24" t="str">
        <f t="shared" si="19"/>
        <v>00:00:01</v>
      </c>
      <c r="M163" s="25" t="str">
        <f t="shared" si="20"/>
        <v>2024-01-01 01:00:00</v>
      </c>
      <c r="N163" s="25" t="str">
        <f t="shared" si="21"/>
        <v>2024-01-08 00:00:01</v>
      </c>
    </row>
    <row r="164" spans="2:14" x14ac:dyDescent="0.3">
      <c r="B164" s="23">
        <f t="shared" si="22"/>
        <v>45299.041666666664</v>
      </c>
      <c r="C164" s="23">
        <f t="shared" si="23"/>
        <v>45306.000011574077</v>
      </c>
      <c r="H164" t="str">
        <f t="shared" si="16"/>
        <v>2024-01-08</v>
      </c>
      <c r="I164" t="str">
        <f t="shared" si="17"/>
        <v>2024-01-15</v>
      </c>
      <c r="J164" s="24" t="str">
        <f t="shared" si="18"/>
        <v>01:00:00</v>
      </c>
      <c r="K164" s="24" t="str">
        <f t="shared" si="19"/>
        <v>00:00:01</v>
      </c>
      <c r="M164" s="25" t="str">
        <f t="shared" si="20"/>
        <v>2024-01-08 01:00:00</v>
      </c>
      <c r="N164" s="25" t="str">
        <f t="shared" si="21"/>
        <v>2024-01-15 00:00:01</v>
      </c>
    </row>
    <row r="165" spans="2:14" x14ac:dyDescent="0.3">
      <c r="B165" s="23">
        <f t="shared" si="22"/>
        <v>45306.041666666664</v>
      </c>
      <c r="C165" s="23">
        <f t="shared" si="23"/>
        <v>45313.000011574077</v>
      </c>
      <c r="H165" t="str">
        <f t="shared" si="16"/>
        <v>2024-01-15</v>
      </c>
      <c r="I165" t="str">
        <f t="shared" si="17"/>
        <v>2024-01-22</v>
      </c>
      <c r="J165" s="24" t="str">
        <f t="shared" si="18"/>
        <v>01:00:00</v>
      </c>
      <c r="K165" s="24" t="str">
        <f t="shared" si="19"/>
        <v>00:00:01</v>
      </c>
      <c r="M165" s="25" t="str">
        <f t="shared" si="20"/>
        <v>2024-01-15 01:00:00</v>
      </c>
      <c r="N165" s="25" t="str">
        <f t="shared" si="21"/>
        <v>2024-01-22 00:00:01</v>
      </c>
    </row>
    <row r="166" spans="2:14" x14ac:dyDescent="0.3">
      <c r="B166" s="23">
        <f t="shared" si="22"/>
        <v>45313.041666666664</v>
      </c>
      <c r="C166" s="23">
        <f t="shared" si="23"/>
        <v>45320.000011574077</v>
      </c>
      <c r="H166" t="str">
        <f t="shared" si="16"/>
        <v>2024-01-22</v>
      </c>
      <c r="I166" t="str">
        <f t="shared" si="17"/>
        <v>2024-01-29</v>
      </c>
      <c r="J166" s="24" t="str">
        <f t="shared" si="18"/>
        <v>01:00:00</v>
      </c>
      <c r="K166" s="24" t="str">
        <f t="shared" si="19"/>
        <v>00:00:01</v>
      </c>
      <c r="M166" s="25" t="str">
        <f t="shared" si="20"/>
        <v>2024-01-22 01:00:00</v>
      </c>
      <c r="N166" s="25" t="str">
        <f t="shared" si="21"/>
        <v>2024-01-29 00:00:01</v>
      </c>
    </row>
    <row r="167" spans="2:14" x14ac:dyDescent="0.3">
      <c r="B167" s="23">
        <f t="shared" si="22"/>
        <v>45320.041666666664</v>
      </c>
      <c r="C167" s="23">
        <f t="shared" si="23"/>
        <v>45327.000011574077</v>
      </c>
      <c r="H167" t="str">
        <f t="shared" si="16"/>
        <v>2024-01-29</v>
      </c>
      <c r="I167" t="str">
        <f t="shared" si="17"/>
        <v>2024-02-05</v>
      </c>
      <c r="J167" s="24" t="str">
        <f t="shared" si="18"/>
        <v>01:00:00</v>
      </c>
      <c r="K167" s="24" t="str">
        <f t="shared" si="19"/>
        <v>00:00:01</v>
      </c>
      <c r="M167" s="25" t="str">
        <f t="shared" si="20"/>
        <v>2024-01-29 01:00:00</v>
      </c>
      <c r="N167" s="25" t="str">
        <f t="shared" si="21"/>
        <v>2024-02-05 00:00:01</v>
      </c>
    </row>
    <row r="168" spans="2:14" x14ac:dyDescent="0.3">
      <c r="B168" s="23">
        <f t="shared" si="22"/>
        <v>45327.041666666664</v>
      </c>
      <c r="C168" s="23">
        <f t="shared" si="23"/>
        <v>45334.000011574077</v>
      </c>
      <c r="H168" t="str">
        <f t="shared" si="16"/>
        <v>2024-02-05</v>
      </c>
      <c r="I168" t="str">
        <f t="shared" si="17"/>
        <v>2024-02-12</v>
      </c>
      <c r="J168" s="24" t="str">
        <f t="shared" si="18"/>
        <v>01:00:00</v>
      </c>
      <c r="K168" s="24" t="str">
        <f t="shared" si="19"/>
        <v>00:00:01</v>
      </c>
      <c r="M168" s="25" t="str">
        <f t="shared" si="20"/>
        <v>2024-02-05 01:00:00</v>
      </c>
      <c r="N168" s="25" t="str">
        <f t="shared" si="21"/>
        <v>2024-02-12 00:00:01</v>
      </c>
    </row>
    <row r="169" spans="2:14" x14ac:dyDescent="0.3">
      <c r="B169" s="23">
        <f t="shared" si="22"/>
        <v>45334.041666666664</v>
      </c>
      <c r="C169" s="23">
        <f t="shared" si="23"/>
        <v>45341.000011574077</v>
      </c>
      <c r="H169" t="str">
        <f t="shared" si="16"/>
        <v>2024-02-12</v>
      </c>
      <c r="I169" t="str">
        <f t="shared" si="17"/>
        <v>2024-02-19</v>
      </c>
      <c r="J169" s="24" t="str">
        <f t="shared" si="18"/>
        <v>01:00:00</v>
      </c>
      <c r="K169" s="24" t="str">
        <f t="shared" si="19"/>
        <v>00:00:01</v>
      </c>
      <c r="M169" s="25" t="str">
        <f t="shared" si="20"/>
        <v>2024-02-12 01:00:00</v>
      </c>
      <c r="N169" s="25" t="str">
        <f t="shared" si="21"/>
        <v>2024-02-19 00:00:01</v>
      </c>
    </row>
    <row r="170" spans="2:14" x14ac:dyDescent="0.3">
      <c r="B170" s="23">
        <f t="shared" si="22"/>
        <v>45341.041666666664</v>
      </c>
      <c r="C170" s="23">
        <f t="shared" si="23"/>
        <v>45348.000011574077</v>
      </c>
      <c r="H170" t="str">
        <f t="shared" si="16"/>
        <v>2024-02-19</v>
      </c>
      <c r="I170" t="str">
        <f t="shared" si="17"/>
        <v>2024-02-26</v>
      </c>
      <c r="J170" s="24" t="str">
        <f t="shared" si="18"/>
        <v>01:00:00</v>
      </c>
      <c r="K170" s="24" t="str">
        <f t="shared" si="19"/>
        <v>00:00:01</v>
      </c>
      <c r="M170" s="25" t="str">
        <f t="shared" si="20"/>
        <v>2024-02-19 01:00:00</v>
      </c>
      <c r="N170" s="25" t="str">
        <f t="shared" si="21"/>
        <v>2024-02-26 00:00:01</v>
      </c>
    </row>
    <row r="171" spans="2:14" x14ac:dyDescent="0.3">
      <c r="B171" s="23">
        <f t="shared" si="22"/>
        <v>45348.041666666664</v>
      </c>
      <c r="C171" s="23">
        <f t="shared" si="23"/>
        <v>45355.000011574077</v>
      </c>
      <c r="H171" t="str">
        <f t="shared" si="16"/>
        <v>2024-02-26</v>
      </c>
      <c r="I171" t="str">
        <f t="shared" si="17"/>
        <v>2024-03-04</v>
      </c>
      <c r="J171" s="24" t="str">
        <f t="shared" si="18"/>
        <v>01:00:00</v>
      </c>
      <c r="K171" s="24" t="str">
        <f t="shared" si="19"/>
        <v>00:00:01</v>
      </c>
      <c r="M171" s="25" t="str">
        <f t="shared" si="20"/>
        <v>2024-02-26 01:00:00</v>
      </c>
      <c r="N171" s="25" t="str">
        <f t="shared" si="21"/>
        <v>2024-03-04 00:00:01</v>
      </c>
    </row>
    <row r="172" spans="2:14" x14ac:dyDescent="0.3">
      <c r="B172" s="23">
        <f t="shared" si="22"/>
        <v>45355.041666666664</v>
      </c>
      <c r="C172" s="23">
        <f t="shared" si="23"/>
        <v>45362.000011574077</v>
      </c>
      <c r="H172" t="str">
        <f t="shared" si="16"/>
        <v>2024-03-04</v>
      </c>
      <c r="I172" t="str">
        <f t="shared" si="17"/>
        <v>2024-03-11</v>
      </c>
      <c r="J172" s="24" t="str">
        <f t="shared" si="18"/>
        <v>01:00:00</v>
      </c>
      <c r="K172" s="24" t="str">
        <f t="shared" si="19"/>
        <v>00:00:01</v>
      </c>
      <c r="M172" s="25" t="str">
        <f t="shared" si="20"/>
        <v>2024-03-04 01:00:00</v>
      </c>
      <c r="N172" s="25" t="str">
        <f t="shared" si="21"/>
        <v>2024-03-11 00:00:01</v>
      </c>
    </row>
    <row r="173" spans="2:14" x14ac:dyDescent="0.3">
      <c r="B173" s="23">
        <f t="shared" si="22"/>
        <v>45362.041666666664</v>
      </c>
      <c r="C173" s="23">
        <f t="shared" si="23"/>
        <v>45369.000011574077</v>
      </c>
      <c r="H173" t="str">
        <f t="shared" si="16"/>
        <v>2024-03-11</v>
      </c>
      <c r="I173" t="str">
        <f t="shared" si="17"/>
        <v>2024-03-18</v>
      </c>
      <c r="J173" s="24" t="str">
        <f t="shared" si="18"/>
        <v>01:00:00</v>
      </c>
      <c r="K173" s="24" t="str">
        <f t="shared" si="19"/>
        <v>00:00:01</v>
      </c>
      <c r="M173" s="25" t="str">
        <f t="shared" si="20"/>
        <v>2024-03-11 01:00:00</v>
      </c>
      <c r="N173" s="25" t="str">
        <f t="shared" si="21"/>
        <v>2024-03-18 00:00:01</v>
      </c>
    </row>
    <row r="174" spans="2:14" x14ac:dyDescent="0.3">
      <c r="B174" s="23">
        <f t="shared" si="22"/>
        <v>45369.041666666664</v>
      </c>
      <c r="C174" s="23">
        <f t="shared" si="23"/>
        <v>45376.000011574077</v>
      </c>
      <c r="H174" t="str">
        <f t="shared" si="16"/>
        <v>2024-03-18</v>
      </c>
      <c r="I174" t="str">
        <f t="shared" si="17"/>
        <v>2024-03-25</v>
      </c>
      <c r="J174" s="24" t="str">
        <f t="shared" si="18"/>
        <v>01:00:00</v>
      </c>
      <c r="K174" s="24" t="str">
        <f t="shared" si="19"/>
        <v>00:00:01</v>
      </c>
      <c r="M174" s="25" t="str">
        <f t="shared" si="20"/>
        <v>2024-03-18 01:00:00</v>
      </c>
      <c r="N174" s="25" t="str">
        <f t="shared" si="21"/>
        <v>2024-03-25 00:00:01</v>
      </c>
    </row>
    <row r="175" spans="2:14" x14ac:dyDescent="0.3">
      <c r="B175" s="23">
        <f t="shared" si="22"/>
        <v>45376.041666666664</v>
      </c>
      <c r="C175" s="23">
        <f t="shared" si="23"/>
        <v>45383.000011574077</v>
      </c>
      <c r="H175" t="str">
        <f t="shared" si="16"/>
        <v>2024-03-25</v>
      </c>
      <c r="I175" t="str">
        <f t="shared" si="17"/>
        <v>2024-04-01</v>
      </c>
      <c r="J175" s="24" t="str">
        <f t="shared" si="18"/>
        <v>01:00:00</v>
      </c>
      <c r="K175" s="24" t="str">
        <f t="shared" si="19"/>
        <v>00:00:01</v>
      </c>
      <c r="M175" s="25" t="str">
        <f t="shared" si="20"/>
        <v>2024-03-25 01:00:00</v>
      </c>
      <c r="N175" s="25" t="str">
        <f t="shared" si="21"/>
        <v>2024-04-01 00:00:01</v>
      </c>
    </row>
    <row r="176" spans="2:14" x14ac:dyDescent="0.3">
      <c r="B176" s="23">
        <f t="shared" si="22"/>
        <v>45383.041666666664</v>
      </c>
      <c r="C176" s="23">
        <f t="shared" si="23"/>
        <v>45390.000011574077</v>
      </c>
      <c r="H176" t="str">
        <f t="shared" si="16"/>
        <v>2024-04-01</v>
      </c>
      <c r="I176" t="str">
        <f t="shared" si="17"/>
        <v>2024-04-08</v>
      </c>
      <c r="J176" s="24" t="str">
        <f t="shared" si="18"/>
        <v>01:00:00</v>
      </c>
      <c r="K176" s="24" t="str">
        <f t="shared" si="19"/>
        <v>00:00:01</v>
      </c>
      <c r="M176" s="25" t="str">
        <f t="shared" si="20"/>
        <v>2024-04-01 01:00:00</v>
      </c>
      <c r="N176" s="25" t="str">
        <f t="shared" si="21"/>
        <v>2024-04-08 00:00:01</v>
      </c>
    </row>
    <row r="177" spans="2:14" x14ac:dyDescent="0.3">
      <c r="B177" s="23">
        <f t="shared" si="22"/>
        <v>45390.041666666664</v>
      </c>
      <c r="C177" s="23">
        <f t="shared" si="23"/>
        <v>45397.000011574077</v>
      </c>
      <c r="H177" t="str">
        <f t="shared" si="16"/>
        <v>2024-04-08</v>
      </c>
      <c r="I177" t="str">
        <f t="shared" si="17"/>
        <v>2024-04-15</v>
      </c>
      <c r="J177" s="24" t="str">
        <f t="shared" si="18"/>
        <v>01:00:00</v>
      </c>
      <c r="K177" s="24" t="str">
        <f t="shared" si="19"/>
        <v>00:00:01</v>
      </c>
      <c r="M177" s="25" t="str">
        <f t="shared" si="20"/>
        <v>2024-04-08 01:00:00</v>
      </c>
      <c r="N177" s="25" t="str">
        <f t="shared" si="21"/>
        <v>2024-04-15 00:00:01</v>
      </c>
    </row>
    <row r="178" spans="2:14" x14ac:dyDescent="0.3">
      <c r="B178" s="23">
        <f t="shared" si="22"/>
        <v>45397.041666666664</v>
      </c>
      <c r="C178" s="23">
        <f t="shared" si="23"/>
        <v>45404.000011574077</v>
      </c>
      <c r="H178" t="str">
        <f t="shared" si="16"/>
        <v>2024-04-15</v>
      </c>
      <c r="I178" t="str">
        <f t="shared" si="17"/>
        <v>2024-04-22</v>
      </c>
      <c r="J178" s="24" t="str">
        <f t="shared" si="18"/>
        <v>01:00:00</v>
      </c>
      <c r="K178" s="24" t="str">
        <f t="shared" si="19"/>
        <v>00:00:01</v>
      </c>
      <c r="M178" s="25" t="str">
        <f t="shared" si="20"/>
        <v>2024-04-15 01:00:00</v>
      </c>
      <c r="N178" s="25" t="str">
        <f t="shared" si="21"/>
        <v>2024-04-22 00:00:01</v>
      </c>
    </row>
    <row r="179" spans="2:14" x14ac:dyDescent="0.3">
      <c r="B179" s="23">
        <f t="shared" si="22"/>
        <v>45404.041666666664</v>
      </c>
      <c r="C179" s="23">
        <f t="shared" si="23"/>
        <v>45411.000011574077</v>
      </c>
      <c r="H179" t="str">
        <f t="shared" si="16"/>
        <v>2024-04-22</v>
      </c>
      <c r="I179" t="str">
        <f t="shared" si="17"/>
        <v>2024-04-29</v>
      </c>
      <c r="J179" s="24" t="str">
        <f t="shared" si="18"/>
        <v>01:00:00</v>
      </c>
      <c r="K179" s="24" t="str">
        <f t="shared" si="19"/>
        <v>00:00:01</v>
      </c>
      <c r="M179" s="25" t="str">
        <f t="shared" si="20"/>
        <v>2024-04-22 01:00:00</v>
      </c>
      <c r="N179" s="25" t="str">
        <f t="shared" si="21"/>
        <v>2024-04-29 00:00:01</v>
      </c>
    </row>
    <row r="180" spans="2:14" x14ac:dyDescent="0.3">
      <c r="B180" s="23">
        <f t="shared" si="22"/>
        <v>45411.041666666664</v>
      </c>
      <c r="C180" s="23">
        <f t="shared" si="23"/>
        <v>45418.000011574077</v>
      </c>
      <c r="H180" t="str">
        <f t="shared" si="16"/>
        <v>2024-04-29</v>
      </c>
      <c r="I180" t="str">
        <f t="shared" si="17"/>
        <v>2024-05-06</v>
      </c>
      <c r="J180" s="24" t="str">
        <f t="shared" si="18"/>
        <v>01:00:00</v>
      </c>
      <c r="K180" s="24" t="str">
        <f t="shared" si="19"/>
        <v>00:00:01</v>
      </c>
      <c r="M180" s="25" t="str">
        <f t="shared" si="20"/>
        <v>2024-04-29 01:00:00</v>
      </c>
      <c r="N180" s="25" t="str">
        <f t="shared" si="21"/>
        <v>2024-05-06 00:00:01</v>
      </c>
    </row>
    <row r="181" spans="2:14" x14ac:dyDescent="0.3">
      <c r="B181" s="23">
        <f t="shared" si="22"/>
        <v>45418.041666666664</v>
      </c>
      <c r="C181" s="23">
        <f t="shared" si="23"/>
        <v>45425.000011574077</v>
      </c>
      <c r="H181" t="str">
        <f t="shared" si="16"/>
        <v>2024-05-06</v>
      </c>
      <c r="I181" t="str">
        <f t="shared" si="17"/>
        <v>2024-05-13</v>
      </c>
      <c r="J181" s="24" t="str">
        <f t="shared" si="18"/>
        <v>01:00:00</v>
      </c>
      <c r="K181" s="24" t="str">
        <f t="shared" si="19"/>
        <v>00:00:01</v>
      </c>
      <c r="M181" s="25" t="str">
        <f t="shared" si="20"/>
        <v>2024-05-06 01:00:00</v>
      </c>
      <c r="N181" s="25" t="str">
        <f t="shared" si="21"/>
        <v>2024-05-13 00:00:01</v>
      </c>
    </row>
    <row r="182" spans="2:14" x14ac:dyDescent="0.3">
      <c r="B182" s="23">
        <f t="shared" si="22"/>
        <v>45425.041666666664</v>
      </c>
      <c r="C182" s="23">
        <f t="shared" si="23"/>
        <v>45432.000011574077</v>
      </c>
      <c r="H182" t="str">
        <f t="shared" si="16"/>
        <v>2024-05-13</v>
      </c>
      <c r="I182" t="str">
        <f t="shared" si="17"/>
        <v>2024-05-20</v>
      </c>
      <c r="J182" s="24" t="str">
        <f t="shared" si="18"/>
        <v>01:00:00</v>
      </c>
      <c r="K182" s="24" t="str">
        <f t="shared" si="19"/>
        <v>00:00:01</v>
      </c>
      <c r="M182" s="25" t="str">
        <f t="shared" si="20"/>
        <v>2024-05-13 01:00:00</v>
      </c>
      <c r="N182" s="25" t="str">
        <f t="shared" si="21"/>
        <v>2024-05-20 00:00:01</v>
      </c>
    </row>
    <row r="183" spans="2:14" x14ac:dyDescent="0.3">
      <c r="B183" s="23">
        <f t="shared" si="22"/>
        <v>45432.041666666664</v>
      </c>
      <c r="C183" s="23">
        <f t="shared" si="23"/>
        <v>45439.000011574077</v>
      </c>
      <c r="H183" t="str">
        <f t="shared" si="16"/>
        <v>2024-05-20</v>
      </c>
      <c r="I183" t="str">
        <f t="shared" si="17"/>
        <v>2024-05-27</v>
      </c>
      <c r="J183" s="24" t="str">
        <f t="shared" si="18"/>
        <v>01:00:00</v>
      </c>
      <c r="K183" s="24" t="str">
        <f t="shared" si="19"/>
        <v>00:00:01</v>
      </c>
      <c r="M183" s="25" t="str">
        <f t="shared" si="20"/>
        <v>2024-05-20 01:00:00</v>
      </c>
      <c r="N183" s="25" t="str">
        <f t="shared" si="21"/>
        <v>2024-05-27 00:00:01</v>
      </c>
    </row>
    <row r="184" spans="2:14" x14ac:dyDescent="0.3">
      <c r="B184" s="23">
        <f t="shared" si="22"/>
        <v>45439.041666666664</v>
      </c>
      <c r="C184" s="23">
        <f t="shared" si="23"/>
        <v>45446.000011574077</v>
      </c>
      <c r="H184" t="str">
        <f t="shared" si="16"/>
        <v>2024-05-27</v>
      </c>
      <c r="I184" t="str">
        <f t="shared" si="17"/>
        <v>2024-06-03</v>
      </c>
      <c r="J184" s="24" t="str">
        <f t="shared" si="18"/>
        <v>01:00:00</v>
      </c>
      <c r="K184" s="24" t="str">
        <f t="shared" si="19"/>
        <v>00:00:01</v>
      </c>
      <c r="M184" s="25" t="str">
        <f t="shared" si="20"/>
        <v>2024-05-27 01:00:00</v>
      </c>
      <c r="N184" s="25" t="str">
        <f t="shared" si="21"/>
        <v>2024-06-03 00:00:01</v>
      </c>
    </row>
    <row r="185" spans="2:14" x14ac:dyDescent="0.3">
      <c r="B185" s="23">
        <f t="shared" si="22"/>
        <v>45446.041666666664</v>
      </c>
      <c r="C185" s="23">
        <f t="shared" si="23"/>
        <v>45453.000011574077</v>
      </c>
      <c r="H185" t="str">
        <f t="shared" si="16"/>
        <v>2024-06-03</v>
      </c>
      <c r="I185" t="str">
        <f t="shared" si="17"/>
        <v>2024-06-10</v>
      </c>
      <c r="J185" s="24" t="str">
        <f t="shared" si="18"/>
        <v>01:00:00</v>
      </c>
      <c r="K185" s="24" t="str">
        <f t="shared" si="19"/>
        <v>00:00:01</v>
      </c>
      <c r="M185" s="25" t="str">
        <f t="shared" si="20"/>
        <v>2024-06-03 01:00:00</v>
      </c>
      <c r="N185" s="25" t="str">
        <f t="shared" si="21"/>
        <v>2024-06-10 00:00:01</v>
      </c>
    </row>
    <row r="186" spans="2:14" x14ac:dyDescent="0.3">
      <c r="B186" s="23">
        <f t="shared" si="22"/>
        <v>45453.041666666664</v>
      </c>
      <c r="C186" s="23">
        <f t="shared" si="23"/>
        <v>45460.000011574077</v>
      </c>
      <c r="H186" t="str">
        <f t="shared" si="16"/>
        <v>2024-06-10</v>
      </c>
      <c r="I186" t="str">
        <f t="shared" si="17"/>
        <v>2024-06-17</v>
      </c>
      <c r="J186" s="24" t="str">
        <f t="shared" si="18"/>
        <v>01:00:00</v>
      </c>
      <c r="K186" s="24" t="str">
        <f t="shared" si="19"/>
        <v>00:00:01</v>
      </c>
      <c r="M186" s="25" t="str">
        <f t="shared" si="20"/>
        <v>2024-06-10 01:00:00</v>
      </c>
      <c r="N186" s="25" t="str">
        <f t="shared" si="21"/>
        <v>2024-06-17 00:00:01</v>
      </c>
    </row>
    <row r="187" spans="2:14" x14ac:dyDescent="0.3">
      <c r="B187" s="23">
        <f t="shared" si="22"/>
        <v>45460.041666666664</v>
      </c>
      <c r="C187" s="23">
        <f t="shared" si="23"/>
        <v>45467.000011574077</v>
      </c>
      <c r="H187" t="str">
        <f t="shared" si="16"/>
        <v>2024-06-17</v>
      </c>
      <c r="I187" t="str">
        <f t="shared" si="17"/>
        <v>2024-06-24</v>
      </c>
      <c r="J187" s="24" t="str">
        <f t="shared" si="18"/>
        <v>01:00:00</v>
      </c>
      <c r="K187" s="24" t="str">
        <f t="shared" si="19"/>
        <v>00:00:01</v>
      </c>
      <c r="M187" s="25" t="str">
        <f t="shared" si="20"/>
        <v>2024-06-17 01:00:00</v>
      </c>
      <c r="N187" s="25" t="str">
        <f t="shared" si="21"/>
        <v>2024-06-24 00:00:01</v>
      </c>
    </row>
    <row r="188" spans="2:14" x14ac:dyDescent="0.3">
      <c r="B188" s="23">
        <f t="shared" si="22"/>
        <v>45467.041666666664</v>
      </c>
      <c r="C188" s="23">
        <f t="shared" si="23"/>
        <v>45474.000011574077</v>
      </c>
      <c r="H188" t="str">
        <f t="shared" si="16"/>
        <v>2024-06-24</v>
      </c>
      <c r="I188" t="str">
        <f t="shared" si="17"/>
        <v>2024-07-01</v>
      </c>
      <c r="J188" s="24" t="str">
        <f t="shared" si="18"/>
        <v>01:00:00</v>
      </c>
      <c r="K188" s="24" t="str">
        <f t="shared" si="19"/>
        <v>00:00:01</v>
      </c>
      <c r="M188" s="25" t="str">
        <f t="shared" si="20"/>
        <v>2024-06-24 01:00:00</v>
      </c>
      <c r="N188" s="25" t="str">
        <f t="shared" si="21"/>
        <v>2024-07-01 00:00:01</v>
      </c>
    </row>
    <row r="189" spans="2:14" x14ac:dyDescent="0.3">
      <c r="B189" s="23">
        <f t="shared" si="22"/>
        <v>45474.041666666664</v>
      </c>
      <c r="C189" s="23">
        <f t="shared" si="23"/>
        <v>45481.000011574077</v>
      </c>
      <c r="H189" t="str">
        <f t="shared" si="16"/>
        <v>2024-07-01</v>
      </c>
      <c r="I189" t="str">
        <f t="shared" si="17"/>
        <v>2024-07-08</v>
      </c>
      <c r="J189" s="24" t="str">
        <f t="shared" si="18"/>
        <v>01:00:00</v>
      </c>
      <c r="K189" s="24" t="str">
        <f t="shared" si="19"/>
        <v>00:00:01</v>
      </c>
      <c r="M189" s="25" t="str">
        <f t="shared" si="20"/>
        <v>2024-07-01 01:00:00</v>
      </c>
      <c r="N189" s="25" t="str">
        <f t="shared" si="21"/>
        <v>2024-07-08 00:00:01</v>
      </c>
    </row>
    <row r="190" spans="2:14" x14ac:dyDescent="0.3">
      <c r="B190" s="23">
        <f t="shared" si="22"/>
        <v>45481.041666666664</v>
      </c>
      <c r="C190" s="23">
        <f t="shared" si="23"/>
        <v>45488.000011574077</v>
      </c>
      <c r="H190" t="str">
        <f t="shared" si="16"/>
        <v>2024-07-08</v>
      </c>
      <c r="I190" t="str">
        <f t="shared" si="17"/>
        <v>2024-07-15</v>
      </c>
      <c r="J190" s="24" t="str">
        <f t="shared" si="18"/>
        <v>01:00:00</v>
      </c>
      <c r="K190" s="24" t="str">
        <f t="shared" si="19"/>
        <v>00:00:01</v>
      </c>
      <c r="M190" s="25" t="str">
        <f t="shared" si="20"/>
        <v>2024-07-08 01:00:00</v>
      </c>
      <c r="N190" s="25" t="str">
        <f t="shared" si="21"/>
        <v>2024-07-15 00:00:01</v>
      </c>
    </row>
    <row r="191" spans="2:14" x14ac:dyDescent="0.3">
      <c r="B191" s="23">
        <f t="shared" si="22"/>
        <v>45488.041666666664</v>
      </c>
      <c r="C191" s="23">
        <f t="shared" si="23"/>
        <v>45495.000011574077</v>
      </c>
      <c r="H191" t="str">
        <f t="shared" si="16"/>
        <v>2024-07-15</v>
      </c>
      <c r="I191" t="str">
        <f t="shared" si="17"/>
        <v>2024-07-22</v>
      </c>
      <c r="J191" s="24" t="str">
        <f t="shared" si="18"/>
        <v>01:00:00</v>
      </c>
      <c r="K191" s="24" t="str">
        <f t="shared" si="19"/>
        <v>00:00:01</v>
      </c>
      <c r="M191" s="25" t="str">
        <f t="shared" si="20"/>
        <v>2024-07-15 01:00:00</v>
      </c>
      <c r="N191" s="25" t="str">
        <f t="shared" si="21"/>
        <v>2024-07-22 00:00:01</v>
      </c>
    </row>
    <row r="192" spans="2:14" x14ac:dyDescent="0.3">
      <c r="B192" s="23">
        <f t="shared" si="22"/>
        <v>45495.041666666664</v>
      </c>
      <c r="C192" s="23">
        <f t="shared" si="23"/>
        <v>45502.000011574077</v>
      </c>
      <c r="H192" t="str">
        <f t="shared" si="16"/>
        <v>2024-07-22</v>
      </c>
      <c r="I192" t="str">
        <f t="shared" si="17"/>
        <v>2024-07-29</v>
      </c>
      <c r="J192" s="24" t="str">
        <f t="shared" si="18"/>
        <v>01:00:00</v>
      </c>
      <c r="K192" s="24" t="str">
        <f t="shared" si="19"/>
        <v>00:00:01</v>
      </c>
      <c r="M192" s="25" t="str">
        <f t="shared" si="20"/>
        <v>2024-07-22 01:00:00</v>
      </c>
      <c r="N192" s="25" t="str">
        <f t="shared" si="21"/>
        <v>2024-07-29 00:00:01</v>
      </c>
    </row>
    <row r="193" spans="2:14" x14ac:dyDescent="0.3">
      <c r="B193" s="23">
        <f t="shared" si="22"/>
        <v>45502.041666666664</v>
      </c>
      <c r="C193" s="23">
        <f t="shared" si="23"/>
        <v>45509.000011574077</v>
      </c>
      <c r="H193" t="str">
        <f t="shared" si="16"/>
        <v>2024-07-29</v>
      </c>
      <c r="I193" t="str">
        <f t="shared" si="17"/>
        <v>2024-08-05</v>
      </c>
      <c r="J193" s="24" t="str">
        <f t="shared" si="18"/>
        <v>01:00:00</v>
      </c>
      <c r="K193" s="24" t="str">
        <f t="shared" si="19"/>
        <v>00:00:01</v>
      </c>
      <c r="M193" s="25" t="str">
        <f t="shared" si="20"/>
        <v>2024-07-29 01:00:00</v>
      </c>
      <c r="N193" s="25" t="str">
        <f t="shared" si="21"/>
        <v>2024-08-05 00:00:01</v>
      </c>
    </row>
    <row r="194" spans="2:14" x14ac:dyDescent="0.3">
      <c r="B194" s="23">
        <f t="shared" si="22"/>
        <v>45509.041666666664</v>
      </c>
      <c r="C194" s="23">
        <f t="shared" si="23"/>
        <v>45516.000011574077</v>
      </c>
      <c r="H194" t="str">
        <f t="shared" si="16"/>
        <v>2024-08-05</v>
      </c>
      <c r="I194" t="str">
        <f t="shared" si="17"/>
        <v>2024-08-12</v>
      </c>
      <c r="J194" s="24" t="str">
        <f t="shared" si="18"/>
        <v>01:00:00</v>
      </c>
      <c r="K194" s="24" t="str">
        <f t="shared" si="19"/>
        <v>00:00:01</v>
      </c>
      <c r="M194" s="25" t="str">
        <f t="shared" si="20"/>
        <v>2024-08-05 01:00:00</v>
      </c>
      <c r="N194" s="25" t="str">
        <f t="shared" si="21"/>
        <v>2024-08-12 00:00:01</v>
      </c>
    </row>
    <row r="195" spans="2:14" x14ac:dyDescent="0.3">
      <c r="B195" s="23">
        <f t="shared" si="22"/>
        <v>45516.041666666664</v>
      </c>
      <c r="C195" s="23">
        <f t="shared" si="23"/>
        <v>45523.000011574077</v>
      </c>
      <c r="H195" t="str">
        <f t="shared" si="16"/>
        <v>2024-08-12</v>
      </c>
      <c r="I195" t="str">
        <f t="shared" si="17"/>
        <v>2024-08-19</v>
      </c>
      <c r="J195" s="24" t="str">
        <f t="shared" si="18"/>
        <v>01:00:00</v>
      </c>
      <c r="K195" s="24" t="str">
        <f t="shared" si="19"/>
        <v>00:00:01</v>
      </c>
      <c r="M195" s="25" t="str">
        <f t="shared" si="20"/>
        <v>2024-08-12 01:00:00</v>
      </c>
      <c r="N195" s="25" t="str">
        <f t="shared" si="21"/>
        <v>2024-08-19 00:00:01</v>
      </c>
    </row>
    <row r="196" spans="2:14" x14ac:dyDescent="0.3">
      <c r="B196" s="23">
        <f t="shared" si="22"/>
        <v>45523.041666666664</v>
      </c>
      <c r="C196" s="23">
        <f t="shared" si="23"/>
        <v>45530.000011574077</v>
      </c>
      <c r="H196" t="str">
        <f t="shared" si="16"/>
        <v>2024-08-19</v>
      </c>
      <c r="I196" t="str">
        <f t="shared" si="17"/>
        <v>2024-08-26</v>
      </c>
      <c r="J196" s="24" t="str">
        <f t="shared" si="18"/>
        <v>01:00:00</v>
      </c>
      <c r="K196" s="24" t="str">
        <f t="shared" si="19"/>
        <v>00:00:01</v>
      </c>
      <c r="M196" s="25" t="str">
        <f t="shared" si="20"/>
        <v>2024-08-19 01:00:00</v>
      </c>
      <c r="N196" s="25" t="str">
        <f t="shared" si="21"/>
        <v>2024-08-26 00:00:01</v>
      </c>
    </row>
    <row r="197" spans="2:14" x14ac:dyDescent="0.3">
      <c r="B197" s="23">
        <f t="shared" si="22"/>
        <v>45530.041666666664</v>
      </c>
      <c r="C197" s="23">
        <f t="shared" si="23"/>
        <v>45537.000011574077</v>
      </c>
      <c r="H197" t="str">
        <f t="shared" si="16"/>
        <v>2024-08-26</v>
      </c>
      <c r="I197" t="str">
        <f t="shared" si="17"/>
        <v>2024-09-02</v>
      </c>
      <c r="J197" s="24" t="str">
        <f t="shared" si="18"/>
        <v>01:00:00</v>
      </c>
      <c r="K197" s="24" t="str">
        <f t="shared" si="19"/>
        <v>00:00:01</v>
      </c>
      <c r="M197" s="25" t="str">
        <f t="shared" si="20"/>
        <v>2024-08-26 01:00:00</v>
      </c>
      <c r="N197" s="25" t="str">
        <f t="shared" si="21"/>
        <v>2024-09-02 00:00:01</v>
      </c>
    </row>
    <row r="198" spans="2:14" x14ac:dyDescent="0.3">
      <c r="B198" s="23">
        <f t="shared" si="22"/>
        <v>45537.041666666664</v>
      </c>
      <c r="C198" s="23">
        <f t="shared" si="23"/>
        <v>45544.000011574077</v>
      </c>
      <c r="H198" t="str">
        <f t="shared" si="16"/>
        <v>2024-09-02</v>
      </c>
      <c r="I198" t="str">
        <f t="shared" si="17"/>
        <v>2024-09-09</v>
      </c>
      <c r="J198" s="24" t="str">
        <f t="shared" si="18"/>
        <v>01:00:00</v>
      </c>
      <c r="K198" s="24" t="str">
        <f t="shared" si="19"/>
        <v>00:00:01</v>
      </c>
      <c r="M198" s="25" t="str">
        <f t="shared" si="20"/>
        <v>2024-09-02 01:00:00</v>
      </c>
      <c r="N198" s="25" t="str">
        <f t="shared" si="21"/>
        <v>2024-09-09 00:00:01</v>
      </c>
    </row>
    <row r="199" spans="2:14" x14ac:dyDescent="0.3">
      <c r="B199" s="23">
        <f t="shared" si="22"/>
        <v>45544.041666666664</v>
      </c>
      <c r="C199" s="23">
        <f t="shared" si="23"/>
        <v>45551.000011574077</v>
      </c>
      <c r="H199" t="str">
        <f t="shared" si="16"/>
        <v>2024-09-09</v>
      </c>
      <c r="I199" t="str">
        <f t="shared" si="17"/>
        <v>2024-09-16</v>
      </c>
      <c r="J199" s="24" t="str">
        <f t="shared" si="18"/>
        <v>01:00:00</v>
      </c>
      <c r="K199" s="24" t="str">
        <f t="shared" si="19"/>
        <v>00:00:01</v>
      </c>
      <c r="M199" s="25" t="str">
        <f t="shared" si="20"/>
        <v>2024-09-09 01:00:00</v>
      </c>
      <c r="N199" s="25" t="str">
        <f t="shared" si="21"/>
        <v>2024-09-16 00:00:01</v>
      </c>
    </row>
    <row r="200" spans="2:14" x14ac:dyDescent="0.3">
      <c r="B200" s="23">
        <f t="shared" si="22"/>
        <v>45551.041666666664</v>
      </c>
      <c r="C200" s="23">
        <f t="shared" si="23"/>
        <v>45558.000011574077</v>
      </c>
      <c r="H200" t="str">
        <f t="shared" ref="H200:H263" si="24">TEXT(B200,"yyyy-mm-dd")</f>
        <v>2024-09-16</v>
      </c>
      <c r="I200" t="str">
        <f t="shared" ref="I200:I263" si="25">TEXT(C200,"yyyy-mm-dd")</f>
        <v>2024-09-23</v>
      </c>
      <c r="J200" s="24" t="str">
        <f t="shared" ref="J200:J263" si="26">TEXT(B200,"hh:mm:ss")</f>
        <v>01:00:00</v>
      </c>
      <c r="K200" s="24" t="str">
        <f t="shared" ref="K200:K263" si="27">TEXT(C200,"hh:mm:ss")</f>
        <v>00:00:01</v>
      </c>
      <c r="M200" s="25" t="str">
        <f t="shared" ref="M200:M263" si="28">CONCATENATE(H200," ",J200)</f>
        <v>2024-09-16 01:00:00</v>
      </c>
      <c r="N200" s="25" t="str">
        <f t="shared" ref="N200:N263" si="29">CONCATENATE(I200," ",K200)</f>
        <v>2024-09-23 00:00:01</v>
      </c>
    </row>
    <row r="201" spans="2:14" x14ac:dyDescent="0.3">
      <c r="B201" s="23">
        <f t="shared" ref="B201:B264" si="30">C200+TIME($F$3,0,0)-TIME(0,0,1)</f>
        <v>45558.041666666664</v>
      </c>
      <c r="C201" s="23">
        <f t="shared" ref="C201:C264" si="31">B201+$E$3-TIME($F$3,0,0)+TIME(0,0,1)</f>
        <v>45565.000011574077</v>
      </c>
      <c r="H201" t="str">
        <f t="shared" si="24"/>
        <v>2024-09-23</v>
      </c>
      <c r="I201" t="str">
        <f t="shared" si="25"/>
        <v>2024-09-30</v>
      </c>
      <c r="J201" s="24" t="str">
        <f t="shared" si="26"/>
        <v>01:00:00</v>
      </c>
      <c r="K201" s="24" t="str">
        <f t="shared" si="27"/>
        <v>00:00:01</v>
      </c>
      <c r="M201" s="25" t="str">
        <f t="shared" si="28"/>
        <v>2024-09-23 01:00:00</v>
      </c>
      <c r="N201" s="25" t="str">
        <f t="shared" si="29"/>
        <v>2024-09-30 00:00:01</v>
      </c>
    </row>
    <row r="202" spans="2:14" x14ac:dyDescent="0.3">
      <c r="B202" s="23">
        <f t="shared" si="30"/>
        <v>45565.041666666664</v>
      </c>
      <c r="C202" s="23">
        <f t="shared" si="31"/>
        <v>45572.000011574077</v>
      </c>
      <c r="H202" t="str">
        <f t="shared" si="24"/>
        <v>2024-09-30</v>
      </c>
      <c r="I202" t="str">
        <f t="shared" si="25"/>
        <v>2024-10-07</v>
      </c>
      <c r="J202" s="24" t="str">
        <f t="shared" si="26"/>
        <v>01:00:00</v>
      </c>
      <c r="K202" s="24" t="str">
        <f t="shared" si="27"/>
        <v>00:00:01</v>
      </c>
      <c r="M202" s="25" t="str">
        <f t="shared" si="28"/>
        <v>2024-09-30 01:00:00</v>
      </c>
      <c r="N202" s="25" t="str">
        <f t="shared" si="29"/>
        <v>2024-10-07 00:00:01</v>
      </c>
    </row>
    <row r="203" spans="2:14" x14ac:dyDescent="0.3">
      <c r="B203" s="23">
        <f t="shared" si="30"/>
        <v>45572.041666666664</v>
      </c>
      <c r="C203" s="23">
        <f t="shared" si="31"/>
        <v>45579.000011574077</v>
      </c>
      <c r="H203" t="str">
        <f t="shared" si="24"/>
        <v>2024-10-07</v>
      </c>
      <c r="I203" t="str">
        <f t="shared" si="25"/>
        <v>2024-10-14</v>
      </c>
      <c r="J203" s="24" t="str">
        <f t="shared" si="26"/>
        <v>01:00:00</v>
      </c>
      <c r="K203" s="24" t="str">
        <f t="shared" si="27"/>
        <v>00:00:01</v>
      </c>
      <c r="M203" s="25" t="str">
        <f t="shared" si="28"/>
        <v>2024-10-07 01:00:00</v>
      </c>
      <c r="N203" s="25" t="str">
        <f t="shared" si="29"/>
        <v>2024-10-14 00:00:01</v>
      </c>
    </row>
    <row r="204" spans="2:14" x14ac:dyDescent="0.3">
      <c r="B204" s="23">
        <f t="shared" si="30"/>
        <v>45579.041666666664</v>
      </c>
      <c r="C204" s="23">
        <f t="shared" si="31"/>
        <v>45586.000011574077</v>
      </c>
      <c r="H204" t="str">
        <f t="shared" si="24"/>
        <v>2024-10-14</v>
      </c>
      <c r="I204" t="str">
        <f t="shared" si="25"/>
        <v>2024-10-21</v>
      </c>
      <c r="J204" s="24" t="str">
        <f t="shared" si="26"/>
        <v>01:00:00</v>
      </c>
      <c r="K204" s="24" t="str">
        <f t="shared" si="27"/>
        <v>00:00:01</v>
      </c>
      <c r="M204" s="25" t="str">
        <f t="shared" si="28"/>
        <v>2024-10-14 01:00:00</v>
      </c>
      <c r="N204" s="25" t="str">
        <f t="shared" si="29"/>
        <v>2024-10-21 00:00:01</v>
      </c>
    </row>
    <row r="205" spans="2:14" x14ac:dyDescent="0.3">
      <c r="B205" s="23">
        <f t="shared" si="30"/>
        <v>45586.041666666664</v>
      </c>
      <c r="C205" s="23">
        <f t="shared" si="31"/>
        <v>45593.000011574077</v>
      </c>
      <c r="H205" t="str">
        <f t="shared" si="24"/>
        <v>2024-10-21</v>
      </c>
      <c r="I205" t="str">
        <f t="shared" si="25"/>
        <v>2024-10-28</v>
      </c>
      <c r="J205" s="24" t="str">
        <f t="shared" si="26"/>
        <v>01:00:00</v>
      </c>
      <c r="K205" s="24" t="str">
        <f t="shared" si="27"/>
        <v>00:00:01</v>
      </c>
      <c r="M205" s="25" t="str">
        <f t="shared" si="28"/>
        <v>2024-10-21 01:00:00</v>
      </c>
      <c r="N205" s="25" t="str">
        <f t="shared" si="29"/>
        <v>2024-10-28 00:00:01</v>
      </c>
    </row>
    <row r="206" spans="2:14" x14ac:dyDescent="0.3">
      <c r="B206" s="23">
        <f t="shared" si="30"/>
        <v>45593.041666666664</v>
      </c>
      <c r="C206" s="23">
        <f t="shared" si="31"/>
        <v>45600.000011574077</v>
      </c>
      <c r="H206" t="str">
        <f t="shared" si="24"/>
        <v>2024-10-28</v>
      </c>
      <c r="I206" t="str">
        <f t="shared" si="25"/>
        <v>2024-11-04</v>
      </c>
      <c r="J206" s="24" t="str">
        <f t="shared" si="26"/>
        <v>01:00:00</v>
      </c>
      <c r="K206" s="24" t="str">
        <f t="shared" si="27"/>
        <v>00:00:01</v>
      </c>
      <c r="M206" s="25" t="str">
        <f t="shared" si="28"/>
        <v>2024-10-28 01:00:00</v>
      </c>
      <c r="N206" s="25" t="str">
        <f t="shared" si="29"/>
        <v>2024-11-04 00:00:01</v>
      </c>
    </row>
    <row r="207" spans="2:14" x14ac:dyDescent="0.3">
      <c r="B207" s="23">
        <f t="shared" si="30"/>
        <v>45600.041666666664</v>
      </c>
      <c r="C207" s="23">
        <f t="shared" si="31"/>
        <v>45607.000011574077</v>
      </c>
      <c r="H207" t="str">
        <f t="shared" si="24"/>
        <v>2024-11-04</v>
      </c>
      <c r="I207" t="str">
        <f t="shared" si="25"/>
        <v>2024-11-11</v>
      </c>
      <c r="J207" s="24" t="str">
        <f t="shared" si="26"/>
        <v>01:00:00</v>
      </c>
      <c r="K207" s="24" t="str">
        <f t="shared" si="27"/>
        <v>00:00:01</v>
      </c>
      <c r="M207" s="25" t="str">
        <f t="shared" si="28"/>
        <v>2024-11-04 01:00:00</v>
      </c>
      <c r="N207" s="25" t="str">
        <f t="shared" si="29"/>
        <v>2024-11-11 00:00:01</v>
      </c>
    </row>
    <row r="208" spans="2:14" x14ac:dyDescent="0.3">
      <c r="B208" s="23">
        <f t="shared" si="30"/>
        <v>45607.041666666664</v>
      </c>
      <c r="C208" s="23">
        <f t="shared" si="31"/>
        <v>45614.000011574077</v>
      </c>
      <c r="H208" t="str">
        <f t="shared" si="24"/>
        <v>2024-11-11</v>
      </c>
      <c r="I208" t="str">
        <f t="shared" si="25"/>
        <v>2024-11-18</v>
      </c>
      <c r="J208" s="24" t="str">
        <f t="shared" si="26"/>
        <v>01:00:00</v>
      </c>
      <c r="K208" s="24" t="str">
        <f t="shared" si="27"/>
        <v>00:00:01</v>
      </c>
      <c r="M208" s="25" t="str">
        <f t="shared" si="28"/>
        <v>2024-11-11 01:00:00</v>
      </c>
      <c r="N208" s="25" t="str">
        <f t="shared" si="29"/>
        <v>2024-11-18 00:00:01</v>
      </c>
    </row>
    <row r="209" spans="2:14" x14ac:dyDescent="0.3">
      <c r="B209" s="23">
        <f t="shared" si="30"/>
        <v>45614.041666666664</v>
      </c>
      <c r="C209" s="23">
        <f t="shared" si="31"/>
        <v>45621.000011574077</v>
      </c>
      <c r="H209" t="str">
        <f t="shared" si="24"/>
        <v>2024-11-18</v>
      </c>
      <c r="I209" t="str">
        <f t="shared" si="25"/>
        <v>2024-11-25</v>
      </c>
      <c r="J209" s="24" t="str">
        <f t="shared" si="26"/>
        <v>01:00:00</v>
      </c>
      <c r="K209" s="24" t="str">
        <f t="shared" si="27"/>
        <v>00:00:01</v>
      </c>
      <c r="M209" s="25" t="str">
        <f t="shared" si="28"/>
        <v>2024-11-18 01:00:00</v>
      </c>
      <c r="N209" s="25" t="str">
        <f t="shared" si="29"/>
        <v>2024-11-25 00:00:01</v>
      </c>
    </row>
    <row r="210" spans="2:14" x14ac:dyDescent="0.3">
      <c r="B210" s="23">
        <f t="shared" si="30"/>
        <v>45621.041666666664</v>
      </c>
      <c r="C210" s="23">
        <f t="shared" si="31"/>
        <v>45628.000011574077</v>
      </c>
      <c r="H210" t="str">
        <f t="shared" si="24"/>
        <v>2024-11-25</v>
      </c>
      <c r="I210" t="str">
        <f t="shared" si="25"/>
        <v>2024-12-02</v>
      </c>
      <c r="J210" s="24" t="str">
        <f t="shared" si="26"/>
        <v>01:00:00</v>
      </c>
      <c r="K210" s="24" t="str">
        <f t="shared" si="27"/>
        <v>00:00:01</v>
      </c>
      <c r="M210" s="25" t="str">
        <f t="shared" si="28"/>
        <v>2024-11-25 01:00:00</v>
      </c>
      <c r="N210" s="25" t="str">
        <f t="shared" si="29"/>
        <v>2024-12-02 00:00:01</v>
      </c>
    </row>
    <row r="211" spans="2:14" x14ac:dyDescent="0.3">
      <c r="B211" s="23">
        <f t="shared" si="30"/>
        <v>45628.041666666664</v>
      </c>
      <c r="C211" s="23">
        <f t="shared" si="31"/>
        <v>45635.000011574077</v>
      </c>
      <c r="H211" t="str">
        <f t="shared" si="24"/>
        <v>2024-12-02</v>
      </c>
      <c r="I211" t="str">
        <f t="shared" si="25"/>
        <v>2024-12-09</v>
      </c>
      <c r="J211" s="24" t="str">
        <f t="shared" si="26"/>
        <v>01:00:00</v>
      </c>
      <c r="K211" s="24" t="str">
        <f t="shared" si="27"/>
        <v>00:00:01</v>
      </c>
      <c r="M211" s="25" t="str">
        <f t="shared" si="28"/>
        <v>2024-12-02 01:00:00</v>
      </c>
      <c r="N211" s="25" t="str">
        <f t="shared" si="29"/>
        <v>2024-12-09 00:00:01</v>
      </c>
    </row>
    <row r="212" spans="2:14" x14ac:dyDescent="0.3">
      <c r="B212" s="23">
        <f t="shared" si="30"/>
        <v>45635.041666666664</v>
      </c>
      <c r="C212" s="23">
        <f t="shared" si="31"/>
        <v>45642.000011574077</v>
      </c>
      <c r="H212" t="str">
        <f t="shared" si="24"/>
        <v>2024-12-09</v>
      </c>
      <c r="I212" t="str">
        <f t="shared" si="25"/>
        <v>2024-12-16</v>
      </c>
      <c r="J212" s="24" t="str">
        <f t="shared" si="26"/>
        <v>01:00:00</v>
      </c>
      <c r="K212" s="24" t="str">
        <f t="shared" si="27"/>
        <v>00:00:01</v>
      </c>
      <c r="M212" s="25" t="str">
        <f t="shared" si="28"/>
        <v>2024-12-09 01:00:00</v>
      </c>
      <c r="N212" s="25" t="str">
        <f t="shared" si="29"/>
        <v>2024-12-16 00:00:01</v>
      </c>
    </row>
    <row r="213" spans="2:14" x14ac:dyDescent="0.3">
      <c r="B213" s="23">
        <f t="shared" si="30"/>
        <v>45642.041666666664</v>
      </c>
      <c r="C213" s="23">
        <f t="shared" si="31"/>
        <v>45649.000011574077</v>
      </c>
      <c r="H213" t="str">
        <f t="shared" si="24"/>
        <v>2024-12-16</v>
      </c>
      <c r="I213" t="str">
        <f t="shared" si="25"/>
        <v>2024-12-23</v>
      </c>
      <c r="J213" s="24" t="str">
        <f t="shared" si="26"/>
        <v>01:00:00</v>
      </c>
      <c r="K213" s="24" t="str">
        <f t="shared" si="27"/>
        <v>00:00:01</v>
      </c>
      <c r="M213" s="25" t="str">
        <f t="shared" si="28"/>
        <v>2024-12-16 01:00:00</v>
      </c>
      <c r="N213" s="25" t="str">
        <f t="shared" si="29"/>
        <v>2024-12-23 00:00:01</v>
      </c>
    </row>
    <row r="214" spans="2:14" x14ac:dyDescent="0.3">
      <c r="B214" s="23">
        <f t="shared" si="30"/>
        <v>45649.041666666664</v>
      </c>
      <c r="C214" s="23">
        <f t="shared" si="31"/>
        <v>45656.000011574077</v>
      </c>
      <c r="H214" t="str">
        <f t="shared" si="24"/>
        <v>2024-12-23</v>
      </c>
      <c r="I214" t="str">
        <f t="shared" si="25"/>
        <v>2024-12-30</v>
      </c>
      <c r="J214" s="24" t="str">
        <f t="shared" si="26"/>
        <v>01:00:00</v>
      </c>
      <c r="K214" s="24" t="str">
        <f t="shared" si="27"/>
        <v>00:00:01</v>
      </c>
      <c r="M214" s="25" t="str">
        <f t="shared" si="28"/>
        <v>2024-12-23 01:00:00</v>
      </c>
      <c r="N214" s="25" t="str">
        <f t="shared" si="29"/>
        <v>2024-12-30 00:00:01</v>
      </c>
    </row>
    <row r="215" spans="2:14" x14ac:dyDescent="0.3">
      <c r="B215" s="23">
        <f t="shared" si="30"/>
        <v>45656.041666666664</v>
      </c>
      <c r="C215" s="23">
        <f t="shared" si="31"/>
        <v>45663.000011574077</v>
      </c>
      <c r="H215" t="str">
        <f t="shared" si="24"/>
        <v>2024-12-30</v>
      </c>
      <c r="I215" t="str">
        <f t="shared" si="25"/>
        <v>2025-01-06</v>
      </c>
      <c r="J215" s="24" t="str">
        <f t="shared" si="26"/>
        <v>01:00:00</v>
      </c>
      <c r="K215" s="24" t="str">
        <f t="shared" si="27"/>
        <v>00:00:01</v>
      </c>
      <c r="M215" s="25" t="str">
        <f t="shared" si="28"/>
        <v>2024-12-30 01:00:00</v>
      </c>
      <c r="N215" s="25" t="str">
        <f t="shared" si="29"/>
        <v>2025-01-06 00:00:01</v>
      </c>
    </row>
    <row r="216" spans="2:14" x14ac:dyDescent="0.3">
      <c r="B216" s="23">
        <f t="shared" si="30"/>
        <v>45663.041666666664</v>
      </c>
      <c r="C216" s="23">
        <f t="shared" si="31"/>
        <v>45670.000011574077</v>
      </c>
      <c r="H216" t="str">
        <f t="shared" si="24"/>
        <v>2025-01-06</v>
      </c>
      <c r="I216" t="str">
        <f t="shared" si="25"/>
        <v>2025-01-13</v>
      </c>
      <c r="J216" s="24" t="str">
        <f t="shared" si="26"/>
        <v>01:00:00</v>
      </c>
      <c r="K216" s="24" t="str">
        <f t="shared" si="27"/>
        <v>00:00:01</v>
      </c>
      <c r="M216" s="25" t="str">
        <f t="shared" si="28"/>
        <v>2025-01-06 01:00:00</v>
      </c>
      <c r="N216" s="25" t="str">
        <f t="shared" si="29"/>
        <v>2025-01-13 00:00:01</v>
      </c>
    </row>
    <row r="217" spans="2:14" x14ac:dyDescent="0.3">
      <c r="B217" s="23">
        <f t="shared" si="30"/>
        <v>45670.041666666664</v>
      </c>
      <c r="C217" s="23">
        <f t="shared" si="31"/>
        <v>45677.000011574077</v>
      </c>
      <c r="H217" t="str">
        <f t="shared" si="24"/>
        <v>2025-01-13</v>
      </c>
      <c r="I217" t="str">
        <f t="shared" si="25"/>
        <v>2025-01-20</v>
      </c>
      <c r="J217" s="24" t="str">
        <f t="shared" si="26"/>
        <v>01:00:00</v>
      </c>
      <c r="K217" s="24" t="str">
        <f t="shared" si="27"/>
        <v>00:00:01</v>
      </c>
      <c r="M217" s="25" t="str">
        <f t="shared" si="28"/>
        <v>2025-01-13 01:00:00</v>
      </c>
      <c r="N217" s="25" t="str">
        <f t="shared" si="29"/>
        <v>2025-01-20 00:00:01</v>
      </c>
    </row>
    <row r="218" spans="2:14" x14ac:dyDescent="0.3">
      <c r="B218" s="23">
        <f t="shared" si="30"/>
        <v>45677.041666666664</v>
      </c>
      <c r="C218" s="23">
        <f t="shared" si="31"/>
        <v>45684.000011574077</v>
      </c>
      <c r="H218" t="str">
        <f t="shared" si="24"/>
        <v>2025-01-20</v>
      </c>
      <c r="I218" t="str">
        <f t="shared" si="25"/>
        <v>2025-01-27</v>
      </c>
      <c r="J218" s="24" t="str">
        <f t="shared" si="26"/>
        <v>01:00:00</v>
      </c>
      <c r="K218" s="24" t="str">
        <f t="shared" si="27"/>
        <v>00:00:01</v>
      </c>
      <c r="M218" s="25" t="str">
        <f t="shared" si="28"/>
        <v>2025-01-20 01:00:00</v>
      </c>
      <c r="N218" s="25" t="str">
        <f t="shared" si="29"/>
        <v>2025-01-27 00:00:01</v>
      </c>
    </row>
    <row r="219" spans="2:14" x14ac:dyDescent="0.3">
      <c r="B219" s="23">
        <f t="shared" si="30"/>
        <v>45684.041666666664</v>
      </c>
      <c r="C219" s="23">
        <f t="shared" si="31"/>
        <v>45691.000011574077</v>
      </c>
      <c r="H219" t="str">
        <f t="shared" si="24"/>
        <v>2025-01-27</v>
      </c>
      <c r="I219" t="str">
        <f t="shared" si="25"/>
        <v>2025-02-03</v>
      </c>
      <c r="J219" s="24" t="str">
        <f t="shared" si="26"/>
        <v>01:00:00</v>
      </c>
      <c r="K219" s="24" t="str">
        <f t="shared" si="27"/>
        <v>00:00:01</v>
      </c>
      <c r="M219" s="25" t="str">
        <f t="shared" si="28"/>
        <v>2025-01-27 01:00:00</v>
      </c>
      <c r="N219" s="25" t="str">
        <f t="shared" si="29"/>
        <v>2025-02-03 00:00:01</v>
      </c>
    </row>
    <row r="220" spans="2:14" x14ac:dyDescent="0.3">
      <c r="B220" s="23">
        <f t="shared" si="30"/>
        <v>45691.041666666664</v>
      </c>
      <c r="C220" s="23">
        <f t="shared" si="31"/>
        <v>45698.000011574077</v>
      </c>
      <c r="H220" t="str">
        <f t="shared" si="24"/>
        <v>2025-02-03</v>
      </c>
      <c r="I220" t="str">
        <f t="shared" si="25"/>
        <v>2025-02-10</v>
      </c>
      <c r="J220" s="24" t="str">
        <f t="shared" si="26"/>
        <v>01:00:00</v>
      </c>
      <c r="K220" s="24" t="str">
        <f t="shared" si="27"/>
        <v>00:00:01</v>
      </c>
      <c r="M220" s="25" t="str">
        <f t="shared" si="28"/>
        <v>2025-02-03 01:00:00</v>
      </c>
      <c r="N220" s="25" t="str">
        <f t="shared" si="29"/>
        <v>2025-02-10 00:00:01</v>
      </c>
    </row>
    <row r="221" spans="2:14" x14ac:dyDescent="0.3">
      <c r="B221" s="23">
        <f t="shared" si="30"/>
        <v>45698.041666666664</v>
      </c>
      <c r="C221" s="23">
        <f t="shared" si="31"/>
        <v>45705.000011574077</v>
      </c>
      <c r="H221" t="str">
        <f t="shared" si="24"/>
        <v>2025-02-10</v>
      </c>
      <c r="I221" t="str">
        <f t="shared" si="25"/>
        <v>2025-02-17</v>
      </c>
      <c r="J221" s="24" t="str">
        <f t="shared" si="26"/>
        <v>01:00:00</v>
      </c>
      <c r="K221" s="24" t="str">
        <f t="shared" si="27"/>
        <v>00:00:01</v>
      </c>
      <c r="M221" s="25" t="str">
        <f t="shared" si="28"/>
        <v>2025-02-10 01:00:00</v>
      </c>
      <c r="N221" s="25" t="str">
        <f t="shared" si="29"/>
        <v>2025-02-17 00:00:01</v>
      </c>
    </row>
    <row r="222" spans="2:14" x14ac:dyDescent="0.3">
      <c r="B222" s="23">
        <f t="shared" si="30"/>
        <v>45705.041666666664</v>
      </c>
      <c r="C222" s="23">
        <f t="shared" si="31"/>
        <v>45712.000011574077</v>
      </c>
      <c r="H222" t="str">
        <f t="shared" si="24"/>
        <v>2025-02-17</v>
      </c>
      <c r="I222" t="str">
        <f t="shared" si="25"/>
        <v>2025-02-24</v>
      </c>
      <c r="J222" s="24" t="str">
        <f t="shared" si="26"/>
        <v>01:00:00</v>
      </c>
      <c r="K222" s="24" t="str">
        <f t="shared" si="27"/>
        <v>00:00:01</v>
      </c>
      <c r="M222" s="25" t="str">
        <f t="shared" si="28"/>
        <v>2025-02-17 01:00:00</v>
      </c>
      <c r="N222" s="25" t="str">
        <f t="shared" si="29"/>
        <v>2025-02-24 00:00:01</v>
      </c>
    </row>
    <row r="223" spans="2:14" x14ac:dyDescent="0.3">
      <c r="B223" s="23">
        <f t="shared" si="30"/>
        <v>45712.041666666664</v>
      </c>
      <c r="C223" s="23">
        <f t="shared" si="31"/>
        <v>45719.000011574077</v>
      </c>
      <c r="H223" t="str">
        <f t="shared" si="24"/>
        <v>2025-02-24</v>
      </c>
      <c r="I223" t="str">
        <f t="shared" si="25"/>
        <v>2025-03-03</v>
      </c>
      <c r="J223" s="24" t="str">
        <f t="shared" si="26"/>
        <v>01:00:00</v>
      </c>
      <c r="K223" s="24" t="str">
        <f t="shared" si="27"/>
        <v>00:00:01</v>
      </c>
      <c r="M223" s="25" t="str">
        <f t="shared" si="28"/>
        <v>2025-02-24 01:00:00</v>
      </c>
      <c r="N223" s="25" t="str">
        <f t="shared" si="29"/>
        <v>2025-03-03 00:00:01</v>
      </c>
    </row>
    <row r="224" spans="2:14" x14ac:dyDescent="0.3">
      <c r="B224" s="23">
        <f t="shared" si="30"/>
        <v>45719.041666666664</v>
      </c>
      <c r="C224" s="23">
        <f t="shared" si="31"/>
        <v>45726.000011574077</v>
      </c>
      <c r="H224" t="str">
        <f t="shared" si="24"/>
        <v>2025-03-03</v>
      </c>
      <c r="I224" t="str">
        <f t="shared" si="25"/>
        <v>2025-03-10</v>
      </c>
      <c r="J224" s="24" t="str">
        <f t="shared" si="26"/>
        <v>01:00:00</v>
      </c>
      <c r="K224" s="24" t="str">
        <f t="shared" si="27"/>
        <v>00:00:01</v>
      </c>
      <c r="M224" s="25" t="str">
        <f t="shared" si="28"/>
        <v>2025-03-03 01:00:00</v>
      </c>
      <c r="N224" s="25" t="str">
        <f t="shared" si="29"/>
        <v>2025-03-10 00:00:01</v>
      </c>
    </row>
    <row r="225" spans="2:14" x14ac:dyDescent="0.3">
      <c r="B225" s="23">
        <f t="shared" si="30"/>
        <v>45726.041666666664</v>
      </c>
      <c r="C225" s="23">
        <f t="shared" si="31"/>
        <v>45733.000011574077</v>
      </c>
      <c r="H225" t="str">
        <f t="shared" si="24"/>
        <v>2025-03-10</v>
      </c>
      <c r="I225" t="str">
        <f t="shared" si="25"/>
        <v>2025-03-17</v>
      </c>
      <c r="J225" s="24" t="str">
        <f t="shared" si="26"/>
        <v>01:00:00</v>
      </c>
      <c r="K225" s="24" t="str">
        <f t="shared" si="27"/>
        <v>00:00:01</v>
      </c>
      <c r="M225" s="25" t="str">
        <f t="shared" si="28"/>
        <v>2025-03-10 01:00:00</v>
      </c>
      <c r="N225" s="25" t="str">
        <f t="shared" si="29"/>
        <v>2025-03-17 00:00:01</v>
      </c>
    </row>
    <row r="226" spans="2:14" x14ac:dyDescent="0.3">
      <c r="B226" s="23">
        <f t="shared" si="30"/>
        <v>45733.041666666664</v>
      </c>
      <c r="C226" s="23">
        <f t="shared" si="31"/>
        <v>45740.000011574077</v>
      </c>
      <c r="H226" t="str">
        <f t="shared" si="24"/>
        <v>2025-03-17</v>
      </c>
      <c r="I226" t="str">
        <f t="shared" si="25"/>
        <v>2025-03-24</v>
      </c>
      <c r="J226" s="24" t="str">
        <f t="shared" si="26"/>
        <v>01:00:00</v>
      </c>
      <c r="K226" s="24" t="str">
        <f t="shared" si="27"/>
        <v>00:00:01</v>
      </c>
      <c r="M226" s="25" t="str">
        <f t="shared" si="28"/>
        <v>2025-03-17 01:00:00</v>
      </c>
      <c r="N226" s="25" t="str">
        <f t="shared" si="29"/>
        <v>2025-03-24 00:00:01</v>
      </c>
    </row>
    <row r="227" spans="2:14" x14ac:dyDescent="0.3">
      <c r="B227" s="23">
        <f t="shared" si="30"/>
        <v>45740.041666666664</v>
      </c>
      <c r="C227" s="23">
        <f t="shared" si="31"/>
        <v>45747.000011574077</v>
      </c>
      <c r="H227" t="str">
        <f t="shared" si="24"/>
        <v>2025-03-24</v>
      </c>
      <c r="I227" t="str">
        <f t="shared" si="25"/>
        <v>2025-03-31</v>
      </c>
      <c r="J227" s="24" t="str">
        <f t="shared" si="26"/>
        <v>01:00:00</v>
      </c>
      <c r="K227" s="24" t="str">
        <f t="shared" si="27"/>
        <v>00:00:01</v>
      </c>
      <c r="M227" s="25" t="str">
        <f t="shared" si="28"/>
        <v>2025-03-24 01:00:00</v>
      </c>
      <c r="N227" s="25" t="str">
        <f t="shared" si="29"/>
        <v>2025-03-31 00:00:01</v>
      </c>
    </row>
    <row r="228" spans="2:14" x14ac:dyDescent="0.3">
      <c r="B228" s="23">
        <f t="shared" si="30"/>
        <v>45747.041666666664</v>
      </c>
      <c r="C228" s="23">
        <f t="shared" si="31"/>
        <v>45754.000011574077</v>
      </c>
      <c r="H228" t="str">
        <f t="shared" si="24"/>
        <v>2025-03-31</v>
      </c>
      <c r="I228" t="str">
        <f t="shared" si="25"/>
        <v>2025-04-07</v>
      </c>
      <c r="J228" s="24" t="str">
        <f t="shared" si="26"/>
        <v>01:00:00</v>
      </c>
      <c r="K228" s="24" t="str">
        <f t="shared" si="27"/>
        <v>00:00:01</v>
      </c>
      <c r="M228" s="25" t="str">
        <f t="shared" si="28"/>
        <v>2025-03-31 01:00:00</v>
      </c>
      <c r="N228" s="25" t="str">
        <f t="shared" si="29"/>
        <v>2025-04-07 00:00:01</v>
      </c>
    </row>
    <row r="229" spans="2:14" x14ac:dyDescent="0.3">
      <c r="B229" s="23">
        <f t="shared" si="30"/>
        <v>45754.041666666664</v>
      </c>
      <c r="C229" s="23">
        <f t="shared" si="31"/>
        <v>45761.000011574077</v>
      </c>
      <c r="H229" t="str">
        <f t="shared" si="24"/>
        <v>2025-04-07</v>
      </c>
      <c r="I229" t="str">
        <f t="shared" si="25"/>
        <v>2025-04-14</v>
      </c>
      <c r="J229" s="24" t="str">
        <f t="shared" si="26"/>
        <v>01:00:00</v>
      </c>
      <c r="K229" s="24" t="str">
        <f t="shared" si="27"/>
        <v>00:00:01</v>
      </c>
      <c r="M229" s="25" t="str">
        <f t="shared" si="28"/>
        <v>2025-04-07 01:00:00</v>
      </c>
      <c r="N229" s="25" t="str">
        <f t="shared" si="29"/>
        <v>2025-04-14 00:00:01</v>
      </c>
    </row>
    <row r="230" spans="2:14" x14ac:dyDescent="0.3">
      <c r="B230" s="23">
        <f t="shared" si="30"/>
        <v>45761.041666666664</v>
      </c>
      <c r="C230" s="23">
        <f t="shared" si="31"/>
        <v>45768.000011574077</v>
      </c>
      <c r="H230" t="str">
        <f t="shared" si="24"/>
        <v>2025-04-14</v>
      </c>
      <c r="I230" t="str">
        <f t="shared" si="25"/>
        <v>2025-04-21</v>
      </c>
      <c r="J230" s="24" t="str">
        <f t="shared" si="26"/>
        <v>01:00:00</v>
      </c>
      <c r="K230" s="24" t="str">
        <f t="shared" si="27"/>
        <v>00:00:01</v>
      </c>
      <c r="M230" s="25" t="str">
        <f t="shared" si="28"/>
        <v>2025-04-14 01:00:00</v>
      </c>
      <c r="N230" s="25" t="str">
        <f t="shared" si="29"/>
        <v>2025-04-21 00:00:01</v>
      </c>
    </row>
    <row r="231" spans="2:14" x14ac:dyDescent="0.3">
      <c r="B231" s="23">
        <f t="shared" si="30"/>
        <v>45768.041666666664</v>
      </c>
      <c r="C231" s="23">
        <f t="shared" si="31"/>
        <v>45775.000011574077</v>
      </c>
      <c r="H231" t="str">
        <f t="shared" si="24"/>
        <v>2025-04-21</v>
      </c>
      <c r="I231" t="str">
        <f t="shared" si="25"/>
        <v>2025-04-28</v>
      </c>
      <c r="J231" s="24" t="str">
        <f t="shared" si="26"/>
        <v>01:00:00</v>
      </c>
      <c r="K231" s="24" t="str">
        <f t="shared" si="27"/>
        <v>00:00:01</v>
      </c>
      <c r="M231" s="25" t="str">
        <f t="shared" si="28"/>
        <v>2025-04-21 01:00:00</v>
      </c>
      <c r="N231" s="25" t="str">
        <f t="shared" si="29"/>
        <v>2025-04-28 00:00:01</v>
      </c>
    </row>
    <row r="232" spans="2:14" x14ac:dyDescent="0.3">
      <c r="B232" s="23">
        <f t="shared" si="30"/>
        <v>45775.041666666664</v>
      </c>
      <c r="C232" s="23">
        <f t="shared" si="31"/>
        <v>45782.000011574077</v>
      </c>
      <c r="H232" t="str">
        <f t="shared" si="24"/>
        <v>2025-04-28</v>
      </c>
      <c r="I232" t="str">
        <f t="shared" si="25"/>
        <v>2025-05-05</v>
      </c>
      <c r="J232" s="24" t="str">
        <f t="shared" si="26"/>
        <v>01:00:00</v>
      </c>
      <c r="K232" s="24" t="str">
        <f t="shared" si="27"/>
        <v>00:00:01</v>
      </c>
      <c r="M232" s="25" t="str">
        <f t="shared" si="28"/>
        <v>2025-04-28 01:00:00</v>
      </c>
      <c r="N232" s="25" t="str">
        <f t="shared" si="29"/>
        <v>2025-05-05 00:00:01</v>
      </c>
    </row>
    <row r="233" spans="2:14" x14ac:dyDescent="0.3">
      <c r="B233" s="23">
        <f t="shared" si="30"/>
        <v>45782.041666666664</v>
      </c>
      <c r="C233" s="23">
        <f t="shared" si="31"/>
        <v>45789.000011574077</v>
      </c>
      <c r="H233" t="str">
        <f t="shared" si="24"/>
        <v>2025-05-05</v>
      </c>
      <c r="I233" t="str">
        <f t="shared" si="25"/>
        <v>2025-05-12</v>
      </c>
      <c r="J233" s="24" t="str">
        <f t="shared" si="26"/>
        <v>01:00:00</v>
      </c>
      <c r="K233" s="24" t="str">
        <f t="shared" si="27"/>
        <v>00:00:01</v>
      </c>
      <c r="M233" s="25" t="str">
        <f t="shared" si="28"/>
        <v>2025-05-05 01:00:00</v>
      </c>
      <c r="N233" s="25" t="str">
        <f t="shared" si="29"/>
        <v>2025-05-12 00:00:01</v>
      </c>
    </row>
    <row r="234" spans="2:14" x14ac:dyDescent="0.3">
      <c r="B234" s="23">
        <f t="shared" si="30"/>
        <v>45789.041666666664</v>
      </c>
      <c r="C234" s="23">
        <f t="shared" si="31"/>
        <v>45796.000011574077</v>
      </c>
      <c r="H234" t="str">
        <f t="shared" si="24"/>
        <v>2025-05-12</v>
      </c>
      <c r="I234" t="str">
        <f t="shared" si="25"/>
        <v>2025-05-19</v>
      </c>
      <c r="J234" s="24" t="str">
        <f t="shared" si="26"/>
        <v>01:00:00</v>
      </c>
      <c r="K234" s="24" t="str">
        <f t="shared" si="27"/>
        <v>00:00:01</v>
      </c>
      <c r="M234" s="25" t="str">
        <f t="shared" si="28"/>
        <v>2025-05-12 01:00:00</v>
      </c>
      <c r="N234" s="25" t="str">
        <f t="shared" si="29"/>
        <v>2025-05-19 00:00:01</v>
      </c>
    </row>
    <row r="235" spans="2:14" x14ac:dyDescent="0.3">
      <c r="B235" s="23">
        <f t="shared" si="30"/>
        <v>45796.041666666664</v>
      </c>
      <c r="C235" s="23">
        <f t="shared" si="31"/>
        <v>45803.000011574077</v>
      </c>
      <c r="H235" t="str">
        <f t="shared" si="24"/>
        <v>2025-05-19</v>
      </c>
      <c r="I235" t="str">
        <f t="shared" si="25"/>
        <v>2025-05-26</v>
      </c>
      <c r="J235" s="24" t="str">
        <f t="shared" si="26"/>
        <v>01:00:00</v>
      </c>
      <c r="K235" s="24" t="str">
        <f t="shared" si="27"/>
        <v>00:00:01</v>
      </c>
      <c r="M235" s="25" t="str">
        <f t="shared" si="28"/>
        <v>2025-05-19 01:00:00</v>
      </c>
      <c r="N235" s="25" t="str">
        <f t="shared" si="29"/>
        <v>2025-05-26 00:00:01</v>
      </c>
    </row>
    <row r="236" spans="2:14" x14ac:dyDescent="0.3">
      <c r="B236" s="23">
        <f t="shared" si="30"/>
        <v>45803.041666666664</v>
      </c>
      <c r="C236" s="23">
        <f t="shared" si="31"/>
        <v>45810.000011574077</v>
      </c>
      <c r="H236" t="str">
        <f t="shared" si="24"/>
        <v>2025-05-26</v>
      </c>
      <c r="I236" t="str">
        <f t="shared" si="25"/>
        <v>2025-06-02</v>
      </c>
      <c r="J236" s="24" t="str">
        <f t="shared" si="26"/>
        <v>01:00:00</v>
      </c>
      <c r="K236" s="24" t="str">
        <f t="shared" si="27"/>
        <v>00:00:01</v>
      </c>
      <c r="M236" s="25" t="str">
        <f t="shared" si="28"/>
        <v>2025-05-26 01:00:00</v>
      </c>
      <c r="N236" s="25" t="str">
        <f t="shared" si="29"/>
        <v>2025-06-02 00:00:01</v>
      </c>
    </row>
    <row r="237" spans="2:14" x14ac:dyDescent="0.3">
      <c r="B237" s="23">
        <f t="shared" si="30"/>
        <v>45810.041666666664</v>
      </c>
      <c r="C237" s="23">
        <f t="shared" si="31"/>
        <v>45817.000011574077</v>
      </c>
      <c r="H237" t="str">
        <f t="shared" si="24"/>
        <v>2025-06-02</v>
      </c>
      <c r="I237" t="str">
        <f t="shared" si="25"/>
        <v>2025-06-09</v>
      </c>
      <c r="J237" s="24" t="str">
        <f t="shared" si="26"/>
        <v>01:00:00</v>
      </c>
      <c r="K237" s="24" t="str">
        <f t="shared" si="27"/>
        <v>00:00:01</v>
      </c>
      <c r="M237" s="25" t="str">
        <f t="shared" si="28"/>
        <v>2025-06-02 01:00:00</v>
      </c>
      <c r="N237" s="25" t="str">
        <f t="shared" si="29"/>
        <v>2025-06-09 00:00:01</v>
      </c>
    </row>
    <row r="238" spans="2:14" x14ac:dyDescent="0.3">
      <c r="B238" s="23">
        <f t="shared" si="30"/>
        <v>45817.041666666664</v>
      </c>
      <c r="C238" s="23">
        <f t="shared" si="31"/>
        <v>45824.000011574077</v>
      </c>
      <c r="H238" t="str">
        <f t="shared" si="24"/>
        <v>2025-06-09</v>
      </c>
      <c r="I238" t="str">
        <f t="shared" si="25"/>
        <v>2025-06-16</v>
      </c>
      <c r="J238" s="24" t="str">
        <f t="shared" si="26"/>
        <v>01:00:00</v>
      </c>
      <c r="K238" s="24" t="str">
        <f t="shared" si="27"/>
        <v>00:00:01</v>
      </c>
      <c r="M238" s="25" t="str">
        <f t="shared" si="28"/>
        <v>2025-06-09 01:00:00</v>
      </c>
      <c r="N238" s="25" t="str">
        <f t="shared" si="29"/>
        <v>2025-06-16 00:00:01</v>
      </c>
    </row>
    <row r="239" spans="2:14" x14ac:dyDescent="0.3">
      <c r="B239" s="23">
        <f t="shared" si="30"/>
        <v>45824.041666666664</v>
      </c>
      <c r="C239" s="23">
        <f t="shared" si="31"/>
        <v>45831.000011574077</v>
      </c>
      <c r="H239" t="str">
        <f t="shared" si="24"/>
        <v>2025-06-16</v>
      </c>
      <c r="I239" t="str">
        <f t="shared" si="25"/>
        <v>2025-06-23</v>
      </c>
      <c r="J239" s="24" t="str">
        <f t="shared" si="26"/>
        <v>01:00:00</v>
      </c>
      <c r="K239" s="24" t="str">
        <f t="shared" si="27"/>
        <v>00:00:01</v>
      </c>
      <c r="M239" s="25" t="str">
        <f t="shared" si="28"/>
        <v>2025-06-16 01:00:00</v>
      </c>
      <c r="N239" s="25" t="str">
        <f t="shared" si="29"/>
        <v>2025-06-23 00:00:01</v>
      </c>
    </row>
    <row r="240" spans="2:14" x14ac:dyDescent="0.3">
      <c r="B240" s="23">
        <f t="shared" si="30"/>
        <v>45831.041666666664</v>
      </c>
      <c r="C240" s="23">
        <f t="shared" si="31"/>
        <v>45838.000011574077</v>
      </c>
      <c r="H240" t="str">
        <f t="shared" si="24"/>
        <v>2025-06-23</v>
      </c>
      <c r="I240" t="str">
        <f t="shared" si="25"/>
        <v>2025-06-30</v>
      </c>
      <c r="J240" s="24" t="str">
        <f t="shared" si="26"/>
        <v>01:00:00</v>
      </c>
      <c r="K240" s="24" t="str">
        <f t="shared" si="27"/>
        <v>00:00:01</v>
      </c>
      <c r="M240" s="25" t="str">
        <f t="shared" si="28"/>
        <v>2025-06-23 01:00:00</v>
      </c>
      <c r="N240" s="25" t="str">
        <f t="shared" si="29"/>
        <v>2025-06-30 00:00:01</v>
      </c>
    </row>
    <row r="241" spans="2:14" x14ac:dyDescent="0.3">
      <c r="B241" s="23">
        <f t="shared" si="30"/>
        <v>45838.041666666664</v>
      </c>
      <c r="C241" s="23">
        <f t="shared" si="31"/>
        <v>45845.000011574077</v>
      </c>
      <c r="H241" t="str">
        <f t="shared" si="24"/>
        <v>2025-06-30</v>
      </c>
      <c r="I241" t="str">
        <f t="shared" si="25"/>
        <v>2025-07-07</v>
      </c>
      <c r="J241" s="24" t="str">
        <f t="shared" si="26"/>
        <v>01:00:00</v>
      </c>
      <c r="K241" s="24" t="str">
        <f t="shared" si="27"/>
        <v>00:00:01</v>
      </c>
      <c r="M241" s="25" t="str">
        <f t="shared" si="28"/>
        <v>2025-06-30 01:00:00</v>
      </c>
      <c r="N241" s="25" t="str">
        <f t="shared" si="29"/>
        <v>2025-07-07 00:00:01</v>
      </c>
    </row>
    <row r="242" spans="2:14" x14ac:dyDescent="0.3">
      <c r="B242" s="23">
        <f t="shared" si="30"/>
        <v>45845.041666666664</v>
      </c>
      <c r="C242" s="23">
        <f t="shared" si="31"/>
        <v>45852.000011574077</v>
      </c>
      <c r="H242" t="str">
        <f t="shared" si="24"/>
        <v>2025-07-07</v>
      </c>
      <c r="I242" t="str">
        <f t="shared" si="25"/>
        <v>2025-07-14</v>
      </c>
      <c r="J242" s="24" t="str">
        <f t="shared" si="26"/>
        <v>01:00:00</v>
      </c>
      <c r="K242" s="24" t="str">
        <f t="shared" si="27"/>
        <v>00:00:01</v>
      </c>
      <c r="M242" s="25" t="str">
        <f t="shared" si="28"/>
        <v>2025-07-07 01:00:00</v>
      </c>
      <c r="N242" s="25" t="str">
        <f t="shared" si="29"/>
        <v>2025-07-14 00:00:01</v>
      </c>
    </row>
    <row r="243" spans="2:14" x14ac:dyDescent="0.3">
      <c r="B243" s="23">
        <f t="shared" si="30"/>
        <v>45852.041666666664</v>
      </c>
      <c r="C243" s="23">
        <f t="shared" si="31"/>
        <v>45859.000011574077</v>
      </c>
      <c r="H243" t="str">
        <f t="shared" si="24"/>
        <v>2025-07-14</v>
      </c>
      <c r="I243" t="str">
        <f t="shared" si="25"/>
        <v>2025-07-21</v>
      </c>
      <c r="J243" s="24" t="str">
        <f t="shared" si="26"/>
        <v>01:00:00</v>
      </c>
      <c r="K243" s="24" t="str">
        <f t="shared" si="27"/>
        <v>00:00:01</v>
      </c>
      <c r="M243" s="25" t="str">
        <f t="shared" si="28"/>
        <v>2025-07-14 01:00:00</v>
      </c>
      <c r="N243" s="25" t="str">
        <f t="shared" si="29"/>
        <v>2025-07-21 00:00:01</v>
      </c>
    </row>
    <row r="244" spans="2:14" x14ac:dyDescent="0.3">
      <c r="B244" s="23">
        <f t="shared" si="30"/>
        <v>45859.041666666664</v>
      </c>
      <c r="C244" s="23">
        <f t="shared" si="31"/>
        <v>45866.000011574077</v>
      </c>
      <c r="H244" t="str">
        <f t="shared" si="24"/>
        <v>2025-07-21</v>
      </c>
      <c r="I244" t="str">
        <f t="shared" si="25"/>
        <v>2025-07-28</v>
      </c>
      <c r="J244" s="24" t="str">
        <f t="shared" si="26"/>
        <v>01:00:00</v>
      </c>
      <c r="K244" s="24" t="str">
        <f t="shared" si="27"/>
        <v>00:00:01</v>
      </c>
      <c r="M244" s="25" t="str">
        <f t="shared" si="28"/>
        <v>2025-07-21 01:00:00</v>
      </c>
      <c r="N244" s="25" t="str">
        <f t="shared" si="29"/>
        <v>2025-07-28 00:00:01</v>
      </c>
    </row>
    <row r="245" spans="2:14" x14ac:dyDescent="0.3">
      <c r="B245" s="23">
        <f t="shared" si="30"/>
        <v>45866.041666666664</v>
      </c>
      <c r="C245" s="23">
        <f t="shared" si="31"/>
        <v>45873.000011574077</v>
      </c>
      <c r="H245" t="str">
        <f t="shared" si="24"/>
        <v>2025-07-28</v>
      </c>
      <c r="I245" t="str">
        <f t="shared" si="25"/>
        <v>2025-08-04</v>
      </c>
      <c r="J245" s="24" t="str">
        <f t="shared" si="26"/>
        <v>01:00:00</v>
      </c>
      <c r="K245" s="24" t="str">
        <f t="shared" si="27"/>
        <v>00:00:01</v>
      </c>
      <c r="M245" s="25" t="str">
        <f t="shared" si="28"/>
        <v>2025-07-28 01:00:00</v>
      </c>
      <c r="N245" s="25" t="str">
        <f t="shared" si="29"/>
        <v>2025-08-04 00:00:01</v>
      </c>
    </row>
    <row r="246" spans="2:14" x14ac:dyDescent="0.3">
      <c r="B246" s="23">
        <f t="shared" si="30"/>
        <v>45873.041666666664</v>
      </c>
      <c r="C246" s="23">
        <f t="shared" si="31"/>
        <v>45880.000011574077</v>
      </c>
      <c r="H246" t="str">
        <f t="shared" si="24"/>
        <v>2025-08-04</v>
      </c>
      <c r="I246" t="str">
        <f t="shared" si="25"/>
        <v>2025-08-11</v>
      </c>
      <c r="J246" s="24" t="str">
        <f t="shared" si="26"/>
        <v>01:00:00</v>
      </c>
      <c r="K246" s="24" t="str">
        <f t="shared" si="27"/>
        <v>00:00:01</v>
      </c>
      <c r="M246" s="25" t="str">
        <f t="shared" si="28"/>
        <v>2025-08-04 01:00:00</v>
      </c>
      <c r="N246" s="25" t="str">
        <f t="shared" si="29"/>
        <v>2025-08-11 00:00:01</v>
      </c>
    </row>
    <row r="247" spans="2:14" x14ac:dyDescent="0.3">
      <c r="B247" s="23">
        <f t="shared" si="30"/>
        <v>45880.041666666664</v>
      </c>
      <c r="C247" s="23">
        <f t="shared" si="31"/>
        <v>45887.000011574077</v>
      </c>
      <c r="H247" t="str">
        <f t="shared" si="24"/>
        <v>2025-08-11</v>
      </c>
      <c r="I247" t="str">
        <f t="shared" si="25"/>
        <v>2025-08-18</v>
      </c>
      <c r="J247" s="24" t="str">
        <f t="shared" si="26"/>
        <v>01:00:00</v>
      </c>
      <c r="K247" s="24" t="str">
        <f t="shared" si="27"/>
        <v>00:00:01</v>
      </c>
      <c r="M247" s="25" t="str">
        <f t="shared" si="28"/>
        <v>2025-08-11 01:00:00</v>
      </c>
      <c r="N247" s="25" t="str">
        <f t="shared" si="29"/>
        <v>2025-08-18 00:00:01</v>
      </c>
    </row>
    <row r="248" spans="2:14" x14ac:dyDescent="0.3">
      <c r="B248" s="23">
        <f t="shared" si="30"/>
        <v>45887.041666666664</v>
      </c>
      <c r="C248" s="23">
        <f t="shared" si="31"/>
        <v>45894.000011574077</v>
      </c>
      <c r="H248" t="str">
        <f t="shared" si="24"/>
        <v>2025-08-18</v>
      </c>
      <c r="I248" t="str">
        <f t="shared" si="25"/>
        <v>2025-08-25</v>
      </c>
      <c r="J248" s="24" t="str">
        <f t="shared" si="26"/>
        <v>01:00:00</v>
      </c>
      <c r="K248" s="24" t="str">
        <f t="shared" si="27"/>
        <v>00:00:01</v>
      </c>
      <c r="M248" s="25" t="str">
        <f t="shared" si="28"/>
        <v>2025-08-18 01:00:00</v>
      </c>
      <c r="N248" s="25" t="str">
        <f t="shared" si="29"/>
        <v>2025-08-25 00:00:01</v>
      </c>
    </row>
    <row r="249" spans="2:14" x14ac:dyDescent="0.3">
      <c r="B249" s="23">
        <f t="shared" si="30"/>
        <v>45894.041666666664</v>
      </c>
      <c r="C249" s="23">
        <f t="shared" si="31"/>
        <v>45901.000011574077</v>
      </c>
      <c r="H249" t="str">
        <f t="shared" si="24"/>
        <v>2025-08-25</v>
      </c>
      <c r="I249" t="str">
        <f t="shared" si="25"/>
        <v>2025-09-01</v>
      </c>
      <c r="J249" s="24" t="str">
        <f t="shared" si="26"/>
        <v>01:00:00</v>
      </c>
      <c r="K249" s="24" t="str">
        <f t="shared" si="27"/>
        <v>00:00:01</v>
      </c>
      <c r="M249" s="25" t="str">
        <f t="shared" si="28"/>
        <v>2025-08-25 01:00:00</v>
      </c>
      <c r="N249" s="25" t="str">
        <f t="shared" si="29"/>
        <v>2025-09-01 00:00:01</v>
      </c>
    </row>
    <row r="250" spans="2:14" x14ac:dyDescent="0.3">
      <c r="B250" s="23">
        <f t="shared" si="30"/>
        <v>45901.041666666664</v>
      </c>
      <c r="C250" s="23">
        <f t="shared" si="31"/>
        <v>45908.000011574077</v>
      </c>
      <c r="H250" t="str">
        <f t="shared" si="24"/>
        <v>2025-09-01</v>
      </c>
      <c r="I250" t="str">
        <f t="shared" si="25"/>
        <v>2025-09-08</v>
      </c>
      <c r="J250" s="24" t="str">
        <f t="shared" si="26"/>
        <v>01:00:00</v>
      </c>
      <c r="K250" s="24" t="str">
        <f t="shared" si="27"/>
        <v>00:00:01</v>
      </c>
      <c r="M250" s="25" t="str">
        <f t="shared" si="28"/>
        <v>2025-09-01 01:00:00</v>
      </c>
      <c r="N250" s="25" t="str">
        <f t="shared" si="29"/>
        <v>2025-09-08 00:00:01</v>
      </c>
    </row>
    <row r="251" spans="2:14" x14ac:dyDescent="0.3">
      <c r="B251" s="23">
        <f t="shared" si="30"/>
        <v>45908.041666666664</v>
      </c>
      <c r="C251" s="23">
        <f t="shared" si="31"/>
        <v>45915.000011574077</v>
      </c>
      <c r="H251" t="str">
        <f t="shared" si="24"/>
        <v>2025-09-08</v>
      </c>
      <c r="I251" t="str">
        <f t="shared" si="25"/>
        <v>2025-09-15</v>
      </c>
      <c r="J251" s="24" t="str">
        <f t="shared" si="26"/>
        <v>01:00:00</v>
      </c>
      <c r="K251" s="24" t="str">
        <f t="shared" si="27"/>
        <v>00:00:01</v>
      </c>
      <c r="M251" s="25" t="str">
        <f t="shared" si="28"/>
        <v>2025-09-08 01:00:00</v>
      </c>
      <c r="N251" s="25" t="str">
        <f t="shared" si="29"/>
        <v>2025-09-15 00:00:01</v>
      </c>
    </row>
    <row r="252" spans="2:14" x14ac:dyDescent="0.3">
      <c r="B252" s="23">
        <f t="shared" si="30"/>
        <v>45915.041666666664</v>
      </c>
      <c r="C252" s="23">
        <f t="shared" si="31"/>
        <v>45922.000011574077</v>
      </c>
      <c r="H252" t="str">
        <f t="shared" si="24"/>
        <v>2025-09-15</v>
      </c>
      <c r="I252" t="str">
        <f t="shared" si="25"/>
        <v>2025-09-22</v>
      </c>
      <c r="J252" s="24" t="str">
        <f t="shared" si="26"/>
        <v>01:00:00</v>
      </c>
      <c r="K252" s="24" t="str">
        <f t="shared" si="27"/>
        <v>00:00:01</v>
      </c>
      <c r="M252" s="25" t="str">
        <f t="shared" si="28"/>
        <v>2025-09-15 01:00:00</v>
      </c>
      <c r="N252" s="25" t="str">
        <f t="shared" si="29"/>
        <v>2025-09-22 00:00:01</v>
      </c>
    </row>
    <row r="253" spans="2:14" x14ac:dyDescent="0.3">
      <c r="B253" s="23">
        <f t="shared" si="30"/>
        <v>45922.041666666664</v>
      </c>
      <c r="C253" s="23">
        <f t="shared" si="31"/>
        <v>45929.000011574077</v>
      </c>
      <c r="H253" t="str">
        <f t="shared" si="24"/>
        <v>2025-09-22</v>
      </c>
      <c r="I253" t="str">
        <f t="shared" si="25"/>
        <v>2025-09-29</v>
      </c>
      <c r="J253" s="24" t="str">
        <f t="shared" si="26"/>
        <v>01:00:00</v>
      </c>
      <c r="K253" s="24" t="str">
        <f t="shared" si="27"/>
        <v>00:00:01</v>
      </c>
      <c r="M253" s="25" t="str">
        <f t="shared" si="28"/>
        <v>2025-09-22 01:00:00</v>
      </c>
      <c r="N253" s="25" t="str">
        <f t="shared" si="29"/>
        <v>2025-09-29 00:00:01</v>
      </c>
    </row>
    <row r="254" spans="2:14" x14ac:dyDescent="0.3">
      <c r="B254" s="23">
        <f t="shared" si="30"/>
        <v>45929.041666666664</v>
      </c>
      <c r="C254" s="23">
        <f t="shared" si="31"/>
        <v>45936.000011574077</v>
      </c>
      <c r="H254" t="str">
        <f t="shared" si="24"/>
        <v>2025-09-29</v>
      </c>
      <c r="I254" t="str">
        <f t="shared" si="25"/>
        <v>2025-10-06</v>
      </c>
      <c r="J254" s="24" t="str">
        <f t="shared" si="26"/>
        <v>01:00:00</v>
      </c>
      <c r="K254" s="24" t="str">
        <f t="shared" si="27"/>
        <v>00:00:01</v>
      </c>
      <c r="M254" s="25" t="str">
        <f t="shared" si="28"/>
        <v>2025-09-29 01:00:00</v>
      </c>
      <c r="N254" s="25" t="str">
        <f t="shared" si="29"/>
        <v>2025-10-06 00:00:01</v>
      </c>
    </row>
    <row r="255" spans="2:14" x14ac:dyDescent="0.3">
      <c r="B255" s="23">
        <f t="shared" si="30"/>
        <v>45936.041666666664</v>
      </c>
      <c r="C255" s="23">
        <f t="shared" si="31"/>
        <v>45943.000011574077</v>
      </c>
      <c r="H255" t="str">
        <f t="shared" si="24"/>
        <v>2025-10-06</v>
      </c>
      <c r="I255" t="str">
        <f t="shared" si="25"/>
        <v>2025-10-13</v>
      </c>
      <c r="J255" s="24" t="str">
        <f t="shared" si="26"/>
        <v>01:00:00</v>
      </c>
      <c r="K255" s="24" t="str">
        <f t="shared" si="27"/>
        <v>00:00:01</v>
      </c>
      <c r="M255" s="25" t="str">
        <f t="shared" si="28"/>
        <v>2025-10-06 01:00:00</v>
      </c>
      <c r="N255" s="25" t="str">
        <f t="shared" si="29"/>
        <v>2025-10-13 00:00:01</v>
      </c>
    </row>
    <row r="256" spans="2:14" x14ac:dyDescent="0.3">
      <c r="B256" s="23">
        <f t="shared" si="30"/>
        <v>45943.041666666664</v>
      </c>
      <c r="C256" s="23">
        <f t="shared" si="31"/>
        <v>45950.000011574077</v>
      </c>
      <c r="H256" t="str">
        <f t="shared" si="24"/>
        <v>2025-10-13</v>
      </c>
      <c r="I256" t="str">
        <f t="shared" si="25"/>
        <v>2025-10-20</v>
      </c>
      <c r="J256" s="24" t="str">
        <f t="shared" si="26"/>
        <v>01:00:00</v>
      </c>
      <c r="K256" s="24" t="str">
        <f t="shared" si="27"/>
        <v>00:00:01</v>
      </c>
      <c r="M256" s="25" t="str">
        <f t="shared" si="28"/>
        <v>2025-10-13 01:00:00</v>
      </c>
      <c r="N256" s="25" t="str">
        <f t="shared" si="29"/>
        <v>2025-10-20 00:00:01</v>
      </c>
    </row>
    <row r="257" spans="2:14" x14ac:dyDescent="0.3">
      <c r="B257" s="23">
        <f t="shared" si="30"/>
        <v>45950.041666666664</v>
      </c>
      <c r="C257" s="23">
        <f t="shared" si="31"/>
        <v>45957.000011574077</v>
      </c>
      <c r="H257" t="str">
        <f t="shared" si="24"/>
        <v>2025-10-20</v>
      </c>
      <c r="I257" t="str">
        <f t="shared" si="25"/>
        <v>2025-10-27</v>
      </c>
      <c r="J257" s="24" t="str">
        <f t="shared" si="26"/>
        <v>01:00:00</v>
      </c>
      <c r="K257" s="24" t="str">
        <f t="shared" si="27"/>
        <v>00:00:01</v>
      </c>
      <c r="M257" s="25" t="str">
        <f t="shared" si="28"/>
        <v>2025-10-20 01:00:00</v>
      </c>
      <c r="N257" s="25" t="str">
        <f t="shared" si="29"/>
        <v>2025-10-27 00:00:01</v>
      </c>
    </row>
    <row r="258" spans="2:14" x14ac:dyDescent="0.3">
      <c r="B258" s="23">
        <f t="shared" si="30"/>
        <v>45957.041666666664</v>
      </c>
      <c r="C258" s="23">
        <f t="shared" si="31"/>
        <v>45964.000011574077</v>
      </c>
      <c r="H258" t="str">
        <f t="shared" si="24"/>
        <v>2025-10-27</v>
      </c>
      <c r="I258" t="str">
        <f t="shared" si="25"/>
        <v>2025-11-03</v>
      </c>
      <c r="J258" s="24" t="str">
        <f t="shared" si="26"/>
        <v>01:00:00</v>
      </c>
      <c r="K258" s="24" t="str">
        <f t="shared" si="27"/>
        <v>00:00:01</v>
      </c>
      <c r="M258" s="25" t="str">
        <f t="shared" si="28"/>
        <v>2025-10-27 01:00:00</v>
      </c>
      <c r="N258" s="25" t="str">
        <f t="shared" si="29"/>
        <v>2025-11-03 00:00:01</v>
      </c>
    </row>
    <row r="259" spans="2:14" x14ac:dyDescent="0.3">
      <c r="B259" s="23">
        <f t="shared" si="30"/>
        <v>45964.041666666664</v>
      </c>
      <c r="C259" s="23">
        <f t="shared" si="31"/>
        <v>45971.000011574077</v>
      </c>
      <c r="H259" t="str">
        <f t="shared" si="24"/>
        <v>2025-11-03</v>
      </c>
      <c r="I259" t="str">
        <f t="shared" si="25"/>
        <v>2025-11-10</v>
      </c>
      <c r="J259" s="24" t="str">
        <f t="shared" si="26"/>
        <v>01:00:00</v>
      </c>
      <c r="K259" s="24" t="str">
        <f t="shared" si="27"/>
        <v>00:00:01</v>
      </c>
      <c r="M259" s="25" t="str">
        <f t="shared" si="28"/>
        <v>2025-11-03 01:00:00</v>
      </c>
      <c r="N259" s="25" t="str">
        <f t="shared" si="29"/>
        <v>2025-11-10 00:00:01</v>
      </c>
    </row>
    <row r="260" spans="2:14" x14ac:dyDescent="0.3">
      <c r="B260" s="23">
        <f t="shared" si="30"/>
        <v>45971.041666666664</v>
      </c>
      <c r="C260" s="23">
        <f t="shared" si="31"/>
        <v>45978.000011574077</v>
      </c>
      <c r="H260" t="str">
        <f t="shared" si="24"/>
        <v>2025-11-10</v>
      </c>
      <c r="I260" t="str">
        <f t="shared" si="25"/>
        <v>2025-11-17</v>
      </c>
      <c r="J260" s="24" t="str">
        <f t="shared" si="26"/>
        <v>01:00:00</v>
      </c>
      <c r="K260" s="24" t="str">
        <f t="shared" si="27"/>
        <v>00:00:01</v>
      </c>
      <c r="M260" s="25" t="str">
        <f t="shared" si="28"/>
        <v>2025-11-10 01:00:00</v>
      </c>
      <c r="N260" s="25" t="str">
        <f t="shared" si="29"/>
        <v>2025-11-17 00:00:01</v>
      </c>
    </row>
    <row r="261" spans="2:14" x14ac:dyDescent="0.3">
      <c r="B261" s="23">
        <f t="shared" si="30"/>
        <v>45978.041666666664</v>
      </c>
      <c r="C261" s="23">
        <f t="shared" si="31"/>
        <v>45985.000011574077</v>
      </c>
      <c r="H261" t="str">
        <f t="shared" si="24"/>
        <v>2025-11-17</v>
      </c>
      <c r="I261" t="str">
        <f t="shared" si="25"/>
        <v>2025-11-24</v>
      </c>
      <c r="J261" s="24" t="str">
        <f t="shared" si="26"/>
        <v>01:00:00</v>
      </c>
      <c r="K261" s="24" t="str">
        <f t="shared" si="27"/>
        <v>00:00:01</v>
      </c>
      <c r="M261" s="25" t="str">
        <f t="shared" si="28"/>
        <v>2025-11-17 01:00:00</v>
      </c>
      <c r="N261" s="25" t="str">
        <f t="shared" si="29"/>
        <v>2025-11-24 00:00:01</v>
      </c>
    </row>
    <row r="262" spans="2:14" x14ac:dyDescent="0.3">
      <c r="B262" s="23">
        <f t="shared" si="30"/>
        <v>45985.041666666664</v>
      </c>
      <c r="C262" s="23">
        <f t="shared" si="31"/>
        <v>45992.000011574077</v>
      </c>
      <c r="H262" t="str">
        <f t="shared" si="24"/>
        <v>2025-11-24</v>
      </c>
      <c r="I262" t="str">
        <f t="shared" si="25"/>
        <v>2025-12-01</v>
      </c>
      <c r="J262" s="24" t="str">
        <f t="shared" si="26"/>
        <v>01:00:00</v>
      </c>
      <c r="K262" s="24" t="str">
        <f t="shared" si="27"/>
        <v>00:00:01</v>
      </c>
      <c r="M262" s="25" t="str">
        <f t="shared" si="28"/>
        <v>2025-11-24 01:00:00</v>
      </c>
      <c r="N262" s="25" t="str">
        <f t="shared" si="29"/>
        <v>2025-12-01 00:00:01</v>
      </c>
    </row>
    <row r="263" spans="2:14" x14ac:dyDescent="0.3">
      <c r="B263" s="23">
        <f t="shared" si="30"/>
        <v>45992.041666666664</v>
      </c>
      <c r="C263" s="23">
        <f t="shared" si="31"/>
        <v>45999.000011574077</v>
      </c>
      <c r="H263" t="str">
        <f t="shared" si="24"/>
        <v>2025-12-01</v>
      </c>
      <c r="I263" t="str">
        <f t="shared" si="25"/>
        <v>2025-12-08</v>
      </c>
      <c r="J263" s="24" t="str">
        <f t="shared" si="26"/>
        <v>01:00:00</v>
      </c>
      <c r="K263" s="24" t="str">
        <f t="shared" si="27"/>
        <v>00:00:01</v>
      </c>
      <c r="M263" s="25" t="str">
        <f t="shared" si="28"/>
        <v>2025-12-01 01:00:00</v>
      </c>
      <c r="N263" s="25" t="str">
        <f t="shared" si="29"/>
        <v>2025-12-08 00:00:01</v>
      </c>
    </row>
    <row r="264" spans="2:14" x14ac:dyDescent="0.3">
      <c r="B264" s="23">
        <f t="shared" si="30"/>
        <v>45999.041666666664</v>
      </c>
      <c r="C264" s="23">
        <f t="shared" si="31"/>
        <v>46006.000011574077</v>
      </c>
      <c r="H264" t="str">
        <f t="shared" ref="H264:H327" si="32">TEXT(B264,"yyyy-mm-dd")</f>
        <v>2025-12-08</v>
      </c>
      <c r="I264" t="str">
        <f t="shared" ref="I264:I327" si="33">TEXT(C264,"yyyy-mm-dd")</f>
        <v>2025-12-15</v>
      </c>
      <c r="J264" s="24" t="str">
        <f t="shared" ref="J264:J327" si="34">TEXT(B264,"hh:mm:ss")</f>
        <v>01:00:00</v>
      </c>
      <c r="K264" s="24" t="str">
        <f t="shared" ref="K264:K327" si="35">TEXT(C264,"hh:mm:ss")</f>
        <v>00:00:01</v>
      </c>
      <c r="M264" s="25" t="str">
        <f t="shared" ref="M264:M327" si="36">CONCATENATE(H264," ",J264)</f>
        <v>2025-12-08 01:00:00</v>
      </c>
      <c r="N264" s="25" t="str">
        <f t="shared" ref="N264:N327" si="37">CONCATENATE(I264," ",K264)</f>
        <v>2025-12-15 00:00:01</v>
      </c>
    </row>
    <row r="265" spans="2:14" x14ac:dyDescent="0.3">
      <c r="B265" s="23">
        <f t="shared" ref="B265:B328" si="38">C264+TIME($F$3,0,0)-TIME(0,0,1)</f>
        <v>46006.041666666664</v>
      </c>
      <c r="C265" s="23">
        <f t="shared" ref="C265:C328" si="39">B265+$E$3-TIME($F$3,0,0)+TIME(0,0,1)</f>
        <v>46013.000011574077</v>
      </c>
      <c r="H265" t="str">
        <f t="shared" si="32"/>
        <v>2025-12-15</v>
      </c>
      <c r="I265" t="str">
        <f t="shared" si="33"/>
        <v>2025-12-22</v>
      </c>
      <c r="J265" s="24" t="str">
        <f t="shared" si="34"/>
        <v>01:00:00</v>
      </c>
      <c r="K265" s="24" t="str">
        <f t="shared" si="35"/>
        <v>00:00:01</v>
      </c>
      <c r="M265" s="25" t="str">
        <f t="shared" si="36"/>
        <v>2025-12-15 01:00:00</v>
      </c>
      <c r="N265" s="25" t="str">
        <f t="shared" si="37"/>
        <v>2025-12-22 00:00:01</v>
      </c>
    </row>
    <row r="266" spans="2:14" x14ac:dyDescent="0.3">
      <c r="B266" s="23">
        <f t="shared" si="38"/>
        <v>46013.041666666664</v>
      </c>
      <c r="C266" s="23">
        <f t="shared" si="39"/>
        <v>46020.000011574077</v>
      </c>
      <c r="H266" t="str">
        <f t="shared" si="32"/>
        <v>2025-12-22</v>
      </c>
      <c r="I266" t="str">
        <f t="shared" si="33"/>
        <v>2025-12-29</v>
      </c>
      <c r="J266" s="24" t="str">
        <f t="shared" si="34"/>
        <v>01:00:00</v>
      </c>
      <c r="K266" s="24" t="str">
        <f t="shared" si="35"/>
        <v>00:00:01</v>
      </c>
      <c r="M266" s="25" t="str">
        <f t="shared" si="36"/>
        <v>2025-12-22 01:00:00</v>
      </c>
      <c r="N266" s="25" t="str">
        <f t="shared" si="37"/>
        <v>2025-12-29 00:00:01</v>
      </c>
    </row>
    <row r="267" spans="2:14" x14ac:dyDescent="0.3">
      <c r="B267" s="23">
        <f t="shared" si="38"/>
        <v>46020.041666666664</v>
      </c>
      <c r="C267" s="23">
        <f t="shared" si="39"/>
        <v>46027.000011574077</v>
      </c>
      <c r="H267" t="str">
        <f t="shared" si="32"/>
        <v>2025-12-29</v>
      </c>
      <c r="I267" t="str">
        <f t="shared" si="33"/>
        <v>2026-01-05</v>
      </c>
      <c r="J267" s="24" t="str">
        <f t="shared" si="34"/>
        <v>01:00:00</v>
      </c>
      <c r="K267" s="24" t="str">
        <f t="shared" si="35"/>
        <v>00:00:01</v>
      </c>
      <c r="M267" s="25" t="str">
        <f t="shared" si="36"/>
        <v>2025-12-29 01:00:00</v>
      </c>
      <c r="N267" s="25" t="str">
        <f t="shared" si="37"/>
        <v>2026-01-05 00:00:01</v>
      </c>
    </row>
    <row r="268" spans="2:14" x14ac:dyDescent="0.3">
      <c r="B268" s="23">
        <f t="shared" si="38"/>
        <v>46027.041666666664</v>
      </c>
      <c r="C268" s="23">
        <f t="shared" si="39"/>
        <v>46034.000011574077</v>
      </c>
      <c r="H268" t="str">
        <f t="shared" si="32"/>
        <v>2026-01-05</v>
      </c>
      <c r="I268" t="str">
        <f t="shared" si="33"/>
        <v>2026-01-12</v>
      </c>
      <c r="J268" s="24" t="str">
        <f t="shared" si="34"/>
        <v>01:00:00</v>
      </c>
      <c r="K268" s="24" t="str">
        <f t="shared" si="35"/>
        <v>00:00:01</v>
      </c>
      <c r="M268" s="25" t="str">
        <f t="shared" si="36"/>
        <v>2026-01-05 01:00:00</v>
      </c>
      <c r="N268" s="25" t="str">
        <f t="shared" si="37"/>
        <v>2026-01-12 00:00:01</v>
      </c>
    </row>
    <row r="269" spans="2:14" x14ac:dyDescent="0.3">
      <c r="B269" s="23">
        <f t="shared" si="38"/>
        <v>46034.041666666664</v>
      </c>
      <c r="C269" s="23">
        <f t="shared" si="39"/>
        <v>46041.000011574077</v>
      </c>
      <c r="H269" t="str">
        <f t="shared" si="32"/>
        <v>2026-01-12</v>
      </c>
      <c r="I269" t="str">
        <f t="shared" si="33"/>
        <v>2026-01-19</v>
      </c>
      <c r="J269" s="24" t="str">
        <f t="shared" si="34"/>
        <v>01:00:00</v>
      </c>
      <c r="K269" s="24" t="str">
        <f t="shared" si="35"/>
        <v>00:00:01</v>
      </c>
      <c r="M269" s="25" t="str">
        <f t="shared" si="36"/>
        <v>2026-01-12 01:00:00</v>
      </c>
      <c r="N269" s="25" t="str">
        <f t="shared" si="37"/>
        <v>2026-01-19 00:00:01</v>
      </c>
    </row>
    <row r="270" spans="2:14" x14ac:dyDescent="0.3">
      <c r="B270" s="23">
        <f t="shared" si="38"/>
        <v>46041.041666666664</v>
      </c>
      <c r="C270" s="23">
        <f t="shared" si="39"/>
        <v>46048.000011574077</v>
      </c>
      <c r="H270" t="str">
        <f t="shared" si="32"/>
        <v>2026-01-19</v>
      </c>
      <c r="I270" t="str">
        <f t="shared" si="33"/>
        <v>2026-01-26</v>
      </c>
      <c r="J270" s="24" t="str">
        <f t="shared" si="34"/>
        <v>01:00:00</v>
      </c>
      <c r="K270" s="24" t="str">
        <f t="shared" si="35"/>
        <v>00:00:01</v>
      </c>
      <c r="M270" s="25" t="str">
        <f t="shared" si="36"/>
        <v>2026-01-19 01:00:00</v>
      </c>
      <c r="N270" s="25" t="str">
        <f t="shared" si="37"/>
        <v>2026-01-26 00:00:01</v>
      </c>
    </row>
    <row r="271" spans="2:14" x14ac:dyDescent="0.3">
      <c r="B271" s="23">
        <f t="shared" si="38"/>
        <v>46048.041666666664</v>
      </c>
      <c r="C271" s="23">
        <f t="shared" si="39"/>
        <v>46055.000011574077</v>
      </c>
      <c r="H271" t="str">
        <f t="shared" si="32"/>
        <v>2026-01-26</v>
      </c>
      <c r="I271" t="str">
        <f t="shared" si="33"/>
        <v>2026-02-02</v>
      </c>
      <c r="J271" s="24" t="str">
        <f t="shared" si="34"/>
        <v>01:00:00</v>
      </c>
      <c r="K271" s="24" t="str">
        <f t="shared" si="35"/>
        <v>00:00:01</v>
      </c>
      <c r="M271" s="25" t="str">
        <f t="shared" si="36"/>
        <v>2026-01-26 01:00:00</v>
      </c>
      <c r="N271" s="25" t="str">
        <f t="shared" si="37"/>
        <v>2026-02-02 00:00:01</v>
      </c>
    </row>
    <row r="272" spans="2:14" x14ac:dyDescent="0.3">
      <c r="B272" s="23">
        <f t="shared" si="38"/>
        <v>46055.041666666664</v>
      </c>
      <c r="C272" s="23">
        <f t="shared" si="39"/>
        <v>46062.000011574077</v>
      </c>
      <c r="H272" t="str">
        <f t="shared" si="32"/>
        <v>2026-02-02</v>
      </c>
      <c r="I272" t="str">
        <f t="shared" si="33"/>
        <v>2026-02-09</v>
      </c>
      <c r="J272" s="24" t="str">
        <f t="shared" si="34"/>
        <v>01:00:00</v>
      </c>
      <c r="K272" s="24" t="str">
        <f t="shared" si="35"/>
        <v>00:00:01</v>
      </c>
      <c r="M272" s="25" t="str">
        <f t="shared" si="36"/>
        <v>2026-02-02 01:00:00</v>
      </c>
      <c r="N272" s="25" t="str">
        <f t="shared" si="37"/>
        <v>2026-02-09 00:00:01</v>
      </c>
    </row>
    <row r="273" spans="2:14" x14ac:dyDescent="0.3">
      <c r="B273" s="23">
        <f t="shared" si="38"/>
        <v>46062.041666666664</v>
      </c>
      <c r="C273" s="23">
        <f t="shared" si="39"/>
        <v>46069.000011574077</v>
      </c>
      <c r="H273" t="str">
        <f t="shared" si="32"/>
        <v>2026-02-09</v>
      </c>
      <c r="I273" t="str">
        <f t="shared" si="33"/>
        <v>2026-02-16</v>
      </c>
      <c r="J273" s="24" t="str">
        <f t="shared" si="34"/>
        <v>01:00:00</v>
      </c>
      <c r="K273" s="24" t="str">
        <f t="shared" si="35"/>
        <v>00:00:01</v>
      </c>
      <c r="M273" s="25" t="str">
        <f t="shared" si="36"/>
        <v>2026-02-09 01:00:00</v>
      </c>
      <c r="N273" s="25" t="str">
        <f t="shared" si="37"/>
        <v>2026-02-16 00:00:01</v>
      </c>
    </row>
    <row r="274" spans="2:14" x14ac:dyDescent="0.3">
      <c r="B274" s="23">
        <f t="shared" si="38"/>
        <v>46069.041666666664</v>
      </c>
      <c r="C274" s="23">
        <f t="shared" si="39"/>
        <v>46076.000011574077</v>
      </c>
      <c r="H274" t="str">
        <f t="shared" si="32"/>
        <v>2026-02-16</v>
      </c>
      <c r="I274" t="str">
        <f t="shared" si="33"/>
        <v>2026-02-23</v>
      </c>
      <c r="J274" s="24" t="str">
        <f t="shared" si="34"/>
        <v>01:00:00</v>
      </c>
      <c r="K274" s="24" t="str">
        <f t="shared" si="35"/>
        <v>00:00:01</v>
      </c>
      <c r="M274" s="25" t="str">
        <f t="shared" si="36"/>
        <v>2026-02-16 01:00:00</v>
      </c>
      <c r="N274" s="25" t="str">
        <f t="shared" si="37"/>
        <v>2026-02-23 00:00:01</v>
      </c>
    </row>
    <row r="275" spans="2:14" x14ac:dyDescent="0.3">
      <c r="B275" s="23">
        <f t="shared" si="38"/>
        <v>46076.041666666664</v>
      </c>
      <c r="C275" s="23">
        <f t="shared" si="39"/>
        <v>46083.000011574077</v>
      </c>
      <c r="H275" t="str">
        <f t="shared" si="32"/>
        <v>2026-02-23</v>
      </c>
      <c r="I275" t="str">
        <f t="shared" si="33"/>
        <v>2026-03-02</v>
      </c>
      <c r="J275" s="24" t="str">
        <f t="shared" si="34"/>
        <v>01:00:00</v>
      </c>
      <c r="K275" s="24" t="str">
        <f t="shared" si="35"/>
        <v>00:00:01</v>
      </c>
      <c r="M275" s="25" t="str">
        <f t="shared" si="36"/>
        <v>2026-02-23 01:00:00</v>
      </c>
      <c r="N275" s="25" t="str">
        <f t="shared" si="37"/>
        <v>2026-03-02 00:00:01</v>
      </c>
    </row>
    <row r="276" spans="2:14" x14ac:dyDescent="0.3">
      <c r="B276" s="23">
        <f t="shared" si="38"/>
        <v>46083.041666666664</v>
      </c>
      <c r="C276" s="23">
        <f t="shared" si="39"/>
        <v>46090.000011574077</v>
      </c>
      <c r="H276" t="str">
        <f t="shared" si="32"/>
        <v>2026-03-02</v>
      </c>
      <c r="I276" t="str">
        <f t="shared" si="33"/>
        <v>2026-03-09</v>
      </c>
      <c r="J276" s="24" t="str">
        <f t="shared" si="34"/>
        <v>01:00:00</v>
      </c>
      <c r="K276" s="24" t="str">
        <f t="shared" si="35"/>
        <v>00:00:01</v>
      </c>
      <c r="M276" s="25" t="str">
        <f t="shared" si="36"/>
        <v>2026-03-02 01:00:00</v>
      </c>
      <c r="N276" s="25" t="str">
        <f t="shared" si="37"/>
        <v>2026-03-09 00:00:01</v>
      </c>
    </row>
    <row r="277" spans="2:14" x14ac:dyDescent="0.3">
      <c r="B277" s="23">
        <f t="shared" si="38"/>
        <v>46090.041666666664</v>
      </c>
      <c r="C277" s="23">
        <f t="shared" si="39"/>
        <v>46097.000011574077</v>
      </c>
      <c r="H277" t="str">
        <f t="shared" si="32"/>
        <v>2026-03-09</v>
      </c>
      <c r="I277" t="str">
        <f t="shared" si="33"/>
        <v>2026-03-16</v>
      </c>
      <c r="J277" s="24" t="str">
        <f t="shared" si="34"/>
        <v>01:00:00</v>
      </c>
      <c r="K277" s="24" t="str">
        <f t="shared" si="35"/>
        <v>00:00:01</v>
      </c>
      <c r="M277" s="25" t="str">
        <f t="shared" si="36"/>
        <v>2026-03-09 01:00:00</v>
      </c>
      <c r="N277" s="25" t="str">
        <f t="shared" si="37"/>
        <v>2026-03-16 00:00:01</v>
      </c>
    </row>
    <row r="278" spans="2:14" x14ac:dyDescent="0.3">
      <c r="B278" s="23">
        <f t="shared" si="38"/>
        <v>46097.041666666664</v>
      </c>
      <c r="C278" s="23">
        <f t="shared" si="39"/>
        <v>46104.000011574077</v>
      </c>
      <c r="H278" t="str">
        <f t="shared" si="32"/>
        <v>2026-03-16</v>
      </c>
      <c r="I278" t="str">
        <f t="shared" si="33"/>
        <v>2026-03-23</v>
      </c>
      <c r="J278" s="24" t="str">
        <f t="shared" si="34"/>
        <v>01:00:00</v>
      </c>
      <c r="K278" s="24" t="str">
        <f t="shared" si="35"/>
        <v>00:00:01</v>
      </c>
      <c r="M278" s="25" t="str">
        <f t="shared" si="36"/>
        <v>2026-03-16 01:00:00</v>
      </c>
      <c r="N278" s="25" t="str">
        <f t="shared" si="37"/>
        <v>2026-03-23 00:00:01</v>
      </c>
    </row>
    <row r="279" spans="2:14" x14ac:dyDescent="0.3">
      <c r="B279" s="23">
        <f t="shared" si="38"/>
        <v>46104.041666666664</v>
      </c>
      <c r="C279" s="23">
        <f t="shared" si="39"/>
        <v>46111.000011574077</v>
      </c>
      <c r="H279" t="str">
        <f t="shared" si="32"/>
        <v>2026-03-23</v>
      </c>
      <c r="I279" t="str">
        <f t="shared" si="33"/>
        <v>2026-03-30</v>
      </c>
      <c r="J279" s="24" t="str">
        <f t="shared" si="34"/>
        <v>01:00:00</v>
      </c>
      <c r="K279" s="24" t="str">
        <f t="shared" si="35"/>
        <v>00:00:01</v>
      </c>
      <c r="M279" s="25" t="str">
        <f t="shared" si="36"/>
        <v>2026-03-23 01:00:00</v>
      </c>
      <c r="N279" s="25" t="str">
        <f t="shared" si="37"/>
        <v>2026-03-30 00:00:01</v>
      </c>
    </row>
    <row r="280" spans="2:14" x14ac:dyDescent="0.3">
      <c r="B280" s="23">
        <f t="shared" si="38"/>
        <v>46111.041666666664</v>
      </c>
      <c r="C280" s="23">
        <f t="shared" si="39"/>
        <v>46118.000011574077</v>
      </c>
      <c r="H280" t="str">
        <f t="shared" si="32"/>
        <v>2026-03-30</v>
      </c>
      <c r="I280" t="str">
        <f t="shared" si="33"/>
        <v>2026-04-06</v>
      </c>
      <c r="J280" s="24" t="str">
        <f t="shared" si="34"/>
        <v>01:00:00</v>
      </c>
      <c r="K280" s="24" t="str">
        <f t="shared" si="35"/>
        <v>00:00:01</v>
      </c>
      <c r="M280" s="25" t="str">
        <f t="shared" si="36"/>
        <v>2026-03-30 01:00:00</v>
      </c>
      <c r="N280" s="25" t="str">
        <f t="shared" si="37"/>
        <v>2026-04-06 00:00:01</v>
      </c>
    </row>
    <row r="281" spans="2:14" x14ac:dyDescent="0.3">
      <c r="B281" s="23">
        <f t="shared" si="38"/>
        <v>46118.041666666664</v>
      </c>
      <c r="C281" s="23">
        <f t="shared" si="39"/>
        <v>46125.000011574077</v>
      </c>
      <c r="H281" t="str">
        <f t="shared" si="32"/>
        <v>2026-04-06</v>
      </c>
      <c r="I281" t="str">
        <f t="shared" si="33"/>
        <v>2026-04-13</v>
      </c>
      <c r="J281" s="24" t="str">
        <f t="shared" si="34"/>
        <v>01:00:00</v>
      </c>
      <c r="K281" s="24" t="str">
        <f t="shared" si="35"/>
        <v>00:00:01</v>
      </c>
      <c r="M281" s="25" t="str">
        <f t="shared" si="36"/>
        <v>2026-04-06 01:00:00</v>
      </c>
      <c r="N281" s="25" t="str">
        <f t="shared" si="37"/>
        <v>2026-04-13 00:00:01</v>
      </c>
    </row>
    <row r="282" spans="2:14" x14ac:dyDescent="0.3">
      <c r="B282" s="23">
        <f t="shared" si="38"/>
        <v>46125.041666666664</v>
      </c>
      <c r="C282" s="23">
        <f t="shared" si="39"/>
        <v>46132.000011574077</v>
      </c>
      <c r="H282" t="str">
        <f t="shared" si="32"/>
        <v>2026-04-13</v>
      </c>
      <c r="I282" t="str">
        <f t="shared" si="33"/>
        <v>2026-04-20</v>
      </c>
      <c r="J282" s="24" t="str">
        <f t="shared" si="34"/>
        <v>01:00:00</v>
      </c>
      <c r="K282" s="24" t="str">
        <f t="shared" si="35"/>
        <v>00:00:01</v>
      </c>
      <c r="M282" s="25" t="str">
        <f t="shared" si="36"/>
        <v>2026-04-13 01:00:00</v>
      </c>
      <c r="N282" s="25" t="str">
        <f t="shared" si="37"/>
        <v>2026-04-20 00:00:01</v>
      </c>
    </row>
    <row r="283" spans="2:14" x14ac:dyDescent="0.3">
      <c r="B283" s="23">
        <f t="shared" si="38"/>
        <v>46132.041666666664</v>
      </c>
      <c r="C283" s="23">
        <f t="shared" si="39"/>
        <v>46139.000011574077</v>
      </c>
      <c r="H283" t="str">
        <f t="shared" si="32"/>
        <v>2026-04-20</v>
      </c>
      <c r="I283" t="str">
        <f t="shared" si="33"/>
        <v>2026-04-27</v>
      </c>
      <c r="J283" s="24" t="str">
        <f t="shared" si="34"/>
        <v>01:00:00</v>
      </c>
      <c r="K283" s="24" t="str">
        <f t="shared" si="35"/>
        <v>00:00:01</v>
      </c>
      <c r="M283" s="25" t="str">
        <f t="shared" si="36"/>
        <v>2026-04-20 01:00:00</v>
      </c>
      <c r="N283" s="25" t="str">
        <f t="shared" si="37"/>
        <v>2026-04-27 00:00:01</v>
      </c>
    </row>
    <row r="284" spans="2:14" x14ac:dyDescent="0.3">
      <c r="B284" s="23">
        <f t="shared" si="38"/>
        <v>46139.041666666664</v>
      </c>
      <c r="C284" s="23">
        <f t="shared" si="39"/>
        <v>46146.000011574077</v>
      </c>
      <c r="H284" t="str">
        <f t="shared" si="32"/>
        <v>2026-04-27</v>
      </c>
      <c r="I284" t="str">
        <f t="shared" si="33"/>
        <v>2026-05-04</v>
      </c>
      <c r="J284" s="24" t="str">
        <f t="shared" si="34"/>
        <v>01:00:00</v>
      </c>
      <c r="K284" s="24" t="str">
        <f t="shared" si="35"/>
        <v>00:00:01</v>
      </c>
      <c r="M284" s="25" t="str">
        <f t="shared" si="36"/>
        <v>2026-04-27 01:00:00</v>
      </c>
      <c r="N284" s="25" t="str">
        <f t="shared" si="37"/>
        <v>2026-05-04 00:00:01</v>
      </c>
    </row>
    <row r="285" spans="2:14" x14ac:dyDescent="0.3">
      <c r="B285" s="23">
        <f t="shared" si="38"/>
        <v>46146.041666666664</v>
      </c>
      <c r="C285" s="23">
        <f t="shared" si="39"/>
        <v>46153.000011574077</v>
      </c>
      <c r="H285" t="str">
        <f t="shared" si="32"/>
        <v>2026-05-04</v>
      </c>
      <c r="I285" t="str">
        <f t="shared" si="33"/>
        <v>2026-05-11</v>
      </c>
      <c r="J285" s="24" t="str">
        <f t="shared" si="34"/>
        <v>01:00:00</v>
      </c>
      <c r="K285" s="24" t="str">
        <f t="shared" si="35"/>
        <v>00:00:01</v>
      </c>
      <c r="M285" s="25" t="str">
        <f t="shared" si="36"/>
        <v>2026-05-04 01:00:00</v>
      </c>
      <c r="N285" s="25" t="str">
        <f t="shared" si="37"/>
        <v>2026-05-11 00:00:01</v>
      </c>
    </row>
    <row r="286" spans="2:14" x14ac:dyDescent="0.3">
      <c r="B286" s="23">
        <f t="shared" si="38"/>
        <v>46153.041666666664</v>
      </c>
      <c r="C286" s="23">
        <f t="shared" si="39"/>
        <v>46160.000011574077</v>
      </c>
      <c r="H286" t="str">
        <f t="shared" si="32"/>
        <v>2026-05-11</v>
      </c>
      <c r="I286" t="str">
        <f t="shared" si="33"/>
        <v>2026-05-18</v>
      </c>
      <c r="J286" s="24" t="str">
        <f t="shared" si="34"/>
        <v>01:00:00</v>
      </c>
      <c r="K286" s="24" t="str">
        <f t="shared" si="35"/>
        <v>00:00:01</v>
      </c>
      <c r="M286" s="25" t="str">
        <f t="shared" si="36"/>
        <v>2026-05-11 01:00:00</v>
      </c>
      <c r="N286" s="25" t="str">
        <f t="shared" si="37"/>
        <v>2026-05-18 00:00:01</v>
      </c>
    </row>
    <row r="287" spans="2:14" x14ac:dyDescent="0.3">
      <c r="B287" s="23">
        <f t="shared" si="38"/>
        <v>46160.041666666664</v>
      </c>
      <c r="C287" s="23">
        <f t="shared" si="39"/>
        <v>46167.000011574077</v>
      </c>
      <c r="H287" t="str">
        <f t="shared" si="32"/>
        <v>2026-05-18</v>
      </c>
      <c r="I287" t="str">
        <f t="shared" si="33"/>
        <v>2026-05-25</v>
      </c>
      <c r="J287" s="24" t="str">
        <f t="shared" si="34"/>
        <v>01:00:00</v>
      </c>
      <c r="K287" s="24" t="str">
        <f t="shared" si="35"/>
        <v>00:00:01</v>
      </c>
      <c r="M287" s="25" t="str">
        <f t="shared" si="36"/>
        <v>2026-05-18 01:00:00</v>
      </c>
      <c r="N287" s="25" t="str">
        <f t="shared" si="37"/>
        <v>2026-05-25 00:00:01</v>
      </c>
    </row>
    <row r="288" spans="2:14" x14ac:dyDescent="0.3">
      <c r="B288" s="23">
        <f t="shared" si="38"/>
        <v>46167.041666666664</v>
      </c>
      <c r="C288" s="23">
        <f t="shared" si="39"/>
        <v>46174.000011574077</v>
      </c>
      <c r="H288" t="str">
        <f t="shared" si="32"/>
        <v>2026-05-25</v>
      </c>
      <c r="I288" t="str">
        <f t="shared" si="33"/>
        <v>2026-06-01</v>
      </c>
      <c r="J288" s="24" t="str">
        <f t="shared" si="34"/>
        <v>01:00:00</v>
      </c>
      <c r="K288" s="24" t="str">
        <f t="shared" si="35"/>
        <v>00:00:01</v>
      </c>
      <c r="M288" s="25" t="str">
        <f t="shared" si="36"/>
        <v>2026-05-25 01:00:00</v>
      </c>
      <c r="N288" s="25" t="str">
        <f t="shared" si="37"/>
        <v>2026-06-01 00:00:01</v>
      </c>
    </row>
    <row r="289" spans="2:14" x14ac:dyDescent="0.3">
      <c r="B289" s="23">
        <f t="shared" si="38"/>
        <v>46174.041666666664</v>
      </c>
      <c r="C289" s="23">
        <f t="shared" si="39"/>
        <v>46181.000011574077</v>
      </c>
      <c r="H289" t="str">
        <f t="shared" si="32"/>
        <v>2026-06-01</v>
      </c>
      <c r="I289" t="str">
        <f t="shared" si="33"/>
        <v>2026-06-08</v>
      </c>
      <c r="J289" s="24" t="str">
        <f t="shared" si="34"/>
        <v>01:00:00</v>
      </c>
      <c r="K289" s="24" t="str">
        <f t="shared" si="35"/>
        <v>00:00:01</v>
      </c>
      <c r="M289" s="25" t="str">
        <f t="shared" si="36"/>
        <v>2026-06-01 01:00:00</v>
      </c>
      <c r="N289" s="25" t="str">
        <f t="shared" si="37"/>
        <v>2026-06-08 00:00:01</v>
      </c>
    </row>
    <row r="290" spans="2:14" x14ac:dyDescent="0.3">
      <c r="B290" s="23">
        <f t="shared" si="38"/>
        <v>46181.041666666664</v>
      </c>
      <c r="C290" s="23">
        <f t="shared" si="39"/>
        <v>46188.000011574077</v>
      </c>
      <c r="H290" t="str">
        <f t="shared" si="32"/>
        <v>2026-06-08</v>
      </c>
      <c r="I290" t="str">
        <f t="shared" si="33"/>
        <v>2026-06-15</v>
      </c>
      <c r="J290" s="24" t="str">
        <f t="shared" si="34"/>
        <v>01:00:00</v>
      </c>
      <c r="K290" s="24" t="str">
        <f t="shared" si="35"/>
        <v>00:00:01</v>
      </c>
      <c r="M290" s="25" t="str">
        <f t="shared" si="36"/>
        <v>2026-06-08 01:00:00</v>
      </c>
      <c r="N290" s="25" t="str">
        <f t="shared" si="37"/>
        <v>2026-06-15 00:00:01</v>
      </c>
    </row>
    <row r="291" spans="2:14" x14ac:dyDescent="0.3">
      <c r="B291" s="23">
        <f t="shared" si="38"/>
        <v>46188.041666666664</v>
      </c>
      <c r="C291" s="23">
        <f t="shared" si="39"/>
        <v>46195.000011574077</v>
      </c>
      <c r="H291" t="str">
        <f t="shared" si="32"/>
        <v>2026-06-15</v>
      </c>
      <c r="I291" t="str">
        <f t="shared" si="33"/>
        <v>2026-06-22</v>
      </c>
      <c r="J291" s="24" t="str">
        <f t="shared" si="34"/>
        <v>01:00:00</v>
      </c>
      <c r="K291" s="24" t="str">
        <f t="shared" si="35"/>
        <v>00:00:01</v>
      </c>
      <c r="M291" s="25" t="str">
        <f t="shared" si="36"/>
        <v>2026-06-15 01:00:00</v>
      </c>
      <c r="N291" s="25" t="str">
        <f t="shared" si="37"/>
        <v>2026-06-22 00:00:01</v>
      </c>
    </row>
    <row r="292" spans="2:14" x14ac:dyDescent="0.3">
      <c r="B292" s="23">
        <f t="shared" si="38"/>
        <v>46195.041666666664</v>
      </c>
      <c r="C292" s="23">
        <f t="shared" si="39"/>
        <v>46202.000011574077</v>
      </c>
      <c r="H292" t="str">
        <f t="shared" si="32"/>
        <v>2026-06-22</v>
      </c>
      <c r="I292" t="str">
        <f t="shared" si="33"/>
        <v>2026-06-29</v>
      </c>
      <c r="J292" s="24" t="str">
        <f t="shared" si="34"/>
        <v>01:00:00</v>
      </c>
      <c r="K292" s="24" t="str">
        <f t="shared" si="35"/>
        <v>00:00:01</v>
      </c>
      <c r="M292" s="25" t="str">
        <f t="shared" si="36"/>
        <v>2026-06-22 01:00:00</v>
      </c>
      <c r="N292" s="25" t="str">
        <f t="shared" si="37"/>
        <v>2026-06-29 00:00:01</v>
      </c>
    </row>
    <row r="293" spans="2:14" x14ac:dyDescent="0.3">
      <c r="B293" s="23">
        <f t="shared" si="38"/>
        <v>46202.041666666664</v>
      </c>
      <c r="C293" s="23">
        <f t="shared" si="39"/>
        <v>46209.000011574077</v>
      </c>
      <c r="H293" t="str">
        <f t="shared" si="32"/>
        <v>2026-06-29</v>
      </c>
      <c r="I293" t="str">
        <f t="shared" si="33"/>
        <v>2026-07-06</v>
      </c>
      <c r="J293" s="24" t="str">
        <f t="shared" si="34"/>
        <v>01:00:00</v>
      </c>
      <c r="K293" s="24" t="str">
        <f t="shared" si="35"/>
        <v>00:00:01</v>
      </c>
      <c r="M293" s="25" t="str">
        <f t="shared" si="36"/>
        <v>2026-06-29 01:00:00</v>
      </c>
      <c r="N293" s="25" t="str">
        <f t="shared" si="37"/>
        <v>2026-07-06 00:00:01</v>
      </c>
    </row>
    <row r="294" spans="2:14" x14ac:dyDescent="0.3">
      <c r="B294" s="23">
        <f t="shared" si="38"/>
        <v>46209.041666666664</v>
      </c>
      <c r="C294" s="23">
        <f t="shared" si="39"/>
        <v>46216.000011574077</v>
      </c>
      <c r="H294" t="str">
        <f t="shared" si="32"/>
        <v>2026-07-06</v>
      </c>
      <c r="I294" t="str">
        <f t="shared" si="33"/>
        <v>2026-07-13</v>
      </c>
      <c r="J294" s="24" t="str">
        <f t="shared" si="34"/>
        <v>01:00:00</v>
      </c>
      <c r="K294" s="24" t="str">
        <f t="shared" si="35"/>
        <v>00:00:01</v>
      </c>
      <c r="M294" s="25" t="str">
        <f t="shared" si="36"/>
        <v>2026-07-06 01:00:00</v>
      </c>
      <c r="N294" s="25" t="str">
        <f t="shared" si="37"/>
        <v>2026-07-13 00:00:01</v>
      </c>
    </row>
    <row r="295" spans="2:14" x14ac:dyDescent="0.3">
      <c r="B295" s="23">
        <f t="shared" si="38"/>
        <v>46216.041666666664</v>
      </c>
      <c r="C295" s="23">
        <f t="shared" si="39"/>
        <v>46223.000011574077</v>
      </c>
      <c r="H295" t="str">
        <f t="shared" si="32"/>
        <v>2026-07-13</v>
      </c>
      <c r="I295" t="str">
        <f t="shared" si="33"/>
        <v>2026-07-20</v>
      </c>
      <c r="J295" s="24" t="str">
        <f t="shared" si="34"/>
        <v>01:00:00</v>
      </c>
      <c r="K295" s="24" t="str">
        <f t="shared" si="35"/>
        <v>00:00:01</v>
      </c>
      <c r="M295" s="25" t="str">
        <f t="shared" si="36"/>
        <v>2026-07-13 01:00:00</v>
      </c>
      <c r="N295" s="25" t="str">
        <f t="shared" si="37"/>
        <v>2026-07-20 00:00:01</v>
      </c>
    </row>
    <row r="296" spans="2:14" x14ac:dyDescent="0.3">
      <c r="B296" s="23">
        <f t="shared" si="38"/>
        <v>46223.041666666664</v>
      </c>
      <c r="C296" s="23">
        <f t="shared" si="39"/>
        <v>46230.000011574077</v>
      </c>
      <c r="H296" t="str">
        <f t="shared" si="32"/>
        <v>2026-07-20</v>
      </c>
      <c r="I296" t="str">
        <f t="shared" si="33"/>
        <v>2026-07-27</v>
      </c>
      <c r="J296" s="24" t="str">
        <f t="shared" si="34"/>
        <v>01:00:00</v>
      </c>
      <c r="K296" s="24" t="str">
        <f t="shared" si="35"/>
        <v>00:00:01</v>
      </c>
      <c r="M296" s="25" t="str">
        <f t="shared" si="36"/>
        <v>2026-07-20 01:00:00</v>
      </c>
      <c r="N296" s="25" t="str">
        <f t="shared" si="37"/>
        <v>2026-07-27 00:00:01</v>
      </c>
    </row>
    <row r="297" spans="2:14" x14ac:dyDescent="0.3">
      <c r="B297" s="23">
        <f t="shared" si="38"/>
        <v>46230.041666666664</v>
      </c>
      <c r="C297" s="23">
        <f t="shared" si="39"/>
        <v>46237.000011574077</v>
      </c>
      <c r="H297" t="str">
        <f t="shared" si="32"/>
        <v>2026-07-27</v>
      </c>
      <c r="I297" t="str">
        <f t="shared" si="33"/>
        <v>2026-08-03</v>
      </c>
      <c r="J297" s="24" t="str">
        <f t="shared" si="34"/>
        <v>01:00:00</v>
      </c>
      <c r="K297" s="24" t="str">
        <f t="shared" si="35"/>
        <v>00:00:01</v>
      </c>
      <c r="M297" s="25" t="str">
        <f t="shared" si="36"/>
        <v>2026-07-27 01:00:00</v>
      </c>
      <c r="N297" s="25" t="str">
        <f t="shared" si="37"/>
        <v>2026-08-03 00:00:01</v>
      </c>
    </row>
    <row r="298" spans="2:14" x14ac:dyDescent="0.3">
      <c r="B298" s="23">
        <f t="shared" si="38"/>
        <v>46237.041666666664</v>
      </c>
      <c r="C298" s="23">
        <f t="shared" si="39"/>
        <v>46244.000011574077</v>
      </c>
      <c r="H298" t="str">
        <f t="shared" si="32"/>
        <v>2026-08-03</v>
      </c>
      <c r="I298" t="str">
        <f t="shared" si="33"/>
        <v>2026-08-10</v>
      </c>
      <c r="J298" s="24" t="str">
        <f t="shared" si="34"/>
        <v>01:00:00</v>
      </c>
      <c r="K298" s="24" t="str">
        <f t="shared" si="35"/>
        <v>00:00:01</v>
      </c>
      <c r="M298" s="25" t="str">
        <f t="shared" si="36"/>
        <v>2026-08-03 01:00:00</v>
      </c>
      <c r="N298" s="25" t="str">
        <f t="shared" si="37"/>
        <v>2026-08-10 00:00:01</v>
      </c>
    </row>
    <row r="299" spans="2:14" x14ac:dyDescent="0.3">
      <c r="B299" s="23">
        <f t="shared" si="38"/>
        <v>46244.041666666664</v>
      </c>
      <c r="C299" s="23">
        <f t="shared" si="39"/>
        <v>46251.000011574077</v>
      </c>
      <c r="H299" t="str">
        <f t="shared" si="32"/>
        <v>2026-08-10</v>
      </c>
      <c r="I299" t="str">
        <f t="shared" si="33"/>
        <v>2026-08-17</v>
      </c>
      <c r="J299" s="24" t="str">
        <f t="shared" si="34"/>
        <v>01:00:00</v>
      </c>
      <c r="K299" s="24" t="str">
        <f t="shared" si="35"/>
        <v>00:00:01</v>
      </c>
      <c r="M299" s="25" t="str">
        <f t="shared" si="36"/>
        <v>2026-08-10 01:00:00</v>
      </c>
      <c r="N299" s="25" t="str">
        <f t="shared" si="37"/>
        <v>2026-08-17 00:00:01</v>
      </c>
    </row>
    <row r="300" spans="2:14" x14ac:dyDescent="0.3">
      <c r="B300" s="23">
        <f t="shared" si="38"/>
        <v>46251.041666666664</v>
      </c>
      <c r="C300" s="23">
        <f t="shared" si="39"/>
        <v>46258.000011574077</v>
      </c>
      <c r="H300" t="str">
        <f t="shared" si="32"/>
        <v>2026-08-17</v>
      </c>
      <c r="I300" t="str">
        <f t="shared" si="33"/>
        <v>2026-08-24</v>
      </c>
      <c r="J300" s="24" t="str">
        <f t="shared" si="34"/>
        <v>01:00:00</v>
      </c>
      <c r="K300" s="24" t="str">
        <f t="shared" si="35"/>
        <v>00:00:01</v>
      </c>
      <c r="M300" s="25" t="str">
        <f t="shared" si="36"/>
        <v>2026-08-17 01:00:00</v>
      </c>
      <c r="N300" s="25" t="str">
        <f t="shared" si="37"/>
        <v>2026-08-24 00:00:01</v>
      </c>
    </row>
    <row r="301" spans="2:14" x14ac:dyDescent="0.3">
      <c r="B301" s="23">
        <f t="shared" si="38"/>
        <v>46258.041666666664</v>
      </c>
      <c r="C301" s="23">
        <f t="shared" si="39"/>
        <v>46265.000011574077</v>
      </c>
      <c r="H301" t="str">
        <f t="shared" si="32"/>
        <v>2026-08-24</v>
      </c>
      <c r="I301" t="str">
        <f t="shared" si="33"/>
        <v>2026-08-31</v>
      </c>
      <c r="J301" s="24" t="str">
        <f t="shared" si="34"/>
        <v>01:00:00</v>
      </c>
      <c r="K301" s="24" t="str">
        <f t="shared" si="35"/>
        <v>00:00:01</v>
      </c>
      <c r="M301" s="25" t="str">
        <f t="shared" si="36"/>
        <v>2026-08-24 01:00:00</v>
      </c>
      <c r="N301" s="25" t="str">
        <f t="shared" si="37"/>
        <v>2026-08-31 00:00:01</v>
      </c>
    </row>
    <row r="302" spans="2:14" x14ac:dyDescent="0.3">
      <c r="B302" s="23">
        <f t="shared" si="38"/>
        <v>46265.041666666664</v>
      </c>
      <c r="C302" s="23">
        <f t="shared" si="39"/>
        <v>46272.000011574077</v>
      </c>
      <c r="H302" t="str">
        <f t="shared" si="32"/>
        <v>2026-08-31</v>
      </c>
      <c r="I302" t="str">
        <f t="shared" si="33"/>
        <v>2026-09-07</v>
      </c>
      <c r="J302" s="24" t="str">
        <f t="shared" si="34"/>
        <v>01:00:00</v>
      </c>
      <c r="K302" s="24" t="str">
        <f t="shared" si="35"/>
        <v>00:00:01</v>
      </c>
      <c r="M302" s="25" t="str">
        <f t="shared" si="36"/>
        <v>2026-08-31 01:00:00</v>
      </c>
      <c r="N302" s="25" t="str">
        <f t="shared" si="37"/>
        <v>2026-09-07 00:00:01</v>
      </c>
    </row>
    <row r="303" spans="2:14" x14ac:dyDescent="0.3">
      <c r="B303" s="23">
        <f t="shared" si="38"/>
        <v>46272.041666666664</v>
      </c>
      <c r="C303" s="23">
        <f t="shared" si="39"/>
        <v>46279.000011574077</v>
      </c>
      <c r="H303" t="str">
        <f t="shared" si="32"/>
        <v>2026-09-07</v>
      </c>
      <c r="I303" t="str">
        <f t="shared" si="33"/>
        <v>2026-09-14</v>
      </c>
      <c r="J303" s="24" t="str">
        <f t="shared" si="34"/>
        <v>01:00:00</v>
      </c>
      <c r="K303" s="24" t="str">
        <f t="shared" si="35"/>
        <v>00:00:01</v>
      </c>
      <c r="M303" s="25" t="str">
        <f t="shared" si="36"/>
        <v>2026-09-07 01:00:00</v>
      </c>
      <c r="N303" s="25" t="str">
        <f t="shared" si="37"/>
        <v>2026-09-14 00:00:01</v>
      </c>
    </row>
    <row r="304" spans="2:14" x14ac:dyDescent="0.3">
      <c r="B304" s="23">
        <f t="shared" si="38"/>
        <v>46279.041666666664</v>
      </c>
      <c r="C304" s="23">
        <f t="shared" si="39"/>
        <v>46286.000011574077</v>
      </c>
      <c r="H304" t="str">
        <f t="shared" si="32"/>
        <v>2026-09-14</v>
      </c>
      <c r="I304" t="str">
        <f t="shared" si="33"/>
        <v>2026-09-21</v>
      </c>
      <c r="J304" s="24" t="str">
        <f t="shared" si="34"/>
        <v>01:00:00</v>
      </c>
      <c r="K304" s="24" t="str">
        <f t="shared" si="35"/>
        <v>00:00:01</v>
      </c>
      <c r="M304" s="25" t="str">
        <f t="shared" si="36"/>
        <v>2026-09-14 01:00:00</v>
      </c>
      <c r="N304" s="25" t="str">
        <f t="shared" si="37"/>
        <v>2026-09-21 00:00:01</v>
      </c>
    </row>
    <row r="305" spans="2:14" x14ac:dyDescent="0.3">
      <c r="B305" s="23">
        <f t="shared" si="38"/>
        <v>46286.041666666664</v>
      </c>
      <c r="C305" s="23">
        <f t="shared" si="39"/>
        <v>46293.000011574077</v>
      </c>
      <c r="H305" t="str">
        <f t="shared" si="32"/>
        <v>2026-09-21</v>
      </c>
      <c r="I305" t="str">
        <f t="shared" si="33"/>
        <v>2026-09-28</v>
      </c>
      <c r="J305" s="24" t="str">
        <f t="shared" si="34"/>
        <v>01:00:00</v>
      </c>
      <c r="K305" s="24" t="str">
        <f t="shared" si="35"/>
        <v>00:00:01</v>
      </c>
      <c r="M305" s="25" t="str">
        <f t="shared" si="36"/>
        <v>2026-09-21 01:00:00</v>
      </c>
      <c r="N305" s="25" t="str">
        <f t="shared" si="37"/>
        <v>2026-09-28 00:00:01</v>
      </c>
    </row>
    <row r="306" spans="2:14" x14ac:dyDescent="0.3">
      <c r="B306" s="23">
        <f t="shared" si="38"/>
        <v>46293.041666666664</v>
      </c>
      <c r="C306" s="23">
        <f t="shared" si="39"/>
        <v>46300.000011574077</v>
      </c>
      <c r="H306" t="str">
        <f t="shared" si="32"/>
        <v>2026-09-28</v>
      </c>
      <c r="I306" t="str">
        <f t="shared" si="33"/>
        <v>2026-10-05</v>
      </c>
      <c r="J306" s="24" t="str">
        <f t="shared" si="34"/>
        <v>01:00:00</v>
      </c>
      <c r="K306" s="24" t="str">
        <f t="shared" si="35"/>
        <v>00:00:01</v>
      </c>
      <c r="M306" s="25" t="str">
        <f t="shared" si="36"/>
        <v>2026-09-28 01:00:00</v>
      </c>
      <c r="N306" s="25" t="str">
        <f t="shared" si="37"/>
        <v>2026-10-05 00:00:01</v>
      </c>
    </row>
    <row r="307" spans="2:14" x14ac:dyDescent="0.3">
      <c r="B307" s="23">
        <f t="shared" si="38"/>
        <v>46300.041666666664</v>
      </c>
      <c r="C307" s="23">
        <f t="shared" si="39"/>
        <v>46307.000011574077</v>
      </c>
      <c r="H307" t="str">
        <f t="shared" si="32"/>
        <v>2026-10-05</v>
      </c>
      <c r="I307" t="str">
        <f t="shared" si="33"/>
        <v>2026-10-12</v>
      </c>
      <c r="J307" s="24" t="str">
        <f t="shared" si="34"/>
        <v>01:00:00</v>
      </c>
      <c r="K307" s="24" t="str">
        <f t="shared" si="35"/>
        <v>00:00:01</v>
      </c>
      <c r="M307" s="25" t="str">
        <f t="shared" si="36"/>
        <v>2026-10-05 01:00:00</v>
      </c>
      <c r="N307" s="25" t="str">
        <f t="shared" si="37"/>
        <v>2026-10-12 00:00:01</v>
      </c>
    </row>
    <row r="308" spans="2:14" x14ac:dyDescent="0.3">
      <c r="B308" s="23">
        <f t="shared" si="38"/>
        <v>46307.041666666664</v>
      </c>
      <c r="C308" s="23">
        <f t="shared" si="39"/>
        <v>46314.000011574077</v>
      </c>
      <c r="H308" t="str">
        <f t="shared" si="32"/>
        <v>2026-10-12</v>
      </c>
      <c r="I308" t="str">
        <f t="shared" si="33"/>
        <v>2026-10-19</v>
      </c>
      <c r="J308" s="24" t="str">
        <f t="shared" si="34"/>
        <v>01:00:00</v>
      </c>
      <c r="K308" s="24" t="str">
        <f t="shared" si="35"/>
        <v>00:00:01</v>
      </c>
      <c r="M308" s="25" t="str">
        <f t="shared" si="36"/>
        <v>2026-10-12 01:00:00</v>
      </c>
      <c r="N308" s="25" t="str">
        <f t="shared" si="37"/>
        <v>2026-10-19 00:00:01</v>
      </c>
    </row>
    <row r="309" spans="2:14" x14ac:dyDescent="0.3">
      <c r="B309" s="23">
        <f t="shared" si="38"/>
        <v>46314.041666666664</v>
      </c>
      <c r="C309" s="23">
        <f t="shared" si="39"/>
        <v>46321.000011574077</v>
      </c>
      <c r="H309" t="str">
        <f t="shared" si="32"/>
        <v>2026-10-19</v>
      </c>
      <c r="I309" t="str">
        <f t="shared" si="33"/>
        <v>2026-10-26</v>
      </c>
      <c r="J309" s="24" t="str">
        <f t="shared" si="34"/>
        <v>01:00:00</v>
      </c>
      <c r="K309" s="24" t="str">
        <f t="shared" si="35"/>
        <v>00:00:01</v>
      </c>
      <c r="M309" s="25" t="str">
        <f t="shared" si="36"/>
        <v>2026-10-19 01:00:00</v>
      </c>
      <c r="N309" s="25" t="str">
        <f t="shared" si="37"/>
        <v>2026-10-26 00:00:01</v>
      </c>
    </row>
    <row r="310" spans="2:14" x14ac:dyDescent="0.3">
      <c r="B310" s="23">
        <f t="shared" si="38"/>
        <v>46321.041666666664</v>
      </c>
      <c r="C310" s="23">
        <f t="shared" si="39"/>
        <v>46328.000011574077</v>
      </c>
      <c r="H310" t="str">
        <f t="shared" si="32"/>
        <v>2026-10-26</v>
      </c>
      <c r="I310" t="str">
        <f t="shared" si="33"/>
        <v>2026-11-02</v>
      </c>
      <c r="J310" s="24" t="str">
        <f t="shared" si="34"/>
        <v>01:00:00</v>
      </c>
      <c r="K310" s="24" t="str">
        <f t="shared" si="35"/>
        <v>00:00:01</v>
      </c>
      <c r="M310" s="25" t="str">
        <f t="shared" si="36"/>
        <v>2026-10-26 01:00:00</v>
      </c>
      <c r="N310" s="25" t="str">
        <f t="shared" si="37"/>
        <v>2026-11-02 00:00:01</v>
      </c>
    </row>
    <row r="311" spans="2:14" x14ac:dyDescent="0.3">
      <c r="B311" s="23">
        <f t="shared" si="38"/>
        <v>46328.041666666664</v>
      </c>
      <c r="C311" s="23">
        <f t="shared" si="39"/>
        <v>46335.000011574077</v>
      </c>
      <c r="H311" t="str">
        <f t="shared" si="32"/>
        <v>2026-11-02</v>
      </c>
      <c r="I311" t="str">
        <f t="shared" si="33"/>
        <v>2026-11-09</v>
      </c>
      <c r="J311" s="24" t="str">
        <f t="shared" si="34"/>
        <v>01:00:00</v>
      </c>
      <c r="K311" s="24" t="str">
        <f t="shared" si="35"/>
        <v>00:00:01</v>
      </c>
      <c r="M311" s="25" t="str">
        <f t="shared" si="36"/>
        <v>2026-11-02 01:00:00</v>
      </c>
      <c r="N311" s="25" t="str">
        <f t="shared" si="37"/>
        <v>2026-11-09 00:00:01</v>
      </c>
    </row>
    <row r="312" spans="2:14" x14ac:dyDescent="0.3">
      <c r="B312" s="23">
        <f t="shared" si="38"/>
        <v>46335.041666666664</v>
      </c>
      <c r="C312" s="23">
        <f t="shared" si="39"/>
        <v>46342.000011574077</v>
      </c>
      <c r="H312" t="str">
        <f t="shared" si="32"/>
        <v>2026-11-09</v>
      </c>
      <c r="I312" t="str">
        <f t="shared" si="33"/>
        <v>2026-11-16</v>
      </c>
      <c r="J312" s="24" t="str">
        <f t="shared" si="34"/>
        <v>01:00:00</v>
      </c>
      <c r="K312" s="24" t="str">
        <f t="shared" si="35"/>
        <v>00:00:01</v>
      </c>
      <c r="M312" s="25" t="str">
        <f t="shared" si="36"/>
        <v>2026-11-09 01:00:00</v>
      </c>
      <c r="N312" s="25" t="str">
        <f t="shared" si="37"/>
        <v>2026-11-16 00:00:01</v>
      </c>
    </row>
    <row r="313" spans="2:14" x14ac:dyDescent="0.3">
      <c r="B313" s="23">
        <f t="shared" si="38"/>
        <v>46342.041666666664</v>
      </c>
      <c r="C313" s="23">
        <f t="shared" si="39"/>
        <v>46349.000011574077</v>
      </c>
      <c r="H313" t="str">
        <f t="shared" si="32"/>
        <v>2026-11-16</v>
      </c>
      <c r="I313" t="str">
        <f t="shared" si="33"/>
        <v>2026-11-23</v>
      </c>
      <c r="J313" s="24" t="str">
        <f t="shared" si="34"/>
        <v>01:00:00</v>
      </c>
      <c r="K313" s="24" t="str">
        <f t="shared" si="35"/>
        <v>00:00:01</v>
      </c>
      <c r="M313" s="25" t="str">
        <f t="shared" si="36"/>
        <v>2026-11-16 01:00:00</v>
      </c>
      <c r="N313" s="25" t="str">
        <f t="shared" si="37"/>
        <v>2026-11-23 00:00:01</v>
      </c>
    </row>
    <row r="314" spans="2:14" x14ac:dyDescent="0.3">
      <c r="B314" s="23">
        <f t="shared" si="38"/>
        <v>46349.041666666664</v>
      </c>
      <c r="C314" s="23">
        <f t="shared" si="39"/>
        <v>46356.000011574077</v>
      </c>
      <c r="H314" t="str">
        <f t="shared" si="32"/>
        <v>2026-11-23</v>
      </c>
      <c r="I314" t="str">
        <f t="shared" si="33"/>
        <v>2026-11-30</v>
      </c>
      <c r="J314" s="24" t="str">
        <f t="shared" si="34"/>
        <v>01:00:00</v>
      </c>
      <c r="K314" s="24" t="str">
        <f t="shared" si="35"/>
        <v>00:00:01</v>
      </c>
      <c r="M314" s="25" t="str">
        <f t="shared" si="36"/>
        <v>2026-11-23 01:00:00</v>
      </c>
      <c r="N314" s="25" t="str">
        <f t="shared" si="37"/>
        <v>2026-11-30 00:00:01</v>
      </c>
    </row>
    <row r="315" spans="2:14" x14ac:dyDescent="0.3">
      <c r="B315" s="23">
        <f t="shared" si="38"/>
        <v>46356.041666666664</v>
      </c>
      <c r="C315" s="23">
        <f t="shared" si="39"/>
        <v>46363.000011574077</v>
      </c>
      <c r="H315" t="str">
        <f t="shared" si="32"/>
        <v>2026-11-30</v>
      </c>
      <c r="I315" t="str">
        <f t="shared" si="33"/>
        <v>2026-12-07</v>
      </c>
      <c r="J315" s="24" t="str">
        <f t="shared" si="34"/>
        <v>01:00:00</v>
      </c>
      <c r="K315" s="24" t="str">
        <f t="shared" si="35"/>
        <v>00:00:01</v>
      </c>
      <c r="M315" s="25" t="str">
        <f t="shared" si="36"/>
        <v>2026-11-30 01:00:00</v>
      </c>
      <c r="N315" s="25" t="str">
        <f t="shared" si="37"/>
        <v>2026-12-07 00:00:01</v>
      </c>
    </row>
    <row r="316" spans="2:14" x14ac:dyDescent="0.3">
      <c r="B316" s="23">
        <f t="shared" si="38"/>
        <v>46363.041666666664</v>
      </c>
      <c r="C316" s="23">
        <f t="shared" si="39"/>
        <v>46370.000011574077</v>
      </c>
      <c r="H316" t="str">
        <f t="shared" si="32"/>
        <v>2026-12-07</v>
      </c>
      <c r="I316" t="str">
        <f t="shared" si="33"/>
        <v>2026-12-14</v>
      </c>
      <c r="J316" s="24" t="str">
        <f t="shared" si="34"/>
        <v>01:00:00</v>
      </c>
      <c r="K316" s="24" t="str">
        <f t="shared" si="35"/>
        <v>00:00:01</v>
      </c>
      <c r="M316" s="25" t="str">
        <f t="shared" si="36"/>
        <v>2026-12-07 01:00:00</v>
      </c>
      <c r="N316" s="25" t="str">
        <f t="shared" si="37"/>
        <v>2026-12-14 00:00:01</v>
      </c>
    </row>
    <row r="317" spans="2:14" x14ac:dyDescent="0.3">
      <c r="B317" s="23">
        <f t="shared" si="38"/>
        <v>46370.041666666664</v>
      </c>
      <c r="C317" s="23">
        <f t="shared" si="39"/>
        <v>46377.000011574077</v>
      </c>
      <c r="H317" t="str">
        <f t="shared" si="32"/>
        <v>2026-12-14</v>
      </c>
      <c r="I317" t="str">
        <f t="shared" si="33"/>
        <v>2026-12-21</v>
      </c>
      <c r="J317" s="24" t="str">
        <f t="shared" si="34"/>
        <v>01:00:00</v>
      </c>
      <c r="K317" s="24" t="str">
        <f t="shared" si="35"/>
        <v>00:00:01</v>
      </c>
      <c r="M317" s="25" t="str">
        <f t="shared" si="36"/>
        <v>2026-12-14 01:00:00</v>
      </c>
      <c r="N317" s="25" t="str">
        <f t="shared" si="37"/>
        <v>2026-12-21 00:00:01</v>
      </c>
    </row>
    <row r="318" spans="2:14" x14ac:dyDescent="0.3">
      <c r="B318" s="23">
        <f t="shared" si="38"/>
        <v>46377.041666666664</v>
      </c>
      <c r="C318" s="23">
        <f t="shared" si="39"/>
        <v>46384.000011574077</v>
      </c>
      <c r="H318" t="str">
        <f t="shared" si="32"/>
        <v>2026-12-21</v>
      </c>
      <c r="I318" t="str">
        <f t="shared" si="33"/>
        <v>2026-12-28</v>
      </c>
      <c r="J318" s="24" t="str">
        <f t="shared" si="34"/>
        <v>01:00:00</v>
      </c>
      <c r="K318" s="24" t="str">
        <f t="shared" si="35"/>
        <v>00:00:01</v>
      </c>
      <c r="M318" s="25" t="str">
        <f t="shared" si="36"/>
        <v>2026-12-21 01:00:00</v>
      </c>
      <c r="N318" s="25" t="str">
        <f t="shared" si="37"/>
        <v>2026-12-28 00:00:01</v>
      </c>
    </row>
    <row r="319" spans="2:14" x14ac:dyDescent="0.3">
      <c r="B319" s="23">
        <f t="shared" si="38"/>
        <v>46384.041666666664</v>
      </c>
      <c r="C319" s="23">
        <f t="shared" si="39"/>
        <v>46391.000011574077</v>
      </c>
      <c r="H319" t="str">
        <f t="shared" si="32"/>
        <v>2026-12-28</v>
      </c>
      <c r="I319" t="str">
        <f t="shared" si="33"/>
        <v>2027-01-04</v>
      </c>
      <c r="J319" s="24" t="str">
        <f t="shared" si="34"/>
        <v>01:00:00</v>
      </c>
      <c r="K319" s="24" t="str">
        <f t="shared" si="35"/>
        <v>00:00:01</v>
      </c>
      <c r="M319" s="25" t="str">
        <f t="shared" si="36"/>
        <v>2026-12-28 01:00:00</v>
      </c>
      <c r="N319" s="25" t="str">
        <f t="shared" si="37"/>
        <v>2027-01-04 00:00:01</v>
      </c>
    </row>
    <row r="320" spans="2:14" x14ac:dyDescent="0.3">
      <c r="B320" s="23">
        <f t="shared" si="38"/>
        <v>46391.041666666664</v>
      </c>
      <c r="C320" s="23">
        <f t="shared" si="39"/>
        <v>46398.000011574077</v>
      </c>
      <c r="H320" t="str">
        <f t="shared" si="32"/>
        <v>2027-01-04</v>
      </c>
      <c r="I320" t="str">
        <f t="shared" si="33"/>
        <v>2027-01-11</v>
      </c>
      <c r="J320" s="24" t="str">
        <f t="shared" si="34"/>
        <v>01:00:00</v>
      </c>
      <c r="K320" s="24" t="str">
        <f t="shared" si="35"/>
        <v>00:00:01</v>
      </c>
      <c r="M320" s="25" t="str">
        <f t="shared" si="36"/>
        <v>2027-01-04 01:00:00</v>
      </c>
      <c r="N320" s="25" t="str">
        <f t="shared" si="37"/>
        <v>2027-01-11 00:00:01</v>
      </c>
    </row>
    <row r="321" spans="2:14" x14ac:dyDescent="0.3">
      <c r="B321" s="23">
        <f t="shared" si="38"/>
        <v>46398.041666666664</v>
      </c>
      <c r="C321" s="23">
        <f t="shared" si="39"/>
        <v>46405.000011574077</v>
      </c>
      <c r="H321" t="str">
        <f t="shared" si="32"/>
        <v>2027-01-11</v>
      </c>
      <c r="I321" t="str">
        <f t="shared" si="33"/>
        <v>2027-01-18</v>
      </c>
      <c r="J321" s="24" t="str">
        <f t="shared" si="34"/>
        <v>01:00:00</v>
      </c>
      <c r="K321" s="24" t="str">
        <f t="shared" si="35"/>
        <v>00:00:01</v>
      </c>
      <c r="M321" s="25" t="str">
        <f t="shared" si="36"/>
        <v>2027-01-11 01:00:00</v>
      </c>
      <c r="N321" s="25" t="str">
        <f t="shared" si="37"/>
        <v>2027-01-18 00:00:01</v>
      </c>
    </row>
    <row r="322" spans="2:14" x14ac:dyDescent="0.3">
      <c r="B322" s="23">
        <f t="shared" si="38"/>
        <v>46405.041666666664</v>
      </c>
      <c r="C322" s="23">
        <f t="shared" si="39"/>
        <v>46412.000011574077</v>
      </c>
      <c r="H322" t="str">
        <f t="shared" si="32"/>
        <v>2027-01-18</v>
      </c>
      <c r="I322" t="str">
        <f t="shared" si="33"/>
        <v>2027-01-25</v>
      </c>
      <c r="J322" s="24" t="str">
        <f t="shared" si="34"/>
        <v>01:00:00</v>
      </c>
      <c r="K322" s="24" t="str">
        <f t="shared" si="35"/>
        <v>00:00:01</v>
      </c>
      <c r="M322" s="25" t="str">
        <f t="shared" si="36"/>
        <v>2027-01-18 01:00:00</v>
      </c>
      <c r="N322" s="25" t="str">
        <f t="shared" si="37"/>
        <v>2027-01-25 00:00:01</v>
      </c>
    </row>
    <row r="323" spans="2:14" x14ac:dyDescent="0.3">
      <c r="B323" s="23">
        <f t="shared" si="38"/>
        <v>46412.041666666664</v>
      </c>
      <c r="C323" s="23">
        <f t="shared" si="39"/>
        <v>46419.000011574077</v>
      </c>
      <c r="H323" t="str">
        <f t="shared" si="32"/>
        <v>2027-01-25</v>
      </c>
      <c r="I323" t="str">
        <f t="shared" si="33"/>
        <v>2027-02-01</v>
      </c>
      <c r="J323" s="24" t="str">
        <f t="shared" si="34"/>
        <v>01:00:00</v>
      </c>
      <c r="K323" s="24" t="str">
        <f t="shared" si="35"/>
        <v>00:00:01</v>
      </c>
      <c r="M323" s="25" t="str">
        <f t="shared" si="36"/>
        <v>2027-01-25 01:00:00</v>
      </c>
      <c r="N323" s="25" t="str">
        <f t="shared" si="37"/>
        <v>2027-02-01 00:00:01</v>
      </c>
    </row>
    <row r="324" spans="2:14" x14ac:dyDescent="0.3">
      <c r="B324" s="23">
        <f t="shared" si="38"/>
        <v>46419.041666666664</v>
      </c>
      <c r="C324" s="23">
        <f t="shared" si="39"/>
        <v>46426.000011574077</v>
      </c>
      <c r="H324" t="str">
        <f t="shared" si="32"/>
        <v>2027-02-01</v>
      </c>
      <c r="I324" t="str">
        <f t="shared" si="33"/>
        <v>2027-02-08</v>
      </c>
      <c r="J324" s="24" t="str">
        <f t="shared" si="34"/>
        <v>01:00:00</v>
      </c>
      <c r="K324" s="24" t="str">
        <f t="shared" si="35"/>
        <v>00:00:01</v>
      </c>
      <c r="M324" s="25" t="str">
        <f t="shared" si="36"/>
        <v>2027-02-01 01:00:00</v>
      </c>
      <c r="N324" s="25" t="str">
        <f t="shared" si="37"/>
        <v>2027-02-08 00:00:01</v>
      </c>
    </row>
    <row r="325" spans="2:14" x14ac:dyDescent="0.3">
      <c r="B325" s="23">
        <f t="shared" si="38"/>
        <v>46426.041666666664</v>
      </c>
      <c r="C325" s="23">
        <f t="shared" si="39"/>
        <v>46433.000011574077</v>
      </c>
      <c r="H325" t="str">
        <f t="shared" si="32"/>
        <v>2027-02-08</v>
      </c>
      <c r="I325" t="str">
        <f t="shared" si="33"/>
        <v>2027-02-15</v>
      </c>
      <c r="J325" s="24" t="str">
        <f t="shared" si="34"/>
        <v>01:00:00</v>
      </c>
      <c r="K325" s="24" t="str">
        <f t="shared" si="35"/>
        <v>00:00:01</v>
      </c>
      <c r="M325" s="25" t="str">
        <f t="shared" si="36"/>
        <v>2027-02-08 01:00:00</v>
      </c>
      <c r="N325" s="25" t="str">
        <f t="shared" si="37"/>
        <v>2027-02-15 00:00:01</v>
      </c>
    </row>
    <row r="326" spans="2:14" x14ac:dyDescent="0.3">
      <c r="B326" s="23">
        <f t="shared" si="38"/>
        <v>46433.041666666664</v>
      </c>
      <c r="C326" s="23">
        <f t="shared" si="39"/>
        <v>46440.000011574077</v>
      </c>
      <c r="H326" t="str">
        <f t="shared" si="32"/>
        <v>2027-02-15</v>
      </c>
      <c r="I326" t="str">
        <f t="shared" si="33"/>
        <v>2027-02-22</v>
      </c>
      <c r="J326" s="24" t="str">
        <f t="shared" si="34"/>
        <v>01:00:00</v>
      </c>
      <c r="K326" s="24" t="str">
        <f t="shared" si="35"/>
        <v>00:00:01</v>
      </c>
      <c r="M326" s="25" t="str">
        <f t="shared" si="36"/>
        <v>2027-02-15 01:00:00</v>
      </c>
      <c r="N326" s="25" t="str">
        <f t="shared" si="37"/>
        <v>2027-02-22 00:00:01</v>
      </c>
    </row>
    <row r="327" spans="2:14" x14ac:dyDescent="0.3">
      <c r="B327" s="23">
        <f t="shared" si="38"/>
        <v>46440.041666666664</v>
      </c>
      <c r="C327" s="23">
        <f t="shared" si="39"/>
        <v>46447.000011574077</v>
      </c>
      <c r="H327" t="str">
        <f t="shared" si="32"/>
        <v>2027-02-22</v>
      </c>
      <c r="I327" t="str">
        <f t="shared" si="33"/>
        <v>2027-03-01</v>
      </c>
      <c r="J327" s="24" t="str">
        <f t="shared" si="34"/>
        <v>01:00:00</v>
      </c>
      <c r="K327" s="24" t="str">
        <f t="shared" si="35"/>
        <v>00:00:01</v>
      </c>
      <c r="M327" s="25" t="str">
        <f t="shared" si="36"/>
        <v>2027-02-22 01:00:00</v>
      </c>
      <c r="N327" s="25" t="str">
        <f t="shared" si="37"/>
        <v>2027-03-01 00:00:01</v>
      </c>
    </row>
    <row r="328" spans="2:14" x14ac:dyDescent="0.3">
      <c r="B328" s="23">
        <f t="shared" si="38"/>
        <v>46447.041666666664</v>
      </c>
      <c r="C328" s="23">
        <f t="shared" si="39"/>
        <v>46454.000011574077</v>
      </c>
      <c r="H328" t="str">
        <f t="shared" ref="H328:H391" si="40">TEXT(B328,"yyyy-mm-dd")</f>
        <v>2027-03-01</v>
      </c>
      <c r="I328" t="str">
        <f t="shared" ref="I328:I391" si="41">TEXT(C328,"yyyy-mm-dd")</f>
        <v>2027-03-08</v>
      </c>
      <c r="J328" s="24" t="str">
        <f t="shared" ref="J328:J391" si="42">TEXT(B328,"hh:mm:ss")</f>
        <v>01:00:00</v>
      </c>
      <c r="K328" s="24" t="str">
        <f t="shared" ref="K328:K391" si="43">TEXT(C328,"hh:mm:ss")</f>
        <v>00:00:01</v>
      </c>
      <c r="M328" s="25" t="str">
        <f t="shared" ref="M328:M391" si="44">CONCATENATE(H328," ",J328)</f>
        <v>2027-03-01 01:00:00</v>
      </c>
      <c r="N328" s="25" t="str">
        <f t="shared" ref="N328:N391" si="45">CONCATENATE(I328," ",K328)</f>
        <v>2027-03-08 00:00:01</v>
      </c>
    </row>
    <row r="329" spans="2:14" x14ac:dyDescent="0.3">
      <c r="B329" s="23">
        <f t="shared" ref="B329:B392" si="46">C328+TIME($F$3,0,0)-TIME(0,0,1)</f>
        <v>46454.041666666664</v>
      </c>
      <c r="C329" s="23">
        <f t="shared" ref="C329:C392" si="47">B329+$E$3-TIME($F$3,0,0)+TIME(0,0,1)</f>
        <v>46461.000011574077</v>
      </c>
      <c r="H329" t="str">
        <f t="shared" si="40"/>
        <v>2027-03-08</v>
      </c>
      <c r="I329" t="str">
        <f t="shared" si="41"/>
        <v>2027-03-15</v>
      </c>
      <c r="J329" s="24" t="str">
        <f t="shared" si="42"/>
        <v>01:00:00</v>
      </c>
      <c r="K329" s="24" t="str">
        <f t="shared" si="43"/>
        <v>00:00:01</v>
      </c>
      <c r="M329" s="25" t="str">
        <f t="shared" si="44"/>
        <v>2027-03-08 01:00:00</v>
      </c>
      <c r="N329" s="25" t="str">
        <f t="shared" si="45"/>
        <v>2027-03-15 00:00:01</v>
      </c>
    </row>
    <row r="330" spans="2:14" x14ac:dyDescent="0.3">
      <c r="B330" s="23">
        <f t="shared" si="46"/>
        <v>46461.041666666664</v>
      </c>
      <c r="C330" s="23">
        <f t="shared" si="47"/>
        <v>46468.000011574077</v>
      </c>
      <c r="H330" t="str">
        <f t="shared" si="40"/>
        <v>2027-03-15</v>
      </c>
      <c r="I330" t="str">
        <f t="shared" si="41"/>
        <v>2027-03-22</v>
      </c>
      <c r="J330" s="24" t="str">
        <f t="shared" si="42"/>
        <v>01:00:00</v>
      </c>
      <c r="K330" s="24" t="str">
        <f t="shared" si="43"/>
        <v>00:00:01</v>
      </c>
      <c r="M330" s="25" t="str">
        <f t="shared" si="44"/>
        <v>2027-03-15 01:00:00</v>
      </c>
      <c r="N330" s="25" t="str">
        <f t="shared" si="45"/>
        <v>2027-03-22 00:00:01</v>
      </c>
    </row>
    <row r="331" spans="2:14" x14ac:dyDescent="0.3">
      <c r="B331" s="23">
        <f t="shared" si="46"/>
        <v>46468.041666666664</v>
      </c>
      <c r="C331" s="23">
        <f t="shared" si="47"/>
        <v>46475.000011574077</v>
      </c>
      <c r="H331" t="str">
        <f t="shared" si="40"/>
        <v>2027-03-22</v>
      </c>
      <c r="I331" t="str">
        <f t="shared" si="41"/>
        <v>2027-03-29</v>
      </c>
      <c r="J331" s="24" t="str">
        <f t="shared" si="42"/>
        <v>01:00:00</v>
      </c>
      <c r="K331" s="24" t="str">
        <f t="shared" si="43"/>
        <v>00:00:01</v>
      </c>
      <c r="M331" s="25" t="str">
        <f t="shared" si="44"/>
        <v>2027-03-22 01:00:00</v>
      </c>
      <c r="N331" s="25" t="str">
        <f t="shared" si="45"/>
        <v>2027-03-29 00:00:01</v>
      </c>
    </row>
    <row r="332" spans="2:14" x14ac:dyDescent="0.3">
      <c r="B332" s="23">
        <f t="shared" si="46"/>
        <v>46475.041666666664</v>
      </c>
      <c r="C332" s="23">
        <f t="shared" si="47"/>
        <v>46482.000011574077</v>
      </c>
      <c r="H332" t="str">
        <f t="shared" si="40"/>
        <v>2027-03-29</v>
      </c>
      <c r="I332" t="str">
        <f t="shared" si="41"/>
        <v>2027-04-05</v>
      </c>
      <c r="J332" s="24" t="str">
        <f t="shared" si="42"/>
        <v>01:00:00</v>
      </c>
      <c r="K332" s="24" t="str">
        <f t="shared" si="43"/>
        <v>00:00:01</v>
      </c>
      <c r="M332" s="25" t="str">
        <f t="shared" si="44"/>
        <v>2027-03-29 01:00:00</v>
      </c>
      <c r="N332" s="25" t="str">
        <f t="shared" si="45"/>
        <v>2027-04-05 00:00:01</v>
      </c>
    </row>
    <row r="333" spans="2:14" x14ac:dyDescent="0.3">
      <c r="B333" s="23">
        <f t="shared" si="46"/>
        <v>46482.041666666664</v>
      </c>
      <c r="C333" s="23">
        <f t="shared" si="47"/>
        <v>46489.000011574077</v>
      </c>
      <c r="H333" t="str">
        <f t="shared" si="40"/>
        <v>2027-04-05</v>
      </c>
      <c r="I333" t="str">
        <f t="shared" si="41"/>
        <v>2027-04-12</v>
      </c>
      <c r="J333" s="24" t="str">
        <f t="shared" si="42"/>
        <v>01:00:00</v>
      </c>
      <c r="K333" s="24" t="str">
        <f t="shared" si="43"/>
        <v>00:00:01</v>
      </c>
      <c r="M333" s="25" t="str">
        <f t="shared" si="44"/>
        <v>2027-04-05 01:00:00</v>
      </c>
      <c r="N333" s="25" t="str">
        <f t="shared" si="45"/>
        <v>2027-04-12 00:00:01</v>
      </c>
    </row>
    <row r="334" spans="2:14" x14ac:dyDescent="0.3">
      <c r="B334" s="23">
        <f t="shared" si="46"/>
        <v>46489.041666666664</v>
      </c>
      <c r="C334" s="23">
        <f t="shared" si="47"/>
        <v>46496.000011574077</v>
      </c>
      <c r="H334" t="str">
        <f t="shared" si="40"/>
        <v>2027-04-12</v>
      </c>
      <c r="I334" t="str">
        <f t="shared" si="41"/>
        <v>2027-04-19</v>
      </c>
      <c r="J334" s="24" t="str">
        <f t="shared" si="42"/>
        <v>01:00:00</v>
      </c>
      <c r="K334" s="24" t="str">
        <f t="shared" si="43"/>
        <v>00:00:01</v>
      </c>
      <c r="M334" s="25" t="str">
        <f t="shared" si="44"/>
        <v>2027-04-12 01:00:00</v>
      </c>
      <c r="N334" s="25" t="str">
        <f t="shared" si="45"/>
        <v>2027-04-19 00:00:01</v>
      </c>
    </row>
    <row r="335" spans="2:14" x14ac:dyDescent="0.3">
      <c r="B335" s="23">
        <f t="shared" si="46"/>
        <v>46496.041666666664</v>
      </c>
      <c r="C335" s="23">
        <f t="shared" si="47"/>
        <v>46503.000011574077</v>
      </c>
      <c r="H335" t="str">
        <f t="shared" si="40"/>
        <v>2027-04-19</v>
      </c>
      <c r="I335" t="str">
        <f t="shared" si="41"/>
        <v>2027-04-26</v>
      </c>
      <c r="J335" s="24" t="str">
        <f t="shared" si="42"/>
        <v>01:00:00</v>
      </c>
      <c r="K335" s="24" t="str">
        <f t="shared" si="43"/>
        <v>00:00:01</v>
      </c>
      <c r="M335" s="25" t="str">
        <f t="shared" si="44"/>
        <v>2027-04-19 01:00:00</v>
      </c>
      <c r="N335" s="25" t="str">
        <f t="shared" si="45"/>
        <v>2027-04-26 00:00:01</v>
      </c>
    </row>
    <row r="336" spans="2:14" x14ac:dyDescent="0.3">
      <c r="B336" s="23">
        <f t="shared" si="46"/>
        <v>46503.041666666664</v>
      </c>
      <c r="C336" s="23">
        <f t="shared" si="47"/>
        <v>46510.000011574077</v>
      </c>
      <c r="H336" t="str">
        <f t="shared" si="40"/>
        <v>2027-04-26</v>
      </c>
      <c r="I336" t="str">
        <f t="shared" si="41"/>
        <v>2027-05-03</v>
      </c>
      <c r="J336" s="24" t="str">
        <f t="shared" si="42"/>
        <v>01:00:00</v>
      </c>
      <c r="K336" s="24" t="str">
        <f t="shared" si="43"/>
        <v>00:00:01</v>
      </c>
      <c r="M336" s="25" t="str">
        <f t="shared" si="44"/>
        <v>2027-04-26 01:00:00</v>
      </c>
      <c r="N336" s="25" t="str">
        <f t="shared" si="45"/>
        <v>2027-05-03 00:00:01</v>
      </c>
    </row>
    <row r="337" spans="2:14" x14ac:dyDescent="0.3">
      <c r="B337" s="23">
        <f t="shared" si="46"/>
        <v>46510.041666666664</v>
      </c>
      <c r="C337" s="23">
        <f t="shared" si="47"/>
        <v>46517.000011574077</v>
      </c>
      <c r="H337" t="str">
        <f t="shared" si="40"/>
        <v>2027-05-03</v>
      </c>
      <c r="I337" t="str">
        <f t="shared" si="41"/>
        <v>2027-05-10</v>
      </c>
      <c r="J337" s="24" t="str">
        <f t="shared" si="42"/>
        <v>01:00:00</v>
      </c>
      <c r="K337" s="24" t="str">
        <f t="shared" si="43"/>
        <v>00:00:01</v>
      </c>
      <c r="M337" s="25" t="str">
        <f t="shared" si="44"/>
        <v>2027-05-03 01:00:00</v>
      </c>
      <c r="N337" s="25" t="str">
        <f t="shared" si="45"/>
        <v>2027-05-10 00:00:01</v>
      </c>
    </row>
    <row r="338" spans="2:14" x14ac:dyDescent="0.3">
      <c r="B338" s="23">
        <f t="shared" si="46"/>
        <v>46517.041666666664</v>
      </c>
      <c r="C338" s="23">
        <f t="shared" si="47"/>
        <v>46524.000011574077</v>
      </c>
      <c r="H338" t="str">
        <f t="shared" si="40"/>
        <v>2027-05-10</v>
      </c>
      <c r="I338" t="str">
        <f t="shared" si="41"/>
        <v>2027-05-17</v>
      </c>
      <c r="J338" s="24" t="str">
        <f t="shared" si="42"/>
        <v>01:00:00</v>
      </c>
      <c r="K338" s="24" t="str">
        <f t="shared" si="43"/>
        <v>00:00:01</v>
      </c>
      <c r="M338" s="25" t="str">
        <f t="shared" si="44"/>
        <v>2027-05-10 01:00:00</v>
      </c>
      <c r="N338" s="25" t="str">
        <f t="shared" si="45"/>
        <v>2027-05-17 00:00:01</v>
      </c>
    </row>
    <row r="339" spans="2:14" x14ac:dyDescent="0.3">
      <c r="B339" s="23">
        <f t="shared" si="46"/>
        <v>46524.041666666664</v>
      </c>
      <c r="C339" s="23">
        <f t="shared" si="47"/>
        <v>46531.000011574077</v>
      </c>
      <c r="H339" t="str">
        <f t="shared" si="40"/>
        <v>2027-05-17</v>
      </c>
      <c r="I339" t="str">
        <f t="shared" si="41"/>
        <v>2027-05-24</v>
      </c>
      <c r="J339" s="24" t="str">
        <f t="shared" si="42"/>
        <v>01:00:00</v>
      </c>
      <c r="K339" s="24" t="str">
        <f t="shared" si="43"/>
        <v>00:00:01</v>
      </c>
      <c r="M339" s="25" t="str">
        <f t="shared" si="44"/>
        <v>2027-05-17 01:00:00</v>
      </c>
      <c r="N339" s="25" t="str">
        <f t="shared" si="45"/>
        <v>2027-05-24 00:00:01</v>
      </c>
    </row>
    <row r="340" spans="2:14" x14ac:dyDescent="0.3">
      <c r="B340" s="23">
        <f t="shared" si="46"/>
        <v>46531.041666666664</v>
      </c>
      <c r="C340" s="23">
        <f t="shared" si="47"/>
        <v>46538.000011574077</v>
      </c>
      <c r="H340" t="str">
        <f t="shared" si="40"/>
        <v>2027-05-24</v>
      </c>
      <c r="I340" t="str">
        <f t="shared" si="41"/>
        <v>2027-05-31</v>
      </c>
      <c r="J340" s="24" t="str">
        <f t="shared" si="42"/>
        <v>01:00:00</v>
      </c>
      <c r="K340" s="24" t="str">
        <f t="shared" si="43"/>
        <v>00:00:01</v>
      </c>
      <c r="M340" s="25" t="str">
        <f t="shared" si="44"/>
        <v>2027-05-24 01:00:00</v>
      </c>
      <c r="N340" s="25" t="str">
        <f t="shared" si="45"/>
        <v>2027-05-31 00:00:01</v>
      </c>
    </row>
    <row r="341" spans="2:14" x14ac:dyDescent="0.3">
      <c r="B341" s="23">
        <f t="shared" si="46"/>
        <v>46538.041666666664</v>
      </c>
      <c r="C341" s="23">
        <f t="shared" si="47"/>
        <v>46545.000011574077</v>
      </c>
      <c r="H341" t="str">
        <f t="shared" si="40"/>
        <v>2027-05-31</v>
      </c>
      <c r="I341" t="str">
        <f t="shared" si="41"/>
        <v>2027-06-07</v>
      </c>
      <c r="J341" s="24" t="str">
        <f t="shared" si="42"/>
        <v>01:00:00</v>
      </c>
      <c r="K341" s="24" t="str">
        <f t="shared" si="43"/>
        <v>00:00:01</v>
      </c>
      <c r="M341" s="25" t="str">
        <f t="shared" si="44"/>
        <v>2027-05-31 01:00:00</v>
      </c>
      <c r="N341" s="25" t="str">
        <f t="shared" si="45"/>
        <v>2027-06-07 00:00:01</v>
      </c>
    </row>
    <row r="342" spans="2:14" x14ac:dyDescent="0.3">
      <c r="B342" s="23">
        <f t="shared" si="46"/>
        <v>46545.041666666664</v>
      </c>
      <c r="C342" s="23">
        <f t="shared" si="47"/>
        <v>46552.000011574077</v>
      </c>
      <c r="H342" t="str">
        <f t="shared" si="40"/>
        <v>2027-06-07</v>
      </c>
      <c r="I342" t="str">
        <f t="shared" si="41"/>
        <v>2027-06-14</v>
      </c>
      <c r="J342" s="24" t="str">
        <f t="shared" si="42"/>
        <v>01:00:00</v>
      </c>
      <c r="K342" s="24" t="str">
        <f t="shared" si="43"/>
        <v>00:00:01</v>
      </c>
      <c r="M342" s="25" t="str">
        <f t="shared" si="44"/>
        <v>2027-06-07 01:00:00</v>
      </c>
      <c r="N342" s="25" t="str">
        <f t="shared" si="45"/>
        <v>2027-06-14 00:00:01</v>
      </c>
    </row>
    <row r="343" spans="2:14" x14ac:dyDescent="0.3">
      <c r="B343" s="23">
        <f t="shared" si="46"/>
        <v>46552.041666666664</v>
      </c>
      <c r="C343" s="23">
        <f t="shared" si="47"/>
        <v>46559.000011574077</v>
      </c>
      <c r="H343" t="str">
        <f t="shared" si="40"/>
        <v>2027-06-14</v>
      </c>
      <c r="I343" t="str">
        <f t="shared" si="41"/>
        <v>2027-06-21</v>
      </c>
      <c r="J343" s="24" t="str">
        <f t="shared" si="42"/>
        <v>01:00:00</v>
      </c>
      <c r="K343" s="24" t="str">
        <f t="shared" si="43"/>
        <v>00:00:01</v>
      </c>
      <c r="M343" s="25" t="str">
        <f t="shared" si="44"/>
        <v>2027-06-14 01:00:00</v>
      </c>
      <c r="N343" s="25" t="str">
        <f t="shared" si="45"/>
        <v>2027-06-21 00:00:01</v>
      </c>
    </row>
    <row r="344" spans="2:14" x14ac:dyDescent="0.3">
      <c r="B344" s="23">
        <f t="shared" si="46"/>
        <v>46559.041666666664</v>
      </c>
      <c r="C344" s="23">
        <f t="shared" si="47"/>
        <v>46566.000011574077</v>
      </c>
      <c r="H344" t="str">
        <f t="shared" si="40"/>
        <v>2027-06-21</v>
      </c>
      <c r="I344" t="str">
        <f t="shared" si="41"/>
        <v>2027-06-28</v>
      </c>
      <c r="J344" s="24" t="str">
        <f t="shared" si="42"/>
        <v>01:00:00</v>
      </c>
      <c r="K344" s="24" t="str">
        <f t="shared" si="43"/>
        <v>00:00:01</v>
      </c>
      <c r="M344" s="25" t="str">
        <f t="shared" si="44"/>
        <v>2027-06-21 01:00:00</v>
      </c>
      <c r="N344" s="25" t="str">
        <f t="shared" si="45"/>
        <v>2027-06-28 00:00:01</v>
      </c>
    </row>
    <row r="345" spans="2:14" x14ac:dyDescent="0.3">
      <c r="B345" s="23">
        <f t="shared" si="46"/>
        <v>46566.041666666664</v>
      </c>
      <c r="C345" s="23">
        <f t="shared" si="47"/>
        <v>46573.000011574077</v>
      </c>
      <c r="H345" t="str">
        <f t="shared" si="40"/>
        <v>2027-06-28</v>
      </c>
      <c r="I345" t="str">
        <f t="shared" si="41"/>
        <v>2027-07-05</v>
      </c>
      <c r="J345" s="24" t="str">
        <f t="shared" si="42"/>
        <v>01:00:00</v>
      </c>
      <c r="K345" s="24" t="str">
        <f t="shared" si="43"/>
        <v>00:00:01</v>
      </c>
      <c r="M345" s="25" t="str">
        <f t="shared" si="44"/>
        <v>2027-06-28 01:00:00</v>
      </c>
      <c r="N345" s="25" t="str">
        <f t="shared" si="45"/>
        <v>2027-07-05 00:00:01</v>
      </c>
    </row>
    <row r="346" spans="2:14" x14ac:dyDescent="0.3">
      <c r="B346" s="23">
        <f t="shared" si="46"/>
        <v>46573.041666666664</v>
      </c>
      <c r="C346" s="23">
        <f t="shared" si="47"/>
        <v>46580.000011574077</v>
      </c>
      <c r="H346" t="str">
        <f t="shared" si="40"/>
        <v>2027-07-05</v>
      </c>
      <c r="I346" t="str">
        <f t="shared" si="41"/>
        <v>2027-07-12</v>
      </c>
      <c r="J346" s="24" t="str">
        <f t="shared" si="42"/>
        <v>01:00:00</v>
      </c>
      <c r="K346" s="24" t="str">
        <f t="shared" si="43"/>
        <v>00:00:01</v>
      </c>
      <c r="M346" s="25" t="str">
        <f t="shared" si="44"/>
        <v>2027-07-05 01:00:00</v>
      </c>
      <c r="N346" s="25" t="str">
        <f t="shared" si="45"/>
        <v>2027-07-12 00:00:01</v>
      </c>
    </row>
    <row r="347" spans="2:14" x14ac:dyDescent="0.3">
      <c r="B347" s="23">
        <f t="shared" si="46"/>
        <v>46580.041666666664</v>
      </c>
      <c r="C347" s="23">
        <f t="shared" si="47"/>
        <v>46587.000011574077</v>
      </c>
      <c r="H347" t="str">
        <f t="shared" si="40"/>
        <v>2027-07-12</v>
      </c>
      <c r="I347" t="str">
        <f t="shared" si="41"/>
        <v>2027-07-19</v>
      </c>
      <c r="J347" s="24" t="str">
        <f t="shared" si="42"/>
        <v>01:00:00</v>
      </c>
      <c r="K347" s="24" t="str">
        <f t="shared" si="43"/>
        <v>00:00:01</v>
      </c>
      <c r="M347" s="25" t="str">
        <f t="shared" si="44"/>
        <v>2027-07-12 01:00:00</v>
      </c>
      <c r="N347" s="25" t="str">
        <f t="shared" si="45"/>
        <v>2027-07-19 00:00:01</v>
      </c>
    </row>
    <row r="348" spans="2:14" x14ac:dyDescent="0.3">
      <c r="B348" s="23">
        <f t="shared" si="46"/>
        <v>46587.041666666664</v>
      </c>
      <c r="C348" s="23">
        <f t="shared" si="47"/>
        <v>46594.000011574077</v>
      </c>
      <c r="H348" t="str">
        <f t="shared" si="40"/>
        <v>2027-07-19</v>
      </c>
      <c r="I348" t="str">
        <f t="shared" si="41"/>
        <v>2027-07-26</v>
      </c>
      <c r="J348" s="24" t="str">
        <f t="shared" si="42"/>
        <v>01:00:00</v>
      </c>
      <c r="K348" s="24" t="str">
        <f t="shared" si="43"/>
        <v>00:00:01</v>
      </c>
      <c r="M348" s="25" t="str">
        <f t="shared" si="44"/>
        <v>2027-07-19 01:00:00</v>
      </c>
      <c r="N348" s="25" t="str">
        <f t="shared" si="45"/>
        <v>2027-07-26 00:00:01</v>
      </c>
    </row>
    <row r="349" spans="2:14" x14ac:dyDescent="0.3">
      <c r="B349" s="23">
        <f t="shared" si="46"/>
        <v>46594.041666666664</v>
      </c>
      <c r="C349" s="23">
        <f t="shared" si="47"/>
        <v>46601.000011574077</v>
      </c>
      <c r="H349" t="str">
        <f t="shared" si="40"/>
        <v>2027-07-26</v>
      </c>
      <c r="I349" t="str">
        <f t="shared" si="41"/>
        <v>2027-08-02</v>
      </c>
      <c r="J349" s="24" t="str">
        <f t="shared" si="42"/>
        <v>01:00:00</v>
      </c>
      <c r="K349" s="24" t="str">
        <f t="shared" si="43"/>
        <v>00:00:01</v>
      </c>
      <c r="M349" s="25" t="str">
        <f t="shared" si="44"/>
        <v>2027-07-26 01:00:00</v>
      </c>
      <c r="N349" s="25" t="str">
        <f t="shared" si="45"/>
        <v>2027-08-02 00:00:01</v>
      </c>
    </row>
    <row r="350" spans="2:14" x14ac:dyDescent="0.3">
      <c r="B350" s="23">
        <f t="shared" si="46"/>
        <v>46601.041666666664</v>
      </c>
      <c r="C350" s="23">
        <f t="shared" si="47"/>
        <v>46608.000011574077</v>
      </c>
      <c r="H350" t="str">
        <f t="shared" si="40"/>
        <v>2027-08-02</v>
      </c>
      <c r="I350" t="str">
        <f t="shared" si="41"/>
        <v>2027-08-09</v>
      </c>
      <c r="J350" s="24" t="str">
        <f t="shared" si="42"/>
        <v>01:00:00</v>
      </c>
      <c r="K350" s="24" t="str">
        <f t="shared" si="43"/>
        <v>00:00:01</v>
      </c>
      <c r="M350" s="25" t="str">
        <f t="shared" si="44"/>
        <v>2027-08-02 01:00:00</v>
      </c>
      <c r="N350" s="25" t="str">
        <f t="shared" si="45"/>
        <v>2027-08-09 00:00:01</v>
      </c>
    </row>
    <row r="351" spans="2:14" x14ac:dyDescent="0.3">
      <c r="B351" s="23">
        <f t="shared" si="46"/>
        <v>46608.041666666664</v>
      </c>
      <c r="C351" s="23">
        <f t="shared" si="47"/>
        <v>46615.000011574077</v>
      </c>
      <c r="H351" t="str">
        <f t="shared" si="40"/>
        <v>2027-08-09</v>
      </c>
      <c r="I351" t="str">
        <f t="shared" si="41"/>
        <v>2027-08-16</v>
      </c>
      <c r="J351" s="24" t="str">
        <f t="shared" si="42"/>
        <v>01:00:00</v>
      </c>
      <c r="K351" s="24" t="str">
        <f t="shared" si="43"/>
        <v>00:00:01</v>
      </c>
      <c r="M351" s="25" t="str">
        <f t="shared" si="44"/>
        <v>2027-08-09 01:00:00</v>
      </c>
      <c r="N351" s="25" t="str">
        <f t="shared" si="45"/>
        <v>2027-08-16 00:00:01</v>
      </c>
    </row>
    <row r="352" spans="2:14" x14ac:dyDescent="0.3">
      <c r="B352" s="23">
        <f t="shared" si="46"/>
        <v>46615.041666666664</v>
      </c>
      <c r="C352" s="23">
        <f t="shared" si="47"/>
        <v>46622.000011574077</v>
      </c>
      <c r="H352" t="str">
        <f t="shared" si="40"/>
        <v>2027-08-16</v>
      </c>
      <c r="I352" t="str">
        <f t="shared" si="41"/>
        <v>2027-08-23</v>
      </c>
      <c r="J352" s="24" t="str">
        <f t="shared" si="42"/>
        <v>01:00:00</v>
      </c>
      <c r="K352" s="24" t="str">
        <f t="shared" si="43"/>
        <v>00:00:01</v>
      </c>
      <c r="M352" s="25" t="str">
        <f t="shared" si="44"/>
        <v>2027-08-16 01:00:00</v>
      </c>
      <c r="N352" s="25" t="str">
        <f t="shared" si="45"/>
        <v>2027-08-23 00:00:01</v>
      </c>
    </row>
    <row r="353" spans="2:14" x14ac:dyDescent="0.3">
      <c r="B353" s="23">
        <f t="shared" si="46"/>
        <v>46622.041666666664</v>
      </c>
      <c r="C353" s="23">
        <f t="shared" si="47"/>
        <v>46629.000011574077</v>
      </c>
      <c r="H353" t="str">
        <f t="shared" si="40"/>
        <v>2027-08-23</v>
      </c>
      <c r="I353" t="str">
        <f t="shared" si="41"/>
        <v>2027-08-30</v>
      </c>
      <c r="J353" s="24" t="str">
        <f t="shared" si="42"/>
        <v>01:00:00</v>
      </c>
      <c r="K353" s="24" t="str">
        <f t="shared" si="43"/>
        <v>00:00:01</v>
      </c>
      <c r="M353" s="25" t="str">
        <f t="shared" si="44"/>
        <v>2027-08-23 01:00:00</v>
      </c>
      <c r="N353" s="25" t="str">
        <f t="shared" si="45"/>
        <v>2027-08-30 00:00:01</v>
      </c>
    </row>
    <row r="354" spans="2:14" x14ac:dyDescent="0.3">
      <c r="B354" s="23">
        <f t="shared" si="46"/>
        <v>46629.041666666664</v>
      </c>
      <c r="C354" s="23">
        <f t="shared" si="47"/>
        <v>46636.000011574077</v>
      </c>
      <c r="H354" t="str">
        <f t="shared" si="40"/>
        <v>2027-08-30</v>
      </c>
      <c r="I354" t="str">
        <f t="shared" si="41"/>
        <v>2027-09-06</v>
      </c>
      <c r="J354" s="24" t="str">
        <f t="shared" si="42"/>
        <v>01:00:00</v>
      </c>
      <c r="K354" s="24" t="str">
        <f t="shared" si="43"/>
        <v>00:00:01</v>
      </c>
      <c r="M354" s="25" t="str">
        <f t="shared" si="44"/>
        <v>2027-08-30 01:00:00</v>
      </c>
      <c r="N354" s="25" t="str">
        <f t="shared" si="45"/>
        <v>2027-09-06 00:00:01</v>
      </c>
    </row>
    <row r="355" spans="2:14" x14ac:dyDescent="0.3">
      <c r="B355" s="23">
        <f t="shared" si="46"/>
        <v>46636.041666666664</v>
      </c>
      <c r="C355" s="23">
        <f t="shared" si="47"/>
        <v>46643.000011574077</v>
      </c>
      <c r="H355" t="str">
        <f t="shared" si="40"/>
        <v>2027-09-06</v>
      </c>
      <c r="I355" t="str">
        <f t="shared" si="41"/>
        <v>2027-09-13</v>
      </c>
      <c r="J355" s="24" t="str">
        <f t="shared" si="42"/>
        <v>01:00:00</v>
      </c>
      <c r="K355" s="24" t="str">
        <f t="shared" si="43"/>
        <v>00:00:01</v>
      </c>
      <c r="M355" s="25" t="str">
        <f t="shared" si="44"/>
        <v>2027-09-06 01:00:00</v>
      </c>
      <c r="N355" s="25" t="str">
        <f t="shared" si="45"/>
        <v>2027-09-13 00:00:01</v>
      </c>
    </row>
    <row r="356" spans="2:14" x14ac:dyDescent="0.3">
      <c r="B356" s="23">
        <f t="shared" si="46"/>
        <v>46643.041666666664</v>
      </c>
      <c r="C356" s="23">
        <f t="shared" si="47"/>
        <v>46650.000011574077</v>
      </c>
      <c r="H356" t="str">
        <f t="shared" si="40"/>
        <v>2027-09-13</v>
      </c>
      <c r="I356" t="str">
        <f t="shared" si="41"/>
        <v>2027-09-20</v>
      </c>
      <c r="J356" s="24" t="str">
        <f t="shared" si="42"/>
        <v>01:00:00</v>
      </c>
      <c r="K356" s="24" t="str">
        <f t="shared" si="43"/>
        <v>00:00:01</v>
      </c>
      <c r="M356" s="25" t="str">
        <f t="shared" si="44"/>
        <v>2027-09-13 01:00:00</v>
      </c>
      <c r="N356" s="25" t="str">
        <f t="shared" si="45"/>
        <v>2027-09-20 00:00:01</v>
      </c>
    </row>
    <row r="357" spans="2:14" x14ac:dyDescent="0.3">
      <c r="B357" s="23">
        <f t="shared" si="46"/>
        <v>46650.041666666664</v>
      </c>
      <c r="C357" s="23">
        <f t="shared" si="47"/>
        <v>46657.000011574077</v>
      </c>
      <c r="H357" t="str">
        <f t="shared" si="40"/>
        <v>2027-09-20</v>
      </c>
      <c r="I357" t="str">
        <f t="shared" si="41"/>
        <v>2027-09-27</v>
      </c>
      <c r="J357" s="24" t="str">
        <f t="shared" si="42"/>
        <v>01:00:00</v>
      </c>
      <c r="K357" s="24" t="str">
        <f t="shared" si="43"/>
        <v>00:00:01</v>
      </c>
      <c r="M357" s="25" t="str">
        <f t="shared" si="44"/>
        <v>2027-09-20 01:00:00</v>
      </c>
      <c r="N357" s="25" t="str">
        <f t="shared" si="45"/>
        <v>2027-09-27 00:00:01</v>
      </c>
    </row>
    <row r="358" spans="2:14" x14ac:dyDescent="0.3">
      <c r="B358" s="23">
        <f t="shared" si="46"/>
        <v>46657.041666666664</v>
      </c>
      <c r="C358" s="23">
        <f t="shared" si="47"/>
        <v>46664.000011574077</v>
      </c>
      <c r="H358" t="str">
        <f t="shared" si="40"/>
        <v>2027-09-27</v>
      </c>
      <c r="I358" t="str">
        <f t="shared" si="41"/>
        <v>2027-10-04</v>
      </c>
      <c r="J358" s="24" t="str">
        <f t="shared" si="42"/>
        <v>01:00:00</v>
      </c>
      <c r="K358" s="24" t="str">
        <f t="shared" si="43"/>
        <v>00:00:01</v>
      </c>
      <c r="M358" s="25" t="str">
        <f t="shared" si="44"/>
        <v>2027-09-27 01:00:00</v>
      </c>
      <c r="N358" s="25" t="str">
        <f t="shared" si="45"/>
        <v>2027-10-04 00:00:01</v>
      </c>
    </row>
    <row r="359" spans="2:14" x14ac:dyDescent="0.3">
      <c r="B359" s="23">
        <f t="shared" si="46"/>
        <v>46664.041666666664</v>
      </c>
      <c r="C359" s="23">
        <f t="shared" si="47"/>
        <v>46671.000011574077</v>
      </c>
      <c r="H359" t="str">
        <f t="shared" si="40"/>
        <v>2027-10-04</v>
      </c>
      <c r="I359" t="str">
        <f t="shared" si="41"/>
        <v>2027-10-11</v>
      </c>
      <c r="J359" s="24" t="str">
        <f t="shared" si="42"/>
        <v>01:00:00</v>
      </c>
      <c r="K359" s="24" t="str">
        <f t="shared" si="43"/>
        <v>00:00:01</v>
      </c>
      <c r="M359" s="25" t="str">
        <f t="shared" si="44"/>
        <v>2027-10-04 01:00:00</v>
      </c>
      <c r="N359" s="25" t="str">
        <f t="shared" si="45"/>
        <v>2027-10-11 00:00:01</v>
      </c>
    </row>
    <row r="360" spans="2:14" x14ac:dyDescent="0.3">
      <c r="B360" s="23">
        <f t="shared" si="46"/>
        <v>46671.041666666664</v>
      </c>
      <c r="C360" s="23">
        <f t="shared" si="47"/>
        <v>46678.000011574077</v>
      </c>
      <c r="H360" t="str">
        <f t="shared" si="40"/>
        <v>2027-10-11</v>
      </c>
      <c r="I360" t="str">
        <f t="shared" si="41"/>
        <v>2027-10-18</v>
      </c>
      <c r="J360" s="24" t="str">
        <f t="shared" si="42"/>
        <v>01:00:00</v>
      </c>
      <c r="K360" s="24" t="str">
        <f t="shared" si="43"/>
        <v>00:00:01</v>
      </c>
      <c r="M360" s="25" t="str">
        <f t="shared" si="44"/>
        <v>2027-10-11 01:00:00</v>
      </c>
      <c r="N360" s="25" t="str">
        <f t="shared" si="45"/>
        <v>2027-10-18 00:00:01</v>
      </c>
    </row>
    <row r="361" spans="2:14" x14ac:dyDescent="0.3">
      <c r="B361" s="23">
        <f t="shared" si="46"/>
        <v>46678.041666666664</v>
      </c>
      <c r="C361" s="23">
        <f t="shared" si="47"/>
        <v>46685.000011574077</v>
      </c>
      <c r="H361" t="str">
        <f t="shared" si="40"/>
        <v>2027-10-18</v>
      </c>
      <c r="I361" t="str">
        <f t="shared" si="41"/>
        <v>2027-10-25</v>
      </c>
      <c r="J361" s="24" t="str">
        <f t="shared" si="42"/>
        <v>01:00:00</v>
      </c>
      <c r="K361" s="24" t="str">
        <f t="shared" si="43"/>
        <v>00:00:01</v>
      </c>
      <c r="M361" s="25" t="str">
        <f t="shared" si="44"/>
        <v>2027-10-18 01:00:00</v>
      </c>
      <c r="N361" s="25" t="str">
        <f t="shared" si="45"/>
        <v>2027-10-25 00:00:01</v>
      </c>
    </row>
    <row r="362" spans="2:14" x14ac:dyDescent="0.3">
      <c r="B362" s="23">
        <f t="shared" si="46"/>
        <v>46685.041666666664</v>
      </c>
      <c r="C362" s="23">
        <f t="shared" si="47"/>
        <v>46692.000011574077</v>
      </c>
      <c r="H362" t="str">
        <f t="shared" si="40"/>
        <v>2027-10-25</v>
      </c>
      <c r="I362" t="str">
        <f t="shared" si="41"/>
        <v>2027-11-01</v>
      </c>
      <c r="J362" s="24" t="str">
        <f t="shared" si="42"/>
        <v>01:00:00</v>
      </c>
      <c r="K362" s="24" t="str">
        <f t="shared" si="43"/>
        <v>00:00:01</v>
      </c>
      <c r="M362" s="25" t="str">
        <f t="shared" si="44"/>
        <v>2027-10-25 01:00:00</v>
      </c>
      <c r="N362" s="25" t="str">
        <f t="shared" si="45"/>
        <v>2027-11-01 00:00:01</v>
      </c>
    </row>
    <row r="363" spans="2:14" x14ac:dyDescent="0.3">
      <c r="B363" s="23">
        <f t="shared" si="46"/>
        <v>46692.041666666664</v>
      </c>
      <c r="C363" s="23">
        <f t="shared" si="47"/>
        <v>46699.000011574077</v>
      </c>
      <c r="H363" t="str">
        <f t="shared" si="40"/>
        <v>2027-11-01</v>
      </c>
      <c r="I363" t="str">
        <f t="shared" si="41"/>
        <v>2027-11-08</v>
      </c>
      <c r="J363" s="24" t="str">
        <f t="shared" si="42"/>
        <v>01:00:00</v>
      </c>
      <c r="K363" s="24" t="str">
        <f t="shared" si="43"/>
        <v>00:00:01</v>
      </c>
      <c r="M363" s="25" t="str">
        <f t="shared" si="44"/>
        <v>2027-11-01 01:00:00</v>
      </c>
      <c r="N363" s="25" t="str">
        <f t="shared" si="45"/>
        <v>2027-11-08 00:00:01</v>
      </c>
    </row>
    <row r="364" spans="2:14" x14ac:dyDescent="0.3">
      <c r="B364" s="23">
        <f t="shared" si="46"/>
        <v>46699.041666666664</v>
      </c>
      <c r="C364" s="23">
        <f t="shared" si="47"/>
        <v>46706.000011574077</v>
      </c>
      <c r="H364" t="str">
        <f t="shared" si="40"/>
        <v>2027-11-08</v>
      </c>
      <c r="I364" t="str">
        <f t="shared" si="41"/>
        <v>2027-11-15</v>
      </c>
      <c r="J364" s="24" t="str">
        <f t="shared" si="42"/>
        <v>01:00:00</v>
      </c>
      <c r="K364" s="24" t="str">
        <f t="shared" si="43"/>
        <v>00:00:01</v>
      </c>
      <c r="M364" s="25" t="str">
        <f t="shared" si="44"/>
        <v>2027-11-08 01:00:00</v>
      </c>
      <c r="N364" s="25" t="str">
        <f t="shared" si="45"/>
        <v>2027-11-15 00:00:01</v>
      </c>
    </row>
    <row r="365" spans="2:14" x14ac:dyDescent="0.3">
      <c r="B365" s="23">
        <f t="shared" si="46"/>
        <v>46706.041666666664</v>
      </c>
      <c r="C365" s="23">
        <f t="shared" si="47"/>
        <v>46713.000011574077</v>
      </c>
      <c r="H365" t="str">
        <f t="shared" si="40"/>
        <v>2027-11-15</v>
      </c>
      <c r="I365" t="str">
        <f t="shared" si="41"/>
        <v>2027-11-22</v>
      </c>
      <c r="J365" s="24" t="str">
        <f t="shared" si="42"/>
        <v>01:00:00</v>
      </c>
      <c r="K365" s="24" t="str">
        <f t="shared" si="43"/>
        <v>00:00:01</v>
      </c>
      <c r="M365" s="25" t="str">
        <f t="shared" si="44"/>
        <v>2027-11-15 01:00:00</v>
      </c>
      <c r="N365" s="25" t="str">
        <f t="shared" si="45"/>
        <v>2027-11-22 00:00:01</v>
      </c>
    </row>
    <row r="366" spans="2:14" x14ac:dyDescent="0.3">
      <c r="B366" s="23">
        <f t="shared" si="46"/>
        <v>46713.041666666664</v>
      </c>
      <c r="C366" s="23">
        <f t="shared" si="47"/>
        <v>46720.000011574077</v>
      </c>
      <c r="H366" t="str">
        <f t="shared" si="40"/>
        <v>2027-11-22</v>
      </c>
      <c r="I366" t="str">
        <f t="shared" si="41"/>
        <v>2027-11-29</v>
      </c>
      <c r="J366" s="24" t="str">
        <f t="shared" si="42"/>
        <v>01:00:00</v>
      </c>
      <c r="K366" s="24" t="str">
        <f t="shared" si="43"/>
        <v>00:00:01</v>
      </c>
      <c r="M366" s="25" t="str">
        <f t="shared" si="44"/>
        <v>2027-11-22 01:00:00</v>
      </c>
      <c r="N366" s="25" t="str">
        <f t="shared" si="45"/>
        <v>2027-11-29 00:00:01</v>
      </c>
    </row>
    <row r="367" spans="2:14" x14ac:dyDescent="0.3">
      <c r="B367" s="23">
        <f t="shared" si="46"/>
        <v>46720.041666666664</v>
      </c>
      <c r="C367" s="23">
        <f t="shared" si="47"/>
        <v>46727.000011574077</v>
      </c>
      <c r="H367" t="str">
        <f t="shared" si="40"/>
        <v>2027-11-29</v>
      </c>
      <c r="I367" t="str">
        <f t="shared" si="41"/>
        <v>2027-12-06</v>
      </c>
      <c r="J367" s="24" t="str">
        <f t="shared" si="42"/>
        <v>01:00:00</v>
      </c>
      <c r="K367" s="24" t="str">
        <f t="shared" si="43"/>
        <v>00:00:01</v>
      </c>
      <c r="M367" s="25" t="str">
        <f t="shared" si="44"/>
        <v>2027-11-29 01:00:00</v>
      </c>
      <c r="N367" s="25" t="str">
        <f t="shared" si="45"/>
        <v>2027-12-06 00:00:01</v>
      </c>
    </row>
    <row r="368" spans="2:14" x14ac:dyDescent="0.3">
      <c r="B368" s="23">
        <f t="shared" si="46"/>
        <v>46727.041666666664</v>
      </c>
      <c r="C368" s="23">
        <f t="shared" si="47"/>
        <v>46734.000011574077</v>
      </c>
      <c r="H368" t="str">
        <f t="shared" si="40"/>
        <v>2027-12-06</v>
      </c>
      <c r="I368" t="str">
        <f t="shared" si="41"/>
        <v>2027-12-13</v>
      </c>
      <c r="J368" s="24" t="str">
        <f t="shared" si="42"/>
        <v>01:00:00</v>
      </c>
      <c r="K368" s="24" t="str">
        <f t="shared" si="43"/>
        <v>00:00:01</v>
      </c>
      <c r="M368" s="25" t="str">
        <f t="shared" si="44"/>
        <v>2027-12-06 01:00:00</v>
      </c>
      <c r="N368" s="25" t="str">
        <f t="shared" si="45"/>
        <v>2027-12-13 00:00:01</v>
      </c>
    </row>
    <row r="369" spans="2:14" x14ac:dyDescent="0.3">
      <c r="B369" s="23">
        <f t="shared" si="46"/>
        <v>46734.041666666664</v>
      </c>
      <c r="C369" s="23">
        <f t="shared" si="47"/>
        <v>46741.000011574077</v>
      </c>
      <c r="H369" t="str">
        <f t="shared" si="40"/>
        <v>2027-12-13</v>
      </c>
      <c r="I369" t="str">
        <f t="shared" si="41"/>
        <v>2027-12-20</v>
      </c>
      <c r="J369" s="24" t="str">
        <f t="shared" si="42"/>
        <v>01:00:00</v>
      </c>
      <c r="K369" s="24" t="str">
        <f t="shared" si="43"/>
        <v>00:00:01</v>
      </c>
      <c r="M369" s="25" t="str">
        <f t="shared" si="44"/>
        <v>2027-12-13 01:00:00</v>
      </c>
      <c r="N369" s="25" t="str">
        <f t="shared" si="45"/>
        <v>2027-12-20 00:00:01</v>
      </c>
    </row>
    <row r="370" spans="2:14" x14ac:dyDescent="0.3">
      <c r="B370" s="23">
        <f t="shared" si="46"/>
        <v>46741.041666666664</v>
      </c>
      <c r="C370" s="23">
        <f t="shared" si="47"/>
        <v>46748.000011574077</v>
      </c>
      <c r="H370" t="str">
        <f t="shared" si="40"/>
        <v>2027-12-20</v>
      </c>
      <c r="I370" t="str">
        <f t="shared" si="41"/>
        <v>2027-12-27</v>
      </c>
      <c r="J370" s="24" t="str">
        <f t="shared" si="42"/>
        <v>01:00:00</v>
      </c>
      <c r="K370" s="24" t="str">
        <f t="shared" si="43"/>
        <v>00:00:01</v>
      </c>
      <c r="M370" s="25" t="str">
        <f t="shared" si="44"/>
        <v>2027-12-20 01:00:00</v>
      </c>
      <c r="N370" s="25" t="str">
        <f t="shared" si="45"/>
        <v>2027-12-27 00:00:01</v>
      </c>
    </row>
    <row r="371" spans="2:14" x14ac:dyDescent="0.3">
      <c r="B371" s="23">
        <f t="shared" si="46"/>
        <v>46748.041666666664</v>
      </c>
      <c r="C371" s="23">
        <f t="shared" si="47"/>
        <v>46755.000011574077</v>
      </c>
      <c r="H371" t="str">
        <f t="shared" si="40"/>
        <v>2027-12-27</v>
      </c>
      <c r="I371" t="str">
        <f t="shared" si="41"/>
        <v>2028-01-03</v>
      </c>
      <c r="J371" s="24" t="str">
        <f t="shared" si="42"/>
        <v>01:00:00</v>
      </c>
      <c r="K371" s="24" t="str">
        <f t="shared" si="43"/>
        <v>00:00:01</v>
      </c>
      <c r="M371" s="25" t="str">
        <f t="shared" si="44"/>
        <v>2027-12-27 01:00:00</v>
      </c>
      <c r="N371" s="25" t="str">
        <f t="shared" si="45"/>
        <v>2028-01-03 00:00:01</v>
      </c>
    </row>
    <row r="372" spans="2:14" x14ac:dyDescent="0.3">
      <c r="B372" s="23">
        <f t="shared" si="46"/>
        <v>46755.041666666664</v>
      </c>
      <c r="C372" s="23">
        <f t="shared" si="47"/>
        <v>46762.000011574077</v>
      </c>
      <c r="H372" t="str">
        <f t="shared" si="40"/>
        <v>2028-01-03</v>
      </c>
      <c r="I372" t="str">
        <f t="shared" si="41"/>
        <v>2028-01-10</v>
      </c>
      <c r="J372" s="24" t="str">
        <f t="shared" si="42"/>
        <v>01:00:00</v>
      </c>
      <c r="K372" s="24" t="str">
        <f t="shared" si="43"/>
        <v>00:00:01</v>
      </c>
      <c r="M372" s="25" t="str">
        <f t="shared" si="44"/>
        <v>2028-01-03 01:00:00</v>
      </c>
      <c r="N372" s="25" t="str">
        <f t="shared" si="45"/>
        <v>2028-01-10 00:00:01</v>
      </c>
    </row>
    <row r="373" spans="2:14" x14ac:dyDescent="0.3">
      <c r="B373" s="23">
        <f t="shared" si="46"/>
        <v>46762.041666666664</v>
      </c>
      <c r="C373" s="23">
        <f t="shared" si="47"/>
        <v>46769.000011574077</v>
      </c>
      <c r="H373" t="str">
        <f t="shared" si="40"/>
        <v>2028-01-10</v>
      </c>
      <c r="I373" t="str">
        <f t="shared" si="41"/>
        <v>2028-01-17</v>
      </c>
      <c r="J373" s="24" t="str">
        <f t="shared" si="42"/>
        <v>01:00:00</v>
      </c>
      <c r="K373" s="24" t="str">
        <f t="shared" si="43"/>
        <v>00:00:01</v>
      </c>
      <c r="M373" s="25" t="str">
        <f t="shared" si="44"/>
        <v>2028-01-10 01:00:00</v>
      </c>
      <c r="N373" s="25" t="str">
        <f t="shared" si="45"/>
        <v>2028-01-17 00:00:01</v>
      </c>
    </row>
    <row r="374" spans="2:14" x14ac:dyDescent="0.3">
      <c r="B374" s="23">
        <f t="shared" si="46"/>
        <v>46769.041666666664</v>
      </c>
      <c r="C374" s="23">
        <f t="shared" si="47"/>
        <v>46776.000011574077</v>
      </c>
      <c r="H374" t="str">
        <f t="shared" si="40"/>
        <v>2028-01-17</v>
      </c>
      <c r="I374" t="str">
        <f t="shared" si="41"/>
        <v>2028-01-24</v>
      </c>
      <c r="J374" s="24" t="str">
        <f t="shared" si="42"/>
        <v>01:00:00</v>
      </c>
      <c r="K374" s="24" t="str">
        <f t="shared" si="43"/>
        <v>00:00:01</v>
      </c>
      <c r="M374" s="25" t="str">
        <f t="shared" si="44"/>
        <v>2028-01-17 01:00:00</v>
      </c>
      <c r="N374" s="25" t="str">
        <f t="shared" si="45"/>
        <v>2028-01-24 00:00:01</v>
      </c>
    </row>
    <row r="375" spans="2:14" x14ac:dyDescent="0.3">
      <c r="B375" s="23">
        <f t="shared" si="46"/>
        <v>46776.041666666664</v>
      </c>
      <c r="C375" s="23">
        <f t="shared" si="47"/>
        <v>46783.000011574077</v>
      </c>
      <c r="H375" t="str">
        <f t="shared" si="40"/>
        <v>2028-01-24</v>
      </c>
      <c r="I375" t="str">
        <f t="shared" si="41"/>
        <v>2028-01-31</v>
      </c>
      <c r="J375" s="24" t="str">
        <f t="shared" si="42"/>
        <v>01:00:00</v>
      </c>
      <c r="K375" s="24" t="str">
        <f t="shared" si="43"/>
        <v>00:00:01</v>
      </c>
      <c r="M375" s="25" t="str">
        <f t="shared" si="44"/>
        <v>2028-01-24 01:00:00</v>
      </c>
      <c r="N375" s="25" t="str">
        <f t="shared" si="45"/>
        <v>2028-01-31 00:00:01</v>
      </c>
    </row>
    <row r="376" spans="2:14" x14ac:dyDescent="0.3">
      <c r="B376" s="23">
        <f t="shared" si="46"/>
        <v>46783.041666666664</v>
      </c>
      <c r="C376" s="23">
        <f t="shared" si="47"/>
        <v>46790.000011574077</v>
      </c>
      <c r="H376" t="str">
        <f t="shared" si="40"/>
        <v>2028-01-31</v>
      </c>
      <c r="I376" t="str">
        <f t="shared" si="41"/>
        <v>2028-02-07</v>
      </c>
      <c r="J376" s="24" t="str">
        <f t="shared" si="42"/>
        <v>01:00:00</v>
      </c>
      <c r="K376" s="24" t="str">
        <f t="shared" si="43"/>
        <v>00:00:01</v>
      </c>
      <c r="M376" s="25" t="str">
        <f t="shared" si="44"/>
        <v>2028-01-31 01:00:00</v>
      </c>
      <c r="N376" s="25" t="str">
        <f t="shared" si="45"/>
        <v>2028-02-07 00:00:01</v>
      </c>
    </row>
    <row r="377" spans="2:14" x14ac:dyDescent="0.3">
      <c r="B377" s="23">
        <f t="shared" si="46"/>
        <v>46790.041666666664</v>
      </c>
      <c r="C377" s="23">
        <f t="shared" si="47"/>
        <v>46797.000011574077</v>
      </c>
      <c r="H377" t="str">
        <f t="shared" si="40"/>
        <v>2028-02-07</v>
      </c>
      <c r="I377" t="str">
        <f t="shared" si="41"/>
        <v>2028-02-14</v>
      </c>
      <c r="J377" s="24" t="str">
        <f t="shared" si="42"/>
        <v>01:00:00</v>
      </c>
      <c r="K377" s="24" t="str">
        <f t="shared" si="43"/>
        <v>00:00:01</v>
      </c>
      <c r="M377" s="25" t="str">
        <f t="shared" si="44"/>
        <v>2028-02-07 01:00:00</v>
      </c>
      <c r="N377" s="25" t="str">
        <f t="shared" si="45"/>
        <v>2028-02-14 00:00:01</v>
      </c>
    </row>
    <row r="378" spans="2:14" x14ac:dyDescent="0.3">
      <c r="B378" s="23">
        <f t="shared" si="46"/>
        <v>46797.041666666664</v>
      </c>
      <c r="C378" s="23">
        <f t="shared" si="47"/>
        <v>46804.000011574077</v>
      </c>
      <c r="H378" t="str">
        <f t="shared" si="40"/>
        <v>2028-02-14</v>
      </c>
      <c r="I378" t="str">
        <f t="shared" si="41"/>
        <v>2028-02-21</v>
      </c>
      <c r="J378" s="24" t="str">
        <f t="shared" si="42"/>
        <v>01:00:00</v>
      </c>
      <c r="K378" s="24" t="str">
        <f t="shared" si="43"/>
        <v>00:00:01</v>
      </c>
      <c r="M378" s="25" t="str">
        <f t="shared" si="44"/>
        <v>2028-02-14 01:00:00</v>
      </c>
      <c r="N378" s="25" t="str">
        <f t="shared" si="45"/>
        <v>2028-02-21 00:00:01</v>
      </c>
    </row>
    <row r="379" spans="2:14" x14ac:dyDescent="0.3">
      <c r="B379" s="23">
        <f t="shared" si="46"/>
        <v>46804.041666666664</v>
      </c>
      <c r="C379" s="23">
        <f t="shared" si="47"/>
        <v>46811.000011574077</v>
      </c>
      <c r="H379" t="str">
        <f t="shared" si="40"/>
        <v>2028-02-21</v>
      </c>
      <c r="I379" t="str">
        <f t="shared" si="41"/>
        <v>2028-02-28</v>
      </c>
      <c r="J379" s="24" t="str">
        <f t="shared" si="42"/>
        <v>01:00:00</v>
      </c>
      <c r="K379" s="24" t="str">
        <f t="shared" si="43"/>
        <v>00:00:01</v>
      </c>
      <c r="M379" s="25" t="str">
        <f t="shared" si="44"/>
        <v>2028-02-21 01:00:00</v>
      </c>
      <c r="N379" s="25" t="str">
        <f t="shared" si="45"/>
        <v>2028-02-28 00:00:01</v>
      </c>
    </row>
    <row r="380" spans="2:14" x14ac:dyDescent="0.3">
      <c r="B380" s="23">
        <f t="shared" si="46"/>
        <v>46811.041666666664</v>
      </c>
      <c r="C380" s="23">
        <f t="shared" si="47"/>
        <v>46818.000011574077</v>
      </c>
      <c r="H380" t="str">
        <f t="shared" si="40"/>
        <v>2028-02-28</v>
      </c>
      <c r="I380" t="str">
        <f t="shared" si="41"/>
        <v>2028-03-06</v>
      </c>
      <c r="J380" s="24" t="str">
        <f t="shared" si="42"/>
        <v>01:00:00</v>
      </c>
      <c r="K380" s="24" t="str">
        <f t="shared" si="43"/>
        <v>00:00:01</v>
      </c>
      <c r="M380" s="25" t="str">
        <f t="shared" si="44"/>
        <v>2028-02-28 01:00:00</v>
      </c>
      <c r="N380" s="25" t="str">
        <f t="shared" si="45"/>
        <v>2028-03-06 00:00:01</v>
      </c>
    </row>
    <row r="381" spans="2:14" x14ac:dyDescent="0.3">
      <c r="B381" s="23">
        <f t="shared" si="46"/>
        <v>46818.041666666664</v>
      </c>
      <c r="C381" s="23">
        <f t="shared" si="47"/>
        <v>46825.000011574077</v>
      </c>
      <c r="H381" t="str">
        <f t="shared" si="40"/>
        <v>2028-03-06</v>
      </c>
      <c r="I381" t="str">
        <f t="shared" si="41"/>
        <v>2028-03-13</v>
      </c>
      <c r="J381" s="24" t="str">
        <f t="shared" si="42"/>
        <v>01:00:00</v>
      </c>
      <c r="K381" s="24" t="str">
        <f t="shared" si="43"/>
        <v>00:00:01</v>
      </c>
      <c r="M381" s="25" t="str">
        <f t="shared" si="44"/>
        <v>2028-03-06 01:00:00</v>
      </c>
      <c r="N381" s="25" t="str">
        <f t="shared" si="45"/>
        <v>2028-03-13 00:00:01</v>
      </c>
    </row>
    <row r="382" spans="2:14" x14ac:dyDescent="0.3">
      <c r="B382" s="23">
        <f t="shared" si="46"/>
        <v>46825.041666666664</v>
      </c>
      <c r="C382" s="23">
        <f t="shared" si="47"/>
        <v>46832.000011574077</v>
      </c>
      <c r="H382" t="str">
        <f t="shared" si="40"/>
        <v>2028-03-13</v>
      </c>
      <c r="I382" t="str">
        <f t="shared" si="41"/>
        <v>2028-03-20</v>
      </c>
      <c r="J382" s="24" t="str">
        <f t="shared" si="42"/>
        <v>01:00:00</v>
      </c>
      <c r="K382" s="24" t="str">
        <f t="shared" si="43"/>
        <v>00:00:01</v>
      </c>
      <c r="M382" s="25" t="str">
        <f t="shared" si="44"/>
        <v>2028-03-13 01:00:00</v>
      </c>
      <c r="N382" s="25" t="str">
        <f t="shared" si="45"/>
        <v>2028-03-20 00:00:01</v>
      </c>
    </row>
    <row r="383" spans="2:14" x14ac:dyDescent="0.3">
      <c r="B383" s="23">
        <f t="shared" si="46"/>
        <v>46832.041666666664</v>
      </c>
      <c r="C383" s="23">
        <f t="shared" si="47"/>
        <v>46839.000011574077</v>
      </c>
      <c r="H383" t="str">
        <f t="shared" si="40"/>
        <v>2028-03-20</v>
      </c>
      <c r="I383" t="str">
        <f t="shared" si="41"/>
        <v>2028-03-27</v>
      </c>
      <c r="J383" s="24" t="str">
        <f t="shared" si="42"/>
        <v>01:00:00</v>
      </c>
      <c r="K383" s="24" t="str">
        <f t="shared" si="43"/>
        <v>00:00:01</v>
      </c>
      <c r="M383" s="25" t="str">
        <f t="shared" si="44"/>
        <v>2028-03-20 01:00:00</v>
      </c>
      <c r="N383" s="25" t="str">
        <f t="shared" si="45"/>
        <v>2028-03-27 00:00:01</v>
      </c>
    </row>
    <row r="384" spans="2:14" x14ac:dyDescent="0.3">
      <c r="B384" s="23">
        <f t="shared" si="46"/>
        <v>46839.041666666664</v>
      </c>
      <c r="C384" s="23">
        <f t="shared" si="47"/>
        <v>46846.000011574077</v>
      </c>
      <c r="H384" t="str">
        <f t="shared" si="40"/>
        <v>2028-03-27</v>
      </c>
      <c r="I384" t="str">
        <f t="shared" si="41"/>
        <v>2028-04-03</v>
      </c>
      <c r="J384" s="24" t="str">
        <f t="shared" si="42"/>
        <v>01:00:00</v>
      </c>
      <c r="K384" s="24" t="str">
        <f t="shared" si="43"/>
        <v>00:00:01</v>
      </c>
      <c r="M384" s="25" t="str">
        <f t="shared" si="44"/>
        <v>2028-03-27 01:00:00</v>
      </c>
      <c r="N384" s="25" t="str">
        <f t="shared" si="45"/>
        <v>2028-04-03 00:00:01</v>
      </c>
    </row>
    <row r="385" spans="2:14" x14ac:dyDescent="0.3">
      <c r="B385" s="23">
        <f t="shared" si="46"/>
        <v>46846.041666666664</v>
      </c>
      <c r="C385" s="23">
        <f t="shared" si="47"/>
        <v>46853.000011574077</v>
      </c>
      <c r="H385" t="str">
        <f t="shared" si="40"/>
        <v>2028-04-03</v>
      </c>
      <c r="I385" t="str">
        <f t="shared" si="41"/>
        <v>2028-04-10</v>
      </c>
      <c r="J385" s="24" t="str">
        <f t="shared" si="42"/>
        <v>01:00:00</v>
      </c>
      <c r="K385" s="24" t="str">
        <f t="shared" si="43"/>
        <v>00:00:01</v>
      </c>
      <c r="M385" s="25" t="str">
        <f t="shared" si="44"/>
        <v>2028-04-03 01:00:00</v>
      </c>
      <c r="N385" s="25" t="str">
        <f t="shared" si="45"/>
        <v>2028-04-10 00:00:01</v>
      </c>
    </row>
    <row r="386" spans="2:14" x14ac:dyDescent="0.3">
      <c r="B386" s="23">
        <f t="shared" si="46"/>
        <v>46853.041666666664</v>
      </c>
      <c r="C386" s="23">
        <f t="shared" si="47"/>
        <v>46860.000011574077</v>
      </c>
      <c r="H386" t="str">
        <f t="shared" si="40"/>
        <v>2028-04-10</v>
      </c>
      <c r="I386" t="str">
        <f t="shared" si="41"/>
        <v>2028-04-17</v>
      </c>
      <c r="J386" s="24" t="str">
        <f t="shared" si="42"/>
        <v>01:00:00</v>
      </c>
      <c r="K386" s="24" t="str">
        <f t="shared" si="43"/>
        <v>00:00:01</v>
      </c>
      <c r="M386" s="25" t="str">
        <f t="shared" si="44"/>
        <v>2028-04-10 01:00:00</v>
      </c>
      <c r="N386" s="25" t="str">
        <f t="shared" si="45"/>
        <v>2028-04-17 00:00:01</v>
      </c>
    </row>
    <row r="387" spans="2:14" x14ac:dyDescent="0.3">
      <c r="B387" s="23">
        <f t="shared" si="46"/>
        <v>46860.041666666664</v>
      </c>
      <c r="C387" s="23">
        <f t="shared" si="47"/>
        <v>46867.000011574077</v>
      </c>
      <c r="H387" t="str">
        <f t="shared" si="40"/>
        <v>2028-04-17</v>
      </c>
      <c r="I387" t="str">
        <f t="shared" si="41"/>
        <v>2028-04-24</v>
      </c>
      <c r="J387" s="24" t="str">
        <f t="shared" si="42"/>
        <v>01:00:00</v>
      </c>
      <c r="K387" s="24" t="str">
        <f t="shared" si="43"/>
        <v>00:00:01</v>
      </c>
      <c r="M387" s="25" t="str">
        <f t="shared" si="44"/>
        <v>2028-04-17 01:00:00</v>
      </c>
      <c r="N387" s="25" t="str">
        <f t="shared" si="45"/>
        <v>2028-04-24 00:00:01</v>
      </c>
    </row>
    <row r="388" spans="2:14" x14ac:dyDescent="0.3">
      <c r="B388" s="23">
        <f t="shared" si="46"/>
        <v>46867.041666666664</v>
      </c>
      <c r="C388" s="23">
        <f t="shared" si="47"/>
        <v>46874.000011574077</v>
      </c>
      <c r="H388" t="str">
        <f t="shared" si="40"/>
        <v>2028-04-24</v>
      </c>
      <c r="I388" t="str">
        <f t="shared" si="41"/>
        <v>2028-05-01</v>
      </c>
      <c r="J388" s="24" t="str">
        <f t="shared" si="42"/>
        <v>01:00:00</v>
      </c>
      <c r="K388" s="24" t="str">
        <f t="shared" si="43"/>
        <v>00:00:01</v>
      </c>
      <c r="M388" s="25" t="str">
        <f t="shared" si="44"/>
        <v>2028-04-24 01:00:00</v>
      </c>
      <c r="N388" s="25" t="str">
        <f t="shared" si="45"/>
        <v>2028-05-01 00:00:01</v>
      </c>
    </row>
    <row r="389" spans="2:14" x14ac:dyDescent="0.3">
      <c r="B389" s="23">
        <f t="shared" si="46"/>
        <v>46874.041666666664</v>
      </c>
      <c r="C389" s="23">
        <f t="shared" si="47"/>
        <v>46881.000011574077</v>
      </c>
      <c r="H389" t="str">
        <f t="shared" si="40"/>
        <v>2028-05-01</v>
      </c>
      <c r="I389" t="str">
        <f t="shared" si="41"/>
        <v>2028-05-08</v>
      </c>
      <c r="J389" s="24" t="str">
        <f t="shared" si="42"/>
        <v>01:00:00</v>
      </c>
      <c r="K389" s="24" t="str">
        <f t="shared" si="43"/>
        <v>00:00:01</v>
      </c>
      <c r="M389" s="25" t="str">
        <f t="shared" si="44"/>
        <v>2028-05-01 01:00:00</v>
      </c>
      <c r="N389" s="25" t="str">
        <f t="shared" si="45"/>
        <v>2028-05-08 00:00:01</v>
      </c>
    </row>
    <row r="390" spans="2:14" x14ac:dyDescent="0.3">
      <c r="B390" s="23">
        <f t="shared" si="46"/>
        <v>46881.041666666664</v>
      </c>
      <c r="C390" s="23">
        <f t="shared" si="47"/>
        <v>46888.000011574077</v>
      </c>
      <c r="H390" t="str">
        <f t="shared" si="40"/>
        <v>2028-05-08</v>
      </c>
      <c r="I390" t="str">
        <f t="shared" si="41"/>
        <v>2028-05-15</v>
      </c>
      <c r="J390" s="24" t="str">
        <f t="shared" si="42"/>
        <v>01:00:00</v>
      </c>
      <c r="K390" s="24" t="str">
        <f t="shared" si="43"/>
        <v>00:00:01</v>
      </c>
      <c r="M390" s="25" t="str">
        <f t="shared" si="44"/>
        <v>2028-05-08 01:00:00</v>
      </c>
      <c r="N390" s="25" t="str">
        <f t="shared" si="45"/>
        <v>2028-05-15 00:00:01</v>
      </c>
    </row>
    <row r="391" spans="2:14" x14ac:dyDescent="0.3">
      <c r="B391" s="23">
        <f t="shared" si="46"/>
        <v>46888.041666666664</v>
      </c>
      <c r="C391" s="23">
        <f t="shared" si="47"/>
        <v>46895.000011574077</v>
      </c>
      <c r="H391" t="str">
        <f t="shared" si="40"/>
        <v>2028-05-15</v>
      </c>
      <c r="I391" t="str">
        <f t="shared" si="41"/>
        <v>2028-05-22</v>
      </c>
      <c r="J391" s="24" t="str">
        <f t="shared" si="42"/>
        <v>01:00:00</v>
      </c>
      <c r="K391" s="24" t="str">
        <f t="shared" si="43"/>
        <v>00:00:01</v>
      </c>
      <c r="M391" s="25" t="str">
        <f t="shared" si="44"/>
        <v>2028-05-15 01:00:00</v>
      </c>
      <c r="N391" s="25" t="str">
        <f t="shared" si="45"/>
        <v>2028-05-22 00:00:01</v>
      </c>
    </row>
    <row r="392" spans="2:14" x14ac:dyDescent="0.3">
      <c r="B392" s="23">
        <f t="shared" si="46"/>
        <v>46895.041666666664</v>
      </c>
      <c r="C392" s="23">
        <f t="shared" si="47"/>
        <v>46902.000011574077</v>
      </c>
      <c r="H392" t="str">
        <f t="shared" ref="H392:H455" si="48">TEXT(B392,"yyyy-mm-dd")</f>
        <v>2028-05-22</v>
      </c>
      <c r="I392" t="str">
        <f t="shared" ref="I392:I455" si="49">TEXT(C392,"yyyy-mm-dd")</f>
        <v>2028-05-29</v>
      </c>
      <c r="J392" s="24" t="str">
        <f t="shared" ref="J392:J455" si="50">TEXT(B392,"hh:mm:ss")</f>
        <v>01:00:00</v>
      </c>
      <c r="K392" s="24" t="str">
        <f t="shared" ref="K392:K455" si="51">TEXT(C392,"hh:mm:ss")</f>
        <v>00:00:01</v>
      </c>
      <c r="M392" s="25" t="str">
        <f t="shared" ref="M392:M455" si="52">CONCATENATE(H392," ",J392)</f>
        <v>2028-05-22 01:00:00</v>
      </c>
      <c r="N392" s="25" t="str">
        <f t="shared" ref="N392:N455" si="53">CONCATENATE(I392," ",K392)</f>
        <v>2028-05-29 00:00:01</v>
      </c>
    </row>
    <row r="393" spans="2:14" x14ac:dyDescent="0.3">
      <c r="B393" s="23">
        <f t="shared" ref="B393:B456" si="54">C392+TIME($F$3,0,0)-TIME(0,0,1)</f>
        <v>46902.041666666664</v>
      </c>
      <c r="C393" s="23">
        <f t="shared" ref="C393:C456" si="55">B393+$E$3-TIME($F$3,0,0)+TIME(0,0,1)</f>
        <v>46909.000011574077</v>
      </c>
      <c r="H393" t="str">
        <f t="shared" si="48"/>
        <v>2028-05-29</v>
      </c>
      <c r="I393" t="str">
        <f t="shared" si="49"/>
        <v>2028-06-05</v>
      </c>
      <c r="J393" s="24" t="str">
        <f t="shared" si="50"/>
        <v>01:00:00</v>
      </c>
      <c r="K393" s="24" t="str">
        <f t="shared" si="51"/>
        <v>00:00:01</v>
      </c>
      <c r="M393" s="25" t="str">
        <f t="shared" si="52"/>
        <v>2028-05-29 01:00:00</v>
      </c>
      <c r="N393" s="25" t="str">
        <f t="shared" si="53"/>
        <v>2028-06-05 00:00:01</v>
      </c>
    </row>
    <row r="394" spans="2:14" x14ac:dyDescent="0.3">
      <c r="B394" s="23">
        <f t="shared" si="54"/>
        <v>46909.041666666664</v>
      </c>
      <c r="C394" s="23">
        <f t="shared" si="55"/>
        <v>46916.000011574077</v>
      </c>
      <c r="H394" t="str">
        <f t="shared" si="48"/>
        <v>2028-06-05</v>
      </c>
      <c r="I394" t="str">
        <f t="shared" si="49"/>
        <v>2028-06-12</v>
      </c>
      <c r="J394" s="24" t="str">
        <f t="shared" si="50"/>
        <v>01:00:00</v>
      </c>
      <c r="K394" s="24" t="str">
        <f t="shared" si="51"/>
        <v>00:00:01</v>
      </c>
      <c r="M394" s="25" t="str">
        <f t="shared" si="52"/>
        <v>2028-06-05 01:00:00</v>
      </c>
      <c r="N394" s="25" t="str">
        <f t="shared" si="53"/>
        <v>2028-06-12 00:00:01</v>
      </c>
    </row>
    <row r="395" spans="2:14" x14ac:dyDescent="0.3">
      <c r="B395" s="23">
        <f t="shared" si="54"/>
        <v>46916.041666666664</v>
      </c>
      <c r="C395" s="23">
        <f t="shared" si="55"/>
        <v>46923.000011574077</v>
      </c>
      <c r="H395" t="str">
        <f t="shared" si="48"/>
        <v>2028-06-12</v>
      </c>
      <c r="I395" t="str">
        <f t="shared" si="49"/>
        <v>2028-06-19</v>
      </c>
      <c r="J395" s="24" t="str">
        <f t="shared" si="50"/>
        <v>01:00:00</v>
      </c>
      <c r="K395" s="24" t="str">
        <f t="shared" si="51"/>
        <v>00:00:01</v>
      </c>
      <c r="M395" s="25" t="str">
        <f t="shared" si="52"/>
        <v>2028-06-12 01:00:00</v>
      </c>
      <c r="N395" s="25" t="str">
        <f t="shared" si="53"/>
        <v>2028-06-19 00:00:01</v>
      </c>
    </row>
    <row r="396" spans="2:14" x14ac:dyDescent="0.3">
      <c r="B396" s="23">
        <f t="shared" si="54"/>
        <v>46923.041666666664</v>
      </c>
      <c r="C396" s="23">
        <f t="shared" si="55"/>
        <v>46930.000011574077</v>
      </c>
      <c r="H396" t="str">
        <f t="shared" si="48"/>
        <v>2028-06-19</v>
      </c>
      <c r="I396" t="str">
        <f t="shared" si="49"/>
        <v>2028-06-26</v>
      </c>
      <c r="J396" s="24" t="str">
        <f t="shared" si="50"/>
        <v>01:00:00</v>
      </c>
      <c r="K396" s="24" t="str">
        <f t="shared" si="51"/>
        <v>00:00:01</v>
      </c>
      <c r="M396" s="25" t="str">
        <f t="shared" si="52"/>
        <v>2028-06-19 01:00:00</v>
      </c>
      <c r="N396" s="25" t="str">
        <f t="shared" si="53"/>
        <v>2028-06-26 00:00:01</v>
      </c>
    </row>
    <row r="397" spans="2:14" x14ac:dyDescent="0.3">
      <c r="B397" s="23">
        <f t="shared" si="54"/>
        <v>46930.041666666664</v>
      </c>
      <c r="C397" s="23">
        <f t="shared" si="55"/>
        <v>46937.000011574077</v>
      </c>
      <c r="H397" t="str">
        <f t="shared" si="48"/>
        <v>2028-06-26</v>
      </c>
      <c r="I397" t="str">
        <f t="shared" si="49"/>
        <v>2028-07-03</v>
      </c>
      <c r="J397" s="24" t="str">
        <f t="shared" si="50"/>
        <v>01:00:00</v>
      </c>
      <c r="K397" s="24" t="str">
        <f t="shared" si="51"/>
        <v>00:00:01</v>
      </c>
      <c r="M397" s="25" t="str">
        <f t="shared" si="52"/>
        <v>2028-06-26 01:00:00</v>
      </c>
      <c r="N397" s="25" t="str">
        <f t="shared" si="53"/>
        <v>2028-07-03 00:00:01</v>
      </c>
    </row>
    <row r="398" spans="2:14" x14ac:dyDescent="0.3">
      <c r="B398" s="23">
        <f t="shared" si="54"/>
        <v>46937.041666666664</v>
      </c>
      <c r="C398" s="23">
        <f t="shared" si="55"/>
        <v>46944.000011574077</v>
      </c>
      <c r="H398" t="str">
        <f t="shared" si="48"/>
        <v>2028-07-03</v>
      </c>
      <c r="I398" t="str">
        <f t="shared" si="49"/>
        <v>2028-07-10</v>
      </c>
      <c r="J398" s="24" t="str">
        <f t="shared" si="50"/>
        <v>01:00:00</v>
      </c>
      <c r="K398" s="24" t="str">
        <f t="shared" si="51"/>
        <v>00:00:01</v>
      </c>
      <c r="M398" s="25" t="str">
        <f t="shared" si="52"/>
        <v>2028-07-03 01:00:00</v>
      </c>
      <c r="N398" s="25" t="str">
        <f t="shared" si="53"/>
        <v>2028-07-10 00:00:01</v>
      </c>
    </row>
    <row r="399" spans="2:14" x14ac:dyDescent="0.3">
      <c r="B399" s="23">
        <f t="shared" si="54"/>
        <v>46944.041666666664</v>
      </c>
      <c r="C399" s="23">
        <f t="shared" si="55"/>
        <v>46951.000011574077</v>
      </c>
      <c r="H399" t="str">
        <f t="shared" si="48"/>
        <v>2028-07-10</v>
      </c>
      <c r="I399" t="str">
        <f t="shared" si="49"/>
        <v>2028-07-17</v>
      </c>
      <c r="J399" s="24" t="str">
        <f t="shared" si="50"/>
        <v>01:00:00</v>
      </c>
      <c r="K399" s="24" t="str">
        <f t="shared" si="51"/>
        <v>00:00:01</v>
      </c>
      <c r="M399" s="25" t="str">
        <f t="shared" si="52"/>
        <v>2028-07-10 01:00:00</v>
      </c>
      <c r="N399" s="25" t="str">
        <f t="shared" si="53"/>
        <v>2028-07-17 00:00:01</v>
      </c>
    </row>
    <row r="400" spans="2:14" x14ac:dyDescent="0.3">
      <c r="B400" s="23">
        <f t="shared" si="54"/>
        <v>46951.041666666664</v>
      </c>
      <c r="C400" s="23">
        <f t="shared" si="55"/>
        <v>46958.000011574077</v>
      </c>
      <c r="H400" t="str">
        <f t="shared" si="48"/>
        <v>2028-07-17</v>
      </c>
      <c r="I400" t="str">
        <f t="shared" si="49"/>
        <v>2028-07-24</v>
      </c>
      <c r="J400" s="24" t="str">
        <f t="shared" si="50"/>
        <v>01:00:00</v>
      </c>
      <c r="K400" s="24" t="str">
        <f t="shared" si="51"/>
        <v>00:00:01</v>
      </c>
      <c r="M400" s="25" t="str">
        <f t="shared" si="52"/>
        <v>2028-07-17 01:00:00</v>
      </c>
      <c r="N400" s="25" t="str">
        <f t="shared" si="53"/>
        <v>2028-07-24 00:00:01</v>
      </c>
    </row>
    <row r="401" spans="2:14" x14ac:dyDescent="0.3">
      <c r="B401" s="23">
        <f t="shared" si="54"/>
        <v>46958.041666666664</v>
      </c>
      <c r="C401" s="23">
        <f t="shared" si="55"/>
        <v>46965.000011574077</v>
      </c>
      <c r="H401" t="str">
        <f t="shared" si="48"/>
        <v>2028-07-24</v>
      </c>
      <c r="I401" t="str">
        <f t="shared" si="49"/>
        <v>2028-07-31</v>
      </c>
      <c r="J401" s="24" t="str">
        <f t="shared" si="50"/>
        <v>01:00:00</v>
      </c>
      <c r="K401" s="24" t="str">
        <f t="shared" si="51"/>
        <v>00:00:01</v>
      </c>
      <c r="M401" s="25" t="str">
        <f t="shared" si="52"/>
        <v>2028-07-24 01:00:00</v>
      </c>
      <c r="N401" s="25" t="str">
        <f t="shared" si="53"/>
        <v>2028-07-31 00:00:01</v>
      </c>
    </row>
    <row r="402" spans="2:14" x14ac:dyDescent="0.3">
      <c r="B402" s="23">
        <f t="shared" si="54"/>
        <v>46965.041666666664</v>
      </c>
      <c r="C402" s="23">
        <f t="shared" si="55"/>
        <v>46972.000011574077</v>
      </c>
      <c r="H402" t="str">
        <f t="shared" si="48"/>
        <v>2028-07-31</v>
      </c>
      <c r="I402" t="str">
        <f t="shared" si="49"/>
        <v>2028-08-07</v>
      </c>
      <c r="J402" s="24" t="str">
        <f t="shared" si="50"/>
        <v>01:00:00</v>
      </c>
      <c r="K402" s="24" t="str">
        <f t="shared" si="51"/>
        <v>00:00:01</v>
      </c>
      <c r="M402" s="25" t="str">
        <f t="shared" si="52"/>
        <v>2028-07-31 01:00:00</v>
      </c>
      <c r="N402" s="25" t="str">
        <f t="shared" si="53"/>
        <v>2028-08-07 00:00:01</v>
      </c>
    </row>
    <row r="403" spans="2:14" x14ac:dyDescent="0.3">
      <c r="B403" s="23">
        <f t="shared" si="54"/>
        <v>46972.041666666664</v>
      </c>
      <c r="C403" s="23">
        <f t="shared" si="55"/>
        <v>46979.000011574077</v>
      </c>
      <c r="H403" t="str">
        <f t="shared" si="48"/>
        <v>2028-08-07</v>
      </c>
      <c r="I403" t="str">
        <f t="shared" si="49"/>
        <v>2028-08-14</v>
      </c>
      <c r="J403" s="24" t="str">
        <f t="shared" si="50"/>
        <v>01:00:00</v>
      </c>
      <c r="K403" s="24" t="str">
        <f t="shared" si="51"/>
        <v>00:00:01</v>
      </c>
      <c r="M403" s="25" t="str">
        <f t="shared" si="52"/>
        <v>2028-08-07 01:00:00</v>
      </c>
      <c r="N403" s="25" t="str">
        <f t="shared" si="53"/>
        <v>2028-08-14 00:00:01</v>
      </c>
    </row>
    <row r="404" spans="2:14" x14ac:dyDescent="0.3">
      <c r="B404" s="23">
        <f t="shared" si="54"/>
        <v>46979.041666666664</v>
      </c>
      <c r="C404" s="23">
        <f t="shared" si="55"/>
        <v>46986.000011574077</v>
      </c>
      <c r="H404" t="str">
        <f t="shared" si="48"/>
        <v>2028-08-14</v>
      </c>
      <c r="I404" t="str">
        <f t="shared" si="49"/>
        <v>2028-08-21</v>
      </c>
      <c r="J404" s="24" t="str">
        <f t="shared" si="50"/>
        <v>01:00:00</v>
      </c>
      <c r="K404" s="24" t="str">
        <f t="shared" si="51"/>
        <v>00:00:01</v>
      </c>
      <c r="M404" s="25" t="str">
        <f t="shared" si="52"/>
        <v>2028-08-14 01:00:00</v>
      </c>
      <c r="N404" s="25" t="str">
        <f t="shared" si="53"/>
        <v>2028-08-21 00:00:01</v>
      </c>
    </row>
    <row r="405" spans="2:14" x14ac:dyDescent="0.3">
      <c r="B405" s="23">
        <f t="shared" si="54"/>
        <v>46986.041666666664</v>
      </c>
      <c r="C405" s="23">
        <f t="shared" si="55"/>
        <v>46993.000011574077</v>
      </c>
      <c r="H405" t="str">
        <f t="shared" si="48"/>
        <v>2028-08-21</v>
      </c>
      <c r="I405" t="str">
        <f t="shared" si="49"/>
        <v>2028-08-28</v>
      </c>
      <c r="J405" s="24" t="str">
        <f t="shared" si="50"/>
        <v>01:00:00</v>
      </c>
      <c r="K405" s="24" t="str">
        <f t="shared" si="51"/>
        <v>00:00:01</v>
      </c>
      <c r="M405" s="25" t="str">
        <f t="shared" si="52"/>
        <v>2028-08-21 01:00:00</v>
      </c>
      <c r="N405" s="25" t="str">
        <f t="shared" si="53"/>
        <v>2028-08-28 00:00:01</v>
      </c>
    </row>
    <row r="406" spans="2:14" x14ac:dyDescent="0.3">
      <c r="B406" s="23">
        <f t="shared" si="54"/>
        <v>46993.041666666664</v>
      </c>
      <c r="C406" s="23">
        <f t="shared" si="55"/>
        <v>47000.000011574077</v>
      </c>
      <c r="H406" t="str">
        <f t="shared" si="48"/>
        <v>2028-08-28</v>
      </c>
      <c r="I406" t="str">
        <f t="shared" si="49"/>
        <v>2028-09-04</v>
      </c>
      <c r="J406" s="24" t="str">
        <f t="shared" si="50"/>
        <v>01:00:00</v>
      </c>
      <c r="K406" s="24" t="str">
        <f t="shared" si="51"/>
        <v>00:00:01</v>
      </c>
      <c r="M406" s="25" t="str">
        <f t="shared" si="52"/>
        <v>2028-08-28 01:00:00</v>
      </c>
      <c r="N406" s="25" t="str">
        <f t="shared" si="53"/>
        <v>2028-09-04 00:00:01</v>
      </c>
    </row>
    <row r="407" spans="2:14" x14ac:dyDescent="0.3">
      <c r="B407" s="23">
        <f t="shared" si="54"/>
        <v>47000.041666666664</v>
      </c>
      <c r="C407" s="23">
        <f t="shared" si="55"/>
        <v>47007.000011574077</v>
      </c>
      <c r="H407" t="str">
        <f t="shared" si="48"/>
        <v>2028-09-04</v>
      </c>
      <c r="I407" t="str">
        <f t="shared" si="49"/>
        <v>2028-09-11</v>
      </c>
      <c r="J407" s="24" t="str">
        <f t="shared" si="50"/>
        <v>01:00:00</v>
      </c>
      <c r="K407" s="24" t="str">
        <f t="shared" si="51"/>
        <v>00:00:01</v>
      </c>
      <c r="M407" s="25" t="str">
        <f t="shared" si="52"/>
        <v>2028-09-04 01:00:00</v>
      </c>
      <c r="N407" s="25" t="str">
        <f t="shared" si="53"/>
        <v>2028-09-11 00:00:01</v>
      </c>
    </row>
    <row r="408" spans="2:14" x14ac:dyDescent="0.3">
      <c r="B408" s="23">
        <f t="shared" si="54"/>
        <v>47007.041666666664</v>
      </c>
      <c r="C408" s="23">
        <f t="shared" si="55"/>
        <v>47014.000011574077</v>
      </c>
      <c r="H408" t="str">
        <f t="shared" si="48"/>
        <v>2028-09-11</v>
      </c>
      <c r="I408" t="str">
        <f t="shared" si="49"/>
        <v>2028-09-18</v>
      </c>
      <c r="J408" s="24" t="str">
        <f t="shared" si="50"/>
        <v>01:00:00</v>
      </c>
      <c r="K408" s="24" t="str">
        <f t="shared" si="51"/>
        <v>00:00:01</v>
      </c>
      <c r="M408" s="25" t="str">
        <f t="shared" si="52"/>
        <v>2028-09-11 01:00:00</v>
      </c>
      <c r="N408" s="25" t="str">
        <f t="shared" si="53"/>
        <v>2028-09-18 00:00:01</v>
      </c>
    </row>
    <row r="409" spans="2:14" x14ac:dyDescent="0.3">
      <c r="B409" s="23">
        <f t="shared" si="54"/>
        <v>47014.041666666664</v>
      </c>
      <c r="C409" s="23">
        <f t="shared" si="55"/>
        <v>47021.000011574077</v>
      </c>
      <c r="H409" t="str">
        <f t="shared" si="48"/>
        <v>2028-09-18</v>
      </c>
      <c r="I409" t="str">
        <f t="shared" si="49"/>
        <v>2028-09-25</v>
      </c>
      <c r="J409" s="24" t="str">
        <f t="shared" si="50"/>
        <v>01:00:00</v>
      </c>
      <c r="K409" s="24" t="str">
        <f t="shared" si="51"/>
        <v>00:00:01</v>
      </c>
      <c r="M409" s="25" t="str">
        <f t="shared" si="52"/>
        <v>2028-09-18 01:00:00</v>
      </c>
      <c r="N409" s="25" t="str">
        <f t="shared" si="53"/>
        <v>2028-09-25 00:00:01</v>
      </c>
    </row>
    <row r="410" spans="2:14" x14ac:dyDescent="0.3">
      <c r="B410" s="23">
        <f t="shared" si="54"/>
        <v>47021.041666666664</v>
      </c>
      <c r="C410" s="23">
        <f t="shared" si="55"/>
        <v>47028.000011574077</v>
      </c>
      <c r="H410" t="str">
        <f t="shared" si="48"/>
        <v>2028-09-25</v>
      </c>
      <c r="I410" t="str">
        <f t="shared" si="49"/>
        <v>2028-10-02</v>
      </c>
      <c r="J410" s="24" t="str">
        <f t="shared" si="50"/>
        <v>01:00:00</v>
      </c>
      <c r="K410" s="24" t="str">
        <f t="shared" si="51"/>
        <v>00:00:01</v>
      </c>
      <c r="M410" s="25" t="str">
        <f t="shared" si="52"/>
        <v>2028-09-25 01:00:00</v>
      </c>
      <c r="N410" s="25" t="str">
        <f t="shared" si="53"/>
        <v>2028-10-02 00:00:01</v>
      </c>
    </row>
    <row r="411" spans="2:14" x14ac:dyDescent="0.3">
      <c r="B411" s="23">
        <f t="shared" si="54"/>
        <v>47028.041666666664</v>
      </c>
      <c r="C411" s="23">
        <f t="shared" si="55"/>
        <v>47035.000011574077</v>
      </c>
      <c r="H411" t="str">
        <f t="shared" si="48"/>
        <v>2028-10-02</v>
      </c>
      <c r="I411" t="str">
        <f t="shared" si="49"/>
        <v>2028-10-09</v>
      </c>
      <c r="J411" s="24" t="str">
        <f t="shared" si="50"/>
        <v>01:00:00</v>
      </c>
      <c r="K411" s="24" t="str">
        <f t="shared" si="51"/>
        <v>00:00:01</v>
      </c>
      <c r="M411" s="25" t="str">
        <f t="shared" si="52"/>
        <v>2028-10-02 01:00:00</v>
      </c>
      <c r="N411" s="25" t="str">
        <f t="shared" si="53"/>
        <v>2028-10-09 00:00:01</v>
      </c>
    </row>
    <row r="412" spans="2:14" x14ac:dyDescent="0.3">
      <c r="B412" s="23">
        <f t="shared" si="54"/>
        <v>47035.041666666664</v>
      </c>
      <c r="C412" s="23">
        <f t="shared" si="55"/>
        <v>47042.000011574077</v>
      </c>
      <c r="H412" t="str">
        <f t="shared" si="48"/>
        <v>2028-10-09</v>
      </c>
      <c r="I412" t="str">
        <f t="shared" si="49"/>
        <v>2028-10-16</v>
      </c>
      <c r="J412" s="24" t="str">
        <f t="shared" si="50"/>
        <v>01:00:00</v>
      </c>
      <c r="K412" s="24" t="str">
        <f t="shared" si="51"/>
        <v>00:00:01</v>
      </c>
      <c r="M412" s="25" t="str">
        <f t="shared" si="52"/>
        <v>2028-10-09 01:00:00</v>
      </c>
      <c r="N412" s="25" t="str">
        <f t="shared" si="53"/>
        <v>2028-10-16 00:00:01</v>
      </c>
    </row>
    <row r="413" spans="2:14" x14ac:dyDescent="0.3">
      <c r="B413" s="23">
        <f t="shared" si="54"/>
        <v>47042.041666666664</v>
      </c>
      <c r="C413" s="23">
        <f t="shared" si="55"/>
        <v>47049.000011574077</v>
      </c>
      <c r="H413" t="str">
        <f t="shared" si="48"/>
        <v>2028-10-16</v>
      </c>
      <c r="I413" t="str">
        <f t="shared" si="49"/>
        <v>2028-10-23</v>
      </c>
      <c r="J413" s="24" t="str">
        <f t="shared" si="50"/>
        <v>01:00:00</v>
      </c>
      <c r="K413" s="24" t="str">
        <f t="shared" si="51"/>
        <v>00:00:01</v>
      </c>
      <c r="M413" s="25" t="str">
        <f t="shared" si="52"/>
        <v>2028-10-16 01:00:00</v>
      </c>
      <c r="N413" s="25" t="str">
        <f t="shared" si="53"/>
        <v>2028-10-23 00:00:01</v>
      </c>
    </row>
    <row r="414" spans="2:14" x14ac:dyDescent="0.3">
      <c r="B414" s="23">
        <f t="shared" si="54"/>
        <v>47049.041666666664</v>
      </c>
      <c r="C414" s="23">
        <f t="shared" si="55"/>
        <v>47056.000011574077</v>
      </c>
      <c r="H414" t="str">
        <f t="shared" si="48"/>
        <v>2028-10-23</v>
      </c>
      <c r="I414" t="str">
        <f t="shared" si="49"/>
        <v>2028-10-30</v>
      </c>
      <c r="J414" s="24" t="str">
        <f t="shared" si="50"/>
        <v>01:00:00</v>
      </c>
      <c r="K414" s="24" t="str">
        <f t="shared" si="51"/>
        <v>00:00:01</v>
      </c>
      <c r="M414" s="25" t="str">
        <f t="shared" si="52"/>
        <v>2028-10-23 01:00:00</v>
      </c>
      <c r="N414" s="25" t="str">
        <f t="shared" si="53"/>
        <v>2028-10-30 00:00:01</v>
      </c>
    </row>
    <row r="415" spans="2:14" x14ac:dyDescent="0.3">
      <c r="B415" s="23">
        <f t="shared" si="54"/>
        <v>47056.041666666664</v>
      </c>
      <c r="C415" s="23">
        <f t="shared" si="55"/>
        <v>47063.000011574077</v>
      </c>
      <c r="H415" t="str">
        <f t="shared" si="48"/>
        <v>2028-10-30</v>
      </c>
      <c r="I415" t="str">
        <f t="shared" si="49"/>
        <v>2028-11-06</v>
      </c>
      <c r="J415" s="24" t="str">
        <f t="shared" si="50"/>
        <v>01:00:00</v>
      </c>
      <c r="K415" s="24" t="str">
        <f t="shared" si="51"/>
        <v>00:00:01</v>
      </c>
      <c r="M415" s="25" t="str">
        <f t="shared" si="52"/>
        <v>2028-10-30 01:00:00</v>
      </c>
      <c r="N415" s="25" t="str">
        <f t="shared" si="53"/>
        <v>2028-11-06 00:00:01</v>
      </c>
    </row>
    <row r="416" spans="2:14" x14ac:dyDescent="0.3">
      <c r="B416" s="23">
        <f t="shared" si="54"/>
        <v>47063.041666666664</v>
      </c>
      <c r="C416" s="23">
        <f t="shared" si="55"/>
        <v>47070.000011574077</v>
      </c>
      <c r="H416" t="str">
        <f t="shared" si="48"/>
        <v>2028-11-06</v>
      </c>
      <c r="I416" t="str">
        <f t="shared" si="49"/>
        <v>2028-11-13</v>
      </c>
      <c r="J416" s="24" t="str">
        <f t="shared" si="50"/>
        <v>01:00:00</v>
      </c>
      <c r="K416" s="24" t="str">
        <f t="shared" si="51"/>
        <v>00:00:01</v>
      </c>
      <c r="M416" s="25" t="str">
        <f t="shared" si="52"/>
        <v>2028-11-06 01:00:00</v>
      </c>
      <c r="N416" s="25" t="str">
        <f t="shared" si="53"/>
        <v>2028-11-13 00:00:01</v>
      </c>
    </row>
    <row r="417" spans="2:14" x14ac:dyDescent="0.3">
      <c r="B417" s="23">
        <f t="shared" si="54"/>
        <v>47070.041666666664</v>
      </c>
      <c r="C417" s="23">
        <f t="shared" si="55"/>
        <v>47077.000011574077</v>
      </c>
      <c r="H417" t="str">
        <f t="shared" si="48"/>
        <v>2028-11-13</v>
      </c>
      <c r="I417" t="str">
        <f t="shared" si="49"/>
        <v>2028-11-20</v>
      </c>
      <c r="J417" s="24" t="str">
        <f t="shared" si="50"/>
        <v>01:00:00</v>
      </c>
      <c r="K417" s="24" t="str">
        <f t="shared" si="51"/>
        <v>00:00:01</v>
      </c>
      <c r="M417" s="25" t="str">
        <f t="shared" si="52"/>
        <v>2028-11-13 01:00:00</v>
      </c>
      <c r="N417" s="25" t="str">
        <f t="shared" si="53"/>
        <v>2028-11-20 00:00:01</v>
      </c>
    </row>
    <row r="418" spans="2:14" x14ac:dyDescent="0.3">
      <c r="B418" s="23">
        <f t="shared" si="54"/>
        <v>47077.041666666664</v>
      </c>
      <c r="C418" s="23">
        <f t="shared" si="55"/>
        <v>47084.000011574077</v>
      </c>
      <c r="H418" t="str">
        <f t="shared" si="48"/>
        <v>2028-11-20</v>
      </c>
      <c r="I418" t="str">
        <f t="shared" si="49"/>
        <v>2028-11-27</v>
      </c>
      <c r="J418" s="24" t="str">
        <f t="shared" si="50"/>
        <v>01:00:00</v>
      </c>
      <c r="K418" s="24" t="str">
        <f t="shared" si="51"/>
        <v>00:00:01</v>
      </c>
      <c r="M418" s="25" t="str">
        <f t="shared" si="52"/>
        <v>2028-11-20 01:00:00</v>
      </c>
      <c r="N418" s="25" t="str">
        <f t="shared" si="53"/>
        <v>2028-11-27 00:00:01</v>
      </c>
    </row>
    <row r="419" spans="2:14" x14ac:dyDescent="0.3">
      <c r="B419" s="23">
        <f t="shared" si="54"/>
        <v>47084.041666666664</v>
      </c>
      <c r="C419" s="23">
        <f t="shared" si="55"/>
        <v>47091.000011574077</v>
      </c>
      <c r="H419" t="str">
        <f t="shared" si="48"/>
        <v>2028-11-27</v>
      </c>
      <c r="I419" t="str">
        <f t="shared" si="49"/>
        <v>2028-12-04</v>
      </c>
      <c r="J419" s="24" t="str">
        <f t="shared" si="50"/>
        <v>01:00:00</v>
      </c>
      <c r="K419" s="24" t="str">
        <f t="shared" si="51"/>
        <v>00:00:01</v>
      </c>
      <c r="M419" s="25" t="str">
        <f t="shared" si="52"/>
        <v>2028-11-27 01:00:00</v>
      </c>
      <c r="N419" s="25" t="str">
        <f t="shared" si="53"/>
        <v>2028-12-04 00:00:01</v>
      </c>
    </row>
    <row r="420" spans="2:14" x14ac:dyDescent="0.3">
      <c r="B420" s="23">
        <f t="shared" si="54"/>
        <v>47091.041666666664</v>
      </c>
      <c r="C420" s="23">
        <f t="shared" si="55"/>
        <v>47098.000011574077</v>
      </c>
      <c r="H420" t="str">
        <f t="shared" si="48"/>
        <v>2028-12-04</v>
      </c>
      <c r="I420" t="str">
        <f t="shared" si="49"/>
        <v>2028-12-11</v>
      </c>
      <c r="J420" s="24" t="str">
        <f t="shared" si="50"/>
        <v>01:00:00</v>
      </c>
      <c r="K420" s="24" t="str">
        <f t="shared" si="51"/>
        <v>00:00:01</v>
      </c>
      <c r="M420" s="25" t="str">
        <f t="shared" si="52"/>
        <v>2028-12-04 01:00:00</v>
      </c>
      <c r="N420" s="25" t="str">
        <f t="shared" si="53"/>
        <v>2028-12-11 00:00:01</v>
      </c>
    </row>
    <row r="421" spans="2:14" x14ac:dyDescent="0.3">
      <c r="B421" s="23">
        <f t="shared" si="54"/>
        <v>47098.041666666664</v>
      </c>
      <c r="C421" s="23">
        <f t="shared" si="55"/>
        <v>47105.000011574077</v>
      </c>
      <c r="H421" t="str">
        <f t="shared" si="48"/>
        <v>2028-12-11</v>
      </c>
      <c r="I421" t="str">
        <f t="shared" si="49"/>
        <v>2028-12-18</v>
      </c>
      <c r="J421" s="24" t="str">
        <f t="shared" si="50"/>
        <v>01:00:00</v>
      </c>
      <c r="K421" s="24" t="str">
        <f t="shared" si="51"/>
        <v>00:00:01</v>
      </c>
      <c r="M421" s="25" t="str">
        <f t="shared" si="52"/>
        <v>2028-12-11 01:00:00</v>
      </c>
      <c r="N421" s="25" t="str">
        <f t="shared" si="53"/>
        <v>2028-12-18 00:00:01</v>
      </c>
    </row>
    <row r="422" spans="2:14" x14ac:dyDescent="0.3">
      <c r="B422" s="23">
        <f t="shared" si="54"/>
        <v>47105.041666666664</v>
      </c>
      <c r="C422" s="23">
        <f t="shared" si="55"/>
        <v>47112.000011574077</v>
      </c>
      <c r="H422" t="str">
        <f t="shared" si="48"/>
        <v>2028-12-18</v>
      </c>
      <c r="I422" t="str">
        <f t="shared" si="49"/>
        <v>2028-12-25</v>
      </c>
      <c r="J422" s="24" t="str">
        <f t="shared" si="50"/>
        <v>01:00:00</v>
      </c>
      <c r="K422" s="24" t="str">
        <f t="shared" si="51"/>
        <v>00:00:01</v>
      </c>
      <c r="M422" s="25" t="str">
        <f t="shared" si="52"/>
        <v>2028-12-18 01:00:00</v>
      </c>
      <c r="N422" s="25" t="str">
        <f t="shared" si="53"/>
        <v>2028-12-25 00:00:01</v>
      </c>
    </row>
    <row r="423" spans="2:14" x14ac:dyDescent="0.3">
      <c r="B423" s="23">
        <f t="shared" si="54"/>
        <v>47112.041666666664</v>
      </c>
      <c r="C423" s="23">
        <f t="shared" si="55"/>
        <v>47119.000011574077</v>
      </c>
      <c r="H423" t="str">
        <f t="shared" si="48"/>
        <v>2028-12-25</v>
      </c>
      <c r="I423" t="str">
        <f t="shared" si="49"/>
        <v>2029-01-01</v>
      </c>
      <c r="J423" s="24" t="str">
        <f t="shared" si="50"/>
        <v>01:00:00</v>
      </c>
      <c r="K423" s="24" t="str">
        <f t="shared" si="51"/>
        <v>00:00:01</v>
      </c>
      <c r="M423" s="25" t="str">
        <f t="shared" si="52"/>
        <v>2028-12-25 01:00:00</v>
      </c>
      <c r="N423" s="25" t="str">
        <f t="shared" si="53"/>
        <v>2029-01-01 00:00:01</v>
      </c>
    </row>
    <row r="424" spans="2:14" x14ac:dyDescent="0.3">
      <c r="B424" s="23">
        <f t="shared" si="54"/>
        <v>47119.041666666664</v>
      </c>
      <c r="C424" s="23">
        <f t="shared" si="55"/>
        <v>47126.000011574077</v>
      </c>
      <c r="H424" t="str">
        <f t="shared" si="48"/>
        <v>2029-01-01</v>
      </c>
      <c r="I424" t="str">
        <f t="shared" si="49"/>
        <v>2029-01-08</v>
      </c>
      <c r="J424" s="24" t="str">
        <f t="shared" si="50"/>
        <v>01:00:00</v>
      </c>
      <c r="K424" s="24" t="str">
        <f t="shared" si="51"/>
        <v>00:00:01</v>
      </c>
      <c r="M424" s="25" t="str">
        <f t="shared" si="52"/>
        <v>2029-01-01 01:00:00</v>
      </c>
      <c r="N424" s="25" t="str">
        <f t="shared" si="53"/>
        <v>2029-01-08 00:00:01</v>
      </c>
    </row>
    <row r="425" spans="2:14" x14ac:dyDescent="0.3">
      <c r="B425" s="23">
        <f t="shared" si="54"/>
        <v>47126.041666666664</v>
      </c>
      <c r="C425" s="23">
        <f t="shared" si="55"/>
        <v>47133.000011574077</v>
      </c>
      <c r="H425" t="str">
        <f t="shared" si="48"/>
        <v>2029-01-08</v>
      </c>
      <c r="I425" t="str">
        <f t="shared" si="49"/>
        <v>2029-01-15</v>
      </c>
      <c r="J425" s="24" t="str">
        <f t="shared" si="50"/>
        <v>01:00:00</v>
      </c>
      <c r="K425" s="24" t="str">
        <f t="shared" si="51"/>
        <v>00:00:01</v>
      </c>
      <c r="M425" s="25" t="str">
        <f t="shared" si="52"/>
        <v>2029-01-08 01:00:00</v>
      </c>
      <c r="N425" s="25" t="str">
        <f t="shared" si="53"/>
        <v>2029-01-15 00:00:01</v>
      </c>
    </row>
    <row r="426" spans="2:14" x14ac:dyDescent="0.3">
      <c r="B426" s="23">
        <f t="shared" si="54"/>
        <v>47133.041666666664</v>
      </c>
      <c r="C426" s="23">
        <f t="shared" si="55"/>
        <v>47140.000011574077</v>
      </c>
      <c r="H426" t="str">
        <f t="shared" si="48"/>
        <v>2029-01-15</v>
      </c>
      <c r="I426" t="str">
        <f t="shared" si="49"/>
        <v>2029-01-22</v>
      </c>
      <c r="J426" s="24" t="str">
        <f t="shared" si="50"/>
        <v>01:00:00</v>
      </c>
      <c r="K426" s="24" t="str">
        <f t="shared" si="51"/>
        <v>00:00:01</v>
      </c>
      <c r="M426" s="25" t="str">
        <f t="shared" si="52"/>
        <v>2029-01-15 01:00:00</v>
      </c>
      <c r="N426" s="25" t="str">
        <f t="shared" si="53"/>
        <v>2029-01-22 00:00:01</v>
      </c>
    </row>
    <row r="427" spans="2:14" x14ac:dyDescent="0.3">
      <c r="B427" s="23">
        <f t="shared" si="54"/>
        <v>47140.041666666664</v>
      </c>
      <c r="C427" s="23">
        <f t="shared" si="55"/>
        <v>47147.000011574077</v>
      </c>
      <c r="H427" t="str">
        <f t="shared" si="48"/>
        <v>2029-01-22</v>
      </c>
      <c r="I427" t="str">
        <f t="shared" si="49"/>
        <v>2029-01-29</v>
      </c>
      <c r="J427" s="24" t="str">
        <f t="shared" si="50"/>
        <v>01:00:00</v>
      </c>
      <c r="K427" s="24" t="str">
        <f t="shared" si="51"/>
        <v>00:00:01</v>
      </c>
      <c r="M427" s="25" t="str">
        <f t="shared" si="52"/>
        <v>2029-01-22 01:00:00</v>
      </c>
      <c r="N427" s="25" t="str">
        <f t="shared" si="53"/>
        <v>2029-01-29 00:00:01</v>
      </c>
    </row>
    <row r="428" spans="2:14" x14ac:dyDescent="0.3">
      <c r="B428" s="23">
        <f t="shared" si="54"/>
        <v>47147.041666666664</v>
      </c>
      <c r="C428" s="23">
        <f t="shared" si="55"/>
        <v>47154.000011574077</v>
      </c>
      <c r="H428" t="str">
        <f t="shared" si="48"/>
        <v>2029-01-29</v>
      </c>
      <c r="I428" t="str">
        <f t="shared" si="49"/>
        <v>2029-02-05</v>
      </c>
      <c r="J428" s="24" t="str">
        <f t="shared" si="50"/>
        <v>01:00:00</v>
      </c>
      <c r="K428" s="24" t="str">
        <f t="shared" si="51"/>
        <v>00:00:01</v>
      </c>
      <c r="M428" s="25" t="str">
        <f t="shared" si="52"/>
        <v>2029-01-29 01:00:00</v>
      </c>
      <c r="N428" s="25" t="str">
        <f t="shared" si="53"/>
        <v>2029-02-05 00:00:01</v>
      </c>
    </row>
    <row r="429" spans="2:14" x14ac:dyDescent="0.3">
      <c r="B429" s="23">
        <f t="shared" si="54"/>
        <v>47154.041666666664</v>
      </c>
      <c r="C429" s="23">
        <f t="shared" si="55"/>
        <v>47161.000011574077</v>
      </c>
      <c r="H429" t="str">
        <f t="shared" si="48"/>
        <v>2029-02-05</v>
      </c>
      <c r="I429" t="str">
        <f t="shared" si="49"/>
        <v>2029-02-12</v>
      </c>
      <c r="J429" s="24" t="str">
        <f t="shared" si="50"/>
        <v>01:00:00</v>
      </c>
      <c r="K429" s="24" t="str">
        <f t="shared" si="51"/>
        <v>00:00:01</v>
      </c>
      <c r="M429" s="25" t="str">
        <f t="shared" si="52"/>
        <v>2029-02-05 01:00:00</v>
      </c>
      <c r="N429" s="25" t="str">
        <f t="shared" si="53"/>
        <v>2029-02-12 00:00:01</v>
      </c>
    </row>
    <row r="430" spans="2:14" x14ac:dyDescent="0.3">
      <c r="B430" s="23">
        <f t="shared" si="54"/>
        <v>47161.041666666664</v>
      </c>
      <c r="C430" s="23">
        <f t="shared" si="55"/>
        <v>47168.000011574077</v>
      </c>
      <c r="H430" t="str">
        <f t="shared" si="48"/>
        <v>2029-02-12</v>
      </c>
      <c r="I430" t="str">
        <f t="shared" si="49"/>
        <v>2029-02-19</v>
      </c>
      <c r="J430" s="24" t="str">
        <f t="shared" si="50"/>
        <v>01:00:00</v>
      </c>
      <c r="K430" s="24" t="str">
        <f t="shared" si="51"/>
        <v>00:00:01</v>
      </c>
      <c r="M430" s="25" t="str">
        <f t="shared" si="52"/>
        <v>2029-02-12 01:00:00</v>
      </c>
      <c r="N430" s="25" t="str">
        <f t="shared" si="53"/>
        <v>2029-02-19 00:00:01</v>
      </c>
    </row>
    <row r="431" spans="2:14" x14ac:dyDescent="0.3">
      <c r="B431" s="23">
        <f t="shared" si="54"/>
        <v>47168.041666666664</v>
      </c>
      <c r="C431" s="23">
        <f t="shared" si="55"/>
        <v>47175.000011574077</v>
      </c>
      <c r="H431" t="str">
        <f t="shared" si="48"/>
        <v>2029-02-19</v>
      </c>
      <c r="I431" t="str">
        <f t="shared" si="49"/>
        <v>2029-02-26</v>
      </c>
      <c r="J431" s="24" t="str">
        <f t="shared" si="50"/>
        <v>01:00:00</v>
      </c>
      <c r="K431" s="24" t="str">
        <f t="shared" si="51"/>
        <v>00:00:01</v>
      </c>
      <c r="M431" s="25" t="str">
        <f t="shared" si="52"/>
        <v>2029-02-19 01:00:00</v>
      </c>
      <c r="N431" s="25" t="str">
        <f t="shared" si="53"/>
        <v>2029-02-26 00:00:01</v>
      </c>
    </row>
    <row r="432" spans="2:14" x14ac:dyDescent="0.3">
      <c r="B432" s="23">
        <f t="shared" si="54"/>
        <v>47175.041666666664</v>
      </c>
      <c r="C432" s="23">
        <f t="shared" si="55"/>
        <v>47182.000011574077</v>
      </c>
      <c r="H432" t="str">
        <f t="shared" si="48"/>
        <v>2029-02-26</v>
      </c>
      <c r="I432" t="str">
        <f t="shared" si="49"/>
        <v>2029-03-05</v>
      </c>
      <c r="J432" s="24" t="str">
        <f t="shared" si="50"/>
        <v>01:00:00</v>
      </c>
      <c r="K432" s="24" t="str">
        <f t="shared" si="51"/>
        <v>00:00:01</v>
      </c>
      <c r="M432" s="25" t="str">
        <f t="shared" si="52"/>
        <v>2029-02-26 01:00:00</v>
      </c>
      <c r="N432" s="25" t="str">
        <f t="shared" si="53"/>
        <v>2029-03-05 00:00:01</v>
      </c>
    </row>
    <row r="433" spans="2:14" x14ac:dyDescent="0.3">
      <c r="B433" s="23">
        <f t="shared" si="54"/>
        <v>47182.041666666664</v>
      </c>
      <c r="C433" s="23">
        <f t="shared" si="55"/>
        <v>47189.000011574077</v>
      </c>
      <c r="H433" t="str">
        <f t="shared" si="48"/>
        <v>2029-03-05</v>
      </c>
      <c r="I433" t="str">
        <f t="shared" si="49"/>
        <v>2029-03-12</v>
      </c>
      <c r="J433" s="24" t="str">
        <f t="shared" si="50"/>
        <v>01:00:00</v>
      </c>
      <c r="K433" s="24" t="str">
        <f t="shared" si="51"/>
        <v>00:00:01</v>
      </c>
      <c r="M433" s="25" t="str">
        <f t="shared" si="52"/>
        <v>2029-03-05 01:00:00</v>
      </c>
      <c r="N433" s="25" t="str">
        <f t="shared" si="53"/>
        <v>2029-03-12 00:00:01</v>
      </c>
    </row>
    <row r="434" spans="2:14" x14ac:dyDescent="0.3">
      <c r="B434" s="23">
        <f t="shared" si="54"/>
        <v>47189.041666666664</v>
      </c>
      <c r="C434" s="23">
        <f t="shared" si="55"/>
        <v>47196.000011574077</v>
      </c>
      <c r="H434" t="str">
        <f t="shared" si="48"/>
        <v>2029-03-12</v>
      </c>
      <c r="I434" t="str">
        <f t="shared" si="49"/>
        <v>2029-03-19</v>
      </c>
      <c r="J434" s="24" t="str">
        <f t="shared" si="50"/>
        <v>01:00:00</v>
      </c>
      <c r="K434" s="24" t="str">
        <f t="shared" si="51"/>
        <v>00:00:01</v>
      </c>
      <c r="M434" s="25" t="str">
        <f t="shared" si="52"/>
        <v>2029-03-12 01:00:00</v>
      </c>
      <c r="N434" s="25" t="str">
        <f t="shared" si="53"/>
        <v>2029-03-19 00:00:01</v>
      </c>
    </row>
    <row r="435" spans="2:14" x14ac:dyDescent="0.3">
      <c r="B435" s="23">
        <f t="shared" si="54"/>
        <v>47196.041666666664</v>
      </c>
      <c r="C435" s="23">
        <f t="shared" si="55"/>
        <v>47203.000011574077</v>
      </c>
      <c r="H435" t="str">
        <f t="shared" si="48"/>
        <v>2029-03-19</v>
      </c>
      <c r="I435" t="str">
        <f t="shared" si="49"/>
        <v>2029-03-26</v>
      </c>
      <c r="J435" s="24" t="str">
        <f t="shared" si="50"/>
        <v>01:00:00</v>
      </c>
      <c r="K435" s="24" t="str">
        <f t="shared" si="51"/>
        <v>00:00:01</v>
      </c>
      <c r="M435" s="25" t="str">
        <f t="shared" si="52"/>
        <v>2029-03-19 01:00:00</v>
      </c>
      <c r="N435" s="25" t="str">
        <f t="shared" si="53"/>
        <v>2029-03-26 00:00:01</v>
      </c>
    </row>
    <row r="436" spans="2:14" x14ac:dyDescent="0.3">
      <c r="B436" s="23">
        <f t="shared" si="54"/>
        <v>47203.041666666664</v>
      </c>
      <c r="C436" s="23">
        <f t="shared" si="55"/>
        <v>47210.000011574077</v>
      </c>
      <c r="H436" t="str">
        <f t="shared" si="48"/>
        <v>2029-03-26</v>
      </c>
      <c r="I436" t="str">
        <f t="shared" si="49"/>
        <v>2029-04-02</v>
      </c>
      <c r="J436" s="24" t="str">
        <f t="shared" si="50"/>
        <v>01:00:00</v>
      </c>
      <c r="K436" s="24" t="str">
        <f t="shared" si="51"/>
        <v>00:00:01</v>
      </c>
      <c r="M436" s="25" t="str">
        <f t="shared" si="52"/>
        <v>2029-03-26 01:00:00</v>
      </c>
      <c r="N436" s="25" t="str">
        <f t="shared" si="53"/>
        <v>2029-04-02 00:00:01</v>
      </c>
    </row>
    <row r="437" spans="2:14" x14ac:dyDescent="0.3">
      <c r="B437" s="23">
        <f t="shared" si="54"/>
        <v>47210.041666666664</v>
      </c>
      <c r="C437" s="23">
        <f t="shared" si="55"/>
        <v>47217.000011574077</v>
      </c>
      <c r="H437" t="str">
        <f t="shared" si="48"/>
        <v>2029-04-02</v>
      </c>
      <c r="I437" t="str">
        <f t="shared" si="49"/>
        <v>2029-04-09</v>
      </c>
      <c r="J437" s="24" t="str">
        <f t="shared" si="50"/>
        <v>01:00:00</v>
      </c>
      <c r="K437" s="24" t="str">
        <f t="shared" si="51"/>
        <v>00:00:01</v>
      </c>
      <c r="M437" s="25" t="str">
        <f t="shared" si="52"/>
        <v>2029-04-02 01:00:00</v>
      </c>
      <c r="N437" s="25" t="str">
        <f t="shared" si="53"/>
        <v>2029-04-09 00:00:01</v>
      </c>
    </row>
    <row r="438" spans="2:14" x14ac:dyDescent="0.3">
      <c r="B438" s="23">
        <f t="shared" si="54"/>
        <v>47217.041666666664</v>
      </c>
      <c r="C438" s="23">
        <f t="shared" si="55"/>
        <v>47224.000011574077</v>
      </c>
      <c r="H438" t="str">
        <f t="shared" si="48"/>
        <v>2029-04-09</v>
      </c>
      <c r="I438" t="str">
        <f t="shared" si="49"/>
        <v>2029-04-16</v>
      </c>
      <c r="J438" s="24" t="str">
        <f t="shared" si="50"/>
        <v>01:00:00</v>
      </c>
      <c r="K438" s="24" t="str">
        <f t="shared" si="51"/>
        <v>00:00:01</v>
      </c>
      <c r="M438" s="25" t="str">
        <f t="shared" si="52"/>
        <v>2029-04-09 01:00:00</v>
      </c>
      <c r="N438" s="25" t="str">
        <f t="shared" si="53"/>
        <v>2029-04-16 00:00:01</v>
      </c>
    </row>
    <row r="439" spans="2:14" x14ac:dyDescent="0.3">
      <c r="B439" s="23">
        <f t="shared" si="54"/>
        <v>47224.041666666664</v>
      </c>
      <c r="C439" s="23">
        <f t="shared" si="55"/>
        <v>47231.000011574077</v>
      </c>
      <c r="H439" t="str">
        <f t="shared" si="48"/>
        <v>2029-04-16</v>
      </c>
      <c r="I439" t="str">
        <f t="shared" si="49"/>
        <v>2029-04-23</v>
      </c>
      <c r="J439" s="24" t="str">
        <f t="shared" si="50"/>
        <v>01:00:00</v>
      </c>
      <c r="K439" s="24" t="str">
        <f t="shared" si="51"/>
        <v>00:00:01</v>
      </c>
      <c r="M439" s="25" t="str">
        <f t="shared" si="52"/>
        <v>2029-04-16 01:00:00</v>
      </c>
      <c r="N439" s="25" t="str">
        <f t="shared" si="53"/>
        <v>2029-04-23 00:00:01</v>
      </c>
    </row>
    <row r="440" spans="2:14" x14ac:dyDescent="0.3">
      <c r="B440" s="23">
        <f t="shared" si="54"/>
        <v>47231.041666666664</v>
      </c>
      <c r="C440" s="23">
        <f t="shared" si="55"/>
        <v>47238.000011574077</v>
      </c>
      <c r="H440" t="str">
        <f t="shared" si="48"/>
        <v>2029-04-23</v>
      </c>
      <c r="I440" t="str">
        <f t="shared" si="49"/>
        <v>2029-04-30</v>
      </c>
      <c r="J440" s="24" t="str">
        <f t="shared" si="50"/>
        <v>01:00:00</v>
      </c>
      <c r="K440" s="24" t="str">
        <f t="shared" si="51"/>
        <v>00:00:01</v>
      </c>
      <c r="M440" s="25" t="str">
        <f t="shared" si="52"/>
        <v>2029-04-23 01:00:00</v>
      </c>
      <c r="N440" s="25" t="str">
        <f t="shared" si="53"/>
        <v>2029-04-30 00:00:01</v>
      </c>
    </row>
    <row r="441" spans="2:14" x14ac:dyDescent="0.3">
      <c r="B441" s="23">
        <f t="shared" si="54"/>
        <v>47238.041666666664</v>
      </c>
      <c r="C441" s="23">
        <f t="shared" si="55"/>
        <v>47245.000011574077</v>
      </c>
      <c r="H441" t="str">
        <f t="shared" si="48"/>
        <v>2029-04-30</v>
      </c>
      <c r="I441" t="str">
        <f t="shared" si="49"/>
        <v>2029-05-07</v>
      </c>
      <c r="J441" s="24" t="str">
        <f t="shared" si="50"/>
        <v>01:00:00</v>
      </c>
      <c r="K441" s="24" t="str">
        <f t="shared" si="51"/>
        <v>00:00:01</v>
      </c>
      <c r="M441" s="25" t="str">
        <f t="shared" si="52"/>
        <v>2029-04-30 01:00:00</v>
      </c>
      <c r="N441" s="25" t="str">
        <f t="shared" si="53"/>
        <v>2029-05-07 00:00:01</v>
      </c>
    </row>
    <row r="442" spans="2:14" x14ac:dyDescent="0.3">
      <c r="B442" s="23">
        <f t="shared" si="54"/>
        <v>47245.041666666664</v>
      </c>
      <c r="C442" s="23">
        <f t="shared" si="55"/>
        <v>47252.000011574077</v>
      </c>
      <c r="H442" t="str">
        <f t="shared" si="48"/>
        <v>2029-05-07</v>
      </c>
      <c r="I442" t="str">
        <f t="shared" si="49"/>
        <v>2029-05-14</v>
      </c>
      <c r="J442" s="24" t="str">
        <f t="shared" si="50"/>
        <v>01:00:00</v>
      </c>
      <c r="K442" s="24" t="str">
        <f t="shared" si="51"/>
        <v>00:00:01</v>
      </c>
      <c r="M442" s="25" t="str">
        <f t="shared" si="52"/>
        <v>2029-05-07 01:00:00</v>
      </c>
      <c r="N442" s="25" t="str">
        <f t="shared" si="53"/>
        <v>2029-05-14 00:00:01</v>
      </c>
    </row>
    <row r="443" spans="2:14" x14ac:dyDescent="0.3">
      <c r="B443" s="23">
        <f t="shared" si="54"/>
        <v>47252.041666666664</v>
      </c>
      <c r="C443" s="23">
        <f t="shared" si="55"/>
        <v>47259.000011574077</v>
      </c>
      <c r="H443" t="str">
        <f t="shared" si="48"/>
        <v>2029-05-14</v>
      </c>
      <c r="I443" t="str">
        <f t="shared" si="49"/>
        <v>2029-05-21</v>
      </c>
      <c r="J443" s="24" t="str">
        <f t="shared" si="50"/>
        <v>01:00:00</v>
      </c>
      <c r="K443" s="24" t="str">
        <f t="shared" si="51"/>
        <v>00:00:01</v>
      </c>
      <c r="M443" s="25" t="str">
        <f t="shared" si="52"/>
        <v>2029-05-14 01:00:00</v>
      </c>
      <c r="N443" s="25" t="str">
        <f t="shared" si="53"/>
        <v>2029-05-21 00:00:01</v>
      </c>
    </row>
    <row r="444" spans="2:14" x14ac:dyDescent="0.3">
      <c r="B444" s="23">
        <f t="shared" si="54"/>
        <v>47259.041666666664</v>
      </c>
      <c r="C444" s="23">
        <f t="shared" si="55"/>
        <v>47266.000011574077</v>
      </c>
      <c r="H444" t="str">
        <f t="shared" si="48"/>
        <v>2029-05-21</v>
      </c>
      <c r="I444" t="str">
        <f t="shared" si="49"/>
        <v>2029-05-28</v>
      </c>
      <c r="J444" s="24" t="str">
        <f t="shared" si="50"/>
        <v>01:00:00</v>
      </c>
      <c r="K444" s="24" t="str">
        <f t="shared" si="51"/>
        <v>00:00:01</v>
      </c>
      <c r="M444" s="25" t="str">
        <f t="shared" si="52"/>
        <v>2029-05-21 01:00:00</v>
      </c>
      <c r="N444" s="25" t="str">
        <f t="shared" si="53"/>
        <v>2029-05-28 00:00:01</v>
      </c>
    </row>
    <row r="445" spans="2:14" x14ac:dyDescent="0.3">
      <c r="B445" s="23">
        <f t="shared" si="54"/>
        <v>47266.041666666664</v>
      </c>
      <c r="C445" s="23">
        <f t="shared" si="55"/>
        <v>47273.000011574077</v>
      </c>
      <c r="H445" t="str">
        <f t="shared" si="48"/>
        <v>2029-05-28</v>
      </c>
      <c r="I445" t="str">
        <f t="shared" si="49"/>
        <v>2029-06-04</v>
      </c>
      <c r="J445" s="24" t="str">
        <f t="shared" si="50"/>
        <v>01:00:00</v>
      </c>
      <c r="K445" s="24" t="str">
        <f t="shared" si="51"/>
        <v>00:00:01</v>
      </c>
      <c r="M445" s="25" t="str">
        <f t="shared" si="52"/>
        <v>2029-05-28 01:00:00</v>
      </c>
      <c r="N445" s="25" t="str">
        <f t="shared" si="53"/>
        <v>2029-06-04 00:00:01</v>
      </c>
    </row>
    <row r="446" spans="2:14" x14ac:dyDescent="0.3">
      <c r="B446" s="23">
        <f t="shared" si="54"/>
        <v>47273.041666666664</v>
      </c>
      <c r="C446" s="23">
        <f t="shared" si="55"/>
        <v>47280.000011574077</v>
      </c>
      <c r="H446" t="str">
        <f t="shared" si="48"/>
        <v>2029-06-04</v>
      </c>
      <c r="I446" t="str">
        <f t="shared" si="49"/>
        <v>2029-06-11</v>
      </c>
      <c r="J446" s="24" t="str">
        <f t="shared" si="50"/>
        <v>01:00:00</v>
      </c>
      <c r="K446" s="24" t="str">
        <f t="shared" si="51"/>
        <v>00:00:01</v>
      </c>
      <c r="M446" s="25" t="str">
        <f t="shared" si="52"/>
        <v>2029-06-04 01:00:00</v>
      </c>
      <c r="N446" s="25" t="str">
        <f t="shared" si="53"/>
        <v>2029-06-11 00:00:01</v>
      </c>
    </row>
    <row r="447" spans="2:14" x14ac:dyDescent="0.3">
      <c r="B447" s="23">
        <f t="shared" si="54"/>
        <v>47280.041666666664</v>
      </c>
      <c r="C447" s="23">
        <f t="shared" si="55"/>
        <v>47287.000011574077</v>
      </c>
      <c r="H447" t="str">
        <f t="shared" si="48"/>
        <v>2029-06-11</v>
      </c>
      <c r="I447" t="str">
        <f t="shared" si="49"/>
        <v>2029-06-18</v>
      </c>
      <c r="J447" s="24" t="str">
        <f t="shared" si="50"/>
        <v>01:00:00</v>
      </c>
      <c r="K447" s="24" t="str">
        <f t="shared" si="51"/>
        <v>00:00:01</v>
      </c>
      <c r="M447" s="25" t="str">
        <f t="shared" si="52"/>
        <v>2029-06-11 01:00:00</v>
      </c>
      <c r="N447" s="25" t="str">
        <f t="shared" si="53"/>
        <v>2029-06-18 00:00:01</v>
      </c>
    </row>
    <row r="448" spans="2:14" x14ac:dyDescent="0.3">
      <c r="B448" s="23">
        <f t="shared" si="54"/>
        <v>47287.041666666664</v>
      </c>
      <c r="C448" s="23">
        <f t="shared" si="55"/>
        <v>47294.000011574077</v>
      </c>
      <c r="H448" t="str">
        <f t="shared" si="48"/>
        <v>2029-06-18</v>
      </c>
      <c r="I448" t="str">
        <f t="shared" si="49"/>
        <v>2029-06-25</v>
      </c>
      <c r="J448" s="24" t="str">
        <f t="shared" si="50"/>
        <v>01:00:00</v>
      </c>
      <c r="K448" s="24" t="str">
        <f t="shared" si="51"/>
        <v>00:00:01</v>
      </c>
      <c r="M448" s="25" t="str">
        <f t="shared" si="52"/>
        <v>2029-06-18 01:00:00</v>
      </c>
      <c r="N448" s="25" t="str">
        <f t="shared" si="53"/>
        <v>2029-06-25 00:00:01</v>
      </c>
    </row>
    <row r="449" spans="2:14" x14ac:dyDescent="0.3">
      <c r="B449" s="23">
        <f t="shared" si="54"/>
        <v>47294.041666666664</v>
      </c>
      <c r="C449" s="23">
        <f t="shared" si="55"/>
        <v>47301.000011574077</v>
      </c>
      <c r="H449" t="str">
        <f t="shared" si="48"/>
        <v>2029-06-25</v>
      </c>
      <c r="I449" t="str">
        <f t="shared" si="49"/>
        <v>2029-07-02</v>
      </c>
      <c r="J449" s="24" t="str">
        <f t="shared" si="50"/>
        <v>01:00:00</v>
      </c>
      <c r="K449" s="24" t="str">
        <f t="shared" si="51"/>
        <v>00:00:01</v>
      </c>
      <c r="M449" s="25" t="str">
        <f t="shared" si="52"/>
        <v>2029-06-25 01:00:00</v>
      </c>
      <c r="N449" s="25" t="str">
        <f t="shared" si="53"/>
        <v>2029-07-02 00:00:01</v>
      </c>
    </row>
    <row r="450" spans="2:14" x14ac:dyDescent="0.3">
      <c r="B450" s="23">
        <f t="shared" si="54"/>
        <v>47301.041666666664</v>
      </c>
      <c r="C450" s="23">
        <f t="shared" si="55"/>
        <v>47308.000011574077</v>
      </c>
      <c r="H450" t="str">
        <f t="shared" si="48"/>
        <v>2029-07-02</v>
      </c>
      <c r="I450" t="str">
        <f t="shared" si="49"/>
        <v>2029-07-09</v>
      </c>
      <c r="J450" s="24" t="str">
        <f t="shared" si="50"/>
        <v>01:00:00</v>
      </c>
      <c r="K450" s="24" t="str">
        <f t="shared" si="51"/>
        <v>00:00:01</v>
      </c>
      <c r="M450" s="25" t="str">
        <f t="shared" si="52"/>
        <v>2029-07-02 01:00:00</v>
      </c>
      <c r="N450" s="25" t="str">
        <f t="shared" si="53"/>
        <v>2029-07-09 00:00:01</v>
      </c>
    </row>
    <row r="451" spans="2:14" x14ac:dyDescent="0.3">
      <c r="B451" s="23">
        <f t="shared" si="54"/>
        <v>47308.041666666664</v>
      </c>
      <c r="C451" s="23">
        <f t="shared" si="55"/>
        <v>47315.000011574077</v>
      </c>
      <c r="H451" t="str">
        <f t="shared" si="48"/>
        <v>2029-07-09</v>
      </c>
      <c r="I451" t="str">
        <f t="shared" si="49"/>
        <v>2029-07-16</v>
      </c>
      <c r="J451" s="24" t="str">
        <f t="shared" si="50"/>
        <v>01:00:00</v>
      </c>
      <c r="K451" s="24" t="str">
        <f t="shared" si="51"/>
        <v>00:00:01</v>
      </c>
      <c r="M451" s="25" t="str">
        <f t="shared" si="52"/>
        <v>2029-07-09 01:00:00</v>
      </c>
      <c r="N451" s="25" t="str">
        <f t="shared" si="53"/>
        <v>2029-07-16 00:00:01</v>
      </c>
    </row>
    <row r="452" spans="2:14" x14ac:dyDescent="0.3">
      <c r="B452" s="23">
        <f t="shared" si="54"/>
        <v>47315.041666666664</v>
      </c>
      <c r="C452" s="23">
        <f t="shared" si="55"/>
        <v>47322.000011574077</v>
      </c>
      <c r="H452" t="str">
        <f t="shared" si="48"/>
        <v>2029-07-16</v>
      </c>
      <c r="I452" t="str">
        <f t="shared" si="49"/>
        <v>2029-07-23</v>
      </c>
      <c r="J452" s="24" t="str">
        <f t="shared" si="50"/>
        <v>01:00:00</v>
      </c>
      <c r="K452" s="24" t="str">
        <f t="shared" si="51"/>
        <v>00:00:01</v>
      </c>
      <c r="M452" s="25" t="str">
        <f t="shared" si="52"/>
        <v>2029-07-16 01:00:00</v>
      </c>
      <c r="N452" s="25" t="str">
        <f t="shared" si="53"/>
        <v>2029-07-23 00:00:01</v>
      </c>
    </row>
    <row r="453" spans="2:14" x14ac:dyDescent="0.3">
      <c r="B453" s="23">
        <f t="shared" si="54"/>
        <v>47322.041666666664</v>
      </c>
      <c r="C453" s="23">
        <f t="shared" si="55"/>
        <v>47329.000011574077</v>
      </c>
      <c r="H453" t="str">
        <f t="shared" si="48"/>
        <v>2029-07-23</v>
      </c>
      <c r="I453" t="str">
        <f t="shared" si="49"/>
        <v>2029-07-30</v>
      </c>
      <c r="J453" s="24" t="str">
        <f t="shared" si="50"/>
        <v>01:00:00</v>
      </c>
      <c r="K453" s="24" t="str">
        <f t="shared" si="51"/>
        <v>00:00:01</v>
      </c>
      <c r="M453" s="25" t="str">
        <f t="shared" si="52"/>
        <v>2029-07-23 01:00:00</v>
      </c>
      <c r="N453" s="25" t="str">
        <f t="shared" si="53"/>
        <v>2029-07-30 00:00:01</v>
      </c>
    </row>
    <row r="454" spans="2:14" x14ac:dyDescent="0.3">
      <c r="B454" s="23">
        <f t="shared" si="54"/>
        <v>47329.041666666664</v>
      </c>
      <c r="C454" s="23">
        <f t="shared" si="55"/>
        <v>47336.000011574077</v>
      </c>
      <c r="H454" t="str">
        <f t="shared" si="48"/>
        <v>2029-07-30</v>
      </c>
      <c r="I454" t="str">
        <f t="shared" si="49"/>
        <v>2029-08-06</v>
      </c>
      <c r="J454" s="24" t="str">
        <f t="shared" si="50"/>
        <v>01:00:00</v>
      </c>
      <c r="K454" s="24" t="str">
        <f t="shared" si="51"/>
        <v>00:00:01</v>
      </c>
      <c r="M454" s="25" t="str">
        <f t="shared" si="52"/>
        <v>2029-07-30 01:00:00</v>
      </c>
      <c r="N454" s="25" t="str">
        <f t="shared" si="53"/>
        <v>2029-08-06 00:00:01</v>
      </c>
    </row>
    <row r="455" spans="2:14" x14ac:dyDescent="0.3">
      <c r="B455" s="23">
        <f t="shared" si="54"/>
        <v>47336.041666666664</v>
      </c>
      <c r="C455" s="23">
        <f t="shared" si="55"/>
        <v>47343.000011574077</v>
      </c>
      <c r="H455" t="str">
        <f t="shared" si="48"/>
        <v>2029-08-06</v>
      </c>
      <c r="I455" t="str">
        <f t="shared" si="49"/>
        <v>2029-08-13</v>
      </c>
      <c r="J455" s="24" t="str">
        <f t="shared" si="50"/>
        <v>01:00:00</v>
      </c>
      <c r="K455" s="24" t="str">
        <f t="shared" si="51"/>
        <v>00:00:01</v>
      </c>
      <c r="M455" s="25" t="str">
        <f t="shared" si="52"/>
        <v>2029-08-06 01:00:00</v>
      </c>
      <c r="N455" s="25" t="str">
        <f t="shared" si="53"/>
        <v>2029-08-13 00:00:01</v>
      </c>
    </row>
    <row r="456" spans="2:14" x14ac:dyDescent="0.3">
      <c r="B456" s="23">
        <f t="shared" si="54"/>
        <v>47343.041666666664</v>
      </c>
      <c r="C456" s="23">
        <f t="shared" si="55"/>
        <v>47350.000011574077</v>
      </c>
      <c r="H456" t="str">
        <f t="shared" ref="H456:H519" si="56">TEXT(B456,"yyyy-mm-dd")</f>
        <v>2029-08-13</v>
      </c>
      <c r="I456" t="str">
        <f t="shared" ref="I456:I519" si="57">TEXT(C456,"yyyy-mm-dd")</f>
        <v>2029-08-20</v>
      </c>
      <c r="J456" s="24" t="str">
        <f t="shared" ref="J456:J519" si="58">TEXT(B456,"hh:mm:ss")</f>
        <v>01:00:00</v>
      </c>
      <c r="K456" s="24" t="str">
        <f t="shared" ref="K456:K519" si="59">TEXT(C456,"hh:mm:ss")</f>
        <v>00:00:01</v>
      </c>
      <c r="M456" s="25" t="str">
        <f t="shared" ref="M456:M519" si="60">CONCATENATE(H456," ",J456)</f>
        <v>2029-08-13 01:00:00</v>
      </c>
      <c r="N456" s="25" t="str">
        <f t="shared" ref="N456:N519" si="61">CONCATENATE(I456," ",K456)</f>
        <v>2029-08-20 00:00:01</v>
      </c>
    </row>
    <row r="457" spans="2:14" x14ac:dyDescent="0.3">
      <c r="B457" s="23">
        <f t="shared" ref="B457:B520" si="62">C456+TIME($F$3,0,0)-TIME(0,0,1)</f>
        <v>47350.041666666664</v>
      </c>
      <c r="C457" s="23">
        <f t="shared" ref="C457:C520" si="63">B457+$E$3-TIME($F$3,0,0)+TIME(0,0,1)</f>
        <v>47357.000011574077</v>
      </c>
      <c r="H457" t="str">
        <f t="shared" si="56"/>
        <v>2029-08-20</v>
      </c>
      <c r="I457" t="str">
        <f t="shared" si="57"/>
        <v>2029-08-27</v>
      </c>
      <c r="J457" s="24" t="str">
        <f t="shared" si="58"/>
        <v>01:00:00</v>
      </c>
      <c r="K457" s="24" t="str">
        <f t="shared" si="59"/>
        <v>00:00:01</v>
      </c>
      <c r="M457" s="25" t="str">
        <f t="shared" si="60"/>
        <v>2029-08-20 01:00:00</v>
      </c>
      <c r="N457" s="25" t="str">
        <f t="shared" si="61"/>
        <v>2029-08-27 00:00:01</v>
      </c>
    </row>
    <row r="458" spans="2:14" x14ac:dyDescent="0.3">
      <c r="B458" s="23">
        <f t="shared" si="62"/>
        <v>47357.041666666664</v>
      </c>
      <c r="C458" s="23">
        <f t="shared" si="63"/>
        <v>47364.000011574077</v>
      </c>
      <c r="H458" t="str">
        <f t="shared" si="56"/>
        <v>2029-08-27</v>
      </c>
      <c r="I458" t="str">
        <f t="shared" si="57"/>
        <v>2029-09-03</v>
      </c>
      <c r="J458" s="24" t="str">
        <f t="shared" si="58"/>
        <v>01:00:00</v>
      </c>
      <c r="K458" s="24" t="str">
        <f t="shared" si="59"/>
        <v>00:00:01</v>
      </c>
      <c r="M458" s="25" t="str">
        <f t="shared" si="60"/>
        <v>2029-08-27 01:00:00</v>
      </c>
      <c r="N458" s="25" t="str">
        <f t="shared" si="61"/>
        <v>2029-09-03 00:00:01</v>
      </c>
    </row>
    <row r="459" spans="2:14" x14ac:dyDescent="0.3">
      <c r="B459" s="23">
        <f t="shared" si="62"/>
        <v>47364.041666666664</v>
      </c>
      <c r="C459" s="23">
        <f t="shared" si="63"/>
        <v>47371.000011574077</v>
      </c>
      <c r="H459" t="str">
        <f t="shared" si="56"/>
        <v>2029-09-03</v>
      </c>
      <c r="I459" t="str">
        <f t="shared" si="57"/>
        <v>2029-09-10</v>
      </c>
      <c r="J459" s="24" t="str">
        <f t="shared" si="58"/>
        <v>01:00:00</v>
      </c>
      <c r="K459" s="24" t="str">
        <f t="shared" si="59"/>
        <v>00:00:01</v>
      </c>
      <c r="M459" s="25" t="str">
        <f t="shared" si="60"/>
        <v>2029-09-03 01:00:00</v>
      </c>
      <c r="N459" s="25" t="str">
        <f t="shared" si="61"/>
        <v>2029-09-10 00:00:01</v>
      </c>
    </row>
    <row r="460" spans="2:14" x14ac:dyDescent="0.3">
      <c r="B460" s="23">
        <f t="shared" si="62"/>
        <v>47371.041666666664</v>
      </c>
      <c r="C460" s="23">
        <f t="shared" si="63"/>
        <v>47378.000011574077</v>
      </c>
      <c r="H460" t="str">
        <f t="shared" si="56"/>
        <v>2029-09-10</v>
      </c>
      <c r="I460" t="str">
        <f t="shared" si="57"/>
        <v>2029-09-17</v>
      </c>
      <c r="J460" s="24" t="str">
        <f t="shared" si="58"/>
        <v>01:00:00</v>
      </c>
      <c r="K460" s="24" t="str">
        <f t="shared" si="59"/>
        <v>00:00:01</v>
      </c>
      <c r="M460" s="25" t="str">
        <f t="shared" si="60"/>
        <v>2029-09-10 01:00:00</v>
      </c>
      <c r="N460" s="25" t="str">
        <f t="shared" si="61"/>
        <v>2029-09-17 00:00:01</v>
      </c>
    </row>
    <row r="461" spans="2:14" x14ac:dyDescent="0.3">
      <c r="B461" s="23">
        <f t="shared" si="62"/>
        <v>47378.041666666664</v>
      </c>
      <c r="C461" s="23">
        <f t="shared" si="63"/>
        <v>47385.000011574077</v>
      </c>
      <c r="H461" t="str">
        <f t="shared" si="56"/>
        <v>2029-09-17</v>
      </c>
      <c r="I461" t="str">
        <f t="shared" si="57"/>
        <v>2029-09-24</v>
      </c>
      <c r="J461" s="24" t="str">
        <f t="shared" si="58"/>
        <v>01:00:00</v>
      </c>
      <c r="K461" s="24" t="str">
        <f t="shared" si="59"/>
        <v>00:00:01</v>
      </c>
      <c r="M461" s="25" t="str">
        <f t="shared" si="60"/>
        <v>2029-09-17 01:00:00</v>
      </c>
      <c r="N461" s="25" t="str">
        <f t="shared" si="61"/>
        <v>2029-09-24 00:00:01</v>
      </c>
    </row>
    <row r="462" spans="2:14" x14ac:dyDescent="0.3">
      <c r="B462" s="23">
        <f t="shared" si="62"/>
        <v>47385.041666666664</v>
      </c>
      <c r="C462" s="23">
        <f t="shared" si="63"/>
        <v>47392.000011574077</v>
      </c>
      <c r="H462" t="str">
        <f t="shared" si="56"/>
        <v>2029-09-24</v>
      </c>
      <c r="I462" t="str">
        <f t="shared" si="57"/>
        <v>2029-10-01</v>
      </c>
      <c r="J462" s="24" t="str">
        <f t="shared" si="58"/>
        <v>01:00:00</v>
      </c>
      <c r="K462" s="24" t="str">
        <f t="shared" si="59"/>
        <v>00:00:01</v>
      </c>
      <c r="M462" s="25" t="str">
        <f t="shared" si="60"/>
        <v>2029-09-24 01:00:00</v>
      </c>
      <c r="N462" s="25" t="str">
        <f t="shared" si="61"/>
        <v>2029-10-01 00:00:01</v>
      </c>
    </row>
    <row r="463" spans="2:14" x14ac:dyDescent="0.3">
      <c r="B463" s="23">
        <f t="shared" si="62"/>
        <v>47392.041666666664</v>
      </c>
      <c r="C463" s="23">
        <f t="shared" si="63"/>
        <v>47399.000011574077</v>
      </c>
      <c r="H463" t="str">
        <f t="shared" si="56"/>
        <v>2029-10-01</v>
      </c>
      <c r="I463" t="str">
        <f t="shared" si="57"/>
        <v>2029-10-08</v>
      </c>
      <c r="J463" s="24" t="str">
        <f t="shared" si="58"/>
        <v>01:00:00</v>
      </c>
      <c r="K463" s="24" t="str">
        <f t="shared" si="59"/>
        <v>00:00:01</v>
      </c>
      <c r="M463" s="25" t="str">
        <f t="shared" si="60"/>
        <v>2029-10-01 01:00:00</v>
      </c>
      <c r="N463" s="25" t="str">
        <f t="shared" si="61"/>
        <v>2029-10-08 00:00:01</v>
      </c>
    </row>
    <row r="464" spans="2:14" x14ac:dyDescent="0.3">
      <c r="B464" s="23">
        <f t="shared" si="62"/>
        <v>47399.041666666664</v>
      </c>
      <c r="C464" s="23">
        <f t="shared" si="63"/>
        <v>47406.000011574077</v>
      </c>
      <c r="H464" t="str">
        <f t="shared" si="56"/>
        <v>2029-10-08</v>
      </c>
      <c r="I464" t="str">
        <f t="shared" si="57"/>
        <v>2029-10-15</v>
      </c>
      <c r="J464" s="24" t="str">
        <f t="shared" si="58"/>
        <v>01:00:00</v>
      </c>
      <c r="K464" s="24" t="str">
        <f t="shared" si="59"/>
        <v>00:00:01</v>
      </c>
      <c r="M464" s="25" t="str">
        <f t="shared" si="60"/>
        <v>2029-10-08 01:00:00</v>
      </c>
      <c r="N464" s="25" t="str">
        <f t="shared" si="61"/>
        <v>2029-10-15 00:00:01</v>
      </c>
    </row>
    <row r="465" spans="2:14" x14ac:dyDescent="0.3">
      <c r="B465" s="23">
        <f t="shared" si="62"/>
        <v>47406.041666666664</v>
      </c>
      <c r="C465" s="23">
        <f t="shared" si="63"/>
        <v>47413.000011574077</v>
      </c>
      <c r="H465" t="str">
        <f t="shared" si="56"/>
        <v>2029-10-15</v>
      </c>
      <c r="I465" t="str">
        <f t="shared" si="57"/>
        <v>2029-10-22</v>
      </c>
      <c r="J465" s="24" t="str">
        <f t="shared" si="58"/>
        <v>01:00:00</v>
      </c>
      <c r="K465" s="24" t="str">
        <f t="shared" si="59"/>
        <v>00:00:01</v>
      </c>
      <c r="M465" s="25" t="str">
        <f t="shared" si="60"/>
        <v>2029-10-15 01:00:00</v>
      </c>
      <c r="N465" s="25" t="str">
        <f t="shared" si="61"/>
        <v>2029-10-22 00:00:01</v>
      </c>
    </row>
    <row r="466" spans="2:14" x14ac:dyDescent="0.3">
      <c r="B466" s="23">
        <f t="shared" si="62"/>
        <v>47413.041666666664</v>
      </c>
      <c r="C466" s="23">
        <f t="shared" si="63"/>
        <v>47420.000011574077</v>
      </c>
      <c r="H466" t="str">
        <f t="shared" si="56"/>
        <v>2029-10-22</v>
      </c>
      <c r="I466" t="str">
        <f t="shared" si="57"/>
        <v>2029-10-29</v>
      </c>
      <c r="J466" s="24" t="str">
        <f t="shared" si="58"/>
        <v>01:00:00</v>
      </c>
      <c r="K466" s="24" t="str">
        <f t="shared" si="59"/>
        <v>00:00:01</v>
      </c>
      <c r="M466" s="25" t="str">
        <f t="shared" si="60"/>
        <v>2029-10-22 01:00:00</v>
      </c>
      <c r="N466" s="25" t="str">
        <f t="shared" si="61"/>
        <v>2029-10-29 00:00:01</v>
      </c>
    </row>
    <row r="467" spans="2:14" x14ac:dyDescent="0.3">
      <c r="B467" s="23">
        <f t="shared" si="62"/>
        <v>47420.041666666664</v>
      </c>
      <c r="C467" s="23">
        <f t="shared" si="63"/>
        <v>47427.000011574077</v>
      </c>
      <c r="H467" t="str">
        <f t="shared" si="56"/>
        <v>2029-10-29</v>
      </c>
      <c r="I467" t="str">
        <f t="shared" si="57"/>
        <v>2029-11-05</v>
      </c>
      <c r="J467" s="24" t="str">
        <f t="shared" si="58"/>
        <v>01:00:00</v>
      </c>
      <c r="K467" s="24" t="str">
        <f t="shared" si="59"/>
        <v>00:00:01</v>
      </c>
      <c r="M467" s="25" t="str">
        <f t="shared" si="60"/>
        <v>2029-10-29 01:00:00</v>
      </c>
      <c r="N467" s="25" t="str">
        <f t="shared" si="61"/>
        <v>2029-11-05 00:00:01</v>
      </c>
    </row>
    <row r="468" spans="2:14" x14ac:dyDescent="0.3">
      <c r="B468" s="23">
        <f t="shared" si="62"/>
        <v>47427.041666666664</v>
      </c>
      <c r="C468" s="23">
        <f t="shared" si="63"/>
        <v>47434.000011574077</v>
      </c>
      <c r="H468" t="str">
        <f t="shared" si="56"/>
        <v>2029-11-05</v>
      </c>
      <c r="I468" t="str">
        <f t="shared" si="57"/>
        <v>2029-11-12</v>
      </c>
      <c r="J468" s="24" t="str">
        <f t="shared" si="58"/>
        <v>01:00:00</v>
      </c>
      <c r="K468" s="24" t="str">
        <f t="shared" si="59"/>
        <v>00:00:01</v>
      </c>
      <c r="M468" s="25" t="str">
        <f t="shared" si="60"/>
        <v>2029-11-05 01:00:00</v>
      </c>
      <c r="N468" s="25" t="str">
        <f t="shared" si="61"/>
        <v>2029-11-12 00:00:01</v>
      </c>
    </row>
    <row r="469" spans="2:14" x14ac:dyDescent="0.3">
      <c r="B469" s="23">
        <f t="shared" si="62"/>
        <v>47434.041666666664</v>
      </c>
      <c r="C469" s="23">
        <f t="shared" si="63"/>
        <v>47441.000011574077</v>
      </c>
      <c r="H469" t="str">
        <f t="shared" si="56"/>
        <v>2029-11-12</v>
      </c>
      <c r="I469" t="str">
        <f t="shared" si="57"/>
        <v>2029-11-19</v>
      </c>
      <c r="J469" s="24" t="str">
        <f t="shared" si="58"/>
        <v>01:00:00</v>
      </c>
      <c r="K469" s="24" t="str">
        <f t="shared" si="59"/>
        <v>00:00:01</v>
      </c>
      <c r="M469" s="25" t="str">
        <f t="shared" si="60"/>
        <v>2029-11-12 01:00:00</v>
      </c>
      <c r="N469" s="25" t="str">
        <f t="shared" si="61"/>
        <v>2029-11-19 00:00:01</v>
      </c>
    </row>
    <row r="470" spans="2:14" x14ac:dyDescent="0.3">
      <c r="B470" s="23">
        <f t="shared" si="62"/>
        <v>47441.041666666664</v>
      </c>
      <c r="C470" s="23">
        <f t="shared" si="63"/>
        <v>47448.000011574077</v>
      </c>
      <c r="H470" t="str">
        <f t="shared" si="56"/>
        <v>2029-11-19</v>
      </c>
      <c r="I470" t="str">
        <f t="shared" si="57"/>
        <v>2029-11-26</v>
      </c>
      <c r="J470" s="24" t="str">
        <f t="shared" si="58"/>
        <v>01:00:00</v>
      </c>
      <c r="K470" s="24" t="str">
        <f t="shared" si="59"/>
        <v>00:00:01</v>
      </c>
      <c r="M470" s="25" t="str">
        <f t="shared" si="60"/>
        <v>2029-11-19 01:00:00</v>
      </c>
      <c r="N470" s="25" t="str">
        <f t="shared" si="61"/>
        <v>2029-11-26 00:00:01</v>
      </c>
    </row>
    <row r="471" spans="2:14" x14ac:dyDescent="0.3">
      <c r="B471" s="23">
        <f t="shared" si="62"/>
        <v>47448.041666666664</v>
      </c>
      <c r="C471" s="23">
        <f t="shared" si="63"/>
        <v>47455.000011574077</v>
      </c>
      <c r="H471" t="str">
        <f t="shared" si="56"/>
        <v>2029-11-26</v>
      </c>
      <c r="I471" t="str">
        <f t="shared" si="57"/>
        <v>2029-12-03</v>
      </c>
      <c r="J471" s="24" t="str">
        <f t="shared" si="58"/>
        <v>01:00:00</v>
      </c>
      <c r="K471" s="24" t="str">
        <f t="shared" si="59"/>
        <v>00:00:01</v>
      </c>
      <c r="M471" s="25" t="str">
        <f t="shared" si="60"/>
        <v>2029-11-26 01:00:00</v>
      </c>
      <c r="N471" s="25" t="str">
        <f t="shared" si="61"/>
        <v>2029-12-03 00:00:01</v>
      </c>
    </row>
    <row r="472" spans="2:14" x14ac:dyDescent="0.3">
      <c r="B472" s="23">
        <f t="shared" si="62"/>
        <v>47455.041666666664</v>
      </c>
      <c r="C472" s="23">
        <f t="shared" si="63"/>
        <v>47462.000011574077</v>
      </c>
      <c r="H472" t="str">
        <f t="shared" si="56"/>
        <v>2029-12-03</v>
      </c>
      <c r="I472" t="str">
        <f t="shared" si="57"/>
        <v>2029-12-10</v>
      </c>
      <c r="J472" s="24" t="str">
        <f t="shared" si="58"/>
        <v>01:00:00</v>
      </c>
      <c r="K472" s="24" t="str">
        <f t="shared" si="59"/>
        <v>00:00:01</v>
      </c>
      <c r="M472" s="25" t="str">
        <f t="shared" si="60"/>
        <v>2029-12-03 01:00:00</v>
      </c>
      <c r="N472" s="25" t="str">
        <f t="shared" si="61"/>
        <v>2029-12-10 00:00:01</v>
      </c>
    </row>
    <row r="473" spans="2:14" x14ac:dyDescent="0.3">
      <c r="B473" s="23">
        <f t="shared" si="62"/>
        <v>47462.041666666664</v>
      </c>
      <c r="C473" s="23">
        <f t="shared" si="63"/>
        <v>47469.000011574077</v>
      </c>
      <c r="H473" t="str">
        <f t="shared" si="56"/>
        <v>2029-12-10</v>
      </c>
      <c r="I473" t="str">
        <f t="shared" si="57"/>
        <v>2029-12-17</v>
      </c>
      <c r="J473" s="24" t="str">
        <f t="shared" si="58"/>
        <v>01:00:00</v>
      </c>
      <c r="K473" s="24" t="str">
        <f t="shared" si="59"/>
        <v>00:00:01</v>
      </c>
      <c r="M473" s="25" t="str">
        <f t="shared" si="60"/>
        <v>2029-12-10 01:00:00</v>
      </c>
      <c r="N473" s="25" t="str">
        <f t="shared" si="61"/>
        <v>2029-12-17 00:00:01</v>
      </c>
    </row>
    <row r="474" spans="2:14" x14ac:dyDescent="0.3">
      <c r="B474" s="23">
        <f t="shared" si="62"/>
        <v>47469.041666666664</v>
      </c>
      <c r="C474" s="23">
        <f t="shared" si="63"/>
        <v>47476.000011574077</v>
      </c>
      <c r="H474" t="str">
        <f t="shared" si="56"/>
        <v>2029-12-17</v>
      </c>
      <c r="I474" t="str">
        <f t="shared" si="57"/>
        <v>2029-12-24</v>
      </c>
      <c r="J474" s="24" t="str">
        <f t="shared" si="58"/>
        <v>01:00:00</v>
      </c>
      <c r="K474" s="24" t="str">
        <f t="shared" si="59"/>
        <v>00:00:01</v>
      </c>
      <c r="M474" s="25" t="str">
        <f t="shared" si="60"/>
        <v>2029-12-17 01:00:00</v>
      </c>
      <c r="N474" s="25" t="str">
        <f t="shared" si="61"/>
        <v>2029-12-24 00:00:01</v>
      </c>
    </row>
    <row r="475" spans="2:14" x14ac:dyDescent="0.3">
      <c r="B475" s="23">
        <f t="shared" si="62"/>
        <v>47476.041666666664</v>
      </c>
      <c r="C475" s="23">
        <f t="shared" si="63"/>
        <v>47483.000011574077</v>
      </c>
      <c r="H475" t="str">
        <f t="shared" si="56"/>
        <v>2029-12-24</v>
      </c>
      <c r="I475" t="str">
        <f t="shared" si="57"/>
        <v>2029-12-31</v>
      </c>
      <c r="J475" s="24" t="str">
        <f t="shared" si="58"/>
        <v>01:00:00</v>
      </c>
      <c r="K475" s="24" t="str">
        <f t="shared" si="59"/>
        <v>00:00:01</v>
      </c>
      <c r="M475" s="25" t="str">
        <f t="shared" si="60"/>
        <v>2029-12-24 01:00:00</v>
      </c>
      <c r="N475" s="25" t="str">
        <f t="shared" si="61"/>
        <v>2029-12-31 00:00:01</v>
      </c>
    </row>
    <row r="476" spans="2:14" x14ac:dyDescent="0.3">
      <c r="B476" s="23">
        <f t="shared" si="62"/>
        <v>47483.041666666664</v>
      </c>
      <c r="C476" s="23">
        <f t="shared" si="63"/>
        <v>47490.000011574077</v>
      </c>
      <c r="H476" t="str">
        <f t="shared" si="56"/>
        <v>2029-12-31</v>
      </c>
      <c r="I476" t="str">
        <f t="shared" si="57"/>
        <v>2030-01-07</v>
      </c>
      <c r="J476" s="24" t="str">
        <f t="shared" si="58"/>
        <v>01:00:00</v>
      </c>
      <c r="K476" s="24" t="str">
        <f t="shared" si="59"/>
        <v>00:00:01</v>
      </c>
      <c r="M476" s="25" t="str">
        <f t="shared" si="60"/>
        <v>2029-12-31 01:00:00</v>
      </c>
      <c r="N476" s="25" t="str">
        <f t="shared" si="61"/>
        <v>2030-01-07 00:00:01</v>
      </c>
    </row>
    <row r="477" spans="2:14" x14ac:dyDescent="0.3">
      <c r="B477" s="23">
        <f t="shared" si="62"/>
        <v>47490.041666666664</v>
      </c>
      <c r="C477" s="23">
        <f t="shared" si="63"/>
        <v>47497.000011574077</v>
      </c>
      <c r="H477" t="str">
        <f t="shared" si="56"/>
        <v>2030-01-07</v>
      </c>
      <c r="I477" t="str">
        <f t="shared" si="57"/>
        <v>2030-01-14</v>
      </c>
      <c r="J477" s="24" t="str">
        <f t="shared" si="58"/>
        <v>01:00:00</v>
      </c>
      <c r="K477" s="24" t="str">
        <f t="shared" si="59"/>
        <v>00:00:01</v>
      </c>
      <c r="M477" s="25" t="str">
        <f t="shared" si="60"/>
        <v>2030-01-07 01:00:00</v>
      </c>
      <c r="N477" s="25" t="str">
        <f t="shared" si="61"/>
        <v>2030-01-14 00:00:01</v>
      </c>
    </row>
    <row r="478" spans="2:14" x14ac:dyDescent="0.3">
      <c r="B478" s="23">
        <f t="shared" si="62"/>
        <v>47497.041666666664</v>
      </c>
      <c r="C478" s="23">
        <f t="shared" si="63"/>
        <v>47504.000011574077</v>
      </c>
      <c r="H478" t="str">
        <f t="shared" si="56"/>
        <v>2030-01-14</v>
      </c>
      <c r="I478" t="str">
        <f t="shared" si="57"/>
        <v>2030-01-21</v>
      </c>
      <c r="J478" s="24" t="str">
        <f t="shared" si="58"/>
        <v>01:00:00</v>
      </c>
      <c r="K478" s="24" t="str">
        <f t="shared" si="59"/>
        <v>00:00:01</v>
      </c>
      <c r="M478" s="25" t="str">
        <f t="shared" si="60"/>
        <v>2030-01-14 01:00:00</v>
      </c>
      <c r="N478" s="25" t="str">
        <f t="shared" si="61"/>
        <v>2030-01-21 00:00:01</v>
      </c>
    </row>
    <row r="479" spans="2:14" x14ac:dyDescent="0.3">
      <c r="B479" s="23">
        <f t="shared" si="62"/>
        <v>47504.041666666664</v>
      </c>
      <c r="C479" s="23">
        <f t="shared" si="63"/>
        <v>47511.000011574077</v>
      </c>
      <c r="H479" t="str">
        <f t="shared" si="56"/>
        <v>2030-01-21</v>
      </c>
      <c r="I479" t="str">
        <f t="shared" si="57"/>
        <v>2030-01-28</v>
      </c>
      <c r="J479" s="24" t="str">
        <f t="shared" si="58"/>
        <v>01:00:00</v>
      </c>
      <c r="K479" s="24" t="str">
        <f t="shared" si="59"/>
        <v>00:00:01</v>
      </c>
      <c r="M479" s="25" t="str">
        <f t="shared" si="60"/>
        <v>2030-01-21 01:00:00</v>
      </c>
      <c r="N479" s="25" t="str">
        <f t="shared" si="61"/>
        <v>2030-01-28 00:00:01</v>
      </c>
    </row>
    <row r="480" spans="2:14" x14ac:dyDescent="0.3">
      <c r="B480" s="23">
        <f t="shared" si="62"/>
        <v>47511.041666666664</v>
      </c>
      <c r="C480" s="23">
        <f t="shared" si="63"/>
        <v>47518.000011574077</v>
      </c>
      <c r="H480" t="str">
        <f t="shared" si="56"/>
        <v>2030-01-28</v>
      </c>
      <c r="I480" t="str">
        <f t="shared" si="57"/>
        <v>2030-02-04</v>
      </c>
      <c r="J480" s="24" t="str">
        <f t="shared" si="58"/>
        <v>01:00:00</v>
      </c>
      <c r="K480" s="24" t="str">
        <f t="shared" si="59"/>
        <v>00:00:01</v>
      </c>
      <c r="M480" s="25" t="str">
        <f t="shared" si="60"/>
        <v>2030-01-28 01:00:00</v>
      </c>
      <c r="N480" s="25" t="str">
        <f t="shared" si="61"/>
        <v>2030-02-04 00:00:01</v>
      </c>
    </row>
    <row r="481" spans="2:14" x14ac:dyDescent="0.3">
      <c r="B481" s="23">
        <f t="shared" si="62"/>
        <v>47518.041666666664</v>
      </c>
      <c r="C481" s="23">
        <f t="shared" si="63"/>
        <v>47525.000011574077</v>
      </c>
      <c r="H481" t="str">
        <f t="shared" si="56"/>
        <v>2030-02-04</v>
      </c>
      <c r="I481" t="str">
        <f t="shared" si="57"/>
        <v>2030-02-11</v>
      </c>
      <c r="J481" s="24" t="str">
        <f t="shared" si="58"/>
        <v>01:00:00</v>
      </c>
      <c r="K481" s="24" t="str">
        <f t="shared" si="59"/>
        <v>00:00:01</v>
      </c>
      <c r="M481" s="25" t="str">
        <f t="shared" si="60"/>
        <v>2030-02-04 01:00:00</v>
      </c>
      <c r="N481" s="25" t="str">
        <f t="shared" si="61"/>
        <v>2030-02-11 00:00:01</v>
      </c>
    </row>
    <row r="482" spans="2:14" x14ac:dyDescent="0.3">
      <c r="B482" s="23">
        <f t="shared" si="62"/>
        <v>47525.041666666664</v>
      </c>
      <c r="C482" s="23">
        <f t="shared" si="63"/>
        <v>47532.000011574077</v>
      </c>
      <c r="H482" t="str">
        <f t="shared" si="56"/>
        <v>2030-02-11</v>
      </c>
      <c r="I482" t="str">
        <f t="shared" si="57"/>
        <v>2030-02-18</v>
      </c>
      <c r="J482" s="24" t="str">
        <f t="shared" si="58"/>
        <v>01:00:00</v>
      </c>
      <c r="K482" s="24" t="str">
        <f t="shared" si="59"/>
        <v>00:00:01</v>
      </c>
      <c r="M482" s="25" t="str">
        <f t="shared" si="60"/>
        <v>2030-02-11 01:00:00</v>
      </c>
      <c r="N482" s="25" t="str">
        <f t="shared" si="61"/>
        <v>2030-02-18 00:00:01</v>
      </c>
    </row>
    <row r="483" spans="2:14" x14ac:dyDescent="0.3">
      <c r="B483" s="23">
        <f t="shared" si="62"/>
        <v>47532.041666666664</v>
      </c>
      <c r="C483" s="23">
        <f t="shared" si="63"/>
        <v>47539.000011574077</v>
      </c>
      <c r="H483" t="str">
        <f t="shared" si="56"/>
        <v>2030-02-18</v>
      </c>
      <c r="I483" t="str">
        <f t="shared" si="57"/>
        <v>2030-02-25</v>
      </c>
      <c r="J483" s="24" t="str">
        <f t="shared" si="58"/>
        <v>01:00:00</v>
      </c>
      <c r="K483" s="24" t="str">
        <f t="shared" si="59"/>
        <v>00:00:01</v>
      </c>
      <c r="M483" s="25" t="str">
        <f t="shared" si="60"/>
        <v>2030-02-18 01:00:00</v>
      </c>
      <c r="N483" s="25" t="str">
        <f t="shared" si="61"/>
        <v>2030-02-25 00:00:01</v>
      </c>
    </row>
    <row r="484" spans="2:14" x14ac:dyDescent="0.3">
      <c r="B484" s="23">
        <f t="shared" si="62"/>
        <v>47539.041666666664</v>
      </c>
      <c r="C484" s="23">
        <f t="shared" si="63"/>
        <v>47546.000011574077</v>
      </c>
      <c r="H484" t="str">
        <f t="shared" si="56"/>
        <v>2030-02-25</v>
      </c>
      <c r="I484" t="str">
        <f t="shared" si="57"/>
        <v>2030-03-04</v>
      </c>
      <c r="J484" s="24" t="str">
        <f t="shared" si="58"/>
        <v>01:00:00</v>
      </c>
      <c r="K484" s="24" t="str">
        <f t="shared" si="59"/>
        <v>00:00:01</v>
      </c>
      <c r="M484" s="25" t="str">
        <f t="shared" si="60"/>
        <v>2030-02-25 01:00:00</v>
      </c>
      <c r="N484" s="25" t="str">
        <f t="shared" si="61"/>
        <v>2030-03-04 00:00:01</v>
      </c>
    </row>
    <row r="485" spans="2:14" x14ac:dyDescent="0.3">
      <c r="B485" s="23">
        <f t="shared" si="62"/>
        <v>47546.041666666664</v>
      </c>
      <c r="C485" s="23">
        <f t="shared" si="63"/>
        <v>47553.000011574077</v>
      </c>
      <c r="H485" t="str">
        <f t="shared" si="56"/>
        <v>2030-03-04</v>
      </c>
      <c r="I485" t="str">
        <f t="shared" si="57"/>
        <v>2030-03-11</v>
      </c>
      <c r="J485" s="24" t="str">
        <f t="shared" si="58"/>
        <v>01:00:00</v>
      </c>
      <c r="K485" s="24" t="str">
        <f t="shared" si="59"/>
        <v>00:00:01</v>
      </c>
      <c r="M485" s="25" t="str">
        <f t="shared" si="60"/>
        <v>2030-03-04 01:00:00</v>
      </c>
      <c r="N485" s="25" t="str">
        <f t="shared" si="61"/>
        <v>2030-03-11 00:00:01</v>
      </c>
    </row>
    <row r="486" spans="2:14" x14ac:dyDescent="0.3">
      <c r="B486" s="23">
        <f t="shared" si="62"/>
        <v>47553.041666666664</v>
      </c>
      <c r="C486" s="23">
        <f t="shared" si="63"/>
        <v>47560.000011574077</v>
      </c>
      <c r="H486" t="str">
        <f t="shared" si="56"/>
        <v>2030-03-11</v>
      </c>
      <c r="I486" t="str">
        <f t="shared" si="57"/>
        <v>2030-03-18</v>
      </c>
      <c r="J486" s="24" t="str">
        <f t="shared" si="58"/>
        <v>01:00:00</v>
      </c>
      <c r="K486" s="24" t="str">
        <f t="shared" si="59"/>
        <v>00:00:01</v>
      </c>
      <c r="M486" s="25" t="str">
        <f t="shared" si="60"/>
        <v>2030-03-11 01:00:00</v>
      </c>
      <c r="N486" s="25" t="str">
        <f t="shared" si="61"/>
        <v>2030-03-18 00:00:01</v>
      </c>
    </row>
    <row r="487" spans="2:14" x14ac:dyDescent="0.3">
      <c r="B487" s="23">
        <f t="shared" si="62"/>
        <v>47560.041666666664</v>
      </c>
      <c r="C487" s="23">
        <f t="shared" si="63"/>
        <v>47567.000011574077</v>
      </c>
      <c r="H487" t="str">
        <f t="shared" si="56"/>
        <v>2030-03-18</v>
      </c>
      <c r="I487" t="str">
        <f t="shared" si="57"/>
        <v>2030-03-25</v>
      </c>
      <c r="J487" s="24" t="str">
        <f t="shared" si="58"/>
        <v>01:00:00</v>
      </c>
      <c r="K487" s="24" t="str">
        <f t="shared" si="59"/>
        <v>00:00:01</v>
      </c>
      <c r="M487" s="25" t="str">
        <f t="shared" si="60"/>
        <v>2030-03-18 01:00:00</v>
      </c>
      <c r="N487" s="25" t="str">
        <f t="shared" si="61"/>
        <v>2030-03-25 00:00:01</v>
      </c>
    </row>
    <row r="488" spans="2:14" x14ac:dyDescent="0.3">
      <c r="B488" s="23">
        <f t="shared" si="62"/>
        <v>47567.041666666664</v>
      </c>
      <c r="C488" s="23">
        <f t="shared" si="63"/>
        <v>47574.000011574077</v>
      </c>
      <c r="H488" t="str">
        <f t="shared" si="56"/>
        <v>2030-03-25</v>
      </c>
      <c r="I488" t="str">
        <f t="shared" si="57"/>
        <v>2030-04-01</v>
      </c>
      <c r="J488" s="24" t="str">
        <f t="shared" si="58"/>
        <v>01:00:00</v>
      </c>
      <c r="K488" s="24" t="str">
        <f t="shared" si="59"/>
        <v>00:00:01</v>
      </c>
      <c r="M488" s="25" t="str">
        <f t="shared" si="60"/>
        <v>2030-03-25 01:00:00</v>
      </c>
      <c r="N488" s="25" t="str">
        <f t="shared" si="61"/>
        <v>2030-04-01 00:00:01</v>
      </c>
    </row>
    <row r="489" spans="2:14" x14ac:dyDescent="0.3">
      <c r="B489" s="23">
        <f t="shared" si="62"/>
        <v>47574.041666666664</v>
      </c>
      <c r="C489" s="23">
        <f t="shared" si="63"/>
        <v>47581.000011574077</v>
      </c>
      <c r="H489" t="str">
        <f t="shared" si="56"/>
        <v>2030-04-01</v>
      </c>
      <c r="I489" t="str">
        <f t="shared" si="57"/>
        <v>2030-04-08</v>
      </c>
      <c r="J489" s="24" t="str">
        <f t="shared" si="58"/>
        <v>01:00:00</v>
      </c>
      <c r="K489" s="24" t="str">
        <f t="shared" si="59"/>
        <v>00:00:01</v>
      </c>
      <c r="M489" s="25" t="str">
        <f t="shared" si="60"/>
        <v>2030-04-01 01:00:00</v>
      </c>
      <c r="N489" s="25" t="str">
        <f t="shared" si="61"/>
        <v>2030-04-08 00:00:01</v>
      </c>
    </row>
    <row r="490" spans="2:14" x14ac:dyDescent="0.3">
      <c r="B490" s="23">
        <f t="shared" si="62"/>
        <v>47581.041666666664</v>
      </c>
      <c r="C490" s="23">
        <f t="shared" si="63"/>
        <v>47588.000011574077</v>
      </c>
      <c r="H490" t="str">
        <f t="shared" si="56"/>
        <v>2030-04-08</v>
      </c>
      <c r="I490" t="str">
        <f t="shared" si="57"/>
        <v>2030-04-15</v>
      </c>
      <c r="J490" s="24" t="str">
        <f t="shared" si="58"/>
        <v>01:00:00</v>
      </c>
      <c r="K490" s="24" t="str">
        <f t="shared" si="59"/>
        <v>00:00:01</v>
      </c>
      <c r="M490" s="25" t="str">
        <f t="shared" si="60"/>
        <v>2030-04-08 01:00:00</v>
      </c>
      <c r="N490" s="25" t="str">
        <f t="shared" si="61"/>
        <v>2030-04-15 00:00:01</v>
      </c>
    </row>
    <row r="491" spans="2:14" x14ac:dyDescent="0.3">
      <c r="B491" s="23">
        <f t="shared" si="62"/>
        <v>47588.041666666664</v>
      </c>
      <c r="C491" s="23">
        <f t="shared" si="63"/>
        <v>47595.000011574077</v>
      </c>
      <c r="H491" t="str">
        <f t="shared" si="56"/>
        <v>2030-04-15</v>
      </c>
      <c r="I491" t="str">
        <f t="shared" si="57"/>
        <v>2030-04-22</v>
      </c>
      <c r="J491" s="24" t="str">
        <f t="shared" si="58"/>
        <v>01:00:00</v>
      </c>
      <c r="K491" s="24" t="str">
        <f t="shared" si="59"/>
        <v>00:00:01</v>
      </c>
      <c r="M491" s="25" t="str">
        <f t="shared" si="60"/>
        <v>2030-04-15 01:00:00</v>
      </c>
      <c r="N491" s="25" t="str">
        <f t="shared" si="61"/>
        <v>2030-04-22 00:00:01</v>
      </c>
    </row>
    <row r="492" spans="2:14" x14ac:dyDescent="0.3">
      <c r="B492" s="23">
        <f t="shared" si="62"/>
        <v>47595.041666666664</v>
      </c>
      <c r="C492" s="23">
        <f t="shared" si="63"/>
        <v>47602.000011574077</v>
      </c>
      <c r="H492" t="str">
        <f t="shared" si="56"/>
        <v>2030-04-22</v>
      </c>
      <c r="I492" t="str">
        <f t="shared" si="57"/>
        <v>2030-04-29</v>
      </c>
      <c r="J492" s="24" t="str">
        <f t="shared" si="58"/>
        <v>01:00:00</v>
      </c>
      <c r="K492" s="24" t="str">
        <f t="shared" si="59"/>
        <v>00:00:01</v>
      </c>
      <c r="M492" s="25" t="str">
        <f t="shared" si="60"/>
        <v>2030-04-22 01:00:00</v>
      </c>
      <c r="N492" s="25" t="str">
        <f t="shared" si="61"/>
        <v>2030-04-29 00:00:01</v>
      </c>
    </row>
    <row r="493" spans="2:14" x14ac:dyDescent="0.3">
      <c r="B493" s="23">
        <f t="shared" si="62"/>
        <v>47602.041666666664</v>
      </c>
      <c r="C493" s="23">
        <f t="shared" si="63"/>
        <v>47609.000011574077</v>
      </c>
      <c r="H493" t="str">
        <f t="shared" si="56"/>
        <v>2030-04-29</v>
      </c>
      <c r="I493" t="str">
        <f t="shared" si="57"/>
        <v>2030-05-06</v>
      </c>
      <c r="J493" s="24" t="str">
        <f t="shared" si="58"/>
        <v>01:00:00</v>
      </c>
      <c r="K493" s="24" t="str">
        <f t="shared" si="59"/>
        <v>00:00:01</v>
      </c>
      <c r="M493" s="25" t="str">
        <f t="shared" si="60"/>
        <v>2030-04-29 01:00:00</v>
      </c>
      <c r="N493" s="25" t="str">
        <f t="shared" si="61"/>
        <v>2030-05-06 00:00:01</v>
      </c>
    </row>
    <row r="494" spans="2:14" x14ac:dyDescent="0.3">
      <c r="B494" s="23">
        <f t="shared" si="62"/>
        <v>47609.041666666664</v>
      </c>
      <c r="C494" s="23">
        <f t="shared" si="63"/>
        <v>47616.000011574077</v>
      </c>
      <c r="H494" t="str">
        <f t="shared" si="56"/>
        <v>2030-05-06</v>
      </c>
      <c r="I494" t="str">
        <f t="shared" si="57"/>
        <v>2030-05-13</v>
      </c>
      <c r="J494" s="24" t="str">
        <f t="shared" si="58"/>
        <v>01:00:00</v>
      </c>
      <c r="K494" s="24" t="str">
        <f t="shared" si="59"/>
        <v>00:00:01</v>
      </c>
      <c r="M494" s="25" t="str">
        <f t="shared" si="60"/>
        <v>2030-05-06 01:00:00</v>
      </c>
      <c r="N494" s="25" t="str">
        <f t="shared" si="61"/>
        <v>2030-05-13 00:00:01</v>
      </c>
    </row>
    <row r="495" spans="2:14" x14ac:dyDescent="0.3">
      <c r="B495" s="23">
        <f t="shared" si="62"/>
        <v>47616.041666666664</v>
      </c>
      <c r="C495" s="23">
        <f t="shared" si="63"/>
        <v>47623.000011574077</v>
      </c>
      <c r="H495" t="str">
        <f t="shared" si="56"/>
        <v>2030-05-13</v>
      </c>
      <c r="I495" t="str">
        <f t="shared" si="57"/>
        <v>2030-05-20</v>
      </c>
      <c r="J495" s="24" t="str">
        <f t="shared" si="58"/>
        <v>01:00:00</v>
      </c>
      <c r="K495" s="24" t="str">
        <f t="shared" si="59"/>
        <v>00:00:01</v>
      </c>
      <c r="M495" s="25" t="str">
        <f t="shared" si="60"/>
        <v>2030-05-13 01:00:00</v>
      </c>
      <c r="N495" s="25" t="str">
        <f t="shared" si="61"/>
        <v>2030-05-20 00:00:01</v>
      </c>
    </row>
    <row r="496" spans="2:14" x14ac:dyDescent="0.3">
      <c r="B496" s="23">
        <f t="shared" si="62"/>
        <v>47623.041666666664</v>
      </c>
      <c r="C496" s="23">
        <f t="shared" si="63"/>
        <v>47630.000011574077</v>
      </c>
      <c r="H496" t="str">
        <f t="shared" si="56"/>
        <v>2030-05-20</v>
      </c>
      <c r="I496" t="str">
        <f t="shared" si="57"/>
        <v>2030-05-27</v>
      </c>
      <c r="J496" s="24" t="str">
        <f t="shared" si="58"/>
        <v>01:00:00</v>
      </c>
      <c r="K496" s="24" t="str">
        <f t="shared" si="59"/>
        <v>00:00:01</v>
      </c>
      <c r="M496" s="25" t="str">
        <f t="shared" si="60"/>
        <v>2030-05-20 01:00:00</v>
      </c>
      <c r="N496" s="25" t="str">
        <f t="shared" si="61"/>
        <v>2030-05-27 00:00:01</v>
      </c>
    </row>
    <row r="497" spans="2:14" x14ac:dyDescent="0.3">
      <c r="B497" s="23">
        <f t="shared" si="62"/>
        <v>47630.041666666664</v>
      </c>
      <c r="C497" s="23">
        <f t="shared" si="63"/>
        <v>47637.000011574077</v>
      </c>
      <c r="H497" t="str">
        <f t="shared" si="56"/>
        <v>2030-05-27</v>
      </c>
      <c r="I497" t="str">
        <f t="shared" si="57"/>
        <v>2030-06-03</v>
      </c>
      <c r="J497" s="24" t="str">
        <f t="shared" si="58"/>
        <v>01:00:00</v>
      </c>
      <c r="K497" s="24" t="str">
        <f t="shared" si="59"/>
        <v>00:00:01</v>
      </c>
      <c r="M497" s="25" t="str">
        <f t="shared" si="60"/>
        <v>2030-05-27 01:00:00</v>
      </c>
      <c r="N497" s="25" t="str">
        <f t="shared" si="61"/>
        <v>2030-06-03 00:00:01</v>
      </c>
    </row>
    <row r="498" spans="2:14" x14ac:dyDescent="0.3">
      <c r="B498" s="23">
        <f t="shared" si="62"/>
        <v>47637.041666666664</v>
      </c>
      <c r="C498" s="23">
        <f t="shared" si="63"/>
        <v>47644.000011574077</v>
      </c>
      <c r="H498" t="str">
        <f t="shared" si="56"/>
        <v>2030-06-03</v>
      </c>
      <c r="I498" t="str">
        <f t="shared" si="57"/>
        <v>2030-06-10</v>
      </c>
      <c r="J498" s="24" t="str">
        <f t="shared" si="58"/>
        <v>01:00:00</v>
      </c>
      <c r="K498" s="24" t="str">
        <f t="shared" si="59"/>
        <v>00:00:01</v>
      </c>
      <c r="M498" s="25" t="str">
        <f t="shared" si="60"/>
        <v>2030-06-03 01:00:00</v>
      </c>
      <c r="N498" s="25" t="str">
        <f t="shared" si="61"/>
        <v>2030-06-10 00:00:01</v>
      </c>
    </row>
    <row r="499" spans="2:14" x14ac:dyDescent="0.3">
      <c r="B499" s="23">
        <f t="shared" si="62"/>
        <v>47644.041666666664</v>
      </c>
      <c r="C499" s="23">
        <f t="shared" si="63"/>
        <v>47651.000011574077</v>
      </c>
      <c r="H499" t="str">
        <f t="shared" si="56"/>
        <v>2030-06-10</v>
      </c>
      <c r="I499" t="str">
        <f t="shared" si="57"/>
        <v>2030-06-17</v>
      </c>
      <c r="J499" s="24" t="str">
        <f t="shared" si="58"/>
        <v>01:00:00</v>
      </c>
      <c r="K499" s="24" t="str">
        <f t="shared" si="59"/>
        <v>00:00:01</v>
      </c>
      <c r="M499" s="25" t="str">
        <f t="shared" si="60"/>
        <v>2030-06-10 01:00:00</v>
      </c>
      <c r="N499" s="25" t="str">
        <f t="shared" si="61"/>
        <v>2030-06-17 00:00:01</v>
      </c>
    </row>
    <row r="500" spans="2:14" x14ac:dyDescent="0.3">
      <c r="B500" s="23">
        <f t="shared" si="62"/>
        <v>47651.041666666664</v>
      </c>
      <c r="C500" s="23">
        <f t="shared" si="63"/>
        <v>47658.000011574077</v>
      </c>
      <c r="H500" t="str">
        <f t="shared" si="56"/>
        <v>2030-06-17</v>
      </c>
      <c r="I500" t="str">
        <f t="shared" si="57"/>
        <v>2030-06-24</v>
      </c>
      <c r="J500" s="24" t="str">
        <f t="shared" si="58"/>
        <v>01:00:00</v>
      </c>
      <c r="K500" s="24" t="str">
        <f t="shared" si="59"/>
        <v>00:00:01</v>
      </c>
      <c r="M500" s="25" t="str">
        <f t="shared" si="60"/>
        <v>2030-06-17 01:00:00</v>
      </c>
      <c r="N500" s="25" t="str">
        <f t="shared" si="61"/>
        <v>2030-06-24 00:00:01</v>
      </c>
    </row>
    <row r="501" spans="2:14" x14ac:dyDescent="0.3">
      <c r="B501" s="23">
        <f t="shared" si="62"/>
        <v>47658.041666666664</v>
      </c>
      <c r="C501" s="23">
        <f t="shared" si="63"/>
        <v>47665.000011574077</v>
      </c>
      <c r="H501" t="str">
        <f t="shared" si="56"/>
        <v>2030-06-24</v>
      </c>
      <c r="I501" t="str">
        <f t="shared" si="57"/>
        <v>2030-07-01</v>
      </c>
      <c r="J501" s="24" t="str">
        <f t="shared" si="58"/>
        <v>01:00:00</v>
      </c>
      <c r="K501" s="24" t="str">
        <f t="shared" si="59"/>
        <v>00:00:01</v>
      </c>
      <c r="M501" s="25" t="str">
        <f t="shared" si="60"/>
        <v>2030-06-24 01:00:00</v>
      </c>
      <c r="N501" s="25" t="str">
        <f t="shared" si="61"/>
        <v>2030-07-01 00:00:01</v>
      </c>
    </row>
    <row r="502" spans="2:14" x14ac:dyDescent="0.3">
      <c r="B502" s="23">
        <f t="shared" si="62"/>
        <v>47665.041666666664</v>
      </c>
      <c r="C502" s="23">
        <f t="shared" si="63"/>
        <v>47672.000011574077</v>
      </c>
      <c r="H502" t="str">
        <f t="shared" si="56"/>
        <v>2030-07-01</v>
      </c>
      <c r="I502" t="str">
        <f t="shared" si="57"/>
        <v>2030-07-08</v>
      </c>
      <c r="J502" s="24" t="str">
        <f t="shared" si="58"/>
        <v>01:00:00</v>
      </c>
      <c r="K502" s="24" t="str">
        <f t="shared" si="59"/>
        <v>00:00:01</v>
      </c>
      <c r="M502" s="25" t="str">
        <f t="shared" si="60"/>
        <v>2030-07-01 01:00:00</v>
      </c>
      <c r="N502" s="25" t="str">
        <f t="shared" si="61"/>
        <v>2030-07-08 00:00:01</v>
      </c>
    </row>
    <row r="503" spans="2:14" x14ac:dyDescent="0.3">
      <c r="B503" s="23">
        <f t="shared" si="62"/>
        <v>47672.041666666664</v>
      </c>
      <c r="C503" s="23">
        <f t="shared" si="63"/>
        <v>47679.000011574077</v>
      </c>
      <c r="H503" t="str">
        <f t="shared" si="56"/>
        <v>2030-07-08</v>
      </c>
      <c r="I503" t="str">
        <f t="shared" si="57"/>
        <v>2030-07-15</v>
      </c>
      <c r="J503" s="24" t="str">
        <f t="shared" si="58"/>
        <v>01:00:00</v>
      </c>
      <c r="K503" s="24" t="str">
        <f t="shared" si="59"/>
        <v>00:00:01</v>
      </c>
      <c r="M503" s="25" t="str">
        <f t="shared" si="60"/>
        <v>2030-07-08 01:00:00</v>
      </c>
      <c r="N503" s="25" t="str">
        <f t="shared" si="61"/>
        <v>2030-07-15 00:00:01</v>
      </c>
    </row>
    <row r="504" spans="2:14" x14ac:dyDescent="0.3">
      <c r="B504" s="23">
        <f t="shared" si="62"/>
        <v>47679.041666666664</v>
      </c>
      <c r="C504" s="23">
        <f t="shared" si="63"/>
        <v>47686.000011574077</v>
      </c>
      <c r="H504" t="str">
        <f t="shared" si="56"/>
        <v>2030-07-15</v>
      </c>
      <c r="I504" t="str">
        <f t="shared" si="57"/>
        <v>2030-07-22</v>
      </c>
      <c r="J504" s="24" t="str">
        <f t="shared" si="58"/>
        <v>01:00:00</v>
      </c>
      <c r="K504" s="24" t="str">
        <f t="shared" si="59"/>
        <v>00:00:01</v>
      </c>
      <c r="M504" s="25" t="str">
        <f t="shared" si="60"/>
        <v>2030-07-15 01:00:00</v>
      </c>
      <c r="N504" s="25" t="str">
        <f t="shared" si="61"/>
        <v>2030-07-22 00:00:01</v>
      </c>
    </row>
    <row r="505" spans="2:14" x14ac:dyDescent="0.3">
      <c r="B505" s="23">
        <f t="shared" si="62"/>
        <v>47686.041666666664</v>
      </c>
      <c r="C505" s="23">
        <f t="shared" si="63"/>
        <v>47693.000011574077</v>
      </c>
      <c r="H505" t="str">
        <f t="shared" si="56"/>
        <v>2030-07-22</v>
      </c>
      <c r="I505" t="str">
        <f t="shared" si="57"/>
        <v>2030-07-29</v>
      </c>
      <c r="J505" s="24" t="str">
        <f t="shared" si="58"/>
        <v>01:00:00</v>
      </c>
      <c r="K505" s="24" t="str">
        <f t="shared" si="59"/>
        <v>00:00:01</v>
      </c>
      <c r="M505" s="25" t="str">
        <f t="shared" si="60"/>
        <v>2030-07-22 01:00:00</v>
      </c>
      <c r="N505" s="25" t="str">
        <f t="shared" si="61"/>
        <v>2030-07-29 00:00:01</v>
      </c>
    </row>
    <row r="506" spans="2:14" x14ac:dyDescent="0.3">
      <c r="B506" s="23">
        <f t="shared" si="62"/>
        <v>47693.041666666664</v>
      </c>
      <c r="C506" s="23">
        <f t="shared" si="63"/>
        <v>47700.000011574077</v>
      </c>
      <c r="H506" t="str">
        <f t="shared" si="56"/>
        <v>2030-07-29</v>
      </c>
      <c r="I506" t="str">
        <f t="shared" si="57"/>
        <v>2030-08-05</v>
      </c>
      <c r="J506" s="24" t="str">
        <f t="shared" si="58"/>
        <v>01:00:00</v>
      </c>
      <c r="K506" s="24" t="str">
        <f t="shared" si="59"/>
        <v>00:00:01</v>
      </c>
      <c r="M506" s="25" t="str">
        <f t="shared" si="60"/>
        <v>2030-07-29 01:00:00</v>
      </c>
      <c r="N506" s="25" t="str">
        <f t="shared" si="61"/>
        <v>2030-08-05 00:00:01</v>
      </c>
    </row>
    <row r="507" spans="2:14" x14ac:dyDescent="0.3">
      <c r="B507" s="23">
        <f t="shared" si="62"/>
        <v>47700.041666666664</v>
      </c>
      <c r="C507" s="23">
        <f t="shared" si="63"/>
        <v>47707.000011574077</v>
      </c>
      <c r="H507" t="str">
        <f t="shared" si="56"/>
        <v>2030-08-05</v>
      </c>
      <c r="I507" t="str">
        <f t="shared" si="57"/>
        <v>2030-08-12</v>
      </c>
      <c r="J507" s="24" t="str">
        <f t="shared" si="58"/>
        <v>01:00:00</v>
      </c>
      <c r="K507" s="24" t="str">
        <f t="shared" si="59"/>
        <v>00:00:01</v>
      </c>
      <c r="M507" s="25" t="str">
        <f t="shared" si="60"/>
        <v>2030-08-05 01:00:00</v>
      </c>
      <c r="N507" s="25" t="str">
        <f t="shared" si="61"/>
        <v>2030-08-12 00:00:01</v>
      </c>
    </row>
    <row r="508" spans="2:14" x14ac:dyDescent="0.3">
      <c r="B508" s="23">
        <f t="shared" si="62"/>
        <v>47707.041666666664</v>
      </c>
      <c r="C508" s="23">
        <f t="shared" si="63"/>
        <v>47714.000011574077</v>
      </c>
      <c r="H508" t="str">
        <f t="shared" si="56"/>
        <v>2030-08-12</v>
      </c>
      <c r="I508" t="str">
        <f t="shared" si="57"/>
        <v>2030-08-19</v>
      </c>
      <c r="J508" s="24" t="str">
        <f t="shared" si="58"/>
        <v>01:00:00</v>
      </c>
      <c r="K508" s="24" t="str">
        <f t="shared" si="59"/>
        <v>00:00:01</v>
      </c>
      <c r="M508" s="25" t="str">
        <f t="shared" si="60"/>
        <v>2030-08-12 01:00:00</v>
      </c>
      <c r="N508" s="25" t="str">
        <f t="shared" si="61"/>
        <v>2030-08-19 00:00:01</v>
      </c>
    </row>
    <row r="509" spans="2:14" x14ac:dyDescent="0.3">
      <c r="B509" s="23">
        <f t="shared" si="62"/>
        <v>47714.041666666664</v>
      </c>
      <c r="C509" s="23">
        <f t="shared" si="63"/>
        <v>47721.000011574077</v>
      </c>
      <c r="H509" t="str">
        <f t="shared" si="56"/>
        <v>2030-08-19</v>
      </c>
      <c r="I509" t="str">
        <f t="shared" si="57"/>
        <v>2030-08-26</v>
      </c>
      <c r="J509" s="24" t="str">
        <f t="shared" si="58"/>
        <v>01:00:00</v>
      </c>
      <c r="K509" s="24" t="str">
        <f t="shared" si="59"/>
        <v>00:00:01</v>
      </c>
      <c r="M509" s="25" t="str">
        <f t="shared" si="60"/>
        <v>2030-08-19 01:00:00</v>
      </c>
      <c r="N509" s="25" t="str">
        <f t="shared" si="61"/>
        <v>2030-08-26 00:00:01</v>
      </c>
    </row>
    <row r="510" spans="2:14" x14ac:dyDescent="0.3">
      <c r="B510" s="23">
        <f t="shared" si="62"/>
        <v>47721.041666666664</v>
      </c>
      <c r="C510" s="23">
        <f t="shared" si="63"/>
        <v>47728.000011574077</v>
      </c>
      <c r="H510" t="str">
        <f t="shared" si="56"/>
        <v>2030-08-26</v>
      </c>
      <c r="I510" t="str">
        <f t="shared" si="57"/>
        <v>2030-09-02</v>
      </c>
      <c r="J510" s="24" t="str">
        <f t="shared" si="58"/>
        <v>01:00:00</v>
      </c>
      <c r="K510" s="24" t="str">
        <f t="shared" si="59"/>
        <v>00:00:01</v>
      </c>
      <c r="M510" s="25" t="str">
        <f t="shared" si="60"/>
        <v>2030-08-26 01:00:00</v>
      </c>
      <c r="N510" s="25" t="str">
        <f t="shared" si="61"/>
        <v>2030-09-02 00:00:01</v>
      </c>
    </row>
    <row r="511" spans="2:14" x14ac:dyDescent="0.3">
      <c r="B511" s="23">
        <f t="shared" si="62"/>
        <v>47728.041666666664</v>
      </c>
      <c r="C511" s="23">
        <f t="shared" si="63"/>
        <v>47735.000011574077</v>
      </c>
      <c r="H511" t="str">
        <f t="shared" si="56"/>
        <v>2030-09-02</v>
      </c>
      <c r="I511" t="str">
        <f t="shared" si="57"/>
        <v>2030-09-09</v>
      </c>
      <c r="J511" s="24" t="str">
        <f t="shared" si="58"/>
        <v>01:00:00</v>
      </c>
      <c r="K511" s="24" t="str">
        <f t="shared" si="59"/>
        <v>00:00:01</v>
      </c>
      <c r="M511" s="25" t="str">
        <f t="shared" si="60"/>
        <v>2030-09-02 01:00:00</v>
      </c>
      <c r="N511" s="25" t="str">
        <f t="shared" si="61"/>
        <v>2030-09-09 00:00:01</v>
      </c>
    </row>
    <row r="512" spans="2:14" x14ac:dyDescent="0.3">
      <c r="B512" s="23">
        <f t="shared" si="62"/>
        <v>47735.041666666664</v>
      </c>
      <c r="C512" s="23">
        <f t="shared" si="63"/>
        <v>47742.000011574077</v>
      </c>
      <c r="H512" t="str">
        <f t="shared" si="56"/>
        <v>2030-09-09</v>
      </c>
      <c r="I512" t="str">
        <f t="shared" si="57"/>
        <v>2030-09-16</v>
      </c>
      <c r="J512" s="24" t="str">
        <f t="shared" si="58"/>
        <v>01:00:00</v>
      </c>
      <c r="K512" s="24" t="str">
        <f t="shared" si="59"/>
        <v>00:00:01</v>
      </c>
      <c r="M512" s="25" t="str">
        <f t="shared" si="60"/>
        <v>2030-09-09 01:00:00</v>
      </c>
      <c r="N512" s="25" t="str">
        <f t="shared" si="61"/>
        <v>2030-09-16 00:00:01</v>
      </c>
    </row>
    <row r="513" spans="2:14" x14ac:dyDescent="0.3">
      <c r="B513" s="23">
        <f t="shared" si="62"/>
        <v>47742.041666666664</v>
      </c>
      <c r="C513" s="23">
        <f t="shared" si="63"/>
        <v>47749.000011574077</v>
      </c>
      <c r="H513" t="str">
        <f t="shared" si="56"/>
        <v>2030-09-16</v>
      </c>
      <c r="I513" t="str">
        <f t="shared" si="57"/>
        <v>2030-09-23</v>
      </c>
      <c r="J513" s="24" t="str">
        <f t="shared" si="58"/>
        <v>01:00:00</v>
      </c>
      <c r="K513" s="24" t="str">
        <f t="shared" si="59"/>
        <v>00:00:01</v>
      </c>
      <c r="M513" s="25" t="str">
        <f t="shared" si="60"/>
        <v>2030-09-16 01:00:00</v>
      </c>
      <c r="N513" s="25" t="str">
        <f t="shared" si="61"/>
        <v>2030-09-23 00:00:01</v>
      </c>
    </row>
    <row r="514" spans="2:14" x14ac:dyDescent="0.3">
      <c r="B514" s="23">
        <f t="shared" si="62"/>
        <v>47749.041666666664</v>
      </c>
      <c r="C514" s="23">
        <f t="shared" si="63"/>
        <v>47756.000011574077</v>
      </c>
      <c r="H514" t="str">
        <f t="shared" si="56"/>
        <v>2030-09-23</v>
      </c>
      <c r="I514" t="str">
        <f t="shared" si="57"/>
        <v>2030-09-30</v>
      </c>
      <c r="J514" s="24" t="str">
        <f t="shared" si="58"/>
        <v>01:00:00</v>
      </c>
      <c r="K514" s="24" t="str">
        <f t="shared" si="59"/>
        <v>00:00:01</v>
      </c>
      <c r="M514" s="25" t="str">
        <f t="shared" si="60"/>
        <v>2030-09-23 01:00:00</v>
      </c>
      <c r="N514" s="25" t="str">
        <f t="shared" si="61"/>
        <v>2030-09-30 00:00:01</v>
      </c>
    </row>
    <row r="515" spans="2:14" x14ac:dyDescent="0.3">
      <c r="B515" s="23">
        <f t="shared" si="62"/>
        <v>47756.041666666664</v>
      </c>
      <c r="C515" s="23">
        <f t="shared" si="63"/>
        <v>47763.000011574077</v>
      </c>
      <c r="H515" t="str">
        <f t="shared" si="56"/>
        <v>2030-09-30</v>
      </c>
      <c r="I515" t="str">
        <f t="shared" si="57"/>
        <v>2030-10-07</v>
      </c>
      <c r="J515" s="24" t="str">
        <f t="shared" si="58"/>
        <v>01:00:00</v>
      </c>
      <c r="K515" s="24" t="str">
        <f t="shared" si="59"/>
        <v>00:00:01</v>
      </c>
      <c r="M515" s="25" t="str">
        <f t="shared" si="60"/>
        <v>2030-09-30 01:00:00</v>
      </c>
      <c r="N515" s="25" t="str">
        <f t="shared" si="61"/>
        <v>2030-10-07 00:00:01</v>
      </c>
    </row>
    <row r="516" spans="2:14" x14ac:dyDescent="0.3">
      <c r="B516" s="23">
        <f t="shared" si="62"/>
        <v>47763.041666666664</v>
      </c>
      <c r="C516" s="23">
        <f t="shared" si="63"/>
        <v>47770.000011574077</v>
      </c>
      <c r="H516" t="str">
        <f t="shared" si="56"/>
        <v>2030-10-07</v>
      </c>
      <c r="I516" t="str">
        <f t="shared" si="57"/>
        <v>2030-10-14</v>
      </c>
      <c r="J516" s="24" t="str">
        <f t="shared" si="58"/>
        <v>01:00:00</v>
      </c>
      <c r="K516" s="24" t="str">
        <f t="shared" si="59"/>
        <v>00:00:01</v>
      </c>
      <c r="M516" s="25" t="str">
        <f t="shared" si="60"/>
        <v>2030-10-07 01:00:00</v>
      </c>
      <c r="N516" s="25" t="str">
        <f t="shared" si="61"/>
        <v>2030-10-14 00:00:01</v>
      </c>
    </row>
    <row r="517" spans="2:14" x14ac:dyDescent="0.3">
      <c r="B517" s="23">
        <f t="shared" si="62"/>
        <v>47770.041666666664</v>
      </c>
      <c r="C517" s="23">
        <f t="shared" si="63"/>
        <v>47777.000011574077</v>
      </c>
      <c r="H517" t="str">
        <f t="shared" si="56"/>
        <v>2030-10-14</v>
      </c>
      <c r="I517" t="str">
        <f t="shared" si="57"/>
        <v>2030-10-21</v>
      </c>
      <c r="J517" s="24" t="str">
        <f t="shared" si="58"/>
        <v>01:00:00</v>
      </c>
      <c r="K517" s="24" t="str">
        <f t="shared" si="59"/>
        <v>00:00:01</v>
      </c>
      <c r="M517" s="25" t="str">
        <f t="shared" si="60"/>
        <v>2030-10-14 01:00:00</v>
      </c>
      <c r="N517" s="25" t="str">
        <f t="shared" si="61"/>
        <v>2030-10-21 00:00:01</v>
      </c>
    </row>
    <row r="518" spans="2:14" x14ac:dyDescent="0.3">
      <c r="B518" s="23">
        <f t="shared" si="62"/>
        <v>47777.041666666664</v>
      </c>
      <c r="C518" s="23">
        <f t="shared" si="63"/>
        <v>47784.000011574077</v>
      </c>
      <c r="H518" t="str">
        <f t="shared" si="56"/>
        <v>2030-10-21</v>
      </c>
      <c r="I518" t="str">
        <f t="shared" si="57"/>
        <v>2030-10-28</v>
      </c>
      <c r="J518" s="24" t="str">
        <f t="shared" si="58"/>
        <v>01:00:00</v>
      </c>
      <c r="K518" s="24" t="str">
        <f t="shared" si="59"/>
        <v>00:00:01</v>
      </c>
      <c r="M518" s="25" t="str">
        <f t="shared" si="60"/>
        <v>2030-10-21 01:00:00</v>
      </c>
      <c r="N518" s="25" t="str">
        <f t="shared" si="61"/>
        <v>2030-10-28 00:00:01</v>
      </c>
    </row>
    <row r="519" spans="2:14" x14ac:dyDescent="0.3">
      <c r="B519" s="23">
        <f t="shared" si="62"/>
        <v>47784.041666666664</v>
      </c>
      <c r="C519" s="23">
        <f t="shared" si="63"/>
        <v>47791.000011574077</v>
      </c>
      <c r="H519" t="str">
        <f t="shared" si="56"/>
        <v>2030-10-28</v>
      </c>
      <c r="I519" t="str">
        <f t="shared" si="57"/>
        <v>2030-11-04</v>
      </c>
      <c r="J519" s="24" t="str">
        <f t="shared" si="58"/>
        <v>01:00:00</v>
      </c>
      <c r="K519" s="24" t="str">
        <f t="shared" si="59"/>
        <v>00:00:01</v>
      </c>
      <c r="M519" s="25" t="str">
        <f t="shared" si="60"/>
        <v>2030-10-28 01:00:00</v>
      </c>
      <c r="N519" s="25" t="str">
        <f t="shared" si="61"/>
        <v>2030-11-04 00:00:01</v>
      </c>
    </row>
    <row r="520" spans="2:14" x14ac:dyDescent="0.3">
      <c r="B520" s="23">
        <f t="shared" si="62"/>
        <v>47791.041666666664</v>
      </c>
      <c r="C520" s="23">
        <f t="shared" si="63"/>
        <v>47798.000011574077</v>
      </c>
      <c r="H520" t="str">
        <f t="shared" ref="H520:H579" si="64">TEXT(B520,"yyyy-mm-dd")</f>
        <v>2030-11-04</v>
      </c>
      <c r="I520" t="str">
        <f t="shared" ref="I520:I579" si="65">TEXT(C520,"yyyy-mm-dd")</f>
        <v>2030-11-11</v>
      </c>
      <c r="J520" s="24" t="str">
        <f t="shared" ref="J520:J579" si="66">TEXT(B520,"hh:mm:ss")</f>
        <v>01:00:00</v>
      </c>
      <c r="K520" s="24" t="str">
        <f t="shared" ref="K520:K579" si="67">TEXT(C520,"hh:mm:ss")</f>
        <v>00:00:01</v>
      </c>
      <c r="M520" s="25" t="str">
        <f t="shared" ref="M520:M579" si="68">CONCATENATE(H520," ",J520)</f>
        <v>2030-11-04 01:00:00</v>
      </c>
      <c r="N520" s="25" t="str">
        <f t="shared" ref="N520:N579" si="69">CONCATENATE(I520," ",K520)</f>
        <v>2030-11-11 00:00:01</v>
      </c>
    </row>
    <row r="521" spans="2:14" x14ac:dyDescent="0.3">
      <c r="B521" s="23">
        <f t="shared" ref="B521:B579" si="70">C520+TIME($F$3,0,0)-TIME(0,0,1)</f>
        <v>47798.041666666664</v>
      </c>
      <c r="C521" s="23">
        <f t="shared" ref="C521:C579" si="71">B521+$E$3-TIME($F$3,0,0)+TIME(0,0,1)</f>
        <v>47805.000011574077</v>
      </c>
      <c r="H521" t="str">
        <f t="shared" si="64"/>
        <v>2030-11-11</v>
      </c>
      <c r="I521" t="str">
        <f t="shared" si="65"/>
        <v>2030-11-18</v>
      </c>
      <c r="J521" s="24" t="str">
        <f t="shared" si="66"/>
        <v>01:00:00</v>
      </c>
      <c r="K521" s="24" t="str">
        <f t="shared" si="67"/>
        <v>00:00:01</v>
      </c>
      <c r="M521" s="25" t="str">
        <f t="shared" si="68"/>
        <v>2030-11-11 01:00:00</v>
      </c>
      <c r="N521" s="25" t="str">
        <f t="shared" si="69"/>
        <v>2030-11-18 00:00:01</v>
      </c>
    </row>
    <row r="522" spans="2:14" x14ac:dyDescent="0.3">
      <c r="B522" s="23">
        <f t="shared" si="70"/>
        <v>47805.041666666664</v>
      </c>
      <c r="C522" s="23">
        <f t="shared" si="71"/>
        <v>47812.000011574077</v>
      </c>
      <c r="H522" t="str">
        <f t="shared" si="64"/>
        <v>2030-11-18</v>
      </c>
      <c r="I522" t="str">
        <f t="shared" si="65"/>
        <v>2030-11-25</v>
      </c>
      <c r="J522" s="24" t="str">
        <f t="shared" si="66"/>
        <v>01:00:00</v>
      </c>
      <c r="K522" s="24" t="str">
        <f t="shared" si="67"/>
        <v>00:00:01</v>
      </c>
      <c r="M522" s="25" t="str">
        <f t="shared" si="68"/>
        <v>2030-11-18 01:00:00</v>
      </c>
      <c r="N522" s="25" t="str">
        <f t="shared" si="69"/>
        <v>2030-11-25 00:00:01</v>
      </c>
    </row>
    <row r="523" spans="2:14" x14ac:dyDescent="0.3">
      <c r="B523" s="23">
        <f t="shared" si="70"/>
        <v>47812.041666666664</v>
      </c>
      <c r="C523" s="23">
        <f t="shared" si="71"/>
        <v>47819.000011574077</v>
      </c>
      <c r="H523" t="str">
        <f t="shared" si="64"/>
        <v>2030-11-25</v>
      </c>
      <c r="I523" t="str">
        <f t="shared" si="65"/>
        <v>2030-12-02</v>
      </c>
      <c r="J523" s="24" t="str">
        <f t="shared" si="66"/>
        <v>01:00:00</v>
      </c>
      <c r="K523" s="24" t="str">
        <f t="shared" si="67"/>
        <v>00:00:01</v>
      </c>
      <c r="M523" s="25" t="str">
        <f t="shared" si="68"/>
        <v>2030-11-25 01:00:00</v>
      </c>
      <c r="N523" s="25" t="str">
        <f t="shared" si="69"/>
        <v>2030-12-02 00:00:01</v>
      </c>
    </row>
    <row r="524" spans="2:14" x14ac:dyDescent="0.3">
      <c r="B524" s="23">
        <f t="shared" si="70"/>
        <v>47819.041666666664</v>
      </c>
      <c r="C524" s="23">
        <f t="shared" si="71"/>
        <v>47826.000011574077</v>
      </c>
      <c r="H524" t="str">
        <f t="shared" si="64"/>
        <v>2030-12-02</v>
      </c>
      <c r="I524" t="str">
        <f t="shared" si="65"/>
        <v>2030-12-09</v>
      </c>
      <c r="J524" s="24" t="str">
        <f t="shared" si="66"/>
        <v>01:00:00</v>
      </c>
      <c r="K524" s="24" t="str">
        <f t="shared" si="67"/>
        <v>00:00:01</v>
      </c>
      <c r="M524" s="25" t="str">
        <f t="shared" si="68"/>
        <v>2030-12-02 01:00:00</v>
      </c>
      <c r="N524" s="25" t="str">
        <f t="shared" si="69"/>
        <v>2030-12-09 00:00:01</v>
      </c>
    </row>
    <row r="525" spans="2:14" x14ac:dyDescent="0.3">
      <c r="B525" s="23">
        <f t="shared" si="70"/>
        <v>47826.041666666664</v>
      </c>
      <c r="C525" s="23">
        <f t="shared" si="71"/>
        <v>47833.000011574077</v>
      </c>
      <c r="H525" t="str">
        <f t="shared" si="64"/>
        <v>2030-12-09</v>
      </c>
      <c r="I525" t="str">
        <f t="shared" si="65"/>
        <v>2030-12-16</v>
      </c>
      <c r="J525" s="24" t="str">
        <f t="shared" si="66"/>
        <v>01:00:00</v>
      </c>
      <c r="K525" s="24" t="str">
        <f t="shared" si="67"/>
        <v>00:00:01</v>
      </c>
      <c r="M525" s="25" t="str">
        <f t="shared" si="68"/>
        <v>2030-12-09 01:00:00</v>
      </c>
      <c r="N525" s="25" t="str">
        <f t="shared" si="69"/>
        <v>2030-12-16 00:00:01</v>
      </c>
    </row>
    <row r="526" spans="2:14" x14ac:dyDescent="0.3">
      <c r="B526" s="23">
        <f t="shared" si="70"/>
        <v>47833.041666666664</v>
      </c>
      <c r="C526" s="23">
        <f t="shared" si="71"/>
        <v>47840.000011574077</v>
      </c>
      <c r="H526" t="str">
        <f t="shared" si="64"/>
        <v>2030-12-16</v>
      </c>
      <c r="I526" t="str">
        <f t="shared" si="65"/>
        <v>2030-12-23</v>
      </c>
      <c r="J526" s="24" t="str">
        <f t="shared" si="66"/>
        <v>01:00:00</v>
      </c>
      <c r="K526" s="24" t="str">
        <f t="shared" si="67"/>
        <v>00:00:01</v>
      </c>
      <c r="M526" s="25" t="str">
        <f t="shared" si="68"/>
        <v>2030-12-16 01:00:00</v>
      </c>
      <c r="N526" s="25" t="str">
        <f t="shared" si="69"/>
        <v>2030-12-23 00:00:01</v>
      </c>
    </row>
    <row r="527" spans="2:14" x14ac:dyDescent="0.3">
      <c r="B527" s="23">
        <f t="shared" si="70"/>
        <v>47840.041666666664</v>
      </c>
      <c r="C527" s="23">
        <f t="shared" si="71"/>
        <v>47847.000011574077</v>
      </c>
      <c r="H527" t="str">
        <f t="shared" si="64"/>
        <v>2030-12-23</v>
      </c>
      <c r="I527" t="str">
        <f t="shared" si="65"/>
        <v>2030-12-30</v>
      </c>
      <c r="J527" s="24" t="str">
        <f t="shared" si="66"/>
        <v>01:00:00</v>
      </c>
      <c r="K527" s="24" t="str">
        <f t="shared" si="67"/>
        <v>00:00:01</v>
      </c>
      <c r="M527" s="25" t="str">
        <f t="shared" si="68"/>
        <v>2030-12-23 01:00:00</v>
      </c>
      <c r="N527" s="25" t="str">
        <f t="shared" si="69"/>
        <v>2030-12-30 00:00:01</v>
      </c>
    </row>
    <row r="528" spans="2:14" x14ac:dyDescent="0.3">
      <c r="B528" s="23">
        <f t="shared" si="70"/>
        <v>47847.041666666664</v>
      </c>
      <c r="C528" s="23">
        <f t="shared" si="71"/>
        <v>47854.000011574077</v>
      </c>
      <c r="H528" t="str">
        <f t="shared" si="64"/>
        <v>2030-12-30</v>
      </c>
      <c r="I528" t="str">
        <f t="shared" si="65"/>
        <v>2031-01-06</v>
      </c>
      <c r="J528" s="24" t="str">
        <f t="shared" si="66"/>
        <v>01:00:00</v>
      </c>
      <c r="K528" s="24" t="str">
        <f t="shared" si="67"/>
        <v>00:00:01</v>
      </c>
      <c r="M528" s="25" t="str">
        <f t="shared" si="68"/>
        <v>2030-12-30 01:00:00</v>
      </c>
      <c r="N528" s="25" t="str">
        <f t="shared" si="69"/>
        <v>2031-01-06 00:00:01</v>
      </c>
    </row>
    <row r="529" spans="2:14" x14ac:dyDescent="0.3">
      <c r="B529" s="23">
        <f t="shared" si="70"/>
        <v>47854.041666666664</v>
      </c>
      <c r="C529" s="23">
        <f t="shared" si="71"/>
        <v>47861.000011574077</v>
      </c>
      <c r="H529" t="str">
        <f t="shared" si="64"/>
        <v>2031-01-06</v>
      </c>
      <c r="I529" t="str">
        <f t="shared" si="65"/>
        <v>2031-01-13</v>
      </c>
      <c r="J529" s="24" t="str">
        <f t="shared" si="66"/>
        <v>01:00:00</v>
      </c>
      <c r="K529" s="24" t="str">
        <f t="shared" si="67"/>
        <v>00:00:01</v>
      </c>
      <c r="M529" s="25" t="str">
        <f t="shared" si="68"/>
        <v>2031-01-06 01:00:00</v>
      </c>
      <c r="N529" s="25" t="str">
        <f t="shared" si="69"/>
        <v>2031-01-13 00:00:01</v>
      </c>
    </row>
    <row r="530" spans="2:14" x14ac:dyDescent="0.3">
      <c r="B530" s="23">
        <f t="shared" si="70"/>
        <v>47861.041666666664</v>
      </c>
      <c r="C530" s="23">
        <f t="shared" si="71"/>
        <v>47868.000011574077</v>
      </c>
      <c r="H530" t="str">
        <f t="shared" si="64"/>
        <v>2031-01-13</v>
      </c>
      <c r="I530" t="str">
        <f t="shared" si="65"/>
        <v>2031-01-20</v>
      </c>
      <c r="J530" s="24" t="str">
        <f t="shared" si="66"/>
        <v>01:00:00</v>
      </c>
      <c r="K530" s="24" t="str">
        <f t="shared" si="67"/>
        <v>00:00:01</v>
      </c>
      <c r="M530" s="25" t="str">
        <f t="shared" si="68"/>
        <v>2031-01-13 01:00:00</v>
      </c>
      <c r="N530" s="25" t="str">
        <f t="shared" si="69"/>
        <v>2031-01-20 00:00:01</v>
      </c>
    </row>
    <row r="531" spans="2:14" x14ac:dyDescent="0.3">
      <c r="B531" s="23">
        <f t="shared" si="70"/>
        <v>47868.041666666664</v>
      </c>
      <c r="C531" s="23">
        <f t="shared" si="71"/>
        <v>47875.000011574077</v>
      </c>
      <c r="H531" t="str">
        <f t="shared" si="64"/>
        <v>2031-01-20</v>
      </c>
      <c r="I531" t="str">
        <f t="shared" si="65"/>
        <v>2031-01-27</v>
      </c>
      <c r="J531" s="24" t="str">
        <f t="shared" si="66"/>
        <v>01:00:00</v>
      </c>
      <c r="K531" s="24" t="str">
        <f t="shared" si="67"/>
        <v>00:00:01</v>
      </c>
      <c r="M531" s="25" t="str">
        <f t="shared" si="68"/>
        <v>2031-01-20 01:00:00</v>
      </c>
      <c r="N531" s="25" t="str">
        <f t="shared" si="69"/>
        <v>2031-01-27 00:00:01</v>
      </c>
    </row>
    <row r="532" spans="2:14" x14ac:dyDescent="0.3">
      <c r="B532" s="23">
        <f t="shared" si="70"/>
        <v>47875.041666666664</v>
      </c>
      <c r="C532" s="23">
        <f t="shared" si="71"/>
        <v>47882.000011574077</v>
      </c>
      <c r="H532" t="str">
        <f t="shared" si="64"/>
        <v>2031-01-27</v>
      </c>
      <c r="I532" t="str">
        <f t="shared" si="65"/>
        <v>2031-02-03</v>
      </c>
      <c r="J532" s="24" t="str">
        <f t="shared" si="66"/>
        <v>01:00:00</v>
      </c>
      <c r="K532" s="24" t="str">
        <f t="shared" si="67"/>
        <v>00:00:01</v>
      </c>
      <c r="M532" s="25" t="str">
        <f t="shared" si="68"/>
        <v>2031-01-27 01:00:00</v>
      </c>
      <c r="N532" s="25" t="str">
        <f t="shared" si="69"/>
        <v>2031-02-03 00:00:01</v>
      </c>
    </row>
    <row r="533" spans="2:14" x14ac:dyDescent="0.3">
      <c r="B533" s="23">
        <f t="shared" si="70"/>
        <v>47882.041666666664</v>
      </c>
      <c r="C533" s="23">
        <f t="shared" si="71"/>
        <v>47889.000011574077</v>
      </c>
      <c r="H533" t="str">
        <f t="shared" si="64"/>
        <v>2031-02-03</v>
      </c>
      <c r="I533" t="str">
        <f t="shared" si="65"/>
        <v>2031-02-10</v>
      </c>
      <c r="J533" s="24" t="str">
        <f t="shared" si="66"/>
        <v>01:00:00</v>
      </c>
      <c r="K533" s="24" t="str">
        <f t="shared" si="67"/>
        <v>00:00:01</v>
      </c>
      <c r="M533" s="25" t="str">
        <f t="shared" si="68"/>
        <v>2031-02-03 01:00:00</v>
      </c>
      <c r="N533" s="25" t="str">
        <f t="shared" si="69"/>
        <v>2031-02-10 00:00:01</v>
      </c>
    </row>
    <row r="534" spans="2:14" x14ac:dyDescent="0.3">
      <c r="B534" s="23">
        <f t="shared" si="70"/>
        <v>47889.041666666664</v>
      </c>
      <c r="C534" s="23">
        <f t="shared" si="71"/>
        <v>47896.000011574077</v>
      </c>
      <c r="H534" t="str">
        <f t="shared" si="64"/>
        <v>2031-02-10</v>
      </c>
      <c r="I534" t="str">
        <f t="shared" si="65"/>
        <v>2031-02-17</v>
      </c>
      <c r="J534" s="24" t="str">
        <f t="shared" si="66"/>
        <v>01:00:00</v>
      </c>
      <c r="K534" s="24" t="str">
        <f t="shared" si="67"/>
        <v>00:00:01</v>
      </c>
      <c r="M534" s="25" t="str">
        <f t="shared" si="68"/>
        <v>2031-02-10 01:00:00</v>
      </c>
      <c r="N534" s="25" t="str">
        <f t="shared" si="69"/>
        <v>2031-02-17 00:00:01</v>
      </c>
    </row>
    <row r="535" spans="2:14" x14ac:dyDescent="0.3">
      <c r="B535" s="23">
        <f t="shared" si="70"/>
        <v>47896.041666666664</v>
      </c>
      <c r="C535" s="23">
        <f t="shared" si="71"/>
        <v>47903.000011574077</v>
      </c>
      <c r="H535" t="str">
        <f t="shared" si="64"/>
        <v>2031-02-17</v>
      </c>
      <c r="I535" t="str">
        <f t="shared" si="65"/>
        <v>2031-02-24</v>
      </c>
      <c r="J535" s="24" t="str">
        <f t="shared" si="66"/>
        <v>01:00:00</v>
      </c>
      <c r="K535" s="24" t="str">
        <f t="shared" si="67"/>
        <v>00:00:01</v>
      </c>
      <c r="M535" s="25" t="str">
        <f t="shared" si="68"/>
        <v>2031-02-17 01:00:00</v>
      </c>
      <c r="N535" s="25" t="str">
        <f t="shared" si="69"/>
        <v>2031-02-24 00:00:01</v>
      </c>
    </row>
    <row r="536" spans="2:14" x14ac:dyDescent="0.3">
      <c r="B536" s="23">
        <f t="shared" si="70"/>
        <v>47903.041666666664</v>
      </c>
      <c r="C536" s="23">
        <f t="shared" si="71"/>
        <v>47910.000011574077</v>
      </c>
      <c r="H536" t="str">
        <f t="shared" si="64"/>
        <v>2031-02-24</v>
      </c>
      <c r="I536" t="str">
        <f t="shared" si="65"/>
        <v>2031-03-03</v>
      </c>
      <c r="J536" s="24" t="str">
        <f t="shared" si="66"/>
        <v>01:00:00</v>
      </c>
      <c r="K536" s="24" t="str">
        <f t="shared" si="67"/>
        <v>00:00:01</v>
      </c>
      <c r="M536" s="25" t="str">
        <f t="shared" si="68"/>
        <v>2031-02-24 01:00:00</v>
      </c>
      <c r="N536" s="25" t="str">
        <f t="shared" si="69"/>
        <v>2031-03-03 00:00:01</v>
      </c>
    </row>
    <row r="537" spans="2:14" x14ac:dyDescent="0.3">
      <c r="B537" s="23">
        <f t="shared" si="70"/>
        <v>47910.041666666664</v>
      </c>
      <c r="C537" s="23">
        <f t="shared" si="71"/>
        <v>47917.000011574077</v>
      </c>
      <c r="H537" t="str">
        <f t="shared" si="64"/>
        <v>2031-03-03</v>
      </c>
      <c r="I537" t="str">
        <f t="shared" si="65"/>
        <v>2031-03-10</v>
      </c>
      <c r="J537" s="24" t="str">
        <f t="shared" si="66"/>
        <v>01:00:00</v>
      </c>
      <c r="K537" s="24" t="str">
        <f t="shared" si="67"/>
        <v>00:00:01</v>
      </c>
      <c r="M537" s="25" t="str">
        <f t="shared" si="68"/>
        <v>2031-03-03 01:00:00</v>
      </c>
      <c r="N537" s="25" t="str">
        <f t="shared" si="69"/>
        <v>2031-03-10 00:00:01</v>
      </c>
    </row>
    <row r="538" spans="2:14" x14ac:dyDescent="0.3">
      <c r="B538" s="23">
        <f t="shared" si="70"/>
        <v>47917.041666666664</v>
      </c>
      <c r="C538" s="23">
        <f t="shared" si="71"/>
        <v>47924.000011574077</v>
      </c>
      <c r="H538" t="str">
        <f t="shared" si="64"/>
        <v>2031-03-10</v>
      </c>
      <c r="I538" t="str">
        <f t="shared" si="65"/>
        <v>2031-03-17</v>
      </c>
      <c r="J538" s="24" t="str">
        <f t="shared" si="66"/>
        <v>01:00:00</v>
      </c>
      <c r="K538" s="24" t="str">
        <f t="shared" si="67"/>
        <v>00:00:01</v>
      </c>
      <c r="M538" s="25" t="str">
        <f t="shared" si="68"/>
        <v>2031-03-10 01:00:00</v>
      </c>
      <c r="N538" s="25" t="str">
        <f t="shared" si="69"/>
        <v>2031-03-17 00:00:01</v>
      </c>
    </row>
    <row r="539" spans="2:14" x14ac:dyDescent="0.3">
      <c r="B539" s="23">
        <f t="shared" si="70"/>
        <v>47924.041666666664</v>
      </c>
      <c r="C539" s="23">
        <f t="shared" si="71"/>
        <v>47931.000011574077</v>
      </c>
      <c r="H539" t="str">
        <f t="shared" si="64"/>
        <v>2031-03-17</v>
      </c>
      <c r="I539" t="str">
        <f t="shared" si="65"/>
        <v>2031-03-24</v>
      </c>
      <c r="J539" s="24" t="str">
        <f t="shared" si="66"/>
        <v>01:00:00</v>
      </c>
      <c r="K539" s="24" t="str">
        <f t="shared" si="67"/>
        <v>00:00:01</v>
      </c>
      <c r="M539" s="25" t="str">
        <f t="shared" si="68"/>
        <v>2031-03-17 01:00:00</v>
      </c>
      <c r="N539" s="25" t="str">
        <f t="shared" si="69"/>
        <v>2031-03-24 00:00:01</v>
      </c>
    </row>
    <row r="540" spans="2:14" x14ac:dyDescent="0.3">
      <c r="B540" s="23">
        <f t="shared" si="70"/>
        <v>47931.041666666664</v>
      </c>
      <c r="C540" s="23">
        <f t="shared" si="71"/>
        <v>47938.000011574077</v>
      </c>
      <c r="H540" t="str">
        <f t="shared" si="64"/>
        <v>2031-03-24</v>
      </c>
      <c r="I540" t="str">
        <f t="shared" si="65"/>
        <v>2031-03-31</v>
      </c>
      <c r="J540" s="24" t="str">
        <f t="shared" si="66"/>
        <v>01:00:00</v>
      </c>
      <c r="K540" s="24" t="str">
        <f t="shared" si="67"/>
        <v>00:00:01</v>
      </c>
      <c r="M540" s="25" t="str">
        <f t="shared" si="68"/>
        <v>2031-03-24 01:00:00</v>
      </c>
      <c r="N540" s="25" t="str">
        <f t="shared" si="69"/>
        <v>2031-03-31 00:00:01</v>
      </c>
    </row>
    <row r="541" spans="2:14" x14ac:dyDescent="0.3">
      <c r="B541" s="23">
        <f t="shared" si="70"/>
        <v>47938.041666666664</v>
      </c>
      <c r="C541" s="23">
        <f t="shared" si="71"/>
        <v>47945.000011574077</v>
      </c>
      <c r="H541" t="str">
        <f t="shared" si="64"/>
        <v>2031-03-31</v>
      </c>
      <c r="I541" t="str">
        <f t="shared" si="65"/>
        <v>2031-04-07</v>
      </c>
      <c r="J541" s="24" t="str">
        <f t="shared" si="66"/>
        <v>01:00:00</v>
      </c>
      <c r="K541" s="24" t="str">
        <f t="shared" si="67"/>
        <v>00:00:01</v>
      </c>
      <c r="M541" s="25" t="str">
        <f t="shared" si="68"/>
        <v>2031-03-31 01:00:00</v>
      </c>
      <c r="N541" s="25" t="str">
        <f t="shared" si="69"/>
        <v>2031-04-07 00:00:01</v>
      </c>
    </row>
    <row r="542" spans="2:14" x14ac:dyDescent="0.3">
      <c r="B542" s="23">
        <f t="shared" si="70"/>
        <v>47945.041666666664</v>
      </c>
      <c r="C542" s="23">
        <f t="shared" si="71"/>
        <v>47952.000011574077</v>
      </c>
      <c r="H542" t="str">
        <f t="shared" si="64"/>
        <v>2031-04-07</v>
      </c>
      <c r="I542" t="str">
        <f t="shared" si="65"/>
        <v>2031-04-14</v>
      </c>
      <c r="J542" s="24" t="str">
        <f t="shared" si="66"/>
        <v>01:00:00</v>
      </c>
      <c r="K542" s="24" t="str">
        <f t="shared" si="67"/>
        <v>00:00:01</v>
      </c>
      <c r="M542" s="25" t="str">
        <f t="shared" si="68"/>
        <v>2031-04-07 01:00:00</v>
      </c>
      <c r="N542" s="25" t="str">
        <f t="shared" si="69"/>
        <v>2031-04-14 00:00:01</v>
      </c>
    </row>
    <row r="543" spans="2:14" x14ac:dyDescent="0.3">
      <c r="B543" s="23">
        <f t="shared" si="70"/>
        <v>47952.041666666664</v>
      </c>
      <c r="C543" s="23">
        <f t="shared" si="71"/>
        <v>47959.000011574077</v>
      </c>
      <c r="H543" t="str">
        <f t="shared" si="64"/>
        <v>2031-04-14</v>
      </c>
      <c r="I543" t="str">
        <f t="shared" si="65"/>
        <v>2031-04-21</v>
      </c>
      <c r="J543" s="24" t="str">
        <f t="shared" si="66"/>
        <v>01:00:00</v>
      </c>
      <c r="K543" s="24" t="str">
        <f t="shared" si="67"/>
        <v>00:00:01</v>
      </c>
      <c r="M543" s="25" t="str">
        <f t="shared" si="68"/>
        <v>2031-04-14 01:00:00</v>
      </c>
      <c r="N543" s="25" t="str">
        <f t="shared" si="69"/>
        <v>2031-04-21 00:00:01</v>
      </c>
    </row>
    <row r="544" spans="2:14" x14ac:dyDescent="0.3">
      <c r="B544" s="23">
        <f t="shared" si="70"/>
        <v>47959.041666666664</v>
      </c>
      <c r="C544" s="23">
        <f t="shared" si="71"/>
        <v>47966.000011574077</v>
      </c>
      <c r="H544" t="str">
        <f t="shared" si="64"/>
        <v>2031-04-21</v>
      </c>
      <c r="I544" t="str">
        <f t="shared" si="65"/>
        <v>2031-04-28</v>
      </c>
      <c r="J544" s="24" t="str">
        <f t="shared" si="66"/>
        <v>01:00:00</v>
      </c>
      <c r="K544" s="24" t="str">
        <f t="shared" si="67"/>
        <v>00:00:01</v>
      </c>
      <c r="M544" s="25" t="str">
        <f t="shared" si="68"/>
        <v>2031-04-21 01:00:00</v>
      </c>
      <c r="N544" s="25" t="str">
        <f t="shared" si="69"/>
        <v>2031-04-28 00:00:01</v>
      </c>
    </row>
    <row r="545" spans="2:14" x14ac:dyDescent="0.3">
      <c r="B545" s="23">
        <f t="shared" si="70"/>
        <v>47966.041666666664</v>
      </c>
      <c r="C545" s="23">
        <f t="shared" si="71"/>
        <v>47973.000011574077</v>
      </c>
      <c r="H545" t="str">
        <f t="shared" si="64"/>
        <v>2031-04-28</v>
      </c>
      <c r="I545" t="str">
        <f t="shared" si="65"/>
        <v>2031-05-05</v>
      </c>
      <c r="J545" s="24" t="str">
        <f t="shared" si="66"/>
        <v>01:00:00</v>
      </c>
      <c r="K545" s="24" t="str">
        <f t="shared" si="67"/>
        <v>00:00:01</v>
      </c>
      <c r="M545" s="25" t="str">
        <f t="shared" si="68"/>
        <v>2031-04-28 01:00:00</v>
      </c>
      <c r="N545" s="25" t="str">
        <f t="shared" si="69"/>
        <v>2031-05-05 00:00:01</v>
      </c>
    </row>
    <row r="546" spans="2:14" x14ac:dyDescent="0.3">
      <c r="B546" s="23">
        <f t="shared" si="70"/>
        <v>47973.041666666664</v>
      </c>
      <c r="C546" s="23">
        <f t="shared" si="71"/>
        <v>47980.000011574077</v>
      </c>
      <c r="H546" t="str">
        <f t="shared" si="64"/>
        <v>2031-05-05</v>
      </c>
      <c r="I546" t="str">
        <f t="shared" si="65"/>
        <v>2031-05-12</v>
      </c>
      <c r="J546" s="24" t="str">
        <f t="shared" si="66"/>
        <v>01:00:00</v>
      </c>
      <c r="K546" s="24" t="str">
        <f t="shared" si="67"/>
        <v>00:00:01</v>
      </c>
      <c r="M546" s="25" t="str">
        <f t="shared" si="68"/>
        <v>2031-05-05 01:00:00</v>
      </c>
      <c r="N546" s="25" t="str">
        <f t="shared" si="69"/>
        <v>2031-05-12 00:00:01</v>
      </c>
    </row>
    <row r="547" spans="2:14" x14ac:dyDescent="0.3">
      <c r="B547" s="23">
        <f t="shared" si="70"/>
        <v>47980.041666666664</v>
      </c>
      <c r="C547" s="23">
        <f t="shared" si="71"/>
        <v>47987.000011574077</v>
      </c>
      <c r="H547" t="str">
        <f t="shared" si="64"/>
        <v>2031-05-12</v>
      </c>
      <c r="I547" t="str">
        <f t="shared" si="65"/>
        <v>2031-05-19</v>
      </c>
      <c r="J547" s="24" t="str">
        <f t="shared" si="66"/>
        <v>01:00:00</v>
      </c>
      <c r="K547" s="24" t="str">
        <f t="shared" si="67"/>
        <v>00:00:01</v>
      </c>
      <c r="M547" s="25" t="str">
        <f t="shared" si="68"/>
        <v>2031-05-12 01:00:00</v>
      </c>
      <c r="N547" s="25" t="str">
        <f t="shared" si="69"/>
        <v>2031-05-19 00:00:01</v>
      </c>
    </row>
    <row r="548" spans="2:14" x14ac:dyDescent="0.3">
      <c r="B548" s="23">
        <f t="shared" si="70"/>
        <v>47987.041666666664</v>
      </c>
      <c r="C548" s="23">
        <f t="shared" si="71"/>
        <v>47994.000011574077</v>
      </c>
      <c r="H548" t="str">
        <f t="shared" si="64"/>
        <v>2031-05-19</v>
      </c>
      <c r="I548" t="str">
        <f t="shared" si="65"/>
        <v>2031-05-26</v>
      </c>
      <c r="J548" s="24" t="str">
        <f t="shared" si="66"/>
        <v>01:00:00</v>
      </c>
      <c r="K548" s="24" t="str">
        <f t="shared" si="67"/>
        <v>00:00:01</v>
      </c>
      <c r="M548" s="25" t="str">
        <f t="shared" si="68"/>
        <v>2031-05-19 01:00:00</v>
      </c>
      <c r="N548" s="25" t="str">
        <f t="shared" si="69"/>
        <v>2031-05-26 00:00:01</v>
      </c>
    </row>
    <row r="549" spans="2:14" x14ac:dyDescent="0.3">
      <c r="B549" s="23">
        <f t="shared" si="70"/>
        <v>47994.041666666664</v>
      </c>
      <c r="C549" s="23">
        <f t="shared" si="71"/>
        <v>48001.000011574077</v>
      </c>
      <c r="H549" t="str">
        <f t="shared" si="64"/>
        <v>2031-05-26</v>
      </c>
      <c r="I549" t="str">
        <f t="shared" si="65"/>
        <v>2031-06-02</v>
      </c>
      <c r="J549" s="24" t="str">
        <f t="shared" si="66"/>
        <v>01:00:00</v>
      </c>
      <c r="K549" s="24" t="str">
        <f t="shared" si="67"/>
        <v>00:00:01</v>
      </c>
      <c r="M549" s="25" t="str">
        <f t="shared" si="68"/>
        <v>2031-05-26 01:00:00</v>
      </c>
      <c r="N549" s="25" t="str">
        <f t="shared" si="69"/>
        <v>2031-06-02 00:00:01</v>
      </c>
    </row>
    <row r="550" spans="2:14" x14ac:dyDescent="0.3">
      <c r="B550" s="23">
        <f t="shared" si="70"/>
        <v>48001.041666666664</v>
      </c>
      <c r="C550" s="23">
        <f t="shared" si="71"/>
        <v>48008.000011574077</v>
      </c>
      <c r="H550" t="str">
        <f t="shared" si="64"/>
        <v>2031-06-02</v>
      </c>
      <c r="I550" t="str">
        <f t="shared" si="65"/>
        <v>2031-06-09</v>
      </c>
      <c r="J550" s="24" t="str">
        <f t="shared" si="66"/>
        <v>01:00:00</v>
      </c>
      <c r="K550" s="24" t="str">
        <f t="shared" si="67"/>
        <v>00:00:01</v>
      </c>
      <c r="M550" s="25" t="str">
        <f t="shared" si="68"/>
        <v>2031-06-02 01:00:00</v>
      </c>
      <c r="N550" s="25" t="str">
        <f t="shared" si="69"/>
        <v>2031-06-09 00:00:01</v>
      </c>
    </row>
    <row r="551" spans="2:14" x14ac:dyDescent="0.3">
      <c r="B551" s="23">
        <f t="shared" si="70"/>
        <v>48008.041666666664</v>
      </c>
      <c r="C551" s="23">
        <f t="shared" si="71"/>
        <v>48015.000011574077</v>
      </c>
      <c r="H551" t="str">
        <f t="shared" si="64"/>
        <v>2031-06-09</v>
      </c>
      <c r="I551" t="str">
        <f t="shared" si="65"/>
        <v>2031-06-16</v>
      </c>
      <c r="J551" s="24" t="str">
        <f t="shared" si="66"/>
        <v>01:00:00</v>
      </c>
      <c r="K551" s="24" t="str">
        <f t="shared" si="67"/>
        <v>00:00:01</v>
      </c>
      <c r="M551" s="25" t="str">
        <f t="shared" si="68"/>
        <v>2031-06-09 01:00:00</v>
      </c>
      <c r="N551" s="25" t="str">
        <f t="shared" si="69"/>
        <v>2031-06-16 00:00:01</v>
      </c>
    </row>
    <row r="552" spans="2:14" x14ac:dyDescent="0.3">
      <c r="B552" s="23">
        <f t="shared" si="70"/>
        <v>48015.041666666664</v>
      </c>
      <c r="C552" s="23">
        <f t="shared" si="71"/>
        <v>48022.000011574077</v>
      </c>
      <c r="H552" t="str">
        <f t="shared" si="64"/>
        <v>2031-06-16</v>
      </c>
      <c r="I552" t="str">
        <f t="shared" si="65"/>
        <v>2031-06-23</v>
      </c>
      <c r="J552" s="24" t="str">
        <f t="shared" si="66"/>
        <v>01:00:00</v>
      </c>
      <c r="K552" s="24" t="str">
        <f t="shared" si="67"/>
        <v>00:00:01</v>
      </c>
      <c r="M552" s="25" t="str">
        <f t="shared" si="68"/>
        <v>2031-06-16 01:00:00</v>
      </c>
      <c r="N552" s="25" t="str">
        <f t="shared" si="69"/>
        <v>2031-06-23 00:00:01</v>
      </c>
    </row>
    <row r="553" spans="2:14" x14ac:dyDescent="0.3">
      <c r="B553" s="23">
        <f t="shared" si="70"/>
        <v>48022.041666666664</v>
      </c>
      <c r="C553" s="23">
        <f t="shared" si="71"/>
        <v>48029.000011574077</v>
      </c>
      <c r="H553" t="str">
        <f t="shared" si="64"/>
        <v>2031-06-23</v>
      </c>
      <c r="I553" t="str">
        <f t="shared" si="65"/>
        <v>2031-06-30</v>
      </c>
      <c r="J553" s="24" t="str">
        <f t="shared" si="66"/>
        <v>01:00:00</v>
      </c>
      <c r="K553" s="24" t="str">
        <f t="shared" si="67"/>
        <v>00:00:01</v>
      </c>
      <c r="M553" s="25" t="str">
        <f t="shared" si="68"/>
        <v>2031-06-23 01:00:00</v>
      </c>
      <c r="N553" s="25" t="str">
        <f t="shared" si="69"/>
        <v>2031-06-30 00:00:01</v>
      </c>
    </row>
    <row r="554" spans="2:14" x14ac:dyDescent="0.3">
      <c r="B554" s="23">
        <f t="shared" si="70"/>
        <v>48029.041666666664</v>
      </c>
      <c r="C554" s="23">
        <f t="shared" si="71"/>
        <v>48036.000011574077</v>
      </c>
      <c r="H554" t="str">
        <f t="shared" si="64"/>
        <v>2031-06-30</v>
      </c>
      <c r="I554" t="str">
        <f t="shared" si="65"/>
        <v>2031-07-07</v>
      </c>
      <c r="J554" s="24" t="str">
        <f t="shared" si="66"/>
        <v>01:00:00</v>
      </c>
      <c r="K554" s="24" t="str">
        <f t="shared" si="67"/>
        <v>00:00:01</v>
      </c>
      <c r="M554" s="25" t="str">
        <f t="shared" si="68"/>
        <v>2031-06-30 01:00:00</v>
      </c>
      <c r="N554" s="25" t="str">
        <f t="shared" si="69"/>
        <v>2031-07-07 00:00:01</v>
      </c>
    </row>
    <row r="555" spans="2:14" x14ac:dyDescent="0.3">
      <c r="B555" s="23">
        <f t="shared" si="70"/>
        <v>48036.041666666664</v>
      </c>
      <c r="C555" s="23">
        <f t="shared" si="71"/>
        <v>48043.000011574077</v>
      </c>
      <c r="H555" t="str">
        <f t="shared" si="64"/>
        <v>2031-07-07</v>
      </c>
      <c r="I555" t="str">
        <f t="shared" si="65"/>
        <v>2031-07-14</v>
      </c>
      <c r="J555" s="24" t="str">
        <f t="shared" si="66"/>
        <v>01:00:00</v>
      </c>
      <c r="K555" s="24" t="str">
        <f t="shared" si="67"/>
        <v>00:00:01</v>
      </c>
      <c r="M555" s="25" t="str">
        <f t="shared" si="68"/>
        <v>2031-07-07 01:00:00</v>
      </c>
      <c r="N555" s="25" t="str">
        <f t="shared" si="69"/>
        <v>2031-07-14 00:00:01</v>
      </c>
    </row>
    <row r="556" spans="2:14" x14ac:dyDescent="0.3">
      <c r="B556" s="23">
        <f t="shared" si="70"/>
        <v>48043.041666666664</v>
      </c>
      <c r="C556" s="23">
        <f t="shared" si="71"/>
        <v>48050.000011574077</v>
      </c>
      <c r="H556" t="str">
        <f t="shared" si="64"/>
        <v>2031-07-14</v>
      </c>
      <c r="I556" t="str">
        <f t="shared" si="65"/>
        <v>2031-07-21</v>
      </c>
      <c r="J556" s="24" t="str">
        <f t="shared" si="66"/>
        <v>01:00:00</v>
      </c>
      <c r="K556" s="24" t="str">
        <f t="shared" si="67"/>
        <v>00:00:01</v>
      </c>
      <c r="M556" s="25" t="str">
        <f t="shared" si="68"/>
        <v>2031-07-14 01:00:00</v>
      </c>
      <c r="N556" s="25" t="str">
        <f t="shared" si="69"/>
        <v>2031-07-21 00:00:01</v>
      </c>
    </row>
    <row r="557" spans="2:14" x14ac:dyDescent="0.3">
      <c r="B557" s="23">
        <f t="shared" si="70"/>
        <v>48050.041666666664</v>
      </c>
      <c r="C557" s="23">
        <f t="shared" si="71"/>
        <v>48057.000011574077</v>
      </c>
      <c r="H557" t="str">
        <f t="shared" si="64"/>
        <v>2031-07-21</v>
      </c>
      <c r="I557" t="str">
        <f t="shared" si="65"/>
        <v>2031-07-28</v>
      </c>
      <c r="J557" s="24" t="str">
        <f t="shared" si="66"/>
        <v>01:00:00</v>
      </c>
      <c r="K557" s="24" t="str">
        <f t="shared" si="67"/>
        <v>00:00:01</v>
      </c>
      <c r="M557" s="25" t="str">
        <f t="shared" si="68"/>
        <v>2031-07-21 01:00:00</v>
      </c>
      <c r="N557" s="25" t="str">
        <f t="shared" si="69"/>
        <v>2031-07-28 00:00:01</v>
      </c>
    </row>
    <row r="558" spans="2:14" x14ac:dyDescent="0.3">
      <c r="B558" s="23">
        <f t="shared" si="70"/>
        <v>48057.041666666664</v>
      </c>
      <c r="C558" s="23">
        <f t="shared" si="71"/>
        <v>48064.000011574077</v>
      </c>
      <c r="H558" t="str">
        <f t="shared" si="64"/>
        <v>2031-07-28</v>
      </c>
      <c r="I558" t="str">
        <f t="shared" si="65"/>
        <v>2031-08-04</v>
      </c>
      <c r="J558" s="24" t="str">
        <f t="shared" si="66"/>
        <v>01:00:00</v>
      </c>
      <c r="K558" s="24" t="str">
        <f t="shared" si="67"/>
        <v>00:00:01</v>
      </c>
      <c r="M558" s="25" t="str">
        <f t="shared" si="68"/>
        <v>2031-07-28 01:00:00</v>
      </c>
      <c r="N558" s="25" t="str">
        <f t="shared" si="69"/>
        <v>2031-08-04 00:00:01</v>
      </c>
    </row>
    <row r="559" spans="2:14" x14ac:dyDescent="0.3">
      <c r="B559" s="23">
        <f t="shared" si="70"/>
        <v>48064.041666666664</v>
      </c>
      <c r="C559" s="23">
        <f t="shared" si="71"/>
        <v>48071.000011574077</v>
      </c>
      <c r="H559" t="str">
        <f t="shared" si="64"/>
        <v>2031-08-04</v>
      </c>
      <c r="I559" t="str">
        <f t="shared" si="65"/>
        <v>2031-08-11</v>
      </c>
      <c r="J559" s="24" t="str">
        <f t="shared" si="66"/>
        <v>01:00:00</v>
      </c>
      <c r="K559" s="24" t="str">
        <f t="shared" si="67"/>
        <v>00:00:01</v>
      </c>
      <c r="M559" s="25" t="str">
        <f t="shared" si="68"/>
        <v>2031-08-04 01:00:00</v>
      </c>
      <c r="N559" s="25" t="str">
        <f t="shared" si="69"/>
        <v>2031-08-11 00:00:01</v>
      </c>
    </row>
    <row r="560" spans="2:14" x14ac:dyDescent="0.3">
      <c r="B560" s="23">
        <f t="shared" si="70"/>
        <v>48071.041666666664</v>
      </c>
      <c r="C560" s="23">
        <f t="shared" si="71"/>
        <v>48078.000011574077</v>
      </c>
      <c r="H560" t="str">
        <f t="shared" si="64"/>
        <v>2031-08-11</v>
      </c>
      <c r="I560" t="str">
        <f t="shared" si="65"/>
        <v>2031-08-18</v>
      </c>
      <c r="J560" s="24" t="str">
        <f t="shared" si="66"/>
        <v>01:00:00</v>
      </c>
      <c r="K560" s="24" t="str">
        <f t="shared" si="67"/>
        <v>00:00:01</v>
      </c>
      <c r="M560" s="25" t="str">
        <f t="shared" si="68"/>
        <v>2031-08-11 01:00:00</v>
      </c>
      <c r="N560" s="25" t="str">
        <f t="shared" si="69"/>
        <v>2031-08-18 00:00:01</v>
      </c>
    </row>
    <row r="561" spans="2:14" x14ac:dyDescent="0.3">
      <c r="B561" s="23">
        <f t="shared" si="70"/>
        <v>48078.041666666664</v>
      </c>
      <c r="C561" s="23">
        <f t="shared" si="71"/>
        <v>48085.000011574077</v>
      </c>
      <c r="H561" t="str">
        <f t="shared" si="64"/>
        <v>2031-08-18</v>
      </c>
      <c r="I561" t="str">
        <f t="shared" si="65"/>
        <v>2031-08-25</v>
      </c>
      <c r="J561" s="24" t="str">
        <f t="shared" si="66"/>
        <v>01:00:00</v>
      </c>
      <c r="K561" s="24" t="str">
        <f t="shared" si="67"/>
        <v>00:00:01</v>
      </c>
      <c r="M561" s="25" t="str">
        <f t="shared" si="68"/>
        <v>2031-08-18 01:00:00</v>
      </c>
      <c r="N561" s="25" t="str">
        <f t="shared" si="69"/>
        <v>2031-08-25 00:00:01</v>
      </c>
    </row>
    <row r="562" spans="2:14" x14ac:dyDescent="0.3">
      <c r="B562" s="23">
        <f t="shared" si="70"/>
        <v>48085.041666666664</v>
      </c>
      <c r="C562" s="23">
        <f t="shared" si="71"/>
        <v>48092.000011574077</v>
      </c>
      <c r="H562" t="str">
        <f t="shared" si="64"/>
        <v>2031-08-25</v>
      </c>
      <c r="I562" t="str">
        <f t="shared" si="65"/>
        <v>2031-09-01</v>
      </c>
      <c r="J562" s="24" t="str">
        <f t="shared" si="66"/>
        <v>01:00:00</v>
      </c>
      <c r="K562" s="24" t="str">
        <f t="shared" si="67"/>
        <v>00:00:01</v>
      </c>
      <c r="M562" s="25" t="str">
        <f t="shared" si="68"/>
        <v>2031-08-25 01:00:00</v>
      </c>
      <c r="N562" s="25" t="str">
        <f t="shared" si="69"/>
        <v>2031-09-01 00:00:01</v>
      </c>
    </row>
    <row r="563" spans="2:14" x14ac:dyDescent="0.3">
      <c r="B563" s="23">
        <f t="shared" si="70"/>
        <v>48092.041666666664</v>
      </c>
      <c r="C563" s="23">
        <f t="shared" si="71"/>
        <v>48099.000011574077</v>
      </c>
      <c r="H563" t="str">
        <f t="shared" si="64"/>
        <v>2031-09-01</v>
      </c>
      <c r="I563" t="str">
        <f t="shared" si="65"/>
        <v>2031-09-08</v>
      </c>
      <c r="J563" s="24" t="str">
        <f t="shared" si="66"/>
        <v>01:00:00</v>
      </c>
      <c r="K563" s="24" t="str">
        <f t="shared" si="67"/>
        <v>00:00:01</v>
      </c>
      <c r="M563" s="25" t="str">
        <f t="shared" si="68"/>
        <v>2031-09-01 01:00:00</v>
      </c>
      <c r="N563" s="25" t="str">
        <f t="shared" si="69"/>
        <v>2031-09-08 00:00:01</v>
      </c>
    </row>
    <row r="564" spans="2:14" x14ac:dyDescent="0.3">
      <c r="B564" s="23">
        <f t="shared" si="70"/>
        <v>48099.041666666664</v>
      </c>
      <c r="C564" s="23">
        <f t="shared" si="71"/>
        <v>48106.000011574077</v>
      </c>
      <c r="H564" t="str">
        <f t="shared" si="64"/>
        <v>2031-09-08</v>
      </c>
      <c r="I564" t="str">
        <f t="shared" si="65"/>
        <v>2031-09-15</v>
      </c>
      <c r="J564" s="24" t="str">
        <f t="shared" si="66"/>
        <v>01:00:00</v>
      </c>
      <c r="K564" s="24" t="str">
        <f t="shared" si="67"/>
        <v>00:00:01</v>
      </c>
      <c r="M564" s="25" t="str">
        <f t="shared" si="68"/>
        <v>2031-09-08 01:00:00</v>
      </c>
      <c r="N564" s="25" t="str">
        <f t="shared" si="69"/>
        <v>2031-09-15 00:00:01</v>
      </c>
    </row>
    <row r="565" spans="2:14" x14ac:dyDescent="0.3">
      <c r="B565" s="23">
        <f t="shared" si="70"/>
        <v>48106.041666666664</v>
      </c>
      <c r="C565" s="23">
        <f t="shared" si="71"/>
        <v>48113.000011574077</v>
      </c>
      <c r="H565" t="str">
        <f t="shared" si="64"/>
        <v>2031-09-15</v>
      </c>
      <c r="I565" t="str">
        <f t="shared" si="65"/>
        <v>2031-09-22</v>
      </c>
      <c r="J565" s="24" t="str">
        <f t="shared" si="66"/>
        <v>01:00:00</v>
      </c>
      <c r="K565" s="24" t="str">
        <f t="shared" si="67"/>
        <v>00:00:01</v>
      </c>
      <c r="M565" s="25" t="str">
        <f t="shared" si="68"/>
        <v>2031-09-15 01:00:00</v>
      </c>
      <c r="N565" s="25" t="str">
        <f t="shared" si="69"/>
        <v>2031-09-22 00:00:01</v>
      </c>
    </row>
    <row r="566" spans="2:14" x14ac:dyDescent="0.3">
      <c r="B566" s="23">
        <f t="shared" si="70"/>
        <v>48113.041666666664</v>
      </c>
      <c r="C566" s="23">
        <f t="shared" si="71"/>
        <v>48120.000011574077</v>
      </c>
      <c r="H566" t="str">
        <f t="shared" si="64"/>
        <v>2031-09-22</v>
      </c>
      <c r="I566" t="str">
        <f t="shared" si="65"/>
        <v>2031-09-29</v>
      </c>
      <c r="J566" s="24" t="str">
        <f t="shared" si="66"/>
        <v>01:00:00</v>
      </c>
      <c r="K566" s="24" t="str">
        <f t="shared" si="67"/>
        <v>00:00:01</v>
      </c>
      <c r="M566" s="25" t="str">
        <f t="shared" si="68"/>
        <v>2031-09-22 01:00:00</v>
      </c>
      <c r="N566" s="25" t="str">
        <f t="shared" si="69"/>
        <v>2031-09-29 00:00:01</v>
      </c>
    </row>
    <row r="567" spans="2:14" x14ac:dyDescent="0.3">
      <c r="B567" s="23">
        <f t="shared" si="70"/>
        <v>48120.041666666664</v>
      </c>
      <c r="C567" s="23">
        <f t="shared" si="71"/>
        <v>48127.000011574077</v>
      </c>
      <c r="H567" t="str">
        <f t="shared" si="64"/>
        <v>2031-09-29</v>
      </c>
      <c r="I567" t="str">
        <f t="shared" si="65"/>
        <v>2031-10-06</v>
      </c>
      <c r="J567" s="24" t="str">
        <f t="shared" si="66"/>
        <v>01:00:00</v>
      </c>
      <c r="K567" s="24" t="str">
        <f t="shared" si="67"/>
        <v>00:00:01</v>
      </c>
      <c r="M567" s="25" t="str">
        <f t="shared" si="68"/>
        <v>2031-09-29 01:00:00</v>
      </c>
      <c r="N567" s="25" t="str">
        <f t="shared" si="69"/>
        <v>2031-10-06 00:00:01</v>
      </c>
    </row>
    <row r="568" spans="2:14" x14ac:dyDescent="0.3">
      <c r="B568" s="23">
        <f t="shared" si="70"/>
        <v>48127.041666666664</v>
      </c>
      <c r="C568" s="23">
        <f t="shared" si="71"/>
        <v>48134.000011574077</v>
      </c>
      <c r="H568" t="str">
        <f t="shared" si="64"/>
        <v>2031-10-06</v>
      </c>
      <c r="I568" t="str">
        <f t="shared" si="65"/>
        <v>2031-10-13</v>
      </c>
      <c r="J568" s="24" t="str">
        <f t="shared" si="66"/>
        <v>01:00:00</v>
      </c>
      <c r="K568" s="24" t="str">
        <f t="shared" si="67"/>
        <v>00:00:01</v>
      </c>
      <c r="M568" s="25" t="str">
        <f t="shared" si="68"/>
        <v>2031-10-06 01:00:00</v>
      </c>
      <c r="N568" s="25" t="str">
        <f t="shared" si="69"/>
        <v>2031-10-13 00:00:01</v>
      </c>
    </row>
    <row r="569" spans="2:14" x14ac:dyDescent="0.3">
      <c r="B569" s="23">
        <f t="shared" si="70"/>
        <v>48134.041666666664</v>
      </c>
      <c r="C569" s="23">
        <f t="shared" si="71"/>
        <v>48141.000011574077</v>
      </c>
      <c r="H569" t="str">
        <f t="shared" si="64"/>
        <v>2031-10-13</v>
      </c>
      <c r="I569" t="str">
        <f t="shared" si="65"/>
        <v>2031-10-20</v>
      </c>
      <c r="J569" s="24" t="str">
        <f t="shared" si="66"/>
        <v>01:00:00</v>
      </c>
      <c r="K569" s="24" t="str">
        <f t="shared" si="67"/>
        <v>00:00:01</v>
      </c>
      <c r="M569" s="25" t="str">
        <f t="shared" si="68"/>
        <v>2031-10-13 01:00:00</v>
      </c>
      <c r="N569" s="25" t="str">
        <f t="shared" si="69"/>
        <v>2031-10-20 00:00:01</v>
      </c>
    </row>
    <row r="570" spans="2:14" x14ac:dyDescent="0.3">
      <c r="B570" s="23">
        <f t="shared" si="70"/>
        <v>48141.041666666664</v>
      </c>
      <c r="C570" s="23">
        <f t="shared" si="71"/>
        <v>48148.000011574077</v>
      </c>
      <c r="H570" t="str">
        <f t="shared" si="64"/>
        <v>2031-10-20</v>
      </c>
      <c r="I570" t="str">
        <f t="shared" si="65"/>
        <v>2031-10-27</v>
      </c>
      <c r="J570" s="24" t="str">
        <f t="shared" si="66"/>
        <v>01:00:00</v>
      </c>
      <c r="K570" s="24" t="str">
        <f t="shared" si="67"/>
        <v>00:00:01</v>
      </c>
      <c r="M570" s="25" t="str">
        <f t="shared" si="68"/>
        <v>2031-10-20 01:00:00</v>
      </c>
      <c r="N570" s="25" t="str">
        <f t="shared" si="69"/>
        <v>2031-10-27 00:00:01</v>
      </c>
    </row>
    <row r="571" spans="2:14" x14ac:dyDescent="0.3">
      <c r="B571" s="23">
        <f t="shared" si="70"/>
        <v>48148.041666666664</v>
      </c>
      <c r="C571" s="23">
        <f t="shared" si="71"/>
        <v>48155.000011574077</v>
      </c>
      <c r="H571" t="str">
        <f t="shared" si="64"/>
        <v>2031-10-27</v>
      </c>
      <c r="I571" t="str">
        <f t="shared" si="65"/>
        <v>2031-11-03</v>
      </c>
      <c r="J571" s="24" t="str">
        <f t="shared" si="66"/>
        <v>01:00:00</v>
      </c>
      <c r="K571" s="24" t="str">
        <f t="shared" si="67"/>
        <v>00:00:01</v>
      </c>
      <c r="M571" s="25" t="str">
        <f t="shared" si="68"/>
        <v>2031-10-27 01:00:00</v>
      </c>
      <c r="N571" s="25" t="str">
        <f t="shared" si="69"/>
        <v>2031-11-03 00:00:01</v>
      </c>
    </row>
    <row r="572" spans="2:14" x14ac:dyDescent="0.3">
      <c r="B572" s="23">
        <f t="shared" si="70"/>
        <v>48155.041666666664</v>
      </c>
      <c r="C572" s="23">
        <f t="shared" si="71"/>
        <v>48162.000011574077</v>
      </c>
      <c r="H572" t="str">
        <f t="shared" si="64"/>
        <v>2031-11-03</v>
      </c>
      <c r="I572" t="str">
        <f t="shared" si="65"/>
        <v>2031-11-10</v>
      </c>
      <c r="J572" s="24" t="str">
        <f t="shared" si="66"/>
        <v>01:00:00</v>
      </c>
      <c r="K572" s="24" t="str">
        <f t="shared" si="67"/>
        <v>00:00:01</v>
      </c>
      <c r="M572" s="25" t="str">
        <f t="shared" si="68"/>
        <v>2031-11-03 01:00:00</v>
      </c>
      <c r="N572" s="25" t="str">
        <f t="shared" si="69"/>
        <v>2031-11-10 00:00:01</v>
      </c>
    </row>
    <row r="573" spans="2:14" x14ac:dyDescent="0.3">
      <c r="B573" s="23">
        <f t="shared" si="70"/>
        <v>48162.041666666664</v>
      </c>
      <c r="C573" s="23">
        <f t="shared" si="71"/>
        <v>48169.000011574077</v>
      </c>
      <c r="H573" t="str">
        <f t="shared" si="64"/>
        <v>2031-11-10</v>
      </c>
      <c r="I573" t="str">
        <f t="shared" si="65"/>
        <v>2031-11-17</v>
      </c>
      <c r="J573" s="24" t="str">
        <f t="shared" si="66"/>
        <v>01:00:00</v>
      </c>
      <c r="K573" s="24" t="str">
        <f t="shared" si="67"/>
        <v>00:00:01</v>
      </c>
      <c r="M573" s="25" t="str">
        <f t="shared" si="68"/>
        <v>2031-11-10 01:00:00</v>
      </c>
      <c r="N573" s="25" t="str">
        <f t="shared" si="69"/>
        <v>2031-11-17 00:00:01</v>
      </c>
    </row>
    <row r="574" spans="2:14" x14ac:dyDescent="0.3">
      <c r="B574" s="23">
        <f t="shared" si="70"/>
        <v>48169.041666666664</v>
      </c>
      <c r="C574" s="23">
        <f t="shared" si="71"/>
        <v>48176.000011574077</v>
      </c>
      <c r="H574" t="str">
        <f t="shared" si="64"/>
        <v>2031-11-17</v>
      </c>
      <c r="I574" t="str">
        <f t="shared" si="65"/>
        <v>2031-11-24</v>
      </c>
      <c r="J574" s="24" t="str">
        <f t="shared" si="66"/>
        <v>01:00:00</v>
      </c>
      <c r="K574" s="24" t="str">
        <f t="shared" si="67"/>
        <v>00:00:01</v>
      </c>
      <c r="M574" s="25" t="str">
        <f t="shared" si="68"/>
        <v>2031-11-17 01:00:00</v>
      </c>
      <c r="N574" s="25" t="str">
        <f t="shared" si="69"/>
        <v>2031-11-24 00:00:01</v>
      </c>
    </row>
    <row r="575" spans="2:14" x14ac:dyDescent="0.3">
      <c r="B575" s="23">
        <f t="shared" si="70"/>
        <v>48176.041666666664</v>
      </c>
      <c r="C575" s="23">
        <f t="shared" si="71"/>
        <v>48183.000011574077</v>
      </c>
      <c r="H575" t="str">
        <f t="shared" si="64"/>
        <v>2031-11-24</v>
      </c>
      <c r="I575" t="str">
        <f t="shared" si="65"/>
        <v>2031-12-01</v>
      </c>
      <c r="J575" s="24" t="str">
        <f t="shared" si="66"/>
        <v>01:00:00</v>
      </c>
      <c r="K575" s="24" t="str">
        <f t="shared" si="67"/>
        <v>00:00:01</v>
      </c>
      <c r="M575" s="25" t="str">
        <f t="shared" si="68"/>
        <v>2031-11-24 01:00:00</v>
      </c>
      <c r="N575" s="25" t="str">
        <f t="shared" si="69"/>
        <v>2031-12-01 00:00:01</v>
      </c>
    </row>
    <row r="576" spans="2:14" x14ac:dyDescent="0.3">
      <c r="B576" s="23">
        <f t="shared" si="70"/>
        <v>48183.041666666664</v>
      </c>
      <c r="C576" s="23">
        <f t="shared" si="71"/>
        <v>48190.000011574077</v>
      </c>
      <c r="H576" t="str">
        <f t="shared" si="64"/>
        <v>2031-12-01</v>
      </c>
      <c r="I576" t="str">
        <f t="shared" si="65"/>
        <v>2031-12-08</v>
      </c>
      <c r="J576" s="24" t="str">
        <f t="shared" si="66"/>
        <v>01:00:00</v>
      </c>
      <c r="K576" s="24" t="str">
        <f t="shared" si="67"/>
        <v>00:00:01</v>
      </c>
      <c r="M576" s="25" t="str">
        <f t="shared" si="68"/>
        <v>2031-12-01 01:00:00</v>
      </c>
      <c r="N576" s="25" t="str">
        <f t="shared" si="69"/>
        <v>2031-12-08 00:00:01</v>
      </c>
    </row>
    <row r="577" spans="2:14" x14ac:dyDescent="0.3">
      <c r="B577" s="23">
        <f t="shared" si="70"/>
        <v>48190.041666666664</v>
      </c>
      <c r="C577" s="23">
        <f t="shared" si="71"/>
        <v>48197.000011574077</v>
      </c>
      <c r="H577" t="str">
        <f t="shared" si="64"/>
        <v>2031-12-08</v>
      </c>
      <c r="I577" t="str">
        <f t="shared" si="65"/>
        <v>2031-12-15</v>
      </c>
      <c r="J577" s="24" t="str">
        <f t="shared" si="66"/>
        <v>01:00:00</v>
      </c>
      <c r="K577" s="24" t="str">
        <f t="shared" si="67"/>
        <v>00:00:01</v>
      </c>
      <c r="M577" s="25" t="str">
        <f t="shared" si="68"/>
        <v>2031-12-08 01:00:00</v>
      </c>
      <c r="N577" s="25" t="str">
        <f t="shared" si="69"/>
        <v>2031-12-15 00:00:01</v>
      </c>
    </row>
    <row r="578" spans="2:14" x14ac:dyDescent="0.3">
      <c r="B578" s="23">
        <f t="shared" si="70"/>
        <v>48197.041666666664</v>
      </c>
      <c r="C578" s="23">
        <f t="shared" si="71"/>
        <v>48204.000011574077</v>
      </c>
      <c r="H578" t="str">
        <f t="shared" si="64"/>
        <v>2031-12-15</v>
      </c>
      <c r="I578" t="str">
        <f t="shared" si="65"/>
        <v>2031-12-22</v>
      </c>
      <c r="J578" s="24" t="str">
        <f t="shared" si="66"/>
        <v>01:00:00</v>
      </c>
      <c r="K578" s="24" t="str">
        <f t="shared" si="67"/>
        <v>00:00:01</v>
      </c>
      <c r="M578" s="25" t="str">
        <f t="shared" si="68"/>
        <v>2031-12-15 01:00:00</v>
      </c>
      <c r="N578" s="25" t="str">
        <f t="shared" si="69"/>
        <v>2031-12-22 00:00:01</v>
      </c>
    </row>
    <row r="579" spans="2:14" x14ac:dyDescent="0.3">
      <c r="B579" s="23">
        <f t="shared" si="70"/>
        <v>48204.041666666664</v>
      </c>
      <c r="C579" s="23">
        <f t="shared" si="71"/>
        <v>48211.000011574077</v>
      </c>
      <c r="H579" t="str">
        <f t="shared" si="64"/>
        <v>2031-12-22</v>
      </c>
      <c r="I579" t="str">
        <f t="shared" si="65"/>
        <v>2031-12-29</v>
      </c>
      <c r="J579" s="24" t="str">
        <f t="shared" si="66"/>
        <v>01:00:00</v>
      </c>
      <c r="K579" s="24" t="str">
        <f t="shared" si="67"/>
        <v>00:00:01</v>
      </c>
      <c r="M579" s="25" t="str">
        <f t="shared" si="68"/>
        <v>2031-12-22 01:00:00</v>
      </c>
      <c r="N579" s="25" t="str">
        <f t="shared" si="69"/>
        <v>2031-12-29 00:00:01</v>
      </c>
    </row>
    <row r="580" spans="2:14" x14ac:dyDescent="0.3">
      <c r="B580" s="23">
        <f t="shared" ref="B580:B584" si="72">C579+TIME($F$3,0,0)-TIME(0,0,1)</f>
        <v>48211.041666666664</v>
      </c>
      <c r="C580" s="23">
        <f t="shared" ref="C580:C584" si="73">B580+$E$3-TIME($F$3,0,0)+TIME(0,0,1)</f>
        <v>48218.000011574077</v>
      </c>
      <c r="H580" t="str">
        <f t="shared" ref="H580:H584" si="74">TEXT(B580,"yyyy-mm-dd")</f>
        <v>2031-12-29</v>
      </c>
      <c r="I580" t="str">
        <f t="shared" ref="I580:I584" si="75">TEXT(C580,"yyyy-mm-dd")</f>
        <v>2032-01-05</v>
      </c>
      <c r="J580" s="24" t="str">
        <f t="shared" ref="J580:J584" si="76">TEXT(B580,"hh:mm:ss")</f>
        <v>01:00:00</v>
      </c>
      <c r="K580" s="24" t="str">
        <f t="shared" ref="K580:K584" si="77">TEXT(C580,"hh:mm:ss")</f>
        <v>00:00:01</v>
      </c>
      <c r="M580" s="25" t="str">
        <f t="shared" ref="M580:M584" si="78">CONCATENATE(H580," ",J580)</f>
        <v>2031-12-29 01:00:00</v>
      </c>
      <c r="N580" s="25" t="str">
        <f t="shared" ref="N580:N584" si="79">CONCATENATE(I580," ",K580)</f>
        <v>2032-01-05 00:00:01</v>
      </c>
    </row>
    <row r="581" spans="2:14" x14ac:dyDescent="0.3">
      <c r="B581" s="23">
        <f t="shared" si="72"/>
        <v>48218.041666666664</v>
      </c>
      <c r="C581" s="23">
        <f t="shared" si="73"/>
        <v>48225.000011574077</v>
      </c>
      <c r="H581" t="str">
        <f t="shared" si="74"/>
        <v>2032-01-05</v>
      </c>
      <c r="I581" t="str">
        <f t="shared" si="75"/>
        <v>2032-01-12</v>
      </c>
      <c r="J581" s="24" t="str">
        <f t="shared" si="76"/>
        <v>01:00:00</v>
      </c>
      <c r="K581" s="24" t="str">
        <f t="shared" si="77"/>
        <v>00:00:01</v>
      </c>
      <c r="M581" s="25" t="str">
        <f t="shared" si="78"/>
        <v>2032-01-05 01:00:00</v>
      </c>
      <c r="N581" s="25" t="str">
        <f t="shared" si="79"/>
        <v>2032-01-12 00:00:01</v>
      </c>
    </row>
    <row r="582" spans="2:14" x14ac:dyDescent="0.3">
      <c r="B582" s="23">
        <f t="shared" si="72"/>
        <v>48225.041666666664</v>
      </c>
      <c r="C582" s="23">
        <f t="shared" si="73"/>
        <v>48232.000011574077</v>
      </c>
      <c r="H582" t="str">
        <f t="shared" si="74"/>
        <v>2032-01-12</v>
      </c>
      <c r="I582" t="str">
        <f t="shared" si="75"/>
        <v>2032-01-19</v>
      </c>
      <c r="J582" s="24" t="str">
        <f t="shared" si="76"/>
        <v>01:00:00</v>
      </c>
      <c r="K582" s="24" t="str">
        <f t="shared" si="77"/>
        <v>00:00:01</v>
      </c>
      <c r="M582" s="25" t="str">
        <f t="shared" si="78"/>
        <v>2032-01-12 01:00:00</v>
      </c>
      <c r="N582" s="25" t="str">
        <f t="shared" si="79"/>
        <v>2032-01-19 00:00:01</v>
      </c>
    </row>
    <row r="583" spans="2:14" x14ac:dyDescent="0.3">
      <c r="B583" s="23">
        <f t="shared" si="72"/>
        <v>48232.041666666664</v>
      </c>
      <c r="C583" s="23">
        <f t="shared" si="73"/>
        <v>48239.000011574077</v>
      </c>
      <c r="H583" t="str">
        <f t="shared" si="74"/>
        <v>2032-01-19</v>
      </c>
      <c r="I583" t="str">
        <f t="shared" si="75"/>
        <v>2032-01-26</v>
      </c>
      <c r="J583" s="24" t="str">
        <f t="shared" si="76"/>
        <v>01:00:00</v>
      </c>
      <c r="K583" s="24" t="str">
        <f t="shared" si="77"/>
        <v>00:00:01</v>
      </c>
      <c r="M583" s="25" t="str">
        <f t="shared" si="78"/>
        <v>2032-01-19 01:00:00</v>
      </c>
      <c r="N583" s="25" t="str">
        <f t="shared" si="79"/>
        <v>2032-01-26 00:00:01</v>
      </c>
    </row>
    <row r="584" spans="2:14" x14ac:dyDescent="0.3">
      <c r="B584" s="23">
        <f t="shared" si="72"/>
        <v>48239.041666666664</v>
      </c>
      <c r="C584" s="23">
        <f t="shared" si="73"/>
        <v>48246.000011574077</v>
      </c>
      <c r="H584" t="str">
        <f t="shared" si="74"/>
        <v>2032-01-26</v>
      </c>
      <c r="I584" t="str">
        <f t="shared" si="75"/>
        <v>2032-02-02</v>
      </c>
      <c r="J584" s="24" t="str">
        <f t="shared" si="76"/>
        <v>01:00:00</v>
      </c>
      <c r="K584" s="24" t="str">
        <f t="shared" si="77"/>
        <v>00:00:01</v>
      </c>
      <c r="M584" s="25" t="str">
        <f t="shared" si="78"/>
        <v>2032-01-26 01:00:00</v>
      </c>
      <c r="N584" s="25" t="str">
        <f t="shared" si="79"/>
        <v>2032-02-02 00:00:01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-0.249977111117893"/>
  </sheetPr>
  <dimension ref="B2:Q579"/>
  <sheetViews>
    <sheetView workbookViewId="0">
      <selection activeCell="B7" sqref="B7"/>
    </sheetView>
  </sheetViews>
  <sheetFormatPr defaultRowHeight="16.5" x14ac:dyDescent="0.3"/>
  <cols>
    <col min="2" max="3" width="19.25" bestFit="1" customWidth="1"/>
    <col min="5" max="5" width="13.75" bestFit="1" customWidth="1"/>
    <col min="6" max="6" width="13" bestFit="1" customWidth="1"/>
    <col min="7" max="7" width="15.875" bestFit="1" customWidth="1"/>
    <col min="8" max="8" width="0" hidden="1" customWidth="1"/>
    <col min="9" max="9" width="11.125" hidden="1" customWidth="1"/>
    <col min="10" max="13" width="0" hidden="1" customWidth="1"/>
    <col min="14" max="15" width="19.25" bestFit="1" customWidth="1"/>
    <col min="16" max="17" width="18.625" bestFit="1" customWidth="1"/>
  </cols>
  <sheetData>
    <row r="2" spans="2:17" x14ac:dyDescent="0.3">
      <c r="B2" s="19" t="s">
        <v>661</v>
      </c>
      <c r="E2" s="19" t="s">
        <v>666</v>
      </c>
      <c r="F2" s="19" t="s">
        <v>664</v>
      </c>
      <c r="G2" s="19" t="s">
        <v>663</v>
      </c>
      <c r="N2" s="19" t="s">
        <v>667</v>
      </c>
      <c r="O2" s="19" t="s">
        <v>668</v>
      </c>
      <c r="P2" s="19" t="s">
        <v>669</v>
      </c>
      <c r="Q2" s="19" t="s">
        <v>670</v>
      </c>
    </row>
    <row r="3" spans="2:17" x14ac:dyDescent="0.3">
      <c r="B3" s="20">
        <v>43619</v>
      </c>
      <c r="C3" s="21" t="s">
        <v>671</v>
      </c>
      <c r="E3" s="22">
        <v>8</v>
      </c>
      <c r="F3" s="22">
        <v>0</v>
      </c>
      <c r="G3" s="22">
        <v>2</v>
      </c>
      <c r="N3" s="22">
        <v>0</v>
      </c>
      <c r="O3" s="22">
        <v>0</v>
      </c>
      <c r="P3" s="22">
        <v>2</v>
      </c>
      <c r="Q3" s="22">
        <v>0</v>
      </c>
    </row>
    <row r="4" spans="2:17" hidden="1" x14ac:dyDescent="0.3">
      <c r="B4" s="23">
        <f>B3-TIME(9,0,0)</f>
        <v>43618.625</v>
      </c>
    </row>
    <row r="5" spans="2:17" x14ac:dyDescent="0.3">
      <c r="N5" s="21" t="s">
        <v>665</v>
      </c>
    </row>
    <row r="6" spans="2:17" ht="26.25" x14ac:dyDescent="0.3">
      <c r="B6" s="6" t="s">
        <v>2</v>
      </c>
      <c r="C6" s="6" t="s">
        <v>3</v>
      </c>
      <c r="N6" s="6" t="s">
        <v>2</v>
      </c>
      <c r="O6" s="6" t="s">
        <v>3</v>
      </c>
    </row>
    <row r="7" spans="2:17" x14ac:dyDescent="0.3">
      <c r="B7" s="23">
        <f>B4+TIME(G3,0,0)</f>
        <v>43618.708333333336</v>
      </c>
      <c r="C7" s="23">
        <f>B7+($E$3*7)+$F$3-TIME($G$3,0,1)</f>
        <v>43674.62498842593</v>
      </c>
      <c r="I7" t="str">
        <f t="shared" ref="I7:I70" si="0">TEXT(B7,"yyyy-mm-dd")</f>
        <v>2019-06-02</v>
      </c>
      <c r="J7" t="str">
        <f t="shared" ref="J7:J70" si="1">TEXT(C7,"yyyy-mm-dd")</f>
        <v>2019-07-28</v>
      </c>
      <c r="K7" s="24" t="str">
        <f t="shared" ref="K7:K70" si="2">TEXT(B7,"hh:mm:ss")</f>
        <v>17:00:00</v>
      </c>
      <c r="L7" s="24" t="str">
        <f t="shared" ref="L7:L70" si="3">TEXT(C7,"hh:mm:ss")</f>
        <v>14:59:59</v>
      </c>
      <c r="N7" s="25" t="str">
        <f>CONCATENATE(I7," ",K7)</f>
        <v>2019-06-02 17:00:00</v>
      </c>
      <c r="O7" s="25" t="str">
        <f>CONCATENATE(J7," ",L7)</f>
        <v>2019-07-28 14:59:59</v>
      </c>
    </row>
    <row r="8" spans="2:17" x14ac:dyDescent="0.3">
      <c r="B8" s="23">
        <f>C7+($N$3*7)+$O$3+TIME($G$3,0,1)</f>
        <v>43674.708333333336</v>
      </c>
      <c r="C8" s="23">
        <f>B8+($P$3*7)+$Q$3-TIME($G$3,0,1)</f>
        <v>43688.62498842593</v>
      </c>
      <c r="I8" t="str">
        <f t="shared" si="0"/>
        <v>2019-07-28</v>
      </c>
      <c r="J8" t="str">
        <f t="shared" si="1"/>
        <v>2019-08-11</v>
      </c>
      <c r="K8" s="24" t="str">
        <f t="shared" si="2"/>
        <v>17:00:00</v>
      </c>
      <c r="L8" s="24" t="str">
        <f t="shared" si="3"/>
        <v>14:59:59</v>
      </c>
      <c r="N8" s="25" t="str">
        <f t="shared" ref="N8:O71" si="4">CONCATENATE(I8," ",K8)</f>
        <v>2019-07-28 17:00:00</v>
      </c>
      <c r="O8" s="25" t="str">
        <f t="shared" si="4"/>
        <v>2019-08-11 14:59:59</v>
      </c>
    </row>
    <row r="9" spans="2:17" x14ac:dyDescent="0.3">
      <c r="B9" s="23">
        <f t="shared" ref="B9:B72" si="5">C8+($N$3*7)+$O$3+TIME($G$3,0,1)</f>
        <v>43688.708333333336</v>
      </c>
      <c r="C9" s="23">
        <f t="shared" ref="C9" si="6">B9+($E$3*7)+$F$3-TIME($G$3,0,1)</f>
        <v>43744.62498842593</v>
      </c>
      <c r="I9" t="str">
        <f t="shared" si="0"/>
        <v>2019-08-11</v>
      </c>
      <c r="J9" t="str">
        <f t="shared" si="1"/>
        <v>2019-10-06</v>
      </c>
      <c r="K9" s="24" t="str">
        <f t="shared" si="2"/>
        <v>17:00:00</v>
      </c>
      <c r="L9" s="24" t="str">
        <f t="shared" si="3"/>
        <v>14:59:59</v>
      </c>
      <c r="N9" s="25" t="str">
        <f t="shared" si="4"/>
        <v>2019-08-11 17:00:00</v>
      </c>
      <c r="O9" s="25" t="str">
        <f t="shared" si="4"/>
        <v>2019-10-06 14:59:59</v>
      </c>
    </row>
    <row r="10" spans="2:17" x14ac:dyDescent="0.3">
      <c r="B10" s="23">
        <f t="shared" si="5"/>
        <v>43744.708333333336</v>
      </c>
      <c r="C10" s="23">
        <f t="shared" ref="C10" si="7">B10+($P$3*7)+$Q$3-TIME($G$3,0,1)</f>
        <v>43758.62498842593</v>
      </c>
      <c r="I10" t="str">
        <f t="shared" si="0"/>
        <v>2019-10-06</v>
      </c>
      <c r="J10" t="str">
        <f t="shared" si="1"/>
        <v>2019-10-20</v>
      </c>
      <c r="K10" s="24" t="str">
        <f t="shared" si="2"/>
        <v>17:00:00</v>
      </c>
      <c r="L10" s="24" t="str">
        <f t="shared" si="3"/>
        <v>14:59:59</v>
      </c>
      <c r="N10" s="25" t="str">
        <f t="shared" si="4"/>
        <v>2019-10-06 17:00:00</v>
      </c>
      <c r="O10" s="25" t="str">
        <f t="shared" si="4"/>
        <v>2019-10-20 14:59:59</v>
      </c>
    </row>
    <row r="11" spans="2:17" x14ac:dyDescent="0.3">
      <c r="B11" s="23">
        <f t="shared" si="5"/>
        <v>43758.708333333336</v>
      </c>
      <c r="C11" s="23">
        <f t="shared" ref="C11" si="8">B11+($E$3*7)+$F$3-TIME($G$3,0,1)</f>
        <v>43814.62498842593</v>
      </c>
      <c r="I11" t="str">
        <f t="shared" si="0"/>
        <v>2019-10-20</v>
      </c>
      <c r="J11" t="str">
        <f t="shared" si="1"/>
        <v>2019-12-15</v>
      </c>
      <c r="K11" s="24" t="str">
        <f t="shared" si="2"/>
        <v>17:00:00</v>
      </c>
      <c r="L11" s="24" t="str">
        <f t="shared" si="3"/>
        <v>14:59:59</v>
      </c>
      <c r="N11" s="25" t="str">
        <f t="shared" si="4"/>
        <v>2019-10-20 17:00:00</v>
      </c>
      <c r="O11" s="25" t="str">
        <f t="shared" si="4"/>
        <v>2019-12-15 14:59:59</v>
      </c>
    </row>
    <row r="12" spans="2:17" x14ac:dyDescent="0.3">
      <c r="B12" s="23">
        <f t="shared" si="5"/>
        <v>43814.708333333336</v>
      </c>
      <c r="C12" s="23">
        <f t="shared" ref="C12" si="9">B12+($P$3*7)+$Q$3-TIME($G$3,0,1)</f>
        <v>43828.62498842593</v>
      </c>
      <c r="I12" t="str">
        <f t="shared" si="0"/>
        <v>2019-12-15</v>
      </c>
      <c r="J12" t="str">
        <f t="shared" si="1"/>
        <v>2019-12-29</v>
      </c>
      <c r="K12" s="24" t="str">
        <f t="shared" si="2"/>
        <v>17:00:00</v>
      </c>
      <c r="L12" s="24" t="str">
        <f t="shared" si="3"/>
        <v>14:59:59</v>
      </c>
      <c r="N12" s="25" t="str">
        <f t="shared" si="4"/>
        <v>2019-12-15 17:00:00</v>
      </c>
      <c r="O12" s="25" t="str">
        <f t="shared" si="4"/>
        <v>2019-12-29 14:59:59</v>
      </c>
    </row>
    <row r="13" spans="2:17" x14ac:dyDescent="0.3">
      <c r="B13" s="23">
        <f t="shared" si="5"/>
        <v>43828.708333333336</v>
      </c>
      <c r="C13" s="23">
        <f t="shared" ref="C13" si="10">B13+($E$3*7)+$F$3-TIME($G$3,0,1)</f>
        <v>43884.62498842593</v>
      </c>
      <c r="I13" t="str">
        <f t="shared" si="0"/>
        <v>2019-12-29</v>
      </c>
      <c r="J13" t="str">
        <f t="shared" si="1"/>
        <v>2020-02-23</v>
      </c>
      <c r="K13" s="24" t="str">
        <f t="shared" si="2"/>
        <v>17:00:00</v>
      </c>
      <c r="L13" s="24" t="str">
        <f t="shared" si="3"/>
        <v>14:59:59</v>
      </c>
      <c r="N13" s="25" t="str">
        <f t="shared" si="4"/>
        <v>2019-12-29 17:00:00</v>
      </c>
      <c r="O13" s="25" t="str">
        <f t="shared" si="4"/>
        <v>2020-02-23 14:59:59</v>
      </c>
    </row>
    <row r="14" spans="2:17" x14ac:dyDescent="0.3">
      <c r="B14" s="23">
        <f t="shared" si="5"/>
        <v>43884.708333333336</v>
      </c>
      <c r="C14" s="23">
        <f t="shared" ref="C14" si="11">B14+($P$3*7)+$Q$3-TIME($G$3,0,1)</f>
        <v>43898.62498842593</v>
      </c>
      <c r="I14" t="str">
        <f t="shared" si="0"/>
        <v>2020-02-23</v>
      </c>
      <c r="J14" t="str">
        <f t="shared" si="1"/>
        <v>2020-03-08</v>
      </c>
      <c r="K14" s="24" t="str">
        <f t="shared" si="2"/>
        <v>17:00:00</v>
      </c>
      <c r="L14" s="24" t="str">
        <f t="shared" si="3"/>
        <v>14:59:59</v>
      </c>
      <c r="N14" s="25" t="str">
        <f t="shared" si="4"/>
        <v>2020-02-23 17:00:00</v>
      </c>
      <c r="O14" s="25" t="str">
        <f t="shared" si="4"/>
        <v>2020-03-08 14:59:59</v>
      </c>
    </row>
    <row r="15" spans="2:17" x14ac:dyDescent="0.3">
      <c r="B15" s="23">
        <f t="shared" si="5"/>
        <v>43898.708333333336</v>
      </c>
      <c r="C15" s="23">
        <f t="shared" ref="C15" si="12">B15+($E$3*7)+$F$3-TIME($G$3,0,1)</f>
        <v>43954.62498842593</v>
      </c>
      <c r="I15" t="str">
        <f t="shared" si="0"/>
        <v>2020-03-08</v>
      </c>
      <c r="J15" t="str">
        <f t="shared" si="1"/>
        <v>2020-05-03</v>
      </c>
      <c r="K15" s="24" t="str">
        <f t="shared" si="2"/>
        <v>17:00:00</v>
      </c>
      <c r="L15" s="24" t="str">
        <f t="shared" si="3"/>
        <v>14:59:59</v>
      </c>
      <c r="N15" s="25" t="str">
        <f t="shared" si="4"/>
        <v>2020-03-08 17:00:00</v>
      </c>
      <c r="O15" s="25" t="str">
        <f t="shared" si="4"/>
        <v>2020-05-03 14:59:59</v>
      </c>
    </row>
    <row r="16" spans="2:17" x14ac:dyDescent="0.3">
      <c r="B16" s="23">
        <f t="shared" si="5"/>
        <v>43954.708333333336</v>
      </c>
      <c r="C16" s="23">
        <f t="shared" ref="C16" si="13">B16+($P$3*7)+$Q$3-TIME($G$3,0,1)</f>
        <v>43968.62498842593</v>
      </c>
      <c r="I16" t="str">
        <f t="shared" si="0"/>
        <v>2020-05-03</v>
      </c>
      <c r="J16" t="str">
        <f t="shared" si="1"/>
        <v>2020-05-17</v>
      </c>
      <c r="K16" s="24" t="str">
        <f t="shared" si="2"/>
        <v>17:00:00</v>
      </c>
      <c r="L16" s="24" t="str">
        <f t="shared" si="3"/>
        <v>14:59:59</v>
      </c>
      <c r="N16" s="25" t="str">
        <f t="shared" si="4"/>
        <v>2020-05-03 17:00:00</v>
      </c>
      <c r="O16" s="25" t="str">
        <f t="shared" si="4"/>
        <v>2020-05-17 14:59:59</v>
      </c>
    </row>
    <row r="17" spans="2:15" x14ac:dyDescent="0.3">
      <c r="B17" s="23">
        <f t="shared" si="5"/>
        <v>43968.708333333336</v>
      </c>
      <c r="C17" s="23">
        <f t="shared" ref="C17" si="14">B17+($E$3*7)+$F$3-TIME($G$3,0,1)</f>
        <v>44024.62498842593</v>
      </c>
      <c r="I17" t="str">
        <f t="shared" si="0"/>
        <v>2020-05-17</v>
      </c>
      <c r="J17" t="str">
        <f t="shared" si="1"/>
        <v>2020-07-12</v>
      </c>
      <c r="K17" s="24" t="str">
        <f t="shared" si="2"/>
        <v>17:00:00</v>
      </c>
      <c r="L17" s="24" t="str">
        <f t="shared" si="3"/>
        <v>14:59:59</v>
      </c>
      <c r="N17" s="25" t="str">
        <f t="shared" si="4"/>
        <v>2020-05-17 17:00:00</v>
      </c>
      <c r="O17" s="25" t="str">
        <f t="shared" si="4"/>
        <v>2020-07-12 14:59:59</v>
      </c>
    </row>
    <row r="18" spans="2:15" x14ac:dyDescent="0.3">
      <c r="B18" s="23">
        <f t="shared" si="5"/>
        <v>44024.708333333336</v>
      </c>
      <c r="C18" s="23">
        <f t="shared" ref="C18" si="15">B18+($P$3*7)+$Q$3-TIME($G$3,0,1)</f>
        <v>44038.62498842593</v>
      </c>
      <c r="I18" t="str">
        <f t="shared" si="0"/>
        <v>2020-07-12</v>
      </c>
      <c r="J18" t="str">
        <f t="shared" si="1"/>
        <v>2020-07-26</v>
      </c>
      <c r="K18" s="24" t="str">
        <f t="shared" si="2"/>
        <v>17:00:00</v>
      </c>
      <c r="L18" s="24" t="str">
        <f t="shared" si="3"/>
        <v>14:59:59</v>
      </c>
      <c r="N18" s="25" t="str">
        <f t="shared" si="4"/>
        <v>2020-07-12 17:00:00</v>
      </c>
      <c r="O18" s="25" t="str">
        <f t="shared" si="4"/>
        <v>2020-07-26 14:59:59</v>
      </c>
    </row>
    <row r="19" spans="2:15" x14ac:dyDescent="0.3">
      <c r="B19" s="23">
        <f t="shared" si="5"/>
        <v>44038.708333333336</v>
      </c>
      <c r="C19" s="23">
        <f t="shared" ref="C19" si="16">B19+($E$3*7)+$F$3-TIME($G$3,0,1)</f>
        <v>44094.62498842593</v>
      </c>
      <c r="I19" t="str">
        <f t="shared" si="0"/>
        <v>2020-07-26</v>
      </c>
      <c r="J19" t="str">
        <f t="shared" si="1"/>
        <v>2020-09-20</v>
      </c>
      <c r="K19" s="24" t="str">
        <f t="shared" si="2"/>
        <v>17:00:00</v>
      </c>
      <c r="L19" s="24" t="str">
        <f t="shared" si="3"/>
        <v>14:59:59</v>
      </c>
      <c r="N19" s="25" t="str">
        <f t="shared" si="4"/>
        <v>2020-07-26 17:00:00</v>
      </c>
      <c r="O19" s="25" t="str">
        <f t="shared" si="4"/>
        <v>2020-09-20 14:59:59</v>
      </c>
    </row>
    <row r="20" spans="2:15" x14ac:dyDescent="0.3">
      <c r="B20" s="23">
        <f t="shared" si="5"/>
        <v>44094.708333333336</v>
      </c>
      <c r="C20" s="23">
        <f t="shared" ref="C20" si="17">B20+($P$3*7)+$Q$3-TIME($G$3,0,1)</f>
        <v>44108.62498842593</v>
      </c>
      <c r="I20" t="str">
        <f t="shared" si="0"/>
        <v>2020-09-20</v>
      </c>
      <c r="J20" t="str">
        <f t="shared" si="1"/>
        <v>2020-10-04</v>
      </c>
      <c r="K20" s="24" t="str">
        <f t="shared" si="2"/>
        <v>17:00:00</v>
      </c>
      <c r="L20" s="24" t="str">
        <f t="shared" si="3"/>
        <v>14:59:59</v>
      </c>
      <c r="N20" s="25" t="str">
        <f t="shared" si="4"/>
        <v>2020-09-20 17:00:00</v>
      </c>
      <c r="O20" s="25" t="str">
        <f t="shared" si="4"/>
        <v>2020-10-04 14:59:59</v>
      </c>
    </row>
    <row r="21" spans="2:15" x14ac:dyDescent="0.3">
      <c r="B21" s="23">
        <f t="shared" si="5"/>
        <v>44108.708333333336</v>
      </c>
      <c r="C21" s="23">
        <f t="shared" ref="C21" si="18">B21+($E$3*7)+$F$3-TIME($G$3,0,1)</f>
        <v>44164.62498842593</v>
      </c>
      <c r="I21" t="str">
        <f t="shared" si="0"/>
        <v>2020-10-04</v>
      </c>
      <c r="J21" t="str">
        <f t="shared" si="1"/>
        <v>2020-11-29</v>
      </c>
      <c r="K21" s="24" t="str">
        <f t="shared" si="2"/>
        <v>17:00:00</v>
      </c>
      <c r="L21" s="24" t="str">
        <f t="shared" si="3"/>
        <v>14:59:59</v>
      </c>
      <c r="N21" s="25" t="str">
        <f t="shared" si="4"/>
        <v>2020-10-04 17:00:00</v>
      </c>
      <c r="O21" s="25" t="str">
        <f t="shared" si="4"/>
        <v>2020-11-29 14:59:59</v>
      </c>
    </row>
    <row r="22" spans="2:15" x14ac:dyDescent="0.3">
      <c r="B22" s="23">
        <f t="shared" si="5"/>
        <v>44164.708333333336</v>
      </c>
      <c r="C22" s="23">
        <f t="shared" ref="C22" si="19">B22+($P$3*7)+$Q$3-TIME($G$3,0,1)</f>
        <v>44178.62498842593</v>
      </c>
      <c r="I22" t="str">
        <f t="shared" si="0"/>
        <v>2020-11-29</v>
      </c>
      <c r="J22" t="str">
        <f t="shared" si="1"/>
        <v>2020-12-13</v>
      </c>
      <c r="K22" s="24" t="str">
        <f t="shared" si="2"/>
        <v>17:00:00</v>
      </c>
      <c r="L22" s="24" t="str">
        <f t="shared" si="3"/>
        <v>14:59:59</v>
      </c>
      <c r="N22" s="25" t="str">
        <f t="shared" si="4"/>
        <v>2020-11-29 17:00:00</v>
      </c>
      <c r="O22" s="25" t="str">
        <f t="shared" si="4"/>
        <v>2020-12-13 14:59:59</v>
      </c>
    </row>
    <row r="23" spans="2:15" x14ac:dyDescent="0.3">
      <c r="B23" s="23">
        <f t="shared" si="5"/>
        <v>44178.708333333336</v>
      </c>
      <c r="C23" s="23">
        <f t="shared" ref="C23" si="20">B23+($E$3*7)+$F$3-TIME($G$3,0,1)</f>
        <v>44234.62498842593</v>
      </c>
      <c r="I23" t="str">
        <f t="shared" si="0"/>
        <v>2020-12-13</v>
      </c>
      <c r="J23" t="str">
        <f t="shared" si="1"/>
        <v>2021-02-07</v>
      </c>
      <c r="K23" s="24" t="str">
        <f t="shared" si="2"/>
        <v>17:00:00</v>
      </c>
      <c r="L23" s="24" t="str">
        <f t="shared" si="3"/>
        <v>14:59:59</v>
      </c>
      <c r="N23" s="25" t="str">
        <f t="shared" si="4"/>
        <v>2020-12-13 17:00:00</v>
      </c>
      <c r="O23" s="25" t="str">
        <f t="shared" si="4"/>
        <v>2021-02-07 14:59:59</v>
      </c>
    </row>
    <row r="24" spans="2:15" x14ac:dyDescent="0.3">
      <c r="B24" s="23">
        <f t="shared" si="5"/>
        <v>44234.708333333336</v>
      </c>
      <c r="C24" s="23">
        <f t="shared" ref="C24" si="21">B24+($P$3*7)+$Q$3-TIME($G$3,0,1)</f>
        <v>44248.62498842593</v>
      </c>
      <c r="I24" t="str">
        <f t="shared" si="0"/>
        <v>2021-02-07</v>
      </c>
      <c r="J24" t="str">
        <f t="shared" si="1"/>
        <v>2021-02-21</v>
      </c>
      <c r="K24" s="24" t="str">
        <f t="shared" si="2"/>
        <v>17:00:00</v>
      </c>
      <c r="L24" s="24" t="str">
        <f t="shared" si="3"/>
        <v>14:59:59</v>
      </c>
      <c r="N24" s="25" t="str">
        <f t="shared" si="4"/>
        <v>2021-02-07 17:00:00</v>
      </c>
      <c r="O24" s="25" t="str">
        <f t="shared" si="4"/>
        <v>2021-02-21 14:59:59</v>
      </c>
    </row>
    <row r="25" spans="2:15" x14ac:dyDescent="0.3">
      <c r="B25" s="23">
        <f t="shared" si="5"/>
        <v>44248.708333333336</v>
      </c>
      <c r="C25" s="23">
        <f t="shared" ref="C25" si="22">B25+($E$3*7)+$F$3-TIME($G$3,0,1)</f>
        <v>44304.62498842593</v>
      </c>
      <c r="I25" t="str">
        <f t="shared" si="0"/>
        <v>2021-02-21</v>
      </c>
      <c r="J25" t="str">
        <f t="shared" si="1"/>
        <v>2021-04-18</v>
      </c>
      <c r="K25" s="24" t="str">
        <f t="shared" si="2"/>
        <v>17:00:00</v>
      </c>
      <c r="L25" s="24" t="str">
        <f t="shared" si="3"/>
        <v>14:59:59</v>
      </c>
      <c r="N25" s="25" t="str">
        <f t="shared" si="4"/>
        <v>2021-02-21 17:00:00</v>
      </c>
      <c r="O25" s="25" t="str">
        <f t="shared" si="4"/>
        <v>2021-04-18 14:59:59</v>
      </c>
    </row>
    <row r="26" spans="2:15" x14ac:dyDescent="0.3">
      <c r="B26" s="23">
        <f t="shared" si="5"/>
        <v>44304.708333333336</v>
      </c>
      <c r="C26" s="23">
        <f t="shared" ref="C26" si="23">B26+($P$3*7)+$Q$3-TIME($G$3,0,1)</f>
        <v>44318.62498842593</v>
      </c>
      <c r="I26" t="str">
        <f t="shared" si="0"/>
        <v>2021-04-18</v>
      </c>
      <c r="J26" t="str">
        <f t="shared" si="1"/>
        <v>2021-05-02</v>
      </c>
      <c r="K26" s="24" t="str">
        <f t="shared" si="2"/>
        <v>17:00:00</v>
      </c>
      <c r="L26" s="24" t="str">
        <f t="shared" si="3"/>
        <v>14:59:59</v>
      </c>
      <c r="N26" s="25" t="str">
        <f t="shared" si="4"/>
        <v>2021-04-18 17:00:00</v>
      </c>
      <c r="O26" s="25" t="str">
        <f t="shared" si="4"/>
        <v>2021-05-02 14:59:59</v>
      </c>
    </row>
    <row r="27" spans="2:15" x14ac:dyDescent="0.3">
      <c r="B27" s="23">
        <f t="shared" si="5"/>
        <v>44318.708333333336</v>
      </c>
      <c r="C27" s="23">
        <f t="shared" ref="C27" si="24">B27+($E$3*7)+$F$3-TIME($G$3,0,1)</f>
        <v>44374.62498842593</v>
      </c>
      <c r="I27" t="str">
        <f t="shared" si="0"/>
        <v>2021-05-02</v>
      </c>
      <c r="J27" t="str">
        <f t="shared" si="1"/>
        <v>2021-06-27</v>
      </c>
      <c r="K27" s="24" t="str">
        <f t="shared" si="2"/>
        <v>17:00:00</v>
      </c>
      <c r="L27" s="24" t="str">
        <f t="shared" si="3"/>
        <v>14:59:59</v>
      </c>
      <c r="N27" s="25" t="str">
        <f t="shared" si="4"/>
        <v>2021-05-02 17:00:00</v>
      </c>
      <c r="O27" s="25" t="str">
        <f t="shared" si="4"/>
        <v>2021-06-27 14:59:59</v>
      </c>
    </row>
    <row r="28" spans="2:15" x14ac:dyDescent="0.3">
      <c r="B28" s="23">
        <f t="shared" si="5"/>
        <v>44374.708333333336</v>
      </c>
      <c r="C28" s="23">
        <f t="shared" ref="C28" si="25">B28+($P$3*7)+$Q$3-TIME($G$3,0,1)</f>
        <v>44388.62498842593</v>
      </c>
      <c r="I28" t="str">
        <f t="shared" si="0"/>
        <v>2021-06-27</v>
      </c>
      <c r="J28" t="str">
        <f t="shared" si="1"/>
        <v>2021-07-11</v>
      </c>
      <c r="K28" s="24" t="str">
        <f t="shared" si="2"/>
        <v>17:00:00</v>
      </c>
      <c r="L28" s="24" t="str">
        <f t="shared" si="3"/>
        <v>14:59:59</v>
      </c>
      <c r="N28" s="25" t="str">
        <f t="shared" si="4"/>
        <v>2021-06-27 17:00:00</v>
      </c>
      <c r="O28" s="25" t="str">
        <f t="shared" si="4"/>
        <v>2021-07-11 14:59:59</v>
      </c>
    </row>
    <row r="29" spans="2:15" x14ac:dyDescent="0.3">
      <c r="B29" s="23">
        <f t="shared" si="5"/>
        <v>44388.708333333336</v>
      </c>
      <c r="C29" s="23">
        <f t="shared" ref="C29" si="26">B29+($E$3*7)+$F$3-TIME($G$3,0,1)</f>
        <v>44444.62498842593</v>
      </c>
      <c r="I29" t="str">
        <f t="shared" si="0"/>
        <v>2021-07-11</v>
      </c>
      <c r="J29" t="str">
        <f t="shared" si="1"/>
        <v>2021-09-05</v>
      </c>
      <c r="K29" s="24" t="str">
        <f t="shared" si="2"/>
        <v>17:00:00</v>
      </c>
      <c r="L29" s="24" t="str">
        <f t="shared" si="3"/>
        <v>14:59:59</v>
      </c>
      <c r="N29" s="25" t="str">
        <f t="shared" si="4"/>
        <v>2021-07-11 17:00:00</v>
      </c>
      <c r="O29" s="25" t="str">
        <f t="shared" si="4"/>
        <v>2021-09-05 14:59:59</v>
      </c>
    </row>
    <row r="30" spans="2:15" x14ac:dyDescent="0.3">
      <c r="B30" s="23">
        <f t="shared" si="5"/>
        <v>44444.708333333336</v>
      </c>
      <c r="C30" s="23">
        <f t="shared" ref="C30" si="27">B30+($P$3*7)+$Q$3-TIME($G$3,0,1)</f>
        <v>44458.62498842593</v>
      </c>
      <c r="I30" t="str">
        <f t="shared" si="0"/>
        <v>2021-09-05</v>
      </c>
      <c r="J30" t="str">
        <f t="shared" si="1"/>
        <v>2021-09-19</v>
      </c>
      <c r="K30" s="24" t="str">
        <f t="shared" si="2"/>
        <v>17:00:00</v>
      </c>
      <c r="L30" s="24" t="str">
        <f t="shared" si="3"/>
        <v>14:59:59</v>
      </c>
      <c r="N30" s="25" t="str">
        <f t="shared" si="4"/>
        <v>2021-09-05 17:00:00</v>
      </c>
      <c r="O30" s="25" t="str">
        <f t="shared" si="4"/>
        <v>2021-09-19 14:59:59</v>
      </c>
    </row>
    <row r="31" spans="2:15" x14ac:dyDescent="0.3">
      <c r="B31" s="23">
        <f t="shared" si="5"/>
        <v>44458.708333333336</v>
      </c>
      <c r="C31" s="23">
        <f t="shared" ref="C31" si="28">B31+($E$3*7)+$F$3-TIME($G$3,0,1)</f>
        <v>44514.62498842593</v>
      </c>
      <c r="I31" t="str">
        <f t="shared" si="0"/>
        <v>2021-09-19</v>
      </c>
      <c r="J31" t="str">
        <f t="shared" si="1"/>
        <v>2021-11-14</v>
      </c>
      <c r="K31" s="24" t="str">
        <f t="shared" si="2"/>
        <v>17:00:00</v>
      </c>
      <c r="L31" s="24" t="str">
        <f t="shared" si="3"/>
        <v>14:59:59</v>
      </c>
      <c r="N31" s="25" t="str">
        <f t="shared" si="4"/>
        <v>2021-09-19 17:00:00</v>
      </c>
      <c r="O31" s="25" t="str">
        <f t="shared" si="4"/>
        <v>2021-11-14 14:59:59</v>
      </c>
    </row>
    <row r="32" spans="2:15" x14ac:dyDescent="0.3">
      <c r="B32" s="23">
        <f t="shared" si="5"/>
        <v>44514.708333333336</v>
      </c>
      <c r="C32" s="23">
        <f t="shared" ref="C32" si="29">B32+($P$3*7)+$Q$3-TIME($G$3,0,1)</f>
        <v>44528.62498842593</v>
      </c>
      <c r="I32" t="str">
        <f t="shared" si="0"/>
        <v>2021-11-14</v>
      </c>
      <c r="J32" t="str">
        <f t="shared" si="1"/>
        <v>2021-11-28</v>
      </c>
      <c r="K32" s="24" t="str">
        <f t="shared" si="2"/>
        <v>17:00:00</v>
      </c>
      <c r="L32" s="24" t="str">
        <f t="shared" si="3"/>
        <v>14:59:59</v>
      </c>
      <c r="N32" s="25" t="str">
        <f t="shared" si="4"/>
        <v>2021-11-14 17:00:00</v>
      </c>
      <c r="O32" s="25" t="str">
        <f t="shared" si="4"/>
        <v>2021-11-28 14:59:59</v>
      </c>
    </row>
    <row r="33" spans="2:15" x14ac:dyDescent="0.3">
      <c r="B33" s="23">
        <f t="shared" si="5"/>
        <v>44528.708333333336</v>
      </c>
      <c r="C33" s="23">
        <f t="shared" ref="C33" si="30">B33+($E$3*7)+$F$3-TIME($G$3,0,1)</f>
        <v>44584.62498842593</v>
      </c>
      <c r="I33" t="str">
        <f t="shared" si="0"/>
        <v>2021-11-28</v>
      </c>
      <c r="J33" t="str">
        <f t="shared" si="1"/>
        <v>2022-01-23</v>
      </c>
      <c r="K33" s="24" t="str">
        <f t="shared" si="2"/>
        <v>17:00:00</v>
      </c>
      <c r="L33" s="24" t="str">
        <f t="shared" si="3"/>
        <v>14:59:59</v>
      </c>
      <c r="N33" s="25" t="str">
        <f t="shared" si="4"/>
        <v>2021-11-28 17:00:00</v>
      </c>
      <c r="O33" s="25" t="str">
        <f t="shared" si="4"/>
        <v>2022-01-23 14:59:59</v>
      </c>
    </row>
    <row r="34" spans="2:15" x14ac:dyDescent="0.3">
      <c r="B34" s="23">
        <f t="shared" si="5"/>
        <v>44584.708333333336</v>
      </c>
      <c r="C34" s="23">
        <f t="shared" ref="C34" si="31">B34+($P$3*7)+$Q$3-TIME($G$3,0,1)</f>
        <v>44598.62498842593</v>
      </c>
      <c r="I34" t="str">
        <f t="shared" si="0"/>
        <v>2022-01-23</v>
      </c>
      <c r="J34" t="str">
        <f t="shared" si="1"/>
        <v>2022-02-06</v>
      </c>
      <c r="K34" s="24" t="str">
        <f t="shared" si="2"/>
        <v>17:00:00</v>
      </c>
      <c r="L34" s="24" t="str">
        <f t="shared" si="3"/>
        <v>14:59:59</v>
      </c>
      <c r="N34" s="25" t="str">
        <f t="shared" si="4"/>
        <v>2022-01-23 17:00:00</v>
      </c>
      <c r="O34" s="25" t="str">
        <f t="shared" si="4"/>
        <v>2022-02-06 14:59:59</v>
      </c>
    </row>
    <row r="35" spans="2:15" x14ac:dyDescent="0.3">
      <c r="B35" s="23">
        <f t="shared" si="5"/>
        <v>44598.708333333336</v>
      </c>
      <c r="C35" s="23">
        <f t="shared" ref="C35" si="32">B35+($E$3*7)+$F$3-TIME($G$3,0,1)</f>
        <v>44654.62498842593</v>
      </c>
      <c r="I35" t="str">
        <f t="shared" si="0"/>
        <v>2022-02-06</v>
      </c>
      <c r="J35" t="str">
        <f t="shared" si="1"/>
        <v>2022-04-03</v>
      </c>
      <c r="K35" s="24" t="str">
        <f t="shared" si="2"/>
        <v>17:00:00</v>
      </c>
      <c r="L35" s="24" t="str">
        <f t="shared" si="3"/>
        <v>14:59:59</v>
      </c>
      <c r="N35" s="25" t="str">
        <f t="shared" si="4"/>
        <v>2022-02-06 17:00:00</v>
      </c>
      <c r="O35" s="25" t="str">
        <f t="shared" si="4"/>
        <v>2022-04-03 14:59:59</v>
      </c>
    </row>
    <row r="36" spans="2:15" x14ac:dyDescent="0.3">
      <c r="B36" s="23">
        <f t="shared" si="5"/>
        <v>44654.708333333336</v>
      </c>
      <c r="C36" s="23">
        <f t="shared" ref="C36" si="33">B36+($P$3*7)+$Q$3-TIME($G$3,0,1)</f>
        <v>44668.62498842593</v>
      </c>
      <c r="I36" t="str">
        <f t="shared" si="0"/>
        <v>2022-04-03</v>
      </c>
      <c r="J36" t="str">
        <f t="shared" si="1"/>
        <v>2022-04-17</v>
      </c>
      <c r="K36" s="24" t="str">
        <f t="shared" si="2"/>
        <v>17:00:00</v>
      </c>
      <c r="L36" s="24" t="str">
        <f t="shared" si="3"/>
        <v>14:59:59</v>
      </c>
      <c r="N36" s="25" t="str">
        <f t="shared" si="4"/>
        <v>2022-04-03 17:00:00</v>
      </c>
      <c r="O36" s="25" t="str">
        <f t="shared" si="4"/>
        <v>2022-04-17 14:59:59</v>
      </c>
    </row>
    <row r="37" spans="2:15" x14ac:dyDescent="0.3">
      <c r="B37" s="23">
        <f t="shared" si="5"/>
        <v>44668.708333333336</v>
      </c>
      <c r="C37" s="23">
        <f t="shared" ref="C37" si="34">B37+($E$3*7)+$F$3-TIME($G$3,0,1)</f>
        <v>44724.62498842593</v>
      </c>
      <c r="I37" t="str">
        <f t="shared" si="0"/>
        <v>2022-04-17</v>
      </c>
      <c r="J37" t="str">
        <f t="shared" si="1"/>
        <v>2022-06-12</v>
      </c>
      <c r="K37" s="24" t="str">
        <f t="shared" si="2"/>
        <v>17:00:00</v>
      </c>
      <c r="L37" s="24" t="str">
        <f t="shared" si="3"/>
        <v>14:59:59</v>
      </c>
      <c r="N37" s="25" t="str">
        <f t="shared" si="4"/>
        <v>2022-04-17 17:00:00</v>
      </c>
      <c r="O37" s="25" t="str">
        <f t="shared" si="4"/>
        <v>2022-06-12 14:59:59</v>
      </c>
    </row>
    <row r="38" spans="2:15" x14ac:dyDescent="0.3">
      <c r="B38" s="23">
        <f t="shared" si="5"/>
        <v>44724.708333333336</v>
      </c>
      <c r="C38" s="23">
        <f t="shared" ref="C38" si="35">B38+($P$3*7)+$Q$3-TIME($G$3,0,1)</f>
        <v>44738.62498842593</v>
      </c>
      <c r="I38" t="str">
        <f t="shared" si="0"/>
        <v>2022-06-12</v>
      </c>
      <c r="J38" t="str">
        <f t="shared" si="1"/>
        <v>2022-06-26</v>
      </c>
      <c r="K38" s="24" t="str">
        <f t="shared" si="2"/>
        <v>17:00:00</v>
      </c>
      <c r="L38" s="24" t="str">
        <f t="shared" si="3"/>
        <v>14:59:59</v>
      </c>
      <c r="N38" s="25" t="str">
        <f t="shared" si="4"/>
        <v>2022-06-12 17:00:00</v>
      </c>
      <c r="O38" s="25" t="str">
        <f t="shared" si="4"/>
        <v>2022-06-26 14:59:59</v>
      </c>
    </row>
    <row r="39" spans="2:15" x14ac:dyDescent="0.3">
      <c r="B39" s="23">
        <f t="shared" si="5"/>
        <v>44738.708333333336</v>
      </c>
      <c r="C39" s="23">
        <f t="shared" ref="C39" si="36">B39+($E$3*7)+$F$3-TIME($G$3,0,1)</f>
        <v>44794.62498842593</v>
      </c>
      <c r="I39" t="str">
        <f t="shared" si="0"/>
        <v>2022-06-26</v>
      </c>
      <c r="J39" t="str">
        <f t="shared" si="1"/>
        <v>2022-08-21</v>
      </c>
      <c r="K39" s="24" t="str">
        <f t="shared" si="2"/>
        <v>17:00:00</v>
      </c>
      <c r="L39" s="24" t="str">
        <f t="shared" si="3"/>
        <v>14:59:59</v>
      </c>
      <c r="N39" s="25" t="str">
        <f t="shared" si="4"/>
        <v>2022-06-26 17:00:00</v>
      </c>
      <c r="O39" s="25" t="str">
        <f t="shared" si="4"/>
        <v>2022-08-21 14:59:59</v>
      </c>
    </row>
    <row r="40" spans="2:15" x14ac:dyDescent="0.3">
      <c r="B40" s="23">
        <f t="shared" si="5"/>
        <v>44794.708333333336</v>
      </c>
      <c r="C40" s="23">
        <f t="shared" ref="C40" si="37">B40+($P$3*7)+$Q$3-TIME($G$3,0,1)</f>
        <v>44808.62498842593</v>
      </c>
      <c r="I40" t="str">
        <f t="shared" si="0"/>
        <v>2022-08-21</v>
      </c>
      <c r="J40" t="str">
        <f t="shared" si="1"/>
        <v>2022-09-04</v>
      </c>
      <c r="K40" s="24" t="str">
        <f t="shared" si="2"/>
        <v>17:00:00</v>
      </c>
      <c r="L40" s="24" t="str">
        <f t="shared" si="3"/>
        <v>14:59:59</v>
      </c>
      <c r="N40" s="25" t="str">
        <f t="shared" si="4"/>
        <v>2022-08-21 17:00:00</v>
      </c>
      <c r="O40" s="25" t="str">
        <f t="shared" si="4"/>
        <v>2022-09-04 14:59:59</v>
      </c>
    </row>
    <row r="41" spans="2:15" x14ac:dyDescent="0.3">
      <c r="B41" s="23">
        <f t="shared" si="5"/>
        <v>44808.708333333336</v>
      </c>
      <c r="C41" s="23">
        <f t="shared" ref="C41" si="38">B41+($E$3*7)+$F$3-TIME($G$3,0,1)</f>
        <v>44864.62498842593</v>
      </c>
      <c r="I41" t="str">
        <f t="shared" si="0"/>
        <v>2022-09-04</v>
      </c>
      <c r="J41" t="str">
        <f t="shared" si="1"/>
        <v>2022-10-30</v>
      </c>
      <c r="K41" s="24" t="str">
        <f t="shared" si="2"/>
        <v>17:00:00</v>
      </c>
      <c r="L41" s="24" t="str">
        <f t="shared" si="3"/>
        <v>14:59:59</v>
      </c>
      <c r="N41" s="25" t="str">
        <f t="shared" si="4"/>
        <v>2022-09-04 17:00:00</v>
      </c>
      <c r="O41" s="25" t="str">
        <f t="shared" si="4"/>
        <v>2022-10-30 14:59:59</v>
      </c>
    </row>
    <row r="42" spans="2:15" x14ac:dyDescent="0.3">
      <c r="B42" s="23">
        <f t="shared" si="5"/>
        <v>44864.708333333336</v>
      </c>
      <c r="C42" s="23">
        <f t="shared" ref="C42" si="39">B42+($P$3*7)+$Q$3-TIME($G$3,0,1)</f>
        <v>44878.62498842593</v>
      </c>
      <c r="I42" t="str">
        <f t="shared" si="0"/>
        <v>2022-10-30</v>
      </c>
      <c r="J42" t="str">
        <f t="shared" si="1"/>
        <v>2022-11-13</v>
      </c>
      <c r="K42" s="24" t="str">
        <f t="shared" si="2"/>
        <v>17:00:00</v>
      </c>
      <c r="L42" s="24" t="str">
        <f t="shared" si="3"/>
        <v>14:59:59</v>
      </c>
      <c r="N42" s="25" t="str">
        <f t="shared" si="4"/>
        <v>2022-10-30 17:00:00</v>
      </c>
      <c r="O42" s="25" t="str">
        <f t="shared" si="4"/>
        <v>2022-11-13 14:59:59</v>
      </c>
    </row>
    <row r="43" spans="2:15" x14ac:dyDescent="0.3">
      <c r="B43" s="23">
        <f t="shared" si="5"/>
        <v>44878.708333333336</v>
      </c>
      <c r="C43" s="23">
        <f t="shared" ref="C43" si="40">B43+($E$3*7)+$F$3-TIME($G$3,0,1)</f>
        <v>44934.62498842593</v>
      </c>
      <c r="I43" t="str">
        <f t="shared" si="0"/>
        <v>2022-11-13</v>
      </c>
      <c r="J43" t="str">
        <f t="shared" si="1"/>
        <v>2023-01-08</v>
      </c>
      <c r="K43" s="24" t="str">
        <f t="shared" si="2"/>
        <v>17:00:00</v>
      </c>
      <c r="L43" s="24" t="str">
        <f t="shared" si="3"/>
        <v>14:59:59</v>
      </c>
      <c r="N43" s="25" t="str">
        <f t="shared" si="4"/>
        <v>2022-11-13 17:00:00</v>
      </c>
      <c r="O43" s="25" t="str">
        <f t="shared" si="4"/>
        <v>2023-01-08 14:59:59</v>
      </c>
    </row>
    <row r="44" spans="2:15" x14ac:dyDescent="0.3">
      <c r="B44" s="23">
        <f t="shared" si="5"/>
        <v>44934.708333333336</v>
      </c>
      <c r="C44" s="23">
        <f t="shared" ref="C44" si="41">B44+($P$3*7)+$Q$3-TIME($G$3,0,1)</f>
        <v>44948.62498842593</v>
      </c>
      <c r="I44" t="str">
        <f t="shared" si="0"/>
        <v>2023-01-08</v>
      </c>
      <c r="J44" t="str">
        <f t="shared" si="1"/>
        <v>2023-01-22</v>
      </c>
      <c r="K44" s="24" t="str">
        <f t="shared" si="2"/>
        <v>17:00:00</v>
      </c>
      <c r="L44" s="24" t="str">
        <f t="shared" si="3"/>
        <v>14:59:59</v>
      </c>
      <c r="N44" s="25" t="str">
        <f t="shared" si="4"/>
        <v>2023-01-08 17:00:00</v>
      </c>
      <c r="O44" s="25" t="str">
        <f t="shared" si="4"/>
        <v>2023-01-22 14:59:59</v>
      </c>
    </row>
    <row r="45" spans="2:15" x14ac:dyDescent="0.3">
      <c r="B45" s="23">
        <f t="shared" si="5"/>
        <v>44948.708333333336</v>
      </c>
      <c r="C45" s="23">
        <f t="shared" ref="C45" si="42">B45+($E$3*7)+$F$3-TIME($G$3,0,1)</f>
        <v>45004.62498842593</v>
      </c>
      <c r="I45" t="str">
        <f t="shared" si="0"/>
        <v>2023-01-22</v>
      </c>
      <c r="J45" t="str">
        <f t="shared" si="1"/>
        <v>2023-03-19</v>
      </c>
      <c r="K45" s="24" t="str">
        <f t="shared" si="2"/>
        <v>17:00:00</v>
      </c>
      <c r="L45" s="24" t="str">
        <f t="shared" si="3"/>
        <v>14:59:59</v>
      </c>
      <c r="N45" s="25" t="str">
        <f t="shared" si="4"/>
        <v>2023-01-22 17:00:00</v>
      </c>
      <c r="O45" s="25" t="str">
        <f t="shared" si="4"/>
        <v>2023-03-19 14:59:59</v>
      </c>
    </row>
    <row r="46" spans="2:15" x14ac:dyDescent="0.3">
      <c r="B46" s="23">
        <f t="shared" si="5"/>
        <v>45004.708333333336</v>
      </c>
      <c r="C46" s="23">
        <f t="shared" ref="C46" si="43">B46+($P$3*7)+$Q$3-TIME($G$3,0,1)</f>
        <v>45018.62498842593</v>
      </c>
      <c r="I46" t="str">
        <f t="shared" si="0"/>
        <v>2023-03-19</v>
      </c>
      <c r="J46" t="str">
        <f t="shared" si="1"/>
        <v>2023-04-02</v>
      </c>
      <c r="K46" s="24" t="str">
        <f t="shared" si="2"/>
        <v>17:00:00</v>
      </c>
      <c r="L46" s="24" t="str">
        <f t="shared" si="3"/>
        <v>14:59:59</v>
      </c>
      <c r="N46" s="25" t="str">
        <f t="shared" si="4"/>
        <v>2023-03-19 17:00:00</v>
      </c>
      <c r="O46" s="25" t="str">
        <f t="shared" si="4"/>
        <v>2023-04-02 14:59:59</v>
      </c>
    </row>
    <row r="47" spans="2:15" x14ac:dyDescent="0.3">
      <c r="B47" s="23">
        <f t="shared" si="5"/>
        <v>45018.708333333336</v>
      </c>
      <c r="C47" s="23">
        <f t="shared" ref="C47" si="44">B47+($E$3*7)+$F$3-TIME($G$3,0,1)</f>
        <v>45074.62498842593</v>
      </c>
      <c r="I47" t="str">
        <f t="shared" si="0"/>
        <v>2023-04-02</v>
      </c>
      <c r="J47" t="str">
        <f t="shared" si="1"/>
        <v>2023-05-28</v>
      </c>
      <c r="K47" s="24" t="str">
        <f t="shared" si="2"/>
        <v>17:00:00</v>
      </c>
      <c r="L47" s="24" t="str">
        <f t="shared" si="3"/>
        <v>14:59:59</v>
      </c>
      <c r="N47" s="25" t="str">
        <f t="shared" si="4"/>
        <v>2023-04-02 17:00:00</v>
      </c>
      <c r="O47" s="25" t="str">
        <f t="shared" si="4"/>
        <v>2023-05-28 14:59:59</v>
      </c>
    </row>
    <row r="48" spans="2:15" x14ac:dyDescent="0.3">
      <c r="B48" s="23">
        <f t="shared" si="5"/>
        <v>45074.708333333336</v>
      </c>
      <c r="C48" s="23">
        <f t="shared" ref="C48" si="45">B48+($P$3*7)+$Q$3-TIME($G$3,0,1)</f>
        <v>45088.62498842593</v>
      </c>
      <c r="I48" t="str">
        <f t="shared" si="0"/>
        <v>2023-05-28</v>
      </c>
      <c r="J48" t="str">
        <f t="shared" si="1"/>
        <v>2023-06-11</v>
      </c>
      <c r="K48" s="24" t="str">
        <f t="shared" si="2"/>
        <v>17:00:00</v>
      </c>
      <c r="L48" s="24" t="str">
        <f t="shared" si="3"/>
        <v>14:59:59</v>
      </c>
      <c r="N48" s="25" t="str">
        <f t="shared" si="4"/>
        <v>2023-05-28 17:00:00</v>
      </c>
      <c r="O48" s="25" t="str">
        <f t="shared" si="4"/>
        <v>2023-06-11 14:59:59</v>
      </c>
    </row>
    <row r="49" spans="2:15" x14ac:dyDescent="0.3">
      <c r="B49" s="23">
        <f t="shared" si="5"/>
        <v>45088.708333333336</v>
      </c>
      <c r="C49" s="23">
        <f t="shared" ref="C49" si="46">B49+($E$3*7)+$F$3-TIME($G$3,0,1)</f>
        <v>45144.62498842593</v>
      </c>
      <c r="I49" t="str">
        <f t="shared" si="0"/>
        <v>2023-06-11</v>
      </c>
      <c r="J49" t="str">
        <f t="shared" si="1"/>
        <v>2023-08-06</v>
      </c>
      <c r="K49" s="24" t="str">
        <f t="shared" si="2"/>
        <v>17:00:00</v>
      </c>
      <c r="L49" s="24" t="str">
        <f t="shared" si="3"/>
        <v>14:59:59</v>
      </c>
      <c r="N49" s="25" t="str">
        <f t="shared" si="4"/>
        <v>2023-06-11 17:00:00</v>
      </c>
      <c r="O49" s="25" t="str">
        <f t="shared" si="4"/>
        <v>2023-08-06 14:59:59</v>
      </c>
    </row>
    <row r="50" spans="2:15" x14ac:dyDescent="0.3">
      <c r="B50" s="23">
        <f t="shared" si="5"/>
        <v>45144.708333333336</v>
      </c>
      <c r="C50" s="23">
        <f t="shared" ref="C50" si="47">B50+($P$3*7)+$Q$3-TIME($G$3,0,1)</f>
        <v>45158.62498842593</v>
      </c>
      <c r="I50" t="str">
        <f t="shared" si="0"/>
        <v>2023-08-06</v>
      </c>
      <c r="J50" t="str">
        <f t="shared" si="1"/>
        <v>2023-08-20</v>
      </c>
      <c r="K50" s="24" t="str">
        <f t="shared" si="2"/>
        <v>17:00:00</v>
      </c>
      <c r="L50" s="24" t="str">
        <f t="shared" si="3"/>
        <v>14:59:59</v>
      </c>
      <c r="N50" s="25" t="str">
        <f t="shared" si="4"/>
        <v>2023-08-06 17:00:00</v>
      </c>
      <c r="O50" s="25" t="str">
        <f t="shared" si="4"/>
        <v>2023-08-20 14:59:59</v>
      </c>
    </row>
    <row r="51" spans="2:15" x14ac:dyDescent="0.3">
      <c r="B51" s="23">
        <f t="shared" si="5"/>
        <v>45158.708333333336</v>
      </c>
      <c r="C51" s="23">
        <f t="shared" ref="C51" si="48">B51+($E$3*7)+$F$3-TIME($G$3,0,1)</f>
        <v>45214.62498842593</v>
      </c>
      <c r="I51" t="str">
        <f t="shared" si="0"/>
        <v>2023-08-20</v>
      </c>
      <c r="J51" t="str">
        <f t="shared" si="1"/>
        <v>2023-10-15</v>
      </c>
      <c r="K51" s="24" t="str">
        <f t="shared" si="2"/>
        <v>17:00:00</v>
      </c>
      <c r="L51" s="24" t="str">
        <f t="shared" si="3"/>
        <v>14:59:59</v>
      </c>
      <c r="N51" s="25" t="str">
        <f t="shared" si="4"/>
        <v>2023-08-20 17:00:00</v>
      </c>
      <c r="O51" s="25" t="str">
        <f t="shared" si="4"/>
        <v>2023-10-15 14:59:59</v>
      </c>
    </row>
    <row r="52" spans="2:15" x14ac:dyDescent="0.3">
      <c r="B52" s="23">
        <f t="shared" si="5"/>
        <v>45214.708333333336</v>
      </c>
      <c r="C52" s="23">
        <f t="shared" ref="C52" si="49">B52+($P$3*7)+$Q$3-TIME($G$3,0,1)</f>
        <v>45228.62498842593</v>
      </c>
      <c r="I52" t="str">
        <f t="shared" si="0"/>
        <v>2023-10-15</v>
      </c>
      <c r="J52" t="str">
        <f t="shared" si="1"/>
        <v>2023-10-29</v>
      </c>
      <c r="K52" s="24" t="str">
        <f t="shared" si="2"/>
        <v>17:00:00</v>
      </c>
      <c r="L52" s="24" t="str">
        <f t="shared" si="3"/>
        <v>14:59:59</v>
      </c>
      <c r="N52" s="25" t="str">
        <f t="shared" si="4"/>
        <v>2023-10-15 17:00:00</v>
      </c>
      <c r="O52" s="25" t="str">
        <f t="shared" si="4"/>
        <v>2023-10-29 14:59:59</v>
      </c>
    </row>
    <row r="53" spans="2:15" x14ac:dyDescent="0.3">
      <c r="B53" s="23">
        <f t="shared" si="5"/>
        <v>45228.708333333336</v>
      </c>
      <c r="C53" s="23">
        <f t="shared" ref="C53" si="50">B53+($E$3*7)+$F$3-TIME($G$3,0,1)</f>
        <v>45284.62498842593</v>
      </c>
      <c r="I53" t="str">
        <f t="shared" si="0"/>
        <v>2023-10-29</v>
      </c>
      <c r="J53" t="str">
        <f t="shared" si="1"/>
        <v>2023-12-24</v>
      </c>
      <c r="K53" s="24" t="str">
        <f t="shared" si="2"/>
        <v>17:00:00</v>
      </c>
      <c r="L53" s="24" t="str">
        <f t="shared" si="3"/>
        <v>14:59:59</v>
      </c>
      <c r="N53" s="25" t="str">
        <f t="shared" si="4"/>
        <v>2023-10-29 17:00:00</v>
      </c>
      <c r="O53" s="25" t="str">
        <f t="shared" si="4"/>
        <v>2023-12-24 14:59:59</v>
      </c>
    </row>
    <row r="54" spans="2:15" x14ac:dyDescent="0.3">
      <c r="B54" s="23">
        <f t="shared" si="5"/>
        <v>45284.708333333336</v>
      </c>
      <c r="C54" s="23">
        <f t="shared" ref="C54" si="51">B54+($P$3*7)+$Q$3-TIME($G$3,0,1)</f>
        <v>45298.62498842593</v>
      </c>
      <c r="I54" t="str">
        <f t="shared" si="0"/>
        <v>2023-12-24</v>
      </c>
      <c r="J54" t="str">
        <f t="shared" si="1"/>
        <v>2024-01-07</v>
      </c>
      <c r="K54" s="24" t="str">
        <f t="shared" si="2"/>
        <v>17:00:00</v>
      </c>
      <c r="L54" s="24" t="str">
        <f t="shared" si="3"/>
        <v>14:59:59</v>
      </c>
      <c r="N54" s="25" t="str">
        <f t="shared" si="4"/>
        <v>2023-12-24 17:00:00</v>
      </c>
      <c r="O54" s="25" t="str">
        <f t="shared" si="4"/>
        <v>2024-01-07 14:59:59</v>
      </c>
    </row>
    <row r="55" spans="2:15" x14ac:dyDescent="0.3">
      <c r="B55" s="23">
        <f t="shared" si="5"/>
        <v>45298.708333333336</v>
      </c>
      <c r="C55" s="23">
        <f t="shared" ref="C55" si="52">B55+($E$3*7)+$F$3-TIME($G$3,0,1)</f>
        <v>45354.62498842593</v>
      </c>
      <c r="I55" t="str">
        <f t="shared" si="0"/>
        <v>2024-01-07</v>
      </c>
      <c r="J55" t="str">
        <f t="shared" si="1"/>
        <v>2024-03-03</v>
      </c>
      <c r="K55" s="24" t="str">
        <f t="shared" si="2"/>
        <v>17:00:00</v>
      </c>
      <c r="L55" s="24" t="str">
        <f t="shared" si="3"/>
        <v>14:59:59</v>
      </c>
      <c r="N55" s="25" t="str">
        <f t="shared" si="4"/>
        <v>2024-01-07 17:00:00</v>
      </c>
      <c r="O55" s="25" t="str">
        <f t="shared" si="4"/>
        <v>2024-03-03 14:59:59</v>
      </c>
    </row>
    <row r="56" spans="2:15" x14ac:dyDescent="0.3">
      <c r="B56" s="23">
        <f t="shared" si="5"/>
        <v>45354.708333333336</v>
      </c>
      <c r="C56" s="23">
        <f t="shared" ref="C56" si="53">B56+($P$3*7)+$Q$3-TIME($G$3,0,1)</f>
        <v>45368.62498842593</v>
      </c>
      <c r="I56" t="str">
        <f t="shared" si="0"/>
        <v>2024-03-03</v>
      </c>
      <c r="J56" t="str">
        <f t="shared" si="1"/>
        <v>2024-03-17</v>
      </c>
      <c r="K56" s="24" t="str">
        <f t="shared" si="2"/>
        <v>17:00:00</v>
      </c>
      <c r="L56" s="24" t="str">
        <f t="shared" si="3"/>
        <v>14:59:59</v>
      </c>
      <c r="N56" s="25" t="str">
        <f t="shared" si="4"/>
        <v>2024-03-03 17:00:00</v>
      </c>
      <c r="O56" s="25" t="str">
        <f t="shared" si="4"/>
        <v>2024-03-17 14:59:59</v>
      </c>
    </row>
    <row r="57" spans="2:15" x14ac:dyDescent="0.3">
      <c r="B57" s="23">
        <f t="shared" si="5"/>
        <v>45368.708333333336</v>
      </c>
      <c r="C57" s="23">
        <f t="shared" ref="C57" si="54">B57+($E$3*7)+$F$3-TIME($G$3,0,1)</f>
        <v>45424.62498842593</v>
      </c>
      <c r="I57" t="str">
        <f t="shared" si="0"/>
        <v>2024-03-17</v>
      </c>
      <c r="J57" t="str">
        <f t="shared" si="1"/>
        <v>2024-05-12</v>
      </c>
      <c r="K57" s="24" t="str">
        <f t="shared" si="2"/>
        <v>17:00:00</v>
      </c>
      <c r="L57" s="24" t="str">
        <f t="shared" si="3"/>
        <v>14:59:59</v>
      </c>
      <c r="N57" s="25" t="str">
        <f t="shared" si="4"/>
        <v>2024-03-17 17:00:00</v>
      </c>
      <c r="O57" s="25" t="str">
        <f t="shared" si="4"/>
        <v>2024-05-12 14:59:59</v>
      </c>
    </row>
    <row r="58" spans="2:15" x14ac:dyDescent="0.3">
      <c r="B58" s="23">
        <f t="shared" si="5"/>
        <v>45424.708333333336</v>
      </c>
      <c r="C58" s="23">
        <f t="shared" ref="C58" si="55">B58+($P$3*7)+$Q$3-TIME($G$3,0,1)</f>
        <v>45438.62498842593</v>
      </c>
      <c r="I58" t="str">
        <f t="shared" si="0"/>
        <v>2024-05-12</v>
      </c>
      <c r="J58" t="str">
        <f t="shared" si="1"/>
        <v>2024-05-26</v>
      </c>
      <c r="K58" s="24" t="str">
        <f t="shared" si="2"/>
        <v>17:00:00</v>
      </c>
      <c r="L58" s="24" t="str">
        <f t="shared" si="3"/>
        <v>14:59:59</v>
      </c>
      <c r="N58" s="25" t="str">
        <f t="shared" si="4"/>
        <v>2024-05-12 17:00:00</v>
      </c>
      <c r="O58" s="25" t="str">
        <f t="shared" si="4"/>
        <v>2024-05-26 14:59:59</v>
      </c>
    </row>
    <row r="59" spans="2:15" x14ac:dyDescent="0.3">
      <c r="B59" s="23">
        <f t="shared" si="5"/>
        <v>45438.708333333336</v>
      </c>
      <c r="C59" s="23">
        <f t="shared" ref="C59" si="56">B59+($E$3*7)+$F$3-TIME($G$3,0,1)</f>
        <v>45494.62498842593</v>
      </c>
      <c r="I59" t="str">
        <f t="shared" si="0"/>
        <v>2024-05-26</v>
      </c>
      <c r="J59" t="str">
        <f t="shared" si="1"/>
        <v>2024-07-21</v>
      </c>
      <c r="K59" s="24" t="str">
        <f t="shared" si="2"/>
        <v>17:00:00</v>
      </c>
      <c r="L59" s="24" t="str">
        <f t="shared" si="3"/>
        <v>14:59:59</v>
      </c>
      <c r="N59" s="25" t="str">
        <f t="shared" si="4"/>
        <v>2024-05-26 17:00:00</v>
      </c>
      <c r="O59" s="25" t="str">
        <f t="shared" si="4"/>
        <v>2024-07-21 14:59:59</v>
      </c>
    </row>
    <row r="60" spans="2:15" x14ac:dyDescent="0.3">
      <c r="B60" s="23">
        <f t="shared" si="5"/>
        <v>45494.708333333336</v>
      </c>
      <c r="C60" s="23">
        <f t="shared" ref="C60" si="57">B60+($P$3*7)+$Q$3-TIME($G$3,0,1)</f>
        <v>45508.62498842593</v>
      </c>
      <c r="I60" t="str">
        <f t="shared" si="0"/>
        <v>2024-07-21</v>
      </c>
      <c r="J60" t="str">
        <f t="shared" si="1"/>
        <v>2024-08-04</v>
      </c>
      <c r="K60" s="24" t="str">
        <f t="shared" si="2"/>
        <v>17:00:00</v>
      </c>
      <c r="L60" s="24" t="str">
        <f t="shared" si="3"/>
        <v>14:59:59</v>
      </c>
      <c r="N60" s="25" t="str">
        <f t="shared" si="4"/>
        <v>2024-07-21 17:00:00</v>
      </c>
      <c r="O60" s="25" t="str">
        <f t="shared" si="4"/>
        <v>2024-08-04 14:59:59</v>
      </c>
    </row>
    <row r="61" spans="2:15" x14ac:dyDescent="0.3">
      <c r="B61" s="23">
        <f t="shared" si="5"/>
        <v>45508.708333333336</v>
      </c>
      <c r="C61" s="23">
        <f t="shared" ref="C61" si="58">B61+($E$3*7)+$F$3-TIME($G$3,0,1)</f>
        <v>45564.62498842593</v>
      </c>
      <c r="I61" t="str">
        <f t="shared" si="0"/>
        <v>2024-08-04</v>
      </c>
      <c r="J61" t="str">
        <f t="shared" si="1"/>
        <v>2024-09-29</v>
      </c>
      <c r="K61" s="24" t="str">
        <f t="shared" si="2"/>
        <v>17:00:00</v>
      </c>
      <c r="L61" s="24" t="str">
        <f t="shared" si="3"/>
        <v>14:59:59</v>
      </c>
      <c r="N61" s="25" t="str">
        <f t="shared" si="4"/>
        <v>2024-08-04 17:00:00</v>
      </c>
      <c r="O61" s="25" t="str">
        <f t="shared" si="4"/>
        <v>2024-09-29 14:59:59</v>
      </c>
    </row>
    <row r="62" spans="2:15" x14ac:dyDescent="0.3">
      <c r="B62" s="23">
        <f t="shared" si="5"/>
        <v>45564.708333333336</v>
      </c>
      <c r="C62" s="23">
        <f t="shared" ref="C62" si="59">B62+($P$3*7)+$Q$3-TIME($G$3,0,1)</f>
        <v>45578.62498842593</v>
      </c>
      <c r="I62" t="str">
        <f t="shared" si="0"/>
        <v>2024-09-29</v>
      </c>
      <c r="J62" t="str">
        <f t="shared" si="1"/>
        <v>2024-10-13</v>
      </c>
      <c r="K62" s="24" t="str">
        <f t="shared" si="2"/>
        <v>17:00:00</v>
      </c>
      <c r="L62" s="24" t="str">
        <f t="shared" si="3"/>
        <v>14:59:59</v>
      </c>
      <c r="N62" s="25" t="str">
        <f t="shared" si="4"/>
        <v>2024-09-29 17:00:00</v>
      </c>
      <c r="O62" s="25" t="str">
        <f t="shared" si="4"/>
        <v>2024-10-13 14:59:59</v>
      </c>
    </row>
    <row r="63" spans="2:15" x14ac:dyDescent="0.3">
      <c r="B63" s="23">
        <f t="shared" si="5"/>
        <v>45578.708333333336</v>
      </c>
      <c r="C63" s="23">
        <f t="shared" ref="C63" si="60">B63+($E$3*7)+$F$3-TIME($G$3,0,1)</f>
        <v>45634.62498842593</v>
      </c>
      <c r="I63" t="str">
        <f t="shared" si="0"/>
        <v>2024-10-13</v>
      </c>
      <c r="J63" t="str">
        <f t="shared" si="1"/>
        <v>2024-12-08</v>
      </c>
      <c r="K63" s="24" t="str">
        <f t="shared" si="2"/>
        <v>17:00:00</v>
      </c>
      <c r="L63" s="24" t="str">
        <f t="shared" si="3"/>
        <v>14:59:59</v>
      </c>
      <c r="N63" s="25" t="str">
        <f t="shared" si="4"/>
        <v>2024-10-13 17:00:00</v>
      </c>
      <c r="O63" s="25" t="str">
        <f t="shared" si="4"/>
        <v>2024-12-08 14:59:59</v>
      </c>
    </row>
    <row r="64" spans="2:15" x14ac:dyDescent="0.3">
      <c r="B64" s="23">
        <f t="shared" si="5"/>
        <v>45634.708333333336</v>
      </c>
      <c r="C64" s="23">
        <f t="shared" ref="C64" si="61">B64+($P$3*7)+$Q$3-TIME($G$3,0,1)</f>
        <v>45648.62498842593</v>
      </c>
      <c r="I64" t="str">
        <f t="shared" si="0"/>
        <v>2024-12-08</v>
      </c>
      <c r="J64" t="str">
        <f t="shared" si="1"/>
        <v>2024-12-22</v>
      </c>
      <c r="K64" s="24" t="str">
        <f t="shared" si="2"/>
        <v>17:00:00</v>
      </c>
      <c r="L64" s="24" t="str">
        <f t="shared" si="3"/>
        <v>14:59:59</v>
      </c>
      <c r="N64" s="25" t="str">
        <f t="shared" si="4"/>
        <v>2024-12-08 17:00:00</v>
      </c>
      <c r="O64" s="25" t="str">
        <f t="shared" si="4"/>
        <v>2024-12-22 14:59:59</v>
      </c>
    </row>
    <row r="65" spans="2:15" x14ac:dyDescent="0.3">
      <c r="B65" s="23">
        <f t="shared" si="5"/>
        <v>45648.708333333336</v>
      </c>
      <c r="C65" s="23">
        <f t="shared" ref="C65" si="62">B65+($E$3*7)+$F$3-TIME($G$3,0,1)</f>
        <v>45704.62498842593</v>
      </c>
      <c r="I65" t="str">
        <f t="shared" si="0"/>
        <v>2024-12-22</v>
      </c>
      <c r="J65" t="str">
        <f t="shared" si="1"/>
        <v>2025-02-16</v>
      </c>
      <c r="K65" s="24" t="str">
        <f t="shared" si="2"/>
        <v>17:00:00</v>
      </c>
      <c r="L65" s="24" t="str">
        <f t="shared" si="3"/>
        <v>14:59:59</v>
      </c>
      <c r="N65" s="25" t="str">
        <f t="shared" si="4"/>
        <v>2024-12-22 17:00:00</v>
      </c>
      <c r="O65" s="25" t="str">
        <f t="shared" si="4"/>
        <v>2025-02-16 14:59:59</v>
      </c>
    </row>
    <row r="66" spans="2:15" x14ac:dyDescent="0.3">
      <c r="B66" s="23">
        <f t="shared" si="5"/>
        <v>45704.708333333336</v>
      </c>
      <c r="C66" s="23">
        <f t="shared" ref="C66" si="63">B66+($P$3*7)+$Q$3-TIME($G$3,0,1)</f>
        <v>45718.62498842593</v>
      </c>
      <c r="I66" t="str">
        <f t="shared" si="0"/>
        <v>2025-02-16</v>
      </c>
      <c r="J66" t="str">
        <f t="shared" si="1"/>
        <v>2025-03-02</v>
      </c>
      <c r="K66" s="24" t="str">
        <f t="shared" si="2"/>
        <v>17:00:00</v>
      </c>
      <c r="L66" s="24" t="str">
        <f t="shared" si="3"/>
        <v>14:59:59</v>
      </c>
      <c r="N66" s="25" t="str">
        <f t="shared" si="4"/>
        <v>2025-02-16 17:00:00</v>
      </c>
      <c r="O66" s="25" t="str">
        <f t="shared" si="4"/>
        <v>2025-03-02 14:59:59</v>
      </c>
    </row>
    <row r="67" spans="2:15" x14ac:dyDescent="0.3">
      <c r="B67" s="23">
        <f t="shared" si="5"/>
        <v>45718.708333333336</v>
      </c>
      <c r="C67" s="23">
        <f t="shared" ref="C67" si="64">B67+($E$3*7)+$F$3-TIME($G$3,0,1)</f>
        <v>45774.62498842593</v>
      </c>
      <c r="I67" t="str">
        <f t="shared" si="0"/>
        <v>2025-03-02</v>
      </c>
      <c r="J67" t="str">
        <f t="shared" si="1"/>
        <v>2025-04-27</v>
      </c>
      <c r="K67" s="24" t="str">
        <f t="shared" si="2"/>
        <v>17:00:00</v>
      </c>
      <c r="L67" s="24" t="str">
        <f t="shared" si="3"/>
        <v>14:59:59</v>
      </c>
      <c r="N67" s="25" t="str">
        <f t="shared" si="4"/>
        <v>2025-03-02 17:00:00</v>
      </c>
      <c r="O67" s="25" t="str">
        <f t="shared" si="4"/>
        <v>2025-04-27 14:59:59</v>
      </c>
    </row>
    <row r="68" spans="2:15" x14ac:dyDescent="0.3">
      <c r="B68" s="23">
        <f t="shared" si="5"/>
        <v>45774.708333333336</v>
      </c>
      <c r="C68" s="23">
        <f t="shared" ref="C68" si="65">B68+($P$3*7)+$Q$3-TIME($G$3,0,1)</f>
        <v>45788.62498842593</v>
      </c>
      <c r="I68" t="str">
        <f t="shared" si="0"/>
        <v>2025-04-27</v>
      </c>
      <c r="J68" t="str">
        <f t="shared" si="1"/>
        <v>2025-05-11</v>
      </c>
      <c r="K68" s="24" t="str">
        <f t="shared" si="2"/>
        <v>17:00:00</v>
      </c>
      <c r="L68" s="24" t="str">
        <f t="shared" si="3"/>
        <v>14:59:59</v>
      </c>
      <c r="N68" s="25" t="str">
        <f t="shared" si="4"/>
        <v>2025-04-27 17:00:00</v>
      </c>
      <c r="O68" s="25" t="str">
        <f t="shared" si="4"/>
        <v>2025-05-11 14:59:59</v>
      </c>
    </row>
    <row r="69" spans="2:15" x14ac:dyDescent="0.3">
      <c r="B69" s="23">
        <f t="shared" si="5"/>
        <v>45788.708333333336</v>
      </c>
      <c r="C69" s="23">
        <f t="shared" ref="C69" si="66">B69+($E$3*7)+$F$3-TIME($G$3,0,1)</f>
        <v>45844.62498842593</v>
      </c>
      <c r="I69" t="str">
        <f t="shared" si="0"/>
        <v>2025-05-11</v>
      </c>
      <c r="J69" t="str">
        <f t="shared" si="1"/>
        <v>2025-07-06</v>
      </c>
      <c r="K69" s="24" t="str">
        <f t="shared" si="2"/>
        <v>17:00:00</v>
      </c>
      <c r="L69" s="24" t="str">
        <f t="shared" si="3"/>
        <v>14:59:59</v>
      </c>
      <c r="N69" s="25" t="str">
        <f t="shared" si="4"/>
        <v>2025-05-11 17:00:00</v>
      </c>
      <c r="O69" s="25" t="str">
        <f t="shared" si="4"/>
        <v>2025-07-06 14:59:59</v>
      </c>
    </row>
    <row r="70" spans="2:15" x14ac:dyDescent="0.3">
      <c r="B70" s="23">
        <f t="shared" si="5"/>
        <v>45844.708333333336</v>
      </c>
      <c r="C70" s="23">
        <f t="shared" ref="C70" si="67">B70+($P$3*7)+$Q$3-TIME($G$3,0,1)</f>
        <v>45858.62498842593</v>
      </c>
      <c r="I70" t="str">
        <f t="shared" si="0"/>
        <v>2025-07-06</v>
      </c>
      <c r="J70" t="str">
        <f t="shared" si="1"/>
        <v>2025-07-20</v>
      </c>
      <c r="K70" s="24" t="str">
        <f t="shared" si="2"/>
        <v>17:00:00</v>
      </c>
      <c r="L70" s="24" t="str">
        <f t="shared" si="3"/>
        <v>14:59:59</v>
      </c>
      <c r="N70" s="25" t="str">
        <f t="shared" si="4"/>
        <v>2025-07-06 17:00:00</v>
      </c>
      <c r="O70" s="25" t="str">
        <f t="shared" si="4"/>
        <v>2025-07-20 14:59:59</v>
      </c>
    </row>
    <row r="71" spans="2:15" x14ac:dyDescent="0.3">
      <c r="B71" s="23">
        <f t="shared" si="5"/>
        <v>45858.708333333336</v>
      </c>
      <c r="C71" s="23">
        <f t="shared" ref="C71" si="68">B71+($E$3*7)+$F$3-TIME($G$3,0,1)</f>
        <v>45914.62498842593</v>
      </c>
      <c r="I71" t="str">
        <f t="shared" ref="I71:I134" si="69">TEXT(B71,"yyyy-mm-dd")</f>
        <v>2025-07-20</v>
      </c>
      <c r="J71" t="str">
        <f t="shared" ref="J71:J134" si="70">TEXT(C71,"yyyy-mm-dd")</f>
        <v>2025-09-14</v>
      </c>
      <c r="K71" s="24" t="str">
        <f t="shared" ref="K71:K134" si="71">TEXT(B71,"hh:mm:ss")</f>
        <v>17:00:00</v>
      </c>
      <c r="L71" s="24" t="str">
        <f t="shared" ref="L71:L134" si="72">TEXT(C71,"hh:mm:ss")</f>
        <v>14:59:59</v>
      </c>
      <c r="N71" s="25" t="str">
        <f t="shared" si="4"/>
        <v>2025-07-20 17:00:00</v>
      </c>
      <c r="O71" s="25" t="str">
        <f t="shared" si="4"/>
        <v>2025-09-14 14:59:59</v>
      </c>
    </row>
    <row r="72" spans="2:15" x14ac:dyDescent="0.3">
      <c r="B72" s="23">
        <f t="shared" si="5"/>
        <v>45914.708333333336</v>
      </c>
      <c r="C72" s="23">
        <f t="shared" ref="C72" si="73">B72+($P$3*7)+$Q$3-TIME($G$3,0,1)</f>
        <v>45928.62498842593</v>
      </c>
      <c r="I72" t="str">
        <f t="shared" si="69"/>
        <v>2025-09-14</v>
      </c>
      <c r="J72" t="str">
        <f t="shared" si="70"/>
        <v>2025-09-28</v>
      </c>
      <c r="K72" s="24" t="str">
        <f t="shared" si="71"/>
        <v>17:00:00</v>
      </c>
      <c r="L72" s="24" t="str">
        <f t="shared" si="72"/>
        <v>14:59:59</v>
      </c>
      <c r="N72" s="25" t="str">
        <f t="shared" ref="N72:O135" si="74">CONCATENATE(I72," ",K72)</f>
        <v>2025-09-14 17:00:00</v>
      </c>
      <c r="O72" s="25" t="str">
        <f t="shared" si="74"/>
        <v>2025-09-28 14:59:59</v>
      </c>
    </row>
    <row r="73" spans="2:15" x14ac:dyDescent="0.3">
      <c r="B73" s="23">
        <f t="shared" ref="B73:B136" si="75">C72+($N$3*7)+$O$3+TIME($G$3,0,1)</f>
        <v>45928.708333333336</v>
      </c>
      <c r="C73" s="23">
        <f t="shared" ref="C73" si="76">B73+($E$3*7)+$F$3-TIME($G$3,0,1)</f>
        <v>45984.62498842593</v>
      </c>
      <c r="I73" t="str">
        <f t="shared" si="69"/>
        <v>2025-09-28</v>
      </c>
      <c r="J73" t="str">
        <f t="shared" si="70"/>
        <v>2025-11-23</v>
      </c>
      <c r="K73" s="24" t="str">
        <f t="shared" si="71"/>
        <v>17:00:00</v>
      </c>
      <c r="L73" s="24" t="str">
        <f t="shared" si="72"/>
        <v>14:59:59</v>
      </c>
      <c r="N73" s="25" t="str">
        <f t="shared" si="74"/>
        <v>2025-09-28 17:00:00</v>
      </c>
      <c r="O73" s="25" t="str">
        <f t="shared" si="74"/>
        <v>2025-11-23 14:59:59</v>
      </c>
    </row>
    <row r="74" spans="2:15" x14ac:dyDescent="0.3">
      <c r="B74" s="23">
        <f t="shared" si="75"/>
        <v>45984.708333333336</v>
      </c>
      <c r="C74" s="23">
        <f t="shared" ref="C74" si="77">B74+($P$3*7)+$Q$3-TIME($G$3,0,1)</f>
        <v>45998.62498842593</v>
      </c>
      <c r="I74" t="str">
        <f t="shared" si="69"/>
        <v>2025-11-23</v>
      </c>
      <c r="J74" t="str">
        <f t="shared" si="70"/>
        <v>2025-12-07</v>
      </c>
      <c r="K74" s="24" t="str">
        <f t="shared" si="71"/>
        <v>17:00:00</v>
      </c>
      <c r="L74" s="24" t="str">
        <f t="shared" si="72"/>
        <v>14:59:59</v>
      </c>
      <c r="N74" s="25" t="str">
        <f t="shared" si="74"/>
        <v>2025-11-23 17:00:00</v>
      </c>
      <c r="O74" s="25" t="str">
        <f t="shared" si="74"/>
        <v>2025-12-07 14:59:59</v>
      </c>
    </row>
    <row r="75" spans="2:15" x14ac:dyDescent="0.3">
      <c r="B75" s="23">
        <f t="shared" si="75"/>
        <v>45998.708333333336</v>
      </c>
      <c r="C75" s="23">
        <f t="shared" ref="C75" si="78">B75+($E$3*7)+$F$3-TIME($G$3,0,1)</f>
        <v>46054.62498842593</v>
      </c>
      <c r="I75" t="str">
        <f t="shared" si="69"/>
        <v>2025-12-07</v>
      </c>
      <c r="J75" t="str">
        <f t="shared" si="70"/>
        <v>2026-02-01</v>
      </c>
      <c r="K75" s="24" t="str">
        <f t="shared" si="71"/>
        <v>17:00:00</v>
      </c>
      <c r="L75" s="24" t="str">
        <f t="shared" si="72"/>
        <v>14:59:59</v>
      </c>
      <c r="N75" s="25" t="str">
        <f t="shared" si="74"/>
        <v>2025-12-07 17:00:00</v>
      </c>
      <c r="O75" s="25" t="str">
        <f t="shared" si="74"/>
        <v>2026-02-01 14:59:59</v>
      </c>
    </row>
    <row r="76" spans="2:15" x14ac:dyDescent="0.3">
      <c r="B76" s="23">
        <f t="shared" si="75"/>
        <v>46054.708333333336</v>
      </c>
      <c r="C76" s="23">
        <f t="shared" ref="C76" si="79">B76+($P$3*7)+$Q$3-TIME($G$3,0,1)</f>
        <v>46068.62498842593</v>
      </c>
      <c r="I76" t="str">
        <f t="shared" si="69"/>
        <v>2026-02-01</v>
      </c>
      <c r="J76" t="str">
        <f t="shared" si="70"/>
        <v>2026-02-15</v>
      </c>
      <c r="K76" s="24" t="str">
        <f t="shared" si="71"/>
        <v>17:00:00</v>
      </c>
      <c r="L76" s="24" t="str">
        <f t="shared" si="72"/>
        <v>14:59:59</v>
      </c>
      <c r="N76" s="25" t="str">
        <f t="shared" si="74"/>
        <v>2026-02-01 17:00:00</v>
      </c>
      <c r="O76" s="25" t="str">
        <f t="shared" si="74"/>
        <v>2026-02-15 14:59:59</v>
      </c>
    </row>
    <row r="77" spans="2:15" x14ac:dyDescent="0.3">
      <c r="B77" s="23">
        <f t="shared" si="75"/>
        <v>46068.708333333336</v>
      </c>
      <c r="C77" s="23">
        <f t="shared" ref="C77" si="80">B77+($E$3*7)+$F$3-TIME($G$3,0,1)</f>
        <v>46124.62498842593</v>
      </c>
      <c r="I77" t="str">
        <f t="shared" si="69"/>
        <v>2026-02-15</v>
      </c>
      <c r="J77" t="str">
        <f t="shared" si="70"/>
        <v>2026-04-12</v>
      </c>
      <c r="K77" s="24" t="str">
        <f t="shared" si="71"/>
        <v>17:00:00</v>
      </c>
      <c r="L77" s="24" t="str">
        <f t="shared" si="72"/>
        <v>14:59:59</v>
      </c>
      <c r="N77" s="25" t="str">
        <f t="shared" si="74"/>
        <v>2026-02-15 17:00:00</v>
      </c>
      <c r="O77" s="25" t="str">
        <f t="shared" si="74"/>
        <v>2026-04-12 14:59:59</v>
      </c>
    </row>
    <row r="78" spans="2:15" x14ac:dyDescent="0.3">
      <c r="B78" s="23">
        <f t="shared" si="75"/>
        <v>46124.708333333336</v>
      </c>
      <c r="C78" s="23">
        <f t="shared" ref="C78" si="81">B78+($P$3*7)+$Q$3-TIME($G$3,0,1)</f>
        <v>46138.62498842593</v>
      </c>
      <c r="I78" t="str">
        <f t="shared" si="69"/>
        <v>2026-04-12</v>
      </c>
      <c r="J78" t="str">
        <f t="shared" si="70"/>
        <v>2026-04-26</v>
      </c>
      <c r="K78" s="24" t="str">
        <f t="shared" si="71"/>
        <v>17:00:00</v>
      </c>
      <c r="L78" s="24" t="str">
        <f t="shared" si="72"/>
        <v>14:59:59</v>
      </c>
      <c r="N78" s="25" t="str">
        <f t="shared" si="74"/>
        <v>2026-04-12 17:00:00</v>
      </c>
      <c r="O78" s="25" t="str">
        <f t="shared" si="74"/>
        <v>2026-04-26 14:59:59</v>
      </c>
    </row>
    <row r="79" spans="2:15" x14ac:dyDescent="0.3">
      <c r="B79" s="23">
        <f t="shared" si="75"/>
        <v>46138.708333333336</v>
      </c>
      <c r="C79" s="23">
        <f t="shared" ref="C79" si="82">B79+($E$3*7)+$F$3-TIME($G$3,0,1)</f>
        <v>46194.62498842593</v>
      </c>
      <c r="I79" t="str">
        <f t="shared" si="69"/>
        <v>2026-04-26</v>
      </c>
      <c r="J79" t="str">
        <f t="shared" si="70"/>
        <v>2026-06-21</v>
      </c>
      <c r="K79" s="24" t="str">
        <f t="shared" si="71"/>
        <v>17:00:00</v>
      </c>
      <c r="L79" s="24" t="str">
        <f t="shared" si="72"/>
        <v>14:59:59</v>
      </c>
      <c r="N79" s="25" t="str">
        <f t="shared" si="74"/>
        <v>2026-04-26 17:00:00</v>
      </c>
      <c r="O79" s="25" t="str">
        <f t="shared" si="74"/>
        <v>2026-06-21 14:59:59</v>
      </c>
    </row>
    <row r="80" spans="2:15" x14ac:dyDescent="0.3">
      <c r="B80" s="23">
        <f t="shared" si="75"/>
        <v>46194.708333333336</v>
      </c>
      <c r="C80" s="23">
        <f t="shared" ref="C80" si="83">B80+($P$3*7)+$Q$3-TIME($G$3,0,1)</f>
        <v>46208.62498842593</v>
      </c>
      <c r="I80" t="str">
        <f t="shared" si="69"/>
        <v>2026-06-21</v>
      </c>
      <c r="J80" t="str">
        <f t="shared" si="70"/>
        <v>2026-07-05</v>
      </c>
      <c r="K80" s="24" t="str">
        <f t="shared" si="71"/>
        <v>17:00:00</v>
      </c>
      <c r="L80" s="24" t="str">
        <f t="shared" si="72"/>
        <v>14:59:59</v>
      </c>
      <c r="N80" s="25" t="str">
        <f t="shared" si="74"/>
        <v>2026-06-21 17:00:00</v>
      </c>
      <c r="O80" s="25" t="str">
        <f t="shared" si="74"/>
        <v>2026-07-05 14:59:59</v>
      </c>
    </row>
    <row r="81" spans="2:15" x14ac:dyDescent="0.3">
      <c r="B81" s="23">
        <f t="shared" si="75"/>
        <v>46208.708333333336</v>
      </c>
      <c r="C81" s="23">
        <f t="shared" ref="C81" si="84">B81+($E$3*7)+$F$3-TIME($G$3,0,1)</f>
        <v>46264.62498842593</v>
      </c>
      <c r="I81" t="str">
        <f t="shared" si="69"/>
        <v>2026-07-05</v>
      </c>
      <c r="J81" t="str">
        <f t="shared" si="70"/>
        <v>2026-08-30</v>
      </c>
      <c r="K81" s="24" t="str">
        <f t="shared" si="71"/>
        <v>17:00:00</v>
      </c>
      <c r="L81" s="24" t="str">
        <f t="shared" si="72"/>
        <v>14:59:59</v>
      </c>
      <c r="N81" s="25" t="str">
        <f t="shared" si="74"/>
        <v>2026-07-05 17:00:00</v>
      </c>
      <c r="O81" s="25" t="str">
        <f t="shared" si="74"/>
        <v>2026-08-30 14:59:59</v>
      </c>
    </row>
    <row r="82" spans="2:15" x14ac:dyDescent="0.3">
      <c r="B82" s="23">
        <f t="shared" si="75"/>
        <v>46264.708333333336</v>
      </c>
      <c r="C82" s="23">
        <f t="shared" ref="C82" si="85">B82+($P$3*7)+$Q$3-TIME($G$3,0,1)</f>
        <v>46278.62498842593</v>
      </c>
      <c r="I82" t="str">
        <f t="shared" si="69"/>
        <v>2026-08-30</v>
      </c>
      <c r="J82" t="str">
        <f t="shared" si="70"/>
        <v>2026-09-13</v>
      </c>
      <c r="K82" s="24" t="str">
        <f t="shared" si="71"/>
        <v>17:00:00</v>
      </c>
      <c r="L82" s="24" t="str">
        <f t="shared" si="72"/>
        <v>14:59:59</v>
      </c>
      <c r="N82" s="25" t="str">
        <f t="shared" si="74"/>
        <v>2026-08-30 17:00:00</v>
      </c>
      <c r="O82" s="25" t="str">
        <f t="shared" si="74"/>
        <v>2026-09-13 14:59:59</v>
      </c>
    </row>
    <row r="83" spans="2:15" x14ac:dyDescent="0.3">
      <c r="B83" s="23">
        <f t="shared" si="75"/>
        <v>46278.708333333336</v>
      </c>
      <c r="C83" s="23">
        <f t="shared" ref="C83" si="86">B83+($E$3*7)+$F$3-TIME($G$3,0,1)</f>
        <v>46334.62498842593</v>
      </c>
      <c r="I83" t="str">
        <f t="shared" si="69"/>
        <v>2026-09-13</v>
      </c>
      <c r="J83" t="str">
        <f t="shared" si="70"/>
        <v>2026-11-08</v>
      </c>
      <c r="K83" s="24" t="str">
        <f t="shared" si="71"/>
        <v>17:00:00</v>
      </c>
      <c r="L83" s="24" t="str">
        <f t="shared" si="72"/>
        <v>14:59:59</v>
      </c>
      <c r="N83" s="25" t="str">
        <f t="shared" si="74"/>
        <v>2026-09-13 17:00:00</v>
      </c>
      <c r="O83" s="25" t="str">
        <f t="shared" si="74"/>
        <v>2026-11-08 14:59:59</v>
      </c>
    </row>
    <row r="84" spans="2:15" x14ac:dyDescent="0.3">
      <c r="B84" s="23">
        <f t="shared" si="75"/>
        <v>46334.708333333336</v>
      </c>
      <c r="C84" s="23">
        <f t="shared" ref="C84" si="87">B84+($P$3*7)+$Q$3-TIME($G$3,0,1)</f>
        <v>46348.62498842593</v>
      </c>
      <c r="I84" t="str">
        <f t="shared" si="69"/>
        <v>2026-11-08</v>
      </c>
      <c r="J84" t="str">
        <f t="shared" si="70"/>
        <v>2026-11-22</v>
      </c>
      <c r="K84" s="24" t="str">
        <f t="shared" si="71"/>
        <v>17:00:00</v>
      </c>
      <c r="L84" s="24" t="str">
        <f t="shared" si="72"/>
        <v>14:59:59</v>
      </c>
      <c r="N84" s="25" t="str">
        <f t="shared" si="74"/>
        <v>2026-11-08 17:00:00</v>
      </c>
      <c r="O84" s="25" t="str">
        <f t="shared" si="74"/>
        <v>2026-11-22 14:59:59</v>
      </c>
    </row>
    <row r="85" spans="2:15" x14ac:dyDescent="0.3">
      <c r="B85" s="23">
        <f t="shared" si="75"/>
        <v>46348.708333333336</v>
      </c>
      <c r="C85" s="23">
        <f t="shared" ref="C85" si="88">B85+($E$3*7)+$F$3-TIME($G$3,0,1)</f>
        <v>46404.62498842593</v>
      </c>
      <c r="I85" t="str">
        <f t="shared" si="69"/>
        <v>2026-11-22</v>
      </c>
      <c r="J85" t="str">
        <f t="shared" si="70"/>
        <v>2027-01-17</v>
      </c>
      <c r="K85" s="24" t="str">
        <f t="shared" si="71"/>
        <v>17:00:00</v>
      </c>
      <c r="L85" s="24" t="str">
        <f t="shared" si="72"/>
        <v>14:59:59</v>
      </c>
      <c r="N85" s="25" t="str">
        <f t="shared" si="74"/>
        <v>2026-11-22 17:00:00</v>
      </c>
      <c r="O85" s="25" t="str">
        <f t="shared" si="74"/>
        <v>2027-01-17 14:59:59</v>
      </c>
    </row>
    <row r="86" spans="2:15" x14ac:dyDescent="0.3">
      <c r="B86" s="23">
        <f t="shared" si="75"/>
        <v>46404.708333333336</v>
      </c>
      <c r="C86" s="23">
        <f t="shared" ref="C86" si="89">B86+($P$3*7)+$Q$3-TIME($G$3,0,1)</f>
        <v>46418.62498842593</v>
      </c>
      <c r="I86" t="str">
        <f t="shared" si="69"/>
        <v>2027-01-17</v>
      </c>
      <c r="J86" t="str">
        <f t="shared" si="70"/>
        <v>2027-01-31</v>
      </c>
      <c r="K86" s="24" t="str">
        <f t="shared" si="71"/>
        <v>17:00:00</v>
      </c>
      <c r="L86" s="24" t="str">
        <f t="shared" si="72"/>
        <v>14:59:59</v>
      </c>
      <c r="N86" s="25" t="str">
        <f t="shared" si="74"/>
        <v>2027-01-17 17:00:00</v>
      </c>
      <c r="O86" s="25" t="str">
        <f t="shared" si="74"/>
        <v>2027-01-31 14:59:59</v>
      </c>
    </row>
    <row r="87" spans="2:15" x14ac:dyDescent="0.3">
      <c r="B87" s="23">
        <f t="shared" si="75"/>
        <v>46418.708333333336</v>
      </c>
      <c r="C87" s="23">
        <f t="shared" ref="C87" si="90">B87+($E$3*7)+$F$3-TIME($G$3,0,1)</f>
        <v>46474.62498842593</v>
      </c>
      <c r="I87" t="str">
        <f t="shared" si="69"/>
        <v>2027-01-31</v>
      </c>
      <c r="J87" t="str">
        <f t="shared" si="70"/>
        <v>2027-03-28</v>
      </c>
      <c r="K87" s="24" t="str">
        <f t="shared" si="71"/>
        <v>17:00:00</v>
      </c>
      <c r="L87" s="24" t="str">
        <f t="shared" si="72"/>
        <v>14:59:59</v>
      </c>
      <c r="N87" s="25" t="str">
        <f t="shared" si="74"/>
        <v>2027-01-31 17:00:00</v>
      </c>
      <c r="O87" s="25" t="str">
        <f t="shared" si="74"/>
        <v>2027-03-28 14:59:59</v>
      </c>
    </row>
    <row r="88" spans="2:15" x14ac:dyDescent="0.3">
      <c r="B88" s="23">
        <f t="shared" si="75"/>
        <v>46474.708333333336</v>
      </c>
      <c r="C88" s="23">
        <f t="shared" ref="C88" si="91">B88+($P$3*7)+$Q$3-TIME($G$3,0,1)</f>
        <v>46488.62498842593</v>
      </c>
      <c r="I88" t="str">
        <f t="shared" si="69"/>
        <v>2027-03-28</v>
      </c>
      <c r="J88" t="str">
        <f t="shared" si="70"/>
        <v>2027-04-11</v>
      </c>
      <c r="K88" s="24" t="str">
        <f t="shared" si="71"/>
        <v>17:00:00</v>
      </c>
      <c r="L88" s="24" t="str">
        <f t="shared" si="72"/>
        <v>14:59:59</v>
      </c>
      <c r="N88" s="25" t="str">
        <f t="shared" si="74"/>
        <v>2027-03-28 17:00:00</v>
      </c>
      <c r="O88" s="25" t="str">
        <f t="shared" si="74"/>
        <v>2027-04-11 14:59:59</v>
      </c>
    </row>
    <row r="89" spans="2:15" x14ac:dyDescent="0.3">
      <c r="B89" s="23">
        <f t="shared" si="75"/>
        <v>46488.708333333336</v>
      </c>
      <c r="C89" s="23">
        <f t="shared" ref="C89" si="92">B89+($E$3*7)+$F$3-TIME($G$3,0,1)</f>
        <v>46544.62498842593</v>
      </c>
      <c r="I89" t="str">
        <f t="shared" si="69"/>
        <v>2027-04-11</v>
      </c>
      <c r="J89" t="str">
        <f t="shared" si="70"/>
        <v>2027-06-06</v>
      </c>
      <c r="K89" s="24" t="str">
        <f t="shared" si="71"/>
        <v>17:00:00</v>
      </c>
      <c r="L89" s="24" t="str">
        <f t="shared" si="72"/>
        <v>14:59:59</v>
      </c>
      <c r="N89" s="25" t="str">
        <f t="shared" si="74"/>
        <v>2027-04-11 17:00:00</v>
      </c>
      <c r="O89" s="25" t="str">
        <f t="shared" si="74"/>
        <v>2027-06-06 14:59:59</v>
      </c>
    </row>
    <row r="90" spans="2:15" x14ac:dyDescent="0.3">
      <c r="B90" s="23">
        <f t="shared" si="75"/>
        <v>46544.708333333336</v>
      </c>
      <c r="C90" s="23">
        <f t="shared" ref="C90" si="93">B90+($P$3*7)+$Q$3-TIME($G$3,0,1)</f>
        <v>46558.62498842593</v>
      </c>
      <c r="I90" t="str">
        <f t="shared" si="69"/>
        <v>2027-06-06</v>
      </c>
      <c r="J90" t="str">
        <f t="shared" si="70"/>
        <v>2027-06-20</v>
      </c>
      <c r="K90" s="24" t="str">
        <f t="shared" si="71"/>
        <v>17:00:00</v>
      </c>
      <c r="L90" s="24" t="str">
        <f t="shared" si="72"/>
        <v>14:59:59</v>
      </c>
      <c r="N90" s="25" t="str">
        <f t="shared" si="74"/>
        <v>2027-06-06 17:00:00</v>
      </c>
      <c r="O90" s="25" t="str">
        <f t="shared" si="74"/>
        <v>2027-06-20 14:59:59</v>
      </c>
    </row>
    <row r="91" spans="2:15" x14ac:dyDescent="0.3">
      <c r="B91" s="23">
        <f t="shared" si="75"/>
        <v>46558.708333333336</v>
      </c>
      <c r="C91" s="23">
        <f t="shared" ref="C91" si="94">B91+($E$3*7)+$F$3-TIME($G$3,0,1)</f>
        <v>46614.62498842593</v>
      </c>
      <c r="I91" t="str">
        <f t="shared" si="69"/>
        <v>2027-06-20</v>
      </c>
      <c r="J91" t="str">
        <f t="shared" si="70"/>
        <v>2027-08-15</v>
      </c>
      <c r="K91" s="24" t="str">
        <f t="shared" si="71"/>
        <v>17:00:00</v>
      </c>
      <c r="L91" s="24" t="str">
        <f t="shared" si="72"/>
        <v>14:59:59</v>
      </c>
      <c r="N91" s="25" t="str">
        <f t="shared" si="74"/>
        <v>2027-06-20 17:00:00</v>
      </c>
      <c r="O91" s="25" t="str">
        <f t="shared" si="74"/>
        <v>2027-08-15 14:59:59</v>
      </c>
    </row>
    <row r="92" spans="2:15" x14ac:dyDescent="0.3">
      <c r="B92" s="23">
        <f t="shared" si="75"/>
        <v>46614.708333333336</v>
      </c>
      <c r="C92" s="23">
        <f t="shared" ref="C92" si="95">B92+($P$3*7)+$Q$3-TIME($G$3,0,1)</f>
        <v>46628.62498842593</v>
      </c>
      <c r="I92" t="str">
        <f t="shared" si="69"/>
        <v>2027-08-15</v>
      </c>
      <c r="J92" t="str">
        <f t="shared" si="70"/>
        <v>2027-08-29</v>
      </c>
      <c r="K92" s="24" t="str">
        <f t="shared" si="71"/>
        <v>17:00:00</v>
      </c>
      <c r="L92" s="24" t="str">
        <f t="shared" si="72"/>
        <v>14:59:59</v>
      </c>
      <c r="N92" s="25" t="str">
        <f t="shared" si="74"/>
        <v>2027-08-15 17:00:00</v>
      </c>
      <c r="O92" s="25" t="str">
        <f t="shared" si="74"/>
        <v>2027-08-29 14:59:59</v>
      </c>
    </row>
    <row r="93" spans="2:15" x14ac:dyDescent="0.3">
      <c r="B93" s="23">
        <f t="shared" si="75"/>
        <v>46628.708333333336</v>
      </c>
      <c r="C93" s="23">
        <f t="shared" ref="C93" si="96">B93+($E$3*7)+$F$3-TIME($G$3,0,1)</f>
        <v>46684.62498842593</v>
      </c>
      <c r="I93" t="str">
        <f t="shared" si="69"/>
        <v>2027-08-29</v>
      </c>
      <c r="J93" t="str">
        <f t="shared" si="70"/>
        <v>2027-10-24</v>
      </c>
      <c r="K93" s="24" t="str">
        <f t="shared" si="71"/>
        <v>17:00:00</v>
      </c>
      <c r="L93" s="24" t="str">
        <f t="shared" si="72"/>
        <v>14:59:59</v>
      </c>
      <c r="N93" s="25" t="str">
        <f t="shared" si="74"/>
        <v>2027-08-29 17:00:00</v>
      </c>
      <c r="O93" s="25" t="str">
        <f t="shared" si="74"/>
        <v>2027-10-24 14:59:59</v>
      </c>
    </row>
    <row r="94" spans="2:15" x14ac:dyDescent="0.3">
      <c r="B94" s="23">
        <f t="shared" si="75"/>
        <v>46684.708333333336</v>
      </c>
      <c r="C94" s="23">
        <f t="shared" ref="C94" si="97">B94+($P$3*7)+$Q$3-TIME($G$3,0,1)</f>
        <v>46698.62498842593</v>
      </c>
      <c r="I94" t="str">
        <f t="shared" si="69"/>
        <v>2027-10-24</v>
      </c>
      <c r="J94" t="str">
        <f t="shared" si="70"/>
        <v>2027-11-07</v>
      </c>
      <c r="K94" s="24" t="str">
        <f t="shared" si="71"/>
        <v>17:00:00</v>
      </c>
      <c r="L94" s="24" t="str">
        <f t="shared" si="72"/>
        <v>14:59:59</v>
      </c>
      <c r="N94" s="25" t="str">
        <f t="shared" si="74"/>
        <v>2027-10-24 17:00:00</v>
      </c>
      <c r="O94" s="25" t="str">
        <f t="shared" si="74"/>
        <v>2027-11-07 14:59:59</v>
      </c>
    </row>
    <row r="95" spans="2:15" x14ac:dyDescent="0.3">
      <c r="B95" s="23">
        <f t="shared" si="75"/>
        <v>46698.708333333336</v>
      </c>
      <c r="C95" s="23">
        <f t="shared" ref="C95" si="98">B95+($E$3*7)+$F$3-TIME($G$3,0,1)</f>
        <v>46754.62498842593</v>
      </c>
      <c r="I95" t="str">
        <f t="shared" si="69"/>
        <v>2027-11-07</v>
      </c>
      <c r="J95" t="str">
        <f t="shared" si="70"/>
        <v>2028-01-02</v>
      </c>
      <c r="K95" s="24" t="str">
        <f t="shared" si="71"/>
        <v>17:00:00</v>
      </c>
      <c r="L95" s="24" t="str">
        <f t="shared" si="72"/>
        <v>14:59:59</v>
      </c>
      <c r="N95" s="25" t="str">
        <f t="shared" si="74"/>
        <v>2027-11-07 17:00:00</v>
      </c>
      <c r="O95" s="25" t="str">
        <f t="shared" si="74"/>
        <v>2028-01-02 14:59:59</v>
      </c>
    </row>
    <row r="96" spans="2:15" x14ac:dyDescent="0.3">
      <c r="B96" s="23">
        <f t="shared" si="75"/>
        <v>46754.708333333336</v>
      </c>
      <c r="C96" s="23">
        <f t="shared" ref="C96" si="99">B96+($P$3*7)+$Q$3-TIME($G$3,0,1)</f>
        <v>46768.62498842593</v>
      </c>
      <c r="I96" t="str">
        <f t="shared" si="69"/>
        <v>2028-01-02</v>
      </c>
      <c r="J96" t="str">
        <f t="shared" si="70"/>
        <v>2028-01-16</v>
      </c>
      <c r="K96" s="24" t="str">
        <f t="shared" si="71"/>
        <v>17:00:00</v>
      </c>
      <c r="L96" s="24" t="str">
        <f t="shared" si="72"/>
        <v>14:59:59</v>
      </c>
      <c r="N96" s="25" t="str">
        <f t="shared" si="74"/>
        <v>2028-01-02 17:00:00</v>
      </c>
      <c r="O96" s="25" t="str">
        <f t="shared" si="74"/>
        <v>2028-01-16 14:59:59</v>
      </c>
    </row>
    <row r="97" spans="2:15" x14ac:dyDescent="0.3">
      <c r="B97" s="23">
        <f t="shared" si="75"/>
        <v>46768.708333333336</v>
      </c>
      <c r="C97" s="23">
        <f t="shared" ref="C97" si="100">B97+($E$3*7)+$F$3-TIME($G$3,0,1)</f>
        <v>46824.62498842593</v>
      </c>
      <c r="I97" t="str">
        <f t="shared" si="69"/>
        <v>2028-01-16</v>
      </c>
      <c r="J97" t="str">
        <f t="shared" si="70"/>
        <v>2028-03-12</v>
      </c>
      <c r="K97" s="24" t="str">
        <f t="shared" si="71"/>
        <v>17:00:00</v>
      </c>
      <c r="L97" s="24" t="str">
        <f t="shared" si="72"/>
        <v>14:59:59</v>
      </c>
      <c r="N97" s="25" t="str">
        <f t="shared" si="74"/>
        <v>2028-01-16 17:00:00</v>
      </c>
      <c r="O97" s="25" t="str">
        <f t="shared" si="74"/>
        <v>2028-03-12 14:59:59</v>
      </c>
    </row>
    <row r="98" spans="2:15" x14ac:dyDescent="0.3">
      <c r="B98" s="23">
        <f t="shared" si="75"/>
        <v>46824.708333333336</v>
      </c>
      <c r="C98" s="23">
        <f t="shared" ref="C98" si="101">B98+($P$3*7)+$Q$3-TIME($G$3,0,1)</f>
        <v>46838.62498842593</v>
      </c>
      <c r="I98" t="str">
        <f t="shared" si="69"/>
        <v>2028-03-12</v>
      </c>
      <c r="J98" t="str">
        <f t="shared" si="70"/>
        <v>2028-03-26</v>
      </c>
      <c r="K98" s="24" t="str">
        <f t="shared" si="71"/>
        <v>17:00:00</v>
      </c>
      <c r="L98" s="24" t="str">
        <f t="shared" si="72"/>
        <v>14:59:59</v>
      </c>
      <c r="N98" s="25" t="str">
        <f t="shared" si="74"/>
        <v>2028-03-12 17:00:00</v>
      </c>
      <c r="O98" s="25" t="str">
        <f t="shared" si="74"/>
        <v>2028-03-26 14:59:59</v>
      </c>
    </row>
    <row r="99" spans="2:15" x14ac:dyDescent="0.3">
      <c r="B99" s="23">
        <f t="shared" si="75"/>
        <v>46838.708333333336</v>
      </c>
      <c r="C99" s="23">
        <f t="shared" ref="C99" si="102">B99+($E$3*7)+$F$3-TIME($G$3,0,1)</f>
        <v>46894.62498842593</v>
      </c>
      <c r="I99" t="str">
        <f t="shared" si="69"/>
        <v>2028-03-26</v>
      </c>
      <c r="J99" t="str">
        <f t="shared" si="70"/>
        <v>2028-05-21</v>
      </c>
      <c r="K99" s="24" t="str">
        <f t="shared" si="71"/>
        <v>17:00:00</v>
      </c>
      <c r="L99" s="24" t="str">
        <f t="shared" si="72"/>
        <v>14:59:59</v>
      </c>
      <c r="N99" s="25" t="str">
        <f t="shared" si="74"/>
        <v>2028-03-26 17:00:00</v>
      </c>
      <c r="O99" s="25" t="str">
        <f t="shared" si="74"/>
        <v>2028-05-21 14:59:59</v>
      </c>
    </row>
    <row r="100" spans="2:15" x14ac:dyDescent="0.3">
      <c r="B100" s="23">
        <f t="shared" si="75"/>
        <v>46894.708333333336</v>
      </c>
      <c r="C100" s="23">
        <f t="shared" ref="C100" si="103">B100+($P$3*7)+$Q$3-TIME($G$3,0,1)</f>
        <v>46908.62498842593</v>
      </c>
      <c r="I100" t="str">
        <f t="shared" si="69"/>
        <v>2028-05-21</v>
      </c>
      <c r="J100" t="str">
        <f t="shared" si="70"/>
        <v>2028-06-04</v>
      </c>
      <c r="K100" s="24" t="str">
        <f t="shared" si="71"/>
        <v>17:00:00</v>
      </c>
      <c r="L100" s="24" t="str">
        <f t="shared" si="72"/>
        <v>14:59:59</v>
      </c>
      <c r="N100" s="25" t="str">
        <f t="shared" si="74"/>
        <v>2028-05-21 17:00:00</v>
      </c>
      <c r="O100" s="25" t="str">
        <f t="shared" si="74"/>
        <v>2028-06-04 14:59:59</v>
      </c>
    </row>
    <row r="101" spans="2:15" x14ac:dyDescent="0.3">
      <c r="B101" s="23">
        <f t="shared" si="75"/>
        <v>46908.708333333336</v>
      </c>
      <c r="C101" s="23">
        <f t="shared" ref="C101" si="104">B101+($E$3*7)+$F$3-TIME($G$3,0,1)</f>
        <v>46964.62498842593</v>
      </c>
      <c r="I101" t="str">
        <f t="shared" si="69"/>
        <v>2028-06-04</v>
      </c>
      <c r="J101" t="str">
        <f t="shared" si="70"/>
        <v>2028-07-30</v>
      </c>
      <c r="K101" s="24" t="str">
        <f t="shared" si="71"/>
        <v>17:00:00</v>
      </c>
      <c r="L101" s="24" t="str">
        <f t="shared" si="72"/>
        <v>14:59:59</v>
      </c>
      <c r="N101" s="25" t="str">
        <f t="shared" si="74"/>
        <v>2028-06-04 17:00:00</v>
      </c>
      <c r="O101" s="25" t="str">
        <f t="shared" si="74"/>
        <v>2028-07-30 14:59:59</v>
      </c>
    </row>
    <row r="102" spans="2:15" x14ac:dyDescent="0.3">
      <c r="B102" s="23">
        <f t="shared" si="75"/>
        <v>46964.708333333336</v>
      </c>
      <c r="C102" s="23">
        <f t="shared" ref="C102" si="105">B102+($P$3*7)+$Q$3-TIME($G$3,0,1)</f>
        <v>46978.62498842593</v>
      </c>
      <c r="I102" t="str">
        <f t="shared" si="69"/>
        <v>2028-07-30</v>
      </c>
      <c r="J102" t="str">
        <f t="shared" si="70"/>
        <v>2028-08-13</v>
      </c>
      <c r="K102" s="24" t="str">
        <f t="shared" si="71"/>
        <v>17:00:00</v>
      </c>
      <c r="L102" s="24" t="str">
        <f t="shared" si="72"/>
        <v>14:59:59</v>
      </c>
      <c r="N102" s="25" t="str">
        <f t="shared" si="74"/>
        <v>2028-07-30 17:00:00</v>
      </c>
      <c r="O102" s="25" t="str">
        <f t="shared" si="74"/>
        <v>2028-08-13 14:59:59</v>
      </c>
    </row>
    <row r="103" spans="2:15" x14ac:dyDescent="0.3">
      <c r="B103" s="23">
        <f t="shared" si="75"/>
        <v>46978.708333333336</v>
      </c>
      <c r="C103" s="23">
        <f t="shared" ref="C103" si="106">B103+($E$3*7)+$F$3-TIME($G$3,0,1)</f>
        <v>47034.62498842593</v>
      </c>
      <c r="I103" t="str">
        <f t="shared" si="69"/>
        <v>2028-08-13</v>
      </c>
      <c r="J103" t="str">
        <f t="shared" si="70"/>
        <v>2028-10-08</v>
      </c>
      <c r="K103" s="24" t="str">
        <f t="shared" si="71"/>
        <v>17:00:00</v>
      </c>
      <c r="L103" s="24" t="str">
        <f t="shared" si="72"/>
        <v>14:59:59</v>
      </c>
      <c r="N103" s="25" t="str">
        <f t="shared" si="74"/>
        <v>2028-08-13 17:00:00</v>
      </c>
      <c r="O103" s="25" t="str">
        <f t="shared" si="74"/>
        <v>2028-10-08 14:59:59</v>
      </c>
    </row>
    <row r="104" spans="2:15" x14ac:dyDescent="0.3">
      <c r="B104" s="23">
        <f t="shared" si="75"/>
        <v>47034.708333333336</v>
      </c>
      <c r="C104" s="23">
        <f t="shared" ref="C104" si="107">B104+($P$3*7)+$Q$3-TIME($G$3,0,1)</f>
        <v>47048.62498842593</v>
      </c>
      <c r="I104" t="str">
        <f t="shared" si="69"/>
        <v>2028-10-08</v>
      </c>
      <c r="J104" t="str">
        <f t="shared" si="70"/>
        <v>2028-10-22</v>
      </c>
      <c r="K104" s="24" t="str">
        <f t="shared" si="71"/>
        <v>17:00:00</v>
      </c>
      <c r="L104" s="24" t="str">
        <f t="shared" si="72"/>
        <v>14:59:59</v>
      </c>
      <c r="N104" s="25" t="str">
        <f t="shared" si="74"/>
        <v>2028-10-08 17:00:00</v>
      </c>
      <c r="O104" s="25" t="str">
        <f t="shared" si="74"/>
        <v>2028-10-22 14:59:59</v>
      </c>
    </row>
    <row r="105" spans="2:15" x14ac:dyDescent="0.3">
      <c r="B105" s="23">
        <f t="shared" si="75"/>
        <v>47048.708333333336</v>
      </c>
      <c r="C105" s="23">
        <f t="shared" ref="C105" si="108">B105+($E$3*7)+$F$3-TIME($G$3,0,1)</f>
        <v>47104.62498842593</v>
      </c>
      <c r="I105" t="str">
        <f t="shared" si="69"/>
        <v>2028-10-22</v>
      </c>
      <c r="J105" t="str">
        <f t="shared" si="70"/>
        <v>2028-12-17</v>
      </c>
      <c r="K105" s="24" t="str">
        <f t="shared" si="71"/>
        <v>17:00:00</v>
      </c>
      <c r="L105" s="24" t="str">
        <f t="shared" si="72"/>
        <v>14:59:59</v>
      </c>
      <c r="N105" s="25" t="str">
        <f t="shared" si="74"/>
        <v>2028-10-22 17:00:00</v>
      </c>
      <c r="O105" s="25" t="str">
        <f t="shared" si="74"/>
        <v>2028-12-17 14:59:59</v>
      </c>
    </row>
    <row r="106" spans="2:15" x14ac:dyDescent="0.3">
      <c r="B106" s="23">
        <f t="shared" si="75"/>
        <v>47104.708333333336</v>
      </c>
      <c r="C106" s="23">
        <f t="shared" ref="C106" si="109">B106+($P$3*7)+$Q$3-TIME($G$3,0,1)</f>
        <v>47118.62498842593</v>
      </c>
      <c r="I106" t="str">
        <f t="shared" si="69"/>
        <v>2028-12-17</v>
      </c>
      <c r="J106" t="str">
        <f t="shared" si="70"/>
        <v>2028-12-31</v>
      </c>
      <c r="K106" s="24" t="str">
        <f t="shared" si="71"/>
        <v>17:00:00</v>
      </c>
      <c r="L106" s="24" t="str">
        <f t="shared" si="72"/>
        <v>14:59:59</v>
      </c>
      <c r="N106" s="25" t="str">
        <f t="shared" si="74"/>
        <v>2028-12-17 17:00:00</v>
      </c>
      <c r="O106" s="25" t="str">
        <f t="shared" si="74"/>
        <v>2028-12-31 14:59:59</v>
      </c>
    </row>
    <row r="107" spans="2:15" x14ac:dyDescent="0.3">
      <c r="B107" s="23">
        <f t="shared" si="75"/>
        <v>47118.708333333336</v>
      </c>
      <c r="C107" s="23">
        <f t="shared" ref="C107" si="110">B107+($E$3*7)+$F$3-TIME($G$3,0,1)</f>
        <v>47174.62498842593</v>
      </c>
      <c r="I107" t="str">
        <f t="shared" si="69"/>
        <v>2028-12-31</v>
      </c>
      <c r="J107" t="str">
        <f t="shared" si="70"/>
        <v>2029-02-25</v>
      </c>
      <c r="K107" s="24" t="str">
        <f t="shared" si="71"/>
        <v>17:00:00</v>
      </c>
      <c r="L107" s="24" t="str">
        <f t="shared" si="72"/>
        <v>14:59:59</v>
      </c>
      <c r="N107" s="25" t="str">
        <f t="shared" si="74"/>
        <v>2028-12-31 17:00:00</v>
      </c>
      <c r="O107" s="25" t="str">
        <f t="shared" si="74"/>
        <v>2029-02-25 14:59:59</v>
      </c>
    </row>
    <row r="108" spans="2:15" x14ac:dyDescent="0.3">
      <c r="B108" s="23">
        <f t="shared" si="75"/>
        <v>47174.708333333336</v>
      </c>
      <c r="C108" s="23">
        <f t="shared" ref="C108" si="111">B108+($P$3*7)+$Q$3-TIME($G$3,0,1)</f>
        <v>47188.62498842593</v>
      </c>
      <c r="I108" t="str">
        <f t="shared" si="69"/>
        <v>2029-02-25</v>
      </c>
      <c r="J108" t="str">
        <f t="shared" si="70"/>
        <v>2029-03-11</v>
      </c>
      <c r="K108" s="24" t="str">
        <f t="shared" si="71"/>
        <v>17:00:00</v>
      </c>
      <c r="L108" s="24" t="str">
        <f t="shared" si="72"/>
        <v>14:59:59</v>
      </c>
      <c r="N108" s="25" t="str">
        <f t="shared" si="74"/>
        <v>2029-02-25 17:00:00</v>
      </c>
      <c r="O108" s="25" t="str">
        <f t="shared" si="74"/>
        <v>2029-03-11 14:59:59</v>
      </c>
    </row>
    <row r="109" spans="2:15" x14ac:dyDescent="0.3">
      <c r="B109" s="23">
        <f t="shared" si="75"/>
        <v>47188.708333333336</v>
      </c>
      <c r="C109" s="23">
        <f t="shared" ref="C109" si="112">B109+($E$3*7)+$F$3-TIME($G$3,0,1)</f>
        <v>47244.62498842593</v>
      </c>
      <c r="I109" t="str">
        <f t="shared" si="69"/>
        <v>2029-03-11</v>
      </c>
      <c r="J109" t="str">
        <f t="shared" si="70"/>
        <v>2029-05-06</v>
      </c>
      <c r="K109" s="24" t="str">
        <f t="shared" si="71"/>
        <v>17:00:00</v>
      </c>
      <c r="L109" s="24" t="str">
        <f t="shared" si="72"/>
        <v>14:59:59</v>
      </c>
      <c r="N109" s="25" t="str">
        <f t="shared" si="74"/>
        <v>2029-03-11 17:00:00</v>
      </c>
      <c r="O109" s="25" t="str">
        <f t="shared" si="74"/>
        <v>2029-05-06 14:59:59</v>
      </c>
    </row>
    <row r="110" spans="2:15" x14ac:dyDescent="0.3">
      <c r="B110" s="23">
        <f t="shared" si="75"/>
        <v>47244.708333333336</v>
      </c>
      <c r="C110" s="23">
        <f t="shared" ref="C110" si="113">B110+($P$3*7)+$Q$3-TIME($G$3,0,1)</f>
        <v>47258.62498842593</v>
      </c>
      <c r="I110" t="str">
        <f t="shared" si="69"/>
        <v>2029-05-06</v>
      </c>
      <c r="J110" t="str">
        <f t="shared" si="70"/>
        <v>2029-05-20</v>
      </c>
      <c r="K110" s="24" t="str">
        <f t="shared" si="71"/>
        <v>17:00:00</v>
      </c>
      <c r="L110" s="24" t="str">
        <f t="shared" si="72"/>
        <v>14:59:59</v>
      </c>
      <c r="N110" s="25" t="str">
        <f t="shared" si="74"/>
        <v>2029-05-06 17:00:00</v>
      </c>
      <c r="O110" s="25" t="str">
        <f t="shared" si="74"/>
        <v>2029-05-20 14:59:59</v>
      </c>
    </row>
    <row r="111" spans="2:15" x14ac:dyDescent="0.3">
      <c r="B111" s="23">
        <f t="shared" si="75"/>
        <v>47258.708333333336</v>
      </c>
      <c r="C111" s="23">
        <f t="shared" ref="C111" si="114">B111+($E$3*7)+$F$3-TIME($G$3,0,1)</f>
        <v>47314.62498842593</v>
      </c>
      <c r="I111" t="str">
        <f t="shared" si="69"/>
        <v>2029-05-20</v>
      </c>
      <c r="J111" t="str">
        <f t="shared" si="70"/>
        <v>2029-07-15</v>
      </c>
      <c r="K111" s="24" t="str">
        <f t="shared" si="71"/>
        <v>17:00:00</v>
      </c>
      <c r="L111" s="24" t="str">
        <f t="shared" si="72"/>
        <v>14:59:59</v>
      </c>
      <c r="N111" s="25" t="str">
        <f t="shared" si="74"/>
        <v>2029-05-20 17:00:00</v>
      </c>
      <c r="O111" s="25" t="str">
        <f t="shared" si="74"/>
        <v>2029-07-15 14:59:59</v>
      </c>
    </row>
    <row r="112" spans="2:15" x14ac:dyDescent="0.3">
      <c r="B112" s="23">
        <f t="shared" si="75"/>
        <v>47314.708333333336</v>
      </c>
      <c r="C112" s="23">
        <f t="shared" ref="C112" si="115">B112+($P$3*7)+$Q$3-TIME($G$3,0,1)</f>
        <v>47328.62498842593</v>
      </c>
      <c r="I112" t="str">
        <f t="shared" si="69"/>
        <v>2029-07-15</v>
      </c>
      <c r="J112" t="str">
        <f t="shared" si="70"/>
        <v>2029-07-29</v>
      </c>
      <c r="K112" s="24" t="str">
        <f t="shared" si="71"/>
        <v>17:00:00</v>
      </c>
      <c r="L112" s="24" t="str">
        <f t="shared" si="72"/>
        <v>14:59:59</v>
      </c>
      <c r="N112" s="25" t="str">
        <f t="shared" si="74"/>
        <v>2029-07-15 17:00:00</v>
      </c>
      <c r="O112" s="25" t="str">
        <f t="shared" si="74"/>
        <v>2029-07-29 14:59:59</v>
      </c>
    </row>
    <row r="113" spans="2:15" x14ac:dyDescent="0.3">
      <c r="B113" s="23">
        <f t="shared" si="75"/>
        <v>47328.708333333336</v>
      </c>
      <c r="C113" s="23">
        <f t="shared" ref="C113" si="116">B113+($E$3*7)+$F$3-TIME($G$3,0,1)</f>
        <v>47384.62498842593</v>
      </c>
      <c r="I113" t="str">
        <f t="shared" si="69"/>
        <v>2029-07-29</v>
      </c>
      <c r="J113" t="str">
        <f t="shared" si="70"/>
        <v>2029-09-23</v>
      </c>
      <c r="K113" s="24" t="str">
        <f t="shared" si="71"/>
        <v>17:00:00</v>
      </c>
      <c r="L113" s="24" t="str">
        <f t="shared" si="72"/>
        <v>14:59:59</v>
      </c>
      <c r="N113" s="25" t="str">
        <f t="shared" si="74"/>
        <v>2029-07-29 17:00:00</v>
      </c>
      <c r="O113" s="25" t="str">
        <f t="shared" si="74"/>
        <v>2029-09-23 14:59:59</v>
      </c>
    </row>
    <row r="114" spans="2:15" x14ac:dyDescent="0.3">
      <c r="B114" s="23">
        <f t="shared" si="75"/>
        <v>47384.708333333336</v>
      </c>
      <c r="C114" s="23">
        <f t="shared" ref="C114" si="117">B114+($P$3*7)+$Q$3-TIME($G$3,0,1)</f>
        <v>47398.62498842593</v>
      </c>
      <c r="I114" t="str">
        <f t="shared" si="69"/>
        <v>2029-09-23</v>
      </c>
      <c r="J114" t="str">
        <f t="shared" si="70"/>
        <v>2029-10-07</v>
      </c>
      <c r="K114" s="24" t="str">
        <f t="shared" si="71"/>
        <v>17:00:00</v>
      </c>
      <c r="L114" s="24" t="str">
        <f t="shared" si="72"/>
        <v>14:59:59</v>
      </c>
      <c r="N114" s="25" t="str">
        <f t="shared" si="74"/>
        <v>2029-09-23 17:00:00</v>
      </c>
      <c r="O114" s="25" t="str">
        <f t="shared" si="74"/>
        <v>2029-10-07 14:59:59</v>
      </c>
    </row>
    <row r="115" spans="2:15" x14ac:dyDescent="0.3">
      <c r="B115" s="23">
        <f t="shared" si="75"/>
        <v>47398.708333333336</v>
      </c>
      <c r="C115" s="23">
        <f t="shared" ref="C115" si="118">B115+($E$3*7)+$F$3-TIME($G$3,0,1)</f>
        <v>47454.62498842593</v>
      </c>
      <c r="I115" t="str">
        <f t="shared" si="69"/>
        <v>2029-10-07</v>
      </c>
      <c r="J115" t="str">
        <f t="shared" si="70"/>
        <v>2029-12-02</v>
      </c>
      <c r="K115" s="24" t="str">
        <f t="shared" si="71"/>
        <v>17:00:00</v>
      </c>
      <c r="L115" s="24" t="str">
        <f t="shared" si="72"/>
        <v>14:59:59</v>
      </c>
      <c r="N115" s="25" t="str">
        <f t="shared" si="74"/>
        <v>2029-10-07 17:00:00</v>
      </c>
      <c r="O115" s="25" t="str">
        <f t="shared" si="74"/>
        <v>2029-12-02 14:59:59</v>
      </c>
    </row>
    <row r="116" spans="2:15" x14ac:dyDescent="0.3">
      <c r="B116" s="23">
        <f t="shared" si="75"/>
        <v>47454.708333333336</v>
      </c>
      <c r="C116" s="23">
        <f t="shared" ref="C116" si="119">B116+($P$3*7)+$Q$3-TIME($G$3,0,1)</f>
        <v>47468.62498842593</v>
      </c>
      <c r="I116" t="str">
        <f t="shared" si="69"/>
        <v>2029-12-02</v>
      </c>
      <c r="J116" t="str">
        <f t="shared" si="70"/>
        <v>2029-12-16</v>
      </c>
      <c r="K116" s="24" t="str">
        <f t="shared" si="71"/>
        <v>17:00:00</v>
      </c>
      <c r="L116" s="24" t="str">
        <f t="shared" si="72"/>
        <v>14:59:59</v>
      </c>
      <c r="N116" s="25" t="str">
        <f t="shared" si="74"/>
        <v>2029-12-02 17:00:00</v>
      </c>
      <c r="O116" s="25" t="str">
        <f t="shared" si="74"/>
        <v>2029-12-16 14:59:59</v>
      </c>
    </row>
    <row r="117" spans="2:15" x14ac:dyDescent="0.3">
      <c r="B117" s="23">
        <f t="shared" si="75"/>
        <v>47468.708333333336</v>
      </c>
      <c r="C117" s="23">
        <f t="shared" ref="C117" si="120">B117+($E$3*7)+$F$3-TIME($G$3,0,1)</f>
        <v>47524.62498842593</v>
      </c>
      <c r="I117" t="str">
        <f t="shared" si="69"/>
        <v>2029-12-16</v>
      </c>
      <c r="J117" t="str">
        <f t="shared" si="70"/>
        <v>2030-02-10</v>
      </c>
      <c r="K117" s="24" t="str">
        <f t="shared" si="71"/>
        <v>17:00:00</v>
      </c>
      <c r="L117" s="24" t="str">
        <f t="shared" si="72"/>
        <v>14:59:59</v>
      </c>
      <c r="N117" s="25" t="str">
        <f t="shared" si="74"/>
        <v>2029-12-16 17:00:00</v>
      </c>
      <c r="O117" s="25" t="str">
        <f t="shared" si="74"/>
        <v>2030-02-10 14:59:59</v>
      </c>
    </row>
    <row r="118" spans="2:15" x14ac:dyDescent="0.3">
      <c r="B118" s="23">
        <f t="shared" si="75"/>
        <v>47524.708333333336</v>
      </c>
      <c r="C118" s="23">
        <f t="shared" ref="C118" si="121">B118+($P$3*7)+$Q$3-TIME($G$3,0,1)</f>
        <v>47538.62498842593</v>
      </c>
      <c r="I118" t="str">
        <f t="shared" si="69"/>
        <v>2030-02-10</v>
      </c>
      <c r="J118" t="str">
        <f t="shared" si="70"/>
        <v>2030-02-24</v>
      </c>
      <c r="K118" s="24" t="str">
        <f t="shared" si="71"/>
        <v>17:00:00</v>
      </c>
      <c r="L118" s="24" t="str">
        <f t="shared" si="72"/>
        <v>14:59:59</v>
      </c>
      <c r="N118" s="25" t="str">
        <f t="shared" si="74"/>
        <v>2030-02-10 17:00:00</v>
      </c>
      <c r="O118" s="25" t="str">
        <f t="shared" si="74"/>
        <v>2030-02-24 14:59:59</v>
      </c>
    </row>
    <row r="119" spans="2:15" x14ac:dyDescent="0.3">
      <c r="B119" s="23">
        <f t="shared" si="75"/>
        <v>47538.708333333336</v>
      </c>
      <c r="C119" s="23">
        <f t="shared" ref="C119" si="122">B119+($E$3*7)+$F$3-TIME($G$3,0,1)</f>
        <v>47594.62498842593</v>
      </c>
      <c r="I119" t="str">
        <f t="shared" si="69"/>
        <v>2030-02-24</v>
      </c>
      <c r="J119" t="str">
        <f t="shared" si="70"/>
        <v>2030-04-21</v>
      </c>
      <c r="K119" s="24" t="str">
        <f t="shared" si="71"/>
        <v>17:00:00</v>
      </c>
      <c r="L119" s="24" t="str">
        <f t="shared" si="72"/>
        <v>14:59:59</v>
      </c>
      <c r="N119" s="25" t="str">
        <f t="shared" si="74"/>
        <v>2030-02-24 17:00:00</v>
      </c>
      <c r="O119" s="25" t="str">
        <f t="shared" si="74"/>
        <v>2030-04-21 14:59:59</v>
      </c>
    </row>
    <row r="120" spans="2:15" x14ac:dyDescent="0.3">
      <c r="B120" s="23">
        <f t="shared" si="75"/>
        <v>47594.708333333336</v>
      </c>
      <c r="C120" s="23">
        <f t="shared" ref="C120" si="123">B120+($P$3*7)+$Q$3-TIME($G$3,0,1)</f>
        <v>47608.62498842593</v>
      </c>
      <c r="I120" t="str">
        <f t="shared" si="69"/>
        <v>2030-04-21</v>
      </c>
      <c r="J120" t="str">
        <f t="shared" si="70"/>
        <v>2030-05-05</v>
      </c>
      <c r="K120" s="24" t="str">
        <f t="shared" si="71"/>
        <v>17:00:00</v>
      </c>
      <c r="L120" s="24" t="str">
        <f t="shared" si="72"/>
        <v>14:59:59</v>
      </c>
      <c r="N120" s="25" t="str">
        <f t="shared" si="74"/>
        <v>2030-04-21 17:00:00</v>
      </c>
      <c r="O120" s="25" t="str">
        <f t="shared" si="74"/>
        <v>2030-05-05 14:59:59</v>
      </c>
    </row>
    <row r="121" spans="2:15" x14ac:dyDescent="0.3">
      <c r="B121" s="23">
        <f t="shared" si="75"/>
        <v>47608.708333333336</v>
      </c>
      <c r="C121" s="23">
        <f t="shared" ref="C121" si="124">B121+($E$3*7)+$F$3-TIME($G$3,0,1)</f>
        <v>47664.62498842593</v>
      </c>
      <c r="I121" t="str">
        <f t="shared" si="69"/>
        <v>2030-05-05</v>
      </c>
      <c r="J121" t="str">
        <f t="shared" si="70"/>
        <v>2030-06-30</v>
      </c>
      <c r="K121" s="24" t="str">
        <f t="shared" si="71"/>
        <v>17:00:00</v>
      </c>
      <c r="L121" s="24" t="str">
        <f t="shared" si="72"/>
        <v>14:59:59</v>
      </c>
      <c r="N121" s="25" t="str">
        <f t="shared" si="74"/>
        <v>2030-05-05 17:00:00</v>
      </c>
      <c r="O121" s="25" t="str">
        <f t="shared" si="74"/>
        <v>2030-06-30 14:59:59</v>
      </c>
    </row>
    <row r="122" spans="2:15" x14ac:dyDescent="0.3">
      <c r="B122" s="23">
        <f t="shared" si="75"/>
        <v>47664.708333333336</v>
      </c>
      <c r="C122" s="23">
        <f t="shared" ref="C122" si="125">B122+($P$3*7)+$Q$3-TIME($G$3,0,1)</f>
        <v>47678.62498842593</v>
      </c>
      <c r="I122" t="str">
        <f t="shared" si="69"/>
        <v>2030-06-30</v>
      </c>
      <c r="J122" t="str">
        <f t="shared" si="70"/>
        <v>2030-07-14</v>
      </c>
      <c r="K122" s="24" t="str">
        <f t="shared" si="71"/>
        <v>17:00:00</v>
      </c>
      <c r="L122" s="24" t="str">
        <f t="shared" si="72"/>
        <v>14:59:59</v>
      </c>
      <c r="N122" s="25" t="str">
        <f t="shared" si="74"/>
        <v>2030-06-30 17:00:00</v>
      </c>
      <c r="O122" s="25" t="str">
        <f t="shared" si="74"/>
        <v>2030-07-14 14:59:59</v>
      </c>
    </row>
    <row r="123" spans="2:15" x14ac:dyDescent="0.3">
      <c r="B123" s="23">
        <f t="shared" si="75"/>
        <v>47678.708333333336</v>
      </c>
      <c r="C123" s="23">
        <f t="shared" ref="C123" si="126">B123+($E$3*7)+$F$3-TIME($G$3,0,1)</f>
        <v>47734.62498842593</v>
      </c>
      <c r="I123" t="str">
        <f t="shared" si="69"/>
        <v>2030-07-14</v>
      </c>
      <c r="J123" t="str">
        <f t="shared" si="70"/>
        <v>2030-09-08</v>
      </c>
      <c r="K123" s="24" t="str">
        <f t="shared" si="71"/>
        <v>17:00:00</v>
      </c>
      <c r="L123" s="24" t="str">
        <f t="shared" si="72"/>
        <v>14:59:59</v>
      </c>
      <c r="N123" s="25" t="str">
        <f t="shared" si="74"/>
        <v>2030-07-14 17:00:00</v>
      </c>
      <c r="O123" s="25" t="str">
        <f t="shared" si="74"/>
        <v>2030-09-08 14:59:59</v>
      </c>
    </row>
    <row r="124" spans="2:15" x14ac:dyDescent="0.3">
      <c r="B124" s="23">
        <f t="shared" si="75"/>
        <v>47734.708333333336</v>
      </c>
      <c r="C124" s="23">
        <f t="shared" ref="C124" si="127">B124+($P$3*7)+$Q$3-TIME($G$3,0,1)</f>
        <v>47748.62498842593</v>
      </c>
      <c r="I124" t="str">
        <f t="shared" si="69"/>
        <v>2030-09-08</v>
      </c>
      <c r="J124" t="str">
        <f t="shared" si="70"/>
        <v>2030-09-22</v>
      </c>
      <c r="K124" s="24" t="str">
        <f t="shared" si="71"/>
        <v>17:00:00</v>
      </c>
      <c r="L124" s="24" t="str">
        <f t="shared" si="72"/>
        <v>14:59:59</v>
      </c>
      <c r="N124" s="25" t="str">
        <f t="shared" si="74"/>
        <v>2030-09-08 17:00:00</v>
      </c>
      <c r="O124" s="25" t="str">
        <f t="shared" si="74"/>
        <v>2030-09-22 14:59:59</v>
      </c>
    </row>
    <row r="125" spans="2:15" x14ac:dyDescent="0.3">
      <c r="B125" s="23">
        <f t="shared" si="75"/>
        <v>47748.708333333336</v>
      </c>
      <c r="C125" s="23">
        <f t="shared" ref="C125" si="128">B125+($E$3*7)+$F$3-TIME($G$3,0,1)</f>
        <v>47804.62498842593</v>
      </c>
      <c r="I125" t="str">
        <f t="shared" si="69"/>
        <v>2030-09-22</v>
      </c>
      <c r="J125" t="str">
        <f t="shared" si="70"/>
        <v>2030-11-17</v>
      </c>
      <c r="K125" s="24" t="str">
        <f t="shared" si="71"/>
        <v>17:00:00</v>
      </c>
      <c r="L125" s="24" t="str">
        <f t="shared" si="72"/>
        <v>14:59:59</v>
      </c>
      <c r="N125" s="25" t="str">
        <f t="shared" si="74"/>
        <v>2030-09-22 17:00:00</v>
      </c>
      <c r="O125" s="25" t="str">
        <f t="shared" si="74"/>
        <v>2030-11-17 14:59:59</v>
      </c>
    </row>
    <row r="126" spans="2:15" x14ac:dyDescent="0.3">
      <c r="B126" s="23">
        <f t="shared" si="75"/>
        <v>47804.708333333336</v>
      </c>
      <c r="C126" s="23">
        <f t="shared" ref="C126" si="129">B126+($P$3*7)+$Q$3-TIME($G$3,0,1)</f>
        <v>47818.62498842593</v>
      </c>
      <c r="I126" t="str">
        <f t="shared" si="69"/>
        <v>2030-11-17</v>
      </c>
      <c r="J126" t="str">
        <f t="shared" si="70"/>
        <v>2030-12-01</v>
      </c>
      <c r="K126" s="24" t="str">
        <f t="shared" si="71"/>
        <v>17:00:00</v>
      </c>
      <c r="L126" s="24" t="str">
        <f t="shared" si="72"/>
        <v>14:59:59</v>
      </c>
      <c r="N126" s="25" t="str">
        <f t="shared" si="74"/>
        <v>2030-11-17 17:00:00</v>
      </c>
      <c r="O126" s="25" t="str">
        <f t="shared" si="74"/>
        <v>2030-12-01 14:59:59</v>
      </c>
    </row>
    <row r="127" spans="2:15" x14ac:dyDescent="0.3">
      <c r="B127" s="23">
        <f t="shared" si="75"/>
        <v>47818.708333333336</v>
      </c>
      <c r="C127" s="23">
        <f t="shared" ref="C127" si="130">B127+($E$3*7)+$F$3-TIME($G$3,0,1)</f>
        <v>47874.62498842593</v>
      </c>
      <c r="I127" t="str">
        <f t="shared" si="69"/>
        <v>2030-12-01</v>
      </c>
      <c r="J127" t="str">
        <f t="shared" si="70"/>
        <v>2031-01-26</v>
      </c>
      <c r="K127" s="24" t="str">
        <f t="shared" si="71"/>
        <v>17:00:00</v>
      </c>
      <c r="L127" s="24" t="str">
        <f t="shared" si="72"/>
        <v>14:59:59</v>
      </c>
      <c r="N127" s="25" t="str">
        <f t="shared" si="74"/>
        <v>2030-12-01 17:00:00</v>
      </c>
      <c r="O127" s="25" t="str">
        <f t="shared" si="74"/>
        <v>2031-01-26 14:59:59</v>
      </c>
    </row>
    <row r="128" spans="2:15" x14ac:dyDescent="0.3">
      <c r="B128" s="23">
        <f t="shared" si="75"/>
        <v>47874.708333333336</v>
      </c>
      <c r="C128" s="23">
        <f t="shared" ref="C128" si="131">B128+($P$3*7)+$Q$3-TIME($G$3,0,1)</f>
        <v>47888.62498842593</v>
      </c>
      <c r="I128" t="str">
        <f t="shared" si="69"/>
        <v>2031-01-26</v>
      </c>
      <c r="J128" t="str">
        <f t="shared" si="70"/>
        <v>2031-02-09</v>
      </c>
      <c r="K128" s="24" t="str">
        <f t="shared" si="71"/>
        <v>17:00:00</v>
      </c>
      <c r="L128" s="24" t="str">
        <f t="shared" si="72"/>
        <v>14:59:59</v>
      </c>
      <c r="N128" s="25" t="str">
        <f t="shared" si="74"/>
        <v>2031-01-26 17:00:00</v>
      </c>
      <c r="O128" s="25" t="str">
        <f t="shared" si="74"/>
        <v>2031-02-09 14:59:59</v>
      </c>
    </row>
    <row r="129" spans="2:15" x14ac:dyDescent="0.3">
      <c r="B129" s="23">
        <f t="shared" si="75"/>
        <v>47888.708333333336</v>
      </c>
      <c r="C129" s="23">
        <f t="shared" ref="C129" si="132">B129+($E$3*7)+$F$3-TIME($G$3,0,1)</f>
        <v>47944.62498842593</v>
      </c>
      <c r="I129" t="str">
        <f t="shared" si="69"/>
        <v>2031-02-09</v>
      </c>
      <c r="J129" t="str">
        <f t="shared" si="70"/>
        <v>2031-04-06</v>
      </c>
      <c r="K129" s="24" t="str">
        <f t="shared" si="71"/>
        <v>17:00:00</v>
      </c>
      <c r="L129" s="24" t="str">
        <f t="shared" si="72"/>
        <v>14:59:59</v>
      </c>
      <c r="N129" s="25" t="str">
        <f t="shared" si="74"/>
        <v>2031-02-09 17:00:00</v>
      </c>
      <c r="O129" s="25" t="str">
        <f t="shared" si="74"/>
        <v>2031-04-06 14:59:59</v>
      </c>
    </row>
    <row r="130" spans="2:15" x14ac:dyDescent="0.3">
      <c r="B130" s="23">
        <f t="shared" si="75"/>
        <v>47944.708333333336</v>
      </c>
      <c r="C130" s="23">
        <f t="shared" ref="C130" si="133">B130+($P$3*7)+$Q$3-TIME($G$3,0,1)</f>
        <v>47958.62498842593</v>
      </c>
      <c r="I130" t="str">
        <f t="shared" si="69"/>
        <v>2031-04-06</v>
      </c>
      <c r="J130" t="str">
        <f t="shared" si="70"/>
        <v>2031-04-20</v>
      </c>
      <c r="K130" s="24" t="str">
        <f t="shared" si="71"/>
        <v>17:00:00</v>
      </c>
      <c r="L130" s="24" t="str">
        <f t="shared" si="72"/>
        <v>14:59:59</v>
      </c>
      <c r="N130" s="25" t="str">
        <f t="shared" si="74"/>
        <v>2031-04-06 17:00:00</v>
      </c>
      <c r="O130" s="25" t="str">
        <f t="shared" si="74"/>
        <v>2031-04-20 14:59:59</v>
      </c>
    </row>
    <row r="131" spans="2:15" x14ac:dyDescent="0.3">
      <c r="B131" s="23">
        <f t="shared" si="75"/>
        <v>47958.708333333336</v>
      </c>
      <c r="C131" s="23">
        <f t="shared" ref="C131" si="134">B131+($E$3*7)+$F$3-TIME($G$3,0,1)</f>
        <v>48014.62498842593</v>
      </c>
      <c r="I131" t="str">
        <f t="shared" si="69"/>
        <v>2031-04-20</v>
      </c>
      <c r="J131" t="str">
        <f t="shared" si="70"/>
        <v>2031-06-15</v>
      </c>
      <c r="K131" s="24" t="str">
        <f t="shared" si="71"/>
        <v>17:00:00</v>
      </c>
      <c r="L131" s="24" t="str">
        <f t="shared" si="72"/>
        <v>14:59:59</v>
      </c>
      <c r="N131" s="25" t="str">
        <f t="shared" si="74"/>
        <v>2031-04-20 17:00:00</v>
      </c>
      <c r="O131" s="25" t="str">
        <f t="shared" si="74"/>
        <v>2031-06-15 14:59:59</v>
      </c>
    </row>
    <row r="132" spans="2:15" x14ac:dyDescent="0.3">
      <c r="B132" s="23">
        <f t="shared" si="75"/>
        <v>48014.708333333336</v>
      </c>
      <c r="C132" s="23">
        <f t="shared" ref="C132" si="135">B132+($P$3*7)+$Q$3-TIME($G$3,0,1)</f>
        <v>48028.62498842593</v>
      </c>
      <c r="I132" t="str">
        <f t="shared" si="69"/>
        <v>2031-06-15</v>
      </c>
      <c r="J132" t="str">
        <f t="shared" si="70"/>
        <v>2031-06-29</v>
      </c>
      <c r="K132" s="24" t="str">
        <f t="shared" si="71"/>
        <v>17:00:00</v>
      </c>
      <c r="L132" s="24" t="str">
        <f t="shared" si="72"/>
        <v>14:59:59</v>
      </c>
      <c r="N132" s="25" t="str">
        <f t="shared" si="74"/>
        <v>2031-06-15 17:00:00</v>
      </c>
      <c r="O132" s="25" t="str">
        <f t="shared" si="74"/>
        <v>2031-06-29 14:59:59</v>
      </c>
    </row>
    <row r="133" spans="2:15" x14ac:dyDescent="0.3">
      <c r="B133" s="23">
        <f t="shared" si="75"/>
        <v>48028.708333333336</v>
      </c>
      <c r="C133" s="23">
        <f t="shared" ref="C133" si="136">B133+($E$3*7)+$F$3-TIME($G$3,0,1)</f>
        <v>48084.62498842593</v>
      </c>
      <c r="I133" t="str">
        <f t="shared" si="69"/>
        <v>2031-06-29</v>
      </c>
      <c r="J133" t="str">
        <f t="shared" si="70"/>
        <v>2031-08-24</v>
      </c>
      <c r="K133" s="24" t="str">
        <f t="shared" si="71"/>
        <v>17:00:00</v>
      </c>
      <c r="L133" s="24" t="str">
        <f t="shared" si="72"/>
        <v>14:59:59</v>
      </c>
      <c r="N133" s="25" t="str">
        <f t="shared" si="74"/>
        <v>2031-06-29 17:00:00</v>
      </c>
      <c r="O133" s="25" t="str">
        <f t="shared" si="74"/>
        <v>2031-08-24 14:59:59</v>
      </c>
    </row>
    <row r="134" spans="2:15" x14ac:dyDescent="0.3">
      <c r="B134" s="23">
        <f t="shared" si="75"/>
        <v>48084.708333333336</v>
      </c>
      <c r="C134" s="23">
        <f t="shared" ref="C134" si="137">B134+($P$3*7)+$Q$3-TIME($G$3,0,1)</f>
        <v>48098.62498842593</v>
      </c>
      <c r="I134" t="str">
        <f t="shared" si="69"/>
        <v>2031-08-24</v>
      </c>
      <c r="J134" t="str">
        <f t="shared" si="70"/>
        <v>2031-09-07</v>
      </c>
      <c r="K134" s="24" t="str">
        <f t="shared" si="71"/>
        <v>17:00:00</v>
      </c>
      <c r="L134" s="24" t="str">
        <f t="shared" si="72"/>
        <v>14:59:59</v>
      </c>
      <c r="N134" s="25" t="str">
        <f t="shared" si="74"/>
        <v>2031-08-24 17:00:00</v>
      </c>
      <c r="O134" s="25" t="str">
        <f t="shared" si="74"/>
        <v>2031-09-07 14:59:59</v>
      </c>
    </row>
    <row r="135" spans="2:15" x14ac:dyDescent="0.3">
      <c r="B135" s="23">
        <f t="shared" si="75"/>
        <v>48098.708333333336</v>
      </c>
      <c r="C135" s="23">
        <f t="shared" ref="C135" si="138">B135+($E$3*7)+$F$3-TIME($G$3,0,1)</f>
        <v>48154.62498842593</v>
      </c>
      <c r="I135" t="str">
        <f t="shared" ref="I135:I198" si="139">TEXT(B135,"yyyy-mm-dd")</f>
        <v>2031-09-07</v>
      </c>
      <c r="J135" t="str">
        <f t="shared" ref="J135:J198" si="140">TEXT(C135,"yyyy-mm-dd")</f>
        <v>2031-11-02</v>
      </c>
      <c r="K135" s="24" t="str">
        <f t="shared" ref="K135:K198" si="141">TEXT(B135,"hh:mm:ss")</f>
        <v>17:00:00</v>
      </c>
      <c r="L135" s="24" t="str">
        <f t="shared" ref="L135:L198" si="142">TEXT(C135,"hh:mm:ss")</f>
        <v>14:59:59</v>
      </c>
      <c r="N135" s="25" t="str">
        <f t="shared" si="74"/>
        <v>2031-09-07 17:00:00</v>
      </c>
      <c r="O135" s="25" t="str">
        <f t="shared" si="74"/>
        <v>2031-11-02 14:59:59</v>
      </c>
    </row>
    <row r="136" spans="2:15" x14ac:dyDescent="0.3">
      <c r="B136" s="23">
        <f t="shared" si="75"/>
        <v>48154.708333333336</v>
      </c>
      <c r="C136" s="23">
        <f t="shared" ref="C136" si="143">B136+($P$3*7)+$Q$3-TIME($G$3,0,1)</f>
        <v>48168.62498842593</v>
      </c>
      <c r="I136" t="str">
        <f t="shared" si="139"/>
        <v>2031-11-02</v>
      </c>
      <c r="J136" t="str">
        <f t="shared" si="140"/>
        <v>2031-11-16</v>
      </c>
      <c r="K136" s="24" t="str">
        <f t="shared" si="141"/>
        <v>17:00:00</v>
      </c>
      <c r="L136" s="24" t="str">
        <f t="shared" si="142"/>
        <v>14:59:59</v>
      </c>
      <c r="N136" s="25" t="str">
        <f t="shared" ref="N136:O199" si="144">CONCATENATE(I136," ",K136)</f>
        <v>2031-11-02 17:00:00</v>
      </c>
      <c r="O136" s="25" t="str">
        <f t="shared" si="144"/>
        <v>2031-11-16 14:59:59</v>
      </c>
    </row>
    <row r="137" spans="2:15" x14ac:dyDescent="0.3">
      <c r="B137" s="23">
        <f t="shared" ref="B137:B200" si="145">C136+($N$3*7)+$O$3+TIME($G$3,0,1)</f>
        <v>48168.708333333336</v>
      </c>
      <c r="C137" s="23">
        <f t="shared" ref="C137" si="146">B137+($E$3*7)+$F$3-TIME($G$3,0,1)</f>
        <v>48224.62498842593</v>
      </c>
      <c r="I137" t="str">
        <f t="shared" si="139"/>
        <v>2031-11-16</v>
      </c>
      <c r="J137" t="str">
        <f t="shared" si="140"/>
        <v>2032-01-11</v>
      </c>
      <c r="K137" s="24" t="str">
        <f t="shared" si="141"/>
        <v>17:00:00</v>
      </c>
      <c r="L137" s="24" t="str">
        <f t="shared" si="142"/>
        <v>14:59:59</v>
      </c>
      <c r="N137" s="25" t="str">
        <f t="shared" si="144"/>
        <v>2031-11-16 17:00:00</v>
      </c>
      <c r="O137" s="25" t="str">
        <f t="shared" si="144"/>
        <v>2032-01-11 14:59:59</v>
      </c>
    </row>
    <row r="138" spans="2:15" x14ac:dyDescent="0.3">
      <c r="B138" s="23">
        <f t="shared" si="145"/>
        <v>48224.708333333336</v>
      </c>
      <c r="C138" s="23">
        <f t="shared" ref="C138" si="147">B138+($P$3*7)+$Q$3-TIME($G$3,0,1)</f>
        <v>48238.62498842593</v>
      </c>
      <c r="I138" t="str">
        <f t="shared" si="139"/>
        <v>2032-01-11</v>
      </c>
      <c r="J138" t="str">
        <f t="shared" si="140"/>
        <v>2032-01-25</v>
      </c>
      <c r="K138" s="24" t="str">
        <f t="shared" si="141"/>
        <v>17:00:00</v>
      </c>
      <c r="L138" s="24" t="str">
        <f t="shared" si="142"/>
        <v>14:59:59</v>
      </c>
      <c r="N138" s="25" t="str">
        <f t="shared" si="144"/>
        <v>2032-01-11 17:00:00</v>
      </c>
      <c r="O138" s="25" t="str">
        <f t="shared" si="144"/>
        <v>2032-01-25 14:59:59</v>
      </c>
    </row>
    <row r="139" spans="2:15" x14ac:dyDescent="0.3">
      <c r="B139" s="23">
        <f t="shared" si="145"/>
        <v>48238.708333333336</v>
      </c>
      <c r="C139" s="23">
        <f t="shared" ref="C139" si="148">B139+($E$3*7)+$F$3-TIME($G$3,0,1)</f>
        <v>48294.62498842593</v>
      </c>
      <c r="I139" t="str">
        <f t="shared" si="139"/>
        <v>2032-01-25</v>
      </c>
      <c r="J139" t="str">
        <f t="shared" si="140"/>
        <v>2032-03-21</v>
      </c>
      <c r="K139" s="24" t="str">
        <f t="shared" si="141"/>
        <v>17:00:00</v>
      </c>
      <c r="L139" s="24" t="str">
        <f t="shared" si="142"/>
        <v>14:59:59</v>
      </c>
      <c r="N139" s="25" t="str">
        <f t="shared" si="144"/>
        <v>2032-01-25 17:00:00</v>
      </c>
      <c r="O139" s="25" t="str">
        <f t="shared" si="144"/>
        <v>2032-03-21 14:59:59</v>
      </c>
    </row>
    <row r="140" spans="2:15" x14ac:dyDescent="0.3">
      <c r="B140" s="23">
        <f t="shared" si="145"/>
        <v>48294.708333333336</v>
      </c>
      <c r="C140" s="23">
        <f t="shared" ref="C140" si="149">B140+($P$3*7)+$Q$3-TIME($G$3,0,1)</f>
        <v>48308.62498842593</v>
      </c>
      <c r="I140" t="str">
        <f t="shared" si="139"/>
        <v>2032-03-21</v>
      </c>
      <c r="J140" t="str">
        <f t="shared" si="140"/>
        <v>2032-04-04</v>
      </c>
      <c r="K140" s="24" t="str">
        <f t="shared" si="141"/>
        <v>17:00:00</v>
      </c>
      <c r="L140" s="24" t="str">
        <f t="shared" si="142"/>
        <v>14:59:59</v>
      </c>
      <c r="N140" s="25" t="str">
        <f t="shared" si="144"/>
        <v>2032-03-21 17:00:00</v>
      </c>
      <c r="O140" s="25" t="str">
        <f t="shared" si="144"/>
        <v>2032-04-04 14:59:59</v>
      </c>
    </row>
    <row r="141" spans="2:15" x14ac:dyDescent="0.3">
      <c r="B141" s="23">
        <f t="shared" si="145"/>
        <v>48308.708333333336</v>
      </c>
      <c r="C141" s="23">
        <f t="shared" ref="C141" si="150">B141+($E$3*7)+$F$3-TIME($G$3,0,1)</f>
        <v>48364.62498842593</v>
      </c>
      <c r="I141" t="str">
        <f t="shared" si="139"/>
        <v>2032-04-04</v>
      </c>
      <c r="J141" t="str">
        <f t="shared" si="140"/>
        <v>2032-05-30</v>
      </c>
      <c r="K141" s="24" t="str">
        <f t="shared" si="141"/>
        <v>17:00:00</v>
      </c>
      <c r="L141" s="24" t="str">
        <f t="shared" si="142"/>
        <v>14:59:59</v>
      </c>
      <c r="N141" s="25" t="str">
        <f t="shared" si="144"/>
        <v>2032-04-04 17:00:00</v>
      </c>
      <c r="O141" s="25" t="str">
        <f t="shared" si="144"/>
        <v>2032-05-30 14:59:59</v>
      </c>
    </row>
    <row r="142" spans="2:15" x14ac:dyDescent="0.3">
      <c r="B142" s="23">
        <f t="shared" si="145"/>
        <v>48364.708333333336</v>
      </c>
      <c r="C142" s="23">
        <f t="shared" ref="C142" si="151">B142+($P$3*7)+$Q$3-TIME($G$3,0,1)</f>
        <v>48378.62498842593</v>
      </c>
      <c r="I142" t="str">
        <f t="shared" si="139"/>
        <v>2032-05-30</v>
      </c>
      <c r="J142" t="str">
        <f t="shared" si="140"/>
        <v>2032-06-13</v>
      </c>
      <c r="K142" s="24" t="str">
        <f t="shared" si="141"/>
        <v>17:00:00</v>
      </c>
      <c r="L142" s="24" t="str">
        <f t="shared" si="142"/>
        <v>14:59:59</v>
      </c>
      <c r="N142" s="25" t="str">
        <f t="shared" si="144"/>
        <v>2032-05-30 17:00:00</v>
      </c>
      <c r="O142" s="25" t="str">
        <f t="shared" si="144"/>
        <v>2032-06-13 14:59:59</v>
      </c>
    </row>
    <row r="143" spans="2:15" x14ac:dyDescent="0.3">
      <c r="B143" s="23">
        <f t="shared" si="145"/>
        <v>48378.708333333336</v>
      </c>
      <c r="C143" s="23">
        <f t="shared" ref="C143" si="152">B143+($E$3*7)+$F$3-TIME($G$3,0,1)</f>
        <v>48434.62498842593</v>
      </c>
      <c r="I143" t="str">
        <f t="shared" si="139"/>
        <v>2032-06-13</v>
      </c>
      <c r="J143" t="str">
        <f t="shared" si="140"/>
        <v>2032-08-08</v>
      </c>
      <c r="K143" s="24" t="str">
        <f t="shared" si="141"/>
        <v>17:00:00</v>
      </c>
      <c r="L143" s="24" t="str">
        <f t="shared" si="142"/>
        <v>14:59:59</v>
      </c>
      <c r="N143" s="25" t="str">
        <f t="shared" si="144"/>
        <v>2032-06-13 17:00:00</v>
      </c>
      <c r="O143" s="25" t="str">
        <f t="shared" si="144"/>
        <v>2032-08-08 14:59:59</v>
      </c>
    </row>
    <row r="144" spans="2:15" x14ac:dyDescent="0.3">
      <c r="B144" s="23">
        <f t="shared" si="145"/>
        <v>48434.708333333336</v>
      </c>
      <c r="C144" s="23">
        <f t="shared" ref="C144" si="153">B144+($P$3*7)+$Q$3-TIME($G$3,0,1)</f>
        <v>48448.62498842593</v>
      </c>
      <c r="I144" t="str">
        <f t="shared" si="139"/>
        <v>2032-08-08</v>
      </c>
      <c r="J144" t="str">
        <f t="shared" si="140"/>
        <v>2032-08-22</v>
      </c>
      <c r="K144" s="24" t="str">
        <f t="shared" si="141"/>
        <v>17:00:00</v>
      </c>
      <c r="L144" s="24" t="str">
        <f t="shared" si="142"/>
        <v>14:59:59</v>
      </c>
      <c r="N144" s="25" t="str">
        <f t="shared" si="144"/>
        <v>2032-08-08 17:00:00</v>
      </c>
      <c r="O144" s="25" t="str">
        <f t="shared" si="144"/>
        <v>2032-08-22 14:59:59</v>
      </c>
    </row>
    <row r="145" spans="2:15" x14ac:dyDescent="0.3">
      <c r="B145" s="23">
        <f t="shared" si="145"/>
        <v>48448.708333333336</v>
      </c>
      <c r="C145" s="23">
        <f t="shared" ref="C145" si="154">B145+($E$3*7)+$F$3-TIME($G$3,0,1)</f>
        <v>48504.62498842593</v>
      </c>
      <c r="I145" t="str">
        <f t="shared" si="139"/>
        <v>2032-08-22</v>
      </c>
      <c r="J145" t="str">
        <f t="shared" si="140"/>
        <v>2032-10-17</v>
      </c>
      <c r="K145" s="24" t="str">
        <f t="shared" si="141"/>
        <v>17:00:00</v>
      </c>
      <c r="L145" s="24" t="str">
        <f t="shared" si="142"/>
        <v>14:59:59</v>
      </c>
      <c r="N145" s="25" t="str">
        <f t="shared" si="144"/>
        <v>2032-08-22 17:00:00</v>
      </c>
      <c r="O145" s="25" t="str">
        <f t="shared" si="144"/>
        <v>2032-10-17 14:59:59</v>
      </c>
    </row>
    <row r="146" spans="2:15" x14ac:dyDescent="0.3">
      <c r="B146" s="23">
        <f t="shared" si="145"/>
        <v>48504.708333333336</v>
      </c>
      <c r="C146" s="23">
        <f t="shared" ref="C146" si="155">B146+($P$3*7)+$Q$3-TIME($G$3,0,1)</f>
        <v>48518.62498842593</v>
      </c>
      <c r="I146" t="str">
        <f t="shared" si="139"/>
        <v>2032-10-17</v>
      </c>
      <c r="J146" t="str">
        <f t="shared" si="140"/>
        <v>2032-10-31</v>
      </c>
      <c r="K146" s="24" t="str">
        <f t="shared" si="141"/>
        <v>17:00:00</v>
      </c>
      <c r="L146" s="24" t="str">
        <f t="shared" si="142"/>
        <v>14:59:59</v>
      </c>
      <c r="N146" s="25" t="str">
        <f t="shared" si="144"/>
        <v>2032-10-17 17:00:00</v>
      </c>
      <c r="O146" s="25" t="str">
        <f t="shared" si="144"/>
        <v>2032-10-31 14:59:59</v>
      </c>
    </row>
    <row r="147" spans="2:15" x14ac:dyDescent="0.3">
      <c r="B147" s="23">
        <f t="shared" si="145"/>
        <v>48518.708333333336</v>
      </c>
      <c r="C147" s="23">
        <f t="shared" ref="C147" si="156">B147+($E$3*7)+$F$3-TIME($G$3,0,1)</f>
        <v>48574.62498842593</v>
      </c>
      <c r="I147" t="str">
        <f t="shared" si="139"/>
        <v>2032-10-31</v>
      </c>
      <c r="J147" t="str">
        <f t="shared" si="140"/>
        <v>2032-12-26</v>
      </c>
      <c r="K147" s="24" t="str">
        <f t="shared" si="141"/>
        <v>17:00:00</v>
      </c>
      <c r="L147" s="24" t="str">
        <f t="shared" si="142"/>
        <v>14:59:59</v>
      </c>
      <c r="N147" s="25" t="str">
        <f t="shared" si="144"/>
        <v>2032-10-31 17:00:00</v>
      </c>
      <c r="O147" s="25" t="str">
        <f t="shared" si="144"/>
        <v>2032-12-26 14:59:59</v>
      </c>
    </row>
    <row r="148" spans="2:15" x14ac:dyDescent="0.3">
      <c r="B148" s="23">
        <f t="shared" si="145"/>
        <v>48574.708333333336</v>
      </c>
      <c r="C148" s="23">
        <f t="shared" ref="C148" si="157">B148+($P$3*7)+$Q$3-TIME($G$3,0,1)</f>
        <v>48588.62498842593</v>
      </c>
      <c r="I148" t="str">
        <f t="shared" si="139"/>
        <v>2032-12-26</v>
      </c>
      <c r="J148" t="str">
        <f t="shared" si="140"/>
        <v>2033-01-09</v>
      </c>
      <c r="K148" s="24" t="str">
        <f t="shared" si="141"/>
        <v>17:00:00</v>
      </c>
      <c r="L148" s="24" t="str">
        <f t="shared" si="142"/>
        <v>14:59:59</v>
      </c>
      <c r="N148" s="25" t="str">
        <f t="shared" si="144"/>
        <v>2032-12-26 17:00:00</v>
      </c>
      <c r="O148" s="25" t="str">
        <f t="shared" si="144"/>
        <v>2033-01-09 14:59:59</v>
      </c>
    </row>
    <row r="149" spans="2:15" x14ac:dyDescent="0.3">
      <c r="B149" s="23">
        <f t="shared" si="145"/>
        <v>48588.708333333336</v>
      </c>
      <c r="C149" s="23">
        <f t="shared" ref="C149" si="158">B149+($E$3*7)+$F$3-TIME($G$3,0,1)</f>
        <v>48644.62498842593</v>
      </c>
      <c r="I149" t="str">
        <f t="shared" si="139"/>
        <v>2033-01-09</v>
      </c>
      <c r="J149" t="str">
        <f t="shared" si="140"/>
        <v>2033-03-06</v>
      </c>
      <c r="K149" s="24" t="str">
        <f t="shared" si="141"/>
        <v>17:00:00</v>
      </c>
      <c r="L149" s="24" t="str">
        <f t="shared" si="142"/>
        <v>14:59:59</v>
      </c>
      <c r="N149" s="25" t="str">
        <f t="shared" si="144"/>
        <v>2033-01-09 17:00:00</v>
      </c>
      <c r="O149" s="25" t="str">
        <f t="shared" si="144"/>
        <v>2033-03-06 14:59:59</v>
      </c>
    </row>
    <row r="150" spans="2:15" x14ac:dyDescent="0.3">
      <c r="B150" s="23">
        <f t="shared" si="145"/>
        <v>48644.708333333336</v>
      </c>
      <c r="C150" s="23">
        <f t="shared" ref="C150" si="159">B150+($P$3*7)+$Q$3-TIME($G$3,0,1)</f>
        <v>48658.62498842593</v>
      </c>
      <c r="I150" t="str">
        <f t="shared" si="139"/>
        <v>2033-03-06</v>
      </c>
      <c r="J150" t="str">
        <f t="shared" si="140"/>
        <v>2033-03-20</v>
      </c>
      <c r="K150" s="24" t="str">
        <f t="shared" si="141"/>
        <v>17:00:00</v>
      </c>
      <c r="L150" s="24" t="str">
        <f t="shared" si="142"/>
        <v>14:59:59</v>
      </c>
      <c r="N150" s="25" t="str">
        <f t="shared" si="144"/>
        <v>2033-03-06 17:00:00</v>
      </c>
      <c r="O150" s="25" t="str">
        <f t="shared" si="144"/>
        <v>2033-03-20 14:59:59</v>
      </c>
    </row>
    <row r="151" spans="2:15" x14ac:dyDescent="0.3">
      <c r="B151" s="23">
        <f t="shared" si="145"/>
        <v>48658.708333333336</v>
      </c>
      <c r="C151" s="23">
        <f t="shared" ref="C151" si="160">B151+($E$3*7)+$F$3-TIME($G$3,0,1)</f>
        <v>48714.62498842593</v>
      </c>
      <c r="I151" t="str">
        <f t="shared" si="139"/>
        <v>2033-03-20</v>
      </c>
      <c r="J151" t="str">
        <f t="shared" si="140"/>
        <v>2033-05-15</v>
      </c>
      <c r="K151" s="24" t="str">
        <f t="shared" si="141"/>
        <v>17:00:00</v>
      </c>
      <c r="L151" s="24" t="str">
        <f t="shared" si="142"/>
        <v>14:59:59</v>
      </c>
      <c r="N151" s="25" t="str">
        <f t="shared" si="144"/>
        <v>2033-03-20 17:00:00</v>
      </c>
      <c r="O151" s="25" t="str">
        <f t="shared" si="144"/>
        <v>2033-05-15 14:59:59</v>
      </c>
    </row>
    <row r="152" spans="2:15" x14ac:dyDescent="0.3">
      <c r="B152" s="23">
        <f t="shared" si="145"/>
        <v>48714.708333333336</v>
      </c>
      <c r="C152" s="23">
        <f t="shared" ref="C152" si="161">B152+($P$3*7)+$Q$3-TIME($G$3,0,1)</f>
        <v>48728.62498842593</v>
      </c>
      <c r="I152" t="str">
        <f t="shared" si="139"/>
        <v>2033-05-15</v>
      </c>
      <c r="J152" t="str">
        <f t="shared" si="140"/>
        <v>2033-05-29</v>
      </c>
      <c r="K152" s="24" t="str">
        <f t="shared" si="141"/>
        <v>17:00:00</v>
      </c>
      <c r="L152" s="24" t="str">
        <f t="shared" si="142"/>
        <v>14:59:59</v>
      </c>
      <c r="N152" s="25" t="str">
        <f t="shared" si="144"/>
        <v>2033-05-15 17:00:00</v>
      </c>
      <c r="O152" s="25" t="str">
        <f t="shared" si="144"/>
        <v>2033-05-29 14:59:59</v>
      </c>
    </row>
    <row r="153" spans="2:15" x14ac:dyDescent="0.3">
      <c r="B153" s="23">
        <f t="shared" si="145"/>
        <v>48728.708333333336</v>
      </c>
      <c r="C153" s="23">
        <f t="shared" ref="C153" si="162">B153+($E$3*7)+$F$3-TIME($G$3,0,1)</f>
        <v>48784.62498842593</v>
      </c>
      <c r="I153" t="str">
        <f t="shared" si="139"/>
        <v>2033-05-29</v>
      </c>
      <c r="J153" t="str">
        <f t="shared" si="140"/>
        <v>2033-07-24</v>
      </c>
      <c r="K153" s="24" t="str">
        <f t="shared" si="141"/>
        <v>17:00:00</v>
      </c>
      <c r="L153" s="24" t="str">
        <f t="shared" si="142"/>
        <v>14:59:59</v>
      </c>
      <c r="N153" s="25" t="str">
        <f t="shared" si="144"/>
        <v>2033-05-29 17:00:00</v>
      </c>
      <c r="O153" s="25" t="str">
        <f t="shared" si="144"/>
        <v>2033-07-24 14:59:59</v>
      </c>
    </row>
    <row r="154" spans="2:15" x14ac:dyDescent="0.3">
      <c r="B154" s="23">
        <f t="shared" si="145"/>
        <v>48784.708333333336</v>
      </c>
      <c r="C154" s="23">
        <f t="shared" ref="C154" si="163">B154+($P$3*7)+$Q$3-TIME($G$3,0,1)</f>
        <v>48798.62498842593</v>
      </c>
      <c r="I154" t="str">
        <f t="shared" si="139"/>
        <v>2033-07-24</v>
      </c>
      <c r="J154" t="str">
        <f t="shared" si="140"/>
        <v>2033-08-07</v>
      </c>
      <c r="K154" s="24" t="str">
        <f t="shared" si="141"/>
        <v>17:00:00</v>
      </c>
      <c r="L154" s="24" t="str">
        <f t="shared" si="142"/>
        <v>14:59:59</v>
      </c>
      <c r="N154" s="25" t="str">
        <f t="shared" si="144"/>
        <v>2033-07-24 17:00:00</v>
      </c>
      <c r="O154" s="25" t="str">
        <f t="shared" si="144"/>
        <v>2033-08-07 14:59:59</v>
      </c>
    </row>
    <row r="155" spans="2:15" x14ac:dyDescent="0.3">
      <c r="B155" s="23">
        <f t="shared" si="145"/>
        <v>48798.708333333336</v>
      </c>
      <c r="C155" s="23">
        <f t="shared" ref="C155" si="164">B155+($E$3*7)+$F$3-TIME($G$3,0,1)</f>
        <v>48854.62498842593</v>
      </c>
      <c r="I155" t="str">
        <f t="shared" si="139"/>
        <v>2033-08-07</v>
      </c>
      <c r="J155" t="str">
        <f t="shared" si="140"/>
        <v>2033-10-02</v>
      </c>
      <c r="K155" s="24" t="str">
        <f t="shared" si="141"/>
        <v>17:00:00</v>
      </c>
      <c r="L155" s="24" t="str">
        <f t="shared" si="142"/>
        <v>14:59:59</v>
      </c>
      <c r="N155" s="25" t="str">
        <f t="shared" si="144"/>
        <v>2033-08-07 17:00:00</v>
      </c>
      <c r="O155" s="25" t="str">
        <f t="shared" si="144"/>
        <v>2033-10-02 14:59:59</v>
      </c>
    </row>
    <row r="156" spans="2:15" x14ac:dyDescent="0.3">
      <c r="B156" s="23">
        <f t="shared" si="145"/>
        <v>48854.708333333336</v>
      </c>
      <c r="C156" s="23">
        <f t="shared" ref="C156" si="165">B156+($P$3*7)+$Q$3-TIME($G$3,0,1)</f>
        <v>48868.62498842593</v>
      </c>
      <c r="I156" t="str">
        <f t="shared" si="139"/>
        <v>2033-10-02</v>
      </c>
      <c r="J156" t="str">
        <f t="shared" si="140"/>
        <v>2033-10-16</v>
      </c>
      <c r="K156" s="24" t="str">
        <f t="shared" si="141"/>
        <v>17:00:00</v>
      </c>
      <c r="L156" s="24" t="str">
        <f t="shared" si="142"/>
        <v>14:59:59</v>
      </c>
      <c r="N156" s="25" t="str">
        <f t="shared" si="144"/>
        <v>2033-10-02 17:00:00</v>
      </c>
      <c r="O156" s="25" t="str">
        <f t="shared" si="144"/>
        <v>2033-10-16 14:59:59</v>
      </c>
    </row>
    <row r="157" spans="2:15" x14ac:dyDescent="0.3">
      <c r="B157" s="23">
        <f t="shared" si="145"/>
        <v>48868.708333333336</v>
      </c>
      <c r="C157" s="23">
        <f t="shared" ref="C157" si="166">B157+($E$3*7)+$F$3-TIME($G$3,0,1)</f>
        <v>48924.62498842593</v>
      </c>
      <c r="I157" t="str">
        <f t="shared" si="139"/>
        <v>2033-10-16</v>
      </c>
      <c r="J157" t="str">
        <f t="shared" si="140"/>
        <v>2033-12-11</v>
      </c>
      <c r="K157" s="24" t="str">
        <f t="shared" si="141"/>
        <v>17:00:00</v>
      </c>
      <c r="L157" s="24" t="str">
        <f t="shared" si="142"/>
        <v>14:59:59</v>
      </c>
      <c r="N157" s="25" t="str">
        <f t="shared" si="144"/>
        <v>2033-10-16 17:00:00</v>
      </c>
      <c r="O157" s="25" t="str">
        <f t="shared" si="144"/>
        <v>2033-12-11 14:59:59</v>
      </c>
    </row>
    <row r="158" spans="2:15" x14ac:dyDescent="0.3">
      <c r="B158" s="23">
        <f t="shared" si="145"/>
        <v>48924.708333333336</v>
      </c>
      <c r="C158" s="23">
        <f t="shared" ref="C158" si="167">B158+($P$3*7)+$Q$3-TIME($G$3,0,1)</f>
        <v>48938.62498842593</v>
      </c>
      <c r="I158" t="str">
        <f t="shared" si="139"/>
        <v>2033-12-11</v>
      </c>
      <c r="J158" t="str">
        <f t="shared" si="140"/>
        <v>2033-12-25</v>
      </c>
      <c r="K158" s="24" t="str">
        <f t="shared" si="141"/>
        <v>17:00:00</v>
      </c>
      <c r="L158" s="24" t="str">
        <f t="shared" si="142"/>
        <v>14:59:59</v>
      </c>
      <c r="N158" s="25" t="str">
        <f t="shared" si="144"/>
        <v>2033-12-11 17:00:00</v>
      </c>
      <c r="O158" s="25" t="str">
        <f t="shared" si="144"/>
        <v>2033-12-25 14:59:59</v>
      </c>
    </row>
    <row r="159" spans="2:15" x14ac:dyDescent="0.3">
      <c r="B159" s="23">
        <f t="shared" si="145"/>
        <v>48938.708333333336</v>
      </c>
      <c r="C159" s="23">
        <f t="shared" ref="C159" si="168">B159+($E$3*7)+$F$3-TIME($G$3,0,1)</f>
        <v>48994.62498842593</v>
      </c>
      <c r="I159" t="str">
        <f t="shared" si="139"/>
        <v>2033-12-25</v>
      </c>
      <c r="J159" t="str">
        <f t="shared" si="140"/>
        <v>2034-02-19</v>
      </c>
      <c r="K159" s="24" t="str">
        <f t="shared" si="141"/>
        <v>17:00:00</v>
      </c>
      <c r="L159" s="24" t="str">
        <f t="shared" si="142"/>
        <v>14:59:59</v>
      </c>
      <c r="N159" s="25" t="str">
        <f t="shared" si="144"/>
        <v>2033-12-25 17:00:00</v>
      </c>
      <c r="O159" s="25" t="str">
        <f t="shared" si="144"/>
        <v>2034-02-19 14:59:59</v>
      </c>
    </row>
    <row r="160" spans="2:15" x14ac:dyDescent="0.3">
      <c r="B160" s="23">
        <f t="shared" si="145"/>
        <v>48994.708333333336</v>
      </c>
      <c r="C160" s="23">
        <f t="shared" ref="C160" si="169">B160+($P$3*7)+$Q$3-TIME($G$3,0,1)</f>
        <v>49008.62498842593</v>
      </c>
      <c r="I160" t="str">
        <f t="shared" si="139"/>
        <v>2034-02-19</v>
      </c>
      <c r="J160" t="str">
        <f t="shared" si="140"/>
        <v>2034-03-05</v>
      </c>
      <c r="K160" s="24" t="str">
        <f t="shared" si="141"/>
        <v>17:00:00</v>
      </c>
      <c r="L160" s="24" t="str">
        <f t="shared" si="142"/>
        <v>14:59:59</v>
      </c>
      <c r="N160" s="25" t="str">
        <f t="shared" si="144"/>
        <v>2034-02-19 17:00:00</v>
      </c>
      <c r="O160" s="25" t="str">
        <f t="shared" si="144"/>
        <v>2034-03-05 14:59:59</v>
      </c>
    </row>
    <row r="161" spans="2:15" x14ac:dyDescent="0.3">
      <c r="B161" s="23">
        <f t="shared" si="145"/>
        <v>49008.708333333336</v>
      </c>
      <c r="C161" s="23">
        <f t="shared" ref="C161" si="170">B161+($E$3*7)+$F$3-TIME($G$3,0,1)</f>
        <v>49064.62498842593</v>
      </c>
      <c r="I161" t="str">
        <f t="shared" si="139"/>
        <v>2034-03-05</v>
      </c>
      <c r="J161" t="str">
        <f t="shared" si="140"/>
        <v>2034-04-30</v>
      </c>
      <c r="K161" s="24" t="str">
        <f t="shared" si="141"/>
        <v>17:00:00</v>
      </c>
      <c r="L161" s="24" t="str">
        <f t="shared" si="142"/>
        <v>14:59:59</v>
      </c>
      <c r="N161" s="25" t="str">
        <f t="shared" si="144"/>
        <v>2034-03-05 17:00:00</v>
      </c>
      <c r="O161" s="25" t="str">
        <f t="shared" si="144"/>
        <v>2034-04-30 14:59:59</v>
      </c>
    </row>
    <row r="162" spans="2:15" x14ac:dyDescent="0.3">
      <c r="B162" s="23">
        <f t="shared" si="145"/>
        <v>49064.708333333336</v>
      </c>
      <c r="C162" s="23">
        <f t="shared" ref="C162" si="171">B162+($P$3*7)+$Q$3-TIME($G$3,0,1)</f>
        <v>49078.62498842593</v>
      </c>
      <c r="I162" t="str">
        <f t="shared" si="139"/>
        <v>2034-04-30</v>
      </c>
      <c r="J162" t="str">
        <f t="shared" si="140"/>
        <v>2034-05-14</v>
      </c>
      <c r="K162" s="24" t="str">
        <f t="shared" si="141"/>
        <v>17:00:00</v>
      </c>
      <c r="L162" s="24" t="str">
        <f t="shared" si="142"/>
        <v>14:59:59</v>
      </c>
      <c r="N162" s="25" t="str">
        <f t="shared" si="144"/>
        <v>2034-04-30 17:00:00</v>
      </c>
      <c r="O162" s="25" t="str">
        <f t="shared" si="144"/>
        <v>2034-05-14 14:59:59</v>
      </c>
    </row>
    <row r="163" spans="2:15" x14ac:dyDescent="0.3">
      <c r="B163" s="23">
        <f t="shared" si="145"/>
        <v>49078.708333333336</v>
      </c>
      <c r="C163" s="23">
        <f t="shared" ref="C163" si="172">B163+($E$3*7)+$F$3-TIME($G$3,0,1)</f>
        <v>49134.62498842593</v>
      </c>
      <c r="I163" t="str">
        <f t="shared" si="139"/>
        <v>2034-05-14</v>
      </c>
      <c r="J163" t="str">
        <f t="shared" si="140"/>
        <v>2034-07-09</v>
      </c>
      <c r="K163" s="24" t="str">
        <f t="shared" si="141"/>
        <v>17:00:00</v>
      </c>
      <c r="L163" s="24" t="str">
        <f t="shared" si="142"/>
        <v>14:59:59</v>
      </c>
      <c r="N163" s="25" t="str">
        <f t="shared" si="144"/>
        <v>2034-05-14 17:00:00</v>
      </c>
      <c r="O163" s="25" t="str">
        <f t="shared" si="144"/>
        <v>2034-07-09 14:59:59</v>
      </c>
    </row>
    <row r="164" spans="2:15" x14ac:dyDescent="0.3">
      <c r="B164" s="23">
        <f t="shared" si="145"/>
        <v>49134.708333333336</v>
      </c>
      <c r="C164" s="23">
        <f t="shared" ref="C164" si="173">B164+($P$3*7)+$Q$3-TIME($G$3,0,1)</f>
        <v>49148.62498842593</v>
      </c>
      <c r="I164" t="str">
        <f t="shared" si="139"/>
        <v>2034-07-09</v>
      </c>
      <c r="J164" t="str">
        <f t="shared" si="140"/>
        <v>2034-07-23</v>
      </c>
      <c r="K164" s="24" t="str">
        <f t="shared" si="141"/>
        <v>17:00:00</v>
      </c>
      <c r="L164" s="24" t="str">
        <f t="shared" si="142"/>
        <v>14:59:59</v>
      </c>
      <c r="N164" s="25" t="str">
        <f t="shared" si="144"/>
        <v>2034-07-09 17:00:00</v>
      </c>
      <c r="O164" s="25" t="str">
        <f t="shared" si="144"/>
        <v>2034-07-23 14:59:59</v>
      </c>
    </row>
    <row r="165" spans="2:15" x14ac:dyDescent="0.3">
      <c r="B165" s="23">
        <f t="shared" si="145"/>
        <v>49148.708333333336</v>
      </c>
      <c r="C165" s="23">
        <f t="shared" ref="C165" si="174">B165+($E$3*7)+$F$3-TIME($G$3,0,1)</f>
        <v>49204.62498842593</v>
      </c>
      <c r="I165" t="str">
        <f t="shared" si="139"/>
        <v>2034-07-23</v>
      </c>
      <c r="J165" t="str">
        <f t="shared" si="140"/>
        <v>2034-09-17</v>
      </c>
      <c r="K165" s="24" t="str">
        <f t="shared" si="141"/>
        <v>17:00:00</v>
      </c>
      <c r="L165" s="24" t="str">
        <f t="shared" si="142"/>
        <v>14:59:59</v>
      </c>
      <c r="N165" s="25" t="str">
        <f t="shared" si="144"/>
        <v>2034-07-23 17:00:00</v>
      </c>
      <c r="O165" s="25" t="str">
        <f t="shared" si="144"/>
        <v>2034-09-17 14:59:59</v>
      </c>
    </row>
    <row r="166" spans="2:15" x14ac:dyDescent="0.3">
      <c r="B166" s="23">
        <f t="shared" si="145"/>
        <v>49204.708333333336</v>
      </c>
      <c r="C166" s="23">
        <f t="shared" ref="C166" si="175">B166+($P$3*7)+$Q$3-TIME($G$3,0,1)</f>
        <v>49218.62498842593</v>
      </c>
      <c r="I166" t="str">
        <f t="shared" si="139"/>
        <v>2034-09-17</v>
      </c>
      <c r="J166" t="str">
        <f t="shared" si="140"/>
        <v>2034-10-01</v>
      </c>
      <c r="K166" s="24" t="str">
        <f t="shared" si="141"/>
        <v>17:00:00</v>
      </c>
      <c r="L166" s="24" t="str">
        <f t="shared" si="142"/>
        <v>14:59:59</v>
      </c>
      <c r="N166" s="25" t="str">
        <f t="shared" si="144"/>
        <v>2034-09-17 17:00:00</v>
      </c>
      <c r="O166" s="25" t="str">
        <f t="shared" si="144"/>
        <v>2034-10-01 14:59:59</v>
      </c>
    </row>
    <row r="167" spans="2:15" x14ac:dyDescent="0.3">
      <c r="B167" s="23">
        <f t="shared" si="145"/>
        <v>49218.708333333336</v>
      </c>
      <c r="C167" s="23">
        <f t="shared" ref="C167" si="176">B167+($E$3*7)+$F$3-TIME($G$3,0,1)</f>
        <v>49274.62498842593</v>
      </c>
      <c r="I167" t="str">
        <f t="shared" si="139"/>
        <v>2034-10-01</v>
      </c>
      <c r="J167" t="str">
        <f t="shared" si="140"/>
        <v>2034-11-26</v>
      </c>
      <c r="K167" s="24" t="str">
        <f t="shared" si="141"/>
        <v>17:00:00</v>
      </c>
      <c r="L167" s="24" t="str">
        <f t="shared" si="142"/>
        <v>14:59:59</v>
      </c>
      <c r="N167" s="25" t="str">
        <f t="shared" si="144"/>
        <v>2034-10-01 17:00:00</v>
      </c>
      <c r="O167" s="25" t="str">
        <f t="shared" si="144"/>
        <v>2034-11-26 14:59:59</v>
      </c>
    </row>
    <row r="168" spans="2:15" x14ac:dyDescent="0.3">
      <c r="B168" s="23">
        <f t="shared" si="145"/>
        <v>49274.708333333336</v>
      </c>
      <c r="C168" s="23">
        <f t="shared" ref="C168" si="177">B168+($P$3*7)+$Q$3-TIME($G$3,0,1)</f>
        <v>49288.62498842593</v>
      </c>
      <c r="I168" t="str">
        <f t="shared" si="139"/>
        <v>2034-11-26</v>
      </c>
      <c r="J168" t="str">
        <f t="shared" si="140"/>
        <v>2034-12-10</v>
      </c>
      <c r="K168" s="24" t="str">
        <f t="shared" si="141"/>
        <v>17:00:00</v>
      </c>
      <c r="L168" s="24" t="str">
        <f t="shared" si="142"/>
        <v>14:59:59</v>
      </c>
      <c r="N168" s="25" t="str">
        <f t="shared" si="144"/>
        <v>2034-11-26 17:00:00</v>
      </c>
      <c r="O168" s="25" t="str">
        <f t="shared" si="144"/>
        <v>2034-12-10 14:59:59</v>
      </c>
    </row>
    <row r="169" spans="2:15" x14ac:dyDescent="0.3">
      <c r="B169" s="23">
        <f t="shared" si="145"/>
        <v>49288.708333333336</v>
      </c>
      <c r="C169" s="23">
        <f t="shared" ref="C169" si="178">B169+($E$3*7)+$F$3-TIME($G$3,0,1)</f>
        <v>49344.62498842593</v>
      </c>
      <c r="I169" t="str">
        <f t="shared" si="139"/>
        <v>2034-12-10</v>
      </c>
      <c r="J169" t="str">
        <f t="shared" si="140"/>
        <v>2035-02-04</v>
      </c>
      <c r="K169" s="24" t="str">
        <f t="shared" si="141"/>
        <v>17:00:00</v>
      </c>
      <c r="L169" s="24" t="str">
        <f t="shared" si="142"/>
        <v>14:59:59</v>
      </c>
      <c r="N169" s="25" t="str">
        <f t="shared" si="144"/>
        <v>2034-12-10 17:00:00</v>
      </c>
      <c r="O169" s="25" t="str">
        <f t="shared" si="144"/>
        <v>2035-02-04 14:59:59</v>
      </c>
    </row>
    <row r="170" spans="2:15" x14ac:dyDescent="0.3">
      <c r="B170" s="23">
        <f t="shared" si="145"/>
        <v>49344.708333333336</v>
      </c>
      <c r="C170" s="23">
        <f t="shared" ref="C170" si="179">B170+($P$3*7)+$Q$3-TIME($G$3,0,1)</f>
        <v>49358.62498842593</v>
      </c>
      <c r="I170" t="str">
        <f t="shared" si="139"/>
        <v>2035-02-04</v>
      </c>
      <c r="J170" t="str">
        <f t="shared" si="140"/>
        <v>2035-02-18</v>
      </c>
      <c r="K170" s="24" t="str">
        <f t="shared" si="141"/>
        <v>17:00:00</v>
      </c>
      <c r="L170" s="24" t="str">
        <f t="shared" si="142"/>
        <v>14:59:59</v>
      </c>
      <c r="N170" s="25" t="str">
        <f t="shared" si="144"/>
        <v>2035-02-04 17:00:00</v>
      </c>
      <c r="O170" s="25" t="str">
        <f t="shared" si="144"/>
        <v>2035-02-18 14:59:59</v>
      </c>
    </row>
    <row r="171" spans="2:15" x14ac:dyDescent="0.3">
      <c r="B171" s="23">
        <f t="shared" si="145"/>
        <v>49358.708333333336</v>
      </c>
      <c r="C171" s="23">
        <f t="shared" ref="C171" si="180">B171+($E$3*7)+$F$3-TIME($G$3,0,1)</f>
        <v>49414.62498842593</v>
      </c>
      <c r="I171" t="str">
        <f t="shared" si="139"/>
        <v>2035-02-18</v>
      </c>
      <c r="J171" t="str">
        <f t="shared" si="140"/>
        <v>2035-04-15</v>
      </c>
      <c r="K171" s="24" t="str">
        <f t="shared" si="141"/>
        <v>17:00:00</v>
      </c>
      <c r="L171" s="24" t="str">
        <f t="shared" si="142"/>
        <v>14:59:59</v>
      </c>
      <c r="N171" s="25" t="str">
        <f t="shared" si="144"/>
        <v>2035-02-18 17:00:00</v>
      </c>
      <c r="O171" s="25" t="str">
        <f t="shared" si="144"/>
        <v>2035-04-15 14:59:59</v>
      </c>
    </row>
    <row r="172" spans="2:15" x14ac:dyDescent="0.3">
      <c r="B172" s="23">
        <f t="shared" si="145"/>
        <v>49414.708333333336</v>
      </c>
      <c r="C172" s="23">
        <f t="shared" ref="C172" si="181">B172+($P$3*7)+$Q$3-TIME($G$3,0,1)</f>
        <v>49428.62498842593</v>
      </c>
      <c r="I172" t="str">
        <f t="shared" si="139"/>
        <v>2035-04-15</v>
      </c>
      <c r="J172" t="str">
        <f t="shared" si="140"/>
        <v>2035-04-29</v>
      </c>
      <c r="K172" s="24" t="str">
        <f t="shared" si="141"/>
        <v>17:00:00</v>
      </c>
      <c r="L172" s="24" t="str">
        <f t="shared" si="142"/>
        <v>14:59:59</v>
      </c>
      <c r="N172" s="25" t="str">
        <f t="shared" si="144"/>
        <v>2035-04-15 17:00:00</v>
      </c>
      <c r="O172" s="25" t="str">
        <f t="shared" si="144"/>
        <v>2035-04-29 14:59:59</v>
      </c>
    </row>
    <row r="173" spans="2:15" x14ac:dyDescent="0.3">
      <c r="B173" s="23">
        <f t="shared" si="145"/>
        <v>49428.708333333336</v>
      </c>
      <c r="C173" s="23">
        <f t="shared" ref="C173" si="182">B173+($E$3*7)+$F$3-TIME($G$3,0,1)</f>
        <v>49484.62498842593</v>
      </c>
      <c r="I173" t="str">
        <f t="shared" si="139"/>
        <v>2035-04-29</v>
      </c>
      <c r="J173" t="str">
        <f t="shared" si="140"/>
        <v>2035-06-24</v>
      </c>
      <c r="K173" s="24" t="str">
        <f t="shared" si="141"/>
        <v>17:00:00</v>
      </c>
      <c r="L173" s="24" t="str">
        <f t="shared" si="142"/>
        <v>14:59:59</v>
      </c>
      <c r="N173" s="25" t="str">
        <f t="shared" si="144"/>
        <v>2035-04-29 17:00:00</v>
      </c>
      <c r="O173" s="25" t="str">
        <f t="shared" si="144"/>
        <v>2035-06-24 14:59:59</v>
      </c>
    </row>
    <row r="174" spans="2:15" x14ac:dyDescent="0.3">
      <c r="B174" s="23">
        <f t="shared" si="145"/>
        <v>49484.708333333336</v>
      </c>
      <c r="C174" s="23">
        <f t="shared" ref="C174" si="183">B174+($P$3*7)+$Q$3-TIME($G$3,0,1)</f>
        <v>49498.62498842593</v>
      </c>
      <c r="I174" t="str">
        <f t="shared" si="139"/>
        <v>2035-06-24</v>
      </c>
      <c r="J174" t="str">
        <f t="shared" si="140"/>
        <v>2035-07-08</v>
      </c>
      <c r="K174" s="24" t="str">
        <f t="shared" si="141"/>
        <v>17:00:00</v>
      </c>
      <c r="L174" s="24" t="str">
        <f t="shared" si="142"/>
        <v>14:59:59</v>
      </c>
      <c r="N174" s="25" t="str">
        <f t="shared" si="144"/>
        <v>2035-06-24 17:00:00</v>
      </c>
      <c r="O174" s="25" t="str">
        <f t="shared" si="144"/>
        <v>2035-07-08 14:59:59</v>
      </c>
    </row>
    <row r="175" spans="2:15" x14ac:dyDescent="0.3">
      <c r="B175" s="23">
        <f t="shared" si="145"/>
        <v>49498.708333333336</v>
      </c>
      <c r="C175" s="23">
        <f t="shared" ref="C175" si="184">B175+($E$3*7)+$F$3-TIME($G$3,0,1)</f>
        <v>49554.62498842593</v>
      </c>
      <c r="I175" t="str">
        <f t="shared" si="139"/>
        <v>2035-07-08</v>
      </c>
      <c r="J175" t="str">
        <f t="shared" si="140"/>
        <v>2035-09-02</v>
      </c>
      <c r="K175" s="24" t="str">
        <f t="shared" si="141"/>
        <v>17:00:00</v>
      </c>
      <c r="L175" s="24" t="str">
        <f t="shared" si="142"/>
        <v>14:59:59</v>
      </c>
      <c r="N175" s="25" t="str">
        <f t="shared" si="144"/>
        <v>2035-07-08 17:00:00</v>
      </c>
      <c r="O175" s="25" t="str">
        <f t="shared" si="144"/>
        <v>2035-09-02 14:59:59</v>
      </c>
    </row>
    <row r="176" spans="2:15" x14ac:dyDescent="0.3">
      <c r="B176" s="23">
        <f t="shared" si="145"/>
        <v>49554.708333333336</v>
      </c>
      <c r="C176" s="23">
        <f t="shared" ref="C176" si="185">B176+($P$3*7)+$Q$3-TIME($G$3,0,1)</f>
        <v>49568.62498842593</v>
      </c>
      <c r="I176" t="str">
        <f t="shared" si="139"/>
        <v>2035-09-02</v>
      </c>
      <c r="J176" t="str">
        <f t="shared" si="140"/>
        <v>2035-09-16</v>
      </c>
      <c r="K176" s="24" t="str">
        <f t="shared" si="141"/>
        <v>17:00:00</v>
      </c>
      <c r="L176" s="24" t="str">
        <f t="shared" si="142"/>
        <v>14:59:59</v>
      </c>
      <c r="N176" s="25" t="str">
        <f t="shared" si="144"/>
        <v>2035-09-02 17:00:00</v>
      </c>
      <c r="O176" s="25" t="str">
        <f t="shared" si="144"/>
        <v>2035-09-16 14:59:59</v>
      </c>
    </row>
    <row r="177" spans="2:15" x14ac:dyDescent="0.3">
      <c r="B177" s="23">
        <f t="shared" si="145"/>
        <v>49568.708333333336</v>
      </c>
      <c r="C177" s="23">
        <f t="shared" ref="C177" si="186">B177+($E$3*7)+$F$3-TIME($G$3,0,1)</f>
        <v>49624.62498842593</v>
      </c>
      <c r="I177" t="str">
        <f t="shared" si="139"/>
        <v>2035-09-16</v>
      </c>
      <c r="J177" t="str">
        <f t="shared" si="140"/>
        <v>2035-11-11</v>
      </c>
      <c r="K177" s="24" t="str">
        <f t="shared" si="141"/>
        <v>17:00:00</v>
      </c>
      <c r="L177" s="24" t="str">
        <f t="shared" si="142"/>
        <v>14:59:59</v>
      </c>
      <c r="N177" s="25" t="str">
        <f t="shared" si="144"/>
        <v>2035-09-16 17:00:00</v>
      </c>
      <c r="O177" s="25" t="str">
        <f t="shared" si="144"/>
        <v>2035-11-11 14:59:59</v>
      </c>
    </row>
    <row r="178" spans="2:15" x14ac:dyDescent="0.3">
      <c r="B178" s="23">
        <f t="shared" si="145"/>
        <v>49624.708333333336</v>
      </c>
      <c r="C178" s="23">
        <f t="shared" ref="C178" si="187">B178+($P$3*7)+$Q$3-TIME($G$3,0,1)</f>
        <v>49638.62498842593</v>
      </c>
      <c r="I178" t="str">
        <f t="shared" si="139"/>
        <v>2035-11-11</v>
      </c>
      <c r="J178" t="str">
        <f t="shared" si="140"/>
        <v>2035-11-25</v>
      </c>
      <c r="K178" s="24" t="str">
        <f t="shared" si="141"/>
        <v>17:00:00</v>
      </c>
      <c r="L178" s="24" t="str">
        <f t="shared" si="142"/>
        <v>14:59:59</v>
      </c>
      <c r="N178" s="25" t="str">
        <f t="shared" si="144"/>
        <v>2035-11-11 17:00:00</v>
      </c>
      <c r="O178" s="25" t="str">
        <f t="shared" si="144"/>
        <v>2035-11-25 14:59:59</v>
      </c>
    </row>
    <row r="179" spans="2:15" x14ac:dyDescent="0.3">
      <c r="B179" s="23">
        <f t="shared" si="145"/>
        <v>49638.708333333336</v>
      </c>
      <c r="C179" s="23">
        <f t="shared" ref="C179" si="188">B179+($E$3*7)+$F$3-TIME($G$3,0,1)</f>
        <v>49694.62498842593</v>
      </c>
      <c r="I179" t="str">
        <f t="shared" si="139"/>
        <v>2035-11-25</v>
      </c>
      <c r="J179" t="str">
        <f t="shared" si="140"/>
        <v>2036-01-20</v>
      </c>
      <c r="K179" s="24" t="str">
        <f t="shared" si="141"/>
        <v>17:00:00</v>
      </c>
      <c r="L179" s="24" t="str">
        <f t="shared" si="142"/>
        <v>14:59:59</v>
      </c>
      <c r="N179" s="25" t="str">
        <f t="shared" si="144"/>
        <v>2035-11-25 17:00:00</v>
      </c>
      <c r="O179" s="25" t="str">
        <f t="shared" si="144"/>
        <v>2036-01-20 14:59:59</v>
      </c>
    </row>
    <row r="180" spans="2:15" x14ac:dyDescent="0.3">
      <c r="B180" s="23">
        <f t="shared" si="145"/>
        <v>49694.708333333336</v>
      </c>
      <c r="C180" s="23">
        <f t="shared" ref="C180" si="189">B180+($P$3*7)+$Q$3-TIME($G$3,0,1)</f>
        <v>49708.62498842593</v>
      </c>
      <c r="I180" t="str">
        <f t="shared" si="139"/>
        <v>2036-01-20</v>
      </c>
      <c r="J180" t="str">
        <f t="shared" si="140"/>
        <v>2036-02-03</v>
      </c>
      <c r="K180" s="24" t="str">
        <f t="shared" si="141"/>
        <v>17:00:00</v>
      </c>
      <c r="L180" s="24" t="str">
        <f t="shared" si="142"/>
        <v>14:59:59</v>
      </c>
      <c r="N180" s="25" t="str">
        <f t="shared" si="144"/>
        <v>2036-01-20 17:00:00</v>
      </c>
      <c r="O180" s="25" t="str">
        <f t="shared" si="144"/>
        <v>2036-02-03 14:59:59</v>
      </c>
    </row>
    <row r="181" spans="2:15" x14ac:dyDescent="0.3">
      <c r="B181" s="23">
        <f t="shared" si="145"/>
        <v>49708.708333333336</v>
      </c>
      <c r="C181" s="23">
        <f t="shared" ref="C181" si="190">B181+($E$3*7)+$F$3-TIME($G$3,0,1)</f>
        <v>49764.62498842593</v>
      </c>
      <c r="I181" t="str">
        <f t="shared" si="139"/>
        <v>2036-02-03</v>
      </c>
      <c r="J181" t="str">
        <f t="shared" si="140"/>
        <v>2036-03-30</v>
      </c>
      <c r="K181" s="24" t="str">
        <f t="shared" si="141"/>
        <v>17:00:00</v>
      </c>
      <c r="L181" s="24" t="str">
        <f t="shared" si="142"/>
        <v>14:59:59</v>
      </c>
      <c r="N181" s="25" t="str">
        <f t="shared" si="144"/>
        <v>2036-02-03 17:00:00</v>
      </c>
      <c r="O181" s="25" t="str">
        <f t="shared" si="144"/>
        <v>2036-03-30 14:59:59</v>
      </c>
    </row>
    <row r="182" spans="2:15" x14ac:dyDescent="0.3">
      <c r="B182" s="23">
        <f t="shared" si="145"/>
        <v>49764.708333333336</v>
      </c>
      <c r="C182" s="23">
        <f t="shared" ref="C182" si="191">B182+($P$3*7)+$Q$3-TIME($G$3,0,1)</f>
        <v>49778.62498842593</v>
      </c>
      <c r="I182" t="str">
        <f t="shared" si="139"/>
        <v>2036-03-30</v>
      </c>
      <c r="J182" t="str">
        <f t="shared" si="140"/>
        <v>2036-04-13</v>
      </c>
      <c r="K182" s="24" t="str">
        <f t="shared" si="141"/>
        <v>17:00:00</v>
      </c>
      <c r="L182" s="24" t="str">
        <f t="shared" si="142"/>
        <v>14:59:59</v>
      </c>
      <c r="N182" s="25" t="str">
        <f t="shared" si="144"/>
        <v>2036-03-30 17:00:00</v>
      </c>
      <c r="O182" s="25" t="str">
        <f t="shared" si="144"/>
        <v>2036-04-13 14:59:59</v>
      </c>
    </row>
    <row r="183" spans="2:15" x14ac:dyDescent="0.3">
      <c r="B183" s="23">
        <f t="shared" si="145"/>
        <v>49778.708333333336</v>
      </c>
      <c r="C183" s="23">
        <f t="shared" ref="C183" si="192">B183+($E$3*7)+$F$3-TIME($G$3,0,1)</f>
        <v>49834.62498842593</v>
      </c>
      <c r="I183" t="str">
        <f t="shared" si="139"/>
        <v>2036-04-13</v>
      </c>
      <c r="J183" t="str">
        <f t="shared" si="140"/>
        <v>2036-06-08</v>
      </c>
      <c r="K183" s="24" t="str">
        <f t="shared" si="141"/>
        <v>17:00:00</v>
      </c>
      <c r="L183" s="24" t="str">
        <f t="shared" si="142"/>
        <v>14:59:59</v>
      </c>
      <c r="N183" s="25" t="str">
        <f t="shared" si="144"/>
        <v>2036-04-13 17:00:00</v>
      </c>
      <c r="O183" s="25" t="str">
        <f t="shared" si="144"/>
        <v>2036-06-08 14:59:59</v>
      </c>
    </row>
    <row r="184" spans="2:15" x14ac:dyDescent="0.3">
      <c r="B184" s="23">
        <f t="shared" si="145"/>
        <v>49834.708333333336</v>
      </c>
      <c r="C184" s="23">
        <f t="shared" ref="C184" si="193">B184+($P$3*7)+$Q$3-TIME($G$3,0,1)</f>
        <v>49848.62498842593</v>
      </c>
      <c r="I184" t="str">
        <f t="shared" si="139"/>
        <v>2036-06-08</v>
      </c>
      <c r="J184" t="str">
        <f t="shared" si="140"/>
        <v>2036-06-22</v>
      </c>
      <c r="K184" s="24" t="str">
        <f t="shared" si="141"/>
        <v>17:00:00</v>
      </c>
      <c r="L184" s="24" t="str">
        <f t="shared" si="142"/>
        <v>14:59:59</v>
      </c>
      <c r="N184" s="25" t="str">
        <f t="shared" si="144"/>
        <v>2036-06-08 17:00:00</v>
      </c>
      <c r="O184" s="25" t="str">
        <f t="shared" si="144"/>
        <v>2036-06-22 14:59:59</v>
      </c>
    </row>
    <row r="185" spans="2:15" x14ac:dyDescent="0.3">
      <c r="B185" s="23">
        <f t="shared" si="145"/>
        <v>49848.708333333336</v>
      </c>
      <c r="C185" s="23">
        <f t="shared" ref="C185" si="194">B185+($E$3*7)+$F$3-TIME($G$3,0,1)</f>
        <v>49904.62498842593</v>
      </c>
      <c r="I185" t="str">
        <f t="shared" si="139"/>
        <v>2036-06-22</v>
      </c>
      <c r="J185" t="str">
        <f t="shared" si="140"/>
        <v>2036-08-17</v>
      </c>
      <c r="K185" s="24" t="str">
        <f t="shared" si="141"/>
        <v>17:00:00</v>
      </c>
      <c r="L185" s="24" t="str">
        <f t="shared" si="142"/>
        <v>14:59:59</v>
      </c>
      <c r="N185" s="25" t="str">
        <f t="shared" si="144"/>
        <v>2036-06-22 17:00:00</v>
      </c>
      <c r="O185" s="25" t="str">
        <f t="shared" si="144"/>
        <v>2036-08-17 14:59:59</v>
      </c>
    </row>
    <row r="186" spans="2:15" x14ac:dyDescent="0.3">
      <c r="B186" s="23">
        <f t="shared" si="145"/>
        <v>49904.708333333336</v>
      </c>
      <c r="C186" s="23">
        <f t="shared" ref="C186" si="195">B186+($P$3*7)+$Q$3-TIME($G$3,0,1)</f>
        <v>49918.62498842593</v>
      </c>
      <c r="I186" t="str">
        <f t="shared" si="139"/>
        <v>2036-08-17</v>
      </c>
      <c r="J186" t="str">
        <f t="shared" si="140"/>
        <v>2036-08-31</v>
      </c>
      <c r="K186" s="24" t="str">
        <f t="shared" si="141"/>
        <v>17:00:00</v>
      </c>
      <c r="L186" s="24" t="str">
        <f t="shared" si="142"/>
        <v>14:59:59</v>
      </c>
      <c r="N186" s="25" t="str">
        <f t="shared" si="144"/>
        <v>2036-08-17 17:00:00</v>
      </c>
      <c r="O186" s="25" t="str">
        <f t="shared" si="144"/>
        <v>2036-08-31 14:59:59</v>
      </c>
    </row>
    <row r="187" spans="2:15" x14ac:dyDescent="0.3">
      <c r="B187" s="23">
        <f t="shared" si="145"/>
        <v>49918.708333333336</v>
      </c>
      <c r="C187" s="23">
        <f t="shared" ref="C187" si="196">B187+($E$3*7)+$F$3-TIME($G$3,0,1)</f>
        <v>49974.62498842593</v>
      </c>
      <c r="I187" t="str">
        <f t="shared" si="139"/>
        <v>2036-08-31</v>
      </c>
      <c r="J187" t="str">
        <f t="shared" si="140"/>
        <v>2036-10-26</v>
      </c>
      <c r="K187" s="24" t="str">
        <f t="shared" si="141"/>
        <v>17:00:00</v>
      </c>
      <c r="L187" s="24" t="str">
        <f t="shared" si="142"/>
        <v>14:59:59</v>
      </c>
      <c r="N187" s="25" t="str">
        <f t="shared" si="144"/>
        <v>2036-08-31 17:00:00</v>
      </c>
      <c r="O187" s="25" t="str">
        <f t="shared" si="144"/>
        <v>2036-10-26 14:59:59</v>
      </c>
    </row>
    <row r="188" spans="2:15" x14ac:dyDescent="0.3">
      <c r="B188" s="23">
        <f t="shared" si="145"/>
        <v>49974.708333333336</v>
      </c>
      <c r="C188" s="23">
        <f t="shared" ref="C188" si="197">B188+($P$3*7)+$Q$3-TIME($G$3,0,1)</f>
        <v>49988.62498842593</v>
      </c>
      <c r="I188" t="str">
        <f t="shared" si="139"/>
        <v>2036-10-26</v>
      </c>
      <c r="J188" t="str">
        <f t="shared" si="140"/>
        <v>2036-11-09</v>
      </c>
      <c r="K188" s="24" t="str">
        <f t="shared" si="141"/>
        <v>17:00:00</v>
      </c>
      <c r="L188" s="24" t="str">
        <f t="shared" si="142"/>
        <v>14:59:59</v>
      </c>
      <c r="N188" s="25" t="str">
        <f t="shared" si="144"/>
        <v>2036-10-26 17:00:00</v>
      </c>
      <c r="O188" s="25" t="str">
        <f t="shared" si="144"/>
        <v>2036-11-09 14:59:59</v>
      </c>
    </row>
    <row r="189" spans="2:15" x14ac:dyDescent="0.3">
      <c r="B189" s="23">
        <f t="shared" si="145"/>
        <v>49988.708333333336</v>
      </c>
      <c r="C189" s="23">
        <f t="shared" ref="C189" si="198">B189+($E$3*7)+$F$3-TIME($G$3,0,1)</f>
        <v>50044.62498842593</v>
      </c>
      <c r="I189" t="str">
        <f t="shared" si="139"/>
        <v>2036-11-09</v>
      </c>
      <c r="J189" t="str">
        <f t="shared" si="140"/>
        <v>2037-01-04</v>
      </c>
      <c r="K189" s="24" t="str">
        <f t="shared" si="141"/>
        <v>17:00:00</v>
      </c>
      <c r="L189" s="24" t="str">
        <f t="shared" si="142"/>
        <v>14:59:59</v>
      </c>
      <c r="N189" s="25" t="str">
        <f t="shared" si="144"/>
        <v>2036-11-09 17:00:00</v>
      </c>
      <c r="O189" s="25" t="str">
        <f t="shared" si="144"/>
        <v>2037-01-04 14:59:59</v>
      </c>
    </row>
    <row r="190" spans="2:15" x14ac:dyDescent="0.3">
      <c r="B190" s="23">
        <f t="shared" si="145"/>
        <v>50044.708333333336</v>
      </c>
      <c r="C190" s="23">
        <f t="shared" ref="C190" si="199">B190+($P$3*7)+$Q$3-TIME($G$3,0,1)</f>
        <v>50058.62498842593</v>
      </c>
      <c r="I190" t="str">
        <f t="shared" si="139"/>
        <v>2037-01-04</v>
      </c>
      <c r="J190" t="str">
        <f t="shared" si="140"/>
        <v>2037-01-18</v>
      </c>
      <c r="K190" s="24" t="str">
        <f t="shared" si="141"/>
        <v>17:00:00</v>
      </c>
      <c r="L190" s="24" t="str">
        <f t="shared" si="142"/>
        <v>14:59:59</v>
      </c>
      <c r="N190" s="25" t="str">
        <f t="shared" si="144"/>
        <v>2037-01-04 17:00:00</v>
      </c>
      <c r="O190" s="25" t="str">
        <f t="shared" si="144"/>
        <v>2037-01-18 14:59:59</v>
      </c>
    </row>
    <row r="191" spans="2:15" x14ac:dyDescent="0.3">
      <c r="B191" s="23">
        <f t="shared" si="145"/>
        <v>50058.708333333336</v>
      </c>
      <c r="C191" s="23">
        <f t="shared" ref="C191" si="200">B191+($E$3*7)+$F$3-TIME($G$3,0,1)</f>
        <v>50114.62498842593</v>
      </c>
      <c r="I191" t="str">
        <f t="shared" si="139"/>
        <v>2037-01-18</v>
      </c>
      <c r="J191" t="str">
        <f t="shared" si="140"/>
        <v>2037-03-15</v>
      </c>
      <c r="K191" s="24" t="str">
        <f t="shared" si="141"/>
        <v>17:00:00</v>
      </c>
      <c r="L191" s="24" t="str">
        <f t="shared" si="142"/>
        <v>14:59:59</v>
      </c>
      <c r="N191" s="25" t="str">
        <f t="shared" si="144"/>
        <v>2037-01-18 17:00:00</v>
      </c>
      <c r="O191" s="25" t="str">
        <f t="shared" si="144"/>
        <v>2037-03-15 14:59:59</v>
      </c>
    </row>
    <row r="192" spans="2:15" x14ac:dyDescent="0.3">
      <c r="B192" s="23">
        <f t="shared" si="145"/>
        <v>50114.708333333336</v>
      </c>
      <c r="C192" s="23">
        <f t="shared" ref="C192" si="201">B192+($P$3*7)+$Q$3-TIME($G$3,0,1)</f>
        <v>50128.62498842593</v>
      </c>
      <c r="I192" t="str">
        <f t="shared" si="139"/>
        <v>2037-03-15</v>
      </c>
      <c r="J192" t="str">
        <f t="shared" si="140"/>
        <v>2037-03-29</v>
      </c>
      <c r="K192" s="24" t="str">
        <f t="shared" si="141"/>
        <v>17:00:00</v>
      </c>
      <c r="L192" s="24" t="str">
        <f t="shared" si="142"/>
        <v>14:59:59</v>
      </c>
      <c r="N192" s="25" t="str">
        <f t="shared" si="144"/>
        <v>2037-03-15 17:00:00</v>
      </c>
      <c r="O192" s="25" t="str">
        <f t="shared" si="144"/>
        <v>2037-03-29 14:59:59</v>
      </c>
    </row>
    <row r="193" spans="2:15" x14ac:dyDescent="0.3">
      <c r="B193" s="23">
        <f t="shared" si="145"/>
        <v>50128.708333333336</v>
      </c>
      <c r="C193" s="23">
        <f t="shared" ref="C193" si="202">B193+($E$3*7)+$F$3-TIME($G$3,0,1)</f>
        <v>50184.62498842593</v>
      </c>
      <c r="I193" t="str">
        <f t="shared" si="139"/>
        <v>2037-03-29</v>
      </c>
      <c r="J193" t="str">
        <f t="shared" si="140"/>
        <v>2037-05-24</v>
      </c>
      <c r="K193" s="24" t="str">
        <f t="shared" si="141"/>
        <v>17:00:00</v>
      </c>
      <c r="L193" s="24" t="str">
        <f t="shared" si="142"/>
        <v>14:59:59</v>
      </c>
      <c r="N193" s="25" t="str">
        <f t="shared" si="144"/>
        <v>2037-03-29 17:00:00</v>
      </c>
      <c r="O193" s="25" t="str">
        <f t="shared" si="144"/>
        <v>2037-05-24 14:59:59</v>
      </c>
    </row>
    <row r="194" spans="2:15" x14ac:dyDescent="0.3">
      <c r="B194" s="23">
        <f t="shared" si="145"/>
        <v>50184.708333333336</v>
      </c>
      <c r="C194" s="23">
        <f t="shared" ref="C194" si="203">B194+($P$3*7)+$Q$3-TIME($G$3,0,1)</f>
        <v>50198.62498842593</v>
      </c>
      <c r="I194" t="str">
        <f t="shared" si="139"/>
        <v>2037-05-24</v>
      </c>
      <c r="J194" t="str">
        <f t="shared" si="140"/>
        <v>2037-06-07</v>
      </c>
      <c r="K194" s="24" t="str">
        <f t="shared" si="141"/>
        <v>17:00:00</v>
      </c>
      <c r="L194" s="24" t="str">
        <f t="shared" si="142"/>
        <v>14:59:59</v>
      </c>
      <c r="N194" s="25" t="str">
        <f t="shared" si="144"/>
        <v>2037-05-24 17:00:00</v>
      </c>
      <c r="O194" s="25" t="str">
        <f t="shared" si="144"/>
        <v>2037-06-07 14:59:59</v>
      </c>
    </row>
    <row r="195" spans="2:15" x14ac:dyDescent="0.3">
      <c r="B195" s="23">
        <f t="shared" si="145"/>
        <v>50198.708333333336</v>
      </c>
      <c r="C195" s="23">
        <f t="shared" ref="C195" si="204">B195+($E$3*7)+$F$3-TIME($G$3,0,1)</f>
        <v>50254.62498842593</v>
      </c>
      <c r="I195" t="str">
        <f t="shared" si="139"/>
        <v>2037-06-07</v>
      </c>
      <c r="J195" t="str">
        <f t="shared" si="140"/>
        <v>2037-08-02</v>
      </c>
      <c r="K195" s="24" t="str">
        <f t="shared" si="141"/>
        <v>17:00:00</v>
      </c>
      <c r="L195" s="24" t="str">
        <f t="shared" si="142"/>
        <v>14:59:59</v>
      </c>
      <c r="N195" s="25" t="str">
        <f t="shared" si="144"/>
        <v>2037-06-07 17:00:00</v>
      </c>
      <c r="O195" s="25" t="str">
        <f t="shared" si="144"/>
        <v>2037-08-02 14:59:59</v>
      </c>
    </row>
    <row r="196" spans="2:15" x14ac:dyDescent="0.3">
      <c r="B196" s="23">
        <f t="shared" si="145"/>
        <v>50254.708333333336</v>
      </c>
      <c r="C196" s="23">
        <f t="shared" ref="C196" si="205">B196+($P$3*7)+$Q$3-TIME($G$3,0,1)</f>
        <v>50268.62498842593</v>
      </c>
      <c r="I196" t="str">
        <f t="shared" si="139"/>
        <v>2037-08-02</v>
      </c>
      <c r="J196" t="str">
        <f t="shared" si="140"/>
        <v>2037-08-16</v>
      </c>
      <c r="K196" s="24" t="str">
        <f t="shared" si="141"/>
        <v>17:00:00</v>
      </c>
      <c r="L196" s="24" t="str">
        <f t="shared" si="142"/>
        <v>14:59:59</v>
      </c>
      <c r="N196" s="25" t="str">
        <f t="shared" si="144"/>
        <v>2037-08-02 17:00:00</v>
      </c>
      <c r="O196" s="25" t="str">
        <f t="shared" si="144"/>
        <v>2037-08-16 14:59:59</v>
      </c>
    </row>
    <row r="197" spans="2:15" x14ac:dyDescent="0.3">
      <c r="B197" s="23">
        <f t="shared" si="145"/>
        <v>50268.708333333336</v>
      </c>
      <c r="C197" s="23">
        <f t="shared" ref="C197" si="206">B197+($E$3*7)+$F$3-TIME($G$3,0,1)</f>
        <v>50324.62498842593</v>
      </c>
      <c r="I197" t="str">
        <f t="shared" si="139"/>
        <v>2037-08-16</v>
      </c>
      <c r="J197" t="str">
        <f t="shared" si="140"/>
        <v>2037-10-11</v>
      </c>
      <c r="K197" s="24" t="str">
        <f t="shared" si="141"/>
        <v>17:00:00</v>
      </c>
      <c r="L197" s="24" t="str">
        <f t="shared" si="142"/>
        <v>14:59:59</v>
      </c>
      <c r="N197" s="25" t="str">
        <f t="shared" si="144"/>
        <v>2037-08-16 17:00:00</v>
      </c>
      <c r="O197" s="25" t="str">
        <f t="shared" si="144"/>
        <v>2037-10-11 14:59:59</v>
      </c>
    </row>
    <row r="198" spans="2:15" x14ac:dyDescent="0.3">
      <c r="B198" s="23">
        <f t="shared" si="145"/>
        <v>50324.708333333336</v>
      </c>
      <c r="C198" s="23">
        <f t="shared" ref="C198" si="207">B198+($P$3*7)+$Q$3-TIME($G$3,0,1)</f>
        <v>50338.62498842593</v>
      </c>
      <c r="I198" t="str">
        <f t="shared" si="139"/>
        <v>2037-10-11</v>
      </c>
      <c r="J198" t="str">
        <f t="shared" si="140"/>
        <v>2037-10-25</v>
      </c>
      <c r="K198" s="24" t="str">
        <f t="shared" si="141"/>
        <v>17:00:00</v>
      </c>
      <c r="L198" s="24" t="str">
        <f t="shared" si="142"/>
        <v>14:59:59</v>
      </c>
      <c r="N198" s="25" t="str">
        <f t="shared" si="144"/>
        <v>2037-10-11 17:00:00</v>
      </c>
      <c r="O198" s="25" t="str">
        <f t="shared" si="144"/>
        <v>2037-10-25 14:59:59</v>
      </c>
    </row>
    <row r="199" spans="2:15" x14ac:dyDescent="0.3">
      <c r="B199" s="23">
        <f t="shared" si="145"/>
        <v>50338.708333333336</v>
      </c>
      <c r="C199" s="23">
        <f t="shared" ref="C199" si="208">B199+($E$3*7)+$F$3-TIME($G$3,0,1)</f>
        <v>50394.62498842593</v>
      </c>
      <c r="I199" t="str">
        <f t="shared" ref="I199:I262" si="209">TEXT(B199,"yyyy-mm-dd")</f>
        <v>2037-10-25</v>
      </c>
      <c r="J199" t="str">
        <f t="shared" ref="J199:J262" si="210">TEXT(C199,"yyyy-mm-dd")</f>
        <v>2037-12-20</v>
      </c>
      <c r="K199" s="24" t="str">
        <f t="shared" ref="K199:K262" si="211">TEXT(B199,"hh:mm:ss")</f>
        <v>17:00:00</v>
      </c>
      <c r="L199" s="24" t="str">
        <f t="shared" ref="L199:L262" si="212">TEXT(C199,"hh:mm:ss")</f>
        <v>14:59:59</v>
      </c>
      <c r="N199" s="25" t="str">
        <f t="shared" si="144"/>
        <v>2037-10-25 17:00:00</v>
      </c>
      <c r="O199" s="25" t="str">
        <f t="shared" si="144"/>
        <v>2037-12-20 14:59:59</v>
      </c>
    </row>
    <row r="200" spans="2:15" x14ac:dyDescent="0.3">
      <c r="B200" s="23">
        <f t="shared" si="145"/>
        <v>50394.708333333336</v>
      </c>
      <c r="C200" s="23">
        <f t="shared" ref="C200" si="213">B200+($P$3*7)+$Q$3-TIME($G$3,0,1)</f>
        <v>50408.62498842593</v>
      </c>
      <c r="I200" t="str">
        <f t="shared" si="209"/>
        <v>2037-12-20</v>
      </c>
      <c r="J200" t="str">
        <f t="shared" si="210"/>
        <v>2038-01-03</v>
      </c>
      <c r="K200" s="24" t="str">
        <f t="shared" si="211"/>
        <v>17:00:00</v>
      </c>
      <c r="L200" s="24" t="str">
        <f t="shared" si="212"/>
        <v>14:59:59</v>
      </c>
      <c r="N200" s="25" t="str">
        <f t="shared" ref="N200:O263" si="214">CONCATENATE(I200," ",K200)</f>
        <v>2037-12-20 17:00:00</v>
      </c>
      <c r="O200" s="25" t="str">
        <f t="shared" si="214"/>
        <v>2038-01-03 14:59:59</v>
      </c>
    </row>
    <row r="201" spans="2:15" x14ac:dyDescent="0.3">
      <c r="B201" s="23">
        <f t="shared" ref="B201:B264" si="215">C200+($N$3*7)+$O$3+TIME($G$3,0,1)</f>
        <v>50408.708333333336</v>
      </c>
      <c r="C201" s="23">
        <f t="shared" ref="C201" si="216">B201+($E$3*7)+$F$3-TIME($G$3,0,1)</f>
        <v>50464.62498842593</v>
      </c>
      <c r="I201" t="str">
        <f t="shared" si="209"/>
        <v>2038-01-03</v>
      </c>
      <c r="J201" t="str">
        <f t="shared" si="210"/>
        <v>2038-02-28</v>
      </c>
      <c r="K201" s="24" t="str">
        <f t="shared" si="211"/>
        <v>17:00:00</v>
      </c>
      <c r="L201" s="24" t="str">
        <f t="shared" si="212"/>
        <v>14:59:59</v>
      </c>
      <c r="N201" s="25" t="str">
        <f t="shared" si="214"/>
        <v>2038-01-03 17:00:00</v>
      </c>
      <c r="O201" s="25" t="str">
        <f t="shared" si="214"/>
        <v>2038-02-28 14:59:59</v>
      </c>
    </row>
    <row r="202" spans="2:15" x14ac:dyDescent="0.3">
      <c r="B202" s="23">
        <f t="shared" si="215"/>
        <v>50464.708333333336</v>
      </c>
      <c r="C202" s="23">
        <f t="shared" ref="C202" si="217">B202+($P$3*7)+$Q$3-TIME($G$3,0,1)</f>
        <v>50478.62498842593</v>
      </c>
      <c r="I202" t="str">
        <f t="shared" si="209"/>
        <v>2038-02-28</v>
      </c>
      <c r="J202" t="str">
        <f t="shared" si="210"/>
        <v>2038-03-14</v>
      </c>
      <c r="K202" s="24" t="str">
        <f t="shared" si="211"/>
        <v>17:00:00</v>
      </c>
      <c r="L202" s="24" t="str">
        <f t="shared" si="212"/>
        <v>14:59:59</v>
      </c>
      <c r="N202" s="25" t="str">
        <f t="shared" si="214"/>
        <v>2038-02-28 17:00:00</v>
      </c>
      <c r="O202" s="25" t="str">
        <f t="shared" si="214"/>
        <v>2038-03-14 14:59:59</v>
      </c>
    </row>
    <row r="203" spans="2:15" x14ac:dyDescent="0.3">
      <c r="B203" s="23">
        <f t="shared" si="215"/>
        <v>50478.708333333336</v>
      </c>
      <c r="C203" s="23">
        <f t="shared" ref="C203" si="218">B203+($E$3*7)+$F$3-TIME($G$3,0,1)</f>
        <v>50534.62498842593</v>
      </c>
      <c r="I203" t="str">
        <f t="shared" si="209"/>
        <v>2038-03-14</v>
      </c>
      <c r="J203" t="str">
        <f t="shared" si="210"/>
        <v>2038-05-09</v>
      </c>
      <c r="K203" s="24" t="str">
        <f t="shared" si="211"/>
        <v>17:00:00</v>
      </c>
      <c r="L203" s="24" t="str">
        <f t="shared" si="212"/>
        <v>14:59:59</v>
      </c>
      <c r="N203" s="25" t="str">
        <f t="shared" si="214"/>
        <v>2038-03-14 17:00:00</v>
      </c>
      <c r="O203" s="25" t="str">
        <f t="shared" si="214"/>
        <v>2038-05-09 14:59:59</v>
      </c>
    </row>
    <row r="204" spans="2:15" x14ac:dyDescent="0.3">
      <c r="B204" s="23">
        <f t="shared" si="215"/>
        <v>50534.708333333336</v>
      </c>
      <c r="C204" s="23">
        <f t="shared" ref="C204" si="219">B204+($P$3*7)+$Q$3-TIME($G$3,0,1)</f>
        <v>50548.62498842593</v>
      </c>
      <c r="I204" t="str">
        <f t="shared" si="209"/>
        <v>2038-05-09</v>
      </c>
      <c r="J204" t="str">
        <f t="shared" si="210"/>
        <v>2038-05-23</v>
      </c>
      <c r="K204" s="24" t="str">
        <f t="shared" si="211"/>
        <v>17:00:00</v>
      </c>
      <c r="L204" s="24" t="str">
        <f t="shared" si="212"/>
        <v>14:59:59</v>
      </c>
      <c r="N204" s="25" t="str">
        <f t="shared" si="214"/>
        <v>2038-05-09 17:00:00</v>
      </c>
      <c r="O204" s="25" t="str">
        <f t="shared" si="214"/>
        <v>2038-05-23 14:59:59</v>
      </c>
    </row>
    <row r="205" spans="2:15" x14ac:dyDescent="0.3">
      <c r="B205" s="23">
        <f t="shared" si="215"/>
        <v>50548.708333333336</v>
      </c>
      <c r="C205" s="23">
        <f t="shared" ref="C205" si="220">B205+($E$3*7)+$F$3-TIME($G$3,0,1)</f>
        <v>50604.62498842593</v>
      </c>
      <c r="I205" t="str">
        <f t="shared" si="209"/>
        <v>2038-05-23</v>
      </c>
      <c r="J205" t="str">
        <f t="shared" si="210"/>
        <v>2038-07-18</v>
      </c>
      <c r="K205" s="24" t="str">
        <f t="shared" si="211"/>
        <v>17:00:00</v>
      </c>
      <c r="L205" s="24" t="str">
        <f t="shared" si="212"/>
        <v>14:59:59</v>
      </c>
      <c r="N205" s="25" t="str">
        <f t="shared" si="214"/>
        <v>2038-05-23 17:00:00</v>
      </c>
      <c r="O205" s="25" t="str">
        <f t="shared" si="214"/>
        <v>2038-07-18 14:59:59</v>
      </c>
    </row>
    <row r="206" spans="2:15" x14ac:dyDescent="0.3">
      <c r="B206" s="23">
        <f t="shared" si="215"/>
        <v>50604.708333333336</v>
      </c>
      <c r="C206" s="23">
        <f t="shared" ref="C206" si="221">B206+($P$3*7)+$Q$3-TIME($G$3,0,1)</f>
        <v>50618.62498842593</v>
      </c>
      <c r="I206" t="str">
        <f t="shared" si="209"/>
        <v>2038-07-18</v>
      </c>
      <c r="J206" t="str">
        <f t="shared" si="210"/>
        <v>2038-08-01</v>
      </c>
      <c r="K206" s="24" t="str">
        <f t="shared" si="211"/>
        <v>17:00:00</v>
      </c>
      <c r="L206" s="24" t="str">
        <f t="shared" si="212"/>
        <v>14:59:59</v>
      </c>
      <c r="N206" s="25" t="str">
        <f t="shared" si="214"/>
        <v>2038-07-18 17:00:00</v>
      </c>
      <c r="O206" s="25" t="str">
        <f t="shared" si="214"/>
        <v>2038-08-01 14:59:59</v>
      </c>
    </row>
    <row r="207" spans="2:15" x14ac:dyDescent="0.3">
      <c r="B207" s="23">
        <f t="shared" si="215"/>
        <v>50618.708333333336</v>
      </c>
      <c r="C207" s="23">
        <f t="shared" ref="C207" si="222">B207+($E$3*7)+$F$3-TIME($G$3,0,1)</f>
        <v>50674.62498842593</v>
      </c>
      <c r="I207" t="str">
        <f t="shared" si="209"/>
        <v>2038-08-01</v>
      </c>
      <c r="J207" t="str">
        <f t="shared" si="210"/>
        <v>2038-09-26</v>
      </c>
      <c r="K207" s="24" t="str">
        <f t="shared" si="211"/>
        <v>17:00:00</v>
      </c>
      <c r="L207" s="24" t="str">
        <f t="shared" si="212"/>
        <v>14:59:59</v>
      </c>
      <c r="N207" s="25" t="str">
        <f t="shared" si="214"/>
        <v>2038-08-01 17:00:00</v>
      </c>
      <c r="O207" s="25" t="str">
        <f t="shared" si="214"/>
        <v>2038-09-26 14:59:59</v>
      </c>
    </row>
    <row r="208" spans="2:15" x14ac:dyDescent="0.3">
      <c r="B208" s="23">
        <f t="shared" si="215"/>
        <v>50674.708333333336</v>
      </c>
      <c r="C208" s="23">
        <f t="shared" ref="C208" si="223">B208+($P$3*7)+$Q$3-TIME($G$3,0,1)</f>
        <v>50688.62498842593</v>
      </c>
      <c r="I208" t="str">
        <f t="shared" si="209"/>
        <v>2038-09-26</v>
      </c>
      <c r="J208" t="str">
        <f t="shared" si="210"/>
        <v>2038-10-10</v>
      </c>
      <c r="K208" s="24" t="str">
        <f t="shared" si="211"/>
        <v>17:00:00</v>
      </c>
      <c r="L208" s="24" t="str">
        <f t="shared" si="212"/>
        <v>14:59:59</v>
      </c>
      <c r="N208" s="25" t="str">
        <f t="shared" si="214"/>
        <v>2038-09-26 17:00:00</v>
      </c>
      <c r="O208" s="25" t="str">
        <f t="shared" si="214"/>
        <v>2038-10-10 14:59:59</v>
      </c>
    </row>
    <row r="209" spans="2:15" x14ac:dyDescent="0.3">
      <c r="B209" s="23">
        <f t="shared" si="215"/>
        <v>50688.708333333336</v>
      </c>
      <c r="C209" s="23">
        <f t="shared" ref="C209" si="224">B209+($E$3*7)+$F$3-TIME($G$3,0,1)</f>
        <v>50744.62498842593</v>
      </c>
      <c r="I209" t="str">
        <f t="shared" si="209"/>
        <v>2038-10-10</v>
      </c>
      <c r="J209" t="str">
        <f t="shared" si="210"/>
        <v>2038-12-05</v>
      </c>
      <c r="K209" s="24" t="str">
        <f t="shared" si="211"/>
        <v>17:00:00</v>
      </c>
      <c r="L209" s="24" t="str">
        <f t="shared" si="212"/>
        <v>14:59:59</v>
      </c>
      <c r="N209" s="25" t="str">
        <f t="shared" si="214"/>
        <v>2038-10-10 17:00:00</v>
      </c>
      <c r="O209" s="25" t="str">
        <f t="shared" si="214"/>
        <v>2038-12-05 14:59:59</v>
      </c>
    </row>
    <row r="210" spans="2:15" x14ac:dyDescent="0.3">
      <c r="B210" s="23">
        <f t="shared" si="215"/>
        <v>50744.708333333336</v>
      </c>
      <c r="C210" s="23">
        <f t="shared" ref="C210" si="225">B210+($P$3*7)+$Q$3-TIME($G$3,0,1)</f>
        <v>50758.62498842593</v>
      </c>
      <c r="I210" t="str">
        <f t="shared" si="209"/>
        <v>2038-12-05</v>
      </c>
      <c r="J210" t="str">
        <f t="shared" si="210"/>
        <v>2038-12-19</v>
      </c>
      <c r="K210" s="24" t="str">
        <f t="shared" si="211"/>
        <v>17:00:00</v>
      </c>
      <c r="L210" s="24" t="str">
        <f t="shared" si="212"/>
        <v>14:59:59</v>
      </c>
      <c r="N210" s="25" t="str">
        <f t="shared" si="214"/>
        <v>2038-12-05 17:00:00</v>
      </c>
      <c r="O210" s="25" t="str">
        <f t="shared" si="214"/>
        <v>2038-12-19 14:59:59</v>
      </c>
    </row>
    <row r="211" spans="2:15" x14ac:dyDescent="0.3">
      <c r="B211" s="23">
        <f t="shared" si="215"/>
        <v>50758.708333333336</v>
      </c>
      <c r="C211" s="23">
        <f t="shared" ref="C211" si="226">B211+($E$3*7)+$F$3-TIME($G$3,0,1)</f>
        <v>50814.62498842593</v>
      </c>
      <c r="I211" t="str">
        <f t="shared" si="209"/>
        <v>2038-12-19</v>
      </c>
      <c r="J211" t="str">
        <f t="shared" si="210"/>
        <v>2039-02-13</v>
      </c>
      <c r="K211" s="24" t="str">
        <f t="shared" si="211"/>
        <v>17:00:00</v>
      </c>
      <c r="L211" s="24" t="str">
        <f t="shared" si="212"/>
        <v>14:59:59</v>
      </c>
      <c r="N211" s="25" t="str">
        <f t="shared" si="214"/>
        <v>2038-12-19 17:00:00</v>
      </c>
      <c r="O211" s="25" t="str">
        <f t="shared" si="214"/>
        <v>2039-02-13 14:59:59</v>
      </c>
    </row>
    <row r="212" spans="2:15" x14ac:dyDescent="0.3">
      <c r="B212" s="23">
        <f t="shared" si="215"/>
        <v>50814.708333333336</v>
      </c>
      <c r="C212" s="23">
        <f t="shared" ref="C212" si="227">B212+($P$3*7)+$Q$3-TIME($G$3,0,1)</f>
        <v>50828.62498842593</v>
      </c>
      <c r="I212" t="str">
        <f t="shared" si="209"/>
        <v>2039-02-13</v>
      </c>
      <c r="J212" t="str">
        <f t="shared" si="210"/>
        <v>2039-02-27</v>
      </c>
      <c r="K212" s="24" t="str">
        <f t="shared" si="211"/>
        <v>17:00:00</v>
      </c>
      <c r="L212" s="24" t="str">
        <f t="shared" si="212"/>
        <v>14:59:59</v>
      </c>
      <c r="N212" s="25" t="str">
        <f t="shared" si="214"/>
        <v>2039-02-13 17:00:00</v>
      </c>
      <c r="O212" s="25" t="str">
        <f t="shared" si="214"/>
        <v>2039-02-27 14:59:59</v>
      </c>
    </row>
    <row r="213" spans="2:15" x14ac:dyDescent="0.3">
      <c r="B213" s="23">
        <f t="shared" si="215"/>
        <v>50828.708333333336</v>
      </c>
      <c r="C213" s="23">
        <f t="shared" ref="C213" si="228">B213+($E$3*7)+$F$3-TIME($G$3,0,1)</f>
        <v>50884.62498842593</v>
      </c>
      <c r="I213" t="str">
        <f t="shared" si="209"/>
        <v>2039-02-27</v>
      </c>
      <c r="J213" t="str">
        <f t="shared" si="210"/>
        <v>2039-04-24</v>
      </c>
      <c r="K213" s="24" t="str">
        <f t="shared" si="211"/>
        <v>17:00:00</v>
      </c>
      <c r="L213" s="24" t="str">
        <f t="shared" si="212"/>
        <v>14:59:59</v>
      </c>
      <c r="N213" s="25" t="str">
        <f t="shared" si="214"/>
        <v>2039-02-27 17:00:00</v>
      </c>
      <c r="O213" s="25" t="str">
        <f t="shared" si="214"/>
        <v>2039-04-24 14:59:59</v>
      </c>
    </row>
    <row r="214" spans="2:15" x14ac:dyDescent="0.3">
      <c r="B214" s="23">
        <f t="shared" si="215"/>
        <v>50884.708333333336</v>
      </c>
      <c r="C214" s="23">
        <f t="shared" ref="C214" si="229">B214+($P$3*7)+$Q$3-TIME($G$3,0,1)</f>
        <v>50898.62498842593</v>
      </c>
      <c r="I214" t="str">
        <f t="shared" si="209"/>
        <v>2039-04-24</v>
      </c>
      <c r="J214" t="str">
        <f t="shared" si="210"/>
        <v>2039-05-08</v>
      </c>
      <c r="K214" s="24" t="str">
        <f t="shared" si="211"/>
        <v>17:00:00</v>
      </c>
      <c r="L214" s="24" t="str">
        <f t="shared" si="212"/>
        <v>14:59:59</v>
      </c>
      <c r="N214" s="25" t="str">
        <f t="shared" si="214"/>
        <v>2039-04-24 17:00:00</v>
      </c>
      <c r="O214" s="25" t="str">
        <f t="shared" si="214"/>
        <v>2039-05-08 14:59:59</v>
      </c>
    </row>
    <row r="215" spans="2:15" x14ac:dyDescent="0.3">
      <c r="B215" s="23">
        <f t="shared" si="215"/>
        <v>50898.708333333336</v>
      </c>
      <c r="C215" s="23">
        <f t="shared" ref="C215" si="230">B215+($E$3*7)+$F$3-TIME($G$3,0,1)</f>
        <v>50954.62498842593</v>
      </c>
      <c r="I215" t="str">
        <f t="shared" si="209"/>
        <v>2039-05-08</v>
      </c>
      <c r="J215" t="str">
        <f t="shared" si="210"/>
        <v>2039-07-03</v>
      </c>
      <c r="K215" s="24" t="str">
        <f t="shared" si="211"/>
        <v>17:00:00</v>
      </c>
      <c r="L215" s="24" t="str">
        <f t="shared" si="212"/>
        <v>14:59:59</v>
      </c>
      <c r="N215" s="25" t="str">
        <f t="shared" si="214"/>
        <v>2039-05-08 17:00:00</v>
      </c>
      <c r="O215" s="25" t="str">
        <f t="shared" si="214"/>
        <v>2039-07-03 14:59:59</v>
      </c>
    </row>
    <row r="216" spans="2:15" x14ac:dyDescent="0.3">
      <c r="B216" s="23">
        <f t="shared" si="215"/>
        <v>50954.708333333336</v>
      </c>
      <c r="C216" s="23">
        <f t="shared" ref="C216" si="231">B216+($P$3*7)+$Q$3-TIME($G$3,0,1)</f>
        <v>50968.62498842593</v>
      </c>
      <c r="I216" t="str">
        <f t="shared" si="209"/>
        <v>2039-07-03</v>
      </c>
      <c r="J216" t="str">
        <f t="shared" si="210"/>
        <v>2039-07-17</v>
      </c>
      <c r="K216" s="24" t="str">
        <f t="shared" si="211"/>
        <v>17:00:00</v>
      </c>
      <c r="L216" s="24" t="str">
        <f t="shared" si="212"/>
        <v>14:59:59</v>
      </c>
      <c r="N216" s="25" t="str">
        <f t="shared" si="214"/>
        <v>2039-07-03 17:00:00</v>
      </c>
      <c r="O216" s="25" t="str">
        <f t="shared" si="214"/>
        <v>2039-07-17 14:59:59</v>
      </c>
    </row>
    <row r="217" spans="2:15" x14ac:dyDescent="0.3">
      <c r="B217" s="23">
        <f t="shared" si="215"/>
        <v>50968.708333333336</v>
      </c>
      <c r="C217" s="23">
        <f t="shared" ref="C217" si="232">B217+($E$3*7)+$F$3-TIME($G$3,0,1)</f>
        <v>51024.62498842593</v>
      </c>
      <c r="I217" t="str">
        <f t="shared" si="209"/>
        <v>2039-07-17</v>
      </c>
      <c r="J217" t="str">
        <f t="shared" si="210"/>
        <v>2039-09-11</v>
      </c>
      <c r="K217" s="24" t="str">
        <f t="shared" si="211"/>
        <v>17:00:00</v>
      </c>
      <c r="L217" s="24" t="str">
        <f t="shared" si="212"/>
        <v>14:59:59</v>
      </c>
      <c r="N217" s="25" t="str">
        <f t="shared" si="214"/>
        <v>2039-07-17 17:00:00</v>
      </c>
      <c r="O217" s="25" t="str">
        <f t="shared" si="214"/>
        <v>2039-09-11 14:59:59</v>
      </c>
    </row>
    <row r="218" spans="2:15" x14ac:dyDescent="0.3">
      <c r="B218" s="23">
        <f t="shared" si="215"/>
        <v>51024.708333333336</v>
      </c>
      <c r="C218" s="23">
        <f t="shared" ref="C218" si="233">B218+($P$3*7)+$Q$3-TIME($G$3,0,1)</f>
        <v>51038.62498842593</v>
      </c>
      <c r="I218" t="str">
        <f t="shared" si="209"/>
        <v>2039-09-11</v>
      </c>
      <c r="J218" t="str">
        <f t="shared" si="210"/>
        <v>2039-09-25</v>
      </c>
      <c r="K218" s="24" t="str">
        <f t="shared" si="211"/>
        <v>17:00:00</v>
      </c>
      <c r="L218" s="24" t="str">
        <f t="shared" si="212"/>
        <v>14:59:59</v>
      </c>
      <c r="N218" s="25" t="str">
        <f t="shared" si="214"/>
        <v>2039-09-11 17:00:00</v>
      </c>
      <c r="O218" s="25" t="str">
        <f t="shared" si="214"/>
        <v>2039-09-25 14:59:59</v>
      </c>
    </row>
    <row r="219" spans="2:15" x14ac:dyDescent="0.3">
      <c r="B219" s="23">
        <f t="shared" si="215"/>
        <v>51038.708333333336</v>
      </c>
      <c r="C219" s="23">
        <f t="shared" ref="C219" si="234">B219+($E$3*7)+$F$3-TIME($G$3,0,1)</f>
        <v>51094.62498842593</v>
      </c>
      <c r="I219" t="str">
        <f t="shared" si="209"/>
        <v>2039-09-25</v>
      </c>
      <c r="J219" t="str">
        <f t="shared" si="210"/>
        <v>2039-11-20</v>
      </c>
      <c r="K219" s="24" t="str">
        <f t="shared" si="211"/>
        <v>17:00:00</v>
      </c>
      <c r="L219" s="24" t="str">
        <f t="shared" si="212"/>
        <v>14:59:59</v>
      </c>
      <c r="N219" s="25" t="str">
        <f t="shared" si="214"/>
        <v>2039-09-25 17:00:00</v>
      </c>
      <c r="O219" s="25" t="str">
        <f t="shared" si="214"/>
        <v>2039-11-20 14:59:59</v>
      </c>
    </row>
    <row r="220" spans="2:15" x14ac:dyDescent="0.3">
      <c r="B220" s="23">
        <f t="shared" si="215"/>
        <v>51094.708333333336</v>
      </c>
      <c r="C220" s="23">
        <f t="shared" ref="C220" si="235">B220+($P$3*7)+$Q$3-TIME($G$3,0,1)</f>
        <v>51108.62498842593</v>
      </c>
      <c r="I220" t="str">
        <f t="shared" si="209"/>
        <v>2039-11-20</v>
      </c>
      <c r="J220" t="str">
        <f t="shared" si="210"/>
        <v>2039-12-04</v>
      </c>
      <c r="K220" s="24" t="str">
        <f t="shared" si="211"/>
        <v>17:00:00</v>
      </c>
      <c r="L220" s="24" t="str">
        <f t="shared" si="212"/>
        <v>14:59:59</v>
      </c>
      <c r="N220" s="25" t="str">
        <f t="shared" si="214"/>
        <v>2039-11-20 17:00:00</v>
      </c>
      <c r="O220" s="25" t="str">
        <f t="shared" si="214"/>
        <v>2039-12-04 14:59:59</v>
      </c>
    </row>
    <row r="221" spans="2:15" x14ac:dyDescent="0.3">
      <c r="B221" s="23">
        <f t="shared" si="215"/>
        <v>51108.708333333336</v>
      </c>
      <c r="C221" s="23">
        <f t="shared" ref="C221" si="236">B221+($E$3*7)+$F$3-TIME($G$3,0,1)</f>
        <v>51164.62498842593</v>
      </c>
      <c r="I221" t="str">
        <f t="shared" si="209"/>
        <v>2039-12-04</v>
      </c>
      <c r="J221" t="str">
        <f t="shared" si="210"/>
        <v>2040-01-29</v>
      </c>
      <c r="K221" s="24" t="str">
        <f t="shared" si="211"/>
        <v>17:00:00</v>
      </c>
      <c r="L221" s="24" t="str">
        <f t="shared" si="212"/>
        <v>14:59:59</v>
      </c>
      <c r="N221" s="25" t="str">
        <f t="shared" si="214"/>
        <v>2039-12-04 17:00:00</v>
      </c>
      <c r="O221" s="25" t="str">
        <f t="shared" si="214"/>
        <v>2040-01-29 14:59:59</v>
      </c>
    </row>
    <row r="222" spans="2:15" x14ac:dyDescent="0.3">
      <c r="B222" s="23">
        <f t="shared" si="215"/>
        <v>51164.708333333336</v>
      </c>
      <c r="C222" s="23">
        <f t="shared" ref="C222" si="237">B222+($P$3*7)+$Q$3-TIME($G$3,0,1)</f>
        <v>51178.62498842593</v>
      </c>
      <c r="I222" t="str">
        <f t="shared" si="209"/>
        <v>2040-01-29</v>
      </c>
      <c r="J222" t="str">
        <f t="shared" si="210"/>
        <v>2040-02-12</v>
      </c>
      <c r="K222" s="24" t="str">
        <f t="shared" si="211"/>
        <v>17:00:00</v>
      </c>
      <c r="L222" s="24" t="str">
        <f t="shared" si="212"/>
        <v>14:59:59</v>
      </c>
      <c r="N222" s="25" t="str">
        <f t="shared" si="214"/>
        <v>2040-01-29 17:00:00</v>
      </c>
      <c r="O222" s="25" t="str">
        <f t="shared" si="214"/>
        <v>2040-02-12 14:59:59</v>
      </c>
    </row>
    <row r="223" spans="2:15" x14ac:dyDescent="0.3">
      <c r="B223" s="23">
        <f t="shared" si="215"/>
        <v>51178.708333333336</v>
      </c>
      <c r="C223" s="23">
        <f t="shared" ref="C223" si="238">B223+($E$3*7)+$F$3-TIME($G$3,0,1)</f>
        <v>51234.62498842593</v>
      </c>
      <c r="I223" t="str">
        <f t="shared" si="209"/>
        <v>2040-02-12</v>
      </c>
      <c r="J223" t="str">
        <f t="shared" si="210"/>
        <v>2040-04-08</v>
      </c>
      <c r="K223" s="24" t="str">
        <f t="shared" si="211"/>
        <v>17:00:00</v>
      </c>
      <c r="L223" s="24" t="str">
        <f t="shared" si="212"/>
        <v>14:59:59</v>
      </c>
      <c r="N223" s="25" t="str">
        <f t="shared" si="214"/>
        <v>2040-02-12 17:00:00</v>
      </c>
      <c r="O223" s="25" t="str">
        <f t="shared" si="214"/>
        <v>2040-04-08 14:59:59</v>
      </c>
    </row>
    <row r="224" spans="2:15" x14ac:dyDescent="0.3">
      <c r="B224" s="23">
        <f t="shared" si="215"/>
        <v>51234.708333333336</v>
      </c>
      <c r="C224" s="23">
        <f t="shared" ref="C224" si="239">B224+($P$3*7)+$Q$3-TIME($G$3,0,1)</f>
        <v>51248.62498842593</v>
      </c>
      <c r="I224" t="str">
        <f t="shared" si="209"/>
        <v>2040-04-08</v>
      </c>
      <c r="J224" t="str">
        <f t="shared" si="210"/>
        <v>2040-04-22</v>
      </c>
      <c r="K224" s="24" t="str">
        <f t="shared" si="211"/>
        <v>17:00:00</v>
      </c>
      <c r="L224" s="24" t="str">
        <f t="shared" si="212"/>
        <v>14:59:59</v>
      </c>
      <c r="N224" s="25" t="str">
        <f t="shared" si="214"/>
        <v>2040-04-08 17:00:00</v>
      </c>
      <c r="O224" s="25" t="str">
        <f t="shared" si="214"/>
        <v>2040-04-22 14:59:59</v>
      </c>
    </row>
    <row r="225" spans="2:15" x14ac:dyDescent="0.3">
      <c r="B225" s="23">
        <f t="shared" si="215"/>
        <v>51248.708333333336</v>
      </c>
      <c r="C225" s="23">
        <f t="shared" ref="C225" si="240">B225+($E$3*7)+$F$3-TIME($G$3,0,1)</f>
        <v>51304.62498842593</v>
      </c>
      <c r="I225" t="str">
        <f t="shared" si="209"/>
        <v>2040-04-22</v>
      </c>
      <c r="J225" t="str">
        <f t="shared" si="210"/>
        <v>2040-06-17</v>
      </c>
      <c r="K225" s="24" t="str">
        <f t="shared" si="211"/>
        <v>17:00:00</v>
      </c>
      <c r="L225" s="24" t="str">
        <f t="shared" si="212"/>
        <v>14:59:59</v>
      </c>
      <c r="N225" s="25" t="str">
        <f t="shared" si="214"/>
        <v>2040-04-22 17:00:00</v>
      </c>
      <c r="O225" s="25" t="str">
        <f t="shared" si="214"/>
        <v>2040-06-17 14:59:59</v>
      </c>
    </row>
    <row r="226" spans="2:15" x14ac:dyDescent="0.3">
      <c r="B226" s="23">
        <f t="shared" si="215"/>
        <v>51304.708333333336</v>
      </c>
      <c r="C226" s="23">
        <f t="shared" ref="C226" si="241">B226+($P$3*7)+$Q$3-TIME($G$3,0,1)</f>
        <v>51318.62498842593</v>
      </c>
      <c r="I226" t="str">
        <f t="shared" si="209"/>
        <v>2040-06-17</v>
      </c>
      <c r="J226" t="str">
        <f t="shared" si="210"/>
        <v>2040-07-01</v>
      </c>
      <c r="K226" s="24" t="str">
        <f t="shared" si="211"/>
        <v>17:00:00</v>
      </c>
      <c r="L226" s="24" t="str">
        <f t="shared" si="212"/>
        <v>14:59:59</v>
      </c>
      <c r="N226" s="25" t="str">
        <f t="shared" si="214"/>
        <v>2040-06-17 17:00:00</v>
      </c>
      <c r="O226" s="25" t="str">
        <f t="shared" si="214"/>
        <v>2040-07-01 14:59:59</v>
      </c>
    </row>
    <row r="227" spans="2:15" x14ac:dyDescent="0.3">
      <c r="B227" s="23">
        <f t="shared" si="215"/>
        <v>51318.708333333336</v>
      </c>
      <c r="C227" s="23">
        <f t="shared" ref="C227" si="242">B227+($E$3*7)+$F$3-TIME($G$3,0,1)</f>
        <v>51374.62498842593</v>
      </c>
      <c r="I227" t="str">
        <f t="shared" si="209"/>
        <v>2040-07-01</v>
      </c>
      <c r="J227" t="str">
        <f t="shared" si="210"/>
        <v>2040-08-26</v>
      </c>
      <c r="K227" s="24" t="str">
        <f t="shared" si="211"/>
        <v>17:00:00</v>
      </c>
      <c r="L227" s="24" t="str">
        <f t="shared" si="212"/>
        <v>14:59:59</v>
      </c>
      <c r="N227" s="25" t="str">
        <f t="shared" si="214"/>
        <v>2040-07-01 17:00:00</v>
      </c>
      <c r="O227" s="25" t="str">
        <f t="shared" si="214"/>
        <v>2040-08-26 14:59:59</v>
      </c>
    </row>
    <row r="228" spans="2:15" x14ac:dyDescent="0.3">
      <c r="B228" s="23">
        <f t="shared" si="215"/>
        <v>51374.708333333336</v>
      </c>
      <c r="C228" s="23">
        <f t="shared" ref="C228" si="243">B228+($P$3*7)+$Q$3-TIME($G$3,0,1)</f>
        <v>51388.62498842593</v>
      </c>
      <c r="I228" t="str">
        <f t="shared" si="209"/>
        <v>2040-08-26</v>
      </c>
      <c r="J228" t="str">
        <f t="shared" si="210"/>
        <v>2040-09-09</v>
      </c>
      <c r="K228" s="24" t="str">
        <f t="shared" si="211"/>
        <v>17:00:00</v>
      </c>
      <c r="L228" s="24" t="str">
        <f t="shared" si="212"/>
        <v>14:59:59</v>
      </c>
      <c r="N228" s="25" t="str">
        <f t="shared" si="214"/>
        <v>2040-08-26 17:00:00</v>
      </c>
      <c r="O228" s="25" t="str">
        <f t="shared" si="214"/>
        <v>2040-09-09 14:59:59</v>
      </c>
    </row>
    <row r="229" spans="2:15" x14ac:dyDescent="0.3">
      <c r="B229" s="23">
        <f t="shared" si="215"/>
        <v>51388.708333333336</v>
      </c>
      <c r="C229" s="23">
        <f t="shared" ref="C229" si="244">B229+($E$3*7)+$F$3-TIME($G$3,0,1)</f>
        <v>51444.62498842593</v>
      </c>
      <c r="I229" t="str">
        <f t="shared" si="209"/>
        <v>2040-09-09</v>
      </c>
      <c r="J229" t="str">
        <f t="shared" si="210"/>
        <v>2040-11-04</v>
      </c>
      <c r="K229" s="24" t="str">
        <f t="shared" si="211"/>
        <v>17:00:00</v>
      </c>
      <c r="L229" s="24" t="str">
        <f t="shared" si="212"/>
        <v>14:59:59</v>
      </c>
      <c r="N229" s="25" t="str">
        <f t="shared" si="214"/>
        <v>2040-09-09 17:00:00</v>
      </c>
      <c r="O229" s="25" t="str">
        <f t="shared" si="214"/>
        <v>2040-11-04 14:59:59</v>
      </c>
    </row>
    <row r="230" spans="2:15" x14ac:dyDescent="0.3">
      <c r="B230" s="23">
        <f t="shared" si="215"/>
        <v>51444.708333333336</v>
      </c>
      <c r="C230" s="23">
        <f t="shared" ref="C230" si="245">B230+($P$3*7)+$Q$3-TIME($G$3,0,1)</f>
        <v>51458.62498842593</v>
      </c>
      <c r="I230" t="str">
        <f t="shared" si="209"/>
        <v>2040-11-04</v>
      </c>
      <c r="J230" t="str">
        <f t="shared" si="210"/>
        <v>2040-11-18</v>
      </c>
      <c r="K230" s="24" t="str">
        <f t="shared" si="211"/>
        <v>17:00:00</v>
      </c>
      <c r="L230" s="24" t="str">
        <f t="shared" si="212"/>
        <v>14:59:59</v>
      </c>
      <c r="N230" s="25" t="str">
        <f t="shared" si="214"/>
        <v>2040-11-04 17:00:00</v>
      </c>
      <c r="O230" s="25" t="str">
        <f t="shared" si="214"/>
        <v>2040-11-18 14:59:59</v>
      </c>
    </row>
    <row r="231" spans="2:15" x14ac:dyDescent="0.3">
      <c r="B231" s="23">
        <f t="shared" si="215"/>
        <v>51458.708333333336</v>
      </c>
      <c r="C231" s="23">
        <f t="shared" ref="C231" si="246">B231+($E$3*7)+$F$3-TIME($G$3,0,1)</f>
        <v>51514.62498842593</v>
      </c>
      <c r="I231" t="str">
        <f t="shared" si="209"/>
        <v>2040-11-18</v>
      </c>
      <c r="J231" t="str">
        <f t="shared" si="210"/>
        <v>2041-01-13</v>
      </c>
      <c r="K231" s="24" t="str">
        <f t="shared" si="211"/>
        <v>17:00:00</v>
      </c>
      <c r="L231" s="24" t="str">
        <f t="shared" si="212"/>
        <v>14:59:59</v>
      </c>
      <c r="N231" s="25" t="str">
        <f t="shared" si="214"/>
        <v>2040-11-18 17:00:00</v>
      </c>
      <c r="O231" s="25" t="str">
        <f t="shared" si="214"/>
        <v>2041-01-13 14:59:59</v>
      </c>
    </row>
    <row r="232" spans="2:15" x14ac:dyDescent="0.3">
      <c r="B232" s="23">
        <f t="shared" si="215"/>
        <v>51514.708333333336</v>
      </c>
      <c r="C232" s="23">
        <f t="shared" ref="C232" si="247">B232+($P$3*7)+$Q$3-TIME($G$3,0,1)</f>
        <v>51528.62498842593</v>
      </c>
      <c r="I232" t="str">
        <f t="shared" si="209"/>
        <v>2041-01-13</v>
      </c>
      <c r="J232" t="str">
        <f t="shared" si="210"/>
        <v>2041-01-27</v>
      </c>
      <c r="K232" s="24" t="str">
        <f t="shared" si="211"/>
        <v>17:00:00</v>
      </c>
      <c r="L232" s="24" t="str">
        <f t="shared" si="212"/>
        <v>14:59:59</v>
      </c>
      <c r="N232" s="25" t="str">
        <f t="shared" si="214"/>
        <v>2041-01-13 17:00:00</v>
      </c>
      <c r="O232" s="25" t="str">
        <f t="shared" si="214"/>
        <v>2041-01-27 14:59:59</v>
      </c>
    </row>
    <row r="233" spans="2:15" x14ac:dyDescent="0.3">
      <c r="B233" s="23">
        <f t="shared" si="215"/>
        <v>51528.708333333336</v>
      </c>
      <c r="C233" s="23">
        <f t="shared" ref="C233" si="248">B233+($E$3*7)+$F$3-TIME($G$3,0,1)</f>
        <v>51584.62498842593</v>
      </c>
      <c r="I233" t="str">
        <f t="shared" si="209"/>
        <v>2041-01-27</v>
      </c>
      <c r="J233" t="str">
        <f t="shared" si="210"/>
        <v>2041-03-24</v>
      </c>
      <c r="K233" s="24" t="str">
        <f t="shared" si="211"/>
        <v>17:00:00</v>
      </c>
      <c r="L233" s="24" t="str">
        <f t="shared" si="212"/>
        <v>14:59:59</v>
      </c>
      <c r="N233" s="25" t="str">
        <f t="shared" si="214"/>
        <v>2041-01-27 17:00:00</v>
      </c>
      <c r="O233" s="25" t="str">
        <f t="shared" si="214"/>
        <v>2041-03-24 14:59:59</v>
      </c>
    </row>
    <row r="234" spans="2:15" x14ac:dyDescent="0.3">
      <c r="B234" s="23">
        <f t="shared" si="215"/>
        <v>51584.708333333336</v>
      </c>
      <c r="C234" s="23">
        <f t="shared" ref="C234" si="249">B234+($P$3*7)+$Q$3-TIME($G$3,0,1)</f>
        <v>51598.62498842593</v>
      </c>
      <c r="I234" t="str">
        <f t="shared" si="209"/>
        <v>2041-03-24</v>
      </c>
      <c r="J234" t="str">
        <f t="shared" si="210"/>
        <v>2041-04-07</v>
      </c>
      <c r="K234" s="24" t="str">
        <f t="shared" si="211"/>
        <v>17:00:00</v>
      </c>
      <c r="L234" s="24" t="str">
        <f t="shared" si="212"/>
        <v>14:59:59</v>
      </c>
      <c r="N234" s="25" t="str">
        <f t="shared" si="214"/>
        <v>2041-03-24 17:00:00</v>
      </c>
      <c r="O234" s="25" t="str">
        <f t="shared" si="214"/>
        <v>2041-04-07 14:59:59</v>
      </c>
    </row>
    <row r="235" spans="2:15" x14ac:dyDescent="0.3">
      <c r="B235" s="23">
        <f t="shared" si="215"/>
        <v>51598.708333333336</v>
      </c>
      <c r="C235" s="23">
        <f t="shared" ref="C235" si="250">B235+($E$3*7)+$F$3-TIME($G$3,0,1)</f>
        <v>51654.62498842593</v>
      </c>
      <c r="I235" t="str">
        <f t="shared" si="209"/>
        <v>2041-04-07</v>
      </c>
      <c r="J235" t="str">
        <f t="shared" si="210"/>
        <v>2041-06-02</v>
      </c>
      <c r="K235" s="24" t="str">
        <f t="shared" si="211"/>
        <v>17:00:00</v>
      </c>
      <c r="L235" s="24" t="str">
        <f t="shared" si="212"/>
        <v>14:59:59</v>
      </c>
      <c r="N235" s="25" t="str">
        <f t="shared" si="214"/>
        <v>2041-04-07 17:00:00</v>
      </c>
      <c r="O235" s="25" t="str">
        <f t="shared" si="214"/>
        <v>2041-06-02 14:59:59</v>
      </c>
    </row>
    <row r="236" spans="2:15" x14ac:dyDescent="0.3">
      <c r="B236" s="23">
        <f t="shared" si="215"/>
        <v>51654.708333333336</v>
      </c>
      <c r="C236" s="23">
        <f t="shared" ref="C236" si="251">B236+($P$3*7)+$Q$3-TIME($G$3,0,1)</f>
        <v>51668.62498842593</v>
      </c>
      <c r="I236" t="str">
        <f t="shared" si="209"/>
        <v>2041-06-02</v>
      </c>
      <c r="J236" t="str">
        <f t="shared" si="210"/>
        <v>2041-06-16</v>
      </c>
      <c r="K236" s="24" t="str">
        <f t="shared" si="211"/>
        <v>17:00:00</v>
      </c>
      <c r="L236" s="24" t="str">
        <f t="shared" si="212"/>
        <v>14:59:59</v>
      </c>
      <c r="N236" s="25" t="str">
        <f t="shared" si="214"/>
        <v>2041-06-02 17:00:00</v>
      </c>
      <c r="O236" s="25" t="str">
        <f t="shared" si="214"/>
        <v>2041-06-16 14:59:59</v>
      </c>
    </row>
    <row r="237" spans="2:15" x14ac:dyDescent="0.3">
      <c r="B237" s="23">
        <f t="shared" si="215"/>
        <v>51668.708333333336</v>
      </c>
      <c r="C237" s="23">
        <f t="shared" ref="C237" si="252">B237+($E$3*7)+$F$3-TIME($G$3,0,1)</f>
        <v>51724.62498842593</v>
      </c>
      <c r="I237" t="str">
        <f t="shared" si="209"/>
        <v>2041-06-16</v>
      </c>
      <c r="J237" t="str">
        <f t="shared" si="210"/>
        <v>2041-08-11</v>
      </c>
      <c r="K237" s="24" t="str">
        <f t="shared" si="211"/>
        <v>17:00:00</v>
      </c>
      <c r="L237" s="24" t="str">
        <f t="shared" si="212"/>
        <v>14:59:59</v>
      </c>
      <c r="N237" s="25" t="str">
        <f t="shared" si="214"/>
        <v>2041-06-16 17:00:00</v>
      </c>
      <c r="O237" s="25" t="str">
        <f t="shared" si="214"/>
        <v>2041-08-11 14:59:59</v>
      </c>
    </row>
    <row r="238" spans="2:15" x14ac:dyDescent="0.3">
      <c r="B238" s="23">
        <f t="shared" si="215"/>
        <v>51724.708333333336</v>
      </c>
      <c r="C238" s="23">
        <f t="shared" ref="C238" si="253">B238+($P$3*7)+$Q$3-TIME($G$3,0,1)</f>
        <v>51738.62498842593</v>
      </c>
      <c r="I238" t="str">
        <f t="shared" si="209"/>
        <v>2041-08-11</v>
      </c>
      <c r="J238" t="str">
        <f t="shared" si="210"/>
        <v>2041-08-25</v>
      </c>
      <c r="K238" s="24" t="str">
        <f t="shared" si="211"/>
        <v>17:00:00</v>
      </c>
      <c r="L238" s="24" t="str">
        <f t="shared" si="212"/>
        <v>14:59:59</v>
      </c>
      <c r="N238" s="25" t="str">
        <f t="shared" si="214"/>
        <v>2041-08-11 17:00:00</v>
      </c>
      <c r="O238" s="25" t="str">
        <f t="shared" si="214"/>
        <v>2041-08-25 14:59:59</v>
      </c>
    </row>
    <row r="239" spans="2:15" x14ac:dyDescent="0.3">
      <c r="B239" s="23">
        <f t="shared" si="215"/>
        <v>51738.708333333336</v>
      </c>
      <c r="C239" s="23">
        <f t="shared" ref="C239" si="254">B239+($E$3*7)+$F$3-TIME($G$3,0,1)</f>
        <v>51794.62498842593</v>
      </c>
      <c r="I239" t="str">
        <f t="shared" si="209"/>
        <v>2041-08-25</v>
      </c>
      <c r="J239" t="str">
        <f t="shared" si="210"/>
        <v>2041-10-20</v>
      </c>
      <c r="K239" s="24" t="str">
        <f t="shared" si="211"/>
        <v>17:00:00</v>
      </c>
      <c r="L239" s="24" t="str">
        <f t="shared" si="212"/>
        <v>14:59:59</v>
      </c>
      <c r="N239" s="25" t="str">
        <f t="shared" si="214"/>
        <v>2041-08-25 17:00:00</v>
      </c>
      <c r="O239" s="25" t="str">
        <f t="shared" si="214"/>
        <v>2041-10-20 14:59:59</v>
      </c>
    </row>
    <row r="240" spans="2:15" x14ac:dyDescent="0.3">
      <c r="B240" s="23">
        <f t="shared" si="215"/>
        <v>51794.708333333336</v>
      </c>
      <c r="C240" s="23">
        <f t="shared" ref="C240" si="255">B240+($P$3*7)+$Q$3-TIME($G$3,0,1)</f>
        <v>51808.62498842593</v>
      </c>
      <c r="I240" t="str">
        <f t="shared" si="209"/>
        <v>2041-10-20</v>
      </c>
      <c r="J240" t="str">
        <f t="shared" si="210"/>
        <v>2041-11-03</v>
      </c>
      <c r="K240" s="24" t="str">
        <f t="shared" si="211"/>
        <v>17:00:00</v>
      </c>
      <c r="L240" s="24" t="str">
        <f t="shared" si="212"/>
        <v>14:59:59</v>
      </c>
      <c r="N240" s="25" t="str">
        <f t="shared" si="214"/>
        <v>2041-10-20 17:00:00</v>
      </c>
      <c r="O240" s="25" t="str">
        <f t="shared" si="214"/>
        <v>2041-11-03 14:59:59</v>
      </c>
    </row>
    <row r="241" spans="2:15" x14ac:dyDescent="0.3">
      <c r="B241" s="23">
        <f t="shared" si="215"/>
        <v>51808.708333333336</v>
      </c>
      <c r="C241" s="23">
        <f t="shared" ref="C241" si="256">B241+($E$3*7)+$F$3-TIME($G$3,0,1)</f>
        <v>51864.62498842593</v>
      </c>
      <c r="I241" t="str">
        <f t="shared" si="209"/>
        <v>2041-11-03</v>
      </c>
      <c r="J241" t="str">
        <f t="shared" si="210"/>
        <v>2041-12-29</v>
      </c>
      <c r="K241" s="24" t="str">
        <f t="shared" si="211"/>
        <v>17:00:00</v>
      </c>
      <c r="L241" s="24" t="str">
        <f t="shared" si="212"/>
        <v>14:59:59</v>
      </c>
      <c r="N241" s="25" t="str">
        <f t="shared" si="214"/>
        <v>2041-11-03 17:00:00</v>
      </c>
      <c r="O241" s="25" t="str">
        <f t="shared" si="214"/>
        <v>2041-12-29 14:59:59</v>
      </c>
    </row>
    <row r="242" spans="2:15" x14ac:dyDescent="0.3">
      <c r="B242" s="23">
        <f t="shared" si="215"/>
        <v>51864.708333333336</v>
      </c>
      <c r="C242" s="23">
        <f t="shared" ref="C242" si="257">B242+($P$3*7)+$Q$3-TIME($G$3,0,1)</f>
        <v>51878.62498842593</v>
      </c>
      <c r="I242" t="str">
        <f t="shared" si="209"/>
        <v>2041-12-29</v>
      </c>
      <c r="J242" t="str">
        <f t="shared" si="210"/>
        <v>2042-01-12</v>
      </c>
      <c r="K242" s="24" t="str">
        <f t="shared" si="211"/>
        <v>17:00:00</v>
      </c>
      <c r="L242" s="24" t="str">
        <f t="shared" si="212"/>
        <v>14:59:59</v>
      </c>
      <c r="N242" s="25" t="str">
        <f t="shared" si="214"/>
        <v>2041-12-29 17:00:00</v>
      </c>
      <c r="O242" s="25" t="str">
        <f t="shared" si="214"/>
        <v>2042-01-12 14:59:59</v>
      </c>
    </row>
    <row r="243" spans="2:15" x14ac:dyDescent="0.3">
      <c r="B243" s="23">
        <f t="shared" si="215"/>
        <v>51878.708333333336</v>
      </c>
      <c r="C243" s="23">
        <f t="shared" ref="C243" si="258">B243+($E$3*7)+$F$3-TIME($G$3,0,1)</f>
        <v>51934.62498842593</v>
      </c>
      <c r="I243" t="str">
        <f t="shared" si="209"/>
        <v>2042-01-12</v>
      </c>
      <c r="J243" t="str">
        <f t="shared" si="210"/>
        <v>2042-03-09</v>
      </c>
      <c r="K243" s="24" t="str">
        <f t="shared" si="211"/>
        <v>17:00:00</v>
      </c>
      <c r="L243" s="24" t="str">
        <f t="shared" si="212"/>
        <v>14:59:59</v>
      </c>
      <c r="N243" s="25" t="str">
        <f t="shared" si="214"/>
        <v>2042-01-12 17:00:00</v>
      </c>
      <c r="O243" s="25" t="str">
        <f t="shared" si="214"/>
        <v>2042-03-09 14:59:59</v>
      </c>
    </row>
    <row r="244" spans="2:15" x14ac:dyDescent="0.3">
      <c r="B244" s="23">
        <f t="shared" si="215"/>
        <v>51934.708333333336</v>
      </c>
      <c r="C244" s="23">
        <f t="shared" ref="C244" si="259">B244+($P$3*7)+$Q$3-TIME($G$3,0,1)</f>
        <v>51948.62498842593</v>
      </c>
      <c r="I244" t="str">
        <f t="shared" si="209"/>
        <v>2042-03-09</v>
      </c>
      <c r="J244" t="str">
        <f t="shared" si="210"/>
        <v>2042-03-23</v>
      </c>
      <c r="K244" s="24" t="str">
        <f t="shared" si="211"/>
        <v>17:00:00</v>
      </c>
      <c r="L244" s="24" t="str">
        <f t="shared" si="212"/>
        <v>14:59:59</v>
      </c>
      <c r="N244" s="25" t="str">
        <f t="shared" si="214"/>
        <v>2042-03-09 17:00:00</v>
      </c>
      <c r="O244" s="25" t="str">
        <f t="shared" si="214"/>
        <v>2042-03-23 14:59:59</v>
      </c>
    </row>
    <row r="245" spans="2:15" x14ac:dyDescent="0.3">
      <c r="B245" s="23">
        <f t="shared" si="215"/>
        <v>51948.708333333336</v>
      </c>
      <c r="C245" s="23">
        <f t="shared" ref="C245" si="260">B245+($E$3*7)+$F$3-TIME($G$3,0,1)</f>
        <v>52004.62498842593</v>
      </c>
      <c r="I245" t="str">
        <f t="shared" si="209"/>
        <v>2042-03-23</v>
      </c>
      <c r="J245" t="str">
        <f t="shared" si="210"/>
        <v>2042-05-18</v>
      </c>
      <c r="K245" s="24" t="str">
        <f t="shared" si="211"/>
        <v>17:00:00</v>
      </c>
      <c r="L245" s="24" t="str">
        <f t="shared" si="212"/>
        <v>14:59:59</v>
      </c>
      <c r="N245" s="25" t="str">
        <f t="shared" si="214"/>
        <v>2042-03-23 17:00:00</v>
      </c>
      <c r="O245" s="25" t="str">
        <f t="shared" si="214"/>
        <v>2042-05-18 14:59:59</v>
      </c>
    </row>
    <row r="246" spans="2:15" x14ac:dyDescent="0.3">
      <c r="B246" s="23">
        <f t="shared" si="215"/>
        <v>52004.708333333336</v>
      </c>
      <c r="C246" s="23">
        <f t="shared" ref="C246" si="261">B246+($P$3*7)+$Q$3-TIME($G$3,0,1)</f>
        <v>52018.62498842593</v>
      </c>
      <c r="I246" t="str">
        <f t="shared" si="209"/>
        <v>2042-05-18</v>
      </c>
      <c r="J246" t="str">
        <f t="shared" si="210"/>
        <v>2042-06-01</v>
      </c>
      <c r="K246" s="24" t="str">
        <f t="shared" si="211"/>
        <v>17:00:00</v>
      </c>
      <c r="L246" s="24" t="str">
        <f t="shared" si="212"/>
        <v>14:59:59</v>
      </c>
      <c r="N246" s="25" t="str">
        <f t="shared" si="214"/>
        <v>2042-05-18 17:00:00</v>
      </c>
      <c r="O246" s="25" t="str">
        <f t="shared" si="214"/>
        <v>2042-06-01 14:59:59</v>
      </c>
    </row>
    <row r="247" spans="2:15" x14ac:dyDescent="0.3">
      <c r="B247" s="23">
        <f t="shared" si="215"/>
        <v>52018.708333333336</v>
      </c>
      <c r="C247" s="23">
        <f t="shared" ref="C247" si="262">B247+($E$3*7)+$F$3-TIME($G$3,0,1)</f>
        <v>52074.62498842593</v>
      </c>
      <c r="I247" t="str">
        <f t="shared" si="209"/>
        <v>2042-06-01</v>
      </c>
      <c r="J247" t="str">
        <f t="shared" si="210"/>
        <v>2042-07-27</v>
      </c>
      <c r="K247" s="24" t="str">
        <f t="shared" si="211"/>
        <v>17:00:00</v>
      </c>
      <c r="L247" s="24" t="str">
        <f t="shared" si="212"/>
        <v>14:59:59</v>
      </c>
      <c r="N247" s="25" t="str">
        <f t="shared" si="214"/>
        <v>2042-06-01 17:00:00</v>
      </c>
      <c r="O247" s="25" t="str">
        <f t="shared" si="214"/>
        <v>2042-07-27 14:59:59</v>
      </c>
    </row>
    <row r="248" spans="2:15" x14ac:dyDescent="0.3">
      <c r="B248" s="23">
        <f t="shared" si="215"/>
        <v>52074.708333333336</v>
      </c>
      <c r="C248" s="23">
        <f t="shared" ref="C248" si="263">B248+($P$3*7)+$Q$3-TIME($G$3,0,1)</f>
        <v>52088.62498842593</v>
      </c>
      <c r="I248" t="str">
        <f t="shared" si="209"/>
        <v>2042-07-27</v>
      </c>
      <c r="J248" t="str">
        <f t="shared" si="210"/>
        <v>2042-08-10</v>
      </c>
      <c r="K248" s="24" t="str">
        <f t="shared" si="211"/>
        <v>17:00:00</v>
      </c>
      <c r="L248" s="24" t="str">
        <f t="shared" si="212"/>
        <v>14:59:59</v>
      </c>
      <c r="N248" s="25" t="str">
        <f t="shared" si="214"/>
        <v>2042-07-27 17:00:00</v>
      </c>
      <c r="O248" s="25" t="str">
        <f t="shared" si="214"/>
        <v>2042-08-10 14:59:59</v>
      </c>
    </row>
    <row r="249" spans="2:15" x14ac:dyDescent="0.3">
      <c r="B249" s="23">
        <f t="shared" si="215"/>
        <v>52088.708333333336</v>
      </c>
      <c r="C249" s="23">
        <f t="shared" ref="C249" si="264">B249+($E$3*7)+$F$3-TIME($G$3,0,1)</f>
        <v>52144.62498842593</v>
      </c>
      <c r="I249" t="str">
        <f t="shared" si="209"/>
        <v>2042-08-10</v>
      </c>
      <c r="J249" t="str">
        <f t="shared" si="210"/>
        <v>2042-10-05</v>
      </c>
      <c r="K249" s="24" t="str">
        <f t="shared" si="211"/>
        <v>17:00:00</v>
      </c>
      <c r="L249" s="24" t="str">
        <f t="shared" si="212"/>
        <v>14:59:59</v>
      </c>
      <c r="N249" s="25" t="str">
        <f t="shared" si="214"/>
        <v>2042-08-10 17:00:00</v>
      </c>
      <c r="O249" s="25" t="str">
        <f t="shared" si="214"/>
        <v>2042-10-05 14:59:59</v>
      </c>
    </row>
    <row r="250" spans="2:15" x14ac:dyDescent="0.3">
      <c r="B250" s="23">
        <f t="shared" si="215"/>
        <v>52144.708333333336</v>
      </c>
      <c r="C250" s="23">
        <f t="shared" ref="C250" si="265">B250+($P$3*7)+$Q$3-TIME($G$3,0,1)</f>
        <v>52158.62498842593</v>
      </c>
      <c r="I250" t="str">
        <f t="shared" si="209"/>
        <v>2042-10-05</v>
      </c>
      <c r="J250" t="str">
        <f t="shared" si="210"/>
        <v>2042-10-19</v>
      </c>
      <c r="K250" s="24" t="str">
        <f t="shared" si="211"/>
        <v>17:00:00</v>
      </c>
      <c r="L250" s="24" t="str">
        <f t="shared" si="212"/>
        <v>14:59:59</v>
      </c>
      <c r="N250" s="25" t="str">
        <f t="shared" si="214"/>
        <v>2042-10-05 17:00:00</v>
      </c>
      <c r="O250" s="25" t="str">
        <f t="shared" si="214"/>
        <v>2042-10-19 14:59:59</v>
      </c>
    </row>
    <row r="251" spans="2:15" x14ac:dyDescent="0.3">
      <c r="B251" s="23">
        <f t="shared" si="215"/>
        <v>52158.708333333336</v>
      </c>
      <c r="C251" s="23">
        <f t="shared" ref="C251" si="266">B251+($E$3*7)+$F$3-TIME($G$3,0,1)</f>
        <v>52214.62498842593</v>
      </c>
      <c r="I251" t="str">
        <f t="shared" si="209"/>
        <v>2042-10-19</v>
      </c>
      <c r="J251" t="str">
        <f t="shared" si="210"/>
        <v>2042-12-14</v>
      </c>
      <c r="K251" s="24" t="str">
        <f t="shared" si="211"/>
        <v>17:00:00</v>
      </c>
      <c r="L251" s="24" t="str">
        <f t="shared" si="212"/>
        <v>14:59:59</v>
      </c>
      <c r="N251" s="25" t="str">
        <f t="shared" si="214"/>
        <v>2042-10-19 17:00:00</v>
      </c>
      <c r="O251" s="25" t="str">
        <f t="shared" si="214"/>
        <v>2042-12-14 14:59:59</v>
      </c>
    </row>
    <row r="252" spans="2:15" x14ac:dyDescent="0.3">
      <c r="B252" s="23">
        <f t="shared" si="215"/>
        <v>52214.708333333336</v>
      </c>
      <c r="C252" s="23">
        <f t="shared" ref="C252" si="267">B252+($P$3*7)+$Q$3-TIME($G$3,0,1)</f>
        <v>52228.62498842593</v>
      </c>
      <c r="I252" t="str">
        <f t="shared" si="209"/>
        <v>2042-12-14</v>
      </c>
      <c r="J252" t="str">
        <f t="shared" si="210"/>
        <v>2042-12-28</v>
      </c>
      <c r="K252" s="24" t="str">
        <f t="shared" si="211"/>
        <v>17:00:00</v>
      </c>
      <c r="L252" s="24" t="str">
        <f t="shared" si="212"/>
        <v>14:59:59</v>
      </c>
      <c r="N252" s="25" t="str">
        <f t="shared" si="214"/>
        <v>2042-12-14 17:00:00</v>
      </c>
      <c r="O252" s="25" t="str">
        <f t="shared" si="214"/>
        <v>2042-12-28 14:59:59</v>
      </c>
    </row>
    <row r="253" spans="2:15" x14ac:dyDescent="0.3">
      <c r="B253" s="23">
        <f t="shared" si="215"/>
        <v>52228.708333333336</v>
      </c>
      <c r="C253" s="23">
        <f t="shared" ref="C253" si="268">B253+($E$3*7)+$F$3-TIME($G$3,0,1)</f>
        <v>52284.62498842593</v>
      </c>
      <c r="I253" t="str">
        <f t="shared" si="209"/>
        <v>2042-12-28</v>
      </c>
      <c r="J253" t="str">
        <f t="shared" si="210"/>
        <v>2043-02-22</v>
      </c>
      <c r="K253" s="24" t="str">
        <f t="shared" si="211"/>
        <v>17:00:00</v>
      </c>
      <c r="L253" s="24" t="str">
        <f t="shared" si="212"/>
        <v>14:59:59</v>
      </c>
      <c r="N253" s="25" t="str">
        <f t="shared" si="214"/>
        <v>2042-12-28 17:00:00</v>
      </c>
      <c r="O253" s="25" t="str">
        <f t="shared" si="214"/>
        <v>2043-02-22 14:59:59</v>
      </c>
    </row>
    <row r="254" spans="2:15" x14ac:dyDescent="0.3">
      <c r="B254" s="23">
        <f t="shared" si="215"/>
        <v>52284.708333333336</v>
      </c>
      <c r="C254" s="23">
        <f t="shared" ref="C254" si="269">B254+($P$3*7)+$Q$3-TIME($G$3,0,1)</f>
        <v>52298.62498842593</v>
      </c>
      <c r="I254" t="str">
        <f t="shared" si="209"/>
        <v>2043-02-22</v>
      </c>
      <c r="J254" t="str">
        <f t="shared" si="210"/>
        <v>2043-03-08</v>
      </c>
      <c r="K254" s="24" t="str">
        <f t="shared" si="211"/>
        <v>17:00:00</v>
      </c>
      <c r="L254" s="24" t="str">
        <f t="shared" si="212"/>
        <v>14:59:59</v>
      </c>
      <c r="N254" s="25" t="str">
        <f t="shared" si="214"/>
        <v>2043-02-22 17:00:00</v>
      </c>
      <c r="O254" s="25" t="str">
        <f t="shared" si="214"/>
        <v>2043-03-08 14:59:59</v>
      </c>
    </row>
    <row r="255" spans="2:15" x14ac:dyDescent="0.3">
      <c r="B255" s="23">
        <f t="shared" si="215"/>
        <v>52298.708333333336</v>
      </c>
      <c r="C255" s="23">
        <f t="shared" ref="C255" si="270">B255+($E$3*7)+$F$3-TIME($G$3,0,1)</f>
        <v>52354.62498842593</v>
      </c>
      <c r="I255" t="str">
        <f t="shared" si="209"/>
        <v>2043-03-08</v>
      </c>
      <c r="J255" t="str">
        <f t="shared" si="210"/>
        <v>2043-05-03</v>
      </c>
      <c r="K255" s="24" t="str">
        <f t="shared" si="211"/>
        <v>17:00:00</v>
      </c>
      <c r="L255" s="24" t="str">
        <f t="shared" si="212"/>
        <v>14:59:59</v>
      </c>
      <c r="N255" s="25" t="str">
        <f t="shared" si="214"/>
        <v>2043-03-08 17:00:00</v>
      </c>
      <c r="O255" s="25" t="str">
        <f t="shared" si="214"/>
        <v>2043-05-03 14:59:59</v>
      </c>
    </row>
    <row r="256" spans="2:15" x14ac:dyDescent="0.3">
      <c r="B256" s="23">
        <f t="shared" si="215"/>
        <v>52354.708333333336</v>
      </c>
      <c r="C256" s="23">
        <f t="shared" ref="C256" si="271">B256+($P$3*7)+$Q$3-TIME($G$3,0,1)</f>
        <v>52368.62498842593</v>
      </c>
      <c r="I256" t="str">
        <f t="shared" si="209"/>
        <v>2043-05-03</v>
      </c>
      <c r="J256" t="str">
        <f t="shared" si="210"/>
        <v>2043-05-17</v>
      </c>
      <c r="K256" s="24" t="str">
        <f t="shared" si="211"/>
        <v>17:00:00</v>
      </c>
      <c r="L256" s="24" t="str">
        <f t="shared" si="212"/>
        <v>14:59:59</v>
      </c>
      <c r="N256" s="25" t="str">
        <f t="shared" si="214"/>
        <v>2043-05-03 17:00:00</v>
      </c>
      <c r="O256" s="25" t="str">
        <f t="shared" si="214"/>
        <v>2043-05-17 14:59:59</v>
      </c>
    </row>
    <row r="257" spans="2:15" x14ac:dyDescent="0.3">
      <c r="B257" s="23">
        <f t="shared" si="215"/>
        <v>52368.708333333336</v>
      </c>
      <c r="C257" s="23">
        <f t="shared" ref="C257" si="272">B257+($E$3*7)+$F$3-TIME($G$3,0,1)</f>
        <v>52424.62498842593</v>
      </c>
      <c r="I257" t="str">
        <f t="shared" si="209"/>
        <v>2043-05-17</v>
      </c>
      <c r="J257" t="str">
        <f t="shared" si="210"/>
        <v>2043-07-12</v>
      </c>
      <c r="K257" s="24" t="str">
        <f t="shared" si="211"/>
        <v>17:00:00</v>
      </c>
      <c r="L257" s="24" t="str">
        <f t="shared" si="212"/>
        <v>14:59:59</v>
      </c>
      <c r="N257" s="25" t="str">
        <f t="shared" si="214"/>
        <v>2043-05-17 17:00:00</v>
      </c>
      <c r="O257" s="25" t="str">
        <f t="shared" si="214"/>
        <v>2043-07-12 14:59:59</v>
      </c>
    </row>
    <row r="258" spans="2:15" x14ac:dyDescent="0.3">
      <c r="B258" s="23">
        <f t="shared" si="215"/>
        <v>52424.708333333336</v>
      </c>
      <c r="C258" s="23">
        <f t="shared" ref="C258" si="273">B258+($P$3*7)+$Q$3-TIME($G$3,0,1)</f>
        <v>52438.62498842593</v>
      </c>
      <c r="I258" t="str">
        <f t="shared" si="209"/>
        <v>2043-07-12</v>
      </c>
      <c r="J258" t="str">
        <f t="shared" si="210"/>
        <v>2043-07-26</v>
      </c>
      <c r="K258" s="24" t="str">
        <f t="shared" si="211"/>
        <v>17:00:00</v>
      </c>
      <c r="L258" s="24" t="str">
        <f t="shared" si="212"/>
        <v>14:59:59</v>
      </c>
      <c r="N258" s="25" t="str">
        <f t="shared" si="214"/>
        <v>2043-07-12 17:00:00</v>
      </c>
      <c r="O258" s="25" t="str">
        <f t="shared" si="214"/>
        <v>2043-07-26 14:59:59</v>
      </c>
    </row>
    <row r="259" spans="2:15" x14ac:dyDescent="0.3">
      <c r="B259" s="23">
        <f t="shared" si="215"/>
        <v>52438.708333333336</v>
      </c>
      <c r="C259" s="23">
        <f t="shared" ref="C259" si="274">B259+($E$3*7)+$F$3-TIME($G$3,0,1)</f>
        <v>52494.62498842593</v>
      </c>
      <c r="I259" t="str">
        <f t="shared" si="209"/>
        <v>2043-07-26</v>
      </c>
      <c r="J259" t="str">
        <f t="shared" si="210"/>
        <v>2043-09-20</v>
      </c>
      <c r="K259" s="24" t="str">
        <f t="shared" si="211"/>
        <v>17:00:00</v>
      </c>
      <c r="L259" s="24" t="str">
        <f t="shared" si="212"/>
        <v>14:59:59</v>
      </c>
      <c r="N259" s="25" t="str">
        <f t="shared" si="214"/>
        <v>2043-07-26 17:00:00</v>
      </c>
      <c r="O259" s="25" t="str">
        <f t="shared" si="214"/>
        <v>2043-09-20 14:59:59</v>
      </c>
    </row>
    <row r="260" spans="2:15" x14ac:dyDescent="0.3">
      <c r="B260" s="23">
        <f t="shared" si="215"/>
        <v>52494.708333333336</v>
      </c>
      <c r="C260" s="23">
        <f t="shared" ref="C260" si="275">B260+($P$3*7)+$Q$3-TIME($G$3,0,1)</f>
        <v>52508.62498842593</v>
      </c>
      <c r="I260" t="str">
        <f t="shared" si="209"/>
        <v>2043-09-20</v>
      </c>
      <c r="J260" t="str">
        <f t="shared" si="210"/>
        <v>2043-10-04</v>
      </c>
      <c r="K260" s="24" t="str">
        <f t="shared" si="211"/>
        <v>17:00:00</v>
      </c>
      <c r="L260" s="24" t="str">
        <f t="shared" si="212"/>
        <v>14:59:59</v>
      </c>
      <c r="N260" s="25" t="str">
        <f t="shared" si="214"/>
        <v>2043-09-20 17:00:00</v>
      </c>
      <c r="O260" s="25" t="str">
        <f t="shared" si="214"/>
        <v>2043-10-04 14:59:59</v>
      </c>
    </row>
    <row r="261" spans="2:15" x14ac:dyDescent="0.3">
      <c r="B261" s="23">
        <f t="shared" si="215"/>
        <v>52508.708333333336</v>
      </c>
      <c r="C261" s="23">
        <f t="shared" ref="C261" si="276">B261+($E$3*7)+$F$3-TIME($G$3,0,1)</f>
        <v>52564.62498842593</v>
      </c>
      <c r="I261" t="str">
        <f t="shared" si="209"/>
        <v>2043-10-04</v>
      </c>
      <c r="J261" t="str">
        <f t="shared" si="210"/>
        <v>2043-11-29</v>
      </c>
      <c r="K261" s="24" t="str">
        <f t="shared" si="211"/>
        <v>17:00:00</v>
      </c>
      <c r="L261" s="24" t="str">
        <f t="shared" si="212"/>
        <v>14:59:59</v>
      </c>
      <c r="N261" s="25" t="str">
        <f t="shared" si="214"/>
        <v>2043-10-04 17:00:00</v>
      </c>
      <c r="O261" s="25" t="str">
        <f t="shared" si="214"/>
        <v>2043-11-29 14:59:59</v>
      </c>
    </row>
    <row r="262" spans="2:15" x14ac:dyDescent="0.3">
      <c r="B262" s="23">
        <f t="shared" si="215"/>
        <v>52564.708333333336</v>
      </c>
      <c r="C262" s="23">
        <f t="shared" ref="C262" si="277">B262+($P$3*7)+$Q$3-TIME($G$3,0,1)</f>
        <v>52578.62498842593</v>
      </c>
      <c r="I262" t="str">
        <f t="shared" si="209"/>
        <v>2043-11-29</v>
      </c>
      <c r="J262" t="str">
        <f t="shared" si="210"/>
        <v>2043-12-13</v>
      </c>
      <c r="K262" s="24" t="str">
        <f t="shared" si="211"/>
        <v>17:00:00</v>
      </c>
      <c r="L262" s="24" t="str">
        <f t="shared" si="212"/>
        <v>14:59:59</v>
      </c>
      <c r="N262" s="25" t="str">
        <f t="shared" si="214"/>
        <v>2043-11-29 17:00:00</v>
      </c>
      <c r="O262" s="25" t="str">
        <f t="shared" si="214"/>
        <v>2043-12-13 14:59:59</v>
      </c>
    </row>
    <row r="263" spans="2:15" x14ac:dyDescent="0.3">
      <c r="B263" s="23">
        <f t="shared" si="215"/>
        <v>52578.708333333336</v>
      </c>
      <c r="C263" s="23">
        <f t="shared" ref="C263" si="278">B263+($E$3*7)+$F$3-TIME($G$3,0,1)</f>
        <v>52634.62498842593</v>
      </c>
      <c r="I263" t="str">
        <f t="shared" ref="I263:I326" si="279">TEXT(B263,"yyyy-mm-dd")</f>
        <v>2043-12-13</v>
      </c>
      <c r="J263" t="str">
        <f t="shared" ref="J263:J326" si="280">TEXT(C263,"yyyy-mm-dd")</f>
        <v>2044-02-07</v>
      </c>
      <c r="K263" s="24" t="str">
        <f t="shared" ref="K263:K326" si="281">TEXT(B263,"hh:mm:ss")</f>
        <v>17:00:00</v>
      </c>
      <c r="L263" s="24" t="str">
        <f t="shared" ref="L263:L326" si="282">TEXT(C263,"hh:mm:ss")</f>
        <v>14:59:59</v>
      </c>
      <c r="N263" s="25" t="str">
        <f t="shared" si="214"/>
        <v>2043-12-13 17:00:00</v>
      </c>
      <c r="O263" s="25" t="str">
        <f t="shared" si="214"/>
        <v>2044-02-07 14:59:59</v>
      </c>
    </row>
    <row r="264" spans="2:15" x14ac:dyDescent="0.3">
      <c r="B264" s="23">
        <f t="shared" si="215"/>
        <v>52634.708333333336</v>
      </c>
      <c r="C264" s="23">
        <f t="shared" ref="C264" si="283">B264+($P$3*7)+$Q$3-TIME($G$3,0,1)</f>
        <v>52648.62498842593</v>
      </c>
      <c r="I264" t="str">
        <f t="shared" si="279"/>
        <v>2044-02-07</v>
      </c>
      <c r="J264" t="str">
        <f t="shared" si="280"/>
        <v>2044-02-21</v>
      </c>
      <c r="K264" s="24" t="str">
        <f t="shared" si="281"/>
        <v>17:00:00</v>
      </c>
      <c r="L264" s="24" t="str">
        <f t="shared" si="282"/>
        <v>14:59:59</v>
      </c>
      <c r="N264" s="25" t="str">
        <f t="shared" ref="N264:O327" si="284">CONCATENATE(I264," ",K264)</f>
        <v>2044-02-07 17:00:00</v>
      </c>
      <c r="O264" s="25" t="str">
        <f t="shared" si="284"/>
        <v>2044-02-21 14:59:59</v>
      </c>
    </row>
    <row r="265" spans="2:15" x14ac:dyDescent="0.3">
      <c r="B265" s="23">
        <f t="shared" ref="B265:B328" si="285">C264+($N$3*7)+$O$3+TIME($G$3,0,1)</f>
        <v>52648.708333333336</v>
      </c>
      <c r="C265" s="23">
        <f t="shared" ref="C265" si="286">B265+($E$3*7)+$F$3-TIME($G$3,0,1)</f>
        <v>52704.62498842593</v>
      </c>
      <c r="I265" t="str">
        <f t="shared" si="279"/>
        <v>2044-02-21</v>
      </c>
      <c r="J265" t="str">
        <f t="shared" si="280"/>
        <v>2044-04-17</v>
      </c>
      <c r="K265" s="24" t="str">
        <f t="shared" si="281"/>
        <v>17:00:00</v>
      </c>
      <c r="L265" s="24" t="str">
        <f t="shared" si="282"/>
        <v>14:59:59</v>
      </c>
      <c r="N265" s="25" t="str">
        <f t="shared" si="284"/>
        <v>2044-02-21 17:00:00</v>
      </c>
      <c r="O265" s="25" t="str">
        <f t="shared" si="284"/>
        <v>2044-04-17 14:59:59</v>
      </c>
    </row>
    <row r="266" spans="2:15" x14ac:dyDescent="0.3">
      <c r="B266" s="23">
        <f t="shared" si="285"/>
        <v>52704.708333333336</v>
      </c>
      <c r="C266" s="23">
        <f t="shared" ref="C266" si="287">B266+($P$3*7)+$Q$3-TIME($G$3,0,1)</f>
        <v>52718.62498842593</v>
      </c>
      <c r="I266" t="str">
        <f t="shared" si="279"/>
        <v>2044-04-17</v>
      </c>
      <c r="J266" t="str">
        <f t="shared" si="280"/>
        <v>2044-05-01</v>
      </c>
      <c r="K266" s="24" t="str">
        <f t="shared" si="281"/>
        <v>17:00:00</v>
      </c>
      <c r="L266" s="24" t="str">
        <f t="shared" si="282"/>
        <v>14:59:59</v>
      </c>
      <c r="N266" s="25" t="str">
        <f t="shared" si="284"/>
        <v>2044-04-17 17:00:00</v>
      </c>
      <c r="O266" s="25" t="str">
        <f t="shared" si="284"/>
        <v>2044-05-01 14:59:59</v>
      </c>
    </row>
    <row r="267" spans="2:15" x14ac:dyDescent="0.3">
      <c r="B267" s="23">
        <f t="shared" si="285"/>
        <v>52718.708333333336</v>
      </c>
      <c r="C267" s="23">
        <f t="shared" ref="C267" si="288">B267+($E$3*7)+$F$3-TIME($G$3,0,1)</f>
        <v>52774.62498842593</v>
      </c>
      <c r="I267" t="str">
        <f t="shared" si="279"/>
        <v>2044-05-01</v>
      </c>
      <c r="J267" t="str">
        <f t="shared" si="280"/>
        <v>2044-06-26</v>
      </c>
      <c r="K267" s="24" t="str">
        <f t="shared" si="281"/>
        <v>17:00:00</v>
      </c>
      <c r="L267" s="24" t="str">
        <f t="shared" si="282"/>
        <v>14:59:59</v>
      </c>
      <c r="N267" s="25" t="str">
        <f t="shared" si="284"/>
        <v>2044-05-01 17:00:00</v>
      </c>
      <c r="O267" s="25" t="str">
        <f t="shared" si="284"/>
        <v>2044-06-26 14:59:59</v>
      </c>
    </row>
    <row r="268" spans="2:15" x14ac:dyDescent="0.3">
      <c r="B268" s="23">
        <f t="shared" si="285"/>
        <v>52774.708333333336</v>
      </c>
      <c r="C268" s="23">
        <f t="shared" ref="C268" si="289">B268+($P$3*7)+$Q$3-TIME($G$3,0,1)</f>
        <v>52788.62498842593</v>
      </c>
      <c r="I268" t="str">
        <f t="shared" si="279"/>
        <v>2044-06-26</v>
      </c>
      <c r="J268" t="str">
        <f t="shared" si="280"/>
        <v>2044-07-10</v>
      </c>
      <c r="K268" s="24" t="str">
        <f t="shared" si="281"/>
        <v>17:00:00</v>
      </c>
      <c r="L268" s="24" t="str">
        <f t="shared" si="282"/>
        <v>14:59:59</v>
      </c>
      <c r="N268" s="25" t="str">
        <f t="shared" si="284"/>
        <v>2044-06-26 17:00:00</v>
      </c>
      <c r="O268" s="25" t="str">
        <f t="shared" si="284"/>
        <v>2044-07-10 14:59:59</v>
      </c>
    </row>
    <row r="269" spans="2:15" x14ac:dyDescent="0.3">
      <c r="B269" s="23">
        <f t="shared" si="285"/>
        <v>52788.708333333336</v>
      </c>
      <c r="C269" s="23">
        <f t="shared" ref="C269" si="290">B269+($E$3*7)+$F$3-TIME($G$3,0,1)</f>
        <v>52844.62498842593</v>
      </c>
      <c r="I269" t="str">
        <f t="shared" si="279"/>
        <v>2044-07-10</v>
      </c>
      <c r="J269" t="str">
        <f t="shared" si="280"/>
        <v>2044-09-04</v>
      </c>
      <c r="K269" s="24" t="str">
        <f t="shared" si="281"/>
        <v>17:00:00</v>
      </c>
      <c r="L269" s="24" t="str">
        <f t="shared" si="282"/>
        <v>14:59:59</v>
      </c>
      <c r="N269" s="25" t="str">
        <f t="shared" si="284"/>
        <v>2044-07-10 17:00:00</v>
      </c>
      <c r="O269" s="25" t="str">
        <f t="shared" si="284"/>
        <v>2044-09-04 14:59:59</v>
      </c>
    </row>
    <row r="270" spans="2:15" x14ac:dyDescent="0.3">
      <c r="B270" s="23">
        <f t="shared" si="285"/>
        <v>52844.708333333336</v>
      </c>
      <c r="C270" s="23">
        <f t="shared" ref="C270" si="291">B270+($P$3*7)+$Q$3-TIME($G$3,0,1)</f>
        <v>52858.62498842593</v>
      </c>
      <c r="I270" t="str">
        <f t="shared" si="279"/>
        <v>2044-09-04</v>
      </c>
      <c r="J270" t="str">
        <f t="shared" si="280"/>
        <v>2044-09-18</v>
      </c>
      <c r="K270" s="24" t="str">
        <f t="shared" si="281"/>
        <v>17:00:00</v>
      </c>
      <c r="L270" s="24" t="str">
        <f t="shared" si="282"/>
        <v>14:59:59</v>
      </c>
      <c r="N270" s="25" t="str">
        <f t="shared" si="284"/>
        <v>2044-09-04 17:00:00</v>
      </c>
      <c r="O270" s="25" t="str">
        <f t="shared" si="284"/>
        <v>2044-09-18 14:59:59</v>
      </c>
    </row>
    <row r="271" spans="2:15" x14ac:dyDescent="0.3">
      <c r="B271" s="23">
        <f t="shared" si="285"/>
        <v>52858.708333333336</v>
      </c>
      <c r="C271" s="23">
        <f t="shared" ref="C271" si="292">B271+($E$3*7)+$F$3-TIME($G$3,0,1)</f>
        <v>52914.62498842593</v>
      </c>
      <c r="I271" t="str">
        <f t="shared" si="279"/>
        <v>2044-09-18</v>
      </c>
      <c r="J271" t="str">
        <f t="shared" si="280"/>
        <v>2044-11-13</v>
      </c>
      <c r="K271" s="24" t="str">
        <f t="shared" si="281"/>
        <v>17:00:00</v>
      </c>
      <c r="L271" s="24" t="str">
        <f t="shared" si="282"/>
        <v>14:59:59</v>
      </c>
      <c r="N271" s="25" t="str">
        <f t="shared" si="284"/>
        <v>2044-09-18 17:00:00</v>
      </c>
      <c r="O271" s="25" t="str">
        <f t="shared" si="284"/>
        <v>2044-11-13 14:59:59</v>
      </c>
    </row>
    <row r="272" spans="2:15" x14ac:dyDescent="0.3">
      <c r="B272" s="23">
        <f t="shared" si="285"/>
        <v>52914.708333333336</v>
      </c>
      <c r="C272" s="23">
        <f t="shared" ref="C272" si="293">B272+($P$3*7)+$Q$3-TIME($G$3,0,1)</f>
        <v>52928.62498842593</v>
      </c>
      <c r="I272" t="str">
        <f t="shared" si="279"/>
        <v>2044-11-13</v>
      </c>
      <c r="J272" t="str">
        <f t="shared" si="280"/>
        <v>2044-11-27</v>
      </c>
      <c r="K272" s="24" t="str">
        <f t="shared" si="281"/>
        <v>17:00:00</v>
      </c>
      <c r="L272" s="24" t="str">
        <f t="shared" si="282"/>
        <v>14:59:59</v>
      </c>
      <c r="N272" s="25" t="str">
        <f t="shared" si="284"/>
        <v>2044-11-13 17:00:00</v>
      </c>
      <c r="O272" s="25" t="str">
        <f t="shared" si="284"/>
        <v>2044-11-27 14:59:59</v>
      </c>
    </row>
    <row r="273" spans="2:15" x14ac:dyDescent="0.3">
      <c r="B273" s="23">
        <f t="shared" si="285"/>
        <v>52928.708333333336</v>
      </c>
      <c r="C273" s="23">
        <f t="shared" ref="C273" si="294">B273+($E$3*7)+$F$3-TIME($G$3,0,1)</f>
        <v>52984.62498842593</v>
      </c>
      <c r="I273" t="str">
        <f t="shared" si="279"/>
        <v>2044-11-27</v>
      </c>
      <c r="J273" t="str">
        <f t="shared" si="280"/>
        <v>2045-01-22</v>
      </c>
      <c r="K273" s="24" t="str">
        <f t="shared" si="281"/>
        <v>17:00:00</v>
      </c>
      <c r="L273" s="24" t="str">
        <f t="shared" si="282"/>
        <v>14:59:59</v>
      </c>
      <c r="N273" s="25" t="str">
        <f t="shared" si="284"/>
        <v>2044-11-27 17:00:00</v>
      </c>
      <c r="O273" s="25" t="str">
        <f t="shared" si="284"/>
        <v>2045-01-22 14:59:59</v>
      </c>
    </row>
    <row r="274" spans="2:15" x14ac:dyDescent="0.3">
      <c r="B274" s="23">
        <f t="shared" si="285"/>
        <v>52984.708333333336</v>
      </c>
      <c r="C274" s="23">
        <f t="shared" ref="C274" si="295">B274+($P$3*7)+$Q$3-TIME($G$3,0,1)</f>
        <v>52998.62498842593</v>
      </c>
      <c r="I274" t="str">
        <f t="shared" si="279"/>
        <v>2045-01-22</v>
      </c>
      <c r="J274" t="str">
        <f t="shared" si="280"/>
        <v>2045-02-05</v>
      </c>
      <c r="K274" s="24" t="str">
        <f t="shared" si="281"/>
        <v>17:00:00</v>
      </c>
      <c r="L274" s="24" t="str">
        <f t="shared" si="282"/>
        <v>14:59:59</v>
      </c>
      <c r="N274" s="25" t="str">
        <f t="shared" si="284"/>
        <v>2045-01-22 17:00:00</v>
      </c>
      <c r="O274" s="25" t="str">
        <f t="shared" si="284"/>
        <v>2045-02-05 14:59:59</v>
      </c>
    </row>
    <row r="275" spans="2:15" x14ac:dyDescent="0.3">
      <c r="B275" s="23">
        <f t="shared" si="285"/>
        <v>52998.708333333336</v>
      </c>
      <c r="C275" s="23">
        <f t="shared" ref="C275" si="296">B275+($E$3*7)+$F$3-TIME($G$3,0,1)</f>
        <v>53054.62498842593</v>
      </c>
      <c r="I275" t="str">
        <f t="shared" si="279"/>
        <v>2045-02-05</v>
      </c>
      <c r="J275" t="str">
        <f t="shared" si="280"/>
        <v>2045-04-02</v>
      </c>
      <c r="K275" s="24" t="str">
        <f t="shared" si="281"/>
        <v>17:00:00</v>
      </c>
      <c r="L275" s="24" t="str">
        <f t="shared" si="282"/>
        <v>14:59:59</v>
      </c>
      <c r="N275" s="25" t="str">
        <f t="shared" si="284"/>
        <v>2045-02-05 17:00:00</v>
      </c>
      <c r="O275" s="25" t="str">
        <f t="shared" si="284"/>
        <v>2045-04-02 14:59:59</v>
      </c>
    </row>
    <row r="276" spans="2:15" x14ac:dyDescent="0.3">
      <c r="B276" s="23">
        <f t="shared" si="285"/>
        <v>53054.708333333336</v>
      </c>
      <c r="C276" s="23">
        <f t="shared" ref="C276" si="297">B276+($P$3*7)+$Q$3-TIME($G$3,0,1)</f>
        <v>53068.62498842593</v>
      </c>
      <c r="I276" t="str">
        <f t="shared" si="279"/>
        <v>2045-04-02</v>
      </c>
      <c r="J276" t="str">
        <f t="shared" si="280"/>
        <v>2045-04-16</v>
      </c>
      <c r="K276" s="24" t="str">
        <f t="shared" si="281"/>
        <v>17:00:00</v>
      </c>
      <c r="L276" s="24" t="str">
        <f t="shared" si="282"/>
        <v>14:59:59</v>
      </c>
      <c r="N276" s="25" t="str">
        <f t="shared" si="284"/>
        <v>2045-04-02 17:00:00</v>
      </c>
      <c r="O276" s="25" t="str">
        <f t="shared" si="284"/>
        <v>2045-04-16 14:59:59</v>
      </c>
    </row>
    <row r="277" spans="2:15" x14ac:dyDescent="0.3">
      <c r="B277" s="23">
        <f t="shared" si="285"/>
        <v>53068.708333333336</v>
      </c>
      <c r="C277" s="23">
        <f t="shared" ref="C277" si="298">B277+($E$3*7)+$F$3-TIME($G$3,0,1)</f>
        <v>53124.62498842593</v>
      </c>
      <c r="I277" t="str">
        <f t="shared" si="279"/>
        <v>2045-04-16</v>
      </c>
      <c r="J277" t="str">
        <f t="shared" si="280"/>
        <v>2045-06-11</v>
      </c>
      <c r="K277" s="24" t="str">
        <f t="shared" si="281"/>
        <v>17:00:00</v>
      </c>
      <c r="L277" s="24" t="str">
        <f t="shared" si="282"/>
        <v>14:59:59</v>
      </c>
      <c r="N277" s="25" t="str">
        <f t="shared" si="284"/>
        <v>2045-04-16 17:00:00</v>
      </c>
      <c r="O277" s="25" t="str">
        <f t="shared" si="284"/>
        <v>2045-06-11 14:59:59</v>
      </c>
    </row>
    <row r="278" spans="2:15" x14ac:dyDescent="0.3">
      <c r="B278" s="23">
        <f t="shared" si="285"/>
        <v>53124.708333333336</v>
      </c>
      <c r="C278" s="23">
        <f t="shared" ref="C278" si="299">B278+($P$3*7)+$Q$3-TIME($G$3,0,1)</f>
        <v>53138.62498842593</v>
      </c>
      <c r="I278" t="str">
        <f t="shared" si="279"/>
        <v>2045-06-11</v>
      </c>
      <c r="J278" t="str">
        <f t="shared" si="280"/>
        <v>2045-06-25</v>
      </c>
      <c r="K278" s="24" t="str">
        <f t="shared" si="281"/>
        <v>17:00:00</v>
      </c>
      <c r="L278" s="24" t="str">
        <f t="shared" si="282"/>
        <v>14:59:59</v>
      </c>
      <c r="N278" s="25" t="str">
        <f t="shared" si="284"/>
        <v>2045-06-11 17:00:00</v>
      </c>
      <c r="O278" s="25" t="str">
        <f t="shared" si="284"/>
        <v>2045-06-25 14:59:59</v>
      </c>
    </row>
    <row r="279" spans="2:15" x14ac:dyDescent="0.3">
      <c r="B279" s="23">
        <f t="shared" si="285"/>
        <v>53138.708333333336</v>
      </c>
      <c r="C279" s="23">
        <f t="shared" ref="C279" si="300">B279+($E$3*7)+$F$3-TIME($G$3,0,1)</f>
        <v>53194.62498842593</v>
      </c>
      <c r="I279" t="str">
        <f t="shared" si="279"/>
        <v>2045-06-25</v>
      </c>
      <c r="J279" t="str">
        <f t="shared" si="280"/>
        <v>2045-08-20</v>
      </c>
      <c r="K279" s="24" t="str">
        <f t="shared" si="281"/>
        <v>17:00:00</v>
      </c>
      <c r="L279" s="24" t="str">
        <f t="shared" si="282"/>
        <v>14:59:59</v>
      </c>
      <c r="N279" s="25" t="str">
        <f t="shared" si="284"/>
        <v>2045-06-25 17:00:00</v>
      </c>
      <c r="O279" s="25" t="str">
        <f t="shared" si="284"/>
        <v>2045-08-20 14:59:59</v>
      </c>
    </row>
    <row r="280" spans="2:15" x14ac:dyDescent="0.3">
      <c r="B280" s="23">
        <f t="shared" si="285"/>
        <v>53194.708333333336</v>
      </c>
      <c r="C280" s="23">
        <f t="shared" ref="C280" si="301">B280+($P$3*7)+$Q$3-TIME($G$3,0,1)</f>
        <v>53208.62498842593</v>
      </c>
      <c r="I280" t="str">
        <f t="shared" si="279"/>
        <v>2045-08-20</v>
      </c>
      <c r="J280" t="str">
        <f t="shared" si="280"/>
        <v>2045-09-03</v>
      </c>
      <c r="K280" s="24" t="str">
        <f t="shared" si="281"/>
        <v>17:00:00</v>
      </c>
      <c r="L280" s="24" t="str">
        <f t="shared" si="282"/>
        <v>14:59:59</v>
      </c>
      <c r="N280" s="25" t="str">
        <f t="shared" si="284"/>
        <v>2045-08-20 17:00:00</v>
      </c>
      <c r="O280" s="25" t="str">
        <f t="shared" si="284"/>
        <v>2045-09-03 14:59:59</v>
      </c>
    </row>
    <row r="281" spans="2:15" x14ac:dyDescent="0.3">
      <c r="B281" s="23">
        <f t="shared" si="285"/>
        <v>53208.708333333336</v>
      </c>
      <c r="C281" s="23">
        <f t="shared" ref="C281" si="302">B281+($E$3*7)+$F$3-TIME($G$3,0,1)</f>
        <v>53264.62498842593</v>
      </c>
      <c r="I281" t="str">
        <f t="shared" si="279"/>
        <v>2045-09-03</v>
      </c>
      <c r="J281" t="str">
        <f t="shared" si="280"/>
        <v>2045-10-29</v>
      </c>
      <c r="K281" s="24" t="str">
        <f t="shared" si="281"/>
        <v>17:00:00</v>
      </c>
      <c r="L281" s="24" t="str">
        <f t="shared" si="282"/>
        <v>14:59:59</v>
      </c>
      <c r="N281" s="25" t="str">
        <f t="shared" si="284"/>
        <v>2045-09-03 17:00:00</v>
      </c>
      <c r="O281" s="25" t="str">
        <f t="shared" si="284"/>
        <v>2045-10-29 14:59:59</v>
      </c>
    </row>
    <row r="282" spans="2:15" x14ac:dyDescent="0.3">
      <c r="B282" s="23">
        <f t="shared" si="285"/>
        <v>53264.708333333336</v>
      </c>
      <c r="C282" s="23">
        <f t="shared" ref="C282" si="303">B282+($P$3*7)+$Q$3-TIME($G$3,0,1)</f>
        <v>53278.62498842593</v>
      </c>
      <c r="I282" t="str">
        <f t="shared" si="279"/>
        <v>2045-10-29</v>
      </c>
      <c r="J282" t="str">
        <f t="shared" si="280"/>
        <v>2045-11-12</v>
      </c>
      <c r="K282" s="24" t="str">
        <f t="shared" si="281"/>
        <v>17:00:00</v>
      </c>
      <c r="L282" s="24" t="str">
        <f t="shared" si="282"/>
        <v>14:59:59</v>
      </c>
      <c r="N282" s="25" t="str">
        <f t="shared" si="284"/>
        <v>2045-10-29 17:00:00</v>
      </c>
      <c r="O282" s="25" t="str">
        <f t="shared" si="284"/>
        <v>2045-11-12 14:59:59</v>
      </c>
    </row>
    <row r="283" spans="2:15" x14ac:dyDescent="0.3">
      <c r="B283" s="23">
        <f t="shared" si="285"/>
        <v>53278.708333333336</v>
      </c>
      <c r="C283" s="23">
        <f t="shared" ref="C283" si="304">B283+($E$3*7)+$F$3-TIME($G$3,0,1)</f>
        <v>53334.62498842593</v>
      </c>
      <c r="I283" t="str">
        <f t="shared" si="279"/>
        <v>2045-11-12</v>
      </c>
      <c r="J283" t="str">
        <f t="shared" si="280"/>
        <v>2046-01-07</v>
      </c>
      <c r="K283" s="24" t="str">
        <f t="shared" si="281"/>
        <v>17:00:00</v>
      </c>
      <c r="L283" s="24" t="str">
        <f t="shared" si="282"/>
        <v>14:59:59</v>
      </c>
      <c r="N283" s="25" t="str">
        <f t="shared" si="284"/>
        <v>2045-11-12 17:00:00</v>
      </c>
      <c r="O283" s="25" t="str">
        <f t="shared" si="284"/>
        <v>2046-01-07 14:59:59</v>
      </c>
    </row>
    <row r="284" spans="2:15" x14ac:dyDescent="0.3">
      <c r="B284" s="23">
        <f t="shared" si="285"/>
        <v>53334.708333333336</v>
      </c>
      <c r="C284" s="23">
        <f t="shared" ref="C284" si="305">B284+($P$3*7)+$Q$3-TIME($G$3,0,1)</f>
        <v>53348.62498842593</v>
      </c>
      <c r="I284" t="str">
        <f t="shared" si="279"/>
        <v>2046-01-07</v>
      </c>
      <c r="J284" t="str">
        <f t="shared" si="280"/>
        <v>2046-01-21</v>
      </c>
      <c r="K284" s="24" t="str">
        <f t="shared" si="281"/>
        <v>17:00:00</v>
      </c>
      <c r="L284" s="24" t="str">
        <f t="shared" si="282"/>
        <v>14:59:59</v>
      </c>
      <c r="N284" s="25" t="str">
        <f t="shared" si="284"/>
        <v>2046-01-07 17:00:00</v>
      </c>
      <c r="O284" s="25" t="str">
        <f t="shared" si="284"/>
        <v>2046-01-21 14:59:59</v>
      </c>
    </row>
    <row r="285" spans="2:15" x14ac:dyDescent="0.3">
      <c r="B285" s="23">
        <f t="shared" si="285"/>
        <v>53348.708333333336</v>
      </c>
      <c r="C285" s="23">
        <f t="shared" ref="C285" si="306">B285+($E$3*7)+$F$3-TIME($G$3,0,1)</f>
        <v>53404.62498842593</v>
      </c>
      <c r="I285" t="str">
        <f t="shared" si="279"/>
        <v>2046-01-21</v>
      </c>
      <c r="J285" t="str">
        <f t="shared" si="280"/>
        <v>2046-03-18</v>
      </c>
      <c r="K285" s="24" t="str">
        <f t="shared" si="281"/>
        <v>17:00:00</v>
      </c>
      <c r="L285" s="24" t="str">
        <f t="shared" si="282"/>
        <v>14:59:59</v>
      </c>
      <c r="N285" s="25" t="str">
        <f t="shared" si="284"/>
        <v>2046-01-21 17:00:00</v>
      </c>
      <c r="O285" s="25" t="str">
        <f t="shared" si="284"/>
        <v>2046-03-18 14:59:59</v>
      </c>
    </row>
    <row r="286" spans="2:15" x14ac:dyDescent="0.3">
      <c r="B286" s="23">
        <f t="shared" si="285"/>
        <v>53404.708333333336</v>
      </c>
      <c r="C286" s="23">
        <f t="shared" ref="C286" si="307">B286+($P$3*7)+$Q$3-TIME($G$3,0,1)</f>
        <v>53418.62498842593</v>
      </c>
      <c r="I286" t="str">
        <f t="shared" si="279"/>
        <v>2046-03-18</v>
      </c>
      <c r="J286" t="str">
        <f t="shared" si="280"/>
        <v>2046-04-01</v>
      </c>
      <c r="K286" s="24" t="str">
        <f t="shared" si="281"/>
        <v>17:00:00</v>
      </c>
      <c r="L286" s="24" t="str">
        <f t="shared" si="282"/>
        <v>14:59:59</v>
      </c>
      <c r="N286" s="25" t="str">
        <f t="shared" si="284"/>
        <v>2046-03-18 17:00:00</v>
      </c>
      <c r="O286" s="25" t="str">
        <f t="shared" si="284"/>
        <v>2046-04-01 14:59:59</v>
      </c>
    </row>
    <row r="287" spans="2:15" x14ac:dyDescent="0.3">
      <c r="B287" s="23">
        <f t="shared" si="285"/>
        <v>53418.708333333336</v>
      </c>
      <c r="C287" s="23">
        <f t="shared" ref="C287" si="308">B287+($E$3*7)+$F$3-TIME($G$3,0,1)</f>
        <v>53474.62498842593</v>
      </c>
      <c r="I287" t="str">
        <f t="shared" si="279"/>
        <v>2046-04-01</v>
      </c>
      <c r="J287" t="str">
        <f t="shared" si="280"/>
        <v>2046-05-27</v>
      </c>
      <c r="K287" s="24" t="str">
        <f t="shared" si="281"/>
        <v>17:00:00</v>
      </c>
      <c r="L287" s="24" t="str">
        <f t="shared" si="282"/>
        <v>14:59:59</v>
      </c>
      <c r="N287" s="25" t="str">
        <f t="shared" si="284"/>
        <v>2046-04-01 17:00:00</v>
      </c>
      <c r="O287" s="25" t="str">
        <f t="shared" si="284"/>
        <v>2046-05-27 14:59:59</v>
      </c>
    </row>
    <row r="288" spans="2:15" x14ac:dyDescent="0.3">
      <c r="B288" s="23">
        <f t="shared" si="285"/>
        <v>53474.708333333336</v>
      </c>
      <c r="C288" s="23">
        <f t="shared" ref="C288" si="309">B288+($P$3*7)+$Q$3-TIME($G$3,0,1)</f>
        <v>53488.62498842593</v>
      </c>
      <c r="I288" t="str">
        <f t="shared" si="279"/>
        <v>2046-05-27</v>
      </c>
      <c r="J288" t="str">
        <f t="shared" si="280"/>
        <v>2046-06-10</v>
      </c>
      <c r="K288" s="24" t="str">
        <f t="shared" si="281"/>
        <v>17:00:00</v>
      </c>
      <c r="L288" s="24" t="str">
        <f t="shared" si="282"/>
        <v>14:59:59</v>
      </c>
      <c r="N288" s="25" t="str">
        <f t="shared" si="284"/>
        <v>2046-05-27 17:00:00</v>
      </c>
      <c r="O288" s="25" t="str">
        <f t="shared" si="284"/>
        <v>2046-06-10 14:59:59</v>
      </c>
    </row>
    <row r="289" spans="2:15" x14ac:dyDescent="0.3">
      <c r="B289" s="23">
        <f t="shared" si="285"/>
        <v>53488.708333333336</v>
      </c>
      <c r="C289" s="23">
        <f t="shared" ref="C289" si="310">B289+($E$3*7)+$F$3-TIME($G$3,0,1)</f>
        <v>53544.62498842593</v>
      </c>
      <c r="I289" t="str">
        <f t="shared" si="279"/>
        <v>2046-06-10</v>
      </c>
      <c r="J289" t="str">
        <f t="shared" si="280"/>
        <v>2046-08-05</v>
      </c>
      <c r="K289" s="24" t="str">
        <f t="shared" si="281"/>
        <v>17:00:00</v>
      </c>
      <c r="L289" s="24" t="str">
        <f t="shared" si="282"/>
        <v>14:59:59</v>
      </c>
      <c r="N289" s="25" t="str">
        <f t="shared" si="284"/>
        <v>2046-06-10 17:00:00</v>
      </c>
      <c r="O289" s="25" t="str">
        <f t="shared" si="284"/>
        <v>2046-08-05 14:59:59</v>
      </c>
    </row>
    <row r="290" spans="2:15" x14ac:dyDescent="0.3">
      <c r="B290" s="23">
        <f t="shared" si="285"/>
        <v>53544.708333333336</v>
      </c>
      <c r="C290" s="23">
        <f t="shared" ref="C290" si="311">B290+($P$3*7)+$Q$3-TIME($G$3,0,1)</f>
        <v>53558.62498842593</v>
      </c>
      <c r="I290" t="str">
        <f t="shared" si="279"/>
        <v>2046-08-05</v>
      </c>
      <c r="J290" t="str">
        <f t="shared" si="280"/>
        <v>2046-08-19</v>
      </c>
      <c r="K290" s="24" t="str">
        <f t="shared" si="281"/>
        <v>17:00:00</v>
      </c>
      <c r="L290" s="24" t="str">
        <f t="shared" si="282"/>
        <v>14:59:59</v>
      </c>
      <c r="N290" s="25" t="str">
        <f t="shared" si="284"/>
        <v>2046-08-05 17:00:00</v>
      </c>
      <c r="O290" s="25" t="str">
        <f t="shared" si="284"/>
        <v>2046-08-19 14:59:59</v>
      </c>
    </row>
    <row r="291" spans="2:15" x14ac:dyDescent="0.3">
      <c r="B291" s="23">
        <f t="shared" si="285"/>
        <v>53558.708333333336</v>
      </c>
      <c r="C291" s="23">
        <f t="shared" ref="C291" si="312">B291+($E$3*7)+$F$3-TIME($G$3,0,1)</f>
        <v>53614.62498842593</v>
      </c>
      <c r="I291" t="str">
        <f t="shared" si="279"/>
        <v>2046-08-19</v>
      </c>
      <c r="J291" t="str">
        <f t="shared" si="280"/>
        <v>2046-10-14</v>
      </c>
      <c r="K291" s="24" t="str">
        <f t="shared" si="281"/>
        <v>17:00:00</v>
      </c>
      <c r="L291" s="24" t="str">
        <f t="shared" si="282"/>
        <v>14:59:59</v>
      </c>
      <c r="N291" s="25" t="str">
        <f t="shared" si="284"/>
        <v>2046-08-19 17:00:00</v>
      </c>
      <c r="O291" s="25" t="str">
        <f t="shared" si="284"/>
        <v>2046-10-14 14:59:59</v>
      </c>
    </row>
    <row r="292" spans="2:15" x14ac:dyDescent="0.3">
      <c r="B292" s="23">
        <f t="shared" si="285"/>
        <v>53614.708333333336</v>
      </c>
      <c r="C292" s="23">
        <f t="shared" ref="C292" si="313">B292+($P$3*7)+$Q$3-TIME($G$3,0,1)</f>
        <v>53628.62498842593</v>
      </c>
      <c r="I292" t="str">
        <f t="shared" si="279"/>
        <v>2046-10-14</v>
      </c>
      <c r="J292" t="str">
        <f t="shared" si="280"/>
        <v>2046-10-28</v>
      </c>
      <c r="K292" s="24" t="str">
        <f t="shared" si="281"/>
        <v>17:00:00</v>
      </c>
      <c r="L292" s="24" t="str">
        <f t="shared" si="282"/>
        <v>14:59:59</v>
      </c>
      <c r="N292" s="25" t="str">
        <f t="shared" si="284"/>
        <v>2046-10-14 17:00:00</v>
      </c>
      <c r="O292" s="25" t="str">
        <f t="shared" si="284"/>
        <v>2046-10-28 14:59:59</v>
      </c>
    </row>
    <row r="293" spans="2:15" x14ac:dyDescent="0.3">
      <c r="B293" s="23">
        <f t="shared" si="285"/>
        <v>53628.708333333336</v>
      </c>
      <c r="C293" s="23">
        <f t="shared" ref="C293" si="314">B293+($E$3*7)+$F$3-TIME($G$3,0,1)</f>
        <v>53684.62498842593</v>
      </c>
      <c r="I293" t="str">
        <f t="shared" si="279"/>
        <v>2046-10-28</v>
      </c>
      <c r="J293" t="str">
        <f t="shared" si="280"/>
        <v>2046-12-23</v>
      </c>
      <c r="K293" s="24" t="str">
        <f t="shared" si="281"/>
        <v>17:00:00</v>
      </c>
      <c r="L293" s="24" t="str">
        <f t="shared" si="282"/>
        <v>14:59:59</v>
      </c>
      <c r="N293" s="25" t="str">
        <f t="shared" si="284"/>
        <v>2046-10-28 17:00:00</v>
      </c>
      <c r="O293" s="25" t="str">
        <f t="shared" si="284"/>
        <v>2046-12-23 14:59:59</v>
      </c>
    </row>
    <row r="294" spans="2:15" x14ac:dyDescent="0.3">
      <c r="B294" s="23">
        <f t="shared" si="285"/>
        <v>53684.708333333336</v>
      </c>
      <c r="C294" s="23">
        <f t="shared" ref="C294" si="315">B294+($P$3*7)+$Q$3-TIME($G$3,0,1)</f>
        <v>53698.62498842593</v>
      </c>
      <c r="I294" t="str">
        <f t="shared" si="279"/>
        <v>2046-12-23</v>
      </c>
      <c r="J294" t="str">
        <f t="shared" si="280"/>
        <v>2047-01-06</v>
      </c>
      <c r="K294" s="24" t="str">
        <f t="shared" si="281"/>
        <v>17:00:00</v>
      </c>
      <c r="L294" s="24" t="str">
        <f t="shared" si="282"/>
        <v>14:59:59</v>
      </c>
      <c r="N294" s="25" t="str">
        <f t="shared" si="284"/>
        <v>2046-12-23 17:00:00</v>
      </c>
      <c r="O294" s="25" t="str">
        <f t="shared" si="284"/>
        <v>2047-01-06 14:59:59</v>
      </c>
    </row>
    <row r="295" spans="2:15" x14ac:dyDescent="0.3">
      <c r="B295" s="23">
        <f t="shared" si="285"/>
        <v>53698.708333333336</v>
      </c>
      <c r="C295" s="23">
        <f t="shared" ref="C295" si="316">B295+($E$3*7)+$F$3-TIME($G$3,0,1)</f>
        <v>53754.62498842593</v>
      </c>
      <c r="I295" t="str">
        <f t="shared" si="279"/>
        <v>2047-01-06</v>
      </c>
      <c r="J295" t="str">
        <f t="shared" si="280"/>
        <v>2047-03-03</v>
      </c>
      <c r="K295" s="24" t="str">
        <f t="shared" si="281"/>
        <v>17:00:00</v>
      </c>
      <c r="L295" s="24" t="str">
        <f t="shared" si="282"/>
        <v>14:59:59</v>
      </c>
      <c r="N295" s="25" t="str">
        <f t="shared" si="284"/>
        <v>2047-01-06 17:00:00</v>
      </c>
      <c r="O295" s="25" t="str">
        <f t="shared" si="284"/>
        <v>2047-03-03 14:59:59</v>
      </c>
    </row>
    <row r="296" spans="2:15" x14ac:dyDescent="0.3">
      <c r="B296" s="23">
        <f t="shared" si="285"/>
        <v>53754.708333333336</v>
      </c>
      <c r="C296" s="23">
        <f t="shared" ref="C296" si="317">B296+($P$3*7)+$Q$3-TIME($G$3,0,1)</f>
        <v>53768.62498842593</v>
      </c>
      <c r="I296" t="str">
        <f t="shared" si="279"/>
        <v>2047-03-03</v>
      </c>
      <c r="J296" t="str">
        <f t="shared" si="280"/>
        <v>2047-03-17</v>
      </c>
      <c r="K296" s="24" t="str">
        <f t="shared" si="281"/>
        <v>17:00:00</v>
      </c>
      <c r="L296" s="24" t="str">
        <f t="shared" si="282"/>
        <v>14:59:59</v>
      </c>
      <c r="N296" s="25" t="str">
        <f t="shared" si="284"/>
        <v>2047-03-03 17:00:00</v>
      </c>
      <c r="O296" s="25" t="str">
        <f t="shared" si="284"/>
        <v>2047-03-17 14:59:59</v>
      </c>
    </row>
    <row r="297" spans="2:15" x14ac:dyDescent="0.3">
      <c r="B297" s="23">
        <f t="shared" si="285"/>
        <v>53768.708333333336</v>
      </c>
      <c r="C297" s="23">
        <f t="shared" ref="C297" si="318">B297+($E$3*7)+$F$3-TIME($G$3,0,1)</f>
        <v>53824.62498842593</v>
      </c>
      <c r="I297" t="str">
        <f t="shared" si="279"/>
        <v>2047-03-17</v>
      </c>
      <c r="J297" t="str">
        <f t="shared" si="280"/>
        <v>2047-05-12</v>
      </c>
      <c r="K297" s="24" t="str">
        <f t="shared" si="281"/>
        <v>17:00:00</v>
      </c>
      <c r="L297" s="24" t="str">
        <f t="shared" si="282"/>
        <v>14:59:59</v>
      </c>
      <c r="N297" s="25" t="str">
        <f t="shared" si="284"/>
        <v>2047-03-17 17:00:00</v>
      </c>
      <c r="O297" s="25" t="str">
        <f t="shared" si="284"/>
        <v>2047-05-12 14:59:59</v>
      </c>
    </row>
    <row r="298" spans="2:15" x14ac:dyDescent="0.3">
      <c r="B298" s="23">
        <f t="shared" si="285"/>
        <v>53824.708333333336</v>
      </c>
      <c r="C298" s="23">
        <f t="shared" ref="C298" si="319">B298+($P$3*7)+$Q$3-TIME($G$3,0,1)</f>
        <v>53838.62498842593</v>
      </c>
      <c r="I298" t="str">
        <f t="shared" si="279"/>
        <v>2047-05-12</v>
      </c>
      <c r="J298" t="str">
        <f t="shared" si="280"/>
        <v>2047-05-26</v>
      </c>
      <c r="K298" s="24" t="str">
        <f t="shared" si="281"/>
        <v>17:00:00</v>
      </c>
      <c r="L298" s="24" t="str">
        <f t="shared" si="282"/>
        <v>14:59:59</v>
      </c>
      <c r="N298" s="25" t="str">
        <f t="shared" si="284"/>
        <v>2047-05-12 17:00:00</v>
      </c>
      <c r="O298" s="25" t="str">
        <f t="shared" si="284"/>
        <v>2047-05-26 14:59:59</v>
      </c>
    </row>
    <row r="299" spans="2:15" x14ac:dyDescent="0.3">
      <c r="B299" s="23">
        <f t="shared" si="285"/>
        <v>53838.708333333336</v>
      </c>
      <c r="C299" s="23">
        <f t="shared" ref="C299" si="320">B299+($E$3*7)+$F$3-TIME($G$3,0,1)</f>
        <v>53894.62498842593</v>
      </c>
      <c r="I299" t="str">
        <f t="shared" si="279"/>
        <v>2047-05-26</v>
      </c>
      <c r="J299" t="str">
        <f t="shared" si="280"/>
        <v>2047-07-21</v>
      </c>
      <c r="K299" s="24" t="str">
        <f t="shared" si="281"/>
        <v>17:00:00</v>
      </c>
      <c r="L299" s="24" t="str">
        <f t="shared" si="282"/>
        <v>14:59:59</v>
      </c>
      <c r="N299" s="25" t="str">
        <f t="shared" si="284"/>
        <v>2047-05-26 17:00:00</v>
      </c>
      <c r="O299" s="25" t="str">
        <f t="shared" si="284"/>
        <v>2047-07-21 14:59:59</v>
      </c>
    </row>
    <row r="300" spans="2:15" x14ac:dyDescent="0.3">
      <c r="B300" s="23">
        <f t="shared" si="285"/>
        <v>53894.708333333336</v>
      </c>
      <c r="C300" s="23">
        <f t="shared" ref="C300" si="321">B300+($P$3*7)+$Q$3-TIME($G$3,0,1)</f>
        <v>53908.62498842593</v>
      </c>
      <c r="I300" t="str">
        <f t="shared" si="279"/>
        <v>2047-07-21</v>
      </c>
      <c r="J300" t="str">
        <f t="shared" si="280"/>
        <v>2047-08-04</v>
      </c>
      <c r="K300" s="24" t="str">
        <f t="shared" si="281"/>
        <v>17:00:00</v>
      </c>
      <c r="L300" s="24" t="str">
        <f t="shared" si="282"/>
        <v>14:59:59</v>
      </c>
      <c r="N300" s="25" t="str">
        <f t="shared" si="284"/>
        <v>2047-07-21 17:00:00</v>
      </c>
      <c r="O300" s="25" t="str">
        <f t="shared" si="284"/>
        <v>2047-08-04 14:59:59</v>
      </c>
    </row>
    <row r="301" spans="2:15" x14ac:dyDescent="0.3">
      <c r="B301" s="23">
        <f t="shared" si="285"/>
        <v>53908.708333333336</v>
      </c>
      <c r="C301" s="23">
        <f t="shared" ref="C301" si="322">B301+($E$3*7)+$F$3-TIME($G$3,0,1)</f>
        <v>53964.62498842593</v>
      </c>
      <c r="I301" t="str">
        <f t="shared" si="279"/>
        <v>2047-08-04</v>
      </c>
      <c r="J301" t="str">
        <f t="shared" si="280"/>
        <v>2047-09-29</v>
      </c>
      <c r="K301" s="24" t="str">
        <f t="shared" si="281"/>
        <v>17:00:00</v>
      </c>
      <c r="L301" s="24" t="str">
        <f t="shared" si="282"/>
        <v>14:59:59</v>
      </c>
      <c r="N301" s="25" t="str">
        <f t="shared" si="284"/>
        <v>2047-08-04 17:00:00</v>
      </c>
      <c r="O301" s="25" t="str">
        <f t="shared" si="284"/>
        <v>2047-09-29 14:59:59</v>
      </c>
    </row>
    <row r="302" spans="2:15" x14ac:dyDescent="0.3">
      <c r="B302" s="23">
        <f t="shared" si="285"/>
        <v>53964.708333333336</v>
      </c>
      <c r="C302" s="23">
        <f t="shared" ref="C302" si="323">B302+($P$3*7)+$Q$3-TIME($G$3,0,1)</f>
        <v>53978.62498842593</v>
      </c>
      <c r="I302" t="str">
        <f t="shared" si="279"/>
        <v>2047-09-29</v>
      </c>
      <c r="J302" t="str">
        <f t="shared" si="280"/>
        <v>2047-10-13</v>
      </c>
      <c r="K302" s="24" t="str">
        <f t="shared" si="281"/>
        <v>17:00:00</v>
      </c>
      <c r="L302" s="24" t="str">
        <f t="shared" si="282"/>
        <v>14:59:59</v>
      </c>
      <c r="N302" s="25" t="str">
        <f t="shared" si="284"/>
        <v>2047-09-29 17:00:00</v>
      </c>
      <c r="O302" s="25" t="str">
        <f t="shared" si="284"/>
        <v>2047-10-13 14:59:59</v>
      </c>
    </row>
    <row r="303" spans="2:15" x14ac:dyDescent="0.3">
      <c r="B303" s="23">
        <f t="shared" si="285"/>
        <v>53978.708333333336</v>
      </c>
      <c r="C303" s="23">
        <f t="shared" ref="C303" si="324">B303+($E$3*7)+$F$3-TIME($G$3,0,1)</f>
        <v>54034.62498842593</v>
      </c>
      <c r="I303" t="str">
        <f t="shared" si="279"/>
        <v>2047-10-13</v>
      </c>
      <c r="J303" t="str">
        <f t="shared" si="280"/>
        <v>2047-12-08</v>
      </c>
      <c r="K303" s="24" t="str">
        <f t="shared" si="281"/>
        <v>17:00:00</v>
      </c>
      <c r="L303" s="24" t="str">
        <f t="shared" si="282"/>
        <v>14:59:59</v>
      </c>
      <c r="N303" s="25" t="str">
        <f t="shared" si="284"/>
        <v>2047-10-13 17:00:00</v>
      </c>
      <c r="O303" s="25" t="str">
        <f t="shared" si="284"/>
        <v>2047-12-08 14:59:59</v>
      </c>
    </row>
    <row r="304" spans="2:15" x14ac:dyDescent="0.3">
      <c r="B304" s="23">
        <f t="shared" si="285"/>
        <v>54034.708333333336</v>
      </c>
      <c r="C304" s="23">
        <f t="shared" ref="C304" si="325">B304+($P$3*7)+$Q$3-TIME($G$3,0,1)</f>
        <v>54048.62498842593</v>
      </c>
      <c r="I304" t="str">
        <f t="shared" si="279"/>
        <v>2047-12-08</v>
      </c>
      <c r="J304" t="str">
        <f t="shared" si="280"/>
        <v>2047-12-22</v>
      </c>
      <c r="K304" s="24" t="str">
        <f t="shared" si="281"/>
        <v>17:00:00</v>
      </c>
      <c r="L304" s="24" t="str">
        <f t="shared" si="282"/>
        <v>14:59:59</v>
      </c>
      <c r="N304" s="25" t="str">
        <f t="shared" si="284"/>
        <v>2047-12-08 17:00:00</v>
      </c>
      <c r="O304" s="25" t="str">
        <f t="shared" si="284"/>
        <v>2047-12-22 14:59:59</v>
      </c>
    </row>
    <row r="305" spans="2:15" x14ac:dyDescent="0.3">
      <c r="B305" s="23">
        <f t="shared" si="285"/>
        <v>54048.708333333336</v>
      </c>
      <c r="C305" s="23">
        <f t="shared" ref="C305" si="326">B305+($E$3*7)+$F$3-TIME($G$3,0,1)</f>
        <v>54104.62498842593</v>
      </c>
      <c r="I305" t="str">
        <f t="shared" si="279"/>
        <v>2047-12-22</v>
      </c>
      <c r="J305" t="str">
        <f t="shared" si="280"/>
        <v>2048-02-16</v>
      </c>
      <c r="K305" s="24" t="str">
        <f t="shared" si="281"/>
        <v>17:00:00</v>
      </c>
      <c r="L305" s="24" t="str">
        <f t="shared" si="282"/>
        <v>14:59:59</v>
      </c>
      <c r="N305" s="25" t="str">
        <f t="shared" si="284"/>
        <v>2047-12-22 17:00:00</v>
      </c>
      <c r="O305" s="25" t="str">
        <f t="shared" si="284"/>
        <v>2048-02-16 14:59:59</v>
      </c>
    </row>
    <row r="306" spans="2:15" x14ac:dyDescent="0.3">
      <c r="B306" s="23">
        <f t="shared" si="285"/>
        <v>54104.708333333336</v>
      </c>
      <c r="C306" s="23">
        <f t="shared" ref="C306" si="327">B306+($P$3*7)+$Q$3-TIME($G$3,0,1)</f>
        <v>54118.62498842593</v>
      </c>
      <c r="I306" t="str">
        <f t="shared" si="279"/>
        <v>2048-02-16</v>
      </c>
      <c r="J306" t="str">
        <f t="shared" si="280"/>
        <v>2048-03-01</v>
      </c>
      <c r="K306" s="24" t="str">
        <f t="shared" si="281"/>
        <v>17:00:00</v>
      </c>
      <c r="L306" s="24" t="str">
        <f t="shared" si="282"/>
        <v>14:59:59</v>
      </c>
      <c r="N306" s="25" t="str">
        <f t="shared" si="284"/>
        <v>2048-02-16 17:00:00</v>
      </c>
      <c r="O306" s="25" t="str">
        <f t="shared" si="284"/>
        <v>2048-03-01 14:59:59</v>
      </c>
    </row>
    <row r="307" spans="2:15" x14ac:dyDescent="0.3">
      <c r="B307" s="23">
        <f t="shared" si="285"/>
        <v>54118.708333333336</v>
      </c>
      <c r="C307" s="23">
        <f t="shared" ref="C307" si="328">B307+($E$3*7)+$F$3-TIME($G$3,0,1)</f>
        <v>54174.62498842593</v>
      </c>
      <c r="I307" t="str">
        <f t="shared" si="279"/>
        <v>2048-03-01</v>
      </c>
      <c r="J307" t="str">
        <f t="shared" si="280"/>
        <v>2048-04-26</v>
      </c>
      <c r="K307" s="24" t="str">
        <f t="shared" si="281"/>
        <v>17:00:00</v>
      </c>
      <c r="L307" s="24" t="str">
        <f t="shared" si="282"/>
        <v>14:59:59</v>
      </c>
      <c r="N307" s="25" t="str">
        <f t="shared" si="284"/>
        <v>2048-03-01 17:00:00</v>
      </c>
      <c r="O307" s="25" t="str">
        <f t="shared" si="284"/>
        <v>2048-04-26 14:59:59</v>
      </c>
    </row>
    <row r="308" spans="2:15" x14ac:dyDescent="0.3">
      <c r="B308" s="23">
        <f t="shared" si="285"/>
        <v>54174.708333333336</v>
      </c>
      <c r="C308" s="23">
        <f t="shared" ref="C308" si="329">B308+($P$3*7)+$Q$3-TIME($G$3,0,1)</f>
        <v>54188.62498842593</v>
      </c>
      <c r="I308" t="str">
        <f t="shared" si="279"/>
        <v>2048-04-26</v>
      </c>
      <c r="J308" t="str">
        <f t="shared" si="280"/>
        <v>2048-05-10</v>
      </c>
      <c r="K308" s="24" t="str">
        <f t="shared" si="281"/>
        <v>17:00:00</v>
      </c>
      <c r="L308" s="24" t="str">
        <f t="shared" si="282"/>
        <v>14:59:59</v>
      </c>
      <c r="N308" s="25" t="str">
        <f t="shared" si="284"/>
        <v>2048-04-26 17:00:00</v>
      </c>
      <c r="O308" s="25" t="str">
        <f t="shared" si="284"/>
        <v>2048-05-10 14:59:59</v>
      </c>
    </row>
    <row r="309" spans="2:15" x14ac:dyDescent="0.3">
      <c r="B309" s="23">
        <f t="shared" si="285"/>
        <v>54188.708333333336</v>
      </c>
      <c r="C309" s="23">
        <f t="shared" ref="C309" si="330">B309+($E$3*7)+$F$3-TIME($G$3,0,1)</f>
        <v>54244.62498842593</v>
      </c>
      <c r="I309" t="str">
        <f t="shared" si="279"/>
        <v>2048-05-10</v>
      </c>
      <c r="J309" t="str">
        <f t="shared" si="280"/>
        <v>2048-07-05</v>
      </c>
      <c r="K309" s="24" t="str">
        <f t="shared" si="281"/>
        <v>17:00:00</v>
      </c>
      <c r="L309" s="24" t="str">
        <f t="shared" si="282"/>
        <v>14:59:59</v>
      </c>
      <c r="N309" s="25" t="str">
        <f t="shared" si="284"/>
        <v>2048-05-10 17:00:00</v>
      </c>
      <c r="O309" s="25" t="str">
        <f t="shared" si="284"/>
        <v>2048-07-05 14:59:59</v>
      </c>
    </row>
    <row r="310" spans="2:15" x14ac:dyDescent="0.3">
      <c r="B310" s="23">
        <f t="shared" si="285"/>
        <v>54244.708333333336</v>
      </c>
      <c r="C310" s="23">
        <f t="shared" ref="C310" si="331">B310+($P$3*7)+$Q$3-TIME($G$3,0,1)</f>
        <v>54258.62498842593</v>
      </c>
      <c r="I310" t="str">
        <f t="shared" si="279"/>
        <v>2048-07-05</v>
      </c>
      <c r="J310" t="str">
        <f t="shared" si="280"/>
        <v>2048-07-19</v>
      </c>
      <c r="K310" s="24" t="str">
        <f t="shared" si="281"/>
        <v>17:00:00</v>
      </c>
      <c r="L310" s="24" t="str">
        <f t="shared" si="282"/>
        <v>14:59:59</v>
      </c>
      <c r="N310" s="25" t="str">
        <f t="shared" si="284"/>
        <v>2048-07-05 17:00:00</v>
      </c>
      <c r="O310" s="25" t="str">
        <f t="shared" si="284"/>
        <v>2048-07-19 14:59:59</v>
      </c>
    </row>
    <row r="311" spans="2:15" x14ac:dyDescent="0.3">
      <c r="B311" s="23">
        <f t="shared" si="285"/>
        <v>54258.708333333336</v>
      </c>
      <c r="C311" s="23">
        <f t="shared" ref="C311" si="332">B311+($E$3*7)+$F$3-TIME($G$3,0,1)</f>
        <v>54314.62498842593</v>
      </c>
      <c r="I311" t="str">
        <f t="shared" si="279"/>
        <v>2048-07-19</v>
      </c>
      <c r="J311" t="str">
        <f t="shared" si="280"/>
        <v>2048-09-13</v>
      </c>
      <c r="K311" s="24" t="str">
        <f t="shared" si="281"/>
        <v>17:00:00</v>
      </c>
      <c r="L311" s="24" t="str">
        <f t="shared" si="282"/>
        <v>14:59:59</v>
      </c>
      <c r="N311" s="25" t="str">
        <f t="shared" si="284"/>
        <v>2048-07-19 17:00:00</v>
      </c>
      <c r="O311" s="25" t="str">
        <f t="shared" si="284"/>
        <v>2048-09-13 14:59:59</v>
      </c>
    </row>
    <row r="312" spans="2:15" x14ac:dyDescent="0.3">
      <c r="B312" s="23">
        <f t="shared" si="285"/>
        <v>54314.708333333336</v>
      </c>
      <c r="C312" s="23">
        <f t="shared" ref="C312" si="333">B312+($P$3*7)+$Q$3-TIME($G$3,0,1)</f>
        <v>54328.62498842593</v>
      </c>
      <c r="I312" t="str">
        <f t="shared" si="279"/>
        <v>2048-09-13</v>
      </c>
      <c r="J312" t="str">
        <f t="shared" si="280"/>
        <v>2048-09-27</v>
      </c>
      <c r="K312" s="24" t="str">
        <f t="shared" si="281"/>
        <v>17:00:00</v>
      </c>
      <c r="L312" s="24" t="str">
        <f t="shared" si="282"/>
        <v>14:59:59</v>
      </c>
      <c r="N312" s="25" t="str">
        <f t="shared" si="284"/>
        <v>2048-09-13 17:00:00</v>
      </c>
      <c r="O312" s="25" t="str">
        <f t="shared" si="284"/>
        <v>2048-09-27 14:59:59</v>
      </c>
    </row>
    <row r="313" spans="2:15" x14ac:dyDescent="0.3">
      <c r="B313" s="23">
        <f t="shared" si="285"/>
        <v>54328.708333333336</v>
      </c>
      <c r="C313" s="23">
        <f t="shared" ref="C313" si="334">B313+($E$3*7)+$F$3-TIME($G$3,0,1)</f>
        <v>54384.62498842593</v>
      </c>
      <c r="I313" t="str">
        <f t="shared" si="279"/>
        <v>2048-09-27</v>
      </c>
      <c r="J313" t="str">
        <f t="shared" si="280"/>
        <v>2048-11-22</v>
      </c>
      <c r="K313" s="24" t="str">
        <f t="shared" si="281"/>
        <v>17:00:00</v>
      </c>
      <c r="L313" s="24" t="str">
        <f t="shared" si="282"/>
        <v>14:59:59</v>
      </c>
      <c r="N313" s="25" t="str">
        <f t="shared" si="284"/>
        <v>2048-09-27 17:00:00</v>
      </c>
      <c r="O313" s="25" t="str">
        <f t="shared" si="284"/>
        <v>2048-11-22 14:59:59</v>
      </c>
    </row>
    <row r="314" spans="2:15" x14ac:dyDescent="0.3">
      <c r="B314" s="23">
        <f t="shared" si="285"/>
        <v>54384.708333333336</v>
      </c>
      <c r="C314" s="23">
        <f t="shared" ref="C314" si="335">B314+($P$3*7)+$Q$3-TIME($G$3,0,1)</f>
        <v>54398.62498842593</v>
      </c>
      <c r="I314" t="str">
        <f t="shared" si="279"/>
        <v>2048-11-22</v>
      </c>
      <c r="J314" t="str">
        <f t="shared" si="280"/>
        <v>2048-12-06</v>
      </c>
      <c r="K314" s="24" t="str">
        <f t="shared" si="281"/>
        <v>17:00:00</v>
      </c>
      <c r="L314" s="24" t="str">
        <f t="shared" si="282"/>
        <v>14:59:59</v>
      </c>
      <c r="N314" s="25" t="str">
        <f t="shared" si="284"/>
        <v>2048-11-22 17:00:00</v>
      </c>
      <c r="O314" s="25" t="str">
        <f t="shared" si="284"/>
        <v>2048-12-06 14:59:59</v>
      </c>
    </row>
    <row r="315" spans="2:15" x14ac:dyDescent="0.3">
      <c r="B315" s="23">
        <f t="shared" si="285"/>
        <v>54398.708333333336</v>
      </c>
      <c r="C315" s="23">
        <f t="shared" ref="C315" si="336">B315+($E$3*7)+$F$3-TIME($G$3,0,1)</f>
        <v>54454.62498842593</v>
      </c>
      <c r="I315" t="str">
        <f t="shared" si="279"/>
        <v>2048-12-06</v>
      </c>
      <c r="J315" t="str">
        <f t="shared" si="280"/>
        <v>2049-01-31</v>
      </c>
      <c r="K315" s="24" t="str">
        <f t="shared" si="281"/>
        <v>17:00:00</v>
      </c>
      <c r="L315" s="24" t="str">
        <f t="shared" si="282"/>
        <v>14:59:59</v>
      </c>
      <c r="N315" s="25" t="str">
        <f t="shared" si="284"/>
        <v>2048-12-06 17:00:00</v>
      </c>
      <c r="O315" s="25" t="str">
        <f t="shared" si="284"/>
        <v>2049-01-31 14:59:59</v>
      </c>
    </row>
    <row r="316" spans="2:15" x14ac:dyDescent="0.3">
      <c r="B316" s="23">
        <f t="shared" si="285"/>
        <v>54454.708333333336</v>
      </c>
      <c r="C316" s="23">
        <f t="shared" ref="C316" si="337">B316+($P$3*7)+$Q$3-TIME($G$3,0,1)</f>
        <v>54468.62498842593</v>
      </c>
      <c r="I316" t="str">
        <f t="shared" si="279"/>
        <v>2049-01-31</v>
      </c>
      <c r="J316" t="str">
        <f t="shared" si="280"/>
        <v>2049-02-14</v>
      </c>
      <c r="K316" s="24" t="str">
        <f t="shared" si="281"/>
        <v>17:00:00</v>
      </c>
      <c r="L316" s="24" t="str">
        <f t="shared" si="282"/>
        <v>14:59:59</v>
      </c>
      <c r="N316" s="25" t="str">
        <f t="shared" si="284"/>
        <v>2049-01-31 17:00:00</v>
      </c>
      <c r="O316" s="25" t="str">
        <f t="shared" si="284"/>
        <v>2049-02-14 14:59:59</v>
      </c>
    </row>
    <row r="317" spans="2:15" x14ac:dyDescent="0.3">
      <c r="B317" s="23">
        <f t="shared" si="285"/>
        <v>54468.708333333336</v>
      </c>
      <c r="C317" s="23">
        <f t="shared" ref="C317" si="338">B317+($E$3*7)+$F$3-TIME($G$3,0,1)</f>
        <v>54524.62498842593</v>
      </c>
      <c r="I317" t="str">
        <f t="shared" si="279"/>
        <v>2049-02-14</v>
      </c>
      <c r="J317" t="str">
        <f t="shared" si="280"/>
        <v>2049-04-11</v>
      </c>
      <c r="K317" s="24" t="str">
        <f t="shared" si="281"/>
        <v>17:00:00</v>
      </c>
      <c r="L317" s="24" t="str">
        <f t="shared" si="282"/>
        <v>14:59:59</v>
      </c>
      <c r="N317" s="25" t="str">
        <f t="shared" si="284"/>
        <v>2049-02-14 17:00:00</v>
      </c>
      <c r="O317" s="25" t="str">
        <f t="shared" si="284"/>
        <v>2049-04-11 14:59:59</v>
      </c>
    </row>
    <row r="318" spans="2:15" x14ac:dyDescent="0.3">
      <c r="B318" s="23">
        <f t="shared" si="285"/>
        <v>54524.708333333336</v>
      </c>
      <c r="C318" s="23">
        <f t="shared" ref="C318" si="339">B318+($P$3*7)+$Q$3-TIME($G$3,0,1)</f>
        <v>54538.62498842593</v>
      </c>
      <c r="I318" t="str">
        <f t="shared" si="279"/>
        <v>2049-04-11</v>
      </c>
      <c r="J318" t="str">
        <f t="shared" si="280"/>
        <v>2049-04-25</v>
      </c>
      <c r="K318" s="24" t="str">
        <f t="shared" si="281"/>
        <v>17:00:00</v>
      </c>
      <c r="L318" s="24" t="str">
        <f t="shared" si="282"/>
        <v>14:59:59</v>
      </c>
      <c r="N318" s="25" t="str">
        <f t="shared" si="284"/>
        <v>2049-04-11 17:00:00</v>
      </c>
      <c r="O318" s="25" t="str">
        <f t="shared" si="284"/>
        <v>2049-04-25 14:59:59</v>
      </c>
    </row>
    <row r="319" spans="2:15" x14ac:dyDescent="0.3">
      <c r="B319" s="23">
        <f t="shared" si="285"/>
        <v>54538.708333333336</v>
      </c>
      <c r="C319" s="23">
        <f t="shared" ref="C319" si="340">B319+($E$3*7)+$F$3-TIME($G$3,0,1)</f>
        <v>54594.62498842593</v>
      </c>
      <c r="I319" t="str">
        <f t="shared" si="279"/>
        <v>2049-04-25</v>
      </c>
      <c r="J319" t="str">
        <f t="shared" si="280"/>
        <v>2049-06-20</v>
      </c>
      <c r="K319" s="24" t="str">
        <f t="shared" si="281"/>
        <v>17:00:00</v>
      </c>
      <c r="L319" s="24" t="str">
        <f t="shared" si="282"/>
        <v>14:59:59</v>
      </c>
      <c r="N319" s="25" t="str">
        <f t="shared" si="284"/>
        <v>2049-04-25 17:00:00</v>
      </c>
      <c r="O319" s="25" t="str">
        <f t="shared" si="284"/>
        <v>2049-06-20 14:59:59</v>
      </c>
    </row>
    <row r="320" spans="2:15" x14ac:dyDescent="0.3">
      <c r="B320" s="23">
        <f t="shared" si="285"/>
        <v>54594.708333333336</v>
      </c>
      <c r="C320" s="23">
        <f t="shared" ref="C320" si="341">B320+($P$3*7)+$Q$3-TIME($G$3,0,1)</f>
        <v>54608.62498842593</v>
      </c>
      <c r="I320" t="str">
        <f t="shared" si="279"/>
        <v>2049-06-20</v>
      </c>
      <c r="J320" t="str">
        <f t="shared" si="280"/>
        <v>2049-07-04</v>
      </c>
      <c r="K320" s="24" t="str">
        <f t="shared" si="281"/>
        <v>17:00:00</v>
      </c>
      <c r="L320" s="24" t="str">
        <f t="shared" si="282"/>
        <v>14:59:59</v>
      </c>
      <c r="N320" s="25" t="str">
        <f t="shared" si="284"/>
        <v>2049-06-20 17:00:00</v>
      </c>
      <c r="O320" s="25" t="str">
        <f t="shared" si="284"/>
        <v>2049-07-04 14:59:59</v>
      </c>
    </row>
    <row r="321" spans="2:15" x14ac:dyDescent="0.3">
      <c r="B321" s="23">
        <f t="shared" si="285"/>
        <v>54608.708333333336</v>
      </c>
      <c r="C321" s="23">
        <f t="shared" ref="C321" si="342">B321+($E$3*7)+$F$3-TIME($G$3,0,1)</f>
        <v>54664.62498842593</v>
      </c>
      <c r="I321" t="str">
        <f t="shared" si="279"/>
        <v>2049-07-04</v>
      </c>
      <c r="J321" t="str">
        <f t="shared" si="280"/>
        <v>2049-08-29</v>
      </c>
      <c r="K321" s="24" t="str">
        <f t="shared" si="281"/>
        <v>17:00:00</v>
      </c>
      <c r="L321" s="24" t="str">
        <f t="shared" si="282"/>
        <v>14:59:59</v>
      </c>
      <c r="N321" s="25" t="str">
        <f t="shared" si="284"/>
        <v>2049-07-04 17:00:00</v>
      </c>
      <c r="O321" s="25" t="str">
        <f t="shared" si="284"/>
        <v>2049-08-29 14:59:59</v>
      </c>
    </row>
    <row r="322" spans="2:15" x14ac:dyDescent="0.3">
      <c r="B322" s="23">
        <f t="shared" si="285"/>
        <v>54664.708333333336</v>
      </c>
      <c r="C322" s="23">
        <f t="shared" ref="C322" si="343">B322+($P$3*7)+$Q$3-TIME($G$3,0,1)</f>
        <v>54678.62498842593</v>
      </c>
      <c r="I322" t="str">
        <f t="shared" si="279"/>
        <v>2049-08-29</v>
      </c>
      <c r="J322" t="str">
        <f t="shared" si="280"/>
        <v>2049-09-12</v>
      </c>
      <c r="K322" s="24" t="str">
        <f t="shared" si="281"/>
        <v>17:00:00</v>
      </c>
      <c r="L322" s="24" t="str">
        <f t="shared" si="282"/>
        <v>14:59:59</v>
      </c>
      <c r="N322" s="25" t="str">
        <f t="shared" si="284"/>
        <v>2049-08-29 17:00:00</v>
      </c>
      <c r="O322" s="25" t="str">
        <f t="shared" si="284"/>
        <v>2049-09-12 14:59:59</v>
      </c>
    </row>
    <row r="323" spans="2:15" x14ac:dyDescent="0.3">
      <c r="B323" s="23">
        <f t="shared" si="285"/>
        <v>54678.708333333336</v>
      </c>
      <c r="C323" s="23">
        <f t="shared" ref="C323" si="344">B323+($E$3*7)+$F$3-TIME($G$3,0,1)</f>
        <v>54734.62498842593</v>
      </c>
      <c r="I323" t="str">
        <f t="shared" si="279"/>
        <v>2049-09-12</v>
      </c>
      <c r="J323" t="str">
        <f t="shared" si="280"/>
        <v>2049-11-07</v>
      </c>
      <c r="K323" s="24" t="str">
        <f t="shared" si="281"/>
        <v>17:00:00</v>
      </c>
      <c r="L323" s="24" t="str">
        <f t="shared" si="282"/>
        <v>14:59:59</v>
      </c>
      <c r="N323" s="25" t="str">
        <f t="shared" si="284"/>
        <v>2049-09-12 17:00:00</v>
      </c>
      <c r="O323" s="25" t="str">
        <f t="shared" si="284"/>
        <v>2049-11-07 14:59:59</v>
      </c>
    </row>
    <row r="324" spans="2:15" x14ac:dyDescent="0.3">
      <c r="B324" s="23">
        <f t="shared" si="285"/>
        <v>54734.708333333336</v>
      </c>
      <c r="C324" s="23">
        <f t="shared" ref="C324" si="345">B324+($P$3*7)+$Q$3-TIME($G$3,0,1)</f>
        <v>54748.62498842593</v>
      </c>
      <c r="I324" t="str">
        <f t="shared" si="279"/>
        <v>2049-11-07</v>
      </c>
      <c r="J324" t="str">
        <f t="shared" si="280"/>
        <v>2049-11-21</v>
      </c>
      <c r="K324" s="24" t="str">
        <f t="shared" si="281"/>
        <v>17:00:00</v>
      </c>
      <c r="L324" s="24" t="str">
        <f t="shared" si="282"/>
        <v>14:59:59</v>
      </c>
      <c r="N324" s="25" t="str">
        <f t="shared" si="284"/>
        <v>2049-11-07 17:00:00</v>
      </c>
      <c r="O324" s="25" t="str">
        <f t="shared" si="284"/>
        <v>2049-11-21 14:59:59</v>
      </c>
    </row>
    <row r="325" spans="2:15" x14ac:dyDescent="0.3">
      <c r="B325" s="23">
        <f t="shared" si="285"/>
        <v>54748.708333333336</v>
      </c>
      <c r="C325" s="23">
        <f t="shared" ref="C325" si="346">B325+($E$3*7)+$F$3-TIME($G$3,0,1)</f>
        <v>54804.62498842593</v>
      </c>
      <c r="I325" t="str">
        <f t="shared" si="279"/>
        <v>2049-11-21</v>
      </c>
      <c r="J325" t="str">
        <f t="shared" si="280"/>
        <v>2050-01-16</v>
      </c>
      <c r="K325" s="24" t="str">
        <f t="shared" si="281"/>
        <v>17:00:00</v>
      </c>
      <c r="L325" s="24" t="str">
        <f t="shared" si="282"/>
        <v>14:59:59</v>
      </c>
      <c r="N325" s="25" t="str">
        <f t="shared" si="284"/>
        <v>2049-11-21 17:00:00</v>
      </c>
      <c r="O325" s="25" t="str">
        <f t="shared" si="284"/>
        <v>2050-01-16 14:59:59</v>
      </c>
    </row>
    <row r="326" spans="2:15" x14ac:dyDescent="0.3">
      <c r="B326" s="23">
        <f t="shared" si="285"/>
        <v>54804.708333333336</v>
      </c>
      <c r="C326" s="23">
        <f t="shared" ref="C326" si="347">B326+($P$3*7)+$Q$3-TIME($G$3,0,1)</f>
        <v>54818.62498842593</v>
      </c>
      <c r="I326" t="str">
        <f t="shared" si="279"/>
        <v>2050-01-16</v>
      </c>
      <c r="J326" t="str">
        <f t="shared" si="280"/>
        <v>2050-01-30</v>
      </c>
      <c r="K326" s="24" t="str">
        <f t="shared" si="281"/>
        <v>17:00:00</v>
      </c>
      <c r="L326" s="24" t="str">
        <f t="shared" si="282"/>
        <v>14:59:59</v>
      </c>
      <c r="N326" s="25" t="str">
        <f t="shared" si="284"/>
        <v>2050-01-16 17:00:00</v>
      </c>
      <c r="O326" s="25" t="str">
        <f t="shared" si="284"/>
        <v>2050-01-30 14:59:59</v>
      </c>
    </row>
    <row r="327" spans="2:15" x14ac:dyDescent="0.3">
      <c r="B327" s="23">
        <f t="shared" si="285"/>
        <v>54818.708333333336</v>
      </c>
      <c r="C327" s="23">
        <f t="shared" ref="C327" si="348">B327+($E$3*7)+$F$3-TIME($G$3,0,1)</f>
        <v>54874.62498842593</v>
      </c>
      <c r="I327" t="str">
        <f t="shared" ref="I327:I390" si="349">TEXT(B327,"yyyy-mm-dd")</f>
        <v>2050-01-30</v>
      </c>
      <c r="J327" t="str">
        <f t="shared" ref="J327:J390" si="350">TEXT(C327,"yyyy-mm-dd")</f>
        <v>2050-03-27</v>
      </c>
      <c r="K327" s="24" t="str">
        <f t="shared" ref="K327:K390" si="351">TEXT(B327,"hh:mm:ss")</f>
        <v>17:00:00</v>
      </c>
      <c r="L327" s="24" t="str">
        <f t="shared" ref="L327:L390" si="352">TEXT(C327,"hh:mm:ss")</f>
        <v>14:59:59</v>
      </c>
      <c r="N327" s="25" t="str">
        <f t="shared" si="284"/>
        <v>2050-01-30 17:00:00</v>
      </c>
      <c r="O327" s="25" t="str">
        <f t="shared" si="284"/>
        <v>2050-03-27 14:59:59</v>
      </c>
    </row>
    <row r="328" spans="2:15" x14ac:dyDescent="0.3">
      <c r="B328" s="23">
        <f t="shared" si="285"/>
        <v>54874.708333333336</v>
      </c>
      <c r="C328" s="23">
        <f t="shared" ref="C328" si="353">B328+($P$3*7)+$Q$3-TIME($G$3,0,1)</f>
        <v>54888.62498842593</v>
      </c>
      <c r="I328" t="str">
        <f t="shared" si="349"/>
        <v>2050-03-27</v>
      </c>
      <c r="J328" t="str">
        <f t="shared" si="350"/>
        <v>2050-04-10</v>
      </c>
      <c r="K328" s="24" t="str">
        <f t="shared" si="351"/>
        <v>17:00:00</v>
      </c>
      <c r="L328" s="24" t="str">
        <f t="shared" si="352"/>
        <v>14:59:59</v>
      </c>
      <c r="N328" s="25" t="str">
        <f t="shared" ref="N328:O391" si="354">CONCATENATE(I328," ",K328)</f>
        <v>2050-03-27 17:00:00</v>
      </c>
      <c r="O328" s="25" t="str">
        <f t="shared" si="354"/>
        <v>2050-04-10 14:59:59</v>
      </c>
    </row>
    <row r="329" spans="2:15" x14ac:dyDescent="0.3">
      <c r="B329" s="23">
        <f t="shared" ref="B329:B392" si="355">C328+($N$3*7)+$O$3+TIME($G$3,0,1)</f>
        <v>54888.708333333336</v>
      </c>
      <c r="C329" s="23">
        <f t="shared" ref="C329" si="356">B329+($E$3*7)+$F$3-TIME($G$3,0,1)</f>
        <v>54944.62498842593</v>
      </c>
      <c r="I329" t="str">
        <f t="shared" si="349"/>
        <v>2050-04-10</v>
      </c>
      <c r="J329" t="str">
        <f t="shared" si="350"/>
        <v>2050-06-05</v>
      </c>
      <c r="K329" s="24" t="str">
        <f t="shared" si="351"/>
        <v>17:00:00</v>
      </c>
      <c r="L329" s="24" t="str">
        <f t="shared" si="352"/>
        <v>14:59:59</v>
      </c>
      <c r="N329" s="25" t="str">
        <f t="shared" si="354"/>
        <v>2050-04-10 17:00:00</v>
      </c>
      <c r="O329" s="25" t="str">
        <f t="shared" si="354"/>
        <v>2050-06-05 14:59:59</v>
      </c>
    </row>
    <row r="330" spans="2:15" x14ac:dyDescent="0.3">
      <c r="B330" s="23">
        <f t="shared" si="355"/>
        <v>54944.708333333336</v>
      </c>
      <c r="C330" s="23">
        <f t="shared" ref="C330" si="357">B330+($P$3*7)+$Q$3-TIME($G$3,0,1)</f>
        <v>54958.62498842593</v>
      </c>
      <c r="I330" t="str">
        <f t="shared" si="349"/>
        <v>2050-06-05</v>
      </c>
      <c r="J330" t="str">
        <f t="shared" si="350"/>
        <v>2050-06-19</v>
      </c>
      <c r="K330" s="24" t="str">
        <f t="shared" si="351"/>
        <v>17:00:00</v>
      </c>
      <c r="L330" s="24" t="str">
        <f t="shared" si="352"/>
        <v>14:59:59</v>
      </c>
      <c r="N330" s="25" t="str">
        <f t="shared" si="354"/>
        <v>2050-06-05 17:00:00</v>
      </c>
      <c r="O330" s="25" t="str">
        <f t="shared" si="354"/>
        <v>2050-06-19 14:59:59</v>
      </c>
    </row>
    <row r="331" spans="2:15" x14ac:dyDescent="0.3">
      <c r="B331" s="23">
        <f t="shared" si="355"/>
        <v>54958.708333333336</v>
      </c>
      <c r="C331" s="23">
        <f t="shared" ref="C331" si="358">B331+($E$3*7)+$F$3-TIME($G$3,0,1)</f>
        <v>55014.62498842593</v>
      </c>
      <c r="I331" t="str">
        <f t="shared" si="349"/>
        <v>2050-06-19</v>
      </c>
      <c r="J331" t="str">
        <f t="shared" si="350"/>
        <v>2050-08-14</v>
      </c>
      <c r="K331" s="24" t="str">
        <f t="shared" si="351"/>
        <v>17:00:00</v>
      </c>
      <c r="L331" s="24" t="str">
        <f t="shared" si="352"/>
        <v>14:59:59</v>
      </c>
      <c r="N331" s="25" t="str">
        <f t="shared" si="354"/>
        <v>2050-06-19 17:00:00</v>
      </c>
      <c r="O331" s="25" t="str">
        <f t="shared" si="354"/>
        <v>2050-08-14 14:59:59</v>
      </c>
    </row>
    <row r="332" spans="2:15" x14ac:dyDescent="0.3">
      <c r="B332" s="23">
        <f t="shared" si="355"/>
        <v>55014.708333333336</v>
      </c>
      <c r="C332" s="23">
        <f t="shared" ref="C332" si="359">B332+($P$3*7)+$Q$3-TIME($G$3,0,1)</f>
        <v>55028.62498842593</v>
      </c>
      <c r="I332" t="str">
        <f t="shared" si="349"/>
        <v>2050-08-14</v>
      </c>
      <c r="J332" t="str">
        <f t="shared" si="350"/>
        <v>2050-08-28</v>
      </c>
      <c r="K332" s="24" t="str">
        <f t="shared" si="351"/>
        <v>17:00:00</v>
      </c>
      <c r="L332" s="24" t="str">
        <f t="shared" si="352"/>
        <v>14:59:59</v>
      </c>
      <c r="N332" s="25" t="str">
        <f t="shared" si="354"/>
        <v>2050-08-14 17:00:00</v>
      </c>
      <c r="O332" s="25" t="str">
        <f t="shared" si="354"/>
        <v>2050-08-28 14:59:59</v>
      </c>
    </row>
    <row r="333" spans="2:15" x14ac:dyDescent="0.3">
      <c r="B333" s="23">
        <f t="shared" si="355"/>
        <v>55028.708333333336</v>
      </c>
      <c r="C333" s="23">
        <f t="shared" ref="C333" si="360">B333+($E$3*7)+$F$3-TIME($G$3,0,1)</f>
        <v>55084.62498842593</v>
      </c>
      <c r="I333" t="str">
        <f t="shared" si="349"/>
        <v>2050-08-28</v>
      </c>
      <c r="J333" t="str">
        <f t="shared" si="350"/>
        <v>2050-10-23</v>
      </c>
      <c r="K333" s="24" t="str">
        <f t="shared" si="351"/>
        <v>17:00:00</v>
      </c>
      <c r="L333" s="24" t="str">
        <f t="shared" si="352"/>
        <v>14:59:59</v>
      </c>
      <c r="N333" s="25" t="str">
        <f t="shared" si="354"/>
        <v>2050-08-28 17:00:00</v>
      </c>
      <c r="O333" s="25" t="str">
        <f t="shared" si="354"/>
        <v>2050-10-23 14:59:59</v>
      </c>
    </row>
    <row r="334" spans="2:15" x14ac:dyDescent="0.3">
      <c r="B334" s="23">
        <f t="shared" si="355"/>
        <v>55084.708333333336</v>
      </c>
      <c r="C334" s="23">
        <f t="shared" ref="C334" si="361">B334+($P$3*7)+$Q$3-TIME($G$3,0,1)</f>
        <v>55098.62498842593</v>
      </c>
      <c r="I334" t="str">
        <f t="shared" si="349"/>
        <v>2050-10-23</v>
      </c>
      <c r="J334" t="str">
        <f t="shared" si="350"/>
        <v>2050-11-06</v>
      </c>
      <c r="K334" s="24" t="str">
        <f t="shared" si="351"/>
        <v>17:00:00</v>
      </c>
      <c r="L334" s="24" t="str">
        <f t="shared" si="352"/>
        <v>14:59:59</v>
      </c>
      <c r="N334" s="25" t="str">
        <f t="shared" si="354"/>
        <v>2050-10-23 17:00:00</v>
      </c>
      <c r="O334" s="25" t="str">
        <f t="shared" si="354"/>
        <v>2050-11-06 14:59:59</v>
      </c>
    </row>
    <row r="335" spans="2:15" x14ac:dyDescent="0.3">
      <c r="B335" s="23">
        <f t="shared" si="355"/>
        <v>55098.708333333336</v>
      </c>
      <c r="C335" s="23">
        <f t="shared" ref="C335" si="362">B335+($E$3*7)+$F$3-TIME($G$3,0,1)</f>
        <v>55154.62498842593</v>
      </c>
      <c r="I335" t="str">
        <f t="shared" si="349"/>
        <v>2050-11-06</v>
      </c>
      <c r="J335" t="str">
        <f t="shared" si="350"/>
        <v>2051-01-01</v>
      </c>
      <c r="K335" s="24" t="str">
        <f t="shared" si="351"/>
        <v>17:00:00</v>
      </c>
      <c r="L335" s="24" t="str">
        <f t="shared" si="352"/>
        <v>14:59:59</v>
      </c>
      <c r="N335" s="25" t="str">
        <f t="shared" si="354"/>
        <v>2050-11-06 17:00:00</v>
      </c>
      <c r="O335" s="25" t="str">
        <f t="shared" si="354"/>
        <v>2051-01-01 14:59:59</v>
      </c>
    </row>
    <row r="336" spans="2:15" x14ac:dyDescent="0.3">
      <c r="B336" s="23">
        <f t="shared" si="355"/>
        <v>55154.708333333336</v>
      </c>
      <c r="C336" s="23">
        <f t="shared" ref="C336" si="363">B336+($P$3*7)+$Q$3-TIME($G$3,0,1)</f>
        <v>55168.62498842593</v>
      </c>
      <c r="I336" t="str">
        <f t="shared" si="349"/>
        <v>2051-01-01</v>
      </c>
      <c r="J336" t="str">
        <f t="shared" si="350"/>
        <v>2051-01-15</v>
      </c>
      <c r="K336" s="24" t="str">
        <f t="shared" si="351"/>
        <v>17:00:00</v>
      </c>
      <c r="L336" s="24" t="str">
        <f t="shared" si="352"/>
        <v>14:59:59</v>
      </c>
      <c r="N336" s="25" t="str">
        <f t="shared" si="354"/>
        <v>2051-01-01 17:00:00</v>
      </c>
      <c r="O336" s="25" t="str">
        <f t="shared" si="354"/>
        <v>2051-01-15 14:59:59</v>
      </c>
    </row>
    <row r="337" spans="2:15" x14ac:dyDescent="0.3">
      <c r="B337" s="23">
        <f t="shared" si="355"/>
        <v>55168.708333333336</v>
      </c>
      <c r="C337" s="23">
        <f t="shared" ref="C337" si="364">B337+($E$3*7)+$F$3-TIME($G$3,0,1)</f>
        <v>55224.62498842593</v>
      </c>
      <c r="I337" t="str">
        <f t="shared" si="349"/>
        <v>2051-01-15</v>
      </c>
      <c r="J337" t="str">
        <f t="shared" si="350"/>
        <v>2051-03-12</v>
      </c>
      <c r="K337" s="24" t="str">
        <f t="shared" si="351"/>
        <v>17:00:00</v>
      </c>
      <c r="L337" s="24" t="str">
        <f t="shared" si="352"/>
        <v>14:59:59</v>
      </c>
      <c r="N337" s="25" t="str">
        <f t="shared" si="354"/>
        <v>2051-01-15 17:00:00</v>
      </c>
      <c r="O337" s="25" t="str">
        <f t="shared" si="354"/>
        <v>2051-03-12 14:59:59</v>
      </c>
    </row>
    <row r="338" spans="2:15" x14ac:dyDescent="0.3">
      <c r="B338" s="23">
        <f t="shared" si="355"/>
        <v>55224.708333333336</v>
      </c>
      <c r="C338" s="23">
        <f t="shared" ref="C338" si="365">B338+($P$3*7)+$Q$3-TIME($G$3,0,1)</f>
        <v>55238.62498842593</v>
      </c>
      <c r="I338" t="str">
        <f t="shared" si="349"/>
        <v>2051-03-12</v>
      </c>
      <c r="J338" t="str">
        <f t="shared" si="350"/>
        <v>2051-03-26</v>
      </c>
      <c r="K338" s="24" t="str">
        <f t="shared" si="351"/>
        <v>17:00:00</v>
      </c>
      <c r="L338" s="24" t="str">
        <f t="shared" si="352"/>
        <v>14:59:59</v>
      </c>
      <c r="N338" s="25" t="str">
        <f t="shared" si="354"/>
        <v>2051-03-12 17:00:00</v>
      </c>
      <c r="O338" s="25" t="str">
        <f t="shared" si="354"/>
        <v>2051-03-26 14:59:59</v>
      </c>
    </row>
    <row r="339" spans="2:15" x14ac:dyDescent="0.3">
      <c r="B339" s="23">
        <f t="shared" si="355"/>
        <v>55238.708333333336</v>
      </c>
      <c r="C339" s="23">
        <f t="shared" ref="C339" si="366">B339+($E$3*7)+$F$3-TIME($G$3,0,1)</f>
        <v>55294.62498842593</v>
      </c>
      <c r="I339" t="str">
        <f t="shared" si="349"/>
        <v>2051-03-26</v>
      </c>
      <c r="J339" t="str">
        <f t="shared" si="350"/>
        <v>2051-05-21</v>
      </c>
      <c r="K339" s="24" t="str">
        <f t="shared" si="351"/>
        <v>17:00:00</v>
      </c>
      <c r="L339" s="24" t="str">
        <f t="shared" si="352"/>
        <v>14:59:59</v>
      </c>
      <c r="N339" s="25" t="str">
        <f t="shared" si="354"/>
        <v>2051-03-26 17:00:00</v>
      </c>
      <c r="O339" s="25" t="str">
        <f t="shared" si="354"/>
        <v>2051-05-21 14:59:59</v>
      </c>
    </row>
    <row r="340" spans="2:15" x14ac:dyDescent="0.3">
      <c r="B340" s="23">
        <f t="shared" si="355"/>
        <v>55294.708333333336</v>
      </c>
      <c r="C340" s="23">
        <f t="shared" ref="C340" si="367">B340+($P$3*7)+$Q$3-TIME($G$3,0,1)</f>
        <v>55308.62498842593</v>
      </c>
      <c r="I340" t="str">
        <f t="shared" si="349"/>
        <v>2051-05-21</v>
      </c>
      <c r="J340" t="str">
        <f t="shared" si="350"/>
        <v>2051-06-04</v>
      </c>
      <c r="K340" s="24" t="str">
        <f t="shared" si="351"/>
        <v>17:00:00</v>
      </c>
      <c r="L340" s="24" t="str">
        <f t="shared" si="352"/>
        <v>14:59:59</v>
      </c>
      <c r="N340" s="25" t="str">
        <f t="shared" si="354"/>
        <v>2051-05-21 17:00:00</v>
      </c>
      <c r="O340" s="25" t="str">
        <f t="shared" si="354"/>
        <v>2051-06-04 14:59:59</v>
      </c>
    </row>
    <row r="341" spans="2:15" x14ac:dyDescent="0.3">
      <c r="B341" s="23">
        <f t="shared" si="355"/>
        <v>55308.708333333336</v>
      </c>
      <c r="C341" s="23">
        <f t="shared" ref="C341" si="368">B341+($E$3*7)+$F$3-TIME($G$3,0,1)</f>
        <v>55364.62498842593</v>
      </c>
      <c r="I341" t="str">
        <f t="shared" si="349"/>
        <v>2051-06-04</v>
      </c>
      <c r="J341" t="str">
        <f t="shared" si="350"/>
        <v>2051-07-30</v>
      </c>
      <c r="K341" s="24" t="str">
        <f t="shared" si="351"/>
        <v>17:00:00</v>
      </c>
      <c r="L341" s="24" t="str">
        <f t="shared" si="352"/>
        <v>14:59:59</v>
      </c>
      <c r="N341" s="25" t="str">
        <f t="shared" si="354"/>
        <v>2051-06-04 17:00:00</v>
      </c>
      <c r="O341" s="25" t="str">
        <f t="shared" si="354"/>
        <v>2051-07-30 14:59:59</v>
      </c>
    </row>
    <row r="342" spans="2:15" x14ac:dyDescent="0.3">
      <c r="B342" s="23">
        <f t="shared" si="355"/>
        <v>55364.708333333336</v>
      </c>
      <c r="C342" s="23">
        <f t="shared" ref="C342" si="369">B342+($P$3*7)+$Q$3-TIME($G$3,0,1)</f>
        <v>55378.62498842593</v>
      </c>
      <c r="I342" t="str">
        <f t="shared" si="349"/>
        <v>2051-07-30</v>
      </c>
      <c r="J342" t="str">
        <f t="shared" si="350"/>
        <v>2051-08-13</v>
      </c>
      <c r="K342" s="24" t="str">
        <f t="shared" si="351"/>
        <v>17:00:00</v>
      </c>
      <c r="L342" s="24" t="str">
        <f t="shared" si="352"/>
        <v>14:59:59</v>
      </c>
      <c r="N342" s="25" t="str">
        <f t="shared" si="354"/>
        <v>2051-07-30 17:00:00</v>
      </c>
      <c r="O342" s="25" t="str">
        <f t="shared" si="354"/>
        <v>2051-08-13 14:59:59</v>
      </c>
    </row>
    <row r="343" spans="2:15" x14ac:dyDescent="0.3">
      <c r="B343" s="23">
        <f t="shared" si="355"/>
        <v>55378.708333333336</v>
      </c>
      <c r="C343" s="23">
        <f t="shared" ref="C343" si="370">B343+($E$3*7)+$F$3-TIME($G$3,0,1)</f>
        <v>55434.62498842593</v>
      </c>
      <c r="I343" t="str">
        <f t="shared" si="349"/>
        <v>2051-08-13</v>
      </c>
      <c r="J343" t="str">
        <f t="shared" si="350"/>
        <v>2051-10-08</v>
      </c>
      <c r="K343" s="24" t="str">
        <f t="shared" si="351"/>
        <v>17:00:00</v>
      </c>
      <c r="L343" s="24" t="str">
        <f t="shared" si="352"/>
        <v>14:59:59</v>
      </c>
      <c r="N343" s="25" t="str">
        <f t="shared" si="354"/>
        <v>2051-08-13 17:00:00</v>
      </c>
      <c r="O343" s="25" t="str">
        <f t="shared" si="354"/>
        <v>2051-10-08 14:59:59</v>
      </c>
    </row>
    <row r="344" spans="2:15" x14ac:dyDescent="0.3">
      <c r="B344" s="23">
        <f t="shared" si="355"/>
        <v>55434.708333333336</v>
      </c>
      <c r="C344" s="23">
        <f t="shared" ref="C344" si="371">B344+($P$3*7)+$Q$3-TIME($G$3,0,1)</f>
        <v>55448.62498842593</v>
      </c>
      <c r="I344" t="str">
        <f t="shared" si="349"/>
        <v>2051-10-08</v>
      </c>
      <c r="J344" t="str">
        <f t="shared" si="350"/>
        <v>2051-10-22</v>
      </c>
      <c r="K344" s="24" t="str">
        <f t="shared" si="351"/>
        <v>17:00:00</v>
      </c>
      <c r="L344" s="24" t="str">
        <f t="shared" si="352"/>
        <v>14:59:59</v>
      </c>
      <c r="N344" s="25" t="str">
        <f t="shared" si="354"/>
        <v>2051-10-08 17:00:00</v>
      </c>
      <c r="O344" s="25" t="str">
        <f t="shared" si="354"/>
        <v>2051-10-22 14:59:59</v>
      </c>
    </row>
    <row r="345" spans="2:15" x14ac:dyDescent="0.3">
      <c r="B345" s="23">
        <f t="shared" si="355"/>
        <v>55448.708333333336</v>
      </c>
      <c r="C345" s="23">
        <f t="shared" ref="C345" si="372">B345+($E$3*7)+$F$3-TIME($G$3,0,1)</f>
        <v>55504.62498842593</v>
      </c>
      <c r="I345" t="str">
        <f t="shared" si="349"/>
        <v>2051-10-22</v>
      </c>
      <c r="J345" t="str">
        <f t="shared" si="350"/>
        <v>2051-12-17</v>
      </c>
      <c r="K345" s="24" t="str">
        <f t="shared" si="351"/>
        <v>17:00:00</v>
      </c>
      <c r="L345" s="24" t="str">
        <f t="shared" si="352"/>
        <v>14:59:59</v>
      </c>
      <c r="N345" s="25" t="str">
        <f t="shared" si="354"/>
        <v>2051-10-22 17:00:00</v>
      </c>
      <c r="O345" s="25" t="str">
        <f t="shared" si="354"/>
        <v>2051-12-17 14:59:59</v>
      </c>
    </row>
    <row r="346" spans="2:15" x14ac:dyDescent="0.3">
      <c r="B346" s="23">
        <f t="shared" si="355"/>
        <v>55504.708333333336</v>
      </c>
      <c r="C346" s="23">
        <f t="shared" ref="C346" si="373">B346+($P$3*7)+$Q$3-TIME($G$3,0,1)</f>
        <v>55518.62498842593</v>
      </c>
      <c r="I346" t="str">
        <f t="shared" si="349"/>
        <v>2051-12-17</v>
      </c>
      <c r="J346" t="str">
        <f t="shared" si="350"/>
        <v>2051-12-31</v>
      </c>
      <c r="K346" s="24" t="str">
        <f t="shared" si="351"/>
        <v>17:00:00</v>
      </c>
      <c r="L346" s="24" t="str">
        <f t="shared" si="352"/>
        <v>14:59:59</v>
      </c>
      <c r="N346" s="25" t="str">
        <f t="shared" si="354"/>
        <v>2051-12-17 17:00:00</v>
      </c>
      <c r="O346" s="25" t="str">
        <f t="shared" si="354"/>
        <v>2051-12-31 14:59:59</v>
      </c>
    </row>
    <row r="347" spans="2:15" x14ac:dyDescent="0.3">
      <c r="B347" s="23">
        <f t="shared" si="355"/>
        <v>55518.708333333336</v>
      </c>
      <c r="C347" s="23">
        <f t="shared" ref="C347" si="374">B347+($E$3*7)+$F$3-TIME($G$3,0,1)</f>
        <v>55574.62498842593</v>
      </c>
      <c r="I347" t="str">
        <f t="shared" si="349"/>
        <v>2051-12-31</v>
      </c>
      <c r="J347" t="str">
        <f t="shared" si="350"/>
        <v>2052-02-25</v>
      </c>
      <c r="K347" s="24" t="str">
        <f t="shared" si="351"/>
        <v>17:00:00</v>
      </c>
      <c r="L347" s="24" t="str">
        <f t="shared" si="352"/>
        <v>14:59:59</v>
      </c>
      <c r="N347" s="25" t="str">
        <f t="shared" si="354"/>
        <v>2051-12-31 17:00:00</v>
      </c>
      <c r="O347" s="25" t="str">
        <f t="shared" si="354"/>
        <v>2052-02-25 14:59:59</v>
      </c>
    </row>
    <row r="348" spans="2:15" x14ac:dyDescent="0.3">
      <c r="B348" s="23">
        <f t="shared" si="355"/>
        <v>55574.708333333336</v>
      </c>
      <c r="C348" s="23">
        <f t="shared" ref="C348" si="375">B348+($P$3*7)+$Q$3-TIME($G$3,0,1)</f>
        <v>55588.62498842593</v>
      </c>
      <c r="I348" t="str">
        <f t="shared" si="349"/>
        <v>2052-02-25</v>
      </c>
      <c r="J348" t="str">
        <f t="shared" si="350"/>
        <v>2052-03-10</v>
      </c>
      <c r="K348" s="24" t="str">
        <f t="shared" si="351"/>
        <v>17:00:00</v>
      </c>
      <c r="L348" s="24" t="str">
        <f t="shared" si="352"/>
        <v>14:59:59</v>
      </c>
      <c r="N348" s="25" t="str">
        <f t="shared" si="354"/>
        <v>2052-02-25 17:00:00</v>
      </c>
      <c r="O348" s="25" t="str">
        <f t="shared" si="354"/>
        <v>2052-03-10 14:59:59</v>
      </c>
    </row>
    <row r="349" spans="2:15" x14ac:dyDescent="0.3">
      <c r="B349" s="23">
        <f t="shared" si="355"/>
        <v>55588.708333333336</v>
      </c>
      <c r="C349" s="23">
        <f t="shared" ref="C349" si="376">B349+($E$3*7)+$F$3-TIME($G$3,0,1)</f>
        <v>55644.62498842593</v>
      </c>
      <c r="I349" t="str">
        <f t="shared" si="349"/>
        <v>2052-03-10</v>
      </c>
      <c r="J349" t="str">
        <f t="shared" si="350"/>
        <v>2052-05-05</v>
      </c>
      <c r="K349" s="24" t="str">
        <f t="shared" si="351"/>
        <v>17:00:00</v>
      </c>
      <c r="L349" s="24" t="str">
        <f t="shared" si="352"/>
        <v>14:59:59</v>
      </c>
      <c r="N349" s="25" t="str">
        <f t="shared" si="354"/>
        <v>2052-03-10 17:00:00</v>
      </c>
      <c r="O349" s="25" t="str">
        <f t="shared" si="354"/>
        <v>2052-05-05 14:59:59</v>
      </c>
    </row>
    <row r="350" spans="2:15" x14ac:dyDescent="0.3">
      <c r="B350" s="23">
        <f t="shared" si="355"/>
        <v>55644.708333333336</v>
      </c>
      <c r="C350" s="23">
        <f t="shared" ref="C350" si="377">B350+($P$3*7)+$Q$3-TIME($G$3,0,1)</f>
        <v>55658.62498842593</v>
      </c>
      <c r="I350" t="str">
        <f t="shared" si="349"/>
        <v>2052-05-05</v>
      </c>
      <c r="J350" t="str">
        <f t="shared" si="350"/>
        <v>2052-05-19</v>
      </c>
      <c r="K350" s="24" t="str">
        <f t="shared" si="351"/>
        <v>17:00:00</v>
      </c>
      <c r="L350" s="24" t="str">
        <f t="shared" si="352"/>
        <v>14:59:59</v>
      </c>
      <c r="N350" s="25" t="str">
        <f t="shared" si="354"/>
        <v>2052-05-05 17:00:00</v>
      </c>
      <c r="O350" s="25" t="str">
        <f t="shared" si="354"/>
        <v>2052-05-19 14:59:59</v>
      </c>
    </row>
    <row r="351" spans="2:15" x14ac:dyDescent="0.3">
      <c r="B351" s="23">
        <f t="shared" si="355"/>
        <v>55658.708333333336</v>
      </c>
      <c r="C351" s="23">
        <f t="shared" ref="C351" si="378">B351+($E$3*7)+$F$3-TIME($G$3,0,1)</f>
        <v>55714.62498842593</v>
      </c>
      <c r="I351" t="str">
        <f t="shared" si="349"/>
        <v>2052-05-19</v>
      </c>
      <c r="J351" t="str">
        <f t="shared" si="350"/>
        <v>2052-07-14</v>
      </c>
      <c r="K351" s="24" t="str">
        <f t="shared" si="351"/>
        <v>17:00:00</v>
      </c>
      <c r="L351" s="24" t="str">
        <f t="shared" si="352"/>
        <v>14:59:59</v>
      </c>
      <c r="N351" s="25" t="str">
        <f t="shared" si="354"/>
        <v>2052-05-19 17:00:00</v>
      </c>
      <c r="O351" s="25" t="str">
        <f t="shared" si="354"/>
        <v>2052-07-14 14:59:59</v>
      </c>
    </row>
    <row r="352" spans="2:15" x14ac:dyDescent="0.3">
      <c r="B352" s="23">
        <f t="shared" si="355"/>
        <v>55714.708333333336</v>
      </c>
      <c r="C352" s="23">
        <f t="shared" ref="C352" si="379">B352+($P$3*7)+$Q$3-TIME($G$3,0,1)</f>
        <v>55728.62498842593</v>
      </c>
      <c r="I352" t="str">
        <f t="shared" si="349"/>
        <v>2052-07-14</v>
      </c>
      <c r="J352" t="str">
        <f t="shared" si="350"/>
        <v>2052-07-28</v>
      </c>
      <c r="K352" s="24" t="str">
        <f t="shared" si="351"/>
        <v>17:00:00</v>
      </c>
      <c r="L352" s="24" t="str">
        <f t="shared" si="352"/>
        <v>14:59:59</v>
      </c>
      <c r="N352" s="25" t="str">
        <f t="shared" si="354"/>
        <v>2052-07-14 17:00:00</v>
      </c>
      <c r="O352" s="25" t="str">
        <f t="shared" si="354"/>
        <v>2052-07-28 14:59:59</v>
      </c>
    </row>
    <row r="353" spans="2:15" x14ac:dyDescent="0.3">
      <c r="B353" s="23">
        <f t="shared" si="355"/>
        <v>55728.708333333336</v>
      </c>
      <c r="C353" s="23">
        <f t="shared" ref="C353" si="380">B353+($E$3*7)+$F$3-TIME($G$3,0,1)</f>
        <v>55784.62498842593</v>
      </c>
      <c r="I353" t="str">
        <f t="shared" si="349"/>
        <v>2052-07-28</v>
      </c>
      <c r="J353" t="str">
        <f t="shared" si="350"/>
        <v>2052-09-22</v>
      </c>
      <c r="K353" s="24" t="str">
        <f t="shared" si="351"/>
        <v>17:00:00</v>
      </c>
      <c r="L353" s="24" t="str">
        <f t="shared" si="352"/>
        <v>14:59:59</v>
      </c>
      <c r="N353" s="25" t="str">
        <f t="shared" si="354"/>
        <v>2052-07-28 17:00:00</v>
      </c>
      <c r="O353" s="25" t="str">
        <f t="shared" si="354"/>
        <v>2052-09-22 14:59:59</v>
      </c>
    </row>
    <row r="354" spans="2:15" x14ac:dyDescent="0.3">
      <c r="B354" s="23">
        <f t="shared" si="355"/>
        <v>55784.708333333336</v>
      </c>
      <c r="C354" s="23">
        <f t="shared" ref="C354" si="381">B354+($P$3*7)+$Q$3-TIME($G$3,0,1)</f>
        <v>55798.62498842593</v>
      </c>
      <c r="I354" t="str">
        <f t="shared" si="349"/>
        <v>2052-09-22</v>
      </c>
      <c r="J354" t="str">
        <f t="shared" si="350"/>
        <v>2052-10-06</v>
      </c>
      <c r="K354" s="24" t="str">
        <f t="shared" si="351"/>
        <v>17:00:00</v>
      </c>
      <c r="L354" s="24" t="str">
        <f t="shared" si="352"/>
        <v>14:59:59</v>
      </c>
      <c r="N354" s="25" t="str">
        <f t="shared" si="354"/>
        <v>2052-09-22 17:00:00</v>
      </c>
      <c r="O354" s="25" t="str">
        <f t="shared" si="354"/>
        <v>2052-10-06 14:59:59</v>
      </c>
    </row>
    <row r="355" spans="2:15" x14ac:dyDescent="0.3">
      <c r="B355" s="23">
        <f t="shared" si="355"/>
        <v>55798.708333333336</v>
      </c>
      <c r="C355" s="23">
        <f t="shared" ref="C355" si="382">B355+($E$3*7)+$F$3-TIME($G$3,0,1)</f>
        <v>55854.62498842593</v>
      </c>
      <c r="I355" t="str">
        <f t="shared" si="349"/>
        <v>2052-10-06</v>
      </c>
      <c r="J355" t="str">
        <f t="shared" si="350"/>
        <v>2052-12-01</v>
      </c>
      <c r="K355" s="24" t="str">
        <f t="shared" si="351"/>
        <v>17:00:00</v>
      </c>
      <c r="L355" s="24" t="str">
        <f t="shared" si="352"/>
        <v>14:59:59</v>
      </c>
      <c r="N355" s="25" t="str">
        <f t="shared" si="354"/>
        <v>2052-10-06 17:00:00</v>
      </c>
      <c r="O355" s="25" t="str">
        <f t="shared" si="354"/>
        <v>2052-12-01 14:59:59</v>
      </c>
    </row>
    <row r="356" spans="2:15" x14ac:dyDescent="0.3">
      <c r="B356" s="23">
        <f t="shared" si="355"/>
        <v>55854.708333333336</v>
      </c>
      <c r="C356" s="23">
        <f t="shared" ref="C356" si="383">B356+($P$3*7)+$Q$3-TIME($G$3,0,1)</f>
        <v>55868.62498842593</v>
      </c>
      <c r="I356" t="str">
        <f t="shared" si="349"/>
        <v>2052-12-01</v>
      </c>
      <c r="J356" t="str">
        <f t="shared" si="350"/>
        <v>2052-12-15</v>
      </c>
      <c r="K356" s="24" t="str">
        <f t="shared" si="351"/>
        <v>17:00:00</v>
      </c>
      <c r="L356" s="24" t="str">
        <f t="shared" si="352"/>
        <v>14:59:59</v>
      </c>
      <c r="N356" s="25" t="str">
        <f t="shared" si="354"/>
        <v>2052-12-01 17:00:00</v>
      </c>
      <c r="O356" s="25" t="str">
        <f t="shared" si="354"/>
        <v>2052-12-15 14:59:59</v>
      </c>
    </row>
    <row r="357" spans="2:15" x14ac:dyDescent="0.3">
      <c r="B357" s="23">
        <f t="shared" si="355"/>
        <v>55868.708333333336</v>
      </c>
      <c r="C357" s="23">
        <f t="shared" ref="C357" si="384">B357+($E$3*7)+$F$3-TIME($G$3,0,1)</f>
        <v>55924.62498842593</v>
      </c>
      <c r="I357" t="str">
        <f t="shared" si="349"/>
        <v>2052-12-15</v>
      </c>
      <c r="J357" t="str">
        <f t="shared" si="350"/>
        <v>2053-02-09</v>
      </c>
      <c r="K357" s="24" t="str">
        <f t="shared" si="351"/>
        <v>17:00:00</v>
      </c>
      <c r="L357" s="24" t="str">
        <f t="shared" si="352"/>
        <v>14:59:59</v>
      </c>
      <c r="N357" s="25" t="str">
        <f t="shared" si="354"/>
        <v>2052-12-15 17:00:00</v>
      </c>
      <c r="O357" s="25" t="str">
        <f t="shared" si="354"/>
        <v>2053-02-09 14:59:59</v>
      </c>
    </row>
    <row r="358" spans="2:15" x14ac:dyDescent="0.3">
      <c r="B358" s="23">
        <f t="shared" si="355"/>
        <v>55924.708333333336</v>
      </c>
      <c r="C358" s="23">
        <f t="shared" ref="C358" si="385">B358+($P$3*7)+$Q$3-TIME($G$3,0,1)</f>
        <v>55938.62498842593</v>
      </c>
      <c r="I358" t="str">
        <f t="shared" si="349"/>
        <v>2053-02-09</v>
      </c>
      <c r="J358" t="str">
        <f t="shared" si="350"/>
        <v>2053-02-23</v>
      </c>
      <c r="K358" s="24" t="str">
        <f t="shared" si="351"/>
        <v>17:00:00</v>
      </c>
      <c r="L358" s="24" t="str">
        <f t="shared" si="352"/>
        <v>14:59:59</v>
      </c>
      <c r="N358" s="25" t="str">
        <f t="shared" si="354"/>
        <v>2053-02-09 17:00:00</v>
      </c>
      <c r="O358" s="25" t="str">
        <f t="shared" si="354"/>
        <v>2053-02-23 14:59:59</v>
      </c>
    </row>
    <row r="359" spans="2:15" x14ac:dyDescent="0.3">
      <c r="B359" s="23">
        <f t="shared" si="355"/>
        <v>55938.708333333336</v>
      </c>
      <c r="C359" s="23">
        <f t="shared" ref="C359" si="386">B359+($E$3*7)+$F$3-TIME($G$3,0,1)</f>
        <v>55994.62498842593</v>
      </c>
      <c r="I359" t="str">
        <f t="shared" si="349"/>
        <v>2053-02-23</v>
      </c>
      <c r="J359" t="str">
        <f t="shared" si="350"/>
        <v>2053-04-20</v>
      </c>
      <c r="K359" s="24" t="str">
        <f t="shared" si="351"/>
        <v>17:00:00</v>
      </c>
      <c r="L359" s="24" t="str">
        <f t="shared" si="352"/>
        <v>14:59:59</v>
      </c>
      <c r="N359" s="25" t="str">
        <f t="shared" si="354"/>
        <v>2053-02-23 17:00:00</v>
      </c>
      <c r="O359" s="25" t="str">
        <f t="shared" si="354"/>
        <v>2053-04-20 14:59:59</v>
      </c>
    </row>
    <row r="360" spans="2:15" x14ac:dyDescent="0.3">
      <c r="B360" s="23">
        <f t="shared" si="355"/>
        <v>55994.708333333336</v>
      </c>
      <c r="C360" s="23">
        <f t="shared" ref="C360" si="387">B360+($P$3*7)+$Q$3-TIME($G$3,0,1)</f>
        <v>56008.62498842593</v>
      </c>
      <c r="I360" t="str">
        <f t="shared" si="349"/>
        <v>2053-04-20</v>
      </c>
      <c r="J360" t="str">
        <f t="shared" si="350"/>
        <v>2053-05-04</v>
      </c>
      <c r="K360" s="24" t="str">
        <f t="shared" si="351"/>
        <v>17:00:00</v>
      </c>
      <c r="L360" s="24" t="str">
        <f t="shared" si="352"/>
        <v>14:59:59</v>
      </c>
      <c r="N360" s="25" t="str">
        <f t="shared" si="354"/>
        <v>2053-04-20 17:00:00</v>
      </c>
      <c r="O360" s="25" t="str">
        <f t="shared" si="354"/>
        <v>2053-05-04 14:59:59</v>
      </c>
    </row>
    <row r="361" spans="2:15" x14ac:dyDescent="0.3">
      <c r="B361" s="23">
        <f t="shared" si="355"/>
        <v>56008.708333333336</v>
      </c>
      <c r="C361" s="23">
        <f t="shared" ref="C361" si="388">B361+($E$3*7)+$F$3-TIME($G$3,0,1)</f>
        <v>56064.62498842593</v>
      </c>
      <c r="I361" t="str">
        <f t="shared" si="349"/>
        <v>2053-05-04</v>
      </c>
      <c r="J361" t="str">
        <f t="shared" si="350"/>
        <v>2053-06-29</v>
      </c>
      <c r="K361" s="24" t="str">
        <f t="shared" si="351"/>
        <v>17:00:00</v>
      </c>
      <c r="L361" s="24" t="str">
        <f t="shared" si="352"/>
        <v>14:59:59</v>
      </c>
      <c r="N361" s="25" t="str">
        <f t="shared" si="354"/>
        <v>2053-05-04 17:00:00</v>
      </c>
      <c r="O361" s="25" t="str">
        <f t="shared" si="354"/>
        <v>2053-06-29 14:59:59</v>
      </c>
    </row>
    <row r="362" spans="2:15" x14ac:dyDescent="0.3">
      <c r="B362" s="23">
        <f t="shared" si="355"/>
        <v>56064.708333333336</v>
      </c>
      <c r="C362" s="23">
        <f t="shared" ref="C362" si="389">B362+($P$3*7)+$Q$3-TIME($G$3,0,1)</f>
        <v>56078.62498842593</v>
      </c>
      <c r="I362" t="str">
        <f t="shared" si="349"/>
        <v>2053-06-29</v>
      </c>
      <c r="J362" t="str">
        <f t="shared" si="350"/>
        <v>2053-07-13</v>
      </c>
      <c r="K362" s="24" t="str">
        <f t="shared" si="351"/>
        <v>17:00:00</v>
      </c>
      <c r="L362" s="24" t="str">
        <f t="shared" si="352"/>
        <v>14:59:59</v>
      </c>
      <c r="N362" s="25" t="str">
        <f t="shared" si="354"/>
        <v>2053-06-29 17:00:00</v>
      </c>
      <c r="O362" s="25" t="str">
        <f t="shared" si="354"/>
        <v>2053-07-13 14:59:59</v>
      </c>
    </row>
    <row r="363" spans="2:15" x14ac:dyDescent="0.3">
      <c r="B363" s="23">
        <f t="shared" si="355"/>
        <v>56078.708333333336</v>
      </c>
      <c r="C363" s="23">
        <f t="shared" ref="C363" si="390">B363+($E$3*7)+$F$3-TIME($G$3,0,1)</f>
        <v>56134.62498842593</v>
      </c>
      <c r="I363" t="str">
        <f t="shared" si="349"/>
        <v>2053-07-13</v>
      </c>
      <c r="J363" t="str">
        <f t="shared" si="350"/>
        <v>2053-09-07</v>
      </c>
      <c r="K363" s="24" t="str">
        <f t="shared" si="351"/>
        <v>17:00:00</v>
      </c>
      <c r="L363" s="24" t="str">
        <f t="shared" si="352"/>
        <v>14:59:59</v>
      </c>
      <c r="N363" s="25" t="str">
        <f t="shared" si="354"/>
        <v>2053-07-13 17:00:00</v>
      </c>
      <c r="O363" s="25" t="str">
        <f t="shared" si="354"/>
        <v>2053-09-07 14:59:59</v>
      </c>
    </row>
    <row r="364" spans="2:15" x14ac:dyDescent="0.3">
      <c r="B364" s="23">
        <f t="shared" si="355"/>
        <v>56134.708333333336</v>
      </c>
      <c r="C364" s="23">
        <f t="shared" ref="C364" si="391">B364+($P$3*7)+$Q$3-TIME($G$3,0,1)</f>
        <v>56148.62498842593</v>
      </c>
      <c r="I364" t="str">
        <f t="shared" si="349"/>
        <v>2053-09-07</v>
      </c>
      <c r="J364" t="str">
        <f t="shared" si="350"/>
        <v>2053-09-21</v>
      </c>
      <c r="K364" s="24" t="str">
        <f t="shared" si="351"/>
        <v>17:00:00</v>
      </c>
      <c r="L364" s="24" t="str">
        <f t="shared" si="352"/>
        <v>14:59:59</v>
      </c>
      <c r="N364" s="25" t="str">
        <f t="shared" si="354"/>
        <v>2053-09-07 17:00:00</v>
      </c>
      <c r="O364" s="25" t="str">
        <f t="shared" si="354"/>
        <v>2053-09-21 14:59:59</v>
      </c>
    </row>
    <row r="365" spans="2:15" x14ac:dyDescent="0.3">
      <c r="B365" s="23">
        <f t="shared" si="355"/>
        <v>56148.708333333336</v>
      </c>
      <c r="C365" s="23">
        <f t="shared" ref="C365" si="392">B365+($E$3*7)+$F$3-TIME($G$3,0,1)</f>
        <v>56204.62498842593</v>
      </c>
      <c r="I365" t="str">
        <f t="shared" si="349"/>
        <v>2053-09-21</v>
      </c>
      <c r="J365" t="str">
        <f t="shared" si="350"/>
        <v>2053-11-16</v>
      </c>
      <c r="K365" s="24" t="str">
        <f t="shared" si="351"/>
        <v>17:00:00</v>
      </c>
      <c r="L365" s="24" t="str">
        <f t="shared" si="352"/>
        <v>14:59:59</v>
      </c>
      <c r="N365" s="25" t="str">
        <f t="shared" si="354"/>
        <v>2053-09-21 17:00:00</v>
      </c>
      <c r="O365" s="25" t="str">
        <f t="shared" si="354"/>
        <v>2053-11-16 14:59:59</v>
      </c>
    </row>
    <row r="366" spans="2:15" x14ac:dyDescent="0.3">
      <c r="B366" s="23">
        <f t="shared" si="355"/>
        <v>56204.708333333336</v>
      </c>
      <c r="C366" s="23">
        <f t="shared" ref="C366" si="393">B366+($P$3*7)+$Q$3-TIME($G$3,0,1)</f>
        <v>56218.62498842593</v>
      </c>
      <c r="I366" t="str">
        <f t="shared" si="349"/>
        <v>2053-11-16</v>
      </c>
      <c r="J366" t="str">
        <f t="shared" si="350"/>
        <v>2053-11-30</v>
      </c>
      <c r="K366" s="24" t="str">
        <f t="shared" si="351"/>
        <v>17:00:00</v>
      </c>
      <c r="L366" s="24" t="str">
        <f t="shared" si="352"/>
        <v>14:59:59</v>
      </c>
      <c r="N366" s="25" t="str">
        <f t="shared" si="354"/>
        <v>2053-11-16 17:00:00</v>
      </c>
      <c r="O366" s="25" t="str">
        <f t="shared" si="354"/>
        <v>2053-11-30 14:59:59</v>
      </c>
    </row>
    <row r="367" spans="2:15" x14ac:dyDescent="0.3">
      <c r="B367" s="23">
        <f t="shared" si="355"/>
        <v>56218.708333333336</v>
      </c>
      <c r="C367" s="23">
        <f t="shared" ref="C367" si="394">B367+($E$3*7)+$F$3-TIME($G$3,0,1)</f>
        <v>56274.62498842593</v>
      </c>
      <c r="I367" t="str">
        <f t="shared" si="349"/>
        <v>2053-11-30</v>
      </c>
      <c r="J367" t="str">
        <f t="shared" si="350"/>
        <v>2054-01-25</v>
      </c>
      <c r="K367" s="24" t="str">
        <f t="shared" si="351"/>
        <v>17:00:00</v>
      </c>
      <c r="L367" s="24" t="str">
        <f t="shared" si="352"/>
        <v>14:59:59</v>
      </c>
      <c r="N367" s="25" t="str">
        <f t="shared" si="354"/>
        <v>2053-11-30 17:00:00</v>
      </c>
      <c r="O367" s="25" t="str">
        <f t="shared" si="354"/>
        <v>2054-01-25 14:59:59</v>
      </c>
    </row>
    <row r="368" spans="2:15" x14ac:dyDescent="0.3">
      <c r="B368" s="23">
        <f t="shared" si="355"/>
        <v>56274.708333333336</v>
      </c>
      <c r="C368" s="23">
        <f t="shared" ref="C368" si="395">B368+($P$3*7)+$Q$3-TIME($G$3,0,1)</f>
        <v>56288.62498842593</v>
      </c>
      <c r="I368" t="str">
        <f t="shared" si="349"/>
        <v>2054-01-25</v>
      </c>
      <c r="J368" t="str">
        <f t="shared" si="350"/>
        <v>2054-02-08</v>
      </c>
      <c r="K368" s="24" t="str">
        <f t="shared" si="351"/>
        <v>17:00:00</v>
      </c>
      <c r="L368" s="24" t="str">
        <f t="shared" si="352"/>
        <v>14:59:59</v>
      </c>
      <c r="N368" s="25" t="str">
        <f t="shared" si="354"/>
        <v>2054-01-25 17:00:00</v>
      </c>
      <c r="O368" s="25" t="str">
        <f t="shared" si="354"/>
        <v>2054-02-08 14:59:59</v>
      </c>
    </row>
    <row r="369" spans="2:15" x14ac:dyDescent="0.3">
      <c r="B369" s="23">
        <f t="shared" si="355"/>
        <v>56288.708333333336</v>
      </c>
      <c r="C369" s="23">
        <f t="shared" ref="C369" si="396">B369+($E$3*7)+$F$3-TIME($G$3,0,1)</f>
        <v>56344.62498842593</v>
      </c>
      <c r="I369" t="str">
        <f t="shared" si="349"/>
        <v>2054-02-08</v>
      </c>
      <c r="J369" t="str">
        <f t="shared" si="350"/>
        <v>2054-04-05</v>
      </c>
      <c r="K369" s="24" t="str">
        <f t="shared" si="351"/>
        <v>17:00:00</v>
      </c>
      <c r="L369" s="24" t="str">
        <f t="shared" si="352"/>
        <v>14:59:59</v>
      </c>
      <c r="N369" s="25" t="str">
        <f t="shared" si="354"/>
        <v>2054-02-08 17:00:00</v>
      </c>
      <c r="O369" s="25" t="str">
        <f t="shared" si="354"/>
        <v>2054-04-05 14:59:59</v>
      </c>
    </row>
    <row r="370" spans="2:15" x14ac:dyDescent="0.3">
      <c r="B370" s="23">
        <f t="shared" si="355"/>
        <v>56344.708333333336</v>
      </c>
      <c r="C370" s="23">
        <f t="shared" ref="C370" si="397">B370+($P$3*7)+$Q$3-TIME($G$3,0,1)</f>
        <v>56358.62498842593</v>
      </c>
      <c r="I370" t="str">
        <f t="shared" si="349"/>
        <v>2054-04-05</v>
      </c>
      <c r="J370" t="str">
        <f t="shared" si="350"/>
        <v>2054-04-19</v>
      </c>
      <c r="K370" s="24" t="str">
        <f t="shared" si="351"/>
        <v>17:00:00</v>
      </c>
      <c r="L370" s="24" t="str">
        <f t="shared" si="352"/>
        <v>14:59:59</v>
      </c>
      <c r="N370" s="25" t="str">
        <f t="shared" si="354"/>
        <v>2054-04-05 17:00:00</v>
      </c>
      <c r="O370" s="25" t="str">
        <f t="shared" si="354"/>
        <v>2054-04-19 14:59:59</v>
      </c>
    </row>
    <row r="371" spans="2:15" x14ac:dyDescent="0.3">
      <c r="B371" s="23">
        <f t="shared" si="355"/>
        <v>56358.708333333336</v>
      </c>
      <c r="C371" s="23">
        <f t="shared" ref="C371" si="398">B371+($E$3*7)+$F$3-TIME($G$3,0,1)</f>
        <v>56414.62498842593</v>
      </c>
      <c r="I371" t="str">
        <f t="shared" si="349"/>
        <v>2054-04-19</v>
      </c>
      <c r="J371" t="str">
        <f t="shared" si="350"/>
        <v>2054-06-14</v>
      </c>
      <c r="K371" s="24" t="str">
        <f t="shared" si="351"/>
        <v>17:00:00</v>
      </c>
      <c r="L371" s="24" t="str">
        <f t="shared" si="352"/>
        <v>14:59:59</v>
      </c>
      <c r="N371" s="25" t="str">
        <f t="shared" si="354"/>
        <v>2054-04-19 17:00:00</v>
      </c>
      <c r="O371" s="25" t="str">
        <f t="shared" si="354"/>
        <v>2054-06-14 14:59:59</v>
      </c>
    </row>
    <row r="372" spans="2:15" x14ac:dyDescent="0.3">
      <c r="B372" s="23">
        <f t="shared" si="355"/>
        <v>56414.708333333336</v>
      </c>
      <c r="C372" s="23">
        <f t="shared" ref="C372" si="399">B372+($P$3*7)+$Q$3-TIME($G$3,0,1)</f>
        <v>56428.62498842593</v>
      </c>
      <c r="I372" t="str">
        <f t="shared" si="349"/>
        <v>2054-06-14</v>
      </c>
      <c r="J372" t="str">
        <f t="shared" si="350"/>
        <v>2054-06-28</v>
      </c>
      <c r="K372" s="24" t="str">
        <f t="shared" si="351"/>
        <v>17:00:00</v>
      </c>
      <c r="L372" s="24" t="str">
        <f t="shared" si="352"/>
        <v>14:59:59</v>
      </c>
      <c r="N372" s="25" t="str">
        <f t="shared" si="354"/>
        <v>2054-06-14 17:00:00</v>
      </c>
      <c r="O372" s="25" t="str">
        <f t="shared" si="354"/>
        <v>2054-06-28 14:59:59</v>
      </c>
    </row>
    <row r="373" spans="2:15" x14ac:dyDescent="0.3">
      <c r="B373" s="23">
        <f t="shared" si="355"/>
        <v>56428.708333333336</v>
      </c>
      <c r="C373" s="23">
        <f t="shared" ref="C373" si="400">B373+($E$3*7)+$F$3-TIME($G$3,0,1)</f>
        <v>56484.62498842593</v>
      </c>
      <c r="I373" t="str">
        <f t="shared" si="349"/>
        <v>2054-06-28</v>
      </c>
      <c r="J373" t="str">
        <f t="shared" si="350"/>
        <v>2054-08-23</v>
      </c>
      <c r="K373" s="24" t="str">
        <f t="shared" si="351"/>
        <v>17:00:00</v>
      </c>
      <c r="L373" s="24" t="str">
        <f t="shared" si="352"/>
        <v>14:59:59</v>
      </c>
      <c r="N373" s="25" t="str">
        <f t="shared" si="354"/>
        <v>2054-06-28 17:00:00</v>
      </c>
      <c r="O373" s="25" t="str">
        <f t="shared" si="354"/>
        <v>2054-08-23 14:59:59</v>
      </c>
    </row>
    <row r="374" spans="2:15" x14ac:dyDescent="0.3">
      <c r="B374" s="23">
        <f t="shared" si="355"/>
        <v>56484.708333333336</v>
      </c>
      <c r="C374" s="23">
        <f t="shared" ref="C374" si="401">B374+($P$3*7)+$Q$3-TIME($G$3,0,1)</f>
        <v>56498.62498842593</v>
      </c>
      <c r="I374" t="str">
        <f t="shared" si="349"/>
        <v>2054-08-23</v>
      </c>
      <c r="J374" t="str">
        <f t="shared" si="350"/>
        <v>2054-09-06</v>
      </c>
      <c r="K374" s="24" t="str">
        <f t="shared" si="351"/>
        <v>17:00:00</v>
      </c>
      <c r="L374" s="24" t="str">
        <f t="shared" si="352"/>
        <v>14:59:59</v>
      </c>
      <c r="N374" s="25" t="str">
        <f t="shared" si="354"/>
        <v>2054-08-23 17:00:00</v>
      </c>
      <c r="O374" s="25" t="str">
        <f t="shared" si="354"/>
        <v>2054-09-06 14:59:59</v>
      </c>
    </row>
    <row r="375" spans="2:15" x14ac:dyDescent="0.3">
      <c r="B375" s="23">
        <f t="shared" si="355"/>
        <v>56498.708333333336</v>
      </c>
      <c r="C375" s="23">
        <f t="shared" ref="C375" si="402">B375+($E$3*7)+$F$3-TIME($G$3,0,1)</f>
        <v>56554.62498842593</v>
      </c>
      <c r="I375" t="str">
        <f t="shared" si="349"/>
        <v>2054-09-06</v>
      </c>
      <c r="J375" t="str">
        <f t="shared" si="350"/>
        <v>2054-11-01</v>
      </c>
      <c r="K375" s="24" t="str">
        <f t="shared" si="351"/>
        <v>17:00:00</v>
      </c>
      <c r="L375" s="24" t="str">
        <f t="shared" si="352"/>
        <v>14:59:59</v>
      </c>
      <c r="N375" s="25" t="str">
        <f t="shared" si="354"/>
        <v>2054-09-06 17:00:00</v>
      </c>
      <c r="O375" s="25" t="str">
        <f t="shared" si="354"/>
        <v>2054-11-01 14:59:59</v>
      </c>
    </row>
    <row r="376" spans="2:15" x14ac:dyDescent="0.3">
      <c r="B376" s="23">
        <f t="shared" si="355"/>
        <v>56554.708333333336</v>
      </c>
      <c r="C376" s="23">
        <f t="shared" ref="C376" si="403">B376+($P$3*7)+$Q$3-TIME($G$3,0,1)</f>
        <v>56568.62498842593</v>
      </c>
      <c r="I376" t="str">
        <f t="shared" si="349"/>
        <v>2054-11-01</v>
      </c>
      <c r="J376" t="str">
        <f t="shared" si="350"/>
        <v>2054-11-15</v>
      </c>
      <c r="K376" s="24" t="str">
        <f t="shared" si="351"/>
        <v>17:00:00</v>
      </c>
      <c r="L376" s="24" t="str">
        <f t="shared" si="352"/>
        <v>14:59:59</v>
      </c>
      <c r="N376" s="25" t="str">
        <f t="shared" si="354"/>
        <v>2054-11-01 17:00:00</v>
      </c>
      <c r="O376" s="25" t="str">
        <f t="shared" si="354"/>
        <v>2054-11-15 14:59:59</v>
      </c>
    </row>
    <row r="377" spans="2:15" x14ac:dyDescent="0.3">
      <c r="B377" s="23">
        <f t="shared" si="355"/>
        <v>56568.708333333336</v>
      </c>
      <c r="C377" s="23">
        <f t="shared" ref="C377" si="404">B377+($E$3*7)+$F$3-TIME($G$3,0,1)</f>
        <v>56624.62498842593</v>
      </c>
      <c r="I377" t="str">
        <f t="shared" si="349"/>
        <v>2054-11-15</v>
      </c>
      <c r="J377" t="str">
        <f t="shared" si="350"/>
        <v>2055-01-10</v>
      </c>
      <c r="K377" s="24" t="str">
        <f t="shared" si="351"/>
        <v>17:00:00</v>
      </c>
      <c r="L377" s="24" t="str">
        <f t="shared" si="352"/>
        <v>14:59:59</v>
      </c>
      <c r="N377" s="25" t="str">
        <f t="shared" si="354"/>
        <v>2054-11-15 17:00:00</v>
      </c>
      <c r="O377" s="25" t="str">
        <f t="shared" si="354"/>
        <v>2055-01-10 14:59:59</v>
      </c>
    </row>
    <row r="378" spans="2:15" x14ac:dyDescent="0.3">
      <c r="B378" s="23">
        <f t="shared" si="355"/>
        <v>56624.708333333336</v>
      </c>
      <c r="C378" s="23">
        <f t="shared" ref="C378" si="405">B378+($P$3*7)+$Q$3-TIME($G$3,0,1)</f>
        <v>56638.62498842593</v>
      </c>
      <c r="I378" t="str">
        <f t="shared" si="349"/>
        <v>2055-01-10</v>
      </c>
      <c r="J378" t="str">
        <f t="shared" si="350"/>
        <v>2055-01-24</v>
      </c>
      <c r="K378" s="24" t="str">
        <f t="shared" si="351"/>
        <v>17:00:00</v>
      </c>
      <c r="L378" s="24" t="str">
        <f t="shared" si="352"/>
        <v>14:59:59</v>
      </c>
      <c r="N378" s="25" t="str">
        <f t="shared" si="354"/>
        <v>2055-01-10 17:00:00</v>
      </c>
      <c r="O378" s="25" t="str">
        <f t="shared" si="354"/>
        <v>2055-01-24 14:59:59</v>
      </c>
    </row>
    <row r="379" spans="2:15" x14ac:dyDescent="0.3">
      <c r="B379" s="23">
        <f t="shared" si="355"/>
        <v>56638.708333333336</v>
      </c>
      <c r="C379" s="23">
        <f t="shared" ref="C379" si="406">B379+($E$3*7)+$F$3-TIME($G$3,0,1)</f>
        <v>56694.62498842593</v>
      </c>
      <c r="I379" t="str">
        <f t="shared" si="349"/>
        <v>2055-01-24</v>
      </c>
      <c r="J379" t="str">
        <f t="shared" si="350"/>
        <v>2055-03-21</v>
      </c>
      <c r="K379" s="24" t="str">
        <f t="shared" si="351"/>
        <v>17:00:00</v>
      </c>
      <c r="L379" s="24" t="str">
        <f t="shared" si="352"/>
        <v>14:59:59</v>
      </c>
      <c r="N379" s="25" t="str">
        <f t="shared" si="354"/>
        <v>2055-01-24 17:00:00</v>
      </c>
      <c r="O379" s="25" t="str">
        <f t="shared" si="354"/>
        <v>2055-03-21 14:59:59</v>
      </c>
    </row>
    <row r="380" spans="2:15" x14ac:dyDescent="0.3">
      <c r="B380" s="23">
        <f t="shared" si="355"/>
        <v>56694.708333333336</v>
      </c>
      <c r="C380" s="23">
        <f t="shared" ref="C380" si="407">B380+($P$3*7)+$Q$3-TIME($G$3,0,1)</f>
        <v>56708.62498842593</v>
      </c>
      <c r="I380" t="str">
        <f t="shared" si="349"/>
        <v>2055-03-21</v>
      </c>
      <c r="J380" t="str">
        <f t="shared" si="350"/>
        <v>2055-04-04</v>
      </c>
      <c r="K380" s="24" t="str">
        <f t="shared" si="351"/>
        <v>17:00:00</v>
      </c>
      <c r="L380" s="24" t="str">
        <f t="shared" si="352"/>
        <v>14:59:59</v>
      </c>
      <c r="N380" s="25" t="str">
        <f t="shared" si="354"/>
        <v>2055-03-21 17:00:00</v>
      </c>
      <c r="O380" s="25" t="str">
        <f t="shared" si="354"/>
        <v>2055-04-04 14:59:59</v>
      </c>
    </row>
    <row r="381" spans="2:15" x14ac:dyDescent="0.3">
      <c r="B381" s="23">
        <f t="shared" si="355"/>
        <v>56708.708333333336</v>
      </c>
      <c r="C381" s="23">
        <f t="shared" ref="C381" si="408">B381+($E$3*7)+$F$3-TIME($G$3,0,1)</f>
        <v>56764.62498842593</v>
      </c>
      <c r="I381" t="str">
        <f t="shared" si="349"/>
        <v>2055-04-04</v>
      </c>
      <c r="J381" t="str">
        <f t="shared" si="350"/>
        <v>2055-05-30</v>
      </c>
      <c r="K381" s="24" t="str">
        <f t="shared" si="351"/>
        <v>17:00:00</v>
      </c>
      <c r="L381" s="24" t="str">
        <f t="shared" si="352"/>
        <v>14:59:59</v>
      </c>
      <c r="N381" s="25" t="str">
        <f t="shared" si="354"/>
        <v>2055-04-04 17:00:00</v>
      </c>
      <c r="O381" s="25" t="str">
        <f t="shared" si="354"/>
        <v>2055-05-30 14:59:59</v>
      </c>
    </row>
    <row r="382" spans="2:15" x14ac:dyDescent="0.3">
      <c r="B382" s="23">
        <f t="shared" si="355"/>
        <v>56764.708333333336</v>
      </c>
      <c r="C382" s="23">
        <f t="shared" ref="C382" si="409">B382+($P$3*7)+$Q$3-TIME($G$3,0,1)</f>
        <v>56778.62498842593</v>
      </c>
      <c r="I382" t="str">
        <f t="shared" si="349"/>
        <v>2055-05-30</v>
      </c>
      <c r="J382" t="str">
        <f t="shared" si="350"/>
        <v>2055-06-13</v>
      </c>
      <c r="K382" s="24" t="str">
        <f t="shared" si="351"/>
        <v>17:00:00</v>
      </c>
      <c r="L382" s="24" t="str">
        <f t="shared" si="352"/>
        <v>14:59:59</v>
      </c>
      <c r="N382" s="25" t="str">
        <f t="shared" si="354"/>
        <v>2055-05-30 17:00:00</v>
      </c>
      <c r="O382" s="25" t="str">
        <f t="shared" si="354"/>
        <v>2055-06-13 14:59:59</v>
      </c>
    </row>
    <row r="383" spans="2:15" x14ac:dyDescent="0.3">
      <c r="B383" s="23">
        <f t="shared" si="355"/>
        <v>56778.708333333336</v>
      </c>
      <c r="C383" s="23">
        <f t="shared" ref="C383" si="410">B383+($E$3*7)+$F$3-TIME($G$3,0,1)</f>
        <v>56834.62498842593</v>
      </c>
      <c r="I383" t="str">
        <f t="shared" si="349"/>
        <v>2055-06-13</v>
      </c>
      <c r="J383" t="str">
        <f t="shared" si="350"/>
        <v>2055-08-08</v>
      </c>
      <c r="K383" s="24" t="str">
        <f t="shared" si="351"/>
        <v>17:00:00</v>
      </c>
      <c r="L383" s="24" t="str">
        <f t="shared" si="352"/>
        <v>14:59:59</v>
      </c>
      <c r="N383" s="25" t="str">
        <f t="shared" si="354"/>
        <v>2055-06-13 17:00:00</v>
      </c>
      <c r="O383" s="25" t="str">
        <f t="shared" si="354"/>
        <v>2055-08-08 14:59:59</v>
      </c>
    </row>
    <row r="384" spans="2:15" x14ac:dyDescent="0.3">
      <c r="B384" s="23">
        <f t="shared" si="355"/>
        <v>56834.708333333336</v>
      </c>
      <c r="C384" s="23">
        <f t="shared" ref="C384" si="411">B384+($P$3*7)+$Q$3-TIME($G$3,0,1)</f>
        <v>56848.62498842593</v>
      </c>
      <c r="I384" t="str">
        <f t="shared" si="349"/>
        <v>2055-08-08</v>
      </c>
      <c r="J384" t="str">
        <f t="shared" si="350"/>
        <v>2055-08-22</v>
      </c>
      <c r="K384" s="24" t="str">
        <f t="shared" si="351"/>
        <v>17:00:00</v>
      </c>
      <c r="L384" s="24" t="str">
        <f t="shared" si="352"/>
        <v>14:59:59</v>
      </c>
      <c r="N384" s="25" t="str">
        <f t="shared" si="354"/>
        <v>2055-08-08 17:00:00</v>
      </c>
      <c r="O384" s="25" t="str">
        <f t="shared" si="354"/>
        <v>2055-08-22 14:59:59</v>
      </c>
    </row>
    <row r="385" spans="2:15" x14ac:dyDescent="0.3">
      <c r="B385" s="23">
        <f t="shared" si="355"/>
        <v>56848.708333333336</v>
      </c>
      <c r="C385" s="23">
        <f t="shared" ref="C385" si="412">B385+($E$3*7)+$F$3-TIME($G$3,0,1)</f>
        <v>56904.62498842593</v>
      </c>
      <c r="I385" t="str">
        <f t="shared" si="349"/>
        <v>2055-08-22</v>
      </c>
      <c r="J385" t="str">
        <f t="shared" si="350"/>
        <v>2055-10-17</v>
      </c>
      <c r="K385" s="24" t="str">
        <f t="shared" si="351"/>
        <v>17:00:00</v>
      </c>
      <c r="L385" s="24" t="str">
        <f t="shared" si="352"/>
        <v>14:59:59</v>
      </c>
      <c r="N385" s="25" t="str">
        <f t="shared" si="354"/>
        <v>2055-08-22 17:00:00</v>
      </c>
      <c r="O385" s="25" t="str">
        <f t="shared" si="354"/>
        <v>2055-10-17 14:59:59</v>
      </c>
    </row>
    <row r="386" spans="2:15" x14ac:dyDescent="0.3">
      <c r="B386" s="23">
        <f t="shared" si="355"/>
        <v>56904.708333333336</v>
      </c>
      <c r="C386" s="23">
        <f t="shared" ref="C386" si="413">B386+($P$3*7)+$Q$3-TIME($G$3,0,1)</f>
        <v>56918.62498842593</v>
      </c>
      <c r="I386" t="str">
        <f t="shared" si="349"/>
        <v>2055-10-17</v>
      </c>
      <c r="J386" t="str">
        <f t="shared" si="350"/>
        <v>2055-10-31</v>
      </c>
      <c r="K386" s="24" t="str">
        <f t="shared" si="351"/>
        <v>17:00:00</v>
      </c>
      <c r="L386" s="24" t="str">
        <f t="shared" si="352"/>
        <v>14:59:59</v>
      </c>
      <c r="N386" s="25" t="str">
        <f t="shared" si="354"/>
        <v>2055-10-17 17:00:00</v>
      </c>
      <c r="O386" s="25" t="str">
        <f t="shared" si="354"/>
        <v>2055-10-31 14:59:59</v>
      </c>
    </row>
    <row r="387" spans="2:15" x14ac:dyDescent="0.3">
      <c r="B387" s="23">
        <f t="shared" si="355"/>
        <v>56918.708333333336</v>
      </c>
      <c r="C387" s="23">
        <f t="shared" ref="C387" si="414">B387+($E$3*7)+$F$3-TIME($G$3,0,1)</f>
        <v>56974.62498842593</v>
      </c>
      <c r="I387" t="str">
        <f t="shared" si="349"/>
        <v>2055-10-31</v>
      </c>
      <c r="J387" t="str">
        <f t="shared" si="350"/>
        <v>2055-12-26</v>
      </c>
      <c r="K387" s="24" t="str">
        <f t="shared" si="351"/>
        <v>17:00:00</v>
      </c>
      <c r="L387" s="24" t="str">
        <f t="shared" si="352"/>
        <v>14:59:59</v>
      </c>
      <c r="N387" s="25" t="str">
        <f t="shared" si="354"/>
        <v>2055-10-31 17:00:00</v>
      </c>
      <c r="O387" s="25" t="str">
        <f t="shared" si="354"/>
        <v>2055-12-26 14:59:59</v>
      </c>
    </row>
    <row r="388" spans="2:15" x14ac:dyDescent="0.3">
      <c r="B388" s="23">
        <f t="shared" si="355"/>
        <v>56974.708333333336</v>
      </c>
      <c r="C388" s="23">
        <f t="shared" ref="C388" si="415">B388+($P$3*7)+$Q$3-TIME($G$3,0,1)</f>
        <v>56988.62498842593</v>
      </c>
      <c r="I388" t="str">
        <f t="shared" si="349"/>
        <v>2055-12-26</v>
      </c>
      <c r="J388" t="str">
        <f t="shared" si="350"/>
        <v>2056-01-09</v>
      </c>
      <c r="K388" s="24" t="str">
        <f t="shared" si="351"/>
        <v>17:00:00</v>
      </c>
      <c r="L388" s="24" t="str">
        <f t="shared" si="352"/>
        <v>14:59:59</v>
      </c>
      <c r="N388" s="25" t="str">
        <f t="shared" si="354"/>
        <v>2055-12-26 17:00:00</v>
      </c>
      <c r="O388" s="25" t="str">
        <f t="shared" si="354"/>
        <v>2056-01-09 14:59:59</v>
      </c>
    </row>
    <row r="389" spans="2:15" x14ac:dyDescent="0.3">
      <c r="B389" s="23">
        <f t="shared" si="355"/>
        <v>56988.708333333336</v>
      </c>
      <c r="C389" s="23">
        <f t="shared" ref="C389" si="416">B389+($E$3*7)+$F$3-TIME($G$3,0,1)</f>
        <v>57044.62498842593</v>
      </c>
      <c r="I389" t="str">
        <f t="shared" si="349"/>
        <v>2056-01-09</v>
      </c>
      <c r="J389" t="str">
        <f t="shared" si="350"/>
        <v>2056-03-05</v>
      </c>
      <c r="K389" s="24" t="str">
        <f t="shared" si="351"/>
        <v>17:00:00</v>
      </c>
      <c r="L389" s="24" t="str">
        <f t="shared" si="352"/>
        <v>14:59:59</v>
      </c>
      <c r="N389" s="25" t="str">
        <f t="shared" si="354"/>
        <v>2056-01-09 17:00:00</v>
      </c>
      <c r="O389" s="25" t="str">
        <f t="shared" si="354"/>
        <v>2056-03-05 14:59:59</v>
      </c>
    </row>
    <row r="390" spans="2:15" x14ac:dyDescent="0.3">
      <c r="B390" s="23">
        <f t="shared" si="355"/>
        <v>57044.708333333336</v>
      </c>
      <c r="C390" s="23">
        <f t="shared" ref="C390" si="417">B390+($P$3*7)+$Q$3-TIME($G$3,0,1)</f>
        <v>57058.62498842593</v>
      </c>
      <c r="I390" t="str">
        <f t="shared" si="349"/>
        <v>2056-03-05</v>
      </c>
      <c r="J390" t="str">
        <f t="shared" si="350"/>
        <v>2056-03-19</v>
      </c>
      <c r="K390" s="24" t="str">
        <f t="shared" si="351"/>
        <v>17:00:00</v>
      </c>
      <c r="L390" s="24" t="str">
        <f t="shared" si="352"/>
        <v>14:59:59</v>
      </c>
      <c r="N390" s="25" t="str">
        <f t="shared" si="354"/>
        <v>2056-03-05 17:00:00</v>
      </c>
      <c r="O390" s="25" t="str">
        <f t="shared" si="354"/>
        <v>2056-03-19 14:59:59</v>
      </c>
    </row>
    <row r="391" spans="2:15" x14ac:dyDescent="0.3">
      <c r="B391" s="23">
        <f t="shared" si="355"/>
        <v>57058.708333333336</v>
      </c>
      <c r="C391" s="23">
        <f t="shared" ref="C391" si="418">B391+($E$3*7)+$F$3-TIME($G$3,0,1)</f>
        <v>57114.62498842593</v>
      </c>
      <c r="I391" t="str">
        <f t="shared" ref="I391:I454" si="419">TEXT(B391,"yyyy-mm-dd")</f>
        <v>2056-03-19</v>
      </c>
      <c r="J391" t="str">
        <f t="shared" ref="J391:J454" si="420">TEXT(C391,"yyyy-mm-dd")</f>
        <v>2056-05-14</v>
      </c>
      <c r="K391" s="24" t="str">
        <f t="shared" ref="K391:K454" si="421">TEXT(B391,"hh:mm:ss")</f>
        <v>17:00:00</v>
      </c>
      <c r="L391" s="24" t="str">
        <f t="shared" ref="L391:L454" si="422">TEXT(C391,"hh:mm:ss")</f>
        <v>14:59:59</v>
      </c>
      <c r="N391" s="25" t="str">
        <f t="shared" si="354"/>
        <v>2056-03-19 17:00:00</v>
      </c>
      <c r="O391" s="25" t="str">
        <f t="shared" si="354"/>
        <v>2056-05-14 14:59:59</v>
      </c>
    </row>
    <row r="392" spans="2:15" x14ac:dyDescent="0.3">
      <c r="B392" s="23">
        <f t="shared" si="355"/>
        <v>57114.708333333336</v>
      </c>
      <c r="C392" s="23">
        <f t="shared" ref="C392" si="423">B392+($P$3*7)+$Q$3-TIME($G$3,0,1)</f>
        <v>57128.62498842593</v>
      </c>
      <c r="I392" t="str">
        <f t="shared" si="419"/>
        <v>2056-05-14</v>
      </c>
      <c r="J392" t="str">
        <f t="shared" si="420"/>
        <v>2056-05-28</v>
      </c>
      <c r="K392" s="24" t="str">
        <f t="shared" si="421"/>
        <v>17:00:00</v>
      </c>
      <c r="L392" s="24" t="str">
        <f t="shared" si="422"/>
        <v>14:59:59</v>
      </c>
      <c r="N392" s="25" t="str">
        <f t="shared" ref="N392:O455" si="424">CONCATENATE(I392," ",K392)</f>
        <v>2056-05-14 17:00:00</v>
      </c>
      <c r="O392" s="25" t="str">
        <f t="shared" si="424"/>
        <v>2056-05-28 14:59:59</v>
      </c>
    </row>
    <row r="393" spans="2:15" x14ac:dyDescent="0.3">
      <c r="B393" s="23">
        <f t="shared" ref="B393:B456" si="425">C392+($N$3*7)+$O$3+TIME($G$3,0,1)</f>
        <v>57128.708333333336</v>
      </c>
      <c r="C393" s="23">
        <f t="shared" ref="C393" si="426">B393+($E$3*7)+$F$3-TIME($G$3,0,1)</f>
        <v>57184.62498842593</v>
      </c>
      <c r="I393" t="str">
        <f t="shared" si="419"/>
        <v>2056-05-28</v>
      </c>
      <c r="J393" t="str">
        <f t="shared" si="420"/>
        <v>2056-07-23</v>
      </c>
      <c r="K393" s="24" t="str">
        <f t="shared" si="421"/>
        <v>17:00:00</v>
      </c>
      <c r="L393" s="24" t="str">
        <f t="shared" si="422"/>
        <v>14:59:59</v>
      </c>
      <c r="N393" s="25" t="str">
        <f t="shared" si="424"/>
        <v>2056-05-28 17:00:00</v>
      </c>
      <c r="O393" s="25" t="str">
        <f t="shared" si="424"/>
        <v>2056-07-23 14:59:59</v>
      </c>
    </row>
    <row r="394" spans="2:15" x14ac:dyDescent="0.3">
      <c r="B394" s="23">
        <f t="shared" si="425"/>
        <v>57184.708333333336</v>
      </c>
      <c r="C394" s="23">
        <f t="shared" ref="C394" si="427">B394+($P$3*7)+$Q$3-TIME($G$3,0,1)</f>
        <v>57198.62498842593</v>
      </c>
      <c r="I394" t="str">
        <f t="shared" si="419"/>
        <v>2056-07-23</v>
      </c>
      <c r="J394" t="str">
        <f t="shared" si="420"/>
        <v>2056-08-06</v>
      </c>
      <c r="K394" s="24" t="str">
        <f t="shared" si="421"/>
        <v>17:00:00</v>
      </c>
      <c r="L394" s="24" t="str">
        <f t="shared" si="422"/>
        <v>14:59:59</v>
      </c>
      <c r="N394" s="25" t="str">
        <f t="shared" si="424"/>
        <v>2056-07-23 17:00:00</v>
      </c>
      <c r="O394" s="25" t="str">
        <f t="shared" si="424"/>
        <v>2056-08-06 14:59:59</v>
      </c>
    </row>
    <row r="395" spans="2:15" x14ac:dyDescent="0.3">
      <c r="B395" s="23">
        <f t="shared" si="425"/>
        <v>57198.708333333336</v>
      </c>
      <c r="C395" s="23">
        <f t="shared" ref="C395" si="428">B395+($E$3*7)+$F$3-TIME($G$3,0,1)</f>
        <v>57254.62498842593</v>
      </c>
      <c r="I395" t="str">
        <f t="shared" si="419"/>
        <v>2056-08-06</v>
      </c>
      <c r="J395" t="str">
        <f t="shared" si="420"/>
        <v>2056-10-01</v>
      </c>
      <c r="K395" s="24" t="str">
        <f t="shared" si="421"/>
        <v>17:00:00</v>
      </c>
      <c r="L395" s="24" t="str">
        <f t="shared" si="422"/>
        <v>14:59:59</v>
      </c>
      <c r="N395" s="25" t="str">
        <f t="shared" si="424"/>
        <v>2056-08-06 17:00:00</v>
      </c>
      <c r="O395" s="25" t="str">
        <f t="shared" si="424"/>
        <v>2056-10-01 14:59:59</v>
      </c>
    </row>
    <row r="396" spans="2:15" x14ac:dyDescent="0.3">
      <c r="B396" s="23">
        <f t="shared" si="425"/>
        <v>57254.708333333336</v>
      </c>
      <c r="C396" s="23">
        <f t="shared" ref="C396" si="429">B396+($P$3*7)+$Q$3-TIME($G$3,0,1)</f>
        <v>57268.62498842593</v>
      </c>
      <c r="I396" t="str">
        <f t="shared" si="419"/>
        <v>2056-10-01</v>
      </c>
      <c r="J396" t="str">
        <f t="shared" si="420"/>
        <v>2056-10-15</v>
      </c>
      <c r="K396" s="24" t="str">
        <f t="shared" si="421"/>
        <v>17:00:00</v>
      </c>
      <c r="L396" s="24" t="str">
        <f t="shared" si="422"/>
        <v>14:59:59</v>
      </c>
      <c r="N396" s="25" t="str">
        <f t="shared" si="424"/>
        <v>2056-10-01 17:00:00</v>
      </c>
      <c r="O396" s="25" t="str">
        <f t="shared" si="424"/>
        <v>2056-10-15 14:59:59</v>
      </c>
    </row>
    <row r="397" spans="2:15" x14ac:dyDescent="0.3">
      <c r="B397" s="23">
        <f t="shared" si="425"/>
        <v>57268.708333333336</v>
      </c>
      <c r="C397" s="23">
        <f t="shared" ref="C397" si="430">B397+($E$3*7)+$F$3-TIME($G$3,0,1)</f>
        <v>57324.62498842593</v>
      </c>
      <c r="I397" t="str">
        <f t="shared" si="419"/>
        <v>2056-10-15</v>
      </c>
      <c r="J397" t="str">
        <f t="shared" si="420"/>
        <v>2056-12-10</v>
      </c>
      <c r="K397" s="24" t="str">
        <f t="shared" si="421"/>
        <v>17:00:00</v>
      </c>
      <c r="L397" s="24" t="str">
        <f t="shared" si="422"/>
        <v>14:59:59</v>
      </c>
      <c r="N397" s="25" t="str">
        <f t="shared" si="424"/>
        <v>2056-10-15 17:00:00</v>
      </c>
      <c r="O397" s="25" t="str">
        <f t="shared" si="424"/>
        <v>2056-12-10 14:59:59</v>
      </c>
    </row>
    <row r="398" spans="2:15" x14ac:dyDescent="0.3">
      <c r="B398" s="23">
        <f t="shared" si="425"/>
        <v>57324.708333333336</v>
      </c>
      <c r="C398" s="23">
        <f t="shared" ref="C398" si="431">B398+($P$3*7)+$Q$3-TIME($G$3,0,1)</f>
        <v>57338.62498842593</v>
      </c>
      <c r="I398" t="str">
        <f t="shared" si="419"/>
        <v>2056-12-10</v>
      </c>
      <c r="J398" t="str">
        <f t="shared" si="420"/>
        <v>2056-12-24</v>
      </c>
      <c r="K398" s="24" t="str">
        <f t="shared" si="421"/>
        <v>17:00:00</v>
      </c>
      <c r="L398" s="24" t="str">
        <f t="shared" si="422"/>
        <v>14:59:59</v>
      </c>
      <c r="N398" s="25" t="str">
        <f t="shared" si="424"/>
        <v>2056-12-10 17:00:00</v>
      </c>
      <c r="O398" s="25" t="str">
        <f t="shared" si="424"/>
        <v>2056-12-24 14:59:59</v>
      </c>
    </row>
    <row r="399" spans="2:15" x14ac:dyDescent="0.3">
      <c r="B399" s="23">
        <f t="shared" si="425"/>
        <v>57338.708333333336</v>
      </c>
      <c r="C399" s="23">
        <f t="shared" ref="C399" si="432">B399+($E$3*7)+$F$3-TIME($G$3,0,1)</f>
        <v>57394.62498842593</v>
      </c>
      <c r="I399" t="str">
        <f t="shared" si="419"/>
        <v>2056-12-24</v>
      </c>
      <c r="J399" t="str">
        <f t="shared" si="420"/>
        <v>2057-02-18</v>
      </c>
      <c r="K399" s="24" t="str">
        <f t="shared" si="421"/>
        <v>17:00:00</v>
      </c>
      <c r="L399" s="24" t="str">
        <f t="shared" si="422"/>
        <v>14:59:59</v>
      </c>
      <c r="N399" s="25" t="str">
        <f t="shared" si="424"/>
        <v>2056-12-24 17:00:00</v>
      </c>
      <c r="O399" s="25" t="str">
        <f t="shared" si="424"/>
        <v>2057-02-18 14:59:59</v>
      </c>
    </row>
    <row r="400" spans="2:15" x14ac:dyDescent="0.3">
      <c r="B400" s="23">
        <f t="shared" si="425"/>
        <v>57394.708333333336</v>
      </c>
      <c r="C400" s="23">
        <f t="shared" ref="C400" si="433">B400+($P$3*7)+$Q$3-TIME($G$3,0,1)</f>
        <v>57408.62498842593</v>
      </c>
      <c r="I400" t="str">
        <f t="shared" si="419"/>
        <v>2057-02-18</v>
      </c>
      <c r="J400" t="str">
        <f t="shared" si="420"/>
        <v>2057-03-04</v>
      </c>
      <c r="K400" s="24" t="str">
        <f t="shared" si="421"/>
        <v>17:00:00</v>
      </c>
      <c r="L400" s="24" t="str">
        <f t="shared" si="422"/>
        <v>14:59:59</v>
      </c>
      <c r="N400" s="25" t="str">
        <f t="shared" si="424"/>
        <v>2057-02-18 17:00:00</v>
      </c>
      <c r="O400" s="25" t="str">
        <f t="shared" si="424"/>
        <v>2057-03-04 14:59:59</v>
      </c>
    </row>
    <row r="401" spans="2:15" x14ac:dyDescent="0.3">
      <c r="B401" s="23">
        <f t="shared" si="425"/>
        <v>57408.708333333336</v>
      </c>
      <c r="C401" s="23">
        <f t="shared" ref="C401" si="434">B401+($E$3*7)+$F$3-TIME($G$3,0,1)</f>
        <v>57464.62498842593</v>
      </c>
      <c r="I401" t="str">
        <f t="shared" si="419"/>
        <v>2057-03-04</v>
      </c>
      <c r="J401" t="str">
        <f t="shared" si="420"/>
        <v>2057-04-29</v>
      </c>
      <c r="K401" s="24" t="str">
        <f t="shared" si="421"/>
        <v>17:00:00</v>
      </c>
      <c r="L401" s="24" t="str">
        <f t="shared" si="422"/>
        <v>14:59:59</v>
      </c>
      <c r="N401" s="25" t="str">
        <f t="shared" si="424"/>
        <v>2057-03-04 17:00:00</v>
      </c>
      <c r="O401" s="25" t="str">
        <f t="shared" si="424"/>
        <v>2057-04-29 14:59:59</v>
      </c>
    </row>
    <row r="402" spans="2:15" x14ac:dyDescent="0.3">
      <c r="B402" s="23">
        <f t="shared" si="425"/>
        <v>57464.708333333336</v>
      </c>
      <c r="C402" s="23">
        <f t="shared" ref="C402" si="435">B402+($P$3*7)+$Q$3-TIME($G$3,0,1)</f>
        <v>57478.62498842593</v>
      </c>
      <c r="I402" t="str">
        <f t="shared" si="419"/>
        <v>2057-04-29</v>
      </c>
      <c r="J402" t="str">
        <f t="shared" si="420"/>
        <v>2057-05-13</v>
      </c>
      <c r="K402" s="24" t="str">
        <f t="shared" si="421"/>
        <v>17:00:00</v>
      </c>
      <c r="L402" s="24" t="str">
        <f t="shared" si="422"/>
        <v>14:59:59</v>
      </c>
      <c r="N402" s="25" t="str">
        <f t="shared" si="424"/>
        <v>2057-04-29 17:00:00</v>
      </c>
      <c r="O402" s="25" t="str">
        <f t="shared" si="424"/>
        <v>2057-05-13 14:59:59</v>
      </c>
    </row>
    <row r="403" spans="2:15" x14ac:dyDescent="0.3">
      <c r="B403" s="23">
        <f t="shared" si="425"/>
        <v>57478.708333333336</v>
      </c>
      <c r="C403" s="23">
        <f t="shared" ref="C403" si="436">B403+($E$3*7)+$F$3-TIME($G$3,0,1)</f>
        <v>57534.62498842593</v>
      </c>
      <c r="I403" t="str">
        <f t="shared" si="419"/>
        <v>2057-05-13</v>
      </c>
      <c r="J403" t="str">
        <f t="shared" si="420"/>
        <v>2057-07-08</v>
      </c>
      <c r="K403" s="24" t="str">
        <f t="shared" si="421"/>
        <v>17:00:00</v>
      </c>
      <c r="L403" s="24" t="str">
        <f t="shared" si="422"/>
        <v>14:59:59</v>
      </c>
      <c r="N403" s="25" t="str">
        <f t="shared" si="424"/>
        <v>2057-05-13 17:00:00</v>
      </c>
      <c r="O403" s="25" t="str">
        <f t="shared" si="424"/>
        <v>2057-07-08 14:59:59</v>
      </c>
    </row>
    <row r="404" spans="2:15" x14ac:dyDescent="0.3">
      <c r="B404" s="23">
        <f t="shared" si="425"/>
        <v>57534.708333333336</v>
      </c>
      <c r="C404" s="23">
        <f t="shared" ref="C404" si="437">B404+($P$3*7)+$Q$3-TIME($G$3,0,1)</f>
        <v>57548.62498842593</v>
      </c>
      <c r="I404" t="str">
        <f t="shared" si="419"/>
        <v>2057-07-08</v>
      </c>
      <c r="J404" t="str">
        <f t="shared" si="420"/>
        <v>2057-07-22</v>
      </c>
      <c r="K404" s="24" t="str">
        <f t="shared" si="421"/>
        <v>17:00:00</v>
      </c>
      <c r="L404" s="24" t="str">
        <f t="shared" si="422"/>
        <v>14:59:59</v>
      </c>
      <c r="N404" s="25" t="str">
        <f t="shared" si="424"/>
        <v>2057-07-08 17:00:00</v>
      </c>
      <c r="O404" s="25" t="str">
        <f t="shared" si="424"/>
        <v>2057-07-22 14:59:59</v>
      </c>
    </row>
    <row r="405" spans="2:15" x14ac:dyDescent="0.3">
      <c r="B405" s="23">
        <f t="shared" si="425"/>
        <v>57548.708333333336</v>
      </c>
      <c r="C405" s="23">
        <f t="shared" ref="C405" si="438">B405+($E$3*7)+$F$3-TIME($G$3,0,1)</f>
        <v>57604.62498842593</v>
      </c>
      <c r="I405" t="str">
        <f t="shared" si="419"/>
        <v>2057-07-22</v>
      </c>
      <c r="J405" t="str">
        <f t="shared" si="420"/>
        <v>2057-09-16</v>
      </c>
      <c r="K405" s="24" t="str">
        <f t="shared" si="421"/>
        <v>17:00:00</v>
      </c>
      <c r="L405" s="24" t="str">
        <f t="shared" si="422"/>
        <v>14:59:59</v>
      </c>
      <c r="N405" s="25" t="str">
        <f t="shared" si="424"/>
        <v>2057-07-22 17:00:00</v>
      </c>
      <c r="O405" s="25" t="str">
        <f t="shared" si="424"/>
        <v>2057-09-16 14:59:59</v>
      </c>
    </row>
    <row r="406" spans="2:15" x14ac:dyDescent="0.3">
      <c r="B406" s="23">
        <f t="shared" si="425"/>
        <v>57604.708333333336</v>
      </c>
      <c r="C406" s="23">
        <f t="shared" ref="C406" si="439">B406+($P$3*7)+$Q$3-TIME($G$3,0,1)</f>
        <v>57618.62498842593</v>
      </c>
      <c r="I406" t="str">
        <f t="shared" si="419"/>
        <v>2057-09-16</v>
      </c>
      <c r="J406" t="str">
        <f t="shared" si="420"/>
        <v>2057-09-30</v>
      </c>
      <c r="K406" s="24" t="str">
        <f t="shared" si="421"/>
        <v>17:00:00</v>
      </c>
      <c r="L406" s="24" t="str">
        <f t="shared" si="422"/>
        <v>14:59:59</v>
      </c>
      <c r="N406" s="25" t="str">
        <f t="shared" si="424"/>
        <v>2057-09-16 17:00:00</v>
      </c>
      <c r="O406" s="25" t="str">
        <f t="shared" si="424"/>
        <v>2057-09-30 14:59:59</v>
      </c>
    </row>
    <row r="407" spans="2:15" x14ac:dyDescent="0.3">
      <c r="B407" s="23">
        <f t="shared" si="425"/>
        <v>57618.708333333336</v>
      </c>
      <c r="C407" s="23">
        <f t="shared" ref="C407" si="440">B407+($E$3*7)+$F$3-TIME($G$3,0,1)</f>
        <v>57674.62498842593</v>
      </c>
      <c r="I407" t="str">
        <f t="shared" si="419"/>
        <v>2057-09-30</v>
      </c>
      <c r="J407" t="str">
        <f t="shared" si="420"/>
        <v>2057-11-25</v>
      </c>
      <c r="K407" s="24" t="str">
        <f t="shared" si="421"/>
        <v>17:00:00</v>
      </c>
      <c r="L407" s="24" t="str">
        <f t="shared" si="422"/>
        <v>14:59:59</v>
      </c>
      <c r="N407" s="25" t="str">
        <f t="shared" si="424"/>
        <v>2057-09-30 17:00:00</v>
      </c>
      <c r="O407" s="25" t="str">
        <f t="shared" si="424"/>
        <v>2057-11-25 14:59:59</v>
      </c>
    </row>
    <row r="408" spans="2:15" x14ac:dyDescent="0.3">
      <c r="B408" s="23">
        <f t="shared" si="425"/>
        <v>57674.708333333336</v>
      </c>
      <c r="C408" s="23">
        <f t="shared" ref="C408" si="441">B408+($P$3*7)+$Q$3-TIME($G$3,0,1)</f>
        <v>57688.62498842593</v>
      </c>
      <c r="I408" t="str">
        <f t="shared" si="419"/>
        <v>2057-11-25</v>
      </c>
      <c r="J408" t="str">
        <f t="shared" si="420"/>
        <v>2057-12-09</v>
      </c>
      <c r="K408" s="24" t="str">
        <f t="shared" si="421"/>
        <v>17:00:00</v>
      </c>
      <c r="L408" s="24" t="str">
        <f t="shared" si="422"/>
        <v>14:59:59</v>
      </c>
      <c r="N408" s="25" t="str">
        <f t="shared" si="424"/>
        <v>2057-11-25 17:00:00</v>
      </c>
      <c r="O408" s="25" t="str">
        <f t="shared" si="424"/>
        <v>2057-12-09 14:59:59</v>
      </c>
    </row>
    <row r="409" spans="2:15" x14ac:dyDescent="0.3">
      <c r="B409" s="23">
        <f t="shared" si="425"/>
        <v>57688.708333333336</v>
      </c>
      <c r="C409" s="23">
        <f t="shared" ref="C409" si="442">B409+($E$3*7)+$F$3-TIME($G$3,0,1)</f>
        <v>57744.62498842593</v>
      </c>
      <c r="I409" t="str">
        <f t="shared" si="419"/>
        <v>2057-12-09</v>
      </c>
      <c r="J409" t="str">
        <f t="shared" si="420"/>
        <v>2058-02-03</v>
      </c>
      <c r="K409" s="24" t="str">
        <f t="shared" si="421"/>
        <v>17:00:00</v>
      </c>
      <c r="L409" s="24" t="str">
        <f t="shared" si="422"/>
        <v>14:59:59</v>
      </c>
      <c r="N409" s="25" t="str">
        <f t="shared" si="424"/>
        <v>2057-12-09 17:00:00</v>
      </c>
      <c r="O409" s="25" t="str">
        <f t="shared" si="424"/>
        <v>2058-02-03 14:59:59</v>
      </c>
    </row>
    <row r="410" spans="2:15" x14ac:dyDescent="0.3">
      <c r="B410" s="23">
        <f t="shared" si="425"/>
        <v>57744.708333333336</v>
      </c>
      <c r="C410" s="23">
        <f t="shared" ref="C410" si="443">B410+($P$3*7)+$Q$3-TIME($G$3,0,1)</f>
        <v>57758.62498842593</v>
      </c>
      <c r="I410" t="str">
        <f t="shared" si="419"/>
        <v>2058-02-03</v>
      </c>
      <c r="J410" t="str">
        <f t="shared" si="420"/>
        <v>2058-02-17</v>
      </c>
      <c r="K410" s="24" t="str">
        <f t="shared" si="421"/>
        <v>17:00:00</v>
      </c>
      <c r="L410" s="24" t="str">
        <f t="shared" si="422"/>
        <v>14:59:59</v>
      </c>
      <c r="N410" s="25" t="str">
        <f t="shared" si="424"/>
        <v>2058-02-03 17:00:00</v>
      </c>
      <c r="O410" s="25" t="str">
        <f t="shared" si="424"/>
        <v>2058-02-17 14:59:59</v>
      </c>
    </row>
    <row r="411" spans="2:15" x14ac:dyDescent="0.3">
      <c r="B411" s="23">
        <f t="shared" si="425"/>
        <v>57758.708333333336</v>
      </c>
      <c r="C411" s="23">
        <f t="shared" ref="C411" si="444">B411+($E$3*7)+$F$3-TIME($G$3,0,1)</f>
        <v>57814.62498842593</v>
      </c>
      <c r="I411" t="str">
        <f t="shared" si="419"/>
        <v>2058-02-17</v>
      </c>
      <c r="J411" t="str">
        <f t="shared" si="420"/>
        <v>2058-04-14</v>
      </c>
      <c r="K411" s="24" t="str">
        <f t="shared" si="421"/>
        <v>17:00:00</v>
      </c>
      <c r="L411" s="24" t="str">
        <f t="shared" si="422"/>
        <v>14:59:59</v>
      </c>
      <c r="N411" s="25" t="str">
        <f t="shared" si="424"/>
        <v>2058-02-17 17:00:00</v>
      </c>
      <c r="O411" s="25" t="str">
        <f t="shared" si="424"/>
        <v>2058-04-14 14:59:59</v>
      </c>
    </row>
    <row r="412" spans="2:15" x14ac:dyDescent="0.3">
      <c r="B412" s="23">
        <f t="shared" si="425"/>
        <v>57814.708333333336</v>
      </c>
      <c r="C412" s="23">
        <f t="shared" ref="C412" si="445">B412+($P$3*7)+$Q$3-TIME($G$3,0,1)</f>
        <v>57828.62498842593</v>
      </c>
      <c r="I412" t="str">
        <f t="shared" si="419"/>
        <v>2058-04-14</v>
      </c>
      <c r="J412" t="str">
        <f t="shared" si="420"/>
        <v>2058-04-28</v>
      </c>
      <c r="K412" s="24" t="str">
        <f t="shared" si="421"/>
        <v>17:00:00</v>
      </c>
      <c r="L412" s="24" t="str">
        <f t="shared" si="422"/>
        <v>14:59:59</v>
      </c>
      <c r="N412" s="25" t="str">
        <f t="shared" si="424"/>
        <v>2058-04-14 17:00:00</v>
      </c>
      <c r="O412" s="25" t="str">
        <f t="shared" si="424"/>
        <v>2058-04-28 14:59:59</v>
      </c>
    </row>
    <row r="413" spans="2:15" x14ac:dyDescent="0.3">
      <c r="B413" s="23">
        <f t="shared" si="425"/>
        <v>57828.708333333336</v>
      </c>
      <c r="C413" s="23">
        <f t="shared" ref="C413" si="446">B413+($E$3*7)+$F$3-TIME($G$3,0,1)</f>
        <v>57884.62498842593</v>
      </c>
      <c r="I413" t="str">
        <f t="shared" si="419"/>
        <v>2058-04-28</v>
      </c>
      <c r="J413" t="str">
        <f t="shared" si="420"/>
        <v>2058-06-23</v>
      </c>
      <c r="K413" s="24" t="str">
        <f t="shared" si="421"/>
        <v>17:00:00</v>
      </c>
      <c r="L413" s="24" t="str">
        <f t="shared" si="422"/>
        <v>14:59:59</v>
      </c>
      <c r="N413" s="25" t="str">
        <f t="shared" si="424"/>
        <v>2058-04-28 17:00:00</v>
      </c>
      <c r="O413" s="25" t="str">
        <f t="shared" si="424"/>
        <v>2058-06-23 14:59:59</v>
      </c>
    </row>
    <row r="414" spans="2:15" x14ac:dyDescent="0.3">
      <c r="B414" s="23">
        <f t="shared" si="425"/>
        <v>57884.708333333336</v>
      </c>
      <c r="C414" s="23">
        <f t="shared" ref="C414" si="447">B414+($P$3*7)+$Q$3-TIME($G$3,0,1)</f>
        <v>57898.62498842593</v>
      </c>
      <c r="I414" t="str">
        <f t="shared" si="419"/>
        <v>2058-06-23</v>
      </c>
      <c r="J414" t="str">
        <f t="shared" si="420"/>
        <v>2058-07-07</v>
      </c>
      <c r="K414" s="24" t="str">
        <f t="shared" si="421"/>
        <v>17:00:00</v>
      </c>
      <c r="L414" s="24" t="str">
        <f t="shared" si="422"/>
        <v>14:59:59</v>
      </c>
      <c r="N414" s="25" t="str">
        <f t="shared" si="424"/>
        <v>2058-06-23 17:00:00</v>
      </c>
      <c r="O414" s="25" t="str">
        <f t="shared" si="424"/>
        <v>2058-07-07 14:59:59</v>
      </c>
    </row>
    <row r="415" spans="2:15" x14ac:dyDescent="0.3">
      <c r="B415" s="23">
        <f t="shared" si="425"/>
        <v>57898.708333333336</v>
      </c>
      <c r="C415" s="23">
        <f t="shared" ref="C415" si="448">B415+($E$3*7)+$F$3-TIME($G$3,0,1)</f>
        <v>57954.62498842593</v>
      </c>
      <c r="I415" t="str">
        <f t="shared" si="419"/>
        <v>2058-07-07</v>
      </c>
      <c r="J415" t="str">
        <f t="shared" si="420"/>
        <v>2058-09-01</v>
      </c>
      <c r="K415" s="24" t="str">
        <f t="shared" si="421"/>
        <v>17:00:00</v>
      </c>
      <c r="L415" s="24" t="str">
        <f t="shared" si="422"/>
        <v>14:59:59</v>
      </c>
      <c r="N415" s="25" t="str">
        <f t="shared" si="424"/>
        <v>2058-07-07 17:00:00</v>
      </c>
      <c r="O415" s="25" t="str">
        <f t="shared" si="424"/>
        <v>2058-09-01 14:59:59</v>
      </c>
    </row>
    <row r="416" spans="2:15" x14ac:dyDescent="0.3">
      <c r="B416" s="23">
        <f t="shared" si="425"/>
        <v>57954.708333333336</v>
      </c>
      <c r="C416" s="23">
        <f t="shared" ref="C416" si="449">B416+($P$3*7)+$Q$3-TIME($G$3,0,1)</f>
        <v>57968.62498842593</v>
      </c>
      <c r="I416" t="str">
        <f t="shared" si="419"/>
        <v>2058-09-01</v>
      </c>
      <c r="J416" t="str">
        <f t="shared" si="420"/>
        <v>2058-09-15</v>
      </c>
      <c r="K416" s="24" t="str">
        <f t="shared" si="421"/>
        <v>17:00:00</v>
      </c>
      <c r="L416" s="24" t="str">
        <f t="shared" si="422"/>
        <v>14:59:59</v>
      </c>
      <c r="N416" s="25" t="str">
        <f t="shared" si="424"/>
        <v>2058-09-01 17:00:00</v>
      </c>
      <c r="O416" s="25" t="str">
        <f t="shared" si="424"/>
        <v>2058-09-15 14:59:59</v>
      </c>
    </row>
    <row r="417" spans="2:15" x14ac:dyDescent="0.3">
      <c r="B417" s="23">
        <f t="shared" si="425"/>
        <v>57968.708333333336</v>
      </c>
      <c r="C417" s="23">
        <f t="shared" ref="C417" si="450">B417+($E$3*7)+$F$3-TIME($G$3,0,1)</f>
        <v>58024.62498842593</v>
      </c>
      <c r="I417" t="str">
        <f t="shared" si="419"/>
        <v>2058-09-15</v>
      </c>
      <c r="J417" t="str">
        <f t="shared" si="420"/>
        <v>2058-11-10</v>
      </c>
      <c r="K417" s="24" t="str">
        <f t="shared" si="421"/>
        <v>17:00:00</v>
      </c>
      <c r="L417" s="24" t="str">
        <f t="shared" si="422"/>
        <v>14:59:59</v>
      </c>
      <c r="N417" s="25" t="str">
        <f t="shared" si="424"/>
        <v>2058-09-15 17:00:00</v>
      </c>
      <c r="O417" s="25" t="str">
        <f t="shared" si="424"/>
        <v>2058-11-10 14:59:59</v>
      </c>
    </row>
    <row r="418" spans="2:15" x14ac:dyDescent="0.3">
      <c r="B418" s="23">
        <f t="shared" si="425"/>
        <v>58024.708333333336</v>
      </c>
      <c r="C418" s="23">
        <f t="shared" ref="C418" si="451">B418+($P$3*7)+$Q$3-TIME($G$3,0,1)</f>
        <v>58038.62498842593</v>
      </c>
      <c r="I418" t="str">
        <f t="shared" si="419"/>
        <v>2058-11-10</v>
      </c>
      <c r="J418" t="str">
        <f t="shared" si="420"/>
        <v>2058-11-24</v>
      </c>
      <c r="K418" s="24" t="str">
        <f t="shared" si="421"/>
        <v>17:00:00</v>
      </c>
      <c r="L418" s="24" t="str">
        <f t="shared" si="422"/>
        <v>14:59:59</v>
      </c>
      <c r="N418" s="25" t="str">
        <f t="shared" si="424"/>
        <v>2058-11-10 17:00:00</v>
      </c>
      <c r="O418" s="25" t="str">
        <f t="shared" si="424"/>
        <v>2058-11-24 14:59:59</v>
      </c>
    </row>
    <row r="419" spans="2:15" x14ac:dyDescent="0.3">
      <c r="B419" s="23">
        <f t="shared" si="425"/>
        <v>58038.708333333336</v>
      </c>
      <c r="C419" s="23">
        <f t="shared" ref="C419" si="452">B419+($E$3*7)+$F$3-TIME($G$3,0,1)</f>
        <v>58094.62498842593</v>
      </c>
      <c r="I419" t="str">
        <f t="shared" si="419"/>
        <v>2058-11-24</v>
      </c>
      <c r="J419" t="str">
        <f t="shared" si="420"/>
        <v>2059-01-19</v>
      </c>
      <c r="K419" s="24" t="str">
        <f t="shared" si="421"/>
        <v>17:00:00</v>
      </c>
      <c r="L419" s="24" t="str">
        <f t="shared" si="422"/>
        <v>14:59:59</v>
      </c>
      <c r="N419" s="25" t="str">
        <f t="shared" si="424"/>
        <v>2058-11-24 17:00:00</v>
      </c>
      <c r="O419" s="25" t="str">
        <f t="shared" si="424"/>
        <v>2059-01-19 14:59:59</v>
      </c>
    </row>
    <row r="420" spans="2:15" x14ac:dyDescent="0.3">
      <c r="B420" s="23">
        <f t="shared" si="425"/>
        <v>58094.708333333336</v>
      </c>
      <c r="C420" s="23">
        <f t="shared" ref="C420" si="453">B420+($P$3*7)+$Q$3-TIME($G$3,0,1)</f>
        <v>58108.62498842593</v>
      </c>
      <c r="I420" t="str">
        <f t="shared" si="419"/>
        <v>2059-01-19</v>
      </c>
      <c r="J420" t="str">
        <f t="shared" si="420"/>
        <v>2059-02-02</v>
      </c>
      <c r="K420" s="24" t="str">
        <f t="shared" si="421"/>
        <v>17:00:00</v>
      </c>
      <c r="L420" s="24" t="str">
        <f t="shared" si="422"/>
        <v>14:59:59</v>
      </c>
      <c r="N420" s="25" t="str">
        <f t="shared" si="424"/>
        <v>2059-01-19 17:00:00</v>
      </c>
      <c r="O420" s="25" t="str">
        <f t="shared" si="424"/>
        <v>2059-02-02 14:59:59</v>
      </c>
    </row>
    <row r="421" spans="2:15" x14ac:dyDescent="0.3">
      <c r="B421" s="23">
        <f t="shared" si="425"/>
        <v>58108.708333333336</v>
      </c>
      <c r="C421" s="23">
        <f t="shared" ref="C421" si="454">B421+($E$3*7)+$F$3-TIME($G$3,0,1)</f>
        <v>58164.62498842593</v>
      </c>
      <c r="I421" t="str">
        <f t="shared" si="419"/>
        <v>2059-02-02</v>
      </c>
      <c r="J421" t="str">
        <f t="shared" si="420"/>
        <v>2059-03-30</v>
      </c>
      <c r="K421" s="24" t="str">
        <f t="shared" si="421"/>
        <v>17:00:00</v>
      </c>
      <c r="L421" s="24" t="str">
        <f t="shared" si="422"/>
        <v>14:59:59</v>
      </c>
      <c r="N421" s="25" t="str">
        <f t="shared" si="424"/>
        <v>2059-02-02 17:00:00</v>
      </c>
      <c r="O421" s="25" t="str">
        <f t="shared" si="424"/>
        <v>2059-03-30 14:59:59</v>
      </c>
    </row>
    <row r="422" spans="2:15" x14ac:dyDescent="0.3">
      <c r="B422" s="23">
        <f t="shared" si="425"/>
        <v>58164.708333333336</v>
      </c>
      <c r="C422" s="23">
        <f t="shared" ref="C422" si="455">B422+($P$3*7)+$Q$3-TIME($G$3,0,1)</f>
        <v>58178.62498842593</v>
      </c>
      <c r="I422" t="str">
        <f t="shared" si="419"/>
        <v>2059-03-30</v>
      </c>
      <c r="J422" t="str">
        <f t="shared" si="420"/>
        <v>2059-04-13</v>
      </c>
      <c r="K422" s="24" t="str">
        <f t="shared" si="421"/>
        <v>17:00:00</v>
      </c>
      <c r="L422" s="24" t="str">
        <f t="shared" si="422"/>
        <v>14:59:59</v>
      </c>
      <c r="N422" s="25" t="str">
        <f t="shared" si="424"/>
        <v>2059-03-30 17:00:00</v>
      </c>
      <c r="O422" s="25" t="str">
        <f t="shared" si="424"/>
        <v>2059-04-13 14:59:59</v>
      </c>
    </row>
    <row r="423" spans="2:15" x14ac:dyDescent="0.3">
      <c r="B423" s="23">
        <f t="shared" si="425"/>
        <v>58178.708333333336</v>
      </c>
      <c r="C423" s="23">
        <f t="shared" ref="C423" si="456">B423+($E$3*7)+$F$3-TIME($G$3,0,1)</f>
        <v>58234.62498842593</v>
      </c>
      <c r="I423" t="str">
        <f t="shared" si="419"/>
        <v>2059-04-13</v>
      </c>
      <c r="J423" t="str">
        <f t="shared" si="420"/>
        <v>2059-06-08</v>
      </c>
      <c r="K423" s="24" t="str">
        <f t="shared" si="421"/>
        <v>17:00:00</v>
      </c>
      <c r="L423" s="24" t="str">
        <f t="shared" si="422"/>
        <v>14:59:59</v>
      </c>
      <c r="N423" s="25" t="str">
        <f t="shared" si="424"/>
        <v>2059-04-13 17:00:00</v>
      </c>
      <c r="O423" s="25" t="str">
        <f t="shared" si="424"/>
        <v>2059-06-08 14:59:59</v>
      </c>
    </row>
    <row r="424" spans="2:15" x14ac:dyDescent="0.3">
      <c r="B424" s="23">
        <f t="shared" si="425"/>
        <v>58234.708333333336</v>
      </c>
      <c r="C424" s="23">
        <f t="shared" ref="C424" si="457">B424+($P$3*7)+$Q$3-TIME($G$3,0,1)</f>
        <v>58248.62498842593</v>
      </c>
      <c r="I424" t="str">
        <f t="shared" si="419"/>
        <v>2059-06-08</v>
      </c>
      <c r="J424" t="str">
        <f t="shared" si="420"/>
        <v>2059-06-22</v>
      </c>
      <c r="K424" s="24" t="str">
        <f t="shared" si="421"/>
        <v>17:00:00</v>
      </c>
      <c r="L424" s="24" t="str">
        <f t="shared" si="422"/>
        <v>14:59:59</v>
      </c>
      <c r="N424" s="25" t="str">
        <f t="shared" si="424"/>
        <v>2059-06-08 17:00:00</v>
      </c>
      <c r="O424" s="25" t="str">
        <f t="shared" si="424"/>
        <v>2059-06-22 14:59:59</v>
      </c>
    </row>
    <row r="425" spans="2:15" x14ac:dyDescent="0.3">
      <c r="B425" s="23">
        <f t="shared" si="425"/>
        <v>58248.708333333336</v>
      </c>
      <c r="C425" s="23">
        <f t="shared" ref="C425" si="458">B425+($E$3*7)+$F$3-TIME($G$3,0,1)</f>
        <v>58304.62498842593</v>
      </c>
      <c r="I425" t="str">
        <f t="shared" si="419"/>
        <v>2059-06-22</v>
      </c>
      <c r="J425" t="str">
        <f t="shared" si="420"/>
        <v>2059-08-17</v>
      </c>
      <c r="K425" s="24" t="str">
        <f t="shared" si="421"/>
        <v>17:00:00</v>
      </c>
      <c r="L425" s="24" t="str">
        <f t="shared" si="422"/>
        <v>14:59:59</v>
      </c>
      <c r="N425" s="25" t="str">
        <f t="shared" si="424"/>
        <v>2059-06-22 17:00:00</v>
      </c>
      <c r="O425" s="25" t="str">
        <f t="shared" si="424"/>
        <v>2059-08-17 14:59:59</v>
      </c>
    </row>
    <row r="426" spans="2:15" x14ac:dyDescent="0.3">
      <c r="B426" s="23">
        <f t="shared" si="425"/>
        <v>58304.708333333336</v>
      </c>
      <c r="C426" s="23">
        <f t="shared" ref="C426" si="459">B426+($P$3*7)+$Q$3-TIME($G$3,0,1)</f>
        <v>58318.62498842593</v>
      </c>
      <c r="I426" t="str">
        <f t="shared" si="419"/>
        <v>2059-08-17</v>
      </c>
      <c r="J426" t="str">
        <f t="shared" si="420"/>
        <v>2059-08-31</v>
      </c>
      <c r="K426" s="24" t="str">
        <f t="shared" si="421"/>
        <v>17:00:00</v>
      </c>
      <c r="L426" s="24" t="str">
        <f t="shared" si="422"/>
        <v>14:59:59</v>
      </c>
      <c r="N426" s="25" t="str">
        <f t="shared" si="424"/>
        <v>2059-08-17 17:00:00</v>
      </c>
      <c r="O426" s="25" t="str">
        <f t="shared" si="424"/>
        <v>2059-08-31 14:59:59</v>
      </c>
    </row>
    <row r="427" spans="2:15" x14ac:dyDescent="0.3">
      <c r="B427" s="23">
        <f t="shared" si="425"/>
        <v>58318.708333333336</v>
      </c>
      <c r="C427" s="23">
        <f t="shared" ref="C427" si="460">B427+($E$3*7)+$F$3-TIME($G$3,0,1)</f>
        <v>58374.62498842593</v>
      </c>
      <c r="I427" t="str">
        <f t="shared" si="419"/>
        <v>2059-08-31</v>
      </c>
      <c r="J427" t="str">
        <f t="shared" si="420"/>
        <v>2059-10-26</v>
      </c>
      <c r="K427" s="24" t="str">
        <f t="shared" si="421"/>
        <v>17:00:00</v>
      </c>
      <c r="L427" s="24" t="str">
        <f t="shared" si="422"/>
        <v>14:59:59</v>
      </c>
      <c r="N427" s="25" t="str">
        <f t="shared" si="424"/>
        <v>2059-08-31 17:00:00</v>
      </c>
      <c r="O427" s="25" t="str">
        <f t="shared" si="424"/>
        <v>2059-10-26 14:59:59</v>
      </c>
    </row>
    <row r="428" spans="2:15" x14ac:dyDescent="0.3">
      <c r="B428" s="23">
        <f t="shared" si="425"/>
        <v>58374.708333333336</v>
      </c>
      <c r="C428" s="23">
        <f t="shared" ref="C428" si="461">B428+($P$3*7)+$Q$3-TIME($G$3,0,1)</f>
        <v>58388.62498842593</v>
      </c>
      <c r="I428" t="str">
        <f t="shared" si="419"/>
        <v>2059-10-26</v>
      </c>
      <c r="J428" t="str">
        <f t="shared" si="420"/>
        <v>2059-11-09</v>
      </c>
      <c r="K428" s="24" t="str">
        <f t="shared" si="421"/>
        <v>17:00:00</v>
      </c>
      <c r="L428" s="24" t="str">
        <f t="shared" si="422"/>
        <v>14:59:59</v>
      </c>
      <c r="N428" s="25" t="str">
        <f t="shared" si="424"/>
        <v>2059-10-26 17:00:00</v>
      </c>
      <c r="O428" s="25" t="str">
        <f t="shared" si="424"/>
        <v>2059-11-09 14:59:59</v>
      </c>
    </row>
    <row r="429" spans="2:15" x14ac:dyDescent="0.3">
      <c r="B429" s="23">
        <f t="shared" si="425"/>
        <v>58388.708333333336</v>
      </c>
      <c r="C429" s="23">
        <f t="shared" ref="C429" si="462">B429+($E$3*7)+$F$3-TIME($G$3,0,1)</f>
        <v>58444.62498842593</v>
      </c>
      <c r="I429" t="str">
        <f t="shared" si="419"/>
        <v>2059-11-09</v>
      </c>
      <c r="J429" t="str">
        <f t="shared" si="420"/>
        <v>2060-01-04</v>
      </c>
      <c r="K429" s="24" t="str">
        <f t="shared" si="421"/>
        <v>17:00:00</v>
      </c>
      <c r="L429" s="24" t="str">
        <f t="shared" si="422"/>
        <v>14:59:59</v>
      </c>
      <c r="N429" s="25" t="str">
        <f t="shared" si="424"/>
        <v>2059-11-09 17:00:00</v>
      </c>
      <c r="O429" s="25" t="str">
        <f t="shared" si="424"/>
        <v>2060-01-04 14:59:59</v>
      </c>
    </row>
    <row r="430" spans="2:15" x14ac:dyDescent="0.3">
      <c r="B430" s="23">
        <f t="shared" si="425"/>
        <v>58444.708333333336</v>
      </c>
      <c r="C430" s="23">
        <f t="shared" ref="C430" si="463">B430+($P$3*7)+$Q$3-TIME($G$3,0,1)</f>
        <v>58458.62498842593</v>
      </c>
      <c r="I430" t="str">
        <f t="shared" si="419"/>
        <v>2060-01-04</v>
      </c>
      <c r="J430" t="str">
        <f t="shared" si="420"/>
        <v>2060-01-18</v>
      </c>
      <c r="K430" s="24" t="str">
        <f t="shared" si="421"/>
        <v>17:00:00</v>
      </c>
      <c r="L430" s="24" t="str">
        <f t="shared" si="422"/>
        <v>14:59:59</v>
      </c>
      <c r="N430" s="25" t="str">
        <f t="shared" si="424"/>
        <v>2060-01-04 17:00:00</v>
      </c>
      <c r="O430" s="25" t="str">
        <f t="shared" si="424"/>
        <v>2060-01-18 14:59:59</v>
      </c>
    </row>
    <row r="431" spans="2:15" x14ac:dyDescent="0.3">
      <c r="B431" s="23">
        <f t="shared" si="425"/>
        <v>58458.708333333336</v>
      </c>
      <c r="C431" s="23">
        <f t="shared" ref="C431" si="464">B431+($E$3*7)+$F$3-TIME($G$3,0,1)</f>
        <v>58514.62498842593</v>
      </c>
      <c r="I431" t="str">
        <f t="shared" si="419"/>
        <v>2060-01-18</v>
      </c>
      <c r="J431" t="str">
        <f t="shared" si="420"/>
        <v>2060-03-14</v>
      </c>
      <c r="K431" s="24" t="str">
        <f t="shared" si="421"/>
        <v>17:00:00</v>
      </c>
      <c r="L431" s="24" t="str">
        <f t="shared" si="422"/>
        <v>14:59:59</v>
      </c>
      <c r="N431" s="25" t="str">
        <f t="shared" si="424"/>
        <v>2060-01-18 17:00:00</v>
      </c>
      <c r="O431" s="25" t="str">
        <f t="shared" si="424"/>
        <v>2060-03-14 14:59:59</v>
      </c>
    </row>
    <row r="432" spans="2:15" x14ac:dyDescent="0.3">
      <c r="B432" s="23">
        <f t="shared" si="425"/>
        <v>58514.708333333336</v>
      </c>
      <c r="C432" s="23">
        <f t="shared" ref="C432" si="465">B432+($P$3*7)+$Q$3-TIME($G$3,0,1)</f>
        <v>58528.62498842593</v>
      </c>
      <c r="I432" t="str">
        <f t="shared" si="419"/>
        <v>2060-03-14</v>
      </c>
      <c r="J432" t="str">
        <f t="shared" si="420"/>
        <v>2060-03-28</v>
      </c>
      <c r="K432" s="24" t="str">
        <f t="shared" si="421"/>
        <v>17:00:00</v>
      </c>
      <c r="L432" s="24" t="str">
        <f t="shared" si="422"/>
        <v>14:59:59</v>
      </c>
      <c r="N432" s="25" t="str">
        <f t="shared" si="424"/>
        <v>2060-03-14 17:00:00</v>
      </c>
      <c r="O432" s="25" t="str">
        <f t="shared" si="424"/>
        <v>2060-03-28 14:59:59</v>
      </c>
    </row>
    <row r="433" spans="2:15" x14ac:dyDescent="0.3">
      <c r="B433" s="23">
        <f t="shared" si="425"/>
        <v>58528.708333333336</v>
      </c>
      <c r="C433" s="23">
        <f t="shared" ref="C433" si="466">B433+($E$3*7)+$F$3-TIME($G$3,0,1)</f>
        <v>58584.62498842593</v>
      </c>
      <c r="I433" t="str">
        <f t="shared" si="419"/>
        <v>2060-03-28</v>
      </c>
      <c r="J433" t="str">
        <f t="shared" si="420"/>
        <v>2060-05-23</v>
      </c>
      <c r="K433" s="24" t="str">
        <f t="shared" si="421"/>
        <v>17:00:00</v>
      </c>
      <c r="L433" s="24" t="str">
        <f t="shared" si="422"/>
        <v>14:59:59</v>
      </c>
      <c r="N433" s="25" t="str">
        <f t="shared" si="424"/>
        <v>2060-03-28 17:00:00</v>
      </c>
      <c r="O433" s="25" t="str">
        <f t="shared" si="424"/>
        <v>2060-05-23 14:59:59</v>
      </c>
    </row>
    <row r="434" spans="2:15" x14ac:dyDescent="0.3">
      <c r="B434" s="23">
        <f t="shared" si="425"/>
        <v>58584.708333333336</v>
      </c>
      <c r="C434" s="23">
        <f t="shared" ref="C434" si="467">B434+($P$3*7)+$Q$3-TIME($G$3,0,1)</f>
        <v>58598.62498842593</v>
      </c>
      <c r="I434" t="str">
        <f t="shared" si="419"/>
        <v>2060-05-23</v>
      </c>
      <c r="J434" t="str">
        <f t="shared" si="420"/>
        <v>2060-06-06</v>
      </c>
      <c r="K434" s="24" t="str">
        <f t="shared" si="421"/>
        <v>17:00:00</v>
      </c>
      <c r="L434" s="24" t="str">
        <f t="shared" si="422"/>
        <v>14:59:59</v>
      </c>
      <c r="N434" s="25" t="str">
        <f t="shared" si="424"/>
        <v>2060-05-23 17:00:00</v>
      </c>
      <c r="O434" s="25" t="str">
        <f t="shared" si="424"/>
        <v>2060-06-06 14:59:59</v>
      </c>
    </row>
    <row r="435" spans="2:15" x14ac:dyDescent="0.3">
      <c r="B435" s="23">
        <f t="shared" si="425"/>
        <v>58598.708333333336</v>
      </c>
      <c r="C435" s="23">
        <f t="shared" ref="C435" si="468">B435+($E$3*7)+$F$3-TIME($G$3,0,1)</f>
        <v>58654.62498842593</v>
      </c>
      <c r="I435" t="str">
        <f t="shared" si="419"/>
        <v>2060-06-06</v>
      </c>
      <c r="J435" t="str">
        <f t="shared" si="420"/>
        <v>2060-08-01</v>
      </c>
      <c r="K435" s="24" t="str">
        <f t="shared" si="421"/>
        <v>17:00:00</v>
      </c>
      <c r="L435" s="24" t="str">
        <f t="shared" si="422"/>
        <v>14:59:59</v>
      </c>
      <c r="N435" s="25" t="str">
        <f t="shared" si="424"/>
        <v>2060-06-06 17:00:00</v>
      </c>
      <c r="O435" s="25" t="str">
        <f t="shared" si="424"/>
        <v>2060-08-01 14:59:59</v>
      </c>
    </row>
    <row r="436" spans="2:15" x14ac:dyDescent="0.3">
      <c r="B436" s="23">
        <f t="shared" si="425"/>
        <v>58654.708333333336</v>
      </c>
      <c r="C436" s="23">
        <f t="shared" ref="C436" si="469">B436+($P$3*7)+$Q$3-TIME($G$3,0,1)</f>
        <v>58668.62498842593</v>
      </c>
      <c r="I436" t="str">
        <f t="shared" si="419"/>
        <v>2060-08-01</v>
      </c>
      <c r="J436" t="str">
        <f t="shared" si="420"/>
        <v>2060-08-15</v>
      </c>
      <c r="K436" s="24" t="str">
        <f t="shared" si="421"/>
        <v>17:00:00</v>
      </c>
      <c r="L436" s="24" t="str">
        <f t="shared" si="422"/>
        <v>14:59:59</v>
      </c>
      <c r="N436" s="25" t="str">
        <f t="shared" si="424"/>
        <v>2060-08-01 17:00:00</v>
      </c>
      <c r="O436" s="25" t="str">
        <f t="shared" si="424"/>
        <v>2060-08-15 14:59:59</v>
      </c>
    </row>
    <row r="437" spans="2:15" x14ac:dyDescent="0.3">
      <c r="B437" s="23">
        <f t="shared" si="425"/>
        <v>58668.708333333336</v>
      </c>
      <c r="C437" s="23">
        <f t="shared" ref="C437" si="470">B437+($E$3*7)+$F$3-TIME($G$3,0,1)</f>
        <v>58724.62498842593</v>
      </c>
      <c r="I437" t="str">
        <f t="shared" si="419"/>
        <v>2060-08-15</v>
      </c>
      <c r="J437" t="str">
        <f t="shared" si="420"/>
        <v>2060-10-10</v>
      </c>
      <c r="K437" s="24" t="str">
        <f t="shared" si="421"/>
        <v>17:00:00</v>
      </c>
      <c r="L437" s="24" t="str">
        <f t="shared" si="422"/>
        <v>14:59:59</v>
      </c>
      <c r="N437" s="25" t="str">
        <f t="shared" si="424"/>
        <v>2060-08-15 17:00:00</v>
      </c>
      <c r="O437" s="25" t="str">
        <f t="shared" si="424"/>
        <v>2060-10-10 14:59:59</v>
      </c>
    </row>
    <row r="438" spans="2:15" x14ac:dyDescent="0.3">
      <c r="B438" s="23">
        <f t="shared" si="425"/>
        <v>58724.708333333336</v>
      </c>
      <c r="C438" s="23">
        <f t="shared" ref="C438" si="471">B438+($P$3*7)+$Q$3-TIME($G$3,0,1)</f>
        <v>58738.62498842593</v>
      </c>
      <c r="I438" t="str">
        <f t="shared" si="419"/>
        <v>2060-10-10</v>
      </c>
      <c r="J438" t="str">
        <f t="shared" si="420"/>
        <v>2060-10-24</v>
      </c>
      <c r="K438" s="24" t="str">
        <f t="shared" si="421"/>
        <v>17:00:00</v>
      </c>
      <c r="L438" s="24" t="str">
        <f t="shared" si="422"/>
        <v>14:59:59</v>
      </c>
      <c r="N438" s="25" t="str">
        <f t="shared" si="424"/>
        <v>2060-10-10 17:00:00</v>
      </c>
      <c r="O438" s="25" t="str">
        <f t="shared" si="424"/>
        <v>2060-10-24 14:59:59</v>
      </c>
    </row>
    <row r="439" spans="2:15" x14ac:dyDescent="0.3">
      <c r="B439" s="23">
        <f t="shared" si="425"/>
        <v>58738.708333333336</v>
      </c>
      <c r="C439" s="23">
        <f t="shared" ref="C439" si="472">B439+($E$3*7)+$F$3-TIME($G$3,0,1)</f>
        <v>58794.62498842593</v>
      </c>
      <c r="I439" t="str">
        <f t="shared" si="419"/>
        <v>2060-10-24</v>
      </c>
      <c r="J439" t="str">
        <f t="shared" si="420"/>
        <v>2060-12-19</v>
      </c>
      <c r="K439" s="24" t="str">
        <f t="shared" si="421"/>
        <v>17:00:00</v>
      </c>
      <c r="L439" s="24" t="str">
        <f t="shared" si="422"/>
        <v>14:59:59</v>
      </c>
      <c r="N439" s="25" t="str">
        <f t="shared" si="424"/>
        <v>2060-10-24 17:00:00</v>
      </c>
      <c r="O439" s="25" t="str">
        <f t="shared" si="424"/>
        <v>2060-12-19 14:59:59</v>
      </c>
    </row>
    <row r="440" spans="2:15" x14ac:dyDescent="0.3">
      <c r="B440" s="23">
        <f t="shared" si="425"/>
        <v>58794.708333333336</v>
      </c>
      <c r="C440" s="23">
        <f t="shared" ref="C440" si="473">B440+($P$3*7)+$Q$3-TIME($G$3,0,1)</f>
        <v>58808.62498842593</v>
      </c>
      <c r="I440" t="str">
        <f t="shared" si="419"/>
        <v>2060-12-19</v>
      </c>
      <c r="J440" t="str">
        <f t="shared" si="420"/>
        <v>2061-01-02</v>
      </c>
      <c r="K440" s="24" t="str">
        <f t="shared" si="421"/>
        <v>17:00:00</v>
      </c>
      <c r="L440" s="24" t="str">
        <f t="shared" si="422"/>
        <v>14:59:59</v>
      </c>
      <c r="N440" s="25" t="str">
        <f t="shared" si="424"/>
        <v>2060-12-19 17:00:00</v>
      </c>
      <c r="O440" s="25" t="str">
        <f t="shared" si="424"/>
        <v>2061-01-02 14:59:59</v>
      </c>
    </row>
    <row r="441" spans="2:15" x14ac:dyDescent="0.3">
      <c r="B441" s="23">
        <f t="shared" si="425"/>
        <v>58808.708333333336</v>
      </c>
      <c r="C441" s="23">
        <f t="shared" ref="C441" si="474">B441+($E$3*7)+$F$3-TIME($G$3,0,1)</f>
        <v>58864.62498842593</v>
      </c>
      <c r="I441" t="str">
        <f t="shared" si="419"/>
        <v>2061-01-02</v>
      </c>
      <c r="J441" t="str">
        <f t="shared" si="420"/>
        <v>2061-02-27</v>
      </c>
      <c r="K441" s="24" t="str">
        <f t="shared" si="421"/>
        <v>17:00:00</v>
      </c>
      <c r="L441" s="24" t="str">
        <f t="shared" si="422"/>
        <v>14:59:59</v>
      </c>
      <c r="N441" s="25" t="str">
        <f t="shared" si="424"/>
        <v>2061-01-02 17:00:00</v>
      </c>
      <c r="O441" s="25" t="str">
        <f t="shared" si="424"/>
        <v>2061-02-27 14:59:59</v>
      </c>
    </row>
    <row r="442" spans="2:15" x14ac:dyDescent="0.3">
      <c r="B442" s="23">
        <f t="shared" si="425"/>
        <v>58864.708333333336</v>
      </c>
      <c r="C442" s="23">
        <f t="shared" ref="C442" si="475">B442+($P$3*7)+$Q$3-TIME($G$3,0,1)</f>
        <v>58878.62498842593</v>
      </c>
      <c r="I442" t="str">
        <f t="shared" si="419"/>
        <v>2061-02-27</v>
      </c>
      <c r="J442" t="str">
        <f t="shared" si="420"/>
        <v>2061-03-13</v>
      </c>
      <c r="K442" s="24" t="str">
        <f t="shared" si="421"/>
        <v>17:00:00</v>
      </c>
      <c r="L442" s="24" t="str">
        <f t="shared" si="422"/>
        <v>14:59:59</v>
      </c>
      <c r="N442" s="25" t="str">
        <f t="shared" si="424"/>
        <v>2061-02-27 17:00:00</v>
      </c>
      <c r="O442" s="25" t="str">
        <f t="shared" si="424"/>
        <v>2061-03-13 14:59:59</v>
      </c>
    </row>
    <row r="443" spans="2:15" x14ac:dyDescent="0.3">
      <c r="B443" s="23">
        <f t="shared" si="425"/>
        <v>58878.708333333336</v>
      </c>
      <c r="C443" s="23">
        <f t="shared" ref="C443" si="476">B443+($E$3*7)+$F$3-TIME($G$3,0,1)</f>
        <v>58934.62498842593</v>
      </c>
      <c r="I443" t="str">
        <f t="shared" si="419"/>
        <v>2061-03-13</v>
      </c>
      <c r="J443" t="str">
        <f t="shared" si="420"/>
        <v>2061-05-08</v>
      </c>
      <c r="K443" s="24" t="str">
        <f t="shared" si="421"/>
        <v>17:00:00</v>
      </c>
      <c r="L443" s="24" t="str">
        <f t="shared" si="422"/>
        <v>14:59:59</v>
      </c>
      <c r="N443" s="25" t="str">
        <f t="shared" si="424"/>
        <v>2061-03-13 17:00:00</v>
      </c>
      <c r="O443" s="25" t="str">
        <f t="shared" si="424"/>
        <v>2061-05-08 14:59:59</v>
      </c>
    </row>
    <row r="444" spans="2:15" x14ac:dyDescent="0.3">
      <c r="B444" s="23">
        <f t="shared" si="425"/>
        <v>58934.708333333336</v>
      </c>
      <c r="C444" s="23">
        <f t="shared" ref="C444" si="477">B444+($P$3*7)+$Q$3-TIME($G$3,0,1)</f>
        <v>58948.62498842593</v>
      </c>
      <c r="I444" t="str">
        <f t="shared" si="419"/>
        <v>2061-05-08</v>
      </c>
      <c r="J444" t="str">
        <f t="shared" si="420"/>
        <v>2061-05-22</v>
      </c>
      <c r="K444" s="24" t="str">
        <f t="shared" si="421"/>
        <v>17:00:00</v>
      </c>
      <c r="L444" s="24" t="str">
        <f t="shared" si="422"/>
        <v>14:59:59</v>
      </c>
      <c r="N444" s="25" t="str">
        <f t="shared" si="424"/>
        <v>2061-05-08 17:00:00</v>
      </c>
      <c r="O444" s="25" t="str">
        <f t="shared" si="424"/>
        <v>2061-05-22 14:59:59</v>
      </c>
    </row>
    <row r="445" spans="2:15" x14ac:dyDescent="0.3">
      <c r="B445" s="23">
        <f t="shared" si="425"/>
        <v>58948.708333333336</v>
      </c>
      <c r="C445" s="23">
        <f t="shared" ref="C445" si="478">B445+($E$3*7)+$F$3-TIME($G$3,0,1)</f>
        <v>59004.62498842593</v>
      </c>
      <c r="I445" t="str">
        <f t="shared" si="419"/>
        <v>2061-05-22</v>
      </c>
      <c r="J445" t="str">
        <f t="shared" si="420"/>
        <v>2061-07-17</v>
      </c>
      <c r="K445" s="24" t="str">
        <f t="shared" si="421"/>
        <v>17:00:00</v>
      </c>
      <c r="L445" s="24" t="str">
        <f t="shared" si="422"/>
        <v>14:59:59</v>
      </c>
      <c r="N445" s="25" t="str">
        <f t="shared" si="424"/>
        <v>2061-05-22 17:00:00</v>
      </c>
      <c r="O445" s="25" t="str">
        <f t="shared" si="424"/>
        <v>2061-07-17 14:59:59</v>
      </c>
    </row>
    <row r="446" spans="2:15" x14ac:dyDescent="0.3">
      <c r="B446" s="23">
        <f t="shared" si="425"/>
        <v>59004.708333333336</v>
      </c>
      <c r="C446" s="23">
        <f t="shared" ref="C446" si="479">B446+($P$3*7)+$Q$3-TIME($G$3,0,1)</f>
        <v>59018.62498842593</v>
      </c>
      <c r="I446" t="str">
        <f t="shared" si="419"/>
        <v>2061-07-17</v>
      </c>
      <c r="J446" t="str">
        <f t="shared" si="420"/>
        <v>2061-07-31</v>
      </c>
      <c r="K446" s="24" t="str">
        <f t="shared" si="421"/>
        <v>17:00:00</v>
      </c>
      <c r="L446" s="24" t="str">
        <f t="shared" si="422"/>
        <v>14:59:59</v>
      </c>
      <c r="N446" s="25" t="str">
        <f t="shared" si="424"/>
        <v>2061-07-17 17:00:00</v>
      </c>
      <c r="O446" s="25" t="str">
        <f t="shared" si="424"/>
        <v>2061-07-31 14:59:59</v>
      </c>
    </row>
    <row r="447" spans="2:15" x14ac:dyDescent="0.3">
      <c r="B447" s="23">
        <f t="shared" si="425"/>
        <v>59018.708333333336</v>
      </c>
      <c r="C447" s="23">
        <f t="shared" ref="C447" si="480">B447+($E$3*7)+$F$3-TIME($G$3,0,1)</f>
        <v>59074.62498842593</v>
      </c>
      <c r="I447" t="str">
        <f t="shared" si="419"/>
        <v>2061-07-31</v>
      </c>
      <c r="J447" t="str">
        <f t="shared" si="420"/>
        <v>2061-09-25</v>
      </c>
      <c r="K447" s="24" t="str">
        <f t="shared" si="421"/>
        <v>17:00:00</v>
      </c>
      <c r="L447" s="24" t="str">
        <f t="shared" si="422"/>
        <v>14:59:59</v>
      </c>
      <c r="N447" s="25" t="str">
        <f t="shared" si="424"/>
        <v>2061-07-31 17:00:00</v>
      </c>
      <c r="O447" s="25" t="str">
        <f t="shared" si="424"/>
        <v>2061-09-25 14:59:59</v>
      </c>
    </row>
    <row r="448" spans="2:15" x14ac:dyDescent="0.3">
      <c r="B448" s="23">
        <f t="shared" si="425"/>
        <v>59074.708333333336</v>
      </c>
      <c r="C448" s="23">
        <f t="shared" ref="C448" si="481">B448+($P$3*7)+$Q$3-TIME($G$3,0,1)</f>
        <v>59088.62498842593</v>
      </c>
      <c r="I448" t="str">
        <f t="shared" si="419"/>
        <v>2061-09-25</v>
      </c>
      <c r="J448" t="str">
        <f t="shared" si="420"/>
        <v>2061-10-09</v>
      </c>
      <c r="K448" s="24" t="str">
        <f t="shared" si="421"/>
        <v>17:00:00</v>
      </c>
      <c r="L448" s="24" t="str">
        <f t="shared" si="422"/>
        <v>14:59:59</v>
      </c>
      <c r="N448" s="25" t="str">
        <f t="shared" si="424"/>
        <v>2061-09-25 17:00:00</v>
      </c>
      <c r="O448" s="25" t="str">
        <f t="shared" si="424"/>
        <v>2061-10-09 14:59:59</v>
      </c>
    </row>
    <row r="449" spans="2:15" x14ac:dyDescent="0.3">
      <c r="B449" s="23">
        <f t="shared" si="425"/>
        <v>59088.708333333336</v>
      </c>
      <c r="C449" s="23">
        <f t="shared" ref="C449" si="482">B449+($E$3*7)+$F$3-TIME($G$3,0,1)</f>
        <v>59144.62498842593</v>
      </c>
      <c r="I449" t="str">
        <f t="shared" si="419"/>
        <v>2061-10-09</v>
      </c>
      <c r="J449" t="str">
        <f t="shared" si="420"/>
        <v>2061-12-04</v>
      </c>
      <c r="K449" s="24" t="str">
        <f t="shared" si="421"/>
        <v>17:00:00</v>
      </c>
      <c r="L449" s="24" t="str">
        <f t="shared" si="422"/>
        <v>14:59:59</v>
      </c>
      <c r="N449" s="25" t="str">
        <f t="shared" si="424"/>
        <v>2061-10-09 17:00:00</v>
      </c>
      <c r="O449" s="25" t="str">
        <f t="shared" si="424"/>
        <v>2061-12-04 14:59:59</v>
      </c>
    </row>
    <row r="450" spans="2:15" x14ac:dyDescent="0.3">
      <c r="B450" s="23">
        <f t="shared" si="425"/>
        <v>59144.708333333336</v>
      </c>
      <c r="C450" s="23">
        <f t="shared" ref="C450" si="483">B450+($P$3*7)+$Q$3-TIME($G$3,0,1)</f>
        <v>59158.62498842593</v>
      </c>
      <c r="I450" t="str">
        <f t="shared" si="419"/>
        <v>2061-12-04</v>
      </c>
      <c r="J450" t="str">
        <f t="shared" si="420"/>
        <v>2061-12-18</v>
      </c>
      <c r="K450" s="24" t="str">
        <f t="shared" si="421"/>
        <v>17:00:00</v>
      </c>
      <c r="L450" s="24" t="str">
        <f t="shared" si="422"/>
        <v>14:59:59</v>
      </c>
      <c r="N450" s="25" t="str">
        <f t="shared" si="424"/>
        <v>2061-12-04 17:00:00</v>
      </c>
      <c r="O450" s="25" t="str">
        <f t="shared" si="424"/>
        <v>2061-12-18 14:59:59</v>
      </c>
    </row>
    <row r="451" spans="2:15" x14ac:dyDescent="0.3">
      <c r="B451" s="23">
        <f t="shared" si="425"/>
        <v>59158.708333333336</v>
      </c>
      <c r="C451" s="23">
        <f t="shared" ref="C451" si="484">B451+($E$3*7)+$F$3-TIME($G$3,0,1)</f>
        <v>59214.62498842593</v>
      </c>
      <c r="I451" t="str">
        <f t="shared" si="419"/>
        <v>2061-12-18</v>
      </c>
      <c r="J451" t="str">
        <f t="shared" si="420"/>
        <v>2062-02-12</v>
      </c>
      <c r="K451" s="24" t="str">
        <f t="shared" si="421"/>
        <v>17:00:00</v>
      </c>
      <c r="L451" s="24" t="str">
        <f t="shared" si="422"/>
        <v>14:59:59</v>
      </c>
      <c r="N451" s="25" t="str">
        <f t="shared" si="424"/>
        <v>2061-12-18 17:00:00</v>
      </c>
      <c r="O451" s="25" t="str">
        <f t="shared" si="424"/>
        <v>2062-02-12 14:59:59</v>
      </c>
    </row>
    <row r="452" spans="2:15" x14ac:dyDescent="0.3">
      <c r="B452" s="23">
        <f t="shared" si="425"/>
        <v>59214.708333333336</v>
      </c>
      <c r="C452" s="23">
        <f t="shared" ref="C452" si="485">B452+($P$3*7)+$Q$3-TIME($G$3,0,1)</f>
        <v>59228.62498842593</v>
      </c>
      <c r="I452" t="str">
        <f t="shared" si="419"/>
        <v>2062-02-12</v>
      </c>
      <c r="J452" t="str">
        <f t="shared" si="420"/>
        <v>2062-02-26</v>
      </c>
      <c r="K452" s="24" t="str">
        <f t="shared" si="421"/>
        <v>17:00:00</v>
      </c>
      <c r="L452" s="24" t="str">
        <f t="shared" si="422"/>
        <v>14:59:59</v>
      </c>
      <c r="N452" s="25" t="str">
        <f t="shared" si="424"/>
        <v>2062-02-12 17:00:00</v>
      </c>
      <c r="O452" s="25" t="str">
        <f t="shared" si="424"/>
        <v>2062-02-26 14:59:59</v>
      </c>
    </row>
    <row r="453" spans="2:15" x14ac:dyDescent="0.3">
      <c r="B453" s="23">
        <f t="shared" si="425"/>
        <v>59228.708333333336</v>
      </c>
      <c r="C453" s="23">
        <f t="shared" ref="C453" si="486">B453+($E$3*7)+$F$3-TIME($G$3,0,1)</f>
        <v>59284.62498842593</v>
      </c>
      <c r="I453" t="str">
        <f t="shared" si="419"/>
        <v>2062-02-26</v>
      </c>
      <c r="J453" t="str">
        <f t="shared" si="420"/>
        <v>2062-04-23</v>
      </c>
      <c r="K453" s="24" t="str">
        <f t="shared" si="421"/>
        <v>17:00:00</v>
      </c>
      <c r="L453" s="24" t="str">
        <f t="shared" si="422"/>
        <v>14:59:59</v>
      </c>
      <c r="N453" s="25" t="str">
        <f t="shared" si="424"/>
        <v>2062-02-26 17:00:00</v>
      </c>
      <c r="O453" s="25" t="str">
        <f t="shared" si="424"/>
        <v>2062-04-23 14:59:59</v>
      </c>
    </row>
    <row r="454" spans="2:15" x14ac:dyDescent="0.3">
      <c r="B454" s="23">
        <f t="shared" si="425"/>
        <v>59284.708333333336</v>
      </c>
      <c r="C454" s="23">
        <f t="shared" ref="C454" si="487">B454+($P$3*7)+$Q$3-TIME($G$3,0,1)</f>
        <v>59298.62498842593</v>
      </c>
      <c r="I454" t="str">
        <f t="shared" si="419"/>
        <v>2062-04-23</v>
      </c>
      <c r="J454" t="str">
        <f t="shared" si="420"/>
        <v>2062-05-07</v>
      </c>
      <c r="K454" s="24" t="str">
        <f t="shared" si="421"/>
        <v>17:00:00</v>
      </c>
      <c r="L454" s="24" t="str">
        <f t="shared" si="422"/>
        <v>14:59:59</v>
      </c>
      <c r="N454" s="25" t="str">
        <f t="shared" si="424"/>
        <v>2062-04-23 17:00:00</v>
      </c>
      <c r="O454" s="25" t="str">
        <f t="shared" si="424"/>
        <v>2062-05-07 14:59:59</v>
      </c>
    </row>
    <row r="455" spans="2:15" x14ac:dyDescent="0.3">
      <c r="B455" s="23">
        <f t="shared" si="425"/>
        <v>59298.708333333336</v>
      </c>
      <c r="C455" s="23">
        <f t="shared" ref="C455" si="488">B455+($E$3*7)+$F$3-TIME($G$3,0,1)</f>
        <v>59354.62498842593</v>
      </c>
      <c r="I455" t="str">
        <f t="shared" ref="I455:I518" si="489">TEXT(B455,"yyyy-mm-dd")</f>
        <v>2062-05-07</v>
      </c>
      <c r="J455" t="str">
        <f t="shared" ref="J455:J518" si="490">TEXT(C455,"yyyy-mm-dd")</f>
        <v>2062-07-02</v>
      </c>
      <c r="K455" s="24" t="str">
        <f t="shared" ref="K455:K518" si="491">TEXT(B455,"hh:mm:ss")</f>
        <v>17:00:00</v>
      </c>
      <c r="L455" s="24" t="str">
        <f t="shared" ref="L455:L518" si="492">TEXT(C455,"hh:mm:ss")</f>
        <v>14:59:59</v>
      </c>
      <c r="N455" s="25" t="str">
        <f t="shared" si="424"/>
        <v>2062-05-07 17:00:00</v>
      </c>
      <c r="O455" s="25" t="str">
        <f t="shared" si="424"/>
        <v>2062-07-02 14:59:59</v>
      </c>
    </row>
    <row r="456" spans="2:15" x14ac:dyDescent="0.3">
      <c r="B456" s="23">
        <f t="shared" si="425"/>
        <v>59354.708333333336</v>
      </c>
      <c r="C456" s="23">
        <f t="shared" ref="C456" si="493">B456+($P$3*7)+$Q$3-TIME($G$3,0,1)</f>
        <v>59368.62498842593</v>
      </c>
      <c r="I456" t="str">
        <f t="shared" si="489"/>
        <v>2062-07-02</v>
      </c>
      <c r="J456" t="str">
        <f t="shared" si="490"/>
        <v>2062-07-16</v>
      </c>
      <c r="K456" s="24" t="str">
        <f t="shared" si="491"/>
        <v>17:00:00</v>
      </c>
      <c r="L456" s="24" t="str">
        <f t="shared" si="492"/>
        <v>14:59:59</v>
      </c>
      <c r="N456" s="25" t="str">
        <f t="shared" ref="N456:O519" si="494">CONCATENATE(I456," ",K456)</f>
        <v>2062-07-02 17:00:00</v>
      </c>
      <c r="O456" s="25" t="str">
        <f t="shared" si="494"/>
        <v>2062-07-16 14:59:59</v>
      </c>
    </row>
    <row r="457" spans="2:15" x14ac:dyDescent="0.3">
      <c r="B457" s="23">
        <f t="shared" ref="B457:B520" si="495">C456+($N$3*7)+$O$3+TIME($G$3,0,1)</f>
        <v>59368.708333333336</v>
      </c>
      <c r="C457" s="23">
        <f t="shared" ref="C457" si="496">B457+($E$3*7)+$F$3-TIME($G$3,0,1)</f>
        <v>59424.62498842593</v>
      </c>
      <c r="I457" t="str">
        <f t="shared" si="489"/>
        <v>2062-07-16</v>
      </c>
      <c r="J457" t="str">
        <f t="shared" si="490"/>
        <v>2062-09-10</v>
      </c>
      <c r="K457" s="24" t="str">
        <f t="shared" si="491"/>
        <v>17:00:00</v>
      </c>
      <c r="L457" s="24" t="str">
        <f t="shared" si="492"/>
        <v>14:59:59</v>
      </c>
      <c r="N457" s="25" t="str">
        <f t="shared" si="494"/>
        <v>2062-07-16 17:00:00</v>
      </c>
      <c r="O457" s="25" t="str">
        <f t="shared" si="494"/>
        <v>2062-09-10 14:59:59</v>
      </c>
    </row>
    <row r="458" spans="2:15" x14ac:dyDescent="0.3">
      <c r="B458" s="23">
        <f t="shared" si="495"/>
        <v>59424.708333333336</v>
      </c>
      <c r="C458" s="23">
        <f t="shared" ref="C458" si="497">B458+($P$3*7)+$Q$3-TIME($G$3,0,1)</f>
        <v>59438.62498842593</v>
      </c>
      <c r="I458" t="str">
        <f t="shared" si="489"/>
        <v>2062-09-10</v>
      </c>
      <c r="J458" t="str">
        <f t="shared" si="490"/>
        <v>2062-09-24</v>
      </c>
      <c r="K458" s="24" t="str">
        <f t="shared" si="491"/>
        <v>17:00:00</v>
      </c>
      <c r="L458" s="24" t="str">
        <f t="shared" si="492"/>
        <v>14:59:59</v>
      </c>
      <c r="N458" s="25" t="str">
        <f t="shared" si="494"/>
        <v>2062-09-10 17:00:00</v>
      </c>
      <c r="O458" s="25" t="str">
        <f t="shared" si="494"/>
        <v>2062-09-24 14:59:59</v>
      </c>
    </row>
    <row r="459" spans="2:15" x14ac:dyDescent="0.3">
      <c r="B459" s="23">
        <f t="shared" si="495"/>
        <v>59438.708333333336</v>
      </c>
      <c r="C459" s="23">
        <f t="shared" ref="C459" si="498">B459+($E$3*7)+$F$3-TIME($G$3,0,1)</f>
        <v>59494.62498842593</v>
      </c>
      <c r="I459" t="str">
        <f t="shared" si="489"/>
        <v>2062-09-24</v>
      </c>
      <c r="J459" t="str">
        <f t="shared" si="490"/>
        <v>2062-11-19</v>
      </c>
      <c r="K459" s="24" t="str">
        <f t="shared" si="491"/>
        <v>17:00:00</v>
      </c>
      <c r="L459" s="24" t="str">
        <f t="shared" si="492"/>
        <v>14:59:59</v>
      </c>
      <c r="N459" s="25" t="str">
        <f t="shared" si="494"/>
        <v>2062-09-24 17:00:00</v>
      </c>
      <c r="O459" s="25" t="str">
        <f t="shared" si="494"/>
        <v>2062-11-19 14:59:59</v>
      </c>
    </row>
    <row r="460" spans="2:15" x14ac:dyDescent="0.3">
      <c r="B460" s="23">
        <f t="shared" si="495"/>
        <v>59494.708333333336</v>
      </c>
      <c r="C460" s="23">
        <f t="shared" ref="C460" si="499">B460+($P$3*7)+$Q$3-TIME($G$3,0,1)</f>
        <v>59508.62498842593</v>
      </c>
      <c r="I460" t="str">
        <f t="shared" si="489"/>
        <v>2062-11-19</v>
      </c>
      <c r="J460" t="str">
        <f t="shared" si="490"/>
        <v>2062-12-03</v>
      </c>
      <c r="K460" s="24" t="str">
        <f t="shared" si="491"/>
        <v>17:00:00</v>
      </c>
      <c r="L460" s="24" t="str">
        <f t="shared" si="492"/>
        <v>14:59:59</v>
      </c>
      <c r="N460" s="25" t="str">
        <f t="shared" si="494"/>
        <v>2062-11-19 17:00:00</v>
      </c>
      <c r="O460" s="25" t="str">
        <f t="shared" si="494"/>
        <v>2062-12-03 14:59:59</v>
      </c>
    </row>
    <row r="461" spans="2:15" x14ac:dyDescent="0.3">
      <c r="B461" s="23">
        <f t="shared" si="495"/>
        <v>59508.708333333336</v>
      </c>
      <c r="C461" s="23">
        <f t="shared" ref="C461" si="500">B461+($E$3*7)+$F$3-TIME($G$3,0,1)</f>
        <v>59564.62498842593</v>
      </c>
      <c r="I461" t="str">
        <f t="shared" si="489"/>
        <v>2062-12-03</v>
      </c>
      <c r="J461" t="str">
        <f t="shared" si="490"/>
        <v>2063-01-28</v>
      </c>
      <c r="K461" s="24" t="str">
        <f t="shared" si="491"/>
        <v>17:00:00</v>
      </c>
      <c r="L461" s="24" t="str">
        <f t="shared" si="492"/>
        <v>14:59:59</v>
      </c>
      <c r="N461" s="25" t="str">
        <f t="shared" si="494"/>
        <v>2062-12-03 17:00:00</v>
      </c>
      <c r="O461" s="25" t="str">
        <f t="shared" si="494"/>
        <v>2063-01-28 14:59:59</v>
      </c>
    </row>
    <row r="462" spans="2:15" x14ac:dyDescent="0.3">
      <c r="B462" s="23">
        <f t="shared" si="495"/>
        <v>59564.708333333336</v>
      </c>
      <c r="C462" s="23">
        <f t="shared" ref="C462" si="501">B462+($P$3*7)+$Q$3-TIME($G$3,0,1)</f>
        <v>59578.62498842593</v>
      </c>
      <c r="I462" t="str">
        <f t="shared" si="489"/>
        <v>2063-01-28</v>
      </c>
      <c r="J462" t="str">
        <f t="shared" si="490"/>
        <v>2063-02-11</v>
      </c>
      <c r="K462" s="24" t="str">
        <f t="shared" si="491"/>
        <v>17:00:00</v>
      </c>
      <c r="L462" s="24" t="str">
        <f t="shared" si="492"/>
        <v>14:59:59</v>
      </c>
      <c r="N462" s="25" t="str">
        <f t="shared" si="494"/>
        <v>2063-01-28 17:00:00</v>
      </c>
      <c r="O462" s="25" t="str">
        <f t="shared" si="494"/>
        <v>2063-02-11 14:59:59</v>
      </c>
    </row>
    <row r="463" spans="2:15" x14ac:dyDescent="0.3">
      <c r="B463" s="23">
        <f t="shared" si="495"/>
        <v>59578.708333333336</v>
      </c>
      <c r="C463" s="23">
        <f t="shared" ref="C463" si="502">B463+($E$3*7)+$F$3-TIME($G$3,0,1)</f>
        <v>59634.62498842593</v>
      </c>
      <c r="I463" t="str">
        <f t="shared" si="489"/>
        <v>2063-02-11</v>
      </c>
      <c r="J463" t="str">
        <f t="shared" si="490"/>
        <v>2063-04-08</v>
      </c>
      <c r="K463" s="24" t="str">
        <f t="shared" si="491"/>
        <v>17:00:00</v>
      </c>
      <c r="L463" s="24" t="str">
        <f t="shared" si="492"/>
        <v>14:59:59</v>
      </c>
      <c r="N463" s="25" t="str">
        <f t="shared" si="494"/>
        <v>2063-02-11 17:00:00</v>
      </c>
      <c r="O463" s="25" t="str">
        <f t="shared" si="494"/>
        <v>2063-04-08 14:59:59</v>
      </c>
    </row>
    <row r="464" spans="2:15" x14ac:dyDescent="0.3">
      <c r="B464" s="23">
        <f t="shared" si="495"/>
        <v>59634.708333333336</v>
      </c>
      <c r="C464" s="23">
        <f t="shared" ref="C464" si="503">B464+($P$3*7)+$Q$3-TIME($G$3,0,1)</f>
        <v>59648.62498842593</v>
      </c>
      <c r="I464" t="str">
        <f t="shared" si="489"/>
        <v>2063-04-08</v>
      </c>
      <c r="J464" t="str">
        <f t="shared" si="490"/>
        <v>2063-04-22</v>
      </c>
      <c r="K464" s="24" t="str">
        <f t="shared" si="491"/>
        <v>17:00:00</v>
      </c>
      <c r="L464" s="24" t="str">
        <f t="shared" si="492"/>
        <v>14:59:59</v>
      </c>
      <c r="N464" s="25" t="str">
        <f t="shared" si="494"/>
        <v>2063-04-08 17:00:00</v>
      </c>
      <c r="O464" s="25" t="str">
        <f t="shared" si="494"/>
        <v>2063-04-22 14:59:59</v>
      </c>
    </row>
    <row r="465" spans="2:15" x14ac:dyDescent="0.3">
      <c r="B465" s="23">
        <f t="shared" si="495"/>
        <v>59648.708333333336</v>
      </c>
      <c r="C465" s="23">
        <f t="shared" ref="C465" si="504">B465+($E$3*7)+$F$3-TIME($G$3,0,1)</f>
        <v>59704.62498842593</v>
      </c>
      <c r="I465" t="str">
        <f t="shared" si="489"/>
        <v>2063-04-22</v>
      </c>
      <c r="J465" t="str">
        <f t="shared" si="490"/>
        <v>2063-06-17</v>
      </c>
      <c r="K465" s="24" t="str">
        <f t="shared" si="491"/>
        <v>17:00:00</v>
      </c>
      <c r="L465" s="24" t="str">
        <f t="shared" si="492"/>
        <v>14:59:59</v>
      </c>
      <c r="N465" s="25" t="str">
        <f t="shared" si="494"/>
        <v>2063-04-22 17:00:00</v>
      </c>
      <c r="O465" s="25" t="str">
        <f t="shared" si="494"/>
        <v>2063-06-17 14:59:59</v>
      </c>
    </row>
    <row r="466" spans="2:15" x14ac:dyDescent="0.3">
      <c r="B466" s="23">
        <f t="shared" si="495"/>
        <v>59704.708333333336</v>
      </c>
      <c r="C466" s="23">
        <f t="shared" ref="C466" si="505">B466+($P$3*7)+$Q$3-TIME($G$3,0,1)</f>
        <v>59718.62498842593</v>
      </c>
      <c r="I466" t="str">
        <f t="shared" si="489"/>
        <v>2063-06-17</v>
      </c>
      <c r="J466" t="str">
        <f t="shared" si="490"/>
        <v>2063-07-01</v>
      </c>
      <c r="K466" s="24" t="str">
        <f t="shared" si="491"/>
        <v>17:00:00</v>
      </c>
      <c r="L466" s="24" t="str">
        <f t="shared" si="492"/>
        <v>14:59:59</v>
      </c>
      <c r="N466" s="25" t="str">
        <f t="shared" si="494"/>
        <v>2063-06-17 17:00:00</v>
      </c>
      <c r="O466" s="25" t="str">
        <f t="shared" si="494"/>
        <v>2063-07-01 14:59:59</v>
      </c>
    </row>
    <row r="467" spans="2:15" x14ac:dyDescent="0.3">
      <c r="B467" s="23">
        <f t="shared" si="495"/>
        <v>59718.708333333336</v>
      </c>
      <c r="C467" s="23">
        <f t="shared" ref="C467" si="506">B467+($E$3*7)+$F$3-TIME($G$3,0,1)</f>
        <v>59774.62498842593</v>
      </c>
      <c r="I467" t="str">
        <f t="shared" si="489"/>
        <v>2063-07-01</v>
      </c>
      <c r="J467" t="str">
        <f t="shared" si="490"/>
        <v>2063-08-26</v>
      </c>
      <c r="K467" s="24" t="str">
        <f t="shared" si="491"/>
        <v>17:00:00</v>
      </c>
      <c r="L467" s="24" t="str">
        <f t="shared" si="492"/>
        <v>14:59:59</v>
      </c>
      <c r="N467" s="25" t="str">
        <f t="shared" si="494"/>
        <v>2063-07-01 17:00:00</v>
      </c>
      <c r="O467" s="25" t="str">
        <f t="shared" si="494"/>
        <v>2063-08-26 14:59:59</v>
      </c>
    </row>
    <row r="468" spans="2:15" x14ac:dyDescent="0.3">
      <c r="B468" s="23">
        <f t="shared" si="495"/>
        <v>59774.708333333336</v>
      </c>
      <c r="C468" s="23">
        <f t="shared" ref="C468" si="507">B468+($P$3*7)+$Q$3-TIME($G$3,0,1)</f>
        <v>59788.62498842593</v>
      </c>
      <c r="I468" t="str">
        <f t="shared" si="489"/>
        <v>2063-08-26</v>
      </c>
      <c r="J468" t="str">
        <f t="shared" si="490"/>
        <v>2063-09-09</v>
      </c>
      <c r="K468" s="24" t="str">
        <f t="shared" si="491"/>
        <v>17:00:00</v>
      </c>
      <c r="L468" s="24" t="str">
        <f t="shared" si="492"/>
        <v>14:59:59</v>
      </c>
      <c r="N468" s="25" t="str">
        <f t="shared" si="494"/>
        <v>2063-08-26 17:00:00</v>
      </c>
      <c r="O468" s="25" t="str">
        <f t="shared" si="494"/>
        <v>2063-09-09 14:59:59</v>
      </c>
    </row>
    <row r="469" spans="2:15" x14ac:dyDescent="0.3">
      <c r="B469" s="23">
        <f t="shared" si="495"/>
        <v>59788.708333333336</v>
      </c>
      <c r="C469" s="23">
        <f t="shared" ref="C469" si="508">B469+($E$3*7)+$F$3-TIME($G$3,0,1)</f>
        <v>59844.62498842593</v>
      </c>
      <c r="I469" t="str">
        <f t="shared" si="489"/>
        <v>2063-09-09</v>
      </c>
      <c r="J469" t="str">
        <f t="shared" si="490"/>
        <v>2063-11-04</v>
      </c>
      <c r="K469" s="24" t="str">
        <f t="shared" si="491"/>
        <v>17:00:00</v>
      </c>
      <c r="L469" s="24" t="str">
        <f t="shared" si="492"/>
        <v>14:59:59</v>
      </c>
      <c r="N469" s="25" t="str">
        <f t="shared" si="494"/>
        <v>2063-09-09 17:00:00</v>
      </c>
      <c r="O469" s="25" t="str">
        <f t="shared" si="494"/>
        <v>2063-11-04 14:59:59</v>
      </c>
    </row>
    <row r="470" spans="2:15" x14ac:dyDescent="0.3">
      <c r="B470" s="23">
        <f t="shared" si="495"/>
        <v>59844.708333333336</v>
      </c>
      <c r="C470" s="23">
        <f t="shared" ref="C470" si="509">B470+($P$3*7)+$Q$3-TIME($G$3,0,1)</f>
        <v>59858.62498842593</v>
      </c>
      <c r="I470" t="str">
        <f t="shared" si="489"/>
        <v>2063-11-04</v>
      </c>
      <c r="J470" t="str">
        <f t="shared" si="490"/>
        <v>2063-11-18</v>
      </c>
      <c r="K470" s="24" t="str">
        <f t="shared" si="491"/>
        <v>17:00:00</v>
      </c>
      <c r="L470" s="24" t="str">
        <f t="shared" si="492"/>
        <v>14:59:59</v>
      </c>
      <c r="N470" s="25" t="str">
        <f t="shared" si="494"/>
        <v>2063-11-04 17:00:00</v>
      </c>
      <c r="O470" s="25" t="str">
        <f t="shared" si="494"/>
        <v>2063-11-18 14:59:59</v>
      </c>
    </row>
    <row r="471" spans="2:15" x14ac:dyDescent="0.3">
      <c r="B471" s="23">
        <f t="shared" si="495"/>
        <v>59858.708333333336</v>
      </c>
      <c r="C471" s="23">
        <f t="shared" ref="C471" si="510">B471+($E$3*7)+$F$3-TIME($G$3,0,1)</f>
        <v>59914.62498842593</v>
      </c>
      <c r="I471" t="str">
        <f t="shared" si="489"/>
        <v>2063-11-18</v>
      </c>
      <c r="J471" t="str">
        <f t="shared" si="490"/>
        <v>2064-01-13</v>
      </c>
      <c r="K471" s="24" t="str">
        <f t="shared" si="491"/>
        <v>17:00:00</v>
      </c>
      <c r="L471" s="24" t="str">
        <f t="shared" si="492"/>
        <v>14:59:59</v>
      </c>
      <c r="N471" s="25" t="str">
        <f t="shared" si="494"/>
        <v>2063-11-18 17:00:00</v>
      </c>
      <c r="O471" s="25" t="str">
        <f t="shared" si="494"/>
        <v>2064-01-13 14:59:59</v>
      </c>
    </row>
    <row r="472" spans="2:15" x14ac:dyDescent="0.3">
      <c r="B472" s="23">
        <f t="shared" si="495"/>
        <v>59914.708333333336</v>
      </c>
      <c r="C472" s="23">
        <f t="shared" ref="C472" si="511">B472+($P$3*7)+$Q$3-TIME($G$3,0,1)</f>
        <v>59928.62498842593</v>
      </c>
      <c r="I472" t="str">
        <f t="shared" si="489"/>
        <v>2064-01-13</v>
      </c>
      <c r="J472" t="str">
        <f t="shared" si="490"/>
        <v>2064-01-27</v>
      </c>
      <c r="K472" s="24" t="str">
        <f t="shared" si="491"/>
        <v>17:00:00</v>
      </c>
      <c r="L472" s="24" t="str">
        <f t="shared" si="492"/>
        <v>14:59:59</v>
      </c>
      <c r="N472" s="25" t="str">
        <f t="shared" si="494"/>
        <v>2064-01-13 17:00:00</v>
      </c>
      <c r="O472" s="25" t="str">
        <f t="shared" si="494"/>
        <v>2064-01-27 14:59:59</v>
      </c>
    </row>
    <row r="473" spans="2:15" x14ac:dyDescent="0.3">
      <c r="B473" s="23">
        <f t="shared" si="495"/>
        <v>59928.708333333336</v>
      </c>
      <c r="C473" s="23">
        <f t="shared" ref="C473" si="512">B473+($E$3*7)+$F$3-TIME($G$3,0,1)</f>
        <v>59984.62498842593</v>
      </c>
      <c r="I473" t="str">
        <f t="shared" si="489"/>
        <v>2064-01-27</v>
      </c>
      <c r="J473" t="str">
        <f t="shared" si="490"/>
        <v>2064-03-23</v>
      </c>
      <c r="K473" s="24" t="str">
        <f t="shared" si="491"/>
        <v>17:00:00</v>
      </c>
      <c r="L473" s="24" t="str">
        <f t="shared" si="492"/>
        <v>14:59:59</v>
      </c>
      <c r="N473" s="25" t="str">
        <f t="shared" si="494"/>
        <v>2064-01-27 17:00:00</v>
      </c>
      <c r="O473" s="25" t="str">
        <f t="shared" si="494"/>
        <v>2064-03-23 14:59:59</v>
      </c>
    </row>
    <row r="474" spans="2:15" x14ac:dyDescent="0.3">
      <c r="B474" s="23">
        <f t="shared" si="495"/>
        <v>59984.708333333336</v>
      </c>
      <c r="C474" s="23">
        <f t="shared" ref="C474" si="513">B474+($P$3*7)+$Q$3-TIME($G$3,0,1)</f>
        <v>59998.62498842593</v>
      </c>
      <c r="I474" t="str">
        <f t="shared" si="489"/>
        <v>2064-03-23</v>
      </c>
      <c r="J474" t="str">
        <f t="shared" si="490"/>
        <v>2064-04-06</v>
      </c>
      <c r="K474" s="24" t="str">
        <f t="shared" si="491"/>
        <v>17:00:00</v>
      </c>
      <c r="L474" s="24" t="str">
        <f t="shared" si="492"/>
        <v>14:59:59</v>
      </c>
      <c r="N474" s="25" t="str">
        <f t="shared" si="494"/>
        <v>2064-03-23 17:00:00</v>
      </c>
      <c r="O474" s="25" t="str">
        <f t="shared" si="494"/>
        <v>2064-04-06 14:59:59</v>
      </c>
    </row>
    <row r="475" spans="2:15" x14ac:dyDescent="0.3">
      <c r="B475" s="23">
        <f t="shared" si="495"/>
        <v>59998.708333333336</v>
      </c>
      <c r="C475" s="23">
        <f t="shared" ref="C475" si="514">B475+($E$3*7)+$F$3-TIME($G$3,0,1)</f>
        <v>60054.62498842593</v>
      </c>
      <c r="I475" t="str">
        <f t="shared" si="489"/>
        <v>2064-04-06</v>
      </c>
      <c r="J475" t="str">
        <f t="shared" si="490"/>
        <v>2064-06-01</v>
      </c>
      <c r="K475" s="24" t="str">
        <f t="shared" si="491"/>
        <v>17:00:00</v>
      </c>
      <c r="L475" s="24" t="str">
        <f t="shared" si="492"/>
        <v>14:59:59</v>
      </c>
      <c r="N475" s="25" t="str">
        <f t="shared" si="494"/>
        <v>2064-04-06 17:00:00</v>
      </c>
      <c r="O475" s="25" t="str">
        <f t="shared" si="494"/>
        <v>2064-06-01 14:59:59</v>
      </c>
    </row>
    <row r="476" spans="2:15" x14ac:dyDescent="0.3">
      <c r="B476" s="23">
        <f t="shared" si="495"/>
        <v>60054.708333333336</v>
      </c>
      <c r="C476" s="23">
        <f t="shared" ref="C476" si="515">B476+($P$3*7)+$Q$3-TIME($G$3,0,1)</f>
        <v>60068.62498842593</v>
      </c>
      <c r="I476" t="str">
        <f t="shared" si="489"/>
        <v>2064-06-01</v>
      </c>
      <c r="J476" t="str">
        <f t="shared" si="490"/>
        <v>2064-06-15</v>
      </c>
      <c r="K476" s="24" t="str">
        <f t="shared" si="491"/>
        <v>17:00:00</v>
      </c>
      <c r="L476" s="24" t="str">
        <f t="shared" si="492"/>
        <v>14:59:59</v>
      </c>
      <c r="N476" s="25" t="str">
        <f t="shared" si="494"/>
        <v>2064-06-01 17:00:00</v>
      </c>
      <c r="O476" s="25" t="str">
        <f t="shared" si="494"/>
        <v>2064-06-15 14:59:59</v>
      </c>
    </row>
    <row r="477" spans="2:15" x14ac:dyDescent="0.3">
      <c r="B477" s="23">
        <f t="shared" si="495"/>
        <v>60068.708333333336</v>
      </c>
      <c r="C477" s="23">
        <f t="shared" ref="C477" si="516">B477+($E$3*7)+$F$3-TIME($G$3,0,1)</f>
        <v>60124.62498842593</v>
      </c>
      <c r="I477" t="str">
        <f t="shared" si="489"/>
        <v>2064-06-15</v>
      </c>
      <c r="J477" t="str">
        <f t="shared" si="490"/>
        <v>2064-08-10</v>
      </c>
      <c r="K477" s="24" t="str">
        <f t="shared" si="491"/>
        <v>17:00:00</v>
      </c>
      <c r="L477" s="24" t="str">
        <f t="shared" si="492"/>
        <v>14:59:59</v>
      </c>
      <c r="N477" s="25" t="str">
        <f t="shared" si="494"/>
        <v>2064-06-15 17:00:00</v>
      </c>
      <c r="O477" s="25" t="str">
        <f t="shared" si="494"/>
        <v>2064-08-10 14:59:59</v>
      </c>
    </row>
    <row r="478" spans="2:15" x14ac:dyDescent="0.3">
      <c r="B478" s="23">
        <f t="shared" si="495"/>
        <v>60124.708333333336</v>
      </c>
      <c r="C478" s="23">
        <f t="shared" ref="C478" si="517">B478+($P$3*7)+$Q$3-TIME($G$3,0,1)</f>
        <v>60138.62498842593</v>
      </c>
      <c r="I478" t="str">
        <f t="shared" si="489"/>
        <v>2064-08-10</v>
      </c>
      <c r="J478" t="str">
        <f t="shared" si="490"/>
        <v>2064-08-24</v>
      </c>
      <c r="K478" s="24" t="str">
        <f t="shared" si="491"/>
        <v>17:00:00</v>
      </c>
      <c r="L478" s="24" t="str">
        <f t="shared" si="492"/>
        <v>14:59:59</v>
      </c>
      <c r="N478" s="25" t="str">
        <f t="shared" si="494"/>
        <v>2064-08-10 17:00:00</v>
      </c>
      <c r="O478" s="25" t="str">
        <f t="shared" si="494"/>
        <v>2064-08-24 14:59:59</v>
      </c>
    </row>
    <row r="479" spans="2:15" x14ac:dyDescent="0.3">
      <c r="B479" s="23">
        <f t="shared" si="495"/>
        <v>60138.708333333336</v>
      </c>
      <c r="C479" s="23">
        <f t="shared" ref="C479" si="518">B479+($E$3*7)+$F$3-TIME($G$3,0,1)</f>
        <v>60194.62498842593</v>
      </c>
      <c r="I479" t="str">
        <f t="shared" si="489"/>
        <v>2064-08-24</v>
      </c>
      <c r="J479" t="str">
        <f t="shared" si="490"/>
        <v>2064-10-19</v>
      </c>
      <c r="K479" s="24" t="str">
        <f t="shared" si="491"/>
        <v>17:00:00</v>
      </c>
      <c r="L479" s="24" t="str">
        <f t="shared" si="492"/>
        <v>14:59:59</v>
      </c>
      <c r="N479" s="25" t="str">
        <f t="shared" si="494"/>
        <v>2064-08-24 17:00:00</v>
      </c>
      <c r="O479" s="25" t="str">
        <f t="shared" si="494"/>
        <v>2064-10-19 14:59:59</v>
      </c>
    </row>
    <row r="480" spans="2:15" x14ac:dyDescent="0.3">
      <c r="B480" s="23">
        <f t="shared" si="495"/>
        <v>60194.708333333336</v>
      </c>
      <c r="C480" s="23">
        <f t="shared" ref="C480" si="519">B480+($P$3*7)+$Q$3-TIME($G$3,0,1)</f>
        <v>60208.62498842593</v>
      </c>
      <c r="I480" t="str">
        <f t="shared" si="489"/>
        <v>2064-10-19</v>
      </c>
      <c r="J480" t="str">
        <f t="shared" si="490"/>
        <v>2064-11-02</v>
      </c>
      <c r="K480" s="24" t="str">
        <f t="shared" si="491"/>
        <v>17:00:00</v>
      </c>
      <c r="L480" s="24" t="str">
        <f t="shared" si="492"/>
        <v>14:59:59</v>
      </c>
      <c r="N480" s="25" t="str">
        <f t="shared" si="494"/>
        <v>2064-10-19 17:00:00</v>
      </c>
      <c r="O480" s="25" t="str">
        <f t="shared" si="494"/>
        <v>2064-11-02 14:59:59</v>
      </c>
    </row>
    <row r="481" spans="2:15" x14ac:dyDescent="0.3">
      <c r="B481" s="23">
        <f t="shared" si="495"/>
        <v>60208.708333333336</v>
      </c>
      <c r="C481" s="23">
        <f t="shared" ref="C481" si="520">B481+($E$3*7)+$F$3-TIME($G$3,0,1)</f>
        <v>60264.62498842593</v>
      </c>
      <c r="I481" t="str">
        <f t="shared" si="489"/>
        <v>2064-11-02</v>
      </c>
      <c r="J481" t="str">
        <f t="shared" si="490"/>
        <v>2064-12-28</v>
      </c>
      <c r="K481" s="24" t="str">
        <f t="shared" si="491"/>
        <v>17:00:00</v>
      </c>
      <c r="L481" s="24" t="str">
        <f t="shared" si="492"/>
        <v>14:59:59</v>
      </c>
      <c r="N481" s="25" t="str">
        <f t="shared" si="494"/>
        <v>2064-11-02 17:00:00</v>
      </c>
      <c r="O481" s="25" t="str">
        <f t="shared" si="494"/>
        <v>2064-12-28 14:59:59</v>
      </c>
    </row>
    <row r="482" spans="2:15" x14ac:dyDescent="0.3">
      <c r="B482" s="23">
        <f t="shared" si="495"/>
        <v>60264.708333333336</v>
      </c>
      <c r="C482" s="23">
        <f t="shared" ref="C482" si="521">B482+($P$3*7)+$Q$3-TIME($G$3,0,1)</f>
        <v>60278.62498842593</v>
      </c>
      <c r="I482" t="str">
        <f t="shared" si="489"/>
        <v>2064-12-28</v>
      </c>
      <c r="J482" t="str">
        <f t="shared" si="490"/>
        <v>2065-01-11</v>
      </c>
      <c r="K482" s="24" t="str">
        <f t="shared" si="491"/>
        <v>17:00:00</v>
      </c>
      <c r="L482" s="24" t="str">
        <f t="shared" si="492"/>
        <v>14:59:59</v>
      </c>
      <c r="N482" s="25" t="str">
        <f t="shared" si="494"/>
        <v>2064-12-28 17:00:00</v>
      </c>
      <c r="O482" s="25" t="str">
        <f t="shared" si="494"/>
        <v>2065-01-11 14:59:59</v>
      </c>
    </row>
    <row r="483" spans="2:15" x14ac:dyDescent="0.3">
      <c r="B483" s="23">
        <f t="shared" si="495"/>
        <v>60278.708333333336</v>
      </c>
      <c r="C483" s="23">
        <f t="shared" ref="C483" si="522">B483+($E$3*7)+$F$3-TIME($G$3,0,1)</f>
        <v>60334.62498842593</v>
      </c>
      <c r="I483" t="str">
        <f t="shared" si="489"/>
        <v>2065-01-11</v>
      </c>
      <c r="J483" t="str">
        <f t="shared" si="490"/>
        <v>2065-03-08</v>
      </c>
      <c r="K483" s="24" t="str">
        <f t="shared" si="491"/>
        <v>17:00:00</v>
      </c>
      <c r="L483" s="24" t="str">
        <f t="shared" si="492"/>
        <v>14:59:59</v>
      </c>
      <c r="N483" s="25" t="str">
        <f t="shared" si="494"/>
        <v>2065-01-11 17:00:00</v>
      </c>
      <c r="O483" s="25" t="str">
        <f t="shared" si="494"/>
        <v>2065-03-08 14:59:59</v>
      </c>
    </row>
    <row r="484" spans="2:15" x14ac:dyDescent="0.3">
      <c r="B484" s="23">
        <f t="shared" si="495"/>
        <v>60334.708333333336</v>
      </c>
      <c r="C484" s="23">
        <f t="shared" ref="C484" si="523">B484+($P$3*7)+$Q$3-TIME($G$3,0,1)</f>
        <v>60348.62498842593</v>
      </c>
      <c r="I484" t="str">
        <f t="shared" si="489"/>
        <v>2065-03-08</v>
      </c>
      <c r="J484" t="str">
        <f t="shared" si="490"/>
        <v>2065-03-22</v>
      </c>
      <c r="K484" s="24" t="str">
        <f t="shared" si="491"/>
        <v>17:00:00</v>
      </c>
      <c r="L484" s="24" t="str">
        <f t="shared" si="492"/>
        <v>14:59:59</v>
      </c>
      <c r="N484" s="25" t="str">
        <f t="shared" si="494"/>
        <v>2065-03-08 17:00:00</v>
      </c>
      <c r="O484" s="25" t="str">
        <f t="shared" si="494"/>
        <v>2065-03-22 14:59:59</v>
      </c>
    </row>
    <row r="485" spans="2:15" x14ac:dyDescent="0.3">
      <c r="B485" s="23">
        <f t="shared" si="495"/>
        <v>60348.708333333336</v>
      </c>
      <c r="C485" s="23">
        <f t="shared" ref="C485" si="524">B485+($E$3*7)+$F$3-TIME($G$3,0,1)</f>
        <v>60404.62498842593</v>
      </c>
      <c r="I485" t="str">
        <f t="shared" si="489"/>
        <v>2065-03-22</v>
      </c>
      <c r="J485" t="str">
        <f t="shared" si="490"/>
        <v>2065-05-17</v>
      </c>
      <c r="K485" s="24" t="str">
        <f t="shared" si="491"/>
        <v>17:00:00</v>
      </c>
      <c r="L485" s="24" t="str">
        <f t="shared" si="492"/>
        <v>14:59:59</v>
      </c>
      <c r="N485" s="25" t="str">
        <f t="shared" si="494"/>
        <v>2065-03-22 17:00:00</v>
      </c>
      <c r="O485" s="25" t="str">
        <f t="shared" si="494"/>
        <v>2065-05-17 14:59:59</v>
      </c>
    </row>
    <row r="486" spans="2:15" x14ac:dyDescent="0.3">
      <c r="B486" s="23">
        <f t="shared" si="495"/>
        <v>60404.708333333336</v>
      </c>
      <c r="C486" s="23">
        <f t="shared" ref="C486" si="525">B486+($P$3*7)+$Q$3-TIME($G$3,0,1)</f>
        <v>60418.62498842593</v>
      </c>
      <c r="I486" t="str">
        <f t="shared" si="489"/>
        <v>2065-05-17</v>
      </c>
      <c r="J486" t="str">
        <f t="shared" si="490"/>
        <v>2065-05-31</v>
      </c>
      <c r="K486" s="24" t="str">
        <f t="shared" si="491"/>
        <v>17:00:00</v>
      </c>
      <c r="L486" s="24" t="str">
        <f t="shared" si="492"/>
        <v>14:59:59</v>
      </c>
      <c r="N486" s="25" t="str">
        <f t="shared" si="494"/>
        <v>2065-05-17 17:00:00</v>
      </c>
      <c r="O486" s="25" t="str">
        <f t="shared" si="494"/>
        <v>2065-05-31 14:59:59</v>
      </c>
    </row>
    <row r="487" spans="2:15" x14ac:dyDescent="0.3">
      <c r="B487" s="23">
        <f t="shared" si="495"/>
        <v>60418.708333333336</v>
      </c>
      <c r="C487" s="23">
        <f t="shared" ref="C487" si="526">B487+($E$3*7)+$F$3-TIME($G$3,0,1)</f>
        <v>60474.62498842593</v>
      </c>
      <c r="I487" t="str">
        <f t="shared" si="489"/>
        <v>2065-05-31</v>
      </c>
      <c r="J487" t="str">
        <f t="shared" si="490"/>
        <v>2065-07-26</v>
      </c>
      <c r="K487" s="24" t="str">
        <f t="shared" si="491"/>
        <v>17:00:00</v>
      </c>
      <c r="L487" s="24" t="str">
        <f t="shared" si="492"/>
        <v>14:59:59</v>
      </c>
      <c r="N487" s="25" t="str">
        <f t="shared" si="494"/>
        <v>2065-05-31 17:00:00</v>
      </c>
      <c r="O487" s="25" t="str">
        <f t="shared" si="494"/>
        <v>2065-07-26 14:59:59</v>
      </c>
    </row>
    <row r="488" spans="2:15" x14ac:dyDescent="0.3">
      <c r="B488" s="23">
        <f t="shared" si="495"/>
        <v>60474.708333333336</v>
      </c>
      <c r="C488" s="23">
        <f t="shared" ref="C488" si="527">B488+($P$3*7)+$Q$3-TIME($G$3,0,1)</f>
        <v>60488.62498842593</v>
      </c>
      <c r="I488" t="str">
        <f t="shared" si="489"/>
        <v>2065-07-26</v>
      </c>
      <c r="J488" t="str">
        <f t="shared" si="490"/>
        <v>2065-08-09</v>
      </c>
      <c r="K488" s="24" t="str">
        <f t="shared" si="491"/>
        <v>17:00:00</v>
      </c>
      <c r="L488" s="24" t="str">
        <f t="shared" si="492"/>
        <v>14:59:59</v>
      </c>
      <c r="N488" s="25" t="str">
        <f t="shared" si="494"/>
        <v>2065-07-26 17:00:00</v>
      </c>
      <c r="O488" s="25" t="str">
        <f t="shared" si="494"/>
        <v>2065-08-09 14:59:59</v>
      </c>
    </row>
    <row r="489" spans="2:15" x14ac:dyDescent="0.3">
      <c r="B489" s="23">
        <f t="shared" si="495"/>
        <v>60488.708333333336</v>
      </c>
      <c r="C489" s="23">
        <f t="shared" ref="C489" si="528">B489+($E$3*7)+$F$3-TIME($G$3,0,1)</f>
        <v>60544.62498842593</v>
      </c>
      <c r="I489" t="str">
        <f t="shared" si="489"/>
        <v>2065-08-09</v>
      </c>
      <c r="J489" t="str">
        <f t="shared" si="490"/>
        <v>2065-10-04</v>
      </c>
      <c r="K489" s="24" t="str">
        <f t="shared" si="491"/>
        <v>17:00:00</v>
      </c>
      <c r="L489" s="24" t="str">
        <f t="shared" si="492"/>
        <v>14:59:59</v>
      </c>
      <c r="N489" s="25" t="str">
        <f t="shared" si="494"/>
        <v>2065-08-09 17:00:00</v>
      </c>
      <c r="O489" s="25" t="str">
        <f t="shared" si="494"/>
        <v>2065-10-04 14:59:59</v>
      </c>
    </row>
    <row r="490" spans="2:15" x14ac:dyDescent="0.3">
      <c r="B490" s="23">
        <f t="shared" si="495"/>
        <v>60544.708333333336</v>
      </c>
      <c r="C490" s="23">
        <f t="shared" ref="C490" si="529">B490+($P$3*7)+$Q$3-TIME($G$3,0,1)</f>
        <v>60558.62498842593</v>
      </c>
      <c r="I490" t="str">
        <f t="shared" si="489"/>
        <v>2065-10-04</v>
      </c>
      <c r="J490" t="str">
        <f t="shared" si="490"/>
        <v>2065-10-18</v>
      </c>
      <c r="K490" s="24" t="str">
        <f t="shared" si="491"/>
        <v>17:00:00</v>
      </c>
      <c r="L490" s="24" t="str">
        <f t="shared" si="492"/>
        <v>14:59:59</v>
      </c>
      <c r="N490" s="25" t="str">
        <f t="shared" si="494"/>
        <v>2065-10-04 17:00:00</v>
      </c>
      <c r="O490" s="25" t="str">
        <f t="shared" si="494"/>
        <v>2065-10-18 14:59:59</v>
      </c>
    </row>
    <row r="491" spans="2:15" x14ac:dyDescent="0.3">
      <c r="B491" s="23">
        <f t="shared" si="495"/>
        <v>60558.708333333336</v>
      </c>
      <c r="C491" s="23">
        <f t="shared" ref="C491" si="530">B491+($E$3*7)+$F$3-TIME($G$3,0,1)</f>
        <v>60614.62498842593</v>
      </c>
      <c r="I491" t="str">
        <f t="shared" si="489"/>
        <v>2065-10-18</v>
      </c>
      <c r="J491" t="str">
        <f t="shared" si="490"/>
        <v>2065-12-13</v>
      </c>
      <c r="K491" s="24" t="str">
        <f t="shared" si="491"/>
        <v>17:00:00</v>
      </c>
      <c r="L491" s="24" t="str">
        <f t="shared" si="492"/>
        <v>14:59:59</v>
      </c>
      <c r="N491" s="25" t="str">
        <f t="shared" si="494"/>
        <v>2065-10-18 17:00:00</v>
      </c>
      <c r="O491" s="25" t="str">
        <f t="shared" si="494"/>
        <v>2065-12-13 14:59:59</v>
      </c>
    </row>
    <row r="492" spans="2:15" x14ac:dyDescent="0.3">
      <c r="B492" s="23">
        <f t="shared" si="495"/>
        <v>60614.708333333336</v>
      </c>
      <c r="C492" s="23">
        <f t="shared" ref="C492" si="531">B492+($P$3*7)+$Q$3-TIME($G$3,0,1)</f>
        <v>60628.62498842593</v>
      </c>
      <c r="I492" t="str">
        <f t="shared" si="489"/>
        <v>2065-12-13</v>
      </c>
      <c r="J492" t="str">
        <f t="shared" si="490"/>
        <v>2065-12-27</v>
      </c>
      <c r="K492" s="24" t="str">
        <f t="shared" si="491"/>
        <v>17:00:00</v>
      </c>
      <c r="L492" s="24" t="str">
        <f t="shared" si="492"/>
        <v>14:59:59</v>
      </c>
      <c r="N492" s="25" t="str">
        <f t="shared" si="494"/>
        <v>2065-12-13 17:00:00</v>
      </c>
      <c r="O492" s="25" t="str">
        <f t="shared" si="494"/>
        <v>2065-12-27 14:59:59</v>
      </c>
    </row>
    <row r="493" spans="2:15" x14ac:dyDescent="0.3">
      <c r="B493" s="23">
        <f t="shared" si="495"/>
        <v>60628.708333333336</v>
      </c>
      <c r="C493" s="23">
        <f t="shared" ref="C493" si="532">B493+($E$3*7)+$F$3-TIME($G$3,0,1)</f>
        <v>60684.62498842593</v>
      </c>
      <c r="I493" t="str">
        <f t="shared" si="489"/>
        <v>2065-12-27</v>
      </c>
      <c r="J493" t="str">
        <f t="shared" si="490"/>
        <v>2066-02-21</v>
      </c>
      <c r="K493" s="24" t="str">
        <f t="shared" si="491"/>
        <v>17:00:00</v>
      </c>
      <c r="L493" s="24" t="str">
        <f t="shared" si="492"/>
        <v>14:59:59</v>
      </c>
      <c r="N493" s="25" t="str">
        <f t="shared" si="494"/>
        <v>2065-12-27 17:00:00</v>
      </c>
      <c r="O493" s="25" t="str">
        <f t="shared" si="494"/>
        <v>2066-02-21 14:59:59</v>
      </c>
    </row>
    <row r="494" spans="2:15" x14ac:dyDescent="0.3">
      <c r="B494" s="23">
        <f t="shared" si="495"/>
        <v>60684.708333333336</v>
      </c>
      <c r="C494" s="23">
        <f t="shared" ref="C494" si="533">B494+($P$3*7)+$Q$3-TIME($G$3,0,1)</f>
        <v>60698.62498842593</v>
      </c>
      <c r="I494" t="str">
        <f t="shared" si="489"/>
        <v>2066-02-21</v>
      </c>
      <c r="J494" t="str">
        <f t="shared" si="490"/>
        <v>2066-03-07</v>
      </c>
      <c r="K494" s="24" t="str">
        <f t="shared" si="491"/>
        <v>17:00:00</v>
      </c>
      <c r="L494" s="24" t="str">
        <f t="shared" si="492"/>
        <v>14:59:59</v>
      </c>
      <c r="N494" s="25" t="str">
        <f t="shared" si="494"/>
        <v>2066-02-21 17:00:00</v>
      </c>
      <c r="O494" s="25" t="str">
        <f t="shared" si="494"/>
        <v>2066-03-07 14:59:59</v>
      </c>
    </row>
    <row r="495" spans="2:15" x14ac:dyDescent="0.3">
      <c r="B495" s="23">
        <f t="shared" si="495"/>
        <v>60698.708333333336</v>
      </c>
      <c r="C495" s="23">
        <f t="shared" ref="C495" si="534">B495+($E$3*7)+$F$3-TIME($G$3,0,1)</f>
        <v>60754.62498842593</v>
      </c>
      <c r="I495" t="str">
        <f t="shared" si="489"/>
        <v>2066-03-07</v>
      </c>
      <c r="J495" t="str">
        <f t="shared" si="490"/>
        <v>2066-05-02</v>
      </c>
      <c r="K495" s="24" t="str">
        <f t="shared" si="491"/>
        <v>17:00:00</v>
      </c>
      <c r="L495" s="24" t="str">
        <f t="shared" si="492"/>
        <v>14:59:59</v>
      </c>
      <c r="N495" s="25" t="str">
        <f t="shared" si="494"/>
        <v>2066-03-07 17:00:00</v>
      </c>
      <c r="O495" s="25" t="str">
        <f t="shared" si="494"/>
        <v>2066-05-02 14:59:59</v>
      </c>
    </row>
    <row r="496" spans="2:15" x14ac:dyDescent="0.3">
      <c r="B496" s="23">
        <f t="shared" si="495"/>
        <v>60754.708333333336</v>
      </c>
      <c r="C496" s="23">
        <f t="shared" ref="C496" si="535">B496+($P$3*7)+$Q$3-TIME($G$3,0,1)</f>
        <v>60768.62498842593</v>
      </c>
      <c r="I496" t="str">
        <f t="shared" si="489"/>
        <v>2066-05-02</v>
      </c>
      <c r="J496" t="str">
        <f t="shared" si="490"/>
        <v>2066-05-16</v>
      </c>
      <c r="K496" s="24" t="str">
        <f t="shared" si="491"/>
        <v>17:00:00</v>
      </c>
      <c r="L496" s="24" t="str">
        <f t="shared" si="492"/>
        <v>14:59:59</v>
      </c>
      <c r="N496" s="25" t="str">
        <f t="shared" si="494"/>
        <v>2066-05-02 17:00:00</v>
      </c>
      <c r="O496" s="25" t="str">
        <f t="shared" si="494"/>
        <v>2066-05-16 14:59:59</v>
      </c>
    </row>
    <row r="497" spans="2:15" x14ac:dyDescent="0.3">
      <c r="B497" s="23">
        <f t="shared" si="495"/>
        <v>60768.708333333336</v>
      </c>
      <c r="C497" s="23">
        <f t="shared" ref="C497" si="536">B497+($E$3*7)+$F$3-TIME($G$3,0,1)</f>
        <v>60824.62498842593</v>
      </c>
      <c r="I497" t="str">
        <f t="shared" si="489"/>
        <v>2066-05-16</v>
      </c>
      <c r="J497" t="str">
        <f t="shared" si="490"/>
        <v>2066-07-11</v>
      </c>
      <c r="K497" s="24" t="str">
        <f t="shared" si="491"/>
        <v>17:00:00</v>
      </c>
      <c r="L497" s="24" t="str">
        <f t="shared" si="492"/>
        <v>14:59:59</v>
      </c>
      <c r="N497" s="25" t="str">
        <f t="shared" si="494"/>
        <v>2066-05-16 17:00:00</v>
      </c>
      <c r="O497" s="25" t="str">
        <f t="shared" si="494"/>
        <v>2066-07-11 14:59:59</v>
      </c>
    </row>
    <row r="498" spans="2:15" x14ac:dyDescent="0.3">
      <c r="B498" s="23">
        <f t="shared" si="495"/>
        <v>60824.708333333336</v>
      </c>
      <c r="C498" s="23">
        <f t="shared" ref="C498" si="537">B498+($P$3*7)+$Q$3-TIME($G$3,0,1)</f>
        <v>60838.62498842593</v>
      </c>
      <c r="I498" t="str">
        <f t="shared" si="489"/>
        <v>2066-07-11</v>
      </c>
      <c r="J498" t="str">
        <f t="shared" si="490"/>
        <v>2066-07-25</v>
      </c>
      <c r="K498" s="24" t="str">
        <f t="shared" si="491"/>
        <v>17:00:00</v>
      </c>
      <c r="L498" s="24" t="str">
        <f t="shared" si="492"/>
        <v>14:59:59</v>
      </c>
      <c r="N498" s="25" t="str">
        <f t="shared" si="494"/>
        <v>2066-07-11 17:00:00</v>
      </c>
      <c r="O498" s="25" t="str">
        <f t="shared" si="494"/>
        <v>2066-07-25 14:59:59</v>
      </c>
    </row>
    <row r="499" spans="2:15" x14ac:dyDescent="0.3">
      <c r="B499" s="23">
        <f t="shared" si="495"/>
        <v>60838.708333333336</v>
      </c>
      <c r="C499" s="23">
        <f t="shared" ref="C499" si="538">B499+($E$3*7)+$F$3-TIME($G$3,0,1)</f>
        <v>60894.62498842593</v>
      </c>
      <c r="I499" t="str">
        <f t="shared" si="489"/>
        <v>2066-07-25</v>
      </c>
      <c r="J499" t="str">
        <f t="shared" si="490"/>
        <v>2066-09-19</v>
      </c>
      <c r="K499" s="24" t="str">
        <f t="shared" si="491"/>
        <v>17:00:00</v>
      </c>
      <c r="L499" s="24" t="str">
        <f t="shared" si="492"/>
        <v>14:59:59</v>
      </c>
      <c r="N499" s="25" t="str">
        <f t="shared" si="494"/>
        <v>2066-07-25 17:00:00</v>
      </c>
      <c r="O499" s="25" t="str">
        <f t="shared" si="494"/>
        <v>2066-09-19 14:59:59</v>
      </c>
    </row>
    <row r="500" spans="2:15" x14ac:dyDescent="0.3">
      <c r="B500" s="23">
        <f t="shared" si="495"/>
        <v>60894.708333333336</v>
      </c>
      <c r="C500" s="23">
        <f t="shared" ref="C500" si="539">B500+($P$3*7)+$Q$3-TIME($G$3,0,1)</f>
        <v>60908.62498842593</v>
      </c>
      <c r="I500" t="str">
        <f t="shared" si="489"/>
        <v>2066-09-19</v>
      </c>
      <c r="J500" t="str">
        <f t="shared" si="490"/>
        <v>2066-10-03</v>
      </c>
      <c r="K500" s="24" t="str">
        <f t="shared" si="491"/>
        <v>17:00:00</v>
      </c>
      <c r="L500" s="24" t="str">
        <f t="shared" si="492"/>
        <v>14:59:59</v>
      </c>
      <c r="N500" s="25" t="str">
        <f t="shared" si="494"/>
        <v>2066-09-19 17:00:00</v>
      </c>
      <c r="O500" s="25" t="str">
        <f t="shared" si="494"/>
        <v>2066-10-03 14:59:59</v>
      </c>
    </row>
    <row r="501" spans="2:15" x14ac:dyDescent="0.3">
      <c r="B501" s="23">
        <f t="shared" si="495"/>
        <v>60908.708333333336</v>
      </c>
      <c r="C501" s="23">
        <f t="shared" ref="C501" si="540">B501+($E$3*7)+$F$3-TIME($G$3,0,1)</f>
        <v>60964.62498842593</v>
      </c>
      <c r="I501" t="str">
        <f t="shared" si="489"/>
        <v>2066-10-03</v>
      </c>
      <c r="J501" t="str">
        <f t="shared" si="490"/>
        <v>2066-11-28</v>
      </c>
      <c r="K501" s="24" t="str">
        <f t="shared" si="491"/>
        <v>17:00:00</v>
      </c>
      <c r="L501" s="24" t="str">
        <f t="shared" si="492"/>
        <v>14:59:59</v>
      </c>
      <c r="N501" s="25" t="str">
        <f t="shared" si="494"/>
        <v>2066-10-03 17:00:00</v>
      </c>
      <c r="O501" s="25" t="str">
        <f t="shared" si="494"/>
        <v>2066-11-28 14:59:59</v>
      </c>
    </row>
    <row r="502" spans="2:15" x14ac:dyDescent="0.3">
      <c r="B502" s="23">
        <f t="shared" si="495"/>
        <v>60964.708333333336</v>
      </c>
      <c r="C502" s="23">
        <f t="shared" ref="C502" si="541">B502+($P$3*7)+$Q$3-TIME($G$3,0,1)</f>
        <v>60978.62498842593</v>
      </c>
      <c r="I502" t="str">
        <f t="shared" si="489"/>
        <v>2066-11-28</v>
      </c>
      <c r="J502" t="str">
        <f t="shared" si="490"/>
        <v>2066-12-12</v>
      </c>
      <c r="K502" s="24" t="str">
        <f t="shared" si="491"/>
        <v>17:00:00</v>
      </c>
      <c r="L502" s="24" t="str">
        <f t="shared" si="492"/>
        <v>14:59:59</v>
      </c>
      <c r="N502" s="25" t="str">
        <f t="shared" si="494"/>
        <v>2066-11-28 17:00:00</v>
      </c>
      <c r="O502" s="25" t="str">
        <f t="shared" si="494"/>
        <v>2066-12-12 14:59:59</v>
      </c>
    </row>
    <row r="503" spans="2:15" x14ac:dyDescent="0.3">
      <c r="B503" s="23">
        <f t="shared" si="495"/>
        <v>60978.708333333336</v>
      </c>
      <c r="C503" s="23">
        <f t="shared" ref="C503" si="542">B503+($E$3*7)+$F$3-TIME($G$3,0,1)</f>
        <v>61034.62498842593</v>
      </c>
      <c r="I503" t="str">
        <f t="shared" si="489"/>
        <v>2066-12-12</v>
      </c>
      <c r="J503" t="str">
        <f t="shared" si="490"/>
        <v>2067-02-06</v>
      </c>
      <c r="K503" s="24" t="str">
        <f t="shared" si="491"/>
        <v>17:00:00</v>
      </c>
      <c r="L503" s="24" t="str">
        <f t="shared" si="492"/>
        <v>14:59:59</v>
      </c>
      <c r="N503" s="25" t="str">
        <f t="shared" si="494"/>
        <v>2066-12-12 17:00:00</v>
      </c>
      <c r="O503" s="25" t="str">
        <f t="shared" si="494"/>
        <v>2067-02-06 14:59:59</v>
      </c>
    </row>
    <row r="504" spans="2:15" x14ac:dyDescent="0.3">
      <c r="B504" s="23">
        <f t="shared" si="495"/>
        <v>61034.708333333336</v>
      </c>
      <c r="C504" s="23">
        <f t="shared" ref="C504" si="543">B504+($P$3*7)+$Q$3-TIME($G$3,0,1)</f>
        <v>61048.62498842593</v>
      </c>
      <c r="I504" t="str">
        <f t="shared" si="489"/>
        <v>2067-02-06</v>
      </c>
      <c r="J504" t="str">
        <f t="shared" si="490"/>
        <v>2067-02-20</v>
      </c>
      <c r="K504" s="24" t="str">
        <f t="shared" si="491"/>
        <v>17:00:00</v>
      </c>
      <c r="L504" s="24" t="str">
        <f t="shared" si="492"/>
        <v>14:59:59</v>
      </c>
      <c r="N504" s="25" t="str">
        <f t="shared" si="494"/>
        <v>2067-02-06 17:00:00</v>
      </c>
      <c r="O504" s="25" t="str">
        <f t="shared" si="494"/>
        <v>2067-02-20 14:59:59</v>
      </c>
    </row>
    <row r="505" spans="2:15" x14ac:dyDescent="0.3">
      <c r="B505" s="23">
        <f t="shared" si="495"/>
        <v>61048.708333333336</v>
      </c>
      <c r="C505" s="23">
        <f t="shared" ref="C505" si="544">B505+($E$3*7)+$F$3-TIME($G$3,0,1)</f>
        <v>61104.62498842593</v>
      </c>
      <c r="I505" t="str">
        <f t="shared" si="489"/>
        <v>2067-02-20</v>
      </c>
      <c r="J505" t="str">
        <f t="shared" si="490"/>
        <v>2067-04-17</v>
      </c>
      <c r="K505" s="24" t="str">
        <f t="shared" si="491"/>
        <v>17:00:00</v>
      </c>
      <c r="L505" s="24" t="str">
        <f t="shared" si="492"/>
        <v>14:59:59</v>
      </c>
      <c r="N505" s="25" t="str">
        <f t="shared" si="494"/>
        <v>2067-02-20 17:00:00</v>
      </c>
      <c r="O505" s="25" t="str">
        <f t="shared" si="494"/>
        <v>2067-04-17 14:59:59</v>
      </c>
    </row>
    <row r="506" spans="2:15" x14ac:dyDescent="0.3">
      <c r="B506" s="23">
        <f t="shared" si="495"/>
        <v>61104.708333333336</v>
      </c>
      <c r="C506" s="23">
        <f t="shared" ref="C506" si="545">B506+($P$3*7)+$Q$3-TIME($G$3,0,1)</f>
        <v>61118.62498842593</v>
      </c>
      <c r="I506" t="str">
        <f t="shared" si="489"/>
        <v>2067-04-17</v>
      </c>
      <c r="J506" t="str">
        <f t="shared" si="490"/>
        <v>2067-05-01</v>
      </c>
      <c r="K506" s="24" t="str">
        <f t="shared" si="491"/>
        <v>17:00:00</v>
      </c>
      <c r="L506" s="24" t="str">
        <f t="shared" si="492"/>
        <v>14:59:59</v>
      </c>
      <c r="N506" s="25" t="str">
        <f t="shared" si="494"/>
        <v>2067-04-17 17:00:00</v>
      </c>
      <c r="O506" s="25" t="str">
        <f t="shared" si="494"/>
        <v>2067-05-01 14:59:59</v>
      </c>
    </row>
    <row r="507" spans="2:15" x14ac:dyDescent="0.3">
      <c r="B507" s="23">
        <f t="shared" si="495"/>
        <v>61118.708333333336</v>
      </c>
      <c r="C507" s="23">
        <f t="shared" ref="C507" si="546">B507+($E$3*7)+$F$3-TIME($G$3,0,1)</f>
        <v>61174.62498842593</v>
      </c>
      <c r="I507" t="str">
        <f t="shared" si="489"/>
        <v>2067-05-01</v>
      </c>
      <c r="J507" t="str">
        <f t="shared" si="490"/>
        <v>2067-06-26</v>
      </c>
      <c r="K507" s="24" t="str">
        <f t="shared" si="491"/>
        <v>17:00:00</v>
      </c>
      <c r="L507" s="24" t="str">
        <f t="shared" si="492"/>
        <v>14:59:59</v>
      </c>
      <c r="N507" s="25" t="str">
        <f t="shared" si="494"/>
        <v>2067-05-01 17:00:00</v>
      </c>
      <c r="O507" s="25" t="str">
        <f t="shared" si="494"/>
        <v>2067-06-26 14:59:59</v>
      </c>
    </row>
    <row r="508" spans="2:15" x14ac:dyDescent="0.3">
      <c r="B508" s="23">
        <f t="shared" si="495"/>
        <v>61174.708333333336</v>
      </c>
      <c r="C508" s="23">
        <f t="shared" ref="C508" si="547">B508+($P$3*7)+$Q$3-TIME($G$3,0,1)</f>
        <v>61188.62498842593</v>
      </c>
      <c r="I508" t="str">
        <f t="shared" si="489"/>
        <v>2067-06-26</v>
      </c>
      <c r="J508" t="str">
        <f t="shared" si="490"/>
        <v>2067-07-10</v>
      </c>
      <c r="K508" s="24" t="str">
        <f t="shared" si="491"/>
        <v>17:00:00</v>
      </c>
      <c r="L508" s="24" t="str">
        <f t="shared" si="492"/>
        <v>14:59:59</v>
      </c>
      <c r="N508" s="25" t="str">
        <f t="shared" si="494"/>
        <v>2067-06-26 17:00:00</v>
      </c>
      <c r="O508" s="25" t="str">
        <f t="shared" si="494"/>
        <v>2067-07-10 14:59:59</v>
      </c>
    </row>
    <row r="509" spans="2:15" x14ac:dyDescent="0.3">
      <c r="B509" s="23">
        <f t="shared" si="495"/>
        <v>61188.708333333336</v>
      </c>
      <c r="C509" s="23">
        <f t="shared" ref="C509" si="548">B509+($E$3*7)+$F$3-TIME($G$3,0,1)</f>
        <v>61244.62498842593</v>
      </c>
      <c r="I509" t="str">
        <f t="shared" si="489"/>
        <v>2067-07-10</v>
      </c>
      <c r="J509" t="str">
        <f t="shared" si="490"/>
        <v>2067-09-04</v>
      </c>
      <c r="K509" s="24" t="str">
        <f t="shared" si="491"/>
        <v>17:00:00</v>
      </c>
      <c r="L509" s="24" t="str">
        <f t="shared" si="492"/>
        <v>14:59:59</v>
      </c>
      <c r="N509" s="25" t="str">
        <f t="shared" si="494"/>
        <v>2067-07-10 17:00:00</v>
      </c>
      <c r="O509" s="25" t="str">
        <f t="shared" si="494"/>
        <v>2067-09-04 14:59:59</v>
      </c>
    </row>
    <row r="510" spans="2:15" x14ac:dyDescent="0.3">
      <c r="B510" s="23">
        <f t="shared" si="495"/>
        <v>61244.708333333336</v>
      </c>
      <c r="C510" s="23">
        <f t="shared" ref="C510" si="549">B510+($P$3*7)+$Q$3-TIME($G$3,0,1)</f>
        <v>61258.62498842593</v>
      </c>
      <c r="I510" t="str">
        <f t="shared" si="489"/>
        <v>2067-09-04</v>
      </c>
      <c r="J510" t="str">
        <f t="shared" si="490"/>
        <v>2067-09-18</v>
      </c>
      <c r="K510" s="24" t="str">
        <f t="shared" si="491"/>
        <v>17:00:00</v>
      </c>
      <c r="L510" s="24" t="str">
        <f t="shared" si="492"/>
        <v>14:59:59</v>
      </c>
      <c r="N510" s="25" t="str">
        <f t="shared" si="494"/>
        <v>2067-09-04 17:00:00</v>
      </c>
      <c r="O510" s="25" t="str">
        <f t="shared" si="494"/>
        <v>2067-09-18 14:59:59</v>
      </c>
    </row>
    <row r="511" spans="2:15" x14ac:dyDescent="0.3">
      <c r="B511" s="23">
        <f t="shared" si="495"/>
        <v>61258.708333333336</v>
      </c>
      <c r="C511" s="23">
        <f t="shared" ref="C511" si="550">B511+($E$3*7)+$F$3-TIME($G$3,0,1)</f>
        <v>61314.62498842593</v>
      </c>
      <c r="I511" t="str">
        <f t="shared" si="489"/>
        <v>2067-09-18</v>
      </c>
      <c r="J511" t="str">
        <f t="shared" si="490"/>
        <v>2067-11-13</v>
      </c>
      <c r="K511" s="24" t="str">
        <f t="shared" si="491"/>
        <v>17:00:00</v>
      </c>
      <c r="L511" s="24" t="str">
        <f t="shared" si="492"/>
        <v>14:59:59</v>
      </c>
      <c r="N511" s="25" t="str">
        <f t="shared" si="494"/>
        <v>2067-09-18 17:00:00</v>
      </c>
      <c r="O511" s="25" t="str">
        <f t="shared" si="494"/>
        <v>2067-11-13 14:59:59</v>
      </c>
    </row>
    <row r="512" spans="2:15" x14ac:dyDescent="0.3">
      <c r="B512" s="23">
        <f t="shared" si="495"/>
        <v>61314.708333333336</v>
      </c>
      <c r="C512" s="23">
        <f t="shared" ref="C512" si="551">B512+($P$3*7)+$Q$3-TIME($G$3,0,1)</f>
        <v>61328.62498842593</v>
      </c>
      <c r="I512" t="str">
        <f t="shared" si="489"/>
        <v>2067-11-13</v>
      </c>
      <c r="J512" t="str">
        <f t="shared" si="490"/>
        <v>2067-11-27</v>
      </c>
      <c r="K512" s="24" t="str">
        <f t="shared" si="491"/>
        <v>17:00:00</v>
      </c>
      <c r="L512" s="24" t="str">
        <f t="shared" si="492"/>
        <v>14:59:59</v>
      </c>
      <c r="N512" s="25" t="str">
        <f t="shared" si="494"/>
        <v>2067-11-13 17:00:00</v>
      </c>
      <c r="O512" s="25" t="str">
        <f t="shared" si="494"/>
        <v>2067-11-27 14:59:59</v>
      </c>
    </row>
    <row r="513" spans="2:15" x14ac:dyDescent="0.3">
      <c r="B513" s="23">
        <f t="shared" si="495"/>
        <v>61328.708333333336</v>
      </c>
      <c r="C513" s="23">
        <f t="shared" ref="C513" si="552">B513+($E$3*7)+$F$3-TIME($G$3,0,1)</f>
        <v>61384.62498842593</v>
      </c>
      <c r="I513" t="str">
        <f t="shared" si="489"/>
        <v>2067-11-27</v>
      </c>
      <c r="J513" t="str">
        <f t="shared" si="490"/>
        <v>2068-01-22</v>
      </c>
      <c r="K513" s="24" t="str">
        <f t="shared" si="491"/>
        <v>17:00:00</v>
      </c>
      <c r="L513" s="24" t="str">
        <f t="shared" si="492"/>
        <v>14:59:59</v>
      </c>
      <c r="N513" s="25" t="str">
        <f t="shared" si="494"/>
        <v>2067-11-27 17:00:00</v>
      </c>
      <c r="O513" s="25" t="str">
        <f t="shared" si="494"/>
        <v>2068-01-22 14:59:59</v>
      </c>
    </row>
    <row r="514" spans="2:15" x14ac:dyDescent="0.3">
      <c r="B514" s="23">
        <f t="shared" si="495"/>
        <v>61384.708333333336</v>
      </c>
      <c r="C514" s="23">
        <f t="shared" ref="C514" si="553">B514+($P$3*7)+$Q$3-TIME($G$3,0,1)</f>
        <v>61398.62498842593</v>
      </c>
      <c r="I514" t="str">
        <f t="shared" si="489"/>
        <v>2068-01-22</v>
      </c>
      <c r="J514" t="str">
        <f t="shared" si="490"/>
        <v>2068-02-05</v>
      </c>
      <c r="K514" s="24" t="str">
        <f t="shared" si="491"/>
        <v>17:00:00</v>
      </c>
      <c r="L514" s="24" t="str">
        <f t="shared" si="492"/>
        <v>14:59:59</v>
      </c>
      <c r="N514" s="25" t="str">
        <f t="shared" si="494"/>
        <v>2068-01-22 17:00:00</v>
      </c>
      <c r="O514" s="25" t="str">
        <f t="shared" si="494"/>
        <v>2068-02-05 14:59:59</v>
      </c>
    </row>
    <row r="515" spans="2:15" x14ac:dyDescent="0.3">
      <c r="B515" s="23">
        <f t="shared" si="495"/>
        <v>61398.708333333336</v>
      </c>
      <c r="C515" s="23">
        <f t="shared" ref="C515" si="554">B515+($E$3*7)+$F$3-TIME($G$3,0,1)</f>
        <v>61454.62498842593</v>
      </c>
      <c r="I515" t="str">
        <f t="shared" si="489"/>
        <v>2068-02-05</v>
      </c>
      <c r="J515" t="str">
        <f t="shared" si="490"/>
        <v>2068-04-01</v>
      </c>
      <c r="K515" s="24" t="str">
        <f t="shared" si="491"/>
        <v>17:00:00</v>
      </c>
      <c r="L515" s="24" t="str">
        <f t="shared" si="492"/>
        <v>14:59:59</v>
      </c>
      <c r="N515" s="25" t="str">
        <f t="shared" si="494"/>
        <v>2068-02-05 17:00:00</v>
      </c>
      <c r="O515" s="25" t="str">
        <f t="shared" si="494"/>
        <v>2068-04-01 14:59:59</v>
      </c>
    </row>
    <row r="516" spans="2:15" x14ac:dyDescent="0.3">
      <c r="B516" s="23">
        <f t="shared" si="495"/>
        <v>61454.708333333336</v>
      </c>
      <c r="C516" s="23">
        <f t="shared" ref="C516" si="555">B516+($P$3*7)+$Q$3-TIME($G$3,0,1)</f>
        <v>61468.62498842593</v>
      </c>
      <c r="I516" t="str">
        <f t="shared" si="489"/>
        <v>2068-04-01</v>
      </c>
      <c r="J516" t="str">
        <f t="shared" si="490"/>
        <v>2068-04-15</v>
      </c>
      <c r="K516" s="24" t="str">
        <f t="shared" si="491"/>
        <v>17:00:00</v>
      </c>
      <c r="L516" s="24" t="str">
        <f t="shared" si="492"/>
        <v>14:59:59</v>
      </c>
      <c r="N516" s="25" t="str">
        <f t="shared" si="494"/>
        <v>2068-04-01 17:00:00</v>
      </c>
      <c r="O516" s="25" t="str">
        <f t="shared" si="494"/>
        <v>2068-04-15 14:59:59</v>
      </c>
    </row>
    <row r="517" spans="2:15" x14ac:dyDescent="0.3">
      <c r="B517" s="23">
        <f t="shared" si="495"/>
        <v>61468.708333333336</v>
      </c>
      <c r="C517" s="23">
        <f t="shared" ref="C517" si="556">B517+($E$3*7)+$F$3-TIME($G$3,0,1)</f>
        <v>61524.62498842593</v>
      </c>
      <c r="I517" t="str">
        <f t="shared" si="489"/>
        <v>2068-04-15</v>
      </c>
      <c r="J517" t="str">
        <f t="shared" si="490"/>
        <v>2068-06-10</v>
      </c>
      <c r="K517" s="24" t="str">
        <f t="shared" si="491"/>
        <v>17:00:00</v>
      </c>
      <c r="L517" s="24" t="str">
        <f t="shared" si="492"/>
        <v>14:59:59</v>
      </c>
      <c r="N517" s="25" t="str">
        <f t="shared" si="494"/>
        <v>2068-04-15 17:00:00</v>
      </c>
      <c r="O517" s="25" t="str">
        <f t="shared" si="494"/>
        <v>2068-06-10 14:59:59</v>
      </c>
    </row>
    <row r="518" spans="2:15" x14ac:dyDescent="0.3">
      <c r="B518" s="23">
        <f t="shared" si="495"/>
        <v>61524.708333333336</v>
      </c>
      <c r="C518" s="23">
        <f t="shared" ref="C518" si="557">B518+($P$3*7)+$Q$3-TIME($G$3,0,1)</f>
        <v>61538.62498842593</v>
      </c>
      <c r="I518" t="str">
        <f t="shared" si="489"/>
        <v>2068-06-10</v>
      </c>
      <c r="J518" t="str">
        <f t="shared" si="490"/>
        <v>2068-06-24</v>
      </c>
      <c r="K518" s="24" t="str">
        <f t="shared" si="491"/>
        <v>17:00:00</v>
      </c>
      <c r="L518" s="24" t="str">
        <f t="shared" si="492"/>
        <v>14:59:59</v>
      </c>
      <c r="N518" s="25" t="str">
        <f t="shared" si="494"/>
        <v>2068-06-10 17:00:00</v>
      </c>
      <c r="O518" s="25" t="str">
        <f t="shared" si="494"/>
        <v>2068-06-24 14:59:59</v>
      </c>
    </row>
    <row r="519" spans="2:15" x14ac:dyDescent="0.3">
      <c r="B519" s="23">
        <f t="shared" si="495"/>
        <v>61538.708333333336</v>
      </c>
      <c r="C519" s="23">
        <f t="shared" ref="C519" si="558">B519+($E$3*7)+$F$3-TIME($G$3,0,1)</f>
        <v>61594.62498842593</v>
      </c>
      <c r="I519" t="str">
        <f t="shared" ref="I519:I579" si="559">TEXT(B519,"yyyy-mm-dd")</f>
        <v>2068-06-24</v>
      </c>
      <c r="J519" t="str">
        <f t="shared" ref="J519:J579" si="560">TEXT(C519,"yyyy-mm-dd")</f>
        <v>2068-08-19</v>
      </c>
      <c r="K519" s="24" t="str">
        <f t="shared" ref="K519:K579" si="561">TEXT(B519,"hh:mm:ss")</f>
        <v>17:00:00</v>
      </c>
      <c r="L519" s="24" t="str">
        <f t="shared" ref="L519:L579" si="562">TEXT(C519,"hh:mm:ss")</f>
        <v>14:59:59</v>
      </c>
      <c r="N519" s="25" t="str">
        <f t="shared" si="494"/>
        <v>2068-06-24 17:00:00</v>
      </c>
      <c r="O519" s="25" t="str">
        <f t="shared" si="494"/>
        <v>2068-08-19 14:59:59</v>
      </c>
    </row>
    <row r="520" spans="2:15" x14ac:dyDescent="0.3">
      <c r="B520" s="23">
        <f t="shared" si="495"/>
        <v>61594.708333333336</v>
      </c>
      <c r="C520" s="23">
        <f t="shared" ref="C520" si="563">B520+($P$3*7)+$Q$3-TIME($G$3,0,1)</f>
        <v>61608.62498842593</v>
      </c>
      <c r="I520" t="str">
        <f t="shared" si="559"/>
        <v>2068-08-19</v>
      </c>
      <c r="J520" t="str">
        <f t="shared" si="560"/>
        <v>2068-09-02</v>
      </c>
      <c r="K520" s="24" t="str">
        <f t="shared" si="561"/>
        <v>17:00:00</v>
      </c>
      <c r="L520" s="24" t="str">
        <f t="shared" si="562"/>
        <v>14:59:59</v>
      </c>
      <c r="N520" s="25" t="str">
        <f t="shared" ref="N520:O579" si="564">CONCATENATE(I520," ",K520)</f>
        <v>2068-08-19 17:00:00</v>
      </c>
      <c r="O520" s="25" t="str">
        <f t="shared" si="564"/>
        <v>2068-09-02 14:59:59</v>
      </c>
    </row>
    <row r="521" spans="2:15" x14ac:dyDescent="0.3">
      <c r="B521" s="23">
        <f t="shared" ref="B521:B579" si="565">C520+($N$3*7)+$O$3+TIME($G$3,0,1)</f>
        <v>61608.708333333336</v>
      </c>
      <c r="C521" s="23">
        <f t="shared" ref="C521" si="566">B521+($E$3*7)+$F$3-TIME($G$3,0,1)</f>
        <v>61664.62498842593</v>
      </c>
      <c r="I521" t="str">
        <f t="shared" si="559"/>
        <v>2068-09-02</v>
      </c>
      <c r="J521" t="str">
        <f t="shared" si="560"/>
        <v>2068-10-28</v>
      </c>
      <c r="K521" s="24" t="str">
        <f t="shared" si="561"/>
        <v>17:00:00</v>
      </c>
      <c r="L521" s="24" t="str">
        <f t="shared" si="562"/>
        <v>14:59:59</v>
      </c>
      <c r="N521" s="25" t="str">
        <f t="shared" si="564"/>
        <v>2068-09-02 17:00:00</v>
      </c>
      <c r="O521" s="25" t="str">
        <f t="shared" si="564"/>
        <v>2068-10-28 14:59:59</v>
      </c>
    </row>
    <row r="522" spans="2:15" x14ac:dyDescent="0.3">
      <c r="B522" s="23">
        <f t="shared" si="565"/>
        <v>61664.708333333336</v>
      </c>
      <c r="C522" s="23">
        <f t="shared" ref="C522" si="567">B522+($P$3*7)+$Q$3-TIME($G$3,0,1)</f>
        <v>61678.62498842593</v>
      </c>
      <c r="I522" t="str">
        <f t="shared" si="559"/>
        <v>2068-10-28</v>
      </c>
      <c r="J522" t="str">
        <f t="shared" si="560"/>
        <v>2068-11-11</v>
      </c>
      <c r="K522" s="24" t="str">
        <f t="shared" si="561"/>
        <v>17:00:00</v>
      </c>
      <c r="L522" s="24" t="str">
        <f t="shared" si="562"/>
        <v>14:59:59</v>
      </c>
      <c r="N522" s="25" t="str">
        <f t="shared" si="564"/>
        <v>2068-10-28 17:00:00</v>
      </c>
      <c r="O522" s="25" t="str">
        <f t="shared" si="564"/>
        <v>2068-11-11 14:59:59</v>
      </c>
    </row>
    <row r="523" spans="2:15" x14ac:dyDescent="0.3">
      <c r="B523" s="23">
        <f t="shared" si="565"/>
        <v>61678.708333333336</v>
      </c>
      <c r="C523" s="23">
        <f t="shared" ref="C523" si="568">B523+($E$3*7)+$F$3-TIME($G$3,0,1)</f>
        <v>61734.62498842593</v>
      </c>
      <c r="I523" t="str">
        <f t="shared" si="559"/>
        <v>2068-11-11</v>
      </c>
      <c r="J523" t="str">
        <f t="shared" si="560"/>
        <v>2069-01-06</v>
      </c>
      <c r="K523" s="24" t="str">
        <f t="shared" si="561"/>
        <v>17:00:00</v>
      </c>
      <c r="L523" s="24" t="str">
        <f t="shared" si="562"/>
        <v>14:59:59</v>
      </c>
      <c r="N523" s="25" t="str">
        <f t="shared" si="564"/>
        <v>2068-11-11 17:00:00</v>
      </c>
      <c r="O523" s="25" t="str">
        <f t="shared" si="564"/>
        <v>2069-01-06 14:59:59</v>
      </c>
    </row>
    <row r="524" spans="2:15" x14ac:dyDescent="0.3">
      <c r="B524" s="23">
        <f t="shared" si="565"/>
        <v>61734.708333333336</v>
      </c>
      <c r="C524" s="23">
        <f t="shared" ref="C524" si="569">B524+($P$3*7)+$Q$3-TIME($G$3,0,1)</f>
        <v>61748.62498842593</v>
      </c>
      <c r="I524" t="str">
        <f t="shared" si="559"/>
        <v>2069-01-06</v>
      </c>
      <c r="J524" t="str">
        <f t="shared" si="560"/>
        <v>2069-01-20</v>
      </c>
      <c r="K524" s="24" t="str">
        <f t="shared" si="561"/>
        <v>17:00:00</v>
      </c>
      <c r="L524" s="24" t="str">
        <f t="shared" si="562"/>
        <v>14:59:59</v>
      </c>
      <c r="N524" s="25" t="str">
        <f t="shared" si="564"/>
        <v>2069-01-06 17:00:00</v>
      </c>
      <c r="O524" s="25" t="str">
        <f t="shared" si="564"/>
        <v>2069-01-20 14:59:59</v>
      </c>
    </row>
    <row r="525" spans="2:15" x14ac:dyDescent="0.3">
      <c r="B525" s="23">
        <f t="shared" si="565"/>
        <v>61748.708333333336</v>
      </c>
      <c r="C525" s="23">
        <f t="shared" ref="C525" si="570">B525+($E$3*7)+$F$3-TIME($G$3,0,1)</f>
        <v>61804.62498842593</v>
      </c>
      <c r="I525" t="str">
        <f t="shared" si="559"/>
        <v>2069-01-20</v>
      </c>
      <c r="J525" t="str">
        <f t="shared" si="560"/>
        <v>2069-03-17</v>
      </c>
      <c r="K525" s="24" t="str">
        <f t="shared" si="561"/>
        <v>17:00:00</v>
      </c>
      <c r="L525" s="24" t="str">
        <f t="shared" si="562"/>
        <v>14:59:59</v>
      </c>
      <c r="N525" s="25" t="str">
        <f t="shared" si="564"/>
        <v>2069-01-20 17:00:00</v>
      </c>
      <c r="O525" s="25" t="str">
        <f t="shared" si="564"/>
        <v>2069-03-17 14:59:59</v>
      </c>
    </row>
    <row r="526" spans="2:15" x14ac:dyDescent="0.3">
      <c r="B526" s="23">
        <f t="shared" si="565"/>
        <v>61804.708333333336</v>
      </c>
      <c r="C526" s="23">
        <f t="shared" ref="C526" si="571">B526+($P$3*7)+$Q$3-TIME($G$3,0,1)</f>
        <v>61818.62498842593</v>
      </c>
      <c r="I526" t="str">
        <f t="shared" si="559"/>
        <v>2069-03-17</v>
      </c>
      <c r="J526" t="str">
        <f t="shared" si="560"/>
        <v>2069-03-31</v>
      </c>
      <c r="K526" s="24" t="str">
        <f t="shared" si="561"/>
        <v>17:00:00</v>
      </c>
      <c r="L526" s="24" t="str">
        <f t="shared" si="562"/>
        <v>14:59:59</v>
      </c>
      <c r="N526" s="25" t="str">
        <f t="shared" si="564"/>
        <v>2069-03-17 17:00:00</v>
      </c>
      <c r="O526" s="25" t="str">
        <f t="shared" si="564"/>
        <v>2069-03-31 14:59:59</v>
      </c>
    </row>
    <row r="527" spans="2:15" x14ac:dyDescent="0.3">
      <c r="B527" s="23">
        <f t="shared" si="565"/>
        <v>61818.708333333336</v>
      </c>
      <c r="C527" s="23">
        <f t="shared" ref="C527" si="572">B527+($E$3*7)+$F$3-TIME($G$3,0,1)</f>
        <v>61874.62498842593</v>
      </c>
      <c r="I527" t="str">
        <f t="shared" si="559"/>
        <v>2069-03-31</v>
      </c>
      <c r="J527" t="str">
        <f t="shared" si="560"/>
        <v>2069-05-26</v>
      </c>
      <c r="K527" s="24" t="str">
        <f t="shared" si="561"/>
        <v>17:00:00</v>
      </c>
      <c r="L527" s="24" t="str">
        <f t="shared" si="562"/>
        <v>14:59:59</v>
      </c>
      <c r="N527" s="25" t="str">
        <f t="shared" si="564"/>
        <v>2069-03-31 17:00:00</v>
      </c>
      <c r="O527" s="25" t="str">
        <f t="shared" si="564"/>
        <v>2069-05-26 14:59:59</v>
      </c>
    </row>
    <row r="528" spans="2:15" x14ac:dyDescent="0.3">
      <c r="B528" s="23">
        <f t="shared" si="565"/>
        <v>61874.708333333336</v>
      </c>
      <c r="C528" s="23">
        <f t="shared" ref="C528" si="573">B528+($P$3*7)+$Q$3-TIME($G$3,0,1)</f>
        <v>61888.62498842593</v>
      </c>
      <c r="I528" t="str">
        <f t="shared" si="559"/>
        <v>2069-05-26</v>
      </c>
      <c r="J528" t="str">
        <f t="shared" si="560"/>
        <v>2069-06-09</v>
      </c>
      <c r="K528" s="24" t="str">
        <f t="shared" si="561"/>
        <v>17:00:00</v>
      </c>
      <c r="L528" s="24" t="str">
        <f t="shared" si="562"/>
        <v>14:59:59</v>
      </c>
      <c r="N528" s="25" t="str">
        <f t="shared" si="564"/>
        <v>2069-05-26 17:00:00</v>
      </c>
      <c r="O528" s="25" t="str">
        <f t="shared" si="564"/>
        <v>2069-06-09 14:59:59</v>
      </c>
    </row>
    <row r="529" spans="2:15" x14ac:dyDescent="0.3">
      <c r="B529" s="23">
        <f t="shared" si="565"/>
        <v>61888.708333333336</v>
      </c>
      <c r="C529" s="23">
        <f t="shared" ref="C529" si="574">B529+($E$3*7)+$F$3-TIME($G$3,0,1)</f>
        <v>61944.62498842593</v>
      </c>
      <c r="I529" t="str">
        <f t="shared" si="559"/>
        <v>2069-06-09</v>
      </c>
      <c r="J529" t="str">
        <f t="shared" si="560"/>
        <v>2069-08-04</v>
      </c>
      <c r="K529" s="24" t="str">
        <f t="shared" si="561"/>
        <v>17:00:00</v>
      </c>
      <c r="L529" s="24" t="str">
        <f t="shared" si="562"/>
        <v>14:59:59</v>
      </c>
      <c r="N529" s="25" t="str">
        <f t="shared" si="564"/>
        <v>2069-06-09 17:00:00</v>
      </c>
      <c r="O529" s="25" t="str">
        <f t="shared" si="564"/>
        <v>2069-08-04 14:59:59</v>
      </c>
    </row>
    <row r="530" spans="2:15" x14ac:dyDescent="0.3">
      <c r="B530" s="23">
        <f t="shared" si="565"/>
        <v>61944.708333333336</v>
      </c>
      <c r="C530" s="23">
        <f t="shared" ref="C530" si="575">B530+($P$3*7)+$Q$3-TIME($G$3,0,1)</f>
        <v>61958.62498842593</v>
      </c>
      <c r="I530" t="str">
        <f t="shared" si="559"/>
        <v>2069-08-04</v>
      </c>
      <c r="J530" t="str">
        <f t="shared" si="560"/>
        <v>2069-08-18</v>
      </c>
      <c r="K530" s="24" t="str">
        <f t="shared" si="561"/>
        <v>17:00:00</v>
      </c>
      <c r="L530" s="24" t="str">
        <f t="shared" si="562"/>
        <v>14:59:59</v>
      </c>
      <c r="N530" s="25" t="str">
        <f t="shared" si="564"/>
        <v>2069-08-04 17:00:00</v>
      </c>
      <c r="O530" s="25" t="str">
        <f t="shared" si="564"/>
        <v>2069-08-18 14:59:59</v>
      </c>
    </row>
    <row r="531" spans="2:15" x14ac:dyDescent="0.3">
      <c r="B531" s="23">
        <f t="shared" si="565"/>
        <v>61958.708333333336</v>
      </c>
      <c r="C531" s="23">
        <f t="shared" ref="C531" si="576">B531+($E$3*7)+$F$3-TIME($G$3,0,1)</f>
        <v>62014.62498842593</v>
      </c>
      <c r="I531" t="str">
        <f t="shared" si="559"/>
        <v>2069-08-18</v>
      </c>
      <c r="J531" t="str">
        <f t="shared" si="560"/>
        <v>2069-10-13</v>
      </c>
      <c r="K531" s="24" t="str">
        <f t="shared" si="561"/>
        <v>17:00:00</v>
      </c>
      <c r="L531" s="24" t="str">
        <f t="shared" si="562"/>
        <v>14:59:59</v>
      </c>
      <c r="N531" s="25" t="str">
        <f t="shared" si="564"/>
        <v>2069-08-18 17:00:00</v>
      </c>
      <c r="O531" s="25" t="str">
        <f t="shared" si="564"/>
        <v>2069-10-13 14:59:59</v>
      </c>
    </row>
    <row r="532" spans="2:15" x14ac:dyDescent="0.3">
      <c r="B532" s="23">
        <f t="shared" si="565"/>
        <v>62014.708333333336</v>
      </c>
      <c r="C532" s="23">
        <f t="shared" ref="C532" si="577">B532+($P$3*7)+$Q$3-TIME($G$3,0,1)</f>
        <v>62028.62498842593</v>
      </c>
      <c r="I532" t="str">
        <f t="shared" si="559"/>
        <v>2069-10-13</v>
      </c>
      <c r="J532" t="str">
        <f t="shared" si="560"/>
        <v>2069-10-27</v>
      </c>
      <c r="K532" s="24" t="str">
        <f t="shared" si="561"/>
        <v>17:00:00</v>
      </c>
      <c r="L532" s="24" t="str">
        <f t="shared" si="562"/>
        <v>14:59:59</v>
      </c>
      <c r="N532" s="25" t="str">
        <f t="shared" si="564"/>
        <v>2069-10-13 17:00:00</v>
      </c>
      <c r="O532" s="25" t="str">
        <f t="shared" si="564"/>
        <v>2069-10-27 14:59:59</v>
      </c>
    </row>
    <row r="533" spans="2:15" x14ac:dyDescent="0.3">
      <c r="B533" s="23">
        <f t="shared" si="565"/>
        <v>62028.708333333336</v>
      </c>
      <c r="C533" s="23">
        <f t="shared" ref="C533" si="578">B533+($E$3*7)+$F$3-TIME($G$3,0,1)</f>
        <v>62084.62498842593</v>
      </c>
      <c r="I533" t="str">
        <f t="shared" si="559"/>
        <v>2069-10-27</v>
      </c>
      <c r="J533" t="str">
        <f t="shared" si="560"/>
        <v>2069-12-22</v>
      </c>
      <c r="K533" s="24" t="str">
        <f t="shared" si="561"/>
        <v>17:00:00</v>
      </c>
      <c r="L533" s="24" t="str">
        <f t="shared" si="562"/>
        <v>14:59:59</v>
      </c>
      <c r="N533" s="25" t="str">
        <f t="shared" si="564"/>
        <v>2069-10-27 17:00:00</v>
      </c>
      <c r="O533" s="25" t="str">
        <f t="shared" si="564"/>
        <v>2069-12-22 14:59:59</v>
      </c>
    </row>
    <row r="534" spans="2:15" x14ac:dyDescent="0.3">
      <c r="B534" s="23">
        <f t="shared" si="565"/>
        <v>62084.708333333336</v>
      </c>
      <c r="C534" s="23">
        <f t="shared" ref="C534" si="579">B534+($P$3*7)+$Q$3-TIME($G$3,0,1)</f>
        <v>62098.62498842593</v>
      </c>
      <c r="I534" t="str">
        <f t="shared" si="559"/>
        <v>2069-12-22</v>
      </c>
      <c r="J534" t="str">
        <f t="shared" si="560"/>
        <v>2070-01-05</v>
      </c>
      <c r="K534" s="24" t="str">
        <f t="shared" si="561"/>
        <v>17:00:00</v>
      </c>
      <c r="L534" s="24" t="str">
        <f t="shared" si="562"/>
        <v>14:59:59</v>
      </c>
      <c r="N534" s="25" t="str">
        <f t="shared" si="564"/>
        <v>2069-12-22 17:00:00</v>
      </c>
      <c r="O534" s="25" t="str">
        <f t="shared" si="564"/>
        <v>2070-01-05 14:59:59</v>
      </c>
    </row>
    <row r="535" spans="2:15" x14ac:dyDescent="0.3">
      <c r="B535" s="23">
        <f t="shared" si="565"/>
        <v>62098.708333333336</v>
      </c>
      <c r="C535" s="23">
        <f t="shared" ref="C535" si="580">B535+($E$3*7)+$F$3-TIME($G$3,0,1)</f>
        <v>62154.62498842593</v>
      </c>
      <c r="I535" t="str">
        <f t="shared" si="559"/>
        <v>2070-01-05</v>
      </c>
      <c r="J535" t="str">
        <f t="shared" si="560"/>
        <v>2070-03-02</v>
      </c>
      <c r="K535" s="24" t="str">
        <f t="shared" si="561"/>
        <v>17:00:00</v>
      </c>
      <c r="L535" s="24" t="str">
        <f t="shared" si="562"/>
        <v>14:59:59</v>
      </c>
      <c r="N535" s="25" t="str">
        <f t="shared" si="564"/>
        <v>2070-01-05 17:00:00</v>
      </c>
      <c r="O535" s="25" t="str">
        <f t="shared" si="564"/>
        <v>2070-03-02 14:59:59</v>
      </c>
    </row>
    <row r="536" spans="2:15" x14ac:dyDescent="0.3">
      <c r="B536" s="23">
        <f t="shared" si="565"/>
        <v>62154.708333333336</v>
      </c>
      <c r="C536" s="23">
        <f t="shared" ref="C536" si="581">B536+($P$3*7)+$Q$3-TIME($G$3,0,1)</f>
        <v>62168.62498842593</v>
      </c>
      <c r="I536" t="str">
        <f t="shared" si="559"/>
        <v>2070-03-02</v>
      </c>
      <c r="J536" t="str">
        <f t="shared" si="560"/>
        <v>2070-03-16</v>
      </c>
      <c r="K536" s="24" t="str">
        <f t="shared" si="561"/>
        <v>17:00:00</v>
      </c>
      <c r="L536" s="24" t="str">
        <f t="shared" si="562"/>
        <v>14:59:59</v>
      </c>
      <c r="N536" s="25" t="str">
        <f t="shared" si="564"/>
        <v>2070-03-02 17:00:00</v>
      </c>
      <c r="O536" s="25" t="str">
        <f t="shared" si="564"/>
        <v>2070-03-16 14:59:59</v>
      </c>
    </row>
    <row r="537" spans="2:15" x14ac:dyDescent="0.3">
      <c r="B537" s="23">
        <f t="shared" si="565"/>
        <v>62168.708333333336</v>
      </c>
      <c r="C537" s="23">
        <f t="shared" ref="C537" si="582">B537+($E$3*7)+$F$3-TIME($G$3,0,1)</f>
        <v>62224.62498842593</v>
      </c>
      <c r="I537" t="str">
        <f t="shared" si="559"/>
        <v>2070-03-16</v>
      </c>
      <c r="J537" t="str">
        <f t="shared" si="560"/>
        <v>2070-05-11</v>
      </c>
      <c r="K537" s="24" t="str">
        <f t="shared" si="561"/>
        <v>17:00:00</v>
      </c>
      <c r="L537" s="24" t="str">
        <f t="shared" si="562"/>
        <v>14:59:59</v>
      </c>
      <c r="N537" s="25" t="str">
        <f t="shared" si="564"/>
        <v>2070-03-16 17:00:00</v>
      </c>
      <c r="O537" s="25" t="str">
        <f t="shared" si="564"/>
        <v>2070-05-11 14:59:59</v>
      </c>
    </row>
    <row r="538" spans="2:15" x14ac:dyDescent="0.3">
      <c r="B538" s="23">
        <f t="shared" si="565"/>
        <v>62224.708333333336</v>
      </c>
      <c r="C538" s="23">
        <f t="shared" ref="C538" si="583">B538+($P$3*7)+$Q$3-TIME($G$3,0,1)</f>
        <v>62238.62498842593</v>
      </c>
      <c r="I538" t="str">
        <f t="shared" si="559"/>
        <v>2070-05-11</v>
      </c>
      <c r="J538" t="str">
        <f t="shared" si="560"/>
        <v>2070-05-25</v>
      </c>
      <c r="K538" s="24" t="str">
        <f t="shared" si="561"/>
        <v>17:00:00</v>
      </c>
      <c r="L538" s="24" t="str">
        <f t="shared" si="562"/>
        <v>14:59:59</v>
      </c>
      <c r="N538" s="25" t="str">
        <f t="shared" si="564"/>
        <v>2070-05-11 17:00:00</v>
      </c>
      <c r="O538" s="25" t="str">
        <f t="shared" si="564"/>
        <v>2070-05-25 14:59:59</v>
      </c>
    </row>
    <row r="539" spans="2:15" x14ac:dyDescent="0.3">
      <c r="B539" s="23">
        <f t="shared" si="565"/>
        <v>62238.708333333336</v>
      </c>
      <c r="C539" s="23">
        <f t="shared" ref="C539" si="584">B539+($E$3*7)+$F$3-TIME($G$3,0,1)</f>
        <v>62294.62498842593</v>
      </c>
      <c r="I539" t="str">
        <f t="shared" si="559"/>
        <v>2070-05-25</v>
      </c>
      <c r="J539" t="str">
        <f t="shared" si="560"/>
        <v>2070-07-20</v>
      </c>
      <c r="K539" s="24" t="str">
        <f t="shared" si="561"/>
        <v>17:00:00</v>
      </c>
      <c r="L539" s="24" t="str">
        <f t="shared" si="562"/>
        <v>14:59:59</v>
      </c>
      <c r="N539" s="25" t="str">
        <f t="shared" si="564"/>
        <v>2070-05-25 17:00:00</v>
      </c>
      <c r="O539" s="25" t="str">
        <f t="shared" si="564"/>
        <v>2070-07-20 14:59:59</v>
      </c>
    </row>
    <row r="540" spans="2:15" x14ac:dyDescent="0.3">
      <c r="B540" s="23">
        <f t="shared" si="565"/>
        <v>62294.708333333336</v>
      </c>
      <c r="C540" s="23">
        <f t="shared" ref="C540" si="585">B540+($P$3*7)+$Q$3-TIME($G$3,0,1)</f>
        <v>62308.62498842593</v>
      </c>
      <c r="I540" t="str">
        <f t="shared" si="559"/>
        <v>2070-07-20</v>
      </c>
      <c r="J540" t="str">
        <f t="shared" si="560"/>
        <v>2070-08-03</v>
      </c>
      <c r="K540" s="24" t="str">
        <f t="shared" si="561"/>
        <v>17:00:00</v>
      </c>
      <c r="L540" s="24" t="str">
        <f t="shared" si="562"/>
        <v>14:59:59</v>
      </c>
      <c r="N540" s="25" t="str">
        <f t="shared" si="564"/>
        <v>2070-07-20 17:00:00</v>
      </c>
      <c r="O540" s="25" t="str">
        <f t="shared" si="564"/>
        <v>2070-08-03 14:59:59</v>
      </c>
    </row>
    <row r="541" spans="2:15" x14ac:dyDescent="0.3">
      <c r="B541" s="23">
        <f t="shared" si="565"/>
        <v>62308.708333333336</v>
      </c>
      <c r="C541" s="23">
        <f t="shared" ref="C541" si="586">B541+($E$3*7)+$F$3-TIME($G$3,0,1)</f>
        <v>62364.62498842593</v>
      </c>
      <c r="I541" t="str">
        <f t="shared" si="559"/>
        <v>2070-08-03</v>
      </c>
      <c r="J541" t="str">
        <f t="shared" si="560"/>
        <v>2070-09-28</v>
      </c>
      <c r="K541" s="24" t="str">
        <f t="shared" si="561"/>
        <v>17:00:00</v>
      </c>
      <c r="L541" s="24" t="str">
        <f t="shared" si="562"/>
        <v>14:59:59</v>
      </c>
      <c r="N541" s="25" t="str">
        <f t="shared" si="564"/>
        <v>2070-08-03 17:00:00</v>
      </c>
      <c r="O541" s="25" t="str">
        <f t="shared" si="564"/>
        <v>2070-09-28 14:59:59</v>
      </c>
    </row>
    <row r="542" spans="2:15" x14ac:dyDescent="0.3">
      <c r="B542" s="23">
        <f t="shared" si="565"/>
        <v>62364.708333333336</v>
      </c>
      <c r="C542" s="23">
        <f t="shared" ref="C542" si="587">B542+($P$3*7)+$Q$3-TIME($G$3,0,1)</f>
        <v>62378.62498842593</v>
      </c>
      <c r="I542" t="str">
        <f t="shared" si="559"/>
        <v>2070-09-28</v>
      </c>
      <c r="J542" t="str">
        <f t="shared" si="560"/>
        <v>2070-10-12</v>
      </c>
      <c r="K542" s="24" t="str">
        <f t="shared" si="561"/>
        <v>17:00:00</v>
      </c>
      <c r="L542" s="24" t="str">
        <f t="shared" si="562"/>
        <v>14:59:59</v>
      </c>
      <c r="N542" s="25" t="str">
        <f t="shared" si="564"/>
        <v>2070-09-28 17:00:00</v>
      </c>
      <c r="O542" s="25" t="str">
        <f t="shared" si="564"/>
        <v>2070-10-12 14:59:59</v>
      </c>
    </row>
    <row r="543" spans="2:15" x14ac:dyDescent="0.3">
      <c r="B543" s="23">
        <f t="shared" si="565"/>
        <v>62378.708333333336</v>
      </c>
      <c r="C543" s="23">
        <f t="shared" ref="C543" si="588">B543+($E$3*7)+$F$3-TIME($G$3,0,1)</f>
        <v>62434.62498842593</v>
      </c>
      <c r="I543" t="str">
        <f t="shared" si="559"/>
        <v>2070-10-12</v>
      </c>
      <c r="J543" t="str">
        <f t="shared" si="560"/>
        <v>2070-12-07</v>
      </c>
      <c r="K543" s="24" t="str">
        <f t="shared" si="561"/>
        <v>17:00:00</v>
      </c>
      <c r="L543" s="24" t="str">
        <f t="shared" si="562"/>
        <v>14:59:59</v>
      </c>
      <c r="N543" s="25" t="str">
        <f t="shared" si="564"/>
        <v>2070-10-12 17:00:00</v>
      </c>
      <c r="O543" s="25" t="str">
        <f t="shared" si="564"/>
        <v>2070-12-07 14:59:59</v>
      </c>
    </row>
    <row r="544" spans="2:15" x14ac:dyDescent="0.3">
      <c r="B544" s="23">
        <f t="shared" si="565"/>
        <v>62434.708333333336</v>
      </c>
      <c r="C544" s="23">
        <f t="shared" ref="C544" si="589">B544+($P$3*7)+$Q$3-TIME($G$3,0,1)</f>
        <v>62448.62498842593</v>
      </c>
      <c r="I544" t="str">
        <f t="shared" si="559"/>
        <v>2070-12-07</v>
      </c>
      <c r="J544" t="str">
        <f t="shared" si="560"/>
        <v>2070-12-21</v>
      </c>
      <c r="K544" s="24" t="str">
        <f t="shared" si="561"/>
        <v>17:00:00</v>
      </c>
      <c r="L544" s="24" t="str">
        <f t="shared" si="562"/>
        <v>14:59:59</v>
      </c>
      <c r="N544" s="25" t="str">
        <f t="shared" si="564"/>
        <v>2070-12-07 17:00:00</v>
      </c>
      <c r="O544" s="25" t="str">
        <f t="shared" si="564"/>
        <v>2070-12-21 14:59:59</v>
      </c>
    </row>
    <row r="545" spans="2:15" x14ac:dyDescent="0.3">
      <c r="B545" s="23">
        <f t="shared" si="565"/>
        <v>62448.708333333336</v>
      </c>
      <c r="C545" s="23">
        <f t="shared" ref="C545" si="590">B545+($E$3*7)+$F$3-TIME($G$3,0,1)</f>
        <v>62504.62498842593</v>
      </c>
      <c r="I545" t="str">
        <f t="shared" si="559"/>
        <v>2070-12-21</v>
      </c>
      <c r="J545" t="str">
        <f t="shared" si="560"/>
        <v>2071-02-15</v>
      </c>
      <c r="K545" s="24" t="str">
        <f t="shared" si="561"/>
        <v>17:00:00</v>
      </c>
      <c r="L545" s="24" t="str">
        <f t="shared" si="562"/>
        <v>14:59:59</v>
      </c>
      <c r="N545" s="25" t="str">
        <f t="shared" si="564"/>
        <v>2070-12-21 17:00:00</v>
      </c>
      <c r="O545" s="25" t="str">
        <f t="shared" si="564"/>
        <v>2071-02-15 14:59:59</v>
      </c>
    </row>
    <row r="546" spans="2:15" x14ac:dyDescent="0.3">
      <c r="B546" s="23">
        <f t="shared" si="565"/>
        <v>62504.708333333336</v>
      </c>
      <c r="C546" s="23">
        <f t="shared" ref="C546" si="591">B546+($P$3*7)+$Q$3-TIME($G$3,0,1)</f>
        <v>62518.62498842593</v>
      </c>
      <c r="I546" t="str">
        <f t="shared" si="559"/>
        <v>2071-02-15</v>
      </c>
      <c r="J546" t="str">
        <f t="shared" si="560"/>
        <v>2071-03-01</v>
      </c>
      <c r="K546" s="24" t="str">
        <f t="shared" si="561"/>
        <v>17:00:00</v>
      </c>
      <c r="L546" s="24" t="str">
        <f t="shared" si="562"/>
        <v>14:59:59</v>
      </c>
      <c r="N546" s="25" t="str">
        <f t="shared" si="564"/>
        <v>2071-02-15 17:00:00</v>
      </c>
      <c r="O546" s="25" t="str">
        <f t="shared" si="564"/>
        <v>2071-03-01 14:59:59</v>
      </c>
    </row>
    <row r="547" spans="2:15" x14ac:dyDescent="0.3">
      <c r="B547" s="23">
        <f t="shared" si="565"/>
        <v>62518.708333333336</v>
      </c>
      <c r="C547" s="23">
        <f t="shared" ref="C547" si="592">B547+($E$3*7)+$F$3-TIME($G$3,0,1)</f>
        <v>62574.62498842593</v>
      </c>
      <c r="I547" t="str">
        <f t="shared" si="559"/>
        <v>2071-03-01</v>
      </c>
      <c r="J547" t="str">
        <f t="shared" si="560"/>
        <v>2071-04-26</v>
      </c>
      <c r="K547" s="24" t="str">
        <f t="shared" si="561"/>
        <v>17:00:00</v>
      </c>
      <c r="L547" s="24" t="str">
        <f t="shared" si="562"/>
        <v>14:59:59</v>
      </c>
      <c r="N547" s="25" t="str">
        <f t="shared" si="564"/>
        <v>2071-03-01 17:00:00</v>
      </c>
      <c r="O547" s="25" t="str">
        <f t="shared" si="564"/>
        <v>2071-04-26 14:59:59</v>
      </c>
    </row>
    <row r="548" spans="2:15" x14ac:dyDescent="0.3">
      <c r="B548" s="23">
        <f t="shared" si="565"/>
        <v>62574.708333333336</v>
      </c>
      <c r="C548" s="23">
        <f t="shared" ref="C548" si="593">B548+($P$3*7)+$Q$3-TIME($G$3,0,1)</f>
        <v>62588.62498842593</v>
      </c>
      <c r="I548" t="str">
        <f t="shared" si="559"/>
        <v>2071-04-26</v>
      </c>
      <c r="J548" t="str">
        <f t="shared" si="560"/>
        <v>2071-05-10</v>
      </c>
      <c r="K548" s="24" t="str">
        <f t="shared" si="561"/>
        <v>17:00:00</v>
      </c>
      <c r="L548" s="24" t="str">
        <f t="shared" si="562"/>
        <v>14:59:59</v>
      </c>
      <c r="N548" s="25" t="str">
        <f t="shared" si="564"/>
        <v>2071-04-26 17:00:00</v>
      </c>
      <c r="O548" s="25" t="str">
        <f t="shared" si="564"/>
        <v>2071-05-10 14:59:59</v>
      </c>
    </row>
    <row r="549" spans="2:15" x14ac:dyDescent="0.3">
      <c r="B549" s="23">
        <f t="shared" si="565"/>
        <v>62588.708333333336</v>
      </c>
      <c r="C549" s="23">
        <f t="shared" ref="C549" si="594">B549+($E$3*7)+$F$3-TIME($G$3,0,1)</f>
        <v>62644.62498842593</v>
      </c>
      <c r="I549" t="str">
        <f t="shared" si="559"/>
        <v>2071-05-10</v>
      </c>
      <c r="J549" t="str">
        <f t="shared" si="560"/>
        <v>2071-07-05</v>
      </c>
      <c r="K549" s="24" t="str">
        <f t="shared" si="561"/>
        <v>17:00:00</v>
      </c>
      <c r="L549" s="24" t="str">
        <f t="shared" si="562"/>
        <v>14:59:59</v>
      </c>
      <c r="N549" s="25" t="str">
        <f t="shared" si="564"/>
        <v>2071-05-10 17:00:00</v>
      </c>
      <c r="O549" s="25" t="str">
        <f t="shared" si="564"/>
        <v>2071-07-05 14:59:59</v>
      </c>
    </row>
    <row r="550" spans="2:15" x14ac:dyDescent="0.3">
      <c r="B550" s="23">
        <f t="shared" si="565"/>
        <v>62644.708333333336</v>
      </c>
      <c r="C550" s="23">
        <f t="shared" ref="C550" si="595">B550+($P$3*7)+$Q$3-TIME($G$3,0,1)</f>
        <v>62658.62498842593</v>
      </c>
      <c r="I550" t="str">
        <f t="shared" si="559"/>
        <v>2071-07-05</v>
      </c>
      <c r="J550" t="str">
        <f t="shared" si="560"/>
        <v>2071-07-19</v>
      </c>
      <c r="K550" s="24" t="str">
        <f t="shared" si="561"/>
        <v>17:00:00</v>
      </c>
      <c r="L550" s="24" t="str">
        <f t="shared" si="562"/>
        <v>14:59:59</v>
      </c>
      <c r="N550" s="25" t="str">
        <f t="shared" si="564"/>
        <v>2071-07-05 17:00:00</v>
      </c>
      <c r="O550" s="25" t="str">
        <f t="shared" si="564"/>
        <v>2071-07-19 14:59:59</v>
      </c>
    </row>
    <row r="551" spans="2:15" x14ac:dyDescent="0.3">
      <c r="B551" s="23">
        <f t="shared" si="565"/>
        <v>62658.708333333336</v>
      </c>
      <c r="C551" s="23">
        <f t="shared" ref="C551" si="596">B551+($E$3*7)+$F$3-TIME($G$3,0,1)</f>
        <v>62714.62498842593</v>
      </c>
      <c r="I551" t="str">
        <f t="shared" si="559"/>
        <v>2071-07-19</v>
      </c>
      <c r="J551" t="str">
        <f t="shared" si="560"/>
        <v>2071-09-13</v>
      </c>
      <c r="K551" s="24" t="str">
        <f t="shared" si="561"/>
        <v>17:00:00</v>
      </c>
      <c r="L551" s="24" t="str">
        <f t="shared" si="562"/>
        <v>14:59:59</v>
      </c>
      <c r="N551" s="25" t="str">
        <f t="shared" si="564"/>
        <v>2071-07-19 17:00:00</v>
      </c>
      <c r="O551" s="25" t="str">
        <f t="shared" si="564"/>
        <v>2071-09-13 14:59:59</v>
      </c>
    </row>
    <row r="552" spans="2:15" x14ac:dyDescent="0.3">
      <c r="B552" s="23">
        <f t="shared" si="565"/>
        <v>62714.708333333336</v>
      </c>
      <c r="C552" s="23">
        <f t="shared" ref="C552" si="597">B552+($P$3*7)+$Q$3-TIME($G$3,0,1)</f>
        <v>62728.62498842593</v>
      </c>
      <c r="I552" t="str">
        <f t="shared" si="559"/>
        <v>2071-09-13</v>
      </c>
      <c r="J552" t="str">
        <f t="shared" si="560"/>
        <v>2071-09-27</v>
      </c>
      <c r="K552" s="24" t="str">
        <f t="shared" si="561"/>
        <v>17:00:00</v>
      </c>
      <c r="L552" s="24" t="str">
        <f t="shared" si="562"/>
        <v>14:59:59</v>
      </c>
      <c r="N552" s="25" t="str">
        <f t="shared" si="564"/>
        <v>2071-09-13 17:00:00</v>
      </c>
      <c r="O552" s="25" t="str">
        <f t="shared" si="564"/>
        <v>2071-09-27 14:59:59</v>
      </c>
    </row>
    <row r="553" spans="2:15" x14ac:dyDescent="0.3">
      <c r="B553" s="23">
        <f t="shared" si="565"/>
        <v>62728.708333333336</v>
      </c>
      <c r="C553" s="23">
        <f t="shared" ref="C553" si="598">B553+($E$3*7)+$F$3-TIME($G$3,0,1)</f>
        <v>62784.62498842593</v>
      </c>
      <c r="I553" t="str">
        <f t="shared" si="559"/>
        <v>2071-09-27</v>
      </c>
      <c r="J553" t="str">
        <f t="shared" si="560"/>
        <v>2071-11-22</v>
      </c>
      <c r="K553" s="24" t="str">
        <f t="shared" si="561"/>
        <v>17:00:00</v>
      </c>
      <c r="L553" s="24" t="str">
        <f t="shared" si="562"/>
        <v>14:59:59</v>
      </c>
      <c r="N553" s="25" t="str">
        <f t="shared" si="564"/>
        <v>2071-09-27 17:00:00</v>
      </c>
      <c r="O553" s="25" t="str">
        <f t="shared" si="564"/>
        <v>2071-11-22 14:59:59</v>
      </c>
    </row>
    <row r="554" spans="2:15" x14ac:dyDescent="0.3">
      <c r="B554" s="23">
        <f t="shared" si="565"/>
        <v>62784.708333333336</v>
      </c>
      <c r="C554" s="23">
        <f t="shared" ref="C554" si="599">B554+($P$3*7)+$Q$3-TIME($G$3,0,1)</f>
        <v>62798.62498842593</v>
      </c>
      <c r="I554" t="str">
        <f t="shared" si="559"/>
        <v>2071-11-22</v>
      </c>
      <c r="J554" t="str">
        <f t="shared" si="560"/>
        <v>2071-12-06</v>
      </c>
      <c r="K554" s="24" t="str">
        <f t="shared" si="561"/>
        <v>17:00:00</v>
      </c>
      <c r="L554" s="24" t="str">
        <f t="shared" si="562"/>
        <v>14:59:59</v>
      </c>
      <c r="N554" s="25" t="str">
        <f t="shared" si="564"/>
        <v>2071-11-22 17:00:00</v>
      </c>
      <c r="O554" s="25" t="str">
        <f t="shared" si="564"/>
        <v>2071-12-06 14:59:59</v>
      </c>
    </row>
    <row r="555" spans="2:15" x14ac:dyDescent="0.3">
      <c r="B555" s="23">
        <f t="shared" si="565"/>
        <v>62798.708333333336</v>
      </c>
      <c r="C555" s="23">
        <f t="shared" ref="C555" si="600">B555+($E$3*7)+$F$3-TIME($G$3,0,1)</f>
        <v>62854.62498842593</v>
      </c>
      <c r="I555" t="str">
        <f t="shared" si="559"/>
        <v>2071-12-06</v>
      </c>
      <c r="J555" t="str">
        <f t="shared" si="560"/>
        <v>2072-01-31</v>
      </c>
      <c r="K555" s="24" t="str">
        <f t="shared" si="561"/>
        <v>17:00:00</v>
      </c>
      <c r="L555" s="24" t="str">
        <f t="shared" si="562"/>
        <v>14:59:59</v>
      </c>
      <c r="N555" s="25" t="str">
        <f t="shared" si="564"/>
        <v>2071-12-06 17:00:00</v>
      </c>
      <c r="O555" s="25" t="str">
        <f t="shared" si="564"/>
        <v>2072-01-31 14:59:59</v>
      </c>
    </row>
    <row r="556" spans="2:15" x14ac:dyDescent="0.3">
      <c r="B556" s="23">
        <f t="shared" si="565"/>
        <v>62854.708333333336</v>
      </c>
      <c r="C556" s="23">
        <f t="shared" ref="C556" si="601">B556+($P$3*7)+$Q$3-TIME($G$3,0,1)</f>
        <v>62868.62498842593</v>
      </c>
      <c r="I556" t="str">
        <f t="shared" si="559"/>
        <v>2072-01-31</v>
      </c>
      <c r="J556" t="str">
        <f t="shared" si="560"/>
        <v>2072-02-14</v>
      </c>
      <c r="K556" s="24" t="str">
        <f t="shared" si="561"/>
        <v>17:00:00</v>
      </c>
      <c r="L556" s="24" t="str">
        <f t="shared" si="562"/>
        <v>14:59:59</v>
      </c>
      <c r="N556" s="25" t="str">
        <f t="shared" si="564"/>
        <v>2072-01-31 17:00:00</v>
      </c>
      <c r="O556" s="25" t="str">
        <f t="shared" si="564"/>
        <v>2072-02-14 14:59:59</v>
      </c>
    </row>
    <row r="557" spans="2:15" x14ac:dyDescent="0.3">
      <c r="B557" s="23">
        <f t="shared" si="565"/>
        <v>62868.708333333336</v>
      </c>
      <c r="C557" s="23">
        <f t="shared" ref="C557" si="602">B557+($E$3*7)+$F$3-TIME($G$3,0,1)</f>
        <v>62924.62498842593</v>
      </c>
      <c r="I557" t="str">
        <f t="shared" si="559"/>
        <v>2072-02-14</v>
      </c>
      <c r="J557" t="str">
        <f t="shared" si="560"/>
        <v>2072-04-10</v>
      </c>
      <c r="K557" s="24" t="str">
        <f t="shared" si="561"/>
        <v>17:00:00</v>
      </c>
      <c r="L557" s="24" t="str">
        <f t="shared" si="562"/>
        <v>14:59:59</v>
      </c>
      <c r="N557" s="25" t="str">
        <f t="shared" si="564"/>
        <v>2072-02-14 17:00:00</v>
      </c>
      <c r="O557" s="25" t="str">
        <f t="shared" si="564"/>
        <v>2072-04-10 14:59:59</v>
      </c>
    </row>
    <row r="558" spans="2:15" x14ac:dyDescent="0.3">
      <c r="B558" s="23">
        <f t="shared" si="565"/>
        <v>62924.708333333336</v>
      </c>
      <c r="C558" s="23">
        <f t="shared" ref="C558" si="603">B558+($P$3*7)+$Q$3-TIME($G$3,0,1)</f>
        <v>62938.62498842593</v>
      </c>
      <c r="I558" t="str">
        <f t="shared" si="559"/>
        <v>2072-04-10</v>
      </c>
      <c r="J558" t="str">
        <f t="shared" si="560"/>
        <v>2072-04-24</v>
      </c>
      <c r="K558" s="24" t="str">
        <f t="shared" si="561"/>
        <v>17:00:00</v>
      </c>
      <c r="L558" s="24" t="str">
        <f t="shared" si="562"/>
        <v>14:59:59</v>
      </c>
      <c r="N558" s="25" t="str">
        <f t="shared" si="564"/>
        <v>2072-04-10 17:00:00</v>
      </c>
      <c r="O558" s="25" t="str">
        <f t="shared" si="564"/>
        <v>2072-04-24 14:59:59</v>
      </c>
    </row>
    <row r="559" spans="2:15" x14ac:dyDescent="0.3">
      <c r="B559" s="23">
        <f t="shared" si="565"/>
        <v>62938.708333333336</v>
      </c>
      <c r="C559" s="23">
        <f t="shared" ref="C559" si="604">B559+($E$3*7)+$F$3-TIME($G$3,0,1)</f>
        <v>62994.62498842593</v>
      </c>
      <c r="I559" t="str">
        <f t="shared" si="559"/>
        <v>2072-04-24</v>
      </c>
      <c r="J559" t="str">
        <f t="shared" si="560"/>
        <v>2072-06-19</v>
      </c>
      <c r="K559" s="24" t="str">
        <f t="shared" si="561"/>
        <v>17:00:00</v>
      </c>
      <c r="L559" s="24" t="str">
        <f t="shared" si="562"/>
        <v>14:59:59</v>
      </c>
      <c r="N559" s="25" t="str">
        <f t="shared" si="564"/>
        <v>2072-04-24 17:00:00</v>
      </c>
      <c r="O559" s="25" t="str">
        <f t="shared" si="564"/>
        <v>2072-06-19 14:59:59</v>
      </c>
    </row>
    <row r="560" spans="2:15" x14ac:dyDescent="0.3">
      <c r="B560" s="23">
        <f t="shared" si="565"/>
        <v>62994.708333333336</v>
      </c>
      <c r="C560" s="23">
        <f t="shared" ref="C560" si="605">B560+($P$3*7)+$Q$3-TIME($G$3,0,1)</f>
        <v>63008.62498842593</v>
      </c>
      <c r="I560" t="str">
        <f t="shared" si="559"/>
        <v>2072-06-19</v>
      </c>
      <c r="J560" t="str">
        <f t="shared" si="560"/>
        <v>2072-07-03</v>
      </c>
      <c r="K560" s="24" t="str">
        <f t="shared" si="561"/>
        <v>17:00:00</v>
      </c>
      <c r="L560" s="24" t="str">
        <f t="shared" si="562"/>
        <v>14:59:59</v>
      </c>
      <c r="N560" s="25" t="str">
        <f t="shared" si="564"/>
        <v>2072-06-19 17:00:00</v>
      </c>
      <c r="O560" s="25" t="str">
        <f t="shared" si="564"/>
        <v>2072-07-03 14:59:59</v>
      </c>
    </row>
    <row r="561" spans="2:15" x14ac:dyDescent="0.3">
      <c r="B561" s="23">
        <f t="shared" si="565"/>
        <v>63008.708333333336</v>
      </c>
      <c r="C561" s="23">
        <f t="shared" ref="C561" si="606">B561+($E$3*7)+$F$3-TIME($G$3,0,1)</f>
        <v>63064.62498842593</v>
      </c>
      <c r="I561" t="str">
        <f t="shared" si="559"/>
        <v>2072-07-03</v>
      </c>
      <c r="J561" t="str">
        <f t="shared" si="560"/>
        <v>2072-08-28</v>
      </c>
      <c r="K561" s="24" t="str">
        <f t="shared" si="561"/>
        <v>17:00:00</v>
      </c>
      <c r="L561" s="24" t="str">
        <f t="shared" si="562"/>
        <v>14:59:59</v>
      </c>
      <c r="N561" s="25" t="str">
        <f t="shared" si="564"/>
        <v>2072-07-03 17:00:00</v>
      </c>
      <c r="O561" s="25" t="str">
        <f t="shared" si="564"/>
        <v>2072-08-28 14:59:59</v>
      </c>
    </row>
    <row r="562" spans="2:15" x14ac:dyDescent="0.3">
      <c r="B562" s="23">
        <f t="shared" si="565"/>
        <v>63064.708333333336</v>
      </c>
      <c r="C562" s="23">
        <f t="shared" ref="C562" si="607">B562+($P$3*7)+$Q$3-TIME($G$3,0,1)</f>
        <v>63078.62498842593</v>
      </c>
      <c r="I562" t="str">
        <f t="shared" si="559"/>
        <v>2072-08-28</v>
      </c>
      <c r="J562" t="str">
        <f t="shared" si="560"/>
        <v>2072-09-11</v>
      </c>
      <c r="K562" s="24" t="str">
        <f t="shared" si="561"/>
        <v>17:00:00</v>
      </c>
      <c r="L562" s="24" t="str">
        <f t="shared" si="562"/>
        <v>14:59:59</v>
      </c>
      <c r="N562" s="25" t="str">
        <f t="shared" si="564"/>
        <v>2072-08-28 17:00:00</v>
      </c>
      <c r="O562" s="25" t="str">
        <f t="shared" si="564"/>
        <v>2072-09-11 14:59:59</v>
      </c>
    </row>
    <row r="563" spans="2:15" x14ac:dyDescent="0.3">
      <c r="B563" s="23">
        <f t="shared" si="565"/>
        <v>63078.708333333336</v>
      </c>
      <c r="C563" s="23">
        <f t="shared" ref="C563" si="608">B563+($E$3*7)+$F$3-TIME($G$3,0,1)</f>
        <v>63134.62498842593</v>
      </c>
      <c r="I563" t="str">
        <f t="shared" si="559"/>
        <v>2072-09-11</v>
      </c>
      <c r="J563" t="str">
        <f t="shared" si="560"/>
        <v>2072-11-06</v>
      </c>
      <c r="K563" s="24" t="str">
        <f t="shared" si="561"/>
        <v>17:00:00</v>
      </c>
      <c r="L563" s="24" t="str">
        <f t="shared" si="562"/>
        <v>14:59:59</v>
      </c>
      <c r="N563" s="25" t="str">
        <f t="shared" si="564"/>
        <v>2072-09-11 17:00:00</v>
      </c>
      <c r="O563" s="25" t="str">
        <f t="shared" si="564"/>
        <v>2072-11-06 14:59:59</v>
      </c>
    </row>
    <row r="564" spans="2:15" x14ac:dyDescent="0.3">
      <c r="B564" s="23">
        <f t="shared" si="565"/>
        <v>63134.708333333336</v>
      </c>
      <c r="C564" s="23">
        <f t="shared" ref="C564" si="609">B564+($P$3*7)+$Q$3-TIME($G$3,0,1)</f>
        <v>63148.62498842593</v>
      </c>
      <c r="I564" t="str">
        <f t="shared" si="559"/>
        <v>2072-11-06</v>
      </c>
      <c r="J564" t="str">
        <f t="shared" si="560"/>
        <v>2072-11-20</v>
      </c>
      <c r="K564" s="24" t="str">
        <f t="shared" si="561"/>
        <v>17:00:00</v>
      </c>
      <c r="L564" s="24" t="str">
        <f t="shared" si="562"/>
        <v>14:59:59</v>
      </c>
      <c r="N564" s="25" t="str">
        <f t="shared" si="564"/>
        <v>2072-11-06 17:00:00</v>
      </c>
      <c r="O564" s="25" t="str">
        <f t="shared" si="564"/>
        <v>2072-11-20 14:59:59</v>
      </c>
    </row>
    <row r="565" spans="2:15" x14ac:dyDescent="0.3">
      <c r="B565" s="23">
        <f t="shared" si="565"/>
        <v>63148.708333333336</v>
      </c>
      <c r="C565" s="23">
        <f t="shared" ref="C565" si="610">B565+($E$3*7)+$F$3-TIME($G$3,0,1)</f>
        <v>63204.62498842593</v>
      </c>
      <c r="I565" t="str">
        <f t="shared" si="559"/>
        <v>2072-11-20</v>
      </c>
      <c r="J565" t="str">
        <f t="shared" si="560"/>
        <v>2073-01-15</v>
      </c>
      <c r="K565" s="24" t="str">
        <f t="shared" si="561"/>
        <v>17:00:00</v>
      </c>
      <c r="L565" s="24" t="str">
        <f t="shared" si="562"/>
        <v>14:59:59</v>
      </c>
      <c r="N565" s="25" t="str">
        <f t="shared" si="564"/>
        <v>2072-11-20 17:00:00</v>
      </c>
      <c r="O565" s="25" t="str">
        <f t="shared" si="564"/>
        <v>2073-01-15 14:59:59</v>
      </c>
    </row>
    <row r="566" spans="2:15" x14ac:dyDescent="0.3">
      <c r="B566" s="23">
        <f t="shared" si="565"/>
        <v>63204.708333333336</v>
      </c>
      <c r="C566" s="23">
        <f t="shared" ref="C566" si="611">B566+($P$3*7)+$Q$3-TIME($G$3,0,1)</f>
        <v>63218.62498842593</v>
      </c>
      <c r="I566" t="str">
        <f t="shared" si="559"/>
        <v>2073-01-15</v>
      </c>
      <c r="J566" t="str">
        <f t="shared" si="560"/>
        <v>2073-01-29</v>
      </c>
      <c r="K566" s="24" t="str">
        <f t="shared" si="561"/>
        <v>17:00:00</v>
      </c>
      <c r="L566" s="24" t="str">
        <f t="shared" si="562"/>
        <v>14:59:59</v>
      </c>
      <c r="N566" s="25" t="str">
        <f t="shared" si="564"/>
        <v>2073-01-15 17:00:00</v>
      </c>
      <c r="O566" s="25" t="str">
        <f t="shared" si="564"/>
        <v>2073-01-29 14:59:59</v>
      </c>
    </row>
    <row r="567" spans="2:15" x14ac:dyDescent="0.3">
      <c r="B567" s="23">
        <f t="shared" si="565"/>
        <v>63218.708333333336</v>
      </c>
      <c r="C567" s="23">
        <f t="shared" ref="C567" si="612">B567+($E$3*7)+$F$3-TIME($G$3,0,1)</f>
        <v>63274.62498842593</v>
      </c>
      <c r="I567" t="str">
        <f t="shared" si="559"/>
        <v>2073-01-29</v>
      </c>
      <c r="J567" t="str">
        <f t="shared" si="560"/>
        <v>2073-03-26</v>
      </c>
      <c r="K567" s="24" t="str">
        <f t="shared" si="561"/>
        <v>17:00:00</v>
      </c>
      <c r="L567" s="24" t="str">
        <f t="shared" si="562"/>
        <v>14:59:59</v>
      </c>
      <c r="N567" s="25" t="str">
        <f t="shared" si="564"/>
        <v>2073-01-29 17:00:00</v>
      </c>
      <c r="O567" s="25" t="str">
        <f t="shared" si="564"/>
        <v>2073-03-26 14:59:59</v>
      </c>
    </row>
    <row r="568" spans="2:15" x14ac:dyDescent="0.3">
      <c r="B568" s="23">
        <f t="shared" si="565"/>
        <v>63274.708333333336</v>
      </c>
      <c r="C568" s="23">
        <f t="shared" ref="C568" si="613">B568+($P$3*7)+$Q$3-TIME($G$3,0,1)</f>
        <v>63288.62498842593</v>
      </c>
      <c r="I568" t="str">
        <f t="shared" si="559"/>
        <v>2073-03-26</v>
      </c>
      <c r="J568" t="str">
        <f t="shared" si="560"/>
        <v>2073-04-09</v>
      </c>
      <c r="K568" s="24" t="str">
        <f t="shared" si="561"/>
        <v>17:00:00</v>
      </c>
      <c r="L568" s="24" t="str">
        <f t="shared" si="562"/>
        <v>14:59:59</v>
      </c>
      <c r="N568" s="25" t="str">
        <f t="shared" si="564"/>
        <v>2073-03-26 17:00:00</v>
      </c>
      <c r="O568" s="25" t="str">
        <f t="shared" si="564"/>
        <v>2073-04-09 14:59:59</v>
      </c>
    </row>
    <row r="569" spans="2:15" x14ac:dyDescent="0.3">
      <c r="B569" s="23">
        <f t="shared" si="565"/>
        <v>63288.708333333336</v>
      </c>
      <c r="C569" s="23">
        <f t="shared" ref="C569" si="614">B569+($E$3*7)+$F$3-TIME($G$3,0,1)</f>
        <v>63344.62498842593</v>
      </c>
      <c r="I569" t="str">
        <f t="shared" si="559"/>
        <v>2073-04-09</v>
      </c>
      <c r="J569" t="str">
        <f t="shared" si="560"/>
        <v>2073-06-04</v>
      </c>
      <c r="K569" s="24" t="str">
        <f t="shared" si="561"/>
        <v>17:00:00</v>
      </c>
      <c r="L569" s="24" t="str">
        <f t="shared" si="562"/>
        <v>14:59:59</v>
      </c>
      <c r="N569" s="25" t="str">
        <f t="shared" si="564"/>
        <v>2073-04-09 17:00:00</v>
      </c>
      <c r="O569" s="25" t="str">
        <f t="shared" si="564"/>
        <v>2073-06-04 14:59:59</v>
      </c>
    </row>
    <row r="570" spans="2:15" x14ac:dyDescent="0.3">
      <c r="B570" s="23">
        <f t="shared" si="565"/>
        <v>63344.708333333336</v>
      </c>
      <c r="C570" s="23">
        <f t="shared" ref="C570" si="615">B570+($P$3*7)+$Q$3-TIME($G$3,0,1)</f>
        <v>63358.62498842593</v>
      </c>
      <c r="I570" t="str">
        <f t="shared" si="559"/>
        <v>2073-06-04</v>
      </c>
      <c r="J570" t="str">
        <f t="shared" si="560"/>
        <v>2073-06-18</v>
      </c>
      <c r="K570" s="24" t="str">
        <f t="shared" si="561"/>
        <v>17:00:00</v>
      </c>
      <c r="L570" s="24" t="str">
        <f t="shared" si="562"/>
        <v>14:59:59</v>
      </c>
      <c r="N570" s="25" t="str">
        <f t="shared" si="564"/>
        <v>2073-06-04 17:00:00</v>
      </c>
      <c r="O570" s="25" t="str">
        <f t="shared" si="564"/>
        <v>2073-06-18 14:59:59</v>
      </c>
    </row>
    <row r="571" spans="2:15" x14ac:dyDescent="0.3">
      <c r="B571" s="23">
        <f t="shared" si="565"/>
        <v>63358.708333333336</v>
      </c>
      <c r="C571" s="23">
        <f t="shared" ref="C571" si="616">B571+($E$3*7)+$F$3-TIME($G$3,0,1)</f>
        <v>63414.62498842593</v>
      </c>
      <c r="I571" t="str">
        <f t="shared" si="559"/>
        <v>2073-06-18</v>
      </c>
      <c r="J571" t="str">
        <f t="shared" si="560"/>
        <v>2073-08-13</v>
      </c>
      <c r="K571" s="24" t="str">
        <f t="shared" si="561"/>
        <v>17:00:00</v>
      </c>
      <c r="L571" s="24" t="str">
        <f t="shared" si="562"/>
        <v>14:59:59</v>
      </c>
      <c r="N571" s="25" t="str">
        <f t="shared" si="564"/>
        <v>2073-06-18 17:00:00</v>
      </c>
      <c r="O571" s="25" t="str">
        <f t="shared" si="564"/>
        <v>2073-08-13 14:59:59</v>
      </c>
    </row>
    <row r="572" spans="2:15" x14ac:dyDescent="0.3">
      <c r="B572" s="23">
        <f t="shared" si="565"/>
        <v>63414.708333333336</v>
      </c>
      <c r="C572" s="23">
        <f t="shared" ref="C572" si="617">B572+($P$3*7)+$Q$3-TIME($G$3,0,1)</f>
        <v>63428.62498842593</v>
      </c>
      <c r="I572" t="str">
        <f t="shared" si="559"/>
        <v>2073-08-13</v>
      </c>
      <c r="J572" t="str">
        <f t="shared" si="560"/>
        <v>2073-08-27</v>
      </c>
      <c r="K572" s="24" t="str">
        <f t="shared" si="561"/>
        <v>17:00:00</v>
      </c>
      <c r="L572" s="24" t="str">
        <f t="shared" si="562"/>
        <v>14:59:59</v>
      </c>
      <c r="N572" s="25" t="str">
        <f t="shared" si="564"/>
        <v>2073-08-13 17:00:00</v>
      </c>
      <c r="O572" s="25" t="str">
        <f t="shared" si="564"/>
        <v>2073-08-27 14:59:59</v>
      </c>
    </row>
    <row r="573" spans="2:15" x14ac:dyDescent="0.3">
      <c r="B573" s="23">
        <f t="shared" si="565"/>
        <v>63428.708333333336</v>
      </c>
      <c r="C573" s="23">
        <f t="shared" ref="C573" si="618">B573+($E$3*7)+$F$3-TIME($G$3,0,1)</f>
        <v>63484.62498842593</v>
      </c>
      <c r="I573" t="str">
        <f t="shared" si="559"/>
        <v>2073-08-27</v>
      </c>
      <c r="J573" t="str">
        <f t="shared" si="560"/>
        <v>2073-10-22</v>
      </c>
      <c r="K573" s="24" t="str">
        <f t="shared" si="561"/>
        <v>17:00:00</v>
      </c>
      <c r="L573" s="24" t="str">
        <f t="shared" si="562"/>
        <v>14:59:59</v>
      </c>
      <c r="N573" s="25" t="str">
        <f t="shared" si="564"/>
        <v>2073-08-27 17:00:00</v>
      </c>
      <c r="O573" s="25" t="str">
        <f t="shared" si="564"/>
        <v>2073-10-22 14:59:59</v>
      </c>
    </row>
    <row r="574" spans="2:15" x14ac:dyDescent="0.3">
      <c r="B574" s="23">
        <f t="shared" si="565"/>
        <v>63484.708333333336</v>
      </c>
      <c r="C574" s="23">
        <f t="shared" ref="C574" si="619">B574+($P$3*7)+$Q$3-TIME($G$3,0,1)</f>
        <v>63498.62498842593</v>
      </c>
      <c r="I574" t="str">
        <f t="shared" si="559"/>
        <v>2073-10-22</v>
      </c>
      <c r="J574" t="str">
        <f t="shared" si="560"/>
        <v>2073-11-05</v>
      </c>
      <c r="K574" s="24" t="str">
        <f t="shared" si="561"/>
        <v>17:00:00</v>
      </c>
      <c r="L574" s="24" t="str">
        <f t="shared" si="562"/>
        <v>14:59:59</v>
      </c>
      <c r="N574" s="25" t="str">
        <f t="shared" si="564"/>
        <v>2073-10-22 17:00:00</v>
      </c>
      <c r="O574" s="25" t="str">
        <f t="shared" si="564"/>
        <v>2073-11-05 14:59:59</v>
      </c>
    </row>
    <row r="575" spans="2:15" x14ac:dyDescent="0.3">
      <c r="B575" s="23">
        <f t="shared" si="565"/>
        <v>63498.708333333336</v>
      </c>
      <c r="C575" s="23">
        <f t="shared" ref="C575" si="620">B575+($E$3*7)+$F$3-TIME($G$3,0,1)</f>
        <v>63554.62498842593</v>
      </c>
      <c r="I575" t="str">
        <f t="shared" si="559"/>
        <v>2073-11-05</v>
      </c>
      <c r="J575" t="str">
        <f t="shared" si="560"/>
        <v>2073-12-31</v>
      </c>
      <c r="K575" s="24" t="str">
        <f t="shared" si="561"/>
        <v>17:00:00</v>
      </c>
      <c r="L575" s="24" t="str">
        <f t="shared" si="562"/>
        <v>14:59:59</v>
      </c>
      <c r="N575" s="25" t="str">
        <f t="shared" si="564"/>
        <v>2073-11-05 17:00:00</v>
      </c>
      <c r="O575" s="25" t="str">
        <f t="shared" si="564"/>
        <v>2073-12-31 14:59:59</v>
      </c>
    </row>
    <row r="576" spans="2:15" x14ac:dyDescent="0.3">
      <c r="B576" s="23">
        <f t="shared" si="565"/>
        <v>63554.708333333336</v>
      </c>
      <c r="C576" s="23">
        <f t="shared" ref="C576" si="621">B576+($P$3*7)+$Q$3-TIME($G$3,0,1)</f>
        <v>63568.62498842593</v>
      </c>
      <c r="I576" t="str">
        <f t="shared" si="559"/>
        <v>2073-12-31</v>
      </c>
      <c r="J576" t="str">
        <f t="shared" si="560"/>
        <v>2074-01-14</v>
      </c>
      <c r="K576" s="24" t="str">
        <f t="shared" si="561"/>
        <v>17:00:00</v>
      </c>
      <c r="L576" s="24" t="str">
        <f t="shared" si="562"/>
        <v>14:59:59</v>
      </c>
      <c r="N576" s="25" t="str">
        <f t="shared" si="564"/>
        <v>2073-12-31 17:00:00</v>
      </c>
      <c r="O576" s="25" t="str">
        <f t="shared" si="564"/>
        <v>2074-01-14 14:59:59</v>
      </c>
    </row>
    <row r="577" spans="2:15" x14ac:dyDescent="0.3">
      <c r="B577" s="23">
        <f t="shared" si="565"/>
        <v>63568.708333333336</v>
      </c>
      <c r="C577" s="23">
        <f t="shared" ref="C577" si="622">B577+($E$3*7)+$F$3-TIME($G$3,0,1)</f>
        <v>63624.62498842593</v>
      </c>
      <c r="I577" t="str">
        <f t="shared" si="559"/>
        <v>2074-01-14</v>
      </c>
      <c r="J577" t="str">
        <f t="shared" si="560"/>
        <v>2074-03-11</v>
      </c>
      <c r="K577" s="24" t="str">
        <f t="shared" si="561"/>
        <v>17:00:00</v>
      </c>
      <c r="L577" s="24" t="str">
        <f t="shared" si="562"/>
        <v>14:59:59</v>
      </c>
      <c r="N577" s="25" t="str">
        <f t="shared" si="564"/>
        <v>2074-01-14 17:00:00</v>
      </c>
      <c r="O577" s="25" t="str">
        <f t="shared" si="564"/>
        <v>2074-03-11 14:59:59</v>
      </c>
    </row>
    <row r="578" spans="2:15" x14ac:dyDescent="0.3">
      <c r="B578" s="23">
        <f t="shared" si="565"/>
        <v>63624.708333333336</v>
      </c>
      <c r="C578" s="23">
        <f t="shared" ref="C578" si="623">B578+($P$3*7)+$Q$3-TIME($G$3,0,1)</f>
        <v>63638.62498842593</v>
      </c>
      <c r="I578" t="str">
        <f t="shared" si="559"/>
        <v>2074-03-11</v>
      </c>
      <c r="J578" t="str">
        <f t="shared" si="560"/>
        <v>2074-03-25</v>
      </c>
      <c r="K578" s="24" t="str">
        <f t="shared" si="561"/>
        <v>17:00:00</v>
      </c>
      <c r="L578" s="24" t="str">
        <f t="shared" si="562"/>
        <v>14:59:59</v>
      </c>
      <c r="N578" s="25" t="str">
        <f t="shared" si="564"/>
        <v>2074-03-11 17:00:00</v>
      </c>
      <c r="O578" s="25" t="str">
        <f t="shared" si="564"/>
        <v>2074-03-25 14:59:59</v>
      </c>
    </row>
    <row r="579" spans="2:15" x14ac:dyDescent="0.3">
      <c r="B579" s="23">
        <f t="shared" si="565"/>
        <v>63638.708333333336</v>
      </c>
      <c r="C579" s="23">
        <f t="shared" ref="C579" si="624">B579+($E$3*7)+$F$3-TIME($G$3,0,1)</f>
        <v>63694.62498842593</v>
      </c>
      <c r="I579" t="str">
        <f t="shared" si="559"/>
        <v>2074-03-25</v>
      </c>
      <c r="J579" t="str">
        <f t="shared" si="560"/>
        <v>2074-05-20</v>
      </c>
      <c r="K579" s="24" t="str">
        <f t="shared" si="561"/>
        <v>17:00:00</v>
      </c>
      <c r="L579" s="24" t="str">
        <f t="shared" si="562"/>
        <v>14:59:59</v>
      </c>
      <c r="N579" s="25" t="str">
        <f t="shared" si="564"/>
        <v>2074-03-25 17:00:00</v>
      </c>
      <c r="O579" s="25" t="str">
        <f t="shared" si="564"/>
        <v>2074-05-20 14:59:59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MatchSeasonTable</vt:lpstr>
      <vt:lpstr>MatchBanPickSeasonTable</vt:lpstr>
      <vt:lpstr>#Arena_Season_Maker</vt:lpstr>
      <vt:lpstr>#BanPick_Season_Maker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2021-12-24T07:23:42Z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2ead69c2-0384-4bc2-a5b6-a68aa3bb560d</vt:lpwstr>
  </property>
</Properties>
</file>