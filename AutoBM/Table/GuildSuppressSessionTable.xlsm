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codeName="ThisWorkbook" defaultThemeVersion="124226"/>
  <xr:revisionPtr revIDLastSave="0" documentId="13_ncr:1_{5681495A-7C8C-4663-B965-B0FB0CE6C12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uildSuppressSessionTable" sheetId="4" r:id="rId1"/>
    <sheet name="#Description" sheetId="7" r:id="rId2"/>
    <sheet name="#Live_Data" sheetId="5" r:id="rId3"/>
    <sheet name="#Test_purpose" sheetId="8" r:id="rId4"/>
    <sheet name="#Live_Data_Maker" sheetId="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9" l="1"/>
  <c r="C13" i="9" s="1"/>
  <c r="C8" i="9" l="1"/>
  <c r="D13" i="9" s="1"/>
  <c r="P13" i="9" s="1"/>
  <c r="K13" i="9" l="1"/>
  <c r="O13" i="9"/>
  <c r="L13" i="9"/>
  <c r="V13" i="9" s="1"/>
  <c r="E13" i="9"/>
  <c r="B12" i="8"/>
  <c r="C12" i="8" s="1"/>
  <c r="D12" i="8" s="1"/>
  <c r="E12" i="8" s="1"/>
  <c r="B13" i="8" s="1"/>
  <c r="C13" i="8" s="1"/>
  <c r="D13" i="8" s="1"/>
  <c r="E13" i="8" s="1"/>
  <c r="B14" i="8" s="1"/>
  <c r="C14" i="8" s="1"/>
  <c r="D14" i="8" s="1"/>
  <c r="E14" i="8" s="1"/>
  <c r="B15" i="8" s="1"/>
  <c r="C15" i="8" s="1"/>
  <c r="D15" i="8" s="1"/>
  <c r="E15" i="8" s="1"/>
  <c r="B16" i="8" s="1"/>
  <c r="C16" i="8" s="1"/>
  <c r="D16" i="8" s="1"/>
  <c r="E16" i="8" s="1"/>
  <c r="B17" i="8" s="1"/>
  <c r="C17" i="8" s="1"/>
  <c r="D17" i="8" s="1"/>
  <c r="E17" i="8" s="1"/>
  <c r="B18" i="8" s="1"/>
  <c r="C18" i="8" s="1"/>
  <c r="D18" i="8" s="1"/>
  <c r="E18" i="8" s="1"/>
  <c r="B19" i="8" s="1"/>
  <c r="C19" i="8" s="1"/>
  <c r="D19" i="8" s="1"/>
  <c r="E19" i="8" s="1"/>
  <c r="B20" i="8" s="1"/>
  <c r="C20" i="8" s="1"/>
  <c r="D20" i="8" s="1"/>
  <c r="E20" i="8" s="1"/>
  <c r="B21" i="8" s="1"/>
  <c r="C21" i="8" s="1"/>
  <c r="D21" i="8" s="1"/>
  <c r="E21" i="8" s="1"/>
  <c r="B22" i="8" s="1"/>
  <c r="C22" i="8" s="1"/>
  <c r="D22" i="8" s="1"/>
  <c r="E22" i="8" s="1"/>
  <c r="B23" i="8" s="1"/>
  <c r="C23" i="8" s="1"/>
  <c r="D23" i="8" s="1"/>
  <c r="E23" i="8" s="1"/>
  <c r="B24" i="8" s="1"/>
  <c r="C24" i="8" s="1"/>
  <c r="D24" i="8" s="1"/>
  <c r="E24" i="8" s="1"/>
  <c r="B25" i="8" s="1"/>
  <c r="C25" i="8" s="1"/>
  <c r="D25" i="8" s="1"/>
  <c r="E25" i="8" s="1"/>
  <c r="B26" i="8" s="1"/>
  <c r="C26" i="8" s="1"/>
  <c r="D26" i="8" s="1"/>
  <c r="E26" i="8" s="1"/>
  <c r="B27" i="8" s="1"/>
  <c r="C27" i="8" s="1"/>
  <c r="D27" i="8" s="1"/>
  <c r="E27" i="8" s="1"/>
  <c r="B28" i="8" s="1"/>
  <c r="C28" i="8" s="1"/>
  <c r="D28" i="8" s="1"/>
  <c r="E28" i="8" s="1"/>
  <c r="B29" i="8" s="1"/>
  <c r="C29" i="8" s="1"/>
  <c r="D29" i="8" s="1"/>
  <c r="E29" i="8" s="1"/>
  <c r="B30" i="8" s="1"/>
  <c r="C30" i="8" s="1"/>
  <c r="D30" i="8" s="1"/>
  <c r="E30" i="8" s="1"/>
  <c r="B31" i="8" s="1"/>
  <c r="C31" i="8" s="1"/>
  <c r="D31" i="8" s="1"/>
  <c r="E31" i="8" s="1"/>
  <c r="B32" i="8" s="1"/>
  <c r="C32" i="8" s="1"/>
  <c r="D32" i="8" s="1"/>
  <c r="E32" i="8" s="1"/>
  <c r="B33" i="8" s="1"/>
  <c r="C33" i="8" s="1"/>
  <c r="D33" i="8" s="1"/>
  <c r="E33" i="8" s="1"/>
  <c r="B34" i="8" s="1"/>
  <c r="C34" i="8" s="1"/>
  <c r="D34" i="8" s="1"/>
  <c r="E34" i="8" s="1"/>
  <c r="B35" i="8" s="1"/>
  <c r="C35" i="8" s="1"/>
  <c r="D35" i="8" s="1"/>
  <c r="E35" i="8" s="1"/>
  <c r="B36" i="8" s="1"/>
  <c r="C36" i="8" s="1"/>
  <c r="D36" i="8" s="1"/>
  <c r="E36" i="8" s="1"/>
  <c r="B37" i="8" s="1"/>
  <c r="C37" i="8" s="1"/>
  <c r="D37" i="8" s="1"/>
  <c r="E37" i="8" s="1"/>
  <c r="B38" i="8" s="1"/>
  <c r="C38" i="8" s="1"/>
  <c r="D38" i="8" s="1"/>
  <c r="E38" i="8" s="1"/>
  <c r="B39" i="8" s="1"/>
  <c r="C39" i="8" s="1"/>
  <c r="D39" i="8" s="1"/>
  <c r="E39" i="8" s="1"/>
  <c r="B40" i="8" s="1"/>
  <c r="C40" i="8" s="1"/>
  <c r="D40" i="8" s="1"/>
  <c r="E40" i="8" s="1"/>
  <c r="B41" i="8" s="1"/>
  <c r="C41" i="8" s="1"/>
  <c r="D41" i="8" s="1"/>
  <c r="E41" i="8" s="1"/>
  <c r="B42" i="8" s="1"/>
  <c r="C42" i="8" s="1"/>
  <c r="D42" i="8" s="1"/>
  <c r="E42" i="8" s="1"/>
  <c r="B43" i="8" s="1"/>
  <c r="C43" i="8" s="1"/>
  <c r="D43" i="8" s="1"/>
  <c r="E43" i="8" s="1"/>
  <c r="B44" i="8" s="1"/>
  <c r="C44" i="8" s="1"/>
  <c r="D44" i="8" s="1"/>
  <c r="E44" i="8" s="1"/>
  <c r="B45" i="8" s="1"/>
  <c r="C45" i="8" s="1"/>
  <c r="D45" i="8" s="1"/>
  <c r="E45" i="8" s="1"/>
  <c r="B46" i="8" s="1"/>
  <c r="C46" i="8" s="1"/>
  <c r="D46" i="8" s="1"/>
  <c r="E46" i="8" s="1"/>
  <c r="B47" i="8" s="1"/>
  <c r="C47" i="8" s="1"/>
  <c r="D47" i="8" s="1"/>
  <c r="E47" i="8" s="1"/>
  <c r="B48" i="8" s="1"/>
  <c r="C48" i="8" s="1"/>
  <c r="D48" i="8" s="1"/>
  <c r="E48" i="8" s="1"/>
  <c r="B49" i="8" s="1"/>
  <c r="C49" i="8" s="1"/>
  <c r="D49" i="8" s="1"/>
  <c r="E49" i="8" s="1"/>
  <c r="B50" i="8" s="1"/>
  <c r="C50" i="8" s="1"/>
  <c r="D50" i="8" s="1"/>
  <c r="E50" i="8" s="1"/>
  <c r="B51" i="8" s="1"/>
  <c r="C51" i="8" s="1"/>
  <c r="D51" i="8" s="1"/>
  <c r="E51" i="8" s="1"/>
  <c r="B52" i="8" s="1"/>
  <c r="C52" i="8" s="1"/>
  <c r="D52" i="8" s="1"/>
  <c r="E52" i="8" s="1"/>
  <c r="B53" i="8" s="1"/>
  <c r="C53" i="8" s="1"/>
  <c r="D53" i="8" s="1"/>
  <c r="E53" i="8" s="1"/>
  <c r="B54" i="8" s="1"/>
  <c r="C54" i="8" s="1"/>
  <c r="D54" i="8" s="1"/>
  <c r="E54" i="8" s="1"/>
  <c r="B55" i="8" s="1"/>
  <c r="C55" i="8" s="1"/>
  <c r="D55" i="8" s="1"/>
  <c r="E55" i="8" s="1"/>
  <c r="B56" i="8" s="1"/>
  <c r="C56" i="8" s="1"/>
  <c r="D56" i="8" s="1"/>
  <c r="E56" i="8" s="1"/>
  <c r="B57" i="8" s="1"/>
  <c r="C57" i="8" s="1"/>
  <c r="D57" i="8" s="1"/>
  <c r="E57" i="8" s="1"/>
  <c r="B58" i="8" s="1"/>
  <c r="C58" i="8" s="1"/>
  <c r="D58" i="8" s="1"/>
  <c r="E58" i="8" s="1"/>
  <c r="B59" i="8" s="1"/>
  <c r="C59" i="8" s="1"/>
  <c r="D59" i="8" s="1"/>
  <c r="E59" i="8" s="1"/>
  <c r="B60" i="8" s="1"/>
  <c r="C60" i="8" s="1"/>
  <c r="D60" i="8" s="1"/>
  <c r="E60" i="8" s="1"/>
  <c r="B61" i="8" s="1"/>
  <c r="C61" i="8" s="1"/>
  <c r="D61" i="8" s="1"/>
  <c r="E61" i="8" s="1"/>
  <c r="B62" i="8" s="1"/>
  <c r="C62" i="8" s="1"/>
  <c r="D62" i="8" s="1"/>
  <c r="E62" i="8" s="1"/>
  <c r="B63" i="8" s="1"/>
  <c r="C63" i="8" s="1"/>
  <c r="D63" i="8" s="1"/>
  <c r="E63" i="8" s="1"/>
  <c r="B64" i="8" s="1"/>
  <c r="C64" i="8" s="1"/>
  <c r="D64" i="8" s="1"/>
  <c r="E64" i="8" s="1"/>
  <c r="B65" i="8" s="1"/>
  <c r="C65" i="8" s="1"/>
  <c r="D65" i="8" s="1"/>
  <c r="E65" i="8" s="1"/>
  <c r="B66" i="8" s="1"/>
  <c r="C66" i="8" s="1"/>
  <c r="D66" i="8" s="1"/>
  <c r="E66" i="8" s="1"/>
  <c r="B67" i="8" s="1"/>
  <c r="C67" i="8" s="1"/>
  <c r="D67" i="8" s="1"/>
  <c r="E67" i="8" s="1"/>
  <c r="B68" i="8" s="1"/>
  <c r="C68" i="8" s="1"/>
  <c r="D68" i="8" s="1"/>
  <c r="E68" i="8" s="1"/>
  <c r="U13" i="9" l="1"/>
  <c r="F13" i="9"/>
  <c r="M13" i="9"/>
  <c r="Q13" i="9"/>
  <c r="F5" i="8"/>
  <c r="W13" i="9" l="1"/>
  <c r="C14" i="9"/>
  <c r="N13" i="9"/>
  <c r="R13" i="9"/>
  <c r="K68" i="8"/>
  <c r="K67" i="8"/>
  <c r="K66" i="8"/>
  <c r="K65" i="8"/>
  <c r="K64" i="8"/>
  <c r="K63" i="8"/>
  <c r="K62" i="8"/>
  <c r="K61" i="8"/>
  <c r="K60" i="8"/>
  <c r="J60" i="8"/>
  <c r="I68" i="8"/>
  <c r="I67" i="8"/>
  <c r="I66" i="8"/>
  <c r="I65" i="8"/>
  <c r="I64" i="8"/>
  <c r="I63" i="8"/>
  <c r="I62" i="8"/>
  <c r="I61" i="8"/>
  <c r="I60" i="8"/>
  <c r="H68" i="8"/>
  <c r="H67" i="8"/>
  <c r="H66" i="8"/>
  <c r="H65" i="8"/>
  <c r="H64" i="8"/>
  <c r="H63" i="8"/>
  <c r="H61" i="8"/>
  <c r="H60" i="8"/>
  <c r="J68" i="8"/>
  <c r="J67" i="8"/>
  <c r="J66" i="8"/>
  <c r="J65" i="8"/>
  <c r="J64" i="8"/>
  <c r="J63" i="8"/>
  <c r="J62" i="8"/>
  <c r="J61" i="8"/>
  <c r="H62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H35" i="8"/>
  <c r="H31" i="8"/>
  <c r="H28" i="8"/>
  <c r="H25" i="8"/>
  <c r="H22" i="8"/>
  <c r="H20" i="8"/>
  <c r="H17" i="8"/>
  <c r="H15" i="8"/>
  <c r="H12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H36" i="8"/>
  <c r="H32" i="8"/>
  <c r="H29" i="8"/>
  <c r="H26" i="8"/>
  <c r="H24" i="8"/>
  <c r="H21" i="8"/>
  <c r="H18" i="8"/>
  <c r="H16" i="8"/>
  <c r="H14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4" i="8"/>
  <c r="H33" i="8"/>
  <c r="H30" i="8"/>
  <c r="H27" i="8"/>
  <c r="H23" i="8"/>
  <c r="H19" i="8"/>
  <c r="H13" i="8"/>
  <c r="X13" i="9" l="1"/>
  <c r="D14" i="9"/>
  <c r="O14" i="9"/>
  <c r="K14" i="9"/>
  <c r="U14" i="9" l="1"/>
  <c r="E14" i="9"/>
  <c r="P14" i="9"/>
  <c r="L14" i="9"/>
  <c r="V14" i="9" l="1"/>
  <c r="F14" i="9"/>
  <c r="M14" i="9"/>
  <c r="Q14" i="9"/>
  <c r="W14" i="9" l="1"/>
  <c r="R14" i="9"/>
  <c r="N14" i="9"/>
  <c r="C15" i="9"/>
  <c r="D15" i="9" l="1"/>
  <c r="K15" i="9"/>
  <c r="O15" i="9"/>
  <c r="X14" i="9"/>
  <c r="U15" i="9" l="1"/>
  <c r="E15" i="9"/>
  <c r="L15" i="9"/>
  <c r="P15" i="9"/>
  <c r="V15" i="9" l="1"/>
  <c r="F15" i="9"/>
  <c r="Q15" i="9"/>
  <c r="M15" i="9"/>
  <c r="W15" i="9" l="1"/>
  <c r="C16" i="9"/>
  <c r="R15" i="9"/>
  <c r="N15" i="9"/>
  <c r="X15" i="9" l="1"/>
  <c r="D16" i="9"/>
  <c r="K16" i="9"/>
  <c r="O16" i="9"/>
  <c r="U16" i="9" l="1"/>
  <c r="E16" i="9"/>
  <c r="L16" i="9"/>
  <c r="P16" i="9"/>
  <c r="V16" i="9" l="1"/>
  <c r="F16" i="9"/>
  <c r="Q16" i="9"/>
  <c r="M16" i="9"/>
  <c r="W16" i="9" l="1"/>
  <c r="R16" i="9"/>
  <c r="N16" i="9"/>
  <c r="C17" i="9"/>
  <c r="X16" i="9" l="1"/>
  <c r="D17" i="9"/>
  <c r="K17" i="9"/>
  <c r="O17" i="9"/>
  <c r="U17" i="9" l="1"/>
  <c r="E17" i="9"/>
  <c r="P17" i="9"/>
  <c r="L17" i="9"/>
  <c r="V17" i="9" l="1"/>
  <c r="F17" i="9"/>
  <c r="M17" i="9"/>
  <c r="Q17" i="9"/>
  <c r="W17" i="9" l="1"/>
  <c r="R17" i="9"/>
  <c r="N17" i="9"/>
  <c r="C18" i="9"/>
  <c r="X17" i="9" l="1"/>
  <c r="D18" i="9"/>
  <c r="O18" i="9"/>
  <c r="K18" i="9"/>
  <c r="U18" i="9" l="1"/>
  <c r="E18" i="9"/>
  <c r="P18" i="9"/>
  <c r="L18" i="9"/>
  <c r="V18" i="9" l="1"/>
  <c r="F18" i="9"/>
  <c r="Q18" i="9"/>
  <c r="M18" i="9"/>
  <c r="W18" i="9" l="1"/>
  <c r="N18" i="9"/>
  <c r="C19" i="9"/>
  <c r="R18" i="9"/>
  <c r="X18" i="9" l="1"/>
  <c r="D19" i="9"/>
  <c r="K19" i="9"/>
  <c r="O19" i="9"/>
  <c r="U19" i="9" l="1"/>
  <c r="E19" i="9"/>
  <c r="P19" i="9"/>
  <c r="L19" i="9"/>
  <c r="V19" i="9" l="1"/>
  <c r="F19" i="9"/>
  <c r="Q19" i="9"/>
  <c r="M19" i="9"/>
  <c r="W19" i="9" l="1"/>
  <c r="R19" i="9"/>
  <c r="N19" i="9"/>
  <c r="C20" i="9"/>
  <c r="X19" i="9" l="1"/>
  <c r="D20" i="9"/>
  <c r="K20" i="9"/>
  <c r="O20" i="9"/>
  <c r="U20" i="9" l="1"/>
  <c r="E20" i="9"/>
  <c r="L20" i="9"/>
  <c r="P20" i="9"/>
  <c r="V20" i="9" l="1"/>
  <c r="F20" i="9"/>
  <c r="Q20" i="9"/>
  <c r="M20" i="9"/>
  <c r="W20" i="9" l="1"/>
  <c r="R20" i="9"/>
  <c r="N20" i="9"/>
  <c r="C21" i="9"/>
  <c r="X20" i="9" l="1"/>
  <c r="D21" i="9"/>
  <c r="O21" i="9"/>
  <c r="K21" i="9"/>
  <c r="U21" i="9" l="1"/>
  <c r="E21" i="9"/>
  <c r="L21" i="9"/>
  <c r="P21" i="9"/>
  <c r="V21" i="9" l="1"/>
  <c r="F21" i="9"/>
  <c r="Q21" i="9"/>
  <c r="M21" i="9"/>
  <c r="R21" i="9" l="1"/>
  <c r="N21" i="9"/>
  <c r="C22" i="9"/>
  <c r="W21" i="9"/>
  <c r="X21" i="9" l="1"/>
  <c r="O22" i="9"/>
  <c r="K22" i="9"/>
  <c r="D22" i="9"/>
  <c r="U22" i="9" l="1"/>
  <c r="E22" i="9"/>
  <c r="P22" i="9"/>
  <c r="L22" i="9"/>
  <c r="V22" i="9" l="1"/>
  <c r="F22" i="9"/>
  <c r="Q22" i="9"/>
  <c r="M22" i="9"/>
  <c r="W22" i="9" l="1"/>
  <c r="N22" i="9"/>
  <c r="R22" i="9"/>
  <c r="C23" i="9"/>
  <c r="X22" i="9" l="1"/>
  <c r="D23" i="9"/>
  <c r="K23" i="9"/>
  <c r="O23" i="9"/>
  <c r="U23" i="9" l="1"/>
  <c r="E23" i="9"/>
  <c r="L23" i="9"/>
  <c r="P23" i="9"/>
  <c r="V23" i="9" l="1"/>
  <c r="F23" i="9"/>
  <c r="M23" i="9"/>
  <c r="Q23" i="9"/>
  <c r="W23" i="9" l="1"/>
  <c r="N23" i="9"/>
  <c r="R23" i="9"/>
  <c r="C24" i="9"/>
  <c r="X23" i="9" l="1"/>
  <c r="D24" i="9"/>
  <c r="O24" i="9"/>
  <c r="K24" i="9"/>
  <c r="U24" i="9" l="1"/>
  <c r="E24" i="9"/>
  <c r="P24" i="9"/>
  <c r="L24" i="9"/>
  <c r="V24" i="9" l="1"/>
  <c r="F24" i="9"/>
  <c r="M24" i="9"/>
  <c r="Q24" i="9"/>
  <c r="W24" i="9" l="1"/>
  <c r="R24" i="9"/>
  <c r="N24" i="9"/>
  <c r="C25" i="9"/>
  <c r="X24" i="9" l="1"/>
  <c r="D25" i="9"/>
  <c r="O25" i="9"/>
  <c r="K25" i="9"/>
  <c r="U25" i="9" l="1"/>
  <c r="E25" i="9"/>
  <c r="L25" i="9"/>
  <c r="P25" i="9"/>
  <c r="V25" i="9" l="1"/>
  <c r="F25" i="9"/>
  <c r="Q25" i="9"/>
  <c r="M25" i="9"/>
  <c r="W25" i="9" l="1"/>
  <c r="N25" i="9"/>
  <c r="R25" i="9"/>
  <c r="C26" i="9"/>
  <c r="X25" i="9" l="1"/>
  <c r="D26" i="9"/>
  <c r="K26" i="9"/>
  <c r="O26" i="9"/>
  <c r="U26" i="9" l="1"/>
  <c r="E26" i="9"/>
  <c r="P26" i="9"/>
  <c r="L26" i="9"/>
  <c r="V26" i="9" l="1"/>
  <c r="F26" i="9"/>
  <c r="M26" i="9"/>
  <c r="Q26" i="9"/>
  <c r="W26" i="9" l="1"/>
  <c r="R26" i="9"/>
  <c r="N26" i="9"/>
  <c r="C27" i="9"/>
  <c r="X26" i="9" l="1"/>
  <c r="D27" i="9"/>
  <c r="K27" i="9"/>
  <c r="O27" i="9"/>
  <c r="U27" i="9" l="1"/>
  <c r="E27" i="9"/>
  <c r="L27" i="9"/>
  <c r="P27" i="9"/>
  <c r="V27" i="9" l="1"/>
  <c r="F27" i="9"/>
  <c r="M27" i="9"/>
  <c r="Q27" i="9"/>
  <c r="W27" i="9" l="1"/>
  <c r="N27" i="9"/>
  <c r="R27" i="9"/>
  <c r="C28" i="9"/>
  <c r="X27" i="9" l="1"/>
  <c r="D28" i="9"/>
  <c r="K28" i="9"/>
  <c r="O28" i="9"/>
  <c r="U28" i="9" l="1"/>
  <c r="E28" i="9"/>
  <c r="P28" i="9"/>
  <c r="L28" i="9"/>
  <c r="V28" i="9" l="1"/>
  <c r="F28" i="9"/>
  <c r="M28" i="9"/>
  <c r="Q28" i="9"/>
  <c r="W28" i="9" l="1"/>
  <c r="N28" i="9"/>
  <c r="R28" i="9"/>
  <c r="C29" i="9"/>
  <c r="X28" i="9" l="1"/>
  <c r="D29" i="9"/>
  <c r="K29" i="9"/>
  <c r="O29" i="9"/>
  <c r="U29" i="9" l="1"/>
  <c r="E29" i="9"/>
  <c r="L29" i="9"/>
  <c r="P29" i="9"/>
  <c r="V29" i="9" l="1"/>
  <c r="F29" i="9"/>
  <c r="M29" i="9"/>
  <c r="Q29" i="9"/>
  <c r="W29" i="9" l="1"/>
  <c r="N29" i="9"/>
  <c r="R29" i="9"/>
  <c r="C30" i="9"/>
  <c r="X29" i="9" l="1"/>
  <c r="D30" i="9"/>
  <c r="K30" i="9"/>
  <c r="O30" i="9"/>
  <c r="U30" i="9" l="1"/>
  <c r="E30" i="9"/>
  <c r="P30" i="9"/>
  <c r="L30" i="9"/>
  <c r="V30" i="9" l="1"/>
  <c r="F30" i="9"/>
  <c r="M30" i="9"/>
  <c r="Q30" i="9"/>
  <c r="W30" i="9" l="1"/>
  <c r="R30" i="9"/>
  <c r="N30" i="9"/>
  <c r="C31" i="9"/>
  <c r="X30" i="9" l="1"/>
  <c r="D31" i="9"/>
  <c r="K31" i="9"/>
  <c r="O31" i="9"/>
  <c r="U31" i="9" l="1"/>
  <c r="E31" i="9"/>
  <c r="P31" i="9"/>
  <c r="L31" i="9"/>
  <c r="V31" i="9" l="1"/>
  <c r="F31" i="9"/>
  <c r="M31" i="9"/>
  <c r="Q31" i="9"/>
  <c r="W31" i="9" l="1"/>
  <c r="N31" i="9"/>
  <c r="R31" i="9"/>
  <c r="C32" i="9"/>
  <c r="X31" i="9" l="1"/>
  <c r="D32" i="9"/>
  <c r="O32" i="9"/>
  <c r="K32" i="9"/>
  <c r="U32" i="9" l="1"/>
  <c r="E32" i="9"/>
  <c r="L32" i="9"/>
  <c r="P32" i="9"/>
  <c r="V32" i="9" l="1"/>
  <c r="F32" i="9"/>
  <c r="Q32" i="9"/>
  <c r="M32" i="9"/>
  <c r="W32" i="9" l="1"/>
  <c r="R32" i="9"/>
  <c r="N32" i="9"/>
  <c r="X3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M2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길드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토벌전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모드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<sst xmlns="http://schemas.openxmlformats.org/spreadsheetml/2006/main" count="2677" uniqueCount="940">
  <si>
    <t>참가신청</t>
    <phoneticPr fontId="4" type="noConversion"/>
  </si>
  <si>
    <t>BattleStart</t>
    <phoneticPr fontId="4" type="noConversion"/>
  </si>
  <si>
    <t>BattleEnd</t>
    <phoneticPr fontId="4" type="noConversion"/>
  </si>
  <si>
    <t>전투진행</t>
    <phoneticPr fontId="4" type="noConversion"/>
  </si>
  <si>
    <t>SeasonIndex</t>
    <phoneticPr fontId="4" type="noConversion"/>
  </si>
  <si>
    <t>ApplyStart</t>
    <phoneticPr fontId="4" type="noConversion"/>
  </si>
  <si>
    <t>ApplyEnd</t>
    <phoneticPr fontId="4" type="noConversion"/>
  </si>
  <si>
    <t>SessionIndex</t>
    <phoneticPr fontId="4" type="noConversion"/>
  </si>
  <si>
    <t>ViewRankSeason</t>
    <phoneticPr fontId="4" type="noConversion"/>
  </si>
  <si>
    <t>SuppressDungeonIndex[]</t>
    <phoneticPr fontId="4" type="noConversion"/>
  </si>
  <si>
    <t>RaidIndex</t>
    <phoneticPr fontId="4" type="noConversion"/>
  </si>
  <si>
    <t>Level[]</t>
    <phoneticPr fontId="4" type="noConversion"/>
  </si>
  <si>
    <t>1,2</t>
  </si>
  <si>
    <t>3,4</t>
  </si>
  <si>
    <t>5,6</t>
  </si>
  <si>
    <t>7,8</t>
  </si>
  <si>
    <t>2018-07-03 00:30:00</t>
  </si>
  <si>
    <t>9,10</t>
  </si>
  <si>
    <t>11,12</t>
  </si>
  <si>
    <t>13,14</t>
  </si>
  <si>
    <t>15,16</t>
  </si>
  <si>
    <t>17,18</t>
  </si>
  <si>
    <t>19,20</t>
  </si>
  <si>
    <t>21,22</t>
  </si>
  <si>
    <t>23,24</t>
  </si>
  <si>
    <t>25,26</t>
  </si>
  <si>
    <t>27,28</t>
  </si>
  <si>
    <t>29,30</t>
  </si>
  <si>
    <t>31,32</t>
  </si>
  <si>
    <t>Field</t>
    <phoneticPr fontId="4" type="noConversion"/>
  </si>
  <si>
    <t>Description</t>
    <phoneticPr fontId="4" type="noConversion"/>
  </si>
  <si>
    <t>SessionIndex</t>
  </si>
  <si>
    <t>SeasonIndex</t>
  </si>
  <si>
    <t>ApplyStart</t>
  </si>
  <si>
    <t>ApplyEnd</t>
  </si>
  <si>
    <t>BattleStart</t>
  </si>
  <si>
    <t>BattleEnd</t>
  </si>
  <si>
    <t>ViewRankSeason</t>
  </si>
  <si>
    <t>RaidIndex</t>
  </si>
  <si>
    <t>Level[]</t>
  </si>
  <si>
    <t>GuildSuppressSessionTable</t>
    <phoneticPr fontId="4" type="noConversion"/>
  </si>
  <si>
    <t>토벌전 세션 인덱스 (순서대로 1씩 증가해야 함)</t>
    <phoneticPr fontId="4" type="noConversion"/>
  </si>
  <si>
    <t>토벌전 시즌 인덱스</t>
    <phoneticPr fontId="4" type="noConversion"/>
  </si>
  <si>
    <t>해당 세션의 토벌전 참가 신청 시작 시간</t>
    <phoneticPr fontId="4" type="noConversion"/>
  </si>
  <si>
    <t>해당 세션의 토벌전 참가 신청 종료 시간</t>
    <phoneticPr fontId="4" type="noConversion"/>
  </si>
  <si>
    <t>해당 세션의 토벌전 전투 시작 시간</t>
    <phoneticPr fontId="4" type="noConversion"/>
  </si>
  <si>
    <t>해당 세션의 토벌전 전투 종료 시간</t>
    <phoneticPr fontId="4" type="noConversion"/>
  </si>
  <si>
    <t>랭킹 보드에 어느 시즌의 랭킹 정보를 보여줄 것인지 설정하는 필드. 시즌이 바뀌고 첫번째 세션에서는 전 시즌 Index를 입력하도록 한다.</t>
    <phoneticPr fontId="4" type="noConversion"/>
  </si>
  <si>
    <r>
      <t xml:space="preserve">랭킹 보드에 어느 시즌의 랭킹 정보를 보여줄 것인지 설정하는 필드.
</t>
    </r>
    <r>
      <rPr>
        <sz val="10"/>
        <color rgb="FFFF0000"/>
        <rFont val="맑은 고딕"/>
        <family val="3"/>
        <charset val="129"/>
        <scheme val="minor"/>
      </rPr>
      <t xml:space="preserve"> - 시즌이 바뀌고 첫번째 세션에서는 전 시즌 Index를 입력하도록 한다.</t>
    </r>
    <phoneticPr fontId="4" type="noConversion"/>
  </si>
  <si>
    <t>RaidTable의 토벌전 몬스터 Index 입력</t>
    <phoneticPr fontId="4" type="noConversion"/>
  </si>
  <si>
    <t>SuppressDungeonIndex[]</t>
    <phoneticPr fontId="4" type="noConversion"/>
  </si>
  <si>
    <r>
      <t xml:space="preserve">토벌전 던전 인덱스 (GuildSuppressDungeonTable의 인덱스)
</t>
    </r>
    <r>
      <rPr>
        <sz val="10"/>
        <color rgb="FFFF0000"/>
        <rFont val="맑은 고딕"/>
        <family val="3"/>
        <charset val="129"/>
        <scheme val="minor"/>
      </rPr>
      <t xml:space="preserve"> - 배열 형식으로 입력하며, 입력한 순서대로 토벌전 던전 리스트에 노출된다.</t>
    </r>
    <phoneticPr fontId="4" type="noConversion"/>
  </si>
  <si>
    <r>
      <t xml:space="preserve">RaidTable의 토벌전 몬스터 Level 입력
</t>
    </r>
    <r>
      <rPr>
        <sz val="10"/>
        <color rgb="FFFF0000"/>
        <rFont val="맑은 고딕"/>
        <family val="3"/>
        <charset val="129"/>
        <scheme val="minor"/>
      </rPr>
      <t xml:space="preserve"> - 배열 형식으로 입력하며, SuppressDungeonIndex[]에 입력한 몬스터와 동일하게 입력해 줘야 함.</t>
    </r>
    <phoneticPr fontId="4" type="noConversion"/>
  </si>
  <si>
    <t>SessionIndex</t>
    <phoneticPr fontId="4" type="noConversion"/>
  </si>
  <si>
    <t>SeasonIndex</t>
    <phoneticPr fontId="4" type="noConversion"/>
  </si>
  <si>
    <t>ApplyStart</t>
    <phoneticPr fontId="4" type="noConversion"/>
  </si>
  <si>
    <t>ApplyEnd</t>
    <phoneticPr fontId="4" type="noConversion"/>
  </si>
  <si>
    <t>BattleStart</t>
    <phoneticPr fontId="4" type="noConversion"/>
  </si>
  <si>
    <t>BattleEnd</t>
    <phoneticPr fontId="4" type="noConversion"/>
  </si>
  <si>
    <t>ViewRankSeason</t>
    <phoneticPr fontId="4" type="noConversion"/>
  </si>
  <si>
    <t>SuppressDungeonIndex[]</t>
    <phoneticPr fontId="4" type="noConversion"/>
  </si>
  <si>
    <t>RaidIndex</t>
    <phoneticPr fontId="4" type="noConversion"/>
  </si>
  <si>
    <t>2018-06-16 00:30:00</t>
  </si>
  <si>
    <t>2018-06-17 23:59:59</t>
  </si>
  <si>
    <t>1시즌</t>
    <phoneticPr fontId="4" type="noConversion"/>
  </si>
  <si>
    <t>2018-06-19 00:30:00</t>
  </si>
  <si>
    <t>2018-06-20 23:59:59</t>
  </si>
  <si>
    <t>2018-06-23 00:30:00</t>
  </si>
  <si>
    <t>2018-06-24 23:59:59</t>
  </si>
  <si>
    <t>2018-06-26 00:30:00</t>
  </si>
  <si>
    <t>2018-06-27 23:59:59</t>
  </si>
  <si>
    <t>2018-07-07 00:30:00</t>
  </si>
  <si>
    <t>2018-07-11 23:59:59</t>
  </si>
  <si>
    <t>2018-07-14 00:30:00</t>
  </si>
  <si>
    <t>2018-07-15 23:59:59</t>
  </si>
  <si>
    <t>2018-07-17 00:30:00</t>
  </si>
  <si>
    <t>2018-07-18 23:59:59</t>
  </si>
  <si>
    <t>2018-07-21 00:30:00</t>
  </si>
  <si>
    <t>2018-07-22 23:59:59</t>
  </si>
  <si>
    <t>2018-07-24 00:30:00</t>
  </si>
  <si>
    <t>2018-07-25 23:59:59</t>
  </si>
  <si>
    <t>2018-07-28 00:30:00</t>
  </si>
  <si>
    <t>2018-07-29 23:59:59</t>
  </si>
  <si>
    <t>2018-07-31 00:30:00</t>
  </si>
  <si>
    <t>2018-08-04 00:30:00</t>
  </si>
  <si>
    <t>2018-08-07 00:30:00</t>
  </si>
  <si>
    <t>2시즌</t>
    <phoneticPr fontId="4" type="noConversion"/>
  </si>
  <si>
    <t>실제 라이브 서버에서 적용되고 있는 토벌전 시간표.</t>
    <phoneticPr fontId="4" type="noConversion"/>
  </si>
  <si>
    <t>테스트를 위해 개발서버에서는 자주 토벌전 시간을 변경하기 때문에, 라이브 데이터를 보관하고 있으면 좋다.</t>
    <phoneticPr fontId="4" type="noConversion"/>
  </si>
  <si>
    <t>라이브 업데이트 하기 전에 잊지 말고 꼭 라이브 데이터를 적용하도록 하자.</t>
    <phoneticPr fontId="4" type="noConversion"/>
  </si>
  <si>
    <t>신청 시간(분)</t>
    <phoneticPr fontId="4" type="noConversion"/>
  </si>
  <si>
    <t>전투 시간(분)</t>
    <phoneticPr fontId="4" type="noConversion"/>
  </si>
  <si>
    <t>대기 시간(분)</t>
    <phoneticPr fontId="4" type="noConversion"/>
  </si>
  <si>
    <t>시작 시간</t>
    <phoneticPr fontId="4" type="noConversion"/>
  </si>
  <si>
    <t>▼ 원하는 시간을 아래 양식과 동일하게 입력</t>
    <phoneticPr fontId="4" type="noConversion"/>
  </si>
  <si>
    <r>
      <t xml:space="preserve">▼ 아래 시간을 </t>
    </r>
    <r>
      <rPr>
        <b/>
        <sz val="10"/>
        <color rgb="FFFF0000"/>
        <rFont val="맑은 고딕"/>
        <family val="3"/>
        <charset val="129"/>
        <scheme val="minor"/>
      </rPr>
      <t>해당 날짜의 24시 까지만</t>
    </r>
    <r>
      <rPr>
        <sz val="10"/>
        <color rgb="FF0000FF"/>
        <rFont val="맑은 고딕"/>
        <family val="3"/>
        <charset val="129"/>
        <scheme val="minor"/>
      </rPr>
      <t xml:space="preserve"> 선택해서 [GuildSuppressSessionTable] 시트에 복붙하세요.</t>
    </r>
    <phoneticPr fontId="4" type="noConversion"/>
  </si>
  <si>
    <t>▼ 건들지 마세요</t>
    <phoneticPr fontId="4" type="noConversion"/>
  </si>
  <si>
    <t>◀ 건들지 마세요</t>
    <phoneticPr fontId="4" type="noConversion"/>
  </si>
  <si>
    <r>
      <t xml:space="preserve">본 시트는 토벌전 관련 테스트를 위해 </t>
    </r>
    <r>
      <rPr>
        <sz val="11"/>
        <color rgb="FF0000FF"/>
        <rFont val="맑은 고딕"/>
        <family val="3"/>
        <charset val="129"/>
        <scheme val="minor"/>
      </rPr>
      <t>임의로 토벌전 시간을 변경해야 할 경우</t>
    </r>
    <r>
      <rPr>
        <sz val="11"/>
        <color theme="1"/>
        <rFont val="맑은 고딕"/>
        <family val="2"/>
        <charset val="129"/>
        <scheme val="minor"/>
      </rPr>
      <t xml:space="preserve"> 편하게 변경을 하기 위해 만들어둔 작업용 시트이다.</t>
    </r>
    <phoneticPr fontId="4" type="noConversion"/>
  </si>
  <si>
    <t>년(yyyy)</t>
    <phoneticPr fontId="4" type="noConversion"/>
  </si>
  <si>
    <t>월(mm)</t>
    <phoneticPr fontId="4" type="noConversion"/>
  </si>
  <si>
    <t>▼ 변경하고자 하는 기간의 년, 월, 일을 양식에 맞게 입력</t>
    <phoneticPr fontId="4" type="noConversion"/>
  </si>
  <si>
    <t>일(dd)</t>
    <phoneticPr fontId="4" type="noConversion"/>
  </si>
  <si>
    <t>2018-09-01 00:30:00</t>
  </si>
  <si>
    <t>2018-06-15 00:30:00</t>
  </si>
  <si>
    <t>2018-06-15 23:59:59</t>
  </si>
  <si>
    <t>2018-06-18 00:30:00</t>
  </si>
  <si>
    <t>2018-06-18 23:59:59</t>
  </si>
  <si>
    <t>2018-06-22 00:30:00</t>
  </si>
  <si>
    <t>2018-06-22 23:59:59</t>
  </si>
  <si>
    <t>2018-06-25 00:30:00</t>
  </si>
  <si>
    <t>2018-06-25 23:59:59</t>
  </si>
  <si>
    <t>2018-06-29 00:30:00</t>
  </si>
  <si>
    <t>2018-06-29 23:59:59</t>
  </si>
  <si>
    <t>2018-06-30 00:30:00</t>
  </si>
  <si>
    <t>2018-07-01 23:59:59</t>
  </si>
  <si>
    <t>2018-07-02 00:30:00</t>
  </si>
  <si>
    <t>2018-07-02 23:59:59</t>
  </si>
  <si>
    <t>2018-07-04 23:59:59</t>
  </si>
  <si>
    <t>2018-07-06 00:30:00</t>
  </si>
  <si>
    <t>2018-07-06 23:59:59</t>
  </si>
  <si>
    <t>2018-07-08 23:59:59</t>
  </si>
  <si>
    <t>2018-07-09 00:30:00</t>
  </si>
  <si>
    <t>2018-07-09 23:59:59</t>
  </si>
  <si>
    <t>2018-07-10 00:30:00</t>
  </si>
  <si>
    <t>2018-07-13 00:30:00</t>
  </si>
  <si>
    <t>2018-07-13 23:59:59</t>
  </si>
  <si>
    <t>2018-07-16 00:30:00</t>
  </si>
  <si>
    <t>2018-07-16 23:59:59</t>
  </si>
  <si>
    <t>2018-07-20 00:30:00</t>
  </si>
  <si>
    <t>2018-07-20 23:59:59</t>
  </si>
  <si>
    <t>2018-07-23 00:30:00</t>
  </si>
  <si>
    <t>2018-07-23 23:59:59</t>
  </si>
  <si>
    <t>2018-07-27 00:30:00</t>
  </si>
  <si>
    <t>2018-07-27 23:59:59</t>
  </si>
  <si>
    <t>2018-07-30 00:30:00</t>
  </si>
  <si>
    <t>2018-07-30 23:59:59</t>
  </si>
  <si>
    <t>2018-08-01 23:59:59</t>
  </si>
  <si>
    <t>2018-08-03 00:30:00</t>
  </si>
  <si>
    <t>2018-08-03 23:59:59</t>
  </si>
  <si>
    <t>2018-08-05 23:59:59</t>
  </si>
  <si>
    <t>2018-08-06 00:30:00</t>
  </si>
  <si>
    <t>2018-08-06 23:59:59</t>
  </si>
  <si>
    <t>2018-08-08 23:59:59</t>
  </si>
  <si>
    <t>2</t>
  </si>
  <si>
    <t>2018-08-10 00:30:00</t>
  </si>
  <si>
    <t>2018-08-10 23:59:59</t>
  </si>
  <si>
    <t>2018-08-11 00:30:00</t>
  </si>
  <si>
    <t>2018-08-12 23:59:59</t>
  </si>
  <si>
    <t>1</t>
  </si>
  <si>
    <t>2018-08-13 00:30:00</t>
  </si>
  <si>
    <t>2018-08-13 23:59:59</t>
  </si>
  <si>
    <t>2018-08-14 00:30:00</t>
  </si>
  <si>
    <t>2018-08-15 23:59:59</t>
  </si>
  <si>
    <t>2018-08-17 00:30:00</t>
  </si>
  <si>
    <t>2018-08-17 23:59:59</t>
  </si>
  <si>
    <t>2018-08-18 00:30:00</t>
  </si>
  <si>
    <t>2018-08-19 23:59:59</t>
  </si>
  <si>
    <t>2018-08-20 00:30:00</t>
  </si>
  <si>
    <t>2018-08-20 23:59:59</t>
  </si>
  <si>
    <t>2018-08-21 00:30:00</t>
  </si>
  <si>
    <t>2018-08-22 23:59:59</t>
  </si>
  <si>
    <t>2018-08-24 00:30:00</t>
  </si>
  <si>
    <t>2018-08-24 23:59:59</t>
  </si>
  <si>
    <t>2018-08-25 00:30:00</t>
  </si>
  <si>
    <t>2018-08-26 23:59:59</t>
  </si>
  <si>
    <t>2018-08-27 00:30:00</t>
  </si>
  <si>
    <t>2018-08-27 23:59:59</t>
  </si>
  <si>
    <t>2018-08-28 00:30:00</t>
  </si>
  <si>
    <t>2018-08-29 23:59:59</t>
  </si>
  <si>
    <t>2018-08-31 00:30:00</t>
  </si>
  <si>
    <t>2018-08-31 23:59:59</t>
  </si>
  <si>
    <t>2018-09-02 23:59:59</t>
  </si>
  <si>
    <t>2018-09-03 00:30:00</t>
  </si>
  <si>
    <t>2018-09-03 23:59:59</t>
  </si>
  <si>
    <t>2018-09-04 00:30:00</t>
  </si>
  <si>
    <t>2018-09-05 23:59:59</t>
  </si>
  <si>
    <t>2018-09-07 00:30:00</t>
  </si>
  <si>
    <t>2018-09-07 23:59:59</t>
  </si>
  <si>
    <t>2018-09-08 00:30:00</t>
  </si>
  <si>
    <t>2018-09-09 23:59:59</t>
  </si>
  <si>
    <t>SingleLevel[]</t>
    <phoneticPr fontId="4" type="noConversion"/>
  </si>
  <si>
    <t>2018-09-10 00:30:00</t>
  </si>
  <si>
    <t>2018-09-10 23:59:59</t>
  </si>
  <si>
    <t>2018-09-11 00:30:00</t>
  </si>
  <si>
    <t>2018-09-12 23:59:59</t>
  </si>
  <si>
    <t>2018-09-14 00:30:00</t>
  </si>
  <si>
    <t>2018-09-14 23:59:59</t>
  </si>
  <si>
    <t>2018-09-15 00:30:00</t>
  </si>
  <si>
    <t>2018-09-16 23:59:59</t>
  </si>
  <si>
    <t>2018-09-17 00:30:00</t>
  </si>
  <si>
    <t>2018-09-17 23:59:59</t>
  </si>
  <si>
    <t>2018-09-18 00:30:00</t>
  </si>
  <si>
    <t>2018-09-19 23:59:59</t>
  </si>
  <si>
    <t>2018-09-24 00:30:00</t>
  </si>
  <si>
    <t>2018-09-24 23:59:59</t>
  </si>
  <si>
    <t>2018-09-25 00:30:00</t>
  </si>
  <si>
    <t>2018-09-26 23:59:59</t>
  </si>
  <si>
    <t>2018-09-28 00:30:00</t>
  </si>
  <si>
    <t>2018-09-28 23:59:59</t>
  </si>
  <si>
    <t>2018-10-01 00:30:00</t>
  </si>
  <si>
    <t>2018-10-01 23:59:59</t>
  </si>
  <si>
    <t>2018-10-12 00:30:00</t>
  </si>
  <si>
    <t>2018-10-14 23:59:59</t>
  </si>
  <si>
    <t>2018-10-15 00:30:00</t>
  </si>
  <si>
    <t>2018-10-16 00:30:00</t>
  </si>
  <si>
    <t>2018-10-12 23:59:59</t>
  </si>
  <si>
    <t>2018-10-13 00:30:00</t>
  </si>
  <si>
    <t>2018-10-15 23:59:59</t>
  </si>
  <si>
    <t>2018-10-19 00:30:00</t>
  </si>
  <si>
    <t>2018-10-19 23:59:59</t>
  </si>
  <si>
    <t>2018-10-22 00:30:00</t>
  </si>
  <si>
    <t>2018-10-22 23:59:59</t>
  </si>
  <si>
    <t>2018-10-26 00:30:00</t>
  </si>
  <si>
    <t>2018-10-26 23:59:59</t>
  </si>
  <si>
    <t>2018-10-17 23:59:59</t>
  </si>
  <si>
    <t>2018-10-21 23:59:59</t>
  </si>
  <si>
    <t>2018-10-24 23:59:59</t>
  </si>
  <si>
    <t>2018-10-20 00:30:00</t>
  </si>
  <si>
    <t>2018-10-23 00:30:00</t>
  </si>
  <si>
    <t>2018-10-27 00:30:00</t>
  </si>
  <si>
    <t>3</t>
  </si>
  <si>
    <t>3시즌</t>
    <phoneticPr fontId="4" type="noConversion"/>
  </si>
  <si>
    <t>4,5,6</t>
  </si>
  <si>
    <t>GlobalApplyStart</t>
  </si>
  <si>
    <t>GlobalApplyEnd</t>
  </si>
  <si>
    <t>GlobalBattleStart</t>
  </si>
  <si>
    <t>GlobalBattleEnd</t>
  </si>
  <si>
    <t>참가신청(UTC Time)</t>
  </si>
  <si>
    <t>16,17,18</t>
  </si>
  <si>
    <t>19,20,21</t>
  </si>
  <si>
    <t>2018-10-28 23:59:59</t>
  </si>
  <si>
    <t>2018-10-29 00:30:00</t>
  </si>
  <si>
    <t>2018-10-29 23:59:59</t>
  </si>
  <si>
    <t>2018-10-30 00:30:00</t>
  </si>
  <si>
    <t>2018-10-31 23:59:59</t>
  </si>
  <si>
    <t>2018-11-02 00:30:00</t>
  </si>
  <si>
    <t>2018-11-02 23:59:59</t>
  </si>
  <si>
    <t>2018-11-03 00:30:00</t>
  </si>
  <si>
    <t>2018-11-04 23:59:59</t>
  </si>
  <si>
    <t>101,102</t>
  </si>
  <si>
    <t>34,36</t>
  </si>
  <si>
    <t>37,39</t>
  </si>
  <si>
    <t>40,42</t>
  </si>
  <si>
    <t>43,45</t>
  </si>
  <si>
    <t>46,48</t>
  </si>
  <si>
    <t>49,51</t>
  </si>
  <si>
    <t>52,54</t>
  </si>
  <si>
    <t>55,57</t>
  </si>
  <si>
    <t>58,60</t>
  </si>
  <si>
    <t>61,63</t>
  </si>
  <si>
    <t>64,66</t>
  </si>
  <si>
    <t>67,69</t>
  </si>
  <si>
    <t>2018-09-21 00:30:00</t>
  </si>
  <si>
    <t>2018-09-21 23:59:59</t>
  </si>
  <si>
    <t>2018-09-22 00:30:00</t>
  </si>
  <si>
    <t>2018-09-23 23:59:59</t>
  </si>
  <si>
    <t>70,72</t>
  </si>
  <si>
    <t>73,75</t>
  </si>
  <si>
    <t>76,78</t>
  </si>
  <si>
    <t>79,81</t>
  </si>
  <si>
    <t>1,2,3</t>
  </si>
  <si>
    <t>101,102,103</t>
  </si>
  <si>
    <t>7,8,9</t>
  </si>
  <si>
    <t>10,11,12</t>
  </si>
  <si>
    <t>13,14,15</t>
  </si>
  <si>
    <t>4</t>
  </si>
  <si>
    <t>2018-11-11 16:00:00</t>
  </si>
  <si>
    <t>2018-11-12 14:59:59</t>
  </si>
  <si>
    <t>2018-11-12 15:30:00</t>
  </si>
  <si>
    <t>2018-11-14 14:59:59</t>
  </si>
  <si>
    <t>2018-11-15 16:00:00</t>
  </si>
  <si>
    <t>2018-11-16 14:59:59</t>
  </si>
  <si>
    <t>2018-11-16 15:30:00</t>
  </si>
  <si>
    <t>2018-11-18 14:59:59</t>
  </si>
  <si>
    <t>2018-11-18 16:00:00</t>
  </si>
  <si>
    <t>2018-11-19 14:59:59</t>
  </si>
  <si>
    <t>2018-11-19 15:30:00</t>
  </si>
  <si>
    <t>2018-11-21 14:59:59</t>
  </si>
  <si>
    <t>2018-11-22 16:00:00</t>
  </si>
  <si>
    <t>2018-11-23 14:59:59</t>
  </si>
  <si>
    <t>2018-11-23 15:30:00</t>
  </si>
  <si>
    <t>2018-11-25 14:59:59</t>
  </si>
  <si>
    <t>2018-11-25 16:00:00</t>
  </si>
  <si>
    <t>2018-11-26 14:59:59</t>
  </si>
  <si>
    <t>2018-11-26 15:30:00</t>
  </si>
  <si>
    <t>2018-11-28 14:59:59</t>
  </si>
  <si>
    <t>2018-11-29 16:00:00</t>
  </si>
  <si>
    <t>2018-11-30 14:59:59</t>
  </si>
  <si>
    <t>2018-11-30 15:30:00</t>
  </si>
  <si>
    <t>2018-12-02 14:59:59</t>
  </si>
  <si>
    <t>2018-12-02 16:00:00</t>
  </si>
  <si>
    <t>2018-12-03 14:59:59</t>
  </si>
  <si>
    <t>2018-12-03 15:30:00</t>
  </si>
  <si>
    <t>2018-12-05 14:59:59</t>
  </si>
  <si>
    <t>2018-12-06 16:00:00</t>
  </si>
  <si>
    <t>2018-12-07 14:59:59</t>
  </si>
  <si>
    <t>2018-12-07 15:30:00</t>
  </si>
  <si>
    <t>2018-12-09 14:59:59</t>
  </si>
  <si>
    <t>22,23,24</t>
  </si>
  <si>
    <t>2018-12-09 16:00:00</t>
  </si>
  <si>
    <t>2018-12-10 14:59:59</t>
  </si>
  <si>
    <t>2018-12-10 15:30:00</t>
  </si>
  <si>
    <t>2018-12-12 14:59:59</t>
  </si>
  <si>
    <t>25,26,27</t>
  </si>
  <si>
    <t>2018-12-13 16:00:00</t>
  </si>
  <si>
    <t>2018-12-14 14:59:59</t>
  </si>
  <si>
    <t>2018-12-14 15:30:00</t>
  </si>
  <si>
    <t>2018-12-16 14:59:59</t>
  </si>
  <si>
    <t>28,29,30</t>
  </si>
  <si>
    <t>2018-12-16 16:00:00</t>
  </si>
  <si>
    <t>2018-12-17 14:59:59</t>
  </si>
  <si>
    <t>2018-12-17 15:30:00</t>
  </si>
  <si>
    <t>2018-12-19 14:59:59</t>
  </si>
  <si>
    <t>31,32,33</t>
  </si>
  <si>
    <t>2018-12-20 16:00:00</t>
  </si>
  <si>
    <t>2018-12-21 14:59:59</t>
  </si>
  <si>
    <t>2018-12-21 15:30:00</t>
  </si>
  <si>
    <t>2018-12-23 14:59:59</t>
  </si>
  <si>
    <t>34,35,36</t>
  </si>
  <si>
    <t>2018-12-23 16:00:00</t>
  </si>
  <si>
    <t>2018-12-24 14:59:59</t>
  </si>
  <si>
    <t>2018-12-24 15:30:00</t>
  </si>
  <si>
    <t>2018-12-26 14:59:59</t>
  </si>
  <si>
    <t>37,38,39</t>
  </si>
  <si>
    <t>2018-12-27 16:00:00</t>
  </si>
  <si>
    <t>2018-12-28 14:59:59</t>
  </si>
  <si>
    <t>2018-12-28 15:30:00</t>
  </si>
  <si>
    <t>2018-12-30 14:59:59</t>
  </si>
  <si>
    <t>40,41,42</t>
  </si>
  <si>
    <t>2018-12-30 16:00:00</t>
  </si>
  <si>
    <t>2018-12-31 14:59:59</t>
  </si>
  <si>
    <t>2018-12-31 15:30:00</t>
  </si>
  <si>
    <t>2019-01-02 14:59:59</t>
  </si>
  <si>
    <t>43,44,45</t>
  </si>
  <si>
    <t>2019-01-03 16:00:00</t>
  </si>
  <si>
    <t>2019-01-04 14:59:59</t>
  </si>
  <si>
    <t>2019-01-04 15:30:00</t>
  </si>
  <si>
    <t>2019-01-06 14:59:59</t>
  </si>
  <si>
    <t>46,47,48</t>
  </si>
  <si>
    <t>5</t>
  </si>
  <si>
    <t>2019-01-29 16:00:00</t>
  </si>
  <si>
    <t>2019-01-31 14:59:59</t>
  </si>
  <si>
    <t>2019-01-31 15:30:00</t>
  </si>
  <si>
    <t>2019-02-05 14:59:59</t>
  </si>
  <si>
    <t>2019-02-05 16:00:00</t>
  </si>
  <si>
    <t>2019-02-07 14:59:59</t>
  </si>
  <si>
    <t>2019-02-07 15:30:00</t>
  </si>
  <si>
    <t>2019-02-12 14:59:59</t>
  </si>
  <si>
    <t>2019-02-12 16:00:00</t>
  </si>
  <si>
    <t>2019-02-14 14:59:59</t>
  </si>
  <si>
    <t>2019-02-14 15:30:00</t>
  </si>
  <si>
    <t>2019-02-19 14:59:59</t>
  </si>
  <si>
    <t>2019-02-19 16:00:00</t>
  </si>
  <si>
    <t>2019-02-21 14:59:59</t>
  </si>
  <si>
    <t>2019-02-21 15:30:00</t>
  </si>
  <si>
    <t>2019-02-26 14:59:59</t>
  </si>
  <si>
    <t>2019-02-26 16:00:00</t>
  </si>
  <si>
    <t>2019-02-28 14:59:59</t>
  </si>
  <si>
    <t>2019-02-28 15:30:00</t>
  </si>
  <si>
    <t>2019-03-05 14:59:59</t>
  </si>
  <si>
    <t>2019-03-05 16:00:00</t>
  </si>
  <si>
    <t>2019-03-07 14:59:59</t>
  </si>
  <si>
    <t>2019-03-07 15:30:00</t>
  </si>
  <si>
    <t>2019-03-12 14:59:59</t>
  </si>
  <si>
    <t>2019-03-12 16:00:00</t>
  </si>
  <si>
    <t>2019-03-14 14:59:59</t>
  </si>
  <si>
    <t>2019-03-14 15:30:00</t>
  </si>
  <si>
    <t>2019-03-19 14:59:59</t>
  </si>
  <si>
    <t>2019-03-19 16:00:00</t>
  </si>
  <si>
    <t>2019-03-21 14:59:59</t>
  </si>
  <si>
    <t>2019-03-21 15:30:00</t>
  </si>
  <si>
    <t>2019-03-26 14:59:59</t>
  </si>
  <si>
    <t>2019-03-26 16:00:00</t>
  </si>
  <si>
    <t>2019-03-28 14:59:59</t>
  </si>
  <si>
    <t>2019-03-28 15:30:00</t>
  </si>
  <si>
    <t>2019-04-02 14:59:59</t>
  </si>
  <si>
    <t>2019-04-02 16:00:00</t>
  </si>
  <si>
    <t>2019-04-04 14:59:59</t>
  </si>
  <si>
    <t>2019-04-04 15:30:00</t>
  </si>
  <si>
    <t>2019-04-09 14:59:59</t>
  </si>
  <si>
    <t>2019-04-09 16:00:00</t>
  </si>
  <si>
    <t>2019-04-11 14:59:59</t>
  </si>
  <si>
    <t>2019-04-11 15:30:00</t>
  </si>
  <si>
    <t>2019-04-16 14:59:59</t>
  </si>
  <si>
    <t>2019-04-16 16:00:00</t>
  </si>
  <si>
    <t>2019-04-18 14:59:59</t>
  </si>
  <si>
    <t>2019-04-19 15:30:00</t>
  </si>
  <si>
    <t>2019-04-23 14:59:59</t>
  </si>
  <si>
    <t>2018-09-29 00:30:00</t>
    <phoneticPr fontId="4" type="noConversion"/>
  </si>
  <si>
    <t>2018-10-02 00:30:00</t>
    <phoneticPr fontId="4" type="noConversion"/>
  </si>
  <si>
    <t>2018-09-30 23:59:59</t>
    <phoneticPr fontId="4" type="noConversion"/>
  </si>
  <si>
    <t>2018-10-03 23:59:59</t>
    <phoneticPr fontId="4" type="noConversion"/>
  </si>
  <si>
    <t>2018-09-29 00:30:00</t>
  </si>
  <si>
    <t>2018-09-30 23:59:59</t>
  </si>
  <si>
    <t>2018-10-02 00:30:00</t>
  </si>
  <si>
    <t>2018-10-03 23:59:59</t>
  </si>
  <si>
    <t>6</t>
    <phoneticPr fontId="4" type="noConversion"/>
  </si>
  <si>
    <t>5</t>
    <phoneticPr fontId="4" type="noConversion"/>
  </si>
  <si>
    <t>2019-04-18 15:30:00</t>
    <phoneticPr fontId="4" type="noConversion"/>
  </si>
  <si>
    <t>시즌 시작 시간</t>
    <phoneticPr fontId="4" type="noConversion"/>
  </si>
  <si>
    <t>신청 기간(일)</t>
    <phoneticPr fontId="4" type="noConversion"/>
  </si>
  <si>
    <t>대기 시간 (분)</t>
    <phoneticPr fontId="4" type="noConversion"/>
  </si>
  <si>
    <t>전투 시간(일)</t>
    <phoneticPr fontId="4" type="noConversion"/>
  </si>
  <si>
    <t>시간</t>
    <phoneticPr fontId="4" type="noConversion"/>
  </si>
  <si>
    <t>분</t>
    <phoneticPr fontId="4" type="noConversion"/>
  </si>
  <si>
    <t>초</t>
    <phoneticPr fontId="4" type="noConversion"/>
  </si>
  <si>
    <t>세션</t>
    <phoneticPr fontId="4" type="noConversion"/>
  </si>
  <si>
    <t>색으로 칠해진 부분에 값을 입력하세요</t>
    <phoneticPr fontId="4" type="noConversion"/>
  </si>
  <si>
    <t>2019-05-07 16:00:00</t>
  </si>
  <si>
    <t>2019-05-09 14:59:59</t>
  </si>
  <si>
    <t>2019-05-09 15:30:00</t>
  </si>
  <si>
    <t>2019-05-14 14:59:59</t>
  </si>
  <si>
    <t>2019-05-14 16:00:00</t>
  </si>
  <si>
    <t>2019-05-16 14:59:59</t>
  </si>
  <si>
    <t>2019-05-16 15:30:00</t>
  </si>
  <si>
    <t>2019-05-21 14:59:59</t>
  </si>
  <si>
    <t>2019-05-21 16:00:00</t>
  </si>
  <si>
    <t>2019-05-23 14:59:59</t>
  </si>
  <si>
    <t>2019-05-23 15:30:00</t>
  </si>
  <si>
    <t>2019-05-28 14:59:59</t>
  </si>
  <si>
    <t>2019-05-28 16:00:00</t>
  </si>
  <si>
    <t>2019-05-30 14:59:59</t>
  </si>
  <si>
    <t>2019-05-30 15:30:00</t>
  </si>
  <si>
    <t>2019-06-04 14:59:59</t>
  </si>
  <si>
    <t>2019-06-04 16:00:00</t>
  </si>
  <si>
    <t>2019-06-06 14:59:59</t>
  </si>
  <si>
    <t>2019-06-06 15:30:00</t>
  </si>
  <si>
    <t>2019-06-11 14:59:59</t>
  </si>
  <si>
    <t>2019-06-11 16:00:00</t>
  </si>
  <si>
    <t>2019-06-13 14:59:59</t>
  </si>
  <si>
    <t>2019-06-13 15:30:00</t>
  </si>
  <si>
    <t>2019-06-18 14:59:59</t>
  </si>
  <si>
    <t>2019-06-18 16:00:00</t>
  </si>
  <si>
    <t>2019-06-20 14:59:59</t>
  </si>
  <si>
    <t>2019-06-20 15:30:00</t>
  </si>
  <si>
    <t>2019-06-25 14:59:59</t>
  </si>
  <si>
    <t>2019-06-25 16:00:00</t>
  </si>
  <si>
    <t>2019-06-27 14:59:59</t>
  </si>
  <si>
    <t>2019-06-27 15:30:00</t>
  </si>
  <si>
    <t>2019-07-02 14:59:59</t>
  </si>
  <si>
    <t>2019-07-02 16:00:00</t>
  </si>
  <si>
    <t>2019-07-04 14:59:59</t>
  </si>
  <si>
    <t>2019-07-04 15:30:00</t>
  </si>
  <si>
    <t>2019-07-09 14:59:59</t>
  </si>
  <si>
    <t>2019-07-09 16:00:00</t>
  </si>
  <si>
    <t>2019-07-11 14:59:59</t>
  </si>
  <si>
    <t>2019-07-11 15:30:00</t>
  </si>
  <si>
    <t>2019-07-16 14:59:59</t>
  </si>
  <si>
    <t>2019-07-16 16:00:00</t>
  </si>
  <si>
    <t>2019-07-18 14:59:59</t>
  </si>
  <si>
    <t>2019-07-18 15:30:00</t>
  </si>
  <si>
    <t>2019-07-23 14:59:59</t>
  </si>
  <si>
    <t>2019-07-23 16:00:00</t>
  </si>
  <si>
    <t>2019-07-25 14:59:59</t>
  </si>
  <si>
    <t>2019-07-25 15:30:00</t>
  </si>
  <si>
    <t>2019-07-30 14:59:59</t>
  </si>
  <si>
    <t>▼ 계산용 수치 복사하지 마세요</t>
    <phoneticPr fontId="4" type="noConversion"/>
  </si>
  <si>
    <t>▼ 아래 값을 복사하세요</t>
    <phoneticPr fontId="4" type="noConversion"/>
  </si>
  <si>
    <t>◀ 한국 시간으로 입력</t>
    <phoneticPr fontId="4" type="noConversion"/>
  </si>
  <si>
    <t>정산 시간 보정</t>
    <phoneticPr fontId="4" type="noConversion"/>
  </si>
  <si>
    <t>7</t>
    <phoneticPr fontId="4" type="noConversion"/>
  </si>
  <si>
    <t>2019-08-13 16:00:00</t>
  </si>
  <si>
    <t>2019-08-15 14:59:59</t>
  </si>
  <si>
    <t>2019-08-15 15:30:00</t>
  </si>
  <si>
    <t>2019-08-20 14:59:59</t>
  </si>
  <si>
    <t>2019-08-20 16:00:00</t>
  </si>
  <si>
    <t>2019-08-22 14:59:59</t>
  </si>
  <si>
    <t>2019-08-22 15:30:00</t>
  </si>
  <si>
    <t>2019-08-27 14:59:59</t>
  </si>
  <si>
    <t>2019-08-27 16:00:00</t>
  </si>
  <si>
    <t>2019-08-29 14:59:59</t>
  </si>
  <si>
    <t>2019-08-29 15:30:00</t>
  </si>
  <si>
    <t>2019-09-03 14:59:59</t>
  </si>
  <si>
    <t>2019-09-03 16:00:00</t>
  </si>
  <si>
    <t>2019-09-05 14:59:59</t>
  </si>
  <si>
    <t>2019-09-05 15:30:00</t>
  </si>
  <si>
    <t>2019-09-10 14:59:59</t>
  </si>
  <si>
    <t>2019-09-10 16:00:00</t>
  </si>
  <si>
    <t>2019-09-12 14:59:59</t>
  </si>
  <si>
    <t>2019-09-12 15:30:00</t>
  </si>
  <si>
    <t>2019-09-17 14:59:59</t>
  </si>
  <si>
    <t>2019-09-17 16:00:00</t>
  </si>
  <si>
    <t>2019-09-19 14:59:59</t>
  </si>
  <si>
    <t>2019-09-19 15:30:00</t>
  </si>
  <si>
    <t>2019-09-24 14:59:59</t>
  </si>
  <si>
    <t>2019-09-24 16:00:00</t>
  </si>
  <si>
    <t>2019-09-26 14:59:59</t>
  </si>
  <si>
    <t>2019-09-26 15:30:00</t>
  </si>
  <si>
    <t>2019-10-01 14:59:59</t>
  </si>
  <si>
    <t>2019-10-01 16:00:00</t>
  </si>
  <si>
    <t>2019-10-03 14:59:59</t>
  </si>
  <si>
    <t>2019-10-03 15:30:00</t>
  </si>
  <si>
    <t>2019-10-08 14:59:59</t>
  </si>
  <si>
    <t>2019-10-08 16:00:00</t>
  </si>
  <si>
    <t>2019-10-10 14:59:59</t>
  </si>
  <si>
    <t>2019-10-10 15:30:00</t>
  </si>
  <si>
    <t>2019-10-15 14:59:59</t>
  </si>
  <si>
    <t>2019-10-15 16:00:00</t>
  </si>
  <si>
    <t>2019-10-17 14:59:59</t>
  </si>
  <si>
    <t>2019-10-17 15:30:00</t>
  </si>
  <si>
    <t>2019-10-22 14:59:59</t>
  </si>
  <si>
    <t>2019-10-22 16:00:00</t>
  </si>
  <si>
    <t>2019-10-24 14:59:59</t>
  </si>
  <si>
    <t>2019-10-24 15:30:00</t>
  </si>
  <si>
    <t>2019-10-29 14:59:59</t>
  </si>
  <si>
    <t>2019-10-29 16:00:00</t>
  </si>
  <si>
    <t>2019-10-31 14:59:59</t>
  </si>
  <si>
    <t>2019-10-31 15:30:00</t>
  </si>
  <si>
    <t>2019-11-05 14:59:59</t>
  </si>
  <si>
    <t>8</t>
    <phoneticPr fontId="4" type="noConversion"/>
  </si>
  <si>
    <t>2019-11-19 16:00:00</t>
  </si>
  <si>
    <t>2019-11-21 14:59:59</t>
  </si>
  <si>
    <t>2019-11-21 15:30:00</t>
  </si>
  <si>
    <t>2019-11-26 14:59:59</t>
  </si>
  <si>
    <t>2019-11-26 16:00:00</t>
  </si>
  <si>
    <t>2019-11-28 14:59:59</t>
  </si>
  <si>
    <t>2019-11-28 15:30:00</t>
  </si>
  <si>
    <t>2019-12-03 14:59:59</t>
  </si>
  <si>
    <t>2019-12-03 16:00:00</t>
  </si>
  <si>
    <t>2019-12-05 14:59:59</t>
  </si>
  <si>
    <t>2019-12-05 15:30:00</t>
  </si>
  <si>
    <t>2019-12-10 14:59:59</t>
  </si>
  <si>
    <t>2019-12-10 16:00:00</t>
  </si>
  <si>
    <t>2019-12-12 14:59:59</t>
  </si>
  <si>
    <t>2019-12-12 15:30:00</t>
  </si>
  <si>
    <t>2019-12-17 14:59:59</t>
  </si>
  <si>
    <t>2019-12-17 16:00:00</t>
  </si>
  <si>
    <t>2019-12-19 14:59:59</t>
  </si>
  <si>
    <t>2019-12-19 15:30:00</t>
  </si>
  <si>
    <t>2019-12-24 14:59:59</t>
  </si>
  <si>
    <t>2019-12-24 16:00:00</t>
  </si>
  <si>
    <t>2019-12-26 14:59:59</t>
  </si>
  <si>
    <t>2019-12-26 15:30:00</t>
  </si>
  <si>
    <t>2019-12-31 14:59:59</t>
  </si>
  <si>
    <t>2019-12-31 16:00:00</t>
  </si>
  <si>
    <t>2020-01-02 14:59:59</t>
  </si>
  <si>
    <t>2020-01-02 15:30:00</t>
  </si>
  <si>
    <t>2020-01-07 14:59:59</t>
  </si>
  <si>
    <t>2020-01-07 16:00:00</t>
  </si>
  <si>
    <t>2020-01-09 14:59:59</t>
  </si>
  <si>
    <t>2020-01-09 15:30:00</t>
  </si>
  <si>
    <t>2020-01-14 14:59:59</t>
  </si>
  <si>
    <t>2020-01-14 16:00:00</t>
  </si>
  <si>
    <t>2020-01-16 14:59:59</t>
  </si>
  <si>
    <t>2020-01-16 15:30:00</t>
  </si>
  <si>
    <t>2020-01-21 14:59:59</t>
  </si>
  <si>
    <t>2020-01-21 16:00:00</t>
  </si>
  <si>
    <t>2020-01-23 14:59:59</t>
  </si>
  <si>
    <t>2020-01-23 15:30:00</t>
  </si>
  <si>
    <t>2020-01-28 14:59:59</t>
  </si>
  <si>
    <t>2020-01-28 16:00:00</t>
  </si>
  <si>
    <t>2020-01-30 14:59:59</t>
  </si>
  <si>
    <t>2020-01-30 15:30:00</t>
  </si>
  <si>
    <t>2020-02-04 14:59:59</t>
  </si>
  <si>
    <t>2020-02-04 16:00:00</t>
  </si>
  <si>
    <t>2020-02-06 14:59:59</t>
  </si>
  <si>
    <t>2020-02-06 15:30:00</t>
  </si>
  <si>
    <t>2020-02-11 14:59:59</t>
  </si>
  <si>
    <t>37,38,39</t>
    <phoneticPr fontId="4" type="noConversion"/>
  </si>
  <si>
    <t>40,41,42</t>
    <phoneticPr fontId="4" type="noConversion"/>
  </si>
  <si>
    <t>43,44,45</t>
    <phoneticPr fontId="4" type="noConversion"/>
  </si>
  <si>
    <t>46,47,48</t>
    <phoneticPr fontId="4" type="noConversion"/>
  </si>
  <si>
    <t>49,50,51</t>
    <phoneticPr fontId="4" type="noConversion"/>
  </si>
  <si>
    <t>52,53,54</t>
    <phoneticPr fontId="4" type="noConversion"/>
  </si>
  <si>
    <t>55,56,57</t>
    <phoneticPr fontId="4" type="noConversion"/>
  </si>
  <si>
    <t>58,59,60</t>
    <phoneticPr fontId="4" type="noConversion"/>
  </si>
  <si>
    <t>61,62,63</t>
    <phoneticPr fontId="4" type="noConversion"/>
  </si>
  <si>
    <t>64,65,66</t>
    <phoneticPr fontId="4" type="noConversion"/>
  </si>
  <si>
    <t>67,68,69</t>
    <phoneticPr fontId="4" type="noConversion"/>
  </si>
  <si>
    <t>70,71,72</t>
    <phoneticPr fontId="4" type="noConversion"/>
  </si>
  <si>
    <t>9</t>
    <phoneticPr fontId="4" type="noConversion"/>
  </si>
  <si>
    <t>2020-03-02 16:00:00</t>
  </si>
  <si>
    <t>2020-03-04 14:59:59</t>
  </si>
  <si>
    <t>2020-03-04 15:30:00</t>
  </si>
  <si>
    <t>2020-03-09 14:59:59</t>
  </si>
  <si>
    <t>2020-03-09 16:00:00</t>
  </si>
  <si>
    <t>2020-03-11 14:59:59</t>
  </si>
  <si>
    <t>2020-03-11 15:30:00</t>
  </si>
  <si>
    <t>2020-03-16 14:59:59</t>
  </si>
  <si>
    <t>2020-03-16 16:00:00</t>
  </si>
  <si>
    <t>2020-03-18 14:59:59</t>
  </si>
  <si>
    <t>2020-03-18 15:30:00</t>
  </si>
  <si>
    <t>2020-03-23 14:59:59</t>
  </si>
  <si>
    <t>2020-03-23 16:00:00</t>
  </si>
  <si>
    <t>2020-03-25 14:59:59</t>
  </si>
  <si>
    <t>2020-03-25 15:30:00</t>
  </si>
  <si>
    <t>2020-03-30 14:59:59</t>
  </si>
  <si>
    <t>2020-03-30 16:00:00</t>
  </si>
  <si>
    <t>2020-04-01 14:59:59</t>
  </si>
  <si>
    <t>2020-04-01 15:30:00</t>
  </si>
  <si>
    <t>2020-04-06 14:59:59</t>
  </si>
  <si>
    <t>2020-04-06 16:00:00</t>
  </si>
  <si>
    <t>2020-04-08 14:59:59</t>
  </si>
  <si>
    <t>2020-04-08 15:30:00</t>
  </si>
  <si>
    <t>2020-04-13 14:59:59</t>
  </si>
  <si>
    <t>2020-04-13 16:00:00</t>
  </si>
  <si>
    <t>2020-04-15 14:59:59</t>
  </si>
  <si>
    <t>2020-04-15 15:30:00</t>
  </si>
  <si>
    <t>2020-04-20 14:59:59</t>
  </si>
  <si>
    <t>2020-04-20 16:00:00</t>
  </si>
  <si>
    <t>2020-04-22 14:59:59</t>
  </si>
  <si>
    <t>2020-04-22 15:30:00</t>
  </si>
  <si>
    <t>2020-04-27 14:59:59</t>
  </si>
  <si>
    <t>2020-04-27 16:00:00</t>
  </si>
  <si>
    <t>2020-04-29 14:59:59</t>
  </si>
  <si>
    <t>2020-04-29 15:30:00</t>
  </si>
  <si>
    <t>2020-05-04 14:59:59</t>
  </si>
  <si>
    <t>2020-05-04 16:00:00</t>
  </si>
  <si>
    <t>2020-05-06 14:59:59</t>
  </si>
  <si>
    <t>2020-05-06 15:30:00</t>
  </si>
  <si>
    <t>2020-05-11 14:59:59</t>
  </si>
  <si>
    <t>2020-05-11 16:00:00</t>
  </si>
  <si>
    <t>2020-05-13 14:59:59</t>
  </si>
  <si>
    <t>2020-05-13 15:30:00</t>
  </si>
  <si>
    <t>2020-05-18 14:59:59</t>
  </si>
  <si>
    <t>2020-05-18 16:00:00</t>
  </si>
  <si>
    <t>2020-05-20 14:59:59</t>
  </si>
  <si>
    <t>2020-05-20 15:30:00</t>
  </si>
  <si>
    <t>2020-05-25 14:59:59</t>
  </si>
  <si>
    <t>Int</t>
    <phoneticPr fontId="4" type="noConversion"/>
  </si>
  <si>
    <t>String</t>
    <phoneticPr fontId="4" type="noConversion"/>
  </si>
  <si>
    <t>10</t>
    <phoneticPr fontId="4" type="noConversion"/>
  </si>
  <si>
    <t>49,50,51</t>
  </si>
  <si>
    <t>52,53,54</t>
  </si>
  <si>
    <t>55,56,57</t>
  </si>
  <si>
    <t>58,59,60</t>
  </si>
  <si>
    <t>61,62,63</t>
  </si>
  <si>
    <t>64,65,66</t>
  </si>
  <si>
    <t>67,68,69</t>
  </si>
  <si>
    <t>70,71,72</t>
  </si>
  <si>
    <t>2020-06-08 16:00:00</t>
  </si>
  <si>
    <t>2020-06-10 14:59:59</t>
  </si>
  <si>
    <t>2020-06-10 15:30:00</t>
  </si>
  <si>
    <t>2020-06-15 14:59:59</t>
  </si>
  <si>
    <t>2020-06-15 16:00:00</t>
  </si>
  <si>
    <t>2020-06-17 14:59:59</t>
  </si>
  <si>
    <t>2020-06-17 15:30:00</t>
  </si>
  <si>
    <t>2020-06-22 14:59:59</t>
  </si>
  <si>
    <t>2020-06-22 16:00:00</t>
  </si>
  <si>
    <t>2020-06-24 14:59:59</t>
  </si>
  <si>
    <t>2020-06-24 15:30:00</t>
  </si>
  <si>
    <t>2020-06-29 14:59:59</t>
  </si>
  <si>
    <t>2020-06-29 16:00:00</t>
  </si>
  <si>
    <t>2020-07-01 14:59:59</t>
  </si>
  <si>
    <t>2020-07-01 15:30:00</t>
  </si>
  <si>
    <t>2020-07-06 14:59:59</t>
  </si>
  <si>
    <t>2020-07-06 16:00:00</t>
  </si>
  <si>
    <t>2020-07-08 14:59:59</t>
  </si>
  <si>
    <t>2020-07-08 15:30:00</t>
  </si>
  <si>
    <t>2020-07-13 14:59:59</t>
  </si>
  <si>
    <t>2020-07-13 16:00:00</t>
  </si>
  <si>
    <t>2020-07-15 14:59:59</t>
  </si>
  <si>
    <t>2020-07-15 15:30:00</t>
  </si>
  <si>
    <t>2020-07-20 14:59:59</t>
  </si>
  <si>
    <t>2020-07-20 16:00:00</t>
  </si>
  <si>
    <t>2020-07-22 14:59:59</t>
  </si>
  <si>
    <t>2020-07-22 15:30:00</t>
  </si>
  <si>
    <t>2020-07-27 14:59:59</t>
  </si>
  <si>
    <t>2020-07-27 16:00:00</t>
  </si>
  <si>
    <t>2020-07-29 14:59:59</t>
  </si>
  <si>
    <t>2020-07-29 15:30:00</t>
  </si>
  <si>
    <t>2020-08-03 14:59:59</t>
  </si>
  <si>
    <t>2020-08-03 16:00:00</t>
  </si>
  <si>
    <t>2020-08-05 14:59:59</t>
  </si>
  <si>
    <t>2020-08-05 15:30:00</t>
  </si>
  <si>
    <t>2020-08-10 14:59:59</t>
  </si>
  <si>
    <t>2020-08-10 16:00:00</t>
  </si>
  <si>
    <t>2020-08-12 14:59:59</t>
  </si>
  <si>
    <t>2020-08-12 15:30:00</t>
  </si>
  <si>
    <t>2020-08-17 14:59:59</t>
  </si>
  <si>
    <t>2020-08-17 16:00:00</t>
  </si>
  <si>
    <t>2020-08-19 14:59:59</t>
  </si>
  <si>
    <t>2020-08-19 15:30:00</t>
  </si>
  <si>
    <t>2020-08-24 14:59:59</t>
  </si>
  <si>
    <t>2020-08-24 16:00:00</t>
  </si>
  <si>
    <t>2020-08-26 14:59:59</t>
  </si>
  <si>
    <t>2020-08-26 15:30:00</t>
  </si>
  <si>
    <t>2020-08-31 14:59:59</t>
  </si>
  <si>
    <t>ViewSession</t>
    <phoneticPr fontId="4" type="noConversion"/>
  </si>
  <si>
    <t>1</t>
    <phoneticPr fontId="4" type="noConversion"/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</si>
  <si>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</si>
  <si>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</si>
  <si>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</si>
  <si>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</si>
  <si>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</si>
  <si>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</si>
  <si>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</si>
  <si>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</si>
  <si>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</si>
  <si>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</si>
  <si>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</si>
  <si>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PortalViewSession</t>
    <phoneticPr fontId="4" type="noConversion"/>
  </si>
  <si>
    <t>12</t>
    <phoneticPr fontId="4" type="noConversion"/>
  </si>
  <si>
    <t>11</t>
    <phoneticPr fontId="4" type="noConversion"/>
  </si>
  <si>
    <t>2020-09-14 16:00:00</t>
  </si>
  <si>
    <t>2020-09-16 14:59:59</t>
  </si>
  <si>
    <t>2020-09-16 15:30:00</t>
  </si>
  <si>
    <t>2020-09-21 14:59:59</t>
  </si>
  <si>
    <t>2020-09-21 16:00:00</t>
  </si>
  <si>
    <t>2020-09-23 14:59:59</t>
  </si>
  <si>
    <t>2020-09-23 15:30:00</t>
  </si>
  <si>
    <t>2020-09-28 14:59:59</t>
  </si>
  <si>
    <t>2020-09-28 16:00:00</t>
  </si>
  <si>
    <t>2020-09-30 14:59:59</t>
  </si>
  <si>
    <t>2020-09-30 15:30:00</t>
  </si>
  <si>
    <t>2020-10-05 14:59:59</t>
  </si>
  <si>
    <t>2020-10-05 16:00:00</t>
  </si>
  <si>
    <t>2020-10-07 14:59:59</t>
  </si>
  <si>
    <t>2020-10-07 15:30:00</t>
  </si>
  <si>
    <t>2020-10-12 14:59:59</t>
  </si>
  <si>
    <t>2020-10-12 16:00:00</t>
  </si>
  <si>
    <t>2020-10-14 14:59:59</t>
  </si>
  <si>
    <t>2020-10-14 15:30:00</t>
  </si>
  <si>
    <t>2020-10-19 14:59:59</t>
  </si>
  <si>
    <t>2020-10-19 16:00:00</t>
  </si>
  <si>
    <t>2020-10-21 14:59:59</t>
  </si>
  <si>
    <t>2020-10-21 15:30:00</t>
  </si>
  <si>
    <t>2020-10-26 14:59:59</t>
  </si>
  <si>
    <t>2020-10-26 16:00:00</t>
  </si>
  <si>
    <t>2020-10-28 14:59:59</t>
  </si>
  <si>
    <t>2020-10-28 15:30:00</t>
  </si>
  <si>
    <t>2020-11-02 14:59:59</t>
  </si>
  <si>
    <t>2020-11-02 16:00:00</t>
  </si>
  <si>
    <t>2020-11-04 14:59:59</t>
  </si>
  <si>
    <t>2020-11-04 15:30:00</t>
  </si>
  <si>
    <t>2020-11-09 14:59:59</t>
  </si>
  <si>
    <t>2020-11-09 16:00:00</t>
  </si>
  <si>
    <t>2020-11-11 14:59:59</t>
  </si>
  <si>
    <t>2020-11-11 15:30:00</t>
  </si>
  <si>
    <t>2020-11-16 14:59:59</t>
  </si>
  <si>
    <t>2020-11-16 16:00:00</t>
  </si>
  <si>
    <t>2020-11-18 14:59:59</t>
  </si>
  <si>
    <t>2020-11-18 15:30:00</t>
  </si>
  <si>
    <t>2020-11-23 14:59:59</t>
  </si>
  <si>
    <t>2020-11-23 16:00:00</t>
  </si>
  <si>
    <t>2020-11-25 14:59:59</t>
  </si>
  <si>
    <t>2020-11-25 15:30:00</t>
  </si>
  <si>
    <t>2020-11-30 14:59:59</t>
  </si>
  <si>
    <t>2020-11-30 16:00:00</t>
  </si>
  <si>
    <t>2020-12-02 14:59:59</t>
  </si>
  <si>
    <t>2020-12-02 15:30:00</t>
  </si>
  <si>
    <t>2020-12-07 14:59:59</t>
  </si>
  <si>
    <t>2020</t>
    <phoneticPr fontId="4" type="noConversion"/>
  </si>
  <si>
    <t>22</t>
    <phoneticPr fontId="4" type="noConversion"/>
  </si>
  <si>
    <t>2020-12-21 16:00:00</t>
  </si>
  <si>
    <t>2020-12-23 14:59:59</t>
  </si>
  <si>
    <t>2020-12-23 15:30:00</t>
  </si>
  <si>
    <t>2020-12-28 14:59:59</t>
  </si>
  <si>
    <t>2020-12-28 16:00:00</t>
  </si>
  <si>
    <t>2020-12-30 14:59:59</t>
  </si>
  <si>
    <t>2020-12-30 15:30:00</t>
  </si>
  <si>
    <t>2021-01-04 14:59:59</t>
  </si>
  <si>
    <t>2021-01-04 16:00:00</t>
  </si>
  <si>
    <t>2021-01-06 14:59:59</t>
  </si>
  <si>
    <t>2021-01-06 15:30:00</t>
  </si>
  <si>
    <t>2021-01-11 14:59:59</t>
  </si>
  <si>
    <t>2021-01-11 16:00:00</t>
  </si>
  <si>
    <t>2021-01-13 14:59:59</t>
  </si>
  <si>
    <t>2021-01-13 15:30:00</t>
  </si>
  <si>
    <t>2021-01-18 14:59:59</t>
  </si>
  <si>
    <t>2021-01-18 16:00:00</t>
  </si>
  <si>
    <t>2021-01-20 14:59:59</t>
  </si>
  <si>
    <t>2021-01-20 15:30:00</t>
  </si>
  <si>
    <t>2021-01-25 14:59:59</t>
  </si>
  <si>
    <t>2021-01-25 16:00:00</t>
  </si>
  <si>
    <t>2021-01-27 14:59:59</t>
  </si>
  <si>
    <t>2021-01-27 15:30:00</t>
  </si>
  <si>
    <t>2021-02-01 14:59:59</t>
  </si>
  <si>
    <t>2021-02-01 16:00:00</t>
  </si>
  <si>
    <t>2021-02-03 14:59:59</t>
  </si>
  <si>
    <t>2021-02-03 15:30:00</t>
  </si>
  <si>
    <t>2021-02-08 14:59:59</t>
  </si>
  <si>
    <t>2021-02-08 16:00:00</t>
  </si>
  <si>
    <t>2021-02-10 14:59:59</t>
  </si>
  <si>
    <t>2021-02-10 15:30:00</t>
  </si>
  <si>
    <t>2021-02-15 14:59:59</t>
  </si>
  <si>
    <t>2021-02-15 16:00:00</t>
  </si>
  <si>
    <t>2021-02-17 14:59:59</t>
  </si>
  <si>
    <t>2021-02-17 15:30:00</t>
  </si>
  <si>
    <t>2021-02-22 14:59:59</t>
  </si>
  <si>
    <t>2021-02-22 16:00:00</t>
  </si>
  <si>
    <t>2021-02-24 14:59:59</t>
  </si>
  <si>
    <t>2021-02-24 15:30:00</t>
  </si>
  <si>
    <t>2021-03-01 14:59:59</t>
  </si>
  <si>
    <t>2021-03-01 16:00:00</t>
  </si>
  <si>
    <t>2021-03-03 14:59:59</t>
  </si>
  <si>
    <t>2021-03-03 15:30:00</t>
  </si>
  <si>
    <t>2021-03-08 14:59:59</t>
  </si>
  <si>
    <t>2021-03-08 16:00:00</t>
  </si>
  <si>
    <t>2021-03-10 14:59:59</t>
  </si>
  <si>
    <t>2021-03-10 15:30:00</t>
  </si>
  <si>
    <t>2021-03-15 14:59:59</t>
  </si>
  <si>
    <t>13</t>
    <phoneticPr fontId="4" type="noConversion"/>
  </si>
  <si>
    <t>2021-04-12 16:00:00</t>
  </si>
  <si>
    <t>2021-04-14 14:59:59</t>
  </si>
  <si>
    <t>2021-04-14 15:30:00</t>
  </si>
  <si>
    <t>2021-04-19 14:59:59</t>
  </si>
  <si>
    <t>2021-04-19 16:00:00</t>
  </si>
  <si>
    <t>2021-04-21 14:59:59</t>
  </si>
  <si>
    <t>2021-04-21 15:30:00</t>
  </si>
  <si>
    <t>2021-04-26 14:59:59</t>
  </si>
  <si>
    <t>2021-04-26 16:00:00</t>
  </si>
  <si>
    <t>2021-04-28 14:59:59</t>
  </si>
  <si>
    <t>2021-04-28 15:30:00</t>
  </si>
  <si>
    <t>2021-05-03 14:59:59</t>
  </si>
  <si>
    <t>2021-05-03 16:00:00</t>
  </si>
  <si>
    <t>2021-05-05 14:59:59</t>
  </si>
  <si>
    <t>2021-05-05 15:30:00</t>
  </si>
  <si>
    <t>2021-05-10 14:59:59</t>
  </si>
  <si>
    <t>2021-05-10 16:00:00</t>
  </si>
  <si>
    <t>2021-05-12 14:59:59</t>
  </si>
  <si>
    <t>2021-05-12 15:30:00</t>
  </si>
  <si>
    <t>2021-05-17 14:59:59</t>
  </si>
  <si>
    <t>2021-05-17 16:00:00</t>
  </si>
  <si>
    <t>2021-05-19 14:59:59</t>
  </si>
  <si>
    <t>2021-05-19 15:30:00</t>
  </si>
  <si>
    <t>2021-05-24 14:59:59</t>
  </si>
  <si>
    <t>2021-05-24 16:00:00</t>
  </si>
  <si>
    <t>2021-05-26 14:59:59</t>
  </si>
  <si>
    <t>2021-05-26 15:30:00</t>
  </si>
  <si>
    <t>2021-05-31 14:59:59</t>
  </si>
  <si>
    <t>2021-05-31 16:00:00</t>
  </si>
  <si>
    <t>2021-06-02 14:59:59</t>
  </si>
  <si>
    <t>2021-06-02 15:30:00</t>
  </si>
  <si>
    <t>2021-06-07 14:59:59</t>
  </si>
  <si>
    <t>2021-06-07 16:00:00</t>
  </si>
  <si>
    <t>2021-06-09 14:59:59</t>
  </si>
  <si>
    <t>2021-06-09 15:30:00</t>
  </si>
  <si>
    <t>2021-06-14 14:59:59</t>
  </si>
  <si>
    <t>2021-06-14 16:00:00</t>
  </si>
  <si>
    <t>2021-06-16 14:59:59</t>
  </si>
  <si>
    <t>2021-06-16 15:30:00</t>
  </si>
  <si>
    <t>2021-06-21 14:59:59</t>
  </si>
  <si>
    <t>2021-06-21 16:00:00</t>
  </si>
  <si>
    <t>2021-06-23 14:59:59</t>
  </si>
  <si>
    <t>2021-06-23 15:30:00</t>
  </si>
  <si>
    <t>2021-06-28 14:59:59</t>
  </si>
  <si>
    <t>2021-06-28 16:00:00</t>
  </si>
  <si>
    <t>2021-06-30 14:59:59</t>
  </si>
  <si>
    <t>2021-06-30 15:30:00</t>
  </si>
  <si>
    <t>2021-07-05 14:59:59</t>
  </si>
  <si>
    <t>14</t>
    <phoneticPr fontId="4" type="noConversion"/>
  </si>
  <si>
    <t>2021-07-19 16:00:00</t>
  </si>
  <si>
    <t>2021-07-21 14:59:59</t>
  </si>
  <si>
    <t>2021-07-21 15:30:00</t>
  </si>
  <si>
    <t>2021-07-26 14:59:59</t>
  </si>
  <si>
    <t>2021-07-26 16:00:00</t>
  </si>
  <si>
    <t>2021-07-28 14:59:59</t>
  </si>
  <si>
    <t>2021-07-28 15:30:00</t>
  </si>
  <si>
    <t>2021-08-02 14:59:59</t>
  </si>
  <si>
    <t>2021-08-02 16:00:00</t>
  </si>
  <si>
    <t>2021-08-04 14:59:59</t>
  </si>
  <si>
    <t>2021-08-04 15:30:00</t>
  </si>
  <si>
    <t>2021-08-09 14:59:59</t>
  </si>
  <si>
    <t>2021-08-09 16:00:00</t>
  </si>
  <si>
    <t>2021-08-11 14:59:59</t>
  </si>
  <si>
    <t>2021-08-11 15:30:00</t>
  </si>
  <si>
    <t>2021-08-16 14:59:59</t>
  </si>
  <si>
    <t>2021-08-16 16:00:00</t>
  </si>
  <si>
    <t>2021-08-18 14:59:59</t>
  </si>
  <si>
    <t>2021-08-18 15:30:00</t>
  </si>
  <si>
    <t>2021-08-23 14:59:59</t>
  </si>
  <si>
    <t>2021-08-23 16:00:00</t>
  </si>
  <si>
    <t>2021-08-25 14:59:59</t>
  </si>
  <si>
    <t>2021-08-25 15:30:00</t>
  </si>
  <si>
    <t>2021-08-30 14:59:59</t>
  </si>
  <si>
    <t>2021-08-30 16:00:00</t>
  </si>
  <si>
    <t>2021-09-01 14:59:59</t>
  </si>
  <si>
    <t>2021-09-01 15:30:00</t>
  </si>
  <si>
    <t>2021-09-06 14:59:59</t>
  </si>
  <si>
    <t>2021-09-06 16:00:00</t>
  </si>
  <si>
    <t>2021-09-08 14:59:59</t>
  </si>
  <si>
    <t>2021-09-08 15:30:00</t>
  </si>
  <si>
    <t>2021-09-13 14:59:59</t>
  </si>
  <si>
    <t>2021-09-13 16:00:00</t>
  </si>
  <si>
    <t>2021-09-15 14:59:59</t>
  </si>
  <si>
    <t>2021-09-15 15:30:00</t>
  </si>
  <si>
    <t>2021-09-20 14:59:59</t>
  </si>
  <si>
    <t>2021-09-20 16:00:00</t>
  </si>
  <si>
    <t>2021-09-22 14:59:59</t>
  </si>
  <si>
    <t>2021-09-22 15:30:00</t>
  </si>
  <si>
    <t>2021-09-27 14:59:59</t>
  </si>
  <si>
    <t>2021-09-27 16:00:00</t>
  </si>
  <si>
    <t>2021-09-29 14:59:59</t>
  </si>
  <si>
    <t>2021-09-29 15:30:00</t>
  </si>
  <si>
    <t>2021-10-04 14:59:59</t>
  </si>
  <si>
    <t>2021-10-04 16:00:00</t>
  </si>
  <si>
    <t>2021-10-06 14:59:59</t>
  </si>
  <si>
    <t>2021-10-06 15:30:00</t>
  </si>
  <si>
    <t>2021-10-11 14:59:59</t>
  </si>
  <si>
    <t>15</t>
    <phoneticPr fontId="4" type="noConversion"/>
  </si>
  <si>
    <t>2021-10-25 16:00:00</t>
  </si>
  <si>
    <t>2021-10-27 14:59:59</t>
  </si>
  <si>
    <t>2021-10-27 15:30:00</t>
  </si>
  <si>
    <t>2021-11-01 14:59:59</t>
  </si>
  <si>
    <t>2021-11-01 16:00:00</t>
  </si>
  <si>
    <t>2021-11-03 14:59:59</t>
  </si>
  <si>
    <t>2021-11-03 15:30:00</t>
  </si>
  <si>
    <t>2021-11-08 14:59:59</t>
  </si>
  <si>
    <t>2021-11-08 16:00:00</t>
  </si>
  <si>
    <t>2021-11-10 14:59:59</t>
  </si>
  <si>
    <t>2021-11-10 15:30:00</t>
  </si>
  <si>
    <t>2021-11-15 14:59:59</t>
  </si>
  <si>
    <t>2021-11-15 16:00:00</t>
  </si>
  <si>
    <t>2021-11-17 14:59:59</t>
  </si>
  <si>
    <t>2021-11-17 15:30:00</t>
  </si>
  <si>
    <t>2021-11-22 14:59:59</t>
  </si>
  <si>
    <t>2021-11-22 16:00:00</t>
  </si>
  <si>
    <t>2021-11-24 14:59:59</t>
  </si>
  <si>
    <t>2021-11-24 15:30:00</t>
  </si>
  <si>
    <t>2021-11-29 14:59:59</t>
  </si>
  <si>
    <t>2021-11-29 16:00:00</t>
  </si>
  <si>
    <t>2021-12-01 14:59:59</t>
  </si>
  <si>
    <t>2021-12-01 15:30:00</t>
  </si>
  <si>
    <t>2021-12-06 14:59:59</t>
  </si>
  <si>
    <t>2021-12-06 16:00:00</t>
  </si>
  <si>
    <t>2021-12-08 14:59:59</t>
  </si>
  <si>
    <t>2021-12-08 15:30:00</t>
  </si>
  <si>
    <t>2021-12-13 14:59:59</t>
  </si>
  <si>
    <t>2021-12-13 16:00:00</t>
  </si>
  <si>
    <t>2021-12-15 14:59:59</t>
  </si>
  <si>
    <t>2021-12-15 15:30:00</t>
  </si>
  <si>
    <t>2021-12-20 14:59:59</t>
  </si>
  <si>
    <t>2021-12-20 16:00:00</t>
  </si>
  <si>
    <t>2021-12-22 14:59:59</t>
  </si>
  <si>
    <t>2021-12-22 15:30:00</t>
  </si>
  <si>
    <t>2021-12-27 14:59:59</t>
  </si>
  <si>
    <t>2021-12-27 16:00:00</t>
  </si>
  <si>
    <t>2021-12-29 14:59:59</t>
  </si>
  <si>
    <t>2021-12-29 15:30:00</t>
  </si>
  <si>
    <t>2022-01-03 14:59:59</t>
  </si>
  <si>
    <t>2022-01-03 16:00:00</t>
  </si>
  <si>
    <t>2022-01-05 14:59:59</t>
  </si>
  <si>
    <t>2022-01-05 15:30:00</t>
  </si>
  <si>
    <t>2022-01-10 14:59:59</t>
  </si>
  <si>
    <t>2022-01-10 16:00:00</t>
  </si>
  <si>
    <t>2022-01-12 14:59:59</t>
  </si>
  <si>
    <t>2022-01-12 15:30:00</t>
  </si>
  <si>
    <t>2022-01-17 14:59:59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</si>
</sst>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hh:mm:ss"/>
    <numFmt numFmtId="177" formatCode="yyyy&quot;-&quot;mm&quot;-&quot;dd\ hh:mm:ss;@"/>
    <numFmt numFmtId="178" formatCode="yyyy&quot;-&quot;mm&quot;-&quot;dd"/>
  </numFmts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scheme val="minor"/>
    </font>
    <font>
      <sz val="10"/>
      <color rgb="FFFF0000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FF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10">
    <xf numFmtId="0" fontId="0" fillId="0" borderId="0" xfId="0"/>
    <xf numFmtId="49" fontId="5" fillId="2" borderId="0" xfId="0" applyNumberFormat="1" applyFont="1" applyFill="1" applyBorder="1" applyAlignment="1">
      <alignment horizontal="center"/>
    </xf>
    <xf numFmtId="49" fontId="5" fillId="2" borderId="0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6" fillId="3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Alignment="1">
      <alignment horizontal="center"/>
    </xf>
    <xf numFmtId="49" fontId="5" fillId="5" borderId="0" xfId="0" applyNumberFormat="1" applyFont="1" applyFill="1" applyBorder="1" applyAlignment="1">
      <alignment horizontal="left" vertical="center"/>
    </xf>
    <xf numFmtId="49" fontId="6" fillId="5" borderId="1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Alignment="1">
      <alignment horizontal="center"/>
    </xf>
    <xf numFmtId="49" fontId="6" fillId="6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Alignment="1">
      <alignment vertical="center"/>
    </xf>
    <xf numFmtId="49" fontId="8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49" fontId="7" fillId="0" borderId="0" xfId="0" applyNumberFormat="1" applyFont="1" applyAlignment="1">
      <alignment horizontal="center" vertical="center"/>
    </xf>
    <xf numFmtId="0" fontId="5" fillId="0" borderId="0" xfId="0" applyNumberFormat="1" applyFont="1" applyFill="1" applyAlignment="1">
      <alignment horizontal="center"/>
    </xf>
    <xf numFmtId="0" fontId="7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49" fontId="8" fillId="9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176" fontId="8" fillId="9" borderId="1" xfId="0" applyNumberFormat="1" applyFont="1" applyFill="1" applyBorder="1" applyAlignment="1">
      <alignment horizontal="center" vertical="center"/>
    </xf>
    <xf numFmtId="0" fontId="8" fillId="9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176" fontId="8" fillId="8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13" fillId="0" borderId="0" xfId="0" applyNumberFormat="1" applyFont="1" applyAlignment="1">
      <alignment vertical="center"/>
    </xf>
    <xf numFmtId="49" fontId="14" fillId="0" borderId="0" xfId="0" applyNumberFormat="1" applyFont="1" applyAlignment="1">
      <alignment vertical="center"/>
    </xf>
    <xf numFmtId="0" fontId="8" fillId="8" borderId="0" xfId="0" applyNumberFormat="1" applyFont="1" applyFill="1" applyAlignment="1">
      <alignment horizontal="center" vertical="center"/>
    </xf>
    <xf numFmtId="0" fontId="18" fillId="0" borderId="0" xfId="0" applyFont="1" applyAlignment="1">
      <alignment vertical="center"/>
    </xf>
    <xf numFmtId="0" fontId="6" fillId="0" borderId="0" xfId="0" applyFont="1"/>
    <xf numFmtId="0" fontId="19" fillId="0" borderId="0" xfId="0" applyFont="1" applyAlignment="1">
      <alignment vertical="center"/>
    </xf>
    <xf numFmtId="0" fontId="6" fillId="6" borderId="0" xfId="0" applyNumberFormat="1" applyFont="1" applyFill="1" applyAlignment="1">
      <alignment horizontal="center"/>
    </xf>
    <xf numFmtId="49" fontId="6" fillId="6" borderId="0" xfId="0" applyNumberFormat="1" applyFont="1" applyFill="1" applyAlignment="1">
      <alignment horizontal="center"/>
    </xf>
    <xf numFmtId="0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  <xf numFmtId="49" fontId="6" fillId="0" borderId="0" xfId="0" applyNumberFormat="1" applyFont="1"/>
    <xf numFmtId="49" fontId="5" fillId="0" borderId="0" xfId="0" applyNumberFormat="1" applyFont="1" applyFill="1" applyAlignment="1">
      <alignment horizontal="center" vertical="center"/>
    </xf>
    <xf numFmtId="0" fontId="5" fillId="7" borderId="0" xfId="0" applyNumberFormat="1" applyFont="1" applyFill="1" applyAlignment="1">
      <alignment horizontal="center"/>
    </xf>
    <xf numFmtId="49" fontId="5" fillId="7" borderId="0" xfId="0" applyNumberFormat="1" applyFont="1" applyFill="1" applyAlignment="1">
      <alignment horizontal="center"/>
    </xf>
    <xf numFmtId="49" fontId="6" fillId="7" borderId="0" xfId="0" applyNumberFormat="1" applyFont="1" applyFill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 vertical="center"/>
    </xf>
    <xf numFmtId="0" fontId="6" fillId="7" borderId="0" xfId="0" applyNumberFormat="1" applyFon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8" fillId="7" borderId="0" xfId="0" applyNumberFormat="1" applyFont="1" applyFill="1" applyAlignment="1">
      <alignment horizontal="center" vertical="center"/>
    </xf>
    <xf numFmtId="0" fontId="5" fillId="10" borderId="0" xfId="0" applyNumberFormat="1" applyFont="1" applyFill="1" applyAlignment="1">
      <alignment horizontal="center"/>
    </xf>
    <xf numFmtId="49" fontId="5" fillId="10" borderId="0" xfId="0" applyNumberFormat="1" applyFont="1" applyFill="1" applyAlignment="1">
      <alignment horizontal="center"/>
    </xf>
    <xf numFmtId="49" fontId="8" fillId="10" borderId="0" xfId="0" applyNumberFormat="1" applyFont="1" applyFill="1" applyAlignment="1">
      <alignment horizontal="center" vertical="center"/>
    </xf>
    <xf numFmtId="49" fontId="5" fillId="10" borderId="0" xfId="0" applyNumberFormat="1" applyFont="1" applyFill="1" applyAlignment="1">
      <alignment horizontal="center" vertical="center"/>
    </xf>
    <xf numFmtId="49" fontId="5" fillId="11" borderId="0" xfId="0" applyNumberFormat="1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11" borderId="0" xfId="0" applyNumberFormat="1" applyFont="1" applyFill="1" applyAlignment="1">
      <alignment horizontal="center"/>
    </xf>
    <xf numFmtId="49" fontId="5" fillId="11" borderId="0" xfId="0" applyNumberFormat="1" applyFont="1" applyFill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177" fontId="0" fillId="0" borderId="0" xfId="0" applyNumberFormat="1"/>
    <xf numFmtId="21" fontId="0" fillId="0" borderId="0" xfId="0" applyNumberFormat="1"/>
    <xf numFmtId="0" fontId="0" fillId="0" borderId="0" xfId="0" applyNumberFormat="1"/>
    <xf numFmtId="0" fontId="0" fillId="0" borderId="1" xfId="0" applyBorder="1" applyAlignment="1">
      <alignment horizontal="center"/>
    </xf>
    <xf numFmtId="21" fontId="0" fillId="0" borderId="1" xfId="0" applyNumberFormat="1" applyBorder="1"/>
    <xf numFmtId="178" fontId="0" fillId="6" borderId="1" xfId="0" applyNumberFormat="1" applyFill="1" applyBorder="1"/>
    <xf numFmtId="0" fontId="0" fillId="6" borderId="0" xfId="0" applyFill="1"/>
    <xf numFmtId="0" fontId="0" fillId="6" borderId="1" xfId="0" applyFill="1" applyBorder="1" applyAlignment="1">
      <alignment horizontal="center"/>
    </xf>
    <xf numFmtId="177" fontId="0" fillId="0" borderId="1" xfId="0" applyNumberFormat="1" applyBorder="1"/>
    <xf numFmtId="49" fontId="8" fillId="3" borderId="8" xfId="0" applyNumberFormat="1" applyFont="1" applyFill="1" applyBorder="1" applyAlignment="1">
      <alignment horizontal="center" vertical="center"/>
    </xf>
    <xf numFmtId="177" fontId="0" fillId="0" borderId="8" xfId="0" applyNumberFormat="1" applyBorder="1"/>
    <xf numFmtId="177" fontId="0" fillId="0" borderId="10" xfId="0" applyNumberFormat="1" applyBorder="1"/>
    <xf numFmtId="0" fontId="0" fillId="12" borderId="7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5" fillId="13" borderId="0" xfId="0" applyNumberFormat="1" applyFont="1" applyFill="1" applyAlignment="1">
      <alignment horizontal="center"/>
    </xf>
    <xf numFmtId="49" fontId="5" fillId="13" borderId="0" xfId="0" applyNumberFormat="1" applyFont="1" applyFill="1" applyAlignment="1">
      <alignment horizontal="center"/>
    </xf>
    <xf numFmtId="0" fontId="5" fillId="14" borderId="0" xfId="0" applyNumberFormat="1" applyFont="1" applyFill="1" applyAlignment="1">
      <alignment horizontal="center"/>
    </xf>
    <xf numFmtId="49" fontId="5" fillId="14" borderId="0" xfId="0" applyNumberFormat="1" applyFont="1" applyFill="1" applyAlignment="1">
      <alignment horizontal="center"/>
    </xf>
    <xf numFmtId="0" fontId="5" fillId="15" borderId="0" xfId="0" applyNumberFormat="1" applyFont="1" applyFill="1" applyAlignment="1">
      <alignment horizontal="center"/>
    </xf>
    <xf numFmtId="49" fontId="5" fillId="15" borderId="0" xfId="0" applyNumberFormat="1" applyFont="1" applyFill="1" applyAlignment="1">
      <alignment horizontal="center"/>
    </xf>
    <xf numFmtId="49" fontId="6" fillId="5" borderId="1" xfId="1" applyNumberFormat="1" applyFont="1" applyFill="1" applyBorder="1" applyAlignment="1">
      <alignment horizontal="center" vertical="center"/>
    </xf>
    <xf numFmtId="49" fontId="6" fillId="5" borderId="0" xfId="0" applyNumberFormat="1" applyFont="1" applyFill="1" applyAlignment="1">
      <alignment horizontal="center" vertical="center" textRotation="90"/>
    </xf>
    <xf numFmtId="0" fontId="5" fillId="16" borderId="0" xfId="0" applyNumberFormat="1" applyFont="1" applyFill="1" applyAlignment="1">
      <alignment horizontal="center"/>
    </xf>
    <xf numFmtId="49" fontId="5" fillId="16" borderId="0" xfId="0" applyNumberFormat="1" applyFont="1" applyFill="1" applyAlignment="1">
      <alignment horizontal="center"/>
    </xf>
    <xf numFmtId="49" fontId="5" fillId="5" borderId="0" xfId="0" applyNumberFormat="1" applyFont="1" applyFill="1" applyAlignment="1">
      <alignment horizontal="left" vertical="center"/>
    </xf>
    <xf numFmtId="49" fontId="6" fillId="5" borderId="0" xfId="1" applyNumberFormat="1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12" borderId="0" xfId="0" applyNumberFormat="1" applyFont="1" applyFill="1" applyAlignment="1">
      <alignment horizontal="center"/>
    </xf>
    <xf numFmtId="49" fontId="5" fillId="12" borderId="0" xfId="0" applyNumberFormat="1" applyFont="1" applyFill="1" applyAlignment="1">
      <alignment horizontal="center"/>
    </xf>
    <xf numFmtId="49" fontId="5" fillId="3" borderId="1" xfId="0" applyNumberFormat="1" applyFont="1" applyFill="1" applyBorder="1" applyAlignment="1">
      <alignment horizontal="center"/>
    </xf>
    <xf numFmtId="49" fontId="5" fillId="4" borderId="2" xfId="0" applyNumberFormat="1" applyFont="1" applyFill="1" applyBorder="1" applyAlignment="1">
      <alignment horizontal="center"/>
    </xf>
    <xf numFmtId="49" fontId="5" fillId="4" borderId="3" xfId="0" applyNumberFormat="1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49" fontId="8" fillId="4" borderId="3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49" fontId="8" fillId="3" borderId="5" xfId="0" applyNumberFormat="1" applyFont="1" applyFill="1" applyBorder="1" applyAlignment="1">
      <alignment horizontal="center" vertical="center"/>
    </xf>
    <xf numFmtId="49" fontId="8" fillId="3" borderId="6" xfId="0" applyNumberFormat="1" applyFont="1" applyFill="1" applyBorder="1" applyAlignment="1">
      <alignment horizontal="center" vertical="center"/>
    </xf>
    <xf numFmtId="49" fontId="8" fillId="4" borderId="5" xfId="0" applyNumberFormat="1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</cellXfs>
  <cellStyles count="2">
    <cellStyle name="표준" xfId="0" builtinId="0"/>
    <cellStyle name="표준 2 2" xfId="1" xr:uid="{B2608131-B1E2-4F3D-A176-022EF4C334FD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-0.249977111117893"/>
  </sheetPr>
  <dimension ref="A1:Y483"/>
  <sheetViews>
    <sheetView tabSelected="1" zoomScaleNormal="100" workbookViewId="0">
      <pane xSplit="1" ySplit="2" topLeftCell="B159" activePane="bottomRight" state="frozen"/>
      <selection pane="topRight" activeCell="C1" sqref="C1"/>
      <selection pane="bottomLeft" activeCell="A4" sqref="A4"/>
      <selection pane="bottomRight" activeCell="E181" sqref="E181"/>
    </sheetView>
  </sheetViews>
  <sheetFormatPr defaultRowHeight="14.1" customHeight="1" x14ac:dyDescent="0.2"/>
  <cols>
    <col min="1" max="3" width="14.875" style="4" customWidth="1"/>
    <col min="4" max="7" width="18.625" style="4" customWidth="1"/>
    <col min="8" max="9" width="12.625" style="4" customWidth="1"/>
    <col min="10" max="10" width="19.375" style="4" bestFit="1" customWidth="1"/>
    <col min="11" max="11" width="8.25" style="4" bestFit="1" customWidth="1"/>
    <col min="12" max="12" width="5.875" style="4" bestFit="1" customWidth="1"/>
    <col min="13" max="13" width="9.875" style="4" customWidth="1"/>
    <col min="14" max="14" width="17.125" style="4" bestFit="1" customWidth="1"/>
    <col min="15" max="15" width="9" style="4"/>
    <col min="16" max="16" width="5.875" style="4" customWidth="1"/>
    <col min="17" max="17" width="6.625" style="4" customWidth="1"/>
    <col min="18" max="18" width="4.25" style="4" customWidth="1"/>
    <col min="19" max="19" width="5.875" style="4" customWidth="1"/>
    <col min="20" max="20" width="3.125" style="4" customWidth="1"/>
    <col min="21" max="22" width="6.25" style="4" customWidth="1"/>
    <col min="23" max="23" width="11.625" style="4" customWidth="1"/>
    <col min="24" max="24" width="7.625" style="4" bestFit="1" customWidth="1"/>
    <col min="25" max="25" width="17.125" style="4" bestFit="1" customWidth="1"/>
    <col min="26" max="16384" width="9" style="4"/>
  </cols>
  <sheetData>
    <row r="1" spans="1:25" s="1" customFormat="1" ht="30" customHeight="1" x14ac:dyDescent="0.2">
      <c r="A1" s="2"/>
      <c r="B1" s="2"/>
      <c r="C1" s="2"/>
      <c r="D1" s="98" t="s">
        <v>228</v>
      </c>
      <c r="E1" s="99"/>
      <c r="F1" s="97" t="s">
        <v>3</v>
      </c>
      <c r="G1" s="97"/>
      <c r="H1" s="9" t="s">
        <v>47</v>
      </c>
      <c r="I1" s="92"/>
    </row>
    <row r="2" spans="1:25" s="3" customFormat="1" ht="19.5" customHeight="1" x14ac:dyDescent="0.3">
      <c r="A2" s="3" t="s">
        <v>7</v>
      </c>
      <c r="B2" s="3" t="s">
        <v>4</v>
      </c>
      <c r="C2" s="3" t="s">
        <v>692</v>
      </c>
      <c r="D2" s="6" t="s">
        <v>224</v>
      </c>
      <c r="E2" s="6" t="s">
        <v>225</v>
      </c>
      <c r="F2" s="5" t="s">
        <v>226</v>
      </c>
      <c r="G2" s="5" t="s">
        <v>227</v>
      </c>
      <c r="H2" s="10" t="s">
        <v>8</v>
      </c>
      <c r="I2" s="10" t="s">
        <v>679</v>
      </c>
      <c r="J2" s="3" t="s">
        <v>9</v>
      </c>
      <c r="K2" s="3" t="s">
        <v>10</v>
      </c>
      <c r="L2" s="3" t="s">
        <v>11</v>
      </c>
      <c r="M2" s="3" t="s">
        <v>181</v>
      </c>
    </row>
    <row r="3" spans="1:25" s="89" customFormat="1" ht="18" customHeight="1" x14ac:dyDescent="0.3">
      <c r="A3" s="88" t="s">
        <v>620</v>
      </c>
      <c r="B3" s="88" t="s">
        <v>620</v>
      </c>
      <c r="C3" s="88" t="s">
        <v>620</v>
      </c>
      <c r="D3" s="10" t="s">
        <v>621</v>
      </c>
      <c r="E3" s="10" t="s">
        <v>621</v>
      </c>
      <c r="F3" s="10" t="s">
        <v>621</v>
      </c>
      <c r="G3" s="10" t="s">
        <v>621</v>
      </c>
      <c r="H3" s="88" t="s">
        <v>620</v>
      </c>
      <c r="I3" s="93"/>
      <c r="K3" s="88" t="s">
        <v>620</v>
      </c>
    </row>
    <row r="4" spans="1:25" ht="14.1" customHeight="1" x14ac:dyDescent="0.2">
      <c r="A4" s="51">
        <v>1</v>
      </c>
      <c r="B4" s="51">
        <v>1</v>
      </c>
      <c r="C4" s="94">
        <v>1</v>
      </c>
      <c r="D4" s="53" t="s">
        <v>104</v>
      </c>
      <c r="E4" s="53" t="s">
        <v>105</v>
      </c>
      <c r="F4" s="53" t="s">
        <v>62</v>
      </c>
      <c r="G4" s="52" t="s">
        <v>63</v>
      </c>
      <c r="H4" s="51">
        <v>1</v>
      </c>
      <c r="I4" s="94">
        <v>1</v>
      </c>
      <c r="J4" s="51" t="s">
        <v>12</v>
      </c>
      <c r="K4" s="51">
        <v>90001</v>
      </c>
      <c r="L4" s="51" t="s">
        <v>12</v>
      </c>
      <c r="M4" s="54" t="s">
        <v>240</v>
      </c>
      <c r="N4" s="8"/>
      <c r="S4" s="11"/>
      <c r="W4" s="8"/>
      <c r="X4" s="8"/>
      <c r="Y4" s="8"/>
    </row>
    <row r="5" spans="1:25" ht="14.1" customHeight="1" x14ac:dyDescent="0.2">
      <c r="A5" s="51">
        <v>2</v>
      </c>
      <c r="B5" s="51">
        <v>1</v>
      </c>
      <c r="C5" s="94">
        <v>2</v>
      </c>
      <c r="D5" s="53" t="s">
        <v>106</v>
      </c>
      <c r="E5" s="53" t="s">
        <v>107</v>
      </c>
      <c r="F5" s="53" t="s">
        <v>65</v>
      </c>
      <c r="G5" s="52" t="s">
        <v>66</v>
      </c>
      <c r="H5" s="51">
        <v>1</v>
      </c>
      <c r="I5" s="94">
        <v>2</v>
      </c>
      <c r="J5" s="51" t="s">
        <v>13</v>
      </c>
      <c r="K5" s="51">
        <v>90001</v>
      </c>
      <c r="L5" s="51" t="s">
        <v>12</v>
      </c>
      <c r="M5" s="54" t="s">
        <v>240</v>
      </c>
      <c r="N5" s="8"/>
      <c r="S5" s="11"/>
      <c r="W5" s="8"/>
      <c r="X5" s="8"/>
      <c r="Y5" s="8"/>
    </row>
    <row r="6" spans="1:25" ht="14.1" customHeight="1" x14ac:dyDescent="0.2">
      <c r="A6" s="51">
        <v>3</v>
      </c>
      <c r="B6" s="51">
        <v>1</v>
      </c>
      <c r="C6" s="94">
        <v>3</v>
      </c>
      <c r="D6" s="53" t="s">
        <v>108</v>
      </c>
      <c r="E6" s="53" t="s">
        <v>109</v>
      </c>
      <c r="F6" s="53" t="s">
        <v>67</v>
      </c>
      <c r="G6" s="52" t="s">
        <v>68</v>
      </c>
      <c r="H6" s="51">
        <v>1</v>
      </c>
      <c r="I6" s="94">
        <v>3</v>
      </c>
      <c r="J6" s="51" t="s">
        <v>14</v>
      </c>
      <c r="K6" s="51">
        <v>90001</v>
      </c>
      <c r="L6" s="51" t="s">
        <v>12</v>
      </c>
      <c r="M6" s="54" t="s">
        <v>240</v>
      </c>
      <c r="N6" s="8"/>
      <c r="S6" s="11"/>
      <c r="W6" s="8"/>
      <c r="X6" s="8"/>
      <c r="Y6" s="8"/>
    </row>
    <row r="7" spans="1:25" ht="14.1" customHeight="1" x14ac:dyDescent="0.2">
      <c r="A7" s="51">
        <v>4</v>
      </c>
      <c r="B7" s="51">
        <v>1</v>
      </c>
      <c r="C7" s="94">
        <v>4</v>
      </c>
      <c r="D7" s="53" t="s">
        <v>110</v>
      </c>
      <c r="E7" s="53" t="s">
        <v>111</v>
      </c>
      <c r="F7" s="53" t="s">
        <v>69</v>
      </c>
      <c r="G7" s="52" t="s">
        <v>70</v>
      </c>
      <c r="H7" s="51">
        <v>1</v>
      </c>
      <c r="I7" s="94">
        <v>4</v>
      </c>
      <c r="J7" s="51" t="s">
        <v>15</v>
      </c>
      <c r="K7" s="51">
        <v>90001</v>
      </c>
      <c r="L7" s="51" t="s">
        <v>12</v>
      </c>
      <c r="M7" s="54" t="s">
        <v>240</v>
      </c>
      <c r="N7" s="8"/>
      <c r="S7" s="11"/>
      <c r="W7" s="8"/>
      <c r="X7" s="8"/>
      <c r="Y7" s="8"/>
    </row>
    <row r="8" spans="1:25" ht="14.1" customHeight="1" x14ac:dyDescent="0.2">
      <c r="A8" s="51">
        <v>5</v>
      </c>
      <c r="B8" s="51">
        <v>1</v>
      </c>
      <c r="C8" s="94">
        <v>5</v>
      </c>
      <c r="D8" s="53" t="s">
        <v>112</v>
      </c>
      <c r="E8" s="53" t="s">
        <v>113</v>
      </c>
      <c r="F8" s="53" t="s">
        <v>114</v>
      </c>
      <c r="G8" s="52" t="s">
        <v>115</v>
      </c>
      <c r="H8" s="51">
        <v>1</v>
      </c>
      <c r="I8" s="94">
        <v>5</v>
      </c>
      <c r="J8" s="51" t="s">
        <v>17</v>
      </c>
      <c r="K8" s="51">
        <v>90001</v>
      </c>
      <c r="L8" s="51" t="s">
        <v>12</v>
      </c>
      <c r="M8" s="54" t="s">
        <v>240</v>
      </c>
      <c r="N8" s="8"/>
      <c r="S8" s="11"/>
      <c r="W8" s="8"/>
      <c r="X8" s="8"/>
      <c r="Y8" s="8"/>
    </row>
    <row r="9" spans="1:25" ht="14.1" customHeight="1" x14ac:dyDescent="0.2">
      <c r="A9" s="51">
        <v>6</v>
      </c>
      <c r="B9" s="51">
        <v>1</v>
      </c>
      <c r="C9" s="94">
        <v>6</v>
      </c>
      <c r="D9" s="53" t="s">
        <v>116</v>
      </c>
      <c r="E9" s="53" t="s">
        <v>117</v>
      </c>
      <c r="F9" s="53" t="s">
        <v>16</v>
      </c>
      <c r="G9" s="52" t="s">
        <v>118</v>
      </c>
      <c r="H9" s="51">
        <v>1</v>
      </c>
      <c r="I9" s="94">
        <v>6</v>
      </c>
      <c r="J9" s="51" t="s">
        <v>18</v>
      </c>
      <c r="K9" s="51">
        <v>90001</v>
      </c>
      <c r="L9" s="51" t="s">
        <v>12</v>
      </c>
      <c r="M9" s="54" t="s">
        <v>240</v>
      </c>
      <c r="N9" s="8"/>
      <c r="S9" s="11"/>
      <c r="W9" s="8"/>
      <c r="X9" s="8"/>
      <c r="Y9" s="8"/>
    </row>
    <row r="10" spans="1:25" ht="14.1" customHeight="1" x14ac:dyDescent="0.2">
      <c r="A10" s="51">
        <v>7</v>
      </c>
      <c r="B10" s="51">
        <v>1</v>
      </c>
      <c r="C10" s="94">
        <v>7</v>
      </c>
      <c r="D10" s="53" t="s">
        <v>119</v>
      </c>
      <c r="E10" s="53" t="s">
        <v>120</v>
      </c>
      <c r="F10" s="53" t="s">
        <v>71</v>
      </c>
      <c r="G10" s="52" t="s">
        <v>121</v>
      </c>
      <c r="H10" s="51">
        <v>1</v>
      </c>
      <c r="I10" s="94">
        <v>7</v>
      </c>
      <c r="J10" s="51" t="s">
        <v>19</v>
      </c>
      <c r="K10" s="51">
        <v>90001</v>
      </c>
      <c r="L10" s="51" t="s">
        <v>12</v>
      </c>
      <c r="M10" s="54" t="s">
        <v>240</v>
      </c>
      <c r="N10" s="8"/>
      <c r="S10" s="11"/>
      <c r="W10" s="8"/>
      <c r="X10" s="8"/>
      <c r="Y10" s="8"/>
    </row>
    <row r="11" spans="1:25" ht="14.1" customHeight="1" x14ac:dyDescent="0.2">
      <c r="A11" s="51">
        <v>8</v>
      </c>
      <c r="B11" s="51">
        <v>1</v>
      </c>
      <c r="C11" s="94">
        <v>8</v>
      </c>
      <c r="D11" s="53" t="s">
        <v>122</v>
      </c>
      <c r="E11" s="53" t="s">
        <v>123</v>
      </c>
      <c r="F11" s="53" t="s">
        <v>124</v>
      </c>
      <c r="G11" s="52" t="s">
        <v>72</v>
      </c>
      <c r="H11" s="51">
        <v>1</v>
      </c>
      <c r="I11" s="94">
        <v>8</v>
      </c>
      <c r="J11" s="51" t="s">
        <v>20</v>
      </c>
      <c r="K11" s="51">
        <v>90001</v>
      </c>
      <c r="L11" s="51" t="s">
        <v>12</v>
      </c>
      <c r="M11" s="54" t="s">
        <v>240</v>
      </c>
      <c r="N11" s="8"/>
      <c r="S11" s="11"/>
      <c r="W11" s="8"/>
      <c r="X11" s="8"/>
      <c r="Y11" s="8"/>
    </row>
    <row r="12" spans="1:25" ht="14.1" customHeight="1" x14ac:dyDescent="0.2">
      <c r="A12" s="51">
        <v>9</v>
      </c>
      <c r="B12" s="51">
        <v>1</v>
      </c>
      <c r="C12" s="94">
        <v>9</v>
      </c>
      <c r="D12" s="53" t="s">
        <v>125</v>
      </c>
      <c r="E12" s="53" t="s">
        <v>126</v>
      </c>
      <c r="F12" s="53" t="s">
        <v>73</v>
      </c>
      <c r="G12" s="52" t="s">
        <v>74</v>
      </c>
      <c r="H12" s="51">
        <v>1</v>
      </c>
      <c r="I12" s="94">
        <v>9</v>
      </c>
      <c r="J12" s="51" t="s">
        <v>21</v>
      </c>
      <c r="K12" s="51">
        <v>90001</v>
      </c>
      <c r="L12" s="51" t="s">
        <v>12</v>
      </c>
      <c r="M12" s="54" t="s">
        <v>240</v>
      </c>
      <c r="N12" s="8"/>
      <c r="S12" s="11"/>
      <c r="W12" s="8"/>
      <c r="X12" s="8"/>
      <c r="Y12" s="8"/>
    </row>
    <row r="13" spans="1:25" ht="14.1" customHeight="1" x14ac:dyDescent="0.2">
      <c r="A13" s="51">
        <v>10</v>
      </c>
      <c r="B13" s="51">
        <v>1</v>
      </c>
      <c r="C13" s="94">
        <v>10</v>
      </c>
      <c r="D13" s="53" t="s">
        <v>127</v>
      </c>
      <c r="E13" s="53" t="s">
        <v>128</v>
      </c>
      <c r="F13" s="53" t="s">
        <v>75</v>
      </c>
      <c r="G13" s="52" t="s">
        <v>76</v>
      </c>
      <c r="H13" s="51">
        <v>1</v>
      </c>
      <c r="I13" s="94">
        <v>10</v>
      </c>
      <c r="J13" s="51" t="s">
        <v>22</v>
      </c>
      <c r="K13" s="51">
        <v>90001</v>
      </c>
      <c r="L13" s="51" t="s">
        <v>12</v>
      </c>
      <c r="M13" s="54" t="s">
        <v>240</v>
      </c>
      <c r="N13" s="8"/>
      <c r="S13" s="11"/>
      <c r="W13" s="8"/>
      <c r="X13" s="8"/>
      <c r="Y13" s="8"/>
    </row>
    <row r="14" spans="1:25" ht="14.1" customHeight="1" x14ac:dyDescent="0.2">
      <c r="A14" s="51">
        <v>11</v>
      </c>
      <c r="B14" s="51">
        <v>1</v>
      </c>
      <c r="C14" s="94">
        <v>11</v>
      </c>
      <c r="D14" s="53" t="s">
        <v>129</v>
      </c>
      <c r="E14" s="53" t="s">
        <v>130</v>
      </c>
      <c r="F14" s="53" t="s">
        <v>77</v>
      </c>
      <c r="G14" s="52" t="s">
        <v>78</v>
      </c>
      <c r="H14" s="51">
        <v>1</v>
      </c>
      <c r="I14" s="94">
        <v>11</v>
      </c>
      <c r="J14" s="51" t="s">
        <v>23</v>
      </c>
      <c r="K14" s="51">
        <v>90001</v>
      </c>
      <c r="L14" s="51" t="s">
        <v>12</v>
      </c>
      <c r="M14" s="54" t="s">
        <v>240</v>
      </c>
      <c r="N14" s="8"/>
      <c r="S14" s="11"/>
      <c r="W14" s="8"/>
      <c r="X14" s="8"/>
      <c r="Y14" s="8"/>
    </row>
    <row r="15" spans="1:25" ht="14.1" customHeight="1" x14ac:dyDescent="0.2">
      <c r="A15" s="51">
        <v>12</v>
      </c>
      <c r="B15" s="51">
        <v>1</v>
      </c>
      <c r="C15" s="94">
        <v>12</v>
      </c>
      <c r="D15" s="53" t="s">
        <v>131</v>
      </c>
      <c r="E15" s="53" t="s">
        <v>132</v>
      </c>
      <c r="F15" s="53" t="s">
        <v>79</v>
      </c>
      <c r="G15" s="52" t="s">
        <v>80</v>
      </c>
      <c r="H15" s="51">
        <v>1</v>
      </c>
      <c r="I15" s="94">
        <v>12</v>
      </c>
      <c r="J15" s="51" t="s">
        <v>24</v>
      </c>
      <c r="K15" s="51">
        <v>90001</v>
      </c>
      <c r="L15" s="51" t="s">
        <v>12</v>
      </c>
      <c r="M15" s="54" t="s">
        <v>240</v>
      </c>
      <c r="N15" s="8"/>
      <c r="S15" s="11"/>
      <c r="W15" s="8"/>
      <c r="X15" s="8"/>
      <c r="Y15" s="8"/>
    </row>
    <row r="16" spans="1:25" ht="14.1" customHeight="1" x14ac:dyDescent="0.2">
      <c r="A16" s="51">
        <v>13</v>
      </c>
      <c r="B16" s="51">
        <v>1</v>
      </c>
      <c r="C16" s="94">
        <v>13</v>
      </c>
      <c r="D16" s="53" t="s">
        <v>133</v>
      </c>
      <c r="E16" s="53" t="s">
        <v>134</v>
      </c>
      <c r="F16" s="53" t="s">
        <v>81</v>
      </c>
      <c r="G16" s="52" t="s">
        <v>82</v>
      </c>
      <c r="H16" s="51">
        <v>1</v>
      </c>
      <c r="I16" s="94">
        <v>13</v>
      </c>
      <c r="J16" s="51" t="s">
        <v>25</v>
      </c>
      <c r="K16" s="51">
        <v>90001</v>
      </c>
      <c r="L16" s="51" t="s">
        <v>12</v>
      </c>
      <c r="M16" s="54" t="s">
        <v>240</v>
      </c>
      <c r="N16" s="8"/>
      <c r="S16" s="11"/>
      <c r="W16" s="8"/>
      <c r="X16" s="8"/>
      <c r="Y16" s="8"/>
    </row>
    <row r="17" spans="1:25" ht="14.1" customHeight="1" x14ac:dyDescent="0.2">
      <c r="A17" s="51">
        <v>14</v>
      </c>
      <c r="B17" s="51">
        <v>1</v>
      </c>
      <c r="C17" s="94">
        <v>14</v>
      </c>
      <c r="D17" s="53" t="s">
        <v>135</v>
      </c>
      <c r="E17" s="53" t="s">
        <v>136</v>
      </c>
      <c r="F17" s="53" t="s">
        <v>83</v>
      </c>
      <c r="G17" s="52" t="s">
        <v>137</v>
      </c>
      <c r="H17" s="51">
        <v>1</v>
      </c>
      <c r="I17" s="94">
        <v>14</v>
      </c>
      <c r="J17" s="51" t="s">
        <v>26</v>
      </c>
      <c r="K17" s="51">
        <v>90001</v>
      </c>
      <c r="L17" s="51" t="s">
        <v>12</v>
      </c>
      <c r="M17" s="54" t="s">
        <v>240</v>
      </c>
      <c r="N17" s="8"/>
      <c r="S17" s="11"/>
      <c r="W17" s="8"/>
      <c r="X17" s="8"/>
      <c r="Y17" s="8"/>
    </row>
    <row r="18" spans="1:25" ht="14.1" customHeight="1" x14ac:dyDescent="0.2">
      <c r="A18" s="51">
        <v>15</v>
      </c>
      <c r="B18" s="51">
        <v>1</v>
      </c>
      <c r="C18" s="94">
        <v>15</v>
      </c>
      <c r="D18" s="53" t="s">
        <v>138</v>
      </c>
      <c r="E18" s="53" t="s">
        <v>139</v>
      </c>
      <c r="F18" s="53" t="s">
        <v>84</v>
      </c>
      <c r="G18" s="52" t="s">
        <v>140</v>
      </c>
      <c r="H18" s="51">
        <v>1</v>
      </c>
      <c r="I18" s="94">
        <v>15</v>
      </c>
      <c r="J18" s="51" t="s">
        <v>27</v>
      </c>
      <c r="K18" s="51">
        <v>90001</v>
      </c>
      <c r="L18" s="51" t="s">
        <v>12</v>
      </c>
      <c r="M18" s="54" t="s">
        <v>240</v>
      </c>
      <c r="N18" s="8"/>
      <c r="S18" s="11"/>
      <c r="W18" s="8"/>
      <c r="X18" s="8"/>
      <c r="Y18" s="8"/>
    </row>
    <row r="19" spans="1:25" ht="14.1" customHeight="1" x14ac:dyDescent="0.2">
      <c r="A19" s="51">
        <v>16</v>
      </c>
      <c r="B19" s="51">
        <v>1</v>
      </c>
      <c r="C19" s="94">
        <v>16</v>
      </c>
      <c r="D19" s="53" t="s">
        <v>141</v>
      </c>
      <c r="E19" s="53" t="s">
        <v>142</v>
      </c>
      <c r="F19" s="53" t="s">
        <v>85</v>
      </c>
      <c r="G19" s="52" t="s">
        <v>143</v>
      </c>
      <c r="H19" s="51">
        <v>1</v>
      </c>
      <c r="I19" s="94">
        <v>16</v>
      </c>
      <c r="J19" s="51" t="s">
        <v>28</v>
      </c>
      <c r="K19" s="51">
        <v>90001</v>
      </c>
      <c r="L19" s="51" t="s">
        <v>12</v>
      </c>
      <c r="M19" s="54" t="s">
        <v>240</v>
      </c>
      <c r="N19" s="8"/>
      <c r="S19" s="11"/>
      <c r="W19" s="8"/>
      <c r="X19" s="8"/>
      <c r="Y19" s="8"/>
    </row>
    <row r="20" spans="1:25" ht="14.1" customHeight="1" x14ac:dyDescent="0.2">
      <c r="A20" s="51">
        <v>17</v>
      </c>
      <c r="B20" s="52" t="s">
        <v>144</v>
      </c>
      <c r="C20" s="94">
        <v>1</v>
      </c>
      <c r="D20" s="52" t="s">
        <v>145</v>
      </c>
      <c r="E20" s="52" t="s">
        <v>146</v>
      </c>
      <c r="F20" s="52" t="s">
        <v>147</v>
      </c>
      <c r="G20" s="52" t="s">
        <v>148</v>
      </c>
      <c r="H20" s="52" t="s">
        <v>149</v>
      </c>
      <c r="I20" s="94">
        <v>17</v>
      </c>
      <c r="J20" s="51" t="s">
        <v>241</v>
      </c>
      <c r="K20" s="51">
        <v>90001</v>
      </c>
      <c r="L20" s="51" t="s">
        <v>12</v>
      </c>
      <c r="M20" s="54" t="s">
        <v>240</v>
      </c>
      <c r="N20" s="8"/>
      <c r="S20" s="11"/>
      <c r="W20" s="8"/>
      <c r="X20" s="8"/>
      <c r="Y20" s="8"/>
    </row>
    <row r="21" spans="1:25" ht="14.1" customHeight="1" x14ac:dyDescent="0.2">
      <c r="A21" s="51">
        <v>18</v>
      </c>
      <c r="B21" s="52" t="s">
        <v>144</v>
      </c>
      <c r="C21" s="52" t="s">
        <v>144</v>
      </c>
      <c r="D21" s="52" t="s">
        <v>150</v>
      </c>
      <c r="E21" s="52" t="s">
        <v>151</v>
      </c>
      <c r="F21" s="52" t="s">
        <v>152</v>
      </c>
      <c r="G21" s="52" t="s">
        <v>153</v>
      </c>
      <c r="H21" s="52" t="s">
        <v>144</v>
      </c>
      <c r="I21" s="52" t="s">
        <v>680</v>
      </c>
      <c r="J21" s="51" t="s">
        <v>242</v>
      </c>
      <c r="K21" s="51">
        <v>90001</v>
      </c>
      <c r="L21" s="51" t="s">
        <v>12</v>
      </c>
      <c r="M21" s="54" t="s">
        <v>240</v>
      </c>
      <c r="N21" s="8"/>
      <c r="S21" s="11"/>
      <c r="W21" s="8"/>
      <c r="X21" s="8"/>
      <c r="Y21" s="8"/>
    </row>
    <row r="22" spans="1:25" ht="14.1" customHeight="1" x14ac:dyDescent="0.2">
      <c r="A22" s="51">
        <v>19</v>
      </c>
      <c r="B22" s="52" t="s">
        <v>144</v>
      </c>
      <c r="C22" s="52" t="s">
        <v>221</v>
      </c>
      <c r="D22" s="52" t="s">
        <v>154</v>
      </c>
      <c r="E22" s="52" t="s">
        <v>155</v>
      </c>
      <c r="F22" s="52" t="s">
        <v>156</v>
      </c>
      <c r="G22" s="52" t="s">
        <v>157</v>
      </c>
      <c r="H22" s="52" t="s">
        <v>144</v>
      </c>
      <c r="I22" s="52" t="s">
        <v>144</v>
      </c>
      <c r="J22" s="51" t="s">
        <v>243</v>
      </c>
      <c r="K22" s="51">
        <v>90001</v>
      </c>
      <c r="L22" s="51" t="s">
        <v>12</v>
      </c>
      <c r="M22" s="54" t="s">
        <v>240</v>
      </c>
      <c r="N22" s="8"/>
      <c r="S22" s="11"/>
      <c r="W22" s="8"/>
      <c r="X22" s="8"/>
      <c r="Y22" s="8"/>
    </row>
    <row r="23" spans="1:25" ht="14.1" customHeight="1" x14ac:dyDescent="0.2">
      <c r="A23" s="51">
        <v>20</v>
      </c>
      <c r="B23" s="52" t="s">
        <v>144</v>
      </c>
      <c r="C23" s="52" t="s">
        <v>266</v>
      </c>
      <c r="D23" s="52" t="s">
        <v>158</v>
      </c>
      <c r="E23" s="52" t="s">
        <v>159</v>
      </c>
      <c r="F23" s="52" t="s">
        <v>160</v>
      </c>
      <c r="G23" s="52" t="s">
        <v>161</v>
      </c>
      <c r="H23" s="52" t="s">
        <v>144</v>
      </c>
      <c r="I23" s="52" t="s">
        <v>221</v>
      </c>
      <c r="J23" s="51" t="s">
        <v>244</v>
      </c>
      <c r="K23" s="51">
        <v>90001</v>
      </c>
      <c r="L23" s="51" t="s">
        <v>12</v>
      </c>
      <c r="M23" s="54" t="s">
        <v>240</v>
      </c>
      <c r="N23" s="8"/>
      <c r="S23" s="11"/>
      <c r="W23" s="8"/>
      <c r="X23" s="8"/>
      <c r="Y23" s="8"/>
    </row>
    <row r="24" spans="1:25" ht="14.1" customHeight="1" x14ac:dyDescent="0.2">
      <c r="A24" s="51">
        <v>21</v>
      </c>
      <c r="B24" s="52" t="s">
        <v>144</v>
      </c>
      <c r="C24" s="52" t="s">
        <v>340</v>
      </c>
      <c r="D24" s="52" t="s">
        <v>162</v>
      </c>
      <c r="E24" s="52" t="s">
        <v>163</v>
      </c>
      <c r="F24" s="52" t="s">
        <v>164</v>
      </c>
      <c r="G24" s="52" t="s">
        <v>165</v>
      </c>
      <c r="H24" s="52" t="s">
        <v>144</v>
      </c>
      <c r="I24" s="52" t="s">
        <v>266</v>
      </c>
      <c r="J24" s="51" t="s">
        <v>245</v>
      </c>
      <c r="K24" s="51">
        <v>90001</v>
      </c>
      <c r="L24" s="51" t="s">
        <v>12</v>
      </c>
      <c r="M24" s="54" t="s">
        <v>240</v>
      </c>
      <c r="N24" s="8"/>
      <c r="S24" s="11"/>
      <c r="W24" s="8"/>
      <c r="X24" s="8"/>
      <c r="Y24" s="8"/>
    </row>
    <row r="25" spans="1:25" ht="14.1" customHeight="1" x14ac:dyDescent="0.2">
      <c r="A25" s="51">
        <v>22</v>
      </c>
      <c r="B25" s="52" t="s">
        <v>144</v>
      </c>
      <c r="C25" s="52" t="s">
        <v>681</v>
      </c>
      <c r="D25" s="52" t="s">
        <v>166</v>
      </c>
      <c r="E25" s="52" t="s">
        <v>167</v>
      </c>
      <c r="F25" s="52" t="s">
        <v>168</v>
      </c>
      <c r="G25" s="52" t="s">
        <v>169</v>
      </c>
      <c r="H25" s="52" t="s">
        <v>144</v>
      </c>
      <c r="I25" s="52" t="s">
        <v>340</v>
      </c>
      <c r="J25" s="51" t="s">
        <v>246</v>
      </c>
      <c r="K25" s="51">
        <v>90001</v>
      </c>
      <c r="L25" s="51" t="s">
        <v>12</v>
      </c>
      <c r="M25" s="54" t="s">
        <v>240</v>
      </c>
      <c r="N25" s="8"/>
      <c r="S25" s="11"/>
      <c r="W25" s="8"/>
      <c r="X25" s="8"/>
      <c r="Y25" s="8"/>
    </row>
    <row r="26" spans="1:25" s="11" customFormat="1" ht="14.1" customHeight="1" x14ac:dyDescent="0.2">
      <c r="A26" s="51">
        <v>23</v>
      </c>
      <c r="B26" s="52" t="s">
        <v>144</v>
      </c>
      <c r="C26" s="52" t="s">
        <v>682</v>
      </c>
      <c r="D26" s="52" t="s">
        <v>170</v>
      </c>
      <c r="E26" s="52" t="s">
        <v>171</v>
      </c>
      <c r="F26" s="52" t="s">
        <v>103</v>
      </c>
      <c r="G26" s="52" t="s">
        <v>172</v>
      </c>
      <c r="H26" s="52" t="s">
        <v>144</v>
      </c>
      <c r="I26" s="52" t="s">
        <v>681</v>
      </c>
      <c r="J26" s="51" t="s">
        <v>247</v>
      </c>
      <c r="K26" s="51">
        <v>90001</v>
      </c>
      <c r="L26" s="51" t="s">
        <v>12</v>
      </c>
      <c r="M26" s="54" t="s">
        <v>240</v>
      </c>
      <c r="N26" s="23"/>
      <c r="W26" s="23"/>
      <c r="X26" s="23"/>
      <c r="Y26" s="23"/>
    </row>
    <row r="27" spans="1:25" ht="14.1" customHeight="1" x14ac:dyDescent="0.2">
      <c r="A27" s="51">
        <v>24</v>
      </c>
      <c r="B27" s="52" t="s">
        <v>144</v>
      </c>
      <c r="C27" s="52" t="s">
        <v>683</v>
      </c>
      <c r="D27" s="52" t="s">
        <v>173</v>
      </c>
      <c r="E27" s="52" t="s">
        <v>174</v>
      </c>
      <c r="F27" s="52" t="s">
        <v>175</v>
      </c>
      <c r="G27" s="52" t="s">
        <v>176</v>
      </c>
      <c r="H27" s="52" t="s">
        <v>144</v>
      </c>
      <c r="I27" s="52" t="s">
        <v>682</v>
      </c>
      <c r="J27" s="51" t="s">
        <v>248</v>
      </c>
      <c r="K27" s="51">
        <v>90001</v>
      </c>
      <c r="L27" s="51" t="s">
        <v>12</v>
      </c>
      <c r="M27" s="54" t="s">
        <v>240</v>
      </c>
      <c r="N27" s="8"/>
      <c r="S27" s="11"/>
      <c r="W27" s="8"/>
      <c r="X27" s="8"/>
      <c r="Y27" s="8"/>
    </row>
    <row r="28" spans="1:25" ht="14.1" customHeight="1" x14ac:dyDescent="0.2">
      <c r="A28" s="51">
        <v>25</v>
      </c>
      <c r="B28" s="52" t="s">
        <v>144</v>
      </c>
      <c r="C28" s="52" t="s">
        <v>684</v>
      </c>
      <c r="D28" s="52" t="s">
        <v>177</v>
      </c>
      <c r="E28" s="52" t="s">
        <v>178</v>
      </c>
      <c r="F28" s="52" t="s">
        <v>179</v>
      </c>
      <c r="G28" s="52" t="s">
        <v>180</v>
      </c>
      <c r="H28" s="52" t="s">
        <v>144</v>
      </c>
      <c r="I28" s="52" t="s">
        <v>683</v>
      </c>
      <c r="J28" s="51" t="s">
        <v>249</v>
      </c>
      <c r="K28" s="51">
        <v>90001</v>
      </c>
      <c r="L28" s="51" t="s">
        <v>12</v>
      </c>
      <c r="M28" s="54" t="s">
        <v>240</v>
      </c>
      <c r="N28" s="8"/>
      <c r="S28" s="11"/>
      <c r="W28" s="8"/>
      <c r="X28" s="8"/>
      <c r="Y28" s="8"/>
    </row>
    <row r="29" spans="1:25" ht="14.1" customHeight="1" x14ac:dyDescent="0.2">
      <c r="A29" s="51">
        <v>26</v>
      </c>
      <c r="B29" s="52" t="s">
        <v>144</v>
      </c>
      <c r="C29" s="52" t="s">
        <v>685</v>
      </c>
      <c r="D29" s="52" t="s">
        <v>182</v>
      </c>
      <c r="E29" s="52" t="s">
        <v>183</v>
      </c>
      <c r="F29" s="52" t="s">
        <v>184</v>
      </c>
      <c r="G29" s="52" t="s">
        <v>185</v>
      </c>
      <c r="H29" s="52" t="s">
        <v>144</v>
      </c>
      <c r="I29" s="52" t="s">
        <v>684</v>
      </c>
      <c r="J29" s="51" t="s">
        <v>250</v>
      </c>
      <c r="K29" s="51">
        <v>90001</v>
      </c>
      <c r="L29" s="51" t="s">
        <v>12</v>
      </c>
      <c r="M29" s="54" t="s">
        <v>240</v>
      </c>
      <c r="N29" s="8"/>
      <c r="S29" s="11"/>
      <c r="W29" s="8"/>
      <c r="X29" s="8"/>
      <c r="Y29" s="8"/>
    </row>
    <row r="30" spans="1:25" ht="14.1" customHeight="1" x14ac:dyDescent="0.2">
      <c r="A30" s="51">
        <v>27</v>
      </c>
      <c r="B30" s="52" t="s">
        <v>144</v>
      </c>
      <c r="C30" s="52" t="s">
        <v>686</v>
      </c>
      <c r="D30" s="52" t="s">
        <v>186</v>
      </c>
      <c r="E30" s="52" t="s">
        <v>187</v>
      </c>
      <c r="F30" s="52" t="s">
        <v>188</v>
      </c>
      <c r="G30" s="52" t="s">
        <v>189</v>
      </c>
      <c r="H30" s="52" t="s">
        <v>144</v>
      </c>
      <c r="I30" s="52" t="s">
        <v>685</v>
      </c>
      <c r="J30" s="51" t="s">
        <v>251</v>
      </c>
      <c r="K30" s="51">
        <v>90001</v>
      </c>
      <c r="L30" s="51" t="s">
        <v>12</v>
      </c>
      <c r="M30" s="54" t="s">
        <v>240</v>
      </c>
      <c r="N30" s="8"/>
      <c r="S30" s="11"/>
      <c r="W30" s="8"/>
      <c r="X30" s="8"/>
      <c r="Y30" s="8"/>
    </row>
    <row r="31" spans="1:25" ht="14.1" customHeight="1" x14ac:dyDescent="0.2">
      <c r="A31" s="51">
        <v>28</v>
      </c>
      <c r="B31" s="52" t="s">
        <v>144</v>
      </c>
      <c r="C31" s="52" t="s">
        <v>687</v>
      </c>
      <c r="D31" s="52" t="s">
        <v>190</v>
      </c>
      <c r="E31" s="52" t="s">
        <v>191</v>
      </c>
      <c r="F31" s="52" t="s">
        <v>192</v>
      </c>
      <c r="G31" s="52" t="s">
        <v>193</v>
      </c>
      <c r="H31" s="52" t="s">
        <v>144</v>
      </c>
      <c r="I31" s="52" t="s">
        <v>686</v>
      </c>
      <c r="J31" s="51" t="s">
        <v>252</v>
      </c>
      <c r="K31" s="51">
        <v>90001</v>
      </c>
      <c r="L31" s="51" t="s">
        <v>12</v>
      </c>
      <c r="M31" s="54" t="s">
        <v>240</v>
      </c>
      <c r="N31" s="8"/>
      <c r="S31" s="11"/>
      <c r="W31" s="8"/>
      <c r="X31" s="8"/>
      <c r="Y31" s="8"/>
    </row>
    <row r="32" spans="1:25" s="41" customFormat="1" ht="12" x14ac:dyDescent="0.2">
      <c r="A32" s="55">
        <v>29</v>
      </c>
      <c r="B32" s="56" t="s">
        <v>144</v>
      </c>
      <c r="C32" s="52" t="s">
        <v>688</v>
      </c>
      <c r="D32" s="56" t="s">
        <v>253</v>
      </c>
      <c r="E32" s="56" t="s">
        <v>254</v>
      </c>
      <c r="F32" s="56" t="s">
        <v>255</v>
      </c>
      <c r="G32" s="56" t="s">
        <v>256</v>
      </c>
      <c r="H32" s="56" t="s">
        <v>144</v>
      </c>
      <c r="I32" s="52" t="s">
        <v>687</v>
      </c>
      <c r="J32" s="55" t="s">
        <v>257</v>
      </c>
      <c r="K32" s="55">
        <v>90001</v>
      </c>
      <c r="L32" s="55" t="s">
        <v>12</v>
      </c>
      <c r="M32" s="54" t="s">
        <v>240</v>
      </c>
    </row>
    <row r="33" spans="1:25" ht="14.1" customHeight="1" x14ac:dyDescent="0.2">
      <c r="A33" s="51">
        <v>30</v>
      </c>
      <c r="B33" s="52" t="s">
        <v>144</v>
      </c>
      <c r="C33" s="52" t="s">
        <v>689</v>
      </c>
      <c r="D33" s="52" t="s">
        <v>194</v>
      </c>
      <c r="E33" s="52" t="s">
        <v>195</v>
      </c>
      <c r="F33" s="52" t="s">
        <v>196</v>
      </c>
      <c r="G33" s="52" t="s">
        <v>197</v>
      </c>
      <c r="H33" s="52" t="s">
        <v>144</v>
      </c>
      <c r="I33" s="52" t="s">
        <v>688</v>
      </c>
      <c r="J33" s="51" t="s">
        <v>258</v>
      </c>
      <c r="K33" s="51">
        <v>90001</v>
      </c>
      <c r="L33" s="51" t="s">
        <v>12</v>
      </c>
      <c r="M33" s="54" t="s">
        <v>240</v>
      </c>
      <c r="N33" s="8"/>
      <c r="S33" s="11"/>
      <c r="W33" s="8"/>
      <c r="X33" s="8"/>
      <c r="Y33" s="8"/>
    </row>
    <row r="34" spans="1:25" ht="14.1" customHeight="1" x14ac:dyDescent="0.2">
      <c r="A34" s="51">
        <v>31</v>
      </c>
      <c r="B34" s="52" t="s">
        <v>144</v>
      </c>
      <c r="C34" s="52" t="s">
        <v>690</v>
      </c>
      <c r="D34" s="52" t="s">
        <v>198</v>
      </c>
      <c r="E34" s="52" t="s">
        <v>199</v>
      </c>
      <c r="F34" s="52" t="s">
        <v>389</v>
      </c>
      <c r="G34" s="52" t="s">
        <v>391</v>
      </c>
      <c r="H34" s="52" t="s">
        <v>144</v>
      </c>
      <c r="I34" s="52" t="s">
        <v>689</v>
      </c>
      <c r="J34" s="51" t="s">
        <v>259</v>
      </c>
      <c r="K34" s="51">
        <v>90001</v>
      </c>
      <c r="L34" s="51" t="s">
        <v>12</v>
      </c>
      <c r="M34" s="54" t="s">
        <v>240</v>
      </c>
      <c r="N34" s="8"/>
      <c r="S34" s="11"/>
      <c r="W34" s="8"/>
      <c r="X34" s="8"/>
      <c r="Y34" s="8"/>
    </row>
    <row r="35" spans="1:25" ht="14.1" customHeight="1" x14ac:dyDescent="0.2">
      <c r="A35" s="51">
        <v>32</v>
      </c>
      <c r="B35" s="52" t="s">
        <v>144</v>
      </c>
      <c r="C35" s="52" t="s">
        <v>691</v>
      </c>
      <c r="D35" s="57" t="s">
        <v>200</v>
      </c>
      <c r="E35" s="57" t="s">
        <v>201</v>
      </c>
      <c r="F35" s="57" t="s">
        <v>390</v>
      </c>
      <c r="G35" s="57" t="s">
        <v>392</v>
      </c>
      <c r="H35" s="52" t="s">
        <v>144</v>
      </c>
      <c r="I35" s="52" t="s">
        <v>690</v>
      </c>
      <c r="J35" s="51" t="s">
        <v>260</v>
      </c>
      <c r="K35" s="51">
        <v>90001</v>
      </c>
      <c r="L35" s="51" t="s">
        <v>12</v>
      </c>
      <c r="M35" s="54" t="s">
        <v>240</v>
      </c>
      <c r="N35" s="8"/>
      <c r="S35" s="11"/>
      <c r="W35" s="8"/>
      <c r="X35" s="8"/>
      <c r="Y35" s="8"/>
    </row>
    <row r="36" spans="1:25" ht="14.1" customHeight="1" x14ac:dyDescent="0.2">
      <c r="A36" s="51">
        <v>33</v>
      </c>
      <c r="B36" s="52" t="s">
        <v>221</v>
      </c>
      <c r="C36" s="52" t="s">
        <v>680</v>
      </c>
      <c r="D36" s="57" t="s">
        <v>202</v>
      </c>
      <c r="E36" s="57" t="s">
        <v>206</v>
      </c>
      <c r="F36" s="57" t="s">
        <v>207</v>
      </c>
      <c r="G36" s="57" t="s">
        <v>203</v>
      </c>
      <c r="H36" s="52" t="s">
        <v>144</v>
      </c>
      <c r="I36" s="52" t="s">
        <v>691</v>
      </c>
      <c r="J36" s="51" t="s">
        <v>261</v>
      </c>
      <c r="K36" s="51">
        <v>90001</v>
      </c>
      <c r="L36" s="51" t="s">
        <v>261</v>
      </c>
      <c r="M36" s="54" t="s">
        <v>262</v>
      </c>
    </row>
    <row r="37" spans="1:25" ht="14.1" customHeight="1" x14ac:dyDescent="0.2">
      <c r="A37" s="51">
        <v>34</v>
      </c>
      <c r="B37" s="52" t="s">
        <v>221</v>
      </c>
      <c r="C37" s="52" t="s">
        <v>144</v>
      </c>
      <c r="D37" s="57" t="s">
        <v>204</v>
      </c>
      <c r="E37" s="57" t="s">
        <v>208</v>
      </c>
      <c r="F37" s="57" t="s">
        <v>205</v>
      </c>
      <c r="G37" s="57" t="s">
        <v>215</v>
      </c>
      <c r="H37" s="52" t="s">
        <v>221</v>
      </c>
      <c r="I37" s="52" t="s">
        <v>680</v>
      </c>
      <c r="J37" s="51" t="s">
        <v>223</v>
      </c>
      <c r="K37" s="51">
        <v>90001</v>
      </c>
      <c r="L37" s="51" t="s">
        <v>261</v>
      </c>
      <c r="M37" s="54" t="s">
        <v>262</v>
      </c>
    </row>
    <row r="38" spans="1:25" ht="14.1" customHeight="1" x14ac:dyDescent="0.2">
      <c r="A38" s="51">
        <v>35</v>
      </c>
      <c r="B38" s="52" t="s">
        <v>221</v>
      </c>
      <c r="C38" s="52" t="s">
        <v>221</v>
      </c>
      <c r="D38" s="57" t="s">
        <v>209</v>
      </c>
      <c r="E38" s="57" t="s">
        <v>210</v>
      </c>
      <c r="F38" s="57" t="s">
        <v>218</v>
      </c>
      <c r="G38" s="57" t="s">
        <v>216</v>
      </c>
      <c r="H38" s="52" t="s">
        <v>221</v>
      </c>
      <c r="I38" s="52" t="s">
        <v>144</v>
      </c>
      <c r="J38" s="51" t="s">
        <v>263</v>
      </c>
      <c r="K38" s="51">
        <v>90001</v>
      </c>
      <c r="L38" s="51" t="s">
        <v>261</v>
      </c>
      <c r="M38" s="54" t="s">
        <v>262</v>
      </c>
    </row>
    <row r="39" spans="1:25" ht="14.1" customHeight="1" x14ac:dyDescent="0.2">
      <c r="A39" s="51">
        <v>36</v>
      </c>
      <c r="B39" s="52" t="s">
        <v>221</v>
      </c>
      <c r="C39" s="52" t="s">
        <v>266</v>
      </c>
      <c r="D39" s="57" t="s">
        <v>211</v>
      </c>
      <c r="E39" s="57" t="s">
        <v>212</v>
      </c>
      <c r="F39" s="57" t="s">
        <v>219</v>
      </c>
      <c r="G39" s="57" t="s">
        <v>217</v>
      </c>
      <c r="H39" s="52" t="s">
        <v>221</v>
      </c>
      <c r="I39" s="52" t="s">
        <v>221</v>
      </c>
      <c r="J39" s="51" t="s">
        <v>264</v>
      </c>
      <c r="K39" s="51">
        <v>90001</v>
      </c>
      <c r="L39" s="51" t="s">
        <v>261</v>
      </c>
      <c r="M39" s="54" t="s">
        <v>262</v>
      </c>
    </row>
    <row r="40" spans="1:25" ht="14.1" customHeight="1" x14ac:dyDescent="0.2">
      <c r="A40" s="51">
        <v>37</v>
      </c>
      <c r="B40" s="52" t="s">
        <v>221</v>
      </c>
      <c r="C40" s="52" t="s">
        <v>340</v>
      </c>
      <c r="D40" s="57" t="s">
        <v>213</v>
      </c>
      <c r="E40" s="57" t="s">
        <v>214</v>
      </c>
      <c r="F40" s="57" t="s">
        <v>220</v>
      </c>
      <c r="G40" s="57" t="s">
        <v>231</v>
      </c>
      <c r="H40" s="52" t="s">
        <v>221</v>
      </c>
      <c r="I40" s="52" t="s">
        <v>266</v>
      </c>
      <c r="J40" s="51" t="s">
        <v>265</v>
      </c>
      <c r="K40" s="51">
        <v>90001</v>
      </c>
      <c r="L40" s="51" t="s">
        <v>261</v>
      </c>
      <c r="M40" s="54" t="s">
        <v>262</v>
      </c>
    </row>
    <row r="41" spans="1:25" ht="14.1" customHeight="1" x14ac:dyDescent="0.2">
      <c r="A41" s="51">
        <v>38</v>
      </c>
      <c r="B41" s="52" t="s">
        <v>221</v>
      </c>
      <c r="C41" s="52" t="s">
        <v>681</v>
      </c>
      <c r="D41" s="57" t="s">
        <v>232</v>
      </c>
      <c r="E41" s="57" t="s">
        <v>233</v>
      </c>
      <c r="F41" s="57" t="s">
        <v>234</v>
      </c>
      <c r="G41" s="57" t="s">
        <v>235</v>
      </c>
      <c r="H41" s="52" t="s">
        <v>221</v>
      </c>
      <c r="I41" s="52" t="s">
        <v>340</v>
      </c>
      <c r="J41" s="51" t="s">
        <v>229</v>
      </c>
      <c r="K41" s="51">
        <v>90001</v>
      </c>
      <c r="L41" s="51" t="s">
        <v>261</v>
      </c>
      <c r="M41" s="54" t="s">
        <v>262</v>
      </c>
    </row>
    <row r="42" spans="1:25" ht="14.1" customHeight="1" x14ac:dyDescent="0.2">
      <c r="A42" s="51">
        <v>39</v>
      </c>
      <c r="B42" s="52" t="s">
        <v>221</v>
      </c>
      <c r="C42" s="52" t="s">
        <v>682</v>
      </c>
      <c r="D42" s="57" t="s">
        <v>236</v>
      </c>
      <c r="E42" s="57" t="s">
        <v>237</v>
      </c>
      <c r="F42" s="57" t="s">
        <v>238</v>
      </c>
      <c r="G42" s="57" t="s">
        <v>239</v>
      </c>
      <c r="H42" s="52" t="s">
        <v>221</v>
      </c>
      <c r="I42" s="52" t="s">
        <v>681</v>
      </c>
      <c r="J42" s="51" t="s">
        <v>230</v>
      </c>
      <c r="K42" s="51">
        <v>90001</v>
      </c>
      <c r="L42" s="51" t="s">
        <v>261</v>
      </c>
      <c r="M42" s="54" t="s">
        <v>262</v>
      </c>
    </row>
    <row r="43" spans="1:25" ht="14.1" customHeight="1" x14ac:dyDescent="0.2">
      <c r="A43" s="58">
        <v>40</v>
      </c>
      <c r="B43" s="59" t="s">
        <v>266</v>
      </c>
      <c r="C43" s="59" t="s">
        <v>680</v>
      </c>
      <c r="D43" s="60" t="s">
        <v>267</v>
      </c>
      <c r="E43" s="60" t="s">
        <v>268</v>
      </c>
      <c r="F43" s="60" t="s">
        <v>269</v>
      </c>
      <c r="G43" s="60" t="s">
        <v>270</v>
      </c>
      <c r="H43" s="59" t="s">
        <v>221</v>
      </c>
      <c r="I43" s="59" t="s">
        <v>682</v>
      </c>
      <c r="J43" s="58" t="s">
        <v>261</v>
      </c>
      <c r="K43" s="58">
        <v>90001</v>
      </c>
      <c r="L43" s="58" t="s">
        <v>261</v>
      </c>
      <c r="M43" s="61" t="s">
        <v>262</v>
      </c>
    </row>
    <row r="44" spans="1:25" ht="14.1" customHeight="1" x14ac:dyDescent="0.2">
      <c r="A44" s="58">
        <v>41</v>
      </c>
      <c r="B44" s="59" t="s">
        <v>266</v>
      </c>
      <c r="C44" s="59" t="s">
        <v>144</v>
      </c>
      <c r="D44" s="60" t="s">
        <v>271</v>
      </c>
      <c r="E44" s="60" t="s">
        <v>272</v>
      </c>
      <c r="F44" s="60" t="s">
        <v>273</v>
      </c>
      <c r="G44" s="60" t="s">
        <v>274</v>
      </c>
      <c r="H44" s="59" t="s">
        <v>266</v>
      </c>
      <c r="I44" s="59" t="s">
        <v>680</v>
      </c>
      <c r="J44" s="58" t="s">
        <v>223</v>
      </c>
      <c r="K44" s="58">
        <v>90001</v>
      </c>
      <c r="L44" s="58" t="s">
        <v>261</v>
      </c>
      <c r="M44" s="61" t="s">
        <v>262</v>
      </c>
    </row>
    <row r="45" spans="1:25" ht="14.1" customHeight="1" x14ac:dyDescent="0.2">
      <c r="A45" s="58">
        <v>42</v>
      </c>
      <c r="B45" s="59" t="s">
        <v>266</v>
      </c>
      <c r="C45" s="59" t="s">
        <v>221</v>
      </c>
      <c r="D45" s="60" t="s">
        <v>275</v>
      </c>
      <c r="E45" s="60" t="s">
        <v>276</v>
      </c>
      <c r="F45" s="60" t="s">
        <v>277</v>
      </c>
      <c r="G45" s="60" t="s">
        <v>278</v>
      </c>
      <c r="H45" s="59" t="s">
        <v>266</v>
      </c>
      <c r="I45" s="59" t="s">
        <v>144</v>
      </c>
      <c r="J45" s="58" t="s">
        <v>263</v>
      </c>
      <c r="K45" s="58">
        <v>90001</v>
      </c>
      <c r="L45" s="58" t="s">
        <v>261</v>
      </c>
      <c r="M45" s="61" t="s">
        <v>262</v>
      </c>
    </row>
    <row r="46" spans="1:25" ht="14.1" customHeight="1" x14ac:dyDescent="0.2">
      <c r="A46" s="58">
        <v>43</v>
      </c>
      <c r="B46" s="59" t="s">
        <v>266</v>
      </c>
      <c r="C46" s="59" t="s">
        <v>266</v>
      </c>
      <c r="D46" s="60" t="s">
        <v>279</v>
      </c>
      <c r="E46" s="60" t="s">
        <v>280</v>
      </c>
      <c r="F46" s="60" t="s">
        <v>281</v>
      </c>
      <c r="G46" s="60" t="s">
        <v>282</v>
      </c>
      <c r="H46" s="59" t="s">
        <v>266</v>
      </c>
      <c r="I46" s="59" t="s">
        <v>221</v>
      </c>
      <c r="J46" s="58" t="s">
        <v>264</v>
      </c>
      <c r="K46" s="58">
        <v>90001</v>
      </c>
      <c r="L46" s="58" t="s">
        <v>261</v>
      </c>
      <c r="M46" s="61" t="s">
        <v>262</v>
      </c>
    </row>
    <row r="47" spans="1:25" ht="14.1" customHeight="1" x14ac:dyDescent="0.2">
      <c r="A47" s="58">
        <v>44</v>
      </c>
      <c r="B47" s="59" t="s">
        <v>266</v>
      </c>
      <c r="C47" s="59" t="s">
        <v>340</v>
      </c>
      <c r="D47" s="60" t="s">
        <v>283</v>
      </c>
      <c r="E47" s="60" t="s">
        <v>284</v>
      </c>
      <c r="F47" s="60" t="s">
        <v>285</v>
      </c>
      <c r="G47" s="60" t="s">
        <v>286</v>
      </c>
      <c r="H47" s="59" t="s">
        <v>266</v>
      </c>
      <c r="I47" s="59" t="s">
        <v>266</v>
      </c>
      <c r="J47" s="59" t="s">
        <v>265</v>
      </c>
      <c r="K47" s="58">
        <v>90001</v>
      </c>
      <c r="L47" s="58" t="s">
        <v>261</v>
      </c>
      <c r="M47" s="61" t="s">
        <v>262</v>
      </c>
    </row>
    <row r="48" spans="1:25" ht="14.1" customHeight="1" x14ac:dyDescent="0.2">
      <c r="A48" s="58">
        <v>45</v>
      </c>
      <c r="B48" s="59" t="s">
        <v>266</v>
      </c>
      <c r="C48" s="59" t="s">
        <v>681</v>
      </c>
      <c r="D48" s="60" t="s">
        <v>287</v>
      </c>
      <c r="E48" s="60" t="s">
        <v>288</v>
      </c>
      <c r="F48" s="60" t="s">
        <v>289</v>
      </c>
      <c r="G48" s="60" t="s">
        <v>290</v>
      </c>
      <c r="H48" s="59" t="s">
        <v>266</v>
      </c>
      <c r="I48" s="59" t="s">
        <v>340</v>
      </c>
      <c r="J48" s="59" t="s">
        <v>229</v>
      </c>
      <c r="K48" s="58">
        <v>90001</v>
      </c>
      <c r="L48" s="58" t="s">
        <v>261</v>
      </c>
      <c r="M48" s="61" t="s">
        <v>262</v>
      </c>
    </row>
    <row r="49" spans="1:13" ht="14.1" customHeight="1" x14ac:dyDescent="0.2">
      <c r="A49" s="58">
        <v>46</v>
      </c>
      <c r="B49" s="59" t="s">
        <v>266</v>
      </c>
      <c r="C49" s="59" t="s">
        <v>682</v>
      </c>
      <c r="D49" s="60" t="s">
        <v>291</v>
      </c>
      <c r="E49" s="60" t="s">
        <v>292</v>
      </c>
      <c r="F49" s="60" t="s">
        <v>293</v>
      </c>
      <c r="G49" s="60" t="s">
        <v>294</v>
      </c>
      <c r="H49" s="59" t="s">
        <v>266</v>
      </c>
      <c r="I49" s="59" t="s">
        <v>681</v>
      </c>
      <c r="J49" s="58" t="s">
        <v>230</v>
      </c>
      <c r="K49" s="58">
        <v>90001</v>
      </c>
      <c r="L49" s="58" t="s">
        <v>261</v>
      </c>
      <c r="M49" s="61" t="s">
        <v>262</v>
      </c>
    </row>
    <row r="50" spans="1:13" ht="14.1" customHeight="1" x14ac:dyDescent="0.2">
      <c r="A50" s="58">
        <v>47</v>
      </c>
      <c r="B50" s="59" t="s">
        <v>266</v>
      </c>
      <c r="C50" s="59" t="s">
        <v>683</v>
      </c>
      <c r="D50" s="60" t="s">
        <v>295</v>
      </c>
      <c r="E50" s="60" t="s">
        <v>296</v>
      </c>
      <c r="F50" s="60" t="s">
        <v>297</v>
      </c>
      <c r="G50" s="60" t="s">
        <v>298</v>
      </c>
      <c r="H50" s="59" t="s">
        <v>266</v>
      </c>
      <c r="I50" s="59" t="s">
        <v>682</v>
      </c>
      <c r="J50" s="58" t="s">
        <v>299</v>
      </c>
      <c r="K50" s="58">
        <v>90001</v>
      </c>
      <c r="L50" s="58" t="s">
        <v>261</v>
      </c>
      <c r="M50" s="61" t="s">
        <v>262</v>
      </c>
    </row>
    <row r="51" spans="1:13" ht="14.1" customHeight="1" x14ac:dyDescent="0.2">
      <c r="A51" s="58">
        <v>48</v>
      </c>
      <c r="B51" s="59" t="s">
        <v>266</v>
      </c>
      <c r="C51" s="59" t="s">
        <v>684</v>
      </c>
      <c r="D51" s="60" t="s">
        <v>300</v>
      </c>
      <c r="E51" s="60" t="s">
        <v>301</v>
      </c>
      <c r="F51" s="60" t="s">
        <v>302</v>
      </c>
      <c r="G51" s="60" t="s">
        <v>303</v>
      </c>
      <c r="H51" s="59" t="s">
        <v>266</v>
      </c>
      <c r="I51" s="59" t="s">
        <v>683</v>
      </c>
      <c r="J51" s="58" t="s">
        <v>304</v>
      </c>
      <c r="K51" s="58">
        <v>90001</v>
      </c>
      <c r="L51" s="58" t="s">
        <v>261</v>
      </c>
      <c r="M51" s="61" t="s">
        <v>262</v>
      </c>
    </row>
    <row r="52" spans="1:13" ht="14.1" customHeight="1" x14ac:dyDescent="0.2">
      <c r="A52" s="58">
        <v>49</v>
      </c>
      <c r="B52" s="59" t="s">
        <v>266</v>
      </c>
      <c r="C52" s="59" t="s">
        <v>685</v>
      </c>
      <c r="D52" s="60" t="s">
        <v>305</v>
      </c>
      <c r="E52" s="60" t="s">
        <v>306</v>
      </c>
      <c r="F52" s="60" t="s">
        <v>307</v>
      </c>
      <c r="G52" s="60" t="s">
        <v>308</v>
      </c>
      <c r="H52" s="59" t="s">
        <v>266</v>
      </c>
      <c r="I52" s="59" t="s">
        <v>684</v>
      </c>
      <c r="J52" s="58" t="s">
        <v>309</v>
      </c>
      <c r="K52" s="58">
        <v>90001</v>
      </c>
      <c r="L52" s="58" t="s">
        <v>261</v>
      </c>
      <c r="M52" s="61" t="s">
        <v>262</v>
      </c>
    </row>
    <row r="53" spans="1:13" ht="14.1" customHeight="1" x14ac:dyDescent="0.2">
      <c r="A53" s="58">
        <v>50</v>
      </c>
      <c r="B53" s="59" t="s">
        <v>266</v>
      </c>
      <c r="C53" s="59" t="s">
        <v>686</v>
      </c>
      <c r="D53" s="60" t="s">
        <v>310</v>
      </c>
      <c r="E53" s="60" t="s">
        <v>311</v>
      </c>
      <c r="F53" s="60" t="s">
        <v>312</v>
      </c>
      <c r="G53" s="60" t="s">
        <v>313</v>
      </c>
      <c r="H53" s="59" t="s">
        <v>266</v>
      </c>
      <c r="I53" s="59" t="s">
        <v>685</v>
      </c>
      <c r="J53" s="58" t="s">
        <v>314</v>
      </c>
      <c r="K53" s="58">
        <v>90001</v>
      </c>
      <c r="L53" s="58" t="s">
        <v>261</v>
      </c>
      <c r="M53" s="61" t="s">
        <v>262</v>
      </c>
    </row>
    <row r="54" spans="1:13" s="11" customFormat="1" ht="14.1" customHeight="1" x14ac:dyDescent="0.2">
      <c r="A54" s="58">
        <v>51</v>
      </c>
      <c r="B54" s="59" t="s">
        <v>266</v>
      </c>
      <c r="C54" s="59" t="s">
        <v>687</v>
      </c>
      <c r="D54" s="60" t="s">
        <v>315</v>
      </c>
      <c r="E54" s="60" t="s">
        <v>316</v>
      </c>
      <c r="F54" s="60" t="s">
        <v>317</v>
      </c>
      <c r="G54" s="60" t="s">
        <v>318</v>
      </c>
      <c r="H54" s="59" t="s">
        <v>266</v>
      </c>
      <c r="I54" s="59" t="s">
        <v>686</v>
      </c>
      <c r="J54" s="58" t="s">
        <v>319</v>
      </c>
      <c r="K54" s="58">
        <v>90001</v>
      </c>
      <c r="L54" s="58" t="s">
        <v>261</v>
      </c>
      <c r="M54" s="61" t="s">
        <v>262</v>
      </c>
    </row>
    <row r="55" spans="1:13" s="11" customFormat="1" ht="14.1" customHeight="1" x14ac:dyDescent="0.2">
      <c r="A55" s="58">
        <v>52</v>
      </c>
      <c r="B55" s="59" t="s">
        <v>266</v>
      </c>
      <c r="C55" s="59" t="s">
        <v>688</v>
      </c>
      <c r="D55" s="60" t="s">
        <v>320</v>
      </c>
      <c r="E55" s="60" t="s">
        <v>321</v>
      </c>
      <c r="F55" s="60" t="s">
        <v>322</v>
      </c>
      <c r="G55" s="60" t="s">
        <v>323</v>
      </c>
      <c r="H55" s="59" t="s">
        <v>266</v>
      </c>
      <c r="I55" s="59" t="s">
        <v>687</v>
      </c>
      <c r="J55" s="58" t="s">
        <v>324</v>
      </c>
      <c r="K55" s="58">
        <v>90001</v>
      </c>
      <c r="L55" s="58" t="s">
        <v>261</v>
      </c>
      <c r="M55" s="61" t="s">
        <v>262</v>
      </c>
    </row>
    <row r="56" spans="1:13" s="11" customFormat="1" ht="14.1" customHeight="1" x14ac:dyDescent="0.2">
      <c r="A56" s="58">
        <v>53</v>
      </c>
      <c r="B56" s="59" t="s">
        <v>266</v>
      </c>
      <c r="C56" s="59" t="s">
        <v>689</v>
      </c>
      <c r="D56" s="60" t="s">
        <v>325</v>
      </c>
      <c r="E56" s="60" t="s">
        <v>326</v>
      </c>
      <c r="F56" s="60" t="s">
        <v>327</v>
      </c>
      <c r="G56" s="60" t="s">
        <v>328</v>
      </c>
      <c r="H56" s="59" t="s">
        <v>266</v>
      </c>
      <c r="I56" s="59" t="s">
        <v>688</v>
      </c>
      <c r="J56" s="58" t="s">
        <v>329</v>
      </c>
      <c r="K56" s="58">
        <v>90001</v>
      </c>
      <c r="L56" s="58" t="s">
        <v>261</v>
      </c>
      <c r="M56" s="61" t="s">
        <v>262</v>
      </c>
    </row>
    <row r="57" spans="1:13" s="11" customFormat="1" ht="14.1" customHeight="1" x14ac:dyDescent="0.2">
      <c r="A57" s="58">
        <v>54</v>
      </c>
      <c r="B57" s="59" t="s">
        <v>266</v>
      </c>
      <c r="C57" s="59" t="s">
        <v>690</v>
      </c>
      <c r="D57" s="60" t="s">
        <v>330</v>
      </c>
      <c r="E57" s="60" t="s">
        <v>331</v>
      </c>
      <c r="F57" s="60" t="s">
        <v>332</v>
      </c>
      <c r="G57" s="60" t="s">
        <v>333</v>
      </c>
      <c r="H57" s="59" t="s">
        <v>266</v>
      </c>
      <c r="I57" s="59" t="s">
        <v>689</v>
      </c>
      <c r="J57" s="58" t="s">
        <v>334</v>
      </c>
      <c r="K57" s="58">
        <v>90001</v>
      </c>
      <c r="L57" s="58" t="s">
        <v>261</v>
      </c>
      <c r="M57" s="61" t="s">
        <v>262</v>
      </c>
    </row>
    <row r="58" spans="1:13" s="11" customFormat="1" ht="14.1" customHeight="1" x14ac:dyDescent="0.2">
      <c r="A58" s="58">
        <v>55</v>
      </c>
      <c r="B58" s="59" t="s">
        <v>266</v>
      </c>
      <c r="C58" s="59" t="s">
        <v>691</v>
      </c>
      <c r="D58" s="60" t="s">
        <v>335</v>
      </c>
      <c r="E58" s="60" t="s">
        <v>336</v>
      </c>
      <c r="F58" s="60" t="s">
        <v>337</v>
      </c>
      <c r="G58" s="60" t="s">
        <v>338</v>
      </c>
      <c r="H58" s="59" t="s">
        <v>266</v>
      </c>
      <c r="I58" s="59" t="s">
        <v>690</v>
      </c>
      <c r="J58" s="58" t="s">
        <v>339</v>
      </c>
      <c r="K58" s="58">
        <v>90001</v>
      </c>
      <c r="L58" s="58" t="s">
        <v>261</v>
      </c>
      <c r="M58" s="61" t="s">
        <v>262</v>
      </c>
    </row>
    <row r="59" spans="1:13" s="11" customFormat="1" ht="14.1" customHeight="1" x14ac:dyDescent="0.2">
      <c r="A59" s="65">
        <v>56</v>
      </c>
      <c r="B59" s="62" t="s">
        <v>340</v>
      </c>
      <c r="C59" s="62" t="s">
        <v>680</v>
      </c>
      <c r="D59" s="63" t="s">
        <v>341</v>
      </c>
      <c r="E59" s="63" t="s">
        <v>342</v>
      </c>
      <c r="F59" s="63" t="s">
        <v>343</v>
      </c>
      <c r="G59" s="63" t="s">
        <v>344</v>
      </c>
      <c r="H59" s="62" t="s">
        <v>266</v>
      </c>
      <c r="I59" s="62" t="s">
        <v>691</v>
      </c>
      <c r="J59" s="65" t="s">
        <v>261</v>
      </c>
      <c r="K59" s="65">
        <v>90001</v>
      </c>
      <c r="L59" s="65" t="s">
        <v>261</v>
      </c>
      <c r="M59" s="66" t="s">
        <v>262</v>
      </c>
    </row>
    <row r="60" spans="1:13" s="11" customFormat="1" ht="14.1" customHeight="1" x14ac:dyDescent="0.2">
      <c r="A60" s="65">
        <v>57</v>
      </c>
      <c r="B60" s="62" t="s">
        <v>340</v>
      </c>
      <c r="C60" s="62" t="s">
        <v>144</v>
      </c>
      <c r="D60" s="63" t="s">
        <v>345</v>
      </c>
      <c r="E60" s="63" t="s">
        <v>346</v>
      </c>
      <c r="F60" s="63" t="s">
        <v>347</v>
      </c>
      <c r="G60" s="63" t="s">
        <v>348</v>
      </c>
      <c r="H60" s="62" t="s">
        <v>340</v>
      </c>
      <c r="I60" s="62" t="s">
        <v>680</v>
      </c>
      <c r="J60" s="65" t="s">
        <v>223</v>
      </c>
      <c r="K60" s="65">
        <v>90001</v>
      </c>
      <c r="L60" s="65" t="s">
        <v>261</v>
      </c>
      <c r="M60" s="66" t="s">
        <v>262</v>
      </c>
    </row>
    <row r="61" spans="1:13" s="11" customFormat="1" ht="14.1" customHeight="1" x14ac:dyDescent="0.2">
      <c r="A61" s="65">
        <v>58</v>
      </c>
      <c r="B61" s="62" t="s">
        <v>340</v>
      </c>
      <c r="C61" s="62" t="s">
        <v>221</v>
      </c>
      <c r="D61" s="63" t="s">
        <v>349</v>
      </c>
      <c r="E61" s="63" t="s">
        <v>350</v>
      </c>
      <c r="F61" s="63" t="s">
        <v>351</v>
      </c>
      <c r="G61" s="63" t="s">
        <v>352</v>
      </c>
      <c r="H61" s="62" t="s">
        <v>340</v>
      </c>
      <c r="I61" s="62" t="s">
        <v>144</v>
      </c>
      <c r="J61" s="65" t="s">
        <v>263</v>
      </c>
      <c r="K61" s="65">
        <v>90001</v>
      </c>
      <c r="L61" s="65" t="s">
        <v>261</v>
      </c>
      <c r="M61" s="66" t="s">
        <v>262</v>
      </c>
    </row>
    <row r="62" spans="1:13" s="11" customFormat="1" ht="14.1" customHeight="1" x14ac:dyDescent="0.2">
      <c r="A62" s="65">
        <v>59</v>
      </c>
      <c r="B62" s="62" t="s">
        <v>340</v>
      </c>
      <c r="C62" s="62" t="s">
        <v>266</v>
      </c>
      <c r="D62" s="63" t="s">
        <v>353</v>
      </c>
      <c r="E62" s="63" t="s">
        <v>354</v>
      </c>
      <c r="F62" s="63" t="s">
        <v>355</v>
      </c>
      <c r="G62" s="63" t="s">
        <v>356</v>
      </c>
      <c r="H62" s="62" t="s">
        <v>340</v>
      </c>
      <c r="I62" s="62" t="s">
        <v>221</v>
      </c>
      <c r="J62" s="65" t="s">
        <v>264</v>
      </c>
      <c r="K62" s="65">
        <v>90001</v>
      </c>
      <c r="L62" s="65" t="s">
        <v>261</v>
      </c>
      <c r="M62" s="66" t="s">
        <v>262</v>
      </c>
    </row>
    <row r="63" spans="1:13" s="11" customFormat="1" ht="14.1" customHeight="1" x14ac:dyDescent="0.2">
      <c r="A63" s="65">
        <v>60</v>
      </c>
      <c r="B63" s="62" t="s">
        <v>340</v>
      </c>
      <c r="C63" s="62" t="s">
        <v>340</v>
      </c>
      <c r="D63" s="63" t="s">
        <v>357</v>
      </c>
      <c r="E63" s="63" t="s">
        <v>358</v>
      </c>
      <c r="F63" s="63" t="s">
        <v>359</v>
      </c>
      <c r="G63" s="63" t="s">
        <v>360</v>
      </c>
      <c r="H63" s="62" t="s">
        <v>340</v>
      </c>
      <c r="I63" s="62" t="s">
        <v>266</v>
      </c>
      <c r="J63" s="65" t="s">
        <v>265</v>
      </c>
      <c r="K63" s="65">
        <v>90001</v>
      </c>
      <c r="L63" s="65" t="s">
        <v>261</v>
      </c>
      <c r="M63" s="66" t="s">
        <v>262</v>
      </c>
    </row>
    <row r="64" spans="1:13" s="11" customFormat="1" ht="14.1" customHeight="1" x14ac:dyDescent="0.2">
      <c r="A64" s="65">
        <v>61</v>
      </c>
      <c r="B64" s="62" t="s">
        <v>340</v>
      </c>
      <c r="C64" s="62" t="s">
        <v>681</v>
      </c>
      <c r="D64" s="63" t="s">
        <v>361</v>
      </c>
      <c r="E64" s="63" t="s">
        <v>362</v>
      </c>
      <c r="F64" s="63" t="s">
        <v>363</v>
      </c>
      <c r="G64" s="63" t="s">
        <v>364</v>
      </c>
      <c r="H64" s="62" t="s">
        <v>340</v>
      </c>
      <c r="I64" s="62" t="s">
        <v>340</v>
      </c>
      <c r="J64" s="65" t="s">
        <v>229</v>
      </c>
      <c r="K64" s="65">
        <v>90001</v>
      </c>
      <c r="L64" s="65" t="s">
        <v>261</v>
      </c>
      <c r="M64" s="66" t="s">
        <v>262</v>
      </c>
    </row>
    <row r="65" spans="1:13" s="11" customFormat="1" ht="14.1" customHeight="1" x14ac:dyDescent="0.2">
      <c r="A65" s="65">
        <v>62</v>
      </c>
      <c r="B65" s="62" t="s">
        <v>340</v>
      </c>
      <c r="C65" s="62" t="s">
        <v>682</v>
      </c>
      <c r="D65" s="63" t="s">
        <v>365</v>
      </c>
      <c r="E65" s="63" t="s">
        <v>366</v>
      </c>
      <c r="F65" s="63" t="s">
        <v>367</v>
      </c>
      <c r="G65" s="63" t="s">
        <v>368</v>
      </c>
      <c r="H65" s="62" t="s">
        <v>340</v>
      </c>
      <c r="I65" s="62" t="s">
        <v>681</v>
      </c>
      <c r="J65" s="65" t="s">
        <v>230</v>
      </c>
      <c r="K65" s="65">
        <v>90001</v>
      </c>
      <c r="L65" s="65" t="s">
        <v>261</v>
      </c>
      <c r="M65" s="66" t="s">
        <v>262</v>
      </c>
    </row>
    <row r="66" spans="1:13" s="11" customFormat="1" ht="14.1" customHeight="1" x14ac:dyDescent="0.2">
      <c r="A66" s="65">
        <v>63</v>
      </c>
      <c r="B66" s="62" t="s">
        <v>340</v>
      </c>
      <c r="C66" s="62" t="s">
        <v>683</v>
      </c>
      <c r="D66" s="63" t="s">
        <v>369</v>
      </c>
      <c r="E66" s="63" t="s">
        <v>370</v>
      </c>
      <c r="F66" s="63" t="s">
        <v>371</v>
      </c>
      <c r="G66" s="63" t="s">
        <v>372</v>
      </c>
      <c r="H66" s="62" t="s">
        <v>340</v>
      </c>
      <c r="I66" s="62" t="s">
        <v>682</v>
      </c>
      <c r="J66" s="65" t="s">
        <v>299</v>
      </c>
      <c r="K66" s="65">
        <v>90001</v>
      </c>
      <c r="L66" s="65" t="s">
        <v>261</v>
      </c>
      <c r="M66" s="66" t="s">
        <v>262</v>
      </c>
    </row>
    <row r="67" spans="1:13" s="11" customFormat="1" ht="14.1" customHeight="1" x14ac:dyDescent="0.2">
      <c r="A67" s="65">
        <v>64</v>
      </c>
      <c r="B67" s="62" t="s">
        <v>340</v>
      </c>
      <c r="C67" s="62" t="s">
        <v>684</v>
      </c>
      <c r="D67" s="63" t="s">
        <v>373</v>
      </c>
      <c r="E67" s="63" t="s">
        <v>374</v>
      </c>
      <c r="F67" s="63" t="s">
        <v>375</v>
      </c>
      <c r="G67" s="63" t="s">
        <v>376</v>
      </c>
      <c r="H67" s="62" t="s">
        <v>340</v>
      </c>
      <c r="I67" s="62" t="s">
        <v>683</v>
      </c>
      <c r="J67" s="65" t="s">
        <v>304</v>
      </c>
      <c r="K67" s="65">
        <v>90001</v>
      </c>
      <c r="L67" s="65" t="s">
        <v>261</v>
      </c>
      <c r="M67" s="66" t="s">
        <v>262</v>
      </c>
    </row>
    <row r="68" spans="1:13" s="11" customFormat="1" ht="14.1" customHeight="1" x14ac:dyDescent="0.2">
      <c r="A68" s="65">
        <v>65</v>
      </c>
      <c r="B68" s="62" t="s">
        <v>340</v>
      </c>
      <c r="C68" s="62" t="s">
        <v>685</v>
      </c>
      <c r="D68" s="63" t="s">
        <v>377</v>
      </c>
      <c r="E68" s="63" t="s">
        <v>378</v>
      </c>
      <c r="F68" s="63" t="s">
        <v>379</v>
      </c>
      <c r="G68" s="63" t="s">
        <v>380</v>
      </c>
      <c r="H68" s="62" t="s">
        <v>340</v>
      </c>
      <c r="I68" s="62" t="s">
        <v>684</v>
      </c>
      <c r="J68" s="65" t="s">
        <v>309</v>
      </c>
      <c r="K68" s="65">
        <v>90001</v>
      </c>
      <c r="L68" s="65" t="s">
        <v>261</v>
      </c>
      <c r="M68" s="66" t="s">
        <v>262</v>
      </c>
    </row>
    <row r="69" spans="1:13" s="11" customFormat="1" ht="14.1" customHeight="1" x14ac:dyDescent="0.2">
      <c r="A69" s="65">
        <v>66</v>
      </c>
      <c r="B69" s="62" t="s">
        <v>340</v>
      </c>
      <c r="C69" s="62" t="s">
        <v>686</v>
      </c>
      <c r="D69" s="63" t="s">
        <v>381</v>
      </c>
      <c r="E69" s="63" t="s">
        <v>382</v>
      </c>
      <c r="F69" s="63" t="s">
        <v>383</v>
      </c>
      <c r="G69" s="63" t="s">
        <v>384</v>
      </c>
      <c r="H69" s="62" t="s">
        <v>340</v>
      </c>
      <c r="I69" s="62" t="s">
        <v>685</v>
      </c>
      <c r="J69" s="65" t="s">
        <v>314</v>
      </c>
      <c r="K69" s="65">
        <v>90001</v>
      </c>
      <c r="L69" s="65" t="s">
        <v>261</v>
      </c>
      <c r="M69" s="66" t="s">
        <v>262</v>
      </c>
    </row>
    <row r="70" spans="1:13" s="11" customFormat="1" ht="14.1" customHeight="1" x14ac:dyDescent="0.2">
      <c r="A70" s="65">
        <v>67</v>
      </c>
      <c r="B70" s="62" t="s">
        <v>340</v>
      </c>
      <c r="C70" s="62" t="s">
        <v>687</v>
      </c>
      <c r="D70" s="63" t="s">
        <v>385</v>
      </c>
      <c r="E70" s="63" t="s">
        <v>386</v>
      </c>
      <c r="F70" s="63" t="s">
        <v>399</v>
      </c>
      <c r="G70" s="63" t="s">
        <v>388</v>
      </c>
      <c r="H70" s="62" t="s">
        <v>340</v>
      </c>
      <c r="I70" s="62" t="s">
        <v>686</v>
      </c>
      <c r="J70" s="65" t="s">
        <v>319</v>
      </c>
      <c r="K70" s="65">
        <v>90001</v>
      </c>
      <c r="L70" s="65" t="s">
        <v>261</v>
      </c>
      <c r="M70" s="66" t="s">
        <v>262</v>
      </c>
    </row>
    <row r="71" spans="1:13" ht="14.1" customHeight="1" x14ac:dyDescent="0.2">
      <c r="A71" s="58">
        <v>68</v>
      </c>
      <c r="B71" s="59" t="s">
        <v>397</v>
      </c>
      <c r="C71" s="59" t="s">
        <v>680</v>
      </c>
      <c r="D71" s="60" t="s">
        <v>409</v>
      </c>
      <c r="E71" s="60" t="s">
        <v>410</v>
      </c>
      <c r="F71" s="60" t="s">
        <v>411</v>
      </c>
      <c r="G71" s="60" t="s">
        <v>412</v>
      </c>
      <c r="H71" s="59" t="s">
        <v>398</v>
      </c>
      <c r="I71" s="59" t="s">
        <v>687</v>
      </c>
      <c r="J71" s="58" t="s">
        <v>261</v>
      </c>
      <c r="K71" s="58">
        <v>90001</v>
      </c>
      <c r="L71" s="58" t="s">
        <v>261</v>
      </c>
      <c r="M71" s="61" t="s">
        <v>262</v>
      </c>
    </row>
    <row r="72" spans="1:13" ht="14.1" customHeight="1" x14ac:dyDescent="0.2">
      <c r="A72" s="58">
        <v>69</v>
      </c>
      <c r="B72" s="59" t="s">
        <v>397</v>
      </c>
      <c r="C72" s="59" t="s">
        <v>144</v>
      </c>
      <c r="D72" s="60" t="s">
        <v>413</v>
      </c>
      <c r="E72" s="60" t="s">
        <v>414</v>
      </c>
      <c r="F72" s="60" t="s">
        <v>415</v>
      </c>
      <c r="G72" s="60" t="s">
        <v>416</v>
      </c>
      <c r="H72" s="59" t="s">
        <v>397</v>
      </c>
      <c r="I72" s="59" t="s">
        <v>680</v>
      </c>
      <c r="J72" s="58" t="s">
        <v>223</v>
      </c>
      <c r="K72" s="58">
        <v>90001</v>
      </c>
      <c r="L72" s="58" t="s">
        <v>261</v>
      </c>
      <c r="M72" s="61" t="s">
        <v>262</v>
      </c>
    </row>
    <row r="73" spans="1:13" ht="14.1" customHeight="1" x14ac:dyDescent="0.2">
      <c r="A73" s="58">
        <v>70</v>
      </c>
      <c r="B73" s="59" t="s">
        <v>397</v>
      </c>
      <c r="C73" s="59" t="s">
        <v>221</v>
      </c>
      <c r="D73" s="60" t="s">
        <v>417</v>
      </c>
      <c r="E73" s="60" t="s">
        <v>418</v>
      </c>
      <c r="F73" s="60" t="s">
        <v>419</v>
      </c>
      <c r="G73" s="60" t="s">
        <v>420</v>
      </c>
      <c r="H73" s="59" t="s">
        <v>397</v>
      </c>
      <c r="I73" s="59" t="s">
        <v>144</v>
      </c>
      <c r="J73" s="58" t="s">
        <v>263</v>
      </c>
      <c r="K73" s="58">
        <v>90001</v>
      </c>
      <c r="L73" s="58" t="s">
        <v>261</v>
      </c>
      <c r="M73" s="61" t="s">
        <v>262</v>
      </c>
    </row>
    <row r="74" spans="1:13" ht="14.1" customHeight="1" x14ac:dyDescent="0.2">
      <c r="A74" s="58">
        <v>71</v>
      </c>
      <c r="B74" s="59" t="s">
        <v>397</v>
      </c>
      <c r="C74" s="59" t="s">
        <v>266</v>
      </c>
      <c r="D74" s="60" t="s">
        <v>421</v>
      </c>
      <c r="E74" s="60" t="s">
        <v>422</v>
      </c>
      <c r="F74" s="60" t="s">
        <v>423</v>
      </c>
      <c r="G74" s="60" t="s">
        <v>424</v>
      </c>
      <c r="H74" s="59" t="s">
        <v>397</v>
      </c>
      <c r="I74" s="59" t="s">
        <v>221</v>
      </c>
      <c r="J74" s="58" t="s">
        <v>264</v>
      </c>
      <c r="K74" s="58">
        <v>90001</v>
      </c>
      <c r="L74" s="58" t="s">
        <v>261</v>
      </c>
      <c r="M74" s="61" t="s">
        <v>262</v>
      </c>
    </row>
    <row r="75" spans="1:13" ht="14.1" customHeight="1" x14ac:dyDescent="0.2">
      <c r="A75" s="58">
        <v>72</v>
      </c>
      <c r="B75" s="59" t="s">
        <v>397</v>
      </c>
      <c r="C75" s="59" t="s">
        <v>340</v>
      </c>
      <c r="D75" s="60" t="s">
        <v>425</v>
      </c>
      <c r="E75" s="60" t="s">
        <v>426</v>
      </c>
      <c r="F75" s="60" t="s">
        <v>427</v>
      </c>
      <c r="G75" s="60" t="s">
        <v>428</v>
      </c>
      <c r="H75" s="59" t="s">
        <v>397</v>
      </c>
      <c r="I75" s="59" t="s">
        <v>266</v>
      </c>
      <c r="J75" s="58" t="s">
        <v>265</v>
      </c>
      <c r="K75" s="58">
        <v>90001</v>
      </c>
      <c r="L75" s="58" t="s">
        <v>261</v>
      </c>
      <c r="M75" s="61" t="s">
        <v>262</v>
      </c>
    </row>
    <row r="76" spans="1:13" ht="14.1" customHeight="1" x14ac:dyDescent="0.2">
      <c r="A76" s="58">
        <v>73</v>
      </c>
      <c r="B76" s="59" t="s">
        <v>397</v>
      </c>
      <c r="C76" s="59" t="s">
        <v>681</v>
      </c>
      <c r="D76" s="60" t="s">
        <v>429</v>
      </c>
      <c r="E76" s="60" t="s">
        <v>430</v>
      </c>
      <c r="F76" s="60" t="s">
        <v>431</v>
      </c>
      <c r="G76" s="60" t="s">
        <v>432</v>
      </c>
      <c r="H76" s="59" t="s">
        <v>397</v>
      </c>
      <c r="I76" s="59" t="s">
        <v>340</v>
      </c>
      <c r="J76" s="58" t="s">
        <v>229</v>
      </c>
      <c r="K76" s="58">
        <v>90001</v>
      </c>
      <c r="L76" s="58" t="s">
        <v>261</v>
      </c>
      <c r="M76" s="61" t="s">
        <v>262</v>
      </c>
    </row>
    <row r="77" spans="1:13" ht="14.1" customHeight="1" x14ac:dyDescent="0.2">
      <c r="A77" s="58">
        <v>74</v>
      </c>
      <c r="B77" s="59" t="s">
        <v>397</v>
      </c>
      <c r="C77" s="59" t="s">
        <v>682</v>
      </c>
      <c r="D77" s="60" t="s">
        <v>433</v>
      </c>
      <c r="E77" s="60" t="s">
        <v>434</v>
      </c>
      <c r="F77" s="60" t="s">
        <v>435</v>
      </c>
      <c r="G77" s="60" t="s">
        <v>436</v>
      </c>
      <c r="H77" s="59" t="s">
        <v>397</v>
      </c>
      <c r="I77" s="59" t="s">
        <v>681</v>
      </c>
      <c r="J77" s="58" t="s">
        <v>230</v>
      </c>
      <c r="K77" s="58">
        <v>90001</v>
      </c>
      <c r="L77" s="58" t="s">
        <v>261</v>
      </c>
      <c r="M77" s="61" t="s">
        <v>262</v>
      </c>
    </row>
    <row r="78" spans="1:13" ht="14.1" customHeight="1" x14ac:dyDescent="0.2">
      <c r="A78" s="58">
        <v>75</v>
      </c>
      <c r="B78" s="59" t="s">
        <v>397</v>
      </c>
      <c r="C78" s="59" t="s">
        <v>683</v>
      </c>
      <c r="D78" s="60" t="s">
        <v>437</v>
      </c>
      <c r="E78" s="60" t="s">
        <v>438</v>
      </c>
      <c r="F78" s="60" t="s">
        <v>439</v>
      </c>
      <c r="G78" s="60" t="s">
        <v>440</v>
      </c>
      <c r="H78" s="59" t="s">
        <v>397</v>
      </c>
      <c r="I78" s="59" t="s">
        <v>682</v>
      </c>
      <c r="J78" s="58" t="s">
        <v>299</v>
      </c>
      <c r="K78" s="58">
        <v>90001</v>
      </c>
      <c r="L78" s="58" t="s">
        <v>261</v>
      </c>
      <c r="M78" s="61" t="s">
        <v>262</v>
      </c>
    </row>
    <row r="79" spans="1:13" ht="14.1" customHeight="1" x14ac:dyDescent="0.2">
      <c r="A79" s="58">
        <v>76</v>
      </c>
      <c r="B79" s="59" t="s">
        <v>397</v>
      </c>
      <c r="C79" s="59" t="s">
        <v>684</v>
      </c>
      <c r="D79" s="60" t="s">
        <v>441</v>
      </c>
      <c r="E79" s="60" t="s">
        <v>442</v>
      </c>
      <c r="F79" s="60" t="s">
        <v>443</v>
      </c>
      <c r="G79" s="60" t="s">
        <v>444</v>
      </c>
      <c r="H79" s="59" t="s">
        <v>397</v>
      </c>
      <c r="I79" s="59" t="s">
        <v>683</v>
      </c>
      <c r="J79" s="58" t="s">
        <v>304</v>
      </c>
      <c r="K79" s="58">
        <v>90001</v>
      </c>
      <c r="L79" s="58" t="s">
        <v>261</v>
      </c>
      <c r="M79" s="61" t="s">
        <v>262</v>
      </c>
    </row>
    <row r="80" spans="1:13" ht="14.1" customHeight="1" x14ac:dyDescent="0.2">
      <c r="A80" s="58">
        <v>77</v>
      </c>
      <c r="B80" s="59" t="s">
        <v>397</v>
      </c>
      <c r="C80" s="59" t="s">
        <v>685</v>
      </c>
      <c r="D80" s="60" t="s">
        <v>445</v>
      </c>
      <c r="E80" s="60" t="s">
        <v>446</v>
      </c>
      <c r="F80" s="60" t="s">
        <v>447</v>
      </c>
      <c r="G80" s="60" t="s">
        <v>448</v>
      </c>
      <c r="H80" s="59" t="s">
        <v>397</v>
      </c>
      <c r="I80" s="59" t="s">
        <v>684</v>
      </c>
      <c r="J80" s="58" t="s">
        <v>309</v>
      </c>
      <c r="K80" s="58">
        <v>90001</v>
      </c>
      <c r="L80" s="58" t="s">
        <v>261</v>
      </c>
      <c r="M80" s="61" t="s">
        <v>262</v>
      </c>
    </row>
    <row r="81" spans="1:13" ht="14.1" customHeight="1" x14ac:dyDescent="0.2">
      <c r="A81" s="58">
        <v>78</v>
      </c>
      <c r="B81" s="59" t="s">
        <v>397</v>
      </c>
      <c r="C81" s="59" t="s">
        <v>686</v>
      </c>
      <c r="D81" s="60" t="s">
        <v>449</v>
      </c>
      <c r="E81" s="60" t="s">
        <v>450</v>
      </c>
      <c r="F81" s="60" t="s">
        <v>451</v>
      </c>
      <c r="G81" s="60" t="s">
        <v>452</v>
      </c>
      <c r="H81" s="59" t="s">
        <v>397</v>
      </c>
      <c r="I81" s="59" t="s">
        <v>685</v>
      </c>
      <c r="J81" s="58" t="s">
        <v>314</v>
      </c>
      <c r="K81" s="58">
        <v>90001</v>
      </c>
      <c r="L81" s="58" t="s">
        <v>261</v>
      </c>
      <c r="M81" s="61" t="s">
        <v>262</v>
      </c>
    </row>
    <row r="82" spans="1:13" ht="14.1" customHeight="1" x14ac:dyDescent="0.2">
      <c r="A82" s="58">
        <v>79</v>
      </c>
      <c r="B82" s="59" t="s">
        <v>397</v>
      </c>
      <c r="C82" s="59" t="s">
        <v>687</v>
      </c>
      <c r="D82" s="60" t="s">
        <v>453</v>
      </c>
      <c r="E82" s="60" t="s">
        <v>454</v>
      </c>
      <c r="F82" s="60" t="s">
        <v>455</v>
      </c>
      <c r="G82" s="60" t="s">
        <v>456</v>
      </c>
      <c r="H82" s="59" t="s">
        <v>397</v>
      </c>
      <c r="I82" s="59" t="s">
        <v>686</v>
      </c>
      <c r="J82" s="58" t="s">
        <v>319</v>
      </c>
      <c r="K82" s="58">
        <v>90001</v>
      </c>
      <c r="L82" s="58" t="s">
        <v>261</v>
      </c>
      <c r="M82" s="61" t="s">
        <v>262</v>
      </c>
    </row>
    <row r="83" spans="1:13" ht="14.1" customHeight="1" x14ac:dyDescent="0.2">
      <c r="A83" s="82">
        <v>80</v>
      </c>
      <c r="B83" s="83" t="s">
        <v>461</v>
      </c>
      <c r="C83" s="83" t="s">
        <v>680</v>
      </c>
      <c r="D83" s="83" t="s">
        <v>462</v>
      </c>
      <c r="E83" s="83" t="s">
        <v>463</v>
      </c>
      <c r="F83" s="83" t="s">
        <v>464</v>
      </c>
      <c r="G83" s="83" t="s">
        <v>465</v>
      </c>
      <c r="H83" s="83" t="s">
        <v>397</v>
      </c>
      <c r="I83" s="83" t="s">
        <v>687</v>
      </c>
      <c r="J83" s="83" t="s">
        <v>261</v>
      </c>
      <c r="K83" s="82">
        <v>90001</v>
      </c>
      <c r="L83" s="82" t="s">
        <v>261</v>
      </c>
      <c r="M83" s="83" t="s">
        <v>262</v>
      </c>
    </row>
    <row r="84" spans="1:13" ht="14.1" customHeight="1" x14ac:dyDescent="0.2">
      <c r="A84" s="82">
        <v>81</v>
      </c>
      <c r="B84" s="83" t="s">
        <v>461</v>
      </c>
      <c r="C84" s="83" t="s">
        <v>144</v>
      </c>
      <c r="D84" s="83" t="s">
        <v>466</v>
      </c>
      <c r="E84" s="83" t="s">
        <v>467</v>
      </c>
      <c r="F84" s="83" t="s">
        <v>468</v>
      </c>
      <c r="G84" s="83" t="s">
        <v>469</v>
      </c>
      <c r="H84" s="83" t="s">
        <v>461</v>
      </c>
      <c r="I84" s="83" t="s">
        <v>680</v>
      </c>
      <c r="J84" s="83" t="s">
        <v>223</v>
      </c>
      <c r="K84" s="82">
        <v>90001</v>
      </c>
      <c r="L84" s="82" t="s">
        <v>261</v>
      </c>
      <c r="M84" s="83" t="s">
        <v>262</v>
      </c>
    </row>
    <row r="85" spans="1:13" ht="14.1" customHeight="1" x14ac:dyDescent="0.2">
      <c r="A85" s="82">
        <v>82</v>
      </c>
      <c r="B85" s="83" t="s">
        <v>461</v>
      </c>
      <c r="C85" s="83" t="s">
        <v>221</v>
      </c>
      <c r="D85" s="83" t="s">
        <v>470</v>
      </c>
      <c r="E85" s="83" t="s">
        <v>471</v>
      </c>
      <c r="F85" s="83" t="s">
        <v>472</v>
      </c>
      <c r="G85" s="83" t="s">
        <v>473</v>
      </c>
      <c r="H85" s="83" t="s">
        <v>461</v>
      </c>
      <c r="I85" s="83" t="s">
        <v>144</v>
      </c>
      <c r="J85" s="83" t="s">
        <v>263</v>
      </c>
      <c r="K85" s="82">
        <v>90001</v>
      </c>
      <c r="L85" s="82" t="s">
        <v>261</v>
      </c>
      <c r="M85" s="83" t="s">
        <v>262</v>
      </c>
    </row>
    <row r="86" spans="1:13" ht="14.1" customHeight="1" x14ac:dyDescent="0.2">
      <c r="A86" s="82">
        <v>83</v>
      </c>
      <c r="B86" s="83" t="s">
        <v>461</v>
      </c>
      <c r="C86" s="83" t="s">
        <v>266</v>
      </c>
      <c r="D86" s="83" t="s">
        <v>474</v>
      </c>
      <c r="E86" s="83" t="s">
        <v>475</v>
      </c>
      <c r="F86" s="83" t="s">
        <v>476</v>
      </c>
      <c r="G86" s="83" t="s">
        <v>477</v>
      </c>
      <c r="H86" s="83" t="s">
        <v>461</v>
      </c>
      <c r="I86" s="83" t="s">
        <v>221</v>
      </c>
      <c r="J86" s="83" t="s">
        <v>264</v>
      </c>
      <c r="K86" s="82">
        <v>90001</v>
      </c>
      <c r="L86" s="82" t="s">
        <v>261</v>
      </c>
      <c r="M86" s="83" t="s">
        <v>262</v>
      </c>
    </row>
    <row r="87" spans="1:13" ht="14.1" customHeight="1" x14ac:dyDescent="0.2">
      <c r="A87" s="82">
        <v>84</v>
      </c>
      <c r="B87" s="83" t="s">
        <v>461</v>
      </c>
      <c r="C87" s="83" t="s">
        <v>340</v>
      </c>
      <c r="D87" s="83" t="s">
        <v>478</v>
      </c>
      <c r="E87" s="83" t="s">
        <v>479</v>
      </c>
      <c r="F87" s="83" t="s">
        <v>480</v>
      </c>
      <c r="G87" s="83" t="s">
        <v>481</v>
      </c>
      <c r="H87" s="83" t="s">
        <v>461</v>
      </c>
      <c r="I87" s="83" t="s">
        <v>266</v>
      </c>
      <c r="J87" s="83" t="s">
        <v>265</v>
      </c>
      <c r="K87" s="82">
        <v>90001</v>
      </c>
      <c r="L87" s="82" t="s">
        <v>261</v>
      </c>
      <c r="M87" s="83" t="s">
        <v>262</v>
      </c>
    </row>
    <row r="88" spans="1:13" ht="14.1" customHeight="1" x14ac:dyDescent="0.2">
      <c r="A88" s="82">
        <v>85</v>
      </c>
      <c r="B88" s="83" t="s">
        <v>461</v>
      </c>
      <c r="C88" s="83" t="s">
        <v>681</v>
      </c>
      <c r="D88" s="83" t="s">
        <v>482</v>
      </c>
      <c r="E88" s="83" t="s">
        <v>483</v>
      </c>
      <c r="F88" s="83" t="s">
        <v>484</v>
      </c>
      <c r="G88" s="83" t="s">
        <v>485</v>
      </c>
      <c r="H88" s="83" t="s">
        <v>461</v>
      </c>
      <c r="I88" s="83" t="s">
        <v>340</v>
      </c>
      <c r="J88" s="83" t="s">
        <v>229</v>
      </c>
      <c r="K88" s="82">
        <v>90001</v>
      </c>
      <c r="L88" s="82" t="s">
        <v>261</v>
      </c>
      <c r="M88" s="83" t="s">
        <v>262</v>
      </c>
    </row>
    <row r="89" spans="1:13" ht="14.1" customHeight="1" x14ac:dyDescent="0.2">
      <c r="A89" s="82">
        <v>86</v>
      </c>
      <c r="B89" s="83" t="s">
        <v>461</v>
      </c>
      <c r="C89" s="83" t="s">
        <v>682</v>
      </c>
      <c r="D89" s="83" t="s">
        <v>486</v>
      </c>
      <c r="E89" s="83" t="s">
        <v>487</v>
      </c>
      <c r="F89" s="83" t="s">
        <v>488</v>
      </c>
      <c r="G89" s="83" t="s">
        <v>489</v>
      </c>
      <c r="H89" s="83" t="s">
        <v>461</v>
      </c>
      <c r="I89" s="83" t="s">
        <v>681</v>
      </c>
      <c r="J89" s="83" t="s">
        <v>230</v>
      </c>
      <c r="K89" s="82">
        <v>90001</v>
      </c>
      <c r="L89" s="82" t="s">
        <v>261</v>
      </c>
      <c r="M89" s="83" t="s">
        <v>262</v>
      </c>
    </row>
    <row r="90" spans="1:13" ht="14.1" customHeight="1" x14ac:dyDescent="0.2">
      <c r="A90" s="82">
        <v>87</v>
      </c>
      <c r="B90" s="83" t="s">
        <v>461</v>
      </c>
      <c r="C90" s="83" t="s">
        <v>683</v>
      </c>
      <c r="D90" s="83" t="s">
        <v>490</v>
      </c>
      <c r="E90" s="83" t="s">
        <v>491</v>
      </c>
      <c r="F90" s="83" t="s">
        <v>492</v>
      </c>
      <c r="G90" s="83" t="s">
        <v>493</v>
      </c>
      <c r="H90" s="83" t="s">
        <v>461</v>
      </c>
      <c r="I90" s="83" t="s">
        <v>682</v>
      </c>
      <c r="J90" s="83" t="s">
        <v>299</v>
      </c>
      <c r="K90" s="82">
        <v>90001</v>
      </c>
      <c r="L90" s="82" t="s">
        <v>261</v>
      </c>
      <c r="M90" s="83" t="s">
        <v>262</v>
      </c>
    </row>
    <row r="91" spans="1:13" ht="14.1" customHeight="1" x14ac:dyDescent="0.2">
      <c r="A91" s="82">
        <v>88</v>
      </c>
      <c r="B91" s="83" t="s">
        <v>461</v>
      </c>
      <c r="C91" s="83" t="s">
        <v>684</v>
      </c>
      <c r="D91" s="83" t="s">
        <v>494</v>
      </c>
      <c r="E91" s="83" t="s">
        <v>495</v>
      </c>
      <c r="F91" s="83" t="s">
        <v>496</v>
      </c>
      <c r="G91" s="83" t="s">
        <v>497</v>
      </c>
      <c r="H91" s="83" t="s">
        <v>461</v>
      </c>
      <c r="I91" s="83" t="s">
        <v>683</v>
      </c>
      <c r="J91" s="83" t="s">
        <v>304</v>
      </c>
      <c r="K91" s="82">
        <v>90001</v>
      </c>
      <c r="L91" s="82" t="s">
        <v>261</v>
      </c>
      <c r="M91" s="83" t="s">
        <v>262</v>
      </c>
    </row>
    <row r="92" spans="1:13" ht="14.1" customHeight="1" x14ac:dyDescent="0.2">
      <c r="A92" s="82">
        <v>89</v>
      </c>
      <c r="B92" s="83" t="s">
        <v>461</v>
      </c>
      <c r="C92" s="83" t="s">
        <v>685</v>
      </c>
      <c r="D92" s="83" t="s">
        <v>498</v>
      </c>
      <c r="E92" s="83" t="s">
        <v>499</v>
      </c>
      <c r="F92" s="83" t="s">
        <v>500</v>
      </c>
      <c r="G92" s="83" t="s">
        <v>501</v>
      </c>
      <c r="H92" s="83" t="s">
        <v>461</v>
      </c>
      <c r="I92" s="83" t="s">
        <v>684</v>
      </c>
      <c r="J92" s="83" t="s">
        <v>309</v>
      </c>
      <c r="K92" s="82">
        <v>90001</v>
      </c>
      <c r="L92" s="82" t="s">
        <v>261</v>
      </c>
      <c r="M92" s="83" t="s">
        <v>262</v>
      </c>
    </row>
    <row r="93" spans="1:13" ht="14.1" customHeight="1" x14ac:dyDescent="0.2">
      <c r="A93" s="82">
        <v>90</v>
      </c>
      <c r="B93" s="83" t="s">
        <v>461</v>
      </c>
      <c r="C93" s="83" t="s">
        <v>686</v>
      </c>
      <c r="D93" s="83" t="s">
        <v>502</v>
      </c>
      <c r="E93" s="83" t="s">
        <v>503</v>
      </c>
      <c r="F93" s="83" t="s">
        <v>504</v>
      </c>
      <c r="G93" s="83" t="s">
        <v>505</v>
      </c>
      <c r="H93" s="83" t="s">
        <v>461</v>
      </c>
      <c r="I93" s="83" t="s">
        <v>685</v>
      </c>
      <c r="J93" s="83" t="s">
        <v>314</v>
      </c>
      <c r="K93" s="82">
        <v>90001</v>
      </c>
      <c r="L93" s="82" t="s">
        <v>261</v>
      </c>
      <c r="M93" s="83" t="s">
        <v>262</v>
      </c>
    </row>
    <row r="94" spans="1:13" ht="14.1" customHeight="1" x14ac:dyDescent="0.2">
      <c r="A94" s="82">
        <v>91</v>
      </c>
      <c r="B94" s="83" t="s">
        <v>461</v>
      </c>
      <c r="C94" s="83" t="s">
        <v>687</v>
      </c>
      <c r="D94" s="83" t="s">
        <v>506</v>
      </c>
      <c r="E94" s="83" t="s">
        <v>507</v>
      </c>
      <c r="F94" s="83" t="s">
        <v>508</v>
      </c>
      <c r="G94" s="83" t="s">
        <v>509</v>
      </c>
      <c r="H94" s="83" t="s">
        <v>461</v>
      </c>
      <c r="I94" s="83" t="s">
        <v>686</v>
      </c>
      <c r="J94" s="83" t="s">
        <v>319</v>
      </c>
      <c r="K94" s="82">
        <v>90001</v>
      </c>
      <c r="L94" s="82" t="s">
        <v>261</v>
      </c>
      <c r="M94" s="83" t="s">
        <v>262</v>
      </c>
    </row>
    <row r="95" spans="1:13" ht="14.1" customHeight="1" x14ac:dyDescent="0.2">
      <c r="A95" s="84">
        <v>92</v>
      </c>
      <c r="B95" s="85" t="s">
        <v>510</v>
      </c>
      <c r="C95" s="85" t="s">
        <v>680</v>
      </c>
      <c r="D95" s="85" t="s">
        <v>511</v>
      </c>
      <c r="E95" s="85" t="s">
        <v>512</v>
      </c>
      <c r="F95" s="85" t="s">
        <v>513</v>
      </c>
      <c r="G95" s="85" t="s">
        <v>514</v>
      </c>
      <c r="H95" s="85" t="s">
        <v>461</v>
      </c>
      <c r="I95" s="85" t="s">
        <v>687</v>
      </c>
      <c r="J95" s="85" t="s">
        <v>559</v>
      </c>
      <c r="K95" s="84">
        <v>90001</v>
      </c>
      <c r="L95" s="84" t="s">
        <v>261</v>
      </c>
      <c r="M95" s="85" t="s">
        <v>262</v>
      </c>
    </row>
    <row r="96" spans="1:13" ht="14.1" customHeight="1" x14ac:dyDescent="0.2">
      <c r="A96" s="84">
        <v>93</v>
      </c>
      <c r="B96" s="85" t="s">
        <v>510</v>
      </c>
      <c r="C96" s="85" t="s">
        <v>144</v>
      </c>
      <c r="D96" s="85" t="s">
        <v>515</v>
      </c>
      <c r="E96" s="85" t="s">
        <v>516</v>
      </c>
      <c r="F96" s="85" t="s">
        <v>517</v>
      </c>
      <c r="G96" s="85" t="s">
        <v>518</v>
      </c>
      <c r="H96" s="85" t="s">
        <v>510</v>
      </c>
      <c r="I96" s="85" t="s">
        <v>680</v>
      </c>
      <c r="J96" s="85" t="s">
        <v>560</v>
      </c>
      <c r="K96" s="84">
        <v>90001</v>
      </c>
      <c r="L96" s="84" t="s">
        <v>261</v>
      </c>
      <c r="M96" s="85" t="s">
        <v>262</v>
      </c>
    </row>
    <row r="97" spans="1:13" ht="14.1" customHeight="1" x14ac:dyDescent="0.2">
      <c r="A97" s="84">
        <v>94</v>
      </c>
      <c r="B97" s="85" t="s">
        <v>510</v>
      </c>
      <c r="C97" s="85" t="s">
        <v>221</v>
      </c>
      <c r="D97" s="85" t="s">
        <v>519</v>
      </c>
      <c r="E97" s="85" t="s">
        <v>520</v>
      </c>
      <c r="F97" s="85" t="s">
        <v>521</v>
      </c>
      <c r="G97" s="85" t="s">
        <v>522</v>
      </c>
      <c r="H97" s="85" t="s">
        <v>510</v>
      </c>
      <c r="I97" s="85" t="s">
        <v>144</v>
      </c>
      <c r="J97" s="85" t="s">
        <v>561</v>
      </c>
      <c r="K97" s="84">
        <v>90001</v>
      </c>
      <c r="L97" s="84" t="s">
        <v>261</v>
      </c>
      <c r="M97" s="85" t="s">
        <v>262</v>
      </c>
    </row>
    <row r="98" spans="1:13" ht="14.1" customHeight="1" x14ac:dyDescent="0.2">
      <c r="A98" s="84">
        <v>95</v>
      </c>
      <c r="B98" s="85" t="s">
        <v>510</v>
      </c>
      <c r="C98" s="85" t="s">
        <v>266</v>
      </c>
      <c r="D98" s="85" t="s">
        <v>523</v>
      </c>
      <c r="E98" s="85" t="s">
        <v>524</v>
      </c>
      <c r="F98" s="85" t="s">
        <v>525</v>
      </c>
      <c r="G98" s="85" t="s">
        <v>526</v>
      </c>
      <c r="H98" s="85" t="s">
        <v>510</v>
      </c>
      <c r="I98" s="85" t="s">
        <v>221</v>
      </c>
      <c r="J98" s="85" t="s">
        <v>562</v>
      </c>
      <c r="K98" s="84">
        <v>90001</v>
      </c>
      <c r="L98" s="84" t="s">
        <v>261</v>
      </c>
      <c r="M98" s="85" t="s">
        <v>262</v>
      </c>
    </row>
    <row r="99" spans="1:13" ht="14.1" customHeight="1" x14ac:dyDescent="0.2">
      <c r="A99" s="84">
        <v>96</v>
      </c>
      <c r="B99" s="85" t="s">
        <v>510</v>
      </c>
      <c r="C99" s="85" t="s">
        <v>340</v>
      </c>
      <c r="D99" s="85" t="s">
        <v>527</v>
      </c>
      <c r="E99" s="85" t="s">
        <v>528</v>
      </c>
      <c r="F99" s="85" t="s">
        <v>529</v>
      </c>
      <c r="G99" s="85" t="s">
        <v>530</v>
      </c>
      <c r="H99" s="85" t="s">
        <v>510</v>
      </c>
      <c r="I99" s="85" t="s">
        <v>266</v>
      </c>
      <c r="J99" s="85" t="s">
        <v>563</v>
      </c>
      <c r="K99" s="84">
        <v>90001</v>
      </c>
      <c r="L99" s="84" t="s">
        <v>261</v>
      </c>
      <c r="M99" s="85" t="s">
        <v>262</v>
      </c>
    </row>
    <row r="100" spans="1:13" ht="14.1" customHeight="1" x14ac:dyDescent="0.2">
      <c r="A100" s="84">
        <v>97</v>
      </c>
      <c r="B100" s="85" t="s">
        <v>510</v>
      </c>
      <c r="C100" s="85" t="s">
        <v>681</v>
      </c>
      <c r="D100" s="85" t="s">
        <v>531</v>
      </c>
      <c r="E100" s="85" t="s">
        <v>532</v>
      </c>
      <c r="F100" s="85" t="s">
        <v>533</v>
      </c>
      <c r="G100" s="85" t="s">
        <v>534</v>
      </c>
      <c r="H100" s="85" t="s">
        <v>510</v>
      </c>
      <c r="I100" s="85" t="s">
        <v>340</v>
      </c>
      <c r="J100" s="85" t="s">
        <v>564</v>
      </c>
      <c r="K100" s="84">
        <v>90001</v>
      </c>
      <c r="L100" s="84" t="s">
        <v>261</v>
      </c>
      <c r="M100" s="85" t="s">
        <v>262</v>
      </c>
    </row>
    <row r="101" spans="1:13" ht="14.1" customHeight="1" x14ac:dyDescent="0.2">
      <c r="A101" s="84">
        <v>98</v>
      </c>
      <c r="B101" s="85" t="s">
        <v>510</v>
      </c>
      <c r="C101" s="85" t="s">
        <v>682</v>
      </c>
      <c r="D101" s="85" t="s">
        <v>535</v>
      </c>
      <c r="E101" s="85" t="s">
        <v>536</v>
      </c>
      <c r="F101" s="85" t="s">
        <v>537</v>
      </c>
      <c r="G101" s="85" t="s">
        <v>538</v>
      </c>
      <c r="H101" s="85" t="s">
        <v>510</v>
      </c>
      <c r="I101" s="85" t="s">
        <v>681</v>
      </c>
      <c r="J101" s="85" t="s">
        <v>565</v>
      </c>
      <c r="K101" s="84">
        <v>90001</v>
      </c>
      <c r="L101" s="84" t="s">
        <v>261</v>
      </c>
      <c r="M101" s="85" t="s">
        <v>262</v>
      </c>
    </row>
    <row r="102" spans="1:13" ht="14.1" customHeight="1" x14ac:dyDescent="0.2">
      <c r="A102" s="84">
        <v>101</v>
      </c>
      <c r="B102" s="85" t="s">
        <v>510</v>
      </c>
      <c r="C102" s="85" t="s">
        <v>683</v>
      </c>
      <c r="D102" s="85" t="s">
        <v>539</v>
      </c>
      <c r="E102" s="85" t="s">
        <v>540</v>
      </c>
      <c r="F102" s="85" t="s">
        <v>541</v>
      </c>
      <c r="G102" s="85" t="s">
        <v>542</v>
      </c>
      <c r="H102" s="85" t="s">
        <v>510</v>
      </c>
      <c r="I102" s="85" t="s">
        <v>682</v>
      </c>
      <c r="J102" s="85" t="s">
        <v>566</v>
      </c>
      <c r="K102" s="84">
        <v>90001</v>
      </c>
      <c r="L102" s="84" t="s">
        <v>261</v>
      </c>
      <c r="M102" s="85" t="s">
        <v>262</v>
      </c>
    </row>
    <row r="103" spans="1:13" ht="14.1" customHeight="1" x14ac:dyDescent="0.2">
      <c r="A103" s="84">
        <v>103</v>
      </c>
      <c r="B103" s="85" t="s">
        <v>510</v>
      </c>
      <c r="C103" s="85" t="s">
        <v>684</v>
      </c>
      <c r="D103" s="85" t="s">
        <v>543</v>
      </c>
      <c r="E103" s="85" t="s">
        <v>544</v>
      </c>
      <c r="F103" s="85" t="s">
        <v>545</v>
      </c>
      <c r="G103" s="85" t="s">
        <v>546</v>
      </c>
      <c r="H103" s="85" t="s">
        <v>510</v>
      </c>
      <c r="I103" s="85" t="s">
        <v>683</v>
      </c>
      <c r="J103" s="85" t="s">
        <v>567</v>
      </c>
      <c r="K103" s="84">
        <v>90001</v>
      </c>
      <c r="L103" s="84" t="s">
        <v>261</v>
      </c>
      <c r="M103" s="85" t="s">
        <v>262</v>
      </c>
    </row>
    <row r="104" spans="1:13" ht="14.1" customHeight="1" x14ac:dyDescent="0.2">
      <c r="A104" s="84">
        <v>104</v>
      </c>
      <c r="B104" s="85" t="s">
        <v>510</v>
      </c>
      <c r="C104" s="85" t="s">
        <v>685</v>
      </c>
      <c r="D104" s="85" t="s">
        <v>547</v>
      </c>
      <c r="E104" s="85" t="s">
        <v>548</v>
      </c>
      <c r="F104" s="85" t="s">
        <v>549</v>
      </c>
      <c r="G104" s="85" t="s">
        <v>550</v>
      </c>
      <c r="H104" s="85" t="s">
        <v>510</v>
      </c>
      <c r="I104" s="85" t="s">
        <v>684</v>
      </c>
      <c r="J104" s="85" t="s">
        <v>568</v>
      </c>
      <c r="K104" s="84">
        <v>90001</v>
      </c>
      <c r="L104" s="84" t="s">
        <v>261</v>
      </c>
      <c r="M104" s="85" t="s">
        <v>262</v>
      </c>
    </row>
    <row r="105" spans="1:13" ht="14.1" customHeight="1" x14ac:dyDescent="0.2">
      <c r="A105" s="84">
        <v>105</v>
      </c>
      <c r="B105" s="85" t="s">
        <v>510</v>
      </c>
      <c r="C105" s="85" t="s">
        <v>686</v>
      </c>
      <c r="D105" s="85" t="s">
        <v>551</v>
      </c>
      <c r="E105" s="85" t="s">
        <v>552</v>
      </c>
      <c r="F105" s="85" t="s">
        <v>553</v>
      </c>
      <c r="G105" s="85" t="s">
        <v>554</v>
      </c>
      <c r="H105" s="85" t="s">
        <v>510</v>
      </c>
      <c r="I105" s="85" t="s">
        <v>685</v>
      </c>
      <c r="J105" s="85" t="s">
        <v>569</v>
      </c>
      <c r="K105" s="84">
        <v>90001</v>
      </c>
      <c r="L105" s="84" t="s">
        <v>261</v>
      </c>
      <c r="M105" s="85" t="s">
        <v>262</v>
      </c>
    </row>
    <row r="106" spans="1:13" ht="14.1" customHeight="1" x14ac:dyDescent="0.2">
      <c r="A106" s="84">
        <v>106</v>
      </c>
      <c r="B106" s="85" t="s">
        <v>510</v>
      </c>
      <c r="C106" s="85" t="s">
        <v>687</v>
      </c>
      <c r="D106" s="85" t="s">
        <v>555</v>
      </c>
      <c r="E106" s="85" t="s">
        <v>556</v>
      </c>
      <c r="F106" s="85" t="s">
        <v>557</v>
      </c>
      <c r="G106" s="85" t="s">
        <v>558</v>
      </c>
      <c r="H106" s="85" t="s">
        <v>510</v>
      </c>
      <c r="I106" s="85" t="s">
        <v>686</v>
      </c>
      <c r="J106" s="85" t="s">
        <v>570</v>
      </c>
      <c r="K106" s="84">
        <v>90001</v>
      </c>
      <c r="L106" s="84" t="s">
        <v>261</v>
      </c>
      <c r="M106" s="85" t="s">
        <v>262</v>
      </c>
    </row>
    <row r="107" spans="1:13" ht="14.1" customHeight="1" x14ac:dyDescent="0.2">
      <c r="A107" s="86">
        <v>107</v>
      </c>
      <c r="B107" s="87" t="s">
        <v>571</v>
      </c>
      <c r="C107" s="87" t="s">
        <v>680</v>
      </c>
      <c r="D107" s="87" t="s">
        <v>572</v>
      </c>
      <c r="E107" s="87" t="s">
        <v>573</v>
      </c>
      <c r="F107" s="87" t="s">
        <v>574</v>
      </c>
      <c r="G107" s="87" t="s">
        <v>575</v>
      </c>
      <c r="H107" s="87" t="s">
        <v>510</v>
      </c>
      <c r="I107" s="87" t="s">
        <v>687</v>
      </c>
      <c r="J107" s="87" t="s">
        <v>261</v>
      </c>
      <c r="K107" s="86">
        <v>90001</v>
      </c>
      <c r="L107" s="86" t="s">
        <v>261</v>
      </c>
      <c r="M107" s="87" t="s">
        <v>262</v>
      </c>
    </row>
    <row r="108" spans="1:13" ht="14.1" customHeight="1" x14ac:dyDescent="0.2">
      <c r="A108" s="86">
        <v>108</v>
      </c>
      <c r="B108" s="87" t="s">
        <v>571</v>
      </c>
      <c r="C108" s="87" t="s">
        <v>144</v>
      </c>
      <c r="D108" s="87" t="s">
        <v>576</v>
      </c>
      <c r="E108" s="87" t="s">
        <v>577</v>
      </c>
      <c r="F108" s="87" t="s">
        <v>578</v>
      </c>
      <c r="G108" s="87" t="s">
        <v>579</v>
      </c>
      <c r="H108" s="87" t="s">
        <v>571</v>
      </c>
      <c r="I108" s="87" t="s">
        <v>680</v>
      </c>
      <c r="J108" s="87" t="s">
        <v>223</v>
      </c>
      <c r="K108" s="86">
        <v>90001</v>
      </c>
      <c r="L108" s="86" t="s">
        <v>261</v>
      </c>
      <c r="M108" s="87" t="s">
        <v>262</v>
      </c>
    </row>
    <row r="109" spans="1:13" ht="14.1" customHeight="1" x14ac:dyDescent="0.2">
      <c r="A109" s="86">
        <v>109</v>
      </c>
      <c r="B109" s="87" t="s">
        <v>571</v>
      </c>
      <c r="C109" s="87" t="s">
        <v>221</v>
      </c>
      <c r="D109" s="87" t="s">
        <v>580</v>
      </c>
      <c r="E109" s="87" t="s">
        <v>581</v>
      </c>
      <c r="F109" s="87" t="s">
        <v>582</v>
      </c>
      <c r="G109" s="87" t="s">
        <v>583</v>
      </c>
      <c r="H109" s="87" t="s">
        <v>571</v>
      </c>
      <c r="I109" s="87" t="s">
        <v>144</v>
      </c>
      <c r="J109" s="87" t="s">
        <v>263</v>
      </c>
      <c r="K109" s="86">
        <v>90001</v>
      </c>
      <c r="L109" s="86" t="s">
        <v>261</v>
      </c>
      <c r="M109" s="87" t="s">
        <v>262</v>
      </c>
    </row>
    <row r="110" spans="1:13" ht="14.1" customHeight="1" x14ac:dyDescent="0.2">
      <c r="A110" s="86">
        <v>110</v>
      </c>
      <c r="B110" s="87" t="s">
        <v>571</v>
      </c>
      <c r="C110" s="87" t="s">
        <v>266</v>
      </c>
      <c r="D110" s="87" t="s">
        <v>584</v>
      </c>
      <c r="E110" s="87" t="s">
        <v>585</v>
      </c>
      <c r="F110" s="87" t="s">
        <v>586</v>
      </c>
      <c r="G110" s="87" t="s">
        <v>587</v>
      </c>
      <c r="H110" s="87" t="s">
        <v>571</v>
      </c>
      <c r="I110" s="87" t="s">
        <v>221</v>
      </c>
      <c r="J110" s="87" t="s">
        <v>264</v>
      </c>
      <c r="K110" s="86">
        <v>90001</v>
      </c>
      <c r="L110" s="86" t="s">
        <v>261</v>
      </c>
      <c r="M110" s="87" t="s">
        <v>262</v>
      </c>
    </row>
    <row r="111" spans="1:13" ht="14.1" customHeight="1" x14ac:dyDescent="0.2">
      <c r="A111" s="86">
        <v>111</v>
      </c>
      <c r="B111" s="87" t="s">
        <v>571</v>
      </c>
      <c r="C111" s="87" t="s">
        <v>340</v>
      </c>
      <c r="D111" s="87" t="s">
        <v>588</v>
      </c>
      <c r="E111" s="87" t="s">
        <v>589</v>
      </c>
      <c r="F111" s="87" t="s">
        <v>590</v>
      </c>
      <c r="G111" s="87" t="s">
        <v>591</v>
      </c>
      <c r="H111" s="87" t="s">
        <v>571</v>
      </c>
      <c r="I111" s="87" t="s">
        <v>266</v>
      </c>
      <c r="J111" s="87" t="s">
        <v>265</v>
      </c>
      <c r="K111" s="86">
        <v>90001</v>
      </c>
      <c r="L111" s="86" t="s">
        <v>261</v>
      </c>
      <c r="M111" s="87" t="s">
        <v>262</v>
      </c>
    </row>
    <row r="112" spans="1:13" ht="14.1" customHeight="1" x14ac:dyDescent="0.2">
      <c r="A112" s="86">
        <v>112</v>
      </c>
      <c r="B112" s="87" t="s">
        <v>571</v>
      </c>
      <c r="C112" s="87" t="s">
        <v>681</v>
      </c>
      <c r="D112" s="87" t="s">
        <v>592</v>
      </c>
      <c r="E112" s="87" t="s">
        <v>593</v>
      </c>
      <c r="F112" s="87" t="s">
        <v>594</v>
      </c>
      <c r="G112" s="87" t="s">
        <v>595</v>
      </c>
      <c r="H112" s="87" t="s">
        <v>571</v>
      </c>
      <c r="I112" s="87" t="s">
        <v>340</v>
      </c>
      <c r="J112" s="87" t="s">
        <v>229</v>
      </c>
      <c r="K112" s="86">
        <v>90001</v>
      </c>
      <c r="L112" s="86" t="s">
        <v>261</v>
      </c>
      <c r="M112" s="87" t="s">
        <v>262</v>
      </c>
    </row>
    <row r="113" spans="1:13" ht="14.1" customHeight="1" x14ac:dyDescent="0.2">
      <c r="A113" s="86">
        <v>113</v>
      </c>
      <c r="B113" s="87" t="s">
        <v>571</v>
      </c>
      <c r="C113" s="87" t="s">
        <v>682</v>
      </c>
      <c r="D113" s="87" t="s">
        <v>596</v>
      </c>
      <c r="E113" s="87" t="s">
        <v>597</v>
      </c>
      <c r="F113" s="87" t="s">
        <v>598</v>
      </c>
      <c r="G113" s="87" t="s">
        <v>599</v>
      </c>
      <c r="H113" s="87" t="s">
        <v>571</v>
      </c>
      <c r="I113" s="87" t="s">
        <v>681</v>
      </c>
      <c r="J113" s="87" t="s">
        <v>230</v>
      </c>
      <c r="K113" s="86">
        <v>90001</v>
      </c>
      <c r="L113" s="86" t="s">
        <v>261</v>
      </c>
      <c r="M113" s="87" t="s">
        <v>262</v>
      </c>
    </row>
    <row r="114" spans="1:13" ht="14.1" customHeight="1" x14ac:dyDescent="0.2">
      <c r="A114" s="86">
        <v>114</v>
      </c>
      <c r="B114" s="87" t="s">
        <v>571</v>
      </c>
      <c r="C114" s="87" t="s">
        <v>683</v>
      </c>
      <c r="D114" s="87" t="s">
        <v>600</v>
      </c>
      <c r="E114" s="87" t="s">
        <v>601</v>
      </c>
      <c r="F114" s="87" t="s">
        <v>602</v>
      </c>
      <c r="G114" s="87" t="s">
        <v>603</v>
      </c>
      <c r="H114" s="87" t="s">
        <v>571</v>
      </c>
      <c r="I114" s="87" t="s">
        <v>682</v>
      </c>
      <c r="J114" s="87" t="s">
        <v>299</v>
      </c>
      <c r="K114" s="86">
        <v>90001</v>
      </c>
      <c r="L114" s="86" t="s">
        <v>261</v>
      </c>
      <c r="M114" s="87" t="s">
        <v>262</v>
      </c>
    </row>
    <row r="115" spans="1:13" ht="14.1" customHeight="1" x14ac:dyDescent="0.2">
      <c r="A115" s="86">
        <v>115</v>
      </c>
      <c r="B115" s="87" t="s">
        <v>571</v>
      </c>
      <c r="C115" s="87" t="s">
        <v>684</v>
      </c>
      <c r="D115" s="87" t="s">
        <v>604</v>
      </c>
      <c r="E115" s="87" t="s">
        <v>605</v>
      </c>
      <c r="F115" s="87" t="s">
        <v>606</v>
      </c>
      <c r="G115" s="87" t="s">
        <v>607</v>
      </c>
      <c r="H115" s="87" t="s">
        <v>571</v>
      </c>
      <c r="I115" s="87" t="s">
        <v>683</v>
      </c>
      <c r="J115" s="87" t="s">
        <v>304</v>
      </c>
      <c r="K115" s="86">
        <v>90001</v>
      </c>
      <c r="L115" s="86" t="s">
        <v>261</v>
      </c>
      <c r="M115" s="87" t="s">
        <v>262</v>
      </c>
    </row>
    <row r="116" spans="1:13" ht="14.1" customHeight="1" x14ac:dyDescent="0.2">
      <c r="A116" s="86">
        <v>116</v>
      </c>
      <c r="B116" s="87" t="s">
        <v>571</v>
      </c>
      <c r="C116" s="87" t="s">
        <v>685</v>
      </c>
      <c r="D116" s="87" t="s">
        <v>608</v>
      </c>
      <c r="E116" s="87" t="s">
        <v>609</v>
      </c>
      <c r="F116" s="87" t="s">
        <v>610</v>
      </c>
      <c r="G116" s="87" t="s">
        <v>611</v>
      </c>
      <c r="H116" s="87" t="s">
        <v>571</v>
      </c>
      <c r="I116" s="87" t="s">
        <v>684</v>
      </c>
      <c r="J116" s="87" t="s">
        <v>309</v>
      </c>
      <c r="K116" s="86">
        <v>90001</v>
      </c>
      <c r="L116" s="86" t="s">
        <v>261</v>
      </c>
      <c r="M116" s="87" t="s">
        <v>262</v>
      </c>
    </row>
    <row r="117" spans="1:13" ht="14.1" customHeight="1" x14ac:dyDescent="0.2">
      <c r="A117" s="86">
        <v>117</v>
      </c>
      <c r="B117" s="87" t="s">
        <v>571</v>
      </c>
      <c r="C117" s="87" t="s">
        <v>686</v>
      </c>
      <c r="D117" s="87" t="s">
        <v>612</v>
      </c>
      <c r="E117" s="87" t="s">
        <v>613</v>
      </c>
      <c r="F117" s="87" t="s">
        <v>614</v>
      </c>
      <c r="G117" s="87" t="s">
        <v>615</v>
      </c>
      <c r="H117" s="87" t="s">
        <v>571</v>
      </c>
      <c r="I117" s="87" t="s">
        <v>685</v>
      </c>
      <c r="J117" s="87" t="s">
        <v>314</v>
      </c>
      <c r="K117" s="86">
        <v>90001</v>
      </c>
      <c r="L117" s="86" t="s">
        <v>261</v>
      </c>
      <c r="M117" s="87" t="s">
        <v>262</v>
      </c>
    </row>
    <row r="118" spans="1:13" ht="14.1" customHeight="1" x14ac:dyDescent="0.2">
      <c r="A118" s="86">
        <v>118</v>
      </c>
      <c r="B118" s="87" t="s">
        <v>571</v>
      </c>
      <c r="C118" s="87" t="s">
        <v>687</v>
      </c>
      <c r="D118" s="87" t="s">
        <v>616</v>
      </c>
      <c r="E118" s="87" t="s">
        <v>617</v>
      </c>
      <c r="F118" s="87" t="s">
        <v>618</v>
      </c>
      <c r="G118" s="87" t="s">
        <v>619</v>
      </c>
      <c r="H118" s="87" t="s">
        <v>571</v>
      </c>
      <c r="I118" s="87" t="s">
        <v>686</v>
      </c>
      <c r="J118" s="87" t="s">
        <v>319</v>
      </c>
      <c r="K118" s="86">
        <v>90001</v>
      </c>
      <c r="L118" s="86" t="s">
        <v>261</v>
      </c>
      <c r="M118" s="87" t="s">
        <v>262</v>
      </c>
    </row>
    <row r="119" spans="1:13" ht="14.1" customHeight="1" x14ac:dyDescent="0.2">
      <c r="A119" s="90">
        <v>119</v>
      </c>
      <c r="B119" s="91" t="s">
        <v>622</v>
      </c>
      <c r="C119" s="91" t="s">
        <v>680</v>
      </c>
      <c r="D119" s="91" t="s">
        <v>631</v>
      </c>
      <c r="E119" s="91" t="s">
        <v>632</v>
      </c>
      <c r="F119" s="91" t="s">
        <v>633</v>
      </c>
      <c r="G119" s="91" t="s">
        <v>634</v>
      </c>
      <c r="H119" s="91" t="s">
        <v>571</v>
      </c>
      <c r="I119" s="91" t="s">
        <v>687</v>
      </c>
      <c r="J119" s="91" t="s">
        <v>324</v>
      </c>
      <c r="K119" s="90">
        <v>90001</v>
      </c>
      <c r="L119" s="90" t="s">
        <v>261</v>
      </c>
      <c r="M119" s="91" t="s">
        <v>262</v>
      </c>
    </row>
    <row r="120" spans="1:13" ht="14.1" customHeight="1" x14ac:dyDescent="0.2">
      <c r="A120" s="90">
        <v>120</v>
      </c>
      <c r="B120" s="91" t="s">
        <v>622</v>
      </c>
      <c r="C120" s="91" t="s">
        <v>144</v>
      </c>
      <c r="D120" s="91" t="s">
        <v>635</v>
      </c>
      <c r="E120" s="91" t="s">
        <v>636</v>
      </c>
      <c r="F120" s="91" t="s">
        <v>637</v>
      </c>
      <c r="G120" s="91" t="s">
        <v>638</v>
      </c>
      <c r="H120" s="91" t="s">
        <v>622</v>
      </c>
      <c r="I120" s="91" t="s">
        <v>680</v>
      </c>
      <c r="J120" s="91" t="s">
        <v>329</v>
      </c>
      <c r="K120" s="90">
        <v>90001</v>
      </c>
      <c r="L120" s="90" t="s">
        <v>261</v>
      </c>
      <c r="M120" s="91" t="s">
        <v>262</v>
      </c>
    </row>
    <row r="121" spans="1:13" ht="14.1" customHeight="1" x14ac:dyDescent="0.2">
      <c r="A121" s="90">
        <v>121</v>
      </c>
      <c r="B121" s="91" t="s">
        <v>622</v>
      </c>
      <c r="C121" s="91" t="s">
        <v>221</v>
      </c>
      <c r="D121" s="91" t="s">
        <v>639</v>
      </c>
      <c r="E121" s="91" t="s">
        <v>640</v>
      </c>
      <c r="F121" s="91" t="s">
        <v>641</v>
      </c>
      <c r="G121" s="91" t="s">
        <v>642</v>
      </c>
      <c r="H121" s="91" t="s">
        <v>622</v>
      </c>
      <c r="I121" s="91" t="s">
        <v>144</v>
      </c>
      <c r="J121" s="91" t="s">
        <v>334</v>
      </c>
      <c r="K121" s="90">
        <v>90001</v>
      </c>
      <c r="L121" s="90" t="s">
        <v>261</v>
      </c>
      <c r="M121" s="91" t="s">
        <v>262</v>
      </c>
    </row>
    <row r="122" spans="1:13" ht="14.1" customHeight="1" x14ac:dyDescent="0.2">
      <c r="A122" s="90">
        <v>122</v>
      </c>
      <c r="B122" s="91" t="s">
        <v>622</v>
      </c>
      <c r="C122" s="91" t="s">
        <v>266</v>
      </c>
      <c r="D122" s="91" t="s">
        <v>643</v>
      </c>
      <c r="E122" s="91" t="s">
        <v>644</v>
      </c>
      <c r="F122" s="91" t="s">
        <v>645</v>
      </c>
      <c r="G122" s="91" t="s">
        <v>646</v>
      </c>
      <c r="H122" s="91" t="s">
        <v>622</v>
      </c>
      <c r="I122" s="91" t="s">
        <v>221</v>
      </c>
      <c r="J122" s="91" t="s">
        <v>339</v>
      </c>
      <c r="K122" s="90">
        <v>90001</v>
      </c>
      <c r="L122" s="90" t="s">
        <v>261</v>
      </c>
      <c r="M122" s="91" t="s">
        <v>262</v>
      </c>
    </row>
    <row r="123" spans="1:13" ht="14.1" customHeight="1" x14ac:dyDescent="0.2">
      <c r="A123" s="90">
        <v>123</v>
      </c>
      <c r="B123" s="91" t="s">
        <v>622</v>
      </c>
      <c r="C123" s="91" t="s">
        <v>340</v>
      </c>
      <c r="D123" s="91" t="s">
        <v>647</v>
      </c>
      <c r="E123" s="91" t="s">
        <v>648</v>
      </c>
      <c r="F123" s="91" t="s">
        <v>649</v>
      </c>
      <c r="G123" s="91" t="s">
        <v>650</v>
      </c>
      <c r="H123" s="91" t="s">
        <v>622</v>
      </c>
      <c r="I123" s="91" t="s">
        <v>266</v>
      </c>
      <c r="J123" s="91" t="s">
        <v>623</v>
      </c>
      <c r="K123" s="90">
        <v>90001</v>
      </c>
      <c r="L123" s="90" t="s">
        <v>261</v>
      </c>
      <c r="M123" s="91" t="s">
        <v>262</v>
      </c>
    </row>
    <row r="124" spans="1:13" ht="14.1" customHeight="1" x14ac:dyDescent="0.2">
      <c r="A124" s="90">
        <v>124</v>
      </c>
      <c r="B124" s="91" t="s">
        <v>622</v>
      </c>
      <c r="C124" s="91" t="s">
        <v>681</v>
      </c>
      <c r="D124" s="91" t="s">
        <v>651</v>
      </c>
      <c r="E124" s="91" t="s">
        <v>652</v>
      </c>
      <c r="F124" s="91" t="s">
        <v>653</v>
      </c>
      <c r="G124" s="91" t="s">
        <v>654</v>
      </c>
      <c r="H124" s="91" t="s">
        <v>622</v>
      </c>
      <c r="I124" s="91" t="s">
        <v>340</v>
      </c>
      <c r="J124" s="91" t="s">
        <v>624</v>
      </c>
      <c r="K124" s="90">
        <v>90001</v>
      </c>
      <c r="L124" s="90" t="s">
        <v>261</v>
      </c>
      <c r="M124" s="91" t="s">
        <v>262</v>
      </c>
    </row>
    <row r="125" spans="1:13" ht="14.1" customHeight="1" x14ac:dyDescent="0.2">
      <c r="A125" s="90">
        <v>125</v>
      </c>
      <c r="B125" s="91" t="s">
        <v>622</v>
      </c>
      <c r="C125" s="91" t="s">
        <v>682</v>
      </c>
      <c r="D125" s="91" t="s">
        <v>655</v>
      </c>
      <c r="E125" s="91" t="s">
        <v>656</v>
      </c>
      <c r="F125" s="91" t="s">
        <v>657</v>
      </c>
      <c r="G125" s="91" t="s">
        <v>658</v>
      </c>
      <c r="H125" s="91" t="s">
        <v>622</v>
      </c>
      <c r="I125" s="91" t="s">
        <v>681</v>
      </c>
      <c r="J125" s="91" t="s">
        <v>625</v>
      </c>
      <c r="K125" s="90">
        <v>90001</v>
      </c>
      <c r="L125" s="90" t="s">
        <v>261</v>
      </c>
      <c r="M125" s="91" t="s">
        <v>262</v>
      </c>
    </row>
    <row r="126" spans="1:13" ht="14.1" customHeight="1" x14ac:dyDescent="0.2">
      <c r="A126" s="90">
        <v>126</v>
      </c>
      <c r="B126" s="91" t="s">
        <v>622</v>
      </c>
      <c r="C126" s="91" t="s">
        <v>683</v>
      </c>
      <c r="D126" s="91" t="s">
        <v>659</v>
      </c>
      <c r="E126" s="91" t="s">
        <v>660</v>
      </c>
      <c r="F126" s="91" t="s">
        <v>661</v>
      </c>
      <c r="G126" s="91" t="s">
        <v>662</v>
      </c>
      <c r="H126" s="91" t="s">
        <v>622</v>
      </c>
      <c r="I126" s="91" t="s">
        <v>682</v>
      </c>
      <c r="J126" s="91" t="s">
        <v>626</v>
      </c>
      <c r="K126" s="90">
        <v>90001</v>
      </c>
      <c r="L126" s="90" t="s">
        <v>261</v>
      </c>
      <c r="M126" s="91" t="s">
        <v>262</v>
      </c>
    </row>
    <row r="127" spans="1:13" ht="14.1" customHeight="1" x14ac:dyDescent="0.2">
      <c r="A127" s="90">
        <v>127</v>
      </c>
      <c r="B127" s="91" t="s">
        <v>622</v>
      </c>
      <c r="C127" s="91" t="s">
        <v>684</v>
      </c>
      <c r="D127" s="91" t="s">
        <v>663</v>
      </c>
      <c r="E127" s="91" t="s">
        <v>664</v>
      </c>
      <c r="F127" s="91" t="s">
        <v>665</v>
      </c>
      <c r="G127" s="91" t="s">
        <v>666</v>
      </c>
      <c r="H127" s="91" t="s">
        <v>622</v>
      </c>
      <c r="I127" s="91" t="s">
        <v>683</v>
      </c>
      <c r="J127" s="91" t="s">
        <v>627</v>
      </c>
      <c r="K127" s="90">
        <v>90001</v>
      </c>
      <c r="L127" s="90" t="s">
        <v>261</v>
      </c>
      <c r="M127" s="91" t="s">
        <v>262</v>
      </c>
    </row>
    <row r="128" spans="1:13" ht="14.1" customHeight="1" x14ac:dyDescent="0.2">
      <c r="A128" s="90">
        <v>128</v>
      </c>
      <c r="B128" s="91" t="s">
        <v>622</v>
      </c>
      <c r="C128" s="91" t="s">
        <v>685</v>
      </c>
      <c r="D128" s="91" t="s">
        <v>667</v>
      </c>
      <c r="E128" s="91" t="s">
        <v>668</v>
      </c>
      <c r="F128" s="91" t="s">
        <v>669</v>
      </c>
      <c r="G128" s="91" t="s">
        <v>670</v>
      </c>
      <c r="H128" s="91" t="s">
        <v>622</v>
      </c>
      <c r="I128" s="91" t="s">
        <v>684</v>
      </c>
      <c r="J128" s="91" t="s">
        <v>628</v>
      </c>
      <c r="K128" s="90">
        <v>90001</v>
      </c>
      <c r="L128" s="90" t="s">
        <v>261</v>
      </c>
      <c r="M128" s="91" t="s">
        <v>262</v>
      </c>
    </row>
    <row r="129" spans="1:13" ht="14.1" customHeight="1" x14ac:dyDescent="0.2">
      <c r="A129" s="90">
        <v>129</v>
      </c>
      <c r="B129" s="91" t="s">
        <v>622</v>
      </c>
      <c r="C129" s="91" t="s">
        <v>686</v>
      </c>
      <c r="D129" s="91" t="s">
        <v>671</v>
      </c>
      <c r="E129" s="91" t="s">
        <v>672</v>
      </c>
      <c r="F129" s="91" t="s">
        <v>673</v>
      </c>
      <c r="G129" s="91" t="s">
        <v>674</v>
      </c>
      <c r="H129" s="91" t="s">
        <v>622</v>
      </c>
      <c r="I129" s="91" t="s">
        <v>685</v>
      </c>
      <c r="J129" s="91" t="s">
        <v>629</v>
      </c>
      <c r="K129" s="90">
        <v>90001</v>
      </c>
      <c r="L129" s="90" t="s">
        <v>261</v>
      </c>
      <c r="M129" s="91" t="s">
        <v>262</v>
      </c>
    </row>
    <row r="130" spans="1:13" ht="14.1" customHeight="1" x14ac:dyDescent="0.2">
      <c r="A130" s="90">
        <v>130</v>
      </c>
      <c r="B130" s="91" t="s">
        <v>622</v>
      </c>
      <c r="C130" s="91" t="s">
        <v>693</v>
      </c>
      <c r="D130" s="91" t="s">
        <v>675</v>
      </c>
      <c r="E130" s="91" t="s">
        <v>676</v>
      </c>
      <c r="F130" s="91" t="s">
        <v>677</v>
      </c>
      <c r="G130" s="91" t="s">
        <v>678</v>
      </c>
      <c r="H130" s="91" t="s">
        <v>622</v>
      </c>
      <c r="I130" s="91" t="s">
        <v>686</v>
      </c>
      <c r="J130" s="91" t="s">
        <v>630</v>
      </c>
      <c r="K130" s="90">
        <v>90001</v>
      </c>
      <c r="L130" s="90" t="s">
        <v>261</v>
      </c>
      <c r="M130" s="91" t="s">
        <v>262</v>
      </c>
    </row>
    <row r="131" spans="1:13" ht="14.1" customHeight="1" x14ac:dyDescent="0.2">
      <c r="A131" s="84">
        <v>131</v>
      </c>
      <c r="B131" s="85" t="s">
        <v>694</v>
      </c>
      <c r="C131" s="85" t="s">
        <v>680</v>
      </c>
      <c r="D131" s="85" t="s">
        <v>695</v>
      </c>
      <c r="E131" s="85" t="s">
        <v>696</v>
      </c>
      <c r="F131" s="85" t="s">
        <v>697</v>
      </c>
      <c r="G131" s="85" t="s">
        <v>698</v>
      </c>
      <c r="H131" s="85" t="s">
        <v>622</v>
      </c>
      <c r="I131" s="85" t="s">
        <v>687</v>
      </c>
      <c r="J131" s="85" t="s">
        <v>261</v>
      </c>
      <c r="K131" s="84">
        <v>90001</v>
      </c>
      <c r="L131" s="84" t="s">
        <v>261</v>
      </c>
      <c r="M131" s="85" t="s">
        <v>262</v>
      </c>
    </row>
    <row r="132" spans="1:13" ht="14.1" customHeight="1" x14ac:dyDescent="0.2">
      <c r="A132" s="84">
        <v>132</v>
      </c>
      <c r="B132" s="85" t="s">
        <v>694</v>
      </c>
      <c r="C132" s="85" t="s">
        <v>144</v>
      </c>
      <c r="D132" s="85" t="s">
        <v>699</v>
      </c>
      <c r="E132" s="85" t="s">
        <v>700</v>
      </c>
      <c r="F132" s="85" t="s">
        <v>701</v>
      </c>
      <c r="G132" s="85" t="s">
        <v>702</v>
      </c>
      <c r="H132" s="85" t="s">
        <v>694</v>
      </c>
      <c r="I132" s="85" t="s">
        <v>680</v>
      </c>
      <c r="J132" s="85" t="s">
        <v>223</v>
      </c>
      <c r="K132" s="84">
        <v>90001</v>
      </c>
      <c r="L132" s="84" t="s">
        <v>261</v>
      </c>
      <c r="M132" s="85" t="s">
        <v>262</v>
      </c>
    </row>
    <row r="133" spans="1:13" ht="14.1" customHeight="1" x14ac:dyDescent="0.2">
      <c r="A133" s="84">
        <v>133</v>
      </c>
      <c r="B133" s="85" t="s">
        <v>694</v>
      </c>
      <c r="C133" s="85" t="s">
        <v>221</v>
      </c>
      <c r="D133" s="85" t="s">
        <v>703</v>
      </c>
      <c r="E133" s="85" t="s">
        <v>704</v>
      </c>
      <c r="F133" s="85" t="s">
        <v>705</v>
      </c>
      <c r="G133" s="85" t="s">
        <v>706</v>
      </c>
      <c r="H133" s="85" t="s">
        <v>694</v>
      </c>
      <c r="I133" s="85" t="s">
        <v>144</v>
      </c>
      <c r="J133" s="85" t="s">
        <v>263</v>
      </c>
      <c r="K133" s="84">
        <v>90001</v>
      </c>
      <c r="L133" s="84" t="s">
        <v>261</v>
      </c>
      <c r="M133" s="85" t="s">
        <v>262</v>
      </c>
    </row>
    <row r="134" spans="1:13" ht="14.1" customHeight="1" x14ac:dyDescent="0.2">
      <c r="A134" s="84">
        <v>134</v>
      </c>
      <c r="B134" s="85" t="s">
        <v>694</v>
      </c>
      <c r="C134" s="85" t="s">
        <v>266</v>
      </c>
      <c r="D134" s="85" t="s">
        <v>707</v>
      </c>
      <c r="E134" s="85" t="s">
        <v>708</v>
      </c>
      <c r="F134" s="85" t="s">
        <v>709</v>
      </c>
      <c r="G134" s="85" t="s">
        <v>710</v>
      </c>
      <c r="H134" s="85" t="s">
        <v>694</v>
      </c>
      <c r="I134" s="85" t="s">
        <v>221</v>
      </c>
      <c r="J134" s="85" t="s">
        <v>264</v>
      </c>
      <c r="K134" s="84">
        <v>90001</v>
      </c>
      <c r="L134" s="84" t="s">
        <v>261</v>
      </c>
      <c r="M134" s="85" t="s">
        <v>262</v>
      </c>
    </row>
    <row r="135" spans="1:13" ht="14.1" customHeight="1" x14ac:dyDescent="0.2">
      <c r="A135" s="84">
        <v>135</v>
      </c>
      <c r="B135" s="85" t="s">
        <v>694</v>
      </c>
      <c r="C135" s="85" t="s">
        <v>340</v>
      </c>
      <c r="D135" s="85" t="s">
        <v>711</v>
      </c>
      <c r="E135" s="85" t="s">
        <v>712</v>
      </c>
      <c r="F135" s="85" t="s">
        <v>713</v>
      </c>
      <c r="G135" s="85" t="s">
        <v>714</v>
      </c>
      <c r="H135" s="85" t="s">
        <v>694</v>
      </c>
      <c r="I135" s="85" t="s">
        <v>266</v>
      </c>
      <c r="J135" s="85" t="s">
        <v>265</v>
      </c>
      <c r="K135" s="84">
        <v>90001</v>
      </c>
      <c r="L135" s="84" t="s">
        <v>261</v>
      </c>
      <c r="M135" s="85" t="s">
        <v>262</v>
      </c>
    </row>
    <row r="136" spans="1:13" ht="14.1" customHeight="1" x14ac:dyDescent="0.2">
      <c r="A136" s="84">
        <v>136</v>
      </c>
      <c r="B136" s="85" t="s">
        <v>694</v>
      </c>
      <c r="C136" s="85" t="s">
        <v>681</v>
      </c>
      <c r="D136" s="85" t="s">
        <v>715</v>
      </c>
      <c r="E136" s="85" t="s">
        <v>716</v>
      </c>
      <c r="F136" s="85" t="s">
        <v>717</v>
      </c>
      <c r="G136" s="85" t="s">
        <v>718</v>
      </c>
      <c r="H136" s="85" t="s">
        <v>694</v>
      </c>
      <c r="I136" s="85" t="s">
        <v>340</v>
      </c>
      <c r="J136" s="85" t="s">
        <v>229</v>
      </c>
      <c r="K136" s="84">
        <v>90001</v>
      </c>
      <c r="L136" s="84" t="s">
        <v>261</v>
      </c>
      <c r="M136" s="85" t="s">
        <v>262</v>
      </c>
    </row>
    <row r="137" spans="1:13" ht="14.1" customHeight="1" x14ac:dyDescent="0.2">
      <c r="A137" s="84">
        <v>137</v>
      </c>
      <c r="B137" s="85" t="s">
        <v>694</v>
      </c>
      <c r="C137" s="85" t="s">
        <v>682</v>
      </c>
      <c r="D137" s="85" t="s">
        <v>719</v>
      </c>
      <c r="E137" s="85" t="s">
        <v>720</v>
      </c>
      <c r="F137" s="85" t="s">
        <v>721</v>
      </c>
      <c r="G137" s="85" t="s">
        <v>722</v>
      </c>
      <c r="H137" s="85" t="s">
        <v>694</v>
      </c>
      <c r="I137" s="85" t="s">
        <v>681</v>
      </c>
      <c r="J137" s="85" t="s">
        <v>230</v>
      </c>
      <c r="K137" s="84">
        <v>90001</v>
      </c>
      <c r="L137" s="84" t="s">
        <v>261</v>
      </c>
      <c r="M137" s="85" t="s">
        <v>262</v>
      </c>
    </row>
    <row r="138" spans="1:13" ht="14.1" customHeight="1" x14ac:dyDescent="0.2">
      <c r="A138" s="84">
        <v>138</v>
      </c>
      <c r="B138" s="85" t="s">
        <v>694</v>
      </c>
      <c r="C138" s="85" t="s">
        <v>683</v>
      </c>
      <c r="D138" s="85" t="s">
        <v>723</v>
      </c>
      <c r="E138" s="85" t="s">
        <v>724</v>
      </c>
      <c r="F138" s="85" t="s">
        <v>725</v>
      </c>
      <c r="G138" s="85" t="s">
        <v>726</v>
      </c>
      <c r="H138" s="85" t="s">
        <v>694</v>
      </c>
      <c r="I138" s="85" t="s">
        <v>682</v>
      </c>
      <c r="J138" s="85" t="s">
        <v>299</v>
      </c>
      <c r="K138" s="84">
        <v>90001</v>
      </c>
      <c r="L138" s="84" t="s">
        <v>261</v>
      </c>
      <c r="M138" s="85" t="s">
        <v>262</v>
      </c>
    </row>
    <row r="139" spans="1:13" ht="14.1" customHeight="1" x14ac:dyDescent="0.2">
      <c r="A139" s="84">
        <v>139</v>
      </c>
      <c r="B139" s="85" t="s">
        <v>694</v>
      </c>
      <c r="C139" s="85" t="s">
        <v>684</v>
      </c>
      <c r="D139" s="85" t="s">
        <v>727</v>
      </c>
      <c r="E139" s="85" t="s">
        <v>728</v>
      </c>
      <c r="F139" s="85" t="s">
        <v>729</v>
      </c>
      <c r="G139" s="85" t="s">
        <v>730</v>
      </c>
      <c r="H139" s="85" t="s">
        <v>694</v>
      </c>
      <c r="I139" s="85" t="s">
        <v>683</v>
      </c>
      <c r="J139" s="85" t="s">
        <v>304</v>
      </c>
      <c r="K139" s="84">
        <v>90001</v>
      </c>
      <c r="L139" s="84" t="s">
        <v>261</v>
      </c>
      <c r="M139" s="85" t="s">
        <v>262</v>
      </c>
    </row>
    <row r="140" spans="1:13" ht="14.1" customHeight="1" x14ac:dyDescent="0.2">
      <c r="A140" s="84">
        <v>140</v>
      </c>
      <c r="B140" s="85" t="s">
        <v>694</v>
      </c>
      <c r="C140" s="85" t="s">
        <v>685</v>
      </c>
      <c r="D140" s="85" t="s">
        <v>731</v>
      </c>
      <c r="E140" s="85" t="s">
        <v>732</v>
      </c>
      <c r="F140" s="85" t="s">
        <v>733</v>
      </c>
      <c r="G140" s="85" t="s">
        <v>734</v>
      </c>
      <c r="H140" s="85" t="s">
        <v>694</v>
      </c>
      <c r="I140" s="85" t="s">
        <v>684</v>
      </c>
      <c r="J140" s="85" t="s">
        <v>309</v>
      </c>
      <c r="K140" s="84">
        <v>90001</v>
      </c>
      <c r="L140" s="84" t="s">
        <v>261</v>
      </c>
      <c r="M140" s="85" t="s">
        <v>262</v>
      </c>
    </row>
    <row r="141" spans="1:13" ht="14.1" customHeight="1" x14ac:dyDescent="0.2">
      <c r="A141" s="84">
        <v>141</v>
      </c>
      <c r="B141" s="85" t="s">
        <v>694</v>
      </c>
      <c r="C141" s="85" t="s">
        <v>686</v>
      </c>
      <c r="D141" s="85" t="s">
        <v>735</v>
      </c>
      <c r="E141" s="85" t="s">
        <v>736</v>
      </c>
      <c r="F141" s="85" t="s">
        <v>737</v>
      </c>
      <c r="G141" s="85" t="s">
        <v>738</v>
      </c>
      <c r="H141" s="85" t="s">
        <v>694</v>
      </c>
      <c r="I141" s="85" t="s">
        <v>685</v>
      </c>
      <c r="J141" s="85" t="s">
        <v>314</v>
      </c>
      <c r="K141" s="84">
        <v>90001</v>
      </c>
      <c r="L141" s="84" t="s">
        <v>261</v>
      </c>
      <c r="M141" s="85" t="s">
        <v>262</v>
      </c>
    </row>
    <row r="142" spans="1:13" ht="14.1" customHeight="1" x14ac:dyDescent="0.2">
      <c r="A142" s="84">
        <v>142</v>
      </c>
      <c r="B142" s="85" t="s">
        <v>694</v>
      </c>
      <c r="C142" s="85" t="s">
        <v>687</v>
      </c>
      <c r="D142" s="85" t="s">
        <v>739</v>
      </c>
      <c r="E142" s="85" t="s">
        <v>740</v>
      </c>
      <c r="F142" s="85" t="s">
        <v>741</v>
      </c>
      <c r="G142" s="85" t="s">
        <v>742</v>
      </c>
      <c r="H142" s="85" t="s">
        <v>694</v>
      </c>
      <c r="I142" s="85" t="s">
        <v>686</v>
      </c>
      <c r="J142" s="85" t="s">
        <v>319</v>
      </c>
      <c r="K142" s="84">
        <v>90001</v>
      </c>
      <c r="L142" s="84" t="s">
        <v>261</v>
      </c>
      <c r="M142" s="85" t="s">
        <v>262</v>
      </c>
    </row>
    <row r="143" spans="1:13" s="11" customFormat="1" ht="14.1" customHeight="1" x14ac:dyDescent="0.2">
      <c r="A143" s="82">
        <v>143</v>
      </c>
      <c r="B143" s="83" t="s">
        <v>693</v>
      </c>
      <c r="C143" s="83" t="s">
        <v>680</v>
      </c>
      <c r="D143" s="83" t="s">
        <v>745</v>
      </c>
      <c r="E143" s="83" t="s">
        <v>746</v>
      </c>
      <c r="F143" s="83" t="s">
        <v>747</v>
      </c>
      <c r="G143" s="83" t="s">
        <v>748</v>
      </c>
      <c r="H143" s="83" t="s">
        <v>694</v>
      </c>
      <c r="I143" s="83" t="s">
        <v>687</v>
      </c>
      <c r="J143" s="83" t="s">
        <v>324</v>
      </c>
      <c r="K143" s="82">
        <v>90001</v>
      </c>
      <c r="L143" s="82" t="s">
        <v>261</v>
      </c>
      <c r="M143" s="83" t="s">
        <v>262</v>
      </c>
    </row>
    <row r="144" spans="1:13" s="11" customFormat="1" ht="14.1" customHeight="1" x14ac:dyDescent="0.2">
      <c r="A144" s="82">
        <v>144</v>
      </c>
      <c r="B144" s="83" t="s">
        <v>693</v>
      </c>
      <c r="C144" s="83" t="s">
        <v>144</v>
      </c>
      <c r="D144" s="83" t="s">
        <v>749</v>
      </c>
      <c r="E144" s="83" t="s">
        <v>750</v>
      </c>
      <c r="F144" s="83" t="s">
        <v>751</v>
      </c>
      <c r="G144" s="83" t="s">
        <v>752</v>
      </c>
      <c r="H144" s="83" t="s">
        <v>693</v>
      </c>
      <c r="I144" s="83" t="s">
        <v>680</v>
      </c>
      <c r="J144" s="83" t="s">
        <v>329</v>
      </c>
      <c r="K144" s="82">
        <v>90001</v>
      </c>
      <c r="L144" s="82" t="s">
        <v>261</v>
      </c>
      <c r="M144" s="83" t="s">
        <v>262</v>
      </c>
    </row>
    <row r="145" spans="1:13" s="11" customFormat="1" ht="14.1" customHeight="1" x14ac:dyDescent="0.2">
      <c r="A145" s="82">
        <v>145</v>
      </c>
      <c r="B145" s="83" t="s">
        <v>693</v>
      </c>
      <c r="C145" s="83" t="s">
        <v>221</v>
      </c>
      <c r="D145" s="83" t="s">
        <v>753</v>
      </c>
      <c r="E145" s="83" t="s">
        <v>754</v>
      </c>
      <c r="F145" s="83" t="s">
        <v>755</v>
      </c>
      <c r="G145" s="83" t="s">
        <v>756</v>
      </c>
      <c r="H145" s="83" t="s">
        <v>693</v>
      </c>
      <c r="I145" s="83" t="s">
        <v>144</v>
      </c>
      <c r="J145" s="83" t="s">
        <v>334</v>
      </c>
      <c r="K145" s="82">
        <v>90001</v>
      </c>
      <c r="L145" s="82" t="s">
        <v>261</v>
      </c>
      <c r="M145" s="83" t="s">
        <v>262</v>
      </c>
    </row>
    <row r="146" spans="1:13" s="11" customFormat="1" ht="14.1" customHeight="1" x14ac:dyDescent="0.2">
      <c r="A146" s="82">
        <v>146</v>
      </c>
      <c r="B146" s="83" t="s">
        <v>693</v>
      </c>
      <c r="C146" s="83" t="s">
        <v>266</v>
      </c>
      <c r="D146" s="83" t="s">
        <v>757</v>
      </c>
      <c r="E146" s="83" t="s">
        <v>758</v>
      </c>
      <c r="F146" s="83" t="s">
        <v>759</v>
      </c>
      <c r="G146" s="83" t="s">
        <v>760</v>
      </c>
      <c r="H146" s="83" t="s">
        <v>693</v>
      </c>
      <c r="I146" s="83" t="s">
        <v>221</v>
      </c>
      <c r="J146" s="83" t="s">
        <v>339</v>
      </c>
      <c r="K146" s="82">
        <v>90001</v>
      </c>
      <c r="L146" s="82" t="s">
        <v>261</v>
      </c>
      <c r="M146" s="83" t="s">
        <v>262</v>
      </c>
    </row>
    <row r="147" spans="1:13" s="11" customFormat="1" ht="14.1" customHeight="1" x14ac:dyDescent="0.2">
      <c r="A147" s="82">
        <v>147</v>
      </c>
      <c r="B147" s="83" t="s">
        <v>693</v>
      </c>
      <c r="C147" s="83" t="s">
        <v>340</v>
      </c>
      <c r="D147" s="83" t="s">
        <v>761</v>
      </c>
      <c r="E147" s="83" t="s">
        <v>762</v>
      </c>
      <c r="F147" s="83" t="s">
        <v>763</v>
      </c>
      <c r="G147" s="83" t="s">
        <v>764</v>
      </c>
      <c r="H147" s="83" t="s">
        <v>693</v>
      </c>
      <c r="I147" s="83" t="s">
        <v>266</v>
      </c>
      <c r="J147" s="83" t="s">
        <v>623</v>
      </c>
      <c r="K147" s="82">
        <v>90001</v>
      </c>
      <c r="L147" s="82" t="s">
        <v>261</v>
      </c>
      <c r="M147" s="83" t="s">
        <v>262</v>
      </c>
    </row>
    <row r="148" spans="1:13" s="11" customFormat="1" ht="14.1" customHeight="1" x14ac:dyDescent="0.2">
      <c r="A148" s="82">
        <v>148</v>
      </c>
      <c r="B148" s="83" t="s">
        <v>693</v>
      </c>
      <c r="C148" s="83" t="s">
        <v>681</v>
      </c>
      <c r="D148" s="83" t="s">
        <v>765</v>
      </c>
      <c r="E148" s="83" t="s">
        <v>766</v>
      </c>
      <c r="F148" s="83" t="s">
        <v>767</v>
      </c>
      <c r="G148" s="83" t="s">
        <v>768</v>
      </c>
      <c r="H148" s="83" t="s">
        <v>693</v>
      </c>
      <c r="I148" s="83" t="s">
        <v>340</v>
      </c>
      <c r="J148" s="83" t="s">
        <v>624</v>
      </c>
      <c r="K148" s="82">
        <v>90001</v>
      </c>
      <c r="L148" s="82" t="s">
        <v>261</v>
      </c>
      <c r="M148" s="83" t="s">
        <v>262</v>
      </c>
    </row>
    <row r="149" spans="1:13" s="11" customFormat="1" ht="14.1" customHeight="1" x14ac:dyDescent="0.2">
      <c r="A149" s="82">
        <v>149</v>
      </c>
      <c r="B149" s="83" t="s">
        <v>693</v>
      </c>
      <c r="C149" s="83" t="s">
        <v>682</v>
      </c>
      <c r="D149" s="83" t="s">
        <v>769</v>
      </c>
      <c r="E149" s="83" t="s">
        <v>770</v>
      </c>
      <c r="F149" s="83" t="s">
        <v>771</v>
      </c>
      <c r="G149" s="83" t="s">
        <v>772</v>
      </c>
      <c r="H149" s="83" t="s">
        <v>693</v>
      </c>
      <c r="I149" s="83" t="s">
        <v>681</v>
      </c>
      <c r="J149" s="83" t="s">
        <v>625</v>
      </c>
      <c r="K149" s="82">
        <v>90001</v>
      </c>
      <c r="L149" s="82" t="s">
        <v>261</v>
      </c>
      <c r="M149" s="83" t="s">
        <v>262</v>
      </c>
    </row>
    <row r="150" spans="1:13" s="11" customFormat="1" ht="14.1" customHeight="1" x14ac:dyDescent="0.2">
      <c r="A150" s="82">
        <v>150</v>
      </c>
      <c r="B150" s="83" t="s">
        <v>693</v>
      </c>
      <c r="C150" s="83" t="s">
        <v>683</v>
      </c>
      <c r="D150" s="83" t="s">
        <v>773</v>
      </c>
      <c r="E150" s="83" t="s">
        <v>774</v>
      </c>
      <c r="F150" s="83" t="s">
        <v>775</v>
      </c>
      <c r="G150" s="83" t="s">
        <v>776</v>
      </c>
      <c r="H150" s="83" t="s">
        <v>693</v>
      </c>
      <c r="I150" s="83" t="s">
        <v>682</v>
      </c>
      <c r="J150" s="83" t="s">
        <v>626</v>
      </c>
      <c r="K150" s="82">
        <v>90001</v>
      </c>
      <c r="L150" s="82" t="s">
        <v>261</v>
      </c>
      <c r="M150" s="83" t="s">
        <v>262</v>
      </c>
    </row>
    <row r="151" spans="1:13" s="11" customFormat="1" ht="14.1" customHeight="1" x14ac:dyDescent="0.2">
      <c r="A151" s="82">
        <v>151</v>
      </c>
      <c r="B151" s="83" t="s">
        <v>693</v>
      </c>
      <c r="C151" s="83" t="s">
        <v>684</v>
      </c>
      <c r="D151" s="83" t="s">
        <v>777</v>
      </c>
      <c r="E151" s="83" t="s">
        <v>778</v>
      </c>
      <c r="F151" s="83" t="s">
        <v>779</v>
      </c>
      <c r="G151" s="83" t="s">
        <v>780</v>
      </c>
      <c r="H151" s="83" t="s">
        <v>693</v>
      </c>
      <c r="I151" s="83" t="s">
        <v>683</v>
      </c>
      <c r="J151" s="83" t="s">
        <v>627</v>
      </c>
      <c r="K151" s="82">
        <v>90001</v>
      </c>
      <c r="L151" s="82" t="s">
        <v>261</v>
      </c>
      <c r="M151" s="83" t="s">
        <v>262</v>
      </c>
    </row>
    <row r="152" spans="1:13" s="11" customFormat="1" ht="14.1" customHeight="1" x14ac:dyDescent="0.2">
      <c r="A152" s="82">
        <v>152</v>
      </c>
      <c r="B152" s="83" t="s">
        <v>693</v>
      </c>
      <c r="C152" s="83" t="s">
        <v>685</v>
      </c>
      <c r="D152" s="83" t="s">
        <v>781</v>
      </c>
      <c r="E152" s="83" t="s">
        <v>782</v>
      </c>
      <c r="F152" s="83" t="s">
        <v>783</v>
      </c>
      <c r="G152" s="83" t="s">
        <v>784</v>
      </c>
      <c r="H152" s="83" t="s">
        <v>693</v>
      </c>
      <c r="I152" s="83" t="s">
        <v>684</v>
      </c>
      <c r="J152" s="83" t="s">
        <v>628</v>
      </c>
      <c r="K152" s="82">
        <v>90001</v>
      </c>
      <c r="L152" s="82" t="s">
        <v>261</v>
      </c>
      <c r="M152" s="83" t="s">
        <v>262</v>
      </c>
    </row>
    <row r="153" spans="1:13" s="11" customFormat="1" ht="14.1" customHeight="1" x14ac:dyDescent="0.2">
      <c r="A153" s="82">
        <v>153</v>
      </c>
      <c r="B153" s="83" t="s">
        <v>693</v>
      </c>
      <c r="C153" s="83" t="s">
        <v>686</v>
      </c>
      <c r="D153" s="83" t="s">
        <v>785</v>
      </c>
      <c r="E153" s="83" t="s">
        <v>786</v>
      </c>
      <c r="F153" s="83" t="s">
        <v>787</v>
      </c>
      <c r="G153" s="83" t="s">
        <v>788</v>
      </c>
      <c r="H153" s="83" t="s">
        <v>693</v>
      </c>
      <c r="I153" s="83" t="s">
        <v>685</v>
      </c>
      <c r="J153" s="83" t="s">
        <v>629</v>
      </c>
      <c r="K153" s="82">
        <v>90001</v>
      </c>
      <c r="L153" s="82" t="s">
        <v>261</v>
      </c>
      <c r="M153" s="83" t="s">
        <v>262</v>
      </c>
    </row>
    <row r="154" spans="1:13" s="11" customFormat="1" ht="14.1" customHeight="1" x14ac:dyDescent="0.2">
      <c r="A154" s="82">
        <v>154</v>
      </c>
      <c r="B154" s="83" t="s">
        <v>693</v>
      </c>
      <c r="C154" s="83" t="s">
        <v>687</v>
      </c>
      <c r="D154" s="83" t="s">
        <v>789</v>
      </c>
      <c r="E154" s="83" t="s">
        <v>790</v>
      </c>
      <c r="F154" s="83" t="s">
        <v>791</v>
      </c>
      <c r="G154" s="83" t="s">
        <v>792</v>
      </c>
      <c r="H154" s="83" t="s">
        <v>693</v>
      </c>
      <c r="I154" s="83" t="s">
        <v>686</v>
      </c>
      <c r="J154" s="83" t="s">
        <v>630</v>
      </c>
      <c r="K154" s="82">
        <v>90001</v>
      </c>
      <c r="L154" s="82" t="s">
        <v>261</v>
      </c>
      <c r="M154" s="83" t="s">
        <v>262</v>
      </c>
    </row>
    <row r="155" spans="1:13" ht="14.1" customHeight="1" x14ac:dyDescent="0.2">
      <c r="A155" s="86">
        <v>155</v>
      </c>
      <c r="B155" s="87" t="s">
        <v>793</v>
      </c>
      <c r="C155" s="87" t="s">
        <v>680</v>
      </c>
      <c r="D155" s="87" t="s">
        <v>794</v>
      </c>
      <c r="E155" s="87" t="s">
        <v>795</v>
      </c>
      <c r="F155" s="87" t="s">
        <v>796</v>
      </c>
      <c r="G155" s="87" t="s">
        <v>797</v>
      </c>
      <c r="H155" s="87" t="s">
        <v>693</v>
      </c>
      <c r="I155" s="87" t="s">
        <v>687</v>
      </c>
      <c r="J155" s="87" t="s">
        <v>261</v>
      </c>
      <c r="K155" s="86">
        <v>90001</v>
      </c>
      <c r="L155" s="86" t="s">
        <v>261</v>
      </c>
      <c r="M155" s="87" t="s">
        <v>262</v>
      </c>
    </row>
    <row r="156" spans="1:13" ht="14.1" customHeight="1" x14ac:dyDescent="0.2">
      <c r="A156" s="86">
        <v>156</v>
      </c>
      <c r="B156" s="87" t="s">
        <v>793</v>
      </c>
      <c r="C156" s="87" t="s">
        <v>144</v>
      </c>
      <c r="D156" s="87" t="s">
        <v>798</v>
      </c>
      <c r="E156" s="87" t="s">
        <v>799</v>
      </c>
      <c r="F156" s="87" t="s">
        <v>800</v>
      </c>
      <c r="G156" s="87" t="s">
        <v>801</v>
      </c>
      <c r="H156" s="87" t="s">
        <v>793</v>
      </c>
      <c r="I156" s="87" t="s">
        <v>680</v>
      </c>
      <c r="J156" s="87" t="s">
        <v>223</v>
      </c>
      <c r="K156" s="86">
        <v>90001</v>
      </c>
      <c r="L156" s="86" t="s">
        <v>261</v>
      </c>
      <c r="M156" s="87" t="s">
        <v>262</v>
      </c>
    </row>
    <row r="157" spans="1:13" ht="14.1" customHeight="1" x14ac:dyDescent="0.2">
      <c r="A157" s="86">
        <v>157</v>
      </c>
      <c r="B157" s="87" t="s">
        <v>793</v>
      </c>
      <c r="C157" s="87" t="s">
        <v>221</v>
      </c>
      <c r="D157" s="87" t="s">
        <v>802</v>
      </c>
      <c r="E157" s="87" t="s">
        <v>803</v>
      </c>
      <c r="F157" s="87" t="s">
        <v>804</v>
      </c>
      <c r="G157" s="87" t="s">
        <v>805</v>
      </c>
      <c r="H157" s="87" t="s">
        <v>793</v>
      </c>
      <c r="I157" s="87" t="s">
        <v>144</v>
      </c>
      <c r="J157" s="87" t="s">
        <v>263</v>
      </c>
      <c r="K157" s="86">
        <v>90001</v>
      </c>
      <c r="L157" s="86" t="s">
        <v>261</v>
      </c>
      <c r="M157" s="87" t="s">
        <v>262</v>
      </c>
    </row>
    <row r="158" spans="1:13" ht="14.1" customHeight="1" x14ac:dyDescent="0.2">
      <c r="A158" s="86">
        <v>158</v>
      </c>
      <c r="B158" s="87" t="s">
        <v>793</v>
      </c>
      <c r="C158" s="87" t="s">
        <v>266</v>
      </c>
      <c r="D158" s="87" t="s">
        <v>806</v>
      </c>
      <c r="E158" s="87" t="s">
        <v>807</v>
      </c>
      <c r="F158" s="87" t="s">
        <v>808</v>
      </c>
      <c r="G158" s="87" t="s">
        <v>809</v>
      </c>
      <c r="H158" s="87" t="s">
        <v>793</v>
      </c>
      <c r="I158" s="87" t="s">
        <v>221</v>
      </c>
      <c r="J158" s="87" t="s">
        <v>264</v>
      </c>
      <c r="K158" s="86">
        <v>90001</v>
      </c>
      <c r="L158" s="86" t="s">
        <v>261</v>
      </c>
      <c r="M158" s="87" t="s">
        <v>262</v>
      </c>
    </row>
    <row r="159" spans="1:13" ht="14.1" customHeight="1" x14ac:dyDescent="0.2">
      <c r="A159" s="86">
        <v>159</v>
      </c>
      <c r="B159" s="87" t="s">
        <v>793</v>
      </c>
      <c r="C159" s="87" t="s">
        <v>340</v>
      </c>
      <c r="D159" s="87" t="s">
        <v>810</v>
      </c>
      <c r="E159" s="87" t="s">
        <v>811</v>
      </c>
      <c r="F159" s="87" t="s">
        <v>812</v>
      </c>
      <c r="G159" s="87" t="s">
        <v>813</v>
      </c>
      <c r="H159" s="87" t="s">
        <v>793</v>
      </c>
      <c r="I159" s="87" t="s">
        <v>266</v>
      </c>
      <c r="J159" s="87" t="s">
        <v>265</v>
      </c>
      <c r="K159" s="86">
        <v>90001</v>
      </c>
      <c r="L159" s="86" t="s">
        <v>261</v>
      </c>
      <c r="M159" s="87" t="s">
        <v>262</v>
      </c>
    </row>
    <row r="160" spans="1:13" ht="14.1" customHeight="1" x14ac:dyDescent="0.2">
      <c r="A160" s="86">
        <v>160</v>
      </c>
      <c r="B160" s="87" t="s">
        <v>793</v>
      </c>
      <c r="C160" s="87" t="s">
        <v>681</v>
      </c>
      <c r="D160" s="87" t="s">
        <v>814</v>
      </c>
      <c r="E160" s="87" t="s">
        <v>815</v>
      </c>
      <c r="F160" s="87" t="s">
        <v>816</v>
      </c>
      <c r="G160" s="87" t="s">
        <v>817</v>
      </c>
      <c r="H160" s="87" t="s">
        <v>793</v>
      </c>
      <c r="I160" s="87" t="s">
        <v>340</v>
      </c>
      <c r="J160" s="87" t="s">
        <v>229</v>
      </c>
      <c r="K160" s="86">
        <v>90001</v>
      </c>
      <c r="L160" s="86" t="s">
        <v>261</v>
      </c>
      <c r="M160" s="87" t="s">
        <v>262</v>
      </c>
    </row>
    <row r="161" spans="1:13" ht="14.1" customHeight="1" x14ac:dyDescent="0.2">
      <c r="A161" s="86">
        <v>161</v>
      </c>
      <c r="B161" s="87" t="s">
        <v>793</v>
      </c>
      <c r="C161" s="87" t="s">
        <v>682</v>
      </c>
      <c r="D161" s="87" t="s">
        <v>818</v>
      </c>
      <c r="E161" s="87" t="s">
        <v>819</v>
      </c>
      <c r="F161" s="87" t="s">
        <v>820</v>
      </c>
      <c r="G161" s="87" t="s">
        <v>821</v>
      </c>
      <c r="H161" s="87" t="s">
        <v>793</v>
      </c>
      <c r="I161" s="87" t="s">
        <v>681</v>
      </c>
      <c r="J161" s="87" t="s">
        <v>230</v>
      </c>
      <c r="K161" s="86">
        <v>90001</v>
      </c>
      <c r="L161" s="86" t="s">
        <v>261</v>
      </c>
      <c r="M161" s="87" t="s">
        <v>262</v>
      </c>
    </row>
    <row r="162" spans="1:13" ht="14.1" customHeight="1" x14ac:dyDescent="0.2">
      <c r="A162" s="86">
        <v>162</v>
      </c>
      <c r="B162" s="87" t="s">
        <v>793</v>
      </c>
      <c r="C162" s="87" t="s">
        <v>683</v>
      </c>
      <c r="D162" s="87" t="s">
        <v>822</v>
      </c>
      <c r="E162" s="87" t="s">
        <v>823</v>
      </c>
      <c r="F162" s="87" t="s">
        <v>824</v>
      </c>
      <c r="G162" s="87" t="s">
        <v>825</v>
      </c>
      <c r="H162" s="87" t="s">
        <v>793</v>
      </c>
      <c r="I162" s="87" t="s">
        <v>682</v>
      </c>
      <c r="J162" s="87" t="s">
        <v>299</v>
      </c>
      <c r="K162" s="86">
        <v>90001</v>
      </c>
      <c r="L162" s="86" t="s">
        <v>261</v>
      </c>
      <c r="M162" s="87" t="s">
        <v>262</v>
      </c>
    </row>
    <row r="163" spans="1:13" ht="14.1" customHeight="1" x14ac:dyDescent="0.2">
      <c r="A163" s="86">
        <v>163</v>
      </c>
      <c r="B163" s="87" t="s">
        <v>793</v>
      </c>
      <c r="C163" s="87" t="s">
        <v>684</v>
      </c>
      <c r="D163" s="87" t="s">
        <v>826</v>
      </c>
      <c r="E163" s="87" t="s">
        <v>827</v>
      </c>
      <c r="F163" s="87" t="s">
        <v>828</v>
      </c>
      <c r="G163" s="87" t="s">
        <v>829</v>
      </c>
      <c r="H163" s="87" t="s">
        <v>793</v>
      </c>
      <c r="I163" s="87" t="s">
        <v>683</v>
      </c>
      <c r="J163" s="87" t="s">
        <v>304</v>
      </c>
      <c r="K163" s="86">
        <v>90001</v>
      </c>
      <c r="L163" s="86" t="s">
        <v>261</v>
      </c>
      <c r="M163" s="87" t="s">
        <v>262</v>
      </c>
    </row>
    <row r="164" spans="1:13" ht="14.1" customHeight="1" x14ac:dyDescent="0.2">
      <c r="A164" s="86">
        <v>164</v>
      </c>
      <c r="B164" s="87" t="s">
        <v>793</v>
      </c>
      <c r="C164" s="87" t="s">
        <v>685</v>
      </c>
      <c r="D164" s="87" t="s">
        <v>830</v>
      </c>
      <c r="E164" s="87" t="s">
        <v>831</v>
      </c>
      <c r="F164" s="87" t="s">
        <v>832</v>
      </c>
      <c r="G164" s="87" t="s">
        <v>833</v>
      </c>
      <c r="H164" s="87" t="s">
        <v>793</v>
      </c>
      <c r="I164" s="87" t="s">
        <v>684</v>
      </c>
      <c r="J164" s="87" t="s">
        <v>309</v>
      </c>
      <c r="K164" s="86">
        <v>90001</v>
      </c>
      <c r="L164" s="86" t="s">
        <v>261</v>
      </c>
      <c r="M164" s="87" t="s">
        <v>262</v>
      </c>
    </row>
    <row r="165" spans="1:13" ht="14.1" customHeight="1" x14ac:dyDescent="0.2">
      <c r="A165" s="86">
        <v>165</v>
      </c>
      <c r="B165" s="87" t="s">
        <v>793</v>
      </c>
      <c r="C165" s="87" t="s">
        <v>686</v>
      </c>
      <c r="D165" s="87" t="s">
        <v>834</v>
      </c>
      <c r="E165" s="87" t="s">
        <v>835</v>
      </c>
      <c r="F165" s="87" t="s">
        <v>836</v>
      </c>
      <c r="G165" s="87" t="s">
        <v>837</v>
      </c>
      <c r="H165" s="87" t="s">
        <v>793</v>
      </c>
      <c r="I165" s="87" t="s">
        <v>685</v>
      </c>
      <c r="J165" s="87" t="s">
        <v>314</v>
      </c>
      <c r="K165" s="86">
        <v>90001</v>
      </c>
      <c r="L165" s="86" t="s">
        <v>261</v>
      </c>
      <c r="M165" s="87" t="s">
        <v>262</v>
      </c>
    </row>
    <row r="166" spans="1:13" ht="14.1" customHeight="1" x14ac:dyDescent="0.2">
      <c r="A166" s="86">
        <v>166</v>
      </c>
      <c r="B166" s="87" t="s">
        <v>793</v>
      </c>
      <c r="C166" s="87" t="s">
        <v>687</v>
      </c>
      <c r="D166" s="87" t="s">
        <v>838</v>
      </c>
      <c r="E166" s="87" t="s">
        <v>839</v>
      </c>
      <c r="F166" s="87" t="s">
        <v>840</v>
      </c>
      <c r="G166" s="87" t="s">
        <v>841</v>
      </c>
      <c r="H166" s="87" t="s">
        <v>793</v>
      </c>
      <c r="I166" s="87" t="s">
        <v>686</v>
      </c>
      <c r="J166" s="87" t="s">
        <v>319</v>
      </c>
      <c r="K166" s="86">
        <v>90001</v>
      </c>
      <c r="L166" s="86" t="s">
        <v>261</v>
      </c>
      <c r="M166" s="87" t="s">
        <v>262</v>
      </c>
    </row>
    <row r="167" spans="1:13" ht="14.1" customHeight="1" x14ac:dyDescent="0.2">
      <c r="A167" s="95">
        <v>167</v>
      </c>
      <c r="B167" s="96" t="s">
        <v>842</v>
      </c>
      <c r="C167" s="96" t="s">
        <v>680</v>
      </c>
      <c r="D167" s="96" t="s">
        <v>843</v>
      </c>
      <c r="E167" s="96" t="s">
        <v>844</v>
      </c>
      <c r="F167" s="96" t="s">
        <v>845</v>
      </c>
      <c r="G167" s="96" t="s">
        <v>846</v>
      </c>
      <c r="H167" s="96" t="s">
        <v>793</v>
      </c>
      <c r="I167" s="96" t="s">
        <v>687</v>
      </c>
      <c r="J167" s="96" t="s">
        <v>324</v>
      </c>
      <c r="K167" s="95">
        <v>90001</v>
      </c>
      <c r="L167" s="95" t="s">
        <v>261</v>
      </c>
      <c r="M167" s="96" t="s">
        <v>262</v>
      </c>
    </row>
    <row r="168" spans="1:13" ht="14.1" customHeight="1" x14ac:dyDescent="0.2">
      <c r="A168" s="95">
        <v>168</v>
      </c>
      <c r="B168" s="96" t="s">
        <v>842</v>
      </c>
      <c r="C168" s="96" t="s">
        <v>144</v>
      </c>
      <c r="D168" s="96" t="s">
        <v>847</v>
      </c>
      <c r="E168" s="96" t="s">
        <v>848</v>
      </c>
      <c r="F168" s="96" t="s">
        <v>849</v>
      </c>
      <c r="G168" s="96" t="s">
        <v>850</v>
      </c>
      <c r="H168" s="96" t="s">
        <v>842</v>
      </c>
      <c r="I168" s="96" t="s">
        <v>680</v>
      </c>
      <c r="J168" s="96" t="s">
        <v>329</v>
      </c>
      <c r="K168" s="95">
        <v>90001</v>
      </c>
      <c r="L168" s="95" t="s">
        <v>261</v>
      </c>
      <c r="M168" s="96" t="s">
        <v>262</v>
      </c>
    </row>
    <row r="169" spans="1:13" ht="14.1" customHeight="1" x14ac:dyDescent="0.2">
      <c r="A169" s="95">
        <v>169</v>
      </c>
      <c r="B169" s="96" t="s">
        <v>842</v>
      </c>
      <c r="C169" s="96" t="s">
        <v>221</v>
      </c>
      <c r="D169" s="96" t="s">
        <v>851</v>
      </c>
      <c r="E169" s="96" t="s">
        <v>852</v>
      </c>
      <c r="F169" s="96" t="s">
        <v>853</v>
      </c>
      <c r="G169" s="96" t="s">
        <v>854</v>
      </c>
      <c r="H169" s="96" t="s">
        <v>842</v>
      </c>
      <c r="I169" s="96" t="s">
        <v>144</v>
      </c>
      <c r="J169" s="96" t="s">
        <v>334</v>
      </c>
      <c r="K169" s="95">
        <v>90001</v>
      </c>
      <c r="L169" s="95" t="s">
        <v>261</v>
      </c>
      <c r="M169" s="96" t="s">
        <v>262</v>
      </c>
    </row>
    <row r="170" spans="1:13" ht="14.1" customHeight="1" x14ac:dyDescent="0.2">
      <c r="A170" s="95">
        <v>170</v>
      </c>
      <c r="B170" s="96" t="s">
        <v>842</v>
      </c>
      <c r="C170" s="96" t="s">
        <v>266</v>
      </c>
      <c r="D170" s="96" t="s">
        <v>855</v>
      </c>
      <c r="E170" s="96" t="s">
        <v>856</v>
      </c>
      <c r="F170" s="96" t="s">
        <v>857</v>
      </c>
      <c r="G170" s="96" t="s">
        <v>858</v>
      </c>
      <c r="H170" s="96" t="s">
        <v>842</v>
      </c>
      <c r="I170" s="96" t="s">
        <v>221</v>
      </c>
      <c r="J170" s="96" t="s">
        <v>339</v>
      </c>
      <c r="K170" s="95">
        <v>90001</v>
      </c>
      <c r="L170" s="95" t="s">
        <v>261</v>
      </c>
      <c r="M170" s="96" t="s">
        <v>262</v>
      </c>
    </row>
    <row r="171" spans="1:13" ht="14.1" customHeight="1" x14ac:dyDescent="0.2">
      <c r="A171" s="95">
        <v>171</v>
      </c>
      <c r="B171" s="96" t="s">
        <v>842</v>
      </c>
      <c r="C171" s="96" t="s">
        <v>340</v>
      </c>
      <c r="D171" s="96" t="s">
        <v>859</v>
      </c>
      <c r="E171" s="96" t="s">
        <v>860</v>
      </c>
      <c r="F171" s="96" t="s">
        <v>861</v>
      </c>
      <c r="G171" s="96" t="s">
        <v>862</v>
      </c>
      <c r="H171" s="96" t="s">
        <v>842</v>
      </c>
      <c r="I171" s="96" t="s">
        <v>266</v>
      </c>
      <c r="J171" s="96" t="s">
        <v>623</v>
      </c>
      <c r="K171" s="95">
        <v>90001</v>
      </c>
      <c r="L171" s="95" t="s">
        <v>261</v>
      </c>
      <c r="M171" s="96" t="s">
        <v>262</v>
      </c>
    </row>
    <row r="172" spans="1:13" ht="14.1" customHeight="1" x14ac:dyDescent="0.2">
      <c r="A172" s="95">
        <v>172</v>
      </c>
      <c r="B172" s="96" t="s">
        <v>842</v>
      </c>
      <c r="C172" s="96" t="s">
        <v>681</v>
      </c>
      <c r="D172" s="96" t="s">
        <v>863</v>
      </c>
      <c r="E172" s="96" t="s">
        <v>864</v>
      </c>
      <c r="F172" s="96" t="s">
        <v>865</v>
      </c>
      <c r="G172" s="96" t="s">
        <v>866</v>
      </c>
      <c r="H172" s="96" t="s">
        <v>842</v>
      </c>
      <c r="I172" s="96" t="s">
        <v>340</v>
      </c>
      <c r="J172" s="96" t="s">
        <v>624</v>
      </c>
      <c r="K172" s="95">
        <v>90001</v>
      </c>
      <c r="L172" s="95" t="s">
        <v>261</v>
      </c>
      <c r="M172" s="96" t="s">
        <v>262</v>
      </c>
    </row>
    <row r="173" spans="1:13" ht="14.1" customHeight="1" x14ac:dyDescent="0.2">
      <c r="A173" s="95">
        <v>173</v>
      </c>
      <c r="B173" s="96" t="s">
        <v>842</v>
      </c>
      <c r="C173" s="96" t="s">
        <v>682</v>
      </c>
      <c r="D173" s="96" t="s">
        <v>867</v>
      </c>
      <c r="E173" s="96" t="s">
        <v>868</v>
      </c>
      <c r="F173" s="96" t="s">
        <v>869</v>
      </c>
      <c r="G173" s="96" t="s">
        <v>870</v>
      </c>
      <c r="H173" s="96" t="s">
        <v>842</v>
      </c>
      <c r="I173" s="96" t="s">
        <v>681</v>
      </c>
      <c r="J173" s="96" t="s">
        <v>625</v>
      </c>
      <c r="K173" s="95">
        <v>90001</v>
      </c>
      <c r="L173" s="95" t="s">
        <v>261</v>
      </c>
      <c r="M173" s="96" t="s">
        <v>262</v>
      </c>
    </row>
    <row r="174" spans="1:13" ht="14.1" customHeight="1" x14ac:dyDescent="0.2">
      <c r="A174" s="95">
        <v>174</v>
      </c>
      <c r="B174" s="96" t="s">
        <v>842</v>
      </c>
      <c r="C174" s="96" t="s">
        <v>683</v>
      </c>
      <c r="D174" s="96" t="s">
        <v>871</v>
      </c>
      <c r="E174" s="96" t="s">
        <v>872</v>
      </c>
      <c r="F174" s="96" t="s">
        <v>873</v>
      </c>
      <c r="G174" s="96" t="s">
        <v>874</v>
      </c>
      <c r="H174" s="96" t="s">
        <v>842</v>
      </c>
      <c r="I174" s="96" t="s">
        <v>682</v>
      </c>
      <c r="J174" s="96" t="s">
        <v>626</v>
      </c>
      <c r="K174" s="95">
        <v>90001</v>
      </c>
      <c r="L174" s="95" t="s">
        <v>261</v>
      </c>
      <c r="M174" s="96" t="s">
        <v>262</v>
      </c>
    </row>
    <row r="175" spans="1:13" ht="14.1" customHeight="1" x14ac:dyDescent="0.2">
      <c r="A175" s="95">
        <v>175</v>
      </c>
      <c r="B175" s="96" t="s">
        <v>842</v>
      </c>
      <c r="C175" s="96" t="s">
        <v>684</v>
      </c>
      <c r="D175" s="96" t="s">
        <v>875</v>
      </c>
      <c r="E175" s="96" t="s">
        <v>876</v>
      </c>
      <c r="F175" s="96" t="s">
        <v>877</v>
      </c>
      <c r="G175" s="96" t="s">
        <v>878</v>
      </c>
      <c r="H175" s="96" t="s">
        <v>842</v>
      </c>
      <c r="I175" s="96" t="s">
        <v>683</v>
      </c>
      <c r="J175" s="96" t="s">
        <v>627</v>
      </c>
      <c r="K175" s="95">
        <v>90001</v>
      </c>
      <c r="L175" s="95" t="s">
        <v>261</v>
      </c>
      <c r="M175" s="96" t="s">
        <v>262</v>
      </c>
    </row>
    <row r="176" spans="1:13" ht="14.1" customHeight="1" x14ac:dyDescent="0.2">
      <c r="A176" s="95">
        <v>176</v>
      </c>
      <c r="B176" s="96" t="s">
        <v>842</v>
      </c>
      <c r="C176" s="96" t="s">
        <v>685</v>
      </c>
      <c r="D176" s="96" t="s">
        <v>879</v>
      </c>
      <c r="E176" s="96" t="s">
        <v>880</v>
      </c>
      <c r="F176" s="96" t="s">
        <v>881</v>
      </c>
      <c r="G176" s="96" t="s">
        <v>882</v>
      </c>
      <c r="H176" s="96" t="s">
        <v>842</v>
      </c>
      <c r="I176" s="96" t="s">
        <v>684</v>
      </c>
      <c r="J176" s="96" t="s">
        <v>628</v>
      </c>
      <c r="K176" s="95">
        <v>90001</v>
      </c>
      <c r="L176" s="95" t="s">
        <v>261</v>
      </c>
      <c r="M176" s="96" t="s">
        <v>262</v>
      </c>
    </row>
    <row r="177" spans="1:13" ht="14.1" customHeight="1" x14ac:dyDescent="0.2">
      <c r="A177" s="95">
        <v>177</v>
      </c>
      <c r="B177" s="96" t="s">
        <v>842</v>
      </c>
      <c r="C177" s="96" t="s">
        <v>686</v>
      </c>
      <c r="D177" s="96" t="s">
        <v>883</v>
      </c>
      <c r="E177" s="96" t="s">
        <v>884</v>
      </c>
      <c r="F177" s="96" t="s">
        <v>885</v>
      </c>
      <c r="G177" s="96" t="s">
        <v>886</v>
      </c>
      <c r="H177" s="96" t="s">
        <v>842</v>
      </c>
      <c r="I177" s="96" t="s">
        <v>685</v>
      </c>
      <c r="J177" s="96" t="s">
        <v>629</v>
      </c>
      <c r="K177" s="95">
        <v>90001</v>
      </c>
      <c r="L177" s="95" t="s">
        <v>261</v>
      </c>
      <c r="M177" s="96" t="s">
        <v>262</v>
      </c>
    </row>
    <row r="178" spans="1:13" ht="14.1" customHeight="1" x14ac:dyDescent="0.2">
      <c r="A178" s="95">
        <v>178</v>
      </c>
      <c r="B178" s="96" t="s">
        <v>842</v>
      </c>
      <c r="C178" s="96" t="s">
        <v>687</v>
      </c>
      <c r="D178" s="96" t="s">
        <v>887</v>
      </c>
      <c r="E178" s="96" t="s">
        <v>888</v>
      </c>
      <c r="F178" s="96" t="s">
        <v>889</v>
      </c>
      <c r="G178" s="96" t="s">
        <v>890</v>
      </c>
      <c r="H178" s="96" t="s">
        <v>842</v>
      </c>
      <c r="I178" s="96" t="s">
        <v>686</v>
      </c>
      <c r="J178" s="96" t="s">
        <v>630</v>
      </c>
      <c r="K178" s="95">
        <v>90001</v>
      </c>
      <c r="L178" s="95" t="s">
        <v>261</v>
      </c>
      <c r="M178" s="96" t="s">
        <v>262</v>
      </c>
    </row>
    <row r="179" spans="1:13" s="59" customFormat="1" ht="14.1" customHeight="1" x14ac:dyDescent="0.2">
      <c r="A179" s="58">
        <v>179</v>
      </c>
      <c r="B179" s="59" t="s">
        <v>891</v>
      </c>
      <c r="C179" s="59" t="s">
        <v>680</v>
      </c>
      <c r="D179" s="59" t="s">
        <v>892</v>
      </c>
      <c r="E179" s="59" t="s">
        <v>893</v>
      </c>
      <c r="F179" s="59" t="s">
        <v>894</v>
      </c>
      <c r="G179" s="59" t="s">
        <v>895</v>
      </c>
      <c r="H179" s="59" t="s">
        <v>842</v>
      </c>
      <c r="I179" s="59" t="s">
        <v>687</v>
      </c>
      <c r="J179" s="59" t="s">
        <v>261</v>
      </c>
      <c r="K179" s="58">
        <v>90001</v>
      </c>
      <c r="L179" s="58" t="s">
        <v>261</v>
      </c>
      <c r="M179" s="59" t="s">
        <v>262</v>
      </c>
    </row>
    <row r="180" spans="1:13" s="59" customFormat="1" ht="14.1" customHeight="1" x14ac:dyDescent="0.2">
      <c r="A180" s="58">
        <v>180</v>
      </c>
      <c r="B180" s="59" t="s">
        <v>891</v>
      </c>
      <c r="C180" s="59" t="s">
        <v>144</v>
      </c>
      <c r="D180" s="59" t="s">
        <v>896</v>
      </c>
      <c r="E180" s="59" t="s">
        <v>897</v>
      </c>
      <c r="F180" s="59" t="s">
        <v>898</v>
      </c>
      <c r="G180" s="59" t="s">
        <v>899</v>
      </c>
      <c r="H180" s="59" t="s">
        <v>891</v>
      </c>
      <c r="I180" s="59" t="s">
        <v>680</v>
      </c>
      <c r="J180" s="59" t="s">
        <v>223</v>
      </c>
      <c r="K180" s="58">
        <v>90001</v>
      </c>
      <c r="L180" s="58" t="s">
        <v>261</v>
      </c>
      <c r="M180" s="59" t="s">
        <v>262</v>
      </c>
    </row>
    <row r="181" spans="1:13" s="59" customFormat="1" ht="14.1" customHeight="1" x14ac:dyDescent="0.2">
      <c r="A181" s="58">
        <v>181</v>
      </c>
      <c r="B181" s="59" t="s">
        <v>891</v>
      </c>
      <c r="C181" s="59" t="s">
        <v>221</v>
      </c>
      <c r="D181" s="59" t="s">
        <v>900</v>
      </c>
      <c r="E181" s="59" t="s">
        <v>901</v>
      </c>
      <c r="F181" s="59" t="s">
        <v>902</v>
      </c>
      <c r="G181" s="59" t="s">
        <v>903</v>
      </c>
      <c r="H181" s="59" t="s">
        <v>891</v>
      </c>
      <c r="I181" s="59" t="s">
        <v>144</v>
      </c>
      <c r="J181" s="59" t="s">
        <v>263</v>
      </c>
      <c r="K181" s="58">
        <v>90001</v>
      </c>
      <c r="L181" s="58" t="s">
        <v>261</v>
      </c>
      <c r="M181" s="59" t="s">
        <v>262</v>
      </c>
    </row>
    <row r="182" spans="1:13" s="59" customFormat="1" ht="14.1" customHeight="1" x14ac:dyDescent="0.2">
      <c r="A182" s="58">
        <v>182</v>
      </c>
      <c r="B182" s="59" t="s">
        <v>891</v>
      </c>
      <c r="C182" s="59" t="s">
        <v>266</v>
      </c>
      <c r="D182" s="59" t="s">
        <v>904</v>
      </c>
      <c r="E182" s="59" t="s">
        <v>905</v>
      </c>
      <c r="F182" s="59" t="s">
        <v>906</v>
      </c>
      <c r="G182" s="59" t="s">
        <v>907</v>
      </c>
      <c r="H182" s="59" t="s">
        <v>891</v>
      </c>
      <c r="I182" s="59" t="s">
        <v>221</v>
      </c>
      <c r="J182" s="59" t="s">
        <v>264</v>
      </c>
      <c r="K182" s="58">
        <v>90001</v>
      </c>
      <c r="L182" s="58" t="s">
        <v>261</v>
      </c>
      <c r="M182" s="59" t="s">
        <v>262</v>
      </c>
    </row>
    <row r="183" spans="1:13" s="59" customFormat="1" ht="14.1" customHeight="1" x14ac:dyDescent="0.2">
      <c r="A183" s="58">
        <v>183</v>
      </c>
      <c r="B183" s="59" t="s">
        <v>891</v>
      </c>
      <c r="C183" s="59" t="s">
        <v>340</v>
      </c>
      <c r="D183" s="59" t="s">
        <v>908</v>
      </c>
      <c r="E183" s="59" t="s">
        <v>909</v>
      </c>
      <c r="F183" s="59" t="s">
        <v>910</v>
      </c>
      <c r="G183" s="59" t="s">
        <v>911</v>
      </c>
      <c r="H183" s="59" t="s">
        <v>891</v>
      </c>
      <c r="I183" s="59" t="s">
        <v>266</v>
      </c>
      <c r="J183" s="59" t="s">
        <v>265</v>
      </c>
      <c r="K183" s="58">
        <v>90001</v>
      </c>
      <c r="L183" s="58" t="s">
        <v>261</v>
      </c>
      <c r="M183" s="59" t="s">
        <v>262</v>
      </c>
    </row>
    <row r="184" spans="1:13" s="59" customFormat="1" ht="14.1" customHeight="1" x14ac:dyDescent="0.2">
      <c r="A184" s="58">
        <v>184</v>
      </c>
      <c r="B184" s="59" t="s">
        <v>891</v>
      </c>
      <c r="C184" s="59" t="s">
        <v>681</v>
      </c>
      <c r="D184" s="59" t="s">
        <v>912</v>
      </c>
      <c r="E184" s="59" t="s">
        <v>913</v>
      </c>
      <c r="F184" s="59" t="s">
        <v>914</v>
      </c>
      <c r="G184" s="59" t="s">
        <v>915</v>
      </c>
      <c r="H184" s="59" t="s">
        <v>891</v>
      </c>
      <c r="I184" s="59" t="s">
        <v>340</v>
      </c>
      <c r="J184" s="59" t="s">
        <v>229</v>
      </c>
      <c r="K184" s="58">
        <v>90001</v>
      </c>
      <c r="L184" s="58" t="s">
        <v>261</v>
      </c>
      <c r="M184" s="59" t="s">
        <v>262</v>
      </c>
    </row>
    <row r="185" spans="1:13" s="59" customFormat="1" ht="14.1" customHeight="1" x14ac:dyDescent="0.2">
      <c r="A185" s="58">
        <v>185</v>
      </c>
      <c r="B185" s="59" t="s">
        <v>891</v>
      </c>
      <c r="C185" s="59" t="s">
        <v>682</v>
      </c>
      <c r="D185" s="59" t="s">
        <v>916</v>
      </c>
      <c r="E185" s="59" t="s">
        <v>917</v>
      </c>
      <c r="F185" s="59" t="s">
        <v>918</v>
      </c>
      <c r="G185" s="59" t="s">
        <v>919</v>
      </c>
      <c r="H185" s="59" t="s">
        <v>891</v>
      </c>
      <c r="I185" s="59" t="s">
        <v>681</v>
      </c>
      <c r="J185" s="59" t="s">
        <v>230</v>
      </c>
      <c r="K185" s="58">
        <v>90001</v>
      </c>
      <c r="L185" s="58" t="s">
        <v>261</v>
      </c>
      <c r="M185" s="59" t="s">
        <v>262</v>
      </c>
    </row>
    <row r="186" spans="1:13" s="59" customFormat="1" ht="14.1" customHeight="1" x14ac:dyDescent="0.2">
      <c r="A186" s="58">
        <v>186</v>
      </c>
      <c r="B186" s="59" t="s">
        <v>891</v>
      </c>
      <c r="C186" s="59" t="s">
        <v>683</v>
      </c>
      <c r="D186" s="59" t="s">
        <v>920</v>
      </c>
      <c r="E186" s="59" t="s">
        <v>921</v>
      </c>
      <c r="F186" s="59" t="s">
        <v>922</v>
      </c>
      <c r="G186" s="59" t="s">
        <v>923</v>
      </c>
      <c r="H186" s="59" t="s">
        <v>891</v>
      </c>
      <c r="I186" s="59" t="s">
        <v>682</v>
      </c>
      <c r="J186" s="59" t="s">
        <v>299</v>
      </c>
      <c r="K186" s="58">
        <v>90001</v>
      </c>
      <c r="L186" s="58" t="s">
        <v>261</v>
      </c>
      <c r="M186" s="59" t="s">
        <v>262</v>
      </c>
    </row>
    <row r="187" spans="1:13" s="59" customFormat="1" ht="14.1" customHeight="1" x14ac:dyDescent="0.2">
      <c r="A187" s="58">
        <v>187</v>
      </c>
      <c r="B187" s="59" t="s">
        <v>891</v>
      </c>
      <c r="C187" s="59" t="s">
        <v>684</v>
      </c>
      <c r="D187" s="59" t="s">
        <v>924</v>
      </c>
      <c r="E187" s="59" t="s">
        <v>925</v>
      </c>
      <c r="F187" s="59" t="s">
        <v>926</v>
      </c>
      <c r="G187" s="59" t="s">
        <v>927</v>
      </c>
      <c r="H187" s="59" t="s">
        <v>891</v>
      </c>
      <c r="I187" s="59" t="s">
        <v>683</v>
      </c>
      <c r="J187" s="59" t="s">
        <v>304</v>
      </c>
      <c r="K187" s="58">
        <v>90001</v>
      </c>
      <c r="L187" s="58" t="s">
        <v>261</v>
      </c>
      <c r="M187" s="59" t="s">
        <v>262</v>
      </c>
    </row>
    <row r="188" spans="1:13" s="59" customFormat="1" ht="14.1" customHeight="1" x14ac:dyDescent="0.2">
      <c r="A188" s="58">
        <v>188</v>
      </c>
      <c r="B188" s="59" t="s">
        <v>891</v>
      </c>
      <c r="C188" s="59" t="s">
        <v>685</v>
      </c>
      <c r="D188" s="59" t="s">
        <v>928</v>
      </c>
      <c r="E188" s="59" t="s">
        <v>929</v>
      </c>
      <c r="F188" s="59" t="s">
        <v>930</v>
      </c>
      <c r="G188" s="59" t="s">
        <v>931</v>
      </c>
      <c r="H188" s="59" t="s">
        <v>891</v>
      </c>
      <c r="I188" s="59" t="s">
        <v>684</v>
      </c>
      <c r="J188" s="59" t="s">
        <v>309</v>
      </c>
      <c r="K188" s="58">
        <v>90001</v>
      </c>
      <c r="L188" s="58" t="s">
        <v>261</v>
      </c>
      <c r="M188" s="59" t="s">
        <v>262</v>
      </c>
    </row>
    <row r="189" spans="1:13" s="59" customFormat="1" ht="14.1" customHeight="1" x14ac:dyDescent="0.2">
      <c r="A189" s="58">
        <v>189</v>
      </c>
      <c r="B189" s="59" t="s">
        <v>891</v>
      </c>
      <c r="C189" s="59" t="s">
        <v>686</v>
      </c>
      <c r="D189" s="59" t="s">
        <v>932</v>
      </c>
      <c r="E189" s="59" t="s">
        <v>933</v>
      </c>
      <c r="F189" s="59" t="s">
        <v>934</v>
      </c>
      <c r="G189" s="59" t="s">
        <v>935</v>
      </c>
      <c r="H189" s="59" t="s">
        <v>891</v>
      </c>
      <c r="I189" s="59" t="s">
        <v>685</v>
      </c>
      <c r="J189" s="59" t="s">
        <v>314</v>
      </c>
      <c r="K189" s="58">
        <v>90001</v>
      </c>
      <c r="L189" s="58" t="s">
        <v>261</v>
      </c>
      <c r="M189" s="59" t="s">
        <v>262</v>
      </c>
    </row>
    <row r="190" spans="1:13" s="59" customFormat="1" ht="14.1" customHeight="1" x14ac:dyDescent="0.2">
      <c r="A190" s="58">
        <v>190</v>
      </c>
      <c r="B190" s="59" t="s">
        <v>891</v>
      </c>
      <c r="C190" s="59" t="s">
        <v>687</v>
      </c>
      <c r="D190" s="59" t="s">
        <v>936</v>
      </c>
      <c r="E190" s="59" t="s">
        <v>937</v>
      </c>
      <c r="F190" s="59" t="s">
        <v>938</v>
      </c>
      <c r="G190" s="59" t="s">
        <v>939</v>
      </c>
      <c r="H190" s="59" t="s">
        <v>891</v>
      </c>
      <c r="I190" s="59" t="s">
        <v>686</v>
      </c>
      <c r="J190" s="59" t="s">
        <v>319</v>
      </c>
      <c r="K190" s="58">
        <v>90001</v>
      </c>
      <c r="L190" s="58" t="s">
        <v>261</v>
      </c>
      <c r="M190" s="59" t="s">
        <v>262</v>
      </c>
    </row>
    <row r="191" spans="1:13" ht="14.1" customHeight="1" x14ac:dyDescent="0.2">
      <c r="A191" s="8"/>
      <c r="K191" s="8"/>
      <c r="L191" s="8"/>
    </row>
    <row r="192" spans="1:13" ht="14.1" customHeight="1" x14ac:dyDescent="0.2">
      <c r="A192" s="8"/>
      <c r="K192" s="8"/>
      <c r="L192" s="8"/>
    </row>
    <row r="193" spans="1:12" ht="14.1" customHeight="1" x14ac:dyDescent="0.2">
      <c r="A193" s="8"/>
      <c r="K193" s="8"/>
      <c r="L193" s="8"/>
    </row>
    <row r="194" spans="1:12" ht="14.1" customHeight="1" x14ac:dyDescent="0.2">
      <c r="A194" s="8"/>
      <c r="J194" s="11"/>
      <c r="K194" s="8"/>
      <c r="L194" s="8"/>
    </row>
    <row r="195" spans="1:12" ht="14.1" customHeight="1" x14ac:dyDescent="0.2">
      <c r="A195" s="8"/>
      <c r="K195" s="8"/>
      <c r="L195" s="8"/>
    </row>
    <row r="196" spans="1:12" ht="14.1" customHeight="1" x14ac:dyDescent="0.2">
      <c r="A196" s="8"/>
      <c r="K196" s="8"/>
      <c r="L196" s="8"/>
    </row>
    <row r="197" spans="1:12" ht="14.1" customHeight="1" x14ac:dyDescent="0.2">
      <c r="A197" s="8"/>
      <c r="K197" s="8"/>
      <c r="L197" s="8"/>
    </row>
    <row r="198" spans="1:12" ht="14.1" customHeight="1" x14ac:dyDescent="0.2">
      <c r="A198" s="8"/>
      <c r="K198" s="8"/>
      <c r="L198" s="8"/>
    </row>
    <row r="199" spans="1:12" ht="14.1" customHeight="1" x14ac:dyDescent="0.2">
      <c r="A199" s="8"/>
      <c r="K199" s="8"/>
      <c r="L199" s="8"/>
    </row>
    <row r="200" spans="1:12" ht="14.1" customHeight="1" x14ac:dyDescent="0.2">
      <c r="A200" s="8"/>
      <c r="K200" s="8"/>
      <c r="L200" s="8"/>
    </row>
    <row r="201" spans="1:12" ht="14.1" customHeight="1" x14ac:dyDescent="0.2">
      <c r="A201" s="8"/>
      <c r="K201" s="8"/>
      <c r="L201" s="8"/>
    </row>
    <row r="202" spans="1:12" ht="14.1" customHeight="1" x14ac:dyDescent="0.2">
      <c r="A202" s="8"/>
      <c r="K202" s="8"/>
      <c r="L202" s="8"/>
    </row>
    <row r="203" spans="1:12" ht="14.1" customHeight="1" x14ac:dyDescent="0.2">
      <c r="A203" s="8"/>
      <c r="K203" s="8"/>
      <c r="L203" s="8"/>
    </row>
    <row r="204" spans="1:12" ht="14.1" customHeight="1" x14ac:dyDescent="0.2">
      <c r="A204" s="8"/>
      <c r="K204" s="8"/>
      <c r="L204" s="8"/>
    </row>
    <row r="205" spans="1:12" ht="14.1" customHeight="1" x14ac:dyDescent="0.2">
      <c r="A205" s="8"/>
      <c r="K205" s="8"/>
      <c r="L205" s="8"/>
    </row>
    <row r="206" spans="1:12" ht="14.1" customHeight="1" x14ac:dyDescent="0.2">
      <c r="A206" s="8"/>
      <c r="K206" s="8"/>
      <c r="L206" s="8"/>
    </row>
    <row r="207" spans="1:12" ht="14.1" customHeight="1" x14ac:dyDescent="0.2">
      <c r="A207" s="8"/>
      <c r="K207" s="8"/>
      <c r="L207" s="8"/>
    </row>
    <row r="208" spans="1:12" ht="14.1" customHeight="1" x14ac:dyDescent="0.2">
      <c r="A208" s="8"/>
      <c r="K208" s="8"/>
      <c r="L208" s="8"/>
    </row>
    <row r="209" spans="1:12" ht="14.1" customHeight="1" x14ac:dyDescent="0.2">
      <c r="A209" s="8"/>
      <c r="K209" s="8"/>
      <c r="L209" s="8"/>
    </row>
    <row r="210" spans="1:12" ht="14.1" customHeight="1" x14ac:dyDescent="0.2">
      <c r="A210" s="8"/>
      <c r="K210" s="8"/>
      <c r="L210" s="8"/>
    </row>
    <row r="211" spans="1:12" ht="14.1" customHeight="1" x14ac:dyDescent="0.2">
      <c r="A211" s="8"/>
      <c r="K211" s="8"/>
      <c r="L211" s="8"/>
    </row>
    <row r="212" spans="1:12" ht="14.1" customHeight="1" x14ac:dyDescent="0.2">
      <c r="A212" s="8"/>
      <c r="J212" s="11"/>
      <c r="K212" s="8"/>
      <c r="L212" s="8"/>
    </row>
    <row r="213" spans="1:12" ht="14.1" customHeight="1" x14ac:dyDescent="0.2">
      <c r="A213" s="8"/>
      <c r="K213" s="8"/>
      <c r="L213" s="8"/>
    </row>
    <row r="214" spans="1:12" ht="14.1" customHeight="1" x14ac:dyDescent="0.2">
      <c r="A214" s="8"/>
      <c r="K214" s="8"/>
      <c r="L214" s="8"/>
    </row>
    <row r="215" spans="1:12" ht="14.1" customHeight="1" x14ac:dyDescent="0.2">
      <c r="A215" s="8"/>
      <c r="K215" s="8"/>
      <c r="L215" s="8"/>
    </row>
    <row r="216" spans="1:12" ht="14.1" customHeight="1" x14ac:dyDescent="0.2">
      <c r="A216" s="8"/>
      <c r="K216" s="8"/>
      <c r="L216" s="8"/>
    </row>
    <row r="217" spans="1:12" ht="14.1" customHeight="1" x14ac:dyDescent="0.2">
      <c r="A217" s="8"/>
      <c r="K217" s="8"/>
      <c r="L217" s="8"/>
    </row>
    <row r="218" spans="1:12" ht="14.1" customHeight="1" x14ac:dyDescent="0.2">
      <c r="A218" s="8"/>
      <c r="K218" s="8"/>
      <c r="L218" s="8"/>
    </row>
    <row r="219" spans="1:12" ht="14.1" customHeight="1" x14ac:dyDescent="0.2">
      <c r="A219" s="8"/>
      <c r="K219" s="8"/>
      <c r="L219" s="8"/>
    </row>
    <row r="220" spans="1:12" ht="14.1" customHeight="1" x14ac:dyDescent="0.2">
      <c r="A220" s="8"/>
      <c r="K220" s="8"/>
      <c r="L220" s="8"/>
    </row>
    <row r="221" spans="1:12" ht="14.1" customHeight="1" x14ac:dyDescent="0.2">
      <c r="A221" s="8"/>
      <c r="K221" s="8"/>
      <c r="L221" s="8"/>
    </row>
    <row r="222" spans="1:12" ht="14.1" customHeight="1" x14ac:dyDescent="0.2">
      <c r="A222" s="8"/>
      <c r="K222" s="8"/>
      <c r="L222" s="8"/>
    </row>
    <row r="223" spans="1:12" ht="14.1" customHeight="1" x14ac:dyDescent="0.2">
      <c r="A223" s="8"/>
      <c r="K223" s="8"/>
      <c r="L223" s="8"/>
    </row>
    <row r="224" spans="1:12" ht="14.1" customHeight="1" x14ac:dyDescent="0.2">
      <c r="A224" s="8"/>
      <c r="K224" s="8"/>
      <c r="L224" s="8"/>
    </row>
    <row r="225" spans="1:12" ht="14.1" customHeight="1" x14ac:dyDescent="0.2">
      <c r="A225" s="8"/>
      <c r="K225" s="8"/>
      <c r="L225" s="8"/>
    </row>
    <row r="226" spans="1:12" ht="14.1" customHeight="1" x14ac:dyDescent="0.2">
      <c r="A226" s="8"/>
      <c r="K226" s="8"/>
      <c r="L226" s="8"/>
    </row>
    <row r="227" spans="1:12" ht="14.1" customHeight="1" x14ac:dyDescent="0.2">
      <c r="A227" s="8"/>
      <c r="K227" s="8"/>
      <c r="L227" s="8"/>
    </row>
    <row r="228" spans="1:12" ht="14.1" customHeight="1" x14ac:dyDescent="0.2">
      <c r="A228" s="8"/>
      <c r="K228" s="8"/>
      <c r="L228" s="8"/>
    </row>
    <row r="229" spans="1:12" ht="14.1" customHeight="1" x14ac:dyDescent="0.2">
      <c r="A229" s="8"/>
      <c r="K229" s="8"/>
      <c r="L229" s="8"/>
    </row>
    <row r="230" spans="1:12" ht="14.1" customHeight="1" x14ac:dyDescent="0.2">
      <c r="A230" s="8"/>
      <c r="J230" s="11"/>
      <c r="K230" s="8"/>
      <c r="L230" s="8"/>
    </row>
    <row r="231" spans="1:12" ht="14.1" customHeight="1" x14ac:dyDescent="0.2">
      <c r="A231" s="8"/>
      <c r="K231" s="8"/>
      <c r="L231" s="8"/>
    </row>
    <row r="232" spans="1:12" ht="14.1" customHeight="1" x14ac:dyDescent="0.2">
      <c r="A232" s="8"/>
      <c r="K232" s="8"/>
      <c r="L232" s="8"/>
    </row>
    <row r="233" spans="1:12" ht="14.1" customHeight="1" x14ac:dyDescent="0.2">
      <c r="A233" s="8"/>
      <c r="K233" s="8"/>
      <c r="L233" s="8"/>
    </row>
    <row r="234" spans="1:12" ht="14.1" customHeight="1" x14ac:dyDescent="0.2">
      <c r="A234" s="8"/>
      <c r="K234" s="8"/>
      <c r="L234" s="8"/>
    </row>
    <row r="235" spans="1:12" ht="14.1" customHeight="1" x14ac:dyDescent="0.2">
      <c r="A235" s="8"/>
      <c r="K235" s="8"/>
      <c r="L235" s="8"/>
    </row>
    <row r="236" spans="1:12" ht="14.1" customHeight="1" x14ac:dyDescent="0.2">
      <c r="A236" s="8"/>
      <c r="K236" s="8"/>
      <c r="L236" s="8"/>
    </row>
    <row r="237" spans="1:12" ht="14.1" customHeight="1" x14ac:dyDescent="0.2">
      <c r="A237" s="8"/>
      <c r="K237" s="8"/>
      <c r="L237" s="8"/>
    </row>
    <row r="238" spans="1:12" ht="14.1" customHeight="1" x14ac:dyDescent="0.2">
      <c r="A238" s="8"/>
      <c r="K238" s="8"/>
      <c r="L238" s="8"/>
    </row>
    <row r="239" spans="1:12" ht="14.1" customHeight="1" x14ac:dyDescent="0.2">
      <c r="A239" s="8"/>
      <c r="K239" s="8"/>
      <c r="L239" s="8"/>
    </row>
    <row r="240" spans="1:12" ht="14.1" customHeight="1" x14ac:dyDescent="0.2">
      <c r="A240" s="8"/>
      <c r="K240" s="8"/>
      <c r="L240" s="8"/>
    </row>
    <row r="241" spans="1:12" ht="14.1" customHeight="1" x14ac:dyDescent="0.2">
      <c r="A241" s="8"/>
      <c r="K241" s="8"/>
      <c r="L241" s="8"/>
    </row>
    <row r="242" spans="1:12" ht="14.1" customHeight="1" x14ac:dyDescent="0.2">
      <c r="A242" s="8"/>
      <c r="K242" s="8"/>
      <c r="L242" s="8"/>
    </row>
    <row r="243" spans="1:12" ht="14.1" customHeight="1" x14ac:dyDescent="0.2">
      <c r="A243" s="8"/>
      <c r="K243" s="8"/>
      <c r="L243" s="8"/>
    </row>
    <row r="244" spans="1:12" ht="14.1" customHeight="1" x14ac:dyDescent="0.2">
      <c r="A244" s="8"/>
      <c r="K244" s="8"/>
      <c r="L244" s="8"/>
    </row>
    <row r="245" spans="1:12" ht="14.1" customHeight="1" x14ac:dyDescent="0.2">
      <c r="A245" s="8"/>
      <c r="K245" s="8"/>
      <c r="L245" s="8"/>
    </row>
    <row r="246" spans="1:12" ht="14.1" customHeight="1" x14ac:dyDescent="0.2">
      <c r="A246" s="8"/>
      <c r="K246" s="8"/>
      <c r="L246" s="8"/>
    </row>
    <row r="247" spans="1:12" ht="14.1" customHeight="1" x14ac:dyDescent="0.2">
      <c r="A247" s="8"/>
      <c r="K247" s="8"/>
      <c r="L247" s="8"/>
    </row>
    <row r="248" spans="1:12" ht="14.1" customHeight="1" x14ac:dyDescent="0.2">
      <c r="A248" s="8"/>
      <c r="J248" s="11"/>
      <c r="K248" s="8"/>
      <c r="L248" s="8"/>
    </row>
    <row r="249" spans="1:12" ht="14.1" customHeight="1" x14ac:dyDescent="0.2">
      <c r="A249" s="8"/>
      <c r="K249" s="8"/>
      <c r="L249" s="8"/>
    </row>
    <row r="250" spans="1:12" ht="14.1" customHeight="1" x14ac:dyDescent="0.2">
      <c r="A250" s="8"/>
      <c r="K250" s="8"/>
      <c r="L250" s="8"/>
    </row>
    <row r="251" spans="1:12" ht="14.1" customHeight="1" x14ac:dyDescent="0.2">
      <c r="A251" s="8"/>
      <c r="K251" s="8"/>
      <c r="L251" s="8"/>
    </row>
    <row r="252" spans="1:12" ht="14.1" customHeight="1" x14ac:dyDescent="0.2">
      <c r="A252" s="8"/>
      <c r="K252" s="8"/>
      <c r="L252" s="8"/>
    </row>
    <row r="253" spans="1:12" ht="14.1" customHeight="1" x14ac:dyDescent="0.2">
      <c r="A253" s="8"/>
      <c r="K253" s="8"/>
      <c r="L253" s="8"/>
    </row>
    <row r="254" spans="1:12" ht="14.1" customHeight="1" x14ac:dyDescent="0.2">
      <c r="A254" s="8"/>
      <c r="K254" s="8"/>
      <c r="L254" s="8"/>
    </row>
    <row r="255" spans="1:12" ht="14.1" customHeight="1" x14ac:dyDescent="0.2">
      <c r="A255" s="8"/>
      <c r="K255" s="8"/>
      <c r="L255" s="8"/>
    </row>
    <row r="256" spans="1:12" ht="14.1" customHeight="1" x14ac:dyDescent="0.2">
      <c r="A256" s="8"/>
      <c r="K256" s="8"/>
      <c r="L256" s="8"/>
    </row>
    <row r="257" spans="1:12" ht="14.1" customHeight="1" x14ac:dyDescent="0.2">
      <c r="A257" s="8"/>
      <c r="K257" s="8"/>
      <c r="L257" s="8"/>
    </row>
    <row r="258" spans="1:12" ht="14.1" customHeight="1" x14ac:dyDescent="0.2">
      <c r="A258" s="8"/>
      <c r="K258" s="8"/>
      <c r="L258" s="8"/>
    </row>
    <row r="259" spans="1:12" ht="14.1" customHeight="1" x14ac:dyDescent="0.2">
      <c r="A259" s="8"/>
      <c r="K259" s="8"/>
      <c r="L259" s="8"/>
    </row>
    <row r="260" spans="1:12" ht="14.1" customHeight="1" x14ac:dyDescent="0.2">
      <c r="A260" s="8"/>
      <c r="K260" s="8"/>
      <c r="L260" s="8"/>
    </row>
    <row r="261" spans="1:12" ht="14.1" customHeight="1" x14ac:dyDescent="0.2">
      <c r="A261" s="8"/>
      <c r="K261" s="8"/>
      <c r="L261" s="8"/>
    </row>
    <row r="262" spans="1:12" ht="14.1" customHeight="1" x14ac:dyDescent="0.2">
      <c r="A262" s="8"/>
      <c r="K262" s="8"/>
      <c r="L262" s="8"/>
    </row>
    <row r="263" spans="1:12" ht="14.1" customHeight="1" x14ac:dyDescent="0.2">
      <c r="A263" s="8"/>
      <c r="K263" s="8"/>
      <c r="L263" s="8"/>
    </row>
    <row r="264" spans="1:12" ht="14.1" customHeight="1" x14ac:dyDescent="0.2">
      <c r="A264" s="8"/>
      <c r="K264" s="8"/>
      <c r="L264" s="8"/>
    </row>
    <row r="265" spans="1:12" ht="14.1" customHeight="1" x14ac:dyDescent="0.2">
      <c r="A265" s="8"/>
      <c r="K265" s="8"/>
      <c r="L265" s="8"/>
    </row>
    <row r="266" spans="1:12" ht="14.1" customHeight="1" x14ac:dyDescent="0.2">
      <c r="A266" s="8"/>
      <c r="J266" s="11"/>
      <c r="K266" s="8"/>
      <c r="L266" s="8"/>
    </row>
    <row r="267" spans="1:12" ht="14.1" customHeight="1" x14ac:dyDescent="0.2">
      <c r="A267" s="8"/>
      <c r="K267" s="8"/>
      <c r="L267" s="8"/>
    </row>
    <row r="268" spans="1:12" ht="14.1" customHeight="1" x14ac:dyDescent="0.2">
      <c r="A268" s="8"/>
      <c r="K268" s="8"/>
      <c r="L268" s="8"/>
    </row>
    <row r="269" spans="1:12" ht="14.1" customHeight="1" x14ac:dyDescent="0.2">
      <c r="A269" s="8"/>
      <c r="K269" s="8"/>
      <c r="L269" s="8"/>
    </row>
    <row r="270" spans="1:12" ht="14.1" customHeight="1" x14ac:dyDescent="0.2">
      <c r="A270" s="8"/>
      <c r="K270" s="8"/>
      <c r="L270" s="8"/>
    </row>
    <row r="271" spans="1:12" ht="14.1" customHeight="1" x14ac:dyDescent="0.2">
      <c r="A271" s="8"/>
      <c r="K271" s="8"/>
      <c r="L271" s="8"/>
    </row>
    <row r="272" spans="1:12" ht="14.1" customHeight="1" x14ac:dyDescent="0.2">
      <c r="A272" s="8"/>
      <c r="K272" s="8"/>
      <c r="L272" s="8"/>
    </row>
    <row r="273" spans="1:12" ht="14.1" customHeight="1" x14ac:dyDescent="0.2">
      <c r="A273" s="8"/>
      <c r="K273" s="8"/>
      <c r="L273" s="8"/>
    </row>
    <row r="274" spans="1:12" ht="14.1" customHeight="1" x14ac:dyDescent="0.2">
      <c r="A274" s="8"/>
      <c r="K274" s="8"/>
      <c r="L274" s="8"/>
    </row>
    <row r="275" spans="1:12" ht="14.1" customHeight="1" x14ac:dyDescent="0.2">
      <c r="A275" s="8"/>
      <c r="K275" s="8"/>
      <c r="L275" s="8"/>
    </row>
    <row r="276" spans="1:12" ht="14.1" customHeight="1" x14ac:dyDescent="0.2">
      <c r="A276" s="8"/>
      <c r="K276" s="8"/>
      <c r="L276" s="8"/>
    </row>
    <row r="277" spans="1:12" ht="14.1" customHeight="1" x14ac:dyDescent="0.2">
      <c r="A277" s="8"/>
      <c r="K277" s="8"/>
      <c r="L277" s="8"/>
    </row>
    <row r="278" spans="1:12" ht="14.1" customHeight="1" x14ac:dyDescent="0.2">
      <c r="A278" s="8"/>
      <c r="K278" s="8"/>
      <c r="L278" s="8"/>
    </row>
    <row r="279" spans="1:12" ht="14.1" customHeight="1" x14ac:dyDescent="0.2">
      <c r="A279" s="8"/>
      <c r="K279" s="8"/>
      <c r="L279" s="8"/>
    </row>
    <row r="280" spans="1:12" ht="14.1" customHeight="1" x14ac:dyDescent="0.2">
      <c r="A280" s="8"/>
      <c r="K280" s="8"/>
      <c r="L280" s="8"/>
    </row>
    <row r="281" spans="1:12" ht="14.1" customHeight="1" x14ac:dyDescent="0.2">
      <c r="A281" s="8"/>
      <c r="K281" s="8"/>
      <c r="L281" s="8"/>
    </row>
    <row r="282" spans="1:12" ht="14.1" customHeight="1" x14ac:dyDescent="0.2">
      <c r="A282" s="8"/>
      <c r="K282" s="8"/>
      <c r="L282" s="8"/>
    </row>
    <row r="283" spans="1:12" ht="14.1" customHeight="1" x14ac:dyDescent="0.2">
      <c r="A283" s="8"/>
      <c r="K283" s="8"/>
      <c r="L283" s="8"/>
    </row>
    <row r="284" spans="1:12" ht="14.1" customHeight="1" x14ac:dyDescent="0.2">
      <c r="A284" s="8"/>
      <c r="J284" s="11"/>
      <c r="K284" s="8"/>
      <c r="L284" s="8"/>
    </row>
    <row r="285" spans="1:12" ht="14.1" customHeight="1" x14ac:dyDescent="0.2">
      <c r="A285" s="8"/>
      <c r="K285" s="8"/>
      <c r="L285" s="8"/>
    </row>
    <row r="286" spans="1:12" ht="14.1" customHeight="1" x14ac:dyDescent="0.2">
      <c r="A286" s="8"/>
      <c r="K286" s="8"/>
      <c r="L286" s="8"/>
    </row>
    <row r="287" spans="1:12" ht="14.1" customHeight="1" x14ac:dyDescent="0.2">
      <c r="A287" s="8"/>
      <c r="K287" s="8"/>
      <c r="L287" s="8"/>
    </row>
    <row r="288" spans="1:12" ht="14.1" customHeight="1" x14ac:dyDescent="0.2">
      <c r="A288" s="8"/>
      <c r="K288" s="8"/>
      <c r="L288" s="8"/>
    </row>
    <row r="289" spans="1:12" ht="14.1" customHeight="1" x14ac:dyDescent="0.2">
      <c r="A289" s="8"/>
      <c r="K289" s="8"/>
      <c r="L289" s="8"/>
    </row>
    <row r="290" spans="1:12" ht="14.1" customHeight="1" x14ac:dyDescent="0.2">
      <c r="A290" s="8"/>
      <c r="K290" s="8"/>
      <c r="L290" s="8"/>
    </row>
    <row r="291" spans="1:12" ht="14.1" customHeight="1" x14ac:dyDescent="0.2">
      <c r="A291" s="8"/>
      <c r="K291" s="8"/>
      <c r="L291" s="8"/>
    </row>
    <row r="292" spans="1:12" ht="14.1" customHeight="1" x14ac:dyDescent="0.2">
      <c r="A292" s="8"/>
      <c r="K292" s="8"/>
      <c r="L292" s="8"/>
    </row>
    <row r="293" spans="1:12" ht="14.1" customHeight="1" x14ac:dyDescent="0.2">
      <c r="A293" s="8"/>
      <c r="K293" s="8"/>
      <c r="L293" s="8"/>
    </row>
    <row r="294" spans="1:12" ht="14.1" customHeight="1" x14ac:dyDescent="0.2">
      <c r="A294" s="8"/>
      <c r="K294" s="8"/>
      <c r="L294" s="8"/>
    </row>
    <row r="295" spans="1:12" ht="14.1" customHeight="1" x14ac:dyDescent="0.2">
      <c r="A295" s="8"/>
      <c r="K295" s="8"/>
      <c r="L295" s="8"/>
    </row>
    <row r="296" spans="1:12" ht="14.1" customHeight="1" x14ac:dyDescent="0.2">
      <c r="A296" s="8"/>
      <c r="K296" s="8"/>
      <c r="L296" s="8"/>
    </row>
    <row r="297" spans="1:12" ht="14.1" customHeight="1" x14ac:dyDescent="0.2">
      <c r="A297" s="8"/>
      <c r="K297" s="8"/>
      <c r="L297" s="8"/>
    </row>
    <row r="298" spans="1:12" ht="14.1" customHeight="1" x14ac:dyDescent="0.2">
      <c r="A298" s="8"/>
      <c r="K298" s="8"/>
      <c r="L298" s="8"/>
    </row>
    <row r="299" spans="1:12" ht="14.1" customHeight="1" x14ac:dyDescent="0.2">
      <c r="A299" s="8"/>
      <c r="K299" s="8"/>
      <c r="L299" s="8"/>
    </row>
    <row r="300" spans="1:12" ht="14.1" customHeight="1" x14ac:dyDescent="0.2">
      <c r="A300" s="8"/>
      <c r="K300" s="8"/>
      <c r="L300" s="8"/>
    </row>
    <row r="301" spans="1:12" ht="14.1" customHeight="1" x14ac:dyDescent="0.2">
      <c r="A301" s="8"/>
      <c r="K301" s="8"/>
      <c r="L301" s="8"/>
    </row>
    <row r="302" spans="1:12" ht="14.1" customHeight="1" x14ac:dyDescent="0.2">
      <c r="A302" s="8"/>
      <c r="J302" s="11"/>
      <c r="K302" s="8"/>
      <c r="L302" s="8"/>
    </row>
    <row r="303" spans="1:12" ht="14.1" customHeight="1" x14ac:dyDescent="0.2">
      <c r="A303" s="8"/>
      <c r="K303" s="8"/>
      <c r="L303" s="8"/>
    </row>
    <row r="304" spans="1:12" ht="14.1" customHeight="1" x14ac:dyDescent="0.2">
      <c r="A304" s="8"/>
      <c r="K304" s="8"/>
      <c r="L304" s="8"/>
    </row>
    <row r="305" spans="1:12" ht="14.1" customHeight="1" x14ac:dyDescent="0.2">
      <c r="A305" s="8"/>
      <c r="K305" s="8"/>
      <c r="L305" s="8"/>
    </row>
    <row r="306" spans="1:12" ht="14.1" customHeight="1" x14ac:dyDescent="0.2">
      <c r="A306" s="8"/>
      <c r="K306" s="8"/>
      <c r="L306" s="8"/>
    </row>
    <row r="307" spans="1:12" ht="14.1" customHeight="1" x14ac:dyDescent="0.2">
      <c r="A307" s="8"/>
      <c r="K307" s="8"/>
      <c r="L307" s="8"/>
    </row>
    <row r="308" spans="1:12" ht="14.1" customHeight="1" x14ac:dyDescent="0.2">
      <c r="A308" s="8"/>
      <c r="K308" s="8"/>
      <c r="L308" s="8"/>
    </row>
    <row r="309" spans="1:12" ht="14.1" customHeight="1" x14ac:dyDescent="0.2">
      <c r="A309" s="8"/>
      <c r="K309" s="8"/>
      <c r="L309" s="8"/>
    </row>
    <row r="310" spans="1:12" ht="14.1" customHeight="1" x14ac:dyDescent="0.2">
      <c r="A310" s="8"/>
      <c r="K310" s="8"/>
      <c r="L310" s="8"/>
    </row>
    <row r="311" spans="1:12" ht="14.1" customHeight="1" x14ac:dyDescent="0.2">
      <c r="A311" s="8"/>
      <c r="K311" s="8"/>
      <c r="L311" s="8"/>
    </row>
    <row r="312" spans="1:12" ht="14.1" customHeight="1" x14ac:dyDescent="0.2">
      <c r="A312" s="8"/>
      <c r="K312" s="8"/>
      <c r="L312" s="8"/>
    </row>
    <row r="313" spans="1:12" ht="14.1" customHeight="1" x14ac:dyDescent="0.2">
      <c r="A313" s="8"/>
      <c r="K313" s="8"/>
      <c r="L313" s="8"/>
    </row>
    <row r="314" spans="1:12" ht="14.1" customHeight="1" x14ac:dyDescent="0.2">
      <c r="A314" s="8"/>
      <c r="K314" s="8"/>
      <c r="L314" s="8"/>
    </row>
    <row r="315" spans="1:12" ht="14.1" customHeight="1" x14ac:dyDescent="0.2">
      <c r="A315" s="8"/>
      <c r="K315" s="8"/>
      <c r="L315" s="8"/>
    </row>
    <row r="316" spans="1:12" ht="14.1" customHeight="1" x14ac:dyDescent="0.2">
      <c r="A316" s="8"/>
      <c r="K316" s="8"/>
      <c r="L316" s="8"/>
    </row>
    <row r="317" spans="1:12" ht="14.1" customHeight="1" x14ac:dyDescent="0.2">
      <c r="A317" s="8"/>
      <c r="K317" s="8"/>
      <c r="L317" s="8"/>
    </row>
    <row r="318" spans="1:12" ht="14.1" customHeight="1" x14ac:dyDescent="0.2">
      <c r="A318" s="8"/>
      <c r="K318" s="8"/>
      <c r="L318" s="8"/>
    </row>
    <row r="319" spans="1:12" ht="14.1" customHeight="1" x14ac:dyDescent="0.2">
      <c r="A319" s="8"/>
      <c r="K319" s="8"/>
      <c r="L319" s="8"/>
    </row>
    <row r="320" spans="1:12" ht="14.1" customHeight="1" x14ac:dyDescent="0.2">
      <c r="A320" s="8"/>
      <c r="J320" s="11"/>
      <c r="K320" s="8"/>
      <c r="L320" s="8"/>
    </row>
    <row r="321" spans="1:12" ht="14.1" customHeight="1" x14ac:dyDescent="0.2">
      <c r="A321" s="8"/>
      <c r="K321" s="8"/>
      <c r="L321" s="8"/>
    </row>
    <row r="322" spans="1:12" ht="14.1" customHeight="1" x14ac:dyDescent="0.2">
      <c r="A322" s="8"/>
      <c r="K322" s="8"/>
      <c r="L322" s="8"/>
    </row>
    <row r="323" spans="1:12" ht="14.1" customHeight="1" x14ac:dyDescent="0.2">
      <c r="A323" s="8"/>
      <c r="K323" s="8"/>
      <c r="L323" s="8"/>
    </row>
    <row r="324" spans="1:12" ht="14.1" customHeight="1" x14ac:dyDescent="0.2">
      <c r="A324" s="8"/>
      <c r="K324" s="8"/>
      <c r="L324" s="8"/>
    </row>
    <row r="325" spans="1:12" ht="14.1" customHeight="1" x14ac:dyDescent="0.2">
      <c r="A325" s="8"/>
      <c r="K325" s="8"/>
      <c r="L325" s="8"/>
    </row>
    <row r="326" spans="1:12" ht="14.1" customHeight="1" x14ac:dyDescent="0.2">
      <c r="A326" s="8"/>
      <c r="K326" s="8"/>
      <c r="L326" s="8"/>
    </row>
    <row r="327" spans="1:12" ht="14.1" customHeight="1" x14ac:dyDescent="0.2">
      <c r="A327" s="8"/>
      <c r="K327" s="8"/>
      <c r="L327" s="8"/>
    </row>
    <row r="328" spans="1:12" ht="14.1" customHeight="1" x14ac:dyDescent="0.2">
      <c r="A328" s="8"/>
      <c r="K328" s="8"/>
      <c r="L328" s="8"/>
    </row>
    <row r="329" spans="1:12" ht="14.1" customHeight="1" x14ac:dyDescent="0.2">
      <c r="A329" s="8"/>
      <c r="K329" s="8"/>
      <c r="L329" s="8"/>
    </row>
    <row r="330" spans="1:12" ht="14.1" customHeight="1" x14ac:dyDescent="0.2">
      <c r="A330" s="8"/>
      <c r="K330" s="8"/>
      <c r="L330" s="8"/>
    </row>
    <row r="331" spans="1:12" ht="14.1" customHeight="1" x14ac:dyDescent="0.2">
      <c r="A331" s="8"/>
      <c r="K331" s="8"/>
      <c r="L331" s="8"/>
    </row>
    <row r="332" spans="1:12" ht="14.1" customHeight="1" x14ac:dyDescent="0.2">
      <c r="A332" s="8"/>
      <c r="K332" s="8"/>
      <c r="L332" s="8"/>
    </row>
    <row r="333" spans="1:12" ht="14.1" customHeight="1" x14ac:dyDescent="0.2">
      <c r="A333" s="8"/>
      <c r="K333" s="8"/>
      <c r="L333" s="8"/>
    </row>
    <row r="334" spans="1:12" ht="14.1" customHeight="1" x14ac:dyDescent="0.2">
      <c r="A334" s="8"/>
      <c r="K334" s="8"/>
      <c r="L334" s="8"/>
    </row>
    <row r="335" spans="1:12" ht="14.1" customHeight="1" x14ac:dyDescent="0.2">
      <c r="A335" s="8"/>
      <c r="K335" s="8"/>
      <c r="L335" s="8"/>
    </row>
    <row r="336" spans="1:12" ht="14.1" customHeight="1" x14ac:dyDescent="0.2">
      <c r="A336" s="8"/>
      <c r="K336" s="8"/>
      <c r="L336" s="8"/>
    </row>
    <row r="337" spans="1:12" ht="14.1" customHeight="1" x14ac:dyDescent="0.2">
      <c r="A337" s="8"/>
      <c r="K337" s="8"/>
      <c r="L337" s="8"/>
    </row>
    <row r="338" spans="1:12" ht="14.1" customHeight="1" x14ac:dyDescent="0.2">
      <c r="A338" s="8"/>
      <c r="J338" s="11"/>
      <c r="K338" s="8"/>
      <c r="L338" s="8"/>
    </row>
    <row r="339" spans="1:12" ht="14.1" customHeight="1" x14ac:dyDescent="0.2">
      <c r="A339" s="8"/>
      <c r="K339" s="8"/>
      <c r="L339" s="8"/>
    </row>
    <row r="340" spans="1:12" ht="14.1" customHeight="1" x14ac:dyDescent="0.2">
      <c r="A340" s="8"/>
      <c r="K340" s="8"/>
      <c r="L340" s="8"/>
    </row>
    <row r="341" spans="1:12" ht="14.1" customHeight="1" x14ac:dyDescent="0.2">
      <c r="A341" s="8"/>
      <c r="K341" s="8"/>
      <c r="L341" s="8"/>
    </row>
    <row r="342" spans="1:12" ht="14.1" customHeight="1" x14ac:dyDescent="0.2">
      <c r="A342" s="8"/>
      <c r="K342" s="8"/>
      <c r="L342" s="8"/>
    </row>
    <row r="343" spans="1:12" ht="14.1" customHeight="1" x14ac:dyDescent="0.2">
      <c r="A343" s="8"/>
      <c r="K343" s="8"/>
      <c r="L343" s="8"/>
    </row>
    <row r="344" spans="1:12" ht="14.1" customHeight="1" x14ac:dyDescent="0.2">
      <c r="A344" s="8"/>
      <c r="K344" s="8"/>
      <c r="L344" s="8"/>
    </row>
    <row r="345" spans="1:12" ht="14.1" customHeight="1" x14ac:dyDescent="0.2">
      <c r="A345" s="8"/>
      <c r="K345" s="8"/>
      <c r="L345" s="8"/>
    </row>
    <row r="346" spans="1:12" ht="14.1" customHeight="1" x14ac:dyDescent="0.2">
      <c r="A346" s="8"/>
      <c r="K346" s="8"/>
      <c r="L346" s="8"/>
    </row>
    <row r="347" spans="1:12" ht="14.1" customHeight="1" x14ac:dyDescent="0.2">
      <c r="A347" s="8"/>
      <c r="K347" s="8"/>
      <c r="L347" s="8"/>
    </row>
    <row r="348" spans="1:12" ht="14.1" customHeight="1" x14ac:dyDescent="0.2">
      <c r="A348" s="8"/>
      <c r="K348" s="8"/>
      <c r="L348" s="8"/>
    </row>
    <row r="349" spans="1:12" ht="14.1" customHeight="1" x14ac:dyDescent="0.2">
      <c r="A349" s="8"/>
      <c r="K349" s="8"/>
      <c r="L349" s="8"/>
    </row>
    <row r="350" spans="1:12" ht="14.1" customHeight="1" x14ac:dyDescent="0.2">
      <c r="A350" s="8"/>
      <c r="K350" s="8"/>
      <c r="L350" s="8"/>
    </row>
    <row r="351" spans="1:12" ht="14.1" customHeight="1" x14ac:dyDescent="0.2">
      <c r="A351" s="8"/>
      <c r="K351" s="8"/>
      <c r="L351" s="8"/>
    </row>
    <row r="352" spans="1:12" ht="14.1" customHeight="1" x14ac:dyDescent="0.2">
      <c r="A352" s="8"/>
      <c r="K352" s="8"/>
      <c r="L352" s="8"/>
    </row>
    <row r="353" spans="1:12" ht="14.1" customHeight="1" x14ac:dyDescent="0.2">
      <c r="A353" s="8"/>
      <c r="K353" s="8"/>
      <c r="L353" s="8"/>
    </row>
    <row r="354" spans="1:12" ht="14.1" customHeight="1" x14ac:dyDescent="0.2">
      <c r="A354" s="8"/>
      <c r="K354" s="8"/>
      <c r="L354" s="8"/>
    </row>
    <row r="355" spans="1:12" ht="14.1" customHeight="1" x14ac:dyDescent="0.2">
      <c r="A355" s="8"/>
      <c r="K355" s="8"/>
      <c r="L355" s="8"/>
    </row>
    <row r="356" spans="1:12" ht="14.1" customHeight="1" x14ac:dyDescent="0.2">
      <c r="A356" s="8"/>
      <c r="J356" s="11"/>
      <c r="K356" s="8"/>
      <c r="L356" s="8"/>
    </row>
    <row r="357" spans="1:12" ht="14.1" customHeight="1" x14ac:dyDescent="0.2">
      <c r="A357" s="8"/>
      <c r="K357" s="8"/>
      <c r="L357" s="8"/>
    </row>
    <row r="358" spans="1:12" ht="14.1" customHeight="1" x14ac:dyDescent="0.2">
      <c r="A358" s="8"/>
      <c r="K358" s="8"/>
      <c r="L358" s="8"/>
    </row>
    <row r="359" spans="1:12" ht="14.1" customHeight="1" x14ac:dyDescent="0.2">
      <c r="A359" s="8"/>
      <c r="K359" s="8"/>
      <c r="L359" s="8"/>
    </row>
    <row r="360" spans="1:12" ht="14.1" customHeight="1" x14ac:dyDescent="0.2">
      <c r="A360" s="8"/>
      <c r="K360" s="8"/>
      <c r="L360" s="8"/>
    </row>
    <row r="361" spans="1:12" ht="14.1" customHeight="1" x14ac:dyDescent="0.2">
      <c r="A361" s="8"/>
      <c r="K361" s="8"/>
      <c r="L361" s="8"/>
    </row>
    <row r="362" spans="1:12" ht="14.1" customHeight="1" x14ac:dyDescent="0.2">
      <c r="A362" s="8"/>
      <c r="K362" s="8"/>
      <c r="L362" s="8"/>
    </row>
    <row r="363" spans="1:12" ht="14.1" customHeight="1" x14ac:dyDescent="0.2">
      <c r="A363" s="8"/>
      <c r="K363" s="8"/>
      <c r="L363" s="8"/>
    </row>
    <row r="364" spans="1:12" ht="14.1" customHeight="1" x14ac:dyDescent="0.2">
      <c r="A364" s="8"/>
      <c r="K364" s="8"/>
      <c r="L364" s="8"/>
    </row>
    <row r="365" spans="1:12" ht="14.1" customHeight="1" x14ac:dyDescent="0.2">
      <c r="A365" s="8"/>
      <c r="K365" s="8"/>
      <c r="L365" s="8"/>
    </row>
    <row r="366" spans="1:12" ht="14.1" customHeight="1" x14ac:dyDescent="0.2">
      <c r="A366" s="8"/>
      <c r="K366" s="8"/>
      <c r="L366" s="8"/>
    </row>
    <row r="367" spans="1:12" ht="14.1" customHeight="1" x14ac:dyDescent="0.2">
      <c r="A367" s="8"/>
      <c r="K367" s="8"/>
      <c r="L367" s="8"/>
    </row>
    <row r="368" spans="1:12" ht="14.1" customHeight="1" x14ac:dyDescent="0.2">
      <c r="A368" s="8"/>
      <c r="K368" s="8"/>
      <c r="L368" s="8"/>
    </row>
    <row r="369" spans="1:12" ht="14.1" customHeight="1" x14ac:dyDescent="0.2">
      <c r="A369" s="8"/>
      <c r="K369" s="8"/>
      <c r="L369" s="8"/>
    </row>
    <row r="370" spans="1:12" ht="14.1" customHeight="1" x14ac:dyDescent="0.2">
      <c r="A370" s="8"/>
      <c r="K370" s="8"/>
      <c r="L370" s="8"/>
    </row>
    <row r="371" spans="1:12" ht="14.1" customHeight="1" x14ac:dyDescent="0.2">
      <c r="A371" s="8"/>
      <c r="K371" s="8"/>
      <c r="L371" s="8"/>
    </row>
    <row r="372" spans="1:12" ht="14.1" customHeight="1" x14ac:dyDescent="0.2">
      <c r="A372" s="8"/>
      <c r="K372" s="8"/>
      <c r="L372" s="8"/>
    </row>
    <row r="373" spans="1:12" ht="14.1" customHeight="1" x14ac:dyDescent="0.2">
      <c r="A373" s="8"/>
      <c r="K373" s="8"/>
      <c r="L373" s="8"/>
    </row>
    <row r="374" spans="1:12" ht="14.1" customHeight="1" x14ac:dyDescent="0.2">
      <c r="A374" s="8"/>
      <c r="J374" s="11"/>
      <c r="K374" s="8"/>
      <c r="L374" s="8"/>
    </row>
    <row r="375" spans="1:12" ht="14.1" customHeight="1" x14ac:dyDescent="0.2">
      <c r="A375" s="8"/>
      <c r="K375" s="8"/>
      <c r="L375" s="8"/>
    </row>
    <row r="376" spans="1:12" ht="14.1" customHeight="1" x14ac:dyDescent="0.2">
      <c r="A376" s="8"/>
      <c r="K376" s="8"/>
      <c r="L376" s="8"/>
    </row>
    <row r="377" spans="1:12" ht="14.1" customHeight="1" x14ac:dyDescent="0.2">
      <c r="A377" s="8"/>
      <c r="K377" s="8"/>
      <c r="L377" s="8"/>
    </row>
    <row r="378" spans="1:12" ht="14.1" customHeight="1" x14ac:dyDescent="0.2">
      <c r="A378" s="8"/>
      <c r="K378" s="8"/>
      <c r="L378" s="8"/>
    </row>
    <row r="379" spans="1:12" ht="14.1" customHeight="1" x14ac:dyDescent="0.2">
      <c r="A379" s="8"/>
      <c r="K379" s="8"/>
      <c r="L379" s="8"/>
    </row>
    <row r="380" spans="1:12" ht="14.1" customHeight="1" x14ac:dyDescent="0.2">
      <c r="A380" s="8"/>
      <c r="K380" s="8"/>
      <c r="L380" s="8"/>
    </row>
    <row r="381" spans="1:12" ht="14.1" customHeight="1" x14ac:dyDescent="0.2">
      <c r="A381" s="8"/>
      <c r="K381" s="8"/>
      <c r="L381" s="8"/>
    </row>
    <row r="382" spans="1:12" ht="14.1" customHeight="1" x14ac:dyDescent="0.2">
      <c r="A382" s="8"/>
      <c r="K382" s="8"/>
      <c r="L382" s="8"/>
    </row>
    <row r="383" spans="1:12" ht="14.1" customHeight="1" x14ac:dyDescent="0.2">
      <c r="A383" s="8"/>
      <c r="K383" s="8"/>
      <c r="L383" s="8"/>
    </row>
    <row r="384" spans="1:12" ht="14.1" customHeight="1" x14ac:dyDescent="0.2">
      <c r="A384" s="8"/>
      <c r="K384" s="8"/>
      <c r="L384" s="8"/>
    </row>
    <row r="385" spans="1:12" ht="14.1" customHeight="1" x14ac:dyDescent="0.2">
      <c r="A385" s="8"/>
      <c r="K385" s="8"/>
      <c r="L385" s="8"/>
    </row>
    <row r="386" spans="1:12" ht="14.1" customHeight="1" x14ac:dyDescent="0.2">
      <c r="A386" s="8"/>
      <c r="K386" s="8"/>
      <c r="L386" s="8"/>
    </row>
    <row r="387" spans="1:12" ht="14.1" customHeight="1" x14ac:dyDescent="0.2">
      <c r="A387" s="8"/>
      <c r="K387" s="8"/>
      <c r="L387" s="8"/>
    </row>
    <row r="388" spans="1:12" ht="14.1" customHeight="1" x14ac:dyDescent="0.2">
      <c r="A388" s="8"/>
      <c r="K388" s="8"/>
      <c r="L388" s="8"/>
    </row>
    <row r="389" spans="1:12" ht="14.1" customHeight="1" x14ac:dyDescent="0.2">
      <c r="A389" s="8"/>
      <c r="K389" s="8"/>
      <c r="L389" s="8"/>
    </row>
    <row r="390" spans="1:12" ht="14.1" customHeight="1" x14ac:dyDescent="0.2">
      <c r="A390" s="8"/>
      <c r="K390" s="8"/>
      <c r="L390" s="8"/>
    </row>
    <row r="391" spans="1:12" ht="14.1" customHeight="1" x14ac:dyDescent="0.2">
      <c r="A391" s="8"/>
      <c r="K391" s="8"/>
      <c r="L391" s="8"/>
    </row>
    <row r="392" spans="1:12" ht="14.1" customHeight="1" x14ac:dyDescent="0.2">
      <c r="A392" s="8"/>
      <c r="J392" s="11"/>
      <c r="K392" s="8"/>
      <c r="L392" s="8"/>
    </row>
    <row r="393" spans="1:12" ht="14.1" customHeight="1" x14ac:dyDescent="0.2">
      <c r="A393" s="8"/>
      <c r="K393" s="8"/>
      <c r="L393" s="8"/>
    </row>
    <row r="394" spans="1:12" ht="14.1" customHeight="1" x14ac:dyDescent="0.2">
      <c r="A394" s="8"/>
      <c r="K394" s="8"/>
      <c r="L394" s="8"/>
    </row>
    <row r="395" spans="1:12" ht="14.1" customHeight="1" x14ac:dyDescent="0.2">
      <c r="A395" s="8"/>
      <c r="K395" s="8"/>
      <c r="L395" s="8"/>
    </row>
    <row r="396" spans="1:12" ht="14.1" customHeight="1" x14ac:dyDescent="0.2">
      <c r="A396" s="8"/>
      <c r="K396" s="8"/>
      <c r="L396" s="8"/>
    </row>
    <row r="397" spans="1:12" ht="14.1" customHeight="1" x14ac:dyDescent="0.2">
      <c r="A397" s="8"/>
      <c r="K397" s="8"/>
      <c r="L397" s="8"/>
    </row>
    <row r="398" spans="1:12" ht="14.1" customHeight="1" x14ac:dyDescent="0.2">
      <c r="A398" s="8"/>
      <c r="K398" s="8"/>
      <c r="L398" s="8"/>
    </row>
    <row r="399" spans="1:12" ht="14.1" customHeight="1" x14ac:dyDescent="0.2">
      <c r="A399" s="8"/>
      <c r="K399" s="8"/>
      <c r="L399" s="8"/>
    </row>
    <row r="400" spans="1:12" ht="14.1" customHeight="1" x14ac:dyDescent="0.2">
      <c r="A400" s="8"/>
      <c r="K400" s="8"/>
      <c r="L400" s="8"/>
    </row>
    <row r="401" spans="1:12" ht="14.1" customHeight="1" x14ac:dyDescent="0.2">
      <c r="A401" s="8"/>
      <c r="K401" s="8"/>
      <c r="L401" s="8"/>
    </row>
    <row r="402" spans="1:12" ht="14.1" customHeight="1" x14ac:dyDescent="0.2">
      <c r="A402" s="8"/>
      <c r="K402" s="8"/>
      <c r="L402" s="8"/>
    </row>
    <row r="403" spans="1:12" ht="14.1" customHeight="1" x14ac:dyDescent="0.2">
      <c r="A403" s="8"/>
      <c r="K403" s="8"/>
      <c r="L403" s="8"/>
    </row>
    <row r="404" spans="1:12" ht="14.1" customHeight="1" x14ac:dyDescent="0.2">
      <c r="A404" s="8"/>
      <c r="K404" s="8"/>
      <c r="L404" s="8"/>
    </row>
    <row r="405" spans="1:12" ht="14.1" customHeight="1" x14ac:dyDescent="0.2">
      <c r="A405" s="8"/>
      <c r="K405" s="8"/>
      <c r="L405" s="8"/>
    </row>
    <row r="406" spans="1:12" ht="14.1" customHeight="1" x14ac:dyDescent="0.2">
      <c r="A406" s="8"/>
      <c r="K406" s="8"/>
      <c r="L406" s="8"/>
    </row>
    <row r="407" spans="1:12" ht="14.1" customHeight="1" x14ac:dyDescent="0.2">
      <c r="A407" s="8"/>
      <c r="K407" s="8"/>
      <c r="L407" s="8"/>
    </row>
    <row r="408" spans="1:12" ht="14.1" customHeight="1" x14ac:dyDescent="0.2">
      <c r="A408" s="8"/>
      <c r="K408" s="8"/>
      <c r="L408" s="8"/>
    </row>
    <row r="409" spans="1:12" ht="14.1" customHeight="1" x14ac:dyDescent="0.2">
      <c r="A409" s="8"/>
      <c r="K409" s="8"/>
      <c r="L409" s="8"/>
    </row>
    <row r="410" spans="1:12" ht="14.1" customHeight="1" x14ac:dyDescent="0.2">
      <c r="A410" s="8"/>
      <c r="J410" s="11"/>
      <c r="K410" s="8"/>
      <c r="L410" s="8"/>
    </row>
    <row r="411" spans="1:12" ht="14.1" customHeight="1" x14ac:dyDescent="0.2">
      <c r="A411" s="8"/>
      <c r="K411" s="8"/>
      <c r="L411" s="8"/>
    </row>
    <row r="412" spans="1:12" ht="14.1" customHeight="1" x14ac:dyDescent="0.2">
      <c r="A412" s="8"/>
      <c r="K412" s="8"/>
      <c r="L412" s="8"/>
    </row>
    <row r="413" spans="1:12" ht="14.1" customHeight="1" x14ac:dyDescent="0.2">
      <c r="A413" s="8"/>
      <c r="K413" s="8"/>
      <c r="L413" s="8"/>
    </row>
    <row r="414" spans="1:12" ht="14.1" customHeight="1" x14ac:dyDescent="0.2">
      <c r="A414" s="8"/>
      <c r="K414" s="8"/>
      <c r="L414" s="8"/>
    </row>
    <row r="415" spans="1:12" ht="14.1" customHeight="1" x14ac:dyDescent="0.2">
      <c r="A415" s="8"/>
      <c r="K415" s="8"/>
      <c r="L415" s="8"/>
    </row>
    <row r="416" spans="1:12" ht="14.1" customHeight="1" x14ac:dyDescent="0.2">
      <c r="A416" s="8"/>
      <c r="K416" s="8"/>
      <c r="L416" s="8"/>
    </row>
    <row r="417" spans="1:12" ht="14.1" customHeight="1" x14ac:dyDescent="0.2">
      <c r="A417" s="8"/>
      <c r="K417" s="8"/>
      <c r="L417" s="8"/>
    </row>
    <row r="418" spans="1:12" ht="14.1" customHeight="1" x14ac:dyDescent="0.2">
      <c r="A418" s="8"/>
      <c r="K418" s="8"/>
      <c r="L418" s="8"/>
    </row>
    <row r="419" spans="1:12" ht="14.1" customHeight="1" x14ac:dyDescent="0.2">
      <c r="A419" s="8"/>
      <c r="K419" s="8"/>
      <c r="L419" s="8"/>
    </row>
    <row r="420" spans="1:12" ht="14.1" customHeight="1" x14ac:dyDescent="0.2">
      <c r="A420" s="8"/>
      <c r="K420" s="8"/>
      <c r="L420" s="8"/>
    </row>
    <row r="421" spans="1:12" ht="14.1" customHeight="1" x14ac:dyDescent="0.2">
      <c r="A421" s="8"/>
      <c r="K421" s="8"/>
      <c r="L421" s="8"/>
    </row>
    <row r="422" spans="1:12" ht="14.1" customHeight="1" x14ac:dyDescent="0.2">
      <c r="A422" s="8"/>
      <c r="K422" s="8"/>
      <c r="L422" s="8"/>
    </row>
    <row r="423" spans="1:12" ht="14.1" customHeight="1" x14ac:dyDescent="0.2">
      <c r="A423" s="8"/>
      <c r="K423" s="8"/>
      <c r="L423" s="8"/>
    </row>
    <row r="424" spans="1:12" ht="14.1" customHeight="1" x14ac:dyDescent="0.2">
      <c r="A424" s="8"/>
      <c r="K424" s="8"/>
      <c r="L424" s="8"/>
    </row>
    <row r="425" spans="1:12" ht="14.1" customHeight="1" x14ac:dyDescent="0.2">
      <c r="A425" s="8"/>
      <c r="K425" s="8"/>
      <c r="L425" s="8"/>
    </row>
    <row r="426" spans="1:12" ht="14.1" customHeight="1" x14ac:dyDescent="0.2">
      <c r="A426" s="8"/>
      <c r="K426" s="8"/>
      <c r="L426" s="8"/>
    </row>
    <row r="427" spans="1:12" ht="14.1" customHeight="1" x14ac:dyDescent="0.2">
      <c r="A427" s="8"/>
      <c r="K427" s="8"/>
      <c r="L427" s="8"/>
    </row>
    <row r="428" spans="1:12" ht="14.1" customHeight="1" x14ac:dyDescent="0.2">
      <c r="A428" s="8"/>
      <c r="J428" s="11"/>
      <c r="K428" s="8"/>
      <c r="L428" s="8"/>
    </row>
    <row r="429" spans="1:12" ht="14.1" customHeight="1" x14ac:dyDescent="0.2">
      <c r="A429" s="8"/>
      <c r="K429" s="8"/>
      <c r="L429" s="8"/>
    </row>
    <row r="430" spans="1:12" ht="14.1" customHeight="1" x14ac:dyDescent="0.2">
      <c r="A430" s="8"/>
      <c r="K430" s="8"/>
      <c r="L430" s="8"/>
    </row>
    <row r="431" spans="1:12" ht="14.1" customHeight="1" x14ac:dyDescent="0.2">
      <c r="A431" s="8"/>
      <c r="K431" s="8"/>
      <c r="L431" s="8"/>
    </row>
    <row r="432" spans="1:12" ht="14.1" customHeight="1" x14ac:dyDescent="0.2">
      <c r="A432" s="8"/>
      <c r="K432" s="8"/>
      <c r="L432" s="8"/>
    </row>
    <row r="433" spans="1:12" ht="14.1" customHeight="1" x14ac:dyDescent="0.2">
      <c r="A433" s="8"/>
      <c r="K433" s="8"/>
      <c r="L433" s="8"/>
    </row>
    <row r="434" spans="1:12" ht="14.1" customHeight="1" x14ac:dyDescent="0.2">
      <c r="A434" s="8"/>
      <c r="K434" s="8"/>
      <c r="L434" s="8"/>
    </row>
    <row r="435" spans="1:12" ht="14.1" customHeight="1" x14ac:dyDescent="0.2">
      <c r="A435" s="8"/>
      <c r="K435" s="8"/>
      <c r="L435" s="8"/>
    </row>
    <row r="436" spans="1:12" ht="14.1" customHeight="1" x14ac:dyDescent="0.2">
      <c r="A436" s="8"/>
      <c r="K436" s="8"/>
      <c r="L436" s="8"/>
    </row>
    <row r="437" spans="1:12" ht="14.1" customHeight="1" x14ac:dyDescent="0.2">
      <c r="A437" s="8"/>
      <c r="K437" s="8"/>
      <c r="L437" s="8"/>
    </row>
    <row r="438" spans="1:12" ht="14.1" customHeight="1" x14ac:dyDescent="0.2">
      <c r="A438" s="8"/>
      <c r="K438" s="8"/>
      <c r="L438" s="8"/>
    </row>
    <row r="439" spans="1:12" ht="14.1" customHeight="1" x14ac:dyDescent="0.2">
      <c r="A439" s="8"/>
      <c r="K439" s="8"/>
      <c r="L439" s="8"/>
    </row>
    <row r="440" spans="1:12" ht="14.1" customHeight="1" x14ac:dyDescent="0.2">
      <c r="A440" s="8"/>
      <c r="K440" s="8"/>
      <c r="L440" s="8"/>
    </row>
    <row r="441" spans="1:12" ht="14.1" customHeight="1" x14ac:dyDescent="0.2">
      <c r="A441" s="8"/>
      <c r="K441" s="8"/>
      <c r="L441" s="8"/>
    </row>
    <row r="442" spans="1:12" ht="14.1" customHeight="1" x14ac:dyDescent="0.2">
      <c r="A442" s="8"/>
      <c r="K442" s="8"/>
      <c r="L442" s="8"/>
    </row>
    <row r="443" spans="1:12" ht="14.1" customHeight="1" x14ac:dyDescent="0.2">
      <c r="A443" s="8"/>
      <c r="K443" s="8"/>
      <c r="L443" s="8"/>
    </row>
    <row r="444" spans="1:12" ht="14.1" customHeight="1" x14ac:dyDescent="0.2">
      <c r="A444" s="8"/>
      <c r="K444" s="8"/>
      <c r="L444" s="8"/>
    </row>
    <row r="445" spans="1:12" ht="14.1" customHeight="1" x14ac:dyDescent="0.2">
      <c r="A445" s="8"/>
      <c r="K445" s="8"/>
      <c r="L445" s="8"/>
    </row>
    <row r="446" spans="1:12" ht="14.1" customHeight="1" x14ac:dyDescent="0.2">
      <c r="A446" s="8"/>
      <c r="J446" s="11"/>
      <c r="K446" s="8"/>
      <c r="L446" s="8"/>
    </row>
    <row r="447" spans="1:12" ht="14.1" customHeight="1" x14ac:dyDescent="0.2">
      <c r="A447" s="8"/>
      <c r="K447" s="8"/>
      <c r="L447" s="8"/>
    </row>
    <row r="448" spans="1:12" ht="14.1" customHeight="1" x14ac:dyDescent="0.2">
      <c r="A448" s="8"/>
      <c r="K448" s="8"/>
      <c r="L448" s="8"/>
    </row>
    <row r="449" spans="1:12" ht="14.1" customHeight="1" x14ac:dyDescent="0.2">
      <c r="A449" s="8"/>
      <c r="K449" s="8"/>
      <c r="L449" s="8"/>
    </row>
    <row r="450" spans="1:12" ht="14.1" customHeight="1" x14ac:dyDescent="0.2">
      <c r="A450" s="8"/>
      <c r="K450" s="8"/>
      <c r="L450" s="8"/>
    </row>
    <row r="451" spans="1:12" ht="14.1" customHeight="1" x14ac:dyDescent="0.2">
      <c r="A451" s="8"/>
      <c r="K451" s="8"/>
      <c r="L451" s="8"/>
    </row>
    <row r="452" spans="1:12" ht="14.1" customHeight="1" x14ac:dyDescent="0.2">
      <c r="A452" s="8"/>
      <c r="K452" s="8"/>
      <c r="L452" s="8"/>
    </row>
    <row r="453" spans="1:12" ht="14.1" customHeight="1" x14ac:dyDescent="0.2">
      <c r="A453" s="8"/>
      <c r="K453" s="8"/>
      <c r="L453" s="8"/>
    </row>
    <row r="454" spans="1:12" ht="14.1" customHeight="1" x14ac:dyDescent="0.2">
      <c r="A454" s="8"/>
      <c r="K454" s="8"/>
      <c r="L454" s="8"/>
    </row>
    <row r="455" spans="1:12" ht="14.1" customHeight="1" x14ac:dyDescent="0.2">
      <c r="A455" s="8"/>
      <c r="K455" s="8"/>
      <c r="L455" s="8"/>
    </row>
    <row r="456" spans="1:12" ht="14.1" customHeight="1" x14ac:dyDescent="0.2">
      <c r="A456" s="8"/>
      <c r="K456" s="8"/>
      <c r="L456" s="8"/>
    </row>
    <row r="457" spans="1:12" ht="14.1" customHeight="1" x14ac:dyDescent="0.2">
      <c r="A457" s="8"/>
      <c r="K457" s="8"/>
      <c r="L457" s="8"/>
    </row>
    <row r="458" spans="1:12" ht="14.1" customHeight="1" x14ac:dyDescent="0.2">
      <c r="A458" s="8"/>
      <c r="K458" s="8"/>
      <c r="L458" s="8"/>
    </row>
    <row r="459" spans="1:12" ht="14.1" customHeight="1" x14ac:dyDescent="0.2">
      <c r="A459" s="8"/>
      <c r="K459" s="8"/>
      <c r="L459" s="8"/>
    </row>
    <row r="460" spans="1:12" ht="14.1" customHeight="1" x14ac:dyDescent="0.2">
      <c r="A460" s="8"/>
      <c r="K460" s="8"/>
      <c r="L460" s="8"/>
    </row>
    <row r="461" spans="1:12" ht="14.1" customHeight="1" x14ac:dyDescent="0.2">
      <c r="A461" s="8"/>
      <c r="K461" s="8"/>
      <c r="L461" s="8"/>
    </row>
    <row r="462" spans="1:12" ht="14.1" customHeight="1" x14ac:dyDescent="0.2">
      <c r="A462" s="8"/>
      <c r="K462" s="8"/>
      <c r="L462" s="8"/>
    </row>
    <row r="463" spans="1:12" ht="14.1" customHeight="1" x14ac:dyDescent="0.2">
      <c r="A463" s="8"/>
      <c r="K463" s="8"/>
      <c r="L463" s="8"/>
    </row>
    <row r="464" spans="1:12" ht="14.1" customHeight="1" x14ac:dyDescent="0.2">
      <c r="A464" s="8"/>
      <c r="J464" s="11"/>
      <c r="K464" s="8"/>
      <c r="L464" s="8"/>
    </row>
    <row r="465" spans="1:12" ht="14.1" customHeight="1" x14ac:dyDescent="0.2">
      <c r="A465" s="8"/>
      <c r="K465" s="8"/>
      <c r="L465" s="8"/>
    </row>
    <row r="466" spans="1:12" ht="14.1" customHeight="1" x14ac:dyDescent="0.2">
      <c r="A466" s="8"/>
      <c r="K466" s="8"/>
      <c r="L466" s="8"/>
    </row>
    <row r="467" spans="1:12" ht="14.1" customHeight="1" x14ac:dyDescent="0.2">
      <c r="A467" s="8"/>
      <c r="K467" s="8"/>
      <c r="L467" s="8"/>
    </row>
    <row r="468" spans="1:12" ht="14.1" customHeight="1" x14ac:dyDescent="0.2">
      <c r="A468" s="8"/>
      <c r="K468" s="8"/>
      <c r="L468" s="8"/>
    </row>
    <row r="469" spans="1:12" ht="14.1" customHeight="1" x14ac:dyDescent="0.2">
      <c r="A469" s="8"/>
      <c r="K469" s="8"/>
      <c r="L469" s="8"/>
    </row>
    <row r="470" spans="1:12" ht="14.1" customHeight="1" x14ac:dyDescent="0.2">
      <c r="A470" s="8"/>
      <c r="K470" s="8"/>
      <c r="L470" s="8"/>
    </row>
    <row r="471" spans="1:12" ht="14.1" customHeight="1" x14ac:dyDescent="0.2">
      <c r="A471" s="8"/>
      <c r="K471" s="8"/>
      <c r="L471" s="8"/>
    </row>
    <row r="472" spans="1:12" ht="14.1" customHeight="1" x14ac:dyDescent="0.2">
      <c r="A472" s="8"/>
      <c r="K472" s="8"/>
      <c r="L472" s="8"/>
    </row>
    <row r="473" spans="1:12" ht="14.1" customHeight="1" x14ac:dyDescent="0.2">
      <c r="A473" s="8"/>
      <c r="K473" s="8"/>
      <c r="L473" s="8"/>
    </row>
    <row r="474" spans="1:12" ht="14.1" customHeight="1" x14ac:dyDescent="0.2">
      <c r="A474" s="8"/>
      <c r="K474" s="8"/>
      <c r="L474" s="8"/>
    </row>
    <row r="475" spans="1:12" ht="14.1" customHeight="1" x14ac:dyDescent="0.2">
      <c r="A475" s="8"/>
      <c r="K475" s="8"/>
      <c r="L475" s="8"/>
    </row>
    <row r="476" spans="1:12" ht="14.1" customHeight="1" x14ac:dyDescent="0.2">
      <c r="A476" s="8"/>
      <c r="K476" s="8"/>
      <c r="L476" s="8"/>
    </row>
    <row r="477" spans="1:12" ht="14.1" customHeight="1" x14ac:dyDescent="0.2">
      <c r="A477" s="8"/>
      <c r="K477" s="8"/>
      <c r="L477" s="8"/>
    </row>
    <row r="478" spans="1:12" ht="14.1" customHeight="1" x14ac:dyDescent="0.2">
      <c r="A478" s="8"/>
      <c r="K478" s="8"/>
      <c r="L478" s="8"/>
    </row>
    <row r="479" spans="1:12" ht="14.1" customHeight="1" x14ac:dyDescent="0.2">
      <c r="A479" s="8"/>
      <c r="K479" s="8"/>
      <c r="L479" s="8"/>
    </row>
    <row r="480" spans="1:12" ht="14.1" customHeight="1" x14ac:dyDescent="0.2">
      <c r="A480" s="8"/>
      <c r="K480" s="8"/>
      <c r="L480" s="8"/>
    </row>
    <row r="481" spans="1:12" ht="14.1" customHeight="1" x14ac:dyDescent="0.2">
      <c r="A481" s="8"/>
      <c r="K481" s="8"/>
      <c r="L481" s="8"/>
    </row>
    <row r="482" spans="1:12" ht="14.1" customHeight="1" x14ac:dyDescent="0.2">
      <c r="A482" s="8"/>
      <c r="J482" s="11"/>
      <c r="K482" s="8"/>
      <c r="L482" s="8"/>
    </row>
    <row r="483" spans="1:12" ht="14.1" customHeight="1" x14ac:dyDescent="0.2">
      <c r="A483" s="8"/>
      <c r="K483" s="8"/>
      <c r="L483" s="8"/>
    </row>
  </sheetData>
  <mergeCells count="2">
    <mergeCell ref="F1:G1"/>
    <mergeCell ref="D1:E1"/>
  </mergeCells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B2:C13"/>
  <sheetViews>
    <sheetView workbookViewId="0"/>
  </sheetViews>
  <sheetFormatPr defaultRowHeight="16.5" customHeight="1" x14ac:dyDescent="0.3"/>
  <cols>
    <col min="1" max="1" width="3.625" style="16" customWidth="1"/>
    <col min="2" max="2" width="21.625" style="16" bestFit="1" customWidth="1"/>
    <col min="3" max="3" width="90" style="16" customWidth="1"/>
    <col min="4" max="16384" width="9" style="16"/>
  </cols>
  <sheetData>
    <row r="2" spans="2:3" ht="16.5" customHeight="1" x14ac:dyDescent="0.3">
      <c r="B2" s="15" t="s">
        <v>40</v>
      </c>
    </row>
    <row r="3" spans="2:3" ht="16.5" customHeight="1" x14ac:dyDescent="0.3">
      <c r="B3" s="17" t="s">
        <v>29</v>
      </c>
      <c r="C3" s="18" t="s">
        <v>30</v>
      </c>
    </row>
    <row r="4" spans="2:3" ht="16.5" customHeight="1" x14ac:dyDescent="0.3">
      <c r="B4" s="19" t="s">
        <v>31</v>
      </c>
      <c r="C4" s="20" t="s">
        <v>41</v>
      </c>
    </row>
    <row r="5" spans="2:3" ht="16.5" customHeight="1" x14ac:dyDescent="0.3">
      <c r="B5" s="19" t="s">
        <v>32</v>
      </c>
      <c r="C5" s="21" t="s">
        <v>42</v>
      </c>
    </row>
    <row r="6" spans="2:3" ht="16.5" customHeight="1" x14ac:dyDescent="0.3">
      <c r="B6" s="19" t="s">
        <v>33</v>
      </c>
      <c r="C6" s="21" t="s">
        <v>43</v>
      </c>
    </row>
    <row r="7" spans="2:3" ht="16.5" customHeight="1" x14ac:dyDescent="0.3">
      <c r="B7" s="19" t="s">
        <v>34</v>
      </c>
      <c r="C7" s="21" t="s">
        <v>44</v>
      </c>
    </row>
    <row r="8" spans="2:3" ht="16.5" customHeight="1" x14ac:dyDescent="0.3">
      <c r="B8" s="19" t="s">
        <v>35</v>
      </c>
      <c r="C8" s="21" t="s">
        <v>45</v>
      </c>
    </row>
    <row r="9" spans="2:3" ht="16.5" customHeight="1" x14ac:dyDescent="0.3">
      <c r="B9" s="19" t="s">
        <v>36</v>
      </c>
      <c r="C9" s="21" t="s">
        <v>46</v>
      </c>
    </row>
    <row r="10" spans="2:3" ht="30" customHeight="1" x14ac:dyDescent="0.3">
      <c r="B10" s="20" t="s">
        <v>37</v>
      </c>
      <c r="C10" s="21" t="s">
        <v>48</v>
      </c>
    </row>
    <row r="11" spans="2:3" ht="30" customHeight="1" x14ac:dyDescent="0.3">
      <c r="B11" s="20" t="s">
        <v>50</v>
      </c>
      <c r="C11" s="21" t="s">
        <v>51</v>
      </c>
    </row>
    <row r="12" spans="2:3" ht="30" customHeight="1" x14ac:dyDescent="0.3">
      <c r="B12" s="20" t="s">
        <v>38</v>
      </c>
      <c r="C12" s="21" t="s">
        <v>49</v>
      </c>
    </row>
    <row r="13" spans="2:3" ht="30" customHeight="1" x14ac:dyDescent="0.3">
      <c r="B13" s="20" t="s">
        <v>39</v>
      </c>
      <c r="C13" s="21" t="s">
        <v>52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72"/>
  <sheetViews>
    <sheetView zoomScaleNormal="100" workbookViewId="0">
      <selection activeCell="A38" sqref="A38"/>
    </sheetView>
  </sheetViews>
  <sheetFormatPr defaultRowHeight="12" x14ac:dyDescent="0.2"/>
  <cols>
    <col min="1" max="1" width="10.125" style="41" bestFit="1" customWidth="1"/>
    <col min="2" max="2" width="9.875" style="41" bestFit="1" customWidth="1"/>
    <col min="3" max="6" width="16.875" style="41" bestFit="1" customWidth="1"/>
    <col min="7" max="7" width="13" style="41" bestFit="1" customWidth="1"/>
    <col min="8" max="8" width="19.25" style="41" bestFit="1" customWidth="1"/>
    <col min="9" max="16384" width="9" style="41"/>
  </cols>
  <sheetData>
    <row r="1" spans="1:12" x14ac:dyDescent="0.2">
      <c r="A1" s="40" t="s">
        <v>87</v>
      </c>
    </row>
    <row r="2" spans="1:12" x14ac:dyDescent="0.2">
      <c r="A2" s="40" t="s">
        <v>88</v>
      </c>
    </row>
    <row r="3" spans="1:12" x14ac:dyDescent="0.2">
      <c r="A3" s="42" t="s">
        <v>89</v>
      </c>
    </row>
    <row r="5" spans="1:12" x14ac:dyDescent="0.2">
      <c r="A5" s="3" t="s">
        <v>53</v>
      </c>
      <c r="B5" s="3" t="s">
        <v>54</v>
      </c>
      <c r="C5" s="6" t="s">
        <v>55</v>
      </c>
      <c r="D5" s="6" t="s">
        <v>56</v>
      </c>
      <c r="E5" s="5" t="s">
        <v>57</v>
      </c>
      <c r="F5" s="5" t="s">
        <v>58</v>
      </c>
      <c r="G5" s="10" t="s">
        <v>59</v>
      </c>
      <c r="H5" s="3" t="s">
        <v>60</v>
      </c>
      <c r="I5" s="3" t="s">
        <v>61</v>
      </c>
      <c r="J5" s="3" t="s">
        <v>11</v>
      </c>
      <c r="K5" s="3"/>
      <c r="L5" s="3"/>
    </row>
    <row r="6" spans="1:12" x14ac:dyDescent="0.2">
      <c r="A6" s="43">
        <v>1</v>
      </c>
      <c r="B6" s="43">
        <v>1</v>
      </c>
      <c r="C6" s="12" t="s">
        <v>104</v>
      </c>
      <c r="D6" s="12" t="s">
        <v>105</v>
      </c>
      <c r="E6" s="12" t="s">
        <v>62</v>
      </c>
      <c r="F6" s="44" t="s">
        <v>63</v>
      </c>
      <c r="G6" s="43">
        <v>1</v>
      </c>
      <c r="H6" s="43" t="s">
        <v>12</v>
      </c>
      <c r="I6" s="43">
        <v>90001</v>
      </c>
      <c r="J6" s="43" t="s">
        <v>12</v>
      </c>
      <c r="K6" s="43" t="s">
        <v>240</v>
      </c>
      <c r="L6" s="100" t="s">
        <v>64</v>
      </c>
    </row>
    <row r="7" spans="1:12" x14ac:dyDescent="0.2">
      <c r="A7" s="45">
        <v>2</v>
      </c>
      <c r="B7" s="45">
        <v>1</v>
      </c>
      <c r="C7" s="7" t="s">
        <v>106</v>
      </c>
      <c r="D7" s="7" t="s">
        <v>107</v>
      </c>
      <c r="E7" s="7" t="s">
        <v>65</v>
      </c>
      <c r="F7" s="46" t="s">
        <v>66</v>
      </c>
      <c r="G7" s="45">
        <v>1</v>
      </c>
      <c r="H7" s="45" t="s">
        <v>13</v>
      </c>
      <c r="I7" s="45">
        <v>90001</v>
      </c>
      <c r="J7" s="45" t="s">
        <v>12</v>
      </c>
      <c r="K7" s="45" t="s">
        <v>240</v>
      </c>
      <c r="L7" s="101"/>
    </row>
    <row r="8" spans="1:12" x14ac:dyDescent="0.2">
      <c r="A8" s="45">
        <v>3</v>
      </c>
      <c r="B8" s="45">
        <v>1</v>
      </c>
      <c r="C8" s="7" t="s">
        <v>108</v>
      </c>
      <c r="D8" s="7" t="s">
        <v>109</v>
      </c>
      <c r="E8" s="7" t="s">
        <v>67</v>
      </c>
      <c r="F8" s="46" t="s">
        <v>68</v>
      </c>
      <c r="G8" s="45">
        <v>1</v>
      </c>
      <c r="H8" s="45" t="s">
        <v>14</v>
      </c>
      <c r="I8" s="45">
        <v>90001</v>
      </c>
      <c r="J8" s="45" t="s">
        <v>12</v>
      </c>
      <c r="K8" s="45" t="s">
        <v>240</v>
      </c>
      <c r="L8" s="101"/>
    </row>
    <row r="9" spans="1:12" x14ac:dyDescent="0.2">
      <c r="A9" s="45">
        <v>4</v>
      </c>
      <c r="B9" s="45">
        <v>1</v>
      </c>
      <c r="C9" s="7" t="s">
        <v>110</v>
      </c>
      <c r="D9" s="7" t="s">
        <v>111</v>
      </c>
      <c r="E9" s="7" t="s">
        <v>69</v>
      </c>
      <c r="F9" s="46" t="s">
        <v>70</v>
      </c>
      <c r="G9" s="45">
        <v>1</v>
      </c>
      <c r="H9" s="45" t="s">
        <v>15</v>
      </c>
      <c r="I9" s="45">
        <v>90001</v>
      </c>
      <c r="J9" s="45" t="s">
        <v>12</v>
      </c>
      <c r="K9" s="45" t="s">
        <v>240</v>
      </c>
      <c r="L9" s="101"/>
    </row>
    <row r="10" spans="1:12" x14ac:dyDescent="0.2">
      <c r="A10" s="45">
        <v>5</v>
      </c>
      <c r="B10" s="45">
        <v>1</v>
      </c>
      <c r="C10" s="7" t="s">
        <v>112</v>
      </c>
      <c r="D10" s="7" t="s">
        <v>113</v>
      </c>
      <c r="E10" s="7" t="s">
        <v>114</v>
      </c>
      <c r="F10" s="46" t="s">
        <v>115</v>
      </c>
      <c r="G10" s="45">
        <v>1</v>
      </c>
      <c r="H10" s="45" t="s">
        <v>17</v>
      </c>
      <c r="I10" s="45">
        <v>90001</v>
      </c>
      <c r="J10" s="45" t="s">
        <v>12</v>
      </c>
      <c r="K10" s="45" t="s">
        <v>240</v>
      </c>
      <c r="L10" s="101"/>
    </row>
    <row r="11" spans="1:12" x14ac:dyDescent="0.2">
      <c r="A11" s="45">
        <v>6</v>
      </c>
      <c r="B11" s="45">
        <v>1</v>
      </c>
      <c r="C11" s="7" t="s">
        <v>116</v>
      </c>
      <c r="D11" s="7" t="s">
        <v>117</v>
      </c>
      <c r="E11" s="7" t="s">
        <v>16</v>
      </c>
      <c r="F11" s="46" t="s">
        <v>118</v>
      </c>
      <c r="G11" s="45">
        <v>1</v>
      </c>
      <c r="H11" s="45" t="s">
        <v>18</v>
      </c>
      <c r="I11" s="45">
        <v>90001</v>
      </c>
      <c r="J11" s="45" t="s">
        <v>12</v>
      </c>
      <c r="K11" s="45" t="s">
        <v>240</v>
      </c>
      <c r="L11" s="101"/>
    </row>
    <row r="12" spans="1:12" x14ac:dyDescent="0.2">
      <c r="A12" s="45">
        <v>7</v>
      </c>
      <c r="B12" s="45">
        <v>1</v>
      </c>
      <c r="C12" s="7" t="s">
        <v>119</v>
      </c>
      <c r="D12" s="7" t="s">
        <v>120</v>
      </c>
      <c r="E12" s="7" t="s">
        <v>71</v>
      </c>
      <c r="F12" s="46" t="s">
        <v>121</v>
      </c>
      <c r="G12" s="45">
        <v>1</v>
      </c>
      <c r="H12" s="45" t="s">
        <v>19</v>
      </c>
      <c r="I12" s="45">
        <v>90001</v>
      </c>
      <c r="J12" s="45" t="s">
        <v>12</v>
      </c>
      <c r="K12" s="45" t="s">
        <v>240</v>
      </c>
      <c r="L12" s="101"/>
    </row>
    <row r="13" spans="1:12" x14ac:dyDescent="0.2">
      <c r="A13" s="45">
        <v>8</v>
      </c>
      <c r="B13" s="45">
        <v>1</v>
      </c>
      <c r="C13" s="7" t="s">
        <v>122</v>
      </c>
      <c r="D13" s="7" t="s">
        <v>123</v>
      </c>
      <c r="E13" s="7" t="s">
        <v>124</v>
      </c>
      <c r="F13" s="46" t="s">
        <v>72</v>
      </c>
      <c r="G13" s="45">
        <v>1</v>
      </c>
      <c r="H13" s="45" t="s">
        <v>20</v>
      </c>
      <c r="I13" s="45">
        <v>90001</v>
      </c>
      <c r="J13" s="45" t="s">
        <v>12</v>
      </c>
      <c r="K13" s="45" t="s">
        <v>240</v>
      </c>
      <c r="L13" s="101"/>
    </row>
    <row r="14" spans="1:12" x14ac:dyDescent="0.2">
      <c r="A14" s="45">
        <v>9</v>
      </c>
      <c r="B14" s="45">
        <v>1</v>
      </c>
      <c r="C14" s="7" t="s">
        <v>125</v>
      </c>
      <c r="D14" s="7" t="s">
        <v>126</v>
      </c>
      <c r="E14" s="7" t="s">
        <v>73</v>
      </c>
      <c r="F14" s="46" t="s">
        <v>74</v>
      </c>
      <c r="G14" s="45">
        <v>1</v>
      </c>
      <c r="H14" s="45" t="s">
        <v>21</v>
      </c>
      <c r="I14" s="45">
        <v>90001</v>
      </c>
      <c r="J14" s="45" t="s">
        <v>12</v>
      </c>
      <c r="K14" s="45" t="s">
        <v>240</v>
      </c>
      <c r="L14" s="101"/>
    </row>
    <row r="15" spans="1:12" x14ac:dyDescent="0.2">
      <c r="A15" s="45">
        <v>10</v>
      </c>
      <c r="B15" s="45">
        <v>1</v>
      </c>
      <c r="C15" s="7" t="s">
        <v>127</v>
      </c>
      <c r="D15" s="7" t="s">
        <v>128</v>
      </c>
      <c r="E15" s="7" t="s">
        <v>75</v>
      </c>
      <c r="F15" s="46" t="s">
        <v>76</v>
      </c>
      <c r="G15" s="45">
        <v>1</v>
      </c>
      <c r="H15" s="45" t="s">
        <v>22</v>
      </c>
      <c r="I15" s="45">
        <v>90001</v>
      </c>
      <c r="J15" s="45" t="s">
        <v>12</v>
      </c>
      <c r="K15" s="45" t="s">
        <v>240</v>
      </c>
      <c r="L15" s="101"/>
    </row>
    <row r="16" spans="1:12" x14ac:dyDescent="0.2">
      <c r="A16" s="45">
        <v>11</v>
      </c>
      <c r="B16" s="45">
        <v>1</v>
      </c>
      <c r="C16" s="7" t="s">
        <v>129</v>
      </c>
      <c r="D16" s="7" t="s">
        <v>130</v>
      </c>
      <c r="E16" s="7" t="s">
        <v>77</v>
      </c>
      <c r="F16" s="46" t="s">
        <v>78</v>
      </c>
      <c r="G16" s="45">
        <v>1</v>
      </c>
      <c r="H16" s="45" t="s">
        <v>23</v>
      </c>
      <c r="I16" s="45">
        <v>90001</v>
      </c>
      <c r="J16" s="45" t="s">
        <v>12</v>
      </c>
      <c r="K16" s="45" t="s">
        <v>240</v>
      </c>
      <c r="L16" s="101"/>
    </row>
    <row r="17" spans="1:12" x14ac:dyDescent="0.2">
      <c r="A17" s="45">
        <v>12</v>
      </c>
      <c r="B17" s="45">
        <v>1</v>
      </c>
      <c r="C17" s="7" t="s">
        <v>131</v>
      </c>
      <c r="D17" s="7" t="s">
        <v>132</v>
      </c>
      <c r="E17" s="7" t="s">
        <v>79</v>
      </c>
      <c r="F17" s="46" t="s">
        <v>80</v>
      </c>
      <c r="G17" s="45">
        <v>1</v>
      </c>
      <c r="H17" s="45" t="s">
        <v>24</v>
      </c>
      <c r="I17" s="45">
        <v>90001</v>
      </c>
      <c r="J17" s="45" t="s">
        <v>12</v>
      </c>
      <c r="K17" s="45" t="s">
        <v>240</v>
      </c>
      <c r="L17" s="101"/>
    </row>
    <row r="18" spans="1:12" x14ac:dyDescent="0.2">
      <c r="A18" s="45">
        <v>13</v>
      </c>
      <c r="B18" s="45">
        <v>1</v>
      </c>
      <c r="C18" s="7" t="s">
        <v>133</v>
      </c>
      <c r="D18" s="7" t="s">
        <v>134</v>
      </c>
      <c r="E18" s="7" t="s">
        <v>81</v>
      </c>
      <c r="F18" s="46" t="s">
        <v>82</v>
      </c>
      <c r="G18" s="45">
        <v>1</v>
      </c>
      <c r="H18" s="45" t="s">
        <v>25</v>
      </c>
      <c r="I18" s="45">
        <v>90001</v>
      </c>
      <c r="J18" s="45" t="s">
        <v>12</v>
      </c>
      <c r="K18" s="45" t="s">
        <v>240</v>
      </c>
      <c r="L18" s="101"/>
    </row>
    <row r="19" spans="1:12" x14ac:dyDescent="0.2">
      <c r="A19" s="45">
        <v>14</v>
      </c>
      <c r="B19" s="45">
        <v>1</v>
      </c>
      <c r="C19" s="7" t="s">
        <v>135</v>
      </c>
      <c r="D19" s="7" t="s">
        <v>136</v>
      </c>
      <c r="E19" s="7" t="s">
        <v>83</v>
      </c>
      <c r="F19" s="46" t="s">
        <v>137</v>
      </c>
      <c r="G19" s="45">
        <v>1</v>
      </c>
      <c r="H19" s="45" t="s">
        <v>26</v>
      </c>
      <c r="I19" s="45">
        <v>90001</v>
      </c>
      <c r="J19" s="45" t="s">
        <v>12</v>
      </c>
      <c r="K19" s="45" t="s">
        <v>240</v>
      </c>
      <c r="L19" s="101"/>
    </row>
    <row r="20" spans="1:12" x14ac:dyDescent="0.2">
      <c r="A20" s="45">
        <v>15</v>
      </c>
      <c r="B20" s="45">
        <v>1</v>
      </c>
      <c r="C20" s="7" t="s">
        <v>138</v>
      </c>
      <c r="D20" s="7" t="s">
        <v>139</v>
      </c>
      <c r="E20" s="7" t="s">
        <v>84</v>
      </c>
      <c r="F20" s="46" t="s">
        <v>140</v>
      </c>
      <c r="G20" s="45">
        <v>1</v>
      </c>
      <c r="H20" s="45" t="s">
        <v>27</v>
      </c>
      <c r="I20" s="45">
        <v>90001</v>
      </c>
      <c r="J20" s="45" t="s">
        <v>12</v>
      </c>
      <c r="K20" s="45" t="s">
        <v>240</v>
      </c>
      <c r="L20" s="101"/>
    </row>
    <row r="21" spans="1:12" x14ac:dyDescent="0.2">
      <c r="A21" s="45">
        <v>16</v>
      </c>
      <c r="B21" s="45">
        <v>1</v>
      </c>
      <c r="C21" s="7" t="s">
        <v>141</v>
      </c>
      <c r="D21" s="7" t="s">
        <v>142</v>
      </c>
      <c r="E21" s="7" t="s">
        <v>85</v>
      </c>
      <c r="F21" s="46" t="s">
        <v>143</v>
      </c>
      <c r="G21" s="45">
        <v>1</v>
      </c>
      <c r="H21" s="45" t="s">
        <v>28</v>
      </c>
      <c r="I21" s="45">
        <v>90001</v>
      </c>
      <c r="J21" s="45" t="s">
        <v>12</v>
      </c>
      <c r="K21" s="45" t="s">
        <v>240</v>
      </c>
      <c r="L21" s="101"/>
    </row>
    <row r="22" spans="1:12" x14ac:dyDescent="0.2">
      <c r="A22" s="43">
        <v>17</v>
      </c>
      <c r="B22" s="44" t="s">
        <v>144</v>
      </c>
      <c r="C22" s="44" t="s">
        <v>145</v>
      </c>
      <c r="D22" s="44" t="s">
        <v>146</v>
      </c>
      <c r="E22" s="44" t="s">
        <v>147</v>
      </c>
      <c r="F22" s="44" t="s">
        <v>148</v>
      </c>
      <c r="G22" s="44" t="s">
        <v>149</v>
      </c>
      <c r="H22" s="43" t="s">
        <v>241</v>
      </c>
      <c r="I22" s="43">
        <v>90001</v>
      </c>
      <c r="J22" s="43" t="s">
        <v>12</v>
      </c>
      <c r="K22" s="43" t="s">
        <v>240</v>
      </c>
      <c r="L22" s="101" t="s">
        <v>86</v>
      </c>
    </row>
    <row r="23" spans="1:12" x14ac:dyDescent="0.2">
      <c r="A23" s="45">
        <v>18</v>
      </c>
      <c r="B23" s="46" t="s">
        <v>144</v>
      </c>
      <c r="C23" s="46" t="s">
        <v>150</v>
      </c>
      <c r="D23" s="46" t="s">
        <v>151</v>
      </c>
      <c r="E23" s="46" t="s">
        <v>152</v>
      </c>
      <c r="F23" s="46" t="s">
        <v>153</v>
      </c>
      <c r="G23" s="46" t="s">
        <v>144</v>
      </c>
      <c r="H23" s="45" t="s">
        <v>242</v>
      </c>
      <c r="I23" s="45">
        <v>90001</v>
      </c>
      <c r="J23" s="45" t="s">
        <v>12</v>
      </c>
      <c r="K23" s="45" t="s">
        <v>240</v>
      </c>
      <c r="L23" s="101"/>
    </row>
    <row r="24" spans="1:12" x14ac:dyDescent="0.2">
      <c r="A24" s="45">
        <v>19</v>
      </c>
      <c r="B24" s="46" t="s">
        <v>144</v>
      </c>
      <c r="C24" s="46" t="s">
        <v>154</v>
      </c>
      <c r="D24" s="46" t="s">
        <v>155</v>
      </c>
      <c r="E24" s="46" t="s">
        <v>156</v>
      </c>
      <c r="F24" s="46" t="s">
        <v>157</v>
      </c>
      <c r="G24" s="46" t="s">
        <v>144</v>
      </c>
      <c r="H24" s="45" t="s">
        <v>243</v>
      </c>
      <c r="I24" s="45">
        <v>90001</v>
      </c>
      <c r="J24" s="45" t="s">
        <v>12</v>
      </c>
      <c r="K24" s="45" t="s">
        <v>240</v>
      </c>
      <c r="L24" s="101"/>
    </row>
    <row r="25" spans="1:12" x14ac:dyDescent="0.2">
      <c r="A25" s="45">
        <v>20</v>
      </c>
      <c r="B25" s="46" t="s">
        <v>144</v>
      </c>
      <c r="C25" s="46" t="s">
        <v>158</v>
      </c>
      <c r="D25" s="46" t="s">
        <v>159</v>
      </c>
      <c r="E25" s="46" t="s">
        <v>160</v>
      </c>
      <c r="F25" s="46" t="s">
        <v>161</v>
      </c>
      <c r="G25" s="46" t="s">
        <v>144</v>
      </c>
      <c r="H25" s="45" t="s">
        <v>244</v>
      </c>
      <c r="I25" s="45">
        <v>90001</v>
      </c>
      <c r="J25" s="45" t="s">
        <v>12</v>
      </c>
      <c r="K25" s="45" t="s">
        <v>240</v>
      </c>
      <c r="L25" s="101"/>
    </row>
    <row r="26" spans="1:12" x14ac:dyDescent="0.2">
      <c r="A26" s="45">
        <v>21</v>
      </c>
      <c r="B26" s="46" t="s">
        <v>144</v>
      </c>
      <c r="C26" s="46" t="s">
        <v>162</v>
      </c>
      <c r="D26" s="46" t="s">
        <v>163</v>
      </c>
      <c r="E26" s="46" t="s">
        <v>164</v>
      </c>
      <c r="F26" s="46" t="s">
        <v>165</v>
      </c>
      <c r="G26" s="46" t="s">
        <v>144</v>
      </c>
      <c r="H26" s="45" t="s">
        <v>245</v>
      </c>
      <c r="I26" s="45">
        <v>90001</v>
      </c>
      <c r="J26" s="45" t="s">
        <v>12</v>
      </c>
      <c r="K26" s="45" t="s">
        <v>240</v>
      </c>
      <c r="L26" s="101"/>
    </row>
    <row r="27" spans="1:12" x14ac:dyDescent="0.2">
      <c r="A27" s="45">
        <v>22</v>
      </c>
      <c r="B27" s="46" t="s">
        <v>144</v>
      </c>
      <c r="C27" s="46" t="s">
        <v>166</v>
      </c>
      <c r="D27" s="46" t="s">
        <v>167</v>
      </c>
      <c r="E27" s="46" t="s">
        <v>168</v>
      </c>
      <c r="F27" s="46" t="s">
        <v>169</v>
      </c>
      <c r="G27" s="46" t="s">
        <v>144</v>
      </c>
      <c r="H27" s="45" t="s">
        <v>246</v>
      </c>
      <c r="I27" s="45">
        <v>90001</v>
      </c>
      <c r="J27" s="45" t="s">
        <v>12</v>
      </c>
      <c r="K27" s="45" t="s">
        <v>240</v>
      </c>
      <c r="L27" s="101"/>
    </row>
    <row r="28" spans="1:12" x14ac:dyDescent="0.2">
      <c r="A28" s="45">
        <v>23</v>
      </c>
      <c r="B28" s="46" t="s">
        <v>144</v>
      </c>
      <c r="C28" s="46" t="s">
        <v>170</v>
      </c>
      <c r="D28" s="46" t="s">
        <v>171</v>
      </c>
      <c r="E28" s="46" t="s">
        <v>103</v>
      </c>
      <c r="F28" s="46" t="s">
        <v>172</v>
      </c>
      <c r="G28" s="46" t="s">
        <v>144</v>
      </c>
      <c r="H28" s="45" t="s">
        <v>247</v>
      </c>
      <c r="I28" s="45">
        <v>90001</v>
      </c>
      <c r="J28" s="45" t="s">
        <v>12</v>
      </c>
      <c r="K28" s="45" t="s">
        <v>240</v>
      </c>
      <c r="L28" s="101"/>
    </row>
    <row r="29" spans="1:12" x14ac:dyDescent="0.2">
      <c r="A29" s="45">
        <v>24</v>
      </c>
      <c r="B29" s="46" t="s">
        <v>144</v>
      </c>
      <c r="C29" s="46" t="s">
        <v>173</v>
      </c>
      <c r="D29" s="46" t="s">
        <v>174</v>
      </c>
      <c r="E29" s="46" t="s">
        <v>175</v>
      </c>
      <c r="F29" s="46" t="s">
        <v>176</v>
      </c>
      <c r="G29" s="46" t="s">
        <v>144</v>
      </c>
      <c r="H29" s="45" t="s">
        <v>248</v>
      </c>
      <c r="I29" s="45">
        <v>90001</v>
      </c>
      <c r="J29" s="45" t="s">
        <v>12</v>
      </c>
      <c r="K29" s="45" t="s">
        <v>240</v>
      </c>
      <c r="L29" s="101"/>
    </row>
    <row r="30" spans="1:12" x14ac:dyDescent="0.2">
      <c r="A30" s="45">
        <v>25</v>
      </c>
      <c r="B30" s="46" t="s">
        <v>144</v>
      </c>
      <c r="C30" s="46" t="s">
        <v>177</v>
      </c>
      <c r="D30" s="46" t="s">
        <v>178</v>
      </c>
      <c r="E30" s="46" t="s">
        <v>179</v>
      </c>
      <c r="F30" s="46" t="s">
        <v>180</v>
      </c>
      <c r="G30" s="46" t="s">
        <v>144</v>
      </c>
      <c r="H30" s="45" t="s">
        <v>249</v>
      </c>
      <c r="I30" s="45">
        <v>90001</v>
      </c>
      <c r="J30" s="45" t="s">
        <v>12</v>
      </c>
      <c r="K30" s="45" t="s">
        <v>240</v>
      </c>
      <c r="L30" s="101"/>
    </row>
    <row r="31" spans="1:12" x14ac:dyDescent="0.2">
      <c r="A31" s="45">
        <v>26</v>
      </c>
      <c r="B31" s="46" t="s">
        <v>144</v>
      </c>
      <c r="C31" s="46" t="s">
        <v>182</v>
      </c>
      <c r="D31" s="46" t="s">
        <v>183</v>
      </c>
      <c r="E31" s="46" t="s">
        <v>184</v>
      </c>
      <c r="F31" s="46" t="s">
        <v>185</v>
      </c>
      <c r="G31" s="46" t="s">
        <v>144</v>
      </c>
      <c r="H31" s="45" t="s">
        <v>250</v>
      </c>
      <c r="I31" s="45">
        <v>90001</v>
      </c>
      <c r="J31" s="45" t="s">
        <v>12</v>
      </c>
      <c r="K31" s="45" t="s">
        <v>240</v>
      </c>
      <c r="L31" s="101"/>
    </row>
    <row r="32" spans="1:12" x14ac:dyDescent="0.2">
      <c r="A32" s="45">
        <v>27</v>
      </c>
      <c r="B32" s="46" t="s">
        <v>144</v>
      </c>
      <c r="C32" s="46" t="s">
        <v>186</v>
      </c>
      <c r="D32" s="46" t="s">
        <v>187</v>
      </c>
      <c r="E32" s="46" t="s">
        <v>188</v>
      </c>
      <c r="F32" s="46" t="s">
        <v>189</v>
      </c>
      <c r="G32" s="46" t="s">
        <v>144</v>
      </c>
      <c r="H32" s="45" t="s">
        <v>251</v>
      </c>
      <c r="I32" s="45">
        <v>90001</v>
      </c>
      <c r="J32" s="45" t="s">
        <v>12</v>
      </c>
      <c r="K32" s="45" t="s">
        <v>240</v>
      </c>
      <c r="L32" s="101"/>
    </row>
    <row r="33" spans="1:12" x14ac:dyDescent="0.2">
      <c r="A33" s="45">
        <v>28</v>
      </c>
      <c r="B33" s="46" t="s">
        <v>144</v>
      </c>
      <c r="C33" s="46" t="s">
        <v>190</v>
      </c>
      <c r="D33" s="46" t="s">
        <v>191</v>
      </c>
      <c r="E33" s="46" t="s">
        <v>192</v>
      </c>
      <c r="F33" s="46" t="s">
        <v>193</v>
      </c>
      <c r="G33" s="46" t="s">
        <v>144</v>
      </c>
      <c r="H33" s="45" t="s">
        <v>252</v>
      </c>
      <c r="I33" s="45">
        <v>90001</v>
      </c>
      <c r="J33" s="45" t="s">
        <v>12</v>
      </c>
      <c r="K33" s="45" t="s">
        <v>240</v>
      </c>
      <c r="L33" s="101"/>
    </row>
    <row r="34" spans="1:12" x14ac:dyDescent="0.2">
      <c r="A34" s="47">
        <v>29</v>
      </c>
      <c r="B34" s="48" t="s">
        <v>144</v>
      </c>
      <c r="C34" s="48" t="s">
        <v>253</v>
      </c>
      <c r="D34" s="48" t="s">
        <v>254</v>
      </c>
      <c r="E34" s="48" t="s">
        <v>255</v>
      </c>
      <c r="F34" s="48" t="s">
        <v>256</v>
      </c>
      <c r="G34" s="48" t="s">
        <v>144</v>
      </c>
      <c r="H34" s="45" t="s">
        <v>257</v>
      </c>
      <c r="I34" s="47">
        <v>90001</v>
      </c>
      <c r="J34" s="47" t="s">
        <v>12</v>
      </c>
      <c r="K34" s="47" t="s">
        <v>240</v>
      </c>
      <c r="L34" s="101"/>
    </row>
    <row r="35" spans="1:12" x14ac:dyDescent="0.2">
      <c r="A35" s="45">
        <v>30</v>
      </c>
      <c r="B35" s="46" t="s">
        <v>144</v>
      </c>
      <c r="C35" s="46" t="s">
        <v>194</v>
      </c>
      <c r="D35" s="46" t="s">
        <v>195</v>
      </c>
      <c r="E35" s="46" t="s">
        <v>196</v>
      </c>
      <c r="F35" s="46" t="s">
        <v>197</v>
      </c>
      <c r="G35" s="46" t="s">
        <v>144</v>
      </c>
      <c r="H35" s="45" t="s">
        <v>258</v>
      </c>
      <c r="I35" s="45">
        <v>90001</v>
      </c>
      <c r="J35" s="45" t="s">
        <v>12</v>
      </c>
      <c r="K35" s="45" t="s">
        <v>240</v>
      </c>
      <c r="L35" s="101"/>
    </row>
    <row r="36" spans="1:12" x14ac:dyDescent="0.2">
      <c r="A36" s="45">
        <v>31</v>
      </c>
      <c r="B36" s="46" t="s">
        <v>144</v>
      </c>
      <c r="C36" s="46" t="s">
        <v>198</v>
      </c>
      <c r="D36" s="46" t="s">
        <v>199</v>
      </c>
      <c r="E36" s="46" t="s">
        <v>393</v>
      </c>
      <c r="F36" s="46" t="s">
        <v>394</v>
      </c>
      <c r="G36" s="46" t="s">
        <v>144</v>
      </c>
      <c r="H36" s="45" t="s">
        <v>259</v>
      </c>
      <c r="I36" s="45">
        <v>90001</v>
      </c>
      <c r="J36" s="45" t="s">
        <v>12</v>
      </c>
      <c r="K36" s="45" t="s">
        <v>240</v>
      </c>
      <c r="L36" s="101"/>
    </row>
    <row r="37" spans="1:12" x14ac:dyDescent="0.2">
      <c r="A37" s="45">
        <v>32</v>
      </c>
      <c r="B37" s="46" t="s">
        <v>144</v>
      </c>
      <c r="C37" s="46" t="s">
        <v>200</v>
      </c>
      <c r="D37" s="46" t="s">
        <v>201</v>
      </c>
      <c r="E37" s="46" t="s">
        <v>395</v>
      </c>
      <c r="F37" s="46" t="s">
        <v>396</v>
      </c>
      <c r="G37" s="46" t="s">
        <v>144</v>
      </c>
      <c r="H37" s="45" t="s">
        <v>260</v>
      </c>
      <c r="I37" s="45">
        <v>90001</v>
      </c>
      <c r="J37" s="45" t="s">
        <v>12</v>
      </c>
      <c r="K37" s="45" t="s">
        <v>240</v>
      </c>
      <c r="L37" s="101"/>
    </row>
    <row r="38" spans="1:12" s="49" customFormat="1" x14ac:dyDescent="0.2">
      <c r="A38" s="44">
        <v>33</v>
      </c>
      <c r="B38" s="44" t="s">
        <v>221</v>
      </c>
      <c r="C38" s="44" t="s">
        <v>202</v>
      </c>
      <c r="D38" s="44" t="s">
        <v>206</v>
      </c>
      <c r="E38" s="44" t="s">
        <v>207</v>
      </c>
      <c r="F38" s="44" t="s">
        <v>203</v>
      </c>
      <c r="G38" s="44" t="s">
        <v>144</v>
      </c>
      <c r="H38" s="44" t="s">
        <v>261</v>
      </c>
      <c r="I38" s="44">
        <v>90001</v>
      </c>
      <c r="J38" s="44" t="s">
        <v>261</v>
      </c>
      <c r="K38" s="44" t="s">
        <v>262</v>
      </c>
      <c r="L38" s="101" t="s">
        <v>222</v>
      </c>
    </row>
    <row r="39" spans="1:12" s="46" customFormat="1" x14ac:dyDescent="0.2">
      <c r="A39" s="45">
        <v>34</v>
      </c>
      <c r="B39" s="46" t="s">
        <v>221</v>
      </c>
      <c r="C39" s="46" t="s">
        <v>204</v>
      </c>
      <c r="D39" s="46" t="s">
        <v>208</v>
      </c>
      <c r="E39" s="46" t="s">
        <v>205</v>
      </c>
      <c r="F39" s="46" t="s">
        <v>215</v>
      </c>
      <c r="G39" s="46" t="s">
        <v>221</v>
      </c>
      <c r="H39" s="46" t="s">
        <v>223</v>
      </c>
      <c r="I39" s="45">
        <v>90001</v>
      </c>
      <c r="J39" s="45" t="s">
        <v>261</v>
      </c>
      <c r="K39" s="45" t="s">
        <v>262</v>
      </c>
      <c r="L39" s="101"/>
    </row>
    <row r="40" spans="1:12" s="49" customFormat="1" x14ac:dyDescent="0.2">
      <c r="A40" s="45">
        <v>35</v>
      </c>
      <c r="B40" s="46" t="s">
        <v>221</v>
      </c>
      <c r="C40" s="46" t="s">
        <v>209</v>
      </c>
      <c r="D40" s="46" t="s">
        <v>210</v>
      </c>
      <c r="E40" s="46" t="s">
        <v>218</v>
      </c>
      <c r="F40" s="46" t="s">
        <v>216</v>
      </c>
      <c r="G40" s="46" t="s">
        <v>221</v>
      </c>
      <c r="H40" s="46" t="s">
        <v>263</v>
      </c>
      <c r="I40" s="45">
        <v>90001</v>
      </c>
      <c r="J40" s="45" t="s">
        <v>261</v>
      </c>
      <c r="K40" s="45" t="s">
        <v>262</v>
      </c>
      <c r="L40" s="101"/>
    </row>
    <row r="41" spans="1:12" s="49" customFormat="1" x14ac:dyDescent="0.2">
      <c r="A41" s="45">
        <v>36</v>
      </c>
      <c r="B41" s="46" t="s">
        <v>221</v>
      </c>
      <c r="C41" s="46" t="s">
        <v>211</v>
      </c>
      <c r="D41" s="46" t="s">
        <v>212</v>
      </c>
      <c r="E41" s="46" t="s">
        <v>219</v>
      </c>
      <c r="F41" s="46" t="s">
        <v>217</v>
      </c>
      <c r="G41" s="46" t="s">
        <v>221</v>
      </c>
      <c r="H41" s="46" t="s">
        <v>264</v>
      </c>
      <c r="I41" s="45">
        <v>90001</v>
      </c>
      <c r="J41" s="45" t="s">
        <v>261</v>
      </c>
      <c r="K41" s="45" t="s">
        <v>262</v>
      </c>
      <c r="L41" s="101"/>
    </row>
    <row r="42" spans="1:12" s="49" customFormat="1" x14ac:dyDescent="0.2">
      <c r="A42" s="45">
        <v>37</v>
      </c>
      <c r="B42" s="46" t="s">
        <v>221</v>
      </c>
      <c r="C42" s="46" t="s">
        <v>213</v>
      </c>
      <c r="D42" s="46" t="s">
        <v>214</v>
      </c>
      <c r="E42" s="46" t="s">
        <v>220</v>
      </c>
      <c r="F42" s="46" t="s">
        <v>231</v>
      </c>
      <c r="G42" s="46" t="s">
        <v>221</v>
      </c>
      <c r="H42" s="46" t="s">
        <v>265</v>
      </c>
      <c r="I42" s="45">
        <v>90001</v>
      </c>
      <c r="J42" s="45" t="s">
        <v>261</v>
      </c>
      <c r="K42" s="45" t="s">
        <v>262</v>
      </c>
      <c r="L42" s="101"/>
    </row>
    <row r="43" spans="1:12" s="49" customFormat="1" x14ac:dyDescent="0.2">
      <c r="A43" s="47">
        <v>38</v>
      </c>
      <c r="B43" s="46" t="s">
        <v>221</v>
      </c>
      <c r="C43" s="46" t="s">
        <v>232</v>
      </c>
      <c r="D43" s="46" t="s">
        <v>233</v>
      </c>
      <c r="E43" s="46" t="s">
        <v>234</v>
      </c>
      <c r="F43" s="46" t="s">
        <v>235</v>
      </c>
      <c r="G43" s="46" t="s">
        <v>221</v>
      </c>
      <c r="H43" s="46" t="s">
        <v>229</v>
      </c>
      <c r="I43" s="45">
        <v>90001</v>
      </c>
      <c r="J43" s="45" t="s">
        <v>261</v>
      </c>
      <c r="K43" s="45" t="s">
        <v>262</v>
      </c>
      <c r="L43" s="101"/>
    </row>
    <row r="44" spans="1:12" s="49" customFormat="1" x14ac:dyDescent="0.2">
      <c r="A44" s="45">
        <v>39</v>
      </c>
      <c r="B44" s="46" t="s">
        <v>221</v>
      </c>
      <c r="C44" s="46" t="s">
        <v>236</v>
      </c>
      <c r="D44" s="46" t="s">
        <v>237</v>
      </c>
      <c r="E44" s="46" t="s">
        <v>238</v>
      </c>
      <c r="F44" s="46" t="s">
        <v>239</v>
      </c>
      <c r="G44" s="46" t="s">
        <v>221</v>
      </c>
      <c r="H44" s="46" t="s">
        <v>230</v>
      </c>
      <c r="I44" s="45">
        <v>90001</v>
      </c>
      <c r="J44" s="45" t="s">
        <v>261</v>
      </c>
      <c r="K44" s="45" t="s">
        <v>262</v>
      </c>
      <c r="L44" s="101"/>
    </row>
    <row r="45" spans="1:12" s="49" customFormat="1" x14ac:dyDescent="0.2">
      <c r="A45" s="45">
        <v>40</v>
      </c>
      <c r="B45" s="46" t="s">
        <v>266</v>
      </c>
      <c r="C45" s="46" t="s">
        <v>267</v>
      </c>
      <c r="D45" s="46" t="s">
        <v>268</v>
      </c>
      <c r="E45" s="46" t="s">
        <v>269</v>
      </c>
      <c r="F45" s="46" t="s">
        <v>270</v>
      </c>
      <c r="G45" s="46" t="s">
        <v>221</v>
      </c>
      <c r="H45" s="46" t="s">
        <v>261</v>
      </c>
      <c r="I45" s="45">
        <v>90001</v>
      </c>
      <c r="J45" s="45" t="s">
        <v>261</v>
      </c>
      <c r="K45" s="45" t="s">
        <v>262</v>
      </c>
      <c r="L45" s="101"/>
    </row>
    <row r="46" spans="1:12" s="49" customFormat="1" x14ac:dyDescent="0.2">
      <c r="A46" s="45">
        <v>41</v>
      </c>
      <c r="B46" s="46" t="s">
        <v>266</v>
      </c>
      <c r="C46" s="46" t="s">
        <v>271</v>
      </c>
      <c r="D46" s="46" t="s">
        <v>272</v>
      </c>
      <c r="E46" s="46" t="s">
        <v>273</v>
      </c>
      <c r="F46" s="46" t="s">
        <v>274</v>
      </c>
      <c r="G46" s="46" t="s">
        <v>266</v>
      </c>
      <c r="H46" s="46" t="s">
        <v>223</v>
      </c>
      <c r="I46" s="45">
        <v>90001</v>
      </c>
      <c r="J46" s="45" t="s">
        <v>261</v>
      </c>
      <c r="K46" s="45" t="s">
        <v>262</v>
      </c>
      <c r="L46" s="101"/>
    </row>
    <row r="47" spans="1:12" s="49" customFormat="1" x14ac:dyDescent="0.2">
      <c r="A47" s="45">
        <v>42</v>
      </c>
      <c r="B47" s="46" t="s">
        <v>266</v>
      </c>
      <c r="C47" s="46" t="s">
        <v>275</v>
      </c>
      <c r="D47" s="46" t="s">
        <v>276</v>
      </c>
      <c r="E47" s="46" t="s">
        <v>277</v>
      </c>
      <c r="F47" s="46" t="s">
        <v>278</v>
      </c>
      <c r="G47" s="46" t="s">
        <v>266</v>
      </c>
      <c r="H47" s="46" t="s">
        <v>263</v>
      </c>
      <c r="I47" s="45">
        <v>90001</v>
      </c>
      <c r="J47" s="45" t="s">
        <v>261</v>
      </c>
      <c r="K47" s="45" t="s">
        <v>262</v>
      </c>
      <c r="L47" s="101"/>
    </row>
    <row r="48" spans="1:12" s="49" customFormat="1" x14ac:dyDescent="0.2">
      <c r="A48" s="45">
        <v>43</v>
      </c>
      <c r="B48" s="46" t="s">
        <v>266</v>
      </c>
      <c r="C48" s="46" t="s">
        <v>279</v>
      </c>
      <c r="D48" s="46" t="s">
        <v>280</v>
      </c>
      <c r="E48" s="46" t="s">
        <v>281</v>
      </c>
      <c r="F48" s="46" t="s">
        <v>282</v>
      </c>
      <c r="G48" s="46" t="s">
        <v>266</v>
      </c>
      <c r="H48" s="46" t="s">
        <v>264</v>
      </c>
      <c r="I48" s="45">
        <v>90001</v>
      </c>
      <c r="J48" s="45" t="s">
        <v>261</v>
      </c>
      <c r="K48" s="45" t="s">
        <v>262</v>
      </c>
      <c r="L48" s="101"/>
    </row>
    <row r="49" spans="1:12" s="49" customFormat="1" x14ac:dyDescent="0.2">
      <c r="A49" s="47">
        <v>44</v>
      </c>
      <c r="B49" s="46" t="s">
        <v>266</v>
      </c>
      <c r="C49" s="46" t="s">
        <v>283</v>
      </c>
      <c r="D49" s="46" t="s">
        <v>284</v>
      </c>
      <c r="E49" s="46" t="s">
        <v>285</v>
      </c>
      <c r="F49" s="46" t="s">
        <v>286</v>
      </c>
      <c r="G49" s="46" t="s">
        <v>266</v>
      </c>
      <c r="H49" s="46" t="s">
        <v>265</v>
      </c>
      <c r="I49" s="45">
        <v>90001</v>
      </c>
      <c r="J49" s="45" t="s">
        <v>261</v>
      </c>
      <c r="K49" s="45" t="s">
        <v>262</v>
      </c>
      <c r="L49" s="101"/>
    </row>
    <row r="50" spans="1:12" s="49" customFormat="1" x14ac:dyDescent="0.2">
      <c r="A50" s="45">
        <v>45</v>
      </c>
      <c r="B50" s="46" t="s">
        <v>266</v>
      </c>
      <c r="C50" s="46" t="s">
        <v>287</v>
      </c>
      <c r="D50" s="46" t="s">
        <v>288</v>
      </c>
      <c r="E50" s="46" t="s">
        <v>289</v>
      </c>
      <c r="F50" s="46" t="s">
        <v>290</v>
      </c>
      <c r="G50" s="46" t="s">
        <v>266</v>
      </c>
      <c r="H50" s="46" t="s">
        <v>229</v>
      </c>
      <c r="I50" s="47">
        <v>90001</v>
      </c>
      <c r="J50" s="47" t="s">
        <v>261</v>
      </c>
      <c r="K50" s="47" t="s">
        <v>262</v>
      </c>
      <c r="L50" s="101"/>
    </row>
    <row r="51" spans="1:12" s="49" customFormat="1" x14ac:dyDescent="0.2">
      <c r="A51" s="45">
        <v>46</v>
      </c>
      <c r="B51" s="46" t="s">
        <v>266</v>
      </c>
      <c r="C51" s="46" t="s">
        <v>291</v>
      </c>
      <c r="D51" s="46" t="s">
        <v>292</v>
      </c>
      <c r="E51" s="46" t="s">
        <v>293</v>
      </c>
      <c r="F51" s="46" t="s">
        <v>294</v>
      </c>
      <c r="G51" s="46" t="s">
        <v>266</v>
      </c>
      <c r="H51" s="46" t="s">
        <v>230</v>
      </c>
      <c r="I51" s="45">
        <v>90001</v>
      </c>
      <c r="J51" s="45" t="s">
        <v>261</v>
      </c>
      <c r="K51" s="45" t="s">
        <v>262</v>
      </c>
      <c r="L51" s="101"/>
    </row>
    <row r="52" spans="1:12" s="49" customFormat="1" x14ac:dyDescent="0.2">
      <c r="A52" s="45">
        <v>47</v>
      </c>
      <c r="B52" s="46" t="s">
        <v>266</v>
      </c>
      <c r="C52" s="46" t="s">
        <v>295</v>
      </c>
      <c r="D52" s="46" t="s">
        <v>296</v>
      </c>
      <c r="E52" s="46" t="s">
        <v>297</v>
      </c>
      <c r="F52" s="46" t="s">
        <v>298</v>
      </c>
      <c r="G52" s="46" t="s">
        <v>266</v>
      </c>
      <c r="H52" s="46" t="s">
        <v>299</v>
      </c>
      <c r="I52" s="45">
        <v>90001</v>
      </c>
      <c r="J52" s="45" t="s">
        <v>261</v>
      </c>
      <c r="K52" s="45" t="s">
        <v>262</v>
      </c>
      <c r="L52" s="101"/>
    </row>
    <row r="53" spans="1:12" s="49" customFormat="1" x14ac:dyDescent="0.2">
      <c r="A53" s="45">
        <v>48</v>
      </c>
      <c r="B53" s="46" t="s">
        <v>266</v>
      </c>
      <c r="C53" s="46" t="s">
        <v>300</v>
      </c>
      <c r="D53" s="46" t="s">
        <v>301</v>
      </c>
      <c r="E53" s="46" t="s">
        <v>302</v>
      </c>
      <c r="F53" s="46" t="s">
        <v>303</v>
      </c>
      <c r="G53" s="46" t="s">
        <v>266</v>
      </c>
      <c r="H53" s="46" t="s">
        <v>304</v>
      </c>
      <c r="I53" s="45">
        <v>90001</v>
      </c>
      <c r="J53" s="45" t="s">
        <v>261</v>
      </c>
      <c r="K53" s="45" t="s">
        <v>262</v>
      </c>
      <c r="L53" s="101"/>
    </row>
    <row r="54" spans="1:12" s="49" customFormat="1" ht="13.5" x14ac:dyDescent="0.2">
      <c r="A54" s="23">
        <v>49</v>
      </c>
      <c r="B54" s="11" t="s">
        <v>266</v>
      </c>
      <c r="C54" s="34" t="s">
        <v>305</v>
      </c>
      <c r="D54" s="34" t="s">
        <v>306</v>
      </c>
      <c r="E54" s="34" t="s">
        <v>307</v>
      </c>
      <c r="F54" s="34" t="s">
        <v>308</v>
      </c>
      <c r="G54" s="11" t="s">
        <v>266</v>
      </c>
      <c r="H54" s="23" t="s">
        <v>309</v>
      </c>
      <c r="I54" s="23">
        <v>90001</v>
      </c>
      <c r="J54" s="23" t="s">
        <v>261</v>
      </c>
      <c r="K54" s="23" t="s">
        <v>262</v>
      </c>
      <c r="L54" s="50"/>
    </row>
    <row r="55" spans="1:12" s="49" customFormat="1" ht="13.5" x14ac:dyDescent="0.2">
      <c r="A55" s="23">
        <v>50</v>
      </c>
      <c r="B55" s="11" t="s">
        <v>266</v>
      </c>
      <c r="C55" s="34" t="s">
        <v>310</v>
      </c>
      <c r="D55" s="34" t="s">
        <v>311</v>
      </c>
      <c r="E55" s="34" t="s">
        <v>312</v>
      </c>
      <c r="F55" s="34" t="s">
        <v>313</v>
      </c>
      <c r="G55" s="11" t="s">
        <v>266</v>
      </c>
      <c r="H55" s="23" t="s">
        <v>314</v>
      </c>
      <c r="I55" s="23">
        <v>90001</v>
      </c>
      <c r="J55" s="23" t="s">
        <v>261</v>
      </c>
      <c r="K55" s="23" t="s">
        <v>262</v>
      </c>
      <c r="L55" s="50"/>
    </row>
    <row r="56" spans="1:12" ht="13.5" x14ac:dyDescent="0.2">
      <c r="A56" s="23">
        <v>51</v>
      </c>
      <c r="B56" s="11" t="s">
        <v>266</v>
      </c>
      <c r="C56" s="34" t="s">
        <v>315</v>
      </c>
      <c r="D56" s="34" t="s">
        <v>316</v>
      </c>
      <c r="E56" s="34" t="s">
        <v>317</v>
      </c>
      <c r="F56" s="34" t="s">
        <v>318</v>
      </c>
      <c r="G56" s="11" t="s">
        <v>266</v>
      </c>
      <c r="H56" s="23" t="s">
        <v>319</v>
      </c>
      <c r="I56" s="23">
        <v>90001</v>
      </c>
      <c r="J56" s="23" t="s">
        <v>261</v>
      </c>
      <c r="K56" s="23" t="s">
        <v>262</v>
      </c>
      <c r="L56" s="50"/>
    </row>
    <row r="57" spans="1:12" ht="13.5" x14ac:dyDescent="0.2">
      <c r="A57" s="23">
        <v>52</v>
      </c>
      <c r="B57" s="11" t="s">
        <v>266</v>
      </c>
      <c r="C57" s="34" t="s">
        <v>320</v>
      </c>
      <c r="D57" s="34" t="s">
        <v>321</v>
      </c>
      <c r="E57" s="34" t="s">
        <v>322</v>
      </c>
      <c r="F57" s="34" t="s">
        <v>323</v>
      </c>
      <c r="G57" s="11" t="s">
        <v>266</v>
      </c>
      <c r="H57" s="23" t="s">
        <v>324</v>
      </c>
      <c r="I57" s="23">
        <v>90001</v>
      </c>
      <c r="J57" s="23" t="s">
        <v>261</v>
      </c>
      <c r="K57" s="23" t="s">
        <v>262</v>
      </c>
      <c r="L57" s="50"/>
    </row>
    <row r="58" spans="1:12" ht="13.5" x14ac:dyDescent="0.2">
      <c r="A58" s="23">
        <v>53</v>
      </c>
      <c r="B58" s="11" t="s">
        <v>266</v>
      </c>
      <c r="C58" s="34" t="s">
        <v>325</v>
      </c>
      <c r="D58" s="34" t="s">
        <v>326</v>
      </c>
      <c r="E58" s="34" t="s">
        <v>327</v>
      </c>
      <c r="F58" s="34" t="s">
        <v>328</v>
      </c>
      <c r="G58" s="11" t="s">
        <v>266</v>
      </c>
      <c r="H58" s="11" t="s">
        <v>329</v>
      </c>
      <c r="I58" s="23">
        <v>90001</v>
      </c>
      <c r="J58" s="23" t="s">
        <v>261</v>
      </c>
      <c r="K58" s="23" t="s">
        <v>262</v>
      </c>
      <c r="L58" s="50"/>
    </row>
    <row r="59" spans="1:12" ht="13.5" x14ac:dyDescent="0.2">
      <c r="A59" s="23">
        <v>54</v>
      </c>
      <c r="B59" s="11" t="s">
        <v>266</v>
      </c>
      <c r="C59" s="34" t="s">
        <v>330</v>
      </c>
      <c r="D59" s="34" t="s">
        <v>331</v>
      </c>
      <c r="E59" s="34" t="s">
        <v>332</v>
      </c>
      <c r="F59" s="34" t="s">
        <v>333</v>
      </c>
      <c r="G59" s="11" t="s">
        <v>266</v>
      </c>
      <c r="H59" s="11" t="s">
        <v>334</v>
      </c>
      <c r="I59" s="23">
        <v>90001</v>
      </c>
      <c r="J59" s="23" t="s">
        <v>261</v>
      </c>
      <c r="K59" s="23" t="s">
        <v>262</v>
      </c>
      <c r="L59" s="50"/>
    </row>
    <row r="60" spans="1:12" ht="13.5" x14ac:dyDescent="0.2">
      <c r="A60" s="23">
        <v>55</v>
      </c>
      <c r="B60" s="11" t="s">
        <v>266</v>
      </c>
      <c r="C60" s="34" t="s">
        <v>335</v>
      </c>
      <c r="D60" s="34" t="s">
        <v>336</v>
      </c>
      <c r="E60" s="34" t="s">
        <v>337</v>
      </c>
      <c r="F60" s="34" t="s">
        <v>338</v>
      </c>
      <c r="G60" s="11" t="s">
        <v>266</v>
      </c>
      <c r="H60" s="23" t="s">
        <v>339</v>
      </c>
      <c r="I60" s="23">
        <v>90001</v>
      </c>
      <c r="J60" s="23" t="s">
        <v>261</v>
      </c>
      <c r="K60" s="23" t="s">
        <v>262</v>
      </c>
      <c r="L60" s="50"/>
    </row>
    <row r="61" spans="1:12" ht="13.5" x14ac:dyDescent="0.2">
      <c r="A61" s="23">
        <v>56</v>
      </c>
      <c r="B61" s="11" t="s">
        <v>340</v>
      </c>
      <c r="C61" s="34" t="s">
        <v>341</v>
      </c>
      <c r="D61" s="34" t="s">
        <v>342</v>
      </c>
      <c r="E61" s="34" t="s">
        <v>343</v>
      </c>
      <c r="F61" s="34" t="s">
        <v>344</v>
      </c>
      <c r="G61" s="11" t="s">
        <v>266</v>
      </c>
      <c r="H61" s="23" t="s">
        <v>261</v>
      </c>
      <c r="I61" s="23">
        <v>90001</v>
      </c>
      <c r="J61" s="23" t="s">
        <v>261</v>
      </c>
      <c r="K61" s="23" t="s">
        <v>262</v>
      </c>
      <c r="L61" s="50"/>
    </row>
    <row r="62" spans="1:12" ht="13.5" x14ac:dyDescent="0.2">
      <c r="A62" s="23">
        <v>57</v>
      </c>
      <c r="B62" s="11" t="s">
        <v>340</v>
      </c>
      <c r="C62" s="34" t="s">
        <v>345</v>
      </c>
      <c r="D62" s="34" t="s">
        <v>346</v>
      </c>
      <c r="E62" s="34" t="s">
        <v>347</v>
      </c>
      <c r="F62" s="34" t="s">
        <v>348</v>
      </c>
      <c r="G62" s="11" t="s">
        <v>340</v>
      </c>
      <c r="H62" s="23" t="s">
        <v>223</v>
      </c>
      <c r="I62" s="23">
        <v>90001</v>
      </c>
      <c r="J62" s="23" t="s">
        <v>261</v>
      </c>
      <c r="K62" s="23" t="s">
        <v>262</v>
      </c>
      <c r="L62" s="50"/>
    </row>
    <row r="63" spans="1:12" ht="13.5" x14ac:dyDescent="0.2">
      <c r="A63" s="23">
        <v>58</v>
      </c>
      <c r="B63" s="11" t="s">
        <v>340</v>
      </c>
      <c r="C63" s="34" t="s">
        <v>349</v>
      </c>
      <c r="D63" s="34" t="s">
        <v>350</v>
      </c>
      <c r="E63" s="34" t="s">
        <v>351</v>
      </c>
      <c r="F63" s="34" t="s">
        <v>352</v>
      </c>
      <c r="G63" s="11" t="s">
        <v>340</v>
      </c>
      <c r="H63" s="23" t="s">
        <v>263</v>
      </c>
      <c r="I63" s="23">
        <v>90001</v>
      </c>
      <c r="J63" s="23" t="s">
        <v>261</v>
      </c>
      <c r="K63" s="23" t="s">
        <v>262</v>
      </c>
      <c r="L63" s="50"/>
    </row>
    <row r="64" spans="1:12" ht="13.5" x14ac:dyDescent="0.2">
      <c r="A64" s="23">
        <v>59</v>
      </c>
      <c r="B64" s="11" t="s">
        <v>340</v>
      </c>
      <c r="C64" s="34" t="s">
        <v>353</v>
      </c>
      <c r="D64" s="34" t="s">
        <v>354</v>
      </c>
      <c r="E64" s="34" t="s">
        <v>355</v>
      </c>
      <c r="F64" s="34" t="s">
        <v>356</v>
      </c>
      <c r="G64" s="11" t="s">
        <v>340</v>
      </c>
      <c r="H64" s="23" t="s">
        <v>264</v>
      </c>
      <c r="I64" s="23">
        <v>90001</v>
      </c>
      <c r="J64" s="23" t="s">
        <v>261</v>
      </c>
      <c r="K64" s="23" t="s">
        <v>262</v>
      </c>
      <c r="L64" s="50"/>
    </row>
    <row r="65" spans="1:12" ht="13.5" x14ac:dyDescent="0.2">
      <c r="A65" s="23">
        <v>60</v>
      </c>
      <c r="B65" s="11" t="s">
        <v>340</v>
      </c>
      <c r="C65" s="34" t="s">
        <v>357</v>
      </c>
      <c r="D65" s="34" t="s">
        <v>358</v>
      </c>
      <c r="E65" s="34" t="s">
        <v>359</v>
      </c>
      <c r="F65" s="34" t="s">
        <v>360</v>
      </c>
      <c r="G65" s="11" t="s">
        <v>340</v>
      </c>
      <c r="H65" s="23" t="s">
        <v>265</v>
      </c>
      <c r="I65" s="23">
        <v>90001</v>
      </c>
      <c r="J65" s="23" t="s">
        <v>261</v>
      </c>
      <c r="K65" s="23" t="s">
        <v>262</v>
      </c>
      <c r="L65" s="50"/>
    </row>
    <row r="66" spans="1:12" ht="13.5" x14ac:dyDescent="0.2">
      <c r="A66" s="23">
        <v>61</v>
      </c>
      <c r="B66" s="11" t="s">
        <v>340</v>
      </c>
      <c r="C66" s="34" t="s">
        <v>361</v>
      </c>
      <c r="D66" s="34" t="s">
        <v>362</v>
      </c>
      <c r="E66" s="34" t="s">
        <v>363</v>
      </c>
      <c r="F66" s="34" t="s">
        <v>364</v>
      </c>
      <c r="G66" s="11" t="s">
        <v>340</v>
      </c>
      <c r="H66" s="23" t="s">
        <v>229</v>
      </c>
      <c r="I66" s="23">
        <v>90001</v>
      </c>
      <c r="J66" s="23" t="s">
        <v>261</v>
      </c>
      <c r="K66" s="23" t="s">
        <v>262</v>
      </c>
      <c r="L66" s="50"/>
    </row>
    <row r="67" spans="1:12" ht="13.5" x14ac:dyDescent="0.2">
      <c r="A67" s="23">
        <v>62</v>
      </c>
      <c r="B67" s="11" t="s">
        <v>340</v>
      </c>
      <c r="C67" s="34" t="s">
        <v>365</v>
      </c>
      <c r="D67" s="34" t="s">
        <v>366</v>
      </c>
      <c r="E67" s="34" t="s">
        <v>367</v>
      </c>
      <c r="F67" s="34" t="s">
        <v>368</v>
      </c>
      <c r="G67" s="11" t="s">
        <v>340</v>
      </c>
      <c r="H67" s="23" t="s">
        <v>230</v>
      </c>
      <c r="I67" s="23">
        <v>90001</v>
      </c>
      <c r="J67" s="23" t="s">
        <v>261</v>
      </c>
      <c r="K67" s="23" t="s">
        <v>262</v>
      </c>
      <c r="L67" s="50"/>
    </row>
    <row r="68" spans="1:12" ht="13.5" x14ac:dyDescent="0.2">
      <c r="A68" s="23">
        <v>63</v>
      </c>
      <c r="B68" s="11" t="s">
        <v>340</v>
      </c>
      <c r="C68" s="34" t="s">
        <v>369</v>
      </c>
      <c r="D68" s="34" t="s">
        <v>370</v>
      </c>
      <c r="E68" s="34" t="s">
        <v>371</v>
      </c>
      <c r="F68" s="34" t="s">
        <v>372</v>
      </c>
      <c r="G68" s="11" t="s">
        <v>340</v>
      </c>
      <c r="H68" s="23" t="s">
        <v>299</v>
      </c>
      <c r="I68" s="23">
        <v>90001</v>
      </c>
      <c r="J68" s="23" t="s">
        <v>261</v>
      </c>
      <c r="K68" s="23" t="s">
        <v>262</v>
      </c>
      <c r="L68" s="50"/>
    </row>
    <row r="69" spans="1:12" ht="13.5" x14ac:dyDescent="0.2">
      <c r="A69" s="23">
        <v>64</v>
      </c>
      <c r="B69" s="11" t="s">
        <v>340</v>
      </c>
      <c r="C69" s="34" t="s">
        <v>373</v>
      </c>
      <c r="D69" s="34" t="s">
        <v>374</v>
      </c>
      <c r="E69" s="34" t="s">
        <v>375</v>
      </c>
      <c r="F69" s="34" t="s">
        <v>376</v>
      </c>
      <c r="G69" s="11" t="s">
        <v>340</v>
      </c>
      <c r="H69" s="23" t="s">
        <v>304</v>
      </c>
      <c r="I69" s="23">
        <v>90001</v>
      </c>
      <c r="J69" s="23" t="s">
        <v>261</v>
      </c>
      <c r="K69" s="23" t="s">
        <v>262</v>
      </c>
      <c r="L69" s="50"/>
    </row>
    <row r="70" spans="1:12" x14ac:dyDescent="0.2">
      <c r="A70" s="64">
        <v>65</v>
      </c>
      <c r="B70" s="64" t="s">
        <v>340</v>
      </c>
      <c r="C70" s="64" t="s">
        <v>377</v>
      </c>
      <c r="D70" s="64" t="s">
        <v>378</v>
      </c>
      <c r="E70" s="64" t="s">
        <v>379</v>
      </c>
      <c r="F70" s="64" t="s">
        <v>380</v>
      </c>
      <c r="G70" s="64" t="s">
        <v>340</v>
      </c>
      <c r="H70" s="64" t="s">
        <v>309</v>
      </c>
      <c r="I70" s="64">
        <v>90001</v>
      </c>
      <c r="J70" s="64" t="s">
        <v>261</v>
      </c>
      <c r="K70" s="64" t="s">
        <v>262</v>
      </c>
    </row>
    <row r="71" spans="1:12" x14ac:dyDescent="0.2">
      <c r="A71" s="64">
        <v>66</v>
      </c>
      <c r="B71" s="64" t="s">
        <v>340</v>
      </c>
      <c r="C71" s="64" t="s">
        <v>381</v>
      </c>
      <c r="D71" s="64" t="s">
        <v>382</v>
      </c>
      <c r="E71" s="64" t="s">
        <v>383</v>
      </c>
      <c r="F71" s="64" t="s">
        <v>384</v>
      </c>
      <c r="G71" s="64" t="s">
        <v>340</v>
      </c>
      <c r="H71" s="64" t="s">
        <v>314</v>
      </c>
      <c r="I71" s="64">
        <v>90001</v>
      </c>
      <c r="J71" s="64" t="s">
        <v>261</v>
      </c>
      <c r="K71" s="64" t="s">
        <v>262</v>
      </c>
    </row>
    <row r="72" spans="1:12" x14ac:dyDescent="0.2">
      <c r="A72" s="64">
        <v>67</v>
      </c>
      <c r="B72" s="64" t="s">
        <v>340</v>
      </c>
      <c r="C72" s="64" t="s">
        <v>385</v>
      </c>
      <c r="D72" s="64" t="s">
        <v>386</v>
      </c>
      <c r="E72" s="64" t="s">
        <v>387</v>
      </c>
      <c r="F72" s="64" t="s">
        <v>388</v>
      </c>
      <c r="G72" s="64" t="s">
        <v>340</v>
      </c>
      <c r="H72" s="64" t="s">
        <v>319</v>
      </c>
      <c r="I72" s="64">
        <v>90001</v>
      </c>
      <c r="J72" s="64" t="s">
        <v>261</v>
      </c>
      <c r="K72" s="64" t="s">
        <v>262</v>
      </c>
    </row>
  </sheetData>
  <mergeCells count="3">
    <mergeCell ref="L6:L21"/>
    <mergeCell ref="L22:L37"/>
    <mergeCell ref="L38:L53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68"/>
  <sheetViews>
    <sheetView topLeftCell="A4" zoomScaleNormal="100" workbookViewId="0">
      <pane ySplit="6" topLeftCell="A10" activePane="bottomLeft" state="frozen"/>
      <selection activeCell="A4" sqref="A4"/>
      <selection pane="bottomLeft" activeCell="C9" sqref="C9"/>
    </sheetView>
  </sheetViews>
  <sheetFormatPr defaultRowHeight="16.5" customHeight="1" x14ac:dyDescent="0.3"/>
  <cols>
    <col min="1" max="1" width="3.625" style="22" customWidth="1"/>
    <col min="2" max="7" width="10.625" style="22" customWidth="1"/>
    <col min="8" max="11" width="17.125" style="22" bestFit="1" customWidth="1"/>
    <col min="12" max="15" width="10.625" style="22" customWidth="1"/>
    <col min="16" max="16384" width="9" style="22"/>
  </cols>
  <sheetData>
    <row r="1" spans="1:13" x14ac:dyDescent="0.3">
      <c r="B1" s="36" t="s">
        <v>98</v>
      </c>
      <c r="C1" s="13"/>
      <c r="D1" s="13"/>
      <c r="E1" s="13"/>
      <c r="F1" s="13"/>
      <c r="G1" s="13"/>
      <c r="H1" s="13"/>
      <c r="I1" s="13"/>
    </row>
    <row r="2" spans="1:13" ht="16.5" customHeight="1" x14ac:dyDescent="0.3">
      <c r="B2" s="13"/>
      <c r="C2" s="13"/>
      <c r="D2" s="13"/>
      <c r="E2" s="13"/>
      <c r="F2" s="13"/>
      <c r="G2" s="13"/>
      <c r="H2" s="13"/>
      <c r="I2" s="13"/>
    </row>
    <row r="3" spans="1:13" ht="16.5" customHeight="1" x14ac:dyDescent="0.3">
      <c r="B3" s="38" t="s">
        <v>101</v>
      </c>
      <c r="C3" s="13"/>
      <c r="D3" s="13"/>
      <c r="E3" s="13"/>
      <c r="F3" s="13"/>
      <c r="G3" s="13"/>
      <c r="H3" s="13"/>
      <c r="I3" s="13"/>
    </row>
    <row r="4" spans="1:13" ht="16.5" customHeight="1" x14ac:dyDescent="0.3">
      <c r="A4" s="13"/>
      <c r="B4" s="24" t="s">
        <v>99</v>
      </c>
      <c r="C4" s="25" t="s">
        <v>100</v>
      </c>
      <c r="D4" s="25" t="s">
        <v>102</v>
      </c>
      <c r="K4" s="26"/>
      <c r="L4" s="26"/>
      <c r="M4" s="26"/>
    </row>
    <row r="5" spans="1:13" ht="16.5" customHeight="1" x14ac:dyDescent="0.3">
      <c r="A5" s="14"/>
      <c r="B5" s="27" t="s">
        <v>743</v>
      </c>
      <c r="C5" s="27" t="s">
        <v>693</v>
      </c>
      <c r="D5" s="27" t="s">
        <v>744</v>
      </c>
      <c r="F5" s="39" t="str">
        <f>$B$5&amp;"-"&amp;$C$5&amp;"-"&amp;$D$5&amp;" "</f>
        <v xml:space="preserve">2020-12-22 </v>
      </c>
      <c r="G5" s="38" t="s">
        <v>97</v>
      </c>
      <c r="K5" s="26"/>
      <c r="L5" s="26"/>
      <c r="M5" s="26"/>
    </row>
    <row r="6" spans="1:13" ht="16.5" customHeight="1" x14ac:dyDescent="0.3">
      <c r="B6" s="26"/>
      <c r="K6" s="26"/>
      <c r="L6" s="26"/>
      <c r="M6" s="26"/>
    </row>
    <row r="7" spans="1:13" ht="16.5" customHeight="1" x14ac:dyDescent="0.3">
      <c r="B7" s="38" t="s">
        <v>94</v>
      </c>
      <c r="K7" s="26"/>
      <c r="L7" s="26"/>
      <c r="M7" s="26"/>
    </row>
    <row r="8" spans="1:13" ht="16.5" customHeight="1" x14ac:dyDescent="0.3">
      <c r="B8" s="25" t="s">
        <v>93</v>
      </c>
      <c r="C8" s="25" t="s">
        <v>90</v>
      </c>
      <c r="D8" s="28" t="s">
        <v>92</v>
      </c>
      <c r="E8" s="25" t="s">
        <v>91</v>
      </c>
      <c r="F8" s="25" t="s">
        <v>92</v>
      </c>
      <c r="K8" s="26"/>
      <c r="L8" s="26"/>
      <c r="M8" s="26"/>
    </row>
    <row r="9" spans="1:13" ht="16.5" customHeight="1" x14ac:dyDescent="0.3">
      <c r="B9" s="29">
        <v>4.1666666666666664E-2</v>
      </c>
      <c r="C9" s="30">
        <v>1380</v>
      </c>
      <c r="D9" s="30">
        <v>10</v>
      </c>
      <c r="E9" s="30">
        <v>35</v>
      </c>
      <c r="F9" s="30">
        <v>10</v>
      </c>
      <c r="H9" s="37" t="s">
        <v>95</v>
      </c>
      <c r="L9" s="26"/>
    </row>
    <row r="10" spans="1:13" ht="16.5" customHeight="1" x14ac:dyDescent="0.3">
      <c r="H10" s="102" t="s">
        <v>0</v>
      </c>
      <c r="I10" s="103"/>
      <c r="J10" s="104" t="s">
        <v>3</v>
      </c>
      <c r="K10" s="104"/>
      <c r="L10" s="26"/>
    </row>
    <row r="11" spans="1:13" ht="16.5" customHeight="1" x14ac:dyDescent="0.3">
      <c r="B11" s="38" t="s">
        <v>96</v>
      </c>
      <c r="H11" s="31" t="s">
        <v>5</v>
      </c>
      <c r="I11" s="31" t="s">
        <v>6</v>
      </c>
      <c r="J11" s="32" t="s">
        <v>1</v>
      </c>
      <c r="K11" s="32" t="s">
        <v>2</v>
      </c>
      <c r="L11" s="26"/>
      <c r="M11" s="26"/>
    </row>
    <row r="12" spans="1:13" ht="16.5" customHeight="1" x14ac:dyDescent="0.3">
      <c r="B12" s="33">
        <f>B9</f>
        <v>4.1666666666666664E-2</v>
      </c>
      <c r="C12" s="33">
        <f t="shared" ref="C12:E31" si="0">B12+TIME(0,C$9,0)</f>
        <v>1</v>
      </c>
      <c r="D12" s="33">
        <f t="shared" si="0"/>
        <v>1.0069444444444444</v>
      </c>
      <c r="E12" s="33">
        <f t="shared" si="0"/>
        <v>1.03125</v>
      </c>
      <c r="H12" s="26" t="str">
        <f>$F$5&amp;TEXT(B12,"hh:mm:ss")</f>
        <v>2020-12-22 01:00:00</v>
      </c>
      <c r="I12" s="26" t="str">
        <f>$F$5&amp;TEXT(C12,"hh:mm:ss")</f>
        <v>2020-12-22 00:00:00</v>
      </c>
      <c r="J12" s="26" t="str">
        <f>$F$5&amp;TEXT(D12,"hh:mm:ss")</f>
        <v>2020-12-22 00:10:00</v>
      </c>
      <c r="K12" s="26" t="str">
        <f>$F$5&amp;TEXT(E12,"hh:mm:ss")</f>
        <v>2020-12-22 00:45:00</v>
      </c>
      <c r="L12" s="26"/>
      <c r="M12" s="26"/>
    </row>
    <row r="13" spans="1:13" ht="16.5" customHeight="1" x14ac:dyDescent="0.3">
      <c r="B13" s="33">
        <f t="shared" ref="B13:B59" si="1">E12+TIME(0,F$9,0)</f>
        <v>1.0381944444444444</v>
      </c>
      <c r="C13" s="33">
        <f t="shared" si="0"/>
        <v>1.9965277777777777</v>
      </c>
      <c r="D13" s="33">
        <f t="shared" si="0"/>
        <v>2.0034722222222223</v>
      </c>
      <c r="E13" s="33">
        <f t="shared" si="0"/>
        <v>2.0277777777777777</v>
      </c>
      <c r="H13" s="26" t="str">
        <f t="shared" ref="H13:H59" si="2">$F$5&amp;TEXT(B13,"hh:mm:ss")</f>
        <v>2020-12-22 00:55:00</v>
      </c>
      <c r="I13" s="26" t="str">
        <f t="shared" ref="I13:I59" si="3">$F$5&amp;TEXT(C13,"hh:mm:ss")</f>
        <v>2020-12-22 23:55:00</v>
      </c>
      <c r="J13" s="26" t="str">
        <f t="shared" ref="J13:J59" si="4">$F$5&amp;TEXT(D13,"hh:mm:ss")</f>
        <v>2020-12-22 00:05:00</v>
      </c>
      <c r="K13" s="26" t="str">
        <f t="shared" ref="K13:K59" si="5">$F$5&amp;TEXT(E13,"hh:mm:ss")</f>
        <v>2020-12-22 00:40:00</v>
      </c>
      <c r="L13" s="26"/>
      <c r="M13" s="26"/>
    </row>
    <row r="14" spans="1:13" ht="16.5" customHeight="1" x14ac:dyDescent="0.3">
      <c r="B14" s="33">
        <f t="shared" si="1"/>
        <v>2.0347222222222223</v>
      </c>
      <c r="C14" s="33">
        <f t="shared" si="0"/>
        <v>2.9930555555555558</v>
      </c>
      <c r="D14" s="33">
        <f t="shared" si="0"/>
        <v>3.0000000000000004</v>
      </c>
      <c r="E14" s="33">
        <f t="shared" si="0"/>
        <v>3.0243055555555558</v>
      </c>
      <c r="H14" s="26" t="str">
        <f t="shared" si="2"/>
        <v>2020-12-22 00:50:00</v>
      </c>
      <c r="I14" s="26" t="str">
        <f t="shared" si="3"/>
        <v>2020-12-22 23:50:00</v>
      </c>
      <c r="J14" s="26" t="str">
        <f t="shared" si="4"/>
        <v>2020-12-22 00:00:00</v>
      </c>
      <c r="K14" s="26" t="str">
        <f t="shared" si="5"/>
        <v>2020-12-22 00:35:00</v>
      </c>
      <c r="L14" s="26"/>
      <c r="M14" s="26"/>
    </row>
    <row r="15" spans="1:13" ht="16.5" customHeight="1" x14ac:dyDescent="0.3">
      <c r="B15" s="33">
        <f t="shared" si="1"/>
        <v>3.0312500000000004</v>
      </c>
      <c r="C15" s="33">
        <f t="shared" si="0"/>
        <v>3.9895833333333339</v>
      </c>
      <c r="D15" s="33">
        <f t="shared" si="0"/>
        <v>3.9965277777777786</v>
      </c>
      <c r="E15" s="33">
        <f t="shared" si="0"/>
        <v>4.0208333333333339</v>
      </c>
      <c r="H15" s="26" t="str">
        <f t="shared" si="2"/>
        <v>2020-12-22 00:45:00</v>
      </c>
      <c r="I15" s="26" t="str">
        <f t="shared" si="3"/>
        <v>2020-12-22 23:45:00</v>
      </c>
      <c r="J15" s="26" t="str">
        <f t="shared" si="4"/>
        <v>2020-12-22 23:55:00</v>
      </c>
      <c r="K15" s="26" t="str">
        <f t="shared" si="5"/>
        <v>2020-12-22 00:30:00</v>
      </c>
      <c r="L15" s="26"/>
      <c r="M15" s="26"/>
    </row>
    <row r="16" spans="1:13" ht="16.5" customHeight="1" x14ac:dyDescent="0.3">
      <c r="B16" s="33">
        <f t="shared" si="1"/>
        <v>4.0277777777777786</v>
      </c>
      <c r="C16" s="33">
        <f t="shared" si="0"/>
        <v>4.9861111111111116</v>
      </c>
      <c r="D16" s="33">
        <f t="shared" si="0"/>
        <v>4.9930555555555562</v>
      </c>
      <c r="E16" s="33">
        <f t="shared" si="0"/>
        <v>5.0173611111111116</v>
      </c>
      <c r="H16" s="26" t="str">
        <f t="shared" si="2"/>
        <v>2020-12-22 00:40:00</v>
      </c>
      <c r="I16" s="26" t="str">
        <f t="shared" si="3"/>
        <v>2020-12-22 23:40:00</v>
      </c>
      <c r="J16" s="26" t="str">
        <f t="shared" si="4"/>
        <v>2020-12-22 23:50:00</v>
      </c>
      <c r="K16" s="26" t="str">
        <f t="shared" si="5"/>
        <v>2020-12-22 00:25:00</v>
      </c>
      <c r="L16" s="26"/>
      <c r="M16" s="26"/>
    </row>
    <row r="17" spans="2:13" ht="16.5" customHeight="1" x14ac:dyDescent="0.3">
      <c r="B17" s="33">
        <f t="shared" si="1"/>
        <v>5.0243055555555562</v>
      </c>
      <c r="C17" s="33">
        <f t="shared" si="0"/>
        <v>5.9826388888888893</v>
      </c>
      <c r="D17" s="33">
        <f t="shared" si="0"/>
        <v>5.9895833333333339</v>
      </c>
      <c r="E17" s="33">
        <f t="shared" si="0"/>
        <v>6.0138888888888893</v>
      </c>
      <c r="H17" s="26" t="str">
        <f t="shared" si="2"/>
        <v>2020-12-22 00:35:00</v>
      </c>
      <c r="I17" s="26" t="str">
        <f t="shared" si="3"/>
        <v>2020-12-22 23:35:00</v>
      </c>
      <c r="J17" s="26" t="str">
        <f t="shared" si="4"/>
        <v>2020-12-22 23:45:00</v>
      </c>
      <c r="K17" s="26" t="str">
        <f t="shared" si="5"/>
        <v>2020-12-22 00:20:00</v>
      </c>
      <c r="L17" s="26"/>
      <c r="M17" s="26"/>
    </row>
    <row r="18" spans="2:13" ht="16.5" customHeight="1" x14ac:dyDescent="0.3">
      <c r="B18" s="33">
        <f t="shared" si="1"/>
        <v>6.0208333333333339</v>
      </c>
      <c r="C18" s="33">
        <f t="shared" si="0"/>
        <v>6.979166666666667</v>
      </c>
      <c r="D18" s="33">
        <f t="shared" si="0"/>
        <v>6.9861111111111116</v>
      </c>
      <c r="E18" s="33">
        <f t="shared" si="0"/>
        <v>7.010416666666667</v>
      </c>
      <c r="H18" s="26" t="str">
        <f t="shared" si="2"/>
        <v>2020-12-22 00:30:00</v>
      </c>
      <c r="I18" s="26" t="str">
        <f t="shared" si="3"/>
        <v>2020-12-22 23:30:00</v>
      </c>
      <c r="J18" s="26" t="str">
        <f t="shared" si="4"/>
        <v>2020-12-22 23:40:00</v>
      </c>
      <c r="K18" s="26" t="str">
        <f t="shared" si="5"/>
        <v>2020-12-22 00:15:00</v>
      </c>
      <c r="L18" s="26"/>
      <c r="M18" s="26"/>
    </row>
    <row r="19" spans="2:13" ht="16.5" customHeight="1" x14ac:dyDescent="0.3">
      <c r="B19" s="33">
        <f t="shared" si="1"/>
        <v>7.0173611111111116</v>
      </c>
      <c r="C19" s="33">
        <f t="shared" si="0"/>
        <v>7.9756944444444446</v>
      </c>
      <c r="D19" s="33">
        <f t="shared" si="0"/>
        <v>7.9826388888888893</v>
      </c>
      <c r="E19" s="33">
        <f t="shared" si="0"/>
        <v>8.0069444444444446</v>
      </c>
      <c r="H19" s="26" t="str">
        <f t="shared" si="2"/>
        <v>2020-12-22 00:25:00</v>
      </c>
      <c r="I19" s="26" t="str">
        <f t="shared" si="3"/>
        <v>2020-12-22 23:25:00</v>
      </c>
      <c r="J19" s="26" t="str">
        <f t="shared" si="4"/>
        <v>2020-12-22 23:35:00</v>
      </c>
      <c r="K19" s="26" t="str">
        <f t="shared" si="5"/>
        <v>2020-12-22 00:10:00</v>
      </c>
      <c r="L19" s="26"/>
      <c r="M19" s="26"/>
    </row>
    <row r="20" spans="2:13" ht="16.5" customHeight="1" x14ac:dyDescent="0.3">
      <c r="B20" s="33">
        <f t="shared" si="1"/>
        <v>8.0138888888888893</v>
      </c>
      <c r="C20" s="33">
        <f t="shared" si="0"/>
        <v>8.9722222222222232</v>
      </c>
      <c r="D20" s="33">
        <f t="shared" si="0"/>
        <v>8.9791666666666679</v>
      </c>
      <c r="E20" s="33">
        <f t="shared" si="0"/>
        <v>9.0034722222222232</v>
      </c>
      <c r="H20" s="26" t="str">
        <f t="shared" si="2"/>
        <v>2020-12-22 00:20:00</v>
      </c>
      <c r="I20" s="26" t="str">
        <f t="shared" si="3"/>
        <v>2020-12-22 23:20:00</v>
      </c>
      <c r="J20" s="26" t="str">
        <f t="shared" si="4"/>
        <v>2020-12-22 23:30:00</v>
      </c>
      <c r="K20" s="26" t="str">
        <f t="shared" si="5"/>
        <v>2020-12-22 00:05:00</v>
      </c>
      <c r="L20" s="26"/>
      <c r="M20" s="26"/>
    </row>
    <row r="21" spans="2:13" ht="16.5" customHeight="1" x14ac:dyDescent="0.3">
      <c r="B21" s="33">
        <f t="shared" si="1"/>
        <v>9.0104166666666679</v>
      </c>
      <c r="C21" s="33">
        <f t="shared" si="0"/>
        <v>9.9687500000000018</v>
      </c>
      <c r="D21" s="33">
        <f t="shared" si="0"/>
        <v>9.9756944444444464</v>
      </c>
      <c r="E21" s="33">
        <f t="shared" si="0"/>
        <v>10.000000000000002</v>
      </c>
      <c r="H21" s="26" t="str">
        <f t="shared" si="2"/>
        <v>2020-12-22 00:15:00</v>
      </c>
      <c r="I21" s="26" t="str">
        <f t="shared" si="3"/>
        <v>2020-12-22 23:15:00</v>
      </c>
      <c r="J21" s="26" t="str">
        <f t="shared" si="4"/>
        <v>2020-12-22 23:25:00</v>
      </c>
      <c r="K21" s="26" t="str">
        <f t="shared" si="5"/>
        <v>2020-12-22 00:00:00</v>
      </c>
      <c r="L21" s="26"/>
      <c r="M21" s="26"/>
    </row>
    <row r="22" spans="2:13" ht="16.5" customHeight="1" x14ac:dyDescent="0.3">
      <c r="B22" s="33">
        <f t="shared" si="1"/>
        <v>10.006944444444446</v>
      </c>
      <c r="C22" s="33">
        <f t="shared" si="0"/>
        <v>10.96527777777778</v>
      </c>
      <c r="D22" s="33">
        <f t="shared" si="0"/>
        <v>10.972222222222225</v>
      </c>
      <c r="E22" s="33">
        <f t="shared" si="0"/>
        <v>10.99652777777778</v>
      </c>
      <c r="H22" s="26" t="str">
        <f t="shared" si="2"/>
        <v>2020-12-22 00:10:00</v>
      </c>
      <c r="I22" s="26" t="str">
        <f t="shared" si="3"/>
        <v>2020-12-22 23:10:00</v>
      </c>
      <c r="J22" s="26" t="str">
        <f t="shared" si="4"/>
        <v>2020-12-22 23:20:00</v>
      </c>
      <c r="K22" s="26" t="str">
        <f t="shared" si="5"/>
        <v>2020-12-22 23:55:00</v>
      </c>
      <c r="L22" s="26"/>
      <c r="M22" s="26"/>
    </row>
    <row r="23" spans="2:13" ht="16.5" customHeight="1" x14ac:dyDescent="0.3">
      <c r="B23" s="33">
        <f t="shared" si="1"/>
        <v>11.003472222222225</v>
      </c>
      <c r="C23" s="33">
        <f t="shared" si="0"/>
        <v>11.961805555555559</v>
      </c>
      <c r="D23" s="33">
        <f t="shared" si="0"/>
        <v>11.968750000000004</v>
      </c>
      <c r="E23" s="33">
        <f t="shared" si="0"/>
        <v>11.993055555555559</v>
      </c>
      <c r="H23" s="26" t="str">
        <f t="shared" si="2"/>
        <v>2020-12-22 00:05:00</v>
      </c>
      <c r="I23" s="26" t="str">
        <f t="shared" si="3"/>
        <v>2020-12-22 23:05:00</v>
      </c>
      <c r="J23" s="26" t="str">
        <f t="shared" si="4"/>
        <v>2020-12-22 23:15:00</v>
      </c>
      <c r="K23" s="26" t="str">
        <f t="shared" si="5"/>
        <v>2020-12-22 23:50:00</v>
      </c>
      <c r="L23" s="26"/>
      <c r="M23" s="26"/>
    </row>
    <row r="24" spans="2:13" ht="16.5" customHeight="1" x14ac:dyDescent="0.3">
      <c r="B24" s="33">
        <f t="shared" si="1"/>
        <v>12.000000000000004</v>
      </c>
      <c r="C24" s="33">
        <f t="shared" si="0"/>
        <v>12.958333333333337</v>
      </c>
      <c r="D24" s="33">
        <f t="shared" si="0"/>
        <v>12.965277777777782</v>
      </c>
      <c r="E24" s="33">
        <f t="shared" si="0"/>
        <v>12.989583333333337</v>
      </c>
      <c r="G24" s="34"/>
      <c r="H24" s="26" t="str">
        <f t="shared" si="2"/>
        <v>2020-12-22 00:00:00</v>
      </c>
      <c r="I24" s="26" t="str">
        <f t="shared" si="3"/>
        <v>2020-12-22 23:00:00</v>
      </c>
      <c r="J24" s="26" t="str">
        <f t="shared" si="4"/>
        <v>2020-12-22 23:10:00</v>
      </c>
      <c r="K24" s="26" t="str">
        <f t="shared" si="5"/>
        <v>2020-12-22 23:45:00</v>
      </c>
      <c r="L24" s="26"/>
      <c r="M24" s="26"/>
    </row>
    <row r="25" spans="2:13" ht="16.5" customHeight="1" x14ac:dyDescent="0.3">
      <c r="B25" s="33">
        <f t="shared" si="1"/>
        <v>12.996527777777782</v>
      </c>
      <c r="C25" s="33">
        <f t="shared" si="0"/>
        <v>13.954861111111116</v>
      </c>
      <c r="D25" s="33">
        <f t="shared" si="0"/>
        <v>13.961805555555561</v>
      </c>
      <c r="E25" s="33">
        <f t="shared" si="0"/>
        <v>13.986111111111116</v>
      </c>
      <c r="G25" s="34"/>
      <c r="H25" s="26" t="str">
        <f t="shared" si="2"/>
        <v>2020-12-22 23:55:00</v>
      </c>
      <c r="I25" s="26" t="str">
        <f t="shared" si="3"/>
        <v>2020-12-22 22:55:00</v>
      </c>
      <c r="J25" s="26" t="str">
        <f t="shared" si="4"/>
        <v>2020-12-22 23:05:00</v>
      </c>
      <c r="K25" s="26" t="str">
        <f t="shared" si="5"/>
        <v>2020-12-22 23:40:00</v>
      </c>
      <c r="L25" s="26"/>
      <c r="M25" s="26"/>
    </row>
    <row r="26" spans="2:13" ht="16.5" customHeight="1" x14ac:dyDescent="0.3">
      <c r="B26" s="33">
        <f t="shared" si="1"/>
        <v>13.993055555555561</v>
      </c>
      <c r="C26" s="33">
        <f t="shared" si="0"/>
        <v>14.951388888888895</v>
      </c>
      <c r="D26" s="33">
        <f t="shared" si="0"/>
        <v>14.958333333333339</v>
      </c>
      <c r="E26" s="33">
        <f t="shared" si="0"/>
        <v>14.982638888888895</v>
      </c>
      <c r="G26" s="34"/>
      <c r="H26" s="26" t="str">
        <f t="shared" si="2"/>
        <v>2020-12-22 23:50:00</v>
      </c>
      <c r="I26" s="26" t="str">
        <f t="shared" si="3"/>
        <v>2020-12-22 22:50:00</v>
      </c>
      <c r="J26" s="26" t="str">
        <f t="shared" si="4"/>
        <v>2020-12-22 23:00:00</v>
      </c>
      <c r="K26" s="26" t="str">
        <f t="shared" si="5"/>
        <v>2020-12-22 23:35:00</v>
      </c>
      <c r="L26" s="26"/>
      <c r="M26" s="26"/>
    </row>
    <row r="27" spans="2:13" ht="16.5" customHeight="1" x14ac:dyDescent="0.3">
      <c r="B27" s="33">
        <f t="shared" si="1"/>
        <v>14.989583333333339</v>
      </c>
      <c r="C27" s="33">
        <f t="shared" si="0"/>
        <v>15.947916666666673</v>
      </c>
      <c r="D27" s="33">
        <f t="shared" si="0"/>
        <v>15.954861111111118</v>
      </c>
      <c r="E27" s="33">
        <f t="shared" si="0"/>
        <v>15.979166666666673</v>
      </c>
      <c r="G27" s="34"/>
      <c r="H27" s="26" t="str">
        <f t="shared" si="2"/>
        <v>2020-12-22 23:45:00</v>
      </c>
      <c r="I27" s="26" t="str">
        <f t="shared" si="3"/>
        <v>2020-12-22 22:45:00</v>
      </c>
      <c r="J27" s="26" t="str">
        <f t="shared" si="4"/>
        <v>2020-12-22 22:55:00</v>
      </c>
      <c r="K27" s="26" t="str">
        <f t="shared" si="5"/>
        <v>2020-12-22 23:30:00</v>
      </c>
      <c r="L27" s="26"/>
      <c r="M27" s="26"/>
    </row>
    <row r="28" spans="2:13" s="34" customFormat="1" ht="16.5" customHeight="1" x14ac:dyDescent="0.3">
      <c r="B28" s="33">
        <f t="shared" si="1"/>
        <v>15.986111111111118</v>
      </c>
      <c r="C28" s="33">
        <f t="shared" si="0"/>
        <v>16.94444444444445</v>
      </c>
      <c r="D28" s="33">
        <f t="shared" si="0"/>
        <v>16.951388888888893</v>
      </c>
      <c r="E28" s="33">
        <f t="shared" si="0"/>
        <v>16.97569444444445</v>
      </c>
      <c r="H28" s="26" t="str">
        <f t="shared" si="2"/>
        <v>2020-12-22 23:40:00</v>
      </c>
      <c r="I28" s="26" t="str">
        <f t="shared" si="3"/>
        <v>2020-12-22 22:40:00</v>
      </c>
      <c r="J28" s="26" t="str">
        <f t="shared" si="4"/>
        <v>2020-12-22 22:50:00</v>
      </c>
      <c r="K28" s="26" t="str">
        <f t="shared" si="5"/>
        <v>2020-12-22 23:25:00</v>
      </c>
      <c r="L28" s="35"/>
      <c r="M28" s="35"/>
    </row>
    <row r="29" spans="2:13" ht="16.5" customHeight="1" x14ac:dyDescent="0.3">
      <c r="B29" s="33">
        <f t="shared" si="1"/>
        <v>16.982638888888893</v>
      </c>
      <c r="C29" s="33">
        <f t="shared" si="0"/>
        <v>17.940972222222225</v>
      </c>
      <c r="D29" s="33">
        <f t="shared" si="0"/>
        <v>17.947916666666668</v>
      </c>
      <c r="E29" s="33">
        <f t="shared" si="0"/>
        <v>17.972222222222225</v>
      </c>
      <c r="G29" s="34"/>
      <c r="H29" s="26" t="str">
        <f t="shared" si="2"/>
        <v>2020-12-22 23:35:00</v>
      </c>
      <c r="I29" s="26" t="str">
        <f t="shared" si="3"/>
        <v>2020-12-22 22:35:00</v>
      </c>
      <c r="J29" s="26" t="str">
        <f t="shared" si="4"/>
        <v>2020-12-22 22:45:00</v>
      </c>
      <c r="K29" s="26" t="str">
        <f t="shared" si="5"/>
        <v>2020-12-22 23:20:00</v>
      </c>
      <c r="L29" s="26"/>
      <c r="M29" s="26"/>
    </row>
    <row r="30" spans="2:13" ht="16.5" customHeight="1" x14ac:dyDescent="0.3">
      <c r="B30" s="33">
        <f t="shared" si="1"/>
        <v>17.979166666666668</v>
      </c>
      <c r="C30" s="33">
        <f t="shared" si="0"/>
        <v>18.9375</v>
      </c>
      <c r="D30" s="33">
        <f t="shared" si="0"/>
        <v>18.944444444444443</v>
      </c>
      <c r="E30" s="33">
        <f t="shared" si="0"/>
        <v>18.96875</v>
      </c>
      <c r="G30" s="34"/>
      <c r="H30" s="26" t="str">
        <f t="shared" si="2"/>
        <v>2020-12-22 23:30:00</v>
      </c>
      <c r="I30" s="26" t="str">
        <f t="shared" si="3"/>
        <v>2020-12-22 22:30:00</v>
      </c>
      <c r="J30" s="26" t="str">
        <f t="shared" si="4"/>
        <v>2020-12-22 22:40:00</v>
      </c>
      <c r="K30" s="26" t="str">
        <f t="shared" si="5"/>
        <v>2020-12-22 23:15:00</v>
      </c>
      <c r="L30" s="26"/>
      <c r="M30" s="26"/>
    </row>
    <row r="31" spans="2:13" ht="16.5" customHeight="1" x14ac:dyDescent="0.3">
      <c r="B31" s="33">
        <f t="shared" si="1"/>
        <v>18.975694444444443</v>
      </c>
      <c r="C31" s="33">
        <f t="shared" si="0"/>
        <v>19.934027777777775</v>
      </c>
      <c r="D31" s="33">
        <f t="shared" si="0"/>
        <v>19.940972222222218</v>
      </c>
      <c r="E31" s="33">
        <f t="shared" si="0"/>
        <v>19.965277777777775</v>
      </c>
      <c r="G31" s="34"/>
      <c r="H31" s="26" t="str">
        <f t="shared" si="2"/>
        <v>2020-12-22 23:25:00</v>
      </c>
      <c r="I31" s="26" t="str">
        <f t="shared" si="3"/>
        <v>2020-12-22 22:25:00</v>
      </c>
      <c r="J31" s="26" t="str">
        <f t="shared" si="4"/>
        <v>2020-12-22 22:35:00</v>
      </c>
      <c r="K31" s="26" t="str">
        <f t="shared" si="5"/>
        <v>2020-12-22 23:10:00</v>
      </c>
      <c r="L31" s="26"/>
      <c r="M31" s="26"/>
    </row>
    <row r="32" spans="2:13" ht="16.5" customHeight="1" x14ac:dyDescent="0.3">
      <c r="B32" s="33">
        <f t="shared" si="1"/>
        <v>19.972222222222218</v>
      </c>
      <c r="C32" s="33">
        <f t="shared" ref="C32:E51" si="6">B32+TIME(0,C$9,0)</f>
        <v>20.93055555555555</v>
      </c>
      <c r="D32" s="33">
        <f t="shared" si="6"/>
        <v>20.937499999999993</v>
      </c>
      <c r="E32" s="33">
        <f t="shared" si="6"/>
        <v>20.96180555555555</v>
      </c>
      <c r="G32" s="34"/>
      <c r="H32" s="26" t="str">
        <f t="shared" si="2"/>
        <v>2020-12-22 23:20:00</v>
      </c>
      <c r="I32" s="26" t="str">
        <f t="shared" si="3"/>
        <v>2020-12-22 22:20:00</v>
      </c>
      <c r="J32" s="26" t="str">
        <f t="shared" si="4"/>
        <v>2020-12-22 22:30:00</v>
      </c>
      <c r="K32" s="26" t="str">
        <f t="shared" si="5"/>
        <v>2020-12-22 23:05:00</v>
      </c>
      <c r="L32" s="26"/>
      <c r="M32" s="26"/>
    </row>
    <row r="33" spans="2:13" ht="16.5" customHeight="1" x14ac:dyDescent="0.3">
      <c r="B33" s="33">
        <f t="shared" si="1"/>
        <v>20.968749999999993</v>
      </c>
      <c r="C33" s="33">
        <f t="shared" si="6"/>
        <v>21.927083333333325</v>
      </c>
      <c r="D33" s="33">
        <f t="shared" si="6"/>
        <v>21.934027777777768</v>
      </c>
      <c r="E33" s="33">
        <f t="shared" si="6"/>
        <v>21.958333333333325</v>
      </c>
      <c r="G33" s="34"/>
      <c r="H33" s="26" t="str">
        <f t="shared" si="2"/>
        <v>2020-12-22 23:15:00</v>
      </c>
      <c r="I33" s="26" t="str">
        <f t="shared" si="3"/>
        <v>2020-12-22 22:15:00</v>
      </c>
      <c r="J33" s="26" t="str">
        <f t="shared" si="4"/>
        <v>2020-12-22 22:25:00</v>
      </c>
      <c r="K33" s="26" t="str">
        <f t="shared" si="5"/>
        <v>2020-12-22 23:00:00</v>
      </c>
      <c r="L33" s="26"/>
      <c r="M33" s="26"/>
    </row>
    <row r="34" spans="2:13" ht="16.5" customHeight="1" x14ac:dyDescent="0.3">
      <c r="B34" s="33">
        <f t="shared" si="1"/>
        <v>21.965277777777768</v>
      </c>
      <c r="C34" s="33">
        <f t="shared" si="6"/>
        <v>22.9236111111111</v>
      </c>
      <c r="D34" s="33">
        <f t="shared" si="6"/>
        <v>22.930555555555543</v>
      </c>
      <c r="E34" s="33">
        <f t="shared" si="6"/>
        <v>22.9548611111111</v>
      </c>
      <c r="G34" s="34"/>
      <c r="H34" s="26" t="str">
        <f t="shared" si="2"/>
        <v>2020-12-22 23:10:00</v>
      </c>
      <c r="I34" s="26" t="str">
        <f t="shared" si="3"/>
        <v>2020-12-22 22:10:00</v>
      </c>
      <c r="J34" s="26" t="str">
        <f t="shared" si="4"/>
        <v>2020-12-22 22:20:00</v>
      </c>
      <c r="K34" s="26" t="str">
        <f t="shared" si="5"/>
        <v>2020-12-22 22:55:00</v>
      </c>
      <c r="L34" s="26"/>
      <c r="M34" s="26"/>
    </row>
    <row r="35" spans="2:13" ht="16.5" customHeight="1" x14ac:dyDescent="0.3">
      <c r="B35" s="33">
        <f t="shared" si="1"/>
        <v>22.961805555555543</v>
      </c>
      <c r="C35" s="33">
        <f t="shared" si="6"/>
        <v>23.920138888888875</v>
      </c>
      <c r="D35" s="33">
        <f t="shared" si="6"/>
        <v>23.927083333333318</v>
      </c>
      <c r="E35" s="33">
        <f t="shared" si="6"/>
        <v>23.951388888888875</v>
      </c>
      <c r="G35" s="34"/>
      <c r="H35" s="26" t="str">
        <f t="shared" si="2"/>
        <v>2020-12-22 23:05:00</v>
      </c>
      <c r="I35" s="26" t="str">
        <f t="shared" si="3"/>
        <v>2020-12-22 22:05:00</v>
      </c>
      <c r="J35" s="26" t="str">
        <f t="shared" si="4"/>
        <v>2020-12-22 22:15:00</v>
      </c>
      <c r="K35" s="26" t="str">
        <f t="shared" si="5"/>
        <v>2020-12-22 22:50:00</v>
      </c>
      <c r="L35" s="26"/>
      <c r="M35" s="26"/>
    </row>
    <row r="36" spans="2:13" ht="16.5" customHeight="1" x14ac:dyDescent="0.3">
      <c r="B36" s="33">
        <f t="shared" si="1"/>
        <v>23.958333333333318</v>
      </c>
      <c r="C36" s="33">
        <f t="shared" si="6"/>
        <v>24.91666666666665</v>
      </c>
      <c r="D36" s="33">
        <f t="shared" si="6"/>
        <v>24.923611111111093</v>
      </c>
      <c r="E36" s="33">
        <f t="shared" si="6"/>
        <v>24.94791666666665</v>
      </c>
      <c r="G36" s="34"/>
      <c r="H36" s="26" t="str">
        <f t="shared" si="2"/>
        <v>2020-12-22 23:00:00</v>
      </c>
      <c r="I36" s="26" t="str">
        <f t="shared" si="3"/>
        <v>2020-12-22 22:00:00</v>
      </c>
      <c r="J36" s="26" t="str">
        <f t="shared" si="4"/>
        <v>2020-12-22 22:10:00</v>
      </c>
      <c r="K36" s="26" t="str">
        <f t="shared" si="5"/>
        <v>2020-12-22 22:45:00</v>
      </c>
      <c r="L36" s="26"/>
      <c r="M36" s="26"/>
    </row>
    <row r="37" spans="2:13" ht="16.5" customHeight="1" x14ac:dyDescent="0.3">
      <c r="B37" s="33">
        <f t="shared" si="1"/>
        <v>24.954861111111093</v>
      </c>
      <c r="C37" s="33">
        <f t="shared" si="6"/>
        <v>25.913194444444425</v>
      </c>
      <c r="D37" s="33">
        <f t="shared" si="6"/>
        <v>25.920138888888868</v>
      </c>
      <c r="E37" s="33">
        <f t="shared" si="6"/>
        <v>25.944444444444425</v>
      </c>
      <c r="G37" s="34"/>
      <c r="H37" s="26" t="str">
        <f t="shared" si="2"/>
        <v>2020-12-22 22:55:00</v>
      </c>
      <c r="I37" s="26" t="str">
        <f t="shared" si="3"/>
        <v>2020-12-22 21:55:00</v>
      </c>
      <c r="J37" s="26" t="str">
        <f t="shared" si="4"/>
        <v>2020-12-22 22:05:00</v>
      </c>
      <c r="K37" s="26" t="str">
        <f t="shared" si="5"/>
        <v>2020-12-22 22:40:00</v>
      </c>
      <c r="L37" s="26"/>
      <c r="M37" s="26"/>
    </row>
    <row r="38" spans="2:13" ht="16.5" customHeight="1" x14ac:dyDescent="0.3">
      <c r="B38" s="33">
        <f t="shared" si="1"/>
        <v>25.951388888888868</v>
      </c>
      <c r="C38" s="33">
        <f t="shared" si="6"/>
        <v>26.9097222222222</v>
      </c>
      <c r="D38" s="33">
        <f t="shared" si="6"/>
        <v>26.916666666666643</v>
      </c>
      <c r="E38" s="33">
        <f t="shared" si="6"/>
        <v>26.9409722222222</v>
      </c>
      <c r="G38" s="34"/>
      <c r="H38" s="26" t="str">
        <f t="shared" si="2"/>
        <v>2020-12-22 22:50:00</v>
      </c>
      <c r="I38" s="26" t="str">
        <f t="shared" si="3"/>
        <v>2020-12-22 21:50:00</v>
      </c>
      <c r="J38" s="26" t="str">
        <f t="shared" si="4"/>
        <v>2020-12-22 22:00:00</v>
      </c>
      <c r="K38" s="26" t="str">
        <f t="shared" si="5"/>
        <v>2020-12-22 22:35:00</v>
      </c>
      <c r="L38" s="26"/>
      <c r="M38" s="26"/>
    </row>
    <row r="39" spans="2:13" ht="16.5" customHeight="1" x14ac:dyDescent="0.3">
      <c r="B39" s="33">
        <f t="shared" si="1"/>
        <v>26.947916666666643</v>
      </c>
      <c r="C39" s="33">
        <f t="shared" si="6"/>
        <v>27.906249999999975</v>
      </c>
      <c r="D39" s="33">
        <f t="shared" si="6"/>
        <v>27.913194444444418</v>
      </c>
      <c r="E39" s="33">
        <f t="shared" si="6"/>
        <v>27.937499999999975</v>
      </c>
      <c r="G39" s="34"/>
      <c r="H39" s="26" t="str">
        <f t="shared" si="2"/>
        <v>2020-12-22 22:45:00</v>
      </c>
      <c r="I39" s="26" t="str">
        <f t="shared" si="3"/>
        <v>2020-12-22 21:45:00</v>
      </c>
      <c r="J39" s="26" t="str">
        <f t="shared" si="4"/>
        <v>2020-12-22 21:55:00</v>
      </c>
      <c r="K39" s="26" t="str">
        <f t="shared" si="5"/>
        <v>2020-12-22 22:30:00</v>
      </c>
      <c r="L39" s="26"/>
      <c r="M39" s="26"/>
    </row>
    <row r="40" spans="2:13" ht="16.5" customHeight="1" x14ac:dyDescent="0.3">
      <c r="B40" s="33">
        <f t="shared" si="1"/>
        <v>27.944444444444418</v>
      </c>
      <c r="C40" s="33">
        <f t="shared" si="6"/>
        <v>28.90277777777775</v>
      </c>
      <c r="D40" s="33">
        <f t="shared" si="6"/>
        <v>28.909722222222193</v>
      </c>
      <c r="E40" s="33">
        <f t="shared" si="6"/>
        <v>28.93402777777775</v>
      </c>
      <c r="G40" s="34"/>
      <c r="H40" s="26" t="str">
        <f t="shared" si="2"/>
        <v>2020-12-22 22:40:00</v>
      </c>
      <c r="I40" s="26" t="str">
        <f t="shared" si="3"/>
        <v>2020-12-22 21:40:00</v>
      </c>
      <c r="J40" s="26" t="str">
        <f t="shared" si="4"/>
        <v>2020-12-22 21:50:00</v>
      </c>
      <c r="K40" s="26" t="str">
        <f t="shared" si="5"/>
        <v>2020-12-22 22:25:00</v>
      </c>
      <c r="L40" s="26"/>
      <c r="M40" s="26"/>
    </row>
    <row r="41" spans="2:13" ht="16.5" customHeight="1" x14ac:dyDescent="0.3">
      <c r="B41" s="33">
        <f t="shared" si="1"/>
        <v>28.940972222222193</v>
      </c>
      <c r="C41" s="33">
        <f t="shared" si="6"/>
        <v>29.899305555555525</v>
      </c>
      <c r="D41" s="33">
        <f t="shared" si="6"/>
        <v>29.906249999999968</v>
      </c>
      <c r="E41" s="33">
        <f t="shared" si="6"/>
        <v>29.930555555555525</v>
      </c>
      <c r="G41" s="34"/>
      <c r="H41" s="26" t="str">
        <f t="shared" si="2"/>
        <v>2020-12-22 22:35:00</v>
      </c>
      <c r="I41" s="26" t="str">
        <f t="shared" si="3"/>
        <v>2020-12-22 21:35:00</v>
      </c>
      <c r="J41" s="26" t="str">
        <f t="shared" si="4"/>
        <v>2020-12-22 21:45:00</v>
      </c>
      <c r="K41" s="26" t="str">
        <f t="shared" si="5"/>
        <v>2020-12-22 22:20:00</v>
      </c>
      <c r="L41" s="26"/>
      <c r="M41" s="26"/>
    </row>
    <row r="42" spans="2:13" ht="16.5" customHeight="1" x14ac:dyDescent="0.3">
      <c r="B42" s="33">
        <f t="shared" si="1"/>
        <v>29.937499999999968</v>
      </c>
      <c r="C42" s="33">
        <f t="shared" si="6"/>
        <v>30.8958333333333</v>
      </c>
      <c r="D42" s="33">
        <f t="shared" si="6"/>
        <v>30.902777777777743</v>
      </c>
      <c r="E42" s="33">
        <f t="shared" si="6"/>
        <v>30.9270833333333</v>
      </c>
      <c r="G42" s="34"/>
      <c r="H42" s="26" t="str">
        <f t="shared" si="2"/>
        <v>2020-12-22 22:30:00</v>
      </c>
      <c r="I42" s="26" t="str">
        <f t="shared" si="3"/>
        <v>2020-12-22 21:30:00</v>
      </c>
      <c r="J42" s="26" t="str">
        <f t="shared" si="4"/>
        <v>2020-12-22 21:40:00</v>
      </c>
      <c r="K42" s="26" t="str">
        <f t="shared" si="5"/>
        <v>2020-12-22 22:15:00</v>
      </c>
      <c r="L42" s="26"/>
      <c r="M42" s="26"/>
    </row>
    <row r="43" spans="2:13" ht="16.5" customHeight="1" x14ac:dyDescent="0.3">
      <c r="B43" s="33">
        <f t="shared" si="1"/>
        <v>30.934027777777743</v>
      </c>
      <c r="C43" s="33">
        <f t="shared" si="6"/>
        <v>31.892361111111075</v>
      </c>
      <c r="D43" s="33">
        <f t="shared" si="6"/>
        <v>31.899305555555518</v>
      </c>
      <c r="E43" s="33">
        <f t="shared" si="6"/>
        <v>31.923611111111075</v>
      </c>
      <c r="G43" s="34"/>
      <c r="H43" s="26" t="str">
        <f t="shared" si="2"/>
        <v>2020-12-22 22:25:00</v>
      </c>
      <c r="I43" s="26" t="str">
        <f t="shared" si="3"/>
        <v>2020-12-22 21:25:00</v>
      </c>
      <c r="J43" s="26" t="str">
        <f t="shared" si="4"/>
        <v>2020-12-22 21:35:00</v>
      </c>
      <c r="K43" s="26" t="str">
        <f t="shared" si="5"/>
        <v>2020-12-22 22:10:00</v>
      </c>
      <c r="L43" s="26"/>
      <c r="M43" s="26"/>
    </row>
    <row r="44" spans="2:13" ht="16.5" customHeight="1" x14ac:dyDescent="0.3">
      <c r="B44" s="33">
        <f t="shared" si="1"/>
        <v>31.930555555555518</v>
      </c>
      <c r="C44" s="33">
        <f t="shared" si="6"/>
        <v>32.88888888888885</v>
      </c>
      <c r="D44" s="33">
        <f t="shared" si="6"/>
        <v>32.895833333333293</v>
      </c>
      <c r="E44" s="33">
        <f t="shared" si="6"/>
        <v>32.92013888888885</v>
      </c>
      <c r="G44" s="34"/>
      <c r="H44" s="26" t="str">
        <f t="shared" si="2"/>
        <v>2020-12-22 22:20:00</v>
      </c>
      <c r="I44" s="26" t="str">
        <f t="shared" si="3"/>
        <v>2020-12-22 21:20:00</v>
      </c>
      <c r="J44" s="26" t="str">
        <f t="shared" si="4"/>
        <v>2020-12-22 21:30:00</v>
      </c>
      <c r="K44" s="26" t="str">
        <f t="shared" si="5"/>
        <v>2020-12-22 22:05:00</v>
      </c>
      <c r="L44" s="26"/>
      <c r="M44" s="26"/>
    </row>
    <row r="45" spans="2:13" ht="16.5" customHeight="1" x14ac:dyDescent="0.3">
      <c r="B45" s="33">
        <f t="shared" si="1"/>
        <v>32.927083333333293</v>
      </c>
      <c r="C45" s="33">
        <f t="shared" si="6"/>
        <v>33.885416666666629</v>
      </c>
      <c r="D45" s="33">
        <f t="shared" si="6"/>
        <v>33.892361111111072</v>
      </c>
      <c r="E45" s="33">
        <f t="shared" si="6"/>
        <v>33.916666666666629</v>
      </c>
      <c r="G45" s="34"/>
      <c r="H45" s="26" t="str">
        <f t="shared" si="2"/>
        <v>2020-12-22 22:15:00</v>
      </c>
      <c r="I45" s="26" t="str">
        <f t="shared" si="3"/>
        <v>2020-12-22 21:15:00</v>
      </c>
      <c r="J45" s="26" t="str">
        <f t="shared" si="4"/>
        <v>2020-12-22 21:25:00</v>
      </c>
      <c r="K45" s="26" t="str">
        <f t="shared" si="5"/>
        <v>2020-12-22 22:00:00</v>
      </c>
      <c r="L45" s="26"/>
      <c r="M45" s="26"/>
    </row>
    <row r="46" spans="2:13" ht="16.5" customHeight="1" x14ac:dyDescent="0.3">
      <c r="B46" s="33">
        <f t="shared" si="1"/>
        <v>33.923611111111072</v>
      </c>
      <c r="C46" s="33">
        <f t="shared" si="6"/>
        <v>34.881944444444407</v>
      </c>
      <c r="D46" s="33">
        <f t="shared" si="6"/>
        <v>34.88888888888885</v>
      </c>
      <c r="E46" s="33">
        <f t="shared" si="6"/>
        <v>34.913194444444407</v>
      </c>
      <c r="G46" s="34"/>
      <c r="H46" s="26" t="str">
        <f t="shared" si="2"/>
        <v>2020-12-22 22:10:00</v>
      </c>
      <c r="I46" s="26" t="str">
        <f t="shared" si="3"/>
        <v>2020-12-22 21:10:00</v>
      </c>
      <c r="J46" s="26" t="str">
        <f t="shared" si="4"/>
        <v>2020-12-22 21:20:00</v>
      </c>
      <c r="K46" s="26" t="str">
        <f t="shared" si="5"/>
        <v>2020-12-22 21:55:00</v>
      </c>
      <c r="L46" s="26"/>
      <c r="M46" s="26"/>
    </row>
    <row r="47" spans="2:13" ht="16.5" customHeight="1" x14ac:dyDescent="0.3">
      <c r="B47" s="33">
        <f t="shared" si="1"/>
        <v>34.92013888888885</v>
      </c>
      <c r="C47" s="33">
        <f t="shared" si="6"/>
        <v>35.878472222222186</v>
      </c>
      <c r="D47" s="33">
        <f t="shared" si="6"/>
        <v>35.885416666666629</v>
      </c>
      <c r="E47" s="33">
        <f t="shared" si="6"/>
        <v>35.909722222222186</v>
      </c>
      <c r="G47" s="34"/>
      <c r="H47" s="26" t="str">
        <f t="shared" si="2"/>
        <v>2020-12-22 22:05:00</v>
      </c>
      <c r="I47" s="26" t="str">
        <f t="shared" si="3"/>
        <v>2020-12-22 21:05:00</v>
      </c>
      <c r="J47" s="26" t="str">
        <f t="shared" si="4"/>
        <v>2020-12-22 21:15:00</v>
      </c>
      <c r="K47" s="26" t="str">
        <f t="shared" si="5"/>
        <v>2020-12-22 21:50:00</v>
      </c>
      <c r="L47" s="26"/>
      <c r="M47" s="26"/>
    </row>
    <row r="48" spans="2:13" ht="16.5" customHeight="1" x14ac:dyDescent="0.3">
      <c r="B48" s="33">
        <f t="shared" si="1"/>
        <v>35.916666666666629</v>
      </c>
      <c r="C48" s="33">
        <f t="shared" si="6"/>
        <v>36.874999999999964</v>
      </c>
      <c r="D48" s="33">
        <f t="shared" si="6"/>
        <v>36.881944444444407</v>
      </c>
      <c r="E48" s="33">
        <f t="shared" si="6"/>
        <v>36.906249999999964</v>
      </c>
      <c r="G48" s="34"/>
      <c r="H48" s="26" t="str">
        <f t="shared" si="2"/>
        <v>2020-12-22 22:00:00</v>
      </c>
      <c r="I48" s="26" t="str">
        <f t="shared" si="3"/>
        <v>2020-12-22 21:00:00</v>
      </c>
      <c r="J48" s="26" t="str">
        <f t="shared" si="4"/>
        <v>2020-12-22 21:10:00</v>
      </c>
      <c r="K48" s="26" t="str">
        <f t="shared" si="5"/>
        <v>2020-12-22 21:45:00</v>
      </c>
      <c r="L48" s="26"/>
      <c r="M48" s="26"/>
    </row>
    <row r="49" spans="2:13" ht="16.5" customHeight="1" x14ac:dyDescent="0.3">
      <c r="B49" s="33">
        <f t="shared" si="1"/>
        <v>36.913194444444407</v>
      </c>
      <c r="C49" s="33">
        <f t="shared" si="6"/>
        <v>37.871527777777743</v>
      </c>
      <c r="D49" s="33">
        <f t="shared" si="6"/>
        <v>37.878472222222186</v>
      </c>
      <c r="E49" s="33">
        <f t="shared" si="6"/>
        <v>37.902777777777743</v>
      </c>
      <c r="G49" s="34"/>
      <c r="H49" s="26" t="str">
        <f t="shared" si="2"/>
        <v>2020-12-22 21:55:00</v>
      </c>
      <c r="I49" s="26" t="str">
        <f t="shared" si="3"/>
        <v>2020-12-22 20:55:00</v>
      </c>
      <c r="J49" s="26" t="str">
        <f t="shared" si="4"/>
        <v>2020-12-22 21:05:00</v>
      </c>
      <c r="K49" s="26" t="str">
        <f t="shared" si="5"/>
        <v>2020-12-22 21:40:00</v>
      </c>
      <c r="L49" s="26"/>
      <c r="M49" s="26"/>
    </row>
    <row r="50" spans="2:13" ht="16.5" customHeight="1" x14ac:dyDescent="0.3">
      <c r="B50" s="33">
        <f t="shared" si="1"/>
        <v>37.909722222222186</v>
      </c>
      <c r="C50" s="33">
        <f t="shared" si="6"/>
        <v>38.868055555555522</v>
      </c>
      <c r="D50" s="33">
        <f t="shared" si="6"/>
        <v>38.874999999999964</v>
      </c>
      <c r="E50" s="33">
        <f t="shared" si="6"/>
        <v>38.899305555555522</v>
      </c>
      <c r="G50" s="34"/>
      <c r="H50" s="26" t="str">
        <f t="shared" si="2"/>
        <v>2020-12-22 21:50:00</v>
      </c>
      <c r="I50" s="26" t="str">
        <f t="shared" si="3"/>
        <v>2020-12-22 20:50:00</v>
      </c>
      <c r="J50" s="26" t="str">
        <f t="shared" si="4"/>
        <v>2020-12-22 21:00:00</v>
      </c>
      <c r="K50" s="26" t="str">
        <f t="shared" si="5"/>
        <v>2020-12-22 21:35:00</v>
      </c>
      <c r="L50" s="26"/>
      <c r="M50" s="26"/>
    </row>
    <row r="51" spans="2:13" ht="16.5" customHeight="1" x14ac:dyDescent="0.3">
      <c r="B51" s="33">
        <f t="shared" si="1"/>
        <v>38.906249999999964</v>
      </c>
      <c r="C51" s="33">
        <f t="shared" si="6"/>
        <v>39.8645833333333</v>
      </c>
      <c r="D51" s="33">
        <f t="shared" si="6"/>
        <v>39.871527777777743</v>
      </c>
      <c r="E51" s="33">
        <f t="shared" si="6"/>
        <v>39.8958333333333</v>
      </c>
      <c r="G51" s="34"/>
      <c r="H51" s="26" t="str">
        <f t="shared" si="2"/>
        <v>2020-12-22 21:45:00</v>
      </c>
      <c r="I51" s="26" t="str">
        <f t="shared" si="3"/>
        <v>2020-12-22 20:45:00</v>
      </c>
      <c r="J51" s="26" t="str">
        <f t="shared" si="4"/>
        <v>2020-12-22 20:55:00</v>
      </c>
      <c r="K51" s="26" t="str">
        <f t="shared" si="5"/>
        <v>2020-12-22 21:30:00</v>
      </c>
      <c r="L51" s="26"/>
      <c r="M51" s="26"/>
    </row>
    <row r="52" spans="2:13" ht="16.5" customHeight="1" x14ac:dyDescent="0.3">
      <c r="B52" s="33">
        <f t="shared" si="1"/>
        <v>39.902777777777743</v>
      </c>
      <c r="C52" s="33">
        <f t="shared" ref="C52:E59" si="7">B52+TIME(0,C$9,0)</f>
        <v>40.861111111111079</v>
      </c>
      <c r="D52" s="33">
        <f t="shared" si="7"/>
        <v>40.868055555555522</v>
      </c>
      <c r="E52" s="33">
        <f t="shared" si="7"/>
        <v>40.892361111111079</v>
      </c>
      <c r="G52" s="34"/>
      <c r="H52" s="26" t="str">
        <f t="shared" si="2"/>
        <v>2020-12-22 21:40:00</v>
      </c>
      <c r="I52" s="26" t="str">
        <f t="shared" si="3"/>
        <v>2020-12-22 20:40:00</v>
      </c>
      <c r="J52" s="26" t="str">
        <f t="shared" si="4"/>
        <v>2020-12-22 20:50:00</v>
      </c>
      <c r="K52" s="26" t="str">
        <f t="shared" si="5"/>
        <v>2020-12-22 21:25:00</v>
      </c>
      <c r="L52" s="26"/>
      <c r="M52" s="26"/>
    </row>
    <row r="53" spans="2:13" ht="16.5" customHeight="1" x14ac:dyDescent="0.3">
      <c r="B53" s="33">
        <f t="shared" si="1"/>
        <v>40.899305555555522</v>
      </c>
      <c r="C53" s="33">
        <f t="shared" si="7"/>
        <v>41.857638888888857</v>
      </c>
      <c r="D53" s="33">
        <f t="shared" si="7"/>
        <v>41.8645833333333</v>
      </c>
      <c r="E53" s="33">
        <f t="shared" si="7"/>
        <v>41.888888888888857</v>
      </c>
      <c r="G53" s="34"/>
      <c r="H53" s="26" t="str">
        <f t="shared" si="2"/>
        <v>2020-12-22 21:35:00</v>
      </c>
      <c r="I53" s="26" t="str">
        <f t="shared" si="3"/>
        <v>2020-12-22 20:35:00</v>
      </c>
      <c r="J53" s="26" t="str">
        <f t="shared" si="4"/>
        <v>2020-12-22 20:45:00</v>
      </c>
      <c r="K53" s="26" t="str">
        <f t="shared" si="5"/>
        <v>2020-12-22 21:20:00</v>
      </c>
      <c r="L53" s="26"/>
      <c r="M53" s="26"/>
    </row>
    <row r="54" spans="2:13" ht="16.5" customHeight="1" x14ac:dyDescent="0.3">
      <c r="B54" s="33">
        <f t="shared" si="1"/>
        <v>41.8958333333333</v>
      </c>
      <c r="C54" s="33">
        <f t="shared" si="7"/>
        <v>42.854166666666636</v>
      </c>
      <c r="D54" s="33">
        <f t="shared" si="7"/>
        <v>42.861111111111079</v>
      </c>
      <c r="E54" s="33">
        <f t="shared" si="7"/>
        <v>42.885416666666636</v>
      </c>
      <c r="G54" s="34"/>
      <c r="H54" s="26" t="str">
        <f t="shared" si="2"/>
        <v>2020-12-22 21:30:00</v>
      </c>
      <c r="I54" s="26" t="str">
        <f t="shared" si="3"/>
        <v>2020-12-22 20:30:00</v>
      </c>
      <c r="J54" s="26" t="str">
        <f t="shared" si="4"/>
        <v>2020-12-22 20:40:00</v>
      </c>
      <c r="K54" s="26" t="str">
        <f t="shared" si="5"/>
        <v>2020-12-22 21:15:00</v>
      </c>
      <c r="L54" s="26"/>
      <c r="M54" s="26"/>
    </row>
    <row r="55" spans="2:13" ht="16.5" customHeight="1" x14ac:dyDescent="0.3">
      <c r="B55" s="33">
        <f t="shared" si="1"/>
        <v>42.892361111111079</v>
      </c>
      <c r="C55" s="33">
        <f t="shared" si="7"/>
        <v>43.850694444444414</v>
      </c>
      <c r="D55" s="33">
        <f t="shared" si="7"/>
        <v>43.857638888888857</v>
      </c>
      <c r="E55" s="33">
        <f t="shared" si="7"/>
        <v>43.881944444444414</v>
      </c>
      <c r="G55" s="34"/>
      <c r="H55" s="26" t="str">
        <f t="shared" si="2"/>
        <v>2020-12-22 21:25:00</v>
      </c>
      <c r="I55" s="26" t="str">
        <f t="shared" si="3"/>
        <v>2020-12-22 20:25:00</v>
      </c>
      <c r="J55" s="26" t="str">
        <f t="shared" si="4"/>
        <v>2020-12-22 20:35:00</v>
      </c>
      <c r="K55" s="26" t="str">
        <f t="shared" si="5"/>
        <v>2020-12-22 21:10:00</v>
      </c>
      <c r="L55" s="26"/>
      <c r="M55" s="26"/>
    </row>
    <row r="56" spans="2:13" ht="16.5" customHeight="1" x14ac:dyDescent="0.3">
      <c r="B56" s="33">
        <f t="shared" si="1"/>
        <v>43.888888888888857</v>
      </c>
      <c r="C56" s="33">
        <f t="shared" si="7"/>
        <v>44.847222222222193</v>
      </c>
      <c r="D56" s="33">
        <f t="shared" si="7"/>
        <v>44.854166666666636</v>
      </c>
      <c r="E56" s="33">
        <f t="shared" si="7"/>
        <v>44.878472222222193</v>
      </c>
      <c r="H56" s="26" t="str">
        <f t="shared" si="2"/>
        <v>2020-12-22 21:20:00</v>
      </c>
      <c r="I56" s="26" t="str">
        <f t="shared" si="3"/>
        <v>2020-12-22 20:20:00</v>
      </c>
      <c r="J56" s="26" t="str">
        <f t="shared" si="4"/>
        <v>2020-12-22 20:30:00</v>
      </c>
      <c r="K56" s="26" t="str">
        <f t="shared" si="5"/>
        <v>2020-12-22 21:05:00</v>
      </c>
    </row>
    <row r="57" spans="2:13" ht="16.5" customHeight="1" x14ac:dyDescent="0.3">
      <c r="B57" s="33">
        <f t="shared" si="1"/>
        <v>44.885416666666636</v>
      </c>
      <c r="C57" s="33">
        <f t="shared" si="7"/>
        <v>45.843749999999972</v>
      </c>
      <c r="D57" s="33">
        <f t="shared" si="7"/>
        <v>45.850694444444414</v>
      </c>
      <c r="E57" s="33">
        <f t="shared" si="7"/>
        <v>45.874999999999972</v>
      </c>
      <c r="H57" s="26" t="str">
        <f t="shared" si="2"/>
        <v>2020-12-22 21:15:00</v>
      </c>
      <c r="I57" s="26" t="str">
        <f t="shared" si="3"/>
        <v>2020-12-22 20:15:00</v>
      </c>
      <c r="J57" s="26" t="str">
        <f t="shared" si="4"/>
        <v>2020-12-22 20:25:00</v>
      </c>
      <c r="K57" s="26" t="str">
        <f t="shared" si="5"/>
        <v>2020-12-22 21:00:00</v>
      </c>
    </row>
    <row r="58" spans="2:13" ht="16.5" customHeight="1" x14ac:dyDescent="0.3">
      <c r="B58" s="33">
        <f t="shared" si="1"/>
        <v>45.881944444444414</v>
      </c>
      <c r="C58" s="33">
        <f t="shared" si="7"/>
        <v>46.84027777777775</v>
      </c>
      <c r="D58" s="33">
        <f t="shared" si="7"/>
        <v>46.847222222222193</v>
      </c>
      <c r="E58" s="33">
        <f t="shared" si="7"/>
        <v>46.87152777777775</v>
      </c>
      <c r="H58" s="26" t="str">
        <f t="shared" si="2"/>
        <v>2020-12-22 21:10:00</v>
      </c>
      <c r="I58" s="26" t="str">
        <f t="shared" si="3"/>
        <v>2020-12-22 20:10:00</v>
      </c>
      <c r="J58" s="26" t="str">
        <f t="shared" si="4"/>
        <v>2020-12-22 20:20:00</v>
      </c>
      <c r="K58" s="26" t="str">
        <f t="shared" si="5"/>
        <v>2020-12-22 20:55:00</v>
      </c>
    </row>
    <row r="59" spans="2:13" ht="16.5" customHeight="1" x14ac:dyDescent="0.3">
      <c r="B59" s="33">
        <f t="shared" si="1"/>
        <v>46.878472222222193</v>
      </c>
      <c r="C59" s="33">
        <f t="shared" si="7"/>
        <v>47.836805555555529</v>
      </c>
      <c r="D59" s="33">
        <f t="shared" si="7"/>
        <v>47.843749999999972</v>
      </c>
      <c r="E59" s="33">
        <f t="shared" si="7"/>
        <v>47.868055555555529</v>
      </c>
      <c r="H59" s="26" t="str">
        <f t="shared" si="2"/>
        <v>2020-12-22 21:05:00</v>
      </c>
      <c r="I59" s="26" t="str">
        <f t="shared" si="3"/>
        <v>2020-12-22 20:05:00</v>
      </c>
      <c r="J59" s="26" t="str">
        <f t="shared" si="4"/>
        <v>2020-12-22 20:15:00</v>
      </c>
      <c r="K59" s="26" t="str">
        <f t="shared" si="5"/>
        <v>2020-12-22 20:50:00</v>
      </c>
    </row>
    <row r="60" spans="2:13" ht="16.5" customHeight="1" x14ac:dyDescent="0.3">
      <c r="B60" s="33">
        <f t="shared" ref="B60:B68" si="8">E59+TIME(0,F$9,0)</f>
        <v>47.874999999999972</v>
      </c>
      <c r="C60" s="33">
        <f t="shared" ref="C60:E60" si="9">B60+TIME(0,C$9,0)</f>
        <v>48.833333333333307</v>
      </c>
      <c r="D60" s="33">
        <f t="shared" si="9"/>
        <v>48.84027777777775</v>
      </c>
      <c r="E60" s="33">
        <f t="shared" si="9"/>
        <v>48.864583333333307</v>
      </c>
      <c r="H60" s="26" t="str">
        <f t="shared" ref="H60:H68" si="10">$F$5&amp;TEXT(B60,"hh:mm:ss")</f>
        <v>2020-12-22 21:00:00</v>
      </c>
      <c r="I60" s="26" t="str">
        <f t="shared" ref="I60:I68" si="11">$F$5&amp;TEXT(C60,"hh:mm:ss")</f>
        <v>2020-12-22 20:00:00</v>
      </c>
      <c r="J60" s="26" t="str">
        <f t="shared" ref="J60:J68" si="12">$F$5&amp;TEXT(D60,"hh:mm:ss")</f>
        <v>2020-12-22 20:10:00</v>
      </c>
      <c r="K60" s="26" t="str">
        <f t="shared" ref="K60:K68" si="13">$F$5&amp;TEXT(E60,"hh:mm:ss")</f>
        <v>2020-12-22 20:45:00</v>
      </c>
    </row>
    <row r="61" spans="2:13" ht="16.5" customHeight="1" x14ac:dyDescent="0.3">
      <c r="B61" s="33">
        <f t="shared" si="8"/>
        <v>48.87152777777775</v>
      </c>
      <c r="C61" s="33">
        <f t="shared" ref="C61:E61" si="14">B61+TIME(0,C$9,0)</f>
        <v>49.829861111111086</v>
      </c>
      <c r="D61" s="33">
        <f t="shared" si="14"/>
        <v>49.836805555555529</v>
      </c>
      <c r="E61" s="33">
        <f t="shared" si="14"/>
        <v>49.861111111111086</v>
      </c>
      <c r="H61" s="26" t="str">
        <f t="shared" si="10"/>
        <v>2020-12-22 20:55:00</v>
      </c>
      <c r="I61" s="26" t="str">
        <f t="shared" si="11"/>
        <v>2020-12-22 19:55:00</v>
      </c>
      <c r="J61" s="26" t="str">
        <f t="shared" si="12"/>
        <v>2020-12-22 20:05:00</v>
      </c>
      <c r="K61" s="26" t="str">
        <f t="shared" si="13"/>
        <v>2020-12-22 20:40:00</v>
      </c>
    </row>
    <row r="62" spans="2:13" ht="16.5" customHeight="1" x14ac:dyDescent="0.3">
      <c r="B62" s="33">
        <f t="shared" si="8"/>
        <v>49.868055555555529</v>
      </c>
      <c r="C62" s="33">
        <f t="shared" ref="C62:E62" si="15">B62+TIME(0,C$9,0)</f>
        <v>50.826388888888864</v>
      </c>
      <c r="D62" s="33">
        <f t="shared" si="15"/>
        <v>50.833333333333307</v>
      </c>
      <c r="E62" s="33">
        <f t="shared" si="15"/>
        <v>50.857638888888864</v>
      </c>
      <c r="H62" s="26" t="str">
        <f t="shared" si="10"/>
        <v>2020-12-22 20:50:00</v>
      </c>
      <c r="I62" s="26" t="str">
        <f t="shared" si="11"/>
        <v>2020-12-22 19:50:00</v>
      </c>
      <c r="J62" s="26" t="str">
        <f t="shared" si="12"/>
        <v>2020-12-22 20:00:00</v>
      </c>
      <c r="K62" s="26" t="str">
        <f t="shared" si="13"/>
        <v>2020-12-22 20:35:00</v>
      </c>
    </row>
    <row r="63" spans="2:13" ht="16.5" customHeight="1" x14ac:dyDescent="0.3">
      <c r="B63" s="33">
        <f t="shared" si="8"/>
        <v>50.864583333333307</v>
      </c>
      <c r="C63" s="33">
        <f t="shared" ref="C63:E63" si="16">B63+TIME(0,C$9,0)</f>
        <v>51.822916666666643</v>
      </c>
      <c r="D63" s="33">
        <f t="shared" si="16"/>
        <v>51.829861111111086</v>
      </c>
      <c r="E63" s="33">
        <f t="shared" si="16"/>
        <v>51.854166666666643</v>
      </c>
      <c r="H63" s="26" t="str">
        <f t="shared" si="10"/>
        <v>2020-12-22 20:45:00</v>
      </c>
      <c r="I63" s="26" t="str">
        <f t="shared" si="11"/>
        <v>2020-12-22 19:45:00</v>
      </c>
      <c r="J63" s="26" t="str">
        <f t="shared" si="12"/>
        <v>2020-12-22 19:55:00</v>
      </c>
      <c r="K63" s="26" t="str">
        <f t="shared" si="13"/>
        <v>2020-12-22 20:30:00</v>
      </c>
    </row>
    <row r="64" spans="2:13" ht="16.5" customHeight="1" x14ac:dyDescent="0.3">
      <c r="B64" s="33">
        <f t="shared" si="8"/>
        <v>51.861111111111086</v>
      </c>
      <c r="C64" s="33">
        <f t="shared" ref="C64:E64" si="17">B64+TIME(0,C$9,0)</f>
        <v>52.819444444444422</v>
      </c>
      <c r="D64" s="33">
        <f t="shared" si="17"/>
        <v>52.826388888888864</v>
      </c>
      <c r="E64" s="33">
        <f t="shared" si="17"/>
        <v>52.850694444444422</v>
      </c>
      <c r="H64" s="26" t="str">
        <f t="shared" si="10"/>
        <v>2020-12-22 20:40:00</v>
      </c>
      <c r="I64" s="26" t="str">
        <f t="shared" si="11"/>
        <v>2020-12-22 19:40:00</v>
      </c>
      <c r="J64" s="26" t="str">
        <f t="shared" si="12"/>
        <v>2020-12-22 19:50:00</v>
      </c>
      <c r="K64" s="26" t="str">
        <f t="shared" si="13"/>
        <v>2020-12-22 20:25:00</v>
      </c>
    </row>
    <row r="65" spans="2:11" ht="16.5" customHeight="1" x14ac:dyDescent="0.3">
      <c r="B65" s="33">
        <f t="shared" si="8"/>
        <v>52.857638888888864</v>
      </c>
      <c r="C65" s="33">
        <f t="shared" ref="C65:E65" si="18">B65+TIME(0,C$9,0)</f>
        <v>53.8159722222222</v>
      </c>
      <c r="D65" s="33">
        <f t="shared" si="18"/>
        <v>53.822916666666643</v>
      </c>
      <c r="E65" s="33">
        <f t="shared" si="18"/>
        <v>53.8472222222222</v>
      </c>
      <c r="H65" s="26" t="str">
        <f t="shared" si="10"/>
        <v>2020-12-22 20:35:00</v>
      </c>
      <c r="I65" s="26" t="str">
        <f t="shared" si="11"/>
        <v>2020-12-22 19:35:00</v>
      </c>
      <c r="J65" s="26" t="str">
        <f t="shared" si="12"/>
        <v>2020-12-22 19:45:00</v>
      </c>
      <c r="K65" s="26" t="str">
        <f t="shared" si="13"/>
        <v>2020-12-22 20:20:00</v>
      </c>
    </row>
    <row r="66" spans="2:11" ht="16.5" customHeight="1" x14ac:dyDescent="0.3">
      <c r="B66" s="33">
        <f t="shared" si="8"/>
        <v>53.854166666666643</v>
      </c>
      <c r="C66" s="33">
        <f t="shared" ref="C66:E66" si="19">B66+TIME(0,C$9,0)</f>
        <v>54.812499999999979</v>
      </c>
      <c r="D66" s="33">
        <f t="shared" si="19"/>
        <v>54.819444444444422</v>
      </c>
      <c r="E66" s="33">
        <f t="shared" si="19"/>
        <v>54.843749999999979</v>
      </c>
      <c r="H66" s="26" t="str">
        <f t="shared" si="10"/>
        <v>2020-12-22 20:30:00</v>
      </c>
      <c r="I66" s="26" t="str">
        <f t="shared" si="11"/>
        <v>2020-12-22 19:30:00</v>
      </c>
      <c r="J66" s="26" t="str">
        <f t="shared" si="12"/>
        <v>2020-12-22 19:40:00</v>
      </c>
      <c r="K66" s="26" t="str">
        <f t="shared" si="13"/>
        <v>2020-12-22 20:15:00</v>
      </c>
    </row>
    <row r="67" spans="2:11" ht="16.5" customHeight="1" x14ac:dyDescent="0.3">
      <c r="B67" s="33">
        <f t="shared" si="8"/>
        <v>54.850694444444422</v>
      </c>
      <c r="C67" s="33">
        <f t="shared" ref="C67:E67" si="20">B67+TIME(0,C$9,0)</f>
        <v>55.809027777777757</v>
      </c>
      <c r="D67" s="33">
        <f t="shared" si="20"/>
        <v>55.8159722222222</v>
      </c>
      <c r="E67" s="33">
        <f t="shared" si="20"/>
        <v>55.840277777777757</v>
      </c>
      <c r="H67" s="26" t="str">
        <f t="shared" si="10"/>
        <v>2020-12-22 20:25:00</v>
      </c>
      <c r="I67" s="26" t="str">
        <f t="shared" si="11"/>
        <v>2020-12-22 19:25:00</v>
      </c>
      <c r="J67" s="26" t="str">
        <f t="shared" si="12"/>
        <v>2020-12-22 19:35:00</v>
      </c>
      <c r="K67" s="26" t="str">
        <f t="shared" si="13"/>
        <v>2020-12-22 20:10:00</v>
      </c>
    </row>
    <row r="68" spans="2:11" ht="16.5" customHeight="1" x14ac:dyDescent="0.3">
      <c r="B68" s="33">
        <f t="shared" si="8"/>
        <v>55.8472222222222</v>
      </c>
      <c r="C68" s="33">
        <f t="shared" ref="C68:E68" si="21">B68+TIME(0,C$9,0)</f>
        <v>56.805555555555536</v>
      </c>
      <c r="D68" s="33">
        <f t="shared" si="21"/>
        <v>56.812499999999979</v>
      </c>
      <c r="E68" s="33">
        <f t="shared" si="21"/>
        <v>56.836805555555536</v>
      </c>
      <c r="H68" s="26" t="str">
        <f t="shared" si="10"/>
        <v>2020-12-22 20:20:00</v>
      </c>
      <c r="I68" s="26" t="str">
        <f t="shared" si="11"/>
        <v>2020-12-22 19:20:00</v>
      </c>
      <c r="J68" s="26" t="str">
        <f t="shared" si="12"/>
        <v>2020-12-22 19:30:00</v>
      </c>
      <c r="K68" s="26" t="str">
        <f t="shared" si="13"/>
        <v>2020-12-22 20:05:00</v>
      </c>
    </row>
  </sheetData>
  <dataConsolidate/>
  <mergeCells count="2">
    <mergeCell ref="H10:I10"/>
    <mergeCell ref="J10:K10"/>
  </mergeCells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X32"/>
  <sheetViews>
    <sheetView workbookViewId="0">
      <selection activeCell="U13" sqref="U13:X24"/>
    </sheetView>
  </sheetViews>
  <sheetFormatPr defaultRowHeight="16.5" x14ac:dyDescent="0.3"/>
  <cols>
    <col min="1" max="1" width="3.125" customWidth="1"/>
    <col min="2" max="2" width="5.25" bestFit="1" customWidth="1"/>
    <col min="3" max="3" width="21.75" bestFit="1" customWidth="1"/>
    <col min="4" max="6" width="19.25" bestFit="1" customWidth="1"/>
    <col min="7" max="8" width="13" bestFit="1" customWidth="1"/>
    <col min="9" max="10" width="9" hidden="1" customWidth="1"/>
    <col min="11" max="14" width="11.125" hidden="1" customWidth="1"/>
    <col min="15" max="19" width="9" hidden="1" customWidth="1"/>
    <col min="20" max="20" width="5.25" bestFit="1" customWidth="1"/>
    <col min="21" max="24" width="19.25" bestFit="1" customWidth="1"/>
  </cols>
  <sheetData>
    <row r="2" spans="2:24" x14ac:dyDescent="0.3">
      <c r="B2" s="74"/>
      <c r="C2" t="s">
        <v>408</v>
      </c>
    </row>
    <row r="3" spans="2:24" x14ac:dyDescent="0.3">
      <c r="C3" s="71" t="s">
        <v>400</v>
      </c>
      <c r="E3" s="71" t="s">
        <v>401</v>
      </c>
      <c r="F3" s="71" t="s">
        <v>402</v>
      </c>
      <c r="G3" s="71" t="s">
        <v>403</v>
      </c>
      <c r="H3" s="71" t="s">
        <v>92</v>
      </c>
    </row>
    <row r="4" spans="2:24" x14ac:dyDescent="0.3">
      <c r="C4" s="73">
        <v>44495</v>
      </c>
      <c r="D4" s="38" t="s">
        <v>459</v>
      </c>
      <c r="E4" s="75">
        <v>2</v>
      </c>
      <c r="F4" s="75">
        <v>30</v>
      </c>
      <c r="G4" s="75">
        <v>5</v>
      </c>
      <c r="H4" s="75">
        <v>30</v>
      </c>
    </row>
    <row r="5" spans="2:24" hidden="1" x14ac:dyDescent="0.3">
      <c r="C5" s="68">
        <f>C4-TIME(9,0,0)</f>
        <v>44494.625</v>
      </c>
    </row>
    <row r="6" spans="2:24" x14ac:dyDescent="0.3">
      <c r="C6" s="68"/>
    </row>
    <row r="7" spans="2:24" x14ac:dyDescent="0.3">
      <c r="C7" s="71" t="s">
        <v>460</v>
      </c>
      <c r="E7" s="71" t="s">
        <v>404</v>
      </c>
      <c r="F7" s="71" t="s">
        <v>405</v>
      </c>
      <c r="G7" s="71" t="s">
        <v>406</v>
      </c>
    </row>
    <row r="8" spans="2:24" x14ac:dyDescent="0.3">
      <c r="C8" s="72">
        <f>TIME(E8,F8,G8)</f>
        <v>4.1678240740740745E-2</v>
      </c>
      <c r="D8" s="38" t="s">
        <v>97</v>
      </c>
      <c r="E8" s="75">
        <v>1</v>
      </c>
      <c r="F8" s="75">
        <v>0</v>
      </c>
      <c r="G8" s="75">
        <v>1</v>
      </c>
    </row>
    <row r="9" spans="2:24" x14ac:dyDescent="0.3">
      <c r="C9" s="69"/>
    </row>
    <row r="10" spans="2:24" ht="17.25" thickBot="1" x14ac:dyDescent="0.35">
      <c r="C10" s="38" t="s">
        <v>457</v>
      </c>
      <c r="U10" s="38" t="s">
        <v>458</v>
      </c>
    </row>
    <row r="11" spans="2:24" x14ac:dyDescent="0.3">
      <c r="B11" s="108" t="s">
        <v>407</v>
      </c>
      <c r="C11" s="107" t="s">
        <v>0</v>
      </c>
      <c r="D11" s="107"/>
      <c r="E11" s="105" t="s">
        <v>3</v>
      </c>
      <c r="F11" s="106"/>
      <c r="T11" s="108" t="s">
        <v>407</v>
      </c>
      <c r="U11" s="107" t="s">
        <v>0</v>
      </c>
      <c r="V11" s="107"/>
      <c r="W11" s="105" t="s">
        <v>3</v>
      </c>
      <c r="X11" s="106"/>
    </row>
    <row r="12" spans="2:24" x14ac:dyDescent="0.3">
      <c r="B12" s="109"/>
      <c r="C12" s="31" t="s">
        <v>5</v>
      </c>
      <c r="D12" s="31" t="s">
        <v>6</v>
      </c>
      <c r="E12" s="67" t="s">
        <v>1</v>
      </c>
      <c r="F12" s="77" t="s">
        <v>2</v>
      </c>
      <c r="T12" s="109"/>
      <c r="U12" s="31" t="s">
        <v>5</v>
      </c>
      <c r="V12" s="31" t="s">
        <v>6</v>
      </c>
      <c r="W12" s="67" t="s">
        <v>1</v>
      </c>
      <c r="X12" s="77" t="s">
        <v>2</v>
      </c>
    </row>
    <row r="13" spans="2:24" x14ac:dyDescent="0.3">
      <c r="B13" s="80">
        <v>1</v>
      </c>
      <c r="C13" s="76">
        <f>C5+TIME($E$8,0,0)</f>
        <v>44494.666666666664</v>
      </c>
      <c r="D13" s="76">
        <f t="shared" ref="D13:D32" si="0">C13+$E$4-$C$8</f>
        <v>44496.624988425923</v>
      </c>
      <c r="E13" s="76">
        <f>D13+TIME(0,$F$4,$G$8)</f>
        <v>44496.645833333328</v>
      </c>
      <c r="F13" s="78">
        <f>E13+$G$4-TIME(0,$H$4,$G$8)</f>
        <v>44501.624988425923</v>
      </c>
      <c r="K13" t="str">
        <f>TEXT(C13,"yyyy-mm-dd")</f>
        <v>2021-10-25</v>
      </c>
      <c r="L13" t="str">
        <f t="shared" ref="L13:N28" si="1">TEXT(D13,"yyyy-mm-dd")</f>
        <v>2021-10-27</v>
      </c>
      <c r="M13" t="str">
        <f t="shared" si="1"/>
        <v>2021-10-27</v>
      </c>
      <c r="N13" t="str">
        <f t="shared" si="1"/>
        <v>2021-11-01</v>
      </c>
      <c r="O13" s="70" t="str">
        <f>TEXT(C13,"hh:mm:ss")</f>
        <v>16:00:00</v>
      </c>
      <c r="P13" s="70" t="str">
        <f t="shared" ref="P13:R28" si="2">TEXT(D13,"hh:mm:ss")</f>
        <v>14:59:59</v>
      </c>
      <c r="Q13" s="70" t="str">
        <f t="shared" si="2"/>
        <v>15:30:00</v>
      </c>
      <c r="R13" s="70" t="str">
        <f t="shared" si="2"/>
        <v>14:59:59</v>
      </c>
      <c r="T13" s="80">
        <v>1</v>
      </c>
      <c r="U13" s="76" t="str">
        <f>CONCATENATE(K13," ",O13)</f>
        <v>2021-10-25 16:00:00</v>
      </c>
      <c r="V13" s="76" t="str">
        <f t="shared" ref="V13:X28" si="3">CONCATENATE(L13," ",P13)</f>
        <v>2021-10-27 14:59:59</v>
      </c>
      <c r="W13" s="76" t="str">
        <f t="shared" si="3"/>
        <v>2021-10-27 15:30:00</v>
      </c>
      <c r="X13" s="76" t="str">
        <f t="shared" si="3"/>
        <v>2021-11-01 14:59:59</v>
      </c>
    </row>
    <row r="14" spans="2:24" x14ac:dyDescent="0.3">
      <c r="B14" s="80">
        <v>2</v>
      </c>
      <c r="C14" s="76">
        <f>F13+$C$8</f>
        <v>44501.666666666664</v>
      </c>
      <c r="D14" s="76">
        <f t="shared" si="0"/>
        <v>44503.624988425923</v>
      </c>
      <c r="E14" s="76">
        <f t="shared" ref="E14:E32" si="4">D14+TIME(0,$F$4,$G$8)</f>
        <v>44503.645833333328</v>
      </c>
      <c r="F14" s="78">
        <f t="shared" ref="F14:F32" si="5">E14+$G$4-TIME(0,$H$4,$G$8)</f>
        <v>44508.624988425923</v>
      </c>
      <c r="K14" t="str">
        <f t="shared" ref="K14:K32" si="6">TEXT(C14,"yyyy-mm-dd")</f>
        <v>2021-11-01</v>
      </c>
      <c r="L14" t="str">
        <f t="shared" si="1"/>
        <v>2021-11-03</v>
      </c>
      <c r="M14" t="str">
        <f t="shared" si="1"/>
        <v>2021-11-03</v>
      </c>
      <c r="N14" t="str">
        <f t="shared" si="1"/>
        <v>2021-11-08</v>
      </c>
      <c r="O14" s="70" t="str">
        <f t="shared" ref="O14:O32" si="7">TEXT(C14,"hh:mm:ss")</f>
        <v>16:00:00</v>
      </c>
      <c r="P14" s="70" t="str">
        <f t="shared" si="2"/>
        <v>14:59:59</v>
      </c>
      <c r="Q14" s="70" t="str">
        <f t="shared" si="2"/>
        <v>15:30:00</v>
      </c>
      <c r="R14" s="70" t="str">
        <f t="shared" si="2"/>
        <v>14:59:59</v>
      </c>
      <c r="T14" s="80">
        <v>2</v>
      </c>
      <c r="U14" s="76" t="str">
        <f t="shared" ref="U14:U32" si="8">CONCATENATE(K14," ",O14)</f>
        <v>2021-11-01 16:00:00</v>
      </c>
      <c r="V14" s="76" t="str">
        <f t="shared" si="3"/>
        <v>2021-11-03 14:59:59</v>
      </c>
      <c r="W14" s="76" t="str">
        <f t="shared" si="3"/>
        <v>2021-11-03 15:30:00</v>
      </c>
      <c r="X14" s="76" t="str">
        <f t="shared" si="3"/>
        <v>2021-11-08 14:59:59</v>
      </c>
    </row>
    <row r="15" spans="2:24" x14ac:dyDescent="0.3">
      <c r="B15" s="80">
        <v>3</v>
      </c>
      <c r="C15" s="76">
        <f t="shared" ref="C15:C32" si="9">F14+$C$8</f>
        <v>44508.666666666664</v>
      </c>
      <c r="D15" s="76">
        <f t="shared" si="0"/>
        <v>44510.624988425923</v>
      </c>
      <c r="E15" s="76">
        <f t="shared" si="4"/>
        <v>44510.645833333328</v>
      </c>
      <c r="F15" s="78">
        <f t="shared" si="5"/>
        <v>44515.624988425923</v>
      </c>
      <c r="K15" t="str">
        <f t="shared" si="6"/>
        <v>2021-11-08</v>
      </c>
      <c r="L15" t="str">
        <f t="shared" si="1"/>
        <v>2021-11-10</v>
      </c>
      <c r="M15" t="str">
        <f t="shared" si="1"/>
        <v>2021-11-10</v>
      </c>
      <c r="N15" t="str">
        <f t="shared" si="1"/>
        <v>2021-11-15</v>
      </c>
      <c r="O15" s="70" t="str">
        <f t="shared" si="7"/>
        <v>16:00:00</v>
      </c>
      <c r="P15" s="70" t="str">
        <f t="shared" si="2"/>
        <v>14:59:59</v>
      </c>
      <c r="Q15" s="70" t="str">
        <f t="shared" si="2"/>
        <v>15:30:00</v>
      </c>
      <c r="R15" s="70" t="str">
        <f t="shared" si="2"/>
        <v>14:59:59</v>
      </c>
      <c r="T15" s="80">
        <v>3</v>
      </c>
      <c r="U15" s="76" t="str">
        <f t="shared" si="8"/>
        <v>2021-11-08 16:00:00</v>
      </c>
      <c r="V15" s="76" t="str">
        <f t="shared" si="3"/>
        <v>2021-11-10 14:59:59</v>
      </c>
      <c r="W15" s="76" t="str">
        <f t="shared" si="3"/>
        <v>2021-11-10 15:30:00</v>
      </c>
      <c r="X15" s="76" t="str">
        <f t="shared" si="3"/>
        <v>2021-11-15 14:59:59</v>
      </c>
    </row>
    <row r="16" spans="2:24" x14ac:dyDescent="0.3">
      <c r="B16" s="80">
        <v>4</v>
      </c>
      <c r="C16" s="76">
        <f t="shared" si="9"/>
        <v>44515.666666666664</v>
      </c>
      <c r="D16" s="76">
        <f t="shared" si="0"/>
        <v>44517.624988425923</v>
      </c>
      <c r="E16" s="76">
        <f t="shared" si="4"/>
        <v>44517.645833333328</v>
      </c>
      <c r="F16" s="78">
        <f t="shared" si="5"/>
        <v>44522.624988425923</v>
      </c>
      <c r="K16" t="str">
        <f t="shared" si="6"/>
        <v>2021-11-15</v>
      </c>
      <c r="L16" t="str">
        <f t="shared" si="1"/>
        <v>2021-11-17</v>
      </c>
      <c r="M16" t="str">
        <f t="shared" si="1"/>
        <v>2021-11-17</v>
      </c>
      <c r="N16" t="str">
        <f t="shared" si="1"/>
        <v>2021-11-22</v>
      </c>
      <c r="O16" s="70" t="str">
        <f t="shared" si="7"/>
        <v>16:00:00</v>
      </c>
      <c r="P16" s="70" t="str">
        <f t="shared" si="2"/>
        <v>14:59:59</v>
      </c>
      <c r="Q16" s="70" t="str">
        <f t="shared" si="2"/>
        <v>15:30:00</v>
      </c>
      <c r="R16" s="70" t="str">
        <f t="shared" si="2"/>
        <v>14:59:59</v>
      </c>
      <c r="T16" s="80">
        <v>4</v>
      </c>
      <c r="U16" s="76" t="str">
        <f t="shared" si="8"/>
        <v>2021-11-15 16:00:00</v>
      </c>
      <c r="V16" s="76" t="str">
        <f t="shared" si="3"/>
        <v>2021-11-17 14:59:59</v>
      </c>
      <c r="W16" s="76" t="str">
        <f t="shared" si="3"/>
        <v>2021-11-17 15:30:00</v>
      </c>
      <c r="X16" s="76" t="str">
        <f t="shared" si="3"/>
        <v>2021-11-22 14:59:59</v>
      </c>
    </row>
    <row r="17" spans="2:24" x14ac:dyDescent="0.3">
      <c r="B17" s="80">
        <v>5</v>
      </c>
      <c r="C17" s="76">
        <f t="shared" si="9"/>
        <v>44522.666666666664</v>
      </c>
      <c r="D17" s="76">
        <f t="shared" si="0"/>
        <v>44524.624988425923</v>
      </c>
      <c r="E17" s="76">
        <f t="shared" si="4"/>
        <v>44524.645833333328</v>
      </c>
      <c r="F17" s="78">
        <f t="shared" si="5"/>
        <v>44529.624988425923</v>
      </c>
      <c r="K17" t="str">
        <f t="shared" si="6"/>
        <v>2021-11-22</v>
      </c>
      <c r="L17" t="str">
        <f t="shared" si="1"/>
        <v>2021-11-24</v>
      </c>
      <c r="M17" t="str">
        <f t="shared" si="1"/>
        <v>2021-11-24</v>
      </c>
      <c r="N17" t="str">
        <f t="shared" si="1"/>
        <v>2021-11-29</v>
      </c>
      <c r="O17" s="70" t="str">
        <f t="shared" si="7"/>
        <v>16:00:00</v>
      </c>
      <c r="P17" s="70" t="str">
        <f t="shared" si="2"/>
        <v>14:59:59</v>
      </c>
      <c r="Q17" s="70" t="str">
        <f t="shared" si="2"/>
        <v>15:30:00</v>
      </c>
      <c r="R17" s="70" t="str">
        <f t="shared" si="2"/>
        <v>14:59:59</v>
      </c>
      <c r="T17" s="80">
        <v>5</v>
      </c>
      <c r="U17" s="76" t="str">
        <f t="shared" si="8"/>
        <v>2021-11-22 16:00:00</v>
      </c>
      <c r="V17" s="76" t="str">
        <f t="shared" si="3"/>
        <v>2021-11-24 14:59:59</v>
      </c>
      <c r="W17" s="76" t="str">
        <f t="shared" si="3"/>
        <v>2021-11-24 15:30:00</v>
      </c>
      <c r="X17" s="76" t="str">
        <f t="shared" si="3"/>
        <v>2021-11-29 14:59:59</v>
      </c>
    </row>
    <row r="18" spans="2:24" x14ac:dyDescent="0.3">
      <c r="B18" s="80">
        <v>6</v>
      </c>
      <c r="C18" s="76">
        <f t="shared" si="9"/>
        <v>44529.666666666664</v>
      </c>
      <c r="D18" s="76">
        <f t="shared" si="0"/>
        <v>44531.624988425923</v>
      </c>
      <c r="E18" s="76">
        <f t="shared" si="4"/>
        <v>44531.645833333328</v>
      </c>
      <c r="F18" s="78">
        <f t="shared" si="5"/>
        <v>44536.624988425923</v>
      </c>
      <c r="K18" t="str">
        <f t="shared" si="6"/>
        <v>2021-11-29</v>
      </c>
      <c r="L18" t="str">
        <f t="shared" si="1"/>
        <v>2021-12-01</v>
      </c>
      <c r="M18" t="str">
        <f t="shared" si="1"/>
        <v>2021-12-01</v>
      </c>
      <c r="N18" t="str">
        <f t="shared" si="1"/>
        <v>2021-12-06</v>
      </c>
      <c r="O18" s="70" t="str">
        <f t="shared" si="7"/>
        <v>16:00:00</v>
      </c>
      <c r="P18" s="70" t="str">
        <f t="shared" si="2"/>
        <v>14:59:59</v>
      </c>
      <c r="Q18" s="70" t="str">
        <f t="shared" si="2"/>
        <v>15:30:00</v>
      </c>
      <c r="R18" s="70" t="str">
        <f t="shared" si="2"/>
        <v>14:59:59</v>
      </c>
      <c r="T18" s="80">
        <v>6</v>
      </c>
      <c r="U18" s="76" t="str">
        <f t="shared" si="8"/>
        <v>2021-11-29 16:00:00</v>
      </c>
      <c r="V18" s="76" t="str">
        <f t="shared" si="3"/>
        <v>2021-12-01 14:59:59</v>
      </c>
      <c r="W18" s="76" t="str">
        <f t="shared" si="3"/>
        <v>2021-12-01 15:30:00</v>
      </c>
      <c r="X18" s="76" t="str">
        <f t="shared" si="3"/>
        <v>2021-12-06 14:59:59</v>
      </c>
    </row>
    <row r="19" spans="2:24" x14ac:dyDescent="0.3">
      <c r="B19" s="80">
        <v>7</v>
      </c>
      <c r="C19" s="76">
        <f t="shared" si="9"/>
        <v>44536.666666666664</v>
      </c>
      <c r="D19" s="76">
        <f t="shared" si="0"/>
        <v>44538.624988425923</v>
      </c>
      <c r="E19" s="76">
        <f t="shared" si="4"/>
        <v>44538.645833333328</v>
      </c>
      <c r="F19" s="78">
        <f t="shared" si="5"/>
        <v>44543.624988425923</v>
      </c>
      <c r="K19" t="str">
        <f t="shared" si="6"/>
        <v>2021-12-06</v>
      </c>
      <c r="L19" t="str">
        <f t="shared" si="1"/>
        <v>2021-12-08</v>
      </c>
      <c r="M19" t="str">
        <f t="shared" si="1"/>
        <v>2021-12-08</v>
      </c>
      <c r="N19" t="str">
        <f t="shared" si="1"/>
        <v>2021-12-13</v>
      </c>
      <c r="O19" s="70" t="str">
        <f t="shared" si="7"/>
        <v>16:00:00</v>
      </c>
      <c r="P19" s="70" t="str">
        <f t="shared" si="2"/>
        <v>14:59:59</v>
      </c>
      <c r="Q19" s="70" t="str">
        <f t="shared" si="2"/>
        <v>15:30:00</v>
      </c>
      <c r="R19" s="70" t="str">
        <f t="shared" si="2"/>
        <v>14:59:59</v>
      </c>
      <c r="T19" s="80">
        <v>7</v>
      </c>
      <c r="U19" s="76" t="str">
        <f t="shared" si="8"/>
        <v>2021-12-06 16:00:00</v>
      </c>
      <c r="V19" s="76" t="str">
        <f t="shared" si="3"/>
        <v>2021-12-08 14:59:59</v>
      </c>
      <c r="W19" s="76" t="str">
        <f t="shared" si="3"/>
        <v>2021-12-08 15:30:00</v>
      </c>
      <c r="X19" s="76" t="str">
        <f t="shared" si="3"/>
        <v>2021-12-13 14:59:59</v>
      </c>
    </row>
    <row r="20" spans="2:24" x14ac:dyDescent="0.3">
      <c r="B20" s="80">
        <v>8</v>
      </c>
      <c r="C20" s="76">
        <f t="shared" si="9"/>
        <v>44543.666666666664</v>
      </c>
      <c r="D20" s="76">
        <f t="shared" si="0"/>
        <v>44545.624988425923</v>
      </c>
      <c r="E20" s="76">
        <f t="shared" si="4"/>
        <v>44545.645833333328</v>
      </c>
      <c r="F20" s="78">
        <f t="shared" si="5"/>
        <v>44550.624988425923</v>
      </c>
      <c r="K20" t="str">
        <f t="shared" si="6"/>
        <v>2021-12-13</v>
      </c>
      <c r="L20" t="str">
        <f t="shared" si="1"/>
        <v>2021-12-15</v>
      </c>
      <c r="M20" t="str">
        <f t="shared" si="1"/>
        <v>2021-12-15</v>
      </c>
      <c r="N20" t="str">
        <f t="shared" si="1"/>
        <v>2021-12-20</v>
      </c>
      <c r="O20" s="70" t="str">
        <f t="shared" si="7"/>
        <v>16:00:00</v>
      </c>
      <c r="P20" s="70" t="str">
        <f t="shared" si="2"/>
        <v>14:59:59</v>
      </c>
      <c r="Q20" s="70" t="str">
        <f t="shared" si="2"/>
        <v>15:30:00</v>
      </c>
      <c r="R20" s="70" t="str">
        <f t="shared" si="2"/>
        <v>14:59:59</v>
      </c>
      <c r="T20" s="80">
        <v>8</v>
      </c>
      <c r="U20" s="76" t="str">
        <f t="shared" si="8"/>
        <v>2021-12-13 16:00:00</v>
      </c>
      <c r="V20" s="76" t="str">
        <f t="shared" si="3"/>
        <v>2021-12-15 14:59:59</v>
      </c>
      <c r="W20" s="76" t="str">
        <f t="shared" si="3"/>
        <v>2021-12-15 15:30:00</v>
      </c>
      <c r="X20" s="76" t="str">
        <f t="shared" si="3"/>
        <v>2021-12-20 14:59:59</v>
      </c>
    </row>
    <row r="21" spans="2:24" x14ac:dyDescent="0.3">
      <c r="B21" s="80">
        <v>9</v>
      </c>
      <c r="C21" s="76">
        <f t="shared" si="9"/>
        <v>44550.666666666664</v>
      </c>
      <c r="D21" s="76">
        <f t="shared" si="0"/>
        <v>44552.624988425923</v>
      </c>
      <c r="E21" s="76">
        <f t="shared" si="4"/>
        <v>44552.645833333328</v>
      </c>
      <c r="F21" s="78">
        <f t="shared" si="5"/>
        <v>44557.624988425923</v>
      </c>
      <c r="K21" t="str">
        <f t="shared" si="6"/>
        <v>2021-12-20</v>
      </c>
      <c r="L21" t="str">
        <f t="shared" si="1"/>
        <v>2021-12-22</v>
      </c>
      <c r="M21" t="str">
        <f t="shared" si="1"/>
        <v>2021-12-22</v>
      </c>
      <c r="N21" t="str">
        <f t="shared" si="1"/>
        <v>2021-12-27</v>
      </c>
      <c r="O21" s="70" t="str">
        <f t="shared" si="7"/>
        <v>16:00:00</v>
      </c>
      <c r="P21" s="70" t="str">
        <f t="shared" si="2"/>
        <v>14:59:59</v>
      </c>
      <c r="Q21" s="70" t="str">
        <f t="shared" si="2"/>
        <v>15:30:00</v>
      </c>
      <c r="R21" s="70" t="str">
        <f t="shared" si="2"/>
        <v>14:59:59</v>
      </c>
      <c r="T21" s="80">
        <v>9</v>
      </c>
      <c r="U21" s="76" t="str">
        <f t="shared" si="8"/>
        <v>2021-12-20 16:00:00</v>
      </c>
      <c r="V21" s="76" t="str">
        <f t="shared" si="3"/>
        <v>2021-12-22 14:59:59</v>
      </c>
      <c r="W21" s="76" t="str">
        <f t="shared" si="3"/>
        <v>2021-12-22 15:30:00</v>
      </c>
      <c r="X21" s="76" t="str">
        <f t="shared" si="3"/>
        <v>2021-12-27 14:59:59</v>
      </c>
    </row>
    <row r="22" spans="2:24" x14ac:dyDescent="0.3">
      <c r="B22" s="80">
        <v>10</v>
      </c>
      <c r="C22" s="76">
        <f t="shared" si="9"/>
        <v>44557.666666666664</v>
      </c>
      <c r="D22" s="76">
        <f t="shared" si="0"/>
        <v>44559.624988425923</v>
      </c>
      <c r="E22" s="76">
        <f t="shared" si="4"/>
        <v>44559.645833333328</v>
      </c>
      <c r="F22" s="78">
        <f t="shared" si="5"/>
        <v>44564.624988425923</v>
      </c>
      <c r="K22" t="str">
        <f t="shared" si="6"/>
        <v>2021-12-27</v>
      </c>
      <c r="L22" t="str">
        <f t="shared" si="1"/>
        <v>2021-12-29</v>
      </c>
      <c r="M22" t="str">
        <f t="shared" si="1"/>
        <v>2021-12-29</v>
      </c>
      <c r="N22" t="str">
        <f t="shared" si="1"/>
        <v>2022-01-03</v>
      </c>
      <c r="O22" s="70" t="str">
        <f t="shared" si="7"/>
        <v>16:00:00</v>
      </c>
      <c r="P22" s="70" t="str">
        <f t="shared" si="2"/>
        <v>14:59:59</v>
      </c>
      <c r="Q22" s="70" t="str">
        <f t="shared" si="2"/>
        <v>15:30:00</v>
      </c>
      <c r="R22" s="70" t="str">
        <f t="shared" si="2"/>
        <v>14:59:59</v>
      </c>
      <c r="T22" s="80">
        <v>10</v>
      </c>
      <c r="U22" s="76" t="str">
        <f t="shared" si="8"/>
        <v>2021-12-27 16:00:00</v>
      </c>
      <c r="V22" s="76" t="str">
        <f t="shared" si="3"/>
        <v>2021-12-29 14:59:59</v>
      </c>
      <c r="W22" s="76" t="str">
        <f t="shared" si="3"/>
        <v>2021-12-29 15:30:00</v>
      </c>
      <c r="X22" s="76" t="str">
        <f t="shared" si="3"/>
        <v>2022-01-03 14:59:59</v>
      </c>
    </row>
    <row r="23" spans="2:24" x14ac:dyDescent="0.3">
      <c r="B23" s="80">
        <v>11</v>
      </c>
      <c r="C23" s="76">
        <f t="shared" si="9"/>
        <v>44564.666666666664</v>
      </c>
      <c r="D23" s="76">
        <f t="shared" si="0"/>
        <v>44566.624988425923</v>
      </c>
      <c r="E23" s="76">
        <f t="shared" si="4"/>
        <v>44566.645833333328</v>
      </c>
      <c r="F23" s="78">
        <f t="shared" si="5"/>
        <v>44571.624988425923</v>
      </c>
      <c r="K23" t="str">
        <f t="shared" si="6"/>
        <v>2022-01-03</v>
      </c>
      <c r="L23" t="str">
        <f t="shared" si="1"/>
        <v>2022-01-05</v>
      </c>
      <c r="M23" t="str">
        <f t="shared" si="1"/>
        <v>2022-01-05</v>
      </c>
      <c r="N23" t="str">
        <f t="shared" si="1"/>
        <v>2022-01-10</v>
      </c>
      <c r="O23" s="70" t="str">
        <f t="shared" si="7"/>
        <v>16:00:00</v>
      </c>
      <c r="P23" s="70" t="str">
        <f t="shared" si="2"/>
        <v>14:59:59</v>
      </c>
      <c r="Q23" s="70" t="str">
        <f t="shared" si="2"/>
        <v>15:30:00</v>
      </c>
      <c r="R23" s="70" t="str">
        <f t="shared" si="2"/>
        <v>14:59:59</v>
      </c>
      <c r="T23" s="80">
        <v>11</v>
      </c>
      <c r="U23" s="76" t="str">
        <f t="shared" si="8"/>
        <v>2022-01-03 16:00:00</v>
      </c>
      <c r="V23" s="76" t="str">
        <f t="shared" si="3"/>
        <v>2022-01-05 14:59:59</v>
      </c>
      <c r="W23" s="76" t="str">
        <f t="shared" si="3"/>
        <v>2022-01-05 15:30:00</v>
      </c>
      <c r="X23" s="76" t="str">
        <f t="shared" si="3"/>
        <v>2022-01-10 14:59:59</v>
      </c>
    </row>
    <row r="24" spans="2:24" x14ac:dyDescent="0.3">
      <c r="B24" s="80">
        <v>12</v>
      </c>
      <c r="C24" s="76">
        <f t="shared" si="9"/>
        <v>44571.666666666664</v>
      </c>
      <c r="D24" s="76">
        <f t="shared" si="0"/>
        <v>44573.624988425923</v>
      </c>
      <c r="E24" s="76">
        <f t="shared" si="4"/>
        <v>44573.645833333328</v>
      </c>
      <c r="F24" s="78">
        <f t="shared" si="5"/>
        <v>44578.624988425923</v>
      </c>
      <c r="K24" t="str">
        <f t="shared" si="6"/>
        <v>2022-01-10</v>
      </c>
      <c r="L24" t="str">
        <f t="shared" si="1"/>
        <v>2022-01-12</v>
      </c>
      <c r="M24" t="str">
        <f t="shared" si="1"/>
        <v>2022-01-12</v>
      </c>
      <c r="N24" t="str">
        <f t="shared" si="1"/>
        <v>2022-01-17</v>
      </c>
      <c r="O24" s="70" t="str">
        <f t="shared" si="7"/>
        <v>16:00:00</v>
      </c>
      <c r="P24" s="70" t="str">
        <f t="shared" si="2"/>
        <v>14:59:59</v>
      </c>
      <c r="Q24" s="70" t="str">
        <f t="shared" si="2"/>
        <v>15:30:00</v>
      </c>
      <c r="R24" s="70" t="str">
        <f t="shared" si="2"/>
        <v>14:59:59</v>
      </c>
      <c r="T24" s="80">
        <v>12</v>
      </c>
      <c r="U24" s="76" t="str">
        <f t="shared" si="8"/>
        <v>2022-01-10 16:00:00</v>
      </c>
      <c r="V24" s="76" t="str">
        <f t="shared" si="3"/>
        <v>2022-01-12 14:59:59</v>
      </c>
      <c r="W24" s="76" t="str">
        <f t="shared" si="3"/>
        <v>2022-01-12 15:30:00</v>
      </c>
      <c r="X24" s="76" t="str">
        <f t="shared" si="3"/>
        <v>2022-01-17 14:59:59</v>
      </c>
    </row>
    <row r="25" spans="2:24" x14ac:dyDescent="0.3">
      <c r="B25" s="80">
        <v>13</v>
      </c>
      <c r="C25" s="76">
        <f t="shared" si="9"/>
        <v>44578.666666666664</v>
      </c>
      <c r="D25" s="76">
        <f t="shared" si="0"/>
        <v>44580.624988425923</v>
      </c>
      <c r="E25" s="76">
        <f t="shared" si="4"/>
        <v>44580.645833333328</v>
      </c>
      <c r="F25" s="78">
        <f t="shared" si="5"/>
        <v>44585.624988425923</v>
      </c>
      <c r="K25" t="str">
        <f t="shared" si="6"/>
        <v>2022-01-17</v>
      </c>
      <c r="L25" t="str">
        <f t="shared" si="1"/>
        <v>2022-01-19</v>
      </c>
      <c r="M25" t="str">
        <f t="shared" si="1"/>
        <v>2022-01-19</v>
      </c>
      <c r="N25" t="str">
        <f t="shared" si="1"/>
        <v>2022-01-24</v>
      </c>
      <c r="O25" s="70" t="str">
        <f t="shared" si="7"/>
        <v>16:00:00</v>
      </c>
      <c r="P25" s="70" t="str">
        <f t="shared" si="2"/>
        <v>14:59:59</v>
      </c>
      <c r="Q25" s="70" t="str">
        <f t="shared" si="2"/>
        <v>15:30:00</v>
      </c>
      <c r="R25" s="70" t="str">
        <f t="shared" si="2"/>
        <v>14:59:59</v>
      </c>
      <c r="T25" s="80">
        <v>13</v>
      </c>
      <c r="U25" s="76" t="str">
        <f t="shared" si="8"/>
        <v>2022-01-17 16:00:00</v>
      </c>
      <c r="V25" s="76" t="str">
        <f t="shared" si="3"/>
        <v>2022-01-19 14:59:59</v>
      </c>
      <c r="W25" s="76" t="str">
        <f t="shared" si="3"/>
        <v>2022-01-19 15:30:00</v>
      </c>
      <c r="X25" s="76" t="str">
        <f t="shared" si="3"/>
        <v>2022-01-24 14:59:59</v>
      </c>
    </row>
    <row r="26" spans="2:24" x14ac:dyDescent="0.3">
      <c r="B26" s="80">
        <v>14</v>
      </c>
      <c r="C26" s="76">
        <f t="shared" si="9"/>
        <v>44585.666666666664</v>
      </c>
      <c r="D26" s="76">
        <f t="shared" si="0"/>
        <v>44587.624988425923</v>
      </c>
      <c r="E26" s="76">
        <f t="shared" si="4"/>
        <v>44587.645833333328</v>
      </c>
      <c r="F26" s="78">
        <f t="shared" si="5"/>
        <v>44592.624988425923</v>
      </c>
      <c r="K26" t="str">
        <f t="shared" si="6"/>
        <v>2022-01-24</v>
      </c>
      <c r="L26" t="str">
        <f t="shared" si="1"/>
        <v>2022-01-26</v>
      </c>
      <c r="M26" t="str">
        <f t="shared" si="1"/>
        <v>2022-01-26</v>
      </c>
      <c r="N26" t="str">
        <f t="shared" si="1"/>
        <v>2022-01-31</v>
      </c>
      <c r="O26" s="70" t="str">
        <f t="shared" si="7"/>
        <v>16:00:00</v>
      </c>
      <c r="P26" s="70" t="str">
        <f t="shared" si="2"/>
        <v>14:59:59</v>
      </c>
      <c r="Q26" s="70" t="str">
        <f t="shared" si="2"/>
        <v>15:30:00</v>
      </c>
      <c r="R26" s="70" t="str">
        <f t="shared" si="2"/>
        <v>14:59:59</v>
      </c>
      <c r="T26" s="80">
        <v>14</v>
      </c>
      <c r="U26" s="76" t="str">
        <f t="shared" si="8"/>
        <v>2022-01-24 16:00:00</v>
      </c>
      <c r="V26" s="76" t="str">
        <f t="shared" si="3"/>
        <v>2022-01-26 14:59:59</v>
      </c>
      <c r="W26" s="76" t="str">
        <f t="shared" si="3"/>
        <v>2022-01-26 15:30:00</v>
      </c>
      <c r="X26" s="76" t="str">
        <f t="shared" si="3"/>
        <v>2022-01-31 14:59:59</v>
      </c>
    </row>
    <row r="27" spans="2:24" x14ac:dyDescent="0.3">
      <c r="B27" s="80">
        <v>15</v>
      </c>
      <c r="C27" s="76">
        <f t="shared" si="9"/>
        <v>44592.666666666664</v>
      </c>
      <c r="D27" s="76">
        <f t="shared" si="0"/>
        <v>44594.624988425923</v>
      </c>
      <c r="E27" s="76">
        <f t="shared" si="4"/>
        <v>44594.645833333328</v>
      </c>
      <c r="F27" s="78">
        <f t="shared" si="5"/>
        <v>44599.624988425923</v>
      </c>
      <c r="K27" t="str">
        <f t="shared" si="6"/>
        <v>2022-01-31</v>
      </c>
      <c r="L27" t="str">
        <f t="shared" si="1"/>
        <v>2022-02-02</v>
      </c>
      <c r="M27" t="str">
        <f t="shared" si="1"/>
        <v>2022-02-02</v>
      </c>
      <c r="N27" t="str">
        <f t="shared" si="1"/>
        <v>2022-02-07</v>
      </c>
      <c r="O27" s="70" t="str">
        <f t="shared" si="7"/>
        <v>16:00:00</v>
      </c>
      <c r="P27" s="70" t="str">
        <f t="shared" si="2"/>
        <v>14:59:59</v>
      </c>
      <c r="Q27" s="70" t="str">
        <f t="shared" si="2"/>
        <v>15:30:00</v>
      </c>
      <c r="R27" s="70" t="str">
        <f t="shared" si="2"/>
        <v>14:59:59</v>
      </c>
      <c r="T27" s="80">
        <v>15</v>
      </c>
      <c r="U27" s="76" t="str">
        <f t="shared" si="8"/>
        <v>2022-01-31 16:00:00</v>
      </c>
      <c r="V27" s="76" t="str">
        <f t="shared" si="3"/>
        <v>2022-02-02 14:59:59</v>
      </c>
      <c r="W27" s="76" t="str">
        <f t="shared" si="3"/>
        <v>2022-02-02 15:30:00</v>
      </c>
      <c r="X27" s="76" t="str">
        <f t="shared" si="3"/>
        <v>2022-02-07 14:59:59</v>
      </c>
    </row>
    <row r="28" spans="2:24" x14ac:dyDescent="0.3">
      <c r="B28" s="80">
        <v>16</v>
      </c>
      <c r="C28" s="76">
        <f t="shared" si="9"/>
        <v>44599.666666666664</v>
      </c>
      <c r="D28" s="76">
        <f t="shared" si="0"/>
        <v>44601.624988425923</v>
      </c>
      <c r="E28" s="76">
        <f t="shared" si="4"/>
        <v>44601.645833333328</v>
      </c>
      <c r="F28" s="78">
        <f t="shared" si="5"/>
        <v>44606.624988425923</v>
      </c>
      <c r="K28" t="str">
        <f t="shared" si="6"/>
        <v>2022-02-07</v>
      </c>
      <c r="L28" t="str">
        <f t="shared" si="1"/>
        <v>2022-02-09</v>
      </c>
      <c r="M28" t="str">
        <f t="shared" si="1"/>
        <v>2022-02-09</v>
      </c>
      <c r="N28" t="str">
        <f t="shared" si="1"/>
        <v>2022-02-14</v>
      </c>
      <c r="O28" s="70" t="str">
        <f t="shared" si="7"/>
        <v>16:00:00</v>
      </c>
      <c r="P28" s="70" t="str">
        <f t="shared" si="2"/>
        <v>14:59:59</v>
      </c>
      <c r="Q28" s="70" t="str">
        <f t="shared" si="2"/>
        <v>15:30:00</v>
      </c>
      <c r="R28" s="70" t="str">
        <f t="shared" si="2"/>
        <v>14:59:59</v>
      </c>
      <c r="T28" s="80">
        <v>16</v>
      </c>
      <c r="U28" s="76" t="str">
        <f t="shared" si="8"/>
        <v>2022-02-07 16:00:00</v>
      </c>
      <c r="V28" s="76" t="str">
        <f t="shared" si="3"/>
        <v>2022-02-09 14:59:59</v>
      </c>
      <c r="W28" s="76" t="str">
        <f t="shared" si="3"/>
        <v>2022-02-09 15:30:00</v>
      </c>
      <c r="X28" s="76" t="str">
        <f t="shared" si="3"/>
        <v>2022-02-14 14:59:59</v>
      </c>
    </row>
    <row r="29" spans="2:24" x14ac:dyDescent="0.3">
      <c r="B29" s="80">
        <v>17</v>
      </c>
      <c r="C29" s="76">
        <f t="shared" si="9"/>
        <v>44606.666666666664</v>
      </c>
      <c r="D29" s="76">
        <f t="shared" si="0"/>
        <v>44608.624988425923</v>
      </c>
      <c r="E29" s="76">
        <f t="shared" si="4"/>
        <v>44608.645833333328</v>
      </c>
      <c r="F29" s="78">
        <f t="shared" si="5"/>
        <v>44613.624988425923</v>
      </c>
      <c r="K29" t="str">
        <f t="shared" si="6"/>
        <v>2022-02-14</v>
      </c>
      <c r="L29" t="str">
        <f t="shared" ref="L29:L32" si="10">TEXT(D29,"yyyy-mm-dd")</f>
        <v>2022-02-16</v>
      </c>
      <c r="M29" t="str">
        <f t="shared" ref="M29:M32" si="11">TEXT(E29,"yyyy-mm-dd")</f>
        <v>2022-02-16</v>
      </c>
      <c r="N29" t="str">
        <f t="shared" ref="N29:N32" si="12">TEXT(F29,"yyyy-mm-dd")</f>
        <v>2022-02-21</v>
      </c>
      <c r="O29" s="70" t="str">
        <f t="shared" si="7"/>
        <v>16:00:00</v>
      </c>
      <c r="P29" s="70" t="str">
        <f t="shared" ref="P29:P32" si="13">TEXT(D29,"hh:mm:ss")</f>
        <v>14:59:59</v>
      </c>
      <c r="Q29" s="70" t="str">
        <f t="shared" ref="Q29:Q32" si="14">TEXT(E29,"hh:mm:ss")</f>
        <v>15:30:00</v>
      </c>
      <c r="R29" s="70" t="str">
        <f t="shared" ref="R29:R32" si="15">TEXT(F29,"hh:mm:ss")</f>
        <v>14:59:59</v>
      </c>
      <c r="T29" s="80">
        <v>17</v>
      </c>
      <c r="U29" s="76" t="str">
        <f t="shared" si="8"/>
        <v>2022-02-14 16:00:00</v>
      </c>
      <c r="V29" s="76" t="str">
        <f t="shared" ref="V29:V32" si="16">CONCATENATE(L29," ",P29)</f>
        <v>2022-02-16 14:59:59</v>
      </c>
      <c r="W29" s="76" t="str">
        <f t="shared" ref="W29:W32" si="17">CONCATENATE(M29," ",Q29)</f>
        <v>2022-02-16 15:30:00</v>
      </c>
      <c r="X29" s="76" t="str">
        <f t="shared" ref="X29:X32" si="18">CONCATENATE(N29," ",R29)</f>
        <v>2022-02-21 14:59:59</v>
      </c>
    </row>
    <row r="30" spans="2:24" x14ac:dyDescent="0.3">
      <c r="B30" s="80">
        <v>18</v>
      </c>
      <c r="C30" s="76">
        <f t="shared" si="9"/>
        <v>44613.666666666664</v>
      </c>
      <c r="D30" s="76">
        <f t="shared" si="0"/>
        <v>44615.624988425923</v>
      </c>
      <c r="E30" s="76">
        <f t="shared" si="4"/>
        <v>44615.645833333328</v>
      </c>
      <c r="F30" s="78">
        <f t="shared" si="5"/>
        <v>44620.624988425923</v>
      </c>
      <c r="K30" t="str">
        <f t="shared" si="6"/>
        <v>2022-02-21</v>
      </c>
      <c r="L30" t="str">
        <f t="shared" si="10"/>
        <v>2022-02-23</v>
      </c>
      <c r="M30" t="str">
        <f t="shared" si="11"/>
        <v>2022-02-23</v>
      </c>
      <c r="N30" t="str">
        <f t="shared" si="12"/>
        <v>2022-02-28</v>
      </c>
      <c r="O30" s="70" t="str">
        <f t="shared" si="7"/>
        <v>16:00:00</v>
      </c>
      <c r="P30" s="70" t="str">
        <f t="shared" si="13"/>
        <v>14:59:59</v>
      </c>
      <c r="Q30" s="70" t="str">
        <f t="shared" si="14"/>
        <v>15:30:00</v>
      </c>
      <c r="R30" s="70" t="str">
        <f t="shared" si="15"/>
        <v>14:59:59</v>
      </c>
      <c r="T30" s="80">
        <v>18</v>
      </c>
      <c r="U30" s="76" t="str">
        <f t="shared" si="8"/>
        <v>2022-02-21 16:00:00</v>
      </c>
      <c r="V30" s="76" t="str">
        <f t="shared" si="16"/>
        <v>2022-02-23 14:59:59</v>
      </c>
      <c r="W30" s="76" t="str">
        <f t="shared" si="17"/>
        <v>2022-02-23 15:30:00</v>
      </c>
      <c r="X30" s="76" t="str">
        <f t="shared" si="18"/>
        <v>2022-02-28 14:59:59</v>
      </c>
    </row>
    <row r="31" spans="2:24" x14ac:dyDescent="0.3">
      <c r="B31" s="80">
        <v>19</v>
      </c>
      <c r="C31" s="76">
        <f t="shared" si="9"/>
        <v>44620.666666666664</v>
      </c>
      <c r="D31" s="76">
        <f t="shared" si="0"/>
        <v>44622.624988425923</v>
      </c>
      <c r="E31" s="76">
        <f t="shared" si="4"/>
        <v>44622.645833333328</v>
      </c>
      <c r="F31" s="78">
        <f t="shared" si="5"/>
        <v>44627.624988425923</v>
      </c>
      <c r="K31" t="str">
        <f t="shared" si="6"/>
        <v>2022-02-28</v>
      </c>
      <c r="L31" t="str">
        <f t="shared" si="10"/>
        <v>2022-03-02</v>
      </c>
      <c r="M31" t="str">
        <f t="shared" si="11"/>
        <v>2022-03-02</v>
      </c>
      <c r="N31" t="str">
        <f t="shared" si="12"/>
        <v>2022-03-07</v>
      </c>
      <c r="O31" s="70" t="str">
        <f t="shared" si="7"/>
        <v>16:00:00</v>
      </c>
      <c r="P31" s="70" t="str">
        <f t="shared" si="13"/>
        <v>14:59:59</v>
      </c>
      <c r="Q31" s="70" t="str">
        <f t="shared" si="14"/>
        <v>15:30:00</v>
      </c>
      <c r="R31" s="70" t="str">
        <f t="shared" si="15"/>
        <v>14:59:59</v>
      </c>
      <c r="T31" s="80">
        <v>19</v>
      </c>
      <c r="U31" s="76" t="str">
        <f t="shared" si="8"/>
        <v>2022-02-28 16:00:00</v>
      </c>
      <c r="V31" s="76" t="str">
        <f t="shared" si="16"/>
        <v>2022-03-02 14:59:59</v>
      </c>
      <c r="W31" s="76" t="str">
        <f t="shared" si="17"/>
        <v>2022-03-02 15:30:00</v>
      </c>
      <c r="X31" s="76" t="str">
        <f t="shared" si="18"/>
        <v>2022-03-07 14:59:59</v>
      </c>
    </row>
    <row r="32" spans="2:24" ht="17.25" thickBot="1" x14ac:dyDescent="0.35">
      <c r="B32" s="81">
        <v>20</v>
      </c>
      <c r="C32" s="79">
        <f t="shared" si="9"/>
        <v>44627.666666666664</v>
      </c>
      <c r="D32" s="79">
        <f t="shared" si="0"/>
        <v>44629.624988425923</v>
      </c>
      <c r="E32" s="76">
        <f t="shared" si="4"/>
        <v>44629.645833333328</v>
      </c>
      <c r="F32" s="78">
        <f t="shared" si="5"/>
        <v>44634.624988425923</v>
      </c>
      <c r="K32" t="str">
        <f t="shared" si="6"/>
        <v>2022-03-07</v>
      </c>
      <c r="L32" t="str">
        <f t="shared" si="10"/>
        <v>2022-03-09</v>
      </c>
      <c r="M32" t="str">
        <f t="shared" si="11"/>
        <v>2022-03-09</v>
      </c>
      <c r="N32" t="str">
        <f t="shared" si="12"/>
        <v>2022-03-14</v>
      </c>
      <c r="O32" s="70" t="str">
        <f t="shared" si="7"/>
        <v>16:00:00</v>
      </c>
      <c r="P32" s="70" t="str">
        <f t="shared" si="13"/>
        <v>14:59:59</v>
      </c>
      <c r="Q32" s="70" t="str">
        <f t="shared" si="14"/>
        <v>15:30:00</v>
      </c>
      <c r="R32" s="70" t="str">
        <f t="shared" si="15"/>
        <v>14:59:59</v>
      </c>
      <c r="T32" s="81">
        <v>20</v>
      </c>
      <c r="U32" s="76" t="str">
        <f t="shared" si="8"/>
        <v>2022-03-07 16:00:00</v>
      </c>
      <c r="V32" s="76" t="str">
        <f t="shared" si="16"/>
        <v>2022-03-09 14:59:59</v>
      </c>
      <c r="W32" s="76" t="str">
        <f t="shared" si="17"/>
        <v>2022-03-09 15:30:00</v>
      </c>
      <c r="X32" s="76" t="str">
        <f t="shared" si="18"/>
        <v>2022-03-14 14:59:59</v>
      </c>
    </row>
  </sheetData>
  <mergeCells count="6">
    <mergeCell ref="W11:X11"/>
    <mergeCell ref="C11:D11"/>
    <mergeCell ref="E11:F11"/>
    <mergeCell ref="B11:B12"/>
    <mergeCell ref="T11:T12"/>
    <mergeCell ref="U11:V11"/>
  </mergeCells>
  <phoneticPr fontId="4" type="noConversion"/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GuildSuppressSessionTable</vt:lpstr>
      <vt:lpstr>#Description</vt:lpstr>
      <vt:lpstr>#Live_Data</vt:lpstr>
      <vt:lpstr>#Test_purpose</vt:lpstr>
      <vt:lpstr>#Live_Data_Maker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2021-09-27T12:21:20Z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8a692381-ebea-420e-af25-c74d5333fe61</vt:lpwstr>
  </property>
</Properties>
</file>