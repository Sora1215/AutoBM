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filterPrivacy="1" codeName="ThisWorkbook" defaultThemeVersion="124226"/>
  <xr:revisionPtr revIDLastSave="0" documentId="13_ncr:1_{16A14CD3-5202-42F0-B42E-575C1B3E985C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GemShopItemTable" sheetId="8" state="hidden" r:id="rId1"/>
    <sheet name="RaidTable" sheetId="3" r:id="rId2"/>
    <sheet name="RaidMultiInfoTable" sheetId="9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77" i="3" l="1"/>
  <c r="E276" i="3"/>
  <c r="E275" i="3"/>
  <c r="E274" i="3"/>
  <c r="E273" i="3"/>
  <c r="E272" i="3"/>
  <c r="E271" i="3"/>
  <c r="E270" i="3"/>
  <c r="E269" i="3"/>
  <c r="E268" i="3"/>
  <c r="E267" i="3"/>
  <c r="E266" i="3"/>
  <c r="E265" i="3" l="1"/>
  <c r="E264" i="3"/>
  <c r="E263" i="3"/>
  <c r="E256" i="3"/>
  <c r="E255" i="3"/>
  <c r="E254" i="3"/>
  <c r="E247" i="3"/>
  <c r="E246" i="3"/>
  <c r="E245" i="3"/>
  <c r="E238" i="3"/>
  <c r="E237" i="3"/>
  <c r="E236" i="3"/>
  <c r="E229" i="3"/>
  <c r="E228" i="3"/>
  <c r="E227" i="3"/>
  <c r="E220" i="3"/>
  <c r="E219" i="3"/>
  <c r="E218" i="3"/>
  <c r="E262" i="3" l="1"/>
  <c r="E253" i="3"/>
  <c r="E244" i="3"/>
  <c r="E235" i="3"/>
  <c r="E226" i="3"/>
  <c r="E217" i="3"/>
  <c r="E261" i="3" l="1"/>
  <c r="E260" i="3"/>
  <c r="E259" i="3"/>
  <c r="E258" i="3"/>
  <c r="E257" i="3"/>
  <c r="E252" i="3"/>
  <c r="E251" i="3"/>
  <c r="E250" i="3"/>
  <c r="E249" i="3"/>
  <c r="E248" i="3"/>
  <c r="E243" i="3"/>
  <c r="E242" i="3"/>
  <c r="E241" i="3"/>
  <c r="E240" i="3"/>
  <c r="E239" i="3"/>
  <c r="E234" i="3"/>
  <c r="E233" i="3"/>
  <c r="E232" i="3"/>
  <c r="E231" i="3"/>
  <c r="E230" i="3"/>
  <c r="E225" i="3"/>
  <c r="E224" i="3"/>
  <c r="E223" i="3"/>
  <c r="E222" i="3"/>
  <c r="E221" i="3"/>
  <c r="E216" i="3"/>
  <c r="E215" i="3"/>
  <c r="E214" i="3"/>
  <c r="E213" i="3"/>
  <c r="E212" i="3"/>
  <c r="E211" i="3" l="1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J195" i="3" l="1"/>
  <c r="J194" i="3"/>
  <c r="J193" i="3"/>
  <c r="J192" i="3"/>
  <c r="J191" i="3"/>
  <c r="J190" i="3"/>
  <c r="J189" i="3"/>
  <c r="J188" i="3"/>
  <c r="J187" i="3"/>
  <c r="J185" i="3"/>
  <c r="J184" i="3"/>
  <c r="J183" i="3"/>
  <c r="J182" i="3"/>
  <c r="J181" i="3"/>
  <c r="J180" i="3"/>
  <c r="J179" i="3"/>
  <c r="J178" i="3"/>
  <c r="J177" i="3"/>
  <c r="J175" i="3"/>
  <c r="J174" i="3"/>
  <c r="J173" i="3"/>
  <c r="J172" i="3"/>
  <c r="J171" i="3"/>
  <c r="J170" i="3"/>
  <c r="J169" i="3"/>
  <c r="J168" i="3"/>
  <c r="J167" i="3"/>
  <c r="J165" i="3"/>
  <c r="J164" i="3"/>
  <c r="J163" i="3"/>
  <c r="J162" i="3"/>
  <c r="J161" i="3"/>
  <c r="J160" i="3"/>
  <c r="J159" i="3"/>
  <c r="J158" i="3"/>
  <c r="J157" i="3"/>
  <c r="J155" i="3"/>
  <c r="J154" i="3"/>
  <c r="J153" i="3"/>
  <c r="J152" i="3"/>
  <c r="J151" i="3"/>
  <c r="J150" i="3"/>
  <c r="J149" i="3"/>
  <c r="J148" i="3"/>
  <c r="J147" i="3"/>
  <c r="J145" i="3"/>
  <c r="J144" i="3"/>
  <c r="J143" i="3"/>
  <c r="J142" i="3"/>
  <c r="J141" i="3"/>
  <c r="J140" i="3"/>
  <c r="J139" i="3"/>
  <c r="J138" i="3"/>
  <c r="J137" i="3"/>
  <c r="J135" i="3"/>
  <c r="J134" i="3"/>
  <c r="J133" i="3"/>
  <c r="J132" i="3"/>
  <c r="J131" i="3"/>
  <c r="J130" i="3"/>
  <c r="J129" i="3"/>
  <c r="J128" i="3"/>
  <c r="J127" i="3"/>
  <c r="J125" i="3"/>
  <c r="J124" i="3"/>
  <c r="J123" i="3"/>
  <c r="J122" i="3"/>
  <c r="J121" i="3"/>
  <c r="J120" i="3"/>
  <c r="J119" i="3"/>
  <c r="J118" i="3"/>
  <c r="J117" i="3"/>
  <c r="Q125" i="3"/>
  <c r="E125" i="3"/>
  <c r="F125" i="3" s="1"/>
  <c r="Q124" i="3"/>
  <c r="E124" i="3"/>
  <c r="F124" i="3" s="1"/>
  <c r="Q123" i="3"/>
  <c r="E123" i="3"/>
  <c r="F123" i="3" s="1"/>
  <c r="Q195" i="3"/>
  <c r="Q194" i="3"/>
  <c r="Q193" i="3"/>
  <c r="Q192" i="3"/>
  <c r="Q191" i="3"/>
  <c r="Q190" i="3"/>
  <c r="Q189" i="3"/>
  <c r="Q188" i="3"/>
  <c r="Q187" i="3"/>
  <c r="Q186" i="3"/>
  <c r="Q185" i="3"/>
  <c r="Q184" i="3"/>
  <c r="Q183" i="3"/>
  <c r="Q182" i="3"/>
  <c r="Q181" i="3"/>
  <c r="Q180" i="3"/>
  <c r="Q179" i="3"/>
  <c r="Q178" i="3"/>
  <c r="Q177" i="3"/>
  <c r="Q176" i="3"/>
  <c r="Q175" i="3"/>
  <c r="Q174" i="3"/>
  <c r="Q173" i="3"/>
  <c r="Q172" i="3"/>
  <c r="Q171" i="3"/>
  <c r="Q170" i="3"/>
  <c r="Q169" i="3"/>
  <c r="Q168" i="3"/>
  <c r="Q167" i="3"/>
  <c r="Q166" i="3"/>
  <c r="Q165" i="3"/>
  <c r="Q164" i="3"/>
  <c r="Q163" i="3"/>
  <c r="Q162" i="3"/>
  <c r="Q161" i="3"/>
  <c r="Q160" i="3"/>
  <c r="Q159" i="3"/>
  <c r="Q158" i="3"/>
  <c r="Q157" i="3"/>
  <c r="Q156" i="3"/>
  <c r="Q155" i="3"/>
  <c r="Q154" i="3"/>
  <c r="Q153" i="3"/>
  <c r="Q152" i="3"/>
  <c r="Q151" i="3"/>
  <c r="Q150" i="3"/>
  <c r="Q149" i="3"/>
  <c r="Q148" i="3"/>
  <c r="Q147" i="3"/>
  <c r="Q146" i="3"/>
  <c r="Q145" i="3"/>
  <c r="Q144" i="3"/>
  <c r="Q143" i="3"/>
  <c r="Q142" i="3"/>
  <c r="Q141" i="3"/>
  <c r="Q140" i="3"/>
  <c r="Q139" i="3"/>
  <c r="Q138" i="3"/>
  <c r="Q137" i="3"/>
  <c r="Q136" i="3"/>
  <c r="Q135" i="3"/>
  <c r="Q134" i="3"/>
  <c r="Q133" i="3"/>
  <c r="Q132" i="3"/>
  <c r="Q131" i="3"/>
  <c r="Q130" i="3"/>
  <c r="Q129" i="3"/>
  <c r="Q128" i="3"/>
  <c r="Q127" i="3"/>
  <c r="Q126" i="3"/>
  <c r="Q122" i="3"/>
  <c r="Q121" i="3"/>
  <c r="Q120" i="3"/>
  <c r="Q119" i="3"/>
  <c r="Q118" i="3"/>
  <c r="Q117" i="3"/>
  <c r="Q116" i="3"/>
  <c r="E195" i="3"/>
  <c r="F195" i="3" s="1"/>
  <c r="E194" i="3"/>
  <c r="F194" i="3" s="1"/>
  <c r="E193" i="3"/>
  <c r="F193" i="3" s="1"/>
  <c r="E185" i="3"/>
  <c r="F185" i="3" s="1"/>
  <c r="E184" i="3"/>
  <c r="F184" i="3" s="1"/>
  <c r="E183" i="3"/>
  <c r="F183" i="3" s="1"/>
  <c r="E175" i="3"/>
  <c r="F175" i="3" s="1"/>
  <c r="E174" i="3"/>
  <c r="F174" i="3" s="1"/>
  <c r="E173" i="3"/>
  <c r="F173" i="3" s="1"/>
  <c r="E165" i="3"/>
  <c r="F165" i="3" s="1"/>
  <c r="E164" i="3"/>
  <c r="F164" i="3" s="1"/>
  <c r="E163" i="3"/>
  <c r="F163" i="3" s="1"/>
  <c r="E155" i="3"/>
  <c r="F155" i="3" s="1"/>
  <c r="E154" i="3"/>
  <c r="F154" i="3" s="1"/>
  <c r="E153" i="3"/>
  <c r="F153" i="3" s="1"/>
  <c r="E145" i="3"/>
  <c r="F145" i="3" s="1"/>
  <c r="E144" i="3"/>
  <c r="F144" i="3" s="1"/>
  <c r="E143" i="3"/>
  <c r="F143" i="3" s="1"/>
  <c r="E135" i="3"/>
  <c r="F135" i="3" s="1"/>
  <c r="E134" i="3"/>
  <c r="F134" i="3" s="1"/>
  <c r="E133" i="3"/>
  <c r="F133" i="3" s="1"/>
  <c r="E192" i="3" l="1"/>
  <c r="F192" i="3" s="1"/>
  <c r="E191" i="3"/>
  <c r="F191" i="3" s="1"/>
  <c r="E190" i="3"/>
  <c r="F190" i="3" s="1"/>
  <c r="E189" i="3"/>
  <c r="E188" i="3"/>
  <c r="E187" i="3"/>
  <c r="E186" i="3"/>
  <c r="E182" i="3"/>
  <c r="F182" i="3" s="1"/>
  <c r="E181" i="3"/>
  <c r="F181" i="3" s="1"/>
  <c r="E180" i="3"/>
  <c r="F180" i="3" s="1"/>
  <c r="E179" i="3"/>
  <c r="E178" i="3"/>
  <c r="E177" i="3"/>
  <c r="E176" i="3"/>
  <c r="E172" i="3"/>
  <c r="F172" i="3" s="1"/>
  <c r="E171" i="3"/>
  <c r="F171" i="3" s="1"/>
  <c r="E170" i="3"/>
  <c r="F170" i="3" s="1"/>
  <c r="E169" i="3"/>
  <c r="E168" i="3"/>
  <c r="E167" i="3"/>
  <c r="E166" i="3"/>
  <c r="E162" i="3"/>
  <c r="F162" i="3" s="1"/>
  <c r="E161" i="3"/>
  <c r="F161" i="3" s="1"/>
  <c r="E160" i="3"/>
  <c r="F160" i="3" s="1"/>
  <c r="E159" i="3"/>
  <c r="E158" i="3"/>
  <c r="E157" i="3"/>
  <c r="E156" i="3"/>
  <c r="E152" i="3"/>
  <c r="F152" i="3" s="1"/>
  <c r="E151" i="3"/>
  <c r="F151" i="3" s="1"/>
  <c r="E150" i="3"/>
  <c r="F150" i="3" s="1"/>
  <c r="E149" i="3"/>
  <c r="E148" i="3"/>
  <c r="E147" i="3"/>
  <c r="E146" i="3"/>
  <c r="E142" i="3"/>
  <c r="F142" i="3" s="1"/>
  <c r="E141" i="3"/>
  <c r="F141" i="3" s="1"/>
  <c r="E140" i="3"/>
  <c r="F140" i="3" s="1"/>
  <c r="E139" i="3"/>
  <c r="E138" i="3"/>
  <c r="E137" i="3"/>
  <c r="E136" i="3"/>
  <c r="E132" i="3"/>
  <c r="F132" i="3" s="1"/>
  <c r="E131" i="3"/>
  <c r="F131" i="3" s="1"/>
  <c r="E130" i="3"/>
  <c r="F130" i="3" s="1"/>
  <c r="E129" i="3"/>
  <c r="E128" i="3"/>
  <c r="E127" i="3"/>
  <c r="E126" i="3"/>
  <c r="E122" i="3"/>
  <c r="F122" i="3" s="1"/>
  <c r="E121" i="3"/>
  <c r="F121" i="3" s="1"/>
  <c r="E120" i="3"/>
  <c r="F120" i="3" s="1"/>
  <c r="E119" i="3"/>
  <c r="E118" i="3"/>
  <c r="E117" i="3"/>
  <c r="E116" i="3"/>
  <c r="F189" i="3" l="1"/>
  <c r="F179" i="3"/>
  <c r="F169" i="3"/>
  <c r="F159" i="3"/>
  <c r="F149" i="3"/>
  <c r="F139" i="3"/>
  <c r="F129" i="3"/>
  <c r="F119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188" i="3" l="1"/>
  <c r="F187" i="3"/>
  <c r="F186" i="3"/>
  <c r="F178" i="3"/>
  <c r="F177" i="3"/>
  <c r="F176" i="3"/>
  <c r="F168" i="3"/>
  <c r="F167" i="3"/>
  <c r="F166" i="3"/>
  <c r="F158" i="3"/>
  <c r="F157" i="3"/>
  <c r="F156" i="3"/>
  <c r="F148" i="3"/>
  <c r="F147" i="3"/>
  <c r="F146" i="3"/>
  <c r="F138" i="3"/>
  <c r="F137" i="3"/>
  <c r="F136" i="3"/>
  <c r="F128" i="3"/>
  <c r="F127" i="3"/>
  <c r="F126" i="3"/>
  <c r="F118" i="3"/>
  <c r="F117" i="3"/>
  <c r="F116" i="3"/>
  <c r="F26" i="3"/>
  <c r="F40" i="3"/>
  <c r="F41" i="3"/>
  <c r="F54" i="3"/>
  <c r="F55" i="3"/>
  <c r="F11" i="3" l="1"/>
  <c r="F17" i="3"/>
  <c r="F37" i="3"/>
  <c r="F39" i="3"/>
  <c r="F27" i="3"/>
  <c r="F28" i="3"/>
  <c r="F23" i="3"/>
  <c r="F25" i="3"/>
  <c r="F51" i="3"/>
  <c r="F53" i="3"/>
  <c r="F33" i="3"/>
  <c r="F19" i="3"/>
  <c r="F43" i="3"/>
  <c r="F47" i="3"/>
  <c r="F57" i="3"/>
  <c r="F59" i="3"/>
  <c r="F49" i="3"/>
  <c r="F50" i="3"/>
  <c r="F48" i="3"/>
  <c r="F58" i="3"/>
  <c r="F35" i="3"/>
  <c r="F36" i="3"/>
  <c r="F45" i="3"/>
  <c r="F44" i="3"/>
  <c r="F34" i="3"/>
  <c r="F21" i="3"/>
  <c r="F22" i="3"/>
  <c r="F31" i="3"/>
  <c r="F30" i="3"/>
  <c r="F20" i="3"/>
  <c r="F5" i="3"/>
  <c r="F4" i="3"/>
  <c r="F15" i="3"/>
  <c r="F16" i="3"/>
  <c r="F9" i="3"/>
  <c r="F10" i="3"/>
  <c r="F8" i="3"/>
  <c r="F14" i="3"/>
  <c r="F7" i="3"/>
  <c r="F6" i="3"/>
  <c r="F29" i="3" l="1"/>
  <c r="F18" i="3"/>
  <c r="F46" i="3"/>
  <c r="F38" i="3"/>
  <c r="F42" i="3"/>
  <c r="F56" i="3"/>
  <c r="F24" i="3"/>
  <c r="F32" i="3"/>
  <c r="F52" i="3"/>
  <c r="F13" i="3"/>
  <c r="F1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  <author>tc={E923D0C4-3273-48D8-BAA8-F82EC223700B}</author>
    <author>tc={9A5B0B18-2135-409B-8387-1E3CA59BA700}</author>
    <author>tc={9BDBDE4B-B78E-4E26-B0E6-393685A8BA9D}</author>
    <author>tc={81DBF62D-3490-46D9-BA4B-94D4C7B98001}</author>
    <author>tc={DC04D1ED-FD60-4E66-949C-FF1E267BBEB1}</author>
    <author>tc={30281FE3-6B4B-4206-86C4-E44006B56322}</author>
    <author>tc={6208860E-5494-493E-8B64-C5535F6FFA4A}</author>
    <author>tc={1B0893DA-FCCF-43A4-818F-61690D3C9144}</author>
    <author>tc={02D3D4E5-4085-4A33-B48B-343CDBE6AAD0}</author>
    <author>tc={BBB6677C-E789-4D35-BCC2-55F1A4E7B48C}</author>
    <author>tc={668BAB3D-0A8F-4461-A977-9E565FCF3574}</author>
    <author>tc={052F61CC-D7B5-44CF-80A8-31CE4711DD1E}</author>
    <author>tc={A00A43AE-3CF2-4CD4-9C28-D4E361173AA4}</author>
    <author>tc={881911BA-31D2-4D72-B1B4-1CEF60FCDFBD}</author>
    <author>tc={E8EB2640-CC74-4FCC-9790-CBEBA2BF80BF}</author>
    <author>tc={C60CDC0E-5F72-45B1-A0E3-5157A8D4C091}</author>
    <author>tc={2DB417AD-A169-4D9A-996D-4B1FD98715C3}</author>
    <author>tc={24ADB462-044B-4036-BC2B-08F816E54383}</author>
    <author>tc={BD8A5198-17D7-444C-A765-9035E6AB2007}</author>
    <author>tc={FFF7DAF8-BB55-4BD2-A00A-D2CC88917BC0}</author>
    <author>tc={76972A74-852C-449D-8227-546D59EBDE06}</author>
    <author>tc={73083940-9242-4DF6-B31F-A8043A84AD33}</author>
    <author>tc={CD03BBF2-7EAE-460C-B677-00A829D2EE92}</author>
    <author>tc={0CD9D46D-A03C-44A3-A1C0-61EB5CEC0350}</author>
    <author>tc={C5931CB0-4AEF-4D5C-A039-0F5FCB122879}</author>
    <author>tc={A2DA2375-8A1E-42A3-AAA9-B0BCBDA4B455}</author>
  </authors>
  <commentList>
    <comment ref="AE1" authorId="0" shapeId="0" xr:uid="{8932E324-0902-4044-B6D9-C6C03743F0F4}">
      <text>
        <r>
          <rPr>
            <b/>
            <sz val="9"/>
            <color indexed="81"/>
            <rFont val="Tahoma"/>
            <family val="2"/>
          </rPr>
          <t>401~502 (</t>
        </r>
        <r>
          <rPr>
            <b/>
            <sz val="9"/>
            <color indexed="81"/>
            <rFont val="돋움"/>
            <family val="3"/>
            <charset val="129"/>
          </rPr>
          <t>마도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인챈트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물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마덱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구분을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멀티지만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컬럼을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2" authorId="1" shapeId="0" xr:uid="{E923D0C4-3273-48D8-BAA8-F82EC223700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레이드 인덱스</t>
      </text>
    </comment>
    <comment ref="B2" authorId="2" shapeId="0" xr:uid="{9A5B0B18-2135-409B-8387-1E3CA59BA7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레이드 레벨</t>
      </text>
    </comment>
    <comment ref="D2" authorId="3" shapeId="0" xr:uid="{9BDBDE4B-B78E-4E26-B0E6-393685A8BA9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필터에 보이는 값</t>
      </text>
    </comment>
    <comment ref="E2" authorId="4" shapeId="0" xr:uid="{81DBF62D-3490-46D9-BA4B-94D4C7B9800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단계 로컬</t>
      </text>
    </comment>
    <comment ref="F2" authorId="5" shapeId="0" xr:uid="{DC04D1ED-FD60-4E66-949C-FF1E267BBEB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단계별 도움 로컬</t>
      </text>
    </comment>
    <comment ref="G2" authorId="6" shapeId="0" xr:uid="{30281FE3-6B4B-4206-86C4-E44006B5632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레이드 타입</t>
      </text>
    </comment>
    <comment ref="H2" authorId="0" shapeId="0" xr:uid="{00000000-0006-0000-0100-000001000000}">
      <text>
        <r>
          <rPr>
            <sz val="9"/>
            <color indexed="81"/>
            <rFont val="돋움"/>
            <family val="3"/>
            <charset val="129"/>
          </rPr>
          <t xml:space="preserve">싱글 플레이지만 서버의 제어를 받는 경우, 해당 컬럼에 True 입력
</t>
        </r>
      </text>
    </comment>
    <comment ref="I2" authorId="7" shapeId="0" xr:uid="{6208860E-5494-493E-8B64-C5535F6FFA4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최초 오픈</t>
      </text>
    </comment>
    <comment ref="J2" authorId="0" shapeId="0" xr:uid="{00000000-0006-0000-0100-000002000000}">
      <text>
        <r>
          <rPr>
            <b/>
            <sz val="9"/>
            <color indexed="81"/>
            <rFont val="맑은 고딕"/>
            <family val="2"/>
          </rPr>
          <t>1. 던전 인덱스, 레벨 조건
적용컨텐츠(추측) : 드래곤 레이드, 드래곤 레이드 하드모드
레이드 하드모드는 입력된 던전에 입장할 수 있으면 열림
('클리어하면' 조건 아님)
2. 챕터 인덱스, 던전 인덱스
적용컨텐츠(추측) : 필드레이드, 마도왕국 레이드
입력된 챕터, 던전을 클리어하면 입장 가능</t>
        </r>
      </text>
    </comment>
    <comment ref="K2" authorId="8" shapeId="0" xr:uid="{1B0893DA-FCCF-43A4-818F-61690D3C914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레이드 정보 창 레이드 이름</t>
      </text>
    </comment>
    <comment ref="L2" authorId="9" shapeId="0" xr:uid="{02D3D4E5-4085-4A33-B48B-343CDBE6AAD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레이드 정보 창 설명</t>
      </text>
    </comment>
    <comment ref="M2" authorId="10" shapeId="0" xr:uid="{BBB6677C-E789-4D35-BCC2-55F1A4E7B48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레이드 정보 창 추천 영웅</t>
      </text>
    </comment>
    <comment ref="O2" authorId="11" shapeId="0" xr:uid="{668BAB3D-0A8F-4461-A977-9E565FCF357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챕터 인덱스</t>
      </text>
    </comment>
    <comment ref="Q2" authorId="12" shapeId="0" xr:uid="{052F61CC-D7B5-44CF-80A8-31CE4711DD1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던전 인덱스</t>
      </text>
    </comment>
    <comment ref="R2" authorId="13" shapeId="0" xr:uid="{A00A43AE-3CF2-4CD4-9C28-D4E361173AA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정보 화면의 3D View 배경 이미지</t>
      </text>
    </comment>
    <comment ref="S2" authorId="14" shapeId="0" xr:uid="{881911BA-31D2-4D72-B1B4-1CEF60FCDFB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참여 가능 유저 수</t>
      </text>
    </comment>
    <comment ref="T2" authorId="15" shapeId="0" xr:uid="{E8EB2640-CC74-4FCC-9790-CBEBA2BF80B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총 영웅 수</t>
      </text>
    </comment>
    <comment ref="U2" authorId="16" shapeId="0" xr:uid="{C60CDC0E-5F72-45B1-A0E3-5157A8D4C09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유저당 등록 가능 영웅 수</t>
      </text>
    </comment>
    <comment ref="W2" authorId="0" shapeId="0" xr:uid="{00000000-0006-0000-0100-000003000000}">
      <text>
        <r>
          <rPr>
            <sz val="9"/>
            <color indexed="81"/>
            <rFont val="돋움"/>
            <family val="3"/>
            <charset val="129"/>
          </rPr>
          <t>레이드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지속시간</t>
        </r>
      </text>
    </comment>
    <comment ref="X2" authorId="17" shapeId="0" xr:uid="{2DB417AD-A169-4D9A-996D-4B1FD98715C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연출 (최초 등장 연출로 지금은 사용 안함)</t>
      </text>
    </comment>
    <comment ref="Y2" authorId="18" shapeId="0" xr:uid="{24ADB462-044B-4036-BC2B-08F816E5438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연출 나오는 조건</t>
      </text>
    </comment>
    <comment ref="Z2" authorId="19" shapeId="0" xr:uid="{BD8A5198-17D7-444C-A765-9035E6AB200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클리어 시 레이드 포인트</t>
      </text>
    </comment>
    <comment ref="AB2" authorId="20" shapeId="0" xr:uid="{FFF7DAF8-BB55-4BD2-A00A-D2CC88917BC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개인 획득 보상</t>
      </text>
    </comment>
    <comment ref="AC2" authorId="21" shapeId="0" xr:uid="{76972A74-852C-449D-8227-546D59EBDE0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여러명인 경우 추가 획득 보상</t>
      </text>
    </comment>
    <comment ref="AE2" authorId="22" shapeId="0" xr:uid="{73083940-9242-4DF6-B31F-A8043A84AD3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연결된 싱글 버전의 레이드 인덱스</t>
      </text>
    </comment>
    <comment ref="AF2" authorId="23" shapeId="0" xr:uid="{CD03BBF2-7EAE-460C-B677-00A829D2EE9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싱글레이드에서 메인팀에 들어가는 영웅 수</t>
      </text>
    </comment>
    <comment ref="AG2" authorId="24" shapeId="0" xr:uid="{0CD9D46D-A03C-44A3-A1C0-61EB5CEC035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싱글레이드에서 메인팀에 들어가는 영웅 수</t>
      </text>
    </comment>
    <comment ref="AH2" authorId="25" shapeId="0" xr:uid="{C5931CB0-4AEF-4D5C-A039-0F5FCB12287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싱글레이드에서 서브팀에 들어가는 영웅 수</t>
      </text>
    </comment>
    <comment ref="AI2" authorId="26" shapeId="0" xr:uid="{A2DA2375-8A1E-42A3-AAA9-B0BCBDA4B45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싱글레이드에서 서브팀에 들어가는 영웅 수</t>
      </text>
    </comment>
    <comment ref="AJ2" authorId="0" shapeId="0" xr:uid="{00000000-0006-0000-0100-000004000000}">
      <text>
        <r>
          <rPr>
            <b/>
            <sz val="12"/>
            <color indexed="81"/>
            <rFont val="Tahoma"/>
            <family val="2"/>
          </rPr>
          <t xml:space="preserve">Loki:
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돋움"/>
            <family val="3"/>
            <charset val="129"/>
          </rPr>
          <t>싱글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레이드를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클리어해도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파티레이드를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클리어한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것처럼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인식해서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다음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단계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레이드에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입장할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수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있도록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해주는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칼럼
싱글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레이드에만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입력하며</t>
        </r>
        <r>
          <rPr>
            <sz val="12"/>
            <color indexed="81"/>
            <rFont val="Tahoma"/>
            <family val="2"/>
          </rPr>
          <t xml:space="preserve">, </t>
        </r>
        <r>
          <rPr>
            <sz val="12"/>
            <color indexed="81"/>
            <rFont val="돋움"/>
            <family val="3"/>
            <charset val="129"/>
          </rPr>
          <t>연결된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파티레이드의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인덱스를</t>
        </r>
        <r>
          <rPr>
            <sz val="12"/>
            <color indexed="81"/>
            <rFont val="Tahoma"/>
            <family val="2"/>
          </rPr>
          <t xml:space="preserve"> </t>
        </r>
        <r>
          <rPr>
            <sz val="12"/>
            <color indexed="81"/>
            <rFont val="돋움"/>
            <family val="3"/>
            <charset val="129"/>
          </rPr>
          <t>입력함</t>
        </r>
      </text>
    </comment>
    <comment ref="AL2" authorId="0" shapeId="0" xr:uid="{CA1047AC-0A58-463A-816D-99513DA436F7}">
      <text>
        <r>
          <rPr>
            <b/>
            <sz val="9"/>
            <color indexed="81"/>
            <rFont val="Tahoma"/>
            <family val="2"/>
          </rPr>
          <t>Loki: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레이드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팝업에서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텍스트가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
로컬키를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팝업에서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설명공간이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tc={32DE283E-448E-4FFA-93F8-6D077140AA41}</author>
    <author>tc={231B12A2-2070-44A0-BA39-703E34C8A27E}</author>
  </authors>
  <commentList>
    <comment ref="E2" authorId="0" shapeId="0" xr:uid="{32DE283E-448E-4FFA-93F8-6D077140AA4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레이드 인덱스</t>
      </text>
    </comment>
    <comment ref="F2" authorId="1" shapeId="0" xr:uid="{231B12A2-2070-44A0-BA39-703E34C8A27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레이드 정보 창 설명
답글:
    레이드 테이블이 비어있을 경우 이 컬럼에서 연결됨.
하나의 레이드 인덱스에 복수의 택틱 정보가 필요한 경우</t>
      </text>
    </comment>
  </commentList>
</comments>
</file>

<file path=xl/sharedStrings.xml><?xml version="1.0" encoding="utf-8"?>
<sst xmlns="http://schemas.openxmlformats.org/spreadsheetml/2006/main" count="7850" uniqueCount="947">
  <si>
    <t>ItemID</t>
    <phoneticPr fontId="7" type="noConversion"/>
  </si>
  <si>
    <t>Platform</t>
    <phoneticPr fontId="7" type="noConversion"/>
  </si>
  <si>
    <t>BaseGem</t>
    <phoneticPr fontId="7" type="noConversion"/>
  </si>
  <si>
    <t>BonusGem</t>
    <phoneticPr fontId="7" type="noConversion"/>
  </si>
  <si>
    <t>google</t>
    <phoneticPr fontId="7" type="noConversion"/>
  </si>
  <si>
    <t>ItemName</t>
    <phoneticPr fontId="7" type="noConversion"/>
  </si>
  <si>
    <t>300 보석</t>
    <phoneticPr fontId="7" type="noConversion"/>
  </si>
  <si>
    <t>200 보석</t>
    <phoneticPr fontId="7" type="noConversion"/>
  </si>
  <si>
    <t>300</t>
    <phoneticPr fontId="7" type="noConversion"/>
  </si>
  <si>
    <t>400</t>
    <phoneticPr fontId="7" type="noConversion"/>
  </si>
  <si>
    <t>gem1</t>
    <phoneticPr fontId="7" type="noConversion"/>
  </si>
  <si>
    <t>gem2</t>
    <phoneticPr fontId="7" type="noConversion"/>
  </si>
  <si>
    <t>ItemCode</t>
    <phoneticPr fontId="7" type="noConversion"/>
  </si>
  <si>
    <t>GEM_100</t>
    <phoneticPr fontId="7" type="noConversion"/>
  </si>
  <si>
    <t>GEM_200</t>
    <phoneticPr fontId="7" type="noConversion"/>
  </si>
  <si>
    <t>Price</t>
    <phoneticPr fontId="7" type="noConversion"/>
  </si>
  <si>
    <t>ChapterIndex</t>
    <phoneticPr fontId="7" type="noConversion"/>
  </si>
  <si>
    <t>DungeonIndex</t>
    <phoneticPr fontId="7" type="noConversion"/>
  </si>
  <si>
    <t>DeckCount</t>
    <phoneticPr fontId="7" type="noConversion"/>
  </si>
  <si>
    <t>2</t>
  </si>
  <si>
    <t>2</t>
    <phoneticPr fontId="7" type="noConversion"/>
  </si>
  <si>
    <t>6</t>
  </si>
  <si>
    <t>6</t>
    <phoneticPr fontId="7" type="noConversion"/>
  </si>
  <si>
    <t>DUNGEON</t>
    <phoneticPr fontId="7" type="noConversion"/>
  </si>
  <si>
    <t>DECK</t>
    <phoneticPr fontId="7" type="noConversion"/>
  </si>
  <si>
    <t>Index</t>
    <phoneticPr fontId="7" type="noConversion"/>
  </si>
  <si>
    <t>Level</t>
    <phoneticPr fontId="7" type="noConversion"/>
  </si>
  <si>
    <t>AliveDuration</t>
    <phoneticPr fontId="7" type="noConversion"/>
  </si>
  <si>
    <t>1</t>
    <phoneticPr fontId="7" type="noConversion"/>
  </si>
  <si>
    <t>Name</t>
    <phoneticPr fontId="7" type="noConversion"/>
  </si>
  <si>
    <t>RESET</t>
    <phoneticPr fontId="7" type="noConversion"/>
  </si>
  <si>
    <t>500</t>
  </si>
  <si>
    <t>500</t>
    <phoneticPr fontId="7" type="noConversion"/>
  </si>
  <si>
    <t>ResetGem</t>
  </si>
  <si>
    <t>ReqHeroLevel</t>
    <phoneticPr fontId="7" type="noConversion"/>
  </si>
  <si>
    <t>901</t>
    <phoneticPr fontId="7" type="noConversion"/>
  </si>
  <si>
    <t>3</t>
  </si>
  <si>
    <t>4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</si>
  <si>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</si>
  <si>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</si>
  <si>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</si>
  <si>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</si>
  <si>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</si>
  <si>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</si>
  <si>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</si>
  <si>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</si>
  <si>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</si>
  <si>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</si>
  <si>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</si>
  <si>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</si>
  <si>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</si>
  <si>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</si>
  <si>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</si>
  <si>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</si>
  <si>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</si>
  <si>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</si>
  <si>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31</t>
  </si>
  <si>
    <t>1</t>
  </si>
  <si>
    <t>902</t>
    <phoneticPr fontId="7" type="noConversion"/>
  </si>
  <si>
    <t>903</t>
    <phoneticPr fontId="7" type="noConversion"/>
  </si>
  <si>
    <t>Type</t>
    <phoneticPr fontId="7" type="noConversion"/>
  </si>
  <si>
    <t>NodeTreePath</t>
    <phoneticPr fontId="7" type="noConversion"/>
  </si>
  <si>
    <t>NodeTree</t>
    <phoneticPr fontId="7" type="noConversion"/>
  </si>
  <si>
    <t>NodeTreeCode</t>
    <phoneticPr fontId="7" type="noConversion"/>
  </si>
  <si>
    <t>Raid/Dragon/Fire</t>
    <phoneticPr fontId="7" type="noConversion"/>
  </si>
  <si>
    <t>Encounter</t>
    <phoneticPr fontId="7" type="noConversion"/>
  </si>
  <si>
    <t>Raid/Dragon/Ice</t>
    <phoneticPr fontId="7" type="noConversion"/>
  </si>
  <si>
    <t>Raid/Dragon/Poison</t>
    <phoneticPr fontId="7" type="noConversion"/>
  </si>
  <si>
    <t>CREATURE_NAME_4401</t>
  </si>
  <si>
    <t>CREATURE_NAME_4402</t>
    <phoneticPr fontId="7" type="noConversion"/>
  </si>
  <si>
    <t>CREATURE_NAME_4403</t>
    <phoneticPr fontId="7" type="noConversion"/>
  </si>
  <si>
    <t>1</t>
    <phoneticPr fontId="7" type="noConversion"/>
  </si>
  <si>
    <t>DeckCountPerPlayer</t>
    <phoneticPr fontId="7" type="noConversion"/>
  </si>
  <si>
    <t>4</t>
    <phoneticPr fontId="7" type="noConversion"/>
  </si>
  <si>
    <t>604800</t>
    <phoneticPr fontId="7" type="noConversion"/>
  </si>
  <si>
    <t>5</t>
    <phoneticPr fontId="7" type="noConversion"/>
  </si>
  <si>
    <t>5</t>
    <phoneticPr fontId="7" type="noConversion"/>
  </si>
  <si>
    <t>CREATURE_NAME_4404</t>
    <phoneticPr fontId="7" type="noConversion"/>
  </si>
  <si>
    <t>904</t>
    <phoneticPr fontId="7" type="noConversion"/>
  </si>
  <si>
    <t>3</t>
    <phoneticPr fontId="7" type="noConversion"/>
  </si>
  <si>
    <t>9</t>
    <phoneticPr fontId="7" type="noConversion"/>
  </si>
  <si>
    <t>500</t>
    <phoneticPr fontId="7" type="noConversion"/>
  </si>
  <si>
    <t>604800</t>
    <phoneticPr fontId="7" type="noConversion"/>
  </si>
  <si>
    <t>Raid/Dragon/Black</t>
    <phoneticPr fontId="7" type="noConversion"/>
  </si>
  <si>
    <t>Encounter</t>
    <phoneticPr fontId="7" type="noConversion"/>
  </si>
  <si>
    <t>4</t>
    <phoneticPr fontId="7" type="noConversion"/>
  </si>
  <si>
    <t>PreviewBg</t>
    <phoneticPr fontId="7" type="noConversion"/>
  </si>
  <si>
    <t>RaidBoss_BlackDragon</t>
  </si>
  <si>
    <t>REWARD</t>
    <phoneticPr fontId="7" type="noConversion"/>
  </si>
  <si>
    <t>RaidPoint</t>
    <phoneticPr fontId="7" type="noConversion"/>
  </si>
  <si>
    <t>604800</t>
  </si>
  <si>
    <t>RaidBoss_BlueDragon</t>
    <phoneticPr fontId="7" type="noConversion"/>
  </si>
  <si>
    <t>TRUE</t>
    <phoneticPr fontId="7" type="noConversion"/>
  </si>
  <si>
    <t>IsOpen</t>
    <phoneticPr fontId="7" type="noConversion"/>
  </si>
  <si>
    <t>Tactic</t>
    <phoneticPr fontId="7" type="noConversion"/>
  </si>
  <si>
    <t>RecommendedHeroIndex[]</t>
    <phoneticPr fontId="7" type="noConversion"/>
  </si>
  <si>
    <t>3</t>
    <phoneticPr fontId="7" type="noConversion"/>
  </si>
  <si>
    <t>3</t>
    <phoneticPr fontId="7" type="noConversion"/>
  </si>
  <si>
    <t>RAID_INFO_TIP_FIRE_DESC</t>
  </si>
  <si>
    <t>RAID_INFO_TIP_BLACK_DESC</t>
    <phoneticPr fontId="7" type="noConversion"/>
  </si>
  <si>
    <t>RAID_INFO_TIP_ICE_DESC</t>
    <phoneticPr fontId="7" type="noConversion"/>
  </si>
  <si>
    <t>23,8,29</t>
    <phoneticPr fontId="7" type="noConversion"/>
  </si>
  <si>
    <t>5,30,13</t>
    <phoneticPr fontId="7" type="noConversion"/>
  </si>
  <si>
    <t>16,5,34</t>
    <phoneticPr fontId="7" type="noConversion"/>
  </si>
  <si>
    <t>RaidBoss_GreenDragon</t>
    <phoneticPr fontId="7" type="noConversion"/>
  </si>
  <si>
    <t>3</t>
    <phoneticPr fontId="7" type="noConversion"/>
  </si>
  <si>
    <t>RAID_INFO_TIP_POISON_DESC</t>
    <phoneticPr fontId="7" type="noConversion"/>
  </si>
  <si>
    <t>RaidBoss_RedDragon</t>
    <phoneticPr fontId="7" type="noConversion"/>
  </si>
  <si>
    <t>34,9,8</t>
    <phoneticPr fontId="7" type="noConversion"/>
  </si>
  <si>
    <t>TIME</t>
    <phoneticPr fontId="7" type="noConversion"/>
  </si>
  <si>
    <t>11</t>
    <phoneticPr fontId="7" type="noConversion"/>
  </si>
  <si>
    <t>1</t>
    <phoneticPr fontId="7" type="noConversion"/>
  </si>
  <si>
    <t>ShowInfoSkill[]</t>
  </si>
  <si>
    <t>12</t>
    <phoneticPr fontId="7" type="noConversion"/>
  </si>
  <si>
    <t>13</t>
    <phoneticPr fontId="7" type="noConversion"/>
  </si>
  <si>
    <t>14</t>
    <phoneticPr fontId="7" type="noConversion"/>
  </si>
  <si>
    <t>911</t>
    <phoneticPr fontId="7" type="noConversion"/>
  </si>
  <si>
    <t>912</t>
    <phoneticPr fontId="7" type="noConversion"/>
  </si>
  <si>
    <t>913</t>
    <phoneticPr fontId="7" type="noConversion"/>
  </si>
  <si>
    <t>914</t>
    <phoneticPr fontId="7" type="noConversion"/>
  </si>
  <si>
    <t>CREATURE_NAME_4412</t>
    <phoneticPr fontId="7" type="noConversion"/>
  </si>
  <si>
    <t>CREATURE_NAME_4413</t>
    <phoneticPr fontId="7" type="noConversion"/>
  </si>
  <si>
    <t>CREATURE_NAME_4411</t>
    <phoneticPr fontId="7" type="noConversion"/>
  </si>
  <si>
    <t>CREATURE_NAME_4414</t>
    <phoneticPr fontId="7" type="noConversion"/>
  </si>
  <si>
    <t>PlayerCount</t>
  </si>
  <si>
    <t>IndividualReward</t>
    <phoneticPr fontId="7" type="noConversion"/>
  </si>
  <si>
    <t>30,26,23</t>
    <phoneticPr fontId="7" type="noConversion"/>
  </si>
  <si>
    <t>AddItemCodePerMember[]</t>
    <phoneticPr fontId="7" type="noConversion"/>
  </si>
  <si>
    <t>45,8,33</t>
    <phoneticPr fontId="7" type="noConversion"/>
  </si>
  <si>
    <t>43,27,4</t>
    <phoneticPr fontId="7" type="noConversion"/>
  </si>
  <si>
    <t>45,5,22</t>
    <phoneticPr fontId="7" type="noConversion"/>
  </si>
  <si>
    <t>Challenge</t>
  </si>
  <si>
    <t>50001</t>
  </si>
  <si>
    <t>TRUE</t>
  </si>
  <si>
    <t>921</t>
  </si>
  <si>
    <t>Encounter</t>
  </si>
  <si>
    <t>Raid/Goblin/Urkak</t>
    <phoneticPr fontId="7" type="noConversion"/>
  </si>
  <si>
    <t>ChallengeRaid_1</t>
    <phoneticPr fontId="7" type="noConversion"/>
  </si>
  <si>
    <t>CREATURE_NAME_6601</t>
    <phoneticPr fontId="7" type="noConversion"/>
  </si>
  <si>
    <t>CHALLENGERAID_TACTIC_01</t>
  </si>
  <si>
    <t>CREATURE_NAME_6602</t>
  </si>
  <si>
    <t>922</t>
    <phoneticPr fontId="7" type="noConversion"/>
  </si>
  <si>
    <t>Raid/Harpy/Satria</t>
    <phoneticPr fontId="7" type="noConversion"/>
  </si>
  <si>
    <t>50002</t>
    <phoneticPr fontId="7" type="noConversion"/>
  </si>
  <si>
    <t>CHALLENGERAID_TACTIC_02</t>
    <phoneticPr fontId="7" type="noConversion"/>
  </si>
  <si>
    <t>ChallengeRaid_2</t>
    <phoneticPr fontId="7" type="noConversion"/>
  </si>
  <si>
    <t>50003</t>
    <phoneticPr fontId="7" type="noConversion"/>
  </si>
  <si>
    <t>CREATURE_NAME_6603</t>
    <phoneticPr fontId="7" type="noConversion"/>
  </si>
  <si>
    <t>CREATURE_NAME_6603</t>
    <phoneticPr fontId="7" type="noConversion"/>
  </si>
  <si>
    <t>CHALLENGERAID_TACTIC_03</t>
    <phoneticPr fontId="7" type="noConversion"/>
  </si>
  <si>
    <t>923</t>
    <phoneticPr fontId="7" type="noConversion"/>
  </si>
  <si>
    <t>ChallengeRaid_3</t>
    <phoneticPr fontId="7" type="noConversion"/>
  </si>
  <si>
    <t>ChallengeRaid_3</t>
    <phoneticPr fontId="7" type="noConversion"/>
  </si>
  <si>
    <t>Raid/Orc/Kerberen</t>
    <phoneticPr fontId="7" type="noConversion"/>
  </si>
  <si>
    <t>7</t>
    <phoneticPr fontId="7" type="noConversion"/>
  </si>
  <si>
    <t>40,63,8</t>
    <phoneticPr fontId="7" type="noConversion"/>
  </si>
  <si>
    <t>50004</t>
    <phoneticPr fontId="7" type="noConversion"/>
  </si>
  <si>
    <t>1</t>
    <phoneticPr fontId="7" type="noConversion"/>
  </si>
  <si>
    <t>2</t>
    <phoneticPr fontId="7" type="noConversion"/>
  </si>
  <si>
    <t>3</t>
    <phoneticPr fontId="7" type="noConversion"/>
  </si>
  <si>
    <t>4</t>
    <phoneticPr fontId="7" type="noConversion"/>
  </si>
  <si>
    <t>ChallengeRaid_4</t>
    <phoneticPr fontId="7" type="noConversion"/>
  </si>
  <si>
    <t>1</t>
    <phoneticPr fontId="7" type="noConversion"/>
  </si>
  <si>
    <t>11</t>
    <phoneticPr fontId="7" type="noConversion"/>
  </si>
  <si>
    <t>21</t>
    <phoneticPr fontId="7" type="noConversion"/>
  </si>
  <si>
    <t>31</t>
    <phoneticPr fontId="7" type="noConversion"/>
  </si>
  <si>
    <t>924</t>
    <phoneticPr fontId="7" type="noConversion"/>
  </si>
  <si>
    <t>CREATURE_NAME_6604</t>
    <phoneticPr fontId="7" type="noConversion"/>
  </si>
  <si>
    <t>CHALLENGERAID_TACTIC_04</t>
    <phoneticPr fontId="7" type="noConversion"/>
  </si>
  <si>
    <t>12,9,41</t>
    <phoneticPr fontId="7" type="noConversion"/>
  </si>
  <si>
    <t>22</t>
    <phoneticPr fontId="7" type="noConversion"/>
  </si>
  <si>
    <t>23</t>
    <phoneticPr fontId="7" type="noConversion"/>
  </si>
  <si>
    <t>24</t>
    <phoneticPr fontId="7" type="noConversion"/>
  </si>
  <si>
    <t>SingleRaidIndex</t>
    <phoneticPr fontId="7" type="noConversion"/>
  </si>
  <si>
    <t>MainPartyCount</t>
    <phoneticPr fontId="7" type="noConversion"/>
  </si>
  <si>
    <t>MainPartyCountPerPlayer</t>
    <phoneticPr fontId="7" type="noConversion"/>
  </si>
  <si>
    <t>SubPartyCount</t>
    <phoneticPr fontId="7" type="noConversion"/>
  </si>
  <si>
    <t>SubPartyCountPerPlayer</t>
    <phoneticPr fontId="7" type="noConversion"/>
  </si>
  <si>
    <t>SingleRaid</t>
    <phoneticPr fontId="7" type="noConversion"/>
  </si>
  <si>
    <t>4</t>
    <phoneticPr fontId="7" type="noConversion"/>
  </si>
  <si>
    <t>911001</t>
  </si>
  <si>
    <t>912001</t>
  </si>
  <si>
    <t>913001</t>
  </si>
  <si>
    <t>914001</t>
  </si>
  <si>
    <t>22</t>
    <phoneticPr fontId="7" type="noConversion"/>
  </si>
  <si>
    <t>23</t>
    <phoneticPr fontId="7" type="noConversion"/>
  </si>
  <si>
    <t>24</t>
    <phoneticPr fontId="7" type="noConversion"/>
  </si>
  <si>
    <t>931</t>
    <phoneticPr fontId="7" type="noConversion"/>
  </si>
  <si>
    <t>932</t>
    <phoneticPr fontId="7" type="noConversion"/>
  </si>
  <si>
    <t>933</t>
    <phoneticPr fontId="7" type="noConversion"/>
  </si>
  <si>
    <t>934</t>
    <phoneticPr fontId="7" type="noConversion"/>
  </si>
  <si>
    <t>8</t>
    <phoneticPr fontId="7" type="noConversion"/>
  </si>
  <si>
    <t>8,23,26</t>
  </si>
  <si>
    <t>BonusReward</t>
    <phoneticPr fontId="7" type="noConversion"/>
  </si>
  <si>
    <t>RAID_RED_DRAGON_SPECIAL_REWARD_TIER6</t>
  </si>
  <si>
    <t>RAID_RED_DRAGON_SPECIAL_REWARD_TIER7_GRADE5_LV70</t>
  </si>
  <si>
    <t>RAID_RED_DRAGON_SPECIAL_REWARD_TIER7_GRADE5_LV71</t>
  </si>
  <si>
    <t>50005</t>
    <phoneticPr fontId="7" type="noConversion"/>
  </si>
  <si>
    <t>CREATURE_NAME_6605</t>
    <phoneticPr fontId="7" type="noConversion"/>
  </si>
  <si>
    <t>CHALLENGERAID_TACTIC_05</t>
    <phoneticPr fontId="7" type="noConversion"/>
  </si>
  <si>
    <t>925</t>
    <phoneticPr fontId="7" type="noConversion"/>
  </si>
  <si>
    <t>ChallengeRaid_5</t>
    <phoneticPr fontId="7" type="noConversion"/>
  </si>
  <si>
    <t>Raid/Orc/Sithrael</t>
    <phoneticPr fontId="7" type="noConversion"/>
  </si>
  <si>
    <t>60001</t>
  </si>
  <si>
    <t>ChallengeSingle</t>
  </si>
  <si>
    <t>CREATURE_NAME_6601</t>
  </si>
  <si>
    <t>12,9,41</t>
  </si>
  <si>
    <t>941</t>
  </si>
  <si>
    <t>ChallengeRaid_1</t>
  </si>
  <si>
    <t>Raid/Goblin/Urkak</t>
  </si>
  <si>
    <t>4</t>
    <phoneticPr fontId="7" type="noConversion"/>
  </si>
  <si>
    <t>1</t>
    <phoneticPr fontId="7" type="noConversion"/>
  </si>
  <si>
    <t>8</t>
    <phoneticPr fontId="7" type="noConversion"/>
  </si>
  <si>
    <t>4</t>
    <phoneticPr fontId="7" type="noConversion"/>
  </si>
  <si>
    <t>4,18,30</t>
    <phoneticPr fontId="7" type="noConversion"/>
  </si>
  <si>
    <t>60002</t>
    <phoneticPr fontId="7" type="noConversion"/>
  </si>
  <si>
    <t>942</t>
    <phoneticPr fontId="7" type="noConversion"/>
  </si>
  <si>
    <t>50006</t>
    <phoneticPr fontId="7" type="noConversion"/>
  </si>
  <si>
    <t>CREATURE_NAME_6606</t>
  </si>
  <si>
    <t>ChallengeRaid_6</t>
  </si>
  <si>
    <t>Raid/Lizardman/Garrow</t>
  </si>
  <si>
    <t>GuildSuppress</t>
    <phoneticPr fontId="7" type="noConversion"/>
  </si>
  <si>
    <t>12,9,41</t>
    <phoneticPr fontId="7" type="noConversion"/>
  </si>
  <si>
    <t>9900</t>
    <phoneticPr fontId="7" type="noConversion"/>
  </si>
  <si>
    <t>90001</t>
    <phoneticPr fontId="7" type="noConversion"/>
  </si>
  <si>
    <t>CHALLENGERAID_TACTIC_06</t>
    <phoneticPr fontId="7" type="noConversion"/>
  </si>
  <si>
    <t>2,49,15</t>
    <phoneticPr fontId="7" type="noConversion"/>
  </si>
  <si>
    <t>CREATURE_NAME_8801</t>
  </si>
  <si>
    <t>CREATURE_NAME_11301</t>
  </si>
  <si>
    <t>1</t>
    <phoneticPr fontId="7" type="noConversion"/>
  </si>
  <si>
    <t>RAID_RED_DRAGON_SPECIAL_REWARD_TIER8_GRADE6_LV80</t>
  </si>
  <si>
    <t>RAID_RED_DRAGON_SPECIAL_REWARD_TIER8_GRADE6_LV81</t>
  </si>
  <si>
    <t>RAID_RED_DRAGON_SPECIAL_REWARD_TIER8_GRADE6_LV82</t>
  </si>
  <si>
    <t>RAID_RED_DRAGON_SPECIAL_REWARD_TIER8_GRADE6_LV83</t>
  </si>
  <si>
    <t>RAID_RED_DRAGON_SPECIAL_REWARD_TIER8_GRADE6_LV84</t>
  </si>
  <si>
    <t>RAID_RED_DRAGON_SPECIAL_REWARD_TIER8_GRADE6_LV85</t>
  </si>
  <si>
    <t>RAID_RED_DRAGON_SPECIAL_REWARD_TIER8_GRADE6_LV86</t>
  </si>
  <si>
    <t>RAID_RED_DRAGON_SPECIAL_REWARD_TIER8_GRADE6_LV87</t>
  </si>
  <si>
    <t>RAID_RED_DRAGON_SPECIAL_REWARD_TIER8_GRADE6_LV88</t>
  </si>
  <si>
    <t>RAID_RED_DRAGON_SPECIAL_REWARD_TIER8_GRADE6_LV89</t>
  </si>
  <si>
    <t>926</t>
    <phoneticPr fontId="7" type="noConversion"/>
  </si>
  <si>
    <t>50007</t>
    <phoneticPr fontId="7" type="noConversion"/>
  </si>
  <si>
    <t>CREATURE_NAME_6607</t>
    <phoneticPr fontId="7" type="noConversion"/>
  </si>
  <si>
    <t>CHALLENGERAID_TACTIC_07</t>
    <phoneticPr fontId="7" type="noConversion"/>
  </si>
  <si>
    <t>927</t>
    <phoneticPr fontId="7" type="noConversion"/>
  </si>
  <si>
    <t>ChallengeRaid_7</t>
    <phoneticPr fontId="7" type="noConversion"/>
  </si>
  <si>
    <t>60003</t>
    <phoneticPr fontId="7" type="noConversion"/>
  </si>
  <si>
    <t>CREATURE_NAME_6603</t>
    <phoneticPr fontId="7" type="noConversion"/>
  </si>
  <si>
    <t>CHALLENGERAID_TACTIC_03</t>
    <phoneticPr fontId="7" type="noConversion"/>
  </si>
  <si>
    <t>943</t>
    <phoneticPr fontId="7" type="noConversion"/>
  </si>
  <si>
    <t>ChallengeRaid_3</t>
    <phoneticPr fontId="7" type="noConversion"/>
  </si>
  <si>
    <t>Chapter_7</t>
    <phoneticPr fontId="7" type="noConversion"/>
  </si>
  <si>
    <t>40,51,34</t>
    <phoneticPr fontId="7" type="noConversion"/>
  </si>
  <si>
    <t>22,16,52</t>
    <phoneticPr fontId="7" type="noConversion"/>
  </si>
  <si>
    <t>60004</t>
    <phoneticPr fontId="7" type="noConversion"/>
  </si>
  <si>
    <t>944</t>
    <phoneticPr fontId="7" type="noConversion"/>
  </si>
  <si>
    <t>1</t>
    <phoneticPr fontId="7" type="noConversion"/>
  </si>
  <si>
    <t>1</t>
    <phoneticPr fontId="7" type="noConversion"/>
  </si>
  <si>
    <t>4</t>
    <phoneticPr fontId="7" type="noConversion"/>
  </si>
  <si>
    <t>5,16,33</t>
    <phoneticPr fontId="7" type="noConversion"/>
  </si>
  <si>
    <t>1941</t>
    <phoneticPr fontId="7" type="noConversion"/>
  </si>
  <si>
    <t>60100</t>
    <phoneticPr fontId="7" type="noConversion"/>
  </si>
  <si>
    <t>60005</t>
    <phoneticPr fontId="7" type="noConversion"/>
  </si>
  <si>
    <t>945</t>
    <phoneticPr fontId="7" type="noConversion"/>
  </si>
  <si>
    <t>60006</t>
    <phoneticPr fontId="7" type="noConversion"/>
  </si>
  <si>
    <t>CREATURE_NAME_6606</t>
    <phoneticPr fontId="7" type="noConversion"/>
  </si>
  <si>
    <t>CHALLENGERAID_TACTIC_06</t>
    <phoneticPr fontId="7" type="noConversion"/>
  </si>
  <si>
    <t>946</t>
    <phoneticPr fontId="7" type="noConversion"/>
  </si>
  <si>
    <t>ChallengeRaid_6</t>
    <phoneticPr fontId="7" type="noConversion"/>
  </si>
  <si>
    <t>924003</t>
  </si>
  <si>
    <t>924013</t>
  </si>
  <si>
    <t>924023</t>
  </si>
  <si>
    <t>924033</t>
  </si>
  <si>
    <t>60007</t>
    <phoneticPr fontId="7" type="noConversion"/>
  </si>
  <si>
    <t>CREATURE_NAME_6607</t>
    <phoneticPr fontId="7" type="noConversion"/>
  </si>
  <si>
    <t>CHALLENGERAID_TACTIC_07</t>
    <phoneticPr fontId="7" type="noConversion"/>
  </si>
  <si>
    <t>947</t>
    <phoneticPr fontId="7" type="noConversion"/>
  </si>
  <si>
    <t>ChallengeRaid_7</t>
    <phoneticPr fontId="7" type="noConversion"/>
  </si>
  <si>
    <t>101</t>
    <phoneticPr fontId="7" type="noConversion"/>
  </si>
  <si>
    <t>102</t>
    <phoneticPr fontId="7" type="noConversion"/>
  </si>
  <si>
    <t>GuildSuppressSingle</t>
    <phoneticPr fontId="7" type="noConversion"/>
  </si>
  <si>
    <t>IsOnlineSingle</t>
    <phoneticPr fontId="7" type="noConversion"/>
  </si>
  <si>
    <t>1</t>
    <phoneticPr fontId="7" type="noConversion"/>
  </si>
  <si>
    <t>6</t>
    <phoneticPr fontId="7" type="noConversion"/>
  </si>
  <si>
    <t>3</t>
    <phoneticPr fontId="7" type="noConversion"/>
  </si>
  <si>
    <t>5,31,34</t>
    <phoneticPr fontId="7" type="noConversion"/>
  </si>
  <si>
    <t>5,31,34</t>
    <phoneticPr fontId="7" type="noConversion"/>
  </si>
  <si>
    <t>5,31,34</t>
    <phoneticPr fontId="7" type="noConversion"/>
  </si>
  <si>
    <t>5,31,34</t>
    <phoneticPr fontId="7" type="noConversion"/>
  </si>
  <si>
    <t>103</t>
    <phoneticPr fontId="7" type="noConversion"/>
  </si>
  <si>
    <t>CREATURE_NAME_3418</t>
    <phoneticPr fontId="7" type="noConversion"/>
  </si>
  <si>
    <t>.</t>
    <phoneticPr fontId="7" type="noConversion"/>
  </si>
  <si>
    <t>99999</t>
    <phoneticPr fontId="7" type="noConversion"/>
  </si>
  <si>
    <t>GuildSuppress</t>
  </si>
  <si>
    <t>9901</t>
    <phoneticPr fontId="7" type="noConversion"/>
  </si>
  <si>
    <t>3</t>
    <phoneticPr fontId="7" type="noConversion"/>
  </si>
  <si>
    <t>1</t>
    <phoneticPr fontId="7" type="noConversion"/>
  </si>
  <si>
    <t>333</t>
    <phoneticPr fontId="7" type="noConversion"/>
  </si>
  <si>
    <t>3333</t>
    <phoneticPr fontId="7" type="noConversion"/>
  </si>
  <si>
    <t>99998</t>
    <phoneticPr fontId="7" type="noConversion"/>
  </si>
  <si>
    <t>99997</t>
    <phoneticPr fontId="7" type="noConversion"/>
  </si>
  <si>
    <t>Step_Name</t>
  </si>
  <si>
    <t>Step_HelpDesc</t>
  </si>
  <si>
    <t>CREATURE_NAME_4413</t>
  </si>
  <si>
    <t>45,8,33</t>
  </si>
  <si>
    <t>913</t>
  </si>
  <si>
    <t>RaidBoss_GreenDragon</t>
  </si>
  <si>
    <t>Raid/Dragon/Poison</t>
  </si>
  <si>
    <t>CREATURE_NAME_4414</t>
  </si>
  <si>
    <t>43,27,4</t>
  </si>
  <si>
    <t>914</t>
  </si>
  <si>
    <t>Raid/Dragon/Black</t>
  </si>
  <si>
    <t>CREATURE_NAME_4411</t>
  </si>
  <si>
    <t>30,26,23</t>
  </si>
  <si>
    <t>931</t>
  </si>
  <si>
    <t>RaidBoss_RedDragon</t>
  </si>
  <si>
    <t>Raid/Dragon/Fire</t>
  </si>
  <si>
    <t>CREATURE_NAME_4412</t>
  </si>
  <si>
    <t>45,5,22</t>
  </si>
  <si>
    <t>932</t>
  </si>
  <si>
    <t>RaidBoss_BlueDragon</t>
  </si>
  <si>
    <t>Raid/Dragon/Ice</t>
  </si>
  <si>
    <t>933</t>
  </si>
  <si>
    <t>934</t>
  </si>
  <si>
    <t>T6_STEP_1</t>
  </si>
  <si>
    <t>T6_STEP_2</t>
  </si>
  <si>
    <t>T7_STEP_1</t>
  </si>
  <si>
    <t>T7_STEP_2</t>
  </si>
  <si>
    <t>T8_STEP_1</t>
  </si>
  <si>
    <t>T8_STEP_2</t>
  </si>
  <si>
    <t>T8_STEP_3</t>
  </si>
  <si>
    <t>T8_STEP_4</t>
  </si>
  <si>
    <t>T8_STEP_5</t>
  </si>
  <si>
    <t>T8_STEP_6</t>
  </si>
  <si>
    <t>T8_STEP_7</t>
  </si>
  <si>
    <t>T8_STEP_8</t>
  </si>
  <si>
    <t>T8_STEP_9</t>
  </si>
  <si>
    <t>T8_STEP_10</t>
  </si>
  <si>
    <t>4</t>
    <phoneticPr fontId="7" type="noConversion"/>
  </si>
  <si>
    <t>4</t>
    <phoneticPr fontId="7" type="noConversion"/>
  </si>
  <si>
    <t>3</t>
    <phoneticPr fontId="7" type="noConversion"/>
  </si>
  <si>
    <t>2</t>
    <phoneticPr fontId="7" type="noConversion"/>
  </si>
  <si>
    <t>3</t>
    <phoneticPr fontId="7" type="noConversion"/>
  </si>
  <si>
    <t>2</t>
    <phoneticPr fontId="7" type="noConversion"/>
  </si>
  <si>
    <t>3</t>
    <phoneticPr fontId="7" type="noConversion"/>
  </si>
  <si>
    <t>3</t>
    <phoneticPr fontId="7" type="noConversion"/>
  </si>
  <si>
    <t>2</t>
    <phoneticPr fontId="7" type="noConversion"/>
  </si>
  <si>
    <t>4</t>
    <phoneticPr fontId="7" type="noConversion"/>
  </si>
  <si>
    <t>4</t>
    <phoneticPr fontId="7" type="noConversion"/>
  </si>
  <si>
    <t>DragonNormal</t>
  </si>
  <si>
    <t>DragonNormalSingle</t>
  </si>
  <si>
    <t>DragonHard</t>
  </si>
  <si>
    <t>DragonHard</t>
    <phoneticPr fontId="7" type="noConversion"/>
  </si>
  <si>
    <t>DragonHardSingle</t>
  </si>
  <si>
    <t>DragonHardSingle</t>
    <phoneticPr fontId="7" type="noConversion"/>
  </si>
  <si>
    <t>OccurChapterIndex</t>
    <phoneticPr fontId="7" type="noConversion"/>
  </si>
  <si>
    <t>905</t>
  </si>
  <si>
    <t>906</t>
  </si>
  <si>
    <t>907</t>
  </si>
  <si>
    <t>908</t>
  </si>
  <si>
    <t>ClearRaidIndex</t>
    <phoneticPr fontId="7" type="noConversion"/>
  </si>
  <si>
    <t>5</t>
    <phoneticPr fontId="7" type="noConversion"/>
  </si>
  <si>
    <t>6</t>
    <phoneticPr fontId="7" type="noConversion"/>
  </si>
  <si>
    <t>7</t>
    <phoneticPr fontId="7" type="noConversion"/>
  </si>
  <si>
    <t>6</t>
    <phoneticPr fontId="7" type="noConversion"/>
  </si>
  <si>
    <t>6</t>
    <phoneticPr fontId="7" type="noConversion"/>
  </si>
  <si>
    <t>7</t>
    <phoneticPr fontId="7" type="noConversion"/>
  </si>
  <si>
    <t>6</t>
    <phoneticPr fontId="7" type="noConversion"/>
  </si>
  <si>
    <t>5</t>
    <phoneticPr fontId="7" type="noConversion"/>
  </si>
  <si>
    <t>6</t>
    <phoneticPr fontId="7" type="noConversion"/>
  </si>
  <si>
    <t>7</t>
    <phoneticPr fontId="7" type="noConversion"/>
  </si>
  <si>
    <t>5</t>
    <phoneticPr fontId="7" type="noConversion"/>
  </si>
  <si>
    <t>7</t>
    <phoneticPr fontId="7" type="noConversion"/>
  </si>
  <si>
    <t>6</t>
    <phoneticPr fontId="7" type="noConversion"/>
  </si>
  <si>
    <t>FilterValue</t>
  </si>
  <si>
    <t>OpenCondition[]</t>
    <phoneticPr fontId="7" type="noConversion"/>
  </si>
  <si>
    <t>1,10</t>
    <phoneticPr fontId="7" type="noConversion"/>
  </si>
  <si>
    <t>2,10</t>
    <phoneticPr fontId="7" type="noConversion"/>
  </si>
  <si>
    <t>3,10</t>
    <phoneticPr fontId="7" type="noConversion"/>
  </si>
  <si>
    <t>4,10</t>
    <phoneticPr fontId="7" type="noConversion"/>
  </si>
  <si>
    <t>1,10</t>
    <phoneticPr fontId="7" type="noConversion"/>
  </si>
  <si>
    <t>2,10</t>
    <phoneticPr fontId="7" type="noConversion"/>
  </si>
  <si>
    <t>3,10</t>
    <phoneticPr fontId="7" type="noConversion"/>
  </si>
  <si>
    <t>4,10</t>
    <phoneticPr fontId="7" type="noConversion"/>
  </si>
  <si>
    <t>9</t>
    <phoneticPr fontId="7" type="noConversion"/>
  </si>
  <si>
    <t>10</t>
    <phoneticPr fontId="7" type="noConversion"/>
  </si>
  <si>
    <t>10</t>
    <phoneticPr fontId="7" type="noConversion"/>
  </si>
  <si>
    <t>9</t>
    <phoneticPr fontId="7" type="noConversion"/>
  </si>
  <si>
    <t>8</t>
    <phoneticPr fontId="7" type="noConversion"/>
  </si>
  <si>
    <t>9</t>
    <phoneticPr fontId="7" type="noConversion"/>
  </si>
  <si>
    <t>10</t>
    <phoneticPr fontId="7" type="noConversion"/>
  </si>
  <si>
    <t>9</t>
    <phoneticPr fontId="7" type="noConversion"/>
  </si>
  <si>
    <t>8</t>
    <phoneticPr fontId="7" type="noConversion"/>
  </si>
  <si>
    <t>10</t>
    <phoneticPr fontId="7" type="noConversion"/>
  </si>
  <si>
    <t>HARDRAID_INFO_TIP_FIRE_DESC</t>
    <phoneticPr fontId="7" type="noConversion"/>
  </si>
  <si>
    <t>HARDRAID_INFO_TIP_ICE_DESC</t>
  </si>
  <si>
    <t>HARDRAID_INFO_TIP_POISON_DESC</t>
  </si>
  <si>
    <t>HARDRAID_INFO_TIP_BLACK_DESC</t>
  </si>
  <si>
    <t>934061</t>
  </si>
  <si>
    <t>934062</t>
  </si>
  <si>
    <t>934071</t>
  </si>
  <si>
    <t>934072</t>
  </si>
  <si>
    <t>934081</t>
  </si>
  <si>
    <t>934082</t>
  </si>
  <si>
    <t>934083</t>
  </si>
  <si>
    <t>934084</t>
  </si>
  <si>
    <t>934085</t>
  </si>
  <si>
    <t>934086</t>
  </si>
  <si>
    <t>934087</t>
  </si>
  <si>
    <t>934088</t>
  </si>
  <si>
    <t>934089</t>
  </si>
  <si>
    <t>934090</t>
  </si>
  <si>
    <t>RAID_BLACK_DRAGON_SPECIAL_REWARD_TIER6</t>
  </si>
  <si>
    <t>RAID_BLACK_DRAGON_SPECIAL_REWARD_TIER7_GRADE5_LV70</t>
  </si>
  <si>
    <t>RAID_BLACK_DRAGON_SPECIAL_REWARD_TIER7_GRADE5_LV71</t>
  </si>
  <si>
    <t>RAID_BLACK_DRAGON_SPECIAL_REWARD_TIER8_GRADE6_LV80</t>
  </si>
  <si>
    <t>RAID_BLACK_DRAGON_SPECIAL_REWARD_TIER8_GRADE6_LV81</t>
  </si>
  <si>
    <t>RAID_BLACK_DRAGON_SPECIAL_REWARD_TIER8_GRADE6_LV82</t>
  </si>
  <si>
    <t>RAID_BLACK_DRAGON_SPECIAL_REWARD_TIER8_GRADE6_LV83</t>
  </si>
  <si>
    <t>RAID_BLACK_DRAGON_SPECIAL_REWARD_TIER8_GRADE6_LV84</t>
  </si>
  <si>
    <t>RAID_BLACK_DRAGON_SPECIAL_REWARD_TIER8_GRADE6_LV85</t>
  </si>
  <si>
    <t>RAID_BLACK_DRAGON_SPECIAL_REWARD_TIER8_GRADE6_LV86</t>
  </si>
  <si>
    <t>RAID_BLACK_DRAGON_SPECIAL_REWARD_TIER8_GRADE6_LV87</t>
  </si>
  <si>
    <t>RAID_BLACK_DRAGON_SPECIAL_REWARD_TIER8_GRADE6_LV88</t>
  </si>
  <si>
    <t>RAID_BLACK_DRAGON_SPECIAL_REWARD_TIER8_GRADE6_LV89</t>
  </si>
  <si>
    <t>1440</t>
  </si>
  <si>
    <t>5760</t>
  </si>
  <si>
    <t>1584</t>
    <phoneticPr fontId="7" type="noConversion"/>
  </si>
  <si>
    <t>6336</t>
    <phoneticPr fontId="7" type="noConversion"/>
  </si>
  <si>
    <t>931061</t>
  </si>
  <si>
    <t>931062</t>
  </si>
  <si>
    <t>931071</t>
  </si>
  <si>
    <t>931072</t>
  </si>
  <si>
    <t>931081</t>
  </si>
  <si>
    <t>931082</t>
  </si>
  <si>
    <t>931083</t>
  </si>
  <si>
    <t>931084</t>
  </si>
  <si>
    <t>931085</t>
  </si>
  <si>
    <t>931086</t>
  </si>
  <si>
    <t>931087</t>
  </si>
  <si>
    <t>931088</t>
  </si>
  <si>
    <t>931089</t>
  </si>
  <si>
    <t>931090</t>
  </si>
  <si>
    <t>1584</t>
  </si>
  <si>
    <t>6336</t>
  </si>
  <si>
    <t>RAID_BLUE_DRAGON_SPECIAL_REWARD_TIER6</t>
  </si>
  <si>
    <t>RAID_BLUE_DRAGON_SPECIAL_REWARD_TIER7_GRADE5_LV70</t>
  </si>
  <si>
    <t>RAID_BLUE_DRAGON_SPECIAL_REWARD_TIER7_GRADE5_LV71</t>
  </si>
  <si>
    <t>RAID_BLUE_DRAGON_SPECIAL_REWARD_TIER8_GRADE6_LV80</t>
  </si>
  <si>
    <t>RAID_BLUE_DRAGON_SPECIAL_REWARD_TIER8_GRADE6_LV81</t>
  </si>
  <si>
    <t>RAID_BLUE_DRAGON_SPECIAL_REWARD_TIER8_GRADE6_LV82</t>
  </si>
  <si>
    <t>RAID_BLUE_DRAGON_SPECIAL_REWARD_TIER8_GRADE6_LV83</t>
  </si>
  <si>
    <t>RAID_BLUE_DRAGON_SPECIAL_REWARD_TIER8_GRADE6_LV84</t>
  </si>
  <si>
    <t>RAID_BLUE_DRAGON_SPECIAL_REWARD_TIER8_GRADE6_LV85</t>
  </si>
  <si>
    <t>RAID_BLUE_DRAGON_SPECIAL_REWARD_TIER8_GRADE6_LV86</t>
  </si>
  <si>
    <t>RAID_BLUE_DRAGON_SPECIAL_REWARD_TIER8_GRADE6_LV87</t>
  </si>
  <si>
    <t>RAID_BLUE_DRAGON_SPECIAL_REWARD_TIER8_GRADE6_LV88</t>
  </si>
  <si>
    <t>RAID_BLUE_DRAGON_SPECIAL_REWARD_TIER8_GRADE6_LV89</t>
  </si>
  <si>
    <t>RAID_GREEN_DRAGON_SPECIAL_REWARD_TIER6</t>
  </si>
  <si>
    <t>RAID_GREEN_DRAGON_SPECIAL_REWARD_TIER7_GRADE5_LV70</t>
  </si>
  <si>
    <t>RAID_GREEN_DRAGON_SPECIAL_REWARD_TIER7_GRADE5_LV71</t>
  </si>
  <si>
    <t>RAID_GREEN_DRAGON_SPECIAL_REWARD_TIER8_GRADE6_LV80</t>
  </si>
  <si>
    <t>RAID_GREEN_DRAGON_SPECIAL_REWARD_TIER8_GRADE6_LV81</t>
  </si>
  <si>
    <t>RAID_GREEN_DRAGON_SPECIAL_REWARD_TIER8_GRADE6_LV82</t>
  </si>
  <si>
    <t>RAID_GREEN_DRAGON_SPECIAL_REWARD_TIER8_GRADE6_LV83</t>
  </si>
  <si>
    <t>RAID_GREEN_DRAGON_SPECIAL_REWARD_TIER8_GRADE6_LV84</t>
  </si>
  <si>
    <t>RAID_GREEN_DRAGON_SPECIAL_REWARD_TIER8_GRADE6_LV85</t>
  </si>
  <si>
    <t>RAID_GREEN_DRAGON_SPECIAL_REWARD_TIER8_GRADE6_LV86</t>
  </si>
  <si>
    <t>RAID_GREEN_DRAGON_SPECIAL_REWARD_TIER8_GRADE6_LV87</t>
  </si>
  <si>
    <t>RAID_GREEN_DRAGON_SPECIAL_REWARD_TIER8_GRADE6_LV88</t>
  </si>
  <si>
    <t>RAID_GREEN_DRAGON_SPECIAL_REWARD_TIER8_GRADE6_LV89</t>
  </si>
  <si>
    <t>CREATURE_NAME_6608</t>
  </si>
  <si>
    <t>CHALLENGERAID_TACTIC_08</t>
  </si>
  <si>
    <t>CREATURE_NAME_6608</t>
    <phoneticPr fontId="7" type="noConversion"/>
  </si>
  <si>
    <t>CHALLENGERAID_TACTIC_08</t>
    <phoneticPr fontId="7" type="noConversion"/>
  </si>
  <si>
    <t>948</t>
    <phoneticPr fontId="7" type="noConversion"/>
  </si>
  <si>
    <t>FieldRaid</t>
    <phoneticPr fontId="7" type="noConversion"/>
  </si>
  <si>
    <t>100</t>
    <phoneticPr fontId="7" type="noConversion"/>
  </si>
  <si>
    <t>FIELD_RAID_HELP_01</t>
  </si>
  <si>
    <t>8,26</t>
    <phoneticPr fontId="7" type="noConversion"/>
  </si>
  <si>
    <t>NODE_FIELD_RAID_NAME_01</t>
    <phoneticPr fontId="7" type="noConversion"/>
  </si>
  <si>
    <t>41</t>
    <phoneticPr fontId="7" type="noConversion"/>
  </si>
  <si>
    <t>9,19</t>
    <phoneticPr fontId="7" type="noConversion"/>
  </si>
  <si>
    <t>NODE_FIELD_RAID_NAME_02</t>
    <phoneticPr fontId="7" type="noConversion"/>
  </si>
  <si>
    <t>42</t>
    <phoneticPr fontId="7" type="noConversion"/>
  </si>
  <si>
    <t>9,23</t>
    <phoneticPr fontId="7" type="noConversion"/>
  </si>
  <si>
    <t>NODE_FIELD_RAID_NAME_03</t>
    <phoneticPr fontId="7" type="noConversion"/>
  </si>
  <si>
    <t>43</t>
    <phoneticPr fontId="7" type="noConversion"/>
  </si>
  <si>
    <t>NODE_FIELD_RAID_NAME_04</t>
    <phoneticPr fontId="7" type="noConversion"/>
  </si>
  <si>
    <t>44</t>
    <phoneticPr fontId="7" type="noConversion"/>
  </si>
  <si>
    <t>FieldRaidSingle</t>
    <phoneticPr fontId="7" type="noConversion"/>
  </si>
  <si>
    <t>104</t>
    <phoneticPr fontId="7" type="noConversion"/>
  </si>
  <si>
    <t>105</t>
    <phoneticPr fontId="7" type="noConversion"/>
  </si>
  <si>
    <t>31</t>
    <phoneticPr fontId="7" type="noConversion"/>
  </si>
  <si>
    <t>32</t>
    <phoneticPr fontId="7" type="noConversion"/>
  </si>
  <si>
    <t>33</t>
    <phoneticPr fontId="7" type="noConversion"/>
  </si>
  <si>
    <t>34</t>
    <phoneticPr fontId="7" type="noConversion"/>
  </si>
  <si>
    <t>110</t>
    <phoneticPr fontId="7" type="noConversion"/>
  </si>
  <si>
    <t>111</t>
    <phoneticPr fontId="7" type="noConversion"/>
  </si>
  <si>
    <t>112</t>
    <phoneticPr fontId="7" type="noConversion"/>
  </si>
  <si>
    <t>113</t>
    <phoneticPr fontId="7" type="noConversion"/>
  </si>
  <si>
    <t>114</t>
    <phoneticPr fontId="7" type="noConversion"/>
  </si>
  <si>
    <t>115</t>
    <phoneticPr fontId="7" type="noConversion"/>
  </si>
  <si>
    <t>961301</t>
    <phoneticPr fontId="7" type="noConversion"/>
  </si>
  <si>
    <t>961302</t>
    <phoneticPr fontId="7" type="noConversion"/>
  </si>
  <si>
    <t>961501</t>
    <phoneticPr fontId="7" type="noConversion"/>
  </si>
  <si>
    <t>961502</t>
    <phoneticPr fontId="7" type="noConversion"/>
  </si>
  <si>
    <t>961701</t>
    <phoneticPr fontId="7" type="noConversion"/>
  </si>
  <si>
    <t>961702</t>
    <phoneticPr fontId="7" type="noConversion"/>
  </si>
  <si>
    <t>961401</t>
    <phoneticPr fontId="7" type="noConversion"/>
  </si>
  <si>
    <t>961402</t>
    <phoneticPr fontId="7" type="noConversion"/>
  </si>
  <si>
    <t>961601</t>
    <phoneticPr fontId="7" type="noConversion"/>
  </si>
  <si>
    <t>961602</t>
    <phoneticPr fontId="7" type="noConversion"/>
  </si>
  <si>
    <t>961801</t>
    <phoneticPr fontId="7" type="noConversion"/>
  </si>
  <si>
    <t>961802</t>
    <phoneticPr fontId="7" type="noConversion"/>
  </si>
  <si>
    <t>961101</t>
    <phoneticPr fontId="7" type="noConversion"/>
  </si>
  <si>
    <t>961102</t>
    <phoneticPr fontId="7" type="noConversion"/>
  </si>
  <si>
    <t>961201</t>
    <phoneticPr fontId="7" type="noConversion"/>
  </si>
  <si>
    <t>961202</t>
    <phoneticPr fontId="7" type="noConversion"/>
  </si>
  <si>
    <t>2</t>
    <phoneticPr fontId="7" type="noConversion"/>
  </si>
  <si>
    <t>3</t>
    <phoneticPr fontId="7" type="noConversion"/>
  </si>
  <si>
    <t>10</t>
    <phoneticPr fontId="7" type="noConversion"/>
  </si>
  <si>
    <t>20</t>
    <phoneticPr fontId="7" type="noConversion"/>
  </si>
  <si>
    <t>60</t>
  </si>
  <si>
    <t>60</t>
    <phoneticPr fontId="7" type="noConversion"/>
  </si>
  <si>
    <t>30,45,94</t>
    <phoneticPr fontId="7" type="noConversion"/>
  </si>
  <si>
    <t>TRUE</t>
    <phoneticPr fontId="7" type="noConversion"/>
  </si>
  <si>
    <t>Chapter_8</t>
    <phoneticPr fontId="7" type="noConversion"/>
  </si>
  <si>
    <t>Int</t>
    <phoneticPr fontId="7" type="noConversion"/>
  </si>
  <si>
    <t>String</t>
    <phoneticPr fontId="7" type="noConversion"/>
  </si>
  <si>
    <t>String Array</t>
    <phoneticPr fontId="7" type="noConversion"/>
  </si>
  <si>
    <t>931082</t>
    <phoneticPr fontId="7" type="noConversion"/>
  </si>
  <si>
    <t>22,16,52</t>
  </si>
  <si>
    <t>CHALLENGERAID_TACTIC_09</t>
    <phoneticPr fontId="7" type="noConversion"/>
  </si>
  <si>
    <t>929</t>
    <phoneticPr fontId="7" type="noConversion"/>
  </si>
  <si>
    <t>949</t>
    <phoneticPr fontId="7" type="noConversion"/>
  </si>
  <si>
    <t>Chapter_9.5</t>
    <phoneticPr fontId="7" type="noConversion"/>
  </si>
  <si>
    <t>CREATURE_NAME_6698</t>
    <phoneticPr fontId="7" type="noConversion"/>
  </si>
  <si>
    <t>5,13,79,90</t>
    <phoneticPr fontId="7" type="noConversion"/>
  </si>
  <si>
    <t>CHALLENGERAID_TACTIC_109</t>
    <phoneticPr fontId="7" type="noConversion"/>
  </si>
  <si>
    <t>(설명)</t>
    <phoneticPr fontId="7" type="noConversion"/>
  </si>
  <si>
    <t>화염 드래곤 T6 1단계</t>
  </si>
  <si>
    <t>화염 드래곤 T6 2단계</t>
  </si>
  <si>
    <t>화염 드래곤 T7 1단계</t>
  </si>
  <si>
    <t>화염 드래곤 T7 2단계</t>
  </si>
  <si>
    <t>화염 드래곤 T8 1단계</t>
  </si>
  <si>
    <t>화염 드래곤 T8 2단계</t>
  </si>
  <si>
    <t>화염 드래곤 T8 3단계</t>
  </si>
  <si>
    <t>화염 드래곤 T8 4단계</t>
  </si>
  <si>
    <t>화염 드래곤 T8 5단계</t>
  </si>
  <si>
    <t>화염 드래곤 T8 6단계</t>
  </si>
  <si>
    <t>화염 드래곤 T8 7단계</t>
  </si>
  <si>
    <t>화염 드래곤 T8 8단계</t>
  </si>
  <si>
    <t>화염 드래곤 T8 9단계</t>
  </si>
  <si>
    <t>화염 드래곤 T8 10단계</t>
  </si>
  <si>
    <t>서리 드래곤 T6 1단계</t>
  </si>
  <si>
    <t>서리 드래곤 T6 2단계</t>
  </si>
  <si>
    <t>서리 드래곤 T7 1단계</t>
  </si>
  <si>
    <t>서리 드래곤 T7 2단계</t>
  </si>
  <si>
    <t>서리 드래곤 T8 1단계</t>
  </si>
  <si>
    <t>서리 드래곤 T8 2단계</t>
  </si>
  <si>
    <t>서리 드래곤 T8 3단계</t>
  </si>
  <si>
    <t>서리 드래곤 T8 4단계</t>
  </si>
  <si>
    <t>서리 드래곤 T8 5단계</t>
  </si>
  <si>
    <t>서리 드래곤 T8 6단계</t>
  </si>
  <si>
    <t>서리 드래곤 T8 7단계</t>
  </si>
  <si>
    <t>서리 드래곤 T8 8단계</t>
  </si>
  <si>
    <t>서리 드래곤 T8 9단계</t>
  </si>
  <si>
    <t>서리 드래곤 T8 10단계</t>
  </si>
  <si>
    <t>포이즌 드래곤 T6 1단계</t>
  </si>
  <si>
    <t>포이즌 드래곤 T6 2단계</t>
  </si>
  <si>
    <t>포이즌 드래곤 T7 1단계</t>
  </si>
  <si>
    <t>포이즌 드래곤 T7 2단계</t>
  </si>
  <si>
    <t>포이즌 드래곤 T8 1단계</t>
  </si>
  <si>
    <t>포이즌 드래곤 T8 2단계</t>
  </si>
  <si>
    <t>포이즌 드래곤 T8 3단계</t>
  </si>
  <si>
    <t>포이즌 드래곤 T8 4단계</t>
  </si>
  <si>
    <t>포이즌 드래곤 T8 5단계</t>
  </si>
  <si>
    <t>포이즌 드래곤 T8 6단계</t>
  </si>
  <si>
    <t>포이즌 드래곤 T8 7단계</t>
  </si>
  <si>
    <t>포이즌 드래곤 T8 8단계</t>
  </si>
  <si>
    <t>포이즌 드래곤 T8 9단계</t>
  </si>
  <si>
    <t>포이즌 드래곤 T8 10단계</t>
  </si>
  <si>
    <t>블랙 드래곤 T6 1단계</t>
  </si>
  <si>
    <t>블랙 드래곤 T6 2단계</t>
  </si>
  <si>
    <t>블랙 드래곤 T7 1단계</t>
  </si>
  <si>
    <t>블랙 드래곤 T7 2단계</t>
  </si>
  <si>
    <t>블랙 드래곤 T8 1단계</t>
  </si>
  <si>
    <t>블랙 드래곤 T8 2단계</t>
  </si>
  <si>
    <t>블랙 드래곤 T8 3단계</t>
  </si>
  <si>
    <t>블랙 드래곤 T8 4단계</t>
  </si>
  <si>
    <t>블랙 드래곤 T8 5단계</t>
  </si>
  <si>
    <t>블랙 드래곤 T8 6단계</t>
  </si>
  <si>
    <t>블랙 드래곤 T8 7단계</t>
  </si>
  <si>
    <t>블랙 드래곤 T8 8단계</t>
  </si>
  <si>
    <t>블랙 드래곤 T8 9단계</t>
  </si>
  <si>
    <t>블랙 드래곤 T8 10단계</t>
  </si>
  <si>
    <t>화염 드래곤 T6 1단계 (싱글)</t>
  </si>
  <si>
    <t>화염 드래곤 T6 2단계 (싱글)</t>
  </si>
  <si>
    <t>화염 드래곤 T7 1단계 (싱글)</t>
  </si>
  <si>
    <t>화염 드래곤 T7 2단계 (싱글)</t>
  </si>
  <si>
    <t>화염 드래곤 T8 1단계 (싱글)</t>
  </si>
  <si>
    <t>화염 드래곤 T8 2단계 (싱글)</t>
  </si>
  <si>
    <t>화염 드래곤 T8 3단계 (싱글)</t>
  </si>
  <si>
    <t>화염 드래곤 T8 4단계 (싱글)</t>
  </si>
  <si>
    <t>화염 드래곤 T8 5단계 (싱글)</t>
  </si>
  <si>
    <t>화염 드래곤 T8 6단계 (싱글)</t>
  </si>
  <si>
    <t>화염 드래곤 T8 7단계 (싱글)</t>
  </si>
  <si>
    <t>화염 드래곤 T8 8단계 (싱글)</t>
  </si>
  <si>
    <t>화염 드래곤 T8 9단계 (싱글)</t>
  </si>
  <si>
    <t>화염 드래곤 T8 10단계 (싱글)</t>
  </si>
  <si>
    <t>서리 드래곤 T6 1단계 (싱글)</t>
  </si>
  <si>
    <t>서리 드래곤 T6 2단계 (싱글)</t>
  </si>
  <si>
    <t>서리 드래곤 T7 1단계 (싱글)</t>
  </si>
  <si>
    <t>서리 드래곤 T7 2단계 (싱글)</t>
  </si>
  <si>
    <t>서리 드래곤 T8 1단계 (싱글)</t>
  </si>
  <si>
    <t>서리 드래곤 T8 2단계 (싱글)</t>
  </si>
  <si>
    <t>서리 드래곤 T8 3단계 (싱글)</t>
  </si>
  <si>
    <t>서리 드래곤 T8 4단계 (싱글)</t>
  </si>
  <si>
    <t>서리 드래곤 T8 5단계 (싱글)</t>
  </si>
  <si>
    <t>서리 드래곤 T8 6단계 (싱글)</t>
  </si>
  <si>
    <t>서리 드래곤 T8 7단계 (싱글)</t>
  </si>
  <si>
    <t>서리 드래곤 T8 8단계 (싱글)</t>
  </si>
  <si>
    <t>서리 드래곤 T8 9단계 (싱글)</t>
  </si>
  <si>
    <t>서리 드래곤 T8 10단계 (싱글)</t>
  </si>
  <si>
    <t>포이즌 드래곤 T6 1단계 (싱글)</t>
  </si>
  <si>
    <t>포이즌 드래곤 T6 2단계 (싱글)</t>
  </si>
  <si>
    <t>포이즌 드래곤 T7 1단계 (싱글)</t>
  </si>
  <si>
    <t>포이즌 드래곤 T7 2단계 (싱글)</t>
  </si>
  <si>
    <t>포이즌 드래곤 T8 1단계 (싱글)</t>
  </si>
  <si>
    <t>포이즌 드래곤 T8 2단계 (싱글)</t>
  </si>
  <si>
    <t>포이즌 드래곤 T8 3단계 (싱글)</t>
  </si>
  <si>
    <t>포이즌 드래곤 T8 4단계 (싱글)</t>
  </si>
  <si>
    <t>포이즌 드래곤 T8 5단계 (싱글)</t>
  </si>
  <si>
    <t>포이즌 드래곤 T8 6단계 (싱글)</t>
  </si>
  <si>
    <t>포이즌 드래곤 T8 7단계 (싱글)</t>
  </si>
  <si>
    <t>포이즌 드래곤 T8 8단계 (싱글)</t>
  </si>
  <si>
    <t>포이즌 드래곤 T8 9단계 (싱글)</t>
  </si>
  <si>
    <t>포이즌 드래곤 T8 10단계 (싱글)</t>
  </si>
  <si>
    <t>블랙 드래곤 T6 1단계 (싱글)</t>
  </si>
  <si>
    <t>블랙 드래곤 T6 2단계 (싱글)</t>
  </si>
  <si>
    <t>블랙 드래곤 T7 1단계 (싱글)</t>
  </si>
  <si>
    <t>블랙 드래곤 T7 2단계 (싱글)</t>
  </si>
  <si>
    <t>블랙 드래곤 T8 1단계 (싱글)</t>
  </si>
  <si>
    <t>블랙 드래곤 T8 2단계 (싱글)</t>
  </si>
  <si>
    <t>블랙 드래곤 T8 3단계 (싱글)</t>
  </si>
  <si>
    <t>블랙 드래곤 T8 4단계 (싱글)</t>
  </si>
  <si>
    <t>블랙 드래곤 T8 5단계 (싱글)</t>
  </si>
  <si>
    <t>블랙 드래곤 T8 6단계 (싱글)</t>
  </si>
  <si>
    <t>블랙 드래곤 T8 7단계 (싱글)</t>
  </si>
  <si>
    <t>블랙 드래곤 T8 8단계 (싱글)</t>
  </si>
  <si>
    <t>블랙 드래곤 T8 9단계 (싱글)</t>
  </si>
  <si>
    <t>블랙 드래곤 T8 10단계 (싱글)</t>
  </si>
  <si>
    <t>화염 드래곤 하드모드 1단계</t>
    <phoneticPr fontId="7" type="noConversion"/>
  </si>
  <si>
    <t>화염 드래곤 하드모드 2단계</t>
    <phoneticPr fontId="7" type="noConversion"/>
  </si>
  <si>
    <t>화염 드래곤 하드모드 3단계</t>
  </si>
  <si>
    <t>화염 드래곤 하드모드 4단계</t>
  </si>
  <si>
    <t>화염 드래곤 하드모드 5단계</t>
  </si>
  <si>
    <t>화염 드래곤 하드모드 6단계</t>
  </si>
  <si>
    <t>화염 드래곤 하드모드 7단계</t>
  </si>
  <si>
    <t>화염 드래곤 하드모드 8단계</t>
  </si>
  <si>
    <t>화염 드래곤 하드모드 9단계</t>
  </si>
  <si>
    <t>화염 드래곤 하드모드 10단계</t>
  </si>
  <si>
    <t>서리 드래곤 하드모드 1단계</t>
  </si>
  <si>
    <t>서리 드래곤 하드모드 2단계</t>
  </si>
  <si>
    <t>서리 드래곤 하드모드 3단계</t>
  </si>
  <si>
    <t>서리 드래곤 하드모드 4단계</t>
  </si>
  <si>
    <t>서리 드래곤 하드모드 5단계</t>
  </si>
  <si>
    <t>서리 드래곤 하드모드 6단계</t>
  </si>
  <si>
    <t>서리 드래곤 하드모드 7단계</t>
  </si>
  <si>
    <t>서리 드래곤 하드모드 8단계</t>
  </si>
  <si>
    <t>서리 드래곤 하드모드 9단계</t>
  </si>
  <si>
    <t>서리 드래곤 하드모드 10단계</t>
  </si>
  <si>
    <t>포이즌 드래곤 하드모드 1단계</t>
  </si>
  <si>
    <t>포이즌 드래곤 하드모드 2단계</t>
  </si>
  <si>
    <t>포이즌 드래곤 하드모드 3단계</t>
  </si>
  <si>
    <t>포이즌 드래곤 하드모드 4단계</t>
  </si>
  <si>
    <t>포이즌 드래곤 하드모드 5단계</t>
  </si>
  <si>
    <t>포이즌 드래곤 하드모드 6단계</t>
  </si>
  <si>
    <t>포이즌 드래곤 하드모드 7단계</t>
  </si>
  <si>
    <t>포이즌 드래곤 하드모드 8단계</t>
  </si>
  <si>
    <t>포이즌 드래곤 하드모드 9단계</t>
  </si>
  <si>
    <t>포이즌 드래곤 하드모드 10단계</t>
  </si>
  <si>
    <t>블랙 드래곤 하드모드 1단계</t>
  </si>
  <si>
    <t>블랙 드래곤 하드모드 2단계</t>
  </si>
  <si>
    <t>블랙 드래곤 하드모드 3단계</t>
  </si>
  <si>
    <t>블랙 드래곤 하드모드 4단계</t>
  </si>
  <si>
    <t>블랙 드래곤 하드모드 5단계</t>
  </si>
  <si>
    <t>블랙 드래곤 하드모드 6단계</t>
  </si>
  <si>
    <t>블랙 드래곤 하드모드 7단계</t>
  </si>
  <si>
    <t>블랙 드래곤 하드모드 8단계</t>
  </si>
  <si>
    <t>블랙 드래곤 하드모드 9단계</t>
  </si>
  <si>
    <t>블랙 드래곤 하드모드 10단계</t>
  </si>
  <si>
    <t>화염 드래곤 하드모드 1단계 (싱글)</t>
  </si>
  <si>
    <t>화염 드래곤 하드모드 2단계 (싱글)</t>
  </si>
  <si>
    <t>화염 드래곤 하드모드 3단계 (싱글)</t>
  </si>
  <si>
    <t>화염 드래곤 하드모드 4단계 (싱글)</t>
  </si>
  <si>
    <t>화염 드래곤 하드모드 5단계 (싱글)</t>
  </si>
  <si>
    <t>화염 드래곤 하드모드 6단계 (싱글)</t>
  </si>
  <si>
    <t>화염 드래곤 하드모드 7단계 (싱글)</t>
  </si>
  <si>
    <t>화염 드래곤 하드모드 8단계 (싱글)</t>
  </si>
  <si>
    <t>화염 드래곤 하드모드 9단계 (싱글)</t>
  </si>
  <si>
    <t>화염 드래곤 하드모드 10단계 (싱글)</t>
  </si>
  <si>
    <t>서리 드래곤 하드모드 1단계 (싱글)</t>
  </si>
  <si>
    <t>서리 드래곤 하드모드 2단계 (싱글)</t>
  </si>
  <si>
    <t>서리 드래곤 하드모드 3단계 (싱글)</t>
  </si>
  <si>
    <t>서리 드래곤 하드모드 4단계 (싱글)</t>
  </si>
  <si>
    <t>서리 드래곤 하드모드 5단계 (싱글)</t>
  </si>
  <si>
    <t>서리 드래곤 하드모드 6단계 (싱글)</t>
  </si>
  <si>
    <t>서리 드래곤 하드모드 7단계 (싱글)</t>
  </si>
  <si>
    <t>서리 드래곤 하드모드 8단계 (싱글)</t>
  </si>
  <si>
    <t>서리 드래곤 하드모드 9단계 (싱글)</t>
  </si>
  <si>
    <t>서리 드래곤 하드모드 10단계 (싱글)</t>
  </si>
  <si>
    <t>포이즌 드래곤 하드모드 1단계 (싱글)</t>
  </si>
  <si>
    <t>포이즌 드래곤 하드모드 2단계 (싱글)</t>
  </si>
  <si>
    <t>포이즌 드래곤 하드모드 3단계 (싱글)</t>
  </si>
  <si>
    <t>포이즌 드래곤 하드모드 4단계 (싱글)</t>
  </si>
  <si>
    <t>포이즌 드래곤 하드모드 5단계 (싱글)</t>
  </si>
  <si>
    <t>포이즌 드래곤 하드모드 6단계 (싱글)</t>
  </si>
  <si>
    <t>포이즌 드래곤 하드모드 7단계 (싱글)</t>
  </si>
  <si>
    <t>포이즌 드래곤 하드모드 8단계 (싱글)</t>
  </si>
  <si>
    <t>포이즌 드래곤 하드모드 9단계 (싱글)</t>
  </si>
  <si>
    <t>포이즌 드래곤 하드모드 10단계 (싱글)</t>
  </si>
  <si>
    <t>블랙 드래곤 하드모드 1단계 (싱글)</t>
  </si>
  <si>
    <t>블랙 드래곤 하드모드 2단계 (싱글)</t>
  </si>
  <si>
    <t>블랙 드래곤 하드모드 3단계 (싱글)</t>
  </si>
  <si>
    <t>블랙 드래곤 하드모드 4단계 (싱글)</t>
  </si>
  <si>
    <t>블랙 드래곤 하드모드 5단계 (싱글)</t>
  </si>
  <si>
    <t>블랙 드래곤 하드모드 6단계 (싱글)</t>
  </si>
  <si>
    <t>블랙 드래곤 하드모드 7단계 (싱글)</t>
  </si>
  <si>
    <t>블랙 드래곤 하드모드 8단계 (싱글)</t>
  </si>
  <si>
    <t>블랙 드래곤 하드모드 9단계 (싱글)</t>
  </si>
  <si>
    <t>블랙 드래곤 하드모드 10단계 (싱글)</t>
  </si>
  <si>
    <t>필드레이드 용암 1단계</t>
    <phoneticPr fontId="7" type="noConversion"/>
  </si>
  <si>
    <t>필드레이드 용암 2단계</t>
    <phoneticPr fontId="7" type="noConversion"/>
  </si>
  <si>
    <t>필드레이드 수호 1단계</t>
    <phoneticPr fontId="7" type="noConversion"/>
  </si>
  <si>
    <t>필드레이드 수호 2단계</t>
    <phoneticPr fontId="7" type="noConversion"/>
  </si>
  <si>
    <t>필드레이드 제압 1단계</t>
    <phoneticPr fontId="7" type="noConversion"/>
  </si>
  <si>
    <t>필드레이드 제압 2단계</t>
    <phoneticPr fontId="7" type="noConversion"/>
  </si>
  <si>
    <t>필드레이드 마왕군 1단계</t>
    <phoneticPr fontId="7" type="noConversion"/>
  </si>
  <si>
    <t>필드레이드 마왕군 2단계</t>
    <phoneticPr fontId="7" type="noConversion"/>
  </si>
  <si>
    <t>필드레이드 용암 1단계 (싱글)</t>
  </si>
  <si>
    <t>필드레이드 용암 2단계 (싱글)</t>
  </si>
  <si>
    <t>필드레이드 마왕군 1단계 (싱글)</t>
  </si>
  <si>
    <t>필드레이드 마왕군 2단계 (싱글)</t>
  </si>
  <si>
    <t>1</t>
    <phoneticPr fontId="7" type="noConversion"/>
  </si>
  <si>
    <t>2</t>
    <phoneticPr fontId="7" type="noConversion"/>
  </si>
  <si>
    <t>3</t>
    <phoneticPr fontId="7" type="noConversion"/>
  </si>
  <si>
    <t>4</t>
    <phoneticPr fontId="7" type="noConversion"/>
  </si>
  <si>
    <t>5</t>
    <phoneticPr fontId="7" type="noConversion"/>
  </si>
  <si>
    <t>마도왕국 갈고리아 레이드 1단계</t>
    <phoneticPr fontId="7" type="noConversion"/>
  </si>
  <si>
    <t>마도왕국 갈고리아 레이드 3단계</t>
  </si>
  <si>
    <t>마도왕국 갈고리아 레이드 4단계</t>
  </si>
  <si>
    <t>마도왕국 갈고리아 레이드 5단계</t>
  </si>
  <si>
    <t>10,9</t>
    <phoneticPr fontId="7" type="noConversion"/>
  </si>
  <si>
    <t>마도왕국 갈고리아 레이드 1단계 (싱글)</t>
  </si>
  <si>
    <t>마도왕국 갈고리아 레이드 2단계 (싱글)</t>
  </si>
  <si>
    <t>마도왕국 갈고리아 레이드 3단계 (싱글)</t>
  </si>
  <si>
    <t>마도왕국 갈고리아 레이드 4단계 (싱글)</t>
  </si>
  <si>
    <t>마도왕국 갈고리아 레이드 5단계 (싱글)</t>
  </si>
  <si>
    <t>마도왕국 아스칼론 레이드 1단계</t>
  </si>
  <si>
    <t>마도왕국 아스칼론 레이드 2단계</t>
  </si>
  <si>
    <t>마도왕국 아스칼론 레이드 3단계</t>
  </si>
  <si>
    <t>마도왕국 아스칼론 레이드 4단계</t>
  </si>
  <si>
    <t>마도왕국 아스칼론 레이드 5단계</t>
  </si>
  <si>
    <t>마도왕국 지크프리트 레이드 1단계</t>
  </si>
  <si>
    <t>마도왕국 지크프리트 레이드 2단계</t>
  </si>
  <si>
    <t>마도왕국 지크프리트 레이드 3단계</t>
  </si>
  <si>
    <t>마도왕국 지크프리트 레이드 4단계</t>
  </si>
  <si>
    <t>마도왕국 지크프리트 레이드 5단계</t>
  </si>
  <si>
    <t>TechnoMagic</t>
    <phoneticPr fontId="7" type="noConversion"/>
  </si>
  <si>
    <t>TechnoMagicSingle</t>
  </si>
  <si>
    <t>TechnoMagicSingle</t>
    <phoneticPr fontId="7" type="noConversion"/>
  </si>
  <si>
    <t>BanIndex</t>
    <phoneticPr fontId="7" type="noConversion"/>
  </si>
  <si>
    <t>10102</t>
  </si>
  <si>
    <t>RaidDesc</t>
    <phoneticPr fontId="7" type="noConversion"/>
  </si>
  <si>
    <t>GARGORIA_RAID_DESC</t>
  </si>
  <si>
    <t>ASCALON_RAID_DESC</t>
  </si>
  <si>
    <t>SIEGFRIED_RAID_DESC</t>
  </si>
  <si>
    <t>TECHNO_MAGIC_RAID_GARGORIA_TITLE</t>
  </si>
  <si>
    <t>TECHNO_MAGIC_RAID_SIEGFRIED_TITLE</t>
  </si>
  <si>
    <t>TECHNO_MAGIC_RAID_ASCALON_TITLE</t>
  </si>
  <si>
    <t>마도왕국 아스칼론 레이드 6단계</t>
  </si>
  <si>
    <t>마도왕국 지크프리트 레이드 6단계</t>
  </si>
  <si>
    <t>마도왕국 지크프리트 레이드 1단계 (싱글)</t>
  </si>
  <si>
    <t>마도왕국 지크프리트 레이드 2단계 (싱글)</t>
  </si>
  <si>
    <t>마도왕국 지크프리트 레이드 3단계 (싱글)</t>
  </si>
  <si>
    <t>마도왕국 지크프리트 레이드 4단계 (싱글)</t>
  </si>
  <si>
    <t>마도왕국 지크프리트 레이드 5단계 (싱글)</t>
  </si>
  <si>
    <t>마도왕국 지크프리트 레이드 6단계 (싱글)</t>
  </si>
  <si>
    <t>마도왕국 아스칼론 레이드 1단계 (싱글)</t>
  </si>
  <si>
    <t>마도왕국 아스칼론 레이드 2단계 (싱글)</t>
  </si>
  <si>
    <t>마도왕국 아스칼론 레이드 3단계 (싱글)</t>
  </si>
  <si>
    <t>마도왕국 아스칼론 레이드 4단계 (싱글)</t>
  </si>
  <si>
    <t>마도왕국 아스칼론 레이드 5단계 (싱글)</t>
  </si>
  <si>
    <t>마도왕국 아스칼론 레이드 6단계 (싱글)</t>
  </si>
  <si>
    <t>10103</t>
    <phoneticPr fontId="7" type="noConversion"/>
  </si>
  <si>
    <t>10101</t>
    <phoneticPr fontId="7" type="noConversion"/>
  </si>
  <si>
    <t>Chapter10_Field1</t>
    <phoneticPr fontId="7" type="noConversion"/>
  </si>
  <si>
    <t>Chapter10_Field4</t>
    <phoneticPr fontId="7" type="noConversion"/>
  </si>
  <si>
    <t>GARGORIA_RAID_GUIDE</t>
  </si>
  <si>
    <t>SIEGFRIED_RAID_GUIDE</t>
  </si>
  <si>
    <t>ASCALON_RAID_GUIDE</t>
  </si>
  <si>
    <t>7</t>
    <phoneticPr fontId="7" type="noConversion"/>
  </si>
  <si>
    <t>10,30</t>
    <phoneticPr fontId="7" type="noConversion"/>
  </si>
  <si>
    <t>TECHNO_MAGIC_RAID_GARGORIA_TACTIC</t>
    <phoneticPr fontId="7" type="noConversion"/>
  </si>
  <si>
    <t>TECHNO_MAGIC_RAID_SIEGFRIED_TACTIC</t>
  </si>
  <si>
    <t>TECHNO_MAGIC_RAID_ASCALON_TACTIC</t>
  </si>
  <si>
    <t>10,9</t>
  </si>
  <si>
    <t>10,30</t>
  </si>
  <si>
    <t>33,48,56,87</t>
    <phoneticPr fontId="7" type="noConversion"/>
  </si>
  <si>
    <t>96,81,50,95</t>
    <phoneticPr fontId="7" type="noConversion"/>
  </si>
  <si>
    <t>23,31,34</t>
    <phoneticPr fontId="7" type="noConversion"/>
  </si>
  <si>
    <t>RAID_BLACK_DRAGON_SPECIAL_REWARD_TIER8_GRADE6_LV89</t>
    <phoneticPr fontId="7" type="noConversion"/>
  </si>
  <si>
    <t>T8_8_6_5_ALL</t>
  </si>
  <si>
    <t>9C_3_T8_ALL_GRADE_6</t>
  </si>
  <si>
    <t>필드레이드 제압 1단계 (싱글)</t>
    <phoneticPr fontId="7" type="noConversion"/>
  </si>
  <si>
    <t>필드레이드 제압 2단계 (싱글)</t>
    <phoneticPr fontId="7" type="noConversion"/>
  </si>
  <si>
    <t>필드레이드 수호 1단계 (싱글)</t>
    <phoneticPr fontId="7" type="noConversion"/>
  </si>
  <si>
    <t>필드레이드 수호 2단계 (싱글)</t>
    <phoneticPr fontId="7" type="noConversion"/>
  </si>
  <si>
    <t>9C_1_T8_ALL_GRADE_6</t>
    <phoneticPr fontId="7" type="noConversion"/>
  </si>
  <si>
    <t>9C_2_T8_ALL_GRADE_6</t>
    <phoneticPr fontId="7" type="noConversion"/>
  </si>
  <si>
    <t>마도왕국 갈고리아 레이드 2단계</t>
  </si>
  <si>
    <t>마도왕국 갈고리아 레이드 6단계</t>
  </si>
  <si>
    <t>마도왕국 갈고리아 레이드 7단계</t>
  </si>
  <si>
    <t>마도왕국 갈고리아 레이드 8단계</t>
  </si>
  <si>
    <t>마도왕국 갈고리아 레이드 9단계</t>
  </si>
  <si>
    <t>마도왕국 지크프리트 레이드 7단계</t>
  </si>
  <si>
    <t>마도왕국 지크프리트 레이드 8단계</t>
  </si>
  <si>
    <t>마도왕국 지크프리트 레이드 9단계</t>
  </si>
  <si>
    <t>5</t>
  </si>
  <si>
    <t>마도왕국 아스칼론 레이드 7단계</t>
  </si>
  <si>
    <t>마도왕국 아스칼론 레이드 8단계</t>
  </si>
  <si>
    <t>마도왕국 아스칼론 레이드 9단계</t>
  </si>
  <si>
    <t>마도왕국 갈고리아 레이드 6단계 (싱글)</t>
  </si>
  <si>
    <t>마도왕국 갈고리아 레이드 7단계 (싱글)</t>
  </si>
  <si>
    <t>마도왕국 갈고리아 레이드 8단계 (싱글)</t>
  </si>
  <si>
    <t>마도왕국 갈고리아 레이드 9단계 (싱글)</t>
  </si>
  <si>
    <t>마도왕국 지크프리트 레이드 7단계 (싱글)</t>
  </si>
  <si>
    <t>마도왕국 지크프리트 레이드 8단계 (싱글)</t>
  </si>
  <si>
    <t>마도왕국 지크프리트 레이드 9단계 (싱글)</t>
  </si>
  <si>
    <t>마도왕국 아스칼론 레이드 7단계 (싱글)</t>
  </si>
  <si>
    <t>마도왕국 아스칼론 레이드 8단계 (싱글)</t>
  </si>
  <si>
    <t>마도왕국 아스칼론 레이드 9단계 (싱글)</t>
  </si>
  <si>
    <t>ASCALON_RAID_GUIDE</t>
    <phoneticPr fontId="7" type="noConversion"/>
  </si>
  <si>
    <t>ARCDIM_RAID_GUIDE</t>
    <phoneticPr fontId="7" type="noConversion"/>
  </si>
  <si>
    <t>TechnoEnchant</t>
    <phoneticPr fontId="7" type="noConversion"/>
  </si>
  <si>
    <t>TECHNO_ENCHANT_RAID_ARCDIM_TITLE</t>
    <phoneticPr fontId="7" type="noConversion"/>
  </si>
  <si>
    <t>3001</t>
    <phoneticPr fontId="7" type="noConversion"/>
  </si>
  <si>
    <t>501</t>
    <phoneticPr fontId="7" type="noConversion"/>
  </si>
  <si>
    <t>ARCDIM_RAID_DESC</t>
    <phoneticPr fontId="7" type="noConversion"/>
  </si>
  <si>
    <t>3002</t>
    <phoneticPr fontId="7" type="noConversion"/>
  </si>
  <si>
    <t>3003</t>
    <phoneticPr fontId="7" type="noConversion"/>
  </si>
  <si>
    <t>ARCDIMCROSS_RAID_GUIDE</t>
    <phoneticPr fontId="7" type="noConversion"/>
  </si>
  <si>
    <t>TECHNO_ENCHANT_RAID_ARCDIMCROSS_TITLE</t>
    <phoneticPr fontId="7" type="noConversion"/>
  </si>
  <si>
    <t>3101</t>
    <phoneticPr fontId="7" type="noConversion"/>
  </si>
  <si>
    <t>502</t>
    <phoneticPr fontId="7" type="noConversion"/>
  </si>
  <si>
    <t>ARCDIMCROSS_RAID_DESC</t>
    <phoneticPr fontId="7" type="noConversion"/>
  </si>
  <si>
    <t>3102</t>
    <phoneticPr fontId="7" type="noConversion"/>
  </si>
  <si>
    <t>3103</t>
    <phoneticPr fontId="7" type="noConversion"/>
  </si>
  <si>
    <t>TechnoEnchantSingle</t>
    <phoneticPr fontId="7" type="noConversion"/>
  </si>
  <si>
    <t>4001</t>
    <phoneticPr fontId="7" type="noConversion"/>
  </si>
  <si>
    <t>401</t>
    <phoneticPr fontId="7" type="noConversion"/>
  </si>
  <si>
    <t>4002</t>
    <phoneticPr fontId="7" type="noConversion"/>
  </si>
  <si>
    <t>4003</t>
    <phoneticPr fontId="7" type="noConversion"/>
  </si>
  <si>
    <t>4101</t>
    <phoneticPr fontId="7" type="noConversion"/>
  </si>
  <si>
    <t>402</t>
    <phoneticPr fontId="7" type="noConversion"/>
  </si>
  <si>
    <t>4102</t>
    <phoneticPr fontId="7" type="noConversion"/>
  </si>
  <si>
    <t>4103</t>
    <phoneticPr fontId="7" type="noConversion"/>
  </si>
  <si>
    <t>Int</t>
    <phoneticPr fontId="7" type="noConversion"/>
  </si>
  <si>
    <t>1</t>
    <phoneticPr fontId="7" type="noConversion"/>
  </si>
  <si>
    <t>2</t>
    <phoneticPr fontId="7" type="noConversion"/>
  </si>
  <si>
    <t>RaidMultiInfoGroupIndex</t>
    <phoneticPr fontId="7" type="noConversion"/>
  </si>
  <si>
    <t>GroupIndex</t>
    <phoneticPr fontId="7" type="noConversion"/>
  </si>
  <si>
    <t>아크딤 크로스 1단계</t>
    <phoneticPr fontId="7" type="noConversion"/>
  </si>
  <si>
    <t>아크딤 크로스 2단계</t>
  </si>
  <si>
    <t>아크딤 크로스 3단계</t>
  </si>
  <si>
    <t>아크딤 1단계</t>
    <phoneticPr fontId="7" type="noConversion"/>
  </si>
  <si>
    <t>아크딤 2단계</t>
  </si>
  <si>
    <t>아크딤 3단계</t>
  </si>
  <si>
    <t>아크딤 1단계(싱글)</t>
    <phoneticPr fontId="7" type="noConversion"/>
  </si>
  <si>
    <t>아크딤 2단계(싱글)</t>
    <phoneticPr fontId="7" type="noConversion"/>
  </si>
  <si>
    <t>아크딤 3단계(싱글)</t>
    <phoneticPr fontId="7" type="noConversion"/>
  </si>
  <si>
    <t>아크딤 크로스 1단계(싱글)</t>
    <phoneticPr fontId="7" type="noConversion"/>
  </si>
  <si>
    <t>아크딤 크로스 2단계(싱글)</t>
    <phoneticPr fontId="7" type="noConversion"/>
  </si>
  <si>
    <t>아크딤 크로스 3단계(싱글)</t>
    <phoneticPr fontId="7" type="noConversion"/>
  </si>
  <si>
    <t>TECHNO_MAGIC_RAID_ARCDIMDELTA_TACTIC</t>
  </si>
  <si>
    <t>TECHNO_MAGIC_RAID_ARCDIMZETA_TACTIC</t>
  </si>
  <si>
    <t>TECHNO_MAGIC_RAID_ARCDIMCROSSDELTA_TACTIC</t>
  </si>
  <si>
    <t>TECHNO_MAGIC_RAID_ARCDIMCROSSZETA_TACTIC</t>
  </si>
  <si>
    <t>5,70,41</t>
    <phoneticPr fontId="7" type="noConversion"/>
  </si>
  <si>
    <t>10000</t>
    <phoneticPr fontId="7" type="noConversion"/>
  </si>
  <si>
    <t>15000</t>
    <phoneticPr fontId="7" type="noConversion"/>
  </si>
  <si>
    <t>20000</t>
    <phoneticPr fontId="7" type="noConversion"/>
  </si>
  <si>
    <t>25000</t>
    <phoneticPr fontId="7" type="noConversion"/>
  </si>
  <si>
    <t>30000</t>
    <phoneticPr fontId="7" type="noConversion"/>
  </si>
  <si>
    <t>35000</t>
    <phoneticPr fontId="7" type="noConversion"/>
  </si>
  <si>
    <t>TECHNO_ENCHANT_RAID_ARCDIM_TITLE</t>
  </si>
  <si>
    <t>TECHNO_MAGIC_RAID_ARCDIMDELTA_TACTIC</t>
    <phoneticPr fontId="7" type="noConversion"/>
  </si>
  <si>
    <t>15,5,70</t>
    <phoneticPr fontId="7" type="noConversion"/>
  </si>
  <si>
    <t>WaveIndex</t>
    <phoneticPr fontId="7" type="noConversion"/>
  </si>
  <si>
    <t>Int</t>
    <phoneticPr fontId="7" type="noConversion"/>
  </si>
  <si>
    <t>40,58,8</t>
    <phoneticPr fontId="7" type="noConversion"/>
  </si>
  <si>
    <t>25,40,58</t>
  </si>
  <si>
    <t>90001</t>
    <phoneticPr fontId="7" type="noConversion"/>
  </si>
  <si>
    <t>951</t>
    <phoneticPr fontId="7" type="noConversion"/>
  </si>
  <si>
    <t>961</t>
    <phoneticPr fontId="7" type="noConversion"/>
  </si>
  <si>
    <t>1</t>
    <phoneticPr fontId="7" type="noConversion"/>
  </si>
  <si>
    <t>2</t>
    <phoneticPr fontId="7" type="noConversion"/>
  </si>
  <si>
    <t>3</t>
    <phoneticPr fontId="7" type="noConversion"/>
  </si>
  <si>
    <t>4</t>
    <phoneticPr fontId="7" type="noConversion"/>
  </si>
  <si>
    <t>952</t>
    <phoneticPr fontId="7" type="noConversion"/>
  </si>
  <si>
    <t>962</t>
    <phoneticPr fontId="7" type="noConversion"/>
  </si>
  <si>
    <t>953</t>
    <phoneticPr fontId="7" type="noConversion"/>
  </si>
  <si>
    <t>963</t>
    <phoneticPr fontId="7" type="noConversion"/>
  </si>
  <si>
    <t>954</t>
    <phoneticPr fontId="7" type="noConversion"/>
  </si>
  <si>
    <t>964</t>
    <phoneticPr fontId="7" type="noConversion"/>
  </si>
  <si>
    <t>955</t>
    <phoneticPr fontId="7" type="noConversion"/>
  </si>
  <si>
    <t>965</t>
    <phoneticPr fontId="7" type="noConversion"/>
  </si>
  <si>
    <t>956</t>
    <phoneticPr fontId="7" type="noConversion"/>
  </si>
  <si>
    <t>966</t>
    <phoneticPr fontId="7" type="noConversion"/>
  </si>
  <si>
    <t>957</t>
    <phoneticPr fontId="7" type="noConversion"/>
  </si>
  <si>
    <t>967</t>
    <phoneticPr fontId="7" type="noConversion"/>
  </si>
  <si>
    <t>958</t>
    <phoneticPr fontId="7" type="noConversion"/>
  </si>
  <si>
    <t>968</t>
    <phoneticPr fontId="7" type="noConversion"/>
  </si>
  <si>
    <t>신벌레이드 화염 드래곤</t>
    <phoneticPr fontId="7" type="noConversion"/>
  </si>
  <si>
    <t>PunishmentRaid</t>
    <phoneticPr fontId="7" type="noConversion"/>
  </si>
  <si>
    <t>70000</t>
    <phoneticPr fontId="7" type="noConversion"/>
  </si>
  <si>
    <t>신벌레이드 서리 드래곤</t>
    <phoneticPr fontId="7" type="noConversion"/>
  </si>
  <si>
    <t>신벌레이드 맹독 드래곤</t>
    <phoneticPr fontId="7" type="noConversion"/>
  </si>
  <si>
    <t>신벌레이드 블랙 드래곤</t>
    <phoneticPr fontId="7" type="noConversion"/>
  </si>
  <si>
    <t>신벌레이드 아포칼립시온</t>
    <phoneticPr fontId="7" type="noConversion"/>
  </si>
  <si>
    <t>CREATURE_NAME_60002</t>
    <phoneticPr fontId="7" type="noConversion"/>
  </si>
  <si>
    <t>(Dec)</t>
    <phoneticPr fontId="7" type="noConversion"/>
  </si>
  <si>
    <t>아크딤 1~3단계</t>
    <phoneticPr fontId="7" type="noConversion"/>
  </si>
  <si>
    <t>아크딤크로스 1~3단계</t>
    <phoneticPr fontId="7" type="noConversion"/>
  </si>
  <si>
    <t>아크딤 싱글 1~3단계</t>
    <phoneticPr fontId="7" type="noConversion"/>
  </si>
  <si>
    <t>아크딤크로스 싱글 1~3단계</t>
    <phoneticPr fontId="7" type="noConversion"/>
  </si>
  <si>
    <t>신벌레이드 테르시오</t>
    <phoneticPr fontId="7" type="noConversion"/>
  </si>
  <si>
    <t>PunishmentRaidBG</t>
    <phoneticPr fontId="7" type="noConversion"/>
  </si>
  <si>
    <t>PUNISHMENT_RAID_TERSIO_TACTIC</t>
    <phoneticPr fontId="7" type="noConversion"/>
  </si>
  <si>
    <t>PUNISHMENT_RAID_APOCALYPSION_TACTIC</t>
    <phoneticPr fontId="7" type="noConversion"/>
  </si>
  <si>
    <t>23,86,30</t>
    <phoneticPr fontId="7" type="noConversion"/>
  </si>
  <si>
    <t>93,45,101</t>
    <phoneticPr fontId="7" type="noConversion"/>
  </si>
  <si>
    <t>87,56,41</t>
    <phoneticPr fontId="7" type="noConversion"/>
  </si>
  <si>
    <t>45,30,102</t>
    <phoneticPr fontId="7" type="noConversion"/>
  </si>
  <si>
    <t>80,70,66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</si>
</sst>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6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9C6500"/>
      <name val="맑은 고딕"/>
      <family val="2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맑은 고딕"/>
      <family val="2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9"/>
      <color rgb="FFFF0000"/>
      <name val="맑은 고딕"/>
      <family val="3"/>
      <charset val="129"/>
      <scheme val="minor"/>
    </font>
    <font>
      <sz val="12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name val="맑은 고딕"/>
      <family val="3"/>
      <charset val="129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95">
    <xf numFmtId="0" fontId="0" fillId="0" borderId="0"/>
    <xf numFmtId="0" fontId="6" fillId="0" borderId="0">
      <alignment vertical="center"/>
    </xf>
    <xf numFmtId="0" fontId="9" fillId="0" borderId="0">
      <alignment vertical="center"/>
    </xf>
    <xf numFmtId="0" fontId="5" fillId="0" borderId="0">
      <alignment vertical="center"/>
    </xf>
    <xf numFmtId="0" fontId="13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17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32">
    <xf numFmtId="0" fontId="0" fillId="0" borderId="0" xfId="0"/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right"/>
    </xf>
    <xf numFmtId="49" fontId="8" fillId="2" borderId="0" xfId="0" applyNumberFormat="1" applyFont="1" applyFill="1" applyBorder="1" applyAlignment="1">
      <alignment horizontal="center"/>
    </xf>
    <xf numFmtId="49" fontId="8" fillId="2" borderId="0" xfId="1" applyNumberFormat="1" applyFont="1" applyFill="1" applyBorder="1" applyAlignment="1">
      <alignment horizontal="right" vertical="center"/>
    </xf>
    <xf numFmtId="49" fontId="10" fillId="2" borderId="1" xfId="1" applyNumberFormat="1" applyFont="1" applyFill="1" applyBorder="1" applyAlignment="1">
      <alignment horizontal="right" vertical="center" textRotation="90"/>
    </xf>
    <xf numFmtId="49" fontId="10" fillId="2" borderId="1" xfId="0" applyNumberFormat="1" applyFont="1" applyFill="1" applyBorder="1" applyAlignment="1">
      <alignment horizontal="center" vertical="center" textRotation="90"/>
    </xf>
    <xf numFmtId="49" fontId="10" fillId="2" borderId="1" xfId="1" applyNumberFormat="1" applyFont="1" applyFill="1" applyBorder="1" applyAlignment="1">
      <alignment horizontal="center" vertical="center" textRotation="90"/>
    </xf>
    <xf numFmtId="49" fontId="11" fillId="2" borderId="2" xfId="0" applyNumberFormat="1" applyFont="1" applyFill="1" applyBorder="1" applyAlignment="1"/>
    <xf numFmtId="49" fontId="13" fillId="3" borderId="0" xfId="4" applyNumberFormat="1" applyAlignment="1">
      <alignment horizontal="right"/>
    </xf>
    <xf numFmtId="49" fontId="13" fillId="3" borderId="0" xfId="4" applyNumberFormat="1" applyAlignment="1">
      <alignment horizontal="center"/>
    </xf>
    <xf numFmtId="49" fontId="13" fillId="0" borderId="0" xfId="4" applyNumberFormat="1" applyFill="1" applyAlignment="1">
      <alignment horizontal="center"/>
    </xf>
    <xf numFmtId="49" fontId="10" fillId="4" borderId="1" xfId="0" applyNumberFormat="1" applyFont="1" applyFill="1" applyBorder="1" applyAlignment="1">
      <alignment horizontal="center" vertical="center" textRotation="90"/>
    </xf>
    <xf numFmtId="49" fontId="10" fillId="5" borderId="1" xfId="0" applyNumberFormat="1" applyFont="1" applyFill="1" applyBorder="1" applyAlignment="1">
      <alignment horizontal="center" vertical="center" textRotation="90"/>
    </xf>
    <xf numFmtId="49" fontId="8" fillId="2" borderId="0" xfId="1" applyNumberFormat="1" applyFont="1" applyFill="1" applyBorder="1" applyAlignment="1">
      <alignment horizontal="center" vertical="center"/>
    </xf>
    <xf numFmtId="49" fontId="8" fillId="2" borderId="0" xfId="0" applyNumberFormat="1" applyFont="1" applyFill="1" applyBorder="1" applyAlignment="1">
      <alignment horizontal="center" vertical="center"/>
    </xf>
    <xf numFmtId="49" fontId="8" fillId="6" borderId="0" xfId="1" applyNumberFormat="1" applyFont="1" applyFill="1" applyBorder="1" applyAlignment="1">
      <alignment horizontal="center" vertical="center"/>
    </xf>
    <xf numFmtId="49" fontId="10" fillId="7" borderId="1" xfId="0" applyNumberFormat="1" applyFont="1" applyFill="1" applyBorder="1" applyAlignment="1">
      <alignment horizontal="center" vertical="center" textRotation="90"/>
    </xf>
    <xf numFmtId="49" fontId="10" fillId="2" borderId="3" xfId="0" applyNumberFormat="1" applyFont="1" applyFill="1" applyBorder="1" applyAlignment="1">
      <alignment horizontal="center" vertical="center" textRotation="90"/>
    </xf>
    <xf numFmtId="49" fontId="10" fillId="2" borderId="4" xfId="0" applyNumberFormat="1" applyFont="1" applyFill="1" applyBorder="1" applyAlignment="1">
      <alignment horizontal="center" vertical="center" textRotation="90"/>
    </xf>
    <xf numFmtId="49" fontId="10" fillId="6" borderId="3" xfId="0" applyNumberFormat="1" applyFont="1" applyFill="1" applyBorder="1" applyAlignment="1">
      <alignment horizontal="center" vertical="center" textRotation="90"/>
    </xf>
    <xf numFmtId="49" fontId="8" fillId="8" borderId="1" xfId="1" applyNumberFormat="1" applyFont="1" applyFill="1" applyBorder="1" applyAlignment="1">
      <alignment horizontal="center" vertical="center"/>
    </xf>
    <xf numFmtId="49" fontId="10" fillId="8" borderId="1" xfId="0" applyNumberFormat="1" applyFont="1" applyFill="1" applyBorder="1" applyAlignment="1">
      <alignment horizontal="center" vertical="center" textRotation="90"/>
    </xf>
    <xf numFmtId="49" fontId="10" fillId="9" borderId="1" xfId="0" applyNumberFormat="1" applyFont="1" applyFill="1" applyBorder="1" applyAlignment="1">
      <alignment horizontal="center" vertical="center" textRotation="90"/>
    </xf>
    <xf numFmtId="49" fontId="10" fillId="0" borderId="0" xfId="0" applyNumberFormat="1" applyFont="1" applyBorder="1" applyAlignment="1">
      <alignment horizontal="right"/>
    </xf>
    <xf numFmtId="0" fontId="10" fillId="0" borderId="0" xfId="0" applyFont="1" applyAlignment="1">
      <alignment horizontal="right" vertical="center"/>
    </xf>
    <xf numFmtId="49" fontId="10" fillId="6" borderId="1" xfId="0" applyNumberFormat="1" applyFont="1" applyFill="1" applyBorder="1" applyAlignment="1">
      <alignment horizontal="center" vertical="center" textRotation="90"/>
    </xf>
    <xf numFmtId="49" fontId="8" fillId="14" borderId="0" xfId="0" applyNumberFormat="1" applyFont="1" applyFill="1" applyAlignment="1">
      <alignment horizontal="left"/>
    </xf>
    <xf numFmtId="49" fontId="10" fillId="7" borderId="0" xfId="0" applyNumberFormat="1" applyFont="1" applyFill="1" applyAlignment="1">
      <alignment horizontal="left"/>
    </xf>
    <xf numFmtId="49" fontId="10" fillId="11" borderId="0" xfId="0" applyNumberFormat="1" applyFont="1" applyFill="1" applyAlignment="1">
      <alignment horizontal="left"/>
    </xf>
    <xf numFmtId="49" fontId="10" fillId="12" borderId="0" xfId="0" applyNumberFormat="1" applyFont="1" applyFill="1" applyAlignment="1">
      <alignment horizontal="left"/>
    </xf>
    <xf numFmtId="49" fontId="10" fillId="13" borderId="0" xfId="0" applyNumberFormat="1" applyFont="1" applyFill="1" applyAlignment="1">
      <alignment horizontal="left"/>
    </xf>
    <xf numFmtId="49" fontId="8" fillId="7" borderId="3" xfId="0" applyNumberFormat="1" applyFont="1" applyFill="1" applyBorder="1" applyAlignment="1">
      <alignment horizontal="center" vertical="center"/>
    </xf>
    <xf numFmtId="49" fontId="8" fillId="0" borderId="0" xfId="0" applyNumberFormat="1" applyFont="1" applyFill="1" applyAlignment="1">
      <alignment horizontal="left"/>
    </xf>
    <xf numFmtId="49" fontId="8" fillId="0" borderId="0" xfId="8" applyNumberFormat="1" applyFont="1" applyAlignment="1">
      <alignment horizontal="center"/>
    </xf>
    <xf numFmtId="49" fontId="8" fillId="0" borderId="0" xfId="8" applyNumberFormat="1" applyFont="1" applyAlignment="1">
      <alignment horizontal="right"/>
    </xf>
    <xf numFmtId="49" fontId="10" fillId="7" borderId="0" xfId="8" applyNumberFormat="1" applyFont="1" applyFill="1" applyAlignment="1">
      <alignment horizontal="left"/>
    </xf>
    <xf numFmtId="49" fontId="10" fillId="11" borderId="0" xfId="8" applyNumberFormat="1" applyFont="1" applyFill="1" applyAlignment="1">
      <alignment horizontal="left"/>
    </xf>
    <xf numFmtId="49" fontId="10" fillId="12" borderId="0" xfId="8" applyNumberFormat="1" applyFont="1" applyFill="1" applyAlignment="1">
      <alignment horizontal="left"/>
    </xf>
    <xf numFmtId="49" fontId="10" fillId="13" borderId="0" xfId="8" applyNumberFormat="1" applyFont="1" applyFill="1" applyAlignment="1">
      <alignment horizontal="left"/>
    </xf>
    <xf numFmtId="49" fontId="10" fillId="11" borderId="0" xfId="8" applyNumberFormat="1" applyFont="1" applyFill="1" applyAlignment="1">
      <alignment horizontal="center"/>
    </xf>
    <xf numFmtId="49" fontId="10" fillId="13" borderId="0" xfId="8" applyNumberFormat="1" applyFont="1" applyFill="1" applyAlignment="1">
      <alignment horizontal="center"/>
    </xf>
    <xf numFmtId="49" fontId="10" fillId="12" borderId="0" xfId="8" applyNumberFormat="1" applyFont="1" applyFill="1" applyAlignment="1">
      <alignment horizontal="center"/>
    </xf>
    <xf numFmtId="49" fontId="10" fillId="7" borderId="0" xfId="8" applyNumberFormat="1" applyFont="1" applyFill="1" applyAlignment="1">
      <alignment horizontal="center"/>
    </xf>
    <xf numFmtId="49" fontId="10" fillId="15" borderId="1" xfId="0" applyNumberFormat="1" applyFont="1" applyFill="1" applyBorder="1" applyAlignment="1">
      <alignment horizontal="center" vertical="center" textRotation="90"/>
    </xf>
    <xf numFmtId="49" fontId="8" fillId="14" borderId="0" xfId="13" applyNumberFormat="1" applyFont="1" applyFill="1" applyAlignment="1">
      <alignment horizontal="center"/>
    </xf>
    <xf numFmtId="49" fontId="8" fillId="0" borderId="0" xfId="13" applyNumberFormat="1" applyFont="1" applyFill="1" applyAlignment="1">
      <alignment horizontal="center"/>
    </xf>
    <xf numFmtId="49" fontId="8" fillId="10" borderId="0" xfId="13" applyNumberFormat="1" applyFont="1" applyFill="1" applyAlignment="1">
      <alignment horizontal="center"/>
    </xf>
    <xf numFmtId="49" fontId="10" fillId="13" borderId="0" xfId="21" applyNumberFormat="1" applyFont="1" applyFill="1" applyAlignment="1">
      <alignment horizontal="center"/>
    </xf>
    <xf numFmtId="49" fontId="10" fillId="12" borderId="0" xfId="21" applyNumberFormat="1" applyFont="1" applyFill="1" applyAlignment="1">
      <alignment horizontal="center"/>
    </xf>
    <xf numFmtId="49" fontId="8" fillId="14" borderId="0" xfId="8" applyNumberFormat="1" applyFont="1" applyFill="1" applyAlignment="1">
      <alignment horizontal="left"/>
    </xf>
    <xf numFmtId="49" fontId="8" fillId="0" borderId="0" xfId="0" applyNumberFormat="1" applyFont="1" applyAlignment="1">
      <alignment horizontal="left"/>
    </xf>
    <xf numFmtId="49" fontId="13" fillId="3" borderId="0" xfId="4" applyNumberFormat="1" applyAlignment="1">
      <alignment horizontal="left"/>
    </xf>
    <xf numFmtId="49" fontId="13" fillId="0" borderId="0" xfId="4" applyNumberFormat="1" applyFill="1" applyAlignment="1">
      <alignment horizontal="left"/>
    </xf>
    <xf numFmtId="49" fontId="8" fillId="14" borderId="0" xfId="0" applyNumberFormat="1" applyFont="1" applyFill="1" applyAlignment="1">
      <alignment horizontal="left"/>
    </xf>
    <xf numFmtId="49" fontId="8" fillId="14" borderId="0" xfId="13" applyNumberFormat="1" applyFont="1" applyFill="1" applyAlignment="1">
      <alignment horizontal="center"/>
    </xf>
    <xf numFmtId="49" fontId="10" fillId="16" borderId="0" xfId="0" applyNumberFormat="1" applyFont="1" applyFill="1" applyAlignment="1">
      <alignment horizontal="left"/>
    </xf>
    <xf numFmtId="49" fontId="8" fillId="0" borderId="0" xfId="13" applyNumberFormat="1" applyFont="1" applyFill="1" applyAlignment="1">
      <alignment horizontal="center"/>
    </xf>
    <xf numFmtId="49" fontId="8" fillId="14" borderId="0" xfId="0" applyNumberFormat="1" applyFont="1" applyFill="1" applyAlignment="1">
      <alignment horizontal="left"/>
    </xf>
    <xf numFmtId="49" fontId="8" fillId="10" borderId="0" xfId="13" applyNumberFormat="1" applyFont="1" applyFill="1" applyAlignment="1">
      <alignment horizontal="center"/>
    </xf>
    <xf numFmtId="49" fontId="10" fillId="16" borderId="0" xfId="0" applyNumberFormat="1" applyFont="1" applyFill="1" applyAlignment="1">
      <alignment horizontal="left"/>
    </xf>
    <xf numFmtId="49" fontId="8" fillId="0" borderId="0" xfId="0" applyNumberFormat="1" applyFont="1" applyAlignment="1">
      <alignment horizontal="center" vertical="center"/>
    </xf>
    <xf numFmtId="49" fontId="19" fillId="0" borderId="0" xfId="0" applyNumberFormat="1" applyFont="1" applyAlignment="1">
      <alignment horizontal="right"/>
    </xf>
    <xf numFmtId="0" fontId="8" fillId="2" borderId="0" xfId="1" applyNumberFormat="1" applyFont="1" applyFill="1" applyBorder="1" applyAlignment="1">
      <alignment horizontal="center" vertical="center"/>
    </xf>
    <xf numFmtId="0" fontId="10" fillId="2" borderId="1" xfId="0" applyNumberFormat="1" applyFont="1" applyFill="1" applyBorder="1" applyAlignment="1">
      <alignment horizontal="center" vertical="center" textRotation="90"/>
    </xf>
    <xf numFmtId="0" fontId="8" fillId="0" borderId="0" xfId="0" applyNumberFormat="1" applyFont="1" applyAlignment="1">
      <alignment horizontal="right"/>
    </xf>
    <xf numFmtId="0" fontId="8" fillId="0" borderId="0" xfId="8" applyNumberFormat="1" applyFont="1" applyAlignment="1">
      <alignment horizontal="right"/>
    </xf>
    <xf numFmtId="0" fontId="19" fillId="0" borderId="0" xfId="0" applyNumberFormat="1" applyFont="1" applyAlignment="1">
      <alignment horizontal="right"/>
    </xf>
    <xf numFmtId="0" fontId="13" fillId="3" borderId="0" xfId="4" applyNumberFormat="1" applyAlignment="1">
      <alignment horizontal="right"/>
    </xf>
    <xf numFmtId="0" fontId="8" fillId="0" borderId="0" xfId="0" applyNumberFormat="1" applyFont="1" applyAlignment="1">
      <alignment horizontal="center"/>
    </xf>
    <xf numFmtId="0" fontId="8" fillId="0" borderId="0" xfId="8" applyNumberFormat="1" applyFont="1" applyAlignment="1">
      <alignment horizontal="center"/>
    </xf>
    <xf numFmtId="0" fontId="19" fillId="0" borderId="0" xfId="0" applyNumberFormat="1" applyFont="1" applyAlignment="1">
      <alignment horizontal="center"/>
    </xf>
    <xf numFmtId="0" fontId="13" fillId="3" borderId="0" xfId="4" applyNumberFormat="1" applyAlignment="1">
      <alignment horizontal="center"/>
    </xf>
    <xf numFmtId="0" fontId="8" fillId="15" borderId="0" xfId="1" applyNumberFormat="1" applyFont="1" applyFill="1" applyBorder="1" applyAlignment="1">
      <alignment horizontal="center" vertical="center"/>
    </xf>
    <xf numFmtId="0" fontId="10" fillId="15" borderId="1" xfId="0" applyNumberFormat="1" applyFont="1" applyFill="1" applyBorder="1" applyAlignment="1">
      <alignment horizontal="center" vertical="center" textRotation="90"/>
    </xf>
    <xf numFmtId="0" fontId="8" fillId="0" borderId="0" xfId="0" applyNumberFormat="1" applyFont="1" applyAlignment="1">
      <alignment horizontal="left"/>
    </xf>
    <xf numFmtId="0" fontId="19" fillId="0" borderId="0" xfId="8" applyNumberFormat="1" applyFont="1" applyAlignment="1">
      <alignment horizontal="right"/>
    </xf>
    <xf numFmtId="0" fontId="10" fillId="5" borderId="1" xfId="0" applyNumberFormat="1" applyFont="1" applyFill="1" applyBorder="1" applyAlignment="1">
      <alignment horizontal="center" vertical="center" textRotation="90"/>
    </xf>
    <xf numFmtId="0" fontId="13" fillId="0" borderId="0" xfId="4" applyNumberFormat="1" applyFill="1" applyAlignment="1">
      <alignment horizontal="center"/>
    </xf>
    <xf numFmtId="0" fontId="10" fillId="9" borderId="3" xfId="0" applyNumberFormat="1" applyFont="1" applyFill="1" applyBorder="1" applyAlignment="1">
      <alignment horizontal="center" vertical="center" textRotation="90"/>
    </xf>
    <xf numFmtId="49" fontId="10" fillId="0" borderId="0" xfId="0" applyNumberFormat="1" applyFont="1" applyBorder="1" applyAlignment="1">
      <alignment horizontal="left"/>
    </xf>
    <xf numFmtId="49" fontId="8" fillId="0" borderId="0" xfId="0" applyNumberFormat="1" applyFont="1" applyFill="1" applyAlignment="1">
      <alignment horizontal="center"/>
    </xf>
    <xf numFmtId="49" fontId="10" fillId="17" borderId="1" xfId="1" applyNumberFormat="1" applyFont="1" applyFill="1" applyBorder="1" applyAlignment="1">
      <alignment horizontal="center" vertical="center"/>
    </xf>
    <xf numFmtId="49" fontId="10" fillId="17" borderId="1" xfId="0" applyNumberFormat="1" applyFont="1" applyFill="1" applyBorder="1" applyAlignment="1">
      <alignment horizontal="center" vertical="center"/>
    </xf>
    <xf numFmtId="49" fontId="10" fillId="17" borderId="0" xfId="0" applyNumberFormat="1" applyFont="1" applyFill="1" applyAlignment="1">
      <alignment horizontal="center" vertical="center" textRotation="90"/>
    </xf>
    <xf numFmtId="49" fontId="8" fillId="2" borderId="0" xfId="1" applyNumberFormat="1" applyFont="1" applyFill="1" applyBorder="1" applyAlignment="1">
      <alignment horizontal="left" vertical="center"/>
    </xf>
    <xf numFmtId="49" fontId="10" fillId="17" borderId="1" xfId="1" applyNumberFormat="1" applyFont="1" applyFill="1" applyBorder="1" applyAlignment="1">
      <alignment horizontal="left" vertical="center"/>
    </xf>
    <xf numFmtId="49" fontId="8" fillId="0" borderId="0" xfId="8" applyNumberFormat="1" applyFont="1" applyAlignment="1">
      <alignment horizontal="left"/>
    </xf>
    <xf numFmtId="49" fontId="19" fillId="0" borderId="0" xfId="0" applyNumberFormat="1" applyFont="1" applyAlignment="1">
      <alignment horizontal="left"/>
    </xf>
    <xf numFmtId="49" fontId="8" fillId="2" borderId="0" xfId="0" applyNumberFormat="1" applyFont="1" applyFill="1" applyBorder="1" applyAlignment="1">
      <alignment horizontal="left" vertical="center"/>
    </xf>
    <xf numFmtId="49" fontId="10" fillId="17" borderId="0" xfId="0" applyNumberFormat="1" applyFont="1" applyFill="1" applyAlignment="1">
      <alignment horizontal="left" vertical="center" textRotation="90"/>
    </xf>
    <xf numFmtId="0" fontId="8" fillId="18" borderId="0" xfId="0" applyFont="1" applyFill="1" applyAlignment="1">
      <alignment horizontal="right"/>
    </xf>
    <xf numFmtId="49" fontId="8" fillId="18" borderId="0" xfId="0" applyNumberFormat="1" applyFont="1" applyFill="1" applyAlignment="1">
      <alignment horizontal="right"/>
    </xf>
    <xf numFmtId="49" fontId="8" fillId="18" borderId="0" xfId="0" applyNumberFormat="1" applyFont="1" applyFill="1" applyAlignment="1">
      <alignment horizontal="left"/>
    </xf>
    <xf numFmtId="49" fontId="8" fillId="18" borderId="0" xfId="0" applyNumberFormat="1" applyFont="1" applyFill="1" applyAlignment="1">
      <alignment horizontal="center"/>
    </xf>
    <xf numFmtId="0" fontId="8" fillId="18" borderId="0" xfId="0" applyFont="1" applyFill="1" applyAlignment="1">
      <alignment horizontal="left"/>
    </xf>
    <xf numFmtId="0" fontId="8" fillId="18" borderId="0" xfId="0" applyFont="1" applyFill="1" applyAlignment="1">
      <alignment horizontal="center"/>
    </xf>
    <xf numFmtId="49" fontId="8" fillId="18" borderId="0" xfId="8" applyNumberFormat="1" applyFont="1" applyFill="1" applyAlignment="1">
      <alignment horizontal="center"/>
    </xf>
    <xf numFmtId="0" fontId="8" fillId="18" borderId="0" xfId="0" applyFont="1" applyFill="1" applyBorder="1" applyAlignment="1">
      <alignment horizontal="center" vertical="center"/>
    </xf>
    <xf numFmtId="0" fontId="8" fillId="18" borderId="0" xfId="0" applyNumberFormat="1" applyFont="1" applyFill="1" applyAlignment="1">
      <alignment horizontal="center"/>
    </xf>
    <xf numFmtId="49" fontId="25" fillId="11" borderId="0" xfId="8" applyNumberFormat="1" applyFont="1" applyFill="1" applyAlignment="1">
      <alignment horizontal="left"/>
    </xf>
    <xf numFmtId="49" fontId="25" fillId="11" borderId="0" xfId="8" applyNumberFormat="1" applyFont="1" applyFill="1" applyAlignment="1">
      <alignment horizontal="center"/>
    </xf>
    <xf numFmtId="0" fontId="25" fillId="11" borderId="0" xfId="8" applyNumberFormat="1" applyFont="1" applyFill="1" applyAlignment="1">
      <alignment horizontal="right"/>
    </xf>
    <xf numFmtId="49" fontId="25" fillId="11" borderId="0" xfId="8" applyNumberFormat="1" applyFont="1" applyFill="1" applyAlignment="1">
      <alignment horizontal="right"/>
    </xf>
    <xf numFmtId="49" fontId="25" fillId="11" borderId="0" xfId="0" applyNumberFormat="1" applyFont="1" applyFill="1" applyAlignment="1">
      <alignment horizontal="center"/>
    </xf>
    <xf numFmtId="0" fontId="25" fillId="11" borderId="0" xfId="8" applyNumberFormat="1" applyFont="1" applyFill="1" applyAlignment="1">
      <alignment horizontal="center"/>
    </xf>
    <xf numFmtId="49" fontId="25" fillId="11" borderId="0" xfId="0" applyNumberFormat="1" applyFont="1" applyFill="1" applyAlignment="1">
      <alignment horizontal="right"/>
    </xf>
    <xf numFmtId="49" fontId="25" fillId="11" borderId="0" xfId="0" applyNumberFormat="1" applyFont="1" applyFill="1" applyAlignment="1">
      <alignment horizontal="left"/>
    </xf>
    <xf numFmtId="0" fontId="25" fillId="11" borderId="0" xfId="0" applyNumberFormat="1" applyFont="1" applyFill="1" applyAlignment="1">
      <alignment horizontal="right"/>
    </xf>
    <xf numFmtId="0" fontId="25" fillId="11" borderId="0" xfId="0" applyNumberFormat="1" applyFont="1" applyFill="1" applyAlignment="1">
      <alignment horizontal="center"/>
    </xf>
    <xf numFmtId="0" fontId="8" fillId="0" borderId="0" xfId="8" applyFont="1" applyAlignment="1">
      <alignment horizontal="right"/>
    </xf>
    <xf numFmtId="0" fontId="8" fillId="0" borderId="0" xfId="8" applyFont="1" applyAlignment="1">
      <alignment horizontal="center"/>
    </xf>
    <xf numFmtId="0" fontId="8" fillId="19" borderId="0" xfId="0" applyFont="1" applyFill="1" applyAlignment="1">
      <alignment horizontal="right"/>
    </xf>
    <xf numFmtId="49" fontId="8" fillId="19" borderId="0" xfId="0" applyNumberFormat="1" applyFont="1" applyFill="1" applyAlignment="1">
      <alignment horizontal="right"/>
    </xf>
    <xf numFmtId="49" fontId="8" fillId="19" borderId="0" xfId="0" applyNumberFormat="1" applyFont="1" applyFill="1" applyAlignment="1">
      <alignment horizontal="left"/>
    </xf>
    <xf numFmtId="49" fontId="8" fillId="19" borderId="0" xfId="0" applyNumberFormat="1" applyFont="1" applyFill="1" applyAlignment="1">
      <alignment horizontal="center"/>
    </xf>
    <xf numFmtId="0" fontId="8" fillId="19" borderId="0" xfId="0" applyFont="1" applyFill="1" applyAlignment="1">
      <alignment horizontal="left"/>
    </xf>
    <xf numFmtId="0" fontId="8" fillId="19" borderId="0" xfId="0" applyFont="1" applyFill="1" applyAlignment="1">
      <alignment horizontal="center"/>
    </xf>
    <xf numFmtId="49" fontId="10" fillId="19" borderId="0" xfId="0" applyNumberFormat="1" applyFont="1" applyFill="1" applyAlignment="1">
      <alignment horizontal="left"/>
    </xf>
    <xf numFmtId="49" fontId="10" fillId="19" borderId="0" xfId="21" applyNumberFormat="1" applyFont="1" applyFill="1" applyAlignment="1">
      <alignment horizontal="center"/>
    </xf>
    <xf numFmtId="0" fontId="8" fillId="18" borderId="0" xfId="0" applyFont="1" applyFill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49" fontId="8" fillId="15" borderId="1" xfId="0" applyNumberFormat="1" applyFont="1" applyFill="1" applyBorder="1" applyAlignment="1">
      <alignment horizontal="center" vertical="center"/>
    </xf>
    <xf numFmtId="49" fontId="8" fillId="9" borderId="5" xfId="1" applyNumberFormat="1" applyFont="1" applyFill="1" applyBorder="1" applyAlignment="1">
      <alignment horizontal="center" vertical="center"/>
    </xf>
    <xf numFmtId="49" fontId="8" fillId="9" borderId="2" xfId="1" applyNumberFormat="1" applyFont="1" applyFill="1" applyBorder="1" applyAlignment="1">
      <alignment horizontal="center" vertical="center"/>
    </xf>
    <xf numFmtId="49" fontId="8" fillId="5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49" fontId="8" fillId="2" borderId="5" xfId="0" applyNumberFormat="1" applyFont="1" applyFill="1" applyBorder="1" applyAlignment="1">
      <alignment horizontal="center" vertical="center"/>
    </xf>
    <xf numFmtId="49" fontId="8" fillId="2" borderId="2" xfId="0" applyNumberFormat="1" applyFont="1" applyFill="1" applyBorder="1" applyAlignment="1">
      <alignment horizontal="center" vertical="center"/>
    </xf>
    <xf numFmtId="49" fontId="8" fillId="6" borderId="5" xfId="0" applyNumberFormat="1" applyFont="1" applyFill="1" applyBorder="1" applyAlignment="1">
      <alignment horizontal="center" vertical="center"/>
    </xf>
    <xf numFmtId="49" fontId="8" fillId="6" borderId="2" xfId="0" applyNumberFormat="1" applyFont="1" applyFill="1" applyBorder="1" applyAlignment="1">
      <alignment horizontal="center" vertical="center"/>
    </xf>
  </cellXfs>
  <cellStyles count="495">
    <cellStyle name="Text" xfId="60" xr:uid="{00000000-0005-0000-0000-000000000000}"/>
    <cellStyle name="보통" xfId="4" builtinId="28"/>
    <cellStyle name="표준" xfId="0" builtinId="0"/>
    <cellStyle name="표준 12" xfId="2" xr:uid="{00000000-0005-0000-0000-000003000000}"/>
    <cellStyle name="표준 2" xfId="6" xr:uid="{00000000-0005-0000-0000-000004000000}"/>
    <cellStyle name="표준 2 2" xfId="1" xr:uid="{00000000-0005-0000-0000-000005000000}"/>
    <cellStyle name="표준 2 2 10" xfId="3" xr:uid="{00000000-0005-0000-0000-000006000000}"/>
    <cellStyle name="표준 2 2 10 10" xfId="47" xr:uid="{00000000-0005-0000-0000-000007000000}"/>
    <cellStyle name="표준 2 2 10 10 2" xfId="83" xr:uid="{00000000-0005-0000-0000-000008000000}"/>
    <cellStyle name="표준 2 2 10 10 2 2" xfId="162" xr:uid="{00000000-0005-0000-0000-000009000000}"/>
    <cellStyle name="표준 2 2 10 10 2 2 2" xfId="403" xr:uid="{00000000-0005-0000-0000-00000A000000}"/>
    <cellStyle name="표준 2 2 10 10 2 3" xfId="237" xr:uid="{00000000-0005-0000-0000-00000B000000}"/>
    <cellStyle name="표준 2 2 10 10 2 3 2" xfId="478" xr:uid="{00000000-0005-0000-0000-00000C000000}"/>
    <cellStyle name="표준 2 2 10 10 2 4" xfId="327" xr:uid="{00000000-0005-0000-0000-00000D000000}"/>
    <cellStyle name="표준 2 2 10 10 3" xfId="127" xr:uid="{00000000-0005-0000-0000-00000E000000}"/>
    <cellStyle name="표준 2 2 10 10 3 2" xfId="368" xr:uid="{00000000-0005-0000-0000-00000F000000}"/>
    <cellStyle name="표준 2 2 10 10 4" xfId="202" xr:uid="{00000000-0005-0000-0000-000010000000}"/>
    <cellStyle name="표준 2 2 10 10 4 2" xfId="443" xr:uid="{00000000-0005-0000-0000-000011000000}"/>
    <cellStyle name="표준 2 2 10 10 5" xfId="292" xr:uid="{00000000-0005-0000-0000-000012000000}"/>
    <cellStyle name="표준 2 2 10 11" xfId="49" xr:uid="{00000000-0005-0000-0000-000013000000}"/>
    <cellStyle name="표준 2 2 10 11 2" xfId="85" xr:uid="{00000000-0005-0000-0000-000014000000}"/>
    <cellStyle name="표준 2 2 10 11 2 2" xfId="164" xr:uid="{00000000-0005-0000-0000-000015000000}"/>
    <cellStyle name="표준 2 2 10 11 2 2 2" xfId="405" xr:uid="{00000000-0005-0000-0000-000016000000}"/>
    <cellStyle name="표준 2 2 10 11 2 3" xfId="239" xr:uid="{00000000-0005-0000-0000-000017000000}"/>
    <cellStyle name="표준 2 2 10 11 2 3 2" xfId="480" xr:uid="{00000000-0005-0000-0000-000018000000}"/>
    <cellStyle name="표준 2 2 10 11 2 4" xfId="329" xr:uid="{00000000-0005-0000-0000-000019000000}"/>
    <cellStyle name="표준 2 2 10 11 3" xfId="129" xr:uid="{00000000-0005-0000-0000-00001A000000}"/>
    <cellStyle name="표준 2 2 10 11 3 2" xfId="370" xr:uid="{00000000-0005-0000-0000-00001B000000}"/>
    <cellStyle name="표준 2 2 10 11 4" xfId="204" xr:uid="{00000000-0005-0000-0000-00001C000000}"/>
    <cellStyle name="표준 2 2 10 11 4 2" xfId="445" xr:uid="{00000000-0005-0000-0000-00001D000000}"/>
    <cellStyle name="표준 2 2 10 11 5" xfId="294" xr:uid="{00000000-0005-0000-0000-00001E000000}"/>
    <cellStyle name="표준 2 2 10 12" xfId="51" xr:uid="{00000000-0005-0000-0000-00001F000000}"/>
    <cellStyle name="표준 2 2 10 12 2" xfId="87" xr:uid="{00000000-0005-0000-0000-000020000000}"/>
    <cellStyle name="표준 2 2 10 12 2 2" xfId="166" xr:uid="{00000000-0005-0000-0000-000021000000}"/>
    <cellStyle name="표준 2 2 10 12 2 2 2" xfId="407" xr:uid="{00000000-0005-0000-0000-000022000000}"/>
    <cellStyle name="표준 2 2 10 12 2 3" xfId="241" xr:uid="{00000000-0005-0000-0000-000023000000}"/>
    <cellStyle name="표준 2 2 10 12 2 3 2" xfId="482" xr:uid="{00000000-0005-0000-0000-000024000000}"/>
    <cellStyle name="표준 2 2 10 12 2 4" xfId="331" xr:uid="{00000000-0005-0000-0000-000025000000}"/>
    <cellStyle name="표준 2 2 10 12 3" xfId="131" xr:uid="{00000000-0005-0000-0000-000026000000}"/>
    <cellStyle name="표준 2 2 10 12 3 2" xfId="372" xr:uid="{00000000-0005-0000-0000-000027000000}"/>
    <cellStyle name="표준 2 2 10 12 4" xfId="206" xr:uid="{00000000-0005-0000-0000-000028000000}"/>
    <cellStyle name="표준 2 2 10 12 4 2" xfId="447" xr:uid="{00000000-0005-0000-0000-000029000000}"/>
    <cellStyle name="표준 2 2 10 12 5" xfId="296" xr:uid="{00000000-0005-0000-0000-00002A000000}"/>
    <cellStyle name="표준 2 2 10 13" xfId="53" xr:uid="{00000000-0005-0000-0000-00002B000000}"/>
    <cellStyle name="표준 2 2 10 13 2" xfId="89" xr:uid="{00000000-0005-0000-0000-00002C000000}"/>
    <cellStyle name="표준 2 2 10 13 2 2" xfId="168" xr:uid="{00000000-0005-0000-0000-00002D000000}"/>
    <cellStyle name="표준 2 2 10 13 2 2 2" xfId="409" xr:uid="{00000000-0005-0000-0000-00002E000000}"/>
    <cellStyle name="표준 2 2 10 13 2 3" xfId="243" xr:uid="{00000000-0005-0000-0000-00002F000000}"/>
    <cellStyle name="표준 2 2 10 13 2 3 2" xfId="484" xr:uid="{00000000-0005-0000-0000-000030000000}"/>
    <cellStyle name="표준 2 2 10 13 2 4" xfId="333" xr:uid="{00000000-0005-0000-0000-000031000000}"/>
    <cellStyle name="표준 2 2 10 13 3" xfId="133" xr:uid="{00000000-0005-0000-0000-000032000000}"/>
    <cellStyle name="표준 2 2 10 13 3 2" xfId="374" xr:uid="{00000000-0005-0000-0000-000033000000}"/>
    <cellStyle name="표준 2 2 10 13 4" xfId="208" xr:uid="{00000000-0005-0000-0000-000034000000}"/>
    <cellStyle name="표준 2 2 10 13 4 2" xfId="449" xr:uid="{00000000-0005-0000-0000-000035000000}"/>
    <cellStyle name="표준 2 2 10 13 5" xfId="298" xr:uid="{00000000-0005-0000-0000-000036000000}"/>
    <cellStyle name="표준 2 2 10 14" xfId="55" xr:uid="{00000000-0005-0000-0000-000037000000}"/>
    <cellStyle name="표준 2 2 10 14 2" xfId="91" xr:uid="{00000000-0005-0000-0000-000038000000}"/>
    <cellStyle name="표준 2 2 10 14 2 2" xfId="170" xr:uid="{00000000-0005-0000-0000-000039000000}"/>
    <cellStyle name="표준 2 2 10 14 2 2 2" xfId="411" xr:uid="{00000000-0005-0000-0000-00003A000000}"/>
    <cellStyle name="표준 2 2 10 14 2 3" xfId="245" xr:uid="{00000000-0005-0000-0000-00003B000000}"/>
    <cellStyle name="표준 2 2 10 14 2 3 2" xfId="486" xr:uid="{00000000-0005-0000-0000-00003C000000}"/>
    <cellStyle name="표준 2 2 10 14 2 4" xfId="335" xr:uid="{00000000-0005-0000-0000-00003D000000}"/>
    <cellStyle name="표준 2 2 10 14 3" xfId="135" xr:uid="{00000000-0005-0000-0000-00003E000000}"/>
    <cellStyle name="표준 2 2 10 14 3 2" xfId="376" xr:uid="{00000000-0005-0000-0000-00003F000000}"/>
    <cellStyle name="표준 2 2 10 14 4" xfId="210" xr:uid="{00000000-0005-0000-0000-000040000000}"/>
    <cellStyle name="표준 2 2 10 14 4 2" xfId="451" xr:uid="{00000000-0005-0000-0000-000041000000}"/>
    <cellStyle name="표준 2 2 10 14 5" xfId="300" xr:uid="{00000000-0005-0000-0000-000042000000}"/>
    <cellStyle name="표준 2 2 10 15" xfId="56" xr:uid="{00000000-0005-0000-0000-000043000000}"/>
    <cellStyle name="표준 2 2 10 15 2" xfId="92" xr:uid="{00000000-0005-0000-0000-000044000000}"/>
    <cellStyle name="표준 2 2 10 15 2 2" xfId="171" xr:uid="{00000000-0005-0000-0000-000045000000}"/>
    <cellStyle name="표준 2 2 10 15 2 2 2" xfId="412" xr:uid="{00000000-0005-0000-0000-000046000000}"/>
    <cellStyle name="표준 2 2 10 15 2 3" xfId="246" xr:uid="{00000000-0005-0000-0000-000047000000}"/>
    <cellStyle name="표준 2 2 10 15 2 3 2" xfId="487" xr:uid="{00000000-0005-0000-0000-000048000000}"/>
    <cellStyle name="표준 2 2 10 15 2 4" xfId="336" xr:uid="{00000000-0005-0000-0000-000049000000}"/>
    <cellStyle name="표준 2 2 10 15 3" xfId="136" xr:uid="{00000000-0005-0000-0000-00004A000000}"/>
    <cellStyle name="표준 2 2 10 15 3 2" xfId="377" xr:uid="{00000000-0005-0000-0000-00004B000000}"/>
    <cellStyle name="표준 2 2 10 15 4" xfId="211" xr:uid="{00000000-0005-0000-0000-00004C000000}"/>
    <cellStyle name="표준 2 2 10 15 4 2" xfId="452" xr:uid="{00000000-0005-0000-0000-00004D000000}"/>
    <cellStyle name="표준 2 2 10 15 5" xfId="301" xr:uid="{00000000-0005-0000-0000-00004E000000}"/>
    <cellStyle name="표준 2 2 10 16" xfId="57" xr:uid="{00000000-0005-0000-0000-00004F000000}"/>
    <cellStyle name="표준 2 2 10 16 2" xfId="93" xr:uid="{00000000-0005-0000-0000-000050000000}"/>
    <cellStyle name="표준 2 2 10 16 2 2" xfId="172" xr:uid="{00000000-0005-0000-0000-000051000000}"/>
    <cellStyle name="표준 2 2 10 16 2 2 2" xfId="413" xr:uid="{00000000-0005-0000-0000-000052000000}"/>
    <cellStyle name="표준 2 2 10 16 2 3" xfId="247" xr:uid="{00000000-0005-0000-0000-000053000000}"/>
    <cellStyle name="표준 2 2 10 16 2 3 2" xfId="488" xr:uid="{00000000-0005-0000-0000-000054000000}"/>
    <cellStyle name="표준 2 2 10 16 2 4" xfId="337" xr:uid="{00000000-0005-0000-0000-000055000000}"/>
    <cellStyle name="표준 2 2 10 16 3" xfId="137" xr:uid="{00000000-0005-0000-0000-000056000000}"/>
    <cellStyle name="표준 2 2 10 16 3 2" xfId="378" xr:uid="{00000000-0005-0000-0000-000057000000}"/>
    <cellStyle name="표준 2 2 10 16 4" xfId="212" xr:uid="{00000000-0005-0000-0000-000058000000}"/>
    <cellStyle name="표준 2 2 10 16 4 2" xfId="453" xr:uid="{00000000-0005-0000-0000-000059000000}"/>
    <cellStyle name="표준 2 2 10 16 5" xfId="302" xr:uid="{00000000-0005-0000-0000-00005A000000}"/>
    <cellStyle name="표준 2 2 10 17" xfId="59" xr:uid="{00000000-0005-0000-0000-00005B000000}"/>
    <cellStyle name="표준 2 2 10 17 2" xfId="95" xr:uid="{00000000-0005-0000-0000-00005C000000}"/>
    <cellStyle name="표준 2 2 10 17 2 2" xfId="174" xr:uid="{00000000-0005-0000-0000-00005D000000}"/>
    <cellStyle name="표준 2 2 10 17 2 2 2" xfId="415" xr:uid="{00000000-0005-0000-0000-00005E000000}"/>
    <cellStyle name="표준 2 2 10 17 2 3" xfId="249" xr:uid="{00000000-0005-0000-0000-00005F000000}"/>
    <cellStyle name="표준 2 2 10 17 2 3 2" xfId="490" xr:uid="{00000000-0005-0000-0000-000060000000}"/>
    <cellStyle name="표준 2 2 10 17 2 4" xfId="339" xr:uid="{00000000-0005-0000-0000-000061000000}"/>
    <cellStyle name="표준 2 2 10 17 3" xfId="139" xr:uid="{00000000-0005-0000-0000-000062000000}"/>
    <cellStyle name="표준 2 2 10 17 3 2" xfId="380" xr:uid="{00000000-0005-0000-0000-000063000000}"/>
    <cellStyle name="표준 2 2 10 17 4" xfId="214" xr:uid="{00000000-0005-0000-0000-000064000000}"/>
    <cellStyle name="표준 2 2 10 17 4 2" xfId="455" xr:uid="{00000000-0005-0000-0000-000065000000}"/>
    <cellStyle name="표준 2 2 10 17 5" xfId="304" xr:uid="{00000000-0005-0000-0000-000066000000}"/>
    <cellStyle name="표준 2 2 10 18" xfId="63" xr:uid="{00000000-0005-0000-0000-000067000000}"/>
    <cellStyle name="표준 2 2 10 18 2" xfId="142" xr:uid="{00000000-0005-0000-0000-000068000000}"/>
    <cellStyle name="표준 2 2 10 18 2 2" xfId="383" xr:uid="{00000000-0005-0000-0000-000069000000}"/>
    <cellStyle name="표준 2 2 10 18 3" xfId="217" xr:uid="{00000000-0005-0000-0000-00006A000000}"/>
    <cellStyle name="표준 2 2 10 18 3 2" xfId="458" xr:uid="{00000000-0005-0000-0000-00006B000000}"/>
    <cellStyle name="표준 2 2 10 18 4" xfId="307" xr:uid="{00000000-0005-0000-0000-00006C000000}"/>
    <cellStyle name="표준 2 2 10 19" xfId="107" xr:uid="{00000000-0005-0000-0000-00006D000000}"/>
    <cellStyle name="표준 2 2 10 19 2" xfId="348" xr:uid="{00000000-0005-0000-0000-00006E000000}"/>
    <cellStyle name="표준 2 2 10 2" xfId="10" xr:uid="{00000000-0005-0000-0000-00006F000000}"/>
    <cellStyle name="표준 2 2 10 2 2" xfId="67" xr:uid="{00000000-0005-0000-0000-000070000000}"/>
    <cellStyle name="표준 2 2 10 2 2 2" xfId="146" xr:uid="{00000000-0005-0000-0000-000071000000}"/>
    <cellStyle name="표준 2 2 10 2 2 2 2" xfId="387" xr:uid="{00000000-0005-0000-0000-000072000000}"/>
    <cellStyle name="표준 2 2 10 2 2 3" xfId="221" xr:uid="{00000000-0005-0000-0000-000073000000}"/>
    <cellStyle name="표준 2 2 10 2 2 3 2" xfId="462" xr:uid="{00000000-0005-0000-0000-000074000000}"/>
    <cellStyle name="표준 2 2 10 2 2 4" xfId="311" xr:uid="{00000000-0005-0000-0000-000075000000}"/>
    <cellStyle name="표준 2 2 10 2 3" xfId="111" xr:uid="{00000000-0005-0000-0000-000076000000}"/>
    <cellStyle name="표준 2 2 10 2 3 2" xfId="352" xr:uid="{00000000-0005-0000-0000-000077000000}"/>
    <cellStyle name="표준 2 2 10 2 4" xfId="186" xr:uid="{00000000-0005-0000-0000-000078000000}"/>
    <cellStyle name="표준 2 2 10 2 4 2" xfId="427" xr:uid="{00000000-0005-0000-0000-000079000000}"/>
    <cellStyle name="표준 2 2 10 2 5" xfId="31" xr:uid="{00000000-0005-0000-0000-00007A000000}"/>
    <cellStyle name="표준 2 2 10 2 5 2" xfId="276" xr:uid="{00000000-0005-0000-0000-00007B000000}"/>
    <cellStyle name="표준 2 2 10 2 6" xfId="19" xr:uid="{00000000-0005-0000-0000-00007C000000}"/>
    <cellStyle name="표준 2 2 10 2 6 2" xfId="267" xr:uid="{00000000-0005-0000-0000-00007D000000}"/>
    <cellStyle name="표준 2 2 10 2 7" xfId="259" xr:uid="{00000000-0005-0000-0000-00007E000000}"/>
    <cellStyle name="표준 2 2 10 20" xfId="182" xr:uid="{00000000-0005-0000-0000-00007F000000}"/>
    <cellStyle name="표준 2 2 10 20 2" xfId="423" xr:uid="{00000000-0005-0000-0000-000080000000}"/>
    <cellStyle name="표준 2 2 10 21" xfId="27" xr:uid="{00000000-0005-0000-0000-000081000000}"/>
    <cellStyle name="표준 2 2 10 21 2" xfId="272" xr:uid="{00000000-0005-0000-0000-000082000000}"/>
    <cellStyle name="표준 2 2 10 22" xfId="15" xr:uid="{00000000-0005-0000-0000-000083000000}"/>
    <cellStyle name="표준 2 2 10 22 2" xfId="263" xr:uid="{00000000-0005-0000-0000-000084000000}"/>
    <cellStyle name="표준 2 2 10 23" xfId="255" xr:uid="{00000000-0005-0000-0000-000085000000}"/>
    <cellStyle name="표준 2 2 10 3" xfId="33" xr:uid="{00000000-0005-0000-0000-000086000000}"/>
    <cellStyle name="표준 2 2 10 3 2" xfId="69" xr:uid="{00000000-0005-0000-0000-000087000000}"/>
    <cellStyle name="표준 2 2 10 3 2 2" xfId="148" xr:uid="{00000000-0005-0000-0000-000088000000}"/>
    <cellStyle name="표준 2 2 10 3 2 2 2" xfId="389" xr:uid="{00000000-0005-0000-0000-000089000000}"/>
    <cellStyle name="표준 2 2 10 3 2 3" xfId="223" xr:uid="{00000000-0005-0000-0000-00008A000000}"/>
    <cellStyle name="표준 2 2 10 3 2 3 2" xfId="464" xr:uid="{00000000-0005-0000-0000-00008B000000}"/>
    <cellStyle name="표준 2 2 10 3 2 4" xfId="313" xr:uid="{00000000-0005-0000-0000-00008C000000}"/>
    <cellStyle name="표준 2 2 10 3 3" xfId="113" xr:uid="{00000000-0005-0000-0000-00008D000000}"/>
    <cellStyle name="표준 2 2 10 3 3 2" xfId="354" xr:uid="{00000000-0005-0000-0000-00008E000000}"/>
    <cellStyle name="표준 2 2 10 3 4" xfId="188" xr:uid="{00000000-0005-0000-0000-00008F000000}"/>
    <cellStyle name="표준 2 2 10 3 4 2" xfId="429" xr:uid="{00000000-0005-0000-0000-000090000000}"/>
    <cellStyle name="표준 2 2 10 3 5" xfId="278" xr:uid="{00000000-0005-0000-0000-000091000000}"/>
    <cellStyle name="표준 2 2 10 4" xfId="35" xr:uid="{00000000-0005-0000-0000-000092000000}"/>
    <cellStyle name="표준 2 2 10 4 2" xfId="71" xr:uid="{00000000-0005-0000-0000-000093000000}"/>
    <cellStyle name="표준 2 2 10 4 2 2" xfId="150" xr:uid="{00000000-0005-0000-0000-000094000000}"/>
    <cellStyle name="표준 2 2 10 4 2 2 2" xfId="391" xr:uid="{00000000-0005-0000-0000-000095000000}"/>
    <cellStyle name="표준 2 2 10 4 2 3" xfId="225" xr:uid="{00000000-0005-0000-0000-000096000000}"/>
    <cellStyle name="표준 2 2 10 4 2 3 2" xfId="466" xr:uid="{00000000-0005-0000-0000-000097000000}"/>
    <cellStyle name="표준 2 2 10 4 2 4" xfId="315" xr:uid="{00000000-0005-0000-0000-000098000000}"/>
    <cellStyle name="표준 2 2 10 4 3" xfId="115" xr:uid="{00000000-0005-0000-0000-000099000000}"/>
    <cellStyle name="표준 2 2 10 4 3 2" xfId="356" xr:uid="{00000000-0005-0000-0000-00009A000000}"/>
    <cellStyle name="표준 2 2 10 4 4" xfId="190" xr:uid="{00000000-0005-0000-0000-00009B000000}"/>
    <cellStyle name="표준 2 2 10 4 4 2" xfId="431" xr:uid="{00000000-0005-0000-0000-00009C000000}"/>
    <cellStyle name="표준 2 2 10 4 5" xfId="280" xr:uid="{00000000-0005-0000-0000-00009D000000}"/>
    <cellStyle name="표준 2 2 10 5" xfId="37" xr:uid="{00000000-0005-0000-0000-00009E000000}"/>
    <cellStyle name="표준 2 2 10 5 2" xfId="73" xr:uid="{00000000-0005-0000-0000-00009F000000}"/>
    <cellStyle name="표준 2 2 10 5 2 2" xfId="152" xr:uid="{00000000-0005-0000-0000-0000A0000000}"/>
    <cellStyle name="표준 2 2 10 5 2 2 2" xfId="393" xr:uid="{00000000-0005-0000-0000-0000A1000000}"/>
    <cellStyle name="표준 2 2 10 5 2 3" xfId="227" xr:uid="{00000000-0005-0000-0000-0000A2000000}"/>
    <cellStyle name="표준 2 2 10 5 2 3 2" xfId="468" xr:uid="{00000000-0005-0000-0000-0000A3000000}"/>
    <cellStyle name="표준 2 2 10 5 2 4" xfId="317" xr:uid="{00000000-0005-0000-0000-0000A4000000}"/>
    <cellStyle name="표준 2 2 10 5 3" xfId="117" xr:uid="{00000000-0005-0000-0000-0000A5000000}"/>
    <cellStyle name="표준 2 2 10 5 3 2" xfId="358" xr:uid="{00000000-0005-0000-0000-0000A6000000}"/>
    <cellStyle name="표준 2 2 10 5 4" xfId="192" xr:uid="{00000000-0005-0000-0000-0000A7000000}"/>
    <cellStyle name="표준 2 2 10 5 4 2" xfId="433" xr:uid="{00000000-0005-0000-0000-0000A8000000}"/>
    <cellStyle name="표준 2 2 10 5 5" xfId="282" xr:uid="{00000000-0005-0000-0000-0000A9000000}"/>
    <cellStyle name="표준 2 2 10 6" xfId="39" xr:uid="{00000000-0005-0000-0000-0000AA000000}"/>
    <cellStyle name="표준 2 2 10 6 2" xfId="75" xr:uid="{00000000-0005-0000-0000-0000AB000000}"/>
    <cellStyle name="표준 2 2 10 6 2 2" xfId="154" xr:uid="{00000000-0005-0000-0000-0000AC000000}"/>
    <cellStyle name="표준 2 2 10 6 2 2 2" xfId="395" xr:uid="{00000000-0005-0000-0000-0000AD000000}"/>
    <cellStyle name="표준 2 2 10 6 2 3" xfId="229" xr:uid="{00000000-0005-0000-0000-0000AE000000}"/>
    <cellStyle name="표준 2 2 10 6 2 3 2" xfId="470" xr:uid="{00000000-0005-0000-0000-0000AF000000}"/>
    <cellStyle name="표준 2 2 10 6 2 4" xfId="319" xr:uid="{00000000-0005-0000-0000-0000B0000000}"/>
    <cellStyle name="표준 2 2 10 6 3" xfId="119" xr:uid="{00000000-0005-0000-0000-0000B1000000}"/>
    <cellStyle name="표준 2 2 10 6 3 2" xfId="360" xr:uid="{00000000-0005-0000-0000-0000B2000000}"/>
    <cellStyle name="표준 2 2 10 6 4" xfId="194" xr:uid="{00000000-0005-0000-0000-0000B3000000}"/>
    <cellStyle name="표준 2 2 10 6 4 2" xfId="435" xr:uid="{00000000-0005-0000-0000-0000B4000000}"/>
    <cellStyle name="표준 2 2 10 6 5" xfId="284" xr:uid="{00000000-0005-0000-0000-0000B5000000}"/>
    <cellStyle name="표준 2 2 10 7" xfId="41" xr:uid="{00000000-0005-0000-0000-0000B6000000}"/>
    <cellStyle name="표준 2 2 10 7 2" xfId="77" xr:uid="{00000000-0005-0000-0000-0000B7000000}"/>
    <cellStyle name="표준 2 2 10 7 2 2" xfId="156" xr:uid="{00000000-0005-0000-0000-0000B8000000}"/>
    <cellStyle name="표준 2 2 10 7 2 2 2" xfId="397" xr:uid="{00000000-0005-0000-0000-0000B9000000}"/>
    <cellStyle name="표준 2 2 10 7 2 3" xfId="231" xr:uid="{00000000-0005-0000-0000-0000BA000000}"/>
    <cellStyle name="표준 2 2 10 7 2 3 2" xfId="472" xr:uid="{00000000-0005-0000-0000-0000BB000000}"/>
    <cellStyle name="표준 2 2 10 7 2 4" xfId="321" xr:uid="{00000000-0005-0000-0000-0000BC000000}"/>
    <cellStyle name="표준 2 2 10 7 3" xfId="121" xr:uid="{00000000-0005-0000-0000-0000BD000000}"/>
    <cellStyle name="표준 2 2 10 7 3 2" xfId="362" xr:uid="{00000000-0005-0000-0000-0000BE000000}"/>
    <cellStyle name="표준 2 2 10 7 4" xfId="196" xr:uid="{00000000-0005-0000-0000-0000BF000000}"/>
    <cellStyle name="표준 2 2 10 7 4 2" xfId="437" xr:uid="{00000000-0005-0000-0000-0000C0000000}"/>
    <cellStyle name="표준 2 2 10 7 5" xfId="286" xr:uid="{00000000-0005-0000-0000-0000C1000000}"/>
    <cellStyle name="표준 2 2 10 8" xfId="43" xr:uid="{00000000-0005-0000-0000-0000C2000000}"/>
    <cellStyle name="표준 2 2 10 8 2" xfId="79" xr:uid="{00000000-0005-0000-0000-0000C3000000}"/>
    <cellStyle name="표준 2 2 10 8 2 2" xfId="158" xr:uid="{00000000-0005-0000-0000-0000C4000000}"/>
    <cellStyle name="표준 2 2 10 8 2 2 2" xfId="399" xr:uid="{00000000-0005-0000-0000-0000C5000000}"/>
    <cellStyle name="표준 2 2 10 8 2 3" xfId="233" xr:uid="{00000000-0005-0000-0000-0000C6000000}"/>
    <cellStyle name="표준 2 2 10 8 2 3 2" xfId="474" xr:uid="{00000000-0005-0000-0000-0000C7000000}"/>
    <cellStyle name="표준 2 2 10 8 2 4" xfId="323" xr:uid="{00000000-0005-0000-0000-0000C8000000}"/>
    <cellStyle name="표준 2 2 10 8 3" xfId="123" xr:uid="{00000000-0005-0000-0000-0000C9000000}"/>
    <cellStyle name="표준 2 2 10 8 3 2" xfId="364" xr:uid="{00000000-0005-0000-0000-0000CA000000}"/>
    <cellStyle name="표준 2 2 10 8 4" xfId="198" xr:uid="{00000000-0005-0000-0000-0000CB000000}"/>
    <cellStyle name="표준 2 2 10 8 4 2" xfId="439" xr:uid="{00000000-0005-0000-0000-0000CC000000}"/>
    <cellStyle name="표준 2 2 10 8 5" xfId="288" xr:uid="{00000000-0005-0000-0000-0000CD000000}"/>
    <cellStyle name="표준 2 2 10 9" xfId="45" xr:uid="{00000000-0005-0000-0000-0000CE000000}"/>
    <cellStyle name="표준 2 2 10 9 2" xfId="81" xr:uid="{00000000-0005-0000-0000-0000CF000000}"/>
    <cellStyle name="표준 2 2 10 9 2 2" xfId="160" xr:uid="{00000000-0005-0000-0000-0000D0000000}"/>
    <cellStyle name="표준 2 2 10 9 2 2 2" xfId="401" xr:uid="{00000000-0005-0000-0000-0000D1000000}"/>
    <cellStyle name="표준 2 2 10 9 2 3" xfId="235" xr:uid="{00000000-0005-0000-0000-0000D2000000}"/>
    <cellStyle name="표준 2 2 10 9 2 3 2" xfId="476" xr:uid="{00000000-0005-0000-0000-0000D3000000}"/>
    <cellStyle name="표준 2 2 10 9 2 4" xfId="325" xr:uid="{00000000-0005-0000-0000-0000D4000000}"/>
    <cellStyle name="표준 2 2 10 9 3" xfId="125" xr:uid="{00000000-0005-0000-0000-0000D5000000}"/>
    <cellStyle name="표준 2 2 10 9 3 2" xfId="366" xr:uid="{00000000-0005-0000-0000-0000D6000000}"/>
    <cellStyle name="표준 2 2 10 9 4" xfId="200" xr:uid="{00000000-0005-0000-0000-0000D7000000}"/>
    <cellStyle name="표준 2 2 10 9 4 2" xfId="441" xr:uid="{00000000-0005-0000-0000-0000D8000000}"/>
    <cellStyle name="표준 2 2 10 9 5" xfId="290" xr:uid="{00000000-0005-0000-0000-0000D9000000}"/>
    <cellStyle name="표준 2 2 11" xfId="42" xr:uid="{00000000-0005-0000-0000-0000DA000000}"/>
    <cellStyle name="표준 2 2 11 2" xfId="78" xr:uid="{00000000-0005-0000-0000-0000DB000000}"/>
    <cellStyle name="표준 2 2 11 2 2" xfId="157" xr:uid="{00000000-0005-0000-0000-0000DC000000}"/>
    <cellStyle name="표준 2 2 11 2 2 2" xfId="398" xr:uid="{00000000-0005-0000-0000-0000DD000000}"/>
    <cellStyle name="표준 2 2 11 2 3" xfId="232" xr:uid="{00000000-0005-0000-0000-0000DE000000}"/>
    <cellStyle name="표준 2 2 11 2 3 2" xfId="473" xr:uid="{00000000-0005-0000-0000-0000DF000000}"/>
    <cellStyle name="표준 2 2 11 2 4" xfId="322" xr:uid="{00000000-0005-0000-0000-0000E0000000}"/>
    <cellStyle name="표준 2 2 11 3" xfId="122" xr:uid="{00000000-0005-0000-0000-0000E1000000}"/>
    <cellStyle name="표준 2 2 11 3 2" xfId="363" xr:uid="{00000000-0005-0000-0000-0000E2000000}"/>
    <cellStyle name="표준 2 2 11 4" xfId="197" xr:uid="{00000000-0005-0000-0000-0000E3000000}"/>
    <cellStyle name="표준 2 2 11 4 2" xfId="438" xr:uid="{00000000-0005-0000-0000-0000E4000000}"/>
    <cellStyle name="표준 2 2 11 5" xfId="287" xr:uid="{00000000-0005-0000-0000-0000E5000000}"/>
    <cellStyle name="표준 2 2 12" xfId="44" xr:uid="{00000000-0005-0000-0000-0000E6000000}"/>
    <cellStyle name="표준 2 2 12 2" xfId="80" xr:uid="{00000000-0005-0000-0000-0000E7000000}"/>
    <cellStyle name="표준 2 2 12 2 2" xfId="159" xr:uid="{00000000-0005-0000-0000-0000E8000000}"/>
    <cellStyle name="표준 2 2 12 2 2 2" xfId="400" xr:uid="{00000000-0005-0000-0000-0000E9000000}"/>
    <cellStyle name="표준 2 2 12 2 3" xfId="234" xr:uid="{00000000-0005-0000-0000-0000EA000000}"/>
    <cellStyle name="표준 2 2 12 2 3 2" xfId="475" xr:uid="{00000000-0005-0000-0000-0000EB000000}"/>
    <cellStyle name="표준 2 2 12 2 4" xfId="324" xr:uid="{00000000-0005-0000-0000-0000EC000000}"/>
    <cellStyle name="표준 2 2 12 3" xfId="124" xr:uid="{00000000-0005-0000-0000-0000ED000000}"/>
    <cellStyle name="표준 2 2 12 3 2" xfId="365" xr:uid="{00000000-0005-0000-0000-0000EE000000}"/>
    <cellStyle name="표준 2 2 12 4" xfId="199" xr:uid="{00000000-0005-0000-0000-0000EF000000}"/>
    <cellStyle name="표준 2 2 12 4 2" xfId="440" xr:uid="{00000000-0005-0000-0000-0000F0000000}"/>
    <cellStyle name="표준 2 2 12 5" xfId="289" xr:uid="{00000000-0005-0000-0000-0000F1000000}"/>
    <cellStyle name="표준 2 2 13" xfId="46" xr:uid="{00000000-0005-0000-0000-0000F2000000}"/>
    <cellStyle name="표준 2 2 13 2" xfId="82" xr:uid="{00000000-0005-0000-0000-0000F3000000}"/>
    <cellStyle name="표준 2 2 13 2 2" xfId="161" xr:uid="{00000000-0005-0000-0000-0000F4000000}"/>
    <cellStyle name="표준 2 2 13 2 2 2" xfId="402" xr:uid="{00000000-0005-0000-0000-0000F5000000}"/>
    <cellStyle name="표준 2 2 13 2 3" xfId="236" xr:uid="{00000000-0005-0000-0000-0000F6000000}"/>
    <cellStyle name="표준 2 2 13 2 3 2" xfId="477" xr:uid="{00000000-0005-0000-0000-0000F7000000}"/>
    <cellStyle name="표준 2 2 13 2 4" xfId="326" xr:uid="{00000000-0005-0000-0000-0000F8000000}"/>
    <cellStyle name="표준 2 2 13 3" xfId="126" xr:uid="{00000000-0005-0000-0000-0000F9000000}"/>
    <cellStyle name="표준 2 2 13 3 2" xfId="367" xr:uid="{00000000-0005-0000-0000-0000FA000000}"/>
    <cellStyle name="표준 2 2 13 4" xfId="201" xr:uid="{00000000-0005-0000-0000-0000FB000000}"/>
    <cellStyle name="표준 2 2 13 4 2" xfId="442" xr:uid="{00000000-0005-0000-0000-0000FC000000}"/>
    <cellStyle name="표준 2 2 13 5" xfId="291" xr:uid="{00000000-0005-0000-0000-0000FD000000}"/>
    <cellStyle name="표준 2 2 14" xfId="48" xr:uid="{00000000-0005-0000-0000-0000FE000000}"/>
    <cellStyle name="표준 2 2 14 2" xfId="84" xr:uid="{00000000-0005-0000-0000-0000FF000000}"/>
    <cellStyle name="표준 2 2 14 2 2" xfId="163" xr:uid="{00000000-0005-0000-0000-000000010000}"/>
    <cellStyle name="표준 2 2 14 2 2 2" xfId="404" xr:uid="{00000000-0005-0000-0000-000001010000}"/>
    <cellStyle name="표준 2 2 14 2 3" xfId="238" xr:uid="{00000000-0005-0000-0000-000002010000}"/>
    <cellStyle name="표준 2 2 14 2 3 2" xfId="479" xr:uid="{00000000-0005-0000-0000-000003010000}"/>
    <cellStyle name="표준 2 2 14 2 4" xfId="328" xr:uid="{00000000-0005-0000-0000-000004010000}"/>
    <cellStyle name="표준 2 2 14 3" xfId="128" xr:uid="{00000000-0005-0000-0000-000005010000}"/>
    <cellStyle name="표준 2 2 14 3 2" xfId="369" xr:uid="{00000000-0005-0000-0000-000006010000}"/>
    <cellStyle name="표준 2 2 14 4" xfId="203" xr:uid="{00000000-0005-0000-0000-000007010000}"/>
    <cellStyle name="표준 2 2 14 4 2" xfId="444" xr:uid="{00000000-0005-0000-0000-000008010000}"/>
    <cellStyle name="표준 2 2 14 5" xfId="293" xr:uid="{00000000-0005-0000-0000-000009010000}"/>
    <cellStyle name="표준 2 2 15" xfId="50" xr:uid="{00000000-0005-0000-0000-00000A010000}"/>
    <cellStyle name="표준 2 2 15 2" xfId="86" xr:uid="{00000000-0005-0000-0000-00000B010000}"/>
    <cellStyle name="표준 2 2 15 2 2" xfId="165" xr:uid="{00000000-0005-0000-0000-00000C010000}"/>
    <cellStyle name="표준 2 2 15 2 2 2" xfId="406" xr:uid="{00000000-0005-0000-0000-00000D010000}"/>
    <cellStyle name="표준 2 2 15 2 3" xfId="240" xr:uid="{00000000-0005-0000-0000-00000E010000}"/>
    <cellStyle name="표준 2 2 15 2 3 2" xfId="481" xr:uid="{00000000-0005-0000-0000-00000F010000}"/>
    <cellStyle name="표준 2 2 15 2 4" xfId="330" xr:uid="{00000000-0005-0000-0000-000010010000}"/>
    <cellStyle name="표준 2 2 15 3" xfId="130" xr:uid="{00000000-0005-0000-0000-000011010000}"/>
    <cellStyle name="표준 2 2 15 3 2" xfId="371" xr:uid="{00000000-0005-0000-0000-000012010000}"/>
    <cellStyle name="표준 2 2 15 4" xfId="205" xr:uid="{00000000-0005-0000-0000-000013010000}"/>
    <cellStyle name="표준 2 2 15 4 2" xfId="446" xr:uid="{00000000-0005-0000-0000-000014010000}"/>
    <cellStyle name="표준 2 2 15 5" xfId="295" xr:uid="{00000000-0005-0000-0000-000015010000}"/>
    <cellStyle name="표준 2 2 16" xfId="52" xr:uid="{00000000-0005-0000-0000-000016010000}"/>
    <cellStyle name="표준 2 2 16 2" xfId="88" xr:uid="{00000000-0005-0000-0000-000017010000}"/>
    <cellStyle name="표준 2 2 16 2 2" xfId="167" xr:uid="{00000000-0005-0000-0000-000018010000}"/>
    <cellStyle name="표준 2 2 16 2 2 2" xfId="408" xr:uid="{00000000-0005-0000-0000-000019010000}"/>
    <cellStyle name="표준 2 2 16 2 3" xfId="242" xr:uid="{00000000-0005-0000-0000-00001A010000}"/>
    <cellStyle name="표준 2 2 16 2 3 2" xfId="483" xr:uid="{00000000-0005-0000-0000-00001B010000}"/>
    <cellStyle name="표준 2 2 16 2 4" xfId="332" xr:uid="{00000000-0005-0000-0000-00001C010000}"/>
    <cellStyle name="표준 2 2 16 3" xfId="132" xr:uid="{00000000-0005-0000-0000-00001D010000}"/>
    <cellStyle name="표준 2 2 16 3 2" xfId="373" xr:uid="{00000000-0005-0000-0000-00001E010000}"/>
    <cellStyle name="표준 2 2 16 4" xfId="207" xr:uid="{00000000-0005-0000-0000-00001F010000}"/>
    <cellStyle name="표준 2 2 16 4 2" xfId="448" xr:uid="{00000000-0005-0000-0000-000020010000}"/>
    <cellStyle name="표준 2 2 16 5" xfId="297" xr:uid="{00000000-0005-0000-0000-000021010000}"/>
    <cellStyle name="표준 2 2 17" xfId="54" xr:uid="{00000000-0005-0000-0000-000022010000}"/>
    <cellStyle name="표준 2 2 17 2" xfId="90" xr:uid="{00000000-0005-0000-0000-000023010000}"/>
    <cellStyle name="표준 2 2 17 2 2" xfId="169" xr:uid="{00000000-0005-0000-0000-000024010000}"/>
    <cellStyle name="표준 2 2 17 2 2 2" xfId="410" xr:uid="{00000000-0005-0000-0000-000025010000}"/>
    <cellStyle name="표준 2 2 17 2 3" xfId="244" xr:uid="{00000000-0005-0000-0000-000026010000}"/>
    <cellStyle name="표준 2 2 17 2 3 2" xfId="485" xr:uid="{00000000-0005-0000-0000-000027010000}"/>
    <cellStyle name="표준 2 2 17 2 4" xfId="334" xr:uid="{00000000-0005-0000-0000-000028010000}"/>
    <cellStyle name="표준 2 2 17 3" xfId="134" xr:uid="{00000000-0005-0000-0000-000029010000}"/>
    <cellStyle name="표준 2 2 17 3 2" xfId="375" xr:uid="{00000000-0005-0000-0000-00002A010000}"/>
    <cellStyle name="표준 2 2 17 4" xfId="209" xr:uid="{00000000-0005-0000-0000-00002B010000}"/>
    <cellStyle name="표준 2 2 17 4 2" xfId="450" xr:uid="{00000000-0005-0000-0000-00002C010000}"/>
    <cellStyle name="표준 2 2 17 5" xfId="299" xr:uid="{00000000-0005-0000-0000-00002D010000}"/>
    <cellStyle name="표준 2 2 18" xfId="58" xr:uid="{00000000-0005-0000-0000-00002E010000}"/>
    <cellStyle name="표준 2 2 18 2" xfId="94" xr:uid="{00000000-0005-0000-0000-00002F010000}"/>
    <cellStyle name="표준 2 2 18 2 2" xfId="173" xr:uid="{00000000-0005-0000-0000-000030010000}"/>
    <cellStyle name="표준 2 2 18 2 2 2" xfId="414" xr:uid="{00000000-0005-0000-0000-000031010000}"/>
    <cellStyle name="표준 2 2 18 2 3" xfId="248" xr:uid="{00000000-0005-0000-0000-000032010000}"/>
    <cellStyle name="표준 2 2 18 2 3 2" xfId="489" xr:uid="{00000000-0005-0000-0000-000033010000}"/>
    <cellStyle name="표준 2 2 18 2 4" xfId="338" xr:uid="{00000000-0005-0000-0000-000034010000}"/>
    <cellStyle name="표준 2 2 18 3" xfId="138" xr:uid="{00000000-0005-0000-0000-000035010000}"/>
    <cellStyle name="표준 2 2 18 3 2" xfId="379" xr:uid="{00000000-0005-0000-0000-000036010000}"/>
    <cellStyle name="표준 2 2 18 4" xfId="213" xr:uid="{00000000-0005-0000-0000-000037010000}"/>
    <cellStyle name="표준 2 2 18 4 2" xfId="454" xr:uid="{00000000-0005-0000-0000-000038010000}"/>
    <cellStyle name="표준 2 2 18 5" xfId="303" xr:uid="{00000000-0005-0000-0000-000039010000}"/>
    <cellStyle name="표준 2 2 19" xfId="62" xr:uid="{00000000-0005-0000-0000-00003A010000}"/>
    <cellStyle name="표준 2 2 19 2" xfId="141" xr:uid="{00000000-0005-0000-0000-00003B010000}"/>
    <cellStyle name="표준 2 2 19 2 2" xfId="382" xr:uid="{00000000-0005-0000-0000-00003C010000}"/>
    <cellStyle name="표준 2 2 19 3" xfId="216" xr:uid="{00000000-0005-0000-0000-00003D010000}"/>
    <cellStyle name="표준 2 2 19 3 2" xfId="457" xr:uid="{00000000-0005-0000-0000-00003E010000}"/>
    <cellStyle name="표준 2 2 19 4" xfId="306" xr:uid="{00000000-0005-0000-0000-00003F010000}"/>
    <cellStyle name="표준 2 2 2" xfId="9" xr:uid="{00000000-0005-0000-0000-000040010000}"/>
    <cellStyle name="표준 2 2 2 2" xfId="65" xr:uid="{00000000-0005-0000-0000-000041010000}"/>
    <cellStyle name="표준 2 2 2 2 2" xfId="144" xr:uid="{00000000-0005-0000-0000-000042010000}"/>
    <cellStyle name="표준 2 2 2 2 2 2" xfId="385" xr:uid="{00000000-0005-0000-0000-000043010000}"/>
    <cellStyle name="표준 2 2 2 2 3" xfId="219" xr:uid="{00000000-0005-0000-0000-000044010000}"/>
    <cellStyle name="표준 2 2 2 2 3 2" xfId="460" xr:uid="{00000000-0005-0000-0000-000045010000}"/>
    <cellStyle name="표준 2 2 2 2 4" xfId="309" xr:uid="{00000000-0005-0000-0000-000046010000}"/>
    <cellStyle name="표준 2 2 2 3" xfId="109" xr:uid="{00000000-0005-0000-0000-000047010000}"/>
    <cellStyle name="표준 2 2 2 3 2" xfId="350" xr:uid="{00000000-0005-0000-0000-000048010000}"/>
    <cellStyle name="표준 2 2 2 4" xfId="184" xr:uid="{00000000-0005-0000-0000-000049010000}"/>
    <cellStyle name="표준 2 2 2 4 2" xfId="425" xr:uid="{00000000-0005-0000-0000-00004A010000}"/>
    <cellStyle name="표준 2 2 2 5" xfId="29" xr:uid="{00000000-0005-0000-0000-00004B010000}"/>
    <cellStyle name="표준 2 2 2 5 2" xfId="274" xr:uid="{00000000-0005-0000-0000-00004C010000}"/>
    <cellStyle name="표준 2 2 2 6" xfId="18" xr:uid="{00000000-0005-0000-0000-00004D010000}"/>
    <cellStyle name="표준 2 2 2 6 2" xfId="266" xr:uid="{00000000-0005-0000-0000-00004E010000}"/>
    <cellStyle name="표준 2 2 2 7" xfId="258" xr:uid="{00000000-0005-0000-0000-00004F010000}"/>
    <cellStyle name="표준 2 2 20" xfId="106" xr:uid="{00000000-0005-0000-0000-000050010000}"/>
    <cellStyle name="표준 2 2 20 2" xfId="347" xr:uid="{00000000-0005-0000-0000-000051010000}"/>
    <cellStyle name="표준 2 2 21" xfId="181" xr:uid="{00000000-0005-0000-0000-000052010000}"/>
    <cellStyle name="표준 2 2 21 2" xfId="422" xr:uid="{00000000-0005-0000-0000-000053010000}"/>
    <cellStyle name="표준 2 2 22" xfId="26" xr:uid="{00000000-0005-0000-0000-000054010000}"/>
    <cellStyle name="표준 2 2 22 2" xfId="271" xr:uid="{00000000-0005-0000-0000-000055010000}"/>
    <cellStyle name="표준 2 2 23" xfId="14" xr:uid="{00000000-0005-0000-0000-000056010000}"/>
    <cellStyle name="표준 2 2 23 2" xfId="262" xr:uid="{00000000-0005-0000-0000-000057010000}"/>
    <cellStyle name="표준 2 2 24" xfId="254" xr:uid="{00000000-0005-0000-0000-000058010000}"/>
    <cellStyle name="표준 2 2 3" xfId="28" xr:uid="{00000000-0005-0000-0000-000059010000}"/>
    <cellStyle name="표준 2 2 3 2" xfId="64" xr:uid="{00000000-0005-0000-0000-00005A010000}"/>
    <cellStyle name="표준 2 2 3 2 2" xfId="143" xr:uid="{00000000-0005-0000-0000-00005B010000}"/>
    <cellStyle name="표준 2 2 3 2 2 2" xfId="384" xr:uid="{00000000-0005-0000-0000-00005C010000}"/>
    <cellStyle name="표준 2 2 3 2 3" xfId="218" xr:uid="{00000000-0005-0000-0000-00005D010000}"/>
    <cellStyle name="표준 2 2 3 2 3 2" xfId="459" xr:uid="{00000000-0005-0000-0000-00005E010000}"/>
    <cellStyle name="표준 2 2 3 2 4" xfId="308" xr:uid="{00000000-0005-0000-0000-00005F010000}"/>
    <cellStyle name="표준 2 2 3 3" xfId="108" xr:uid="{00000000-0005-0000-0000-000060010000}"/>
    <cellStyle name="표준 2 2 3 3 2" xfId="349" xr:uid="{00000000-0005-0000-0000-000061010000}"/>
    <cellStyle name="표준 2 2 3 4" xfId="183" xr:uid="{00000000-0005-0000-0000-000062010000}"/>
    <cellStyle name="표준 2 2 3 4 2" xfId="424" xr:uid="{00000000-0005-0000-0000-000063010000}"/>
    <cellStyle name="표준 2 2 3 5" xfId="273" xr:uid="{00000000-0005-0000-0000-000064010000}"/>
    <cellStyle name="표준 2 2 4" xfId="30" xr:uid="{00000000-0005-0000-0000-000065010000}"/>
    <cellStyle name="표준 2 2 4 2" xfId="66" xr:uid="{00000000-0005-0000-0000-000066010000}"/>
    <cellStyle name="표준 2 2 4 2 2" xfId="145" xr:uid="{00000000-0005-0000-0000-000067010000}"/>
    <cellStyle name="표준 2 2 4 2 2 2" xfId="386" xr:uid="{00000000-0005-0000-0000-000068010000}"/>
    <cellStyle name="표준 2 2 4 2 3" xfId="220" xr:uid="{00000000-0005-0000-0000-000069010000}"/>
    <cellStyle name="표준 2 2 4 2 3 2" xfId="461" xr:uid="{00000000-0005-0000-0000-00006A010000}"/>
    <cellStyle name="표준 2 2 4 2 4" xfId="310" xr:uid="{00000000-0005-0000-0000-00006B010000}"/>
    <cellStyle name="표준 2 2 4 3" xfId="110" xr:uid="{00000000-0005-0000-0000-00006C010000}"/>
    <cellStyle name="표준 2 2 4 3 2" xfId="351" xr:uid="{00000000-0005-0000-0000-00006D010000}"/>
    <cellStyle name="표준 2 2 4 4" xfId="185" xr:uid="{00000000-0005-0000-0000-00006E010000}"/>
    <cellStyle name="표준 2 2 4 4 2" xfId="426" xr:uid="{00000000-0005-0000-0000-00006F010000}"/>
    <cellStyle name="표준 2 2 4 5" xfId="275" xr:uid="{00000000-0005-0000-0000-000070010000}"/>
    <cellStyle name="표준 2 2 5" xfId="32" xr:uid="{00000000-0005-0000-0000-000071010000}"/>
    <cellStyle name="표준 2 2 5 2" xfId="68" xr:uid="{00000000-0005-0000-0000-000072010000}"/>
    <cellStyle name="표준 2 2 5 2 2" xfId="147" xr:uid="{00000000-0005-0000-0000-000073010000}"/>
    <cellStyle name="표준 2 2 5 2 2 2" xfId="388" xr:uid="{00000000-0005-0000-0000-000074010000}"/>
    <cellStyle name="표준 2 2 5 2 3" xfId="222" xr:uid="{00000000-0005-0000-0000-000075010000}"/>
    <cellStyle name="표준 2 2 5 2 3 2" xfId="463" xr:uid="{00000000-0005-0000-0000-000076010000}"/>
    <cellStyle name="표준 2 2 5 2 4" xfId="312" xr:uid="{00000000-0005-0000-0000-000077010000}"/>
    <cellStyle name="표준 2 2 5 3" xfId="112" xr:uid="{00000000-0005-0000-0000-000078010000}"/>
    <cellStyle name="표준 2 2 5 3 2" xfId="353" xr:uid="{00000000-0005-0000-0000-000079010000}"/>
    <cellStyle name="표준 2 2 5 4" xfId="187" xr:uid="{00000000-0005-0000-0000-00007A010000}"/>
    <cellStyle name="표준 2 2 5 4 2" xfId="428" xr:uid="{00000000-0005-0000-0000-00007B010000}"/>
    <cellStyle name="표준 2 2 5 5" xfId="277" xr:uid="{00000000-0005-0000-0000-00007C010000}"/>
    <cellStyle name="표준 2 2 6" xfId="34" xr:uid="{00000000-0005-0000-0000-00007D010000}"/>
    <cellStyle name="표준 2 2 6 2" xfId="70" xr:uid="{00000000-0005-0000-0000-00007E010000}"/>
    <cellStyle name="표준 2 2 6 2 2" xfId="149" xr:uid="{00000000-0005-0000-0000-00007F010000}"/>
    <cellStyle name="표준 2 2 6 2 2 2" xfId="390" xr:uid="{00000000-0005-0000-0000-000080010000}"/>
    <cellStyle name="표준 2 2 6 2 3" xfId="224" xr:uid="{00000000-0005-0000-0000-000081010000}"/>
    <cellStyle name="표준 2 2 6 2 3 2" xfId="465" xr:uid="{00000000-0005-0000-0000-000082010000}"/>
    <cellStyle name="표준 2 2 6 2 4" xfId="314" xr:uid="{00000000-0005-0000-0000-000083010000}"/>
    <cellStyle name="표준 2 2 6 3" xfId="114" xr:uid="{00000000-0005-0000-0000-000084010000}"/>
    <cellStyle name="표준 2 2 6 3 2" xfId="355" xr:uid="{00000000-0005-0000-0000-000085010000}"/>
    <cellStyle name="표준 2 2 6 4" xfId="189" xr:uid="{00000000-0005-0000-0000-000086010000}"/>
    <cellStyle name="표준 2 2 6 4 2" xfId="430" xr:uid="{00000000-0005-0000-0000-000087010000}"/>
    <cellStyle name="표준 2 2 6 5" xfId="279" xr:uid="{00000000-0005-0000-0000-000088010000}"/>
    <cellStyle name="표준 2 2 7" xfId="36" xr:uid="{00000000-0005-0000-0000-000089010000}"/>
    <cellStyle name="표준 2 2 7 2" xfId="72" xr:uid="{00000000-0005-0000-0000-00008A010000}"/>
    <cellStyle name="표준 2 2 7 2 2" xfId="151" xr:uid="{00000000-0005-0000-0000-00008B010000}"/>
    <cellStyle name="표준 2 2 7 2 2 2" xfId="392" xr:uid="{00000000-0005-0000-0000-00008C010000}"/>
    <cellStyle name="표준 2 2 7 2 3" xfId="226" xr:uid="{00000000-0005-0000-0000-00008D010000}"/>
    <cellStyle name="표준 2 2 7 2 3 2" xfId="467" xr:uid="{00000000-0005-0000-0000-00008E010000}"/>
    <cellStyle name="표준 2 2 7 2 4" xfId="316" xr:uid="{00000000-0005-0000-0000-00008F010000}"/>
    <cellStyle name="표준 2 2 7 3" xfId="116" xr:uid="{00000000-0005-0000-0000-000090010000}"/>
    <cellStyle name="표준 2 2 7 3 2" xfId="357" xr:uid="{00000000-0005-0000-0000-000091010000}"/>
    <cellStyle name="표준 2 2 7 4" xfId="191" xr:uid="{00000000-0005-0000-0000-000092010000}"/>
    <cellStyle name="표준 2 2 7 4 2" xfId="432" xr:uid="{00000000-0005-0000-0000-000093010000}"/>
    <cellStyle name="표준 2 2 7 5" xfId="281" xr:uid="{00000000-0005-0000-0000-000094010000}"/>
    <cellStyle name="표준 2 2 8" xfId="38" xr:uid="{00000000-0005-0000-0000-000095010000}"/>
    <cellStyle name="표준 2 2 8 2" xfId="74" xr:uid="{00000000-0005-0000-0000-000096010000}"/>
    <cellStyle name="표준 2 2 8 2 2" xfId="153" xr:uid="{00000000-0005-0000-0000-000097010000}"/>
    <cellStyle name="표준 2 2 8 2 2 2" xfId="394" xr:uid="{00000000-0005-0000-0000-000098010000}"/>
    <cellStyle name="표준 2 2 8 2 3" xfId="228" xr:uid="{00000000-0005-0000-0000-000099010000}"/>
    <cellStyle name="표준 2 2 8 2 3 2" xfId="469" xr:uid="{00000000-0005-0000-0000-00009A010000}"/>
    <cellStyle name="표준 2 2 8 2 4" xfId="318" xr:uid="{00000000-0005-0000-0000-00009B010000}"/>
    <cellStyle name="표준 2 2 8 3" xfId="118" xr:uid="{00000000-0005-0000-0000-00009C010000}"/>
    <cellStyle name="표준 2 2 8 3 2" xfId="359" xr:uid="{00000000-0005-0000-0000-00009D010000}"/>
    <cellStyle name="표준 2 2 8 4" xfId="193" xr:uid="{00000000-0005-0000-0000-00009E010000}"/>
    <cellStyle name="표준 2 2 8 4 2" xfId="434" xr:uid="{00000000-0005-0000-0000-00009F010000}"/>
    <cellStyle name="표준 2 2 8 5" xfId="283" xr:uid="{00000000-0005-0000-0000-0000A0010000}"/>
    <cellStyle name="표준 2 2 9" xfId="40" xr:uid="{00000000-0005-0000-0000-0000A1010000}"/>
    <cellStyle name="표준 2 2 9 2" xfId="76" xr:uid="{00000000-0005-0000-0000-0000A2010000}"/>
    <cellStyle name="표준 2 2 9 2 2" xfId="155" xr:uid="{00000000-0005-0000-0000-0000A3010000}"/>
    <cellStyle name="표준 2 2 9 2 2 2" xfId="396" xr:uid="{00000000-0005-0000-0000-0000A4010000}"/>
    <cellStyle name="표준 2 2 9 2 3" xfId="230" xr:uid="{00000000-0005-0000-0000-0000A5010000}"/>
    <cellStyle name="표준 2 2 9 2 3 2" xfId="471" xr:uid="{00000000-0005-0000-0000-0000A6010000}"/>
    <cellStyle name="표준 2 2 9 2 4" xfId="320" xr:uid="{00000000-0005-0000-0000-0000A7010000}"/>
    <cellStyle name="표준 2 2 9 3" xfId="120" xr:uid="{00000000-0005-0000-0000-0000A8010000}"/>
    <cellStyle name="표준 2 2 9 3 2" xfId="361" xr:uid="{00000000-0005-0000-0000-0000A9010000}"/>
    <cellStyle name="표준 2 2 9 4" xfId="195" xr:uid="{00000000-0005-0000-0000-0000AA010000}"/>
    <cellStyle name="표준 2 2 9 4 2" xfId="436" xr:uid="{00000000-0005-0000-0000-0000AB010000}"/>
    <cellStyle name="표준 2 2 9 5" xfId="285" xr:uid="{00000000-0005-0000-0000-0000AC010000}"/>
    <cellStyle name="표준 2 3" xfId="11" xr:uid="{00000000-0005-0000-0000-0000AD010000}"/>
    <cellStyle name="표준 2 3 2" xfId="20" xr:uid="{00000000-0005-0000-0000-0000AE010000}"/>
    <cellStyle name="표준 2 3 2 2" xfId="268" xr:uid="{00000000-0005-0000-0000-0000AF010000}"/>
    <cellStyle name="표준 2 3 3" xfId="260" xr:uid="{00000000-0005-0000-0000-0000B0010000}"/>
    <cellStyle name="표준 2 4" xfId="21" xr:uid="{00000000-0005-0000-0000-0000B1010000}"/>
    <cellStyle name="표준 2 5" xfId="16" xr:uid="{00000000-0005-0000-0000-0000B2010000}"/>
    <cellStyle name="표준 2 5 2" xfId="264" xr:uid="{00000000-0005-0000-0000-0000B3010000}"/>
    <cellStyle name="표준 2 6" xfId="256" xr:uid="{00000000-0005-0000-0000-0000B4010000}"/>
    <cellStyle name="표준 3" xfId="5" xr:uid="{00000000-0005-0000-0000-0000B5010000}"/>
    <cellStyle name="표준 3 2" xfId="96" xr:uid="{00000000-0005-0000-0000-0000B6010000}"/>
    <cellStyle name="표준 3 2 2" xfId="175" xr:uid="{00000000-0005-0000-0000-0000B7010000}"/>
    <cellStyle name="표준 3 2 2 2" xfId="416" xr:uid="{00000000-0005-0000-0000-0000B8010000}"/>
    <cellStyle name="표준 3 2 3" xfId="250" xr:uid="{00000000-0005-0000-0000-0000B9010000}"/>
    <cellStyle name="표준 3 2 3 2" xfId="491" xr:uid="{00000000-0005-0000-0000-0000BA010000}"/>
    <cellStyle name="표준 3 2 4" xfId="340" xr:uid="{00000000-0005-0000-0000-0000BB010000}"/>
    <cellStyle name="표준 3 3" xfId="98" xr:uid="{00000000-0005-0000-0000-0000BC010000}"/>
    <cellStyle name="표준 3 4" xfId="97" xr:uid="{00000000-0005-0000-0000-0000BD010000}"/>
    <cellStyle name="표준 3 5" xfId="61" xr:uid="{00000000-0005-0000-0000-0000BE010000}"/>
    <cellStyle name="표준 3 5 2" xfId="140" xr:uid="{00000000-0005-0000-0000-0000BF010000}"/>
    <cellStyle name="표준 3 5 2 2" xfId="381" xr:uid="{00000000-0005-0000-0000-0000C0010000}"/>
    <cellStyle name="표준 3 5 3" xfId="215" xr:uid="{00000000-0005-0000-0000-0000C1010000}"/>
    <cellStyle name="표준 3 5 3 2" xfId="456" xr:uid="{00000000-0005-0000-0000-0000C2010000}"/>
    <cellStyle name="표준 3 5 4" xfId="305" xr:uid="{00000000-0005-0000-0000-0000C3010000}"/>
    <cellStyle name="표준 3 6" xfId="100" xr:uid="{00000000-0005-0000-0000-0000C4010000}"/>
    <cellStyle name="표준 3 6 2" xfId="177" xr:uid="{00000000-0005-0000-0000-0000C5010000}"/>
    <cellStyle name="표준 3 6 2 2" xfId="418" xr:uid="{00000000-0005-0000-0000-0000C6010000}"/>
    <cellStyle name="표준 3 6 3" xfId="252" xr:uid="{00000000-0005-0000-0000-0000C7010000}"/>
    <cellStyle name="표준 3 6 3 2" xfId="493" xr:uid="{00000000-0005-0000-0000-0000C8010000}"/>
    <cellStyle name="표준 3 6 4" xfId="342" xr:uid="{00000000-0005-0000-0000-0000C9010000}"/>
    <cellStyle name="표준 3 7" xfId="101" xr:uid="{00000000-0005-0000-0000-0000CA010000}"/>
    <cellStyle name="표준 3 7 2" xfId="178" xr:uid="{00000000-0005-0000-0000-0000CB010000}"/>
    <cellStyle name="표준 3 7 2 2" xfId="419" xr:uid="{00000000-0005-0000-0000-0000CC010000}"/>
    <cellStyle name="표준 3 7 3" xfId="253" xr:uid="{00000000-0005-0000-0000-0000CD010000}"/>
    <cellStyle name="표준 3 7 3 2" xfId="494" xr:uid="{00000000-0005-0000-0000-0000CE010000}"/>
    <cellStyle name="표준 3 7 4" xfId="343" xr:uid="{00000000-0005-0000-0000-0000CF010000}"/>
    <cellStyle name="표준 3 8" xfId="23" xr:uid="{00000000-0005-0000-0000-0000D0010000}"/>
    <cellStyle name="표준 4" xfId="8" xr:uid="{00000000-0005-0000-0000-0000D1010000}"/>
    <cellStyle name="표준 4 2" xfId="99" xr:uid="{00000000-0005-0000-0000-0000D2010000}"/>
    <cellStyle name="표준 4 2 2" xfId="176" xr:uid="{00000000-0005-0000-0000-0000D3010000}"/>
    <cellStyle name="표준 4 2 2 2" xfId="417" xr:uid="{00000000-0005-0000-0000-0000D4010000}"/>
    <cellStyle name="표준 4 2 3" xfId="251" xr:uid="{00000000-0005-0000-0000-0000D5010000}"/>
    <cellStyle name="표준 4 2 3 2" xfId="492" xr:uid="{00000000-0005-0000-0000-0000D6010000}"/>
    <cellStyle name="표준 4 2 4" xfId="341" xr:uid="{00000000-0005-0000-0000-0000D7010000}"/>
    <cellStyle name="표준 4 3" xfId="25" xr:uid="{00000000-0005-0000-0000-0000D8010000}"/>
    <cellStyle name="표준 4 4" xfId="104" xr:uid="{00000000-0005-0000-0000-0000D9010000}"/>
    <cellStyle name="표준 4 4 2" xfId="345" xr:uid="{00000000-0005-0000-0000-0000DA010000}"/>
    <cellStyle name="표준 4 5" xfId="179" xr:uid="{00000000-0005-0000-0000-0000DB010000}"/>
    <cellStyle name="표준 4 5 2" xfId="420" xr:uid="{00000000-0005-0000-0000-0000DC010000}"/>
    <cellStyle name="표준 4 6" xfId="22" xr:uid="{00000000-0005-0000-0000-0000DD010000}"/>
    <cellStyle name="표준 4 6 2" xfId="269" xr:uid="{00000000-0005-0000-0000-0000DE010000}"/>
    <cellStyle name="표준 5" xfId="7" xr:uid="{00000000-0005-0000-0000-0000DF010000}"/>
    <cellStyle name="표준 5 2" xfId="105" xr:uid="{00000000-0005-0000-0000-0000E0010000}"/>
    <cellStyle name="표준 5 2 2" xfId="346" xr:uid="{00000000-0005-0000-0000-0000E1010000}"/>
    <cellStyle name="표준 5 3" xfId="180" xr:uid="{00000000-0005-0000-0000-0000E2010000}"/>
    <cellStyle name="표준 5 3 2" xfId="421" xr:uid="{00000000-0005-0000-0000-0000E3010000}"/>
    <cellStyle name="표준 5 4" xfId="24" xr:uid="{00000000-0005-0000-0000-0000E4010000}"/>
    <cellStyle name="표준 5 4 2" xfId="270" xr:uid="{00000000-0005-0000-0000-0000E5010000}"/>
    <cellStyle name="표준 5 5" xfId="17" xr:uid="{00000000-0005-0000-0000-0000E6010000}"/>
    <cellStyle name="표준 5 5 2" xfId="265" xr:uid="{00000000-0005-0000-0000-0000E7010000}"/>
    <cellStyle name="표준 5 6" xfId="257" xr:uid="{00000000-0005-0000-0000-0000E8010000}"/>
    <cellStyle name="표준 6" xfId="103" xr:uid="{00000000-0005-0000-0000-0000E9010000}"/>
    <cellStyle name="표준 7" xfId="102" xr:uid="{00000000-0005-0000-0000-0000EA010000}"/>
    <cellStyle name="표준 7 2" xfId="344" xr:uid="{00000000-0005-0000-0000-0000EB010000}"/>
    <cellStyle name="표준 8" xfId="13" xr:uid="{00000000-0005-0000-0000-0000EC010000}"/>
    <cellStyle name="표준 9" xfId="12" xr:uid="{00000000-0005-0000-0000-0000ED010000}"/>
    <cellStyle name="표준 9 2" xfId="261" xr:uid="{00000000-0005-0000-0000-0000EE010000}"/>
  </cellStyles>
  <dxfs count="1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21"/>
      <tableStyleElement type="headerRow" dxfId="1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4</xdr:col>
          <xdr:colOff>352425</xdr:colOff>
          <xdr:row>0</xdr:row>
          <xdr:rowOff>333375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0-09-28T13:15:44.24" personId="{00000000-0000-0000-0000-000000000000}" id="{E923D0C4-3273-48D8-BAA8-F82EC223700B}">
    <text>레이드 인덱스</text>
  </threadedComment>
  <threadedComment ref="B2" dT="2020-09-28T13:15:52.32" personId="{00000000-0000-0000-0000-000000000000}" id="{9A5B0B18-2135-409B-8387-1E3CA59BA700}">
    <text>레이드 레벨</text>
  </threadedComment>
  <threadedComment ref="D2" dT="2020-09-28T13:16:22.54" personId="{00000000-0000-0000-0000-000000000000}" id="{9BDBDE4B-B78E-4E26-B0E6-393685A8BA9D}">
    <text>필터에 보이는 값</text>
  </threadedComment>
  <threadedComment ref="E2" dT="2020-09-28T13:16:29.52" personId="{00000000-0000-0000-0000-000000000000}" id="{81DBF62D-3490-46D9-BA4B-94D4C7B98001}">
    <text>단계 로컬</text>
  </threadedComment>
  <threadedComment ref="F2" dT="2020-09-28T13:16:45.67" personId="{00000000-0000-0000-0000-000000000000}" id="{DC04D1ED-FD60-4E66-949C-FF1E267BBEB1}">
    <text>단계별 도움 로컬</text>
  </threadedComment>
  <threadedComment ref="G2" dT="2020-09-28T13:16:53.90" personId="{00000000-0000-0000-0000-000000000000}" id="{30281FE3-6B4B-4206-86C4-E44006B56322}">
    <text>레이드 타입</text>
  </threadedComment>
  <threadedComment ref="I2" dT="2020-09-28T13:17:02.65" personId="{00000000-0000-0000-0000-000000000000}" id="{6208860E-5494-493E-8B64-C5535F6FFA4A}">
    <text>최초 오픈</text>
  </threadedComment>
  <threadedComment ref="K2" dT="2020-09-28T13:17:12.99" personId="{00000000-0000-0000-0000-000000000000}" id="{1B0893DA-FCCF-43A4-818F-61690D3C9144}">
    <text>레이드 정보 창 레이드 이름</text>
  </threadedComment>
  <threadedComment ref="L2" dT="2020-09-28T13:17:34.00" personId="{00000000-0000-0000-0000-000000000000}" id="{02D3D4E5-4085-4A33-B48B-343CDBE6AAD0}">
    <text>레이드 정보 창 설명</text>
  </threadedComment>
  <threadedComment ref="M2" dT="2020-09-28T13:17:41.85" personId="{00000000-0000-0000-0000-000000000000}" id="{BBB6677C-E789-4D35-BCC2-55F1A4E7B48C}">
    <text>레이드 정보 창 추천 영웅</text>
  </threadedComment>
  <threadedComment ref="O2" dT="2020-09-28T13:18:03.50" personId="{00000000-0000-0000-0000-000000000000}" id="{668BAB3D-0A8F-4461-A977-9E565FCF3574}">
    <text>챕터 인덱스</text>
  </threadedComment>
  <threadedComment ref="Q2" dT="2020-09-28T13:18:26.21" personId="{00000000-0000-0000-0000-000000000000}" id="{052F61CC-D7B5-44CF-80A8-31CE4711DD1E}">
    <text>던전 인덱스</text>
  </threadedComment>
  <threadedComment ref="R2" dT="2020-09-28T13:18:38.96" personId="{00000000-0000-0000-0000-000000000000}" id="{A00A43AE-3CF2-4CD4-9C28-D4E361173AA4}">
    <text>정보 화면의 3D View 배경 이미지</text>
  </threadedComment>
  <threadedComment ref="S2" dT="2020-09-28T13:18:47.64" personId="{00000000-0000-0000-0000-000000000000}" id="{881911BA-31D2-4D72-B1B4-1CEF60FCDFBD}">
    <text>참여 가능 유저 수</text>
  </threadedComment>
  <threadedComment ref="T2" dT="2020-09-28T13:18:52.25" personId="{00000000-0000-0000-0000-000000000000}" id="{E8EB2640-CC74-4FCC-9790-CBEBA2BF80BF}">
    <text>총 영웅 수</text>
  </threadedComment>
  <threadedComment ref="U2" dT="2020-09-28T13:19:01.47" personId="{00000000-0000-0000-0000-000000000000}" id="{C60CDC0E-5F72-45B1-A0E3-5157A8D4C091}">
    <text>유저당 등록 가능 영웅 수</text>
  </threadedComment>
  <threadedComment ref="X2" dT="2020-09-28T13:19:43.67" personId="{00000000-0000-0000-0000-000000000000}" id="{2DB417AD-A169-4D9A-996D-4B1FD98715C3}">
    <text>연출 (최초 등장 연출로 지금은 사용 안함)</text>
  </threadedComment>
  <threadedComment ref="Y2" dT="2020-09-28T13:19:23.77" personId="{00000000-0000-0000-0000-000000000000}" id="{24ADB462-044B-4036-BC2B-08F816E54383}">
    <text>연출 나오는 조건</text>
  </threadedComment>
  <threadedComment ref="Z2" dT="2020-09-28T13:19:53.20" personId="{00000000-0000-0000-0000-000000000000}" id="{BD8A5198-17D7-444C-A765-9035E6AB2007}">
    <text>클리어 시 레이드 포인트</text>
  </threadedComment>
  <threadedComment ref="AB2" dT="2020-09-28T13:20:05.17" personId="{00000000-0000-0000-0000-000000000000}" id="{FFF7DAF8-BB55-4BD2-A00A-D2CC88917BC0}">
    <text>개인 획득 보상</text>
  </threadedComment>
  <threadedComment ref="AC2" dT="2020-09-28T13:20:18.50" personId="{00000000-0000-0000-0000-000000000000}" id="{76972A74-852C-449D-8227-546D59EBDE06}">
    <text>여러명인 경우 추가 획득 보상</text>
  </threadedComment>
  <threadedComment ref="AE2" dT="2020-09-28T13:20:53.93" personId="{00000000-0000-0000-0000-000000000000}" id="{73083940-9242-4DF6-B31F-A8043A84AD33}">
    <text>연결된 싱글 버전의 레이드 인덱스</text>
  </threadedComment>
  <threadedComment ref="AF2" dT="2020-09-28T13:21:07.76" personId="{00000000-0000-0000-0000-000000000000}" id="{CD03BBF2-7EAE-460C-B677-00A829D2EE92}">
    <text>싱글레이드에서 메인팀에 들어가는 영웅 수</text>
  </threadedComment>
  <threadedComment ref="AG2" dT="2020-09-28T13:21:15.56" personId="{00000000-0000-0000-0000-000000000000}" id="{0CD9D46D-A03C-44A3-A1C0-61EB5CEC0350}">
    <text>싱글레이드에서 메인팀에 들어가는 영웅 수</text>
  </threadedComment>
  <threadedComment ref="AH2" dT="2020-09-28T13:21:22.84" personId="{00000000-0000-0000-0000-000000000000}" id="{C5931CB0-4AEF-4D5C-A039-0F5FCB122879}">
    <text>싱글레이드에서 서브팀에 들어가는 영웅 수</text>
  </threadedComment>
  <threadedComment ref="AI2" dT="2020-09-28T13:21:25.49" personId="{00000000-0000-0000-0000-000000000000}" id="{A2DA2375-8A1E-42A3-AAA9-B0BCBDA4B455}">
    <text>싱글레이드에서 서브팀에 들어가는 영웅 수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2" dT="2020-09-28T13:15:44.24" personId="{00000000-0000-0000-0000-000000000000}" id="{32DE283E-448E-4FFA-93F8-6D077140AA41}">
    <text>레이드 인덱스</text>
  </threadedComment>
  <threadedComment ref="F2" dT="2020-09-28T13:17:34.00" personId="{00000000-0000-0000-0000-000000000000}" id="{231B12A2-2070-44A0-BA39-703E34C8A27E}">
    <text>레이드 정보 창 설명</text>
  </threadedComment>
  <threadedComment ref="F2" dT="2021-09-02T07:59:42.46" personId="{00000000-0000-0000-0000-000000000000}" id="{452DEEB5-D7D8-42F3-B570-18DAE0653C66}" parentId="{231B12A2-2070-44A0-BA39-703E34C8A27E}">
    <text>레이드 테이블이 비어있을 경우 이 컬럼에서 연결됨.
하나의 레이드 인덱스에 복수의 택틱 정보가 필요한 경우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 tint="-0.249977111117893"/>
  </sheetPr>
  <dimension ref="A1:I4"/>
  <sheetViews>
    <sheetView zoomScale="115" zoomScaleNormal="115" workbookViewId="0">
      <pane xSplit="5" ySplit="2" topLeftCell="F3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defaultColWidth="20.625" defaultRowHeight="14.1" customHeight="1" x14ac:dyDescent="0.2"/>
  <cols>
    <col min="1" max="1" width="13.25" style="3" customWidth="1"/>
    <col min="2" max="2" width="11.25" style="3" bestFit="1" customWidth="1"/>
    <col min="3" max="3" width="11.25" style="3" customWidth="1"/>
    <col min="4" max="4" width="15.625" style="3" customWidth="1"/>
    <col min="5" max="5" width="6.875" style="3" customWidth="1"/>
    <col min="6" max="6" width="6.75" style="2" customWidth="1"/>
    <col min="7" max="7" width="6.125" style="2" customWidth="1"/>
    <col min="8" max="8" width="6" style="2" customWidth="1"/>
    <col min="9" max="9" width="5.5" style="2" customWidth="1"/>
    <col min="10" max="16384" width="20.625" style="2"/>
  </cols>
  <sheetData>
    <row r="1" spans="1:9" s="4" customFormat="1" ht="30" customHeight="1" x14ac:dyDescent="0.2">
      <c r="A1" s="5"/>
      <c r="B1" s="5"/>
      <c r="C1" s="5"/>
      <c r="D1" s="5"/>
      <c r="E1" s="5"/>
      <c r="F1" s="5"/>
      <c r="G1" s="5"/>
      <c r="H1" s="9"/>
      <c r="I1" s="9"/>
    </row>
    <row r="2" spans="1:9" s="7" customFormat="1" ht="99.95" customHeight="1" x14ac:dyDescent="0.3">
      <c r="A2" s="6" t="s">
        <v>0</v>
      </c>
      <c r="B2" s="6" t="s">
        <v>5</v>
      </c>
      <c r="C2" s="6" t="s">
        <v>12</v>
      </c>
      <c r="D2" s="8" t="s">
        <v>1</v>
      </c>
      <c r="E2" s="8" t="s">
        <v>2</v>
      </c>
      <c r="F2" s="7" t="s">
        <v>3</v>
      </c>
      <c r="G2" s="7" t="s">
        <v>15</v>
      </c>
    </row>
    <row r="3" spans="1:9" ht="14.1" customHeight="1" x14ac:dyDescent="0.2">
      <c r="A3" s="3" t="s">
        <v>10</v>
      </c>
      <c r="B3" s="3" t="s">
        <v>6</v>
      </c>
      <c r="C3" s="3" t="s">
        <v>13</v>
      </c>
      <c r="D3" s="3" t="s">
        <v>4</v>
      </c>
      <c r="E3" s="3" t="s">
        <v>8</v>
      </c>
    </row>
    <row r="4" spans="1:9" ht="14.1" customHeight="1" x14ac:dyDescent="0.2">
      <c r="A4" s="3" t="s">
        <v>11</v>
      </c>
      <c r="B4" s="3" t="s">
        <v>7</v>
      </c>
      <c r="C4" s="3" t="s">
        <v>14</v>
      </c>
      <c r="D4" s="3" t="s">
        <v>4</v>
      </c>
      <c r="E4" s="3" t="s">
        <v>9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4</xdr:col>
                    <xdr:colOff>352425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-0.249977111117893"/>
  </sheetPr>
  <dimension ref="A1:AM779"/>
  <sheetViews>
    <sheetView tabSelected="1" zoomScaleNormal="100" workbookViewId="0">
      <pane xSplit="3" ySplit="2" topLeftCell="G333" activePane="bottomRight" state="frozen"/>
      <selection pane="topRight" activeCell="D1" sqref="D1"/>
      <selection pane="bottomLeft" activeCell="A3" sqref="A3"/>
      <selection pane="bottomRight" activeCell="O351" sqref="O351"/>
    </sheetView>
  </sheetViews>
  <sheetFormatPr defaultRowHeight="14.1" customHeight="1" x14ac:dyDescent="0.2"/>
  <cols>
    <col min="1" max="1" width="5.875" style="66" bestFit="1" customWidth="1"/>
    <col min="2" max="2" width="4.125" style="3" bestFit="1" customWidth="1"/>
    <col min="3" max="3" width="27.375" style="52" customWidth="1"/>
    <col min="4" max="4" width="19" style="70" bestFit="1" customWidth="1"/>
    <col min="5" max="5" width="16" style="66" bestFit="1" customWidth="1"/>
    <col min="6" max="6" width="20.5" style="70" bestFit="1" customWidth="1"/>
    <col min="7" max="7" width="15.625" style="2" bestFit="1" customWidth="1"/>
    <col min="8" max="8" width="23.625" style="2" customWidth="1"/>
    <col min="9" max="9" width="10.625" style="2" customWidth="1"/>
    <col min="10" max="10" width="10.625" style="70" customWidth="1"/>
    <col min="11" max="13" width="22" style="3" customWidth="1"/>
    <col min="14" max="14" width="10.625" style="2" customWidth="1"/>
    <col min="15" max="15" width="10.625" style="1" customWidth="1"/>
    <col min="16" max="16" width="10.625" style="2" customWidth="1"/>
    <col min="17" max="17" width="10.625" style="70" customWidth="1"/>
    <col min="18" max="18" width="20.375" style="1" customWidth="1"/>
    <col min="19" max="20" width="10.625" style="2" customWidth="1"/>
    <col min="21" max="21" width="10.625" style="1" customWidth="1"/>
    <col min="22" max="23" width="10.625" style="2" customWidth="1"/>
    <col min="24" max="25" width="20.625" style="1"/>
    <col min="26" max="26" width="10.625" style="2" customWidth="1"/>
    <col min="27" max="27" width="128.75" style="1" bestFit="1" customWidth="1"/>
    <col min="28" max="28" width="22.625" style="2" customWidth="1"/>
    <col min="29" max="29" width="48.5" style="52" bestFit="1" customWidth="1"/>
    <col min="30" max="37" width="9" style="1"/>
    <col min="38" max="38" width="9" style="52"/>
    <col min="39" max="16384" width="9" style="1"/>
  </cols>
  <sheetData>
    <row r="1" spans="1:39" s="16" customFormat="1" ht="30" customHeight="1" x14ac:dyDescent="0.3">
      <c r="A1" s="64"/>
      <c r="B1" s="15" t="s">
        <v>291</v>
      </c>
      <c r="C1" s="86"/>
      <c r="D1" s="64"/>
      <c r="E1" s="74"/>
      <c r="F1" s="74"/>
      <c r="G1" s="124"/>
      <c r="H1" s="125"/>
      <c r="I1" s="125"/>
      <c r="J1" s="125"/>
      <c r="K1" s="17"/>
      <c r="L1" s="17"/>
      <c r="M1" s="17"/>
      <c r="N1" s="22"/>
      <c r="O1" s="126" t="s">
        <v>23</v>
      </c>
      <c r="P1" s="126"/>
      <c r="Q1" s="126"/>
      <c r="R1" s="126"/>
      <c r="S1" s="127" t="s">
        <v>24</v>
      </c>
      <c r="T1" s="127"/>
      <c r="U1" s="127"/>
      <c r="V1" s="16" t="s">
        <v>30</v>
      </c>
      <c r="W1" s="33" t="s">
        <v>109</v>
      </c>
      <c r="X1" s="128" t="s">
        <v>62</v>
      </c>
      <c r="Y1" s="129"/>
      <c r="Z1" s="130" t="s">
        <v>88</v>
      </c>
      <c r="AA1" s="131"/>
      <c r="AB1" s="131"/>
      <c r="AC1" s="131"/>
      <c r="AE1" s="123" t="s">
        <v>178</v>
      </c>
      <c r="AF1" s="123"/>
      <c r="AG1" s="123"/>
      <c r="AH1" s="123"/>
      <c r="AI1" s="123"/>
      <c r="AL1" s="90"/>
    </row>
    <row r="2" spans="1:39" s="7" customFormat="1" ht="111" customHeight="1" x14ac:dyDescent="0.3">
      <c r="A2" s="65" t="s">
        <v>25</v>
      </c>
      <c r="B2" s="7" t="s">
        <v>26</v>
      </c>
      <c r="C2" s="7" t="s">
        <v>540</v>
      </c>
      <c r="D2" s="65" t="s">
        <v>374</v>
      </c>
      <c r="E2" s="75" t="s">
        <v>301</v>
      </c>
      <c r="F2" s="75" t="s">
        <v>302</v>
      </c>
      <c r="G2" s="24" t="s">
        <v>60</v>
      </c>
      <c r="H2" s="24" t="s">
        <v>281</v>
      </c>
      <c r="I2" s="24" t="s">
        <v>93</v>
      </c>
      <c r="J2" s="80" t="s">
        <v>375</v>
      </c>
      <c r="K2" s="21" t="s">
        <v>29</v>
      </c>
      <c r="L2" s="21" t="s">
        <v>94</v>
      </c>
      <c r="M2" s="21" t="s">
        <v>95</v>
      </c>
      <c r="N2" s="23" t="s">
        <v>34</v>
      </c>
      <c r="O2" s="14" t="s">
        <v>16</v>
      </c>
      <c r="P2" s="14" t="s">
        <v>355</v>
      </c>
      <c r="Q2" s="78" t="s">
        <v>17</v>
      </c>
      <c r="R2" s="14" t="s">
        <v>86</v>
      </c>
      <c r="S2" s="13" t="s">
        <v>124</v>
      </c>
      <c r="T2" s="13" t="s">
        <v>18</v>
      </c>
      <c r="U2" s="13" t="s">
        <v>72</v>
      </c>
      <c r="V2" s="19" t="s">
        <v>33</v>
      </c>
      <c r="W2" s="18" t="s">
        <v>27</v>
      </c>
      <c r="X2" s="20" t="s">
        <v>61</v>
      </c>
      <c r="Y2" s="7" t="s">
        <v>63</v>
      </c>
      <c r="Z2" s="21" t="s">
        <v>89</v>
      </c>
      <c r="AA2" s="27" t="s">
        <v>127</v>
      </c>
      <c r="AB2" s="27" t="s">
        <v>125</v>
      </c>
      <c r="AC2" s="21" t="s">
        <v>193</v>
      </c>
      <c r="AD2" s="19" t="s">
        <v>112</v>
      </c>
      <c r="AE2" s="45" t="s">
        <v>173</v>
      </c>
      <c r="AF2" s="45" t="s">
        <v>174</v>
      </c>
      <c r="AG2" s="45" t="s">
        <v>175</v>
      </c>
      <c r="AH2" s="45" t="s">
        <v>176</v>
      </c>
      <c r="AI2" s="45" t="s">
        <v>177</v>
      </c>
      <c r="AJ2" s="20" t="s">
        <v>360</v>
      </c>
      <c r="AK2" s="7" t="s">
        <v>773</v>
      </c>
      <c r="AL2" s="7" t="s">
        <v>775</v>
      </c>
      <c r="AM2" s="7" t="s">
        <v>872</v>
      </c>
    </row>
    <row r="3" spans="1:39" s="85" customFormat="1" ht="18" customHeight="1" x14ac:dyDescent="0.3">
      <c r="A3" s="83" t="s">
        <v>528</v>
      </c>
      <c r="B3" s="83" t="s">
        <v>528</v>
      </c>
      <c r="C3" s="87"/>
      <c r="D3" s="83" t="s">
        <v>528</v>
      </c>
      <c r="E3" s="84" t="s">
        <v>529</v>
      </c>
      <c r="F3" s="84" t="s">
        <v>529</v>
      </c>
      <c r="G3" s="84" t="s">
        <v>529</v>
      </c>
      <c r="K3" s="84" t="s">
        <v>529</v>
      </c>
      <c r="L3" s="84" t="s">
        <v>529</v>
      </c>
      <c r="N3" s="83" t="s">
        <v>528</v>
      </c>
      <c r="O3" s="83" t="s">
        <v>528</v>
      </c>
      <c r="P3" s="83" t="s">
        <v>528</v>
      </c>
      <c r="Q3" s="83" t="s">
        <v>528</v>
      </c>
      <c r="R3" s="84" t="s">
        <v>529</v>
      </c>
      <c r="S3" s="83" t="s">
        <v>528</v>
      </c>
      <c r="T3" s="83" t="s">
        <v>528</v>
      </c>
      <c r="U3" s="83" t="s">
        <v>528</v>
      </c>
      <c r="V3" s="83" t="s">
        <v>528</v>
      </c>
      <c r="W3" s="83" t="s">
        <v>528</v>
      </c>
      <c r="X3" s="84" t="s">
        <v>529</v>
      </c>
      <c r="Y3" s="84" t="s">
        <v>529</v>
      </c>
      <c r="Z3" s="83" t="s">
        <v>528</v>
      </c>
      <c r="AA3" s="84" t="s">
        <v>530</v>
      </c>
      <c r="AB3" s="83" t="s">
        <v>528</v>
      </c>
      <c r="AC3" s="84" t="s">
        <v>529</v>
      </c>
      <c r="AE3" s="83" t="s">
        <v>528</v>
      </c>
      <c r="AF3" s="83" t="s">
        <v>528</v>
      </c>
      <c r="AG3" s="83" t="s">
        <v>528</v>
      </c>
      <c r="AH3" s="83" t="s">
        <v>528</v>
      </c>
      <c r="AI3" s="83" t="s">
        <v>528</v>
      </c>
      <c r="AJ3" s="83" t="s">
        <v>528</v>
      </c>
      <c r="AK3" s="83" t="s">
        <v>528</v>
      </c>
      <c r="AL3" s="91"/>
      <c r="AM3" s="85" t="s">
        <v>869</v>
      </c>
    </row>
    <row r="4" spans="1:39" s="2" customFormat="1" ht="14.1" customHeight="1" x14ac:dyDescent="0.2">
      <c r="A4" s="66">
        <v>1</v>
      </c>
      <c r="B4" s="3" t="s">
        <v>38</v>
      </c>
      <c r="C4" s="52" t="s">
        <v>541</v>
      </c>
      <c r="D4" s="2" t="s">
        <v>21</v>
      </c>
      <c r="E4" s="70" t="s">
        <v>324</v>
      </c>
      <c r="F4" s="70" t="str">
        <f>E4&amp;"_HELP"</f>
        <v>T6_STEP_1_HELP</v>
      </c>
      <c r="G4" s="2" t="s">
        <v>349</v>
      </c>
      <c r="I4" s="2" t="s">
        <v>133</v>
      </c>
      <c r="J4" s="70"/>
      <c r="K4" s="3" t="s">
        <v>68</v>
      </c>
      <c r="L4" s="3" t="s">
        <v>98</v>
      </c>
      <c r="M4" s="3" t="s">
        <v>101</v>
      </c>
      <c r="N4" s="2" t="s">
        <v>524</v>
      </c>
      <c r="O4" s="2" t="s">
        <v>35</v>
      </c>
      <c r="P4" s="2" t="s">
        <v>75</v>
      </c>
      <c r="Q4" s="70" t="s">
        <v>38</v>
      </c>
      <c r="R4" s="2" t="s">
        <v>107</v>
      </c>
      <c r="S4" s="70">
        <v>2</v>
      </c>
      <c r="T4" s="70">
        <v>6</v>
      </c>
      <c r="U4" s="70">
        <v>4</v>
      </c>
      <c r="V4" s="2" t="s">
        <v>32</v>
      </c>
      <c r="W4" s="2" t="s">
        <v>74</v>
      </c>
      <c r="X4" s="2" t="s">
        <v>64</v>
      </c>
      <c r="Y4" s="2" t="s">
        <v>65</v>
      </c>
      <c r="Z4" s="2" t="s">
        <v>425</v>
      </c>
      <c r="AA4" s="32"/>
      <c r="AB4" s="46" t="s">
        <v>429</v>
      </c>
      <c r="AC4" s="28" t="s">
        <v>194</v>
      </c>
      <c r="AE4" s="2">
        <v>101</v>
      </c>
      <c r="AL4" s="52"/>
    </row>
    <row r="5" spans="1:39" s="2" customFormat="1" ht="14.1" customHeight="1" x14ac:dyDescent="0.2">
      <c r="A5" s="66" t="s">
        <v>28</v>
      </c>
      <c r="B5" s="3" t="s">
        <v>39</v>
      </c>
      <c r="C5" s="52" t="s">
        <v>542</v>
      </c>
      <c r="D5" s="2" t="s">
        <v>21</v>
      </c>
      <c r="E5" s="70" t="s">
        <v>325</v>
      </c>
      <c r="F5" s="70" t="str">
        <f t="shared" ref="F5:F17" si="0">E5&amp;"_HELP"</f>
        <v>T6_STEP_2_HELP</v>
      </c>
      <c r="G5" s="2" t="s">
        <v>349</v>
      </c>
      <c r="J5" s="70"/>
      <c r="K5" s="3" t="s">
        <v>68</v>
      </c>
      <c r="L5" s="3" t="s">
        <v>98</v>
      </c>
      <c r="M5" s="3" t="s">
        <v>101</v>
      </c>
      <c r="N5" s="2" t="s">
        <v>523</v>
      </c>
      <c r="O5" s="2" t="s">
        <v>35</v>
      </c>
      <c r="P5" s="2" t="s">
        <v>76</v>
      </c>
      <c r="Q5" s="70" t="s">
        <v>39</v>
      </c>
      <c r="R5" s="2" t="s">
        <v>107</v>
      </c>
      <c r="S5" s="70">
        <v>2</v>
      </c>
      <c r="T5" s="70">
        <v>6</v>
      </c>
      <c r="U5" s="70">
        <v>4</v>
      </c>
      <c r="V5" s="2" t="s">
        <v>32</v>
      </c>
      <c r="W5" s="2" t="s">
        <v>74</v>
      </c>
      <c r="X5" s="2" t="s">
        <v>64</v>
      </c>
      <c r="Y5" s="2" t="s">
        <v>65</v>
      </c>
      <c r="Z5" s="2" t="s">
        <v>443</v>
      </c>
      <c r="AA5" s="32"/>
      <c r="AB5" s="46" t="s">
        <v>430</v>
      </c>
      <c r="AC5" s="28" t="s">
        <v>194</v>
      </c>
      <c r="AE5" s="2">
        <v>101</v>
      </c>
      <c r="AL5" s="52"/>
    </row>
    <row r="6" spans="1:39" s="2" customFormat="1" ht="14.1" customHeight="1" x14ac:dyDescent="0.2">
      <c r="A6" s="66" t="s">
        <v>28</v>
      </c>
      <c r="B6" s="3" t="s">
        <v>40</v>
      </c>
      <c r="C6" s="52" t="s">
        <v>543</v>
      </c>
      <c r="D6" s="2" t="s">
        <v>38</v>
      </c>
      <c r="E6" s="70" t="s">
        <v>326</v>
      </c>
      <c r="F6" s="70" t="str">
        <f>E6&amp;"_HELP"</f>
        <v>T7_STEP_1_HELP</v>
      </c>
      <c r="G6" s="2" t="s">
        <v>349</v>
      </c>
      <c r="J6" s="70"/>
      <c r="K6" s="3" t="s">
        <v>68</v>
      </c>
      <c r="L6" s="3" t="s">
        <v>98</v>
      </c>
      <c r="M6" s="3" t="s">
        <v>101</v>
      </c>
      <c r="N6" s="2" t="s">
        <v>523</v>
      </c>
      <c r="O6" s="2" t="s">
        <v>35</v>
      </c>
      <c r="P6" s="2" t="s">
        <v>76</v>
      </c>
      <c r="Q6" s="70" t="s">
        <v>40</v>
      </c>
      <c r="R6" s="2" t="s">
        <v>107</v>
      </c>
      <c r="S6" s="70">
        <v>2</v>
      </c>
      <c r="T6" s="70">
        <v>6</v>
      </c>
      <c r="U6" s="70">
        <v>4</v>
      </c>
      <c r="V6" s="2" t="s">
        <v>32</v>
      </c>
      <c r="W6" s="2" t="s">
        <v>74</v>
      </c>
      <c r="X6" s="2" t="s">
        <v>64</v>
      </c>
      <c r="Y6" s="2" t="s">
        <v>65</v>
      </c>
      <c r="Z6" s="2" t="s">
        <v>426</v>
      </c>
      <c r="AA6" s="31"/>
      <c r="AB6" s="46" t="s">
        <v>431</v>
      </c>
      <c r="AC6" s="28" t="s">
        <v>195</v>
      </c>
      <c r="AE6" s="2">
        <v>101</v>
      </c>
      <c r="AL6" s="52"/>
    </row>
    <row r="7" spans="1:39" s="2" customFormat="1" ht="14.1" customHeight="1" x14ac:dyDescent="0.2">
      <c r="A7" s="66" t="s">
        <v>28</v>
      </c>
      <c r="B7" s="3" t="s">
        <v>41</v>
      </c>
      <c r="C7" s="52" t="s">
        <v>544</v>
      </c>
      <c r="D7" s="2" t="s">
        <v>38</v>
      </c>
      <c r="E7" s="70" t="s">
        <v>327</v>
      </c>
      <c r="F7" s="70" t="str">
        <f t="shared" si="0"/>
        <v>T7_STEP_2_HELP</v>
      </c>
      <c r="G7" s="2" t="s">
        <v>349</v>
      </c>
      <c r="J7" s="70"/>
      <c r="K7" s="3" t="s">
        <v>68</v>
      </c>
      <c r="L7" s="3" t="s">
        <v>98</v>
      </c>
      <c r="M7" s="3" t="s">
        <v>101</v>
      </c>
      <c r="N7" s="2" t="s">
        <v>523</v>
      </c>
      <c r="O7" s="2" t="s">
        <v>35</v>
      </c>
      <c r="P7" s="2" t="s">
        <v>76</v>
      </c>
      <c r="Q7" s="70" t="s">
        <v>41</v>
      </c>
      <c r="R7" s="2" t="s">
        <v>107</v>
      </c>
      <c r="S7" s="70">
        <v>2</v>
      </c>
      <c r="T7" s="70">
        <v>6</v>
      </c>
      <c r="U7" s="70">
        <v>4</v>
      </c>
      <c r="V7" s="2" t="s">
        <v>32</v>
      </c>
      <c r="W7" s="2" t="s">
        <v>74</v>
      </c>
      <c r="X7" s="2" t="s">
        <v>64</v>
      </c>
      <c r="Y7" s="2" t="s">
        <v>65</v>
      </c>
      <c r="Z7" s="2" t="s">
        <v>444</v>
      </c>
      <c r="AA7" s="31"/>
      <c r="AB7" s="46" t="s">
        <v>432</v>
      </c>
      <c r="AC7" s="28" t="s">
        <v>196</v>
      </c>
      <c r="AE7" s="2">
        <v>101</v>
      </c>
      <c r="AL7" s="52"/>
    </row>
    <row r="8" spans="1:39" s="2" customFormat="1" ht="14.1" customHeight="1" x14ac:dyDescent="0.2">
      <c r="A8" s="66" t="s">
        <v>57</v>
      </c>
      <c r="B8" s="3" t="s">
        <v>42</v>
      </c>
      <c r="C8" s="52" t="s">
        <v>545</v>
      </c>
      <c r="D8" s="2" t="s">
        <v>39</v>
      </c>
      <c r="E8" s="70" t="s">
        <v>328</v>
      </c>
      <c r="F8" s="70" t="str">
        <f>E8&amp;"_HELP"</f>
        <v>T8_STEP_1_HELP</v>
      </c>
      <c r="G8" s="2" t="s">
        <v>349</v>
      </c>
      <c r="J8" s="70"/>
      <c r="K8" s="3" t="s">
        <v>68</v>
      </c>
      <c r="L8" s="3" t="s">
        <v>98</v>
      </c>
      <c r="M8" s="3" t="s">
        <v>101</v>
      </c>
      <c r="N8" s="2" t="s">
        <v>523</v>
      </c>
      <c r="O8" s="2" t="s">
        <v>35</v>
      </c>
      <c r="P8" s="2" t="s">
        <v>76</v>
      </c>
      <c r="Q8" s="70" t="s">
        <v>42</v>
      </c>
      <c r="R8" s="2" t="s">
        <v>107</v>
      </c>
      <c r="S8" s="70">
        <v>2</v>
      </c>
      <c r="T8" s="70">
        <v>6</v>
      </c>
      <c r="U8" s="70">
        <v>4</v>
      </c>
      <c r="V8" s="2" t="s">
        <v>32</v>
      </c>
      <c r="W8" s="2" t="s">
        <v>74</v>
      </c>
      <c r="X8" s="2" t="s">
        <v>64</v>
      </c>
      <c r="Y8" s="2" t="s">
        <v>65</v>
      </c>
      <c r="Z8" s="2">
        <v>13000</v>
      </c>
      <c r="AA8" s="57"/>
      <c r="AB8" s="56" t="s">
        <v>433</v>
      </c>
      <c r="AC8" s="55" t="s">
        <v>230</v>
      </c>
      <c r="AE8" s="2">
        <v>101</v>
      </c>
      <c r="AL8" s="52"/>
    </row>
    <row r="9" spans="1:39" s="2" customFormat="1" ht="14.1" customHeight="1" x14ac:dyDescent="0.2">
      <c r="A9" s="66" t="s">
        <v>57</v>
      </c>
      <c r="B9" s="3" t="s">
        <v>43</v>
      </c>
      <c r="C9" s="52" t="s">
        <v>546</v>
      </c>
      <c r="D9" s="2" t="s">
        <v>39</v>
      </c>
      <c r="E9" s="70" t="s">
        <v>329</v>
      </c>
      <c r="F9" s="70" t="str">
        <f t="shared" si="0"/>
        <v>T8_STEP_2_HELP</v>
      </c>
      <c r="G9" s="2" t="s">
        <v>349</v>
      </c>
      <c r="J9" s="70"/>
      <c r="K9" s="3" t="s">
        <v>68</v>
      </c>
      <c r="L9" s="3" t="s">
        <v>98</v>
      </c>
      <c r="M9" s="3" t="s">
        <v>101</v>
      </c>
      <c r="N9" s="2" t="s">
        <v>523</v>
      </c>
      <c r="O9" s="2" t="s">
        <v>35</v>
      </c>
      <c r="P9" s="2" t="s">
        <v>76</v>
      </c>
      <c r="Q9" s="70" t="s">
        <v>43</v>
      </c>
      <c r="R9" s="2" t="s">
        <v>107</v>
      </c>
      <c r="S9" s="70">
        <v>2</v>
      </c>
      <c r="T9" s="70">
        <v>6</v>
      </c>
      <c r="U9" s="70">
        <v>4</v>
      </c>
      <c r="V9" s="2" t="s">
        <v>32</v>
      </c>
      <c r="W9" s="2" t="s">
        <v>74</v>
      </c>
      <c r="X9" s="2" t="s">
        <v>64</v>
      </c>
      <c r="Y9" s="2" t="s">
        <v>65</v>
      </c>
      <c r="Z9" s="2">
        <v>14300</v>
      </c>
      <c r="AA9" s="57"/>
      <c r="AB9" s="56" t="s">
        <v>531</v>
      </c>
      <c r="AC9" s="55" t="s">
        <v>231</v>
      </c>
      <c r="AE9" s="2">
        <v>101</v>
      </c>
      <c r="AL9" s="52"/>
    </row>
    <row r="10" spans="1:39" s="2" customFormat="1" ht="14.1" customHeight="1" x14ac:dyDescent="0.2">
      <c r="A10" s="66" t="s">
        <v>57</v>
      </c>
      <c r="B10" s="3" t="s">
        <v>44</v>
      </c>
      <c r="C10" s="52" t="s">
        <v>547</v>
      </c>
      <c r="D10" s="2" t="s">
        <v>39</v>
      </c>
      <c r="E10" s="70" t="s">
        <v>330</v>
      </c>
      <c r="F10" s="70" t="str">
        <f t="shared" si="0"/>
        <v>T8_STEP_3_HELP</v>
      </c>
      <c r="G10" s="2" t="s">
        <v>349</v>
      </c>
      <c r="J10" s="70"/>
      <c r="K10" s="3" t="s">
        <v>68</v>
      </c>
      <c r="L10" s="3" t="s">
        <v>98</v>
      </c>
      <c r="M10" s="3" t="s">
        <v>101</v>
      </c>
      <c r="N10" s="2" t="s">
        <v>523</v>
      </c>
      <c r="O10" s="2" t="s">
        <v>35</v>
      </c>
      <c r="P10" s="2" t="s">
        <v>76</v>
      </c>
      <c r="Q10" s="70" t="s">
        <v>44</v>
      </c>
      <c r="R10" s="2" t="s">
        <v>107</v>
      </c>
      <c r="S10" s="70">
        <v>2</v>
      </c>
      <c r="T10" s="70">
        <v>6</v>
      </c>
      <c r="U10" s="70">
        <v>4</v>
      </c>
      <c r="V10" s="2" t="s">
        <v>32</v>
      </c>
      <c r="W10" s="2" t="s">
        <v>74</v>
      </c>
      <c r="X10" s="2" t="s">
        <v>64</v>
      </c>
      <c r="Y10" s="2" t="s">
        <v>65</v>
      </c>
      <c r="Z10" s="2">
        <v>15730</v>
      </c>
      <c r="AA10" s="57"/>
      <c r="AB10" s="56" t="s">
        <v>435</v>
      </c>
      <c r="AC10" s="55" t="s">
        <v>232</v>
      </c>
      <c r="AE10" s="2">
        <v>101</v>
      </c>
      <c r="AL10" s="52"/>
    </row>
    <row r="11" spans="1:39" s="2" customFormat="1" ht="14.1" customHeight="1" x14ac:dyDescent="0.2">
      <c r="A11" s="66" t="s">
        <v>57</v>
      </c>
      <c r="B11" s="3" t="s">
        <v>45</v>
      </c>
      <c r="C11" s="52" t="s">
        <v>548</v>
      </c>
      <c r="D11" s="2" t="s">
        <v>39</v>
      </c>
      <c r="E11" s="70" t="s">
        <v>331</v>
      </c>
      <c r="F11" s="70" t="str">
        <f t="shared" si="0"/>
        <v>T8_STEP_4_HELP</v>
      </c>
      <c r="G11" s="2" t="s">
        <v>349</v>
      </c>
      <c r="J11" s="70"/>
      <c r="K11" s="3" t="s">
        <v>68</v>
      </c>
      <c r="L11" s="3" t="s">
        <v>98</v>
      </c>
      <c r="M11" s="3" t="s">
        <v>101</v>
      </c>
      <c r="N11" s="2" t="s">
        <v>523</v>
      </c>
      <c r="O11" s="2" t="s">
        <v>35</v>
      </c>
      <c r="P11" s="2" t="s">
        <v>76</v>
      </c>
      <c r="Q11" s="70" t="s">
        <v>45</v>
      </c>
      <c r="R11" s="2" t="s">
        <v>107</v>
      </c>
      <c r="S11" s="70">
        <v>2</v>
      </c>
      <c r="T11" s="70">
        <v>6</v>
      </c>
      <c r="U11" s="70">
        <v>4</v>
      </c>
      <c r="V11" s="2" t="s">
        <v>32</v>
      </c>
      <c r="W11" s="2" t="s">
        <v>74</v>
      </c>
      <c r="X11" s="2" t="s">
        <v>64</v>
      </c>
      <c r="Y11" s="2" t="s">
        <v>65</v>
      </c>
      <c r="Z11" s="2">
        <v>17303</v>
      </c>
      <c r="AA11" s="57"/>
      <c r="AB11" s="56" t="s">
        <v>436</v>
      </c>
      <c r="AC11" s="55" t="s">
        <v>233</v>
      </c>
      <c r="AE11" s="2">
        <v>101</v>
      </c>
      <c r="AL11" s="52"/>
    </row>
    <row r="12" spans="1:39" s="2" customFormat="1" ht="14.1" customHeight="1" x14ac:dyDescent="0.2">
      <c r="A12" s="66" t="s">
        <v>57</v>
      </c>
      <c r="B12" s="3" t="s">
        <v>46</v>
      </c>
      <c r="C12" s="52" t="s">
        <v>549</v>
      </c>
      <c r="D12" s="2" t="s">
        <v>39</v>
      </c>
      <c r="E12" s="70" t="s">
        <v>332</v>
      </c>
      <c r="F12" s="70" t="str">
        <f t="shared" si="0"/>
        <v>T8_STEP_5_HELP</v>
      </c>
      <c r="G12" s="2" t="s">
        <v>349</v>
      </c>
      <c r="J12" s="70"/>
      <c r="K12" s="3" t="s">
        <v>68</v>
      </c>
      <c r="L12" s="3" t="s">
        <v>98</v>
      </c>
      <c r="M12" s="3" t="s">
        <v>101</v>
      </c>
      <c r="N12" s="2" t="s">
        <v>523</v>
      </c>
      <c r="O12" s="2" t="s">
        <v>35</v>
      </c>
      <c r="P12" s="2" t="s">
        <v>76</v>
      </c>
      <c r="Q12" s="70" t="s">
        <v>46</v>
      </c>
      <c r="R12" s="2" t="s">
        <v>107</v>
      </c>
      <c r="S12" s="70">
        <v>2</v>
      </c>
      <c r="T12" s="70">
        <v>6</v>
      </c>
      <c r="U12" s="70">
        <v>4</v>
      </c>
      <c r="V12" s="2" t="s">
        <v>32</v>
      </c>
      <c r="W12" s="2" t="s">
        <v>74</v>
      </c>
      <c r="X12" s="2" t="s">
        <v>64</v>
      </c>
      <c r="Y12" s="2" t="s">
        <v>65</v>
      </c>
      <c r="Z12" s="2">
        <v>19033</v>
      </c>
      <c r="AA12" s="57"/>
      <c r="AB12" s="56" t="s">
        <v>437</v>
      </c>
      <c r="AC12" s="55" t="s">
        <v>234</v>
      </c>
      <c r="AE12" s="2">
        <v>101</v>
      </c>
      <c r="AL12" s="52"/>
    </row>
    <row r="13" spans="1:39" s="2" customFormat="1" ht="14.1" customHeight="1" x14ac:dyDescent="0.2">
      <c r="A13" s="66" t="s">
        <v>57</v>
      </c>
      <c r="B13" s="3" t="s">
        <v>47</v>
      </c>
      <c r="C13" s="52" t="s">
        <v>550</v>
      </c>
      <c r="D13" s="2" t="s">
        <v>39</v>
      </c>
      <c r="E13" s="70" t="s">
        <v>333</v>
      </c>
      <c r="F13" s="70" t="str">
        <f t="shared" si="0"/>
        <v>T8_STEP_6_HELP</v>
      </c>
      <c r="G13" s="2" t="s">
        <v>349</v>
      </c>
      <c r="J13" s="70"/>
      <c r="K13" s="3" t="s">
        <v>68</v>
      </c>
      <c r="L13" s="3" t="s">
        <v>98</v>
      </c>
      <c r="M13" s="3" t="s">
        <v>101</v>
      </c>
      <c r="N13" s="2" t="s">
        <v>523</v>
      </c>
      <c r="O13" s="2" t="s">
        <v>35</v>
      </c>
      <c r="P13" s="2" t="s">
        <v>76</v>
      </c>
      <c r="Q13" s="70" t="s">
        <v>47</v>
      </c>
      <c r="R13" s="2" t="s">
        <v>107</v>
      </c>
      <c r="S13" s="70">
        <v>2</v>
      </c>
      <c r="T13" s="70">
        <v>6</v>
      </c>
      <c r="U13" s="70">
        <v>4</v>
      </c>
      <c r="V13" s="2" t="s">
        <v>32</v>
      </c>
      <c r="W13" s="2" t="s">
        <v>74</v>
      </c>
      <c r="X13" s="2" t="s">
        <v>64</v>
      </c>
      <c r="Y13" s="2" t="s">
        <v>65</v>
      </c>
      <c r="Z13" s="2">
        <v>20936</v>
      </c>
      <c r="AA13" s="57"/>
      <c r="AB13" s="56" t="s">
        <v>438</v>
      </c>
      <c r="AC13" s="55" t="s">
        <v>235</v>
      </c>
      <c r="AE13" s="2">
        <v>101</v>
      </c>
      <c r="AL13" s="52"/>
    </row>
    <row r="14" spans="1:39" s="2" customFormat="1" ht="14.1" customHeight="1" x14ac:dyDescent="0.2">
      <c r="A14" s="66" t="s">
        <v>57</v>
      </c>
      <c r="B14" s="3" t="s">
        <v>48</v>
      </c>
      <c r="C14" s="52" t="s">
        <v>551</v>
      </c>
      <c r="D14" s="2" t="s">
        <v>39</v>
      </c>
      <c r="E14" s="70" t="s">
        <v>334</v>
      </c>
      <c r="F14" s="70" t="str">
        <f t="shared" si="0"/>
        <v>T8_STEP_7_HELP</v>
      </c>
      <c r="G14" s="2" t="s">
        <v>349</v>
      </c>
      <c r="J14" s="70"/>
      <c r="K14" s="3" t="s">
        <v>68</v>
      </c>
      <c r="L14" s="3" t="s">
        <v>98</v>
      </c>
      <c r="M14" s="3" t="s">
        <v>101</v>
      </c>
      <c r="N14" s="2" t="s">
        <v>523</v>
      </c>
      <c r="O14" s="2" t="s">
        <v>35</v>
      </c>
      <c r="P14" s="2" t="s">
        <v>76</v>
      </c>
      <c r="Q14" s="70" t="s">
        <v>48</v>
      </c>
      <c r="R14" s="2" t="s">
        <v>107</v>
      </c>
      <c r="S14" s="70">
        <v>2</v>
      </c>
      <c r="T14" s="70">
        <v>6</v>
      </c>
      <c r="U14" s="70">
        <v>4</v>
      </c>
      <c r="V14" s="2" t="s">
        <v>32</v>
      </c>
      <c r="W14" s="2" t="s">
        <v>74</v>
      </c>
      <c r="X14" s="2" t="s">
        <v>64</v>
      </c>
      <c r="Y14" s="2" t="s">
        <v>65</v>
      </c>
      <c r="Z14" s="2">
        <v>23029</v>
      </c>
      <c r="AA14" s="57"/>
      <c r="AB14" s="56" t="s">
        <v>439</v>
      </c>
      <c r="AC14" s="55" t="s">
        <v>236</v>
      </c>
      <c r="AE14" s="2">
        <v>101</v>
      </c>
      <c r="AL14" s="52"/>
    </row>
    <row r="15" spans="1:39" s="2" customFormat="1" ht="14.1" customHeight="1" x14ac:dyDescent="0.2">
      <c r="A15" s="66" t="s">
        <v>57</v>
      </c>
      <c r="B15" s="3" t="s">
        <v>49</v>
      </c>
      <c r="C15" s="52" t="s">
        <v>552</v>
      </c>
      <c r="D15" s="2" t="s">
        <v>39</v>
      </c>
      <c r="E15" s="70" t="s">
        <v>335</v>
      </c>
      <c r="F15" s="70" t="str">
        <f t="shared" si="0"/>
        <v>T8_STEP_8_HELP</v>
      </c>
      <c r="G15" s="2" t="s">
        <v>349</v>
      </c>
      <c r="J15" s="70"/>
      <c r="K15" s="3" t="s">
        <v>68</v>
      </c>
      <c r="L15" s="3" t="s">
        <v>98</v>
      </c>
      <c r="M15" s="3" t="s">
        <v>101</v>
      </c>
      <c r="N15" s="2" t="s">
        <v>523</v>
      </c>
      <c r="O15" s="2" t="s">
        <v>35</v>
      </c>
      <c r="P15" s="2" t="s">
        <v>76</v>
      </c>
      <c r="Q15" s="70" t="s">
        <v>49</v>
      </c>
      <c r="R15" s="2" t="s">
        <v>107</v>
      </c>
      <c r="S15" s="70">
        <v>2</v>
      </c>
      <c r="T15" s="70">
        <v>6</v>
      </c>
      <c r="U15" s="70">
        <v>4</v>
      </c>
      <c r="V15" s="2" t="s">
        <v>32</v>
      </c>
      <c r="W15" s="2" t="s">
        <v>74</v>
      </c>
      <c r="X15" s="2" t="s">
        <v>64</v>
      </c>
      <c r="Y15" s="2" t="s">
        <v>65</v>
      </c>
      <c r="Z15" s="2">
        <v>25331</v>
      </c>
      <c r="AA15" s="57"/>
      <c r="AB15" s="56" t="s">
        <v>440</v>
      </c>
      <c r="AC15" s="55" t="s">
        <v>237</v>
      </c>
      <c r="AE15" s="2">
        <v>101</v>
      </c>
      <c r="AL15" s="52"/>
    </row>
    <row r="16" spans="1:39" s="2" customFormat="1" ht="14.1" customHeight="1" x14ac:dyDescent="0.2">
      <c r="A16" s="66" t="s">
        <v>57</v>
      </c>
      <c r="B16" s="3" t="s">
        <v>50</v>
      </c>
      <c r="C16" s="52" t="s">
        <v>553</v>
      </c>
      <c r="D16" s="2" t="s">
        <v>39</v>
      </c>
      <c r="E16" s="70" t="s">
        <v>336</v>
      </c>
      <c r="F16" s="70" t="str">
        <f t="shared" si="0"/>
        <v>T8_STEP_9_HELP</v>
      </c>
      <c r="G16" s="2" t="s">
        <v>349</v>
      </c>
      <c r="J16" s="70"/>
      <c r="K16" s="3" t="s">
        <v>68</v>
      </c>
      <c r="L16" s="3" t="s">
        <v>98</v>
      </c>
      <c r="M16" s="3" t="s">
        <v>101</v>
      </c>
      <c r="N16" s="2" t="s">
        <v>523</v>
      </c>
      <c r="O16" s="2" t="s">
        <v>35</v>
      </c>
      <c r="P16" s="2" t="s">
        <v>76</v>
      </c>
      <c r="Q16" s="70" t="s">
        <v>50</v>
      </c>
      <c r="R16" s="2" t="s">
        <v>107</v>
      </c>
      <c r="S16" s="70">
        <v>2</v>
      </c>
      <c r="T16" s="70">
        <v>6</v>
      </c>
      <c r="U16" s="70">
        <v>4</v>
      </c>
      <c r="V16" s="2" t="s">
        <v>32</v>
      </c>
      <c r="W16" s="2" t="s">
        <v>74</v>
      </c>
      <c r="X16" s="2" t="s">
        <v>64</v>
      </c>
      <c r="Y16" s="2" t="s">
        <v>65</v>
      </c>
      <c r="Z16" s="2">
        <v>27864</v>
      </c>
      <c r="AA16" s="57"/>
      <c r="AB16" s="56" t="s">
        <v>441</v>
      </c>
      <c r="AC16" s="55" t="s">
        <v>238</v>
      </c>
      <c r="AE16" s="2">
        <v>101</v>
      </c>
      <c r="AL16" s="52"/>
    </row>
    <row r="17" spans="1:38" s="2" customFormat="1" ht="14.1" customHeight="1" x14ac:dyDescent="0.2">
      <c r="A17" s="66" t="s">
        <v>57</v>
      </c>
      <c r="B17" s="3" t="s">
        <v>51</v>
      </c>
      <c r="C17" s="52" t="s">
        <v>554</v>
      </c>
      <c r="D17" s="2" t="s">
        <v>39</v>
      </c>
      <c r="E17" s="70" t="s">
        <v>337</v>
      </c>
      <c r="F17" s="70" t="str">
        <f t="shared" si="0"/>
        <v>T8_STEP_10_HELP</v>
      </c>
      <c r="G17" s="2" t="s">
        <v>349</v>
      </c>
      <c r="J17" s="70"/>
      <c r="K17" s="3" t="s">
        <v>68</v>
      </c>
      <c r="L17" s="3" t="s">
        <v>98</v>
      </c>
      <c r="M17" s="3" t="s">
        <v>101</v>
      </c>
      <c r="N17" s="2" t="s">
        <v>523</v>
      </c>
      <c r="O17" s="2" t="s">
        <v>35</v>
      </c>
      <c r="P17" s="2" t="s">
        <v>76</v>
      </c>
      <c r="Q17" s="70" t="s">
        <v>51</v>
      </c>
      <c r="R17" s="2" t="s">
        <v>107</v>
      </c>
      <c r="S17" s="70">
        <v>2</v>
      </c>
      <c r="T17" s="70">
        <v>6</v>
      </c>
      <c r="U17" s="70">
        <v>4</v>
      </c>
      <c r="V17" s="2" t="s">
        <v>32</v>
      </c>
      <c r="W17" s="2" t="s">
        <v>74</v>
      </c>
      <c r="X17" s="2" t="s">
        <v>64</v>
      </c>
      <c r="Y17" s="2" t="s">
        <v>65</v>
      </c>
      <c r="Z17" s="2">
        <v>30650</v>
      </c>
      <c r="AA17" s="57"/>
      <c r="AB17" s="56" t="s">
        <v>442</v>
      </c>
      <c r="AC17" s="55" t="s">
        <v>239</v>
      </c>
      <c r="AE17" s="2">
        <v>101</v>
      </c>
      <c r="AL17" s="52"/>
    </row>
    <row r="18" spans="1:38" s="2" customFormat="1" ht="14.1" customHeight="1" x14ac:dyDescent="0.2">
      <c r="A18" s="66" t="s">
        <v>19</v>
      </c>
      <c r="B18" s="3" t="s">
        <v>38</v>
      </c>
      <c r="C18" s="52" t="s">
        <v>555</v>
      </c>
      <c r="D18" s="2" t="s">
        <v>21</v>
      </c>
      <c r="E18" s="70" t="s">
        <v>324</v>
      </c>
      <c r="F18" s="70" t="str">
        <f t="shared" ref="F18:F26" si="1">E18&amp;"_HELP"</f>
        <v>T6_STEP_1_HELP</v>
      </c>
      <c r="G18" s="2" t="s">
        <v>349</v>
      </c>
      <c r="I18" s="2" t="s">
        <v>133</v>
      </c>
      <c r="J18" s="70"/>
      <c r="K18" s="3" t="s">
        <v>69</v>
      </c>
      <c r="L18" s="25" t="s">
        <v>100</v>
      </c>
      <c r="M18" s="3" t="s">
        <v>103</v>
      </c>
      <c r="N18" s="2" t="s">
        <v>523</v>
      </c>
      <c r="O18" s="2" t="s">
        <v>58</v>
      </c>
      <c r="Q18" s="70" t="s">
        <v>38</v>
      </c>
      <c r="R18" s="2" t="s">
        <v>91</v>
      </c>
      <c r="S18" s="70">
        <v>2</v>
      </c>
      <c r="T18" s="70">
        <v>6</v>
      </c>
      <c r="U18" s="70">
        <v>4</v>
      </c>
      <c r="V18" s="2" t="s">
        <v>32</v>
      </c>
      <c r="W18" s="2" t="s">
        <v>74</v>
      </c>
      <c r="X18" s="2" t="s">
        <v>66</v>
      </c>
      <c r="Y18" s="2" t="s">
        <v>65</v>
      </c>
      <c r="Z18" s="2" t="s">
        <v>425</v>
      </c>
      <c r="AA18" s="29"/>
      <c r="AB18" s="48">
        <v>932061</v>
      </c>
      <c r="AC18" s="28" t="s">
        <v>445</v>
      </c>
      <c r="AE18" s="2">
        <v>102</v>
      </c>
      <c r="AL18" s="52"/>
    </row>
    <row r="19" spans="1:38" s="2" customFormat="1" ht="14.1" customHeight="1" x14ac:dyDescent="0.2">
      <c r="A19" s="66" t="s">
        <v>19</v>
      </c>
      <c r="B19" s="3" t="s">
        <v>39</v>
      </c>
      <c r="C19" s="52" t="s">
        <v>556</v>
      </c>
      <c r="D19" s="2" t="s">
        <v>21</v>
      </c>
      <c r="E19" s="70" t="s">
        <v>325</v>
      </c>
      <c r="F19" s="70" t="str">
        <f t="shared" si="1"/>
        <v>T6_STEP_2_HELP</v>
      </c>
      <c r="G19" s="2" t="s">
        <v>349</v>
      </c>
      <c r="J19" s="70"/>
      <c r="K19" s="3" t="s">
        <v>69</v>
      </c>
      <c r="L19" s="25" t="s">
        <v>100</v>
      </c>
      <c r="M19" s="3" t="s">
        <v>103</v>
      </c>
      <c r="N19" s="2" t="s">
        <v>523</v>
      </c>
      <c r="O19" s="2" t="s">
        <v>58</v>
      </c>
      <c r="Q19" s="70" t="s">
        <v>39</v>
      </c>
      <c r="R19" s="2" t="s">
        <v>91</v>
      </c>
      <c r="S19" s="70">
        <v>2</v>
      </c>
      <c r="T19" s="70">
        <v>6</v>
      </c>
      <c r="U19" s="70">
        <v>4</v>
      </c>
      <c r="V19" s="2" t="s">
        <v>32</v>
      </c>
      <c r="W19" s="2" t="s">
        <v>74</v>
      </c>
      <c r="X19" s="2" t="s">
        <v>66</v>
      </c>
      <c r="Y19" s="2" t="s">
        <v>65</v>
      </c>
      <c r="Z19" s="2" t="s">
        <v>443</v>
      </c>
      <c r="AA19" s="29"/>
      <c r="AB19" s="47">
        <v>932062</v>
      </c>
      <c r="AC19" s="28" t="s">
        <v>445</v>
      </c>
      <c r="AE19" s="2">
        <v>102</v>
      </c>
      <c r="AL19" s="52"/>
    </row>
    <row r="20" spans="1:38" s="2" customFormat="1" ht="14.1" customHeight="1" x14ac:dyDescent="0.2">
      <c r="A20" s="66" t="s">
        <v>19</v>
      </c>
      <c r="B20" s="3" t="s">
        <v>40</v>
      </c>
      <c r="C20" s="52" t="s">
        <v>557</v>
      </c>
      <c r="D20" s="2" t="s">
        <v>38</v>
      </c>
      <c r="E20" s="70" t="s">
        <v>326</v>
      </c>
      <c r="F20" s="70" t="str">
        <f t="shared" si="1"/>
        <v>T7_STEP_1_HELP</v>
      </c>
      <c r="G20" s="2" t="s">
        <v>349</v>
      </c>
      <c r="J20" s="70"/>
      <c r="K20" s="3" t="s">
        <v>69</v>
      </c>
      <c r="L20" s="25" t="s">
        <v>100</v>
      </c>
      <c r="M20" s="3" t="s">
        <v>103</v>
      </c>
      <c r="N20" s="2" t="s">
        <v>523</v>
      </c>
      <c r="O20" s="2" t="s">
        <v>58</v>
      </c>
      <c r="Q20" s="70" t="s">
        <v>40</v>
      </c>
      <c r="R20" s="2" t="s">
        <v>91</v>
      </c>
      <c r="S20" s="70">
        <v>2</v>
      </c>
      <c r="T20" s="70">
        <v>6</v>
      </c>
      <c r="U20" s="70">
        <v>4</v>
      </c>
      <c r="V20" s="2" t="s">
        <v>32</v>
      </c>
      <c r="W20" s="2" t="s">
        <v>74</v>
      </c>
      <c r="X20" s="2" t="s">
        <v>66</v>
      </c>
      <c r="Y20" s="2" t="s">
        <v>65</v>
      </c>
      <c r="Z20" s="2" t="s">
        <v>426</v>
      </c>
      <c r="AA20" s="29"/>
      <c r="AB20" s="48">
        <v>932071</v>
      </c>
      <c r="AC20" s="28" t="s">
        <v>446</v>
      </c>
      <c r="AE20" s="2">
        <v>102</v>
      </c>
      <c r="AL20" s="52"/>
    </row>
    <row r="21" spans="1:38" s="2" customFormat="1" ht="14.1" customHeight="1" x14ac:dyDescent="0.2">
      <c r="A21" s="66" t="s">
        <v>19</v>
      </c>
      <c r="B21" s="3" t="s">
        <v>41</v>
      </c>
      <c r="C21" s="52" t="s">
        <v>558</v>
      </c>
      <c r="D21" s="2" t="s">
        <v>38</v>
      </c>
      <c r="E21" s="70" t="s">
        <v>327</v>
      </c>
      <c r="F21" s="70" t="str">
        <f t="shared" si="1"/>
        <v>T7_STEP_2_HELP</v>
      </c>
      <c r="G21" s="2" t="s">
        <v>349</v>
      </c>
      <c r="J21" s="70"/>
      <c r="K21" s="3" t="s">
        <v>69</v>
      </c>
      <c r="L21" s="25" t="s">
        <v>100</v>
      </c>
      <c r="M21" s="3" t="s">
        <v>103</v>
      </c>
      <c r="N21" s="2" t="s">
        <v>523</v>
      </c>
      <c r="O21" s="2" t="s">
        <v>58</v>
      </c>
      <c r="Q21" s="70" t="s">
        <v>41</v>
      </c>
      <c r="R21" s="2" t="s">
        <v>91</v>
      </c>
      <c r="S21" s="70">
        <v>2</v>
      </c>
      <c r="T21" s="70">
        <v>6</v>
      </c>
      <c r="U21" s="70">
        <v>4</v>
      </c>
      <c r="V21" s="2" t="s">
        <v>32</v>
      </c>
      <c r="W21" s="2" t="s">
        <v>74</v>
      </c>
      <c r="X21" s="2" t="s">
        <v>66</v>
      </c>
      <c r="Y21" s="2" t="s">
        <v>65</v>
      </c>
      <c r="Z21" s="2" t="s">
        <v>444</v>
      </c>
      <c r="AA21" s="29"/>
      <c r="AB21" s="47">
        <v>932072</v>
      </c>
      <c r="AC21" s="28" t="s">
        <v>447</v>
      </c>
      <c r="AE21" s="2">
        <v>102</v>
      </c>
      <c r="AL21" s="52"/>
    </row>
    <row r="22" spans="1:38" s="2" customFormat="1" ht="14.1" customHeight="1" x14ac:dyDescent="0.2">
      <c r="A22" s="66" t="s">
        <v>19</v>
      </c>
      <c r="B22" s="3" t="s">
        <v>42</v>
      </c>
      <c r="C22" s="52" t="s">
        <v>559</v>
      </c>
      <c r="D22" s="2" t="s">
        <v>39</v>
      </c>
      <c r="E22" s="70" t="s">
        <v>328</v>
      </c>
      <c r="F22" s="70" t="str">
        <f t="shared" si="1"/>
        <v>T8_STEP_1_HELP</v>
      </c>
      <c r="G22" s="2" t="s">
        <v>349</v>
      </c>
      <c r="J22" s="70"/>
      <c r="K22" s="3" t="s">
        <v>69</v>
      </c>
      <c r="L22" s="25" t="s">
        <v>100</v>
      </c>
      <c r="M22" s="3" t="s">
        <v>103</v>
      </c>
      <c r="N22" s="2" t="s">
        <v>523</v>
      </c>
      <c r="O22" s="2" t="s">
        <v>58</v>
      </c>
      <c r="Q22" s="70" t="s">
        <v>42</v>
      </c>
      <c r="R22" s="2" t="s">
        <v>91</v>
      </c>
      <c r="S22" s="70">
        <v>2</v>
      </c>
      <c r="T22" s="70">
        <v>6</v>
      </c>
      <c r="U22" s="70">
        <v>4</v>
      </c>
      <c r="V22" s="2" t="s">
        <v>32</v>
      </c>
      <c r="W22" s="2" t="s">
        <v>74</v>
      </c>
      <c r="X22" s="2" t="s">
        <v>66</v>
      </c>
      <c r="Y22" s="2" t="s">
        <v>65</v>
      </c>
      <c r="Z22" s="2">
        <v>13000</v>
      </c>
      <c r="AA22" s="29"/>
      <c r="AB22" s="48">
        <v>932081</v>
      </c>
      <c r="AC22" s="28" t="s">
        <v>448</v>
      </c>
      <c r="AE22" s="2">
        <v>102</v>
      </c>
      <c r="AL22" s="52"/>
    </row>
    <row r="23" spans="1:38" s="2" customFormat="1" ht="14.1" customHeight="1" x14ac:dyDescent="0.2">
      <c r="A23" s="66" t="s">
        <v>19</v>
      </c>
      <c r="B23" s="3" t="s">
        <v>43</v>
      </c>
      <c r="C23" s="52" t="s">
        <v>560</v>
      </c>
      <c r="D23" s="2" t="s">
        <v>39</v>
      </c>
      <c r="E23" s="70" t="s">
        <v>329</v>
      </c>
      <c r="F23" s="70" t="str">
        <f t="shared" si="1"/>
        <v>T8_STEP_2_HELP</v>
      </c>
      <c r="G23" s="2" t="s">
        <v>349</v>
      </c>
      <c r="J23" s="70"/>
      <c r="K23" s="3" t="s">
        <v>69</v>
      </c>
      <c r="L23" s="25" t="s">
        <v>100</v>
      </c>
      <c r="M23" s="3" t="s">
        <v>103</v>
      </c>
      <c r="N23" s="2" t="s">
        <v>523</v>
      </c>
      <c r="O23" s="2" t="s">
        <v>58</v>
      </c>
      <c r="Q23" s="70" t="s">
        <v>43</v>
      </c>
      <c r="R23" s="2" t="s">
        <v>91</v>
      </c>
      <c r="S23" s="70">
        <v>2</v>
      </c>
      <c r="T23" s="70">
        <v>6</v>
      </c>
      <c r="U23" s="70">
        <v>4</v>
      </c>
      <c r="V23" s="2" t="s">
        <v>32</v>
      </c>
      <c r="W23" s="2" t="s">
        <v>74</v>
      </c>
      <c r="X23" s="2" t="s">
        <v>66</v>
      </c>
      <c r="Y23" s="2" t="s">
        <v>65</v>
      </c>
      <c r="Z23" s="2">
        <v>14300</v>
      </c>
      <c r="AA23" s="29"/>
      <c r="AB23" s="47">
        <v>932082</v>
      </c>
      <c r="AC23" s="28" t="s">
        <v>449</v>
      </c>
      <c r="AE23" s="2">
        <v>102</v>
      </c>
      <c r="AL23" s="52"/>
    </row>
    <row r="24" spans="1:38" s="2" customFormat="1" ht="14.1" customHeight="1" x14ac:dyDescent="0.2">
      <c r="A24" s="66" t="s">
        <v>19</v>
      </c>
      <c r="B24" s="3" t="s">
        <v>44</v>
      </c>
      <c r="C24" s="52" t="s">
        <v>561</v>
      </c>
      <c r="D24" s="2" t="s">
        <v>39</v>
      </c>
      <c r="E24" s="70" t="s">
        <v>330</v>
      </c>
      <c r="F24" s="70" t="str">
        <f t="shared" si="1"/>
        <v>T8_STEP_3_HELP</v>
      </c>
      <c r="G24" s="2" t="s">
        <v>349</v>
      </c>
      <c r="J24" s="70"/>
      <c r="K24" s="3" t="s">
        <v>69</v>
      </c>
      <c r="L24" s="25" t="s">
        <v>100</v>
      </c>
      <c r="M24" s="3" t="s">
        <v>103</v>
      </c>
      <c r="N24" s="2" t="s">
        <v>523</v>
      </c>
      <c r="O24" s="2" t="s">
        <v>58</v>
      </c>
      <c r="Q24" s="70" t="s">
        <v>44</v>
      </c>
      <c r="R24" s="2" t="s">
        <v>91</v>
      </c>
      <c r="S24" s="70">
        <v>2</v>
      </c>
      <c r="T24" s="70">
        <v>6</v>
      </c>
      <c r="U24" s="70">
        <v>4</v>
      </c>
      <c r="V24" s="2" t="s">
        <v>32</v>
      </c>
      <c r="W24" s="2" t="s">
        <v>74</v>
      </c>
      <c r="X24" s="2" t="s">
        <v>66</v>
      </c>
      <c r="Y24" s="2" t="s">
        <v>65</v>
      </c>
      <c r="Z24" s="2">
        <v>15730</v>
      </c>
      <c r="AA24" s="29"/>
      <c r="AB24" s="48">
        <v>932083</v>
      </c>
      <c r="AC24" s="28" t="s">
        <v>450</v>
      </c>
      <c r="AE24" s="2">
        <v>102</v>
      </c>
      <c r="AL24" s="52"/>
    </row>
    <row r="25" spans="1:38" s="2" customFormat="1" ht="14.1" customHeight="1" x14ac:dyDescent="0.2">
      <c r="A25" s="66" t="s">
        <v>19</v>
      </c>
      <c r="B25" s="3" t="s">
        <v>45</v>
      </c>
      <c r="C25" s="52" t="s">
        <v>562</v>
      </c>
      <c r="D25" s="2" t="s">
        <v>39</v>
      </c>
      <c r="E25" s="70" t="s">
        <v>331</v>
      </c>
      <c r="F25" s="70" t="str">
        <f t="shared" si="1"/>
        <v>T8_STEP_4_HELP</v>
      </c>
      <c r="G25" s="2" t="s">
        <v>349</v>
      </c>
      <c r="J25" s="70"/>
      <c r="K25" s="3" t="s">
        <v>69</v>
      </c>
      <c r="L25" s="25" t="s">
        <v>100</v>
      </c>
      <c r="M25" s="3" t="s">
        <v>103</v>
      </c>
      <c r="N25" s="2" t="s">
        <v>523</v>
      </c>
      <c r="O25" s="2" t="s">
        <v>58</v>
      </c>
      <c r="Q25" s="70" t="s">
        <v>45</v>
      </c>
      <c r="R25" s="2" t="s">
        <v>91</v>
      </c>
      <c r="S25" s="70">
        <v>2</v>
      </c>
      <c r="T25" s="70">
        <v>6</v>
      </c>
      <c r="U25" s="70">
        <v>4</v>
      </c>
      <c r="V25" s="2" t="s">
        <v>32</v>
      </c>
      <c r="W25" s="2" t="s">
        <v>74</v>
      </c>
      <c r="X25" s="2" t="s">
        <v>66</v>
      </c>
      <c r="Y25" s="2" t="s">
        <v>65</v>
      </c>
      <c r="Z25" s="2">
        <v>17303</v>
      </c>
      <c r="AA25" s="29"/>
      <c r="AB25" s="47">
        <v>932084</v>
      </c>
      <c r="AC25" s="28" t="s">
        <v>451</v>
      </c>
      <c r="AE25" s="2">
        <v>102</v>
      </c>
      <c r="AL25" s="52"/>
    </row>
    <row r="26" spans="1:38" s="2" customFormat="1" ht="14.1" customHeight="1" x14ac:dyDescent="0.2">
      <c r="A26" s="66" t="s">
        <v>19</v>
      </c>
      <c r="B26" s="3" t="s">
        <v>46</v>
      </c>
      <c r="C26" s="52" t="s">
        <v>563</v>
      </c>
      <c r="D26" s="2" t="s">
        <v>39</v>
      </c>
      <c r="E26" s="70" t="s">
        <v>332</v>
      </c>
      <c r="F26" s="70" t="str">
        <f t="shared" si="1"/>
        <v>T8_STEP_5_HELP</v>
      </c>
      <c r="G26" s="2" t="s">
        <v>349</v>
      </c>
      <c r="J26" s="70"/>
      <c r="K26" s="3" t="s">
        <v>69</v>
      </c>
      <c r="L26" s="25" t="s">
        <v>100</v>
      </c>
      <c r="M26" s="3" t="s">
        <v>103</v>
      </c>
      <c r="N26" s="2" t="s">
        <v>523</v>
      </c>
      <c r="O26" s="2" t="s">
        <v>58</v>
      </c>
      <c r="Q26" s="70" t="s">
        <v>46</v>
      </c>
      <c r="R26" s="2" t="s">
        <v>91</v>
      </c>
      <c r="S26" s="70">
        <v>2</v>
      </c>
      <c r="T26" s="70">
        <v>6</v>
      </c>
      <c r="U26" s="70">
        <v>4</v>
      </c>
      <c r="V26" s="2" t="s">
        <v>32</v>
      </c>
      <c r="W26" s="2" t="s">
        <v>74</v>
      </c>
      <c r="X26" s="2" t="s">
        <v>66</v>
      </c>
      <c r="Y26" s="2" t="s">
        <v>65</v>
      </c>
      <c r="Z26" s="2">
        <v>19033</v>
      </c>
      <c r="AA26" s="29"/>
      <c r="AB26" s="48">
        <v>932085</v>
      </c>
      <c r="AC26" s="28" t="s">
        <v>452</v>
      </c>
      <c r="AE26" s="2">
        <v>102</v>
      </c>
      <c r="AL26" s="52"/>
    </row>
    <row r="27" spans="1:38" s="2" customFormat="1" ht="14.1" customHeight="1" x14ac:dyDescent="0.2">
      <c r="A27" s="66" t="s">
        <v>19</v>
      </c>
      <c r="B27" s="3" t="s">
        <v>47</v>
      </c>
      <c r="C27" s="52" t="s">
        <v>564</v>
      </c>
      <c r="D27" s="2" t="s">
        <v>39</v>
      </c>
      <c r="E27" s="70" t="s">
        <v>333</v>
      </c>
      <c r="F27" s="70" t="str">
        <f>E27&amp;"_HELP"</f>
        <v>T8_STEP_6_HELP</v>
      </c>
      <c r="G27" s="2" t="s">
        <v>349</v>
      </c>
      <c r="J27" s="70"/>
      <c r="K27" s="3" t="s">
        <v>69</v>
      </c>
      <c r="L27" s="25" t="s">
        <v>100</v>
      </c>
      <c r="M27" s="3" t="s">
        <v>103</v>
      </c>
      <c r="N27" s="2" t="s">
        <v>523</v>
      </c>
      <c r="O27" s="2" t="s">
        <v>58</v>
      </c>
      <c r="Q27" s="70" t="s">
        <v>47</v>
      </c>
      <c r="R27" s="2" t="s">
        <v>91</v>
      </c>
      <c r="S27" s="70">
        <v>2</v>
      </c>
      <c r="T27" s="70">
        <v>6</v>
      </c>
      <c r="U27" s="70">
        <v>4</v>
      </c>
      <c r="V27" s="2" t="s">
        <v>32</v>
      </c>
      <c r="W27" s="2" t="s">
        <v>74</v>
      </c>
      <c r="X27" s="2" t="s">
        <v>66</v>
      </c>
      <c r="Y27" s="2" t="s">
        <v>65</v>
      </c>
      <c r="Z27" s="2">
        <v>20936</v>
      </c>
      <c r="AA27" s="30"/>
      <c r="AB27" s="47">
        <v>932086</v>
      </c>
      <c r="AC27" s="28" t="s">
        <v>453</v>
      </c>
      <c r="AE27" s="2">
        <v>102</v>
      </c>
      <c r="AL27" s="52"/>
    </row>
    <row r="28" spans="1:38" s="2" customFormat="1" ht="14.1" customHeight="1" x14ac:dyDescent="0.2">
      <c r="A28" s="66" t="s">
        <v>19</v>
      </c>
      <c r="B28" s="3" t="s">
        <v>48</v>
      </c>
      <c r="C28" s="52" t="s">
        <v>565</v>
      </c>
      <c r="D28" s="2" t="s">
        <v>39</v>
      </c>
      <c r="E28" s="70" t="s">
        <v>334</v>
      </c>
      <c r="F28" s="70" t="str">
        <f t="shared" ref="F28:F31" si="2">E28&amp;"_HELP"</f>
        <v>T8_STEP_7_HELP</v>
      </c>
      <c r="G28" s="2" t="s">
        <v>349</v>
      </c>
      <c r="J28" s="70"/>
      <c r="K28" s="3" t="s">
        <v>69</v>
      </c>
      <c r="L28" s="25" t="s">
        <v>100</v>
      </c>
      <c r="M28" s="3" t="s">
        <v>103</v>
      </c>
      <c r="N28" s="2" t="s">
        <v>523</v>
      </c>
      <c r="O28" s="2" t="s">
        <v>58</v>
      </c>
      <c r="Q28" s="70" t="s">
        <v>48</v>
      </c>
      <c r="R28" s="2" t="s">
        <v>91</v>
      </c>
      <c r="S28" s="70">
        <v>2</v>
      </c>
      <c r="T28" s="70">
        <v>6</v>
      </c>
      <c r="U28" s="70">
        <v>4</v>
      </c>
      <c r="V28" s="2" t="s">
        <v>32</v>
      </c>
      <c r="W28" s="2" t="s">
        <v>74</v>
      </c>
      <c r="X28" s="2" t="s">
        <v>66</v>
      </c>
      <c r="Y28" s="2" t="s">
        <v>65</v>
      </c>
      <c r="Z28" s="2">
        <v>23029</v>
      </c>
      <c r="AA28" s="30"/>
      <c r="AB28" s="48">
        <v>932087</v>
      </c>
      <c r="AC28" s="28" t="s">
        <v>454</v>
      </c>
      <c r="AE28" s="2">
        <v>102</v>
      </c>
      <c r="AL28" s="52"/>
    </row>
    <row r="29" spans="1:38" s="2" customFormat="1" ht="14.1" customHeight="1" x14ac:dyDescent="0.2">
      <c r="A29" s="66" t="s">
        <v>19</v>
      </c>
      <c r="B29" s="3" t="s">
        <v>49</v>
      </c>
      <c r="C29" s="52" t="s">
        <v>566</v>
      </c>
      <c r="D29" s="2" t="s">
        <v>39</v>
      </c>
      <c r="E29" s="70" t="s">
        <v>335</v>
      </c>
      <c r="F29" s="70" t="str">
        <f t="shared" si="2"/>
        <v>T8_STEP_8_HELP</v>
      </c>
      <c r="G29" s="2" t="s">
        <v>349</v>
      </c>
      <c r="J29" s="70"/>
      <c r="K29" s="3" t="s">
        <v>69</v>
      </c>
      <c r="L29" s="25" t="s">
        <v>100</v>
      </c>
      <c r="M29" s="3" t="s">
        <v>103</v>
      </c>
      <c r="N29" s="2" t="s">
        <v>523</v>
      </c>
      <c r="O29" s="2" t="s">
        <v>58</v>
      </c>
      <c r="Q29" s="70" t="s">
        <v>49</v>
      </c>
      <c r="R29" s="2" t="s">
        <v>91</v>
      </c>
      <c r="S29" s="70">
        <v>2</v>
      </c>
      <c r="T29" s="70">
        <v>6</v>
      </c>
      <c r="U29" s="70">
        <v>4</v>
      </c>
      <c r="V29" s="2" t="s">
        <v>32</v>
      </c>
      <c r="W29" s="2" t="s">
        <v>74</v>
      </c>
      <c r="X29" s="2" t="s">
        <v>66</v>
      </c>
      <c r="Y29" s="2" t="s">
        <v>65</v>
      </c>
      <c r="Z29" s="2">
        <v>25331</v>
      </c>
      <c r="AA29" s="30"/>
      <c r="AB29" s="47">
        <v>932088</v>
      </c>
      <c r="AC29" s="28" t="s">
        <v>455</v>
      </c>
      <c r="AE29" s="2">
        <v>102</v>
      </c>
      <c r="AL29" s="52"/>
    </row>
    <row r="30" spans="1:38" s="2" customFormat="1" ht="14.1" customHeight="1" x14ac:dyDescent="0.2">
      <c r="A30" s="66" t="s">
        <v>19</v>
      </c>
      <c r="B30" s="3" t="s">
        <v>50</v>
      </c>
      <c r="C30" s="52" t="s">
        <v>567</v>
      </c>
      <c r="D30" s="2" t="s">
        <v>39</v>
      </c>
      <c r="E30" s="70" t="s">
        <v>336</v>
      </c>
      <c r="F30" s="70" t="str">
        <f t="shared" si="2"/>
        <v>T8_STEP_9_HELP</v>
      </c>
      <c r="G30" s="2" t="s">
        <v>349</v>
      </c>
      <c r="J30" s="70"/>
      <c r="K30" s="3" t="s">
        <v>69</v>
      </c>
      <c r="L30" s="25" t="s">
        <v>100</v>
      </c>
      <c r="M30" s="3" t="s">
        <v>103</v>
      </c>
      <c r="N30" s="2" t="s">
        <v>523</v>
      </c>
      <c r="O30" s="2" t="s">
        <v>58</v>
      </c>
      <c r="Q30" s="70" t="s">
        <v>50</v>
      </c>
      <c r="R30" s="2" t="s">
        <v>91</v>
      </c>
      <c r="S30" s="70">
        <v>2</v>
      </c>
      <c r="T30" s="70">
        <v>6</v>
      </c>
      <c r="U30" s="70">
        <v>4</v>
      </c>
      <c r="V30" s="2" t="s">
        <v>32</v>
      </c>
      <c r="W30" s="2" t="s">
        <v>74</v>
      </c>
      <c r="X30" s="2" t="s">
        <v>66</v>
      </c>
      <c r="Y30" s="2" t="s">
        <v>65</v>
      </c>
      <c r="Z30" s="2">
        <v>27864</v>
      </c>
      <c r="AA30" s="30"/>
      <c r="AB30" s="48">
        <v>932089</v>
      </c>
      <c r="AC30" s="28" t="s">
        <v>456</v>
      </c>
      <c r="AE30" s="2">
        <v>102</v>
      </c>
      <c r="AL30" s="52"/>
    </row>
    <row r="31" spans="1:38" s="2" customFormat="1" ht="14.1" customHeight="1" x14ac:dyDescent="0.2">
      <c r="A31" s="66" t="s">
        <v>19</v>
      </c>
      <c r="B31" s="3" t="s">
        <v>51</v>
      </c>
      <c r="C31" s="52" t="s">
        <v>568</v>
      </c>
      <c r="D31" s="2" t="s">
        <v>39</v>
      </c>
      <c r="E31" s="70" t="s">
        <v>337</v>
      </c>
      <c r="F31" s="70" t="str">
        <f t="shared" si="2"/>
        <v>T8_STEP_10_HELP</v>
      </c>
      <c r="G31" s="2" t="s">
        <v>349</v>
      </c>
      <c r="J31" s="70"/>
      <c r="K31" s="3" t="s">
        <v>69</v>
      </c>
      <c r="L31" s="25" t="s">
        <v>100</v>
      </c>
      <c r="M31" s="3" t="s">
        <v>103</v>
      </c>
      <c r="N31" s="2" t="s">
        <v>523</v>
      </c>
      <c r="O31" s="2" t="s">
        <v>58</v>
      </c>
      <c r="Q31" s="70" t="s">
        <v>51</v>
      </c>
      <c r="R31" s="2" t="s">
        <v>91</v>
      </c>
      <c r="S31" s="70">
        <v>2</v>
      </c>
      <c r="T31" s="70">
        <v>6</v>
      </c>
      <c r="U31" s="70">
        <v>4</v>
      </c>
      <c r="V31" s="2" t="s">
        <v>32</v>
      </c>
      <c r="W31" s="2" t="s">
        <v>74</v>
      </c>
      <c r="X31" s="2" t="s">
        <v>66</v>
      </c>
      <c r="Y31" s="2" t="s">
        <v>65</v>
      </c>
      <c r="Z31" s="2">
        <v>30650</v>
      </c>
      <c r="AA31" s="30"/>
      <c r="AB31" s="47">
        <v>932090</v>
      </c>
      <c r="AC31" s="28" t="s">
        <v>457</v>
      </c>
      <c r="AE31" s="2">
        <v>102</v>
      </c>
      <c r="AL31" s="52"/>
    </row>
    <row r="32" spans="1:38" s="2" customFormat="1" ht="14.1" customHeight="1" x14ac:dyDescent="0.2">
      <c r="A32" s="66" t="s">
        <v>105</v>
      </c>
      <c r="B32" s="3" t="s">
        <v>38</v>
      </c>
      <c r="C32" s="52" t="s">
        <v>569</v>
      </c>
      <c r="D32" s="2" t="s">
        <v>21</v>
      </c>
      <c r="E32" s="70" t="s">
        <v>324</v>
      </c>
      <c r="F32" s="70" t="str">
        <f t="shared" ref="F32:F40" si="3">E32&amp;"_HELP"</f>
        <v>T6_STEP_1_HELP</v>
      </c>
      <c r="G32" s="2" t="s">
        <v>349</v>
      </c>
      <c r="I32" s="2" t="s">
        <v>133</v>
      </c>
      <c r="J32" s="70"/>
      <c r="K32" s="3" t="s">
        <v>70</v>
      </c>
      <c r="L32" s="25" t="s">
        <v>106</v>
      </c>
      <c r="M32" s="26" t="s">
        <v>108</v>
      </c>
      <c r="N32" s="2" t="s">
        <v>523</v>
      </c>
      <c r="O32" s="2" t="s">
        <v>59</v>
      </c>
      <c r="Q32" s="70" t="s">
        <v>38</v>
      </c>
      <c r="R32" s="2" t="s">
        <v>104</v>
      </c>
      <c r="S32" s="70">
        <v>2</v>
      </c>
      <c r="T32" s="70">
        <v>6</v>
      </c>
      <c r="U32" s="70">
        <v>4</v>
      </c>
      <c r="V32" s="2" t="s">
        <v>31</v>
      </c>
      <c r="W32" s="2" t="s">
        <v>74</v>
      </c>
      <c r="X32" s="2" t="s">
        <v>67</v>
      </c>
      <c r="Y32" s="2" t="s">
        <v>65</v>
      </c>
      <c r="Z32" s="2" t="s">
        <v>425</v>
      </c>
      <c r="AA32" s="29"/>
      <c r="AB32" s="47">
        <v>933061</v>
      </c>
      <c r="AC32" s="28" t="s">
        <v>458</v>
      </c>
      <c r="AE32" s="2">
        <v>103</v>
      </c>
      <c r="AL32" s="52"/>
    </row>
    <row r="33" spans="1:38" s="2" customFormat="1" ht="14.1" customHeight="1" x14ac:dyDescent="0.2">
      <c r="A33" s="66" t="s">
        <v>105</v>
      </c>
      <c r="B33" s="3" t="s">
        <v>39</v>
      </c>
      <c r="C33" s="52" t="s">
        <v>570</v>
      </c>
      <c r="D33" s="2" t="s">
        <v>21</v>
      </c>
      <c r="E33" s="70" t="s">
        <v>325</v>
      </c>
      <c r="F33" s="70" t="str">
        <f t="shared" si="3"/>
        <v>T6_STEP_2_HELP</v>
      </c>
      <c r="G33" s="2" t="s">
        <v>349</v>
      </c>
      <c r="J33" s="70"/>
      <c r="K33" s="3" t="s">
        <v>70</v>
      </c>
      <c r="L33" s="25" t="s">
        <v>106</v>
      </c>
      <c r="M33" s="26" t="s">
        <v>108</v>
      </c>
      <c r="N33" s="2" t="s">
        <v>523</v>
      </c>
      <c r="O33" s="2" t="s">
        <v>59</v>
      </c>
      <c r="Q33" s="70" t="s">
        <v>39</v>
      </c>
      <c r="R33" s="2" t="s">
        <v>104</v>
      </c>
      <c r="S33" s="70">
        <v>2</v>
      </c>
      <c r="T33" s="70">
        <v>6</v>
      </c>
      <c r="U33" s="70">
        <v>4</v>
      </c>
      <c r="V33" s="2" t="s">
        <v>31</v>
      </c>
      <c r="W33" s="2" t="s">
        <v>74</v>
      </c>
      <c r="X33" s="2" t="s">
        <v>67</v>
      </c>
      <c r="Y33" s="2" t="s">
        <v>65</v>
      </c>
      <c r="Z33" s="2" t="s">
        <v>443</v>
      </c>
      <c r="AA33" s="29"/>
      <c r="AB33" s="47">
        <v>933062</v>
      </c>
      <c r="AC33" s="28" t="s">
        <v>458</v>
      </c>
      <c r="AE33" s="2">
        <v>103</v>
      </c>
      <c r="AL33" s="52"/>
    </row>
    <row r="34" spans="1:38" s="2" customFormat="1" ht="14.1" customHeight="1" x14ac:dyDescent="0.2">
      <c r="A34" s="66" t="s">
        <v>105</v>
      </c>
      <c r="B34" s="3" t="s">
        <v>40</v>
      </c>
      <c r="C34" s="52" t="s">
        <v>571</v>
      </c>
      <c r="D34" s="2" t="s">
        <v>38</v>
      </c>
      <c r="E34" s="70" t="s">
        <v>326</v>
      </c>
      <c r="F34" s="70" t="str">
        <f t="shared" si="3"/>
        <v>T7_STEP_1_HELP</v>
      </c>
      <c r="G34" s="2" t="s">
        <v>349</v>
      </c>
      <c r="J34" s="70"/>
      <c r="K34" s="3" t="s">
        <v>70</v>
      </c>
      <c r="L34" s="25" t="s">
        <v>106</v>
      </c>
      <c r="M34" s="26" t="s">
        <v>108</v>
      </c>
      <c r="N34" s="2" t="s">
        <v>523</v>
      </c>
      <c r="O34" s="2" t="s">
        <v>59</v>
      </c>
      <c r="Q34" s="70" t="s">
        <v>40</v>
      </c>
      <c r="R34" s="2" t="s">
        <v>104</v>
      </c>
      <c r="S34" s="70">
        <v>2</v>
      </c>
      <c r="T34" s="70">
        <v>6</v>
      </c>
      <c r="U34" s="70">
        <v>4</v>
      </c>
      <c r="V34" s="2" t="s">
        <v>31</v>
      </c>
      <c r="W34" s="2" t="s">
        <v>74</v>
      </c>
      <c r="X34" s="2" t="s">
        <v>67</v>
      </c>
      <c r="Y34" s="2" t="s">
        <v>65</v>
      </c>
      <c r="Z34" s="2" t="s">
        <v>426</v>
      </c>
      <c r="AA34" s="29"/>
      <c r="AB34" s="47">
        <v>933071</v>
      </c>
      <c r="AC34" s="28" t="s">
        <v>459</v>
      </c>
      <c r="AE34" s="2">
        <v>103</v>
      </c>
      <c r="AL34" s="52"/>
    </row>
    <row r="35" spans="1:38" s="2" customFormat="1" ht="14.1" customHeight="1" x14ac:dyDescent="0.2">
      <c r="A35" s="66" t="s">
        <v>105</v>
      </c>
      <c r="B35" s="3" t="s">
        <v>41</v>
      </c>
      <c r="C35" s="52" t="s">
        <v>572</v>
      </c>
      <c r="D35" s="2" t="s">
        <v>38</v>
      </c>
      <c r="E35" s="70" t="s">
        <v>327</v>
      </c>
      <c r="F35" s="70" t="str">
        <f t="shared" si="3"/>
        <v>T7_STEP_2_HELP</v>
      </c>
      <c r="G35" s="2" t="s">
        <v>349</v>
      </c>
      <c r="J35" s="70"/>
      <c r="K35" s="3" t="s">
        <v>70</v>
      </c>
      <c r="L35" s="25" t="s">
        <v>106</v>
      </c>
      <c r="M35" s="26" t="s">
        <v>108</v>
      </c>
      <c r="N35" s="2" t="s">
        <v>523</v>
      </c>
      <c r="O35" s="2" t="s">
        <v>59</v>
      </c>
      <c r="Q35" s="70" t="s">
        <v>41</v>
      </c>
      <c r="R35" s="2" t="s">
        <v>104</v>
      </c>
      <c r="S35" s="70">
        <v>2</v>
      </c>
      <c r="T35" s="70">
        <v>6</v>
      </c>
      <c r="U35" s="70">
        <v>4</v>
      </c>
      <c r="V35" s="2" t="s">
        <v>31</v>
      </c>
      <c r="W35" s="2" t="s">
        <v>74</v>
      </c>
      <c r="X35" s="2" t="s">
        <v>67</v>
      </c>
      <c r="Y35" s="2" t="s">
        <v>65</v>
      </c>
      <c r="Z35" s="2" t="s">
        <v>444</v>
      </c>
      <c r="AA35" s="29"/>
      <c r="AB35" s="47">
        <v>933072</v>
      </c>
      <c r="AC35" s="28" t="s">
        <v>460</v>
      </c>
      <c r="AE35" s="2">
        <v>103</v>
      </c>
      <c r="AL35" s="52"/>
    </row>
    <row r="36" spans="1:38" s="2" customFormat="1" ht="14.1" customHeight="1" x14ac:dyDescent="0.2">
      <c r="A36" s="66" t="s">
        <v>105</v>
      </c>
      <c r="B36" s="3" t="s">
        <v>42</v>
      </c>
      <c r="C36" s="52" t="s">
        <v>573</v>
      </c>
      <c r="D36" s="2" t="s">
        <v>39</v>
      </c>
      <c r="E36" s="70" t="s">
        <v>328</v>
      </c>
      <c r="F36" s="70" t="str">
        <f t="shared" si="3"/>
        <v>T8_STEP_1_HELP</v>
      </c>
      <c r="G36" s="2" t="s">
        <v>349</v>
      </c>
      <c r="J36" s="70"/>
      <c r="K36" s="3" t="s">
        <v>70</v>
      </c>
      <c r="L36" s="25" t="s">
        <v>106</v>
      </c>
      <c r="M36" s="26" t="s">
        <v>108</v>
      </c>
      <c r="N36" s="2" t="s">
        <v>523</v>
      </c>
      <c r="O36" s="2" t="s">
        <v>59</v>
      </c>
      <c r="Q36" s="70" t="s">
        <v>42</v>
      </c>
      <c r="R36" s="2" t="s">
        <v>104</v>
      </c>
      <c r="S36" s="70">
        <v>2</v>
      </c>
      <c r="T36" s="70">
        <v>6</v>
      </c>
      <c r="U36" s="70">
        <v>4</v>
      </c>
      <c r="V36" s="2" t="s">
        <v>31</v>
      </c>
      <c r="W36" s="2" t="s">
        <v>74</v>
      </c>
      <c r="X36" s="2" t="s">
        <v>67</v>
      </c>
      <c r="Y36" s="2" t="s">
        <v>65</v>
      </c>
      <c r="Z36" s="2">
        <v>13000</v>
      </c>
      <c r="AA36" s="29"/>
      <c r="AB36" s="47">
        <v>933081</v>
      </c>
      <c r="AC36" s="28" t="s">
        <v>461</v>
      </c>
      <c r="AE36" s="2">
        <v>103</v>
      </c>
      <c r="AL36" s="52"/>
    </row>
    <row r="37" spans="1:38" s="2" customFormat="1" ht="14.1" customHeight="1" x14ac:dyDescent="0.2">
      <c r="A37" s="66" t="s">
        <v>105</v>
      </c>
      <c r="B37" s="3" t="s">
        <v>43</v>
      </c>
      <c r="C37" s="52" t="s">
        <v>574</v>
      </c>
      <c r="D37" s="2" t="s">
        <v>39</v>
      </c>
      <c r="E37" s="70" t="s">
        <v>329</v>
      </c>
      <c r="F37" s="70" t="str">
        <f t="shared" si="3"/>
        <v>T8_STEP_2_HELP</v>
      </c>
      <c r="G37" s="2" t="s">
        <v>349</v>
      </c>
      <c r="J37" s="70"/>
      <c r="K37" s="3" t="s">
        <v>70</v>
      </c>
      <c r="L37" s="25" t="s">
        <v>106</v>
      </c>
      <c r="M37" s="26" t="s">
        <v>108</v>
      </c>
      <c r="N37" s="2" t="s">
        <v>523</v>
      </c>
      <c r="O37" s="2" t="s">
        <v>59</v>
      </c>
      <c r="Q37" s="70" t="s">
        <v>43</v>
      </c>
      <c r="R37" s="2" t="s">
        <v>104</v>
      </c>
      <c r="S37" s="70">
        <v>2</v>
      </c>
      <c r="T37" s="70">
        <v>6</v>
      </c>
      <c r="U37" s="70">
        <v>4</v>
      </c>
      <c r="V37" s="2" t="s">
        <v>31</v>
      </c>
      <c r="W37" s="2" t="s">
        <v>74</v>
      </c>
      <c r="X37" s="2" t="s">
        <v>67</v>
      </c>
      <c r="Y37" s="2" t="s">
        <v>65</v>
      </c>
      <c r="Z37" s="2">
        <v>14300</v>
      </c>
      <c r="AA37" s="29"/>
      <c r="AB37" s="47">
        <v>933082</v>
      </c>
      <c r="AC37" s="28" t="s">
        <v>462</v>
      </c>
      <c r="AE37" s="2">
        <v>103</v>
      </c>
      <c r="AL37" s="52"/>
    </row>
    <row r="38" spans="1:38" s="2" customFormat="1" ht="14.1" customHeight="1" x14ac:dyDescent="0.2">
      <c r="A38" s="66" t="s">
        <v>105</v>
      </c>
      <c r="B38" s="3" t="s">
        <v>44</v>
      </c>
      <c r="C38" s="52" t="s">
        <v>575</v>
      </c>
      <c r="D38" s="2" t="s">
        <v>39</v>
      </c>
      <c r="E38" s="70" t="s">
        <v>330</v>
      </c>
      <c r="F38" s="70" t="str">
        <f t="shared" si="3"/>
        <v>T8_STEP_3_HELP</v>
      </c>
      <c r="G38" s="2" t="s">
        <v>349</v>
      </c>
      <c r="J38" s="70"/>
      <c r="K38" s="3" t="s">
        <v>70</v>
      </c>
      <c r="L38" s="25" t="s">
        <v>106</v>
      </c>
      <c r="M38" s="26" t="s">
        <v>108</v>
      </c>
      <c r="N38" s="2" t="s">
        <v>523</v>
      </c>
      <c r="O38" s="2" t="s">
        <v>59</v>
      </c>
      <c r="Q38" s="70" t="s">
        <v>44</v>
      </c>
      <c r="R38" s="2" t="s">
        <v>104</v>
      </c>
      <c r="S38" s="70">
        <v>2</v>
      </c>
      <c r="T38" s="70">
        <v>6</v>
      </c>
      <c r="U38" s="70">
        <v>4</v>
      </c>
      <c r="V38" s="2" t="s">
        <v>31</v>
      </c>
      <c r="W38" s="2" t="s">
        <v>74</v>
      </c>
      <c r="X38" s="2" t="s">
        <v>67</v>
      </c>
      <c r="Y38" s="2" t="s">
        <v>65</v>
      </c>
      <c r="Z38" s="2">
        <v>15730</v>
      </c>
      <c r="AA38" s="29"/>
      <c r="AB38" s="47">
        <v>933083</v>
      </c>
      <c r="AC38" s="28" t="s">
        <v>463</v>
      </c>
      <c r="AE38" s="2">
        <v>103</v>
      </c>
      <c r="AL38" s="52"/>
    </row>
    <row r="39" spans="1:38" s="2" customFormat="1" ht="14.1" customHeight="1" x14ac:dyDescent="0.2">
      <c r="A39" s="66" t="s">
        <v>105</v>
      </c>
      <c r="B39" s="3" t="s">
        <v>45</v>
      </c>
      <c r="C39" s="52" t="s">
        <v>576</v>
      </c>
      <c r="D39" s="2" t="s">
        <v>39</v>
      </c>
      <c r="E39" s="70" t="s">
        <v>331</v>
      </c>
      <c r="F39" s="70" t="str">
        <f t="shared" si="3"/>
        <v>T8_STEP_4_HELP</v>
      </c>
      <c r="G39" s="2" t="s">
        <v>349</v>
      </c>
      <c r="J39" s="70"/>
      <c r="K39" s="3" t="s">
        <v>70</v>
      </c>
      <c r="L39" s="25" t="s">
        <v>106</v>
      </c>
      <c r="M39" s="26" t="s">
        <v>108</v>
      </c>
      <c r="N39" s="2" t="s">
        <v>523</v>
      </c>
      <c r="O39" s="2" t="s">
        <v>59</v>
      </c>
      <c r="Q39" s="70" t="s">
        <v>45</v>
      </c>
      <c r="R39" s="2" t="s">
        <v>104</v>
      </c>
      <c r="S39" s="70">
        <v>2</v>
      </c>
      <c r="T39" s="70">
        <v>6</v>
      </c>
      <c r="U39" s="70">
        <v>4</v>
      </c>
      <c r="V39" s="2" t="s">
        <v>31</v>
      </c>
      <c r="W39" s="2" t="s">
        <v>74</v>
      </c>
      <c r="X39" s="2" t="s">
        <v>67</v>
      </c>
      <c r="Y39" s="2" t="s">
        <v>65</v>
      </c>
      <c r="Z39" s="2">
        <v>17303</v>
      </c>
      <c r="AA39" s="29"/>
      <c r="AB39" s="47">
        <v>933084</v>
      </c>
      <c r="AC39" s="28" t="s">
        <v>464</v>
      </c>
      <c r="AE39" s="2">
        <v>103</v>
      </c>
      <c r="AL39" s="52"/>
    </row>
    <row r="40" spans="1:38" s="2" customFormat="1" ht="14.1" customHeight="1" x14ac:dyDescent="0.2">
      <c r="A40" s="66" t="s">
        <v>105</v>
      </c>
      <c r="B40" s="3" t="s">
        <v>46</v>
      </c>
      <c r="C40" s="52" t="s">
        <v>577</v>
      </c>
      <c r="D40" s="2" t="s">
        <v>39</v>
      </c>
      <c r="E40" s="70" t="s">
        <v>332</v>
      </c>
      <c r="F40" s="70" t="str">
        <f t="shared" si="3"/>
        <v>T8_STEP_5_HELP</v>
      </c>
      <c r="G40" s="2" t="s">
        <v>349</v>
      </c>
      <c r="J40" s="70"/>
      <c r="K40" s="3" t="s">
        <v>70</v>
      </c>
      <c r="L40" s="25" t="s">
        <v>106</v>
      </c>
      <c r="M40" s="26" t="s">
        <v>108</v>
      </c>
      <c r="N40" s="2" t="s">
        <v>523</v>
      </c>
      <c r="O40" s="2" t="s">
        <v>59</v>
      </c>
      <c r="Q40" s="70" t="s">
        <v>46</v>
      </c>
      <c r="R40" s="2" t="s">
        <v>104</v>
      </c>
      <c r="S40" s="70">
        <v>2</v>
      </c>
      <c r="T40" s="70">
        <v>6</v>
      </c>
      <c r="U40" s="70">
        <v>4</v>
      </c>
      <c r="V40" s="2" t="s">
        <v>31</v>
      </c>
      <c r="W40" s="2" t="s">
        <v>74</v>
      </c>
      <c r="X40" s="2" t="s">
        <v>67</v>
      </c>
      <c r="Y40" s="2" t="s">
        <v>65</v>
      </c>
      <c r="Z40" s="2">
        <v>19033</v>
      </c>
      <c r="AA40" s="29"/>
      <c r="AB40" s="47">
        <v>933085</v>
      </c>
      <c r="AC40" s="28" t="s">
        <v>465</v>
      </c>
      <c r="AE40" s="2">
        <v>103</v>
      </c>
      <c r="AL40" s="52"/>
    </row>
    <row r="41" spans="1:38" s="2" customFormat="1" ht="14.1" customHeight="1" x14ac:dyDescent="0.2">
      <c r="A41" s="66" t="s">
        <v>105</v>
      </c>
      <c r="B41" s="3" t="s">
        <v>47</v>
      </c>
      <c r="C41" s="52" t="s">
        <v>578</v>
      </c>
      <c r="D41" s="2" t="s">
        <v>39</v>
      </c>
      <c r="E41" s="70" t="s">
        <v>333</v>
      </c>
      <c r="F41" s="70" t="str">
        <f>E41&amp;"_HELP"</f>
        <v>T8_STEP_6_HELP</v>
      </c>
      <c r="G41" s="2" t="s">
        <v>349</v>
      </c>
      <c r="J41" s="70"/>
      <c r="K41" s="3" t="s">
        <v>70</v>
      </c>
      <c r="L41" s="25" t="s">
        <v>106</v>
      </c>
      <c r="M41" s="26" t="s">
        <v>108</v>
      </c>
      <c r="N41" s="2" t="s">
        <v>523</v>
      </c>
      <c r="O41" s="2" t="s">
        <v>59</v>
      </c>
      <c r="Q41" s="70" t="s">
        <v>47</v>
      </c>
      <c r="R41" s="2" t="s">
        <v>104</v>
      </c>
      <c r="S41" s="70">
        <v>2</v>
      </c>
      <c r="T41" s="70">
        <v>6</v>
      </c>
      <c r="U41" s="70">
        <v>4</v>
      </c>
      <c r="V41" s="2" t="s">
        <v>31</v>
      </c>
      <c r="W41" s="2" t="s">
        <v>74</v>
      </c>
      <c r="X41" s="2" t="s">
        <v>67</v>
      </c>
      <c r="Y41" s="2" t="s">
        <v>65</v>
      </c>
      <c r="Z41" s="2">
        <v>20936</v>
      </c>
      <c r="AA41" s="30"/>
      <c r="AB41" s="47">
        <v>933086</v>
      </c>
      <c r="AC41" s="28" t="s">
        <v>466</v>
      </c>
      <c r="AE41" s="2">
        <v>103</v>
      </c>
      <c r="AL41" s="52"/>
    </row>
    <row r="42" spans="1:38" s="2" customFormat="1" ht="14.1" customHeight="1" x14ac:dyDescent="0.2">
      <c r="A42" s="66" t="s">
        <v>105</v>
      </c>
      <c r="B42" s="3" t="s">
        <v>48</v>
      </c>
      <c r="C42" s="52" t="s">
        <v>579</v>
      </c>
      <c r="D42" s="2" t="s">
        <v>39</v>
      </c>
      <c r="E42" s="70" t="s">
        <v>334</v>
      </c>
      <c r="F42" s="70" t="str">
        <f t="shared" ref="F42:F45" si="4">E42&amp;"_HELP"</f>
        <v>T8_STEP_7_HELP</v>
      </c>
      <c r="G42" s="2" t="s">
        <v>349</v>
      </c>
      <c r="J42" s="70"/>
      <c r="K42" s="3" t="s">
        <v>70</v>
      </c>
      <c r="L42" s="25" t="s">
        <v>106</v>
      </c>
      <c r="M42" s="26" t="s">
        <v>108</v>
      </c>
      <c r="N42" s="2" t="s">
        <v>523</v>
      </c>
      <c r="O42" s="2" t="s">
        <v>59</v>
      </c>
      <c r="Q42" s="70" t="s">
        <v>48</v>
      </c>
      <c r="R42" s="2" t="s">
        <v>104</v>
      </c>
      <c r="S42" s="70">
        <v>2</v>
      </c>
      <c r="T42" s="70">
        <v>6</v>
      </c>
      <c r="U42" s="70">
        <v>4</v>
      </c>
      <c r="V42" s="2" t="s">
        <v>31</v>
      </c>
      <c r="W42" s="2" t="s">
        <v>74</v>
      </c>
      <c r="X42" s="2" t="s">
        <v>67</v>
      </c>
      <c r="Y42" s="2" t="s">
        <v>65</v>
      </c>
      <c r="Z42" s="2">
        <v>23029</v>
      </c>
      <c r="AA42" s="30"/>
      <c r="AB42" s="47">
        <v>933087</v>
      </c>
      <c r="AC42" s="28" t="s">
        <v>467</v>
      </c>
      <c r="AE42" s="2">
        <v>103</v>
      </c>
      <c r="AL42" s="52"/>
    </row>
    <row r="43" spans="1:38" s="2" customFormat="1" ht="14.1" customHeight="1" x14ac:dyDescent="0.2">
      <c r="A43" s="66" t="s">
        <v>105</v>
      </c>
      <c r="B43" s="3" t="s">
        <v>49</v>
      </c>
      <c r="C43" s="52" t="s">
        <v>580</v>
      </c>
      <c r="D43" s="2" t="s">
        <v>39</v>
      </c>
      <c r="E43" s="70" t="s">
        <v>335</v>
      </c>
      <c r="F43" s="70" t="str">
        <f t="shared" si="4"/>
        <v>T8_STEP_8_HELP</v>
      </c>
      <c r="G43" s="2" t="s">
        <v>349</v>
      </c>
      <c r="J43" s="70"/>
      <c r="K43" s="3" t="s">
        <v>70</v>
      </c>
      <c r="L43" s="25" t="s">
        <v>106</v>
      </c>
      <c r="M43" s="26" t="s">
        <v>108</v>
      </c>
      <c r="N43" s="2" t="s">
        <v>523</v>
      </c>
      <c r="O43" s="2" t="s">
        <v>59</v>
      </c>
      <c r="Q43" s="70" t="s">
        <v>49</v>
      </c>
      <c r="R43" s="2" t="s">
        <v>104</v>
      </c>
      <c r="S43" s="70">
        <v>2</v>
      </c>
      <c r="T43" s="70">
        <v>6</v>
      </c>
      <c r="U43" s="70">
        <v>4</v>
      </c>
      <c r="V43" s="2" t="s">
        <v>31</v>
      </c>
      <c r="W43" s="2" t="s">
        <v>74</v>
      </c>
      <c r="X43" s="2" t="s">
        <v>67</v>
      </c>
      <c r="Y43" s="2" t="s">
        <v>65</v>
      </c>
      <c r="Z43" s="2">
        <v>25331</v>
      </c>
      <c r="AA43" s="30"/>
      <c r="AB43" s="47">
        <v>933088</v>
      </c>
      <c r="AC43" s="28" t="s">
        <v>468</v>
      </c>
      <c r="AE43" s="2">
        <v>103</v>
      </c>
      <c r="AL43" s="52"/>
    </row>
    <row r="44" spans="1:38" s="2" customFormat="1" ht="14.1" customHeight="1" x14ac:dyDescent="0.2">
      <c r="A44" s="66" t="s">
        <v>105</v>
      </c>
      <c r="B44" s="3" t="s">
        <v>50</v>
      </c>
      <c r="C44" s="52" t="s">
        <v>581</v>
      </c>
      <c r="D44" s="2" t="s">
        <v>39</v>
      </c>
      <c r="E44" s="70" t="s">
        <v>336</v>
      </c>
      <c r="F44" s="70" t="str">
        <f t="shared" si="4"/>
        <v>T8_STEP_9_HELP</v>
      </c>
      <c r="G44" s="2" t="s">
        <v>349</v>
      </c>
      <c r="J44" s="70"/>
      <c r="K44" s="3" t="s">
        <v>70</v>
      </c>
      <c r="L44" s="25" t="s">
        <v>106</v>
      </c>
      <c r="M44" s="26" t="s">
        <v>108</v>
      </c>
      <c r="N44" s="2" t="s">
        <v>523</v>
      </c>
      <c r="O44" s="2" t="s">
        <v>59</v>
      </c>
      <c r="Q44" s="70" t="s">
        <v>50</v>
      </c>
      <c r="R44" s="2" t="s">
        <v>104</v>
      </c>
      <c r="S44" s="70">
        <v>2</v>
      </c>
      <c r="T44" s="70">
        <v>6</v>
      </c>
      <c r="U44" s="70">
        <v>4</v>
      </c>
      <c r="V44" s="2" t="s">
        <v>31</v>
      </c>
      <c r="W44" s="2" t="s">
        <v>74</v>
      </c>
      <c r="X44" s="2" t="s">
        <v>67</v>
      </c>
      <c r="Y44" s="2" t="s">
        <v>65</v>
      </c>
      <c r="Z44" s="2">
        <v>27864</v>
      </c>
      <c r="AA44" s="30"/>
      <c r="AB44" s="47">
        <v>933089</v>
      </c>
      <c r="AC44" s="28" t="s">
        <v>469</v>
      </c>
      <c r="AE44" s="2">
        <v>103</v>
      </c>
      <c r="AL44" s="52"/>
    </row>
    <row r="45" spans="1:38" s="2" customFormat="1" ht="14.1" customHeight="1" x14ac:dyDescent="0.2">
      <c r="A45" s="66" t="s">
        <v>105</v>
      </c>
      <c r="B45" s="3" t="s">
        <v>51</v>
      </c>
      <c r="C45" s="52" t="s">
        <v>582</v>
      </c>
      <c r="D45" s="2" t="s">
        <v>39</v>
      </c>
      <c r="E45" s="70" t="s">
        <v>337</v>
      </c>
      <c r="F45" s="70" t="str">
        <f t="shared" si="4"/>
        <v>T8_STEP_10_HELP</v>
      </c>
      <c r="G45" s="2" t="s">
        <v>349</v>
      </c>
      <c r="J45" s="70"/>
      <c r="K45" s="3" t="s">
        <v>70</v>
      </c>
      <c r="L45" s="25" t="s">
        <v>106</v>
      </c>
      <c r="M45" s="26" t="s">
        <v>108</v>
      </c>
      <c r="N45" s="2" t="s">
        <v>523</v>
      </c>
      <c r="O45" s="2" t="s">
        <v>59</v>
      </c>
      <c r="Q45" s="70" t="s">
        <v>51</v>
      </c>
      <c r="R45" s="2" t="s">
        <v>104</v>
      </c>
      <c r="S45" s="70">
        <v>2</v>
      </c>
      <c r="T45" s="70">
        <v>6</v>
      </c>
      <c r="U45" s="70">
        <v>4</v>
      </c>
      <c r="V45" s="2" t="s">
        <v>31</v>
      </c>
      <c r="W45" s="2" t="s">
        <v>74</v>
      </c>
      <c r="X45" s="2" t="s">
        <v>67</v>
      </c>
      <c r="Y45" s="2" t="s">
        <v>65</v>
      </c>
      <c r="Z45" s="2">
        <v>30650</v>
      </c>
      <c r="AA45" s="30"/>
      <c r="AB45" s="47">
        <v>933090</v>
      </c>
      <c r="AC45" s="28" t="s">
        <v>470</v>
      </c>
      <c r="AE45" s="2">
        <v>103</v>
      </c>
      <c r="AL45" s="52"/>
    </row>
    <row r="46" spans="1:38" s="2" customFormat="1" ht="14.1" customHeight="1" x14ac:dyDescent="0.2">
      <c r="A46" s="66" t="s">
        <v>85</v>
      </c>
      <c r="B46" s="3" t="s">
        <v>38</v>
      </c>
      <c r="C46" s="52" t="s">
        <v>583</v>
      </c>
      <c r="D46" s="2" t="s">
        <v>21</v>
      </c>
      <c r="E46" s="70" t="s">
        <v>324</v>
      </c>
      <c r="F46" s="70" t="str">
        <f t="shared" ref="F46:F54" si="5">E46&amp;"_HELP"</f>
        <v>T6_STEP_1_HELP</v>
      </c>
      <c r="G46" s="2" t="s">
        <v>349</v>
      </c>
      <c r="I46" s="2" t="s">
        <v>133</v>
      </c>
      <c r="J46" s="70"/>
      <c r="K46" s="3" t="s">
        <v>77</v>
      </c>
      <c r="L46" s="25" t="s">
        <v>99</v>
      </c>
      <c r="M46" s="3" t="s">
        <v>102</v>
      </c>
      <c r="N46" s="2" t="s">
        <v>523</v>
      </c>
      <c r="O46" s="2" t="s">
        <v>78</v>
      </c>
      <c r="Q46" s="70" t="s">
        <v>38</v>
      </c>
      <c r="R46" s="2" t="s">
        <v>87</v>
      </c>
      <c r="S46" s="70">
        <v>2</v>
      </c>
      <c r="T46" s="70">
        <v>6</v>
      </c>
      <c r="U46" s="70">
        <v>4</v>
      </c>
      <c r="V46" s="2" t="s">
        <v>81</v>
      </c>
      <c r="W46" s="2" t="s">
        <v>82</v>
      </c>
      <c r="X46" s="2" t="s">
        <v>83</v>
      </c>
      <c r="Y46" s="2" t="s">
        <v>84</v>
      </c>
      <c r="Z46" s="2" t="s">
        <v>425</v>
      </c>
      <c r="AA46" s="29"/>
      <c r="AB46" s="48" t="s">
        <v>398</v>
      </c>
      <c r="AC46" s="28" t="s">
        <v>412</v>
      </c>
      <c r="AE46" s="2">
        <v>104</v>
      </c>
      <c r="AL46" s="52"/>
    </row>
    <row r="47" spans="1:38" s="2" customFormat="1" ht="14.1" customHeight="1" x14ac:dyDescent="0.2">
      <c r="A47" s="66" t="s">
        <v>85</v>
      </c>
      <c r="B47" s="3" t="s">
        <v>39</v>
      </c>
      <c r="C47" s="52" t="s">
        <v>584</v>
      </c>
      <c r="D47" s="2" t="s">
        <v>21</v>
      </c>
      <c r="E47" s="70" t="s">
        <v>325</v>
      </c>
      <c r="F47" s="70" t="str">
        <f t="shared" si="5"/>
        <v>T6_STEP_2_HELP</v>
      </c>
      <c r="G47" s="2" t="s">
        <v>349</v>
      </c>
      <c r="J47" s="70"/>
      <c r="K47" s="3" t="s">
        <v>77</v>
      </c>
      <c r="L47" s="25" t="s">
        <v>99</v>
      </c>
      <c r="M47" s="3" t="s">
        <v>102</v>
      </c>
      <c r="N47" s="2" t="s">
        <v>523</v>
      </c>
      <c r="O47" s="2" t="s">
        <v>78</v>
      </c>
      <c r="Q47" s="70" t="s">
        <v>39</v>
      </c>
      <c r="R47" s="2" t="s">
        <v>87</v>
      </c>
      <c r="S47" s="70">
        <v>2</v>
      </c>
      <c r="T47" s="70">
        <v>6</v>
      </c>
      <c r="U47" s="70">
        <v>4</v>
      </c>
      <c r="V47" s="2" t="s">
        <v>81</v>
      </c>
      <c r="W47" s="2" t="s">
        <v>82</v>
      </c>
      <c r="X47" s="2" t="s">
        <v>83</v>
      </c>
      <c r="Y47" s="2" t="s">
        <v>84</v>
      </c>
      <c r="Z47" s="2" t="s">
        <v>427</v>
      </c>
      <c r="AA47" s="29"/>
      <c r="AB47" s="48" t="s">
        <v>399</v>
      </c>
      <c r="AC47" s="28" t="s">
        <v>412</v>
      </c>
      <c r="AE47" s="2">
        <v>104</v>
      </c>
      <c r="AL47" s="52"/>
    </row>
    <row r="48" spans="1:38" s="2" customFormat="1" ht="14.1" customHeight="1" x14ac:dyDescent="0.2">
      <c r="A48" s="66" t="s">
        <v>85</v>
      </c>
      <c r="B48" s="3" t="s">
        <v>40</v>
      </c>
      <c r="C48" s="52" t="s">
        <v>585</v>
      </c>
      <c r="D48" s="2" t="s">
        <v>38</v>
      </c>
      <c r="E48" s="70" t="s">
        <v>326</v>
      </c>
      <c r="F48" s="70" t="str">
        <f t="shared" si="5"/>
        <v>T7_STEP_1_HELP</v>
      </c>
      <c r="G48" s="2" t="s">
        <v>349</v>
      </c>
      <c r="J48" s="70"/>
      <c r="K48" s="3" t="s">
        <v>77</v>
      </c>
      <c r="L48" s="25" t="s">
        <v>99</v>
      </c>
      <c r="M48" s="3" t="s">
        <v>102</v>
      </c>
      <c r="N48" s="2" t="s">
        <v>523</v>
      </c>
      <c r="O48" s="2" t="s">
        <v>78</v>
      </c>
      <c r="Q48" s="70" t="s">
        <v>40</v>
      </c>
      <c r="R48" s="2" t="s">
        <v>87</v>
      </c>
      <c r="S48" s="70">
        <v>2</v>
      </c>
      <c r="T48" s="70">
        <v>6</v>
      </c>
      <c r="U48" s="70">
        <v>4</v>
      </c>
      <c r="V48" s="2" t="s">
        <v>81</v>
      </c>
      <c r="W48" s="2" t="s">
        <v>82</v>
      </c>
      <c r="X48" s="2" t="s">
        <v>83</v>
      </c>
      <c r="Y48" s="2" t="s">
        <v>84</v>
      </c>
      <c r="Z48" s="2" t="s">
        <v>426</v>
      </c>
      <c r="AA48" s="29"/>
      <c r="AB48" s="48" t="s">
        <v>400</v>
      </c>
      <c r="AC48" s="28" t="s">
        <v>413</v>
      </c>
      <c r="AE48" s="2">
        <v>104</v>
      </c>
      <c r="AL48" s="52"/>
    </row>
    <row r="49" spans="1:38" s="2" customFormat="1" ht="14.1" customHeight="1" x14ac:dyDescent="0.2">
      <c r="A49" s="66" t="s">
        <v>85</v>
      </c>
      <c r="B49" s="3" t="s">
        <v>41</v>
      </c>
      <c r="C49" s="52" t="s">
        <v>586</v>
      </c>
      <c r="D49" s="2" t="s">
        <v>38</v>
      </c>
      <c r="E49" s="70" t="s">
        <v>327</v>
      </c>
      <c r="F49" s="70" t="str">
        <f t="shared" si="5"/>
        <v>T7_STEP_2_HELP</v>
      </c>
      <c r="G49" s="2" t="s">
        <v>349</v>
      </c>
      <c r="J49" s="70"/>
      <c r="K49" s="3" t="s">
        <v>77</v>
      </c>
      <c r="L49" s="25" t="s">
        <v>99</v>
      </c>
      <c r="M49" s="3" t="s">
        <v>102</v>
      </c>
      <c r="N49" s="2" t="s">
        <v>523</v>
      </c>
      <c r="O49" s="2" t="s">
        <v>78</v>
      </c>
      <c r="Q49" s="70" t="s">
        <v>41</v>
      </c>
      <c r="R49" s="2" t="s">
        <v>87</v>
      </c>
      <c r="S49" s="70">
        <v>2</v>
      </c>
      <c r="T49" s="70">
        <v>6</v>
      </c>
      <c r="U49" s="70">
        <v>4</v>
      </c>
      <c r="V49" s="2" t="s">
        <v>81</v>
      </c>
      <c r="W49" s="2" t="s">
        <v>82</v>
      </c>
      <c r="X49" s="2" t="s">
        <v>83</v>
      </c>
      <c r="Y49" s="2" t="s">
        <v>84</v>
      </c>
      <c r="Z49" s="2" t="s">
        <v>428</v>
      </c>
      <c r="AA49" s="29"/>
      <c r="AB49" s="48" t="s">
        <v>401</v>
      </c>
      <c r="AC49" s="28" t="s">
        <v>414</v>
      </c>
      <c r="AE49" s="2">
        <v>104</v>
      </c>
      <c r="AL49" s="52"/>
    </row>
    <row r="50" spans="1:38" s="2" customFormat="1" ht="14.1" customHeight="1" x14ac:dyDescent="0.2">
      <c r="A50" s="66" t="s">
        <v>85</v>
      </c>
      <c r="B50" s="3" t="s">
        <v>42</v>
      </c>
      <c r="C50" s="52" t="s">
        <v>587</v>
      </c>
      <c r="D50" s="2" t="s">
        <v>39</v>
      </c>
      <c r="E50" s="70" t="s">
        <v>328</v>
      </c>
      <c r="F50" s="70" t="str">
        <f t="shared" si="5"/>
        <v>T8_STEP_1_HELP</v>
      </c>
      <c r="G50" s="2" t="s">
        <v>349</v>
      </c>
      <c r="J50" s="70"/>
      <c r="K50" s="3" t="s">
        <v>77</v>
      </c>
      <c r="L50" s="25" t="s">
        <v>99</v>
      </c>
      <c r="M50" s="3" t="s">
        <v>102</v>
      </c>
      <c r="N50" s="2" t="s">
        <v>523</v>
      </c>
      <c r="O50" s="2" t="s">
        <v>78</v>
      </c>
      <c r="Q50" s="70" t="s">
        <v>42</v>
      </c>
      <c r="R50" s="2" t="s">
        <v>87</v>
      </c>
      <c r="S50" s="70">
        <v>2</v>
      </c>
      <c r="T50" s="70">
        <v>6</v>
      </c>
      <c r="U50" s="70">
        <v>4</v>
      </c>
      <c r="V50" s="2" t="s">
        <v>81</v>
      </c>
      <c r="W50" s="2" t="s">
        <v>82</v>
      </c>
      <c r="X50" s="2" t="s">
        <v>83</v>
      </c>
      <c r="Y50" s="2" t="s">
        <v>84</v>
      </c>
      <c r="Z50" s="2">
        <v>13000</v>
      </c>
      <c r="AA50" s="29"/>
      <c r="AB50" s="48" t="s">
        <v>402</v>
      </c>
      <c r="AC50" s="28" t="s">
        <v>415</v>
      </c>
      <c r="AE50" s="2">
        <v>104</v>
      </c>
      <c r="AL50" s="52"/>
    </row>
    <row r="51" spans="1:38" s="2" customFormat="1" ht="14.1" customHeight="1" x14ac:dyDescent="0.2">
      <c r="A51" s="66" t="s">
        <v>85</v>
      </c>
      <c r="B51" s="3" t="s">
        <v>43</v>
      </c>
      <c r="C51" s="52" t="s">
        <v>588</v>
      </c>
      <c r="D51" s="2" t="s">
        <v>39</v>
      </c>
      <c r="E51" s="70" t="s">
        <v>329</v>
      </c>
      <c r="F51" s="70" t="str">
        <f t="shared" si="5"/>
        <v>T8_STEP_2_HELP</v>
      </c>
      <c r="G51" s="2" t="s">
        <v>349</v>
      </c>
      <c r="J51" s="70"/>
      <c r="K51" s="3" t="s">
        <v>77</v>
      </c>
      <c r="L51" s="25" t="s">
        <v>99</v>
      </c>
      <c r="M51" s="3" t="s">
        <v>102</v>
      </c>
      <c r="N51" s="2" t="s">
        <v>523</v>
      </c>
      <c r="O51" s="2" t="s">
        <v>78</v>
      </c>
      <c r="Q51" s="70" t="s">
        <v>43</v>
      </c>
      <c r="R51" s="2" t="s">
        <v>87</v>
      </c>
      <c r="S51" s="70">
        <v>2</v>
      </c>
      <c r="T51" s="70">
        <v>6</v>
      </c>
      <c r="U51" s="70">
        <v>4</v>
      </c>
      <c r="V51" s="2" t="s">
        <v>81</v>
      </c>
      <c r="W51" s="2" t="s">
        <v>82</v>
      </c>
      <c r="X51" s="2" t="s">
        <v>83</v>
      </c>
      <c r="Y51" s="2" t="s">
        <v>84</v>
      </c>
      <c r="Z51" s="2">
        <v>14300</v>
      </c>
      <c r="AA51" s="29"/>
      <c r="AB51" s="48" t="s">
        <v>403</v>
      </c>
      <c r="AC51" s="28" t="s">
        <v>416</v>
      </c>
      <c r="AE51" s="2">
        <v>104</v>
      </c>
      <c r="AL51" s="52"/>
    </row>
    <row r="52" spans="1:38" s="2" customFormat="1" ht="14.1" customHeight="1" x14ac:dyDescent="0.2">
      <c r="A52" s="66" t="s">
        <v>85</v>
      </c>
      <c r="B52" s="3" t="s">
        <v>44</v>
      </c>
      <c r="C52" s="52" t="s">
        <v>589</v>
      </c>
      <c r="D52" s="2" t="s">
        <v>39</v>
      </c>
      <c r="E52" s="70" t="s">
        <v>330</v>
      </c>
      <c r="F52" s="70" t="str">
        <f t="shared" si="5"/>
        <v>T8_STEP_3_HELP</v>
      </c>
      <c r="G52" s="2" t="s">
        <v>349</v>
      </c>
      <c r="J52" s="70"/>
      <c r="K52" s="3" t="s">
        <v>77</v>
      </c>
      <c r="L52" s="25" t="s">
        <v>99</v>
      </c>
      <c r="M52" s="3" t="s">
        <v>102</v>
      </c>
      <c r="N52" s="2" t="s">
        <v>523</v>
      </c>
      <c r="O52" s="2" t="s">
        <v>78</v>
      </c>
      <c r="Q52" s="70" t="s">
        <v>44</v>
      </c>
      <c r="R52" s="2" t="s">
        <v>87</v>
      </c>
      <c r="S52" s="70">
        <v>2</v>
      </c>
      <c r="T52" s="70">
        <v>6</v>
      </c>
      <c r="U52" s="70">
        <v>4</v>
      </c>
      <c r="V52" s="2" t="s">
        <v>81</v>
      </c>
      <c r="W52" s="2" t="s">
        <v>82</v>
      </c>
      <c r="X52" s="2" t="s">
        <v>83</v>
      </c>
      <c r="Y52" s="2" t="s">
        <v>84</v>
      </c>
      <c r="Z52" s="2">
        <v>15730</v>
      </c>
      <c r="AA52" s="29"/>
      <c r="AB52" s="48" t="s">
        <v>404</v>
      </c>
      <c r="AC52" s="28" t="s">
        <v>417</v>
      </c>
      <c r="AE52" s="2">
        <v>104</v>
      </c>
      <c r="AL52" s="52"/>
    </row>
    <row r="53" spans="1:38" s="2" customFormat="1" ht="14.1" customHeight="1" x14ac:dyDescent="0.2">
      <c r="A53" s="66" t="s">
        <v>85</v>
      </c>
      <c r="B53" s="3" t="s">
        <v>45</v>
      </c>
      <c r="C53" s="52" t="s">
        <v>590</v>
      </c>
      <c r="D53" s="2" t="s">
        <v>39</v>
      </c>
      <c r="E53" s="70" t="s">
        <v>331</v>
      </c>
      <c r="F53" s="70" t="str">
        <f t="shared" si="5"/>
        <v>T8_STEP_4_HELP</v>
      </c>
      <c r="G53" s="2" t="s">
        <v>349</v>
      </c>
      <c r="J53" s="70"/>
      <c r="K53" s="3" t="s">
        <v>77</v>
      </c>
      <c r="L53" s="25" t="s">
        <v>99</v>
      </c>
      <c r="M53" s="3" t="s">
        <v>102</v>
      </c>
      <c r="N53" s="2" t="s">
        <v>523</v>
      </c>
      <c r="O53" s="2" t="s">
        <v>78</v>
      </c>
      <c r="Q53" s="70" t="s">
        <v>45</v>
      </c>
      <c r="R53" s="2" t="s">
        <v>87</v>
      </c>
      <c r="S53" s="70">
        <v>2</v>
      </c>
      <c r="T53" s="70">
        <v>6</v>
      </c>
      <c r="U53" s="70">
        <v>4</v>
      </c>
      <c r="V53" s="2" t="s">
        <v>81</v>
      </c>
      <c r="W53" s="2" t="s">
        <v>82</v>
      </c>
      <c r="X53" s="2" t="s">
        <v>83</v>
      </c>
      <c r="Y53" s="2" t="s">
        <v>84</v>
      </c>
      <c r="Z53" s="2">
        <v>17303</v>
      </c>
      <c r="AA53" s="29"/>
      <c r="AB53" s="48" t="s">
        <v>405</v>
      </c>
      <c r="AC53" s="28" t="s">
        <v>418</v>
      </c>
      <c r="AE53" s="2">
        <v>104</v>
      </c>
      <c r="AL53" s="52"/>
    </row>
    <row r="54" spans="1:38" s="2" customFormat="1" ht="14.1" customHeight="1" x14ac:dyDescent="0.2">
      <c r="A54" s="66" t="s">
        <v>85</v>
      </c>
      <c r="B54" s="3" t="s">
        <v>46</v>
      </c>
      <c r="C54" s="52" t="s">
        <v>591</v>
      </c>
      <c r="D54" s="2" t="s">
        <v>39</v>
      </c>
      <c r="E54" s="70" t="s">
        <v>332</v>
      </c>
      <c r="F54" s="70" t="str">
        <f t="shared" si="5"/>
        <v>T8_STEP_5_HELP</v>
      </c>
      <c r="G54" s="2" t="s">
        <v>349</v>
      </c>
      <c r="J54" s="70"/>
      <c r="K54" s="3" t="s">
        <v>77</v>
      </c>
      <c r="L54" s="25" t="s">
        <v>99</v>
      </c>
      <c r="M54" s="3" t="s">
        <v>102</v>
      </c>
      <c r="N54" s="2" t="s">
        <v>523</v>
      </c>
      <c r="O54" s="2" t="s">
        <v>78</v>
      </c>
      <c r="Q54" s="70" t="s">
        <v>46</v>
      </c>
      <c r="R54" s="2" t="s">
        <v>87</v>
      </c>
      <c r="S54" s="70">
        <v>2</v>
      </c>
      <c r="T54" s="70">
        <v>6</v>
      </c>
      <c r="U54" s="70">
        <v>4</v>
      </c>
      <c r="V54" s="2" t="s">
        <v>81</v>
      </c>
      <c r="W54" s="2" t="s">
        <v>82</v>
      </c>
      <c r="X54" s="2" t="s">
        <v>83</v>
      </c>
      <c r="Y54" s="2" t="s">
        <v>84</v>
      </c>
      <c r="Z54" s="2">
        <v>19033</v>
      </c>
      <c r="AA54" s="29"/>
      <c r="AB54" s="48" t="s">
        <v>406</v>
      </c>
      <c r="AC54" s="28" t="s">
        <v>419</v>
      </c>
      <c r="AE54" s="2">
        <v>104</v>
      </c>
      <c r="AL54" s="52"/>
    </row>
    <row r="55" spans="1:38" s="2" customFormat="1" ht="14.1" customHeight="1" x14ac:dyDescent="0.2">
      <c r="A55" s="66" t="s">
        <v>85</v>
      </c>
      <c r="B55" s="3" t="s">
        <v>47</v>
      </c>
      <c r="C55" s="52" t="s">
        <v>592</v>
      </c>
      <c r="D55" s="2" t="s">
        <v>39</v>
      </c>
      <c r="E55" s="70" t="s">
        <v>333</v>
      </c>
      <c r="F55" s="70" t="str">
        <f>E55&amp;"_HELP"</f>
        <v>T8_STEP_6_HELP</v>
      </c>
      <c r="G55" s="2" t="s">
        <v>349</v>
      </c>
      <c r="J55" s="70"/>
      <c r="K55" s="3" t="s">
        <v>77</v>
      </c>
      <c r="L55" s="25" t="s">
        <v>99</v>
      </c>
      <c r="M55" s="3" t="s">
        <v>102</v>
      </c>
      <c r="N55" s="2" t="s">
        <v>523</v>
      </c>
      <c r="O55" s="2" t="s">
        <v>78</v>
      </c>
      <c r="Q55" s="70" t="s">
        <v>47</v>
      </c>
      <c r="R55" s="2" t="s">
        <v>87</v>
      </c>
      <c r="S55" s="70">
        <v>2</v>
      </c>
      <c r="T55" s="70">
        <v>6</v>
      </c>
      <c r="U55" s="70">
        <v>4</v>
      </c>
      <c r="V55" s="2" t="s">
        <v>81</v>
      </c>
      <c r="W55" s="2" t="s">
        <v>82</v>
      </c>
      <c r="X55" s="2" t="s">
        <v>83</v>
      </c>
      <c r="Y55" s="2" t="s">
        <v>84</v>
      </c>
      <c r="Z55" s="2">
        <v>20936</v>
      </c>
      <c r="AA55" s="30"/>
      <c r="AB55" s="48" t="s">
        <v>407</v>
      </c>
      <c r="AC55" s="28" t="s">
        <v>420</v>
      </c>
      <c r="AE55" s="2">
        <v>104</v>
      </c>
      <c r="AL55" s="52"/>
    </row>
    <row r="56" spans="1:38" s="2" customFormat="1" ht="14.1" customHeight="1" x14ac:dyDescent="0.2">
      <c r="A56" s="66" t="s">
        <v>85</v>
      </c>
      <c r="B56" s="3" t="s">
        <v>48</v>
      </c>
      <c r="C56" s="52" t="s">
        <v>593</v>
      </c>
      <c r="D56" s="2" t="s">
        <v>39</v>
      </c>
      <c r="E56" s="70" t="s">
        <v>334</v>
      </c>
      <c r="F56" s="70" t="str">
        <f t="shared" ref="F56:F59" si="6">E56&amp;"_HELP"</f>
        <v>T8_STEP_7_HELP</v>
      </c>
      <c r="G56" s="2" t="s">
        <v>349</v>
      </c>
      <c r="J56" s="70"/>
      <c r="K56" s="3" t="s">
        <v>77</v>
      </c>
      <c r="L56" s="25" t="s">
        <v>99</v>
      </c>
      <c r="M56" s="3" t="s">
        <v>102</v>
      </c>
      <c r="N56" s="2" t="s">
        <v>523</v>
      </c>
      <c r="O56" s="2" t="s">
        <v>78</v>
      </c>
      <c r="Q56" s="70" t="s">
        <v>48</v>
      </c>
      <c r="R56" s="2" t="s">
        <v>87</v>
      </c>
      <c r="S56" s="70">
        <v>2</v>
      </c>
      <c r="T56" s="70">
        <v>6</v>
      </c>
      <c r="U56" s="70">
        <v>4</v>
      </c>
      <c r="V56" s="2" t="s">
        <v>81</v>
      </c>
      <c r="W56" s="2" t="s">
        <v>82</v>
      </c>
      <c r="X56" s="2" t="s">
        <v>83</v>
      </c>
      <c r="Y56" s="2" t="s">
        <v>84</v>
      </c>
      <c r="Z56" s="2">
        <v>23029</v>
      </c>
      <c r="AA56" s="30"/>
      <c r="AB56" s="48" t="s">
        <v>408</v>
      </c>
      <c r="AC56" s="28" t="s">
        <v>421</v>
      </c>
      <c r="AE56" s="2">
        <v>104</v>
      </c>
      <c r="AL56" s="52"/>
    </row>
    <row r="57" spans="1:38" s="2" customFormat="1" ht="14.1" customHeight="1" x14ac:dyDescent="0.2">
      <c r="A57" s="66" t="s">
        <v>85</v>
      </c>
      <c r="B57" s="3" t="s">
        <v>49</v>
      </c>
      <c r="C57" s="52" t="s">
        <v>594</v>
      </c>
      <c r="D57" s="2" t="s">
        <v>39</v>
      </c>
      <c r="E57" s="70" t="s">
        <v>335</v>
      </c>
      <c r="F57" s="70" t="str">
        <f t="shared" si="6"/>
        <v>T8_STEP_8_HELP</v>
      </c>
      <c r="G57" s="2" t="s">
        <v>349</v>
      </c>
      <c r="J57" s="70"/>
      <c r="K57" s="3" t="s">
        <v>77</v>
      </c>
      <c r="L57" s="25" t="s">
        <v>99</v>
      </c>
      <c r="M57" s="3" t="s">
        <v>102</v>
      </c>
      <c r="N57" s="2" t="s">
        <v>523</v>
      </c>
      <c r="O57" s="2" t="s">
        <v>78</v>
      </c>
      <c r="Q57" s="70" t="s">
        <v>49</v>
      </c>
      <c r="R57" s="2" t="s">
        <v>87</v>
      </c>
      <c r="S57" s="70">
        <v>2</v>
      </c>
      <c r="T57" s="70">
        <v>6</v>
      </c>
      <c r="U57" s="70">
        <v>4</v>
      </c>
      <c r="V57" s="2" t="s">
        <v>81</v>
      </c>
      <c r="W57" s="2" t="s">
        <v>82</v>
      </c>
      <c r="X57" s="2" t="s">
        <v>83</v>
      </c>
      <c r="Y57" s="2" t="s">
        <v>84</v>
      </c>
      <c r="Z57" s="2">
        <v>25331</v>
      </c>
      <c r="AA57" s="30"/>
      <c r="AB57" s="48" t="s">
        <v>409</v>
      </c>
      <c r="AC57" s="28" t="s">
        <v>422</v>
      </c>
      <c r="AE57" s="2">
        <v>104</v>
      </c>
      <c r="AL57" s="52"/>
    </row>
    <row r="58" spans="1:38" s="2" customFormat="1" ht="14.1" customHeight="1" x14ac:dyDescent="0.2">
      <c r="A58" s="66" t="s">
        <v>85</v>
      </c>
      <c r="B58" s="3" t="s">
        <v>50</v>
      </c>
      <c r="C58" s="52" t="s">
        <v>595</v>
      </c>
      <c r="D58" s="2" t="s">
        <v>39</v>
      </c>
      <c r="E58" s="70" t="s">
        <v>336</v>
      </c>
      <c r="F58" s="70" t="str">
        <f t="shared" si="6"/>
        <v>T8_STEP_9_HELP</v>
      </c>
      <c r="G58" s="2" t="s">
        <v>349</v>
      </c>
      <c r="J58" s="70"/>
      <c r="K58" s="3" t="s">
        <v>77</v>
      </c>
      <c r="L58" s="25" t="s">
        <v>99</v>
      </c>
      <c r="M58" s="3" t="s">
        <v>102</v>
      </c>
      <c r="N58" s="2" t="s">
        <v>523</v>
      </c>
      <c r="O58" s="2" t="s">
        <v>78</v>
      </c>
      <c r="Q58" s="70" t="s">
        <v>50</v>
      </c>
      <c r="R58" s="2" t="s">
        <v>87</v>
      </c>
      <c r="S58" s="70">
        <v>2</v>
      </c>
      <c r="T58" s="70">
        <v>6</v>
      </c>
      <c r="U58" s="70">
        <v>4</v>
      </c>
      <c r="V58" s="2" t="s">
        <v>81</v>
      </c>
      <c r="W58" s="2" t="s">
        <v>82</v>
      </c>
      <c r="X58" s="2" t="s">
        <v>83</v>
      </c>
      <c r="Y58" s="2" t="s">
        <v>84</v>
      </c>
      <c r="Z58" s="2">
        <v>27864</v>
      </c>
      <c r="AA58" s="30"/>
      <c r="AB58" s="48" t="s">
        <v>410</v>
      </c>
      <c r="AC58" s="28" t="s">
        <v>423</v>
      </c>
      <c r="AE58" s="2">
        <v>104</v>
      </c>
      <c r="AL58" s="52"/>
    </row>
    <row r="59" spans="1:38" s="2" customFormat="1" ht="14.1" customHeight="1" x14ac:dyDescent="0.2">
      <c r="A59" s="66" t="s">
        <v>85</v>
      </c>
      <c r="B59" s="3" t="s">
        <v>51</v>
      </c>
      <c r="C59" s="52" t="s">
        <v>596</v>
      </c>
      <c r="D59" s="2" t="s">
        <v>39</v>
      </c>
      <c r="E59" s="70" t="s">
        <v>337</v>
      </c>
      <c r="F59" s="70" t="str">
        <f t="shared" si="6"/>
        <v>T8_STEP_10_HELP</v>
      </c>
      <c r="G59" s="2" t="s">
        <v>349</v>
      </c>
      <c r="J59" s="70"/>
      <c r="K59" s="3" t="s">
        <v>77</v>
      </c>
      <c r="L59" s="25" t="s">
        <v>99</v>
      </c>
      <c r="M59" s="3" t="s">
        <v>102</v>
      </c>
      <c r="N59" s="2" t="s">
        <v>523</v>
      </c>
      <c r="O59" s="2" t="s">
        <v>78</v>
      </c>
      <c r="Q59" s="70" t="s">
        <v>51</v>
      </c>
      <c r="R59" s="2" t="s">
        <v>87</v>
      </c>
      <c r="S59" s="70">
        <v>2</v>
      </c>
      <c r="T59" s="70">
        <v>6</v>
      </c>
      <c r="U59" s="70">
        <v>4</v>
      </c>
      <c r="V59" s="2" t="s">
        <v>81</v>
      </c>
      <c r="W59" s="2" t="s">
        <v>82</v>
      </c>
      <c r="X59" s="2" t="s">
        <v>83</v>
      </c>
      <c r="Y59" s="2" t="s">
        <v>84</v>
      </c>
      <c r="Z59" s="2">
        <v>30650</v>
      </c>
      <c r="AA59" s="30"/>
      <c r="AB59" s="48" t="s">
        <v>411</v>
      </c>
      <c r="AC59" s="28" t="s">
        <v>424</v>
      </c>
      <c r="AE59" s="2">
        <v>104</v>
      </c>
      <c r="AL59" s="52"/>
    </row>
    <row r="60" spans="1:38" s="2" customFormat="1" ht="14.1" customHeight="1" x14ac:dyDescent="0.2">
      <c r="A60" s="66">
        <f t="shared" ref="A60:A91" si="7">A4+100</f>
        <v>101</v>
      </c>
      <c r="B60" s="3" t="s">
        <v>38</v>
      </c>
      <c r="C60" s="52" t="s">
        <v>597</v>
      </c>
      <c r="E60" s="70" t="s">
        <v>324</v>
      </c>
      <c r="F60" s="70" t="str">
        <f>E60&amp;"_HELP"</f>
        <v>T6_STEP_1_HELP</v>
      </c>
      <c r="G60" s="2" t="s">
        <v>350</v>
      </c>
      <c r="I60" s="2" t="s">
        <v>133</v>
      </c>
      <c r="J60" s="70"/>
      <c r="K60" s="3" t="s">
        <v>68</v>
      </c>
      <c r="L60" s="3" t="s">
        <v>98</v>
      </c>
      <c r="M60" s="3" t="s">
        <v>101</v>
      </c>
      <c r="N60" s="2" t="s">
        <v>523</v>
      </c>
      <c r="O60" s="2" t="s">
        <v>356</v>
      </c>
      <c r="P60" s="2" t="s">
        <v>75</v>
      </c>
      <c r="Q60" s="70" t="s">
        <v>38</v>
      </c>
      <c r="R60" s="2" t="s">
        <v>107</v>
      </c>
      <c r="S60" s="70">
        <v>1</v>
      </c>
      <c r="T60" s="70">
        <v>6</v>
      </c>
      <c r="U60" s="70">
        <v>6</v>
      </c>
      <c r="V60" s="2" t="s">
        <v>32</v>
      </c>
      <c r="W60" s="2" t="s">
        <v>74</v>
      </c>
      <c r="X60" s="2" t="s">
        <v>64</v>
      </c>
      <c r="Y60" s="2" t="s">
        <v>65</v>
      </c>
      <c r="Z60" s="2" t="s">
        <v>425</v>
      </c>
      <c r="AA60" s="32"/>
      <c r="AB60" s="56" t="s">
        <v>429</v>
      </c>
      <c r="AC60" s="59" t="s">
        <v>194</v>
      </c>
      <c r="AF60" s="2" t="s">
        <v>37</v>
      </c>
      <c r="AG60" s="2" t="s">
        <v>37</v>
      </c>
      <c r="AH60" s="2" t="s">
        <v>20</v>
      </c>
      <c r="AI60" s="2" t="s">
        <v>20</v>
      </c>
      <c r="AJ60" s="2" t="s">
        <v>57</v>
      </c>
      <c r="AL60" s="52"/>
    </row>
    <row r="61" spans="1:38" s="2" customFormat="1" ht="14.1" customHeight="1" x14ac:dyDescent="0.2">
      <c r="A61" s="66">
        <f t="shared" si="7"/>
        <v>101</v>
      </c>
      <c r="B61" s="3" t="s">
        <v>39</v>
      </c>
      <c r="C61" s="52" t="s">
        <v>598</v>
      </c>
      <c r="E61" s="70" t="s">
        <v>325</v>
      </c>
      <c r="F61" s="70" t="str">
        <f t="shared" ref="F61" si="8">E61&amp;"_HELP"</f>
        <v>T6_STEP_2_HELP</v>
      </c>
      <c r="G61" s="2" t="s">
        <v>350</v>
      </c>
      <c r="J61" s="70"/>
      <c r="K61" s="3" t="s">
        <v>68</v>
      </c>
      <c r="L61" s="3" t="s">
        <v>98</v>
      </c>
      <c r="M61" s="3" t="s">
        <v>101</v>
      </c>
      <c r="N61" s="2" t="s">
        <v>523</v>
      </c>
      <c r="O61" s="2" t="s">
        <v>356</v>
      </c>
      <c r="P61" s="2" t="s">
        <v>75</v>
      </c>
      <c r="Q61" s="70" t="s">
        <v>39</v>
      </c>
      <c r="R61" s="2" t="s">
        <v>107</v>
      </c>
      <c r="S61" s="70">
        <v>1</v>
      </c>
      <c r="T61" s="70">
        <v>6</v>
      </c>
      <c r="U61" s="70">
        <v>6</v>
      </c>
      <c r="V61" s="2" t="s">
        <v>32</v>
      </c>
      <c r="W61" s="2" t="s">
        <v>74</v>
      </c>
      <c r="X61" s="2" t="s">
        <v>64</v>
      </c>
      <c r="Y61" s="2" t="s">
        <v>65</v>
      </c>
      <c r="Z61" s="2" t="s">
        <v>443</v>
      </c>
      <c r="AA61" s="32"/>
      <c r="AB61" s="56" t="s">
        <v>430</v>
      </c>
      <c r="AC61" s="59" t="s">
        <v>194</v>
      </c>
      <c r="AF61" s="2" t="s">
        <v>37</v>
      </c>
      <c r="AG61" s="2" t="s">
        <v>37</v>
      </c>
      <c r="AH61" s="2" t="s">
        <v>20</v>
      </c>
      <c r="AI61" s="2" t="s">
        <v>20</v>
      </c>
      <c r="AJ61" s="2" t="s">
        <v>57</v>
      </c>
      <c r="AL61" s="52"/>
    </row>
    <row r="62" spans="1:38" s="2" customFormat="1" ht="14.1" customHeight="1" x14ac:dyDescent="0.2">
      <c r="A62" s="66">
        <f t="shared" si="7"/>
        <v>101</v>
      </c>
      <c r="B62" s="3" t="s">
        <v>40</v>
      </c>
      <c r="C62" s="52" t="s">
        <v>599</v>
      </c>
      <c r="E62" s="70" t="s">
        <v>326</v>
      </c>
      <c r="F62" s="70" t="str">
        <f>E62&amp;"_HELP"</f>
        <v>T7_STEP_1_HELP</v>
      </c>
      <c r="G62" s="2" t="s">
        <v>350</v>
      </c>
      <c r="J62" s="70"/>
      <c r="K62" s="3" t="s">
        <v>68</v>
      </c>
      <c r="L62" s="3" t="s">
        <v>98</v>
      </c>
      <c r="M62" s="3" t="s">
        <v>101</v>
      </c>
      <c r="N62" s="2" t="s">
        <v>523</v>
      </c>
      <c r="O62" s="2" t="s">
        <v>356</v>
      </c>
      <c r="P62" s="2" t="s">
        <v>75</v>
      </c>
      <c r="Q62" s="70" t="s">
        <v>40</v>
      </c>
      <c r="R62" s="2" t="s">
        <v>107</v>
      </c>
      <c r="S62" s="70">
        <v>1</v>
      </c>
      <c r="T62" s="70">
        <v>6</v>
      </c>
      <c r="U62" s="70">
        <v>6</v>
      </c>
      <c r="V62" s="2" t="s">
        <v>32</v>
      </c>
      <c r="W62" s="2" t="s">
        <v>74</v>
      </c>
      <c r="X62" s="2" t="s">
        <v>64</v>
      </c>
      <c r="Y62" s="2" t="s">
        <v>65</v>
      </c>
      <c r="Z62" s="2" t="s">
        <v>426</v>
      </c>
      <c r="AA62" s="31"/>
      <c r="AB62" s="56" t="s">
        <v>431</v>
      </c>
      <c r="AC62" s="59" t="s">
        <v>195</v>
      </c>
      <c r="AF62" s="2" t="s">
        <v>37</v>
      </c>
      <c r="AG62" s="2" t="s">
        <v>37</v>
      </c>
      <c r="AH62" s="2" t="s">
        <v>20</v>
      </c>
      <c r="AI62" s="2" t="s">
        <v>20</v>
      </c>
      <c r="AJ62" s="2" t="s">
        <v>57</v>
      </c>
      <c r="AL62" s="52"/>
    </row>
    <row r="63" spans="1:38" s="2" customFormat="1" ht="14.1" customHeight="1" x14ac:dyDescent="0.2">
      <c r="A63" s="66">
        <f t="shared" si="7"/>
        <v>101</v>
      </c>
      <c r="B63" s="3" t="s">
        <v>41</v>
      </c>
      <c r="C63" s="52" t="s">
        <v>600</v>
      </c>
      <c r="E63" s="70" t="s">
        <v>327</v>
      </c>
      <c r="F63" s="70" t="str">
        <f t="shared" ref="F63" si="9">E63&amp;"_HELP"</f>
        <v>T7_STEP_2_HELP</v>
      </c>
      <c r="G63" s="2" t="s">
        <v>350</v>
      </c>
      <c r="J63" s="70"/>
      <c r="K63" s="3" t="s">
        <v>68</v>
      </c>
      <c r="L63" s="3" t="s">
        <v>98</v>
      </c>
      <c r="M63" s="3" t="s">
        <v>101</v>
      </c>
      <c r="N63" s="2" t="s">
        <v>523</v>
      </c>
      <c r="O63" s="2" t="s">
        <v>356</v>
      </c>
      <c r="P63" s="2" t="s">
        <v>75</v>
      </c>
      <c r="Q63" s="70" t="s">
        <v>41</v>
      </c>
      <c r="R63" s="2" t="s">
        <v>107</v>
      </c>
      <c r="S63" s="70">
        <v>1</v>
      </c>
      <c r="T63" s="70">
        <v>6</v>
      </c>
      <c r="U63" s="70">
        <v>6</v>
      </c>
      <c r="V63" s="2" t="s">
        <v>32</v>
      </c>
      <c r="W63" s="2" t="s">
        <v>74</v>
      </c>
      <c r="X63" s="2" t="s">
        <v>64</v>
      </c>
      <c r="Y63" s="2" t="s">
        <v>65</v>
      </c>
      <c r="Z63" s="2" t="s">
        <v>444</v>
      </c>
      <c r="AA63" s="31"/>
      <c r="AB63" s="56" t="s">
        <v>432</v>
      </c>
      <c r="AC63" s="59" t="s">
        <v>196</v>
      </c>
      <c r="AF63" s="2" t="s">
        <v>37</v>
      </c>
      <c r="AG63" s="2" t="s">
        <v>37</v>
      </c>
      <c r="AH63" s="2" t="s">
        <v>20</v>
      </c>
      <c r="AI63" s="2" t="s">
        <v>20</v>
      </c>
      <c r="AJ63" s="2" t="s">
        <v>57</v>
      </c>
      <c r="AL63" s="52"/>
    </row>
    <row r="64" spans="1:38" s="2" customFormat="1" ht="14.1" customHeight="1" x14ac:dyDescent="0.2">
      <c r="A64" s="66">
        <f t="shared" si="7"/>
        <v>101</v>
      </c>
      <c r="B64" s="3" t="s">
        <v>42</v>
      </c>
      <c r="C64" s="52" t="s">
        <v>601</v>
      </c>
      <c r="E64" s="70" t="s">
        <v>328</v>
      </c>
      <c r="F64" s="70" t="str">
        <f>E64&amp;"_HELP"</f>
        <v>T8_STEP_1_HELP</v>
      </c>
      <c r="G64" s="2" t="s">
        <v>350</v>
      </c>
      <c r="J64" s="70"/>
      <c r="K64" s="3" t="s">
        <v>68</v>
      </c>
      <c r="L64" s="3" t="s">
        <v>98</v>
      </c>
      <c r="M64" s="3" t="s">
        <v>101</v>
      </c>
      <c r="N64" s="2" t="s">
        <v>523</v>
      </c>
      <c r="O64" s="2" t="s">
        <v>356</v>
      </c>
      <c r="P64" s="2" t="s">
        <v>75</v>
      </c>
      <c r="Q64" s="70" t="s">
        <v>42</v>
      </c>
      <c r="R64" s="2" t="s">
        <v>107</v>
      </c>
      <c r="S64" s="70">
        <v>1</v>
      </c>
      <c r="T64" s="70">
        <v>6</v>
      </c>
      <c r="U64" s="70">
        <v>6</v>
      </c>
      <c r="V64" s="2" t="s">
        <v>32</v>
      </c>
      <c r="W64" s="2" t="s">
        <v>74</v>
      </c>
      <c r="X64" s="2" t="s">
        <v>64</v>
      </c>
      <c r="Y64" s="2" t="s">
        <v>65</v>
      </c>
      <c r="Z64" s="2">
        <v>13000</v>
      </c>
      <c r="AA64" s="61"/>
      <c r="AB64" s="56" t="s">
        <v>433</v>
      </c>
      <c r="AC64" s="59" t="s">
        <v>230</v>
      </c>
      <c r="AF64" s="2" t="s">
        <v>37</v>
      </c>
      <c r="AG64" s="2" t="s">
        <v>37</v>
      </c>
      <c r="AH64" s="2" t="s">
        <v>20</v>
      </c>
      <c r="AI64" s="2" t="s">
        <v>20</v>
      </c>
      <c r="AJ64" s="2" t="s">
        <v>57</v>
      </c>
      <c r="AL64" s="52"/>
    </row>
    <row r="65" spans="1:38" s="2" customFormat="1" ht="14.1" customHeight="1" x14ac:dyDescent="0.2">
      <c r="A65" s="66">
        <f t="shared" si="7"/>
        <v>101</v>
      </c>
      <c r="B65" s="3" t="s">
        <v>43</v>
      </c>
      <c r="C65" s="52" t="s">
        <v>602</v>
      </c>
      <c r="E65" s="70" t="s">
        <v>329</v>
      </c>
      <c r="F65" s="70" t="str">
        <f t="shared" ref="F65:F73" si="10">E65&amp;"_HELP"</f>
        <v>T8_STEP_2_HELP</v>
      </c>
      <c r="G65" s="2" t="s">
        <v>350</v>
      </c>
      <c r="J65" s="70"/>
      <c r="K65" s="3" t="s">
        <v>68</v>
      </c>
      <c r="L65" s="3" t="s">
        <v>98</v>
      </c>
      <c r="M65" s="3" t="s">
        <v>101</v>
      </c>
      <c r="N65" s="2" t="s">
        <v>523</v>
      </c>
      <c r="O65" s="2" t="s">
        <v>356</v>
      </c>
      <c r="P65" s="2" t="s">
        <v>75</v>
      </c>
      <c r="Q65" s="70" t="s">
        <v>43</v>
      </c>
      <c r="R65" s="2" t="s">
        <v>107</v>
      </c>
      <c r="S65" s="70">
        <v>1</v>
      </c>
      <c r="T65" s="70">
        <v>6</v>
      </c>
      <c r="U65" s="70">
        <v>6</v>
      </c>
      <c r="V65" s="2" t="s">
        <v>32</v>
      </c>
      <c r="W65" s="2" t="s">
        <v>74</v>
      </c>
      <c r="X65" s="2" t="s">
        <v>64</v>
      </c>
      <c r="Y65" s="2" t="s">
        <v>65</v>
      </c>
      <c r="Z65" s="2">
        <v>14300</v>
      </c>
      <c r="AA65" s="61"/>
      <c r="AB65" s="56" t="s">
        <v>434</v>
      </c>
      <c r="AC65" s="59" t="s">
        <v>231</v>
      </c>
      <c r="AF65" s="2" t="s">
        <v>37</v>
      </c>
      <c r="AG65" s="2" t="s">
        <v>37</v>
      </c>
      <c r="AH65" s="2" t="s">
        <v>20</v>
      </c>
      <c r="AI65" s="2" t="s">
        <v>20</v>
      </c>
      <c r="AJ65" s="2" t="s">
        <v>57</v>
      </c>
      <c r="AL65" s="52"/>
    </row>
    <row r="66" spans="1:38" s="2" customFormat="1" ht="14.1" customHeight="1" x14ac:dyDescent="0.2">
      <c r="A66" s="66">
        <f t="shared" si="7"/>
        <v>101</v>
      </c>
      <c r="B66" s="3" t="s">
        <v>44</v>
      </c>
      <c r="C66" s="52" t="s">
        <v>603</v>
      </c>
      <c r="E66" s="70" t="s">
        <v>330</v>
      </c>
      <c r="F66" s="70" t="str">
        <f t="shared" si="10"/>
        <v>T8_STEP_3_HELP</v>
      </c>
      <c r="G66" s="2" t="s">
        <v>350</v>
      </c>
      <c r="J66" s="70"/>
      <c r="K66" s="3" t="s">
        <v>68</v>
      </c>
      <c r="L66" s="3" t="s">
        <v>98</v>
      </c>
      <c r="M66" s="3" t="s">
        <v>101</v>
      </c>
      <c r="N66" s="2" t="s">
        <v>523</v>
      </c>
      <c r="O66" s="2" t="s">
        <v>356</v>
      </c>
      <c r="P66" s="2" t="s">
        <v>75</v>
      </c>
      <c r="Q66" s="70" t="s">
        <v>44</v>
      </c>
      <c r="R66" s="2" t="s">
        <v>107</v>
      </c>
      <c r="S66" s="70">
        <v>1</v>
      </c>
      <c r="T66" s="70">
        <v>6</v>
      </c>
      <c r="U66" s="70">
        <v>6</v>
      </c>
      <c r="V66" s="2" t="s">
        <v>32</v>
      </c>
      <c r="W66" s="2" t="s">
        <v>74</v>
      </c>
      <c r="X66" s="2" t="s">
        <v>64</v>
      </c>
      <c r="Y66" s="2" t="s">
        <v>65</v>
      </c>
      <c r="Z66" s="2">
        <v>15730</v>
      </c>
      <c r="AA66" s="61"/>
      <c r="AB66" s="56" t="s">
        <v>435</v>
      </c>
      <c r="AC66" s="59" t="s">
        <v>232</v>
      </c>
      <c r="AF66" s="2" t="s">
        <v>37</v>
      </c>
      <c r="AG66" s="2" t="s">
        <v>37</v>
      </c>
      <c r="AH66" s="2" t="s">
        <v>20</v>
      </c>
      <c r="AI66" s="2" t="s">
        <v>20</v>
      </c>
      <c r="AJ66" s="2" t="s">
        <v>57</v>
      </c>
      <c r="AL66" s="52"/>
    </row>
    <row r="67" spans="1:38" s="2" customFormat="1" ht="14.1" customHeight="1" x14ac:dyDescent="0.2">
      <c r="A67" s="66">
        <f t="shared" si="7"/>
        <v>101</v>
      </c>
      <c r="B67" s="3" t="s">
        <v>45</v>
      </c>
      <c r="C67" s="52" t="s">
        <v>604</v>
      </c>
      <c r="E67" s="70" t="s">
        <v>331</v>
      </c>
      <c r="F67" s="70" t="str">
        <f t="shared" si="10"/>
        <v>T8_STEP_4_HELP</v>
      </c>
      <c r="G67" s="2" t="s">
        <v>350</v>
      </c>
      <c r="J67" s="70"/>
      <c r="K67" s="3" t="s">
        <v>68</v>
      </c>
      <c r="L67" s="3" t="s">
        <v>98</v>
      </c>
      <c r="M67" s="3" t="s">
        <v>101</v>
      </c>
      <c r="N67" s="2" t="s">
        <v>523</v>
      </c>
      <c r="O67" s="2" t="s">
        <v>356</v>
      </c>
      <c r="P67" s="2" t="s">
        <v>75</v>
      </c>
      <c r="Q67" s="70" t="s">
        <v>45</v>
      </c>
      <c r="R67" s="2" t="s">
        <v>107</v>
      </c>
      <c r="S67" s="70">
        <v>1</v>
      </c>
      <c r="T67" s="70">
        <v>6</v>
      </c>
      <c r="U67" s="70">
        <v>6</v>
      </c>
      <c r="V67" s="2" t="s">
        <v>32</v>
      </c>
      <c r="W67" s="2" t="s">
        <v>74</v>
      </c>
      <c r="X67" s="2" t="s">
        <v>64</v>
      </c>
      <c r="Y67" s="2" t="s">
        <v>65</v>
      </c>
      <c r="Z67" s="2">
        <v>17303</v>
      </c>
      <c r="AA67" s="61"/>
      <c r="AB67" s="56" t="s">
        <v>436</v>
      </c>
      <c r="AC67" s="59" t="s">
        <v>233</v>
      </c>
      <c r="AF67" s="2" t="s">
        <v>37</v>
      </c>
      <c r="AG67" s="2" t="s">
        <v>37</v>
      </c>
      <c r="AH67" s="2" t="s">
        <v>20</v>
      </c>
      <c r="AI67" s="2" t="s">
        <v>20</v>
      </c>
      <c r="AJ67" s="2" t="s">
        <v>57</v>
      </c>
      <c r="AL67" s="52"/>
    </row>
    <row r="68" spans="1:38" s="2" customFormat="1" ht="14.1" customHeight="1" x14ac:dyDescent="0.2">
      <c r="A68" s="66">
        <f t="shared" si="7"/>
        <v>101</v>
      </c>
      <c r="B68" s="3" t="s">
        <v>46</v>
      </c>
      <c r="C68" s="52" t="s">
        <v>605</v>
      </c>
      <c r="E68" s="70" t="s">
        <v>332</v>
      </c>
      <c r="F68" s="70" t="str">
        <f t="shared" si="10"/>
        <v>T8_STEP_5_HELP</v>
      </c>
      <c r="G68" s="2" t="s">
        <v>350</v>
      </c>
      <c r="J68" s="70"/>
      <c r="K68" s="3" t="s">
        <v>68</v>
      </c>
      <c r="L68" s="3" t="s">
        <v>98</v>
      </c>
      <c r="M68" s="3" t="s">
        <v>101</v>
      </c>
      <c r="N68" s="2" t="s">
        <v>523</v>
      </c>
      <c r="O68" s="2" t="s">
        <v>356</v>
      </c>
      <c r="P68" s="2" t="s">
        <v>75</v>
      </c>
      <c r="Q68" s="70" t="s">
        <v>46</v>
      </c>
      <c r="R68" s="2" t="s">
        <v>107</v>
      </c>
      <c r="S68" s="70">
        <v>1</v>
      </c>
      <c r="T68" s="70">
        <v>6</v>
      </c>
      <c r="U68" s="70">
        <v>6</v>
      </c>
      <c r="V68" s="2" t="s">
        <v>32</v>
      </c>
      <c r="W68" s="2" t="s">
        <v>74</v>
      </c>
      <c r="X68" s="2" t="s">
        <v>64</v>
      </c>
      <c r="Y68" s="2" t="s">
        <v>65</v>
      </c>
      <c r="Z68" s="2">
        <v>19033</v>
      </c>
      <c r="AA68" s="61"/>
      <c r="AB68" s="56" t="s">
        <v>437</v>
      </c>
      <c r="AC68" s="59" t="s">
        <v>234</v>
      </c>
      <c r="AF68" s="2" t="s">
        <v>37</v>
      </c>
      <c r="AG68" s="2" t="s">
        <v>37</v>
      </c>
      <c r="AH68" s="2" t="s">
        <v>20</v>
      </c>
      <c r="AI68" s="2" t="s">
        <v>20</v>
      </c>
      <c r="AJ68" s="2" t="s">
        <v>57</v>
      </c>
      <c r="AL68" s="52"/>
    </row>
    <row r="69" spans="1:38" s="2" customFormat="1" ht="14.1" customHeight="1" x14ac:dyDescent="0.2">
      <c r="A69" s="66">
        <f t="shared" si="7"/>
        <v>101</v>
      </c>
      <c r="B69" s="3" t="s">
        <v>47</v>
      </c>
      <c r="C69" s="52" t="s">
        <v>606</v>
      </c>
      <c r="E69" s="70" t="s">
        <v>333</v>
      </c>
      <c r="F69" s="70" t="str">
        <f t="shared" si="10"/>
        <v>T8_STEP_6_HELP</v>
      </c>
      <c r="G69" s="2" t="s">
        <v>350</v>
      </c>
      <c r="J69" s="70"/>
      <c r="K69" s="3" t="s">
        <v>68</v>
      </c>
      <c r="L69" s="3" t="s">
        <v>98</v>
      </c>
      <c r="M69" s="3" t="s">
        <v>101</v>
      </c>
      <c r="N69" s="2" t="s">
        <v>523</v>
      </c>
      <c r="O69" s="2" t="s">
        <v>356</v>
      </c>
      <c r="P69" s="2" t="s">
        <v>75</v>
      </c>
      <c r="Q69" s="70" t="s">
        <v>47</v>
      </c>
      <c r="R69" s="2" t="s">
        <v>107</v>
      </c>
      <c r="S69" s="70">
        <v>1</v>
      </c>
      <c r="T69" s="70">
        <v>6</v>
      </c>
      <c r="U69" s="70">
        <v>6</v>
      </c>
      <c r="V69" s="2" t="s">
        <v>32</v>
      </c>
      <c r="W69" s="2" t="s">
        <v>74</v>
      </c>
      <c r="X69" s="2" t="s">
        <v>64</v>
      </c>
      <c r="Y69" s="2" t="s">
        <v>65</v>
      </c>
      <c r="Z69" s="2">
        <v>20936</v>
      </c>
      <c r="AA69" s="61"/>
      <c r="AB69" s="56" t="s">
        <v>438</v>
      </c>
      <c r="AC69" s="59" t="s">
        <v>235</v>
      </c>
      <c r="AF69" s="2" t="s">
        <v>37</v>
      </c>
      <c r="AG69" s="2" t="s">
        <v>37</v>
      </c>
      <c r="AH69" s="2" t="s">
        <v>20</v>
      </c>
      <c r="AI69" s="2" t="s">
        <v>20</v>
      </c>
      <c r="AJ69" s="2" t="s">
        <v>57</v>
      </c>
      <c r="AL69" s="52"/>
    </row>
    <row r="70" spans="1:38" s="2" customFormat="1" ht="14.1" customHeight="1" x14ac:dyDescent="0.2">
      <c r="A70" s="66">
        <f t="shared" si="7"/>
        <v>101</v>
      </c>
      <c r="B70" s="3" t="s">
        <v>48</v>
      </c>
      <c r="C70" s="52" t="s">
        <v>607</v>
      </c>
      <c r="E70" s="70" t="s">
        <v>334</v>
      </c>
      <c r="F70" s="70" t="str">
        <f t="shared" si="10"/>
        <v>T8_STEP_7_HELP</v>
      </c>
      <c r="G70" s="2" t="s">
        <v>350</v>
      </c>
      <c r="J70" s="70"/>
      <c r="K70" s="3" t="s">
        <v>68</v>
      </c>
      <c r="L70" s="3" t="s">
        <v>98</v>
      </c>
      <c r="M70" s="3" t="s">
        <v>101</v>
      </c>
      <c r="N70" s="2" t="s">
        <v>523</v>
      </c>
      <c r="O70" s="2" t="s">
        <v>356</v>
      </c>
      <c r="P70" s="2" t="s">
        <v>75</v>
      </c>
      <c r="Q70" s="70" t="s">
        <v>48</v>
      </c>
      <c r="R70" s="2" t="s">
        <v>107</v>
      </c>
      <c r="S70" s="70">
        <v>1</v>
      </c>
      <c r="T70" s="70">
        <v>6</v>
      </c>
      <c r="U70" s="70">
        <v>6</v>
      </c>
      <c r="V70" s="2" t="s">
        <v>32</v>
      </c>
      <c r="W70" s="2" t="s">
        <v>74</v>
      </c>
      <c r="X70" s="2" t="s">
        <v>64</v>
      </c>
      <c r="Y70" s="2" t="s">
        <v>65</v>
      </c>
      <c r="Z70" s="2">
        <v>23029</v>
      </c>
      <c r="AA70" s="61"/>
      <c r="AB70" s="56" t="s">
        <v>439</v>
      </c>
      <c r="AC70" s="59" t="s">
        <v>236</v>
      </c>
      <c r="AF70" s="2" t="s">
        <v>37</v>
      </c>
      <c r="AG70" s="2" t="s">
        <v>37</v>
      </c>
      <c r="AH70" s="2" t="s">
        <v>20</v>
      </c>
      <c r="AI70" s="2" t="s">
        <v>20</v>
      </c>
      <c r="AJ70" s="2" t="s">
        <v>57</v>
      </c>
      <c r="AL70" s="52"/>
    </row>
    <row r="71" spans="1:38" s="2" customFormat="1" ht="14.1" customHeight="1" x14ac:dyDescent="0.2">
      <c r="A71" s="66">
        <f t="shared" si="7"/>
        <v>101</v>
      </c>
      <c r="B71" s="3" t="s">
        <v>49</v>
      </c>
      <c r="C71" s="52" t="s">
        <v>608</v>
      </c>
      <c r="E71" s="70" t="s">
        <v>335</v>
      </c>
      <c r="F71" s="70" t="str">
        <f t="shared" si="10"/>
        <v>T8_STEP_8_HELP</v>
      </c>
      <c r="G71" s="2" t="s">
        <v>350</v>
      </c>
      <c r="J71" s="70"/>
      <c r="K71" s="3" t="s">
        <v>68</v>
      </c>
      <c r="L71" s="3" t="s">
        <v>98</v>
      </c>
      <c r="M71" s="3" t="s">
        <v>101</v>
      </c>
      <c r="N71" s="2" t="s">
        <v>523</v>
      </c>
      <c r="O71" s="2" t="s">
        <v>356</v>
      </c>
      <c r="P71" s="2" t="s">
        <v>75</v>
      </c>
      <c r="Q71" s="70" t="s">
        <v>49</v>
      </c>
      <c r="R71" s="2" t="s">
        <v>107</v>
      </c>
      <c r="S71" s="70">
        <v>1</v>
      </c>
      <c r="T71" s="70">
        <v>6</v>
      </c>
      <c r="U71" s="70">
        <v>6</v>
      </c>
      <c r="V71" s="2" t="s">
        <v>32</v>
      </c>
      <c r="W71" s="2" t="s">
        <v>74</v>
      </c>
      <c r="X71" s="2" t="s">
        <v>64</v>
      </c>
      <c r="Y71" s="2" t="s">
        <v>65</v>
      </c>
      <c r="Z71" s="2">
        <v>25331</v>
      </c>
      <c r="AA71" s="61"/>
      <c r="AB71" s="56" t="s">
        <v>440</v>
      </c>
      <c r="AC71" s="59" t="s">
        <v>237</v>
      </c>
      <c r="AF71" s="2" t="s">
        <v>37</v>
      </c>
      <c r="AG71" s="2" t="s">
        <v>37</v>
      </c>
      <c r="AH71" s="2" t="s">
        <v>20</v>
      </c>
      <c r="AI71" s="2" t="s">
        <v>20</v>
      </c>
      <c r="AJ71" s="2" t="s">
        <v>57</v>
      </c>
      <c r="AL71" s="52"/>
    </row>
    <row r="72" spans="1:38" s="2" customFormat="1" ht="14.1" customHeight="1" x14ac:dyDescent="0.2">
      <c r="A72" s="66">
        <f t="shared" si="7"/>
        <v>101</v>
      </c>
      <c r="B72" s="3" t="s">
        <v>50</v>
      </c>
      <c r="C72" s="52" t="s">
        <v>609</v>
      </c>
      <c r="E72" s="70" t="s">
        <v>336</v>
      </c>
      <c r="F72" s="70" t="str">
        <f t="shared" si="10"/>
        <v>T8_STEP_9_HELP</v>
      </c>
      <c r="G72" s="2" t="s">
        <v>350</v>
      </c>
      <c r="J72" s="70"/>
      <c r="K72" s="3" t="s">
        <v>68</v>
      </c>
      <c r="L72" s="3" t="s">
        <v>98</v>
      </c>
      <c r="M72" s="3" t="s">
        <v>101</v>
      </c>
      <c r="N72" s="2" t="s">
        <v>523</v>
      </c>
      <c r="O72" s="2" t="s">
        <v>356</v>
      </c>
      <c r="P72" s="2" t="s">
        <v>75</v>
      </c>
      <c r="Q72" s="70" t="s">
        <v>50</v>
      </c>
      <c r="R72" s="2" t="s">
        <v>107</v>
      </c>
      <c r="S72" s="70">
        <v>1</v>
      </c>
      <c r="T72" s="70">
        <v>6</v>
      </c>
      <c r="U72" s="70">
        <v>6</v>
      </c>
      <c r="V72" s="2" t="s">
        <v>32</v>
      </c>
      <c r="W72" s="2" t="s">
        <v>74</v>
      </c>
      <c r="X72" s="2" t="s">
        <v>64</v>
      </c>
      <c r="Y72" s="2" t="s">
        <v>65</v>
      </c>
      <c r="Z72" s="2">
        <v>27864</v>
      </c>
      <c r="AA72" s="61"/>
      <c r="AB72" s="56" t="s">
        <v>441</v>
      </c>
      <c r="AC72" s="59" t="s">
        <v>238</v>
      </c>
      <c r="AF72" s="2" t="s">
        <v>37</v>
      </c>
      <c r="AG72" s="2" t="s">
        <v>37</v>
      </c>
      <c r="AH72" s="2" t="s">
        <v>20</v>
      </c>
      <c r="AI72" s="2" t="s">
        <v>20</v>
      </c>
      <c r="AJ72" s="2" t="s">
        <v>57</v>
      </c>
      <c r="AL72" s="52"/>
    </row>
    <row r="73" spans="1:38" s="2" customFormat="1" ht="14.1" customHeight="1" x14ac:dyDescent="0.2">
      <c r="A73" s="66">
        <f t="shared" si="7"/>
        <v>101</v>
      </c>
      <c r="B73" s="3" t="s">
        <v>51</v>
      </c>
      <c r="C73" s="52" t="s">
        <v>610</v>
      </c>
      <c r="E73" s="70" t="s">
        <v>337</v>
      </c>
      <c r="F73" s="70" t="str">
        <f t="shared" si="10"/>
        <v>T8_STEP_10_HELP</v>
      </c>
      <c r="G73" s="2" t="s">
        <v>350</v>
      </c>
      <c r="J73" s="70"/>
      <c r="K73" s="3" t="s">
        <v>68</v>
      </c>
      <c r="L73" s="3" t="s">
        <v>98</v>
      </c>
      <c r="M73" s="3" t="s">
        <v>101</v>
      </c>
      <c r="N73" s="2" t="s">
        <v>523</v>
      </c>
      <c r="O73" s="2" t="s">
        <v>356</v>
      </c>
      <c r="P73" s="2" t="s">
        <v>75</v>
      </c>
      <c r="Q73" s="70" t="s">
        <v>51</v>
      </c>
      <c r="R73" s="2" t="s">
        <v>107</v>
      </c>
      <c r="S73" s="70">
        <v>1</v>
      </c>
      <c r="T73" s="70">
        <v>6</v>
      </c>
      <c r="U73" s="70">
        <v>6</v>
      </c>
      <c r="V73" s="2" t="s">
        <v>32</v>
      </c>
      <c r="W73" s="2" t="s">
        <v>74</v>
      </c>
      <c r="X73" s="2" t="s">
        <v>64</v>
      </c>
      <c r="Y73" s="2" t="s">
        <v>65</v>
      </c>
      <c r="Z73" s="2">
        <v>30650</v>
      </c>
      <c r="AA73" s="61"/>
      <c r="AB73" s="56" t="s">
        <v>442</v>
      </c>
      <c r="AC73" s="59" t="s">
        <v>239</v>
      </c>
      <c r="AF73" s="2" t="s">
        <v>37</v>
      </c>
      <c r="AG73" s="2" t="s">
        <v>37</v>
      </c>
      <c r="AH73" s="2" t="s">
        <v>20</v>
      </c>
      <c r="AI73" s="2" t="s">
        <v>20</v>
      </c>
      <c r="AJ73" s="2" t="s">
        <v>57</v>
      </c>
      <c r="AL73" s="52"/>
    </row>
    <row r="74" spans="1:38" s="2" customFormat="1" ht="14.1" customHeight="1" x14ac:dyDescent="0.2">
      <c r="A74" s="66">
        <f t="shared" si="7"/>
        <v>102</v>
      </c>
      <c r="B74" s="3" t="s">
        <v>38</v>
      </c>
      <c r="C74" s="52" t="s">
        <v>611</v>
      </c>
      <c r="E74" s="70" t="s">
        <v>324</v>
      </c>
      <c r="F74" s="70" t="str">
        <f t="shared" ref="F74:F82" si="11">E74&amp;"_HELP"</f>
        <v>T6_STEP_1_HELP</v>
      </c>
      <c r="G74" s="2" t="s">
        <v>350</v>
      </c>
      <c r="I74" s="2" t="s">
        <v>133</v>
      </c>
      <c r="J74" s="70"/>
      <c r="K74" s="3" t="s">
        <v>69</v>
      </c>
      <c r="L74" s="25" t="s">
        <v>100</v>
      </c>
      <c r="M74" s="3" t="s">
        <v>103</v>
      </c>
      <c r="N74" s="2" t="s">
        <v>523</v>
      </c>
      <c r="O74" s="2" t="s">
        <v>357</v>
      </c>
      <c r="Q74" s="70" t="s">
        <v>38</v>
      </c>
      <c r="R74" s="2" t="s">
        <v>91</v>
      </c>
      <c r="S74" s="70">
        <v>1</v>
      </c>
      <c r="T74" s="70">
        <v>6</v>
      </c>
      <c r="U74" s="70">
        <v>6</v>
      </c>
      <c r="V74" s="2" t="s">
        <v>32</v>
      </c>
      <c r="W74" s="2" t="s">
        <v>74</v>
      </c>
      <c r="X74" s="2" t="s">
        <v>66</v>
      </c>
      <c r="Y74" s="2" t="s">
        <v>65</v>
      </c>
      <c r="Z74" s="2" t="s">
        <v>425</v>
      </c>
      <c r="AA74" s="29"/>
      <c r="AB74" s="60">
        <v>932061</v>
      </c>
      <c r="AC74" s="59" t="s">
        <v>445</v>
      </c>
      <c r="AF74" s="2" t="s">
        <v>37</v>
      </c>
      <c r="AG74" s="2" t="s">
        <v>37</v>
      </c>
      <c r="AH74" s="2" t="s">
        <v>20</v>
      </c>
      <c r="AI74" s="2" t="s">
        <v>20</v>
      </c>
      <c r="AJ74" s="2" t="s">
        <v>19</v>
      </c>
      <c r="AL74" s="52"/>
    </row>
    <row r="75" spans="1:38" s="2" customFormat="1" ht="14.1" customHeight="1" x14ac:dyDescent="0.2">
      <c r="A75" s="66">
        <f t="shared" si="7"/>
        <v>102</v>
      </c>
      <c r="B75" s="3" t="s">
        <v>39</v>
      </c>
      <c r="C75" s="52" t="s">
        <v>612</v>
      </c>
      <c r="E75" s="70" t="s">
        <v>325</v>
      </c>
      <c r="F75" s="70" t="str">
        <f t="shared" si="11"/>
        <v>T6_STEP_2_HELP</v>
      </c>
      <c r="G75" s="2" t="s">
        <v>350</v>
      </c>
      <c r="J75" s="70"/>
      <c r="K75" s="3" t="s">
        <v>69</v>
      </c>
      <c r="L75" s="25" t="s">
        <v>100</v>
      </c>
      <c r="M75" s="3" t="s">
        <v>103</v>
      </c>
      <c r="N75" s="2" t="s">
        <v>523</v>
      </c>
      <c r="O75" s="2" t="s">
        <v>357</v>
      </c>
      <c r="Q75" s="70" t="s">
        <v>39</v>
      </c>
      <c r="R75" s="2" t="s">
        <v>91</v>
      </c>
      <c r="S75" s="70">
        <v>1</v>
      </c>
      <c r="T75" s="70">
        <v>6</v>
      </c>
      <c r="U75" s="70">
        <v>6</v>
      </c>
      <c r="V75" s="2" t="s">
        <v>32</v>
      </c>
      <c r="W75" s="2" t="s">
        <v>74</v>
      </c>
      <c r="X75" s="2" t="s">
        <v>66</v>
      </c>
      <c r="Y75" s="2" t="s">
        <v>65</v>
      </c>
      <c r="Z75" s="2" t="s">
        <v>443</v>
      </c>
      <c r="AA75" s="29"/>
      <c r="AB75" s="58">
        <v>932062</v>
      </c>
      <c r="AC75" s="59" t="s">
        <v>445</v>
      </c>
      <c r="AF75" s="2" t="s">
        <v>37</v>
      </c>
      <c r="AG75" s="2" t="s">
        <v>37</v>
      </c>
      <c r="AH75" s="2" t="s">
        <v>20</v>
      </c>
      <c r="AI75" s="2" t="s">
        <v>20</v>
      </c>
      <c r="AJ75" s="2" t="s">
        <v>19</v>
      </c>
      <c r="AL75" s="52"/>
    </row>
    <row r="76" spans="1:38" s="2" customFormat="1" ht="14.1" customHeight="1" x14ac:dyDescent="0.2">
      <c r="A76" s="66">
        <f t="shared" si="7"/>
        <v>102</v>
      </c>
      <c r="B76" s="3" t="s">
        <v>40</v>
      </c>
      <c r="C76" s="52" t="s">
        <v>613</v>
      </c>
      <c r="E76" s="70" t="s">
        <v>326</v>
      </c>
      <c r="F76" s="70" t="str">
        <f t="shared" si="11"/>
        <v>T7_STEP_1_HELP</v>
      </c>
      <c r="G76" s="2" t="s">
        <v>350</v>
      </c>
      <c r="J76" s="70"/>
      <c r="K76" s="3" t="s">
        <v>69</v>
      </c>
      <c r="L76" s="25" t="s">
        <v>100</v>
      </c>
      <c r="M76" s="3" t="s">
        <v>103</v>
      </c>
      <c r="N76" s="2" t="s">
        <v>523</v>
      </c>
      <c r="O76" s="2" t="s">
        <v>357</v>
      </c>
      <c r="Q76" s="70" t="s">
        <v>40</v>
      </c>
      <c r="R76" s="2" t="s">
        <v>91</v>
      </c>
      <c r="S76" s="70">
        <v>1</v>
      </c>
      <c r="T76" s="70">
        <v>6</v>
      </c>
      <c r="U76" s="70">
        <v>6</v>
      </c>
      <c r="V76" s="2" t="s">
        <v>32</v>
      </c>
      <c r="W76" s="2" t="s">
        <v>74</v>
      </c>
      <c r="X76" s="2" t="s">
        <v>66</v>
      </c>
      <c r="Y76" s="2" t="s">
        <v>65</v>
      </c>
      <c r="Z76" s="2" t="s">
        <v>426</v>
      </c>
      <c r="AA76" s="29"/>
      <c r="AB76" s="60">
        <v>932071</v>
      </c>
      <c r="AC76" s="59" t="s">
        <v>446</v>
      </c>
      <c r="AF76" s="2" t="s">
        <v>37</v>
      </c>
      <c r="AG76" s="2" t="s">
        <v>37</v>
      </c>
      <c r="AH76" s="2" t="s">
        <v>20</v>
      </c>
      <c r="AI76" s="2" t="s">
        <v>20</v>
      </c>
      <c r="AJ76" s="2" t="s">
        <v>19</v>
      </c>
      <c r="AL76" s="52"/>
    </row>
    <row r="77" spans="1:38" s="2" customFormat="1" ht="14.1" customHeight="1" x14ac:dyDescent="0.2">
      <c r="A77" s="66">
        <f t="shared" si="7"/>
        <v>102</v>
      </c>
      <c r="B77" s="3" t="s">
        <v>41</v>
      </c>
      <c r="C77" s="52" t="s">
        <v>614</v>
      </c>
      <c r="E77" s="70" t="s">
        <v>327</v>
      </c>
      <c r="F77" s="70" t="str">
        <f t="shared" si="11"/>
        <v>T7_STEP_2_HELP</v>
      </c>
      <c r="G77" s="2" t="s">
        <v>350</v>
      </c>
      <c r="J77" s="70"/>
      <c r="K77" s="3" t="s">
        <v>69</v>
      </c>
      <c r="L77" s="25" t="s">
        <v>100</v>
      </c>
      <c r="M77" s="3" t="s">
        <v>103</v>
      </c>
      <c r="N77" s="2" t="s">
        <v>523</v>
      </c>
      <c r="O77" s="2" t="s">
        <v>357</v>
      </c>
      <c r="Q77" s="70" t="s">
        <v>41</v>
      </c>
      <c r="R77" s="2" t="s">
        <v>91</v>
      </c>
      <c r="S77" s="70">
        <v>1</v>
      </c>
      <c r="T77" s="70">
        <v>6</v>
      </c>
      <c r="U77" s="70">
        <v>6</v>
      </c>
      <c r="V77" s="2" t="s">
        <v>32</v>
      </c>
      <c r="W77" s="2" t="s">
        <v>74</v>
      </c>
      <c r="X77" s="2" t="s">
        <v>66</v>
      </c>
      <c r="Y77" s="2" t="s">
        <v>65</v>
      </c>
      <c r="Z77" s="2" t="s">
        <v>444</v>
      </c>
      <c r="AA77" s="29"/>
      <c r="AB77" s="58">
        <v>932072</v>
      </c>
      <c r="AC77" s="59" t="s">
        <v>447</v>
      </c>
      <c r="AF77" s="2" t="s">
        <v>37</v>
      </c>
      <c r="AG77" s="2" t="s">
        <v>37</v>
      </c>
      <c r="AH77" s="2" t="s">
        <v>20</v>
      </c>
      <c r="AI77" s="2" t="s">
        <v>20</v>
      </c>
      <c r="AJ77" s="2" t="s">
        <v>19</v>
      </c>
      <c r="AL77" s="52"/>
    </row>
    <row r="78" spans="1:38" s="2" customFormat="1" ht="14.1" customHeight="1" x14ac:dyDescent="0.2">
      <c r="A78" s="66">
        <f t="shared" si="7"/>
        <v>102</v>
      </c>
      <c r="B78" s="3" t="s">
        <v>42</v>
      </c>
      <c r="C78" s="52" t="s">
        <v>615</v>
      </c>
      <c r="E78" s="70" t="s">
        <v>328</v>
      </c>
      <c r="F78" s="70" t="str">
        <f t="shared" si="11"/>
        <v>T8_STEP_1_HELP</v>
      </c>
      <c r="G78" s="2" t="s">
        <v>350</v>
      </c>
      <c r="J78" s="70"/>
      <c r="K78" s="3" t="s">
        <v>69</v>
      </c>
      <c r="L78" s="25" t="s">
        <v>100</v>
      </c>
      <c r="M78" s="3" t="s">
        <v>103</v>
      </c>
      <c r="N78" s="2" t="s">
        <v>523</v>
      </c>
      <c r="O78" s="2" t="s">
        <v>357</v>
      </c>
      <c r="Q78" s="70" t="s">
        <v>42</v>
      </c>
      <c r="R78" s="2" t="s">
        <v>91</v>
      </c>
      <c r="S78" s="70">
        <v>1</v>
      </c>
      <c r="T78" s="70">
        <v>6</v>
      </c>
      <c r="U78" s="70">
        <v>6</v>
      </c>
      <c r="V78" s="2" t="s">
        <v>32</v>
      </c>
      <c r="W78" s="2" t="s">
        <v>74</v>
      </c>
      <c r="X78" s="2" t="s">
        <v>66</v>
      </c>
      <c r="Y78" s="2" t="s">
        <v>65</v>
      </c>
      <c r="Z78" s="2">
        <v>13000</v>
      </c>
      <c r="AA78" s="29"/>
      <c r="AB78" s="60">
        <v>932081</v>
      </c>
      <c r="AC78" s="59" t="s">
        <v>448</v>
      </c>
      <c r="AF78" s="2" t="s">
        <v>37</v>
      </c>
      <c r="AG78" s="2" t="s">
        <v>37</v>
      </c>
      <c r="AH78" s="2" t="s">
        <v>20</v>
      </c>
      <c r="AI78" s="2" t="s">
        <v>20</v>
      </c>
      <c r="AJ78" s="2" t="s">
        <v>19</v>
      </c>
      <c r="AL78" s="52"/>
    </row>
    <row r="79" spans="1:38" s="2" customFormat="1" ht="14.1" customHeight="1" x14ac:dyDescent="0.2">
      <c r="A79" s="66">
        <f t="shared" si="7"/>
        <v>102</v>
      </c>
      <c r="B79" s="3" t="s">
        <v>43</v>
      </c>
      <c r="C79" s="52" t="s">
        <v>616</v>
      </c>
      <c r="E79" s="70" t="s">
        <v>329</v>
      </c>
      <c r="F79" s="70" t="str">
        <f t="shared" si="11"/>
        <v>T8_STEP_2_HELP</v>
      </c>
      <c r="G79" s="2" t="s">
        <v>350</v>
      </c>
      <c r="J79" s="70"/>
      <c r="K79" s="3" t="s">
        <v>69</v>
      </c>
      <c r="L79" s="25" t="s">
        <v>100</v>
      </c>
      <c r="M79" s="3" t="s">
        <v>103</v>
      </c>
      <c r="N79" s="2" t="s">
        <v>523</v>
      </c>
      <c r="O79" s="2" t="s">
        <v>357</v>
      </c>
      <c r="Q79" s="70" t="s">
        <v>43</v>
      </c>
      <c r="R79" s="2" t="s">
        <v>91</v>
      </c>
      <c r="S79" s="70">
        <v>1</v>
      </c>
      <c r="T79" s="70">
        <v>6</v>
      </c>
      <c r="U79" s="70">
        <v>6</v>
      </c>
      <c r="V79" s="2" t="s">
        <v>32</v>
      </c>
      <c r="W79" s="2" t="s">
        <v>74</v>
      </c>
      <c r="X79" s="2" t="s">
        <v>66</v>
      </c>
      <c r="Y79" s="2" t="s">
        <v>65</v>
      </c>
      <c r="Z79" s="2">
        <v>14300</v>
      </c>
      <c r="AA79" s="29"/>
      <c r="AB79" s="58">
        <v>932082</v>
      </c>
      <c r="AC79" s="59" t="s">
        <v>449</v>
      </c>
      <c r="AF79" s="2" t="s">
        <v>37</v>
      </c>
      <c r="AG79" s="2" t="s">
        <v>37</v>
      </c>
      <c r="AH79" s="2" t="s">
        <v>20</v>
      </c>
      <c r="AI79" s="2" t="s">
        <v>20</v>
      </c>
      <c r="AJ79" s="2" t="s">
        <v>19</v>
      </c>
      <c r="AL79" s="52"/>
    </row>
    <row r="80" spans="1:38" s="2" customFormat="1" ht="14.1" customHeight="1" x14ac:dyDescent="0.2">
      <c r="A80" s="66">
        <f t="shared" si="7"/>
        <v>102</v>
      </c>
      <c r="B80" s="3" t="s">
        <v>44</v>
      </c>
      <c r="C80" s="52" t="s">
        <v>617</v>
      </c>
      <c r="E80" s="70" t="s">
        <v>330</v>
      </c>
      <c r="F80" s="70" t="str">
        <f t="shared" si="11"/>
        <v>T8_STEP_3_HELP</v>
      </c>
      <c r="G80" s="2" t="s">
        <v>350</v>
      </c>
      <c r="J80" s="70"/>
      <c r="K80" s="3" t="s">
        <v>69</v>
      </c>
      <c r="L80" s="25" t="s">
        <v>100</v>
      </c>
      <c r="M80" s="3" t="s">
        <v>103</v>
      </c>
      <c r="N80" s="2" t="s">
        <v>523</v>
      </c>
      <c r="O80" s="2" t="s">
        <v>357</v>
      </c>
      <c r="Q80" s="70" t="s">
        <v>44</v>
      </c>
      <c r="R80" s="2" t="s">
        <v>91</v>
      </c>
      <c r="S80" s="70">
        <v>1</v>
      </c>
      <c r="T80" s="70">
        <v>6</v>
      </c>
      <c r="U80" s="70">
        <v>6</v>
      </c>
      <c r="V80" s="2" t="s">
        <v>32</v>
      </c>
      <c r="W80" s="2" t="s">
        <v>74</v>
      </c>
      <c r="X80" s="2" t="s">
        <v>66</v>
      </c>
      <c r="Y80" s="2" t="s">
        <v>65</v>
      </c>
      <c r="Z80" s="2">
        <v>15730</v>
      </c>
      <c r="AA80" s="29"/>
      <c r="AB80" s="60">
        <v>932083</v>
      </c>
      <c r="AC80" s="59" t="s">
        <v>450</v>
      </c>
      <c r="AF80" s="2" t="s">
        <v>37</v>
      </c>
      <c r="AG80" s="2" t="s">
        <v>37</v>
      </c>
      <c r="AH80" s="2" t="s">
        <v>20</v>
      </c>
      <c r="AI80" s="2" t="s">
        <v>20</v>
      </c>
      <c r="AJ80" s="2" t="s">
        <v>19</v>
      </c>
      <c r="AL80" s="52"/>
    </row>
    <row r="81" spans="1:38" s="2" customFormat="1" ht="14.1" customHeight="1" x14ac:dyDescent="0.2">
      <c r="A81" s="66">
        <f t="shared" si="7"/>
        <v>102</v>
      </c>
      <c r="B81" s="3" t="s">
        <v>45</v>
      </c>
      <c r="C81" s="52" t="s">
        <v>618</v>
      </c>
      <c r="E81" s="70" t="s">
        <v>331</v>
      </c>
      <c r="F81" s="70" t="str">
        <f t="shared" si="11"/>
        <v>T8_STEP_4_HELP</v>
      </c>
      <c r="G81" s="2" t="s">
        <v>350</v>
      </c>
      <c r="J81" s="70"/>
      <c r="K81" s="3" t="s">
        <v>69</v>
      </c>
      <c r="L81" s="25" t="s">
        <v>100</v>
      </c>
      <c r="M81" s="3" t="s">
        <v>103</v>
      </c>
      <c r="N81" s="2" t="s">
        <v>523</v>
      </c>
      <c r="O81" s="2" t="s">
        <v>357</v>
      </c>
      <c r="Q81" s="70" t="s">
        <v>45</v>
      </c>
      <c r="R81" s="2" t="s">
        <v>91</v>
      </c>
      <c r="S81" s="70">
        <v>1</v>
      </c>
      <c r="T81" s="70">
        <v>6</v>
      </c>
      <c r="U81" s="70">
        <v>6</v>
      </c>
      <c r="V81" s="2" t="s">
        <v>32</v>
      </c>
      <c r="W81" s="2" t="s">
        <v>74</v>
      </c>
      <c r="X81" s="2" t="s">
        <v>66</v>
      </c>
      <c r="Y81" s="2" t="s">
        <v>65</v>
      </c>
      <c r="Z81" s="2">
        <v>17303</v>
      </c>
      <c r="AA81" s="29"/>
      <c r="AB81" s="58">
        <v>932084</v>
      </c>
      <c r="AC81" s="59" t="s">
        <v>451</v>
      </c>
      <c r="AF81" s="2" t="s">
        <v>37</v>
      </c>
      <c r="AG81" s="2" t="s">
        <v>37</v>
      </c>
      <c r="AH81" s="2" t="s">
        <v>20</v>
      </c>
      <c r="AI81" s="2" t="s">
        <v>20</v>
      </c>
      <c r="AJ81" s="2" t="s">
        <v>19</v>
      </c>
      <c r="AL81" s="52"/>
    </row>
    <row r="82" spans="1:38" s="2" customFormat="1" ht="14.1" customHeight="1" x14ac:dyDescent="0.2">
      <c r="A82" s="66">
        <f t="shared" si="7"/>
        <v>102</v>
      </c>
      <c r="B82" s="3" t="s">
        <v>46</v>
      </c>
      <c r="C82" s="52" t="s">
        <v>619</v>
      </c>
      <c r="E82" s="70" t="s">
        <v>332</v>
      </c>
      <c r="F82" s="70" t="str">
        <f t="shared" si="11"/>
        <v>T8_STEP_5_HELP</v>
      </c>
      <c r="G82" s="2" t="s">
        <v>350</v>
      </c>
      <c r="J82" s="70"/>
      <c r="K82" s="3" t="s">
        <v>69</v>
      </c>
      <c r="L82" s="25" t="s">
        <v>100</v>
      </c>
      <c r="M82" s="3" t="s">
        <v>103</v>
      </c>
      <c r="N82" s="2" t="s">
        <v>523</v>
      </c>
      <c r="O82" s="2" t="s">
        <v>357</v>
      </c>
      <c r="Q82" s="70" t="s">
        <v>46</v>
      </c>
      <c r="R82" s="2" t="s">
        <v>91</v>
      </c>
      <c r="S82" s="70">
        <v>1</v>
      </c>
      <c r="T82" s="70">
        <v>6</v>
      </c>
      <c r="U82" s="70">
        <v>6</v>
      </c>
      <c r="V82" s="2" t="s">
        <v>32</v>
      </c>
      <c r="W82" s="2" t="s">
        <v>74</v>
      </c>
      <c r="X82" s="2" t="s">
        <v>66</v>
      </c>
      <c r="Y82" s="2" t="s">
        <v>65</v>
      </c>
      <c r="Z82" s="2">
        <v>19033</v>
      </c>
      <c r="AA82" s="29"/>
      <c r="AB82" s="60">
        <v>932085</v>
      </c>
      <c r="AC82" s="59" t="s">
        <v>452</v>
      </c>
      <c r="AF82" s="2" t="s">
        <v>37</v>
      </c>
      <c r="AG82" s="2" t="s">
        <v>37</v>
      </c>
      <c r="AH82" s="2" t="s">
        <v>20</v>
      </c>
      <c r="AI82" s="2" t="s">
        <v>20</v>
      </c>
      <c r="AJ82" s="2" t="s">
        <v>19</v>
      </c>
      <c r="AL82" s="52"/>
    </row>
    <row r="83" spans="1:38" s="2" customFormat="1" ht="14.1" customHeight="1" x14ac:dyDescent="0.2">
      <c r="A83" s="66">
        <f t="shared" si="7"/>
        <v>102</v>
      </c>
      <c r="B83" s="3" t="s">
        <v>47</v>
      </c>
      <c r="C83" s="52" t="s">
        <v>620</v>
      </c>
      <c r="E83" s="70" t="s">
        <v>333</v>
      </c>
      <c r="F83" s="70" t="str">
        <f>E83&amp;"_HELP"</f>
        <v>T8_STEP_6_HELP</v>
      </c>
      <c r="G83" s="2" t="s">
        <v>350</v>
      </c>
      <c r="J83" s="70"/>
      <c r="K83" s="3" t="s">
        <v>69</v>
      </c>
      <c r="L83" s="25" t="s">
        <v>100</v>
      </c>
      <c r="M83" s="3" t="s">
        <v>103</v>
      </c>
      <c r="N83" s="2" t="s">
        <v>523</v>
      </c>
      <c r="O83" s="2" t="s">
        <v>357</v>
      </c>
      <c r="Q83" s="70" t="s">
        <v>47</v>
      </c>
      <c r="R83" s="2" t="s">
        <v>91</v>
      </c>
      <c r="S83" s="70">
        <v>1</v>
      </c>
      <c r="T83" s="70">
        <v>6</v>
      </c>
      <c r="U83" s="70">
        <v>6</v>
      </c>
      <c r="V83" s="2" t="s">
        <v>32</v>
      </c>
      <c r="W83" s="2" t="s">
        <v>74</v>
      </c>
      <c r="X83" s="2" t="s">
        <v>66</v>
      </c>
      <c r="Y83" s="2" t="s">
        <v>65</v>
      </c>
      <c r="Z83" s="2">
        <v>20936</v>
      </c>
      <c r="AA83" s="30"/>
      <c r="AB83" s="58">
        <v>932086</v>
      </c>
      <c r="AC83" s="59" t="s">
        <v>453</v>
      </c>
      <c r="AF83" s="2" t="s">
        <v>37</v>
      </c>
      <c r="AG83" s="2" t="s">
        <v>37</v>
      </c>
      <c r="AH83" s="2" t="s">
        <v>20</v>
      </c>
      <c r="AI83" s="2" t="s">
        <v>20</v>
      </c>
      <c r="AJ83" s="2" t="s">
        <v>19</v>
      </c>
      <c r="AL83" s="52"/>
    </row>
    <row r="84" spans="1:38" s="2" customFormat="1" ht="14.1" customHeight="1" x14ac:dyDescent="0.2">
      <c r="A84" s="66">
        <f t="shared" si="7"/>
        <v>102</v>
      </c>
      <c r="B84" s="3" t="s">
        <v>48</v>
      </c>
      <c r="C84" s="52" t="s">
        <v>621</v>
      </c>
      <c r="E84" s="70" t="s">
        <v>334</v>
      </c>
      <c r="F84" s="70" t="str">
        <f t="shared" ref="F84:F87" si="12">E84&amp;"_HELP"</f>
        <v>T8_STEP_7_HELP</v>
      </c>
      <c r="G84" s="2" t="s">
        <v>350</v>
      </c>
      <c r="J84" s="70"/>
      <c r="K84" s="3" t="s">
        <v>69</v>
      </c>
      <c r="L84" s="25" t="s">
        <v>100</v>
      </c>
      <c r="M84" s="3" t="s">
        <v>103</v>
      </c>
      <c r="N84" s="2" t="s">
        <v>523</v>
      </c>
      <c r="O84" s="2" t="s">
        <v>357</v>
      </c>
      <c r="Q84" s="70" t="s">
        <v>48</v>
      </c>
      <c r="R84" s="2" t="s">
        <v>91</v>
      </c>
      <c r="S84" s="70">
        <v>1</v>
      </c>
      <c r="T84" s="70">
        <v>6</v>
      </c>
      <c r="U84" s="70">
        <v>6</v>
      </c>
      <c r="V84" s="2" t="s">
        <v>32</v>
      </c>
      <c r="W84" s="2" t="s">
        <v>74</v>
      </c>
      <c r="X84" s="2" t="s">
        <v>66</v>
      </c>
      <c r="Y84" s="2" t="s">
        <v>65</v>
      </c>
      <c r="Z84" s="2">
        <v>23029</v>
      </c>
      <c r="AA84" s="30"/>
      <c r="AB84" s="60">
        <v>932087</v>
      </c>
      <c r="AC84" s="59" t="s">
        <v>454</v>
      </c>
      <c r="AF84" s="2" t="s">
        <v>37</v>
      </c>
      <c r="AG84" s="2" t="s">
        <v>37</v>
      </c>
      <c r="AH84" s="2" t="s">
        <v>20</v>
      </c>
      <c r="AI84" s="2" t="s">
        <v>20</v>
      </c>
      <c r="AJ84" s="2" t="s">
        <v>19</v>
      </c>
      <c r="AL84" s="52"/>
    </row>
    <row r="85" spans="1:38" s="2" customFormat="1" ht="14.1" customHeight="1" x14ac:dyDescent="0.2">
      <c r="A85" s="66">
        <f t="shared" si="7"/>
        <v>102</v>
      </c>
      <c r="B85" s="3" t="s">
        <v>49</v>
      </c>
      <c r="C85" s="52" t="s">
        <v>622</v>
      </c>
      <c r="E85" s="70" t="s">
        <v>335</v>
      </c>
      <c r="F85" s="70" t="str">
        <f t="shared" si="12"/>
        <v>T8_STEP_8_HELP</v>
      </c>
      <c r="G85" s="2" t="s">
        <v>350</v>
      </c>
      <c r="J85" s="70"/>
      <c r="K85" s="3" t="s">
        <v>69</v>
      </c>
      <c r="L85" s="25" t="s">
        <v>100</v>
      </c>
      <c r="M85" s="3" t="s">
        <v>103</v>
      </c>
      <c r="N85" s="2" t="s">
        <v>523</v>
      </c>
      <c r="O85" s="2" t="s">
        <v>357</v>
      </c>
      <c r="Q85" s="70" t="s">
        <v>49</v>
      </c>
      <c r="R85" s="2" t="s">
        <v>91</v>
      </c>
      <c r="S85" s="70">
        <v>1</v>
      </c>
      <c r="T85" s="70">
        <v>6</v>
      </c>
      <c r="U85" s="70">
        <v>6</v>
      </c>
      <c r="V85" s="2" t="s">
        <v>32</v>
      </c>
      <c r="W85" s="2" t="s">
        <v>74</v>
      </c>
      <c r="X85" s="2" t="s">
        <v>66</v>
      </c>
      <c r="Y85" s="2" t="s">
        <v>65</v>
      </c>
      <c r="Z85" s="2">
        <v>25331</v>
      </c>
      <c r="AA85" s="30"/>
      <c r="AB85" s="58">
        <v>932088</v>
      </c>
      <c r="AC85" s="59" t="s">
        <v>455</v>
      </c>
      <c r="AF85" s="2" t="s">
        <v>37</v>
      </c>
      <c r="AG85" s="2" t="s">
        <v>37</v>
      </c>
      <c r="AH85" s="2" t="s">
        <v>20</v>
      </c>
      <c r="AI85" s="2" t="s">
        <v>20</v>
      </c>
      <c r="AJ85" s="2" t="s">
        <v>19</v>
      </c>
      <c r="AL85" s="52"/>
    </row>
    <row r="86" spans="1:38" s="2" customFormat="1" ht="14.1" customHeight="1" x14ac:dyDescent="0.2">
      <c r="A86" s="66">
        <f t="shared" si="7"/>
        <v>102</v>
      </c>
      <c r="B86" s="3" t="s">
        <v>50</v>
      </c>
      <c r="C86" s="52" t="s">
        <v>623</v>
      </c>
      <c r="E86" s="70" t="s">
        <v>336</v>
      </c>
      <c r="F86" s="70" t="str">
        <f t="shared" si="12"/>
        <v>T8_STEP_9_HELP</v>
      </c>
      <c r="G86" s="2" t="s">
        <v>350</v>
      </c>
      <c r="J86" s="70"/>
      <c r="K86" s="3" t="s">
        <v>69</v>
      </c>
      <c r="L86" s="25" t="s">
        <v>100</v>
      </c>
      <c r="M86" s="3" t="s">
        <v>103</v>
      </c>
      <c r="N86" s="2" t="s">
        <v>523</v>
      </c>
      <c r="O86" s="2" t="s">
        <v>357</v>
      </c>
      <c r="Q86" s="70" t="s">
        <v>50</v>
      </c>
      <c r="R86" s="2" t="s">
        <v>91</v>
      </c>
      <c r="S86" s="70">
        <v>1</v>
      </c>
      <c r="T86" s="70">
        <v>6</v>
      </c>
      <c r="U86" s="70">
        <v>6</v>
      </c>
      <c r="V86" s="2" t="s">
        <v>32</v>
      </c>
      <c r="W86" s="2" t="s">
        <v>74</v>
      </c>
      <c r="X86" s="2" t="s">
        <v>66</v>
      </c>
      <c r="Y86" s="2" t="s">
        <v>65</v>
      </c>
      <c r="Z86" s="2">
        <v>27864</v>
      </c>
      <c r="AA86" s="30"/>
      <c r="AB86" s="60">
        <v>932089</v>
      </c>
      <c r="AC86" s="59" t="s">
        <v>456</v>
      </c>
      <c r="AF86" s="2" t="s">
        <v>37</v>
      </c>
      <c r="AG86" s="2" t="s">
        <v>37</v>
      </c>
      <c r="AH86" s="2" t="s">
        <v>20</v>
      </c>
      <c r="AI86" s="2" t="s">
        <v>20</v>
      </c>
      <c r="AJ86" s="2" t="s">
        <v>19</v>
      </c>
      <c r="AL86" s="52"/>
    </row>
    <row r="87" spans="1:38" s="2" customFormat="1" ht="14.1" customHeight="1" x14ac:dyDescent="0.2">
      <c r="A87" s="66">
        <f t="shared" si="7"/>
        <v>102</v>
      </c>
      <c r="B87" s="3" t="s">
        <v>51</v>
      </c>
      <c r="C87" s="52" t="s">
        <v>624</v>
      </c>
      <c r="E87" s="70" t="s">
        <v>337</v>
      </c>
      <c r="F87" s="70" t="str">
        <f t="shared" si="12"/>
        <v>T8_STEP_10_HELP</v>
      </c>
      <c r="G87" s="2" t="s">
        <v>350</v>
      </c>
      <c r="J87" s="70"/>
      <c r="K87" s="3" t="s">
        <v>69</v>
      </c>
      <c r="L87" s="25" t="s">
        <v>100</v>
      </c>
      <c r="M87" s="3" t="s">
        <v>103</v>
      </c>
      <c r="N87" s="2" t="s">
        <v>523</v>
      </c>
      <c r="O87" s="2" t="s">
        <v>357</v>
      </c>
      <c r="Q87" s="70" t="s">
        <v>51</v>
      </c>
      <c r="R87" s="2" t="s">
        <v>91</v>
      </c>
      <c r="S87" s="70">
        <v>1</v>
      </c>
      <c r="T87" s="70">
        <v>6</v>
      </c>
      <c r="U87" s="70">
        <v>6</v>
      </c>
      <c r="V87" s="2" t="s">
        <v>32</v>
      </c>
      <c r="W87" s="2" t="s">
        <v>74</v>
      </c>
      <c r="X87" s="2" t="s">
        <v>66</v>
      </c>
      <c r="Y87" s="2" t="s">
        <v>65</v>
      </c>
      <c r="Z87" s="2">
        <v>30650</v>
      </c>
      <c r="AA87" s="30"/>
      <c r="AB87" s="58">
        <v>932090</v>
      </c>
      <c r="AC87" s="59" t="s">
        <v>457</v>
      </c>
      <c r="AF87" s="2" t="s">
        <v>37</v>
      </c>
      <c r="AG87" s="2" t="s">
        <v>37</v>
      </c>
      <c r="AH87" s="2" t="s">
        <v>20</v>
      </c>
      <c r="AI87" s="2" t="s">
        <v>20</v>
      </c>
      <c r="AJ87" s="2" t="s">
        <v>19</v>
      </c>
      <c r="AL87" s="52"/>
    </row>
    <row r="88" spans="1:38" s="2" customFormat="1" ht="13.5" customHeight="1" x14ac:dyDescent="0.2">
      <c r="A88" s="66">
        <f t="shared" si="7"/>
        <v>103</v>
      </c>
      <c r="B88" s="3" t="s">
        <v>38</v>
      </c>
      <c r="C88" s="52" t="s">
        <v>625</v>
      </c>
      <c r="E88" s="70" t="s">
        <v>324</v>
      </c>
      <c r="F88" s="70" t="str">
        <f t="shared" ref="F88:F96" si="13">E88&amp;"_HELP"</f>
        <v>T6_STEP_1_HELP</v>
      </c>
      <c r="G88" s="2" t="s">
        <v>350</v>
      </c>
      <c r="I88" s="2" t="s">
        <v>133</v>
      </c>
      <c r="J88" s="70"/>
      <c r="K88" s="3" t="s">
        <v>70</v>
      </c>
      <c r="L88" s="25" t="s">
        <v>106</v>
      </c>
      <c r="M88" s="26" t="s">
        <v>108</v>
      </c>
      <c r="N88" s="2" t="s">
        <v>523</v>
      </c>
      <c r="O88" s="2" t="s">
        <v>358</v>
      </c>
      <c r="Q88" s="70" t="s">
        <v>38</v>
      </c>
      <c r="R88" s="2" t="s">
        <v>104</v>
      </c>
      <c r="S88" s="70">
        <v>1</v>
      </c>
      <c r="T88" s="70">
        <v>6</v>
      </c>
      <c r="U88" s="70">
        <v>6</v>
      </c>
      <c r="V88" s="2" t="s">
        <v>31</v>
      </c>
      <c r="W88" s="2" t="s">
        <v>74</v>
      </c>
      <c r="X88" s="2" t="s">
        <v>67</v>
      </c>
      <c r="Y88" s="2" t="s">
        <v>65</v>
      </c>
      <c r="Z88" s="2" t="s">
        <v>425</v>
      </c>
      <c r="AA88" s="29"/>
      <c r="AB88" s="58">
        <v>933061</v>
      </c>
      <c r="AC88" s="59" t="s">
        <v>458</v>
      </c>
      <c r="AF88" s="2" t="s">
        <v>37</v>
      </c>
      <c r="AG88" s="2" t="s">
        <v>37</v>
      </c>
      <c r="AH88" s="2" t="s">
        <v>20</v>
      </c>
      <c r="AI88" s="2" t="s">
        <v>20</v>
      </c>
      <c r="AJ88" s="2" t="s">
        <v>36</v>
      </c>
      <c r="AL88" s="52"/>
    </row>
    <row r="89" spans="1:38" s="2" customFormat="1" ht="14.1" customHeight="1" x14ac:dyDescent="0.2">
      <c r="A89" s="66">
        <f t="shared" si="7"/>
        <v>103</v>
      </c>
      <c r="B89" s="3" t="s">
        <v>39</v>
      </c>
      <c r="C89" s="52" t="s">
        <v>626</v>
      </c>
      <c r="E89" s="70" t="s">
        <v>325</v>
      </c>
      <c r="F89" s="70" t="str">
        <f t="shared" si="13"/>
        <v>T6_STEP_2_HELP</v>
      </c>
      <c r="G89" s="2" t="s">
        <v>350</v>
      </c>
      <c r="J89" s="70"/>
      <c r="K89" s="3" t="s">
        <v>70</v>
      </c>
      <c r="L89" s="25" t="s">
        <v>106</v>
      </c>
      <c r="M89" s="26" t="s">
        <v>108</v>
      </c>
      <c r="N89" s="2" t="s">
        <v>523</v>
      </c>
      <c r="O89" s="2" t="s">
        <v>358</v>
      </c>
      <c r="Q89" s="70" t="s">
        <v>39</v>
      </c>
      <c r="R89" s="2" t="s">
        <v>104</v>
      </c>
      <c r="S89" s="70">
        <v>1</v>
      </c>
      <c r="T89" s="70">
        <v>6</v>
      </c>
      <c r="U89" s="70">
        <v>6</v>
      </c>
      <c r="V89" s="2" t="s">
        <v>31</v>
      </c>
      <c r="W89" s="2" t="s">
        <v>74</v>
      </c>
      <c r="X89" s="2" t="s">
        <v>67</v>
      </c>
      <c r="Y89" s="2" t="s">
        <v>65</v>
      </c>
      <c r="Z89" s="2" t="s">
        <v>443</v>
      </c>
      <c r="AA89" s="29"/>
      <c r="AB89" s="58">
        <v>933062</v>
      </c>
      <c r="AC89" s="59" t="s">
        <v>458</v>
      </c>
      <c r="AF89" s="2" t="s">
        <v>37</v>
      </c>
      <c r="AG89" s="2" t="s">
        <v>37</v>
      </c>
      <c r="AH89" s="2" t="s">
        <v>20</v>
      </c>
      <c r="AI89" s="2" t="s">
        <v>20</v>
      </c>
      <c r="AJ89" s="2" t="s">
        <v>36</v>
      </c>
      <c r="AL89" s="52"/>
    </row>
    <row r="90" spans="1:38" s="2" customFormat="1" ht="14.1" customHeight="1" x14ac:dyDescent="0.2">
      <c r="A90" s="66">
        <f t="shared" si="7"/>
        <v>103</v>
      </c>
      <c r="B90" s="3" t="s">
        <v>40</v>
      </c>
      <c r="C90" s="52" t="s">
        <v>627</v>
      </c>
      <c r="E90" s="70" t="s">
        <v>326</v>
      </c>
      <c r="F90" s="70" t="str">
        <f t="shared" si="13"/>
        <v>T7_STEP_1_HELP</v>
      </c>
      <c r="G90" s="2" t="s">
        <v>350</v>
      </c>
      <c r="J90" s="70"/>
      <c r="K90" s="3" t="s">
        <v>70</v>
      </c>
      <c r="L90" s="25" t="s">
        <v>106</v>
      </c>
      <c r="M90" s="26" t="s">
        <v>108</v>
      </c>
      <c r="N90" s="2" t="s">
        <v>523</v>
      </c>
      <c r="O90" s="2" t="s">
        <v>358</v>
      </c>
      <c r="Q90" s="70" t="s">
        <v>40</v>
      </c>
      <c r="R90" s="2" t="s">
        <v>104</v>
      </c>
      <c r="S90" s="70">
        <v>1</v>
      </c>
      <c r="T90" s="70">
        <v>6</v>
      </c>
      <c r="U90" s="70">
        <v>6</v>
      </c>
      <c r="V90" s="2" t="s">
        <v>31</v>
      </c>
      <c r="W90" s="2" t="s">
        <v>74</v>
      </c>
      <c r="X90" s="2" t="s">
        <v>67</v>
      </c>
      <c r="Y90" s="2" t="s">
        <v>65</v>
      </c>
      <c r="Z90" s="2" t="s">
        <v>426</v>
      </c>
      <c r="AA90" s="29"/>
      <c r="AB90" s="58">
        <v>933071</v>
      </c>
      <c r="AC90" s="59" t="s">
        <v>459</v>
      </c>
      <c r="AF90" s="2" t="s">
        <v>37</v>
      </c>
      <c r="AG90" s="2" t="s">
        <v>37</v>
      </c>
      <c r="AH90" s="2" t="s">
        <v>20</v>
      </c>
      <c r="AI90" s="2" t="s">
        <v>20</v>
      </c>
      <c r="AJ90" s="2" t="s">
        <v>36</v>
      </c>
      <c r="AL90" s="52"/>
    </row>
    <row r="91" spans="1:38" s="2" customFormat="1" ht="14.1" customHeight="1" x14ac:dyDescent="0.2">
      <c r="A91" s="66">
        <f t="shared" si="7"/>
        <v>103</v>
      </c>
      <c r="B91" s="3" t="s">
        <v>41</v>
      </c>
      <c r="C91" s="52" t="s">
        <v>628</v>
      </c>
      <c r="E91" s="70" t="s">
        <v>327</v>
      </c>
      <c r="F91" s="70" t="str">
        <f t="shared" si="13"/>
        <v>T7_STEP_2_HELP</v>
      </c>
      <c r="G91" s="2" t="s">
        <v>350</v>
      </c>
      <c r="J91" s="70"/>
      <c r="K91" s="3" t="s">
        <v>70</v>
      </c>
      <c r="L91" s="25" t="s">
        <v>106</v>
      </c>
      <c r="M91" s="26" t="s">
        <v>108</v>
      </c>
      <c r="N91" s="2" t="s">
        <v>523</v>
      </c>
      <c r="O91" s="2" t="s">
        <v>358</v>
      </c>
      <c r="Q91" s="70" t="s">
        <v>41</v>
      </c>
      <c r="R91" s="2" t="s">
        <v>104</v>
      </c>
      <c r="S91" s="70">
        <v>1</v>
      </c>
      <c r="T91" s="70">
        <v>6</v>
      </c>
      <c r="U91" s="70">
        <v>6</v>
      </c>
      <c r="V91" s="2" t="s">
        <v>31</v>
      </c>
      <c r="W91" s="2" t="s">
        <v>74</v>
      </c>
      <c r="X91" s="2" t="s">
        <v>67</v>
      </c>
      <c r="Y91" s="2" t="s">
        <v>65</v>
      </c>
      <c r="Z91" s="2" t="s">
        <v>444</v>
      </c>
      <c r="AA91" s="29"/>
      <c r="AB91" s="58">
        <v>933072</v>
      </c>
      <c r="AC91" s="59" t="s">
        <v>460</v>
      </c>
      <c r="AF91" s="2" t="s">
        <v>37</v>
      </c>
      <c r="AG91" s="2" t="s">
        <v>37</v>
      </c>
      <c r="AH91" s="2" t="s">
        <v>20</v>
      </c>
      <c r="AI91" s="2" t="s">
        <v>20</v>
      </c>
      <c r="AJ91" s="2" t="s">
        <v>36</v>
      </c>
      <c r="AL91" s="52"/>
    </row>
    <row r="92" spans="1:38" s="2" customFormat="1" ht="14.1" customHeight="1" x14ac:dyDescent="0.2">
      <c r="A92" s="66">
        <f t="shared" ref="A92:A115" si="14">A36+100</f>
        <v>103</v>
      </c>
      <c r="B92" s="3" t="s">
        <v>42</v>
      </c>
      <c r="C92" s="52" t="s">
        <v>629</v>
      </c>
      <c r="E92" s="70" t="s">
        <v>328</v>
      </c>
      <c r="F92" s="70" t="str">
        <f t="shared" si="13"/>
        <v>T8_STEP_1_HELP</v>
      </c>
      <c r="G92" s="2" t="s">
        <v>350</v>
      </c>
      <c r="J92" s="70"/>
      <c r="K92" s="3" t="s">
        <v>70</v>
      </c>
      <c r="L92" s="25" t="s">
        <v>106</v>
      </c>
      <c r="M92" s="26" t="s">
        <v>108</v>
      </c>
      <c r="N92" s="2" t="s">
        <v>523</v>
      </c>
      <c r="O92" s="2" t="s">
        <v>358</v>
      </c>
      <c r="Q92" s="70" t="s">
        <v>42</v>
      </c>
      <c r="R92" s="2" t="s">
        <v>104</v>
      </c>
      <c r="S92" s="70">
        <v>1</v>
      </c>
      <c r="T92" s="70">
        <v>6</v>
      </c>
      <c r="U92" s="70">
        <v>6</v>
      </c>
      <c r="V92" s="2" t="s">
        <v>31</v>
      </c>
      <c r="W92" s="2" t="s">
        <v>74</v>
      </c>
      <c r="X92" s="2" t="s">
        <v>67</v>
      </c>
      <c r="Y92" s="2" t="s">
        <v>65</v>
      </c>
      <c r="Z92" s="2">
        <v>13000</v>
      </c>
      <c r="AA92" s="29"/>
      <c r="AB92" s="58">
        <v>933081</v>
      </c>
      <c r="AC92" s="59" t="s">
        <v>461</v>
      </c>
      <c r="AF92" s="2" t="s">
        <v>37</v>
      </c>
      <c r="AG92" s="2" t="s">
        <v>37</v>
      </c>
      <c r="AH92" s="2" t="s">
        <v>20</v>
      </c>
      <c r="AI92" s="2" t="s">
        <v>20</v>
      </c>
      <c r="AJ92" s="2" t="s">
        <v>36</v>
      </c>
      <c r="AL92" s="52"/>
    </row>
    <row r="93" spans="1:38" s="2" customFormat="1" ht="14.1" customHeight="1" x14ac:dyDescent="0.2">
      <c r="A93" s="66">
        <f t="shared" si="14"/>
        <v>103</v>
      </c>
      <c r="B93" s="3" t="s">
        <v>43</v>
      </c>
      <c r="C93" s="52" t="s">
        <v>630</v>
      </c>
      <c r="E93" s="70" t="s">
        <v>329</v>
      </c>
      <c r="F93" s="70" t="str">
        <f t="shared" si="13"/>
        <v>T8_STEP_2_HELP</v>
      </c>
      <c r="G93" s="2" t="s">
        <v>350</v>
      </c>
      <c r="J93" s="70"/>
      <c r="K93" s="3" t="s">
        <v>70</v>
      </c>
      <c r="L93" s="25" t="s">
        <v>106</v>
      </c>
      <c r="M93" s="26" t="s">
        <v>108</v>
      </c>
      <c r="N93" s="2" t="s">
        <v>523</v>
      </c>
      <c r="O93" s="2" t="s">
        <v>358</v>
      </c>
      <c r="Q93" s="70" t="s">
        <v>43</v>
      </c>
      <c r="R93" s="2" t="s">
        <v>104</v>
      </c>
      <c r="S93" s="70">
        <v>1</v>
      </c>
      <c r="T93" s="70">
        <v>6</v>
      </c>
      <c r="U93" s="70">
        <v>6</v>
      </c>
      <c r="V93" s="2" t="s">
        <v>31</v>
      </c>
      <c r="W93" s="2" t="s">
        <v>74</v>
      </c>
      <c r="X93" s="2" t="s">
        <v>67</v>
      </c>
      <c r="Y93" s="2" t="s">
        <v>65</v>
      </c>
      <c r="Z93" s="2">
        <v>14300</v>
      </c>
      <c r="AA93" s="29"/>
      <c r="AB93" s="58">
        <v>933082</v>
      </c>
      <c r="AC93" s="59" t="s">
        <v>462</v>
      </c>
      <c r="AF93" s="2" t="s">
        <v>37</v>
      </c>
      <c r="AG93" s="2" t="s">
        <v>37</v>
      </c>
      <c r="AH93" s="2" t="s">
        <v>20</v>
      </c>
      <c r="AI93" s="2" t="s">
        <v>20</v>
      </c>
      <c r="AJ93" s="2" t="s">
        <v>36</v>
      </c>
      <c r="AL93" s="52"/>
    </row>
    <row r="94" spans="1:38" s="2" customFormat="1" ht="14.1" customHeight="1" x14ac:dyDescent="0.2">
      <c r="A94" s="66">
        <f t="shared" si="14"/>
        <v>103</v>
      </c>
      <c r="B94" s="3" t="s">
        <v>44</v>
      </c>
      <c r="C94" s="52" t="s">
        <v>631</v>
      </c>
      <c r="E94" s="70" t="s">
        <v>330</v>
      </c>
      <c r="F94" s="70" t="str">
        <f t="shared" si="13"/>
        <v>T8_STEP_3_HELP</v>
      </c>
      <c r="G94" s="2" t="s">
        <v>350</v>
      </c>
      <c r="J94" s="70"/>
      <c r="K94" s="3" t="s">
        <v>70</v>
      </c>
      <c r="L94" s="25" t="s">
        <v>106</v>
      </c>
      <c r="M94" s="26" t="s">
        <v>108</v>
      </c>
      <c r="N94" s="2" t="s">
        <v>523</v>
      </c>
      <c r="O94" s="2" t="s">
        <v>358</v>
      </c>
      <c r="Q94" s="70" t="s">
        <v>44</v>
      </c>
      <c r="R94" s="2" t="s">
        <v>104</v>
      </c>
      <c r="S94" s="70">
        <v>1</v>
      </c>
      <c r="T94" s="70">
        <v>6</v>
      </c>
      <c r="U94" s="70">
        <v>6</v>
      </c>
      <c r="V94" s="2" t="s">
        <v>31</v>
      </c>
      <c r="W94" s="2" t="s">
        <v>74</v>
      </c>
      <c r="X94" s="2" t="s">
        <v>67</v>
      </c>
      <c r="Y94" s="2" t="s">
        <v>65</v>
      </c>
      <c r="Z94" s="2">
        <v>15730</v>
      </c>
      <c r="AA94" s="29"/>
      <c r="AB94" s="58">
        <v>933083</v>
      </c>
      <c r="AC94" s="59" t="s">
        <v>463</v>
      </c>
      <c r="AF94" s="2" t="s">
        <v>37</v>
      </c>
      <c r="AG94" s="2" t="s">
        <v>37</v>
      </c>
      <c r="AH94" s="2" t="s">
        <v>20</v>
      </c>
      <c r="AI94" s="2" t="s">
        <v>20</v>
      </c>
      <c r="AJ94" s="2" t="s">
        <v>36</v>
      </c>
      <c r="AL94" s="52"/>
    </row>
    <row r="95" spans="1:38" s="2" customFormat="1" ht="14.1" customHeight="1" x14ac:dyDescent="0.2">
      <c r="A95" s="66">
        <f t="shared" si="14"/>
        <v>103</v>
      </c>
      <c r="B95" s="3" t="s">
        <v>45</v>
      </c>
      <c r="C95" s="52" t="s">
        <v>632</v>
      </c>
      <c r="E95" s="70" t="s">
        <v>331</v>
      </c>
      <c r="F95" s="70" t="str">
        <f t="shared" si="13"/>
        <v>T8_STEP_4_HELP</v>
      </c>
      <c r="G95" s="2" t="s">
        <v>350</v>
      </c>
      <c r="J95" s="70"/>
      <c r="K95" s="3" t="s">
        <v>70</v>
      </c>
      <c r="L95" s="25" t="s">
        <v>106</v>
      </c>
      <c r="M95" s="26" t="s">
        <v>108</v>
      </c>
      <c r="N95" s="2" t="s">
        <v>523</v>
      </c>
      <c r="O95" s="2" t="s">
        <v>358</v>
      </c>
      <c r="Q95" s="70" t="s">
        <v>45</v>
      </c>
      <c r="R95" s="2" t="s">
        <v>104</v>
      </c>
      <c r="S95" s="70">
        <v>1</v>
      </c>
      <c r="T95" s="70">
        <v>6</v>
      </c>
      <c r="U95" s="70">
        <v>6</v>
      </c>
      <c r="V95" s="2" t="s">
        <v>31</v>
      </c>
      <c r="W95" s="2" t="s">
        <v>74</v>
      </c>
      <c r="X95" s="2" t="s">
        <v>67</v>
      </c>
      <c r="Y95" s="2" t="s">
        <v>65</v>
      </c>
      <c r="Z95" s="2">
        <v>17303</v>
      </c>
      <c r="AA95" s="29"/>
      <c r="AB95" s="58">
        <v>933084</v>
      </c>
      <c r="AC95" s="59" t="s">
        <v>464</v>
      </c>
      <c r="AF95" s="2" t="s">
        <v>37</v>
      </c>
      <c r="AG95" s="2" t="s">
        <v>37</v>
      </c>
      <c r="AH95" s="2" t="s">
        <v>20</v>
      </c>
      <c r="AI95" s="2" t="s">
        <v>20</v>
      </c>
      <c r="AJ95" s="2" t="s">
        <v>36</v>
      </c>
      <c r="AL95" s="52"/>
    </row>
    <row r="96" spans="1:38" s="2" customFormat="1" ht="14.1" customHeight="1" x14ac:dyDescent="0.2">
      <c r="A96" s="66">
        <f t="shared" si="14"/>
        <v>103</v>
      </c>
      <c r="B96" s="3" t="s">
        <v>46</v>
      </c>
      <c r="C96" s="52" t="s">
        <v>633</v>
      </c>
      <c r="E96" s="70" t="s">
        <v>332</v>
      </c>
      <c r="F96" s="70" t="str">
        <f t="shared" si="13"/>
        <v>T8_STEP_5_HELP</v>
      </c>
      <c r="G96" s="2" t="s">
        <v>350</v>
      </c>
      <c r="J96" s="70"/>
      <c r="K96" s="3" t="s">
        <v>70</v>
      </c>
      <c r="L96" s="25" t="s">
        <v>106</v>
      </c>
      <c r="M96" s="26" t="s">
        <v>108</v>
      </c>
      <c r="N96" s="2" t="s">
        <v>523</v>
      </c>
      <c r="O96" s="2" t="s">
        <v>358</v>
      </c>
      <c r="Q96" s="70" t="s">
        <v>46</v>
      </c>
      <c r="R96" s="2" t="s">
        <v>104</v>
      </c>
      <c r="S96" s="70">
        <v>1</v>
      </c>
      <c r="T96" s="70">
        <v>6</v>
      </c>
      <c r="U96" s="70">
        <v>6</v>
      </c>
      <c r="V96" s="2" t="s">
        <v>31</v>
      </c>
      <c r="W96" s="2" t="s">
        <v>74</v>
      </c>
      <c r="X96" s="2" t="s">
        <v>67</v>
      </c>
      <c r="Y96" s="2" t="s">
        <v>65</v>
      </c>
      <c r="Z96" s="2">
        <v>19033</v>
      </c>
      <c r="AA96" s="29"/>
      <c r="AB96" s="58">
        <v>933085</v>
      </c>
      <c r="AC96" s="59" t="s">
        <v>465</v>
      </c>
      <c r="AF96" s="2" t="s">
        <v>37</v>
      </c>
      <c r="AG96" s="2" t="s">
        <v>37</v>
      </c>
      <c r="AH96" s="2" t="s">
        <v>20</v>
      </c>
      <c r="AI96" s="2" t="s">
        <v>20</v>
      </c>
      <c r="AJ96" s="2" t="s">
        <v>36</v>
      </c>
      <c r="AL96" s="52"/>
    </row>
    <row r="97" spans="1:38" s="2" customFormat="1" ht="14.1" customHeight="1" x14ac:dyDescent="0.2">
      <c r="A97" s="66">
        <f t="shared" si="14"/>
        <v>103</v>
      </c>
      <c r="B97" s="3" t="s">
        <v>47</v>
      </c>
      <c r="C97" s="52" t="s">
        <v>634</v>
      </c>
      <c r="E97" s="70" t="s">
        <v>333</v>
      </c>
      <c r="F97" s="70" t="str">
        <f>E97&amp;"_HELP"</f>
        <v>T8_STEP_6_HELP</v>
      </c>
      <c r="G97" s="2" t="s">
        <v>350</v>
      </c>
      <c r="J97" s="70"/>
      <c r="K97" s="3" t="s">
        <v>70</v>
      </c>
      <c r="L97" s="25" t="s">
        <v>106</v>
      </c>
      <c r="M97" s="26" t="s">
        <v>108</v>
      </c>
      <c r="N97" s="2" t="s">
        <v>523</v>
      </c>
      <c r="O97" s="2" t="s">
        <v>358</v>
      </c>
      <c r="Q97" s="70" t="s">
        <v>47</v>
      </c>
      <c r="R97" s="2" t="s">
        <v>104</v>
      </c>
      <c r="S97" s="70">
        <v>1</v>
      </c>
      <c r="T97" s="70">
        <v>6</v>
      </c>
      <c r="U97" s="70">
        <v>6</v>
      </c>
      <c r="V97" s="2" t="s">
        <v>31</v>
      </c>
      <c r="W97" s="2" t="s">
        <v>74</v>
      </c>
      <c r="X97" s="2" t="s">
        <v>67</v>
      </c>
      <c r="Y97" s="2" t="s">
        <v>65</v>
      </c>
      <c r="Z97" s="2">
        <v>20936</v>
      </c>
      <c r="AA97" s="30"/>
      <c r="AB97" s="58">
        <v>933086</v>
      </c>
      <c r="AC97" s="59" t="s">
        <v>466</v>
      </c>
      <c r="AF97" s="2" t="s">
        <v>37</v>
      </c>
      <c r="AG97" s="2" t="s">
        <v>37</v>
      </c>
      <c r="AH97" s="2" t="s">
        <v>20</v>
      </c>
      <c r="AI97" s="2" t="s">
        <v>20</v>
      </c>
      <c r="AJ97" s="2" t="s">
        <v>36</v>
      </c>
      <c r="AL97" s="52"/>
    </row>
    <row r="98" spans="1:38" s="2" customFormat="1" ht="14.1" customHeight="1" x14ac:dyDescent="0.2">
      <c r="A98" s="66">
        <f t="shared" si="14"/>
        <v>103</v>
      </c>
      <c r="B98" s="3" t="s">
        <v>48</v>
      </c>
      <c r="C98" s="52" t="s">
        <v>635</v>
      </c>
      <c r="E98" s="70" t="s">
        <v>334</v>
      </c>
      <c r="F98" s="70" t="str">
        <f t="shared" ref="F98:F101" si="15">E98&amp;"_HELP"</f>
        <v>T8_STEP_7_HELP</v>
      </c>
      <c r="G98" s="2" t="s">
        <v>350</v>
      </c>
      <c r="J98" s="70"/>
      <c r="K98" s="3" t="s">
        <v>70</v>
      </c>
      <c r="L98" s="25" t="s">
        <v>106</v>
      </c>
      <c r="M98" s="26" t="s">
        <v>108</v>
      </c>
      <c r="N98" s="2" t="s">
        <v>523</v>
      </c>
      <c r="O98" s="2" t="s">
        <v>358</v>
      </c>
      <c r="Q98" s="70" t="s">
        <v>48</v>
      </c>
      <c r="R98" s="2" t="s">
        <v>104</v>
      </c>
      <c r="S98" s="70">
        <v>1</v>
      </c>
      <c r="T98" s="70">
        <v>6</v>
      </c>
      <c r="U98" s="70">
        <v>6</v>
      </c>
      <c r="V98" s="2" t="s">
        <v>31</v>
      </c>
      <c r="W98" s="2" t="s">
        <v>74</v>
      </c>
      <c r="X98" s="2" t="s">
        <v>67</v>
      </c>
      <c r="Y98" s="2" t="s">
        <v>65</v>
      </c>
      <c r="Z98" s="2">
        <v>23029</v>
      </c>
      <c r="AA98" s="30"/>
      <c r="AB98" s="58">
        <v>933087</v>
      </c>
      <c r="AC98" s="59" t="s">
        <v>467</v>
      </c>
      <c r="AF98" s="2" t="s">
        <v>37</v>
      </c>
      <c r="AG98" s="2" t="s">
        <v>37</v>
      </c>
      <c r="AH98" s="2" t="s">
        <v>20</v>
      </c>
      <c r="AI98" s="2" t="s">
        <v>20</v>
      </c>
      <c r="AJ98" s="2" t="s">
        <v>36</v>
      </c>
      <c r="AL98" s="52"/>
    </row>
    <row r="99" spans="1:38" s="2" customFormat="1" ht="14.1" customHeight="1" x14ac:dyDescent="0.2">
      <c r="A99" s="66">
        <f t="shared" si="14"/>
        <v>103</v>
      </c>
      <c r="B99" s="3" t="s">
        <v>49</v>
      </c>
      <c r="C99" s="52" t="s">
        <v>636</v>
      </c>
      <c r="E99" s="70" t="s">
        <v>335</v>
      </c>
      <c r="F99" s="70" t="str">
        <f t="shared" si="15"/>
        <v>T8_STEP_8_HELP</v>
      </c>
      <c r="G99" s="2" t="s">
        <v>350</v>
      </c>
      <c r="J99" s="70"/>
      <c r="K99" s="3" t="s">
        <v>70</v>
      </c>
      <c r="L99" s="25" t="s">
        <v>106</v>
      </c>
      <c r="M99" s="26" t="s">
        <v>108</v>
      </c>
      <c r="N99" s="2" t="s">
        <v>523</v>
      </c>
      <c r="O99" s="2" t="s">
        <v>358</v>
      </c>
      <c r="Q99" s="70" t="s">
        <v>49</v>
      </c>
      <c r="R99" s="2" t="s">
        <v>104</v>
      </c>
      <c r="S99" s="70">
        <v>1</v>
      </c>
      <c r="T99" s="70">
        <v>6</v>
      </c>
      <c r="U99" s="70">
        <v>6</v>
      </c>
      <c r="V99" s="2" t="s">
        <v>31</v>
      </c>
      <c r="W99" s="2" t="s">
        <v>74</v>
      </c>
      <c r="X99" s="2" t="s">
        <v>67</v>
      </c>
      <c r="Y99" s="2" t="s">
        <v>65</v>
      </c>
      <c r="Z99" s="2">
        <v>25331</v>
      </c>
      <c r="AA99" s="30"/>
      <c r="AB99" s="58">
        <v>933088</v>
      </c>
      <c r="AC99" s="59" t="s">
        <v>468</v>
      </c>
      <c r="AF99" s="2" t="s">
        <v>37</v>
      </c>
      <c r="AG99" s="2" t="s">
        <v>37</v>
      </c>
      <c r="AH99" s="2" t="s">
        <v>20</v>
      </c>
      <c r="AI99" s="2" t="s">
        <v>20</v>
      </c>
      <c r="AJ99" s="2" t="s">
        <v>36</v>
      </c>
      <c r="AL99" s="52"/>
    </row>
    <row r="100" spans="1:38" s="2" customFormat="1" ht="14.1" customHeight="1" x14ac:dyDescent="0.2">
      <c r="A100" s="66">
        <f t="shared" si="14"/>
        <v>103</v>
      </c>
      <c r="B100" s="3" t="s">
        <v>50</v>
      </c>
      <c r="C100" s="52" t="s">
        <v>637</v>
      </c>
      <c r="E100" s="70" t="s">
        <v>336</v>
      </c>
      <c r="F100" s="70" t="str">
        <f t="shared" si="15"/>
        <v>T8_STEP_9_HELP</v>
      </c>
      <c r="G100" s="2" t="s">
        <v>350</v>
      </c>
      <c r="J100" s="70"/>
      <c r="K100" s="3" t="s">
        <v>70</v>
      </c>
      <c r="L100" s="25" t="s">
        <v>106</v>
      </c>
      <c r="M100" s="26" t="s">
        <v>108</v>
      </c>
      <c r="N100" s="2" t="s">
        <v>523</v>
      </c>
      <c r="O100" s="2" t="s">
        <v>358</v>
      </c>
      <c r="Q100" s="70" t="s">
        <v>50</v>
      </c>
      <c r="R100" s="2" t="s">
        <v>104</v>
      </c>
      <c r="S100" s="70">
        <v>1</v>
      </c>
      <c r="T100" s="70">
        <v>6</v>
      </c>
      <c r="U100" s="70">
        <v>6</v>
      </c>
      <c r="V100" s="2" t="s">
        <v>31</v>
      </c>
      <c r="W100" s="2" t="s">
        <v>74</v>
      </c>
      <c r="X100" s="2" t="s">
        <v>67</v>
      </c>
      <c r="Y100" s="2" t="s">
        <v>65</v>
      </c>
      <c r="Z100" s="2">
        <v>27864</v>
      </c>
      <c r="AA100" s="30"/>
      <c r="AB100" s="58">
        <v>933089</v>
      </c>
      <c r="AC100" s="59" t="s">
        <v>469</v>
      </c>
      <c r="AF100" s="2" t="s">
        <v>37</v>
      </c>
      <c r="AG100" s="2" t="s">
        <v>37</v>
      </c>
      <c r="AH100" s="2" t="s">
        <v>20</v>
      </c>
      <c r="AI100" s="2" t="s">
        <v>20</v>
      </c>
      <c r="AJ100" s="2" t="s">
        <v>36</v>
      </c>
      <c r="AL100" s="52"/>
    </row>
    <row r="101" spans="1:38" s="2" customFormat="1" ht="14.1" customHeight="1" x14ac:dyDescent="0.2">
      <c r="A101" s="66">
        <f t="shared" si="14"/>
        <v>103</v>
      </c>
      <c r="B101" s="3" t="s">
        <v>51</v>
      </c>
      <c r="C101" s="52" t="s">
        <v>638</v>
      </c>
      <c r="E101" s="70" t="s">
        <v>337</v>
      </c>
      <c r="F101" s="70" t="str">
        <f t="shared" si="15"/>
        <v>T8_STEP_10_HELP</v>
      </c>
      <c r="G101" s="2" t="s">
        <v>350</v>
      </c>
      <c r="J101" s="70"/>
      <c r="K101" s="3" t="s">
        <v>70</v>
      </c>
      <c r="L101" s="25" t="s">
        <v>106</v>
      </c>
      <c r="M101" s="26" t="s">
        <v>108</v>
      </c>
      <c r="N101" s="2" t="s">
        <v>523</v>
      </c>
      <c r="O101" s="2" t="s">
        <v>358</v>
      </c>
      <c r="Q101" s="70" t="s">
        <v>51</v>
      </c>
      <c r="R101" s="2" t="s">
        <v>104</v>
      </c>
      <c r="S101" s="70">
        <v>1</v>
      </c>
      <c r="T101" s="70">
        <v>6</v>
      </c>
      <c r="U101" s="70">
        <v>6</v>
      </c>
      <c r="V101" s="2" t="s">
        <v>31</v>
      </c>
      <c r="W101" s="2" t="s">
        <v>74</v>
      </c>
      <c r="X101" s="2" t="s">
        <v>67</v>
      </c>
      <c r="Y101" s="2" t="s">
        <v>65</v>
      </c>
      <c r="Z101" s="2">
        <v>30650</v>
      </c>
      <c r="AA101" s="30"/>
      <c r="AB101" s="58">
        <v>933090</v>
      </c>
      <c r="AC101" s="59" t="s">
        <v>470</v>
      </c>
      <c r="AF101" s="2" t="s">
        <v>37</v>
      </c>
      <c r="AG101" s="2" t="s">
        <v>37</v>
      </c>
      <c r="AH101" s="2" t="s">
        <v>20</v>
      </c>
      <c r="AI101" s="2" t="s">
        <v>20</v>
      </c>
      <c r="AJ101" s="2" t="s">
        <v>36</v>
      </c>
      <c r="AL101" s="52"/>
    </row>
    <row r="102" spans="1:38" s="2" customFormat="1" ht="14.1" customHeight="1" x14ac:dyDescent="0.2">
      <c r="A102" s="66">
        <f t="shared" si="14"/>
        <v>104</v>
      </c>
      <c r="B102" s="3" t="s">
        <v>38</v>
      </c>
      <c r="C102" s="52" t="s">
        <v>639</v>
      </c>
      <c r="E102" s="70" t="s">
        <v>324</v>
      </c>
      <c r="F102" s="70" t="str">
        <f t="shared" ref="F102:F110" si="16">E102&amp;"_HELP"</f>
        <v>T6_STEP_1_HELP</v>
      </c>
      <c r="G102" s="2" t="s">
        <v>350</v>
      </c>
      <c r="I102" s="2" t="s">
        <v>133</v>
      </c>
      <c r="J102" s="70"/>
      <c r="K102" s="3" t="s">
        <v>77</v>
      </c>
      <c r="L102" s="25" t="s">
        <v>99</v>
      </c>
      <c r="M102" s="3" t="s">
        <v>102</v>
      </c>
      <c r="N102" s="2" t="s">
        <v>523</v>
      </c>
      <c r="O102" s="2" t="s">
        <v>359</v>
      </c>
      <c r="Q102" s="70" t="s">
        <v>38</v>
      </c>
      <c r="R102" s="2" t="s">
        <v>87</v>
      </c>
      <c r="S102" s="70">
        <v>1</v>
      </c>
      <c r="T102" s="70">
        <v>6</v>
      </c>
      <c r="U102" s="70">
        <v>6</v>
      </c>
      <c r="V102" s="2" t="s">
        <v>81</v>
      </c>
      <c r="W102" s="2" t="s">
        <v>74</v>
      </c>
      <c r="X102" s="2" t="s">
        <v>83</v>
      </c>
      <c r="Y102" s="2" t="s">
        <v>65</v>
      </c>
      <c r="Z102" s="2" t="s">
        <v>425</v>
      </c>
      <c r="AA102" s="29"/>
      <c r="AB102" s="60" t="s">
        <v>398</v>
      </c>
      <c r="AC102" s="59" t="s">
        <v>412</v>
      </c>
      <c r="AF102" s="2" t="s">
        <v>37</v>
      </c>
      <c r="AG102" s="2" t="s">
        <v>37</v>
      </c>
      <c r="AH102" s="2" t="s">
        <v>20</v>
      </c>
      <c r="AI102" s="2" t="s">
        <v>20</v>
      </c>
      <c r="AJ102" s="2" t="s">
        <v>37</v>
      </c>
      <c r="AL102" s="52"/>
    </row>
    <row r="103" spans="1:38" s="2" customFormat="1" ht="14.1" customHeight="1" x14ac:dyDescent="0.2">
      <c r="A103" s="66">
        <f t="shared" si="14"/>
        <v>104</v>
      </c>
      <c r="B103" s="3" t="s">
        <v>39</v>
      </c>
      <c r="C103" s="52" t="s">
        <v>640</v>
      </c>
      <c r="E103" s="70" t="s">
        <v>325</v>
      </c>
      <c r="F103" s="70" t="str">
        <f t="shared" si="16"/>
        <v>T6_STEP_2_HELP</v>
      </c>
      <c r="G103" s="2" t="s">
        <v>350</v>
      </c>
      <c r="J103" s="70"/>
      <c r="K103" s="3" t="s">
        <v>77</v>
      </c>
      <c r="L103" s="25" t="s">
        <v>99</v>
      </c>
      <c r="M103" s="3" t="s">
        <v>102</v>
      </c>
      <c r="N103" s="2" t="s">
        <v>523</v>
      </c>
      <c r="O103" s="2" t="s">
        <v>359</v>
      </c>
      <c r="Q103" s="70" t="s">
        <v>39</v>
      </c>
      <c r="R103" s="2" t="s">
        <v>87</v>
      </c>
      <c r="S103" s="70">
        <v>1</v>
      </c>
      <c r="T103" s="70">
        <v>6</v>
      </c>
      <c r="U103" s="70">
        <v>6</v>
      </c>
      <c r="V103" s="2" t="s">
        <v>81</v>
      </c>
      <c r="W103" s="2" t="s">
        <v>74</v>
      </c>
      <c r="X103" s="2" t="s">
        <v>83</v>
      </c>
      <c r="Y103" s="2" t="s">
        <v>65</v>
      </c>
      <c r="Z103" s="2" t="s">
        <v>443</v>
      </c>
      <c r="AA103" s="29"/>
      <c r="AB103" s="60" t="s">
        <v>399</v>
      </c>
      <c r="AC103" s="59" t="s">
        <v>412</v>
      </c>
      <c r="AF103" s="2" t="s">
        <v>37</v>
      </c>
      <c r="AG103" s="2" t="s">
        <v>37</v>
      </c>
      <c r="AH103" s="2" t="s">
        <v>20</v>
      </c>
      <c r="AI103" s="2" t="s">
        <v>20</v>
      </c>
      <c r="AJ103" s="2" t="s">
        <v>37</v>
      </c>
      <c r="AL103" s="52"/>
    </row>
    <row r="104" spans="1:38" s="2" customFormat="1" ht="14.1" customHeight="1" x14ac:dyDescent="0.2">
      <c r="A104" s="66">
        <f t="shared" si="14"/>
        <v>104</v>
      </c>
      <c r="B104" s="3" t="s">
        <v>40</v>
      </c>
      <c r="C104" s="52" t="s">
        <v>641</v>
      </c>
      <c r="E104" s="70" t="s">
        <v>326</v>
      </c>
      <c r="F104" s="70" t="str">
        <f t="shared" si="16"/>
        <v>T7_STEP_1_HELP</v>
      </c>
      <c r="G104" s="2" t="s">
        <v>350</v>
      </c>
      <c r="J104" s="70"/>
      <c r="K104" s="3" t="s">
        <v>77</v>
      </c>
      <c r="L104" s="25" t="s">
        <v>99</v>
      </c>
      <c r="M104" s="3" t="s">
        <v>102</v>
      </c>
      <c r="N104" s="2" t="s">
        <v>523</v>
      </c>
      <c r="O104" s="2" t="s">
        <v>359</v>
      </c>
      <c r="Q104" s="70" t="s">
        <v>40</v>
      </c>
      <c r="R104" s="2" t="s">
        <v>87</v>
      </c>
      <c r="S104" s="70">
        <v>1</v>
      </c>
      <c r="T104" s="70">
        <v>6</v>
      </c>
      <c r="U104" s="70">
        <v>6</v>
      </c>
      <c r="V104" s="2" t="s">
        <v>81</v>
      </c>
      <c r="W104" s="2" t="s">
        <v>74</v>
      </c>
      <c r="X104" s="2" t="s">
        <v>83</v>
      </c>
      <c r="Y104" s="2" t="s">
        <v>65</v>
      </c>
      <c r="Z104" s="2" t="s">
        <v>426</v>
      </c>
      <c r="AA104" s="29"/>
      <c r="AB104" s="60" t="s">
        <v>400</v>
      </c>
      <c r="AC104" s="59" t="s">
        <v>413</v>
      </c>
      <c r="AF104" s="2" t="s">
        <v>37</v>
      </c>
      <c r="AG104" s="2" t="s">
        <v>37</v>
      </c>
      <c r="AH104" s="2" t="s">
        <v>20</v>
      </c>
      <c r="AI104" s="2" t="s">
        <v>20</v>
      </c>
      <c r="AJ104" s="2" t="s">
        <v>37</v>
      </c>
      <c r="AL104" s="52"/>
    </row>
    <row r="105" spans="1:38" s="2" customFormat="1" ht="14.1" customHeight="1" x14ac:dyDescent="0.2">
      <c r="A105" s="66">
        <f t="shared" si="14"/>
        <v>104</v>
      </c>
      <c r="B105" s="3" t="s">
        <v>41</v>
      </c>
      <c r="C105" s="52" t="s">
        <v>642</v>
      </c>
      <c r="E105" s="70" t="s">
        <v>327</v>
      </c>
      <c r="F105" s="70" t="str">
        <f t="shared" si="16"/>
        <v>T7_STEP_2_HELP</v>
      </c>
      <c r="G105" s="2" t="s">
        <v>350</v>
      </c>
      <c r="J105" s="70"/>
      <c r="K105" s="3" t="s">
        <v>77</v>
      </c>
      <c r="L105" s="25" t="s">
        <v>99</v>
      </c>
      <c r="M105" s="3" t="s">
        <v>102</v>
      </c>
      <c r="N105" s="2" t="s">
        <v>523</v>
      </c>
      <c r="O105" s="2" t="s">
        <v>359</v>
      </c>
      <c r="Q105" s="70" t="s">
        <v>41</v>
      </c>
      <c r="R105" s="2" t="s">
        <v>87</v>
      </c>
      <c r="S105" s="70">
        <v>1</v>
      </c>
      <c r="T105" s="70">
        <v>6</v>
      </c>
      <c r="U105" s="70">
        <v>6</v>
      </c>
      <c r="V105" s="2" t="s">
        <v>81</v>
      </c>
      <c r="W105" s="2" t="s">
        <v>74</v>
      </c>
      <c r="X105" s="2" t="s">
        <v>83</v>
      </c>
      <c r="Y105" s="2" t="s">
        <v>65</v>
      </c>
      <c r="Z105" s="2" t="s">
        <v>444</v>
      </c>
      <c r="AA105" s="29"/>
      <c r="AB105" s="60" t="s">
        <v>401</v>
      </c>
      <c r="AC105" s="59" t="s">
        <v>414</v>
      </c>
      <c r="AF105" s="2" t="s">
        <v>37</v>
      </c>
      <c r="AG105" s="2" t="s">
        <v>37</v>
      </c>
      <c r="AH105" s="2" t="s">
        <v>20</v>
      </c>
      <c r="AI105" s="2" t="s">
        <v>20</v>
      </c>
      <c r="AJ105" s="2" t="s">
        <v>37</v>
      </c>
      <c r="AL105" s="52"/>
    </row>
    <row r="106" spans="1:38" s="2" customFormat="1" ht="14.1" customHeight="1" x14ac:dyDescent="0.2">
      <c r="A106" s="66">
        <f t="shared" si="14"/>
        <v>104</v>
      </c>
      <c r="B106" s="3" t="s">
        <v>42</v>
      </c>
      <c r="C106" s="52" t="s">
        <v>643</v>
      </c>
      <c r="E106" s="70" t="s">
        <v>328</v>
      </c>
      <c r="F106" s="70" t="str">
        <f t="shared" si="16"/>
        <v>T8_STEP_1_HELP</v>
      </c>
      <c r="G106" s="2" t="s">
        <v>350</v>
      </c>
      <c r="J106" s="70"/>
      <c r="K106" s="3" t="s">
        <v>77</v>
      </c>
      <c r="L106" s="25" t="s">
        <v>99</v>
      </c>
      <c r="M106" s="3" t="s">
        <v>102</v>
      </c>
      <c r="N106" s="2" t="s">
        <v>523</v>
      </c>
      <c r="O106" s="2" t="s">
        <v>359</v>
      </c>
      <c r="Q106" s="70" t="s">
        <v>42</v>
      </c>
      <c r="R106" s="2" t="s">
        <v>87</v>
      </c>
      <c r="S106" s="70">
        <v>1</v>
      </c>
      <c r="T106" s="70">
        <v>6</v>
      </c>
      <c r="U106" s="70">
        <v>6</v>
      </c>
      <c r="V106" s="2" t="s">
        <v>81</v>
      </c>
      <c r="W106" s="2" t="s">
        <v>74</v>
      </c>
      <c r="X106" s="2" t="s">
        <v>83</v>
      </c>
      <c r="Y106" s="2" t="s">
        <v>65</v>
      </c>
      <c r="Z106" s="2">
        <v>13000</v>
      </c>
      <c r="AA106" s="29"/>
      <c r="AB106" s="60" t="s">
        <v>402</v>
      </c>
      <c r="AC106" s="59" t="s">
        <v>415</v>
      </c>
      <c r="AF106" s="2" t="s">
        <v>37</v>
      </c>
      <c r="AG106" s="2" t="s">
        <v>37</v>
      </c>
      <c r="AH106" s="2" t="s">
        <v>20</v>
      </c>
      <c r="AI106" s="2" t="s">
        <v>20</v>
      </c>
      <c r="AJ106" s="2" t="s">
        <v>37</v>
      </c>
      <c r="AL106" s="52"/>
    </row>
    <row r="107" spans="1:38" s="2" customFormat="1" ht="14.1" customHeight="1" x14ac:dyDescent="0.2">
      <c r="A107" s="66">
        <f t="shared" si="14"/>
        <v>104</v>
      </c>
      <c r="B107" s="3" t="s">
        <v>43</v>
      </c>
      <c r="C107" s="52" t="s">
        <v>644</v>
      </c>
      <c r="E107" s="70" t="s">
        <v>329</v>
      </c>
      <c r="F107" s="70" t="str">
        <f t="shared" si="16"/>
        <v>T8_STEP_2_HELP</v>
      </c>
      <c r="G107" s="2" t="s">
        <v>350</v>
      </c>
      <c r="J107" s="70"/>
      <c r="K107" s="3" t="s">
        <v>77</v>
      </c>
      <c r="L107" s="25" t="s">
        <v>99</v>
      </c>
      <c r="M107" s="3" t="s">
        <v>102</v>
      </c>
      <c r="N107" s="2" t="s">
        <v>523</v>
      </c>
      <c r="O107" s="2" t="s">
        <v>359</v>
      </c>
      <c r="Q107" s="70" t="s">
        <v>43</v>
      </c>
      <c r="R107" s="2" t="s">
        <v>87</v>
      </c>
      <c r="S107" s="70">
        <v>1</v>
      </c>
      <c r="T107" s="70">
        <v>6</v>
      </c>
      <c r="U107" s="70">
        <v>6</v>
      </c>
      <c r="V107" s="2" t="s">
        <v>81</v>
      </c>
      <c r="W107" s="2" t="s">
        <v>74</v>
      </c>
      <c r="X107" s="2" t="s">
        <v>83</v>
      </c>
      <c r="Y107" s="2" t="s">
        <v>65</v>
      </c>
      <c r="Z107" s="2">
        <v>14300</v>
      </c>
      <c r="AA107" s="29"/>
      <c r="AB107" s="60" t="s">
        <v>403</v>
      </c>
      <c r="AC107" s="59" t="s">
        <v>416</v>
      </c>
      <c r="AF107" s="2" t="s">
        <v>37</v>
      </c>
      <c r="AG107" s="2" t="s">
        <v>37</v>
      </c>
      <c r="AH107" s="2" t="s">
        <v>20</v>
      </c>
      <c r="AI107" s="2" t="s">
        <v>20</v>
      </c>
      <c r="AJ107" s="2" t="s">
        <v>37</v>
      </c>
      <c r="AL107" s="52"/>
    </row>
    <row r="108" spans="1:38" s="2" customFormat="1" ht="14.1" customHeight="1" x14ac:dyDescent="0.2">
      <c r="A108" s="66">
        <f t="shared" si="14"/>
        <v>104</v>
      </c>
      <c r="B108" s="3" t="s">
        <v>44</v>
      </c>
      <c r="C108" s="52" t="s">
        <v>645</v>
      </c>
      <c r="E108" s="70" t="s">
        <v>330</v>
      </c>
      <c r="F108" s="70" t="str">
        <f t="shared" si="16"/>
        <v>T8_STEP_3_HELP</v>
      </c>
      <c r="G108" s="2" t="s">
        <v>350</v>
      </c>
      <c r="J108" s="70"/>
      <c r="K108" s="3" t="s">
        <v>77</v>
      </c>
      <c r="L108" s="25" t="s">
        <v>99</v>
      </c>
      <c r="M108" s="3" t="s">
        <v>102</v>
      </c>
      <c r="N108" s="2" t="s">
        <v>523</v>
      </c>
      <c r="O108" s="2" t="s">
        <v>359</v>
      </c>
      <c r="Q108" s="70" t="s">
        <v>44</v>
      </c>
      <c r="R108" s="2" t="s">
        <v>87</v>
      </c>
      <c r="S108" s="70">
        <v>1</v>
      </c>
      <c r="T108" s="70">
        <v>6</v>
      </c>
      <c r="U108" s="70">
        <v>6</v>
      </c>
      <c r="V108" s="2" t="s">
        <v>81</v>
      </c>
      <c r="W108" s="2" t="s">
        <v>74</v>
      </c>
      <c r="X108" s="2" t="s">
        <v>83</v>
      </c>
      <c r="Y108" s="2" t="s">
        <v>65</v>
      </c>
      <c r="Z108" s="2">
        <v>15730</v>
      </c>
      <c r="AA108" s="29"/>
      <c r="AB108" s="60" t="s">
        <v>404</v>
      </c>
      <c r="AC108" s="59" t="s">
        <v>417</v>
      </c>
      <c r="AF108" s="2" t="s">
        <v>37</v>
      </c>
      <c r="AG108" s="2" t="s">
        <v>37</v>
      </c>
      <c r="AH108" s="2" t="s">
        <v>20</v>
      </c>
      <c r="AI108" s="2" t="s">
        <v>20</v>
      </c>
      <c r="AJ108" s="2" t="s">
        <v>37</v>
      </c>
      <c r="AL108" s="52"/>
    </row>
    <row r="109" spans="1:38" s="2" customFormat="1" ht="14.1" customHeight="1" x14ac:dyDescent="0.2">
      <c r="A109" s="66">
        <f t="shared" si="14"/>
        <v>104</v>
      </c>
      <c r="B109" s="3" t="s">
        <v>45</v>
      </c>
      <c r="C109" s="52" t="s">
        <v>646</v>
      </c>
      <c r="E109" s="70" t="s">
        <v>331</v>
      </c>
      <c r="F109" s="70" t="str">
        <f t="shared" si="16"/>
        <v>T8_STEP_4_HELP</v>
      </c>
      <c r="G109" s="2" t="s">
        <v>350</v>
      </c>
      <c r="J109" s="70"/>
      <c r="K109" s="3" t="s">
        <v>77</v>
      </c>
      <c r="L109" s="25" t="s">
        <v>99</v>
      </c>
      <c r="M109" s="3" t="s">
        <v>102</v>
      </c>
      <c r="N109" s="2" t="s">
        <v>523</v>
      </c>
      <c r="O109" s="2" t="s">
        <v>359</v>
      </c>
      <c r="Q109" s="70" t="s">
        <v>45</v>
      </c>
      <c r="R109" s="2" t="s">
        <v>87</v>
      </c>
      <c r="S109" s="70">
        <v>1</v>
      </c>
      <c r="T109" s="70">
        <v>6</v>
      </c>
      <c r="U109" s="70">
        <v>6</v>
      </c>
      <c r="V109" s="2" t="s">
        <v>81</v>
      </c>
      <c r="W109" s="2" t="s">
        <v>74</v>
      </c>
      <c r="X109" s="2" t="s">
        <v>83</v>
      </c>
      <c r="Y109" s="2" t="s">
        <v>65</v>
      </c>
      <c r="Z109" s="2">
        <v>17303</v>
      </c>
      <c r="AA109" s="29"/>
      <c r="AB109" s="60" t="s">
        <v>405</v>
      </c>
      <c r="AC109" s="59" t="s">
        <v>418</v>
      </c>
      <c r="AF109" s="2" t="s">
        <v>37</v>
      </c>
      <c r="AG109" s="2" t="s">
        <v>37</v>
      </c>
      <c r="AH109" s="2" t="s">
        <v>20</v>
      </c>
      <c r="AI109" s="2" t="s">
        <v>20</v>
      </c>
      <c r="AJ109" s="2" t="s">
        <v>37</v>
      </c>
      <c r="AL109" s="52"/>
    </row>
    <row r="110" spans="1:38" s="2" customFormat="1" ht="14.1" customHeight="1" x14ac:dyDescent="0.2">
      <c r="A110" s="66">
        <f t="shared" si="14"/>
        <v>104</v>
      </c>
      <c r="B110" s="3" t="s">
        <v>46</v>
      </c>
      <c r="C110" s="52" t="s">
        <v>647</v>
      </c>
      <c r="E110" s="70" t="s">
        <v>332</v>
      </c>
      <c r="F110" s="70" t="str">
        <f t="shared" si="16"/>
        <v>T8_STEP_5_HELP</v>
      </c>
      <c r="G110" s="2" t="s">
        <v>350</v>
      </c>
      <c r="J110" s="70"/>
      <c r="K110" s="3" t="s">
        <v>77</v>
      </c>
      <c r="L110" s="25" t="s">
        <v>99</v>
      </c>
      <c r="M110" s="3" t="s">
        <v>102</v>
      </c>
      <c r="N110" s="2" t="s">
        <v>523</v>
      </c>
      <c r="O110" s="2" t="s">
        <v>359</v>
      </c>
      <c r="Q110" s="70" t="s">
        <v>46</v>
      </c>
      <c r="R110" s="2" t="s">
        <v>87</v>
      </c>
      <c r="S110" s="70">
        <v>1</v>
      </c>
      <c r="T110" s="70">
        <v>6</v>
      </c>
      <c r="U110" s="70">
        <v>6</v>
      </c>
      <c r="V110" s="2" t="s">
        <v>81</v>
      </c>
      <c r="W110" s="2" t="s">
        <v>74</v>
      </c>
      <c r="X110" s="2" t="s">
        <v>83</v>
      </c>
      <c r="Y110" s="2" t="s">
        <v>65</v>
      </c>
      <c r="Z110" s="2">
        <v>19033</v>
      </c>
      <c r="AA110" s="29"/>
      <c r="AB110" s="60" t="s">
        <v>406</v>
      </c>
      <c r="AC110" s="59" t="s">
        <v>419</v>
      </c>
      <c r="AF110" s="2" t="s">
        <v>37</v>
      </c>
      <c r="AG110" s="2" t="s">
        <v>37</v>
      </c>
      <c r="AH110" s="2" t="s">
        <v>20</v>
      </c>
      <c r="AI110" s="2" t="s">
        <v>20</v>
      </c>
      <c r="AJ110" s="2" t="s">
        <v>37</v>
      </c>
      <c r="AL110" s="52"/>
    </row>
    <row r="111" spans="1:38" s="2" customFormat="1" ht="14.1" customHeight="1" x14ac:dyDescent="0.2">
      <c r="A111" s="66">
        <f t="shared" si="14"/>
        <v>104</v>
      </c>
      <c r="B111" s="3" t="s">
        <v>47</v>
      </c>
      <c r="C111" s="52" t="s">
        <v>648</v>
      </c>
      <c r="E111" s="70" t="s">
        <v>333</v>
      </c>
      <c r="F111" s="70" t="str">
        <f>E111&amp;"_HELP"</f>
        <v>T8_STEP_6_HELP</v>
      </c>
      <c r="G111" s="2" t="s">
        <v>350</v>
      </c>
      <c r="J111" s="70"/>
      <c r="K111" s="3" t="s">
        <v>77</v>
      </c>
      <c r="L111" s="25" t="s">
        <v>99</v>
      </c>
      <c r="M111" s="3" t="s">
        <v>102</v>
      </c>
      <c r="N111" s="2" t="s">
        <v>523</v>
      </c>
      <c r="O111" s="2" t="s">
        <v>359</v>
      </c>
      <c r="Q111" s="70" t="s">
        <v>47</v>
      </c>
      <c r="R111" s="2" t="s">
        <v>87</v>
      </c>
      <c r="S111" s="70">
        <v>1</v>
      </c>
      <c r="T111" s="70">
        <v>6</v>
      </c>
      <c r="U111" s="70">
        <v>6</v>
      </c>
      <c r="V111" s="2" t="s">
        <v>81</v>
      </c>
      <c r="W111" s="2" t="s">
        <v>74</v>
      </c>
      <c r="X111" s="2" t="s">
        <v>83</v>
      </c>
      <c r="Y111" s="2" t="s">
        <v>65</v>
      </c>
      <c r="Z111" s="2">
        <v>20936</v>
      </c>
      <c r="AA111" s="30"/>
      <c r="AB111" s="60" t="s">
        <v>407</v>
      </c>
      <c r="AC111" s="59" t="s">
        <v>420</v>
      </c>
      <c r="AF111" s="2" t="s">
        <v>37</v>
      </c>
      <c r="AG111" s="2" t="s">
        <v>37</v>
      </c>
      <c r="AH111" s="2" t="s">
        <v>20</v>
      </c>
      <c r="AI111" s="2" t="s">
        <v>20</v>
      </c>
      <c r="AJ111" s="2" t="s">
        <v>37</v>
      </c>
      <c r="AL111" s="52"/>
    </row>
    <row r="112" spans="1:38" s="2" customFormat="1" ht="14.1" customHeight="1" x14ac:dyDescent="0.2">
      <c r="A112" s="66">
        <f t="shared" si="14"/>
        <v>104</v>
      </c>
      <c r="B112" s="3" t="s">
        <v>48</v>
      </c>
      <c r="C112" s="52" t="s">
        <v>649</v>
      </c>
      <c r="E112" s="70" t="s">
        <v>334</v>
      </c>
      <c r="F112" s="70" t="str">
        <f t="shared" ref="F112:F115" si="17">E112&amp;"_HELP"</f>
        <v>T8_STEP_7_HELP</v>
      </c>
      <c r="G112" s="2" t="s">
        <v>350</v>
      </c>
      <c r="J112" s="70"/>
      <c r="K112" s="3" t="s">
        <v>77</v>
      </c>
      <c r="L112" s="25" t="s">
        <v>99</v>
      </c>
      <c r="M112" s="3" t="s">
        <v>102</v>
      </c>
      <c r="N112" s="2" t="s">
        <v>523</v>
      </c>
      <c r="O112" s="2" t="s">
        <v>359</v>
      </c>
      <c r="Q112" s="70" t="s">
        <v>48</v>
      </c>
      <c r="R112" s="2" t="s">
        <v>87</v>
      </c>
      <c r="S112" s="70">
        <v>1</v>
      </c>
      <c r="T112" s="70">
        <v>6</v>
      </c>
      <c r="U112" s="70">
        <v>6</v>
      </c>
      <c r="V112" s="2" t="s">
        <v>81</v>
      </c>
      <c r="W112" s="2" t="s">
        <v>74</v>
      </c>
      <c r="X112" s="2" t="s">
        <v>83</v>
      </c>
      <c r="Y112" s="2" t="s">
        <v>65</v>
      </c>
      <c r="Z112" s="2">
        <v>23029</v>
      </c>
      <c r="AA112" s="30"/>
      <c r="AB112" s="60" t="s">
        <v>408</v>
      </c>
      <c r="AC112" s="59" t="s">
        <v>421</v>
      </c>
      <c r="AF112" s="2" t="s">
        <v>37</v>
      </c>
      <c r="AG112" s="2" t="s">
        <v>37</v>
      </c>
      <c r="AH112" s="2" t="s">
        <v>20</v>
      </c>
      <c r="AI112" s="2" t="s">
        <v>20</v>
      </c>
      <c r="AJ112" s="2" t="s">
        <v>37</v>
      </c>
      <c r="AL112" s="52"/>
    </row>
    <row r="113" spans="1:38" s="2" customFormat="1" ht="14.1" customHeight="1" x14ac:dyDescent="0.2">
      <c r="A113" s="66">
        <f t="shared" si="14"/>
        <v>104</v>
      </c>
      <c r="B113" s="3" t="s">
        <v>49</v>
      </c>
      <c r="C113" s="52" t="s">
        <v>650</v>
      </c>
      <c r="E113" s="70" t="s">
        <v>335</v>
      </c>
      <c r="F113" s="70" t="str">
        <f t="shared" si="17"/>
        <v>T8_STEP_8_HELP</v>
      </c>
      <c r="G113" s="2" t="s">
        <v>350</v>
      </c>
      <c r="J113" s="70"/>
      <c r="K113" s="3" t="s">
        <v>77</v>
      </c>
      <c r="L113" s="25" t="s">
        <v>99</v>
      </c>
      <c r="M113" s="3" t="s">
        <v>102</v>
      </c>
      <c r="N113" s="2" t="s">
        <v>523</v>
      </c>
      <c r="O113" s="2" t="s">
        <v>359</v>
      </c>
      <c r="Q113" s="70" t="s">
        <v>49</v>
      </c>
      <c r="R113" s="2" t="s">
        <v>87</v>
      </c>
      <c r="S113" s="70">
        <v>1</v>
      </c>
      <c r="T113" s="70">
        <v>6</v>
      </c>
      <c r="U113" s="70">
        <v>6</v>
      </c>
      <c r="V113" s="2" t="s">
        <v>81</v>
      </c>
      <c r="W113" s="2" t="s">
        <v>74</v>
      </c>
      <c r="X113" s="2" t="s">
        <v>83</v>
      </c>
      <c r="Y113" s="2" t="s">
        <v>65</v>
      </c>
      <c r="Z113" s="2">
        <v>25331</v>
      </c>
      <c r="AA113" s="30"/>
      <c r="AB113" s="60" t="s">
        <v>409</v>
      </c>
      <c r="AC113" s="59" t="s">
        <v>422</v>
      </c>
      <c r="AF113" s="2" t="s">
        <v>37</v>
      </c>
      <c r="AG113" s="2" t="s">
        <v>37</v>
      </c>
      <c r="AH113" s="2" t="s">
        <v>20</v>
      </c>
      <c r="AI113" s="2" t="s">
        <v>20</v>
      </c>
      <c r="AJ113" s="2" t="s">
        <v>37</v>
      </c>
      <c r="AL113" s="52"/>
    </row>
    <row r="114" spans="1:38" s="2" customFormat="1" ht="14.1" customHeight="1" x14ac:dyDescent="0.2">
      <c r="A114" s="66">
        <f t="shared" si="14"/>
        <v>104</v>
      </c>
      <c r="B114" s="3" t="s">
        <v>50</v>
      </c>
      <c r="C114" s="52" t="s">
        <v>651</v>
      </c>
      <c r="E114" s="70" t="s">
        <v>336</v>
      </c>
      <c r="F114" s="70" t="str">
        <f t="shared" si="17"/>
        <v>T8_STEP_9_HELP</v>
      </c>
      <c r="G114" s="2" t="s">
        <v>350</v>
      </c>
      <c r="J114" s="70"/>
      <c r="K114" s="3" t="s">
        <v>77</v>
      </c>
      <c r="L114" s="25" t="s">
        <v>99</v>
      </c>
      <c r="M114" s="3" t="s">
        <v>102</v>
      </c>
      <c r="N114" s="2" t="s">
        <v>523</v>
      </c>
      <c r="O114" s="2" t="s">
        <v>359</v>
      </c>
      <c r="Q114" s="70" t="s">
        <v>50</v>
      </c>
      <c r="R114" s="2" t="s">
        <v>87</v>
      </c>
      <c r="S114" s="70">
        <v>1</v>
      </c>
      <c r="T114" s="70">
        <v>6</v>
      </c>
      <c r="U114" s="70">
        <v>6</v>
      </c>
      <c r="V114" s="2" t="s">
        <v>81</v>
      </c>
      <c r="W114" s="2" t="s">
        <v>74</v>
      </c>
      <c r="X114" s="2" t="s">
        <v>83</v>
      </c>
      <c r="Y114" s="2" t="s">
        <v>65</v>
      </c>
      <c r="Z114" s="2">
        <v>27864</v>
      </c>
      <c r="AA114" s="30"/>
      <c r="AB114" s="60" t="s">
        <v>410</v>
      </c>
      <c r="AC114" s="59" t="s">
        <v>423</v>
      </c>
      <c r="AF114" s="2" t="s">
        <v>37</v>
      </c>
      <c r="AG114" s="2" t="s">
        <v>37</v>
      </c>
      <c r="AH114" s="2" t="s">
        <v>20</v>
      </c>
      <c r="AI114" s="2" t="s">
        <v>20</v>
      </c>
      <c r="AJ114" s="2" t="s">
        <v>37</v>
      </c>
      <c r="AL114" s="52"/>
    </row>
    <row r="115" spans="1:38" s="2" customFormat="1" ht="14.1" customHeight="1" x14ac:dyDescent="0.2">
      <c r="A115" s="66">
        <f t="shared" si="14"/>
        <v>104</v>
      </c>
      <c r="B115" s="3" t="s">
        <v>51</v>
      </c>
      <c r="C115" s="52" t="s">
        <v>652</v>
      </c>
      <c r="E115" s="70" t="s">
        <v>337</v>
      </c>
      <c r="F115" s="70" t="str">
        <f t="shared" si="17"/>
        <v>T8_STEP_10_HELP</v>
      </c>
      <c r="G115" s="2" t="s">
        <v>350</v>
      </c>
      <c r="J115" s="70"/>
      <c r="K115" s="3" t="s">
        <v>77</v>
      </c>
      <c r="L115" s="25" t="s">
        <v>99</v>
      </c>
      <c r="M115" s="3" t="s">
        <v>102</v>
      </c>
      <c r="N115" s="2" t="s">
        <v>523</v>
      </c>
      <c r="O115" s="2" t="s">
        <v>359</v>
      </c>
      <c r="Q115" s="70" t="s">
        <v>51</v>
      </c>
      <c r="R115" s="2" t="s">
        <v>87</v>
      </c>
      <c r="S115" s="70">
        <v>1</v>
      </c>
      <c r="T115" s="70">
        <v>6</v>
      </c>
      <c r="U115" s="70">
        <v>6</v>
      </c>
      <c r="V115" s="2" t="s">
        <v>81</v>
      </c>
      <c r="W115" s="2" t="s">
        <v>74</v>
      </c>
      <c r="X115" s="2" t="s">
        <v>83</v>
      </c>
      <c r="Y115" s="2" t="s">
        <v>65</v>
      </c>
      <c r="Z115" s="2">
        <v>30650</v>
      </c>
      <c r="AA115" s="30"/>
      <c r="AB115" s="60" t="s">
        <v>411</v>
      </c>
      <c r="AC115" s="59" t="s">
        <v>813</v>
      </c>
      <c r="AF115" s="2" t="s">
        <v>37</v>
      </c>
      <c r="AG115" s="2" t="s">
        <v>37</v>
      </c>
      <c r="AH115" s="2" t="s">
        <v>20</v>
      </c>
      <c r="AI115" s="2" t="s">
        <v>20</v>
      </c>
      <c r="AJ115" s="2" t="s">
        <v>37</v>
      </c>
      <c r="AL115" s="52"/>
    </row>
    <row r="116" spans="1:38" s="2" customFormat="1" ht="14.1" customHeight="1" x14ac:dyDescent="0.2">
      <c r="A116" s="66" t="s">
        <v>110</v>
      </c>
      <c r="B116" s="3" t="s">
        <v>111</v>
      </c>
      <c r="C116" s="52" t="s">
        <v>653</v>
      </c>
      <c r="E116" s="76" t="str">
        <f>"HARDMODE_STEP_"&amp;B116</f>
        <v>HARDMODE_STEP_1</v>
      </c>
      <c r="F116" s="70" t="str">
        <f t="shared" ref="F116:F188" si="18">E116&amp;"_HELP"</f>
        <v>HARDMODE_STEP_1_HELP</v>
      </c>
      <c r="G116" s="2" t="s">
        <v>352</v>
      </c>
      <c r="I116" s="2" t="s">
        <v>92</v>
      </c>
      <c r="J116" s="70" t="s">
        <v>376</v>
      </c>
      <c r="K116" s="3" t="s">
        <v>122</v>
      </c>
      <c r="L116" s="81" t="s">
        <v>394</v>
      </c>
      <c r="M116" s="3" t="s">
        <v>126</v>
      </c>
      <c r="N116" s="2" t="s">
        <v>523</v>
      </c>
      <c r="O116" s="2" t="s">
        <v>116</v>
      </c>
      <c r="Q116" s="2" t="str">
        <f>B116</f>
        <v>1</v>
      </c>
      <c r="R116" s="2" t="s">
        <v>107</v>
      </c>
      <c r="S116" s="2" t="s">
        <v>79</v>
      </c>
      <c r="T116" s="2" t="s">
        <v>80</v>
      </c>
      <c r="U116" s="2" t="s">
        <v>73</v>
      </c>
      <c r="V116" s="2" t="s">
        <v>32</v>
      </c>
      <c r="W116" s="2" t="s">
        <v>74</v>
      </c>
      <c r="X116" s="2" t="s">
        <v>64</v>
      </c>
      <c r="Y116" s="2" t="s">
        <v>65</v>
      </c>
      <c r="Z116" s="2">
        <v>7000</v>
      </c>
      <c r="AA116" s="82"/>
      <c r="AB116" s="49" t="s">
        <v>180</v>
      </c>
      <c r="AC116" s="28"/>
      <c r="AE116" s="2" t="s">
        <v>164</v>
      </c>
      <c r="AL116" s="52"/>
    </row>
    <row r="117" spans="1:38" s="2" customFormat="1" ht="14.1" customHeight="1" x14ac:dyDescent="0.2">
      <c r="A117" s="66" t="s">
        <v>110</v>
      </c>
      <c r="B117" s="3" t="s">
        <v>20</v>
      </c>
      <c r="C117" s="52" t="s">
        <v>654</v>
      </c>
      <c r="E117" s="76" t="str">
        <f t="shared" ref="E117:E192" si="19">"HARDMODE_STEP_"&amp;B117</f>
        <v>HARDMODE_STEP_2</v>
      </c>
      <c r="F117" s="70" t="str">
        <f t="shared" si="18"/>
        <v>HARDMODE_STEP_2_HELP</v>
      </c>
      <c r="G117" s="2" t="s">
        <v>351</v>
      </c>
      <c r="J117" s="70" t="str">
        <f>A117&amp;","&amp;B116</f>
        <v>11,1</v>
      </c>
      <c r="K117" s="3" t="s">
        <v>122</v>
      </c>
      <c r="L117" s="81" t="s">
        <v>394</v>
      </c>
      <c r="M117" s="3" t="s">
        <v>126</v>
      </c>
      <c r="N117" s="2" t="s">
        <v>523</v>
      </c>
      <c r="O117" s="2" t="s">
        <v>116</v>
      </c>
      <c r="Q117" s="2" t="str">
        <f t="shared" ref="Q117:Q183" si="20">B117</f>
        <v>2</v>
      </c>
      <c r="R117" s="2" t="s">
        <v>107</v>
      </c>
      <c r="S117" s="2" t="s">
        <v>79</v>
      </c>
      <c r="T117" s="2" t="s">
        <v>80</v>
      </c>
      <c r="U117" s="2" t="s">
        <v>73</v>
      </c>
      <c r="V117" s="2" t="s">
        <v>32</v>
      </c>
      <c r="W117" s="2" t="s">
        <v>74</v>
      </c>
      <c r="X117" s="2" t="s">
        <v>64</v>
      </c>
      <c r="Y117" s="2" t="s">
        <v>65</v>
      </c>
      <c r="Z117" s="2">
        <v>8000</v>
      </c>
      <c r="AA117" s="34"/>
      <c r="AB117" s="49">
        <v>911002</v>
      </c>
      <c r="AC117" s="59"/>
      <c r="AE117" s="2" t="s">
        <v>164</v>
      </c>
      <c r="AL117" s="52"/>
    </row>
    <row r="118" spans="1:38" s="2" customFormat="1" ht="14.1" customHeight="1" x14ac:dyDescent="0.2">
      <c r="A118" s="66" t="s">
        <v>110</v>
      </c>
      <c r="B118" s="3" t="s">
        <v>340</v>
      </c>
      <c r="C118" s="52" t="s">
        <v>655</v>
      </c>
      <c r="E118" s="76" t="str">
        <f t="shared" si="19"/>
        <v>HARDMODE_STEP_3</v>
      </c>
      <c r="F118" s="70" t="str">
        <f t="shared" si="18"/>
        <v>HARDMODE_STEP_3_HELP</v>
      </c>
      <c r="G118" s="2" t="s">
        <v>351</v>
      </c>
      <c r="J118" s="70" t="str">
        <f t="shared" ref="J118:J155" si="21">A118&amp;","&amp;B117</f>
        <v>11,2</v>
      </c>
      <c r="K118" s="3" t="s">
        <v>122</v>
      </c>
      <c r="L118" s="81" t="s">
        <v>394</v>
      </c>
      <c r="M118" s="3" t="s">
        <v>126</v>
      </c>
      <c r="N118" s="2" t="s">
        <v>523</v>
      </c>
      <c r="O118" s="2" t="s">
        <v>116</v>
      </c>
      <c r="Q118" s="2" t="str">
        <f t="shared" si="20"/>
        <v>3</v>
      </c>
      <c r="R118" s="2" t="s">
        <v>107</v>
      </c>
      <c r="S118" s="2" t="s">
        <v>79</v>
      </c>
      <c r="T118" s="2" t="s">
        <v>80</v>
      </c>
      <c r="U118" s="2" t="s">
        <v>73</v>
      </c>
      <c r="V118" s="2" t="s">
        <v>32</v>
      </c>
      <c r="W118" s="2" t="s">
        <v>74</v>
      </c>
      <c r="X118" s="2" t="s">
        <v>64</v>
      </c>
      <c r="Y118" s="2" t="s">
        <v>65</v>
      </c>
      <c r="Z118" s="2">
        <v>9000</v>
      </c>
      <c r="AA118" s="34"/>
      <c r="AB118" s="49">
        <v>911003</v>
      </c>
      <c r="AC118" s="59"/>
      <c r="AE118" s="2" t="s">
        <v>164</v>
      </c>
      <c r="AL118" s="52"/>
    </row>
    <row r="119" spans="1:38" s="2" customFormat="1" ht="14.1" customHeight="1" x14ac:dyDescent="0.2">
      <c r="A119" s="66" t="s">
        <v>110</v>
      </c>
      <c r="B119" s="3" t="s">
        <v>73</v>
      </c>
      <c r="C119" s="52" t="s">
        <v>656</v>
      </c>
      <c r="E119" s="76" t="str">
        <f t="shared" si="19"/>
        <v>HARDMODE_STEP_4</v>
      </c>
      <c r="F119" s="70" t="str">
        <f t="shared" ref="F119" si="22">E119&amp;"_HELP"</f>
        <v>HARDMODE_STEP_4_HELP</v>
      </c>
      <c r="G119" s="2" t="s">
        <v>351</v>
      </c>
      <c r="J119" s="70" t="str">
        <f t="shared" si="21"/>
        <v>11,3</v>
      </c>
      <c r="K119" s="3" t="s">
        <v>122</v>
      </c>
      <c r="L119" s="81" t="s">
        <v>394</v>
      </c>
      <c r="M119" s="3" t="s">
        <v>126</v>
      </c>
      <c r="N119" s="2" t="s">
        <v>523</v>
      </c>
      <c r="O119" s="2" t="s">
        <v>116</v>
      </c>
      <c r="Q119" s="2" t="str">
        <f t="shared" si="20"/>
        <v>4</v>
      </c>
      <c r="R119" s="2" t="s">
        <v>107</v>
      </c>
      <c r="S119" s="2" t="s">
        <v>79</v>
      </c>
      <c r="T119" s="2" t="s">
        <v>80</v>
      </c>
      <c r="U119" s="2" t="s">
        <v>73</v>
      </c>
      <c r="V119" s="2" t="s">
        <v>32</v>
      </c>
      <c r="W119" s="2" t="s">
        <v>74</v>
      </c>
      <c r="X119" s="2" t="s">
        <v>64</v>
      </c>
      <c r="Y119" s="2" t="s">
        <v>65</v>
      </c>
      <c r="Z119" s="2">
        <v>10000</v>
      </c>
      <c r="AA119" s="34"/>
      <c r="AB119" s="49">
        <v>911004</v>
      </c>
      <c r="AC119" s="59"/>
      <c r="AE119" s="2" t="s">
        <v>164</v>
      </c>
      <c r="AL119" s="52"/>
    </row>
    <row r="120" spans="1:38" s="2" customFormat="1" ht="14.1" customHeight="1" x14ac:dyDescent="0.2">
      <c r="A120" s="66" t="s">
        <v>110</v>
      </c>
      <c r="B120" s="3" t="s">
        <v>361</v>
      </c>
      <c r="C120" s="52" t="s">
        <v>657</v>
      </c>
      <c r="E120" s="76" t="str">
        <f t="shared" si="19"/>
        <v>HARDMODE_STEP_5</v>
      </c>
      <c r="F120" s="70" t="str">
        <f t="shared" ref="F120:F122" si="23">E120&amp;"_HELP"</f>
        <v>HARDMODE_STEP_5_HELP</v>
      </c>
      <c r="G120" s="2" t="s">
        <v>351</v>
      </c>
      <c r="J120" s="70" t="str">
        <f t="shared" si="21"/>
        <v>11,4</v>
      </c>
      <c r="K120" s="3" t="s">
        <v>122</v>
      </c>
      <c r="L120" s="81" t="s">
        <v>394</v>
      </c>
      <c r="M120" s="3" t="s">
        <v>126</v>
      </c>
      <c r="N120" s="2" t="s">
        <v>523</v>
      </c>
      <c r="O120" s="2" t="s">
        <v>116</v>
      </c>
      <c r="Q120" s="2" t="str">
        <f t="shared" si="20"/>
        <v>5</v>
      </c>
      <c r="R120" s="2" t="s">
        <v>107</v>
      </c>
      <c r="S120" s="2" t="s">
        <v>79</v>
      </c>
      <c r="T120" s="2" t="s">
        <v>80</v>
      </c>
      <c r="U120" s="2" t="s">
        <v>73</v>
      </c>
      <c r="V120" s="2" t="s">
        <v>32</v>
      </c>
      <c r="W120" s="2" t="s">
        <v>74</v>
      </c>
      <c r="X120" s="2" t="s">
        <v>64</v>
      </c>
      <c r="Y120" s="2" t="s">
        <v>65</v>
      </c>
      <c r="Z120" s="2">
        <v>11000</v>
      </c>
      <c r="AA120" s="34"/>
      <c r="AB120" s="49">
        <v>911005</v>
      </c>
      <c r="AC120" s="59"/>
      <c r="AE120" s="2" t="s">
        <v>164</v>
      </c>
      <c r="AL120" s="52"/>
    </row>
    <row r="121" spans="1:38" s="2" customFormat="1" ht="14.1" customHeight="1" x14ac:dyDescent="0.2">
      <c r="A121" s="66" t="s">
        <v>110</v>
      </c>
      <c r="B121" s="3" t="s">
        <v>362</v>
      </c>
      <c r="C121" s="52" t="s">
        <v>658</v>
      </c>
      <c r="E121" s="76" t="str">
        <f t="shared" si="19"/>
        <v>HARDMODE_STEP_6</v>
      </c>
      <c r="F121" s="70" t="str">
        <f t="shared" si="23"/>
        <v>HARDMODE_STEP_6_HELP</v>
      </c>
      <c r="G121" s="2" t="s">
        <v>351</v>
      </c>
      <c r="J121" s="70" t="str">
        <f t="shared" si="21"/>
        <v>11,5</v>
      </c>
      <c r="K121" s="3" t="s">
        <v>122</v>
      </c>
      <c r="L121" s="81" t="s">
        <v>394</v>
      </c>
      <c r="M121" s="3" t="s">
        <v>126</v>
      </c>
      <c r="N121" s="2" t="s">
        <v>523</v>
      </c>
      <c r="O121" s="2" t="s">
        <v>116</v>
      </c>
      <c r="Q121" s="2" t="str">
        <f t="shared" si="20"/>
        <v>6</v>
      </c>
      <c r="R121" s="2" t="s">
        <v>107</v>
      </c>
      <c r="S121" s="2" t="s">
        <v>79</v>
      </c>
      <c r="T121" s="2" t="s">
        <v>80</v>
      </c>
      <c r="U121" s="2" t="s">
        <v>73</v>
      </c>
      <c r="V121" s="2" t="s">
        <v>32</v>
      </c>
      <c r="W121" s="2" t="s">
        <v>74</v>
      </c>
      <c r="X121" s="2" t="s">
        <v>64</v>
      </c>
      <c r="Y121" s="2" t="s">
        <v>65</v>
      </c>
      <c r="Z121" s="2">
        <v>12000</v>
      </c>
      <c r="AA121" s="34"/>
      <c r="AB121" s="49">
        <v>911006</v>
      </c>
      <c r="AC121" s="59"/>
      <c r="AE121" s="2" t="s">
        <v>164</v>
      </c>
      <c r="AL121" s="52"/>
    </row>
    <row r="122" spans="1:38" s="2" customFormat="1" ht="14.1" customHeight="1" x14ac:dyDescent="0.2">
      <c r="A122" s="66" t="s">
        <v>110</v>
      </c>
      <c r="B122" s="3" t="s">
        <v>363</v>
      </c>
      <c r="C122" s="52" t="s">
        <v>659</v>
      </c>
      <c r="E122" s="76" t="str">
        <f t="shared" si="19"/>
        <v>HARDMODE_STEP_7</v>
      </c>
      <c r="F122" s="70" t="str">
        <f t="shared" si="23"/>
        <v>HARDMODE_STEP_7_HELP</v>
      </c>
      <c r="G122" s="2" t="s">
        <v>351</v>
      </c>
      <c r="J122" s="70" t="str">
        <f t="shared" si="21"/>
        <v>11,6</v>
      </c>
      <c r="K122" s="3" t="s">
        <v>122</v>
      </c>
      <c r="L122" s="81" t="s">
        <v>394</v>
      </c>
      <c r="M122" s="3" t="s">
        <v>126</v>
      </c>
      <c r="N122" s="2" t="s">
        <v>523</v>
      </c>
      <c r="O122" s="2" t="s">
        <v>116</v>
      </c>
      <c r="Q122" s="2" t="str">
        <f t="shared" si="20"/>
        <v>7</v>
      </c>
      <c r="R122" s="2" t="s">
        <v>107</v>
      </c>
      <c r="S122" s="2" t="s">
        <v>79</v>
      </c>
      <c r="T122" s="2" t="s">
        <v>80</v>
      </c>
      <c r="U122" s="2" t="s">
        <v>73</v>
      </c>
      <c r="V122" s="2" t="s">
        <v>32</v>
      </c>
      <c r="W122" s="2" t="s">
        <v>74</v>
      </c>
      <c r="X122" s="2" t="s">
        <v>64</v>
      </c>
      <c r="Y122" s="2" t="s">
        <v>65</v>
      </c>
      <c r="Z122" s="2">
        <v>13000</v>
      </c>
      <c r="AA122" s="34"/>
      <c r="AB122" s="49">
        <v>911007</v>
      </c>
      <c r="AC122" s="59"/>
      <c r="AE122" s="2" t="s">
        <v>164</v>
      </c>
      <c r="AL122" s="52"/>
    </row>
    <row r="123" spans="1:38" s="2" customFormat="1" ht="14.1" customHeight="1" x14ac:dyDescent="0.2">
      <c r="A123" s="66" t="s">
        <v>110</v>
      </c>
      <c r="B123" s="3" t="s">
        <v>191</v>
      </c>
      <c r="C123" s="52" t="s">
        <v>660</v>
      </c>
      <c r="E123" s="76" t="str">
        <f t="shared" ref="E123:E125" si="24">"HARDMODE_STEP_"&amp;B123</f>
        <v>HARDMODE_STEP_8</v>
      </c>
      <c r="F123" s="70" t="str">
        <f t="shared" ref="F123:F125" si="25">E123&amp;"_HELP"</f>
        <v>HARDMODE_STEP_8_HELP</v>
      </c>
      <c r="G123" s="2" t="s">
        <v>351</v>
      </c>
      <c r="J123" s="70" t="str">
        <f t="shared" si="21"/>
        <v>11,7</v>
      </c>
      <c r="K123" s="3" t="s">
        <v>122</v>
      </c>
      <c r="L123" s="81" t="s">
        <v>394</v>
      </c>
      <c r="M123" s="3" t="s">
        <v>126</v>
      </c>
      <c r="N123" s="2" t="s">
        <v>523</v>
      </c>
      <c r="O123" s="2" t="s">
        <v>116</v>
      </c>
      <c r="Q123" s="2" t="str">
        <f t="shared" ref="Q123:Q125" si="26">B123</f>
        <v>8</v>
      </c>
      <c r="R123" s="2" t="s">
        <v>107</v>
      </c>
      <c r="S123" s="2" t="s">
        <v>79</v>
      </c>
      <c r="T123" s="2" t="s">
        <v>80</v>
      </c>
      <c r="U123" s="2" t="s">
        <v>73</v>
      </c>
      <c r="V123" s="2" t="s">
        <v>32</v>
      </c>
      <c r="W123" s="2" t="s">
        <v>74</v>
      </c>
      <c r="X123" s="2" t="s">
        <v>64</v>
      </c>
      <c r="Y123" s="2" t="s">
        <v>65</v>
      </c>
      <c r="Z123" s="2">
        <v>14000</v>
      </c>
      <c r="AA123" s="34"/>
      <c r="AB123" s="49">
        <v>911008</v>
      </c>
      <c r="AC123" s="59"/>
      <c r="AE123" s="2" t="s">
        <v>164</v>
      </c>
      <c r="AL123" s="52"/>
    </row>
    <row r="124" spans="1:38" s="2" customFormat="1" ht="14.1" customHeight="1" x14ac:dyDescent="0.2">
      <c r="A124" s="66" t="s">
        <v>110</v>
      </c>
      <c r="B124" s="3" t="s">
        <v>80</v>
      </c>
      <c r="C124" s="52" t="s">
        <v>661</v>
      </c>
      <c r="E124" s="76" t="str">
        <f t="shared" si="24"/>
        <v>HARDMODE_STEP_9</v>
      </c>
      <c r="F124" s="70" t="str">
        <f t="shared" si="25"/>
        <v>HARDMODE_STEP_9_HELP</v>
      </c>
      <c r="G124" s="2" t="s">
        <v>351</v>
      </c>
      <c r="J124" s="70" t="str">
        <f t="shared" si="21"/>
        <v>11,8</v>
      </c>
      <c r="K124" s="3" t="s">
        <v>122</v>
      </c>
      <c r="L124" s="81" t="s">
        <v>394</v>
      </c>
      <c r="M124" s="3" t="s">
        <v>126</v>
      </c>
      <c r="N124" s="2" t="s">
        <v>523</v>
      </c>
      <c r="O124" s="2" t="s">
        <v>116</v>
      </c>
      <c r="Q124" s="2" t="str">
        <f t="shared" si="26"/>
        <v>9</v>
      </c>
      <c r="R124" s="2" t="s">
        <v>107</v>
      </c>
      <c r="S124" s="2" t="s">
        <v>79</v>
      </c>
      <c r="T124" s="2" t="s">
        <v>80</v>
      </c>
      <c r="U124" s="2" t="s">
        <v>73</v>
      </c>
      <c r="V124" s="2" t="s">
        <v>32</v>
      </c>
      <c r="W124" s="2" t="s">
        <v>74</v>
      </c>
      <c r="X124" s="2" t="s">
        <v>64</v>
      </c>
      <c r="Y124" s="2" t="s">
        <v>65</v>
      </c>
      <c r="Z124" s="2">
        <v>15000</v>
      </c>
      <c r="AA124" s="34"/>
      <c r="AB124" s="49">
        <v>911009</v>
      </c>
      <c r="AC124" s="59"/>
      <c r="AE124" s="2" t="s">
        <v>164</v>
      </c>
      <c r="AL124" s="52"/>
    </row>
    <row r="125" spans="1:38" s="2" customFormat="1" ht="14.1" customHeight="1" x14ac:dyDescent="0.2">
      <c r="A125" s="66" t="s">
        <v>110</v>
      </c>
      <c r="B125" s="3" t="s">
        <v>393</v>
      </c>
      <c r="C125" s="52" t="s">
        <v>662</v>
      </c>
      <c r="E125" s="76" t="str">
        <f t="shared" si="24"/>
        <v>HARDMODE_STEP_10</v>
      </c>
      <c r="F125" s="70" t="str">
        <f t="shared" si="25"/>
        <v>HARDMODE_STEP_10_HELP</v>
      </c>
      <c r="G125" s="2" t="s">
        <v>351</v>
      </c>
      <c r="J125" s="70" t="str">
        <f t="shared" si="21"/>
        <v>11,9</v>
      </c>
      <c r="K125" s="3" t="s">
        <v>122</v>
      </c>
      <c r="L125" s="81" t="s">
        <v>394</v>
      </c>
      <c r="M125" s="3" t="s">
        <v>126</v>
      </c>
      <c r="N125" s="2" t="s">
        <v>523</v>
      </c>
      <c r="O125" s="2" t="s">
        <v>116</v>
      </c>
      <c r="Q125" s="2" t="str">
        <f t="shared" si="26"/>
        <v>10</v>
      </c>
      <c r="R125" s="2" t="s">
        <v>107</v>
      </c>
      <c r="S125" s="2" t="s">
        <v>79</v>
      </c>
      <c r="T125" s="2" t="s">
        <v>80</v>
      </c>
      <c r="U125" s="2" t="s">
        <v>73</v>
      </c>
      <c r="V125" s="2" t="s">
        <v>32</v>
      </c>
      <c r="W125" s="2" t="s">
        <v>74</v>
      </c>
      <c r="X125" s="2" t="s">
        <v>64</v>
      </c>
      <c r="Y125" s="2" t="s">
        <v>65</v>
      </c>
      <c r="Z125" s="2">
        <v>16000</v>
      </c>
      <c r="AA125" s="34"/>
      <c r="AB125" s="49">
        <v>911010</v>
      </c>
      <c r="AC125" s="59"/>
      <c r="AE125" s="2" t="s">
        <v>164</v>
      </c>
      <c r="AL125" s="52"/>
    </row>
    <row r="126" spans="1:38" s="2" customFormat="1" ht="14.1" customHeight="1" x14ac:dyDescent="0.2">
      <c r="A126" s="66" t="s">
        <v>113</v>
      </c>
      <c r="B126" s="3" t="s">
        <v>57</v>
      </c>
      <c r="C126" s="52" t="s">
        <v>663</v>
      </c>
      <c r="E126" s="76" t="str">
        <f t="shared" si="19"/>
        <v>HARDMODE_STEP_1</v>
      </c>
      <c r="F126" s="70" t="str">
        <f t="shared" si="18"/>
        <v>HARDMODE_STEP_1_HELP</v>
      </c>
      <c r="G126" s="2" t="s">
        <v>351</v>
      </c>
      <c r="I126" s="2" t="s">
        <v>92</v>
      </c>
      <c r="J126" s="70" t="s">
        <v>377</v>
      </c>
      <c r="K126" s="3" t="s">
        <v>120</v>
      </c>
      <c r="L126" s="81" t="s">
        <v>395</v>
      </c>
      <c r="M126" s="3" t="s">
        <v>130</v>
      </c>
      <c r="N126" s="2" t="s">
        <v>523</v>
      </c>
      <c r="O126" s="2" t="s">
        <v>117</v>
      </c>
      <c r="Q126" s="2" t="str">
        <f t="shared" si="20"/>
        <v>1</v>
      </c>
      <c r="R126" s="2" t="s">
        <v>91</v>
      </c>
      <c r="S126" s="2" t="s">
        <v>36</v>
      </c>
      <c r="T126" s="2" t="s">
        <v>40</v>
      </c>
      <c r="U126" s="2" t="s">
        <v>73</v>
      </c>
      <c r="V126" s="2" t="s">
        <v>31</v>
      </c>
      <c r="W126" s="2" t="s">
        <v>74</v>
      </c>
      <c r="X126" s="2" t="s">
        <v>66</v>
      </c>
      <c r="Y126" s="2" t="s">
        <v>65</v>
      </c>
      <c r="Z126" s="2">
        <v>7000</v>
      </c>
      <c r="AA126" s="34"/>
      <c r="AB126" s="50" t="s">
        <v>181</v>
      </c>
      <c r="AC126" s="28"/>
      <c r="AE126" s="2" t="s">
        <v>184</v>
      </c>
      <c r="AL126" s="52"/>
    </row>
    <row r="127" spans="1:38" s="2" customFormat="1" ht="14.1" customHeight="1" x14ac:dyDescent="0.2">
      <c r="A127" s="66" t="s">
        <v>113</v>
      </c>
      <c r="B127" s="3" t="s">
        <v>341</v>
      </c>
      <c r="C127" s="52" t="s">
        <v>664</v>
      </c>
      <c r="E127" s="76" t="str">
        <f t="shared" si="19"/>
        <v>HARDMODE_STEP_2</v>
      </c>
      <c r="F127" s="70" t="str">
        <f t="shared" si="18"/>
        <v>HARDMODE_STEP_2_HELP</v>
      </c>
      <c r="G127" s="2" t="s">
        <v>351</v>
      </c>
      <c r="J127" s="70" t="str">
        <f t="shared" si="21"/>
        <v>12,1</v>
      </c>
      <c r="K127" s="3" t="s">
        <v>120</v>
      </c>
      <c r="L127" s="81" t="s">
        <v>395</v>
      </c>
      <c r="M127" s="3" t="s">
        <v>130</v>
      </c>
      <c r="N127" s="2" t="s">
        <v>523</v>
      </c>
      <c r="O127" s="2" t="s">
        <v>117</v>
      </c>
      <c r="Q127" s="2" t="str">
        <f t="shared" si="20"/>
        <v>2</v>
      </c>
      <c r="R127" s="2" t="s">
        <v>91</v>
      </c>
      <c r="S127" s="2" t="s">
        <v>36</v>
      </c>
      <c r="T127" s="2" t="s">
        <v>40</v>
      </c>
      <c r="U127" s="2" t="s">
        <v>73</v>
      </c>
      <c r="V127" s="2" t="s">
        <v>31</v>
      </c>
      <c r="W127" s="2" t="s">
        <v>74</v>
      </c>
      <c r="X127" s="2" t="s">
        <v>66</v>
      </c>
      <c r="Y127" s="2" t="s">
        <v>65</v>
      </c>
      <c r="Z127" s="2">
        <v>8000</v>
      </c>
      <c r="AA127" s="34"/>
      <c r="AB127" s="50">
        <v>912002</v>
      </c>
      <c r="AC127" s="59"/>
      <c r="AE127" s="2" t="s">
        <v>170</v>
      </c>
      <c r="AL127" s="52"/>
    </row>
    <row r="128" spans="1:38" s="2" customFormat="1" ht="14.1" customHeight="1" x14ac:dyDescent="0.2">
      <c r="A128" s="66" t="s">
        <v>113</v>
      </c>
      <c r="B128" s="3" t="s">
        <v>342</v>
      </c>
      <c r="C128" s="52" t="s">
        <v>665</v>
      </c>
      <c r="E128" s="76" t="str">
        <f t="shared" si="19"/>
        <v>HARDMODE_STEP_3</v>
      </c>
      <c r="F128" s="70" t="str">
        <f t="shared" si="18"/>
        <v>HARDMODE_STEP_3_HELP</v>
      </c>
      <c r="G128" s="2" t="s">
        <v>351</v>
      </c>
      <c r="J128" s="70" t="str">
        <f t="shared" si="21"/>
        <v>12,2</v>
      </c>
      <c r="K128" s="3" t="s">
        <v>120</v>
      </c>
      <c r="L128" s="81" t="s">
        <v>395</v>
      </c>
      <c r="M128" s="3" t="s">
        <v>130</v>
      </c>
      <c r="N128" s="2" t="s">
        <v>523</v>
      </c>
      <c r="O128" s="2" t="s">
        <v>117</v>
      </c>
      <c r="Q128" s="2" t="str">
        <f t="shared" si="20"/>
        <v>3</v>
      </c>
      <c r="R128" s="2" t="s">
        <v>91</v>
      </c>
      <c r="S128" s="2" t="s">
        <v>36</v>
      </c>
      <c r="T128" s="2" t="s">
        <v>40</v>
      </c>
      <c r="U128" s="2" t="s">
        <v>73</v>
      </c>
      <c r="V128" s="2" t="s">
        <v>31</v>
      </c>
      <c r="W128" s="2" t="s">
        <v>74</v>
      </c>
      <c r="X128" s="2" t="s">
        <v>66</v>
      </c>
      <c r="Y128" s="2" t="s">
        <v>65</v>
      </c>
      <c r="Z128" s="2">
        <v>9000</v>
      </c>
      <c r="AA128" s="34"/>
      <c r="AB128" s="50">
        <v>912003</v>
      </c>
      <c r="AC128" s="59"/>
      <c r="AE128" s="2" t="s">
        <v>170</v>
      </c>
      <c r="AL128" s="52"/>
    </row>
    <row r="129" spans="1:38" s="2" customFormat="1" ht="14.1" customHeight="1" x14ac:dyDescent="0.2">
      <c r="A129" s="66" t="s">
        <v>113</v>
      </c>
      <c r="B129" s="3" t="s">
        <v>338</v>
      </c>
      <c r="C129" s="52" t="s">
        <v>666</v>
      </c>
      <c r="E129" s="76" t="str">
        <f t="shared" si="19"/>
        <v>HARDMODE_STEP_4</v>
      </c>
      <c r="F129" s="70" t="str">
        <f t="shared" ref="F129" si="27">E129&amp;"_HELP"</f>
        <v>HARDMODE_STEP_4_HELP</v>
      </c>
      <c r="G129" s="2" t="s">
        <v>351</v>
      </c>
      <c r="J129" s="70" t="str">
        <f t="shared" si="21"/>
        <v>12,3</v>
      </c>
      <c r="K129" s="3" t="s">
        <v>120</v>
      </c>
      <c r="L129" s="81" t="s">
        <v>395</v>
      </c>
      <c r="M129" s="3" t="s">
        <v>130</v>
      </c>
      <c r="N129" s="2" t="s">
        <v>523</v>
      </c>
      <c r="O129" s="2" t="s">
        <v>117</v>
      </c>
      <c r="Q129" s="2" t="str">
        <f t="shared" si="20"/>
        <v>4</v>
      </c>
      <c r="R129" s="2" t="s">
        <v>91</v>
      </c>
      <c r="S129" s="2" t="s">
        <v>36</v>
      </c>
      <c r="T129" s="2" t="s">
        <v>40</v>
      </c>
      <c r="U129" s="2" t="s">
        <v>73</v>
      </c>
      <c r="V129" s="2" t="s">
        <v>31</v>
      </c>
      <c r="W129" s="2" t="s">
        <v>74</v>
      </c>
      <c r="X129" s="2" t="s">
        <v>66</v>
      </c>
      <c r="Y129" s="2" t="s">
        <v>65</v>
      </c>
      <c r="Z129" s="2">
        <v>10000</v>
      </c>
      <c r="AA129" s="34"/>
      <c r="AB129" s="50">
        <v>912004</v>
      </c>
      <c r="AC129" s="59"/>
      <c r="AE129" s="2" t="s">
        <v>170</v>
      </c>
      <c r="AL129" s="52"/>
    </row>
    <row r="130" spans="1:38" s="2" customFormat="1" ht="14.1" customHeight="1" x14ac:dyDescent="0.2">
      <c r="A130" s="66" t="s">
        <v>113</v>
      </c>
      <c r="B130" s="3" t="s">
        <v>75</v>
      </c>
      <c r="C130" s="52" t="s">
        <v>667</v>
      </c>
      <c r="E130" s="76" t="str">
        <f t="shared" si="19"/>
        <v>HARDMODE_STEP_5</v>
      </c>
      <c r="F130" s="70" t="str">
        <f t="shared" ref="F130:F132" si="28">E130&amp;"_HELP"</f>
        <v>HARDMODE_STEP_5_HELP</v>
      </c>
      <c r="G130" s="2" t="s">
        <v>351</v>
      </c>
      <c r="J130" s="70" t="str">
        <f t="shared" si="21"/>
        <v>12,4</v>
      </c>
      <c r="K130" s="3" t="s">
        <v>120</v>
      </c>
      <c r="L130" s="81" t="s">
        <v>395</v>
      </c>
      <c r="M130" s="3" t="s">
        <v>130</v>
      </c>
      <c r="N130" s="2" t="s">
        <v>523</v>
      </c>
      <c r="O130" s="2" t="s">
        <v>117</v>
      </c>
      <c r="Q130" s="2" t="str">
        <f t="shared" si="20"/>
        <v>5</v>
      </c>
      <c r="R130" s="2" t="s">
        <v>91</v>
      </c>
      <c r="S130" s="2" t="s">
        <v>36</v>
      </c>
      <c r="T130" s="2" t="s">
        <v>40</v>
      </c>
      <c r="U130" s="2" t="s">
        <v>73</v>
      </c>
      <c r="V130" s="2" t="s">
        <v>31</v>
      </c>
      <c r="W130" s="2" t="s">
        <v>74</v>
      </c>
      <c r="X130" s="2" t="s">
        <v>66</v>
      </c>
      <c r="Y130" s="2" t="s">
        <v>65</v>
      </c>
      <c r="Z130" s="2">
        <v>11000</v>
      </c>
      <c r="AA130" s="34"/>
      <c r="AB130" s="50">
        <v>912005</v>
      </c>
      <c r="AC130" s="59"/>
      <c r="AE130" s="2" t="s">
        <v>170</v>
      </c>
      <c r="AL130" s="52"/>
    </row>
    <row r="131" spans="1:38" s="2" customFormat="1" ht="14.1" customHeight="1" x14ac:dyDescent="0.2">
      <c r="A131" s="66" t="s">
        <v>113</v>
      </c>
      <c r="B131" s="3" t="s">
        <v>364</v>
      </c>
      <c r="C131" s="52" t="s">
        <v>668</v>
      </c>
      <c r="E131" s="76" t="str">
        <f t="shared" si="19"/>
        <v>HARDMODE_STEP_6</v>
      </c>
      <c r="F131" s="70" t="str">
        <f t="shared" si="28"/>
        <v>HARDMODE_STEP_6_HELP</v>
      </c>
      <c r="G131" s="2" t="s">
        <v>351</v>
      </c>
      <c r="J131" s="70" t="str">
        <f t="shared" si="21"/>
        <v>12,5</v>
      </c>
      <c r="K131" s="3" t="s">
        <v>120</v>
      </c>
      <c r="L131" s="81" t="s">
        <v>395</v>
      </c>
      <c r="M131" s="3" t="s">
        <v>130</v>
      </c>
      <c r="N131" s="2" t="s">
        <v>523</v>
      </c>
      <c r="O131" s="2" t="s">
        <v>117</v>
      </c>
      <c r="Q131" s="2" t="str">
        <f t="shared" si="20"/>
        <v>6</v>
      </c>
      <c r="R131" s="2" t="s">
        <v>91</v>
      </c>
      <c r="S131" s="2" t="s">
        <v>36</v>
      </c>
      <c r="T131" s="2" t="s">
        <v>40</v>
      </c>
      <c r="U131" s="2" t="s">
        <v>73</v>
      </c>
      <c r="V131" s="2" t="s">
        <v>31</v>
      </c>
      <c r="W131" s="2" t="s">
        <v>74</v>
      </c>
      <c r="X131" s="2" t="s">
        <v>66</v>
      </c>
      <c r="Y131" s="2" t="s">
        <v>65</v>
      </c>
      <c r="Z131" s="2">
        <v>12000</v>
      </c>
      <c r="AA131" s="34"/>
      <c r="AB131" s="50">
        <v>912006</v>
      </c>
      <c r="AC131" s="59"/>
      <c r="AE131" s="2" t="s">
        <v>170</v>
      </c>
      <c r="AL131" s="52"/>
    </row>
    <row r="132" spans="1:38" s="2" customFormat="1" ht="14.1" customHeight="1" x14ac:dyDescent="0.2">
      <c r="A132" s="66" t="s">
        <v>113</v>
      </c>
      <c r="B132" s="3" t="s">
        <v>154</v>
      </c>
      <c r="C132" s="52" t="s">
        <v>669</v>
      </c>
      <c r="E132" s="76" t="str">
        <f t="shared" si="19"/>
        <v>HARDMODE_STEP_7</v>
      </c>
      <c r="F132" s="70" t="str">
        <f t="shared" si="28"/>
        <v>HARDMODE_STEP_7_HELP</v>
      </c>
      <c r="G132" s="2" t="s">
        <v>351</v>
      </c>
      <c r="J132" s="70" t="str">
        <f t="shared" si="21"/>
        <v>12,6</v>
      </c>
      <c r="K132" s="3" t="s">
        <v>120</v>
      </c>
      <c r="L132" s="81" t="s">
        <v>395</v>
      </c>
      <c r="M132" s="3" t="s">
        <v>130</v>
      </c>
      <c r="N132" s="2" t="s">
        <v>523</v>
      </c>
      <c r="O132" s="2" t="s">
        <v>117</v>
      </c>
      <c r="Q132" s="2" t="str">
        <f t="shared" si="20"/>
        <v>7</v>
      </c>
      <c r="R132" s="2" t="s">
        <v>91</v>
      </c>
      <c r="S132" s="2" t="s">
        <v>36</v>
      </c>
      <c r="T132" s="2" t="s">
        <v>40</v>
      </c>
      <c r="U132" s="2" t="s">
        <v>73</v>
      </c>
      <c r="V132" s="2" t="s">
        <v>31</v>
      </c>
      <c r="W132" s="2" t="s">
        <v>74</v>
      </c>
      <c r="X132" s="2" t="s">
        <v>66</v>
      </c>
      <c r="Y132" s="2" t="s">
        <v>65</v>
      </c>
      <c r="Z132" s="2">
        <v>13000</v>
      </c>
      <c r="AA132" s="34"/>
      <c r="AB132" s="50">
        <v>912007</v>
      </c>
      <c r="AC132" s="59"/>
      <c r="AE132" s="2" t="s">
        <v>170</v>
      </c>
      <c r="AL132" s="52"/>
    </row>
    <row r="133" spans="1:38" s="2" customFormat="1" ht="14.1" customHeight="1" x14ac:dyDescent="0.2">
      <c r="A133" s="66" t="s">
        <v>113</v>
      </c>
      <c r="B133" s="3" t="s">
        <v>191</v>
      </c>
      <c r="C133" s="52" t="s">
        <v>670</v>
      </c>
      <c r="E133" s="76" t="str">
        <f t="shared" ref="E133:E135" si="29">"HARDMODE_STEP_"&amp;B133</f>
        <v>HARDMODE_STEP_8</v>
      </c>
      <c r="F133" s="70" t="str">
        <f t="shared" ref="F133:F135" si="30">E133&amp;"_HELP"</f>
        <v>HARDMODE_STEP_8_HELP</v>
      </c>
      <c r="G133" s="2" t="s">
        <v>351</v>
      </c>
      <c r="J133" s="70" t="str">
        <f t="shared" si="21"/>
        <v>12,7</v>
      </c>
      <c r="K133" s="3" t="s">
        <v>120</v>
      </c>
      <c r="L133" s="81" t="s">
        <v>395</v>
      </c>
      <c r="M133" s="3" t="s">
        <v>130</v>
      </c>
      <c r="N133" s="2" t="s">
        <v>523</v>
      </c>
      <c r="O133" s="2" t="s">
        <v>117</v>
      </c>
      <c r="Q133" s="2" t="str">
        <f t="shared" si="20"/>
        <v>8</v>
      </c>
      <c r="R133" s="2" t="s">
        <v>91</v>
      </c>
      <c r="S133" s="2" t="s">
        <v>36</v>
      </c>
      <c r="T133" s="2" t="s">
        <v>40</v>
      </c>
      <c r="U133" s="2" t="s">
        <v>73</v>
      </c>
      <c r="V133" s="2" t="s">
        <v>31</v>
      </c>
      <c r="W133" s="2" t="s">
        <v>74</v>
      </c>
      <c r="X133" s="2" t="s">
        <v>66</v>
      </c>
      <c r="Y133" s="2" t="s">
        <v>65</v>
      </c>
      <c r="Z133" s="2">
        <v>14000</v>
      </c>
      <c r="AA133" s="34"/>
      <c r="AB133" s="50">
        <v>912008</v>
      </c>
      <c r="AC133" s="59"/>
      <c r="AE133" s="2" t="s">
        <v>170</v>
      </c>
      <c r="AL133" s="52"/>
    </row>
    <row r="134" spans="1:38" s="2" customFormat="1" ht="14.1" customHeight="1" x14ac:dyDescent="0.2">
      <c r="A134" s="66" t="s">
        <v>113</v>
      </c>
      <c r="B134" s="3" t="s">
        <v>384</v>
      </c>
      <c r="C134" s="52" t="s">
        <v>671</v>
      </c>
      <c r="E134" s="76" t="str">
        <f t="shared" si="29"/>
        <v>HARDMODE_STEP_9</v>
      </c>
      <c r="F134" s="70" t="str">
        <f t="shared" si="30"/>
        <v>HARDMODE_STEP_9_HELP</v>
      </c>
      <c r="G134" s="2" t="s">
        <v>351</v>
      </c>
      <c r="J134" s="70" t="str">
        <f t="shared" si="21"/>
        <v>12,8</v>
      </c>
      <c r="K134" s="3" t="s">
        <v>120</v>
      </c>
      <c r="L134" s="81" t="s">
        <v>395</v>
      </c>
      <c r="M134" s="3" t="s">
        <v>130</v>
      </c>
      <c r="N134" s="2" t="s">
        <v>523</v>
      </c>
      <c r="O134" s="2" t="s">
        <v>117</v>
      </c>
      <c r="Q134" s="2" t="str">
        <f t="shared" si="20"/>
        <v>9</v>
      </c>
      <c r="R134" s="2" t="s">
        <v>91</v>
      </c>
      <c r="S134" s="2" t="s">
        <v>36</v>
      </c>
      <c r="T134" s="2" t="s">
        <v>40</v>
      </c>
      <c r="U134" s="2" t="s">
        <v>73</v>
      </c>
      <c r="V134" s="2" t="s">
        <v>31</v>
      </c>
      <c r="W134" s="2" t="s">
        <v>74</v>
      </c>
      <c r="X134" s="2" t="s">
        <v>66</v>
      </c>
      <c r="Y134" s="2" t="s">
        <v>65</v>
      </c>
      <c r="Z134" s="2">
        <v>15000</v>
      </c>
      <c r="AA134" s="34"/>
      <c r="AB134" s="50">
        <v>912009</v>
      </c>
      <c r="AC134" s="59"/>
      <c r="AE134" s="2" t="s">
        <v>170</v>
      </c>
      <c r="AL134" s="52"/>
    </row>
    <row r="135" spans="1:38" s="2" customFormat="1" ht="14.1" customHeight="1" x14ac:dyDescent="0.2">
      <c r="A135" s="66" t="s">
        <v>113</v>
      </c>
      <c r="B135" s="3" t="s">
        <v>385</v>
      </c>
      <c r="C135" s="52" t="s">
        <v>672</v>
      </c>
      <c r="E135" s="76" t="str">
        <f t="shared" si="29"/>
        <v>HARDMODE_STEP_10</v>
      </c>
      <c r="F135" s="70" t="str">
        <f t="shared" si="30"/>
        <v>HARDMODE_STEP_10_HELP</v>
      </c>
      <c r="G135" s="2" t="s">
        <v>351</v>
      </c>
      <c r="J135" s="70" t="str">
        <f t="shared" si="21"/>
        <v>12,9</v>
      </c>
      <c r="K135" s="3" t="s">
        <v>120</v>
      </c>
      <c r="L135" s="81" t="s">
        <v>395</v>
      </c>
      <c r="M135" s="3" t="s">
        <v>130</v>
      </c>
      <c r="N135" s="2" t="s">
        <v>523</v>
      </c>
      <c r="O135" s="2" t="s">
        <v>117</v>
      </c>
      <c r="Q135" s="2" t="str">
        <f t="shared" si="20"/>
        <v>10</v>
      </c>
      <c r="R135" s="2" t="s">
        <v>91</v>
      </c>
      <c r="S135" s="2" t="s">
        <v>36</v>
      </c>
      <c r="T135" s="2" t="s">
        <v>40</v>
      </c>
      <c r="U135" s="2" t="s">
        <v>73</v>
      </c>
      <c r="V135" s="2" t="s">
        <v>31</v>
      </c>
      <c r="W135" s="2" t="s">
        <v>74</v>
      </c>
      <c r="X135" s="2" t="s">
        <v>66</v>
      </c>
      <c r="Y135" s="2" t="s">
        <v>65</v>
      </c>
      <c r="Z135" s="2">
        <v>16000</v>
      </c>
      <c r="AA135" s="34"/>
      <c r="AB135" s="50">
        <v>912010</v>
      </c>
      <c r="AC135" s="59"/>
      <c r="AE135" s="2" t="s">
        <v>170</v>
      </c>
      <c r="AL135" s="52"/>
    </row>
    <row r="136" spans="1:38" s="2" customFormat="1" ht="14.1" customHeight="1" x14ac:dyDescent="0.2">
      <c r="A136" s="66" t="s">
        <v>114</v>
      </c>
      <c r="B136" s="3" t="s">
        <v>57</v>
      </c>
      <c r="C136" s="52" t="s">
        <v>673</v>
      </c>
      <c r="E136" s="76" t="str">
        <f t="shared" si="19"/>
        <v>HARDMODE_STEP_1</v>
      </c>
      <c r="F136" s="70" t="str">
        <f t="shared" si="18"/>
        <v>HARDMODE_STEP_1_HELP</v>
      </c>
      <c r="G136" s="2" t="s">
        <v>351</v>
      </c>
      <c r="I136" s="2" t="s">
        <v>92</v>
      </c>
      <c r="J136" s="70" t="s">
        <v>378</v>
      </c>
      <c r="K136" s="3" t="s">
        <v>121</v>
      </c>
      <c r="L136" s="81" t="s">
        <v>396</v>
      </c>
      <c r="M136" s="3" t="s">
        <v>128</v>
      </c>
      <c r="N136" s="2" t="s">
        <v>523</v>
      </c>
      <c r="O136" s="2" t="s">
        <v>118</v>
      </c>
      <c r="Q136" s="2" t="str">
        <f t="shared" si="20"/>
        <v>1</v>
      </c>
      <c r="R136" s="2" t="s">
        <v>104</v>
      </c>
      <c r="S136" s="2" t="s">
        <v>36</v>
      </c>
      <c r="T136" s="2" t="s">
        <v>40</v>
      </c>
      <c r="U136" s="2" t="s">
        <v>73</v>
      </c>
      <c r="V136" s="2" t="s">
        <v>31</v>
      </c>
      <c r="W136" s="2" t="s">
        <v>74</v>
      </c>
      <c r="X136" s="2" t="s">
        <v>67</v>
      </c>
      <c r="Y136" s="2" t="s">
        <v>65</v>
      </c>
      <c r="Z136" s="2">
        <v>7000</v>
      </c>
      <c r="AA136" s="34"/>
      <c r="AB136" s="50" t="s">
        <v>182</v>
      </c>
      <c r="AC136" s="28"/>
      <c r="AE136" s="2" t="s">
        <v>185</v>
      </c>
      <c r="AL136" s="52"/>
    </row>
    <row r="137" spans="1:38" s="2" customFormat="1" ht="14.1" customHeight="1" x14ac:dyDescent="0.2">
      <c r="A137" s="66" t="s">
        <v>44</v>
      </c>
      <c r="B137" s="3" t="s">
        <v>343</v>
      </c>
      <c r="C137" s="52" t="s">
        <v>674</v>
      </c>
      <c r="E137" s="76" t="str">
        <f t="shared" si="19"/>
        <v>HARDMODE_STEP_2</v>
      </c>
      <c r="F137" s="70" t="str">
        <f t="shared" si="18"/>
        <v>HARDMODE_STEP_2_HELP</v>
      </c>
      <c r="G137" s="2" t="s">
        <v>351</v>
      </c>
      <c r="J137" s="70" t="str">
        <f t="shared" si="21"/>
        <v>13,1</v>
      </c>
      <c r="K137" s="3" t="s">
        <v>303</v>
      </c>
      <c r="L137" s="81" t="s">
        <v>396</v>
      </c>
      <c r="M137" s="3" t="s">
        <v>304</v>
      </c>
      <c r="N137" s="2" t="s">
        <v>523</v>
      </c>
      <c r="O137" s="2" t="s">
        <v>305</v>
      </c>
      <c r="Q137" s="2" t="str">
        <f t="shared" si="20"/>
        <v>2</v>
      </c>
      <c r="R137" s="2" t="s">
        <v>306</v>
      </c>
      <c r="S137" s="2" t="s">
        <v>36</v>
      </c>
      <c r="T137" s="2" t="s">
        <v>40</v>
      </c>
      <c r="U137" s="2" t="s">
        <v>37</v>
      </c>
      <c r="V137" s="2" t="s">
        <v>31</v>
      </c>
      <c r="W137" s="2" t="s">
        <v>90</v>
      </c>
      <c r="X137" s="2" t="s">
        <v>307</v>
      </c>
      <c r="Y137" s="2" t="s">
        <v>135</v>
      </c>
      <c r="Z137" s="2">
        <v>8000</v>
      </c>
      <c r="AA137" s="34"/>
      <c r="AB137" s="50">
        <v>913002</v>
      </c>
      <c r="AC137" s="59"/>
      <c r="AE137" s="2" t="s">
        <v>54</v>
      </c>
      <c r="AL137" s="52"/>
    </row>
    <row r="138" spans="1:38" s="2" customFormat="1" ht="14.1" customHeight="1" x14ac:dyDescent="0.2">
      <c r="A138" s="66" t="s">
        <v>44</v>
      </c>
      <c r="B138" s="3" t="s">
        <v>344</v>
      </c>
      <c r="C138" s="52" t="s">
        <v>675</v>
      </c>
      <c r="E138" s="76" t="str">
        <f t="shared" si="19"/>
        <v>HARDMODE_STEP_3</v>
      </c>
      <c r="F138" s="70" t="str">
        <f t="shared" si="18"/>
        <v>HARDMODE_STEP_3_HELP</v>
      </c>
      <c r="G138" s="2" t="s">
        <v>351</v>
      </c>
      <c r="J138" s="70" t="str">
        <f t="shared" si="21"/>
        <v>13,2</v>
      </c>
      <c r="K138" s="3" t="s">
        <v>303</v>
      </c>
      <c r="L138" s="81" t="s">
        <v>396</v>
      </c>
      <c r="M138" s="3" t="s">
        <v>304</v>
      </c>
      <c r="N138" s="2" t="s">
        <v>523</v>
      </c>
      <c r="O138" s="2" t="s">
        <v>305</v>
      </c>
      <c r="Q138" s="2" t="str">
        <f t="shared" si="20"/>
        <v>3</v>
      </c>
      <c r="R138" s="2" t="s">
        <v>306</v>
      </c>
      <c r="S138" s="2" t="s">
        <v>36</v>
      </c>
      <c r="T138" s="2" t="s">
        <v>40</v>
      </c>
      <c r="U138" s="2" t="s">
        <v>37</v>
      </c>
      <c r="V138" s="2" t="s">
        <v>31</v>
      </c>
      <c r="W138" s="2" t="s">
        <v>90</v>
      </c>
      <c r="X138" s="2" t="s">
        <v>307</v>
      </c>
      <c r="Y138" s="2" t="s">
        <v>135</v>
      </c>
      <c r="Z138" s="2">
        <v>9000</v>
      </c>
      <c r="AA138" s="34"/>
      <c r="AB138" s="50">
        <v>913003</v>
      </c>
      <c r="AC138" s="59"/>
      <c r="AE138" s="2" t="s">
        <v>54</v>
      </c>
      <c r="AL138" s="52"/>
    </row>
    <row r="139" spans="1:38" s="2" customFormat="1" ht="14.1" customHeight="1" x14ac:dyDescent="0.2">
      <c r="A139" s="66" t="s">
        <v>44</v>
      </c>
      <c r="B139" s="3" t="s">
        <v>347</v>
      </c>
      <c r="C139" s="52" t="s">
        <v>676</v>
      </c>
      <c r="E139" s="76" t="str">
        <f t="shared" si="19"/>
        <v>HARDMODE_STEP_4</v>
      </c>
      <c r="F139" s="70" t="str">
        <f t="shared" ref="F139" si="31">E139&amp;"_HELP"</f>
        <v>HARDMODE_STEP_4_HELP</v>
      </c>
      <c r="G139" s="2" t="s">
        <v>351</v>
      </c>
      <c r="J139" s="70" t="str">
        <f t="shared" si="21"/>
        <v>13,3</v>
      </c>
      <c r="K139" s="3" t="s">
        <v>303</v>
      </c>
      <c r="L139" s="81" t="s">
        <v>396</v>
      </c>
      <c r="M139" s="3" t="s">
        <v>304</v>
      </c>
      <c r="N139" s="2" t="s">
        <v>523</v>
      </c>
      <c r="O139" s="2" t="s">
        <v>305</v>
      </c>
      <c r="Q139" s="2" t="str">
        <f t="shared" si="20"/>
        <v>4</v>
      </c>
      <c r="R139" s="2" t="s">
        <v>306</v>
      </c>
      <c r="S139" s="2" t="s">
        <v>36</v>
      </c>
      <c r="T139" s="2" t="s">
        <v>40</v>
      </c>
      <c r="U139" s="2" t="s">
        <v>37</v>
      </c>
      <c r="V139" s="2" t="s">
        <v>31</v>
      </c>
      <c r="W139" s="2" t="s">
        <v>90</v>
      </c>
      <c r="X139" s="2" t="s">
        <v>307</v>
      </c>
      <c r="Y139" s="2" t="s">
        <v>135</v>
      </c>
      <c r="Z139" s="2">
        <v>10000</v>
      </c>
      <c r="AA139" s="34"/>
      <c r="AB139" s="50">
        <v>913004</v>
      </c>
      <c r="AC139" s="59"/>
      <c r="AE139" s="2" t="s">
        <v>54</v>
      </c>
      <c r="AL139" s="52"/>
    </row>
    <row r="140" spans="1:38" s="2" customFormat="1" ht="14.1" customHeight="1" x14ac:dyDescent="0.2">
      <c r="A140" s="66" t="s">
        <v>44</v>
      </c>
      <c r="B140" s="3" t="s">
        <v>75</v>
      </c>
      <c r="C140" s="52" t="s">
        <v>677</v>
      </c>
      <c r="E140" s="76" t="str">
        <f t="shared" si="19"/>
        <v>HARDMODE_STEP_5</v>
      </c>
      <c r="F140" s="70" t="str">
        <f t="shared" ref="F140:F142" si="32">E140&amp;"_HELP"</f>
        <v>HARDMODE_STEP_5_HELP</v>
      </c>
      <c r="G140" s="2" t="s">
        <v>351</v>
      </c>
      <c r="J140" s="70" t="str">
        <f t="shared" si="21"/>
        <v>13,4</v>
      </c>
      <c r="K140" s="3" t="s">
        <v>303</v>
      </c>
      <c r="L140" s="81" t="s">
        <v>396</v>
      </c>
      <c r="M140" s="3" t="s">
        <v>304</v>
      </c>
      <c r="N140" s="2" t="s">
        <v>523</v>
      </c>
      <c r="O140" s="2" t="s">
        <v>305</v>
      </c>
      <c r="Q140" s="2" t="str">
        <f t="shared" si="20"/>
        <v>5</v>
      </c>
      <c r="R140" s="2" t="s">
        <v>306</v>
      </c>
      <c r="S140" s="2" t="s">
        <v>36</v>
      </c>
      <c r="T140" s="2" t="s">
        <v>40</v>
      </c>
      <c r="U140" s="2" t="s">
        <v>37</v>
      </c>
      <c r="V140" s="2" t="s">
        <v>31</v>
      </c>
      <c r="W140" s="2" t="s">
        <v>90</v>
      </c>
      <c r="X140" s="2" t="s">
        <v>307</v>
      </c>
      <c r="Y140" s="2" t="s">
        <v>135</v>
      </c>
      <c r="Z140" s="2">
        <v>11000</v>
      </c>
      <c r="AA140" s="34"/>
      <c r="AB140" s="50">
        <v>913005</v>
      </c>
      <c r="AC140" s="59"/>
      <c r="AE140" s="2" t="s">
        <v>54</v>
      </c>
      <c r="AL140" s="52"/>
    </row>
    <row r="141" spans="1:38" s="2" customFormat="1" ht="14.1" customHeight="1" x14ac:dyDescent="0.2">
      <c r="A141" s="66" t="s">
        <v>44</v>
      </c>
      <c r="B141" s="3" t="s">
        <v>365</v>
      </c>
      <c r="C141" s="52" t="s">
        <v>678</v>
      </c>
      <c r="E141" s="76" t="str">
        <f t="shared" si="19"/>
        <v>HARDMODE_STEP_6</v>
      </c>
      <c r="F141" s="70" t="str">
        <f t="shared" si="32"/>
        <v>HARDMODE_STEP_6_HELP</v>
      </c>
      <c r="G141" s="2" t="s">
        <v>351</v>
      </c>
      <c r="J141" s="70" t="str">
        <f t="shared" si="21"/>
        <v>13,5</v>
      </c>
      <c r="K141" s="3" t="s">
        <v>303</v>
      </c>
      <c r="L141" s="81" t="s">
        <v>396</v>
      </c>
      <c r="M141" s="3" t="s">
        <v>304</v>
      </c>
      <c r="N141" s="2" t="s">
        <v>523</v>
      </c>
      <c r="O141" s="2" t="s">
        <v>305</v>
      </c>
      <c r="Q141" s="2" t="str">
        <f t="shared" si="20"/>
        <v>6</v>
      </c>
      <c r="R141" s="2" t="s">
        <v>306</v>
      </c>
      <c r="S141" s="2" t="s">
        <v>36</v>
      </c>
      <c r="T141" s="2" t="s">
        <v>40</v>
      </c>
      <c r="U141" s="2" t="s">
        <v>37</v>
      </c>
      <c r="V141" s="2" t="s">
        <v>31</v>
      </c>
      <c r="W141" s="2" t="s">
        <v>90</v>
      </c>
      <c r="X141" s="2" t="s">
        <v>307</v>
      </c>
      <c r="Y141" s="2" t="s">
        <v>135</v>
      </c>
      <c r="Z141" s="2">
        <v>12000</v>
      </c>
      <c r="AA141" s="34"/>
      <c r="AB141" s="50">
        <v>913006</v>
      </c>
      <c r="AC141" s="59"/>
      <c r="AE141" s="2" t="s">
        <v>54</v>
      </c>
      <c r="AL141" s="52"/>
    </row>
    <row r="142" spans="1:38" s="2" customFormat="1" ht="14.1" customHeight="1" x14ac:dyDescent="0.2">
      <c r="A142" s="66" t="s">
        <v>44</v>
      </c>
      <c r="B142" s="3" t="s">
        <v>366</v>
      </c>
      <c r="C142" s="52" t="s">
        <v>679</v>
      </c>
      <c r="E142" s="76" t="str">
        <f t="shared" si="19"/>
        <v>HARDMODE_STEP_7</v>
      </c>
      <c r="F142" s="70" t="str">
        <f t="shared" si="32"/>
        <v>HARDMODE_STEP_7_HELP</v>
      </c>
      <c r="G142" s="2" t="s">
        <v>351</v>
      </c>
      <c r="J142" s="70" t="str">
        <f t="shared" si="21"/>
        <v>13,6</v>
      </c>
      <c r="K142" s="3" t="s">
        <v>303</v>
      </c>
      <c r="L142" s="81" t="s">
        <v>396</v>
      </c>
      <c r="M142" s="3" t="s">
        <v>304</v>
      </c>
      <c r="N142" s="2" t="s">
        <v>523</v>
      </c>
      <c r="O142" s="2" t="s">
        <v>305</v>
      </c>
      <c r="Q142" s="2" t="str">
        <f t="shared" si="20"/>
        <v>7</v>
      </c>
      <c r="R142" s="2" t="s">
        <v>306</v>
      </c>
      <c r="S142" s="2" t="s">
        <v>36</v>
      </c>
      <c r="T142" s="2" t="s">
        <v>40</v>
      </c>
      <c r="U142" s="2" t="s">
        <v>37</v>
      </c>
      <c r="V142" s="2" t="s">
        <v>31</v>
      </c>
      <c r="W142" s="2" t="s">
        <v>90</v>
      </c>
      <c r="X142" s="2" t="s">
        <v>307</v>
      </c>
      <c r="Y142" s="2" t="s">
        <v>135</v>
      </c>
      <c r="Z142" s="2">
        <v>13000</v>
      </c>
      <c r="AA142" s="34"/>
      <c r="AB142" s="50">
        <v>913007</v>
      </c>
      <c r="AC142" s="59"/>
      <c r="AE142" s="2" t="s">
        <v>54</v>
      </c>
      <c r="AL142" s="52"/>
    </row>
    <row r="143" spans="1:38" s="2" customFormat="1" ht="14.1" customHeight="1" x14ac:dyDescent="0.2">
      <c r="A143" s="66" t="s">
        <v>44</v>
      </c>
      <c r="B143" s="3" t="s">
        <v>191</v>
      </c>
      <c r="C143" s="52" t="s">
        <v>680</v>
      </c>
      <c r="E143" s="76" t="str">
        <f t="shared" ref="E143:E145" si="33">"HARDMODE_STEP_"&amp;B143</f>
        <v>HARDMODE_STEP_8</v>
      </c>
      <c r="F143" s="70" t="str">
        <f t="shared" ref="F143:F145" si="34">E143&amp;"_HELP"</f>
        <v>HARDMODE_STEP_8_HELP</v>
      </c>
      <c r="G143" s="2" t="s">
        <v>351</v>
      </c>
      <c r="J143" s="70" t="str">
        <f t="shared" si="21"/>
        <v>13,7</v>
      </c>
      <c r="K143" s="3" t="s">
        <v>303</v>
      </c>
      <c r="L143" s="81" t="s">
        <v>396</v>
      </c>
      <c r="M143" s="3" t="s">
        <v>304</v>
      </c>
      <c r="N143" s="2" t="s">
        <v>523</v>
      </c>
      <c r="O143" s="2" t="s">
        <v>305</v>
      </c>
      <c r="Q143" s="2" t="str">
        <f t="shared" si="20"/>
        <v>8</v>
      </c>
      <c r="R143" s="2" t="s">
        <v>306</v>
      </c>
      <c r="S143" s="2" t="s">
        <v>36</v>
      </c>
      <c r="T143" s="2" t="s">
        <v>40</v>
      </c>
      <c r="U143" s="2" t="s">
        <v>37</v>
      </c>
      <c r="V143" s="2" t="s">
        <v>31</v>
      </c>
      <c r="W143" s="2" t="s">
        <v>90</v>
      </c>
      <c r="X143" s="2" t="s">
        <v>307</v>
      </c>
      <c r="Y143" s="2" t="s">
        <v>135</v>
      </c>
      <c r="Z143" s="2">
        <v>14000</v>
      </c>
      <c r="AA143" s="34"/>
      <c r="AB143" s="50">
        <v>913008</v>
      </c>
      <c r="AC143" s="59"/>
      <c r="AE143" s="2" t="s">
        <v>54</v>
      </c>
      <c r="AL143" s="52"/>
    </row>
    <row r="144" spans="1:38" s="2" customFormat="1" ht="14.1" customHeight="1" x14ac:dyDescent="0.2">
      <c r="A144" s="66" t="s">
        <v>44</v>
      </c>
      <c r="B144" s="3" t="s">
        <v>80</v>
      </c>
      <c r="C144" s="52" t="s">
        <v>681</v>
      </c>
      <c r="E144" s="76" t="str">
        <f t="shared" si="33"/>
        <v>HARDMODE_STEP_9</v>
      </c>
      <c r="F144" s="70" t="str">
        <f t="shared" si="34"/>
        <v>HARDMODE_STEP_9_HELP</v>
      </c>
      <c r="G144" s="2" t="s">
        <v>351</v>
      </c>
      <c r="J144" s="70" t="str">
        <f t="shared" si="21"/>
        <v>13,8</v>
      </c>
      <c r="K144" s="3" t="s">
        <v>303</v>
      </c>
      <c r="L144" s="81" t="s">
        <v>396</v>
      </c>
      <c r="M144" s="3" t="s">
        <v>304</v>
      </c>
      <c r="N144" s="2" t="s">
        <v>523</v>
      </c>
      <c r="O144" s="2" t="s">
        <v>305</v>
      </c>
      <c r="Q144" s="2" t="str">
        <f t="shared" si="20"/>
        <v>9</v>
      </c>
      <c r="R144" s="2" t="s">
        <v>306</v>
      </c>
      <c r="S144" s="2" t="s">
        <v>36</v>
      </c>
      <c r="T144" s="2" t="s">
        <v>40</v>
      </c>
      <c r="U144" s="2" t="s">
        <v>37</v>
      </c>
      <c r="V144" s="2" t="s">
        <v>31</v>
      </c>
      <c r="W144" s="2" t="s">
        <v>90</v>
      </c>
      <c r="X144" s="2" t="s">
        <v>307</v>
      </c>
      <c r="Y144" s="2" t="s">
        <v>135</v>
      </c>
      <c r="Z144" s="2">
        <v>15000</v>
      </c>
      <c r="AA144" s="34"/>
      <c r="AB144" s="50">
        <v>913009</v>
      </c>
      <c r="AC144" s="59"/>
      <c r="AE144" s="2" t="s">
        <v>54</v>
      </c>
      <c r="AL144" s="52"/>
    </row>
    <row r="145" spans="1:38" s="2" customFormat="1" ht="14.1" customHeight="1" x14ac:dyDescent="0.2">
      <c r="A145" s="66" t="s">
        <v>44</v>
      </c>
      <c r="B145" s="3" t="s">
        <v>386</v>
      </c>
      <c r="C145" s="52" t="s">
        <v>682</v>
      </c>
      <c r="E145" s="76" t="str">
        <f t="shared" si="33"/>
        <v>HARDMODE_STEP_10</v>
      </c>
      <c r="F145" s="70" t="str">
        <f t="shared" si="34"/>
        <v>HARDMODE_STEP_10_HELP</v>
      </c>
      <c r="G145" s="2" t="s">
        <v>351</v>
      </c>
      <c r="J145" s="70" t="str">
        <f t="shared" si="21"/>
        <v>13,9</v>
      </c>
      <c r="K145" s="3" t="s">
        <v>303</v>
      </c>
      <c r="L145" s="81" t="s">
        <v>396</v>
      </c>
      <c r="M145" s="3" t="s">
        <v>304</v>
      </c>
      <c r="N145" s="2" t="s">
        <v>523</v>
      </c>
      <c r="O145" s="2" t="s">
        <v>305</v>
      </c>
      <c r="Q145" s="2" t="str">
        <f t="shared" si="20"/>
        <v>10</v>
      </c>
      <c r="R145" s="2" t="s">
        <v>306</v>
      </c>
      <c r="S145" s="2" t="s">
        <v>36</v>
      </c>
      <c r="T145" s="2" t="s">
        <v>40</v>
      </c>
      <c r="U145" s="2" t="s">
        <v>37</v>
      </c>
      <c r="V145" s="2" t="s">
        <v>31</v>
      </c>
      <c r="W145" s="2" t="s">
        <v>90</v>
      </c>
      <c r="X145" s="2" t="s">
        <v>307</v>
      </c>
      <c r="Y145" s="2" t="s">
        <v>135</v>
      </c>
      <c r="Z145" s="2">
        <v>16000</v>
      </c>
      <c r="AA145" s="34"/>
      <c r="AB145" s="50">
        <v>913010</v>
      </c>
      <c r="AC145" s="59"/>
      <c r="AE145" s="2" t="s">
        <v>54</v>
      </c>
      <c r="AL145" s="52"/>
    </row>
    <row r="146" spans="1:38" s="2" customFormat="1" ht="13.5" customHeight="1" x14ac:dyDescent="0.2">
      <c r="A146" s="66" t="s">
        <v>115</v>
      </c>
      <c r="B146" s="3" t="s">
        <v>57</v>
      </c>
      <c r="C146" s="52" t="s">
        <v>683</v>
      </c>
      <c r="E146" s="76" t="str">
        <f t="shared" si="19"/>
        <v>HARDMODE_STEP_1</v>
      </c>
      <c r="F146" s="70" t="str">
        <f t="shared" si="18"/>
        <v>HARDMODE_STEP_1_HELP</v>
      </c>
      <c r="G146" s="2" t="s">
        <v>351</v>
      </c>
      <c r="I146" s="2" t="s">
        <v>92</v>
      </c>
      <c r="J146" s="70" t="s">
        <v>379</v>
      </c>
      <c r="K146" s="3" t="s">
        <v>123</v>
      </c>
      <c r="L146" s="81" t="s">
        <v>397</v>
      </c>
      <c r="M146" s="3" t="s">
        <v>129</v>
      </c>
      <c r="N146" s="2" t="s">
        <v>523</v>
      </c>
      <c r="O146" s="2" t="s">
        <v>119</v>
      </c>
      <c r="Q146" s="2" t="str">
        <f t="shared" si="20"/>
        <v>1</v>
      </c>
      <c r="R146" s="2" t="s">
        <v>87</v>
      </c>
      <c r="S146" s="2" t="s">
        <v>79</v>
      </c>
      <c r="T146" s="2" t="s">
        <v>80</v>
      </c>
      <c r="U146" s="2" t="s">
        <v>73</v>
      </c>
      <c r="V146" s="2" t="s">
        <v>32</v>
      </c>
      <c r="W146" s="2" t="s">
        <v>82</v>
      </c>
      <c r="X146" s="2" t="s">
        <v>83</v>
      </c>
      <c r="Y146" s="2" t="s">
        <v>65</v>
      </c>
      <c r="Z146" s="2">
        <v>7000</v>
      </c>
      <c r="AA146" s="34"/>
      <c r="AB146" s="50" t="s">
        <v>183</v>
      </c>
      <c r="AC146" s="28"/>
      <c r="AE146" s="2" t="s">
        <v>186</v>
      </c>
      <c r="AL146" s="52"/>
    </row>
    <row r="147" spans="1:38" s="2" customFormat="1" ht="14.1" customHeight="1" x14ac:dyDescent="0.2">
      <c r="A147" s="66" t="s">
        <v>45</v>
      </c>
      <c r="B147" s="3" t="s">
        <v>343</v>
      </c>
      <c r="C147" s="52" t="s">
        <v>684</v>
      </c>
      <c r="E147" s="76" t="str">
        <f t="shared" si="19"/>
        <v>HARDMODE_STEP_2</v>
      </c>
      <c r="F147" s="70" t="str">
        <f t="shared" si="18"/>
        <v>HARDMODE_STEP_2_HELP</v>
      </c>
      <c r="G147" s="2" t="s">
        <v>351</v>
      </c>
      <c r="J147" s="70" t="str">
        <f t="shared" si="21"/>
        <v>14,1</v>
      </c>
      <c r="K147" s="3" t="s">
        <v>308</v>
      </c>
      <c r="L147" s="81" t="s">
        <v>397</v>
      </c>
      <c r="M147" s="3" t="s">
        <v>309</v>
      </c>
      <c r="N147" s="2" t="s">
        <v>523</v>
      </c>
      <c r="O147" s="2" t="s">
        <v>310</v>
      </c>
      <c r="Q147" s="2" t="str">
        <f t="shared" si="20"/>
        <v>2</v>
      </c>
      <c r="R147" s="2" t="s">
        <v>87</v>
      </c>
      <c r="S147" s="2" t="s">
        <v>36</v>
      </c>
      <c r="T147" s="2" t="s">
        <v>40</v>
      </c>
      <c r="U147" s="2" t="s">
        <v>37</v>
      </c>
      <c r="V147" s="2" t="s">
        <v>31</v>
      </c>
      <c r="W147" s="2" t="s">
        <v>90</v>
      </c>
      <c r="X147" s="2" t="s">
        <v>311</v>
      </c>
      <c r="Y147" s="2" t="s">
        <v>135</v>
      </c>
      <c r="Z147" s="2">
        <v>8000</v>
      </c>
      <c r="AA147" s="34"/>
      <c r="AB147" s="50">
        <v>914002</v>
      </c>
      <c r="AC147" s="59"/>
      <c r="AE147" s="2" t="s">
        <v>55</v>
      </c>
      <c r="AL147" s="52"/>
    </row>
    <row r="148" spans="1:38" s="2" customFormat="1" ht="14.1" customHeight="1" x14ac:dyDescent="0.2">
      <c r="A148" s="66" t="s">
        <v>45</v>
      </c>
      <c r="B148" s="3" t="s">
        <v>345</v>
      </c>
      <c r="C148" s="52" t="s">
        <v>685</v>
      </c>
      <c r="E148" s="76" t="str">
        <f t="shared" si="19"/>
        <v>HARDMODE_STEP_3</v>
      </c>
      <c r="F148" s="70" t="str">
        <f t="shared" si="18"/>
        <v>HARDMODE_STEP_3_HELP</v>
      </c>
      <c r="G148" s="2" t="s">
        <v>351</v>
      </c>
      <c r="J148" s="70" t="str">
        <f t="shared" si="21"/>
        <v>14,2</v>
      </c>
      <c r="K148" s="3" t="s">
        <v>308</v>
      </c>
      <c r="L148" s="81" t="s">
        <v>397</v>
      </c>
      <c r="M148" s="3" t="s">
        <v>309</v>
      </c>
      <c r="N148" s="2" t="s">
        <v>523</v>
      </c>
      <c r="O148" s="2" t="s">
        <v>310</v>
      </c>
      <c r="Q148" s="2" t="str">
        <f t="shared" si="20"/>
        <v>3</v>
      </c>
      <c r="R148" s="2" t="s">
        <v>87</v>
      </c>
      <c r="S148" s="2" t="s">
        <v>36</v>
      </c>
      <c r="T148" s="2" t="s">
        <v>40</v>
      </c>
      <c r="U148" s="2" t="s">
        <v>37</v>
      </c>
      <c r="V148" s="2" t="s">
        <v>31</v>
      </c>
      <c r="W148" s="2" t="s">
        <v>90</v>
      </c>
      <c r="X148" s="2" t="s">
        <v>311</v>
      </c>
      <c r="Y148" s="2" t="s">
        <v>135</v>
      </c>
      <c r="Z148" s="2">
        <v>9000</v>
      </c>
      <c r="AA148" s="34"/>
      <c r="AB148" s="50">
        <v>914003</v>
      </c>
      <c r="AC148" s="59"/>
      <c r="AE148" s="2" t="s">
        <v>55</v>
      </c>
      <c r="AL148" s="52"/>
    </row>
    <row r="149" spans="1:38" s="2" customFormat="1" ht="14.1" customHeight="1" x14ac:dyDescent="0.2">
      <c r="A149" s="66" t="s">
        <v>45</v>
      </c>
      <c r="B149" s="3" t="s">
        <v>338</v>
      </c>
      <c r="C149" s="52" t="s">
        <v>686</v>
      </c>
      <c r="E149" s="76" t="str">
        <f t="shared" si="19"/>
        <v>HARDMODE_STEP_4</v>
      </c>
      <c r="F149" s="70" t="str">
        <f t="shared" ref="F149" si="35">E149&amp;"_HELP"</f>
        <v>HARDMODE_STEP_4_HELP</v>
      </c>
      <c r="G149" s="2" t="s">
        <v>351</v>
      </c>
      <c r="J149" s="70" t="str">
        <f t="shared" si="21"/>
        <v>14,3</v>
      </c>
      <c r="K149" s="3" t="s">
        <v>308</v>
      </c>
      <c r="L149" s="81" t="s">
        <v>397</v>
      </c>
      <c r="M149" s="3" t="s">
        <v>309</v>
      </c>
      <c r="N149" s="2" t="s">
        <v>523</v>
      </c>
      <c r="O149" s="2" t="s">
        <v>310</v>
      </c>
      <c r="Q149" s="2" t="str">
        <f t="shared" si="20"/>
        <v>4</v>
      </c>
      <c r="R149" s="2" t="s">
        <v>87</v>
      </c>
      <c r="S149" s="2" t="s">
        <v>36</v>
      </c>
      <c r="T149" s="2" t="s">
        <v>40</v>
      </c>
      <c r="U149" s="2" t="s">
        <v>37</v>
      </c>
      <c r="V149" s="2" t="s">
        <v>31</v>
      </c>
      <c r="W149" s="2" t="s">
        <v>90</v>
      </c>
      <c r="X149" s="2" t="s">
        <v>311</v>
      </c>
      <c r="Y149" s="2" t="s">
        <v>135</v>
      </c>
      <c r="Z149" s="2">
        <v>10000</v>
      </c>
      <c r="AA149" s="34"/>
      <c r="AB149" s="50">
        <v>914004</v>
      </c>
      <c r="AC149" s="59"/>
      <c r="AE149" s="2" t="s">
        <v>55</v>
      </c>
      <c r="AL149" s="52"/>
    </row>
    <row r="150" spans="1:38" s="2" customFormat="1" ht="14.1" customHeight="1" x14ac:dyDescent="0.2">
      <c r="A150" s="66" t="s">
        <v>45</v>
      </c>
      <c r="B150" s="3" t="s">
        <v>75</v>
      </c>
      <c r="C150" s="52" t="s">
        <v>687</v>
      </c>
      <c r="E150" s="76" t="str">
        <f t="shared" si="19"/>
        <v>HARDMODE_STEP_5</v>
      </c>
      <c r="F150" s="70" t="str">
        <f t="shared" ref="F150:F152" si="36">E150&amp;"_HELP"</f>
        <v>HARDMODE_STEP_5_HELP</v>
      </c>
      <c r="G150" s="2" t="s">
        <v>351</v>
      </c>
      <c r="J150" s="70" t="str">
        <f t="shared" si="21"/>
        <v>14,4</v>
      </c>
      <c r="K150" s="3" t="s">
        <v>308</v>
      </c>
      <c r="L150" s="81" t="s">
        <v>397</v>
      </c>
      <c r="M150" s="3" t="s">
        <v>309</v>
      </c>
      <c r="N150" s="2" t="s">
        <v>523</v>
      </c>
      <c r="O150" s="2" t="s">
        <v>310</v>
      </c>
      <c r="Q150" s="2" t="str">
        <f t="shared" si="20"/>
        <v>5</v>
      </c>
      <c r="R150" s="2" t="s">
        <v>87</v>
      </c>
      <c r="S150" s="2" t="s">
        <v>36</v>
      </c>
      <c r="T150" s="2" t="s">
        <v>40</v>
      </c>
      <c r="U150" s="2" t="s">
        <v>37</v>
      </c>
      <c r="V150" s="2" t="s">
        <v>31</v>
      </c>
      <c r="W150" s="2" t="s">
        <v>90</v>
      </c>
      <c r="X150" s="2" t="s">
        <v>311</v>
      </c>
      <c r="Y150" s="2" t="s">
        <v>135</v>
      </c>
      <c r="Z150" s="2">
        <v>11000</v>
      </c>
      <c r="AA150" s="34"/>
      <c r="AB150" s="50">
        <v>914005</v>
      </c>
      <c r="AC150" s="59"/>
      <c r="AE150" s="2" t="s">
        <v>55</v>
      </c>
      <c r="AL150" s="52"/>
    </row>
    <row r="151" spans="1:38" s="2" customFormat="1" ht="14.1" customHeight="1" x14ac:dyDescent="0.2">
      <c r="A151" s="66" t="s">
        <v>45</v>
      </c>
      <c r="B151" s="3" t="s">
        <v>367</v>
      </c>
      <c r="C151" s="52" t="s">
        <v>688</v>
      </c>
      <c r="E151" s="76" t="str">
        <f t="shared" si="19"/>
        <v>HARDMODE_STEP_6</v>
      </c>
      <c r="F151" s="70" t="str">
        <f t="shared" si="36"/>
        <v>HARDMODE_STEP_6_HELP</v>
      </c>
      <c r="G151" s="2" t="s">
        <v>351</v>
      </c>
      <c r="J151" s="70" t="str">
        <f t="shared" si="21"/>
        <v>14,5</v>
      </c>
      <c r="K151" s="3" t="s">
        <v>308</v>
      </c>
      <c r="L151" s="81" t="s">
        <v>397</v>
      </c>
      <c r="M151" s="3" t="s">
        <v>309</v>
      </c>
      <c r="N151" s="2" t="s">
        <v>523</v>
      </c>
      <c r="O151" s="2" t="s">
        <v>310</v>
      </c>
      <c r="Q151" s="2" t="str">
        <f t="shared" si="20"/>
        <v>6</v>
      </c>
      <c r="R151" s="2" t="s">
        <v>87</v>
      </c>
      <c r="S151" s="2" t="s">
        <v>36</v>
      </c>
      <c r="T151" s="2" t="s">
        <v>40</v>
      </c>
      <c r="U151" s="2" t="s">
        <v>37</v>
      </c>
      <c r="V151" s="2" t="s">
        <v>31</v>
      </c>
      <c r="W151" s="2" t="s">
        <v>90</v>
      </c>
      <c r="X151" s="2" t="s">
        <v>311</v>
      </c>
      <c r="Y151" s="2" t="s">
        <v>135</v>
      </c>
      <c r="Z151" s="2">
        <v>12000</v>
      </c>
      <c r="AA151" s="34"/>
      <c r="AB151" s="50">
        <v>914006</v>
      </c>
      <c r="AC151" s="59"/>
      <c r="AE151" s="2" t="s">
        <v>55</v>
      </c>
      <c r="AL151" s="52"/>
    </row>
    <row r="152" spans="1:38" s="2" customFormat="1" ht="14.1" customHeight="1" x14ac:dyDescent="0.2">
      <c r="A152" s="66" t="s">
        <v>45</v>
      </c>
      <c r="B152" s="3" t="s">
        <v>154</v>
      </c>
      <c r="C152" s="52" t="s">
        <v>689</v>
      </c>
      <c r="E152" s="76" t="str">
        <f t="shared" si="19"/>
        <v>HARDMODE_STEP_7</v>
      </c>
      <c r="F152" s="70" t="str">
        <f t="shared" si="36"/>
        <v>HARDMODE_STEP_7_HELP</v>
      </c>
      <c r="G152" s="2" t="s">
        <v>351</v>
      </c>
      <c r="J152" s="70" t="str">
        <f t="shared" si="21"/>
        <v>14,6</v>
      </c>
      <c r="K152" s="3" t="s">
        <v>308</v>
      </c>
      <c r="L152" s="81" t="s">
        <v>397</v>
      </c>
      <c r="M152" s="3" t="s">
        <v>309</v>
      </c>
      <c r="N152" s="2" t="s">
        <v>523</v>
      </c>
      <c r="O152" s="2" t="s">
        <v>310</v>
      </c>
      <c r="Q152" s="2" t="str">
        <f t="shared" si="20"/>
        <v>7</v>
      </c>
      <c r="R152" s="2" t="s">
        <v>87</v>
      </c>
      <c r="S152" s="2" t="s">
        <v>36</v>
      </c>
      <c r="T152" s="2" t="s">
        <v>40</v>
      </c>
      <c r="U152" s="2" t="s">
        <v>37</v>
      </c>
      <c r="V152" s="2" t="s">
        <v>31</v>
      </c>
      <c r="W152" s="2" t="s">
        <v>90</v>
      </c>
      <c r="X152" s="2" t="s">
        <v>311</v>
      </c>
      <c r="Y152" s="2" t="s">
        <v>135</v>
      </c>
      <c r="Z152" s="2">
        <v>13000</v>
      </c>
      <c r="AA152" s="34"/>
      <c r="AB152" s="50">
        <v>914007</v>
      </c>
      <c r="AC152" s="59"/>
      <c r="AE152" s="2" t="s">
        <v>55</v>
      </c>
      <c r="AL152" s="52"/>
    </row>
    <row r="153" spans="1:38" s="2" customFormat="1" ht="14.1" customHeight="1" x14ac:dyDescent="0.2">
      <c r="A153" s="66" t="s">
        <v>45</v>
      </c>
      <c r="B153" s="3" t="s">
        <v>191</v>
      </c>
      <c r="C153" s="52" t="s">
        <v>690</v>
      </c>
      <c r="E153" s="76" t="str">
        <f t="shared" ref="E153:E155" si="37">"HARDMODE_STEP_"&amp;B153</f>
        <v>HARDMODE_STEP_8</v>
      </c>
      <c r="F153" s="70" t="str">
        <f t="shared" ref="F153:F155" si="38">E153&amp;"_HELP"</f>
        <v>HARDMODE_STEP_8_HELP</v>
      </c>
      <c r="G153" s="2" t="s">
        <v>351</v>
      </c>
      <c r="J153" s="70" t="str">
        <f t="shared" si="21"/>
        <v>14,7</v>
      </c>
      <c r="K153" s="3" t="s">
        <v>308</v>
      </c>
      <c r="L153" s="81" t="s">
        <v>397</v>
      </c>
      <c r="M153" s="3" t="s">
        <v>309</v>
      </c>
      <c r="N153" s="2" t="s">
        <v>523</v>
      </c>
      <c r="O153" s="2" t="s">
        <v>310</v>
      </c>
      <c r="Q153" s="2" t="str">
        <f t="shared" si="20"/>
        <v>8</v>
      </c>
      <c r="R153" s="2" t="s">
        <v>87</v>
      </c>
      <c r="S153" s="2" t="s">
        <v>36</v>
      </c>
      <c r="T153" s="2" t="s">
        <v>40</v>
      </c>
      <c r="U153" s="2" t="s">
        <v>37</v>
      </c>
      <c r="V153" s="2" t="s">
        <v>31</v>
      </c>
      <c r="W153" s="2" t="s">
        <v>90</v>
      </c>
      <c r="X153" s="2" t="s">
        <v>311</v>
      </c>
      <c r="Y153" s="2" t="s">
        <v>135</v>
      </c>
      <c r="Z153" s="2">
        <v>14000</v>
      </c>
      <c r="AA153" s="34"/>
      <c r="AB153" s="50">
        <v>914008</v>
      </c>
      <c r="AC153" s="59"/>
      <c r="AE153" s="2" t="s">
        <v>55</v>
      </c>
      <c r="AL153" s="52"/>
    </row>
    <row r="154" spans="1:38" s="2" customFormat="1" ht="14.1" customHeight="1" x14ac:dyDescent="0.2">
      <c r="A154" s="66" t="s">
        <v>45</v>
      </c>
      <c r="B154" s="3" t="s">
        <v>387</v>
      </c>
      <c r="C154" s="52" t="s">
        <v>691</v>
      </c>
      <c r="E154" s="76" t="str">
        <f t="shared" si="37"/>
        <v>HARDMODE_STEP_9</v>
      </c>
      <c r="F154" s="70" t="str">
        <f t="shared" si="38"/>
        <v>HARDMODE_STEP_9_HELP</v>
      </c>
      <c r="G154" s="2" t="s">
        <v>351</v>
      </c>
      <c r="J154" s="70" t="str">
        <f t="shared" si="21"/>
        <v>14,8</v>
      </c>
      <c r="K154" s="3" t="s">
        <v>308</v>
      </c>
      <c r="L154" s="81" t="s">
        <v>397</v>
      </c>
      <c r="M154" s="3" t="s">
        <v>309</v>
      </c>
      <c r="N154" s="2" t="s">
        <v>523</v>
      </c>
      <c r="O154" s="2" t="s">
        <v>310</v>
      </c>
      <c r="Q154" s="2" t="str">
        <f t="shared" si="20"/>
        <v>9</v>
      </c>
      <c r="R154" s="2" t="s">
        <v>87</v>
      </c>
      <c r="S154" s="2" t="s">
        <v>36</v>
      </c>
      <c r="T154" s="2" t="s">
        <v>40</v>
      </c>
      <c r="U154" s="2" t="s">
        <v>37</v>
      </c>
      <c r="V154" s="2" t="s">
        <v>31</v>
      </c>
      <c r="W154" s="2" t="s">
        <v>90</v>
      </c>
      <c r="X154" s="2" t="s">
        <v>311</v>
      </c>
      <c r="Y154" s="2" t="s">
        <v>135</v>
      </c>
      <c r="Z154" s="2">
        <v>15000</v>
      </c>
      <c r="AA154" s="34"/>
      <c r="AB154" s="50">
        <v>914009</v>
      </c>
      <c r="AC154" s="59"/>
      <c r="AE154" s="2" t="s">
        <v>55</v>
      </c>
      <c r="AL154" s="52"/>
    </row>
    <row r="155" spans="1:38" s="2" customFormat="1" ht="14.1" customHeight="1" x14ac:dyDescent="0.2">
      <c r="A155" s="66" t="s">
        <v>45</v>
      </c>
      <c r="B155" s="3" t="s">
        <v>386</v>
      </c>
      <c r="C155" s="52" t="s">
        <v>692</v>
      </c>
      <c r="E155" s="76" t="str">
        <f t="shared" si="37"/>
        <v>HARDMODE_STEP_10</v>
      </c>
      <c r="F155" s="70" t="str">
        <f t="shared" si="38"/>
        <v>HARDMODE_STEP_10_HELP</v>
      </c>
      <c r="G155" s="2" t="s">
        <v>351</v>
      </c>
      <c r="J155" s="70" t="str">
        <f t="shared" si="21"/>
        <v>14,9</v>
      </c>
      <c r="K155" s="3" t="s">
        <v>308</v>
      </c>
      <c r="L155" s="81" t="s">
        <v>397</v>
      </c>
      <c r="M155" s="3" t="s">
        <v>309</v>
      </c>
      <c r="N155" s="2" t="s">
        <v>523</v>
      </c>
      <c r="O155" s="2" t="s">
        <v>310</v>
      </c>
      <c r="Q155" s="2" t="str">
        <f t="shared" si="20"/>
        <v>10</v>
      </c>
      <c r="R155" s="2" t="s">
        <v>87</v>
      </c>
      <c r="S155" s="2" t="s">
        <v>36</v>
      </c>
      <c r="T155" s="2" t="s">
        <v>40</v>
      </c>
      <c r="U155" s="2" t="s">
        <v>37</v>
      </c>
      <c r="V155" s="2" t="s">
        <v>31</v>
      </c>
      <c r="W155" s="2" t="s">
        <v>90</v>
      </c>
      <c r="X155" s="2" t="s">
        <v>311</v>
      </c>
      <c r="Y155" s="2" t="s">
        <v>135</v>
      </c>
      <c r="Z155" s="2">
        <v>16000</v>
      </c>
      <c r="AA155" s="34"/>
      <c r="AB155" s="50">
        <v>914010</v>
      </c>
      <c r="AC155" s="59"/>
      <c r="AE155" s="2" t="s">
        <v>55</v>
      </c>
      <c r="AL155" s="52"/>
    </row>
    <row r="156" spans="1:38" s="2" customFormat="1" ht="14.1" customHeight="1" x14ac:dyDescent="0.2">
      <c r="A156" s="66" t="s">
        <v>164</v>
      </c>
      <c r="B156" s="3" t="s">
        <v>57</v>
      </c>
      <c r="C156" s="52" t="s">
        <v>693</v>
      </c>
      <c r="E156" s="76" t="str">
        <f t="shared" si="19"/>
        <v>HARDMODE_STEP_1</v>
      </c>
      <c r="F156" s="70" t="str">
        <f t="shared" si="18"/>
        <v>HARDMODE_STEP_1_HELP</v>
      </c>
      <c r="G156" s="2" t="s">
        <v>354</v>
      </c>
      <c r="J156" s="70" t="s">
        <v>380</v>
      </c>
      <c r="K156" s="3" t="s">
        <v>122</v>
      </c>
      <c r="L156" s="81" t="s">
        <v>394</v>
      </c>
      <c r="M156" s="3" t="s">
        <v>126</v>
      </c>
      <c r="N156" s="2" t="s">
        <v>523</v>
      </c>
      <c r="O156" s="2" t="s">
        <v>187</v>
      </c>
      <c r="Q156" s="2" t="str">
        <f t="shared" si="20"/>
        <v>1</v>
      </c>
      <c r="R156" s="2" t="s">
        <v>107</v>
      </c>
      <c r="S156" s="2" t="s">
        <v>79</v>
      </c>
      <c r="T156" s="2" t="s">
        <v>80</v>
      </c>
      <c r="U156" s="2" t="s">
        <v>37</v>
      </c>
      <c r="V156" s="2" t="s">
        <v>32</v>
      </c>
      <c r="W156" s="2" t="s">
        <v>74</v>
      </c>
      <c r="X156" s="2" t="s">
        <v>64</v>
      </c>
      <c r="Y156" s="2" t="s">
        <v>65</v>
      </c>
      <c r="Z156" s="2">
        <v>7000</v>
      </c>
      <c r="AA156" s="34"/>
      <c r="AB156" s="49" t="s">
        <v>180</v>
      </c>
      <c r="AC156" s="28"/>
      <c r="AF156" s="2" t="s">
        <v>179</v>
      </c>
      <c r="AG156" s="2" t="s">
        <v>179</v>
      </c>
      <c r="AH156" s="2" t="s">
        <v>179</v>
      </c>
      <c r="AI156" s="2" t="s">
        <v>179</v>
      </c>
      <c r="AJ156" s="2" t="s">
        <v>42</v>
      </c>
      <c r="AL156" s="52"/>
    </row>
    <row r="157" spans="1:38" s="2" customFormat="1" ht="14.1" customHeight="1" x14ac:dyDescent="0.2">
      <c r="A157" s="66" t="s">
        <v>52</v>
      </c>
      <c r="B157" s="3" t="s">
        <v>341</v>
      </c>
      <c r="C157" s="52" t="s">
        <v>694</v>
      </c>
      <c r="E157" s="76" t="str">
        <f t="shared" si="19"/>
        <v>HARDMODE_STEP_2</v>
      </c>
      <c r="F157" s="70" t="str">
        <f t="shared" si="18"/>
        <v>HARDMODE_STEP_2_HELP</v>
      </c>
      <c r="G157" s="2" t="s">
        <v>353</v>
      </c>
      <c r="J157" s="70" t="str">
        <f>A117&amp;","&amp;B156</f>
        <v>11,1</v>
      </c>
      <c r="K157" s="3" t="s">
        <v>312</v>
      </c>
      <c r="L157" s="81" t="s">
        <v>394</v>
      </c>
      <c r="M157" s="3" t="s">
        <v>313</v>
      </c>
      <c r="N157" s="2" t="s">
        <v>523</v>
      </c>
      <c r="O157" s="2" t="s">
        <v>314</v>
      </c>
      <c r="Q157" s="2" t="str">
        <f t="shared" si="20"/>
        <v>2</v>
      </c>
      <c r="R157" s="2" t="s">
        <v>315</v>
      </c>
      <c r="S157" s="2" t="s">
        <v>36</v>
      </c>
      <c r="T157" s="2" t="s">
        <v>40</v>
      </c>
      <c r="U157" s="2" t="s">
        <v>37</v>
      </c>
      <c r="V157" s="2" t="s">
        <v>31</v>
      </c>
      <c r="W157" s="2" t="s">
        <v>90</v>
      </c>
      <c r="X157" s="2" t="s">
        <v>316</v>
      </c>
      <c r="Y157" s="2" t="s">
        <v>135</v>
      </c>
      <c r="Z157" s="2">
        <v>8000</v>
      </c>
      <c r="AA157" s="34"/>
      <c r="AB157" s="49">
        <v>911002</v>
      </c>
      <c r="AC157" s="59"/>
      <c r="AF157" s="2" t="s">
        <v>37</v>
      </c>
      <c r="AG157" s="2" t="s">
        <v>37</v>
      </c>
      <c r="AH157" s="2" t="s">
        <v>37</v>
      </c>
      <c r="AI157" s="2" t="s">
        <v>37</v>
      </c>
      <c r="AJ157" s="2" t="s">
        <v>42</v>
      </c>
      <c r="AL157" s="52"/>
    </row>
    <row r="158" spans="1:38" s="2" customFormat="1" ht="14.1" customHeight="1" x14ac:dyDescent="0.2">
      <c r="A158" s="66" t="s">
        <v>52</v>
      </c>
      <c r="B158" s="3" t="s">
        <v>345</v>
      </c>
      <c r="C158" s="52" t="s">
        <v>695</v>
      </c>
      <c r="E158" s="76" t="str">
        <f t="shared" si="19"/>
        <v>HARDMODE_STEP_3</v>
      </c>
      <c r="F158" s="70" t="str">
        <f t="shared" si="18"/>
        <v>HARDMODE_STEP_3_HELP</v>
      </c>
      <c r="G158" s="2" t="s">
        <v>353</v>
      </c>
      <c r="J158" s="70" t="str">
        <f t="shared" ref="J158:J165" si="39">A118&amp;","&amp;B157</f>
        <v>11,2</v>
      </c>
      <c r="K158" s="3" t="s">
        <v>312</v>
      </c>
      <c r="L158" s="81" t="s">
        <v>394</v>
      </c>
      <c r="M158" s="3" t="s">
        <v>313</v>
      </c>
      <c r="N158" s="2" t="s">
        <v>523</v>
      </c>
      <c r="O158" s="2" t="s">
        <v>314</v>
      </c>
      <c r="Q158" s="2" t="str">
        <f t="shared" si="20"/>
        <v>3</v>
      </c>
      <c r="R158" s="2" t="s">
        <v>315</v>
      </c>
      <c r="S158" s="2" t="s">
        <v>36</v>
      </c>
      <c r="T158" s="2" t="s">
        <v>40</v>
      </c>
      <c r="U158" s="2" t="s">
        <v>37</v>
      </c>
      <c r="V158" s="2" t="s">
        <v>31</v>
      </c>
      <c r="W158" s="2" t="s">
        <v>90</v>
      </c>
      <c r="X158" s="2" t="s">
        <v>316</v>
      </c>
      <c r="Y158" s="2" t="s">
        <v>135</v>
      </c>
      <c r="Z158" s="2">
        <v>9000</v>
      </c>
      <c r="AA158" s="34"/>
      <c r="AB158" s="49">
        <v>911003</v>
      </c>
      <c r="AC158" s="59"/>
      <c r="AF158" s="2" t="s">
        <v>37</v>
      </c>
      <c r="AG158" s="2" t="s">
        <v>37</v>
      </c>
      <c r="AH158" s="2" t="s">
        <v>37</v>
      </c>
      <c r="AI158" s="2" t="s">
        <v>37</v>
      </c>
      <c r="AJ158" s="2" t="s">
        <v>42</v>
      </c>
      <c r="AL158" s="52"/>
    </row>
    <row r="159" spans="1:38" s="2" customFormat="1" ht="14.1" customHeight="1" x14ac:dyDescent="0.2">
      <c r="A159" s="66" t="s">
        <v>52</v>
      </c>
      <c r="B159" s="3" t="s">
        <v>348</v>
      </c>
      <c r="C159" s="52" t="s">
        <v>696</v>
      </c>
      <c r="E159" s="76" t="str">
        <f t="shared" si="19"/>
        <v>HARDMODE_STEP_4</v>
      </c>
      <c r="F159" s="70" t="str">
        <f t="shared" ref="F159" si="40">E159&amp;"_HELP"</f>
        <v>HARDMODE_STEP_4_HELP</v>
      </c>
      <c r="G159" s="2" t="s">
        <v>353</v>
      </c>
      <c r="J159" s="70" t="str">
        <f t="shared" si="39"/>
        <v>11,3</v>
      </c>
      <c r="K159" s="3" t="s">
        <v>312</v>
      </c>
      <c r="L159" s="81" t="s">
        <v>394</v>
      </c>
      <c r="M159" s="3" t="s">
        <v>313</v>
      </c>
      <c r="N159" s="2" t="s">
        <v>523</v>
      </c>
      <c r="O159" s="2" t="s">
        <v>314</v>
      </c>
      <c r="Q159" s="2" t="str">
        <f t="shared" si="20"/>
        <v>4</v>
      </c>
      <c r="R159" s="2" t="s">
        <v>315</v>
      </c>
      <c r="S159" s="2" t="s">
        <v>36</v>
      </c>
      <c r="T159" s="2" t="s">
        <v>40</v>
      </c>
      <c r="U159" s="2" t="s">
        <v>37</v>
      </c>
      <c r="V159" s="2" t="s">
        <v>31</v>
      </c>
      <c r="W159" s="2" t="s">
        <v>90</v>
      </c>
      <c r="X159" s="2" t="s">
        <v>316</v>
      </c>
      <c r="Y159" s="2" t="s">
        <v>135</v>
      </c>
      <c r="Z159" s="2">
        <v>10000</v>
      </c>
      <c r="AA159" s="34"/>
      <c r="AB159" s="49">
        <v>911004</v>
      </c>
      <c r="AC159" s="59"/>
      <c r="AF159" s="2" t="s">
        <v>37</v>
      </c>
      <c r="AG159" s="2" t="s">
        <v>37</v>
      </c>
      <c r="AH159" s="2" t="s">
        <v>37</v>
      </c>
      <c r="AI159" s="2" t="s">
        <v>37</v>
      </c>
      <c r="AJ159" s="2" t="s">
        <v>42</v>
      </c>
      <c r="AL159" s="52"/>
    </row>
    <row r="160" spans="1:38" s="2" customFormat="1" ht="14.1" customHeight="1" x14ac:dyDescent="0.2">
      <c r="A160" s="66" t="s">
        <v>52</v>
      </c>
      <c r="B160" s="3" t="s">
        <v>75</v>
      </c>
      <c r="C160" s="52" t="s">
        <v>697</v>
      </c>
      <c r="E160" s="76" t="str">
        <f t="shared" si="19"/>
        <v>HARDMODE_STEP_5</v>
      </c>
      <c r="F160" s="70" t="str">
        <f t="shared" ref="F160:F162" si="41">E160&amp;"_HELP"</f>
        <v>HARDMODE_STEP_5_HELP</v>
      </c>
      <c r="G160" s="2" t="s">
        <v>353</v>
      </c>
      <c r="J160" s="70" t="str">
        <f t="shared" si="39"/>
        <v>11,4</v>
      </c>
      <c r="K160" s="3" t="s">
        <v>312</v>
      </c>
      <c r="L160" s="81" t="s">
        <v>394</v>
      </c>
      <c r="M160" s="3" t="s">
        <v>313</v>
      </c>
      <c r="N160" s="2" t="s">
        <v>523</v>
      </c>
      <c r="O160" s="2" t="s">
        <v>314</v>
      </c>
      <c r="Q160" s="2" t="str">
        <f t="shared" si="20"/>
        <v>5</v>
      </c>
      <c r="R160" s="2" t="s">
        <v>315</v>
      </c>
      <c r="S160" s="2" t="s">
        <v>36</v>
      </c>
      <c r="T160" s="2" t="s">
        <v>40</v>
      </c>
      <c r="U160" s="2" t="s">
        <v>37</v>
      </c>
      <c r="V160" s="2" t="s">
        <v>31</v>
      </c>
      <c r="W160" s="2" t="s">
        <v>90</v>
      </c>
      <c r="X160" s="2" t="s">
        <v>316</v>
      </c>
      <c r="Y160" s="2" t="s">
        <v>135</v>
      </c>
      <c r="Z160" s="2">
        <v>11000</v>
      </c>
      <c r="AA160" s="34"/>
      <c r="AB160" s="49">
        <v>911005</v>
      </c>
      <c r="AC160" s="59"/>
      <c r="AF160" s="2" t="s">
        <v>37</v>
      </c>
      <c r="AG160" s="2" t="s">
        <v>37</v>
      </c>
      <c r="AH160" s="2" t="s">
        <v>37</v>
      </c>
      <c r="AI160" s="2" t="s">
        <v>37</v>
      </c>
      <c r="AJ160" s="2" t="s">
        <v>42</v>
      </c>
      <c r="AL160" s="52"/>
    </row>
    <row r="161" spans="1:38" s="2" customFormat="1" ht="14.1" customHeight="1" x14ac:dyDescent="0.2">
      <c r="A161" s="66" t="s">
        <v>52</v>
      </c>
      <c r="B161" s="3" t="s">
        <v>22</v>
      </c>
      <c r="C161" s="52" t="s">
        <v>698</v>
      </c>
      <c r="E161" s="76" t="str">
        <f t="shared" si="19"/>
        <v>HARDMODE_STEP_6</v>
      </c>
      <c r="F161" s="70" t="str">
        <f t="shared" si="41"/>
        <v>HARDMODE_STEP_6_HELP</v>
      </c>
      <c r="G161" s="2" t="s">
        <v>353</v>
      </c>
      <c r="J161" s="70" t="str">
        <f t="shared" si="39"/>
        <v>11,5</v>
      </c>
      <c r="K161" s="3" t="s">
        <v>312</v>
      </c>
      <c r="L161" s="81" t="s">
        <v>394</v>
      </c>
      <c r="M161" s="3" t="s">
        <v>313</v>
      </c>
      <c r="N161" s="2" t="s">
        <v>523</v>
      </c>
      <c r="O161" s="2" t="s">
        <v>314</v>
      </c>
      <c r="Q161" s="2" t="str">
        <f t="shared" si="20"/>
        <v>6</v>
      </c>
      <c r="R161" s="2" t="s">
        <v>315</v>
      </c>
      <c r="S161" s="2" t="s">
        <v>36</v>
      </c>
      <c r="T161" s="2" t="s">
        <v>40</v>
      </c>
      <c r="U161" s="2" t="s">
        <v>37</v>
      </c>
      <c r="V161" s="2" t="s">
        <v>31</v>
      </c>
      <c r="W161" s="2" t="s">
        <v>90</v>
      </c>
      <c r="X161" s="2" t="s">
        <v>316</v>
      </c>
      <c r="Y161" s="2" t="s">
        <v>135</v>
      </c>
      <c r="Z161" s="2">
        <v>12000</v>
      </c>
      <c r="AA161" s="34"/>
      <c r="AB161" s="49">
        <v>911006</v>
      </c>
      <c r="AC161" s="59"/>
      <c r="AF161" s="2" t="s">
        <v>37</v>
      </c>
      <c r="AG161" s="2" t="s">
        <v>37</v>
      </c>
      <c r="AH161" s="2" t="s">
        <v>37</v>
      </c>
      <c r="AI161" s="2" t="s">
        <v>37</v>
      </c>
      <c r="AJ161" s="2" t="s">
        <v>42</v>
      </c>
      <c r="AL161" s="52"/>
    </row>
    <row r="162" spans="1:38" s="2" customFormat="1" ht="14.1" customHeight="1" x14ac:dyDescent="0.2">
      <c r="A162" s="66" t="s">
        <v>52</v>
      </c>
      <c r="B162" s="3" t="s">
        <v>154</v>
      </c>
      <c r="C162" s="52" t="s">
        <v>699</v>
      </c>
      <c r="E162" s="76" t="str">
        <f t="shared" si="19"/>
        <v>HARDMODE_STEP_7</v>
      </c>
      <c r="F162" s="70" t="str">
        <f t="shared" si="41"/>
        <v>HARDMODE_STEP_7_HELP</v>
      </c>
      <c r="G162" s="2" t="s">
        <v>353</v>
      </c>
      <c r="J162" s="70" t="str">
        <f t="shared" si="39"/>
        <v>11,6</v>
      </c>
      <c r="K162" s="3" t="s">
        <v>312</v>
      </c>
      <c r="L162" s="81" t="s">
        <v>394</v>
      </c>
      <c r="M162" s="3" t="s">
        <v>313</v>
      </c>
      <c r="N162" s="2" t="s">
        <v>523</v>
      </c>
      <c r="O162" s="2" t="s">
        <v>314</v>
      </c>
      <c r="Q162" s="2" t="str">
        <f t="shared" si="20"/>
        <v>7</v>
      </c>
      <c r="R162" s="2" t="s">
        <v>315</v>
      </c>
      <c r="S162" s="2" t="s">
        <v>36</v>
      </c>
      <c r="T162" s="2" t="s">
        <v>40</v>
      </c>
      <c r="U162" s="2" t="s">
        <v>37</v>
      </c>
      <c r="V162" s="2" t="s">
        <v>31</v>
      </c>
      <c r="W162" s="2" t="s">
        <v>90</v>
      </c>
      <c r="X162" s="2" t="s">
        <v>316</v>
      </c>
      <c r="Y162" s="2" t="s">
        <v>135</v>
      </c>
      <c r="Z162" s="2">
        <v>13000</v>
      </c>
      <c r="AA162" s="34"/>
      <c r="AB162" s="49">
        <v>911007</v>
      </c>
      <c r="AC162" s="59"/>
      <c r="AF162" s="2" t="s">
        <v>37</v>
      </c>
      <c r="AG162" s="2" t="s">
        <v>37</v>
      </c>
      <c r="AH162" s="2" t="s">
        <v>37</v>
      </c>
      <c r="AI162" s="2" t="s">
        <v>37</v>
      </c>
      <c r="AJ162" s="2" t="s">
        <v>42</v>
      </c>
      <c r="AL162" s="52"/>
    </row>
    <row r="163" spans="1:38" s="2" customFormat="1" ht="14.1" customHeight="1" x14ac:dyDescent="0.2">
      <c r="A163" s="66" t="s">
        <v>52</v>
      </c>
      <c r="B163" s="3" t="s">
        <v>191</v>
      </c>
      <c r="C163" s="52" t="s">
        <v>700</v>
      </c>
      <c r="E163" s="76" t="str">
        <f t="shared" ref="E163:E165" si="42">"HARDMODE_STEP_"&amp;B163</f>
        <v>HARDMODE_STEP_8</v>
      </c>
      <c r="F163" s="70" t="str">
        <f t="shared" ref="F163:F165" si="43">E163&amp;"_HELP"</f>
        <v>HARDMODE_STEP_8_HELP</v>
      </c>
      <c r="G163" s="2" t="s">
        <v>353</v>
      </c>
      <c r="J163" s="70" t="str">
        <f t="shared" si="39"/>
        <v>11,7</v>
      </c>
      <c r="K163" s="3" t="s">
        <v>312</v>
      </c>
      <c r="L163" s="81" t="s">
        <v>394</v>
      </c>
      <c r="M163" s="3" t="s">
        <v>313</v>
      </c>
      <c r="N163" s="2" t="s">
        <v>523</v>
      </c>
      <c r="O163" s="2" t="s">
        <v>314</v>
      </c>
      <c r="Q163" s="2" t="str">
        <f t="shared" si="20"/>
        <v>8</v>
      </c>
      <c r="R163" s="2" t="s">
        <v>315</v>
      </c>
      <c r="S163" s="2" t="s">
        <v>36</v>
      </c>
      <c r="T163" s="2" t="s">
        <v>40</v>
      </c>
      <c r="U163" s="2" t="s">
        <v>37</v>
      </c>
      <c r="V163" s="2" t="s">
        <v>31</v>
      </c>
      <c r="W163" s="2" t="s">
        <v>90</v>
      </c>
      <c r="X163" s="2" t="s">
        <v>316</v>
      </c>
      <c r="Y163" s="2" t="s">
        <v>135</v>
      </c>
      <c r="Z163" s="2">
        <v>14000</v>
      </c>
      <c r="AA163" s="34"/>
      <c r="AB163" s="49">
        <v>911008</v>
      </c>
      <c r="AC163" s="59"/>
      <c r="AF163" s="2" t="s">
        <v>37</v>
      </c>
      <c r="AG163" s="2" t="s">
        <v>37</v>
      </c>
      <c r="AH163" s="2" t="s">
        <v>37</v>
      </c>
      <c r="AI163" s="2" t="s">
        <v>37</v>
      </c>
      <c r="AJ163" s="2" t="s">
        <v>42</v>
      </c>
      <c r="AL163" s="52"/>
    </row>
    <row r="164" spans="1:38" s="2" customFormat="1" ht="14.1" customHeight="1" x14ac:dyDescent="0.2">
      <c r="A164" s="66" t="s">
        <v>52</v>
      </c>
      <c r="B164" s="3" t="s">
        <v>80</v>
      </c>
      <c r="C164" s="52" t="s">
        <v>701</v>
      </c>
      <c r="E164" s="76" t="str">
        <f t="shared" si="42"/>
        <v>HARDMODE_STEP_9</v>
      </c>
      <c r="F164" s="70" t="str">
        <f t="shared" si="43"/>
        <v>HARDMODE_STEP_9_HELP</v>
      </c>
      <c r="G164" s="2" t="s">
        <v>353</v>
      </c>
      <c r="J164" s="70" t="str">
        <f t="shared" si="39"/>
        <v>11,8</v>
      </c>
      <c r="K164" s="3" t="s">
        <v>312</v>
      </c>
      <c r="L164" s="81" t="s">
        <v>394</v>
      </c>
      <c r="M164" s="3" t="s">
        <v>313</v>
      </c>
      <c r="N164" s="2" t="s">
        <v>523</v>
      </c>
      <c r="O164" s="2" t="s">
        <v>314</v>
      </c>
      <c r="Q164" s="2" t="str">
        <f t="shared" si="20"/>
        <v>9</v>
      </c>
      <c r="R164" s="2" t="s">
        <v>315</v>
      </c>
      <c r="S164" s="2" t="s">
        <v>36</v>
      </c>
      <c r="T164" s="2" t="s">
        <v>40</v>
      </c>
      <c r="U164" s="2" t="s">
        <v>37</v>
      </c>
      <c r="V164" s="2" t="s">
        <v>31</v>
      </c>
      <c r="W164" s="2" t="s">
        <v>90</v>
      </c>
      <c r="X164" s="2" t="s">
        <v>316</v>
      </c>
      <c r="Y164" s="2" t="s">
        <v>135</v>
      </c>
      <c r="Z164" s="2">
        <v>15000</v>
      </c>
      <c r="AA164" s="34"/>
      <c r="AB164" s="49">
        <v>911009</v>
      </c>
      <c r="AC164" s="59"/>
      <c r="AF164" s="2" t="s">
        <v>37</v>
      </c>
      <c r="AG164" s="2" t="s">
        <v>37</v>
      </c>
      <c r="AH164" s="2" t="s">
        <v>37</v>
      </c>
      <c r="AI164" s="2" t="s">
        <v>37</v>
      </c>
      <c r="AJ164" s="2" t="s">
        <v>42</v>
      </c>
      <c r="AL164" s="52"/>
    </row>
    <row r="165" spans="1:38" s="2" customFormat="1" ht="14.1" customHeight="1" x14ac:dyDescent="0.2">
      <c r="A165" s="66" t="s">
        <v>52</v>
      </c>
      <c r="B165" s="3" t="s">
        <v>385</v>
      </c>
      <c r="C165" s="52" t="s">
        <v>702</v>
      </c>
      <c r="E165" s="76" t="str">
        <f t="shared" si="42"/>
        <v>HARDMODE_STEP_10</v>
      </c>
      <c r="F165" s="70" t="str">
        <f t="shared" si="43"/>
        <v>HARDMODE_STEP_10_HELP</v>
      </c>
      <c r="G165" s="2" t="s">
        <v>353</v>
      </c>
      <c r="J165" s="70" t="str">
        <f t="shared" si="39"/>
        <v>11,9</v>
      </c>
      <c r="K165" s="3" t="s">
        <v>312</v>
      </c>
      <c r="L165" s="81" t="s">
        <v>394</v>
      </c>
      <c r="M165" s="3" t="s">
        <v>313</v>
      </c>
      <c r="N165" s="2" t="s">
        <v>523</v>
      </c>
      <c r="O165" s="2" t="s">
        <v>314</v>
      </c>
      <c r="Q165" s="2" t="str">
        <f t="shared" si="20"/>
        <v>10</v>
      </c>
      <c r="R165" s="2" t="s">
        <v>315</v>
      </c>
      <c r="S165" s="2" t="s">
        <v>36</v>
      </c>
      <c r="T165" s="2" t="s">
        <v>40</v>
      </c>
      <c r="U165" s="2" t="s">
        <v>37</v>
      </c>
      <c r="V165" s="2" t="s">
        <v>31</v>
      </c>
      <c r="W165" s="2" t="s">
        <v>90</v>
      </c>
      <c r="X165" s="2" t="s">
        <v>316</v>
      </c>
      <c r="Y165" s="2" t="s">
        <v>135</v>
      </c>
      <c r="Z165" s="2">
        <v>16000</v>
      </c>
      <c r="AA165" s="34"/>
      <c r="AB165" s="49">
        <v>911010</v>
      </c>
      <c r="AC165" s="59"/>
      <c r="AF165" s="2" t="s">
        <v>37</v>
      </c>
      <c r="AG165" s="2" t="s">
        <v>37</v>
      </c>
      <c r="AH165" s="2" t="s">
        <v>37</v>
      </c>
      <c r="AI165" s="2" t="s">
        <v>37</v>
      </c>
      <c r="AJ165" s="2" t="s">
        <v>42</v>
      </c>
      <c r="AL165" s="52"/>
    </row>
    <row r="166" spans="1:38" s="2" customFormat="1" ht="12" x14ac:dyDescent="0.2">
      <c r="A166" s="66" t="s">
        <v>170</v>
      </c>
      <c r="B166" s="3" t="s">
        <v>57</v>
      </c>
      <c r="C166" s="52" t="s">
        <v>703</v>
      </c>
      <c r="E166" s="76" t="str">
        <f t="shared" si="19"/>
        <v>HARDMODE_STEP_1</v>
      </c>
      <c r="F166" s="70" t="str">
        <f t="shared" si="18"/>
        <v>HARDMODE_STEP_1_HELP</v>
      </c>
      <c r="G166" s="2" t="s">
        <v>353</v>
      </c>
      <c r="J166" s="70" t="s">
        <v>381</v>
      </c>
      <c r="K166" s="3" t="s">
        <v>120</v>
      </c>
      <c r="L166" s="81" t="s">
        <v>395</v>
      </c>
      <c r="M166" s="3" t="s">
        <v>130</v>
      </c>
      <c r="N166" s="2" t="s">
        <v>523</v>
      </c>
      <c r="O166" s="2" t="s">
        <v>188</v>
      </c>
      <c r="Q166" s="2" t="str">
        <f t="shared" si="20"/>
        <v>1</v>
      </c>
      <c r="R166" s="2" t="s">
        <v>91</v>
      </c>
      <c r="S166" s="2" t="s">
        <v>36</v>
      </c>
      <c r="T166" s="2" t="s">
        <v>40</v>
      </c>
      <c r="U166" s="2" t="s">
        <v>37</v>
      </c>
      <c r="V166" s="2" t="s">
        <v>31</v>
      </c>
      <c r="W166" s="2" t="s">
        <v>74</v>
      </c>
      <c r="X166" s="2" t="s">
        <v>66</v>
      </c>
      <c r="Y166" s="2" t="s">
        <v>65</v>
      </c>
      <c r="Z166" s="2">
        <v>7000</v>
      </c>
      <c r="AA166" s="34"/>
      <c r="AB166" s="50" t="s">
        <v>181</v>
      </c>
      <c r="AC166" s="28"/>
      <c r="AF166" s="2" t="s">
        <v>73</v>
      </c>
      <c r="AG166" s="2" t="s">
        <v>73</v>
      </c>
      <c r="AH166" s="2" t="s">
        <v>73</v>
      </c>
      <c r="AI166" s="2" t="s">
        <v>73</v>
      </c>
      <c r="AJ166" s="2" t="s">
        <v>43</v>
      </c>
      <c r="AL166" s="52"/>
    </row>
    <row r="167" spans="1:38" s="2" customFormat="1" ht="12" x14ac:dyDescent="0.2">
      <c r="A167" s="66" t="s">
        <v>53</v>
      </c>
      <c r="B167" s="3" t="s">
        <v>343</v>
      </c>
      <c r="C167" s="52" t="s">
        <v>704</v>
      </c>
      <c r="E167" s="76" t="str">
        <f t="shared" si="19"/>
        <v>HARDMODE_STEP_2</v>
      </c>
      <c r="F167" s="70" t="str">
        <f t="shared" si="18"/>
        <v>HARDMODE_STEP_2_HELP</v>
      </c>
      <c r="G167" s="2" t="s">
        <v>353</v>
      </c>
      <c r="J167" s="70" t="str">
        <f>A127&amp;","&amp;B166</f>
        <v>12,1</v>
      </c>
      <c r="K167" s="3" t="s">
        <v>317</v>
      </c>
      <c r="L167" s="81" t="s">
        <v>395</v>
      </c>
      <c r="M167" s="3" t="s">
        <v>318</v>
      </c>
      <c r="N167" s="2" t="s">
        <v>523</v>
      </c>
      <c r="O167" s="2" t="s">
        <v>319</v>
      </c>
      <c r="Q167" s="2" t="str">
        <f t="shared" si="20"/>
        <v>2</v>
      </c>
      <c r="R167" s="2" t="s">
        <v>320</v>
      </c>
      <c r="S167" s="2" t="s">
        <v>36</v>
      </c>
      <c r="T167" s="2" t="s">
        <v>40</v>
      </c>
      <c r="U167" s="2" t="s">
        <v>37</v>
      </c>
      <c r="V167" s="2" t="s">
        <v>31</v>
      </c>
      <c r="W167" s="2" t="s">
        <v>90</v>
      </c>
      <c r="X167" s="2" t="s">
        <v>321</v>
      </c>
      <c r="Y167" s="2" t="s">
        <v>135</v>
      </c>
      <c r="Z167" s="2">
        <v>8000</v>
      </c>
      <c r="AA167" s="34"/>
      <c r="AB167" s="50">
        <v>912002</v>
      </c>
      <c r="AC167" s="59"/>
      <c r="AF167" s="2" t="s">
        <v>37</v>
      </c>
      <c r="AG167" s="2" t="s">
        <v>37</v>
      </c>
      <c r="AH167" s="2" t="s">
        <v>37</v>
      </c>
      <c r="AI167" s="2" t="s">
        <v>37</v>
      </c>
      <c r="AJ167" s="2" t="s">
        <v>43</v>
      </c>
      <c r="AL167" s="52"/>
    </row>
    <row r="168" spans="1:38" s="2" customFormat="1" ht="12" x14ac:dyDescent="0.2">
      <c r="A168" s="66" t="s">
        <v>53</v>
      </c>
      <c r="B168" s="3" t="s">
        <v>345</v>
      </c>
      <c r="C168" s="52" t="s">
        <v>705</v>
      </c>
      <c r="E168" s="76" t="str">
        <f t="shared" si="19"/>
        <v>HARDMODE_STEP_3</v>
      </c>
      <c r="F168" s="70" t="str">
        <f t="shared" si="18"/>
        <v>HARDMODE_STEP_3_HELP</v>
      </c>
      <c r="G168" s="2" t="s">
        <v>353</v>
      </c>
      <c r="J168" s="70" t="str">
        <f t="shared" ref="J168:J175" si="44">A128&amp;","&amp;B167</f>
        <v>12,2</v>
      </c>
      <c r="K168" s="3" t="s">
        <v>317</v>
      </c>
      <c r="L168" s="81" t="s">
        <v>395</v>
      </c>
      <c r="M168" s="3" t="s">
        <v>318</v>
      </c>
      <c r="N168" s="2" t="s">
        <v>523</v>
      </c>
      <c r="O168" s="2" t="s">
        <v>319</v>
      </c>
      <c r="Q168" s="2" t="str">
        <f t="shared" si="20"/>
        <v>3</v>
      </c>
      <c r="R168" s="2" t="s">
        <v>320</v>
      </c>
      <c r="S168" s="2" t="s">
        <v>36</v>
      </c>
      <c r="T168" s="2" t="s">
        <v>40</v>
      </c>
      <c r="U168" s="2" t="s">
        <v>37</v>
      </c>
      <c r="V168" s="2" t="s">
        <v>31</v>
      </c>
      <c r="W168" s="2" t="s">
        <v>90</v>
      </c>
      <c r="X168" s="2" t="s">
        <v>321</v>
      </c>
      <c r="Y168" s="2" t="s">
        <v>135</v>
      </c>
      <c r="Z168" s="2">
        <v>9000</v>
      </c>
      <c r="AA168" s="34"/>
      <c r="AB168" s="50">
        <v>912003</v>
      </c>
      <c r="AC168" s="59"/>
      <c r="AF168" s="2" t="s">
        <v>37</v>
      </c>
      <c r="AG168" s="2" t="s">
        <v>37</v>
      </c>
      <c r="AH168" s="2" t="s">
        <v>37</v>
      </c>
      <c r="AI168" s="2" t="s">
        <v>37</v>
      </c>
      <c r="AJ168" s="2" t="s">
        <v>43</v>
      </c>
      <c r="AL168" s="52"/>
    </row>
    <row r="169" spans="1:38" s="2" customFormat="1" ht="12" x14ac:dyDescent="0.2">
      <c r="A169" s="66" t="s">
        <v>53</v>
      </c>
      <c r="B169" s="3" t="s">
        <v>338</v>
      </c>
      <c r="C169" s="52" t="s">
        <v>706</v>
      </c>
      <c r="E169" s="76" t="str">
        <f t="shared" si="19"/>
        <v>HARDMODE_STEP_4</v>
      </c>
      <c r="F169" s="70" t="str">
        <f t="shared" ref="F169" si="45">E169&amp;"_HELP"</f>
        <v>HARDMODE_STEP_4_HELP</v>
      </c>
      <c r="G169" s="2" t="s">
        <v>353</v>
      </c>
      <c r="J169" s="70" t="str">
        <f t="shared" si="44"/>
        <v>12,3</v>
      </c>
      <c r="K169" s="3" t="s">
        <v>317</v>
      </c>
      <c r="L169" s="81" t="s">
        <v>395</v>
      </c>
      <c r="M169" s="3" t="s">
        <v>318</v>
      </c>
      <c r="N169" s="2" t="s">
        <v>523</v>
      </c>
      <c r="O169" s="2" t="s">
        <v>319</v>
      </c>
      <c r="Q169" s="2" t="str">
        <f t="shared" si="20"/>
        <v>4</v>
      </c>
      <c r="R169" s="2" t="s">
        <v>320</v>
      </c>
      <c r="S169" s="2" t="s">
        <v>36</v>
      </c>
      <c r="T169" s="2" t="s">
        <v>40</v>
      </c>
      <c r="U169" s="2" t="s">
        <v>37</v>
      </c>
      <c r="V169" s="2" t="s">
        <v>31</v>
      </c>
      <c r="W169" s="2" t="s">
        <v>90</v>
      </c>
      <c r="X169" s="2" t="s">
        <v>321</v>
      </c>
      <c r="Y169" s="2" t="s">
        <v>135</v>
      </c>
      <c r="Z169" s="2">
        <v>10000</v>
      </c>
      <c r="AA169" s="34"/>
      <c r="AB169" s="50">
        <v>912004</v>
      </c>
      <c r="AC169" s="59"/>
      <c r="AF169" s="2" t="s">
        <v>37</v>
      </c>
      <c r="AG169" s="2" t="s">
        <v>37</v>
      </c>
      <c r="AH169" s="2" t="s">
        <v>37</v>
      </c>
      <c r="AI169" s="2" t="s">
        <v>37</v>
      </c>
      <c r="AJ169" s="2" t="s">
        <v>43</v>
      </c>
      <c r="AL169" s="52"/>
    </row>
    <row r="170" spans="1:38" s="2" customFormat="1" ht="12" x14ac:dyDescent="0.2">
      <c r="A170" s="66" t="s">
        <v>53</v>
      </c>
      <c r="B170" s="3" t="s">
        <v>368</v>
      </c>
      <c r="C170" s="52" t="s">
        <v>707</v>
      </c>
      <c r="E170" s="76" t="str">
        <f t="shared" si="19"/>
        <v>HARDMODE_STEP_5</v>
      </c>
      <c r="F170" s="70" t="str">
        <f t="shared" ref="F170:F172" si="46">E170&amp;"_HELP"</f>
        <v>HARDMODE_STEP_5_HELP</v>
      </c>
      <c r="G170" s="2" t="s">
        <v>353</v>
      </c>
      <c r="J170" s="70" t="str">
        <f t="shared" si="44"/>
        <v>12,4</v>
      </c>
      <c r="K170" s="3" t="s">
        <v>317</v>
      </c>
      <c r="L170" s="81" t="s">
        <v>395</v>
      </c>
      <c r="M170" s="3" t="s">
        <v>318</v>
      </c>
      <c r="N170" s="2" t="s">
        <v>523</v>
      </c>
      <c r="O170" s="2" t="s">
        <v>319</v>
      </c>
      <c r="Q170" s="2" t="str">
        <f t="shared" si="20"/>
        <v>5</v>
      </c>
      <c r="R170" s="2" t="s">
        <v>320</v>
      </c>
      <c r="S170" s="2" t="s">
        <v>36</v>
      </c>
      <c r="T170" s="2" t="s">
        <v>40</v>
      </c>
      <c r="U170" s="2" t="s">
        <v>37</v>
      </c>
      <c r="V170" s="2" t="s">
        <v>31</v>
      </c>
      <c r="W170" s="2" t="s">
        <v>90</v>
      </c>
      <c r="X170" s="2" t="s">
        <v>321</v>
      </c>
      <c r="Y170" s="2" t="s">
        <v>135</v>
      </c>
      <c r="Z170" s="2">
        <v>11000</v>
      </c>
      <c r="AA170" s="34"/>
      <c r="AB170" s="50">
        <v>912005</v>
      </c>
      <c r="AC170" s="59"/>
      <c r="AF170" s="2" t="s">
        <v>37</v>
      </c>
      <c r="AG170" s="2" t="s">
        <v>37</v>
      </c>
      <c r="AH170" s="2" t="s">
        <v>37</v>
      </c>
      <c r="AI170" s="2" t="s">
        <v>37</v>
      </c>
      <c r="AJ170" s="2" t="s">
        <v>43</v>
      </c>
      <c r="AL170" s="52"/>
    </row>
    <row r="171" spans="1:38" s="2" customFormat="1" ht="12" x14ac:dyDescent="0.2">
      <c r="A171" s="66" t="s">
        <v>53</v>
      </c>
      <c r="B171" s="3" t="s">
        <v>369</v>
      </c>
      <c r="C171" s="52" t="s">
        <v>708</v>
      </c>
      <c r="E171" s="76" t="str">
        <f t="shared" si="19"/>
        <v>HARDMODE_STEP_6</v>
      </c>
      <c r="F171" s="70" t="str">
        <f t="shared" si="46"/>
        <v>HARDMODE_STEP_6_HELP</v>
      </c>
      <c r="G171" s="2" t="s">
        <v>353</v>
      </c>
      <c r="J171" s="70" t="str">
        <f t="shared" si="44"/>
        <v>12,5</v>
      </c>
      <c r="K171" s="3" t="s">
        <v>317</v>
      </c>
      <c r="L171" s="81" t="s">
        <v>395</v>
      </c>
      <c r="M171" s="3" t="s">
        <v>318</v>
      </c>
      <c r="N171" s="2" t="s">
        <v>523</v>
      </c>
      <c r="O171" s="2" t="s">
        <v>319</v>
      </c>
      <c r="Q171" s="2" t="str">
        <f t="shared" si="20"/>
        <v>6</v>
      </c>
      <c r="R171" s="2" t="s">
        <v>320</v>
      </c>
      <c r="S171" s="2" t="s">
        <v>36</v>
      </c>
      <c r="T171" s="2" t="s">
        <v>40</v>
      </c>
      <c r="U171" s="2" t="s">
        <v>37</v>
      </c>
      <c r="V171" s="2" t="s">
        <v>31</v>
      </c>
      <c r="W171" s="2" t="s">
        <v>90</v>
      </c>
      <c r="X171" s="2" t="s">
        <v>321</v>
      </c>
      <c r="Y171" s="2" t="s">
        <v>135</v>
      </c>
      <c r="Z171" s="2">
        <v>12000</v>
      </c>
      <c r="AA171" s="34"/>
      <c r="AB171" s="50">
        <v>912006</v>
      </c>
      <c r="AC171" s="59"/>
      <c r="AF171" s="2" t="s">
        <v>37</v>
      </c>
      <c r="AG171" s="2" t="s">
        <v>37</v>
      </c>
      <c r="AH171" s="2" t="s">
        <v>37</v>
      </c>
      <c r="AI171" s="2" t="s">
        <v>37</v>
      </c>
      <c r="AJ171" s="2" t="s">
        <v>43</v>
      </c>
      <c r="AL171" s="52"/>
    </row>
    <row r="172" spans="1:38" s="2" customFormat="1" ht="12" x14ac:dyDescent="0.2">
      <c r="A172" s="66" t="s">
        <v>53</v>
      </c>
      <c r="B172" s="3" t="s">
        <v>370</v>
      </c>
      <c r="C172" s="52" t="s">
        <v>709</v>
      </c>
      <c r="E172" s="76" t="str">
        <f t="shared" si="19"/>
        <v>HARDMODE_STEP_7</v>
      </c>
      <c r="F172" s="70" t="str">
        <f t="shared" si="46"/>
        <v>HARDMODE_STEP_7_HELP</v>
      </c>
      <c r="G172" s="2" t="s">
        <v>353</v>
      </c>
      <c r="J172" s="70" t="str">
        <f t="shared" si="44"/>
        <v>12,6</v>
      </c>
      <c r="K172" s="3" t="s">
        <v>317</v>
      </c>
      <c r="L172" s="81" t="s">
        <v>395</v>
      </c>
      <c r="M172" s="3" t="s">
        <v>318</v>
      </c>
      <c r="N172" s="2" t="s">
        <v>523</v>
      </c>
      <c r="O172" s="2" t="s">
        <v>319</v>
      </c>
      <c r="Q172" s="2" t="str">
        <f t="shared" si="20"/>
        <v>7</v>
      </c>
      <c r="R172" s="2" t="s">
        <v>320</v>
      </c>
      <c r="S172" s="2" t="s">
        <v>36</v>
      </c>
      <c r="T172" s="2" t="s">
        <v>40</v>
      </c>
      <c r="U172" s="2" t="s">
        <v>37</v>
      </c>
      <c r="V172" s="2" t="s">
        <v>31</v>
      </c>
      <c r="W172" s="2" t="s">
        <v>90</v>
      </c>
      <c r="X172" s="2" t="s">
        <v>321</v>
      </c>
      <c r="Y172" s="2" t="s">
        <v>135</v>
      </c>
      <c r="Z172" s="2">
        <v>13000</v>
      </c>
      <c r="AA172" s="34"/>
      <c r="AB172" s="50">
        <v>912007</v>
      </c>
      <c r="AC172" s="59"/>
      <c r="AF172" s="2" t="s">
        <v>37</v>
      </c>
      <c r="AG172" s="2" t="s">
        <v>37</v>
      </c>
      <c r="AH172" s="2" t="s">
        <v>37</v>
      </c>
      <c r="AI172" s="2" t="s">
        <v>37</v>
      </c>
      <c r="AJ172" s="2" t="s">
        <v>43</v>
      </c>
      <c r="AL172" s="52"/>
    </row>
    <row r="173" spans="1:38" s="2" customFormat="1" ht="12" x14ac:dyDescent="0.2">
      <c r="A173" s="66" t="s">
        <v>53</v>
      </c>
      <c r="B173" s="3" t="s">
        <v>388</v>
      </c>
      <c r="C173" s="52" t="s">
        <v>710</v>
      </c>
      <c r="E173" s="76" t="str">
        <f t="shared" ref="E173:E175" si="47">"HARDMODE_STEP_"&amp;B173</f>
        <v>HARDMODE_STEP_8</v>
      </c>
      <c r="F173" s="70" t="str">
        <f t="shared" ref="F173:F175" si="48">E173&amp;"_HELP"</f>
        <v>HARDMODE_STEP_8_HELP</v>
      </c>
      <c r="G173" s="2" t="s">
        <v>353</v>
      </c>
      <c r="J173" s="70" t="str">
        <f t="shared" si="44"/>
        <v>12,7</v>
      </c>
      <c r="K173" s="3" t="s">
        <v>317</v>
      </c>
      <c r="L173" s="81" t="s">
        <v>395</v>
      </c>
      <c r="M173" s="3" t="s">
        <v>318</v>
      </c>
      <c r="N173" s="2" t="s">
        <v>523</v>
      </c>
      <c r="O173" s="2" t="s">
        <v>319</v>
      </c>
      <c r="Q173" s="2" t="str">
        <f t="shared" si="20"/>
        <v>8</v>
      </c>
      <c r="R173" s="2" t="s">
        <v>320</v>
      </c>
      <c r="S173" s="2" t="s">
        <v>36</v>
      </c>
      <c r="T173" s="2" t="s">
        <v>40</v>
      </c>
      <c r="U173" s="2" t="s">
        <v>37</v>
      </c>
      <c r="V173" s="2" t="s">
        <v>31</v>
      </c>
      <c r="W173" s="2" t="s">
        <v>90</v>
      </c>
      <c r="X173" s="2" t="s">
        <v>321</v>
      </c>
      <c r="Y173" s="2" t="s">
        <v>135</v>
      </c>
      <c r="Z173" s="2">
        <v>14000</v>
      </c>
      <c r="AA173" s="34"/>
      <c r="AB173" s="50">
        <v>912008</v>
      </c>
      <c r="AC173" s="59"/>
      <c r="AF173" s="2" t="s">
        <v>37</v>
      </c>
      <c r="AG173" s="2" t="s">
        <v>37</v>
      </c>
      <c r="AH173" s="2" t="s">
        <v>37</v>
      </c>
      <c r="AI173" s="2" t="s">
        <v>37</v>
      </c>
      <c r="AJ173" s="2" t="s">
        <v>43</v>
      </c>
      <c r="AL173" s="52"/>
    </row>
    <row r="174" spans="1:38" s="2" customFormat="1" ht="12" x14ac:dyDescent="0.2">
      <c r="A174" s="66" t="s">
        <v>53</v>
      </c>
      <c r="B174" s="3" t="s">
        <v>389</v>
      </c>
      <c r="C174" s="52" t="s">
        <v>711</v>
      </c>
      <c r="E174" s="76" t="str">
        <f t="shared" si="47"/>
        <v>HARDMODE_STEP_9</v>
      </c>
      <c r="F174" s="70" t="str">
        <f t="shared" si="48"/>
        <v>HARDMODE_STEP_9_HELP</v>
      </c>
      <c r="G174" s="2" t="s">
        <v>353</v>
      </c>
      <c r="J174" s="70" t="str">
        <f t="shared" si="44"/>
        <v>12,8</v>
      </c>
      <c r="K174" s="3" t="s">
        <v>317</v>
      </c>
      <c r="L174" s="81" t="s">
        <v>395</v>
      </c>
      <c r="M174" s="3" t="s">
        <v>318</v>
      </c>
      <c r="N174" s="2" t="s">
        <v>523</v>
      </c>
      <c r="O174" s="2" t="s">
        <v>319</v>
      </c>
      <c r="Q174" s="2" t="str">
        <f t="shared" si="20"/>
        <v>9</v>
      </c>
      <c r="R174" s="2" t="s">
        <v>320</v>
      </c>
      <c r="S174" s="2" t="s">
        <v>36</v>
      </c>
      <c r="T174" s="2" t="s">
        <v>40</v>
      </c>
      <c r="U174" s="2" t="s">
        <v>37</v>
      </c>
      <c r="V174" s="2" t="s">
        <v>31</v>
      </c>
      <c r="W174" s="2" t="s">
        <v>90</v>
      </c>
      <c r="X174" s="2" t="s">
        <v>321</v>
      </c>
      <c r="Y174" s="2" t="s">
        <v>135</v>
      </c>
      <c r="Z174" s="2">
        <v>15000</v>
      </c>
      <c r="AA174" s="34"/>
      <c r="AB174" s="50">
        <v>912009</v>
      </c>
      <c r="AC174" s="59"/>
      <c r="AF174" s="2" t="s">
        <v>37</v>
      </c>
      <c r="AG174" s="2" t="s">
        <v>37</v>
      </c>
      <c r="AH174" s="2" t="s">
        <v>37</v>
      </c>
      <c r="AI174" s="2" t="s">
        <v>37</v>
      </c>
      <c r="AJ174" s="2" t="s">
        <v>43</v>
      </c>
      <c r="AL174" s="52"/>
    </row>
    <row r="175" spans="1:38" s="2" customFormat="1" ht="12" x14ac:dyDescent="0.2">
      <c r="A175" s="66" t="s">
        <v>53</v>
      </c>
      <c r="B175" s="3" t="s">
        <v>390</v>
      </c>
      <c r="C175" s="52" t="s">
        <v>712</v>
      </c>
      <c r="E175" s="76" t="str">
        <f t="shared" si="47"/>
        <v>HARDMODE_STEP_10</v>
      </c>
      <c r="F175" s="70" t="str">
        <f t="shared" si="48"/>
        <v>HARDMODE_STEP_10_HELP</v>
      </c>
      <c r="G175" s="2" t="s">
        <v>353</v>
      </c>
      <c r="J175" s="70" t="str">
        <f t="shared" si="44"/>
        <v>12,9</v>
      </c>
      <c r="K175" s="3" t="s">
        <v>317</v>
      </c>
      <c r="L175" s="81" t="s">
        <v>395</v>
      </c>
      <c r="M175" s="3" t="s">
        <v>318</v>
      </c>
      <c r="N175" s="2" t="s">
        <v>523</v>
      </c>
      <c r="O175" s="2" t="s">
        <v>319</v>
      </c>
      <c r="Q175" s="2" t="str">
        <f t="shared" si="20"/>
        <v>10</v>
      </c>
      <c r="R175" s="2" t="s">
        <v>320</v>
      </c>
      <c r="S175" s="2" t="s">
        <v>36</v>
      </c>
      <c r="T175" s="2" t="s">
        <v>40</v>
      </c>
      <c r="U175" s="2" t="s">
        <v>37</v>
      </c>
      <c r="V175" s="2" t="s">
        <v>31</v>
      </c>
      <c r="W175" s="2" t="s">
        <v>90</v>
      </c>
      <c r="X175" s="2" t="s">
        <v>321</v>
      </c>
      <c r="Y175" s="2" t="s">
        <v>135</v>
      </c>
      <c r="Z175" s="2">
        <v>16000</v>
      </c>
      <c r="AA175" s="34"/>
      <c r="AB175" s="50">
        <v>912010</v>
      </c>
      <c r="AC175" s="59"/>
      <c r="AF175" s="2" t="s">
        <v>37</v>
      </c>
      <c r="AG175" s="2" t="s">
        <v>37</v>
      </c>
      <c r="AH175" s="2" t="s">
        <v>37</v>
      </c>
      <c r="AI175" s="2" t="s">
        <v>37</v>
      </c>
      <c r="AJ175" s="2" t="s">
        <v>43</v>
      </c>
      <c r="AL175" s="52"/>
    </row>
    <row r="176" spans="1:38" s="2" customFormat="1" ht="14.1" customHeight="1" x14ac:dyDescent="0.2">
      <c r="A176" s="66" t="s">
        <v>171</v>
      </c>
      <c r="B176" s="3" t="s">
        <v>57</v>
      </c>
      <c r="C176" s="52" t="s">
        <v>713</v>
      </c>
      <c r="E176" s="76" t="str">
        <f t="shared" si="19"/>
        <v>HARDMODE_STEP_1</v>
      </c>
      <c r="F176" s="70" t="str">
        <f t="shared" si="18"/>
        <v>HARDMODE_STEP_1_HELP</v>
      </c>
      <c r="G176" s="2" t="s">
        <v>353</v>
      </c>
      <c r="J176" s="70" t="s">
        <v>382</v>
      </c>
      <c r="K176" s="3" t="s">
        <v>121</v>
      </c>
      <c r="L176" s="81" t="s">
        <v>396</v>
      </c>
      <c r="M176" s="3" t="s">
        <v>128</v>
      </c>
      <c r="N176" s="2" t="s">
        <v>523</v>
      </c>
      <c r="O176" s="2" t="s">
        <v>189</v>
      </c>
      <c r="Q176" s="2" t="str">
        <f t="shared" si="20"/>
        <v>1</v>
      </c>
      <c r="R176" s="2" t="s">
        <v>104</v>
      </c>
      <c r="S176" s="2" t="s">
        <v>36</v>
      </c>
      <c r="T176" s="2" t="s">
        <v>40</v>
      </c>
      <c r="U176" s="2" t="s">
        <v>37</v>
      </c>
      <c r="V176" s="2" t="s">
        <v>31</v>
      </c>
      <c r="W176" s="2" t="s">
        <v>74</v>
      </c>
      <c r="X176" s="2" t="s">
        <v>67</v>
      </c>
      <c r="Y176" s="2" t="s">
        <v>65</v>
      </c>
      <c r="Z176" s="2">
        <v>7000</v>
      </c>
      <c r="AA176" s="34"/>
      <c r="AB176" s="50" t="s">
        <v>182</v>
      </c>
      <c r="AC176" s="28"/>
      <c r="AF176" s="2" t="s">
        <v>73</v>
      </c>
      <c r="AG176" s="2" t="s">
        <v>73</v>
      </c>
      <c r="AH176" s="2" t="s">
        <v>73</v>
      </c>
      <c r="AI176" s="2" t="s">
        <v>73</v>
      </c>
      <c r="AJ176" s="2" t="s">
        <v>44</v>
      </c>
      <c r="AL176" s="52"/>
    </row>
    <row r="177" spans="1:38" s="2" customFormat="1" ht="14.1" customHeight="1" x14ac:dyDescent="0.2">
      <c r="A177" s="66" t="s">
        <v>54</v>
      </c>
      <c r="B177" s="3" t="s">
        <v>346</v>
      </c>
      <c r="C177" s="52" t="s">
        <v>714</v>
      </c>
      <c r="E177" s="76" t="str">
        <f t="shared" si="19"/>
        <v>HARDMODE_STEP_2</v>
      </c>
      <c r="F177" s="70" t="str">
        <f t="shared" si="18"/>
        <v>HARDMODE_STEP_2_HELP</v>
      </c>
      <c r="G177" s="2" t="s">
        <v>353</v>
      </c>
      <c r="J177" s="70" t="str">
        <f>A137&amp;","&amp;B176</f>
        <v>13,1</v>
      </c>
      <c r="K177" s="3" t="s">
        <v>303</v>
      </c>
      <c r="L177" s="81" t="s">
        <v>396</v>
      </c>
      <c r="M177" s="3" t="s">
        <v>304</v>
      </c>
      <c r="N177" s="2" t="s">
        <v>523</v>
      </c>
      <c r="O177" s="2" t="s">
        <v>322</v>
      </c>
      <c r="Q177" s="2" t="str">
        <f t="shared" si="20"/>
        <v>2</v>
      </c>
      <c r="R177" s="2" t="s">
        <v>306</v>
      </c>
      <c r="S177" s="2" t="s">
        <v>36</v>
      </c>
      <c r="T177" s="2" t="s">
        <v>40</v>
      </c>
      <c r="U177" s="2" t="s">
        <v>37</v>
      </c>
      <c r="V177" s="2" t="s">
        <v>31</v>
      </c>
      <c r="W177" s="2" t="s">
        <v>90</v>
      </c>
      <c r="X177" s="2" t="s">
        <v>307</v>
      </c>
      <c r="Y177" s="2" t="s">
        <v>135</v>
      </c>
      <c r="Z177" s="2">
        <v>8000</v>
      </c>
      <c r="AA177" s="34"/>
      <c r="AB177" s="50">
        <v>913002</v>
      </c>
      <c r="AC177" s="59"/>
      <c r="AF177" s="2" t="s">
        <v>37</v>
      </c>
      <c r="AG177" s="2" t="s">
        <v>37</v>
      </c>
      <c r="AH177" s="2" t="s">
        <v>37</v>
      </c>
      <c r="AI177" s="2" t="s">
        <v>37</v>
      </c>
      <c r="AJ177" s="2" t="s">
        <v>44</v>
      </c>
      <c r="AL177" s="52"/>
    </row>
    <row r="178" spans="1:38" s="2" customFormat="1" ht="14.1" customHeight="1" x14ac:dyDescent="0.2">
      <c r="A178" s="66" t="s">
        <v>54</v>
      </c>
      <c r="B178" s="3" t="s">
        <v>345</v>
      </c>
      <c r="C178" s="52" t="s">
        <v>715</v>
      </c>
      <c r="E178" s="76" t="str">
        <f t="shared" si="19"/>
        <v>HARDMODE_STEP_3</v>
      </c>
      <c r="F178" s="70" t="str">
        <f t="shared" si="18"/>
        <v>HARDMODE_STEP_3_HELP</v>
      </c>
      <c r="G178" s="2" t="s">
        <v>353</v>
      </c>
      <c r="J178" s="70" t="str">
        <f t="shared" ref="J178:J185" si="49">A138&amp;","&amp;B177</f>
        <v>13,2</v>
      </c>
      <c r="K178" s="3" t="s">
        <v>303</v>
      </c>
      <c r="L178" s="81" t="s">
        <v>396</v>
      </c>
      <c r="M178" s="3" t="s">
        <v>304</v>
      </c>
      <c r="N178" s="2" t="s">
        <v>523</v>
      </c>
      <c r="O178" s="2" t="s">
        <v>322</v>
      </c>
      <c r="Q178" s="2" t="str">
        <f t="shared" si="20"/>
        <v>3</v>
      </c>
      <c r="R178" s="2" t="s">
        <v>306</v>
      </c>
      <c r="S178" s="2" t="s">
        <v>36</v>
      </c>
      <c r="T178" s="2" t="s">
        <v>40</v>
      </c>
      <c r="U178" s="2" t="s">
        <v>37</v>
      </c>
      <c r="V178" s="2" t="s">
        <v>31</v>
      </c>
      <c r="W178" s="2" t="s">
        <v>90</v>
      </c>
      <c r="X178" s="2" t="s">
        <v>307</v>
      </c>
      <c r="Y178" s="2" t="s">
        <v>135</v>
      </c>
      <c r="Z178" s="2">
        <v>9000</v>
      </c>
      <c r="AA178" s="34"/>
      <c r="AB178" s="50">
        <v>913003</v>
      </c>
      <c r="AC178" s="59"/>
      <c r="AF178" s="2" t="s">
        <v>37</v>
      </c>
      <c r="AG178" s="2" t="s">
        <v>37</v>
      </c>
      <c r="AH178" s="2" t="s">
        <v>37</v>
      </c>
      <c r="AI178" s="2" t="s">
        <v>37</v>
      </c>
      <c r="AJ178" s="2" t="s">
        <v>44</v>
      </c>
      <c r="AL178" s="52"/>
    </row>
    <row r="179" spans="1:38" s="2" customFormat="1" ht="14.1" customHeight="1" x14ac:dyDescent="0.2">
      <c r="A179" s="66" t="s">
        <v>54</v>
      </c>
      <c r="B179" s="3" t="s">
        <v>339</v>
      </c>
      <c r="C179" s="52" t="s">
        <v>716</v>
      </c>
      <c r="E179" s="76" t="str">
        <f t="shared" si="19"/>
        <v>HARDMODE_STEP_4</v>
      </c>
      <c r="F179" s="70" t="str">
        <f t="shared" ref="F179" si="50">E179&amp;"_HELP"</f>
        <v>HARDMODE_STEP_4_HELP</v>
      </c>
      <c r="G179" s="2" t="s">
        <v>353</v>
      </c>
      <c r="J179" s="70" t="str">
        <f t="shared" si="49"/>
        <v>13,3</v>
      </c>
      <c r="K179" s="3" t="s">
        <v>303</v>
      </c>
      <c r="L179" s="81" t="s">
        <v>396</v>
      </c>
      <c r="M179" s="3" t="s">
        <v>304</v>
      </c>
      <c r="N179" s="2" t="s">
        <v>523</v>
      </c>
      <c r="O179" s="2" t="s">
        <v>322</v>
      </c>
      <c r="Q179" s="2" t="str">
        <f t="shared" si="20"/>
        <v>4</v>
      </c>
      <c r="R179" s="2" t="s">
        <v>306</v>
      </c>
      <c r="S179" s="2" t="s">
        <v>36</v>
      </c>
      <c r="T179" s="2" t="s">
        <v>40</v>
      </c>
      <c r="U179" s="2" t="s">
        <v>37</v>
      </c>
      <c r="V179" s="2" t="s">
        <v>31</v>
      </c>
      <c r="W179" s="2" t="s">
        <v>90</v>
      </c>
      <c r="X179" s="2" t="s">
        <v>307</v>
      </c>
      <c r="Y179" s="2" t="s">
        <v>135</v>
      </c>
      <c r="Z179" s="2">
        <v>10000</v>
      </c>
      <c r="AA179" s="34"/>
      <c r="AB179" s="50">
        <v>913004</v>
      </c>
      <c r="AC179" s="59"/>
      <c r="AF179" s="2" t="s">
        <v>37</v>
      </c>
      <c r="AG179" s="2" t="s">
        <v>37</v>
      </c>
      <c r="AH179" s="2" t="s">
        <v>37</v>
      </c>
      <c r="AI179" s="2" t="s">
        <v>37</v>
      </c>
      <c r="AJ179" s="2" t="s">
        <v>44</v>
      </c>
      <c r="AL179" s="52"/>
    </row>
    <row r="180" spans="1:38" s="2" customFormat="1" ht="14.1" customHeight="1" x14ac:dyDescent="0.2">
      <c r="A180" s="66" t="s">
        <v>54</v>
      </c>
      <c r="B180" s="3" t="s">
        <v>371</v>
      </c>
      <c r="C180" s="52" t="s">
        <v>717</v>
      </c>
      <c r="E180" s="76" t="str">
        <f t="shared" si="19"/>
        <v>HARDMODE_STEP_5</v>
      </c>
      <c r="F180" s="70" t="str">
        <f t="shared" ref="F180:F182" si="51">E180&amp;"_HELP"</f>
        <v>HARDMODE_STEP_5_HELP</v>
      </c>
      <c r="G180" s="2" t="s">
        <v>353</v>
      </c>
      <c r="J180" s="70" t="str">
        <f t="shared" si="49"/>
        <v>13,4</v>
      </c>
      <c r="K180" s="3" t="s">
        <v>303</v>
      </c>
      <c r="L180" s="81" t="s">
        <v>396</v>
      </c>
      <c r="M180" s="3" t="s">
        <v>304</v>
      </c>
      <c r="N180" s="2" t="s">
        <v>523</v>
      </c>
      <c r="O180" s="2" t="s">
        <v>322</v>
      </c>
      <c r="Q180" s="2" t="str">
        <f t="shared" si="20"/>
        <v>5</v>
      </c>
      <c r="R180" s="2" t="s">
        <v>306</v>
      </c>
      <c r="S180" s="2" t="s">
        <v>36</v>
      </c>
      <c r="T180" s="2" t="s">
        <v>40</v>
      </c>
      <c r="U180" s="2" t="s">
        <v>37</v>
      </c>
      <c r="V180" s="2" t="s">
        <v>31</v>
      </c>
      <c r="W180" s="2" t="s">
        <v>90</v>
      </c>
      <c r="X180" s="2" t="s">
        <v>307</v>
      </c>
      <c r="Y180" s="2" t="s">
        <v>135</v>
      </c>
      <c r="Z180" s="2">
        <v>11000</v>
      </c>
      <c r="AA180" s="34"/>
      <c r="AB180" s="50">
        <v>913005</v>
      </c>
      <c r="AC180" s="59"/>
      <c r="AF180" s="2" t="s">
        <v>37</v>
      </c>
      <c r="AG180" s="2" t="s">
        <v>37</v>
      </c>
      <c r="AH180" s="2" t="s">
        <v>37</v>
      </c>
      <c r="AI180" s="2" t="s">
        <v>37</v>
      </c>
      <c r="AJ180" s="2" t="s">
        <v>44</v>
      </c>
      <c r="AL180" s="52"/>
    </row>
    <row r="181" spans="1:38" s="2" customFormat="1" ht="14.1" customHeight="1" x14ac:dyDescent="0.2">
      <c r="A181" s="66" t="s">
        <v>54</v>
      </c>
      <c r="B181" s="3" t="s">
        <v>22</v>
      </c>
      <c r="C181" s="52" t="s">
        <v>718</v>
      </c>
      <c r="E181" s="76" t="str">
        <f t="shared" si="19"/>
        <v>HARDMODE_STEP_6</v>
      </c>
      <c r="F181" s="70" t="str">
        <f t="shared" si="51"/>
        <v>HARDMODE_STEP_6_HELP</v>
      </c>
      <c r="G181" s="2" t="s">
        <v>353</v>
      </c>
      <c r="J181" s="70" t="str">
        <f t="shared" si="49"/>
        <v>13,5</v>
      </c>
      <c r="K181" s="3" t="s">
        <v>303</v>
      </c>
      <c r="L181" s="81" t="s">
        <v>396</v>
      </c>
      <c r="M181" s="3" t="s">
        <v>304</v>
      </c>
      <c r="N181" s="2" t="s">
        <v>523</v>
      </c>
      <c r="O181" s="2" t="s">
        <v>322</v>
      </c>
      <c r="Q181" s="2" t="str">
        <f t="shared" si="20"/>
        <v>6</v>
      </c>
      <c r="R181" s="2" t="s">
        <v>306</v>
      </c>
      <c r="S181" s="2" t="s">
        <v>36</v>
      </c>
      <c r="T181" s="2" t="s">
        <v>40</v>
      </c>
      <c r="U181" s="2" t="s">
        <v>37</v>
      </c>
      <c r="V181" s="2" t="s">
        <v>31</v>
      </c>
      <c r="W181" s="2" t="s">
        <v>90</v>
      </c>
      <c r="X181" s="2" t="s">
        <v>307</v>
      </c>
      <c r="Y181" s="2" t="s">
        <v>135</v>
      </c>
      <c r="Z181" s="2">
        <v>12000</v>
      </c>
      <c r="AA181" s="34"/>
      <c r="AB181" s="50">
        <v>913006</v>
      </c>
      <c r="AC181" s="59"/>
      <c r="AF181" s="2" t="s">
        <v>37</v>
      </c>
      <c r="AG181" s="2" t="s">
        <v>37</v>
      </c>
      <c r="AH181" s="2" t="s">
        <v>37</v>
      </c>
      <c r="AI181" s="2" t="s">
        <v>37</v>
      </c>
      <c r="AJ181" s="2" t="s">
        <v>44</v>
      </c>
      <c r="AL181" s="52"/>
    </row>
    <row r="182" spans="1:38" s="2" customFormat="1" ht="14.1" customHeight="1" x14ac:dyDescent="0.2">
      <c r="A182" s="66" t="s">
        <v>54</v>
      </c>
      <c r="B182" s="3" t="s">
        <v>372</v>
      </c>
      <c r="C182" s="52" t="s">
        <v>719</v>
      </c>
      <c r="E182" s="76" t="str">
        <f t="shared" si="19"/>
        <v>HARDMODE_STEP_7</v>
      </c>
      <c r="F182" s="70" t="str">
        <f t="shared" si="51"/>
        <v>HARDMODE_STEP_7_HELP</v>
      </c>
      <c r="G182" s="2" t="s">
        <v>353</v>
      </c>
      <c r="J182" s="70" t="str">
        <f t="shared" si="49"/>
        <v>13,6</v>
      </c>
      <c r="K182" s="3" t="s">
        <v>303</v>
      </c>
      <c r="L182" s="81" t="s">
        <v>396</v>
      </c>
      <c r="M182" s="3" t="s">
        <v>304</v>
      </c>
      <c r="N182" s="2" t="s">
        <v>523</v>
      </c>
      <c r="O182" s="2" t="s">
        <v>322</v>
      </c>
      <c r="Q182" s="2" t="str">
        <f t="shared" si="20"/>
        <v>7</v>
      </c>
      <c r="R182" s="2" t="s">
        <v>306</v>
      </c>
      <c r="S182" s="2" t="s">
        <v>36</v>
      </c>
      <c r="T182" s="2" t="s">
        <v>40</v>
      </c>
      <c r="U182" s="2" t="s">
        <v>37</v>
      </c>
      <c r="V182" s="2" t="s">
        <v>31</v>
      </c>
      <c r="W182" s="2" t="s">
        <v>90</v>
      </c>
      <c r="X182" s="2" t="s">
        <v>307</v>
      </c>
      <c r="Y182" s="2" t="s">
        <v>135</v>
      </c>
      <c r="Z182" s="2">
        <v>13000</v>
      </c>
      <c r="AA182" s="34"/>
      <c r="AB182" s="50">
        <v>913007</v>
      </c>
      <c r="AC182" s="59"/>
      <c r="AF182" s="2" t="s">
        <v>37</v>
      </c>
      <c r="AG182" s="2" t="s">
        <v>37</v>
      </c>
      <c r="AH182" s="2" t="s">
        <v>37</v>
      </c>
      <c r="AI182" s="2" t="s">
        <v>37</v>
      </c>
      <c r="AJ182" s="2" t="s">
        <v>44</v>
      </c>
      <c r="AL182" s="52"/>
    </row>
    <row r="183" spans="1:38" s="2" customFormat="1" ht="14.1" customHeight="1" x14ac:dyDescent="0.2">
      <c r="A183" s="66" t="s">
        <v>54</v>
      </c>
      <c r="B183" s="3" t="s">
        <v>191</v>
      </c>
      <c r="C183" s="52" t="s">
        <v>720</v>
      </c>
      <c r="E183" s="76" t="str">
        <f t="shared" ref="E183:E185" si="52">"HARDMODE_STEP_"&amp;B183</f>
        <v>HARDMODE_STEP_8</v>
      </c>
      <c r="F183" s="70" t="str">
        <f t="shared" ref="F183:F185" si="53">E183&amp;"_HELP"</f>
        <v>HARDMODE_STEP_8_HELP</v>
      </c>
      <c r="G183" s="2" t="s">
        <v>353</v>
      </c>
      <c r="J183" s="70" t="str">
        <f t="shared" si="49"/>
        <v>13,7</v>
      </c>
      <c r="K183" s="3" t="s">
        <v>303</v>
      </c>
      <c r="L183" s="81" t="s">
        <v>396</v>
      </c>
      <c r="M183" s="3" t="s">
        <v>304</v>
      </c>
      <c r="N183" s="2" t="s">
        <v>523</v>
      </c>
      <c r="O183" s="2" t="s">
        <v>322</v>
      </c>
      <c r="Q183" s="2" t="str">
        <f t="shared" si="20"/>
        <v>8</v>
      </c>
      <c r="R183" s="2" t="s">
        <v>306</v>
      </c>
      <c r="S183" s="2" t="s">
        <v>36</v>
      </c>
      <c r="T183" s="2" t="s">
        <v>40</v>
      </c>
      <c r="U183" s="2" t="s">
        <v>37</v>
      </c>
      <c r="V183" s="2" t="s">
        <v>31</v>
      </c>
      <c r="W183" s="2" t="s">
        <v>90</v>
      </c>
      <c r="X183" s="2" t="s">
        <v>307</v>
      </c>
      <c r="Y183" s="2" t="s">
        <v>135</v>
      </c>
      <c r="Z183" s="2">
        <v>14000</v>
      </c>
      <c r="AA183" s="34"/>
      <c r="AB183" s="50">
        <v>913008</v>
      </c>
      <c r="AC183" s="59"/>
      <c r="AF183" s="2" t="s">
        <v>37</v>
      </c>
      <c r="AG183" s="2" t="s">
        <v>37</v>
      </c>
      <c r="AH183" s="2" t="s">
        <v>37</v>
      </c>
      <c r="AI183" s="2" t="s">
        <v>37</v>
      </c>
      <c r="AJ183" s="2" t="s">
        <v>44</v>
      </c>
      <c r="AL183" s="52"/>
    </row>
    <row r="184" spans="1:38" s="2" customFormat="1" ht="14.1" customHeight="1" x14ac:dyDescent="0.2">
      <c r="A184" s="66" t="s">
        <v>54</v>
      </c>
      <c r="B184" s="3" t="s">
        <v>391</v>
      </c>
      <c r="C184" s="52" t="s">
        <v>721</v>
      </c>
      <c r="E184" s="76" t="str">
        <f t="shared" si="52"/>
        <v>HARDMODE_STEP_9</v>
      </c>
      <c r="F184" s="70" t="str">
        <f t="shared" si="53"/>
        <v>HARDMODE_STEP_9_HELP</v>
      </c>
      <c r="G184" s="2" t="s">
        <v>353</v>
      </c>
      <c r="J184" s="70" t="str">
        <f t="shared" si="49"/>
        <v>13,8</v>
      </c>
      <c r="K184" s="3" t="s">
        <v>303</v>
      </c>
      <c r="L184" s="81" t="s">
        <v>396</v>
      </c>
      <c r="M184" s="3" t="s">
        <v>304</v>
      </c>
      <c r="N184" s="2" t="s">
        <v>523</v>
      </c>
      <c r="O184" s="2" t="s">
        <v>322</v>
      </c>
      <c r="Q184" s="2" t="str">
        <f t="shared" ref="Q184:Q195" si="54">B184</f>
        <v>9</v>
      </c>
      <c r="R184" s="2" t="s">
        <v>306</v>
      </c>
      <c r="S184" s="2" t="s">
        <v>36</v>
      </c>
      <c r="T184" s="2" t="s">
        <v>40</v>
      </c>
      <c r="U184" s="2" t="s">
        <v>37</v>
      </c>
      <c r="V184" s="2" t="s">
        <v>31</v>
      </c>
      <c r="W184" s="2" t="s">
        <v>90</v>
      </c>
      <c r="X184" s="2" t="s">
        <v>307</v>
      </c>
      <c r="Y184" s="2" t="s">
        <v>135</v>
      </c>
      <c r="Z184" s="2">
        <v>15000</v>
      </c>
      <c r="AA184" s="34"/>
      <c r="AB184" s="50">
        <v>913009</v>
      </c>
      <c r="AC184" s="59"/>
      <c r="AF184" s="2" t="s">
        <v>37</v>
      </c>
      <c r="AG184" s="2" t="s">
        <v>37</v>
      </c>
      <c r="AH184" s="2" t="s">
        <v>37</v>
      </c>
      <c r="AI184" s="2" t="s">
        <v>37</v>
      </c>
      <c r="AJ184" s="2" t="s">
        <v>44</v>
      </c>
      <c r="AL184" s="52"/>
    </row>
    <row r="185" spans="1:38" s="2" customFormat="1" ht="14.1" customHeight="1" x14ac:dyDescent="0.2">
      <c r="A185" s="66" t="s">
        <v>54</v>
      </c>
      <c r="B185" s="3" t="s">
        <v>385</v>
      </c>
      <c r="C185" s="52" t="s">
        <v>722</v>
      </c>
      <c r="E185" s="76" t="str">
        <f t="shared" si="52"/>
        <v>HARDMODE_STEP_10</v>
      </c>
      <c r="F185" s="70" t="str">
        <f t="shared" si="53"/>
        <v>HARDMODE_STEP_10_HELP</v>
      </c>
      <c r="G185" s="2" t="s">
        <v>353</v>
      </c>
      <c r="J185" s="70" t="str">
        <f t="shared" si="49"/>
        <v>13,9</v>
      </c>
      <c r="K185" s="3" t="s">
        <v>303</v>
      </c>
      <c r="L185" s="81" t="s">
        <v>396</v>
      </c>
      <c r="M185" s="3" t="s">
        <v>304</v>
      </c>
      <c r="N185" s="2" t="s">
        <v>523</v>
      </c>
      <c r="O185" s="2" t="s">
        <v>322</v>
      </c>
      <c r="Q185" s="2" t="str">
        <f t="shared" si="54"/>
        <v>10</v>
      </c>
      <c r="R185" s="2" t="s">
        <v>306</v>
      </c>
      <c r="S185" s="2" t="s">
        <v>36</v>
      </c>
      <c r="T185" s="2" t="s">
        <v>40</v>
      </c>
      <c r="U185" s="2" t="s">
        <v>37</v>
      </c>
      <c r="V185" s="2" t="s">
        <v>31</v>
      </c>
      <c r="W185" s="2" t="s">
        <v>90</v>
      </c>
      <c r="X185" s="2" t="s">
        <v>307</v>
      </c>
      <c r="Y185" s="2" t="s">
        <v>135</v>
      </c>
      <c r="Z185" s="2">
        <v>16000</v>
      </c>
      <c r="AA185" s="34"/>
      <c r="AB185" s="50">
        <v>913010</v>
      </c>
      <c r="AC185" s="59"/>
      <c r="AF185" s="2" t="s">
        <v>37</v>
      </c>
      <c r="AG185" s="2" t="s">
        <v>37</v>
      </c>
      <c r="AH185" s="2" t="s">
        <v>37</v>
      </c>
      <c r="AI185" s="2" t="s">
        <v>37</v>
      </c>
      <c r="AJ185" s="2" t="s">
        <v>44</v>
      </c>
      <c r="AL185" s="52"/>
    </row>
    <row r="186" spans="1:38" s="2" customFormat="1" ht="14.1" customHeight="1" x14ac:dyDescent="0.2">
      <c r="A186" s="66" t="s">
        <v>172</v>
      </c>
      <c r="B186" s="3" t="s">
        <v>57</v>
      </c>
      <c r="C186" s="52" t="s">
        <v>723</v>
      </c>
      <c r="E186" s="76" t="str">
        <f t="shared" si="19"/>
        <v>HARDMODE_STEP_1</v>
      </c>
      <c r="F186" s="70" t="str">
        <f t="shared" si="18"/>
        <v>HARDMODE_STEP_1_HELP</v>
      </c>
      <c r="G186" s="2" t="s">
        <v>353</v>
      </c>
      <c r="J186" s="70" t="s">
        <v>383</v>
      </c>
      <c r="K186" s="3" t="s">
        <v>123</v>
      </c>
      <c r="L186" s="81" t="s">
        <v>397</v>
      </c>
      <c r="M186" s="3" t="s">
        <v>129</v>
      </c>
      <c r="N186" s="2" t="s">
        <v>523</v>
      </c>
      <c r="O186" s="2" t="s">
        <v>190</v>
      </c>
      <c r="Q186" s="2" t="str">
        <f t="shared" si="54"/>
        <v>1</v>
      </c>
      <c r="R186" s="2" t="s">
        <v>87</v>
      </c>
      <c r="S186" s="2" t="s">
        <v>79</v>
      </c>
      <c r="T186" s="2" t="s">
        <v>80</v>
      </c>
      <c r="U186" s="2" t="s">
        <v>73</v>
      </c>
      <c r="V186" s="2" t="s">
        <v>32</v>
      </c>
      <c r="W186" s="2" t="s">
        <v>74</v>
      </c>
      <c r="X186" s="2" t="s">
        <v>83</v>
      </c>
      <c r="Y186" s="2" t="s">
        <v>65</v>
      </c>
      <c r="Z186" s="2">
        <v>7000</v>
      </c>
      <c r="AA186" s="34"/>
      <c r="AB186" s="50" t="s">
        <v>183</v>
      </c>
      <c r="AC186" s="28"/>
      <c r="AF186" s="2" t="s">
        <v>73</v>
      </c>
      <c r="AG186" s="2" t="s">
        <v>73</v>
      </c>
      <c r="AH186" s="2" t="s">
        <v>73</v>
      </c>
      <c r="AI186" s="2" t="s">
        <v>73</v>
      </c>
      <c r="AJ186" s="2" t="s">
        <v>45</v>
      </c>
      <c r="AL186" s="52"/>
    </row>
    <row r="187" spans="1:38" s="2" customFormat="1" ht="14.1" customHeight="1" x14ac:dyDescent="0.2">
      <c r="A187" s="66" t="s">
        <v>55</v>
      </c>
      <c r="B187" s="3" t="s">
        <v>346</v>
      </c>
      <c r="C187" s="52" t="s">
        <v>724</v>
      </c>
      <c r="E187" s="76" t="str">
        <f t="shared" si="19"/>
        <v>HARDMODE_STEP_2</v>
      </c>
      <c r="F187" s="70" t="str">
        <f t="shared" si="18"/>
        <v>HARDMODE_STEP_2_HELP</v>
      </c>
      <c r="G187" s="2" t="s">
        <v>353</v>
      </c>
      <c r="J187" s="70" t="str">
        <f>A147&amp;","&amp;B186</f>
        <v>14,1</v>
      </c>
      <c r="K187" s="3" t="s">
        <v>308</v>
      </c>
      <c r="L187" s="81" t="s">
        <v>397</v>
      </c>
      <c r="M187" s="3" t="s">
        <v>309</v>
      </c>
      <c r="N187" s="2" t="s">
        <v>523</v>
      </c>
      <c r="O187" s="2" t="s">
        <v>323</v>
      </c>
      <c r="Q187" s="2" t="str">
        <f t="shared" si="54"/>
        <v>2</v>
      </c>
      <c r="R187" s="2" t="s">
        <v>87</v>
      </c>
      <c r="S187" s="2" t="s">
        <v>36</v>
      </c>
      <c r="T187" s="2" t="s">
        <v>40</v>
      </c>
      <c r="U187" s="2" t="s">
        <v>37</v>
      </c>
      <c r="V187" s="2" t="s">
        <v>31</v>
      </c>
      <c r="W187" s="2" t="s">
        <v>90</v>
      </c>
      <c r="X187" s="2" t="s">
        <v>311</v>
      </c>
      <c r="Y187" s="2" t="s">
        <v>135</v>
      </c>
      <c r="Z187" s="2">
        <v>8000</v>
      </c>
      <c r="AA187" s="34"/>
      <c r="AB187" s="50">
        <v>914002</v>
      </c>
      <c r="AC187" s="59"/>
      <c r="AF187" s="2" t="s">
        <v>37</v>
      </c>
      <c r="AG187" s="2" t="s">
        <v>37</v>
      </c>
      <c r="AH187" s="2" t="s">
        <v>37</v>
      </c>
      <c r="AI187" s="2" t="s">
        <v>37</v>
      </c>
      <c r="AJ187" s="2" t="s">
        <v>45</v>
      </c>
      <c r="AL187" s="52"/>
    </row>
    <row r="188" spans="1:38" s="2" customFormat="1" ht="14.1" customHeight="1" x14ac:dyDescent="0.2">
      <c r="A188" s="66" t="s">
        <v>55</v>
      </c>
      <c r="B188" s="3" t="s">
        <v>345</v>
      </c>
      <c r="C188" s="52" t="s">
        <v>725</v>
      </c>
      <c r="E188" s="76" t="str">
        <f t="shared" si="19"/>
        <v>HARDMODE_STEP_3</v>
      </c>
      <c r="F188" s="70" t="str">
        <f t="shared" si="18"/>
        <v>HARDMODE_STEP_3_HELP</v>
      </c>
      <c r="G188" s="2" t="s">
        <v>353</v>
      </c>
      <c r="J188" s="70" t="str">
        <f t="shared" ref="J188:J195" si="55">A148&amp;","&amp;B187</f>
        <v>14,2</v>
      </c>
      <c r="K188" s="3" t="s">
        <v>308</v>
      </c>
      <c r="L188" s="81" t="s">
        <v>397</v>
      </c>
      <c r="M188" s="3" t="s">
        <v>309</v>
      </c>
      <c r="N188" s="2" t="s">
        <v>523</v>
      </c>
      <c r="O188" s="2" t="s">
        <v>323</v>
      </c>
      <c r="Q188" s="2" t="str">
        <f t="shared" si="54"/>
        <v>3</v>
      </c>
      <c r="R188" s="2" t="s">
        <v>87</v>
      </c>
      <c r="S188" s="2" t="s">
        <v>36</v>
      </c>
      <c r="T188" s="2" t="s">
        <v>40</v>
      </c>
      <c r="U188" s="2" t="s">
        <v>37</v>
      </c>
      <c r="V188" s="2" t="s">
        <v>31</v>
      </c>
      <c r="W188" s="2" t="s">
        <v>90</v>
      </c>
      <c r="X188" s="2" t="s">
        <v>311</v>
      </c>
      <c r="Y188" s="2" t="s">
        <v>135</v>
      </c>
      <c r="Z188" s="2">
        <v>9000</v>
      </c>
      <c r="AA188" s="34"/>
      <c r="AB188" s="50">
        <v>914003</v>
      </c>
      <c r="AC188" s="59"/>
      <c r="AF188" s="2" t="s">
        <v>37</v>
      </c>
      <c r="AG188" s="2" t="s">
        <v>37</v>
      </c>
      <c r="AH188" s="2" t="s">
        <v>37</v>
      </c>
      <c r="AI188" s="2" t="s">
        <v>37</v>
      </c>
      <c r="AJ188" s="2" t="s">
        <v>45</v>
      </c>
      <c r="AL188" s="52"/>
    </row>
    <row r="189" spans="1:38" s="2" customFormat="1" ht="14.1" customHeight="1" x14ac:dyDescent="0.2">
      <c r="A189" s="66" t="s">
        <v>55</v>
      </c>
      <c r="B189" s="3" t="s">
        <v>338</v>
      </c>
      <c r="C189" s="52" t="s">
        <v>726</v>
      </c>
      <c r="E189" s="76" t="str">
        <f t="shared" si="19"/>
        <v>HARDMODE_STEP_4</v>
      </c>
      <c r="F189" s="70" t="str">
        <f t="shared" ref="F189" si="56">E189&amp;"_HELP"</f>
        <v>HARDMODE_STEP_4_HELP</v>
      </c>
      <c r="G189" s="2" t="s">
        <v>353</v>
      </c>
      <c r="J189" s="70" t="str">
        <f t="shared" si="55"/>
        <v>14,3</v>
      </c>
      <c r="K189" s="3" t="s">
        <v>308</v>
      </c>
      <c r="L189" s="81" t="s">
        <v>397</v>
      </c>
      <c r="M189" s="3" t="s">
        <v>309</v>
      </c>
      <c r="N189" s="2" t="s">
        <v>523</v>
      </c>
      <c r="O189" s="2" t="s">
        <v>323</v>
      </c>
      <c r="Q189" s="2" t="str">
        <f t="shared" si="54"/>
        <v>4</v>
      </c>
      <c r="R189" s="2" t="s">
        <v>87</v>
      </c>
      <c r="S189" s="2" t="s">
        <v>36</v>
      </c>
      <c r="T189" s="2" t="s">
        <v>40</v>
      </c>
      <c r="U189" s="2" t="s">
        <v>37</v>
      </c>
      <c r="V189" s="2" t="s">
        <v>31</v>
      </c>
      <c r="W189" s="2" t="s">
        <v>90</v>
      </c>
      <c r="X189" s="2" t="s">
        <v>311</v>
      </c>
      <c r="Y189" s="2" t="s">
        <v>135</v>
      </c>
      <c r="Z189" s="2">
        <v>10000</v>
      </c>
      <c r="AA189" s="34"/>
      <c r="AB189" s="50">
        <v>914004</v>
      </c>
      <c r="AC189" s="59"/>
      <c r="AF189" s="2" t="s">
        <v>37</v>
      </c>
      <c r="AG189" s="2" t="s">
        <v>37</v>
      </c>
      <c r="AH189" s="2" t="s">
        <v>37</v>
      </c>
      <c r="AI189" s="2" t="s">
        <v>37</v>
      </c>
      <c r="AJ189" s="2" t="s">
        <v>45</v>
      </c>
      <c r="AL189" s="52"/>
    </row>
    <row r="190" spans="1:38" s="2" customFormat="1" ht="14.1" customHeight="1" x14ac:dyDescent="0.2">
      <c r="A190" s="66" t="s">
        <v>55</v>
      </c>
      <c r="B190" s="3" t="s">
        <v>75</v>
      </c>
      <c r="C190" s="52" t="s">
        <v>727</v>
      </c>
      <c r="E190" s="76" t="str">
        <f t="shared" si="19"/>
        <v>HARDMODE_STEP_5</v>
      </c>
      <c r="F190" s="70" t="str">
        <f t="shared" ref="F190:F192" si="57">E190&amp;"_HELP"</f>
        <v>HARDMODE_STEP_5_HELP</v>
      </c>
      <c r="G190" s="2" t="s">
        <v>353</v>
      </c>
      <c r="J190" s="70" t="str">
        <f t="shared" si="55"/>
        <v>14,4</v>
      </c>
      <c r="K190" s="3" t="s">
        <v>308</v>
      </c>
      <c r="L190" s="81" t="s">
        <v>397</v>
      </c>
      <c r="M190" s="3" t="s">
        <v>309</v>
      </c>
      <c r="N190" s="2" t="s">
        <v>523</v>
      </c>
      <c r="O190" s="2" t="s">
        <v>323</v>
      </c>
      <c r="Q190" s="2" t="str">
        <f t="shared" si="54"/>
        <v>5</v>
      </c>
      <c r="R190" s="2" t="s">
        <v>87</v>
      </c>
      <c r="S190" s="2" t="s">
        <v>36</v>
      </c>
      <c r="T190" s="2" t="s">
        <v>40</v>
      </c>
      <c r="U190" s="2" t="s">
        <v>37</v>
      </c>
      <c r="V190" s="2" t="s">
        <v>31</v>
      </c>
      <c r="W190" s="2" t="s">
        <v>90</v>
      </c>
      <c r="X190" s="2" t="s">
        <v>311</v>
      </c>
      <c r="Y190" s="2" t="s">
        <v>135</v>
      </c>
      <c r="Z190" s="2">
        <v>11000</v>
      </c>
      <c r="AA190" s="34"/>
      <c r="AB190" s="50">
        <v>914005</v>
      </c>
      <c r="AC190" s="59"/>
      <c r="AF190" s="2" t="s">
        <v>37</v>
      </c>
      <c r="AG190" s="2" t="s">
        <v>37</v>
      </c>
      <c r="AH190" s="2" t="s">
        <v>37</v>
      </c>
      <c r="AI190" s="2" t="s">
        <v>37</v>
      </c>
      <c r="AJ190" s="2" t="s">
        <v>45</v>
      </c>
      <c r="AL190" s="52"/>
    </row>
    <row r="191" spans="1:38" s="2" customFormat="1" ht="14.1" customHeight="1" x14ac:dyDescent="0.2">
      <c r="A191" s="66" t="s">
        <v>55</v>
      </c>
      <c r="B191" s="3" t="s">
        <v>373</v>
      </c>
      <c r="C191" s="52" t="s">
        <v>728</v>
      </c>
      <c r="E191" s="76" t="str">
        <f t="shared" si="19"/>
        <v>HARDMODE_STEP_6</v>
      </c>
      <c r="F191" s="70" t="str">
        <f t="shared" si="57"/>
        <v>HARDMODE_STEP_6_HELP</v>
      </c>
      <c r="G191" s="2" t="s">
        <v>353</v>
      </c>
      <c r="J191" s="70" t="str">
        <f t="shared" si="55"/>
        <v>14,5</v>
      </c>
      <c r="K191" s="3" t="s">
        <v>308</v>
      </c>
      <c r="L191" s="81" t="s">
        <v>397</v>
      </c>
      <c r="M191" s="3" t="s">
        <v>309</v>
      </c>
      <c r="N191" s="2" t="s">
        <v>523</v>
      </c>
      <c r="O191" s="2" t="s">
        <v>323</v>
      </c>
      <c r="Q191" s="2" t="str">
        <f t="shared" si="54"/>
        <v>6</v>
      </c>
      <c r="R191" s="2" t="s">
        <v>87</v>
      </c>
      <c r="S191" s="2" t="s">
        <v>36</v>
      </c>
      <c r="T191" s="2" t="s">
        <v>40</v>
      </c>
      <c r="U191" s="2" t="s">
        <v>37</v>
      </c>
      <c r="V191" s="2" t="s">
        <v>31</v>
      </c>
      <c r="W191" s="2" t="s">
        <v>90</v>
      </c>
      <c r="X191" s="2" t="s">
        <v>311</v>
      </c>
      <c r="Y191" s="2" t="s">
        <v>135</v>
      </c>
      <c r="Z191" s="2">
        <v>12000</v>
      </c>
      <c r="AA191" s="34"/>
      <c r="AB191" s="50">
        <v>914006</v>
      </c>
      <c r="AC191" s="59"/>
      <c r="AF191" s="2" t="s">
        <v>37</v>
      </c>
      <c r="AG191" s="2" t="s">
        <v>37</v>
      </c>
      <c r="AH191" s="2" t="s">
        <v>37</v>
      </c>
      <c r="AI191" s="2" t="s">
        <v>37</v>
      </c>
      <c r="AJ191" s="2" t="s">
        <v>45</v>
      </c>
      <c r="AL191" s="52"/>
    </row>
    <row r="192" spans="1:38" s="2" customFormat="1" ht="14.1" customHeight="1" x14ac:dyDescent="0.2">
      <c r="A192" s="66" t="s">
        <v>55</v>
      </c>
      <c r="B192" s="3" t="s">
        <v>154</v>
      </c>
      <c r="C192" s="52" t="s">
        <v>729</v>
      </c>
      <c r="E192" s="76" t="str">
        <f t="shared" si="19"/>
        <v>HARDMODE_STEP_7</v>
      </c>
      <c r="F192" s="70" t="str">
        <f t="shared" si="57"/>
        <v>HARDMODE_STEP_7_HELP</v>
      </c>
      <c r="G192" s="2" t="s">
        <v>353</v>
      </c>
      <c r="J192" s="70" t="str">
        <f t="shared" si="55"/>
        <v>14,6</v>
      </c>
      <c r="K192" s="3" t="s">
        <v>308</v>
      </c>
      <c r="L192" s="81" t="s">
        <v>397</v>
      </c>
      <c r="M192" s="3" t="s">
        <v>309</v>
      </c>
      <c r="N192" s="2" t="s">
        <v>523</v>
      </c>
      <c r="O192" s="2" t="s">
        <v>323</v>
      </c>
      <c r="Q192" s="2" t="str">
        <f t="shared" si="54"/>
        <v>7</v>
      </c>
      <c r="R192" s="2" t="s">
        <v>87</v>
      </c>
      <c r="S192" s="2" t="s">
        <v>36</v>
      </c>
      <c r="T192" s="2" t="s">
        <v>40</v>
      </c>
      <c r="U192" s="2" t="s">
        <v>37</v>
      </c>
      <c r="V192" s="2" t="s">
        <v>31</v>
      </c>
      <c r="W192" s="2" t="s">
        <v>90</v>
      </c>
      <c r="X192" s="2" t="s">
        <v>311</v>
      </c>
      <c r="Y192" s="2" t="s">
        <v>135</v>
      </c>
      <c r="Z192" s="2">
        <v>13000</v>
      </c>
      <c r="AA192" s="34"/>
      <c r="AB192" s="50">
        <v>914007</v>
      </c>
      <c r="AC192" s="59"/>
      <c r="AF192" s="2" t="s">
        <v>37</v>
      </c>
      <c r="AG192" s="2" t="s">
        <v>37</v>
      </c>
      <c r="AH192" s="2" t="s">
        <v>37</v>
      </c>
      <c r="AI192" s="2" t="s">
        <v>37</v>
      </c>
      <c r="AJ192" s="2" t="s">
        <v>45</v>
      </c>
      <c r="AL192" s="52"/>
    </row>
    <row r="193" spans="1:38" s="2" customFormat="1" ht="14.1" customHeight="1" x14ac:dyDescent="0.2">
      <c r="A193" s="66" t="s">
        <v>55</v>
      </c>
      <c r="B193" s="3" t="s">
        <v>392</v>
      </c>
      <c r="C193" s="52" t="s">
        <v>730</v>
      </c>
      <c r="E193" s="76" t="str">
        <f t="shared" ref="E193:E195" si="58">"HARDMODE_STEP_"&amp;B193</f>
        <v>HARDMODE_STEP_8</v>
      </c>
      <c r="F193" s="70" t="str">
        <f t="shared" ref="F193:F195" si="59">E193&amp;"_HELP"</f>
        <v>HARDMODE_STEP_8_HELP</v>
      </c>
      <c r="G193" s="2" t="s">
        <v>353</v>
      </c>
      <c r="J193" s="70" t="str">
        <f t="shared" si="55"/>
        <v>14,7</v>
      </c>
      <c r="K193" s="3" t="s">
        <v>308</v>
      </c>
      <c r="L193" s="81" t="s">
        <v>397</v>
      </c>
      <c r="M193" s="3" t="s">
        <v>309</v>
      </c>
      <c r="N193" s="2" t="s">
        <v>523</v>
      </c>
      <c r="O193" s="2" t="s">
        <v>323</v>
      </c>
      <c r="Q193" s="2" t="str">
        <f t="shared" si="54"/>
        <v>8</v>
      </c>
      <c r="R193" s="2" t="s">
        <v>87</v>
      </c>
      <c r="S193" s="2" t="s">
        <v>36</v>
      </c>
      <c r="T193" s="2" t="s">
        <v>40</v>
      </c>
      <c r="U193" s="2" t="s">
        <v>37</v>
      </c>
      <c r="V193" s="2" t="s">
        <v>31</v>
      </c>
      <c r="W193" s="2" t="s">
        <v>90</v>
      </c>
      <c r="X193" s="2" t="s">
        <v>311</v>
      </c>
      <c r="Y193" s="2" t="s">
        <v>135</v>
      </c>
      <c r="Z193" s="2">
        <v>14000</v>
      </c>
      <c r="AA193" s="34"/>
      <c r="AB193" s="50">
        <v>914008</v>
      </c>
      <c r="AC193" s="59"/>
      <c r="AF193" s="2" t="s">
        <v>37</v>
      </c>
      <c r="AG193" s="2" t="s">
        <v>37</v>
      </c>
      <c r="AH193" s="2" t="s">
        <v>37</v>
      </c>
      <c r="AI193" s="2" t="s">
        <v>37</v>
      </c>
      <c r="AJ193" s="2" t="s">
        <v>45</v>
      </c>
      <c r="AL193" s="52"/>
    </row>
    <row r="194" spans="1:38" s="2" customFormat="1" ht="14.1" customHeight="1" x14ac:dyDescent="0.2">
      <c r="A194" s="66" t="s">
        <v>55</v>
      </c>
      <c r="B194" s="3" t="s">
        <v>80</v>
      </c>
      <c r="C194" s="52" t="s">
        <v>731</v>
      </c>
      <c r="E194" s="76" t="str">
        <f t="shared" si="58"/>
        <v>HARDMODE_STEP_9</v>
      </c>
      <c r="F194" s="70" t="str">
        <f t="shared" si="59"/>
        <v>HARDMODE_STEP_9_HELP</v>
      </c>
      <c r="G194" s="2" t="s">
        <v>353</v>
      </c>
      <c r="J194" s="70" t="str">
        <f t="shared" si="55"/>
        <v>14,8</v>
      </c>
      <c r="K194" s="3" t="s">
        <v>308</v>
      </c>
      <c r="L194" s="81" t="s">
        <v>397</v>
      </c>
      <c r="M194" s="3" t="s">
        <v>309</v>
      </c>
      <c r="N194" s="2" t="s">
        <v>523</v>
      </c>
      <c r="O194" s="2" t="s">
        <v>323</v>
      </c>
      <c r="Q194" s="2" t="str">
        <f t="shared" si="54"/>
        <v>9</v>
      </c>
      <c r="R194" s="2" t="s">
        <v>87</v>
      </c>
      <c r="S194" s="2" t="s">
        <v>36</v>
      </c>
      <c r="T194" s="2" t="s">
        <v>40</v>
      </c>
      <c r="U194" s="2" t="s">
        <v>37</v>
      </c>
      <c r="V194" s="2" t="s">
        <v>31</v>
      </c>
      <c r="W194" s="2" t="s">
        <v>90</v>
      </c>
      <c r="X194" s="2" t="s">
        <v>311</v>
      </c>
      <c r="Y194" s="2" t="s">
        <v>135</v>
      </c>
      <c r="Z194" s="2">
        <v>15000</v>
      </c>
      <c r="AA194" s="34"/>
      <c r="AB194" s="50">
        <v>914009</v>
      </c>
      <c r="AC194" s="59"/>
      <c r="AF194" s="2" t="s">
        <v>37</v>
      </c>
      <c r="AG194" s="2" t="s">
        <v>37</v>
      </c>
      <c r="AH194" s="2" t="s">
        <v>37</v>
      </c>
      <c r="AI194" s="2" t="s">
        <v>37</v>
      </c>
      <c r="AJ194" s="2" t="s">
        <v>45</v>
      </c>
      <c r="AL194" s="52"/>
    </row>
    <row r="195" spans="1:38" s="2" customFormat="1" ht="14.1" customHeight="1" x14ac:dyDescent="0.2">
      <c r="A195" s="66" t="s">
        <v>55</v>
      </c>
      <c r="B195" s="3" t="s">
        <v>390</v>
      </c>
      <c r="C195" s="52" t="s">
        <v>732</v>
      </c>
      <c r="E195" s="76" t="str">
        <f t="shared" si="58"/>
        <v>HARDMODE_STEP_10</v>
      </c>
      <c r="F195" s="70" t="str">
        <f t="shared" si="59"/>
        <v>HARDMODE_STEP_10_HELP</v>
      </c>
      <c r="G195" s="2" t="s">
        <v>353</v>
      </c>
      <c r="J195" s="70" t="str">
        <f t="shared" si="55"/>
        <v>14,9</v>
      </c>
      <c r="K195" s="3" t="s">
        <v>308</v>
      </c>
      <c r="L195" s="81" t="s">
        <v>397</v>
      </c>
      <c r="M195" s="3" t="s">
        <v>309</v>
      </c>
      <c r="N195" s="2" t="s">
        <v>523</v>
      </c>
      <c r="O195" s="2" t="s">
        <v>323</v>
      </c>
      <c r="Q195" s="2" t="str">
        <f t="shared" si="54"/>
        <v>10</v>
      </c>
      <c r="R195" s="2" t="s">
        <v>87</v>
      </c>
      <c r="S195" s="2" t="s">
        <v>36</v>
      </c>
      <c r="T195" s="2" t="s">
        <v>40</v>
      </c>
      <c r="U195" s="2" t="s">
        <v>37</v>
      </c>
      <c r="V195" s="2" t="s">
        <v>31</v>
      </c>
      <c r="W195" s="2" t="s">
        <v>90</v>
      </c>
      <c r="X195" s="2" t="s">
        <v>311</v>
      </c>
      <c r="Y195" s="2" t="s">
        <v>135</v>
      </c>
      <c r="Z195" s="2">
        <v>16000</v>
      </c>
      <c r="AA195" s="34"/>
      <c r="AB195" s="50">
        <v>914010</v>
      </c>
      <c r="AC195" s="59"/>
      <c r="AF195" s="2" t="s">
        <v>37</v>
      </c>
      <c r="AG195" s="2" t="s">
        <v>37</v>
      </c>
      <c r="AH195" s="2" t="s">
        <v>37</v>
      </c>
      <c r="AI195" s="2" t="s">
        <v>37</v>
      </c>
      <c r="AJ195" s="2" t="s">
        <v>45</v>
      </c>
      <c r="AL195" s="52"/>
    </row>
    <row r="196" spans="1:38" s="2" customFormat="1" ht="14.1" customHeight="1" x14ac:dyDescent="0.2">
      <c r="A196" s="66">
        <v>31</v>
      </c>
      <c r="B196" s="3" t="s">
        <v>28</v>
      </c>
      <c r="C196" s="52" t="s">
        <v>733</v>
      </c>
      <c r="D196" s="2" t="s">
        <v>521</v>
      </c>
      <c r="E196" s="76" t="str">
        <f>"TRIAL_STEP"&amp;B196</f>
        <v>TRIAL_STEP1</v>
      </c>
      <c r="F196" s="70" t="s">
        <v>478</v>
      </c>
      <c r="G196" s="2" t="s">
        <v>476</v>
      </c>
      <c r="I196" s="2" t="s">
        <v>526</v>
      </c>
      <c r="J196" s="70" t="s">
        <v>479</v>
      </c>
      <c r="K196" s="3" t="s">
        <v>480</v>
      </c>
      <c r="L196" s="81" t="s">
        <v>397</v>
      </c>
      <c r="M196" s="3" t="s">
        <v>309</v>
      </c>
      <c r="N196" s="2" t="s">
        <v>523</v>
      </c>
      <c r="O196" s="2" t="s">
        <v>191</v>
      </c>
      <c r="Q196" s="2" t="s">
        <v>477</v>
      </c>
      <c r="S196" s="2" t="s">
        <v>520</v>
      </c>
      <c r="T196" s="2" t="s">
        <v>75</v>
      </c>
      <c r="U196" s="2" t="s">
        <v>79</v>
      </c>
      <c r="W196" s="2" t="s">
        <v>90</v>
      </c>
      <c r="Z196" s="70">
        <v>7000</v>
      </c>
      <c r="AA196" s="34"/>
      <c r="AB196" s="50" t="s">
        <v>515</v>
      </c>
      <c r="AC196" s="59" t="s">
        <v>814</v>
      </c>
      <c r="AE196" s="2" t="s">
        <v>481</v>
      </c>
      <c r="AL196" s="52"/>
    </row>
    <row r="197" spans="1:38" s="2" customFormat="1" ht="14.1" customHeight="1" x14ac:dyDescent="0.2">
      <c r="A197" s="66">
        <v>31</v>
      </c>
      <c r="B197" s="3" t="s">
        <v>20</v>
      </c>
      <c r="C197" s="52" t="s">
        <v>734</v>
      </c>
      <c r="D197" s="2" t="s">
        <v>522</v>
      </c>
      <c r="E197" s="76" t="str">
        <f t="shared" ref="E197:E211" si="60">"TRIAL_STEP"&amp;B197</f>
        <v>TRIAL_STEP2</v>
      </c>
      <c r="F197" s="70" t="s">
        <v>478</v>
      </c>
      <c r="G197" s="2" t="s">
        <v>476</v>
      </c>
      <c r="J197" s="70" t="s">
        <v>479</v>
      </c>
      <c r="K197" s="3" t="s">
        <v>480</v>
      </c>
      <c r="L197" s="81" t="s">
        <v>397</v>
      </c>
      <c r="M197" s="3" t="s">
        <v>309</v>
      </c>
      <c r="N197" s="2" t="s">
        <v>523</v>
      </c>
      <c r="O197" s="2" t="s">
        <v>191</v>
      </c>
      <c r="Q197" s="2" t="s">
        <v>497</v>
      </c>
      <c r="S197" s="2" t="s">
        <v>520</v>
      </c>
      <c r="T197" s="2" t="s">
        <v>75</v>
      </c>
      <c r="U197" s="2" t="s">
        <v>79</v>
      </c>
      <c r="W197" s="2" t="s">
        <v>90</v>
      </c>
      <c r="Z197" s="70">
        <v>9000</v>
      </c>
      <c r="AA197" s="34"/>
      <c r="AB197" s="50" t="s">
        <v>516</v>
      </c>
      <c r="AC197" s="59" t="s">
        <v>814</v>
      </c>
      <c r="AE197" s="2" t="s">
        <v>481</v>
      </c>
      <c r="AL197" s="52"/>
    </row>
    <row r="198" spans="1:38" s="2" customFormat="1" ht="14.1" customHeight="1" x14ac:dyDescent="0.2">
      <c r="A198" s="66">
        <v>32</v>
      </c>
      <c r="B198" s="3" t="s">
        <v>28</v>
      </c>
      <c r="C198" s="52" t="s">
        <v>737</v>
      </c>
      <c r="D198" s="2" t="s">
        <v>521</v>
      </c>
      <c r="E198" s="76" t="str">
        <f t="shared" si="60"/>
        <v>TRIAL_STEP1</v>
      </c>
      <c r="F198" s="70" t="s">
        <v>478</v>
      </c>
      <c r="G198" s="2" t="s">
        <v>476</v>
      </c>
      <c r="I198" s="2" t="s">
        <v>133</v>
      </c>
      <c r="J198" s="70" t="s">
        <v>482</v>
      </c>
      <c r="K198" s="3" t="s">
        <v>483</v>
      </c>
      <c r="L198" s="81" t="s">
        <v>397</v>
      </c>
      <c r="M198" s="3" t="s">
        <v>309</v>
      </c>
      <c r="N198" s="2" t="s">
        <v>523</v>
      </c>
      <c r="O198" s="2" t="s">
        <v>80</v>
      </c>
      <c r="Q198" s="2" t="s">
        <v>477</v>
      </c>
      <c r="S198" s="2" t="s">
        <v>36</v>
      </c>
      <c r="T198" s="2" t="s">
        <v>22</v>
      </c>
      <c r="U198" s="2" t="s">
        <v>20</v>
      </c>
      <c r="W198" s="2" t="s">
        <v>90</v>
      </c>
      <c r="Z198" s="70">
        <v>7000</v>
      </c>
      <c r="AA198" s="34"/>
      <c r="AB198" s="50" t="s">
        <v>503</v>
      </c>
      <c r="AC198" s="59" t="s">
        <v>820</v>
      </c>
      <c r="AE198" s="2" t="s">
        <v>484</v>
      </c>
      <c r="AL198" s="52"/>
    </row>
    <row r="199" spans="1:38" s="2" customFormat="1" ht="14.1" customHeight="1" x14ac:dyDescent="0.2">
      <c r="A199" s="66">
        <v>32</v>
      </c>
      <c r="B199" s="3" t="s">
        <v>20</v>
      </c>
      <c r="C199" s="52" t="s">
        <v>738</v>
      </c>
      <c r="D199" s="2" t="s">
        <v>522</v>
      </c>
      <c r="E199" s="76" t="str">
        <f t="shared" si="60"/>
        <v>TRIAL_STEP2</v>
      </c>
      <c r="F199" s="70" t="s">
        <v>478</v>
      </c>
      <c r="G199" s="2" t="s">
        <v>476</v>
      </c>
      <c r="J199" s="70" t="s">
        <v>482</v>
      </c>
      <c r="K199" s="3" t="s">
        <v>483</v>
      </c>
      <c r="L199" s="81" t="s">
        <v>397</v>
      </c>
      <c r="M199" s="3" t="s">
        <v>309</v>
      </c>
      <c r="N199" s="2" t="s">
        <v>523</v>
      </c>
      <c r="O199" s="2" t="s">
        <v>80</v>
      </c>
      <c r="Q199" s="2" t="s">
        <v>497</v>
      </c>
      <c r="S199" s="2" t="s">
        <v>36</v>
      </c>
      <c r="T199" s="2" t="s">
        <v>22</v>
      </c>
      <c r="U199" s="2" t="s">
        <v>20</v>
      </c>
      <c r="W199" s="2" t="s">
        <v>90</v>
      </c>
      <c r="Z199" s="70">
        <v>9000</v>
      </c>
      <c r="AA199" s="34"/>
      <c r="AB199" s="50" t="s">
        <v>504</v>
      </c>
      <c r="AC199" s="59" t="s">
        <v>820</v>
      </c>
      <c r="AE199" s="2" t="s">
        <v>484</v>
      </c>
      <c r="AL199" s="52"/>
    </row>
    <row r="200" spans="1:38" s="2" customFormat="1" ht="14.1" customHeight="1" x14ac:dyDescent="0.2">
      <c r="A200" s="66">
        <v>33</v>
      </c>
      <c r="B200" s="3" t="s">
        <v>28</v>
      </c>
      <c r="C200" s="52" t="s">
        <v>735</v>
      </c>
      <c r="D200" s="2" t="s">
        <v>521</v>
      </c>
      <c r="E200" s="76" t="str">
        <f t="shared" si="60"/>
        <v>TRIAL_STEP1</v>
      </c>
      <c r="F200" s="70" t="s">
        <v>478</v>
      </c>
      <c r="G200" s="2" t="s">
        <v>476</v>
      </c>
      <c r="I200" s="2" t="s">
        <v>133</v>
      </c>
      <c r="J200" s="70" t="s">
        <v>485</v>
      </c>
      <c r="K200" s="3" t="s">
        <v>486</v>
      </c>
      <c r="L200" s="81" t="s">
        <v>397</v>
      </c>
      <c r="M200" s="3" t="s">
        <v>309</v>
      </c>
      <c r="N200" s="2" t="s">
        <v>523</v>
      </c>
      <c r="O200" s="2" t="s">
        <v>80</v>
      </c>
      <c r="Q200" s="2" t="s">
        <v>278</v>
      </c>
      <c r="S200" s="2" t="s">
        <v>36</v>
      </c>
      <c r="T200" s="2" t="s">
        <v>22</v>
      </c>
      <c r="U200" s="2" t="s">
        <v>20</v>
      </c>
      <c r="W200" s="2" t="s">
        <v>90</v>
      </c>
      <c r="Z200" s="70">
        <v>7000</v>
      </c>
      <c r="AA200" s="34"/>
      <c r="AB200" s="50" t="s">
        <v>505</v>
      </c>
      <c r="AC200" s="59" t="s">
        <v>821</v>
      </c>
      <c r="AE200" s="2" t="s">
        <v>487</v>
      </c>
      <c r="AL200" s="52"/>
    </row>
    <row r="201" spans="1:38" s="2" customFormat="1" ht="14.1" customHeight="1" x14ac:dyDescent="0.2">
      <c r="A201" s="66">
        <v>33</v>
      </c>
      <c r="B201" s="3" t="s">
        <v>20</v>
      </c>
      <c r="C201" s="52" t="s">
        <v>736</v>
      </c>
      <c r="D201" s="2" t="s">
        <v>522</v>
      </c>
      <c r="E201" s="76" t="str">
        <f t="shared" si="60"/>
        <v>TRIAL_STEP2</v>
      </c>
      <c r="F201" s="70" t="s">
        <v>478</v>
      </c>
      <c r="G201" s="2" t="s">
        <v>476</v>
      </c>
      <c r="J201" s="70" t="s">
        <v>485</v>
      </c>
      <c r="K201" s="3" t="s">
        <v>486</v>
      </c>
      <c r="L201" s="81" t="s">
        <v>397</v>
      </c>
      <c r="M201" s="3" t="s">
        <v>309</v>
      </c>
      <c r="N201" s="2" t="s">
        <v>523</v>
      </c>
      <c r="O201" s="2" t="s">
        <v>80</v>
      </c>
      <c r="Q201" s="2" t="s">
        <v>498</v>
      </c>
      <c r="S201" s="2" t="s">
        <v>36</v>
      </c>
      <c r="T201" s="2" t="s">
        <v>22</v>
      </c>
      <c r="U201" s="2" t="s">
        <v>20</v>
      </c>
      <c r="W201" s="2" t="s">
        <v>90</v>
      </c>
      <c r="Z201" s="70">
        <v>9000</v>
      </c>
      <c r="AA201" s="34"/>
      <c r="AB201" s="50" t="s">
        <v>506</v>
      </c>
      <c r="AC201" s="59" t="s">
        <v>821</v>
      </c>
      <c r="AE201" s="2" t="s">
        <v>487</v>
      </c>
      <c r="AL201" s="52"/>
    </row>
    <row r="202" spans="1:38" s="2" customFormat="1" ht="14.1" customHeight="1" x14ac:dyDescent="0.2">
      <c r="A202" s="66">
        <v>34</v>
      </c>
      <c r="B202" s="3" t="s">
        <v>28</v>
      </c>
      <c r="C202" s="52" t="s">
        <v>739</v>
      </c>
      <c r="D202" s="2" t="s">
        <v>521</v>
      </c>
      <c r="E202" s="76" t="str">
        <f t="shared" si="60"/>
        <v>TRIAL_STEP1</v>
      </c>
      <c r="F202" s="70" t="s">
        <v>478</v>
      </c>
      <c r="G202" s="2" t="s">
        <v>476</v>
      </c>
      <c r="I202" s="2" t="s">
        <v>133</v>
      </c>
      <c r="J202" s="70" t="s">
        <v>485</v>
      </c>
      <c r="K202" s="3" t="s">
        <v>488</v>
      </c>
      <c r="L202" s="81" t="s">
        <v>397</v>
      </c>
      <c r="M202" s="3" t="s">
        <v>309</v>
      </c>
      <c r="N202" s="2" t="s">
        <v>523</v>
      </c>
      <c r="O202" s="2" t="s">
        <v>80</v>
      </c>
      <c r="Q202" s="2" t="s">
        <v>279</v>
      </c>
      <c r="S202" s="2" t="s">
        <v>36</v>
      </c>
      <c r="T202" s="2" t="s">
        <v>154</v>
      </c>
      <c r="U202" s="2" t="s">
        <v>79</v>
      </c>
      <c r="W202" s="2" t="s">
        <v>90</v>
      </c>
      <c r="Z202" s="70">
        <v>7000</v>
      </c>
      <c r="AA202" s="34"/>
      <c r="AB202" s="50" t="s">
        <v>507</v>
      </c>
      <c r="AC202" s="59" t="s">
        <v>815</v>
      </c>
      <c r="AE202" s="2" t="s">
        <v>489</v>
      </c>
      <c r="AL202" s="52"/>
    </row>
    <row r="203" spans="1:38" s="2" customFormat="1" ht="14.1" customHeight="1" x14ac:dyDescent="0.2">
      <c r="A203" s="66">
        <v>34</v>
      </c>
      <c r="B203" s="3" t="s">
        <v>20</v>
      </c>
      <c r="C203" s="52" t="s">
        <v>740</v>
      </c>
      <c r="D203" s="2" t="s">
        <v>522</v>
      </c>
      <c r="E203" s="76" t="str">
        <f t="shared" si="60"/>
        <v>TRIAL_STEP2</v>
      </c>
      <c r="F203" s="70" t="s">
        <v>478</v>
      </c>
      <c r="G203" s="2" t="s">
        <v>476</v>
      </c>
      <c r="J203" s="70" t="s">
        <v>485</v>
      </c>
      <c r="K203" s="3" t="s">
        <v>488</v>
      </c>
      <c r="L203" s="81" t="s">
        <v>397</v>
      </c>
      <c r="M203" s="3" t="s">
        <v>309</v>
      </c>
      <c r="N203" s="2" t="s">
        <v>523</v>
      </c>
      <c r="O203" s="2" t="s">
        <v>80</v>
      </c>
      <c r="Q203" s="2" t="s">
        <v>499</v>
      </c>
      <c r="S203" s="2" t="s">
        <v>36</v>
      </c>
      <c r="T203" s="2" t="s">
        <v>154</v>
      </c>
      <c r="U203" s="2" t="s">
        <v>79</v>
      </c>
      <c r="W203" s="2" t="s">
        <v>90</v>
      </c>
      <c r="Z203" s="70">
        <v>9000</v>
      </c>
      <c r="AA203" s="34"/>
      <c r="AB203" s="50" t="s">
        <v>508</v>
      </c>
      <c r="AC203" s="59" t="s">
        <v>815</v>
      </c>
      <c r="AE203" s="2" t="s">
        <v>489</v>
      </c>
      <c r="AL203" s="52"/>
    </row>
    <row r="204" spans="1:38" s="2" customFormat="1" ht="14.1" customHeight="1" x14ac:dyDescent="0.2">
      <c r="A204" s="66">
        <v>41</v>
      </c>
      <c r="B204" s="3" t="s">
        <v>28</v>
      </c>
      <c r="C204" s="52" t="s">
        <v>741</v>
      </c>
      <c r="E204" s="76" t="str">
        <f t="shared" si="60"/>
        <v>TRIAL_STEP1</v>
      </c>
      <c r="F204" s="70" t="s">
        <v>478</v>
      </c>
      <c r="G204" s="2" t="s">
        <v>490</v>
      </c>
      <c r="J204" s="70" t="s">
        <v>479</v>
      </c>
      <c r="K204" s="3" t="s">
        <v>480</v>
      </c>
      <c r="L204" s="81" t="s">
        <v>397</v>
      </c>
      <c r="M204" s="3" t="s">
        <v>309</v>
      </c>
      <c r="N204" s="2" t="s">
        <v>523</v>
      </c>
      <c r="O204" s="2" t="s">
        <v>191</v>
      </c>
      <c r="Q204" s="2" t="s">
        <v>278</v>
      </c>
      <c r="S204" s="2" t="s">
        <v>28</v>
      </c>
      <c r="T204" s="2" t="s">
        <v>73</v>
      </c>
      <c r="U204" s="2" t="s">
        <v>73</v>
      </c>
      <c r="W204" s="2" t="s">
        <v>90</v>
      </c>
      <c r="Z204" s="70">
        <v>7000</v>
      </c>
      <c r="AA204" s="34"/>
      <c r="AB204" s="50" t="s">
        <v>517</v>
      </c>
      <c r="AC204" s="59" t="s">
        <v>814</v>
      </c>
      <c r="AF204" s="2" t="s">
        <v>37</v>
      </c>
      <c r="AG204" s="2" t="s">
        <v>37</v>
      </c>
      <c r="AJ204" s="2" t="s">
        <v>493</v>
      </c>
      <c r="AL204" s="52"/>
    </row>
    <row r="205" spans="1:38" s="2" customFormat="1" ht="14.1" customHeight="1" x14ac:dyDescent="0.2">
      <c r="A205" s="66">
        <v>41</v>
      </c>
      <c r="B205" s="3" t="s">
        <v>20</v>
      </c>
      <c r="C205" s="52" t="s">
        <v>742</v>
      </c>
      <c r="E205" s="76" t="str">
        <f t="shared" si="60"/>
        <v>TRIAL_STEP2</v>
      </c>
      <c r="F205" s="70" t="s">
        <v>478</v>
      </c>
      <c r="G205" s="2" t="s">
        <v>490</v>
      </c>
      <c r="J205" s="70" t="s">
        <v>479</v>
      </c>
      <c r="K205" s="3" t="s">
        <v>480</v>
      </c>
      <c r="L205" s="81" t="s">
        <v>397</v>
      </c>
      <c r="M205" s="3" t="s">
        <v>309</v>
      </c>
      <c r="N205" s="2" t="s">
        <v>523</v>
      </c>
      <c r="O205" s="2" t="s">
        <v>191</v>
      </c>
      <c r="Q205" s="2" t="s">
        <v>498</v>
      </c>
      <c r="S205" s="2" t="s">
        <v>28</v>
      </c>
      <c r="T205" s="2" t="s">
        <v>73</v>
      </c>
      <c r="U205" s="2" t="s">
        <v>73</v>
      </c>
      <c r="W205" s="2" t="s">
        <v>90</v>
      </c>
      <c r="Z205" s="70">
        <v>9000</v>
      </c>
      <c r="AA205" s="34"/>
      <c r="AB205" s="50" t="s">
        <v>518</v>
      </c>
      <c r="AC205" s="59" t="s">
        <v>814</v>
      </c>
      <c r="AF205" s="2" t="s">
        <v>37</v>
      </c>
      <c r="AG205" s="2" t="s">
        <v>37</v>
      </c>
      <c r="AJ205" s="2" t="s">
        <v>493</v>
      </c>
      <c r="AL205" s="52"/>
    </row>
    <row r="206" spans="1:38" s="2" customFormat="1" ht="14.1" customHeight="1" x14ac:dyDescent="0.2">
      <c r="A206" s="66">
        <v>42</v>
      </c>
      <c r="B206" s="3" t="s">
        <v>28</v>
      </c>
      <c r="C206" s="52" t="s">
        <v>816</v>
      </c>
      <c r="E206" s="76" t="str">
        <f t="shared" si="60"/>
        <v>TRIAL_STEP1</v>
      </c>
      <c r="F206" s="70" t="s">
        <v>478</v>
      </c>
      <c r="G206" s="2" t="s">
        <v>490</v>
      </c>
      <c r="J206" s="70" t="s">
        <v>482</v>
      </c>
      <c r="K206" s="3" t="s">
        <v>483</v>
      </c>
      <c r="L206" s="81" t="s">
        <v>397</v>
      </c>
      <c r="M206" s="3" t="s">
        <v>309</v>
      </c>
      <c r="N206" s="2" t="s">
        <v>523</v>
      </c>
      <c r="O206" s="2" t="s">
        <v>80</v>
      </c>
      <c r="Q206" s="2" t="s">
        <v>289</v>
      </c>
      <c r="S206" s="2" t="s">
        <v>28</v>
      </c>
      <c r="T206" s="2" t="s">
        <v>22</v>
      </c>
      <c r="U206" s="2" t="s">
        <v>22</v>
      </c>
      <c r="W206" s="2" t="s">
        <v>90</v>
      </c>
      <c r="Z206" s="70">
        <v>7000</v>
      </c>
      <c r="AA206" s="34"/>
      <c r="AB206" s="50" t="s">
        <v>509</v>
      </c>
      <c r="AC206" s="59" t="s">
        <v>820</v>
      </c>
      <c r="AF206" s="2" t="s">
        <v>37</v>
      </c>
      <c r="AG206" s="2" t="s">
        <v>37</v>
      </c>
      <c r="AH206" s="2" t="s">
        <v>20</v>
      </c>
      <c r="AI206" s="2" t="s">
        <v>20</v>
      </c>
      <c r="AJ206" s="2" t="s">
        <v>494</v>
      </c>
      <c r="AL206" s="52"/>
    </row>
    <row r="207" spans="1:38" s="2" customFormat="1" ht="14.1" customHeight="1" x14ac:dyDescent="0.2">
      <c r="A207" s="66">
        <v>42</v>
      </c>
      <c r="B207" s="3" t="s">
        <v>20</v>
      </c>
      <c r="C207" s="52" t="s">
        <v>817</v>
      </c>
      <c r="E207" s="76" t="str">
        <f t="shared" si="60"/>
        <v>TRIAL_STEP2</v>
      </c>
      <c r="F207" s="70" t="s">
        <v>478</v>
      </c>
      <c r="G207" s="2" t="s">
        <v>490</v>
      </c>
      <c r="J207" s="70" t="s">
        <v>482</v>
      </c>
      <c r="K207" s="3" t="s">
        <v>483</v>
      </c>
      <c r="L207" s="81" t="s">
        <v>397</v>
      </c>
      <c r="M207" s="3" t="s">
        <v>309</v>
      </c>
      <c r="N207" s="2" t="s">
        <v>523</v>
      </c>
      <c r="O207" s="2" t="s">
        <v>80</v>
      </c>
      <c r="Q207" s="2" t="s">
        <v>500</v>
      </c>
      <c r="S207" s="2" t="s">
        <v>28</v>
      </c>
      <c r="T207" s="2" t="s">
        <v>22</v>
      </c>
      <c r="U207" s="2" t="s">
        <v>22</v>
      </c>
      <c r="W207" s="2" t="s">
        <v>90</v>
      </c>
      <c r="Z207" s="70">
        <v>9000</v>
      </c>
      <c r="AA207" s="34"/>
      <c r="AB207" s="50" t="s">
        <v>510</v>
      </c>
      <c r="AC207" s="59" t="s">
        <v>820</v>
      </c>
      <c r="AF207" s="2" t="s">
        <v>37</v>
      </c>
      <c r="AG207" s="2" t="s">
        <v>37</v>
      </c>
      <c r="AH207" s="2" t="s">
        <v>20</v>
      </c>
      <c r="AI207" s="2" t="s">
        <v>20</v>
      </c>
      <c r="AJ207" s="2" t="s">
        <v>494</v>
      </c>
      <c r="AL207" s="52"/>
    </row>
    <row r="208" spans="1:38" s="2" customFormat="1" ht="14.1" customHeight="1" x14ac:dyDescent="0.2">
      <c r="A208" s="66">
        <v>43</v>
      </c>
      <c r="B208" s="3" t="s">
        <v>28</v>
      </c>
      <c r="C208" s="52" t="s">
        <v>818</v>
      </c>
      <c r="E208" s="76" t="str">
        <f t="shared" si="60"/>
        <v>TRIAL_STEP1</v>
      </c>
      <c r="F208" s="70" t="s">
        <v>478</v>
      </c>
      <c r="G208" s="2" t="s">
        <v>490</v>
      </c>
      <c r="J208" s="70" t="s">
        <v>485</v>
      </c>
      <c r="K208" s="3" t="s">
        <v>486</v>
      </c>
      <c r="L208" s="81" t="s">
        <v>397</v>
      </c>
      <c r="M208" s="3" t="s">
        <v>309</v>
      </c>
      <c r="N208" s="2" t="s">
        <v>523</v>
      </c>
      <c r="O208" s="2" t="s">
        <v>80</v>
      </c>
      <c r="Q208" s="2" t="s">
        <v>491</v>
      </c>
      <c r="S208" s="2" t="s">
        <v>28</v>
      </c>
      <c r="T208" s="2" t="s">
        <v>22</v>
      </c>
      <c r="U208" s="2" t="s">
        <v>22</v>
      </c>
      <c r="W208" s="2" t="s">
        <v>90</v>
      </c>
      <c r="Z208" s="70">
        <v>7000</v>
      </c>
      <c r="AA208" s="34"/>
      <c r="AB208" s="50" t="s">
        <v>511</v>
      </c>
      <c r="AC208" s="59" t="s">
        <v>821</v>
      </c>
      <c r="AF208" s="2" t="s">
        <v>37</v>
      </c>
      <c r="AG208" s="2" t="s">
        <v>37</v>
      </c>
      <c r="AH208" s="2" t="s">
        <v>20</v>
      </c>
      <c r="AI208" s="2" t="s">
        <v>20</v>
      </c>
      <c r="AJ208" s="2" t="s">
        <v>495</v>
      </c>
      <c r="AL208" s="52"/>
    </row>
    <row r="209" spans="1:38" s="2" customFormat="1" ht="14.1" customHeight="1" x14ac:dyDescent="0.2">
      <c r="A209" s="66">
        <v>43</v>
      </c>
      <c r="B209" s="3" t="s">
        <v>20</v>
      </c>
      <c r="C209" s="52" t="s">
        <v>819</v>
      </c>
      <c r="E209" s="76" t="str">
        <f t="shared" si="60"/>
        <v>TRIAL_STEP2</v>
      </c>
      <c r="F209" s="70" t="s">
        <v>478</v>
      </c>
      <c r="G209" s="2" t="s">
        <v>490</v>
      </c>
      <c r="J209" s="70" t="s">
        <v>485</v>
      </c>
      <c r="K209" s="3" t="s">
        <v>486</v>
      </c>
      <c r="L209" s="81" t="s">
        <v>397</v>
      </c>
      <c r="M209" s="3" t="s">
        <v>309</v>
      </c>
      <c r="N209" s="2" t="s">
        <v>523</v>
      </c>
      <c r="O209" s="2" t="s">
        <v>80</v>
      </c>
      <c r="Q209" s="2" t="s">
        <v>501</v>
      </c>
      <c r="S209" s="2" t="s">
        <v>28</v>
      </c>
      <c r="T209" s="2" t="s">
        <v>22</v>
      </c>
      <c r="U209" s="2" t="s">
        <v>22</v>
      </c>
      <c r="W209" s="2" t="s">
        <v>90</v>
      </c>
      <c r="Z209" s="70">
        <v>9000</v>
      </c>
      <c r="AA209" s="34"/>
      <c r="AB209" s="50" t="s">
        <v>512</v>
      </c>
      <c r="AC209" s="59" t="s">
        <v>821</v>
      </c>
      <c r="AF209" s="2" t="s">
        <v>37</v>
      </c>
      <c r="AG209" s="2" t="s">
        <v>37</v>
      </c>
      <c r="AH209" s="2" t="s">
        <v>20</v>
      </c>
      <c r="AI209" s="2" t="s">
        <v>20</v>
      </c>
      <c r="AJ209" s="2" t="s">
        <v>495</v>
      </c>
      <c r="AL209" s="52"/>
    </row>
    <row r="210" spans="1:38" s="2" customFormat="1" ht="14.1" customHeight="1" x14ac:dyDescent="0.2">
      <c r="A210" s="66">
        <v>44</v>
      </c>
      <c r="B210" s="3" t="s">
        <v>28</v>
      </c>
      <c r="C210" s="52" t="s">
        <v>743</v>
      </c>
      <c r="E210" s="76" t="str">
        <f t="shared" si="60"/>
        <v>TRIAL_STEP1</v>
      </c>
      <c r="F210" s="70" t="s">
        <v>478</v>
      </c>
      <c r="G210" s="2" t="s">
        <v>490</v>
      </c>
      <c r="J210" s="70" t="s">
        <v>485</v>
      </c>
      <c r="K210" s="3" t="s">
        <v>488</v>
      </c>
      <c r="L210" s="81" t="s">
        <v>397</v>
      </c>
      <c r="M210" s="3" t="s">
        <v>309</v>
      </c>
      <c r="N210" s="2" t="s">
        <v>523</v>
      </c>
      <c r="O210" s="2" t="s">
        <v>80</v>
      </c>
      <c r="Q210" s="2" t="s">
        <v>492</v>
      </c>
      <c r="S210" s="2" t="s">
        <v>28</v>
      </c>
      <c r="T210" s="2" t="s">
        <v>154</v>
      </c>
      <c r="U210" s="2" t="s">
        <v>154</v>
      </c>
      <c r="W210" s="2" t="s">
        <v>90</v>
      </c>
      <c r="Z210" s="70">
        <v>7000</v>
      </c>
      <c r="AA210" s="34"/>
      <c r="AB210" s="50" t="s">
        <v>513</v>
      </c>
      <c r="AC210" s="59" t="s">
        <v>815</v>
      </c>
      <c r="AF210" s="2" t="s">
        <v>37</v>
      </c>
      <c r="AG210" s="2" t="s">
        <v>37</v>
      </c>
      <c r="AH210" s="2" t="s">
        <v>519</v>
      </c>
      <c r="AI210" s="2" t="s">
        <v>519</v>
      </c>
      <c r="AJ210" s="2" t="s">
        <v>496</v>
      </c>
      <c r="AL210" s="52"/>
    </row>
    <row r="211" spans="1:38" s="2" customFormat="1" ht="14.1" customHeight="1" x14ac:dyDescent="0.2">
      <c r="A211" s="66">
        <v>44</v>
      </c>
      <c r="B211" s="3" t="s">
        <v>20</v>
      </c>
      <c r="C211" s="52" t="s">
        <v>744</v>
      </c>
      <c r="E211" s="76" t="str">
        <f t="shared" si="60"/>
        <v>TRIAL_STEP2</v>
      </c>
      <c r="F211" s="70" t="s">
        <v>478</v>
      </c>
      <c r="G211" s="2" t="s">
        <v>490</v>
      </c>
      <c r="J211" s="70" t="s">
        <v>485</v>
      </c>
      <c r="K211" s="3" t="s">
        <v>488</v>
      </c>
      <c r="L211" s="81" t="s">
        <v>397</v>
      </c>
      <c r="M211" s="3" t="s">
        <v>309</v>
      </c>
      <c r="N211" s="2" t="s">
        <v>523</v>
      </c>
      <c r="O211" s="2" t="s">
        <v>80</v>
      </c>
      <c r="Q211" s="2" t="s">
        <v>502</v>
      </c>
      <c r="S211" s="2" t="s">
        <v>28</v>
      </c>
      <c r="T211" s="2" t="s">
        <v>154</v>
      </c>
      <c r="U211" s="2" t="s">
        <v>154</v>
      </c>
      <c r="W211" s="2" t="s">
        <v>90</v>
      </c>
      <c r="Z211" s="70">
        <v>9000</v>
      </c>
      <c r="AA211" s="34"/>
      <c r="AB211" s="50" t="s">
        <v>514</v>
      </c>
      <c r="AC211" s="59" t="s">
        <v>815</v>
      </c>
      <c r="AF211" s="2" t="s">
        <v>37</v>
      </c>
      <c r="AG211" s="2" t="s">
        <v>37</v>
      </c>
      <c r="AH211" s="2" t="s">
        <v>519</v>
      </c>
      <c r="AI211" s="2" t="s">
        <v>519</v>
      </c>
      <c r="AJ211" s="2" t="s">
        <v>496</v>
      </c>
      <c r="AL211" s="52"/>
    </row>
    <row r="212" spans="1:38" s="2" customFormat="1" ht="14.1" customHeight="1" x14ac:dyDescent="0.2">
      <c r="A212" s="66">
        <v>201</v>
      </c>
      <c r="B212" s="3" t="s">
        <v>745</v>
      </c>
      <c r="C212" s="52" t="s">
        <v>750</v>
      </c>
      <c r="D212" s="70">
        <v>10</v>
      </c>
      <c r="E212" s="76" t="str">
        <f t="shared" ref="E212:E216" si="61">"TRIAL_STEP"&amp;B212</f>
        <v>TRIAL_STEP1</v>
      </c>
      <c r="F212" s="70" t="s">
        <v>800</v>
      </c>
      <c r="G212" s="2" t="s">
        <v>770</v>
      </c>
      <c r="I212" s="2" t="s">
        <v>133</v>
      </c>
      <c r="J212" s="70" t="s">
        <v>754</v>
      </c>
      <c r="K212" s="52" t="s">
        <v>779</v>
      </c>
      <c r="L212" s="52" t="s">
        <v>805</v>
      </c>
      <c r="M212" s="3" t="s">
        <v>812</v>
      </c>
      <c r="N212" s="2" t="s">
        <v>523</v>
      </c>
      <c r="O212" s="2" t="s">
        <v>385</v>
      </c>
      <c r="Q212" s="2">
        <v>1001</v>
      </c>
      <c r="R212" s="35" t="s">
        <v>798</v>
      </c>
      <c r="S212" s="2" t="s">
        <v>36</v>
      </c>
      <c r="T212" s="2" t="s">
        <v>154</v>
      </c>
      <c r="U212" s="2" t="s">
        <v>79</v>
      </c>
      <c r="W212" s="2" t="s">
        <v>90</v>
      </c>
      <c r="Z212" s="2">
        <v>7000</v>
      </c>
      <c r="AA212" s="34"/>
      <c r="AB212" s="50">
        <v>961911</v>
      </c>
      <c r="AC212" s="59"/>
      <c r="AE212" s="2">
        <v>301</v>
      </c>
      <c r="AK212" s="2" t="s">
        <v>796</v>
      </c>
      <c r="AL212" s="52" t="s">
        <v>776</v>
      </c>
    </row>
    <row r="213" spans="1:38" s="2" customFormat="1" ht="14.1" customHeight="1" x14ac:dyDescent="0.2">
      <c r="A213" s="66">
        <v>201</v>
      </c>
      <c r="B213" s="3" t="s">
        <v>746</v>
      </c>
      <c r="C213" s="52" t="s">
        <v>822</v>
      </c>
      <c r="D213" s="70">
        <v>20</v>
      </c>
      <c r="E213" s="76" t="str">
        <f t="shared" si="61"/>
        <v>TRIAL_STEP2</v>
      </c>
      <c r="F213" s="70" t="s">
        <v>800</v>
      </c>
      <c r="G213" s="2" t="s">
        <v>770</v>
      </c>
      <c r="J213" s="70" t="s">
        <v>808</v>
      </c>
      <c r="K213" s="52" t="s">
        <v>779</v>
      </c>
      <c r="L213" s="52" t="s">
        <v>805</v>
      </c>
      <c r="M213" s="3" t="s">
        <v>812</v>
      </c>
      <c r="N213" s="2" t="s">
        <v>523</v>
      </c>
      <c r="O213" s="2" t="s">
        <v>385</v>
      </c>
      <c r="Q213" s="2">
        <v>1002</v>
      </c>
      <c r="R213" s="35" t="s">
        <v>798</v>
      </c>
      <c r="S213" s="2" t="s">
        <v>36</v>
      </c>
      <c r="T213" s="2" t="s">
        <v>154</v>
      </c>
      <c r="U213" s="2" t="s">
        <v>79</v>
      </c>
      <c r="W213" s="2" t="s">
        <v>90</v>
      </c>
      <c r="Z213" s="2">
        <v>8000</v>
      </c>
      <c r="AA213" s="34"/>
      <c r="AB213" s="50">
        <v>961912</v>
      </c>
      <c r="AC213" s="59"/>
      <c r="AE213" s="2">
        <v>301</v>
      </c>
      <c r="AK213" s="2" t="s">
        <v>796</v>
      </c>
      <c r="AL213" s="52" t="s">
        <v>776</v>
      </c>
    </row>
    <row r="214" spans="1:38" s="2" customFormat="1" ht="14.1" customHeight="1" x14ac:dyDescent="0.2">
      <c r="A214" s="66">
        <v>201</v>
      </c>
      <c r="B214" s="3" t="s">
        <v>747</v>
      </c>
      <c r="C214" s="52" t="s">
        <v>751</v>
      </c>
      <c r="D214" s="70">
        <v>30</v>
      </c>
      <c r="E214" s="76" t="str">
        <f t="shared" si="61"/>
        <v>TRIAL_STEP3</v>
      </c>
      <c r="F214" s="70" t="s">
        <v>800</v>
      </c>
      <c r="G214" s="2" t="s">
        <v>770</v>
      </c>
      <c r="J214" s="70" t="s">
        <v>808</v>
      </c>
      <c r="K214" s="52" t="s">
        <v>779</v>
      </c>
      <c r="L214" s="52" t="s">
        <v>805</v>
      </c>
      <c r="M214" s="3" t="s">
        <v>812</v>
      </c>
      <c r="N214" s="2" t="s">
        <v>523</v>
      </c>
      <c r="O214" s="2" t="s">
        <v>385</v>
      </c>
      <c r="Q214" s="2">
        <v>1003</v>
      </c>
      <c r="R214" s="35" t="s">
        <v>798</v>
      </c>
      <c r="S214" s="2" t="s">
        <v>36</v>
      </c>
      <c r="T214" s="2" t="s">
        <v>154</v>
      </c>
      <c r="U214" s="2" t="s">
        <v>79</v>
      </c>
      <c r="W214" s="2" t="s">
        <v>90</v>
      </c>
      <c r="Z214" s="2">
        <v>9000</v>
      </c>
      <c r="AA214" s="34"/>
      <c r="AB214" s="50">
        <v>961913</v>
      </c>
      <c r="AC214" s="59"/>
      <c r="AE214" s="2">
        <v>301</v>
      </c>
      <c r="AK214" s="2" t="s">
        <v>796</v>
      </c>
      <c r="AL214" s="52" t="s">
        <v>776</v>
      </c>
    </row>
    <row r="215" spans="1:38" s="2" customFormat="1" ht="14.1" customHeight="1" x14ac:dyDescent="0.2">
      <c r="A215" s="66">
        <v>201</v>
      </c>
      <c r="B215" s="3" t="s">
        <v>748</v>
      </c>
      <c r="C215" s="52" t="s">
        <v>752</v>
      </c>
      <c r="D215" s="70">
        <v>40</v>
      </c>
      <c r="E215" s="76" t="str">
        <f t="shared" si="61"/>
        <v>TRIAL_STEP4</v>
      </c>
      <c r="F215" s="70" t="s">
        <v>800</v>
      </c>
      <c r="G215" s="2" t="s">
        <v>770</v>
      </c>
      <c r="J215" s="70" t="s">
        <v>808</v>
      </c>
      <c r="K215" s="52" t="s">
        <v>779</v>
      </c>
      <c r="L215" s="52" t="s">
        <v>805</v>
      </c>
      <c r="M215" s="3" t="s">
        <v>812</v>
      </c>
      <c r="N215" s="2" t="s">
        <v>523</v>
      </c>
      <c r="O215" s="2" t="s">
        <v>385</v>
      </c>
      <c r="Q215" s="2">
        <v>1004</v>
      </c>
      <c r="R215" s="35" t="s">
        <v>798</v>
      </c>
      <c r="S215" s="2" t="s">
        <v>36</v>
      </c>
      <c r="T215" s="2" t="s">
        <v>154</v>
      </c>
      <c r="U215" s="2" t="s">
        <v>79</v>
      </c>
      <c r="W215" s="2" t="s">
        <v>90</v>
      </c>
      <c r="Z215" s="2">
        <v>10000</v>
      </c>
      <c r="AA215" s="34"/>
      <c r="AB215" s="50">
        <v>961914</v>
      </c>
      <c r="AC215" s="59"/>
      <c r="AE215" s="2">
        <v>301</v>
      </c>
      <c r="AK215" s="2" t="s">
        <v>774</v>
      </c>
      <c r="AL215" s="52" t="s">
        <v>776</v>
      </c>
    </row>
    <row r="216" spans="1:38" s="2" customFormat="1" ht="14.1" customHeight="1" x14ac:dyDescent="0.2">
      <c r="A216" s="66">
        <v>201</v>
      </c>
      <c r="B216" s="3" t="s">
        <v>749</v>
      </c>
      <c r="C216" s="52" t="s">
        <v>753</v>
      </c>
      <c r="D216" s="70">
        <v>50</v>
      </c>
      <c r="E216" s="76" t="str">
        <f t="shared" si="61"/>
        <v>TRIAL_STEP5</v>
      </c>
      <c r="F216" s="70" t="s">
        <v>800</v>
      </c>
      <c r="G216" s="2" t="s">
        <v>770</v>
      </c>
      <c r="J216" s="70" t="s">
        <v>808</v>
      </c>
      <c r="K216" s="52" t="s">
        <v>779</v>
      </c>
      <c r="L216" s="52" t="s">
        <v>805</v>
      </c>
      <c r="M216" s="3" t="s">
        <v>812</v>
      </c>
      <c r="N216" s="2" t="s">
        <v>523</v>
      </c>
      <c r="O216" s="2" t="s">
        <v>385</v>
      </c>
      <c r="Q216" s="2">
        <v>1005</v>
      </c>
      <c r="R216" s="35" t="s">
        <v>798</v>
      </c>
      <c r="S216" s="2" t="s">
        <v>36</v>
      </c>
      <c r="T216" s="2" t="s">
        <v>154</v>
      </c>
      <c r="U216" s="2" t="s">
        <v>79</v>
      </c>
      <c r="W216" s="2" t="s">
        <v>90</v>
      </c>
      <c r="Z216" s="2">
        <v>11000</v>
      </c>
      <c r="AA216" s="34"/>
      <c r="AB216" s="50">
        <v>961915</v>
      </c>
      <c r="AC216" s="59"/>
      <c r="AE216" s="2">
        <v>301</v>
      </c>
      <c r="AK216" s="2" t="s">
        <v>774</v>
      </c>
      <c r="AL216" s="52" t="s">
        <v>776</v>
      </c>
    </row>
    <row r="217" spans="1:38" s="2" customFormat="1" ht="14.1" customHeight="1" x14ac:dyDescent="0.2">
      <c r="A217" s="66">
        <v>201</v>
      </c>
      <c r="B217" s="3" t="s">
        <v>22</v>
      </c>
      <c r="C217" s="52" t="s">
        <v>823</v>
      </c>
      <c r="D217" s="70">
        <v>60</v>
      </c>
      <c r="E217" s="76" t="str">
        <f t="shared" ref="E217" si="62">"TRIAL_STEP"&amp;B217</f>
        <v>TRIAL_STEP6</v>
      </c>
      <c r="F217" s="70" t="s">
        <v>800</v>
      </c>
      <c r="G217" s="2" t="s">
        <v>770</v>
      </c>
      <c r="J217" s="70" t="s">
        <v>808</v>
      </c>
      <c r="K217" s="52" t="s">
        <v>779</v>
      </c>
      <c r="L217" s="52" t="s">
        <v>805</v>
      </c>
      <c r="M217" s="3" t="s">
        <v>812</v>
      </c>
      <c r="N217" s="2" t="s">
        <v>523</v>
      </c>
      <c r="O217" s="2" t="s">
        <v>385</v>
      </c>
      <c r="Q217" s="2">
        <v>1006</v>
      </c>
      <c r="R217" s="35" t="s">
        <v>798</v>
      </c>
      <c r="S217" s="2" t="s">
        <v>36</v>
      </c>
      <c r="T217" s="2" t="s">
        <v>154</v>
      </c>
      <c r="U217" s="2" t="s">
        <v>79</v>
      </c>
      <c r="W217" s="2" t="s">
        <v>90</v>
      </c>
      <c r="Z217" s="2">
        <v>12000</v>
      </c>
      <c r="AA217" s="34"/>
      <c r="AB217" s="50">
        <v>961916</v>
      </c>
      <c r="AC217" s="59"/>
      <c r="AE217" s="2">
        <v>301</v>
      </c>
      <c r="AK217" s="2" t="s">
        <v>774</v>
      </c>
      <c r="AL217" s="52" t="s">
        <v>776</v>
      </c>
    </row>
    <row r="218" spans="1:38" s="2" customFormat="1" ht="14.1" customHeight="1" x14ac:dyDescent="0.2">
      <c r="A218" s="66">
        <v>201</v>
      </c>
      <c r="B218" s="3" t="s">
        <v>154</v>
      </c>
      <c r="C218" s="52" t="s">
        <v>824</v>
      </c>
      <c r="D218" s="70">
        <v>70</v>
      </c>
      <c r="E218" s="76" t="str">
        <f t="shared" ref="E218:E220" si="63">"TRIAL_STEP"&amp;B218</f>
        <v>TRIAL_STEP7</v>
      </c>
      <c r="F218" s="70" t="s">
        <v>800</v>
      </c>
      <c r="G218" s="2" t="s">
        <v>770</v>
      </c>
      <c r="J218" s="70" t="s">
        <v>808</v>
      </c>
      <c r="K218" s="52" t="s">
        <v>779</v>
      </c>
      <c r="L218" s="52" t="s">
        <v>805</v>
      </c>
      <c r="M218" s="3" t="s">
        <v>812</v>
      </c>
      <c r="N218" s="2" t="s">
        <v>523</v>
      </c>
      <c r="O218" s="2" t="s">
        <v>385</v>
      </c>
      <c r="Q218" s="2">
        <v>1007</v>
      </c>
      <c r="R218" s="35" t="s">
        <v>798</v>
      </c>
      <c r="S218" s="2" t="s">
        <v>36</v>
      </c>
      <c r="T218" s="2" t="s">
        <v>154</v>
      </c>
      <c r="U218" s="2" t="s">
        <v>79</v>
      </c>
      <c r="W218" s="2" t="s">
        <v>90</v>
      </c>
      <c r="Z218" s="2">
        <v>13000</v>
      </c>
      <c r="AA218" s="34"/>
      <c r="AB218" s="50">
        <v>961917</v>
      </c>
      <c r="AC218" s="59"/>
      <c r="AE218" s="2">
        <v>301</v>
      </c>
      <c r="AK218" s="2" t="s">
        <v>797</v>
      </c>
      <c r="AL218" s="52" t="s">
        <v>776</v>
      </c>
    </row>
    <row r="219" spans="1:38" s="2" customFormat="1" ht="14.1" customHeight="1" x14ac:dyDescent="0.2">
      <c r="A219" s="66">
        <v>201</v>
      </c>
      <c r="B219" s="3" t="s">
        <v>191</v>
      </c>
      <c r="C219" s="52" t="s">
        <v>825</v>
      </c>
      <c r="D219" s="70">
        <v>80</v>
      </c>
      <c r="E219" s="76" t="str">
        <f t="shared" si="63"/>
        <v>TRIAL_STEP8</v>
      </c>
      <c r="F219" s="70" t="s">
        <v>800</v>
      </c>
      <c r="G219" s="2" t="s">
        <v>770</v>
      </c>
      <c r="J219" s="70" t="s">
        <v>808</v>
      </c>
      <c r="K219" s="52" t="s">
        <v>779</v>
      </c>
      <c r="L219" s="52" t="s">
        <v>805</v>
      </c>
      <c r="M219" s="3" t="s">
        <v>812</v>
      </c>
      <c r="N219" s="2" t="s">
        <v>523</v>
      </c>
      <c r="O219" s="2" t="s">
        <v>385</v>
      </c>
      <c r="Q219" s="2">
        <v>1008</v>
      </c>
      <c r="R219" s="35" t="s">
        <v>798</v>
      </c>
      <c r="S219" s="2" t="s">
        <v>36</v>
      </c>
      <c r="T219" s="2" t="s">
        <v>154</v>
      </c>
      <c r="U219" s="2" t="s">
        <v>79</v>
      </c>
      <c r="W219" s="2" t="s">
        <v>90</v>
      </c>
      <c r="Z219" s="2">
        <v>14000</v>
      </c>
      <c r="AA219" s="34"/>
      <c r="AB219" s="50">
        <v>961918</v>
      </c>
      <c r="AC219" s="59"/>
      <c r="AE219" s="2">
        <v>301</v>
      </c>
      <c r="AK219" s="2" t="s">
        <v>797</v>
      </c>
      <c r="AL219" s="52" t="s">
        <v>776</v>
      </c>
    </row>
    <row r="220" spans="1:38" s="2" customFormat="1" ht="14.1" customHeight="1" x14ac:dyDescent="0.2">
      <c r="A220" s="66">
        <v>201</v>
      </c>
      <c r="B220" s="3" t="s">
        <v>80</v>
      </c>
      <c r="C220" s="52" t="s">
        <v>826</v>
      </c>
      <c r="D220" s="70">
        <v>90</v>
      </c>
      <c r="E220" s="76" t="str">
        <f t="shared" si="63"/>
        <v>TRIAL_STEP9</v>
      </c>
      <c r="F220" s="70" t="s">
        <v>800</v>
      </c>
      <c r="G220" s="2" t="s">
        <v>770</v>
      </c>
      <c r="J220" s="70" t="s">
        <v>808</v>
      </c>
      <c r="K220" s="52" t="s">
        <v>779</v>
      </c>
      <c r="L220" s="52" t="s">
        <v>805</v>
      </c>
      <c r="M220" s="3" t="s">
        <v>812</v>
      </c>
      <c r="N220" s="2" t="s">
        <v>523</v>
      </c>
      <c r="O220" s="2" t="s">
        <v>385</v>
      </c>
      <c r="Q220" s="2">
        <v>1009</v>
      </c>
      <c r="R220" s="35" t="s">
        <v>798</v>
      </c>
      <c r="S220" s="2" t="s">
        <v>36</v>
      </c>
      <c r="T220" s="2" t="s">
        <v>154</v>
      </c>
      <c r="U220" s="2" t="s">
        <v>79</v>
      </c>
      <c r="W220" s="2" t="s">
        <v>90</v>
      </c>
      <c r="Z220" s="2">
        <v>15000</v>
      </c>
      <c r="AA220" s="34"/>
      <c r="AB220" s="50">
        <v>961919</v>
      </c>
      <c r="AC220" s="59"/>
      <c r="AE220" s="2">
        <v>301</v>
      </c>
      <c r="AK220" s="2" t="s">
        <v>797</v>
      </c>
      <c r="AL220" s="52" t="s">
        <v>776</v>
      </c>
    </row>
    <row r="221" spans="1:38" s="2" customFormat="1" ht="14.1" customHeight="1" x14ac:dyDescent="0.2">
      <c r="A221" s="66">
        <v>202</v>
      </c>
      <c r="B221" s="3" t="s">
        <v>745</v>
      </c>
      <c r="C221" s="52" t="s">
        <v>765</v>
      </c>
      <c r="D221" s="70">
        <v>10</v>
      </c>
      <c r="E221" s="76" t="str">
        <f t="shared" ref="E221:E243" si="64">"TRIAL_STEP"&amp;B221</f>
        <v>TRIAL_STEP1</v>
      </c>
      <c r="F221" s="70" t="s">
        <v>801</v>
      </c>
      <c r="G221" s="2" t="s">
        <v>770</v>
      </c>
      <c r="I221" s="2" t="s">
        <v>133</v>
      </c>
      <c r="J221" s="70" t="s">
        <v>804</v>
      </c>
      <c r="K221" s="52" t="s">
        <v>780</v>
      </c>
      <c r="L221" s="52" t="s">
        <v>806</v>
      </c>
      <c r="M221" s="3" t="s">
        <v>811</v>
      </c>
      <c r="N221" s="2" t="s">
        <v>523</v>
      </c>
      <c r="O221" s="2" t="s">
        <v>385</v>
      </c>
      <c r="Q221" s="2">
        <v>1101</v>
      </c>
      <c r="R221" s="35" t="s">
        <v>799</v>
      </c>
      <c r="S221" s="2" t="s">
        <v>36</v>
      </c>
      <c r="T221" s="2" t="s">
        <v>154</v>
      </c>
      <c r="U221" s="2" t="s">
        <v>79</v>
      </c>
      <c r="W221" s="2" t="s">
        <v>90</v>
      </c>
      <c r="Z221" s="2">
        <v>7000</v>
      </c>
      <c r="AA221" s="34"/>
      <c r="AB221" s="50">
        <v>962011</v>
      </c>
      <c r="AC221" s="59"/>
      <c r="AE221" s="2">
        <v>302</v>
      </c>
      <c r="AK221" s="2" t="s">
        <v>796</v>
      </c>
      <c r="AL221" s="52" t="s">
        <v>778</v>
      </c>
    </row>
    <row r="222" spans="1:38" s="2" customFormat="1" ht="14.1" customHeight="1" x14ac:dyDescent="0.2">
      <c r="A222" s="66">
        <v>202</v>
      </c>
      <c r="B222" s="3" t="s">
        <v>746</v>
      </c>
      <c r="C222" s="52" t="s">
        <v>766</v>
      </c>
      <c r="D222" s="70">
        <v>20</v>
      </c>
      <c r="E222" s="76" t="str">
        <f t="shared" si="64"/>
        <v>TRIAL_STEP2</v>
      </c>
      <c r="F222" s="70" t="s">
        <v>801</v>
      </c>
      <c r="G222" s="2" t="s">
        <v>770</v>
      </c>
      <c r="J222" s="70" t="s">
        <v>804</v>
      </c>
      <c r="K222" s="52" t="s">
        <v>780</v>
      </c>
      <c r="L222" s="52" t="s">
        <v>806</v>
      </c>
      <c r="M222" s="3" t="s">
        <v>811</v>
      </c>
      <c r="N222" s="2" t="s">
        <v>523</v>
      </c>
      <c r="O222" s="2" t="s">
        <v>385</v>
      </c>
      <c r="Q222" s="2">
        <v>1102</v>
      </c>
      <c r="R222" s="35" t="s">
        <v>799</v>
      </c>
      <c r="S222" s="2" t="s">
        <v>36</v>
      </c>
      <c r="T222" s="2" t="s">
        <v>154</v>
      </c>
      <c r="U222" s="2" t="s">
        <v>79</v>
      </c>
      <c r="W222" s="2" t="s">
        <v>90</v>
      </c>
      <c r="Z222" s="2">
        <v>8000</v>
      </c>
      <c r="AA222" s="34"/>
      <c r="AB222" s="50">
        <v>962012</v>
      </c>
      <c r="AC222" s="59"/>
      <c r="AE222" s="2">
        <v>302</v>
      </c>
      <c r="AK222" s="2" t="s">
        <v>796</v>
      </c>
      <c r="AL222" s="52" t="s">
        <v>778</v>
      </c>
    </row>
    <row r="223" spans="1:38" s="2" customFormat="1" ht="14.1" customHeight="1" x14ac:dyDescent="0.2">
      <c r="A223" s="66">
        <v>202</v>
      </c>
      <c r="B223" s="3" t="s">
        <v>747</v>
      </c>
      <c r="C223" s="52" t="s">
        <v>767</v>
      </c>
      <c r="D223" s="70">
        <v>30</v>
      </c>
      <c r="E223" s="76" t="str">
        <f t="shared" si="64"/>
        <v>TRIAL_STEP3</v>
      </c>
      <c r="F223" s="70" t="s">
        <v>801</v>
      </c>
      <c r="G223" s="2" t="s">
        <v>770</v>
      </c>
      <c r="J223" s="70" t="s">
        <v>804</v>
      </c>
      <c r="K223" s="52" t="s">
        <v>780</v>
      </c>
      <c r="L223" s="52" t="s">
        <v>806</v>
      </c>
      <c r="M223" s="3" t="s">
        <v>811</v>
      </c>
      <c r="N223" s="2" t="s">
        <v>523</v>
      </c>
      <c r="O223" s="2" t="s">
        <v>385</v>
      </c>
      <c r="Q223" s="2">
        <v>1103</v>
      </c>
      <c r="R223" s="35" t="s">
        <v>799</v>
      </c>
      <c r="S223" s="2" t="s">
        <v>36</v>
      </c>
      <c r="T223" s="2" t="s">
        <v>154</v>
      </c>
      <c r="U223" s="2" t="s">
        <v>79</v>
      </c>
      <c r="W223" s="2" t="s">
        <v>90</v>
      </c>
      <c r="Z223" s="2">
        <v>9000</v>
      </c>
      <c r="AA223" s="34"/>
      <c r="AB223" s="50">
        <v>962013</v>
      </c>
      <c r="AC223" s="59"/>
      <c r="AE223" s="2">
        <v>302</v>
      </c>
      <c r="AK223" s="2" t="s">
        <v>796</v>
      </c>
      <c r="AL223" s="52" t="s">
        <v>778</v>
      </c>
    </row>
    <row r="224" spans="1:38" s="2" customFormat="1" ht="14.1" customHeight="1" x14ac:dyDescent="0.2">
      <c r="A224" s="66">
        <v>202</v>
      </c>
      <c r="B224" s="3" t="s">
        <v>748</v>
      </c>
      <c r="C224" s="52" t="s">
        <v>768</v>
      </c>
      <c r="D224" s="70">
        <v>40</v>
      </c>
      <c r="E224" s="76" t="str">
        <f t="shared" si="64"/>
        <v>TRIAL_STEP4</v>
      </c>
      <c r="F224" s="70" t="s">
        <v>801</v>
      </c>
      <c r="G224" s="2" t="s">
        <v>770</v>
      </c>
      <c r="J224" s="70" t="s">
        <v>804</v>
      </c>
      <c r="K224" s="52" t="s">
        <v>780</v>
      </c>
      <c r="L224" s="52" t="s">
        <v>806</v>
      </c>
      <c r="M224" s="3" t="s">
        <v>811</v>
      </c>
      <c r="N224" s="2" t="s">
        <v>523</v>
      </c>
      <c r="O224" s="2" t="s">
        <v>385</v>
      </c>
      <c r="Q224" s="2">
        <v>1104</v>
      </c>
      <c r="R224" s="35" t="s">
        <v>799</v>
      </c>
      <c r="S224" s="2" t="s">
        <v>36</v>
      </c>
      <c r="T224" s="2" t="s">
        <v>154</v>
      </c>
      <c r="U224" s="2" t="s">
        <v>79</v>
      </c>
      <c r="W224" s="2" t="s">
        <v>90</v>
      </c>
      <c r="Z224" s="2">
        <v>10000</v>
      </c>
      <c r="AA224" s="34"/>
      <c r="AB224" s="50">
        <v>962014</v>
      </c>
      <c r="AC224" s="59"/>
      <c r="AE224" s="2">
        <v>302</v>
      </c>
      <c r="AK224" s="2" t="s">
        <v>774</v>
      </c>
      <c r="AL224" s="52" t="s">
        <v>778</v>
      </c>
    </row>
    <row r="225" spans="1:38" s="2" customFormat="1" ht="14.1" customHeight="1" x14ac:dyDescent="0.2">
      <c r="A225" s="66">
        <v>202</v>
      </c>
      <c r="B225" s="3" t="s">
        <v>749</v>
      </c>
      <c r="C225" s="52" t="s">
        <v>769</v>
      </c>
      <c r="D225" s="70">
        <v>50</v>
      </c>
      <c r="E225" s="76" t="str">
        <f t="shared" si="64"/>
        <v>TRIAL_STEP5</v>
      </c>
      <c r="F225" s="70" t="s">
        <v>801</v>
      </c>
      <c r="G225" s="2" t="s">
        <v>770</v>
      </c>
      <c r="J225" s="70" t="s">
        <v>804</v>
      </c>
      <c r="K225" s="52" t="s">
        <v>780</v>
      </c>
      <c r="L225" s="52" t="s">
        <v>806</v>
      </c>
      <c r="M225" s="3" t="s">
        <v>811</v>
      </c>
      <c r="N225" s="2" t="s">
        <v>523</v>
      </c>
      <c r="O225" s="2" t="s">
        <v>385</v>
      </c>
      <c r="Q225" s="2">
        <v>1105</v>
      </c>
      <c r="R225" s="35" t="s">
        <v>799</v>
      </c>
      <c r="S225" s="2" t="s">
        <v>36</v>
      </c>
      <c r="T225" s="2" t="s">
        <v>154</v>
      </c>
      <c r="U225" s="2" t="s">
        <v>79</v>
      </c>
      <c r="W225" s="2" t="s">
        <v>90</v>
      </c>
      <c r="Z225" s="2">
        <v>11000</v>
      </c>
      <c r="AA225" s="34"/>
      <c r="AB225" s="50">
        <v>962015</v>
      </c>
      <c r="AC225" s="59"/>
      <c r="AE225" s="2">
        <v>302</v>
      </c>
      <c r="AK225" s="2" t="s">
        <v>774</v>
      </c>
      <c r="AL225" s="52" t="s">
        <v>778</v>
      </c>
    </row>
    <row r="226" spans="1:38" s="2" customFormat="1" ht="14.1" customHeight="1" x14ac:dyDescent="0.2">
      <c r="A226" s="66">
        <v>202</v>
      </c>
      <c r="B226" s="3" t="s">
        <v>22</v>
      </c>
      <c r="C226" s="52" t="s">
        <v>783</v>
      </c>
      <c r="D226" s="70">
        <v>60</v>
      </c>
      <c r="E226" s="76" t="str">
        <f t="shared" ref="E226" si="65">"TRIAL_STEP"&amp;B226</f>
        <v>TRIAL_STEP6</v>
      </c>
      <c r="F226" s="70" t="s">
        <v>801</v>
      </c>
      <c r="G226" s="2" t="s">
        <v>770</v>
      </c>
      <c r="J226" s="70" t="s">
        <v>804</v>
      </c>
      <c r="K226" s="52" t="s">
        <v>780</v>
      </c>
      <c r="L226" s="52" t="s">
        <v>806</v>
      </c>
      <c r="M226" s="3" t="s">
        <v>811</v>
      </c>
      <c r="N226" s="2" t="s">
        <v>523</v>
      </c>
      <c r="O226" s="2" t="s">
        <v>385</v>
      </c>
      <c r="Q226" s="2">
        <v>1106</v>
      </c>
      <c r="R226" s="35" t="s">
        <v>799</v>
      </c>
      <c r="S226" s="2" t="s">
        <v>36</v>
      </c>
      <c r="T226" s="2" t="s">
        <v>154</v>
      </c>
      <c r="U226" s="2" t="s">
        <v>79</v>
      </c>
      <c r="W226" s="2" t="s">
        <v>90</v>
      </c>
      <c r="Z226" s="2">
        <v>12000</v>
      </c>
      <c r="AA226" s="34"/>
      <c r="AB226" s="50">
        <v>962016</v>
      </c>
      <c r="AC226" s="59"/>
      <c r="AE226" s="2">
        <v>302</v>
      </c>
      <c r="AK226" s="2" t="s">
        <v>774</v>
      </c>
      <c r="AL226" s="52" t="s">
        <v>778</v>
      </c>
    </row>
    <row r="227" spans="1:38" s="2" customFormat="1" ht="14.1" customHeight="1" x14ac:dyDescent="0.2">
      <c r="A227" s="66">
        <v>202</v>
      </c>
      <c r="B227" s="3" t="s">
        <v>154</v>
      </c>
      <c r="C227" s="52" t="s">
        <v>827</v>
      </c>
      <c r="D227" s="70">
        <v>70</v>
      </c>
      <c r="E227" s="76" t="str">
        <f t="shared" ref="E227:E229" si="66">"TRIAL_STEP"&amp;B227</f>
        <v>TRIAL_STEP7</v>
      </c>
      <c r="F227" s="70" t="s">
        <v>801</v>
      </c>
      <c r="G227" s="2" t="s">
        <v>770</v>
      </c>
      <c r="J227" s="70" t="s">
        <v>804</v>
      </c>
      <c r="K227" s="52" t="s">
        <v>780</v>
      </c>
      <c r="L227" s="52" t="s">
        <v>806</v>
      </c>
      <c r="M227" s="3" t="s">
        <v>811</v>
      </c>
      <c r="N227" s="2" t="s">
        <v>523</v>
      </c>
      <c r="O227" s="2" t="s">
        <v>385</v>
      </c>
      <c r="Q227" s="2">
        <v>1107</v>
      </c>
      <c r="R227" s="35" t="s">
        <v>799</v>
      </c>
      <c r="S227" s="2" t="s">
        <v>36</v>
      </c>
      <c r="T227" s="2" t="s">
        <v>154</v>
      </c>
      <c r="U227" s="2" t="s">
        <v>79</v>
      </c>
      <c r="W227" s="2" t="s">
        <v>90</v>
      </c>
      <c r="Z227" s="2">
        <v>13000</v>
      </c>
      <c r="AA227" s="34"/>
      <c r="AB227" s="50">
        <v>962017</v>
      </c>
      <c r="AC227" s="59"/>
      <c r="AE227" s="2">
        <v>302</v>
      </c>
      <c r="AK227" s="2" t="s">
        <v>797</v>
      </c>
      <c r="AL227" s="52" t="s">
        <v>778</v>
      </c>
    </row>
    <row r="228" spans="1:38" s="2" customFormat="1" ht="14.1" customHeight="1" x14ac:dyDescent="0.2">
      <c r="A228" s="66">
        <v>202</v>
      </c>
      <c r="B228" s="3" t="s">
        <v>191</v>
      </c>
      <c r="C228" s="52" t="s">
        <v>828</v>
      </c>
      <c r="D228" s="70">
        <v>80</v>
      </c>
      <c r="E228" s="76" t="str">
        <f t="shared" si="66"/>
        <v>TRIAL_STEP8</v>
      </c>
      <c r="F228" s="70" t="s">
        <v>801</v>
      </c>
      <c r="G228" s="2" t="s">
        <v>770</v>
      </c>
      <c r="J228" s="70" t="s">
        <v>804</v>
      </c>
      <c r="K228" s="52" t="s">
        <v>780</v>
      </c>
      <c r="L228" s="52" t="s">
        <v>806</v>
      </c>
      <c r="M228" s="3" t="s">
        <v>811</v>
      </c>
      <c r="N228" s="2" t="s">
        <v>523</v>
      </c>
      <c r="O228" s="2" t="s">
        <v>385</v>
      </c>
      <c r="Q228" s="2">
        <v>1108</v>
      </c>
      <c r="R228" s="35" t="s">
        <v>799</v>
      </c>
      <c r="S228" s="2" t="s">
        <v>36</v>
      </c>
      <c r="T228" s="2" t="s">
        <v>154</v>
      </c>
      <c r="U228" s="2" t="s">
        <v>79</v>
      </c>
      <c r="W228" s="2" t="s">
        <v>90</v>
      </c>
      <c r="Z228" s="2">
        <v>14000</v>
      </c>
      <c r="AA228" s="34"/>
      <c r="AB228" s="50">
        <v>962018</v>
      </c>
      <c r="AC228" s="59"/>
      <c r="AE228" s="2">
        <v>302</v>
      </c>
      <c r="AK228" s="2" t="s">
        <v>797</v>
      </c>
      <c r="AL228" s="52" t="s">
        <v>778</v>
      </c>
    </row>
    <row r="229" spans="1:38" s="2" customFormat="1" ht="14.1" customHeight="1" x14ac:dyDescent="0.2">
      <c r="A229" s="66">
        <v>202</v>
      </c>
      <c r="B229" s="3" t="s">
        <v>80</v>
      </c>
      <c r="C229" s="52" t="s">
        <v>829</v>
      </c>
      <c r="D229" s="70">
        <v>90</v>
      </c>
      <c r="E229" s="76" t="str">
        <f t="shared" si="66"/>
        <v>TRIAL_STEP9</v>
      </c>
      <c r="F229" s="70" t="s">
        <v>801</v>
      </c>
      <c r="G229" s="2" t="s">
        <v>770</v>
      </c>
      <c r="J229" s="70" t="s">
        <v>804</v>
      </c>
      <c r="K229" s="52" t="s">
        <v>780</v>
      </c>
      <c r="L229" s="52" t="s">
        <v>806</v>
      </c>
      <c r="M229" s="3" t="s">
        <v>811</v>
      </c>
      <c r="N229" s="2" t="s">
        <v>523</v>
      </c>
      <c r="O229" s="2" t="s">
        <v>385</v>
      </c>
      <c r="Q229" s="2">
        <v>1109</v>
      </c>
      <c r="R229" s="35" t="s">
        <v>799</v>
      </c>
      <c r="S229" s="2" t="s">
        <v>36</v>
      </c>
      <c r="T229" s="2" t="s">
        <v>154</v>
      </c>
      <c r="U229" s="2" t="s">
        <v>79</v>
      </c>
      <c r="W229" s="2" t="s">
        <v>90</v>
      </c>
      <c r="Z229" s="2">
        <v>15000</v>
      </c>
      <c r="AA229" s="34"/>
      <c r="AB229" s="50">
        <v>962019</v>
      </c>
      <c r="AC229" s="59"/>
      <c r="AE229" s="2">
        <v>302</v>
      </c>
      <c r="AK229" s="2" t="s">
        <v>797</v>
      </c>
      <c r="AL229" s="52" t="s">
        <v>778</v>
      </c>
    </row>
    <row r="230" spans="1:38" s="2" customFormat="1" ht="14.1" customHeight="1" x14ac:dyDescent="0.2">
      <c r="A230" s="66">
        <v>203</v>
      </c>
      <c r="B230" s="3" t="s">
        <v>745</v>
      </c>
      <c r="C230" s="52" t="s">
        <v>760</v>
      </c>
      <c r="D230" s="70">
        <v>10</v>
      </c>
      <c r="E230" s="76" t="str">
        <f t="shared" si="64"/>
        <v>TRIAL_STEP1</v>
      </c>
      <c r="F230" s="70" t="s">
        <v>844</v>
      </c>
      <c r="G230" s="2" t="s">
        <v>770</v>
      </c>
      <c r="I230" s="2" t="s">
        <v>133</v>
      </c>
      <c r="J230" s="70" t="s">
        <v>804</v>
      </c>
      <c r="K230" s="52" t="s">
        <v>781</v>
      </c>
      <c r="L230" s="52" t="s">
        <v>807</v>
      </c>
      <c r="M230" s="3" t="s">
        <v>810</v>
      </c>
      <c r="N230" s="2" t="s">
        <v>523</v>
      </c>
      <c r="O230" s="2" t="s">
        <v>385</v>
      </c>
      <c r="Q230" s="2">
        <v>1201</v>
      </c>
      <c r="R230" s="35" t="s">
        <v>799</v>
      </c>
      <c r="S230" s="2" t="s">
        <v>36</v>
      </c>
      <c r="T230" s="2" t="s">
        <v>154</v>
      </c>
      <c r="U230" s="2" t="s">
        <v>79</v>
      </c>
      <c r="W230" s="2" t="s">
        <v>90</v>
      </c>
      <c r="Z230" s="2">
        <v>7000</v>
      </c>
      <c r="AA230" s="34"/>
      <c r="AB230" s="50">
        <v>962111</v>
      </c>
      <c r="AC230" s="59"/>
      <c r="AE230" s="2">
        <v>303</v>
      </c>
      <c r="AK230" s="2" t="s">
        <v>796</v>
      </c>
      <c r="AL230" s="52" t="s">
        <v>777</v>
      </c>
    </row>
    <row r="231" spans="1:38" s="2" customFormat="1" ht="14.1" customHeight="1" x14ac:dyDescent="0.2">
      <c r="A231" s="66">
        <v>203</v>
      </c>
      <c r="B231" s="3" t="s">
        <v>19</v>
      </c>
      <c r="C231" s="52" t="s">
        <v>761</v>
      </c>
      <c r="D231" s="70">
        <v>20</v>
      </c>
      <c r="E231" s="76" t="str">
        <f t="shared" si="64"/>
        <v>TRIAL_STEP2</v>
      </c>
      <c r="F231" s="70" t="s">
        <v>802</v>
      </c>
      <c r="G231" s="2" t="s">
        <v>770</v>
      </c>
      <c r="J231" s="70" t="s">
        <v>804</v>
      </c>
      <c r="K231" s="52" t="s">
        <v>781</v>
      </c>
      <c r="L231" s="52" t="s">
        <v>807</v>
      </c>
      <c r="M231" s="3" t="s">
        <v>810</v>
      </c>
      <c r="N231" s="2" t="s">
        <v>523</v>
      </c>
      <c r="O231" s="2" t="s">
        <v>385</v>
      </c>
      <c r="Q231" s="2">
        <v>1202</v>
      </c>
      <c r="R231" s="35" t="s">
        <v>799</v>
      </c>
      <c r="S231" s="2" t="s">
        <v>36</v>
      </c>
      <c r="T231" s="2" t="s">
        <v>154</v>
      </c>
      <c r="U231" s="2" t="s">
        <v>79</v>
      </c>
      <c r="W231" s="2" t="s">
        <v>90</v>
      </c>
      <c r="Z231" s="2">
        <v>8000</v>
      </c>
      <c r="AA231" s="34"/>
      <c r="AB231" s="50">
        <v>962112</v>
      </c>
      <c r="AC231" s="59"/>
      <c r="AE231" s="2">
        <v>303</v>
      </c>
      <c r="AK231" s="2" t="s">
        <v>796</v>
      </c>
      <c r="AL231" s="52" t="s">
        <v>777</v>
      </c>
    </row>
    <row r="232" spans="1:38" s="2" customFormat="1" ht="14.1" customHeight="1" x14ac:dyDescent="0.2">
      <c r="A232" s="66">
        <v>203</v>
      </c>
      <c r="B232" s="3" t="s">
        <v>36</v>
      </c>
      <c r="C232" s="52" t="s">
        <v>762</v>
      </c>
      <c r="D232" s="70">
        <v>30</v>
      </c>
      <c r="E232" s="76" t="str">
        <f t="shared" si="64"/>
        <v>TRIAL_STEP3</v>
      </c>
      <c r="F232" s="70" t="s">
        <v>802</v>
      </c>
      <c r="G232" s="2" t="s">
        <v>770</v>
      </c>
      <c r="J232" s="70" t="s">
        <v>804</v>
      </c>
      <c r="K232" s="52" t="s">
        <v>781</v>
      </c>
      <c r="L232" s="52" t="s">
        <v>807</v>
      </c>
      <c r="M232" s="3" t="s">
        <v>810</v>
      </c>
      <c r="N232" s="2" t="s">
        <v>523</v>
      </c>
      <c r="O232" s="2" t="s">
        <v>385</v>
      </c>
      <c r="Q232" s="2">
        <v>1203</v>
      </c>
      <c r="R232" s="35" t="s">
        <v>799</v>
      </c>
      <c r="S232" s="2" t="s">
        <v>36</v>
      </c>
      <c r="T232" s="2" t="s">
        <v>154</v>
      </c>
      <c r="U232" s="2" t="s">
        <v>79</v>
      </c>
      <c r="W232" s="2" t="s">
        <v>90</v>
      </c>
      <c r="Z232" s="2">
        <v>9000</v>
      </c>
      <c r="AA232" s="34"/>
      <c r="AB232" s="50">
        <v>962113</v>
      </c>
      <c r="AC232" s="59"/>
      <c r="AE232" s="2">
        <v>303</v>
      </c>
      <c r="AK232" s="2" t="s">
        <v>796</v>
      </c>
      <c r="AL232" s="52" t="s">
        <v>777</v>
      </c>
    </row>
    <row r="233" spans="1:38" s="2" customFormat="1" ht="14.1" customHeight="1" x14ac:dyDescent="0.2">
      <c r="A233" s="66">
        <v>203</v>
      </c>
      <c r="B233" s="3" t="s">
        <v>37</v>
      </c>
      <c r="C233" s="52" t="s">
        <v>763</v>
      </c>
      <c r="D233" s="70">
        <v>40</v>
      </c>
      <c r="E233" s="76" t="str">
        <f t="shared" si="64"/>
        <v>TRIAL_STEP4</v>
      </c>
      <c r="F233" s="70" t="s">
        <v>802</v>
      </c>
      <c r="G233" s="2" t="s">
        <v>770</v>
      </c>
      <c r="J233" s="70" t="s">
        <v>804</v>
      </c>
      <c r="K233" s="52" t="s">
        <v>781</v>
      </c>
      <c r="L233" s="52" t="s">
        <v>807</v>
      </c>
      <c r="M233" s="3" t="s">
        <v>810</v>
      </c>
      <c r="N233" s="2" t="s">
        <v>523</v>
      </c>
      <c r="O233" s="2" t="s">
        <v>385</v>
      </c>
      <c r="Q233" s="2">
        <v>1204</v>
      </c>
      <c r="R233" s="35" t="s">
        <v>799</v>
      </c>
      <c r="S233" s="2" t="s">
        <v>36</v>
      </c>
      <c r="T233" s="2" t="s">
        <v>154</v>
      </c>
      <c r="U233" s="2" t="s">
        <v>79</v>
      </c>
      <c r="W233" s="2" t="s">
        <v>90</v>
      </c>
      <c r="Z233" s="2">
        <v>10000</v>
      </c>
      <c r="AA233" s="34"/>
      <c r="AB233" s="50">
        <v>962114</v>
      </c>
      <c r="AC233" s="59"/>
      <c r="AE233" s="2">
        <v>303</v>
      </c>
      <c r="AK233" s="2" t="s">
        <v>774</v>
      </c>
      <c r="AL233" s="52" t="s">
        <v>777</v>
      </c>
    </row>
    <row r="234" spans="1:38" s="2" customFormat="1" ht="14.1" customHeight="1" x14ac:dyDescent="0.2">
      <c r="A234" s="66">
        <v>203</v>
      </c>
      <c r="B234" s="3" t="s">
        <v>830</v>
      </c>
      <c r="C234" s="52" t="s">
        <v>764</v>
      </c>
      <c r="D234" s="70">
        <v>50</v>
      </c>
      <c r="E234" s="76" t="str">
        <f t="shared" si="64"/>
        <v>TRIAL_STEP5</v>
      </c>
      <c r="F234" s="70" t="s">
        <v>802</v>
      </c>
      <c r="G234" s="2" t="s">
        <v>770</v>
      </c>
      <c r="J234" s="70" t="s">
        <v>804</v>
      </c>
      <c r="K234" s="52" t="s">
        <v>781</v>
      </c>
      <c r="L234" s="52" t="s">
        <v>807</v>
      </c>
      <c r="M234" s="3" t="s">
        <v>810</v>
      </c>
      <c r="N234" s="2" t="s">
        <v>523</v>
      </c>
      <c r="O234" s="2" t="s">
        <v>385</v>
      </c>
      <c r="Q234" s="2">
        <v>1205</v>
      </c>
      <c r="R234" s="35" t="s">
        <v>799</v>
      </c>
      <c r="S234" s="2" t="s">
        <v>36</v>
      </c>
      <c r="T234" s="2" t="s">
        <v>154</v>
      </c>
      <c r="U234" s="2" t="s">
        <v>79</v>
      </c>
      <c r="W234" s="2" t="s">
        <v>90</v>
      </c>
      <c r="Z234" s="2">
        <v>11000</v>
      </c>
      <c r="AA234" s="34"/>
      <c r="AB234" s="50">
        <v>962115</v>
      </c>
      <c r="AC234" s="59"/>
      <c r="AE234" s="2">
        <v>303</v>
      </c>
      <c r="AK234" s="2" t="s">
        <v>774</v>
      </c>
      <c r="AL234" s="52" t="s">
        <v>777</v>
      </c>
    </row>
    <row r="235" spans="1:38" s="2" customFormat="1" ht="14.1" customHeight="1" x14ac:dyDescent="0.2">
      <c r="A235" s="66">
        <v>203</v>
      </c>
      <c r="B235" s="3" t="s">
        <v>21</v>
      </c>
      <c r="C235" s="52" t="s">
        <v>782</v>
      </c>
      <c r="D235" s="70">
        <v>60</v>
      </c>
      <c r="E235" s="76" t="str">
        <f t="shared" ref="E235" si="67">"TRIAL_STEP"&amp;B235</f>
        <v>TRIAL_STEP6</v>
      </c>
      <c r="F235" s="70" t="s">
        <v>802</v>
      </c>
      <c r="G235" s="2" t="s">
        <v>770</v>
      </c>
      <c r="J235" s="70" t="s">
        <v>804</v>
      </c>
      <c r="K235" s="52" t="s">
        <v>781</v>
      </c>
      <c r="L235" s="52" t="s">
        <v>807</v>
      </c>
      <c r="M235" s="3" t="s">
        <v>810</v>
      </c>
      <c r="N235" s="2" t="s">
        <v>523</v>
      </c>
      <c r="O235" s="2" t="s">
        <v>385</v>
      </c>
      <c r="Q235" s="2">
        <v>1206</v>
      </c>
      <c r="R235" s="35" t="s">
        <v>799</v>
      </c>
      <c r="S235" s="2" t="s">
        <v>36</v>
      </c>
      <c r="T235" s="2" t="s">
        <v>154</v>
      </c>
      <c r="U235" s="2" t="s">
        <v>79</v>
      </c>
      <c r="W235" s="2" t="s">
        <v>90</v>
      </c>
      <c r="Z235" s="2">
        <v>12000</v>
      </c>
      <c r="AA235" s="34"/>
      <c r="AB235" s="50">
        <v>962116</v>
      </c>
      <c r="AC235" s="59"/>
      <c r="AE235" s="2">
        <v>303</v>
      </c>
      <c r="AK235" s="2" t="s">
        <v>774</v>
      </c>
      <c r="AL235" s="52" t="s">
        <v>777</v>
      </c>
    </row>
    <row r="236" spans="1:38" s="2" customFormat="1" ht="14.1" customHeight="1" x14ac:dyDescent="0.2">
      <c r="A236" s="66">
        <v>203</v>
      </c>
      <c r="B236" s="3" t="s">
        <v>38</v>
      </c>
      <c r="C236" s="52" t="s">
        <v>831</v>
      </c>
      <c r="D236" s="70">
        <v>70</v>
      </c>
      <c r="E236" s="76" t="str">
        <f t="shared" ref="E236:E238" si="68">"TRIAL_STEP"&amp;B236</f>
        <v>TRIAL_STEP7</v>
      </c>
      <c r="F236" s="70" t="s">
        <v>802</v>
      </c>
      <c r="G236" s="2" t="s">
        <v>770</v>
      </c>
      <c r="J236" s="70" t="s">
        <v>804</v>
      </c>
      <c r="K236" s="52" t="s">
        <v>781</v>
      </c>
      <c r="L236" s="52" t="s">
        <v>807</v>
      </c>
      <c r="M236" s="3" t="s">
        <v>810</v>
      </c>
      <c r="N236" s="2" t="s">
        <v>523</v>
      </c>
      <c r="O236" s="2" t="s">
        <v>385</v>
      </c>
      <c r="Q236" s="2">
        <v>1207</v>
      </c>
      <c r="R236" s="35" t="s">
        <v>799</v>
      </c>
      <c r="S236" s="2" t="s">
        <v>36</v>
      </c>
      <c r="T236" s="2" t="s">
        <v>154</v>
      </c>
      <c r="U236" s="2" t="s">
        <v>79</v>
      </c>
      <c r="W236" s="2" t="s">
        <v>90</v>
      </c>
      <c r="Z236" s="2">
        <v>13000</v>
      </c>
      <c r="AA236" s="34"/>
      <c r="AB236" s="50">
        <v>962117</v>
      </c>
      <c r="AC236" s="59"/>
      <c r="AE236" s="2">
        <v>303</v>
      </c>
      <c r="AK236" s="2" t="s">
        <v>797</v>
      </c>
      <c r="AL236" s="52" t="s">
        <v>777</v>
      </c>
    </row>
    <row r="237" spans="1:38" s="2" customFormat="1" ht="14.1" customHeight="1" x14ac:dyDescent="0.2">
      <c r="A237" s="66">
        <v>203</v>
      </c>
      <c r="B237" s="3" t="s">
        <v>39</v>
      </c>
      <c r="C237" s="52" t="s">
        <v>832</v>
      </c>
      <c r="D237" s="70">
        <v>80</v>
      </c>
      <c r="E237" s="76" t="str">
        <f t="shared" si="68"/>
        <v>TRIAL_STEP8</v>
      </c>
      <c r="F237" s="70" t="s">
        <v>802</v>
      </c>
      <c r="G237" s="2" t="s">
        <v>770</v>
      </c>
      <c r="J237" s="70" t="s">
        <v>804</v>
      </c>
      <c r="K237" s="52" t="s">
        <v>781</v>
      </c>
      <c r="L237" s="52" t="s">
        <v>807</v>
      </c>
      <c r="M237" s="3" t="s">
        <v>810</v>
      </c>
      <c r="N237" s="2" t="s">
        <v>523</v>
      </c>
      <c r="O237" s="2" t="s">
        <v>385</v>
      </c>
      <c r="Q237" s="2">
        <v>1208</v>
      </c>
      <c r="R237" s="35" t="s">
        <v>799</v>
      </c>
      <c r="S237" s="2" t="s">
        <v>36</v>
      </c>
      <c r="T237" s="2" t="s">
        <v>154</v>
      </c>
      <c r="U237" s="2" t="s">
        <v>79</v>
      </c>
      <c r="W237" s="2" t="s">
        <v>90</v>
      </c>
      <c r="Z237" s="2">
        <v>14000</v>
      </c>
      <c r="AA237" s="34"/>
      <c r="AB237" s="50">
        <v>962118</v>
      </c>
      <c r="AC237" s="59"/>
      <c r="AE237" s="2">
        <v>303</v>
      </c>
      <c r="AK237" s="2" t="s">
        <v>797</v>
      </c>
      <c r="AL237" s="52" t="s">
        <v>777</v>
      </c>
    </row>
    <row r="238" spans="1:38" s="2" customFormat="1" ht="14.1" customHeight="1" x14ac:dyDescent="0.2">
      <c r="A238" s="66">
        <v>203</v>
      </c>
      <c r="B238" s="3" t="s">
        <v>40</v>
      </c>
      <c r="C238" s="52" t="s">
        <v>833</v>
      </c>
      <c r="D238" s="70">
        <v>90</v>
      </c>
      <c r="E238" s="76" t="str">
        <f t="shared" si="68"/>
        <v>TRIAL_STEP9</v>
      </c>
      <c r="F238" s="70" t="s">
        <v>802</v>
      </c>
      <c r="G238" s="2" t="s">
        <v>770</v>
      </c>
      <c r="J238" s="70" t="s">
        <v>804</v>
      </c>
      <c r="K238" s="52" t="s">
        <v>781</v>
      </c>
      <c r="L238" s="52" t="s">
        <v>807</v>
      </c>
      <c r="M238" s="3" t="s">
        <v>810</v>
      </c>
      <c r="N238" s="2" t="s">
        <v>523</v>
      </c>
      <c r="O238" s="2" t="s">
        <v>385</v>
      </c>
      <c r="Q238" s="2">
        <v>1209</v>
      </c>
      <c r="R238" s="35" t="s">
        <v>799</v>
      </c>
      <c r="S238" s="2" t="s">
        <v>36</v>
      </c>
      <c r="T238" s="2" t="s">
        <v>154</v>
      </c>
      <c r="U238" s="2" t="s">
        <v>79</v>
      </c>
      <c r="W238" s="2" t="s">
        <v>90</v>
      </c>
      <c r="Z238" s="2">
        <v>15000</v>
      </c>
      <c r="AA238" s="34"/>
      <c r="AB238" s="50">
        <v>962119</v>
      </c>
      <c r="AC238" s="59"/>
      <c r="AE238" s="2">
        <v>303</v>
      </c>
      <c r="AK238" s="2" t="s">
        <v>797</v>
      </c>
      <c r="AL238" s="52" t="s">
        <v>777</v>
      </c>
    </row>
    <row r="239" spans="1:38" s="2" customFormat="1" ht="14.1" customHeight="1" x14ac:dyDescent="0.2">
      <c r="A239" s="66">
        <v>301</v>
      </c>
      <c r="B239" s="3" t="s">
        <v>745</v>
      </c>
      <c r="C239" s="52" t="s">
        <v>755</v>
      </c>
      <c r="E239" s="76" t="str">
        <f t="shared" si="64"/>
        <v>TRIAL_STEP1</v>
      </c>
      <c r="F239" s="70" t="s">
        <v>800</v>
      </c>
      <c r="G239" s="2" t="s">
        <v>772</v>
      </c>
      <c r="J239" s="70" t="s">
        <v>808</v>
      </c>
      <c r="K239" s="52" t="s">
        <v>779</v>
      </c>
      <c r="L239" s="52" t="s">
        <v>805</v>
      </c>
      <c r="M239" s="3" t="s">
        <v>812</v>
      </c>
      <c r="N239" s="2" t="s">
        <v>523</v>
      </c>
      <c r="O239" s="2" t="s">
        <v>385</v>
      </c>
      <c r="Q239" s="2">
        <v>2001</v>
      </c>
      <c r="R239" s="35" t="s">
        <v>798</v>
      </c>
      <c r="S239" s="2" t="s">
        <v>36</v>
      </c>
      <c r="T239" s="2" t="s">
        <v>154</v>
      </c>
      <c r="U239" s="2" t="s">
        <v>803</v>
      </c>
      <c r="W239" s="2" t="s">
        <v>90</v>
      </c>
      <c r="Z239" s="2">
        <v>7000</v>
      </c>
      <c r="AA239" s="34"/>
      <c r="AB239" s="50">
        <v>961911</v>
      </c>
      <c r="AC239" s="59"/>
      <c r="AF239" s="2" t="s">
        <v>37</v>
      </c>
      <c r="AG239" s="2" t="s">
        <v>37</v>
      </c>
      <c r="AH239" s="2" t="s">
        <v>79</v>
      </c>
      <c r="AI239" s="2" t="s">
        <v>79</v>
      </c>
      <c r="AJ239" s="2">
        <v>201</v>
      </c>
      <c r="AK239" s="2" t="s">
        <v>796</v>
      </c>
      <c r="AL239" s="52" t="s">
        <v>776</v>
      </c>
    </row>
    <row r="240" spans="1:38" s="2" customFormat="1" ht="14.1" customHeight="1" x14ac:dyDescent="0.2">
      <c r="A240" s="66">
        <v>301</v>
      </c>
      <c r="B240" s="3" t="s">
        <v>746</v>
      </c>
      <c r="C240" s="52" t="s">
        <v>756</v>
      </c>
      <c r="E240" s="76" t="str">
        <f t="shared" si="64"/>
        <v>TRIAL_STEP2</v>
      </c>
      <c r="F240" s="70" t="s">
        <v>800</v>
      </c>
      <c r="G240" s="2" t="s">
        <v>771</v>
      </c>
      <c r="J240" s="70" t="s">
        <v>808</v>
      </c>
      <c r="K240" s="52" t="s">
        <v>779</v>
      </c>
      <c r="L240" s="52" t="s">
        <v>805</v>
      </c>
      <c r="M240" s="3" t="s">
        <v>812</v>
      </c>
      <c r="N240" s="2" t="s">
        <v>523</v>
      </c>
      <c r="O240" s="2" t="s">
        <v>385</v>
      </c>
      <c r="Q240" s="2">
        <v>2002</v>
      </c>
      <c r="R240" s="35" t="s">
        <v>798</v>
      </c>
      <c r="S240" s="2" t="s">
        <v>36</v>
      </c>
      <c r="T240" s="2" t="s">
        <v>154</v>
      </c>
      <c r="U240" s="2" t="s">
        <v>803</v>
      </c>
      <c r="W240" s="2" t="s">
        <v>90</v>
      </c>
      <c r="Z240" s="2">
        <v>8000</v>
      </c>
      <c r="AA240" s="34"/>
      <c r="AB240" s="50">
        <v>961912</v>
      </c>
      <c r="AC240" s="59"/>
      <c r="AF240" s="2" t="s">
        <v>37</v>
      </c>
      <c r="AG240" s="2" t="s">
        <v>37</v>
      </c>
      <c r="AH240" s="2" t="s">
        <v>79</v>
      </c>
      <c r="AI240" s="2" t="s">
        <v>79</v>
      </c>
      <c r="AJ240" s="2">
        <v>201</v>
      </c>
      <c r="AK240" s="2" t="s">
        <v>796</v>
      </c>
      <c r="AL240" s="52" t="s">
        <v>776</v>
      </c>
    </row>
    <row r="241" spans="1:38" s="2" customFormat="1" ht="14.1" customHeight="1" x14ac:dyDescent="0.2">
      <c r="A241" s="66">
        <v>301</v>
      </c>
      <c r="B241" s="3" t="s">
        <v>747</v>
      </c>
      <c r="C241" s="52" t="s">
        <v>757</v>
      </c>
      <c r="E241" s="76" t="str">
        <f t="shared" si="64"/>
        <v>TRIAL_STEP3</v>
      </c>
      <c r="F241" s="70" t="s">
        <v>800</v>
      </c>
      <c r="G241" s="2" t="s">
        <v>771</v>
      </c>
      <c r="J241" s="70" t="s">
        <v>808</v>
      </c>
      <c r="K241" s="52" t="s">
        <v>779</v>
      </c>
      <c r="L241" s="52" t="s">
        <v>805</v>
      </c>
      <c r="M241" s="3" t="s">
        <v>812</v>
      </c>
      <c r="N241" s="2" t="s">
        <v>523</v>
      </c>
      <c r="O241" s="2" t="s">
        <v>385</v>
      </c>
      <c r="Q241" s="2">
        <v>2003</v>
      </c>
      <c r="R241" s="35" t="s">
        <v>798</v>
      </c>
      <c r="S241" s="2" t="s">
        <v>36</v>
      </c>
      <c r="T241" s="2" t="s">
        <v>154</v>
      </c>
      <c r="U241" s="2" t="s">
        <v>803</v>
      </c>
      <c r="W241" s="2" t="s">
        <v>90</v>
      </c>
      <c r="Z241" s="2">
        <v>9000</v>
      </c>
      <c r="AA241" s="34"/>
      <c r="AB241" s="50">
        <v>961913</v>
      </c>
      <c r="AC241" s="59"/>
      <c r="AF241" s="2" t="s">
        <v>37</v>
      </c>
      <c r="AG241" s="2" t="s">
        <v>37</v>
      </c>
      <c r="AH241" s="2" t="s">
        <v>79</v>
      </c>
      <c r="AI241" s="2" t="s">
        <v>79</v>
      </c>
      <c r="AJ241" s="2">
        <v>201</v>
      </c>
      <c r="AK241" s="2" t="s">
        <v>796</v>
      </c>
      <c r="AL241" s="52" t="s">
        <v>776</v>
      </c>
    </row>
    <row r="242" spans="1:38" s="2" customFormat="1" ht="14.1" customHeight="1" x14ac:dyDescent="0.2">
      <c r="A242" s="66">
        <v>301</v>
      </c>
      <c r="B242" s="3" t="s">
        <v>748</v>
      </c>
      <c r="C242" s="52" t="s">
        <v>758</v>
      </c>
      <c r="E242" s="76" t="str">
        <f t="shared" si="64"/>
        <v>TRIAL_STEP4</v>
      </c>
      <c r="F242" s="70" t="s">
        <v>800</v>
      </c>
      <c r="G242" s="2" t="s">
        <v>771</v>
      </c>
      <c r="J242" s="70" t="s">
        <v>808</v>
      </c>
      <c r="K242" s="52" t="s">
        <v>779</v>
      </c>
      <c r="L242" s="52" t="s">
        <v>805</v>
      </c>
      <c r="M242" s="3" t="s">
        <v>812</v>
      </c>
      <c r="N242" s="2" t="s">
        <v>523</v>
      </c>
      <c r="O242" s="2" t="s">
        <v>385</v>
      </c>
      <c r="Q242" s="2">
        <v>2004</v>
      </c>
      <c r="R242" s="35" t="s">
        <v>798</v>
      </c>
      <c r="S242" s="2" t="s">
        <v>36</v>
      </c>
      <c r="T242" s="2" t="s">
        <v>154</v>
      </c>
      <c r="U242" s="2" t="s">
        <v>803</v>
      </c>
      <c r="W242" s="2" t="s">
        <v>90</v>
      </c>
      <c r="Z242" s="2">
        <v>10000</v>
      </c>
      <c r="AA242" s="34"/>
      <c r="AB242" s="50">
        <v>961914</v>
      </c>
      <c r="AC242" s="59"/>
      <c r="AF242" s="2" t="s">
        <v>37</v>
      </c>
      <c r="AG242" s="2" t="s">
        <v>37</v>
      </c>
      <c r="AH242" s="2" t="s">
        <v>79</v>
      </c>
      <c r="AI242" s="2" t="s">
        <v>79</v>
      </c>
      <c r="AJ242" s="2">
        <v>201</v>
      </c>
      <c r="AK242" s="2" t="s">
        <v>774</v>
      </c>
      <c r="AL242" s="52" t="s">
        <v>776</v>
      </c>
    </row>
    <row r="243" spans="1:38" s="2" customFormat="1" ht="14.1" customHeight="1" x14ac:dyDescent="0.2">
      <c r="A243" s="66">
        <v>301</v>
      </c>
      <c r="B243" s="3" t="s">
        <v>749</v>
      </c>
      <c r="C243" s="52" t="s">
        <v>759</v>
      </c>
      <c r="E243" s="76" t="str">
        <f t="shared" si="64"/>
        <v>TRIAL_STEP5</v>
      </c>
      <c r="F243" s="70" t="s">
        <v>800</v>
      </c>
      <c r="G243" s="2" t="s">
        <v>771</v>
      </c>
      <c r="J243" s="70" t="s">
        <v>808</v>
      </c>
      <c r="K243" s="52" t="s">
        <v>779</v>
      </c>
      <c r="L243" s="52" t="s">
        <v>805</v>
      </c>
      <c r="M243" s="3" t="s">
        <v>812</v>
      </c>
      <c r="N243" s="2" t="s">
        <v>523</v>
      </c>
      <c r="O243" s="2" t="s">
        <v>385</v>
      </c>
      <c r="Q243" s="2">
        <v>2005</v>
      </c>
      <c r="R243" s="35" t="s">
        <v>798</v>
      </c>
      <c r="S243" s="2" t="s">
        <v>36</v>
      </c>
      <c r="T243" s="2" t="s">
        <v>154</v>
      </c>
      <c r="U243" s="2" t="s">
        <v>803</v>
      </c>
      <c r="W243" s="2" t="s">
        <v>90</v>
      </c>
      <c r="Z243" s="2">
        <v>11000</v>
      </c>
      <c r="AA243" s="34"/>
      <c r="AB243" s="50">
        <v>961915</v>
      </c>
      <c r="AC243" s="59"/>
      <c r="AF243" s="2" t="s">
        <v>37</v>
      </c>
      <c r="AG243" s="2" t="s">
        <v>37</v>
      </c>
      <c r="AH243" s="2" t="s">
        <v>79</v>
      </c>
      <c r="AI243" s="2" t="s">
        <v>79</v>
      </c>
      <c r="AJ243" s="2">
        <v>201</v>
      </c>
      <c r="AK243" s="2" t="s">
        <v>774</v>
      </c>
      <c r="AL243" s="52" t="s">
        <v>776</v>
      </c>
    </row>
    <row r="244" spans="1:38" s="2" customFormat="1" ht="14.1" customHeight="1" x14ac:dyDescent="0.2">
      <c r="A244" s="66">
        <v>301</v>
      </c>
      <c r="B244" s="3" t="s">
        <v>22</v>
      </c>
      <c r="C244" s="52" t="s">
        <v>834</v>
      </c>
      <c r="E244" s="76" t="str">
        <f t="shared" ref="E244" si="69">"TRIAL_STEP"&amp;B244</f>
        <v>TRIAL_STEP6</v>
      </c>
      <c r="F244" s="70" t="s">
        <v>800</v>
      </c>
      <c r="G244" s="2" t="s">
        <v>771</v>
      </c>
      <c r="J244" s="70" t="s">
        <v>808</v>
      </c>
      <c r="K244" s="52" t="s">
        <v>779</v>
      </c>
      <c r="L244" s="52" t="s">
        <v>805</v>
      </c>
      <c r="M244" s="3" t="s">
        <v>812</v>
      </c>
      <c r="N244" s="2" t="s">
        <v>523</v>
      </c>
      <c r="O244" s="2" t="s">
        <v>385</v>
      </c>
      <c r="Q244" s="2">
        <v>2006</v>
      </c>
      <c r="R244" s="35" t="s">
        <v>798</v>
      </c>
      <c r="S244" s="2" t="s">
        <v>36</v>
      </c>
      <c r="T244" s="2" t="s">
        <v>154</v>
      </c>
      <c r="U244" s="2" t="s">
        <v>803</v>
      </c>
      <c r="W244" s="2" t="s">
        <v>90</v>
      </c>
      <c r="Z244" s="2">
        <v>12000</v>
      </c>
      <c r="AA244" s="34"/>
      <c r="AB244" s="50">
        <v>961916</v>
      </c>
      <c r="AC244" s="59"/>
      <c r="AF244" s="2" t="s">
        <v>37</v>
      </c>
      <c r="AG244" s="2" t="s">
        <v>37</v>
      </c>
      <c r="AH244" s="2" t="s">
        <v>79</v>
      </c>
      <c r="AI244" s="2" t="s">
        <v>79</v>
      </c>
      <c r="AJ244" s="2">
        <v>201</v>
      </c>
      <c r="AK244" s="2" t="s">
        <v>774</v>
      </c>
      <c r="AL244" s="52" t="s">
        <v>776</v>
      </c>
    </row>
    <row r="245" spans="1:38" s="2" customFormat="1" ht="14.1" customHeight="1" x14ac:dyDescent="0.2">
      <c r="A245" s="66">
        <v>301</v>
      </c>
      <c r="B245" s="3" t="s">
        <v>38</v>
      </c>
      <c r="C245" s="52" t="s">
        <v>835</v>
      </c>
      <c r="E245" s="76" t="str">
        <f t="shared" ref="E245:E247" si="70">"TRIAL_STEP"&amp;B245</f>
        <v>TRIAL_STEP7</v>
      </c>
      <c r="F245" s="70" t="s">
        <v>800</v>
      </c>
      <c r="G245" s="2" t="s">
        <v>771</v>
      </c>
      <c r="J245" s="70" t="s">
        <v>808</v>
      </c>
      <c r="K245" s="52" t="s">
        <v>779</v>
      </c>
      <c r="L245" s="52" t="s">
        <v>805</v>
      </c>
      <c r="M245" s="3" t="s">
        <v>812</v>
      </c>
      <c r="N245" s="2" t="s">
        <v>523</v>
      </c>
      <c r="O245" s="2" t="s">
        <v>385</v>
      </c>
      <c r="Q245" s="2">
        <v>2007</v>
      </c>
      <c r="R245" s="35" t="s">
        <v>798</v>
      </c>
      <c r="S245" s="2" t="s">
        <v>36</v>
      </c>
      <c r="T245" s="2" t="s">
        <v>154</v>
      </c>
      <c r="U245" s="2" t="s">
        <v>154</v>
      </c>
      <c r="W245" s="2" t="s">
        <v>90</v>
      </c>
      <c r="Z245" s="2">
        <v>13000</v>
      </c>
      <c r="AA245" s="34"/>
      <c r="AB245" s="50">
        <v>961917</v>
      </c>
      <c r="AC245" s="59"/>
      <c r="AF245" s="2" t="s">
        <v>37</v>
      </c>
      <c r="AG245" s="2" t="s">
        <v>37</v>
      </c>
      <c r="AH245" s="2" t="s">
        <v>79</v>
      </c>
      <c r="AI245" s="2" t="s">
        <v>79</v>
      </c>
      <c r="AJ245" s="2">
        <v>201</v>
      </c>
      <c r="AK245" s="2" t="s">
        <v>797</v>
      </c>
      <c r="AL245" s="52" t="s">
        <v>776</v>
      </c>
    </row>
    <row r="246" spans="1:38" s="2" customFormat="1" ht="14.1" customHeight="1" x14ac:dyDescent="0.2">
      <c r="A246" s="66">
        <v>301</v>
      </c>
      <c r="B246" s="3" t="s">
        <v>39</v>
      </c>
      <c r="C246" s="52" t="s">
        <v>836</v>
      </c>
      <c r="E246" s="76" t="str">
        <f t="shared" si="70"/>
        <v>TRIAL_STEP8</v>
      </c>
      <c r="F246" s="70" t="s">
        <v>800</v>
      </c>
      <c r="G246" s="2" t="s">
        <v>771</v>
      </c>
      <c r="J246" s="70" t="s">
        <v>808</v>
      </c>
      <c r="K246" s="52" t="s">
        <v>779</v>
      </c>
      <c r="L246" s="52" t="s">
        <v>805</v>
      </c>
      <c r="M246" s="3" t="s">
        <v>812</v>
      </c>
      <c r="N246" s="2" t="s">
        <v>523</v>
      </c>
      <c r="O246" s="2" t="s">
        <v>385</v>
      </c>
      <c r="Q246" s="2">
        <v>2008</v>
      </c>
      <c r="R246" s="35" t="s">
        <v>798</v>
      </c>
      <c r="S246" s="2" t="s">
        <v>36</v>
      </c>
      <c r="T246" s="2" t="s">
        <v>154</v>
      </c>
      <c r="U246" s="2" t="s">
        <v>154</v>
      </c>
      <c r="W246" s="2" t="s">
        <v>90</v>
      </c>
      <c r="Z246" s="2">
        <v>14000</v>
      </c>
      <c r="AA246" s="34"/>
      <c r="AB246" s="50">
        <v>961918</v>
      </c>
      <c r="AC246" s="59"/>
      <c r="AF246" s="2" t="s">
        <v>37</v>
      </c>
      <c r="AG246" s="2" t="s">
        <v>37</v>
      </c>
      <c r="AH246" s="2" t="s">
        <v>79</v>
      </c>
      <c r="AI246" s="2" t="s">
        <v>79</v>
      </c>
      <c r="AJ246" s="2">
        <v>201</v>
      </c>
      <c r="AK246" s="2" t="s">
        <v>797</v>
      </c>
      <c r="AL246" s="52" t="s">
        <v>776</v>
      </c>
    </row>
    <row r="247" spans="1:38" s="2" customFormat="1" ht="14.1" customHeight="1" x14ac:dyDescent="0.2">
      <c r="A247" s="66">
        <v>301</v>
      </c>
      <c r="B247" s="3" t="s">
        <v>40</v>
      </c>
      <c r="C247" s="52" t="s">
        <v>837</v>
      </c>
      <c r="E247" s="76" t="str">
        <f t="shared" si="70"/>
        <v>TRIAL_STEP9</v>
      </c>
      <c r="F247" s="70" t="s">
        <v>800</v>
      </c>
      <c r="G247" s="2" t="s">
        <v>771</v>
      </c>
      <c r="J247" s="70" t="s">
        <v>808</v>
      </c>
      <c r="K247" s="52" t="s">
        <v>779</v>
      </c>
      <c r="L247" s="52" t="s">
        <v>805</v>
      </c>
      <c r="M247" s="3" t="s">
        <v>812</v>
      </c>
      <c r="N247" s="2" t="s">
        <v>523</v>
      </c>
      <c r="O247" s="2" t="s">
        <v>385</v>
      </c>
      <c r="Q247" s="2">
        <v>2009</v>
      </c>
      <c r="R247" s="35" t="s">
        <v>798</v>
      </c>
      <c r="S247" s="2" t="s">
        <v>36</v>
      </c>
      <c r="T247" s="2" t="s">
        <v>154</v>
      </c>
      <c r="U247" s="2" t="s">
        <v>154</v>
      </c>
      <c r="W247" s="2" t="s">
        <v>90</v>
      </c>
      <c r="Z247" s="2">
        <v>15000</v>
      </c>
      <c r="AA247" s="34"/>
      <c r="AB247" s="50">
        <v>961919</v>
      </c>
      <c r="AC247" s="59"/>
      <c r="AF247" s="2" t="s">
        <v>37</v>
      </c>
      <c r="AG247" s="2" t="s">
        <v>37</v>
      </c>
      <c r="AH247" s="2" t="s">
        <v>79</v>
      </c>
      <c r="AI247" s="2" t="s">
        <v>79</v>
      </c>
      <c r="AJ247" s="2">
        <v>201</v>
      </c>
      <c r="AK247" s="2" t="s">
        <v>797</v>
      </c>
      <c r="AL247" s="52" t="s">
        <v>776</v>
      </c>
    </row>
    <row r="248" spans="1:38" s="2" customFormat="1" ht="14.1" customHeight="1" x14ac:dyDescent="0.2">
      <c r="A248" s="66">
        <v>302</v>
      </c>
      <c r="B248" s="3" t="s">
        <v>745</v>
      </c>
      <c r="C248" s="52" t="s">
        <v>784</v>
      </c>
      <c r="E248" s="76" t="str">
        <f t="shared" ref="E248:E261" si="71">"TRIAL_STEP"&amp;B248</f>
        <v>TRIAL_STEP1</v>
      </c>
      <c r="F248" s="70" t="s">
        <v>801</v>
      </c>
      <c r="G248" s="2" t="s">
        <v>771</v>
      </c>
      <c r="J248" s="70" t="s">
        <v>809</v>
      </c>
      <c r="K248" s="52" t="s">
        <v>780</v>
      </c>
      <c r="L248" s="52" t="s">
        <v>806</v>
      </c>
      <c r="M248" s="3" t="s">
        <v>811</v>
      </c>
      <c r="N248" s="2" t="s">
        <v>523</v>
      </c>
      <c r="O248" s="2" t="s">
        <v>385</v>
      </c>
      <c r="Q248" s="2">
        <v>2101</v>
      </c>
      <c r="R248" s="35" t="s">
        <v>799</v>
      </c>
      <c r="S248" s="2" t="s">
        <v>36</v>
      </c>
      <c r="T248" s="2" t="s">
        <v>154</v>
      </c>
      <c r="U248" s="2" t="s">
        <v>803</v>
      </c>
      <c r="W248" s="2" t="s">
        <v>90</v>
      </c>
      <c r="Z248" s="2">
        <v>7000</v>
      </c>
      <c r="AA248" s="34"/>
      <c r="AB248" s="50">
        <v>962011</v>
      </c>
      <c r="AC248" s="59"/>
      <c r="AF248" s="2" t="s">
        <v>37</v>
      </c>
      <c r="AG248" s="2" t="s">
        <v>37</v>
      </c>
      <c r="AH248" s="2" t="s">
        <v>79</v>
      </c>
      <c r="AI248" s="2" t="s">
        <v>79</v>
      </c>
      <c r="AJ248" s="2">
        <v>202</v>
      </c>
      <c r="AK248" s="2" t="s">
        <v>796</v>
      </c>
      <c r="AL248" s="52" t="s">
        <v>778</v>
      </c>
    </row>
    <row r="249" spans="1:38" s="2" customFormat="1" ht="14.1" customHeight="1" x14ac:dyDescent="0.2">
      <c r="A249" s="66">
        <v>302</v>
      </c>
      <c r="B249" s="3" t="s">
        <v>746</v>
      </c>
      <c r="C249" s="52" t="s">
        <v>785</v>
      </c>
      <c r="E249" s="76" t="str">
        <f t="shared" si="71"/>
        <v>TRIAL_STEP2</v>
      </c>
      <c r="F249" s="70" t="s">
        <v>801</v>
      </c>
      <c r="G249" s="2" t="s">
        <v>771</v>
      </c>
      <c r="J249" s="70" t="s">
        <v>809</v>
      </c>
      <c r="K249" s="52" t="s">
        <v>780</v>
      </c>
      <c r="L249" s="52" t="s">
        <v>806</v>
      </c>
      <c r="M249" s="3" t="s">
        <v>811</v>
      </c>
      <c r="N249" s="2" t="s">
        <v>523</v>
      </c>
      <c r="O249" s="2" t="s">
        <v>385</v>
      </c>
      <c r="Q249" s="2">
        <v>2102</v>
      </c>
      <c r="R249" s="35" t="s">
        <v>799</v>
      </c>
      <c r="S249" s="2" t="s">
        <v>36</v>
      </c>
      <c r="T249" s="2" t="s">
        <v>154</v>
      </c>
      <c r="U249" s="2" t="s">
        <v>803</v>
      </c>
      <c r="W249" s="2" t="s">
        <v>90</v>
      </c>
      <c r="Z249" s="2">
        <v>8000</v>
      </c>
      <c r="AA249" s="34"/>
      <c r="AB249" s="50">
        <v>962012</v>
      </c>
      <c r="AC249" s="59"/>
      <c r="AF249" s="2" t="s">
        <v>37</v>
      </c>
      <c r="AG249" s="2" t="s">
        <v>37</v>
      </c>
      <c r="AH249" s="2" t="s">
        <v>79</v>
      </c>
      <c r="AI249" s="2" t="s">
        <v>79</v>
      </c>
      <c r="AJ249" s="2">
        <v>202</v>
      </c>
      <c r="AK249" s="2" t="s">
        <v>796</v>
      </c>
      <c r="AL249" s="52" t="s">
        <v>778</v>
      </c>
    </row>
    <row r="250" spans="1:38" s="2" customFormat="1" ht="14.1" customHeight="1" x14ac:dyDescent="0.2">
      <c r="A250" s="66">
        <v>302</v>
      </c>
      <c r="B250" s="3" t="s">
        <v>747</v>
      </c>
      <c r="C250" s="52" t="s">
        <v>786</v>
      </c>
      <c r="E250" s="76" t="str">
        <f t="shared" si="71"/>
        <v>TRIAL_STEP3</v>
      </c>
      <c r="F250" s="70" t="s">
        <v>801</v>
      </c>
      <c r="G250" s="2" t="s">
        <v>771</v>
      </c>
      <c r="J250" s="70" t="s">
        <v>809</v>
      </c>
      <c r="K250" s="52" t="s">
        <v>780</v>
      </c>
      <c r="L250" s="52" t="s">
        <v>806</v>
      </c>
      <c r="M250" s="3" t="s">
        <v>811</v>
      </c>
      <c r="N250" s="2" t="s">
        <v>523</v>
      </c>
      <c r="O250" s="2" t="s">
        <v>385</v>
      </c>
      <c r="Q250" s="2">
        <v>2103</v>
      </c>
      <c r="R250" s="35" t="s">
        <v>799</v>
      </c>
      <c r="S250" s="2" t="s">
        <v>36</v>
      </c>
      <c r="T250" s="2" t="s">
        <v>154</v>
      </c>
      <c r="U250" s="2" t="s">
        <v>803</v>
      </c>
      <c r="W250" s="2" t="s">
        <v>90</v>
      </c>
      <c r="Z250" s="2">
        <v>9000</v>
      </c>
      <c r="AA250" s="34"/>
      <c r="AB250" s="50">
        <v>962013</v>
      </c>
      <c r="AC250" s="59"/>
      <c r="AF250" s="2" t="s">
        <v>37</v>
      </c>
      <c r="AG250" s="2" t="s">
        <v>37</v>
      </c>
      <c r="AH250" s="2" t="s">
        <v>79</v>
      </c>
      <c r="AI250" s="2" t="s">
        <v>79</v>
      </c>
      <c r="AJ250" s="2">
        <v>202</v>
      </c>
      <c r="AK250" s="2" t="s">
        <v>796</v>
      </c>
      <c r="AL250" s="52" t="s">
        <v>778</v>
      </c>
    </row>
    <row r="251" spans="1:38" s="2" customFormat="1" ht="14.1" customHeight="1" x14ac:dyDescent="0.2">
      <c r="A251" s="66">
        <v>302</v>
      </c>
      <c r="B251" s="3" t="s">
        <v>748</v>
      </c>
      <c r="C251" s="52" t="s">
        <v>787</v>
      </c>
      <c r="E251" s="76" t="str">
        <f t="shared" si="71"/>
        <v>TRIAL_STEP4</v>
      </c>
      <c r="F251" s="70" t="s">
        <v>801</v>
      </c>
      <c r="G251" s="2" t="s">
        <v>771</v>
      </c>
      <c r="J251" s="70" t="s">
        <v>809</v>
      </c>
      <c r="K251" s="52" t="s">
        <v>780</v>
      </c>
      <c r="L251" s="52" t="s">
        <v>806</v>
      </c>
      <c r="M251" s="3" t="s">
        <v>811</v>
      </c>
      <c r="N251" s="2" t="s">
        <v>523</v>
      </c>
      <c r="O251" s="2" t="s">
        <v>385</v>
      </c>
      <c r="Q251" s="2">
        <v>2104</v>
      </c>
      <c r="R251" s="35" t="s">
        <v>799</v>
      </c>
      <c r="S251" s="2" t="s">
        <v>36</v>
      </c>
      <c r="T251" s="2" t="s">
        <v>154</v>
      </c>
      <c r="U251" s="2" t="s">
        <v>803</v>
      </c>
      <c r="W251" s="2" t="s">
        <v>90</v>
      </c>
      <c r="Z251" s="2">
        <v>10000</v>
      </c>
      <c r="AA251" s="34"/>
      <c r="AB251" s="50">
        <v>962014</v>
      </c>
      <c r="AC251" s="59"/>
      <c r="AF251" s="2" t="s">
        <v>37</v>
      </c>
      <c r="AG251" s="2" t="s">
        <v>37</v>
      </c>
      <c r="AH251" s="2" t="s">
        <v>79</v>
      </c>
      <c r="AI251" s="2" t="s">
        <v>79</v>
      </c>
      <c r="AJ251" s="2">
        <v>202</v>
      </c>
      <c r="AK251" s="2" t="s">
        <v>774</v>
      </c>
      <c r="AL251" s="52" t="s">
        <v>778</v>
      </c>
    </row>
    <row r="252" spans="1:38" s="2" customFormat="1" ht="14.1" customHeight="1" x14ac:dyDescent="0.2">
      <c r="A252" s="66">
        <v>302</v>
      </c>
      <c r="B252" s="3" t="s">
        <v>749</v>
      </c>
      <c r="C252" s="52" t="s">
        <v>788</v>
      </c>
      <c r="E252" s="76" t="str">
        <f t="shared" si="71"/>
        <v>TRIAL_STEP5</v>
      </c>
      <c r="F252" s="70" t="s">
        <v>801</v>
      </c>
      <c r="G252" s="2" t="s">
        <v>771</v>
      </c>
      <c r="J252" s="70" t="s">
        <v>809</v>
      </c>
      <c r="K252" s="52" t="s">
        <v>780</v>
      </c>
      <c r="L252" s="52" t="s">
        <v>806</v>
      </c>
      <c r="M252" s="3" t="s">
        <v>811</v>
      </c>
      <c r="N252" s="2" t="s">
        <v>523</v>
      </c>
      <c r="O252" s="2" t="s">
        <v>385</v>
      </c>
      <c r="Q252" s="2">
        <v>2105</v>
      </c>
      <c r="R252" s="35" t="s">
        <v>799</v>
      </c>
      <c r="S252" s="2" t="s">
        <v>36</v>
      </c>
      <c r="T252" s="2" t="s">
        <v>154</v>
      </c>
      <c r="U252" s="2" t="s">
        <v>803</v>
      </c>
      <c r="W252" s="2" t="s">
        <v>90</v>
      </c>
      <c r="Z252" s="2">
        <v>11000</v>
      </c>
      <c r="AA252" s="34"/>
      <c r="AB252" s="50">
        <v>962015</v>
      </c>
      <c r="AC252" s="59"/>
      <c r="AF252" s="2" t="s">
        <v>37</v>
      </c>
      <c r="AG252" s="2" t="s">
        <v>37</v>
      </c>
      <c r="AH252" s="2" t="s">
        <v>79</v>
      </c>
      <c r="AI252" s="2" t="s">
        <v>79</v>
      </c>
      <c r="AJ252" s="2">
        <v>202</v>
      </c>
      <c r="AK252" s="2" t="s">
        <v>774</v>
      </c>
      <c r="AL252" s="52" t="s">
        <v>778</v>
      </c>
    </row>
    <row r="253" spans="1:38" s="2" customFormat="1" ht="14.1" customHeight="1" x14ac:dyDescent="0.2">
      <c r="A253" s="66">
        <v>302</v>
      </c>
      <c r="B253" s="3" t="s">
        <v>21</v>
      </c>
      <c r="C253" s="52" t="s">
        <v>789</v>
      </c>
      <c r="E253" s="76" t="str">
        <f t="shared" ref="E253" si="72">"TRIAL_STEP"&amp;B253</f>
        <v>TRIAL_STEP6</v>
      </c>
      <c r="F253" s="70" t="s">
        <v>801</v>
      </c>
      <c r="G253" s="2" t="s">
        <v>771</v>
      </c>
      <c r="J253" s="70" t="s">
        <v>809</v>
      </c>
      <c r="K253" s="52" t="s">
        <v>780</v>
      </c>
      <c r="L253" s="52" t="s">
        <v>806</v>
      </c>
      <c r="M253" s="3" t="s">
        <v>811</v>
      </c>
      <c r="N253" s="2" t="s">
        <v>523</v>
      </c>
      <c r="O253" s="2" t="s">
        <v>385</v>
      </c>
      <c r="Q253" s="2">
        <v>2106</v>
      </c>
      <c r="R253" s="35" t="s">
        <v>799</v>
      </c>
      <c r="S253" s="2" t="s">
        <v>36</v>
      </c>
      <c r="T253" s="2" t="s">
        <v>154</v>
      </c>
      <c r="U253" s="2" t="s">
        <v>803</v>
      </c>
      <c r="W253" s="2" t="s">
        <v>90</v>
      </c>
      <c r="Z253" s="2">
        <v>12000</v>
      </c>
      <c r="AA253" s="34"/>
      <c r="AB253" s="50">
        <v>962016</v>
      </c>
      <c r="AC253" s="59"/>
      <c r="AF253" s="2" t="s">
        <v>37</v>
      </c>
      <c r="AG253" s="2" t="s">
        <v>37</v>
      </c>
      <c r="AH253" s="2" t="s">
        <v>79</v>
      </c>
      <c r="AI253" s="2" t="s">
        <v>79</v>
      </c>
      <c r="AJ253" s="2">
        <v>202</v>
      </c>
      <c r="AK253" s="2" t="s">
        <v>774</v>
      </c>
      <c r="AL253" s="52" t="s">
        <v>778</v>
      </c>
    </row>
    <row r="254" spans="1:38" s="2" customFormat="1" ht="14.1" customHeight="1" x14ac:dyDescent="0.2">
      <c r="A254" s="66">
        <v>302</v>
      </c>
      <c r="B254" s="3" t="s">
        <v>38</v>
      </c>
      <c r="C254" s="52" t="s">
        <v>838</v>
      </c>
      <c r="E254" s="76" t="str">
        <f t="shared" ref="E254:E256" si="73">"TRIAL_STEP"&amp;B254</f>
        <v>TRIAL_STEP7</v>
      </c>
      <c r="F254" s="70" t="s">
        <v>801</v>
      </c>
      <c r="G254" s="2" t="s">
        <v>771</v>
      </c>
      <c r="J254" s="70" t="s">
        <v>809</v>
      </c>
      <c r="K254" s="52" t="s">
        <v>780</v>
      </c>
      <c r="L254" s="52" t="s">
        <v>806</v>
      </c>
      <c r="M254" s="3" t="s">
        <v>811</v>
      </c>
      <c r="N254" s="2" t="s">
        <v>523</v>
      </c>
      <c r="O254" s="2" t="s">
        <v>385</v>
      </c>
      <c r="Q254" s="2">
        <v>2107</v>
      </c>
      <c r="R254" s="35" t="s">
        <v>799</v>
      </c>
      <c r="S254" s="2" t="s">
        <v>36</v>
      </c>
      <c r="T254" s="2" t="s">
        <v>154</v>
      </c>
      <c r="U254" s="2" t="s">
        <v>154</v>
      </c>
      <c r="W254" s="2" t="s">
        <v>90</v>
      </c>
      <c r="Z254" s="2">
        <v>13000</v>
      </c>
      <c r="AA254" s="34"/>
      <c r="AB254" s="50">
        <v>962017</v>
      </c>
      <c r="AC254" s="59"/>
      <c r="AF254" s="2" t="s">
        <v>37</v>
      </c>
      <c r="AG254" s="2" t="s">
        <v>37</v>
      </c>
      <c r="AH254" s="2" t="s">
        <v>79</v>
      </c>
      <c r="AI254" s="2" t="s">
        <v>79</v>
      </c>
      <c r="AJ254" s="2">
        <v>202</v>
      </c>
      <c r="AK254" s="2" t="s">
        <v>797</v>
      </c>
      <c r="AL254" s="52" t="s">
        <v>778</v>
      </c>
    </row>
    <row r="255" spans="1:38" s="2" customFormat="1" ht="14.1" customHeight="1" x14ac:dyDescent="0.2">
      <c r="A255" s="66">
        <v>302</v>
      </c>
      <c r="B255" s="3" t="s">
        <v>39</v>
      </c>
      <c r="C255" s="52" t="s">
        <v>839</v>
      </c>
      <c r="E255" s="76" t="str">
        <f t="shared" si="73"/>
        <v>TRIAL_STEP8</v>
      </c>
      <c r="F255" s="70" t="s">
        <v>801</v>
      </c>
      <c r="G255" s="2" t="s">
        <v>771</v>
      </c>
      <c r="J255" s="70" t="s">
        <v>809</v>
      </c>
      <c r="K255" s="52" t="s">
        <v>780</v>
      </c>
      <c r="L255" s="52" t="s">
        <v>806</v>
      </c>
      <c r="M255" s="3" t="s">
        <v>811</v>
      </c>
      <c r="N255" s="2" t="s">
        <v>523</v>
      </c>
      <c r="O255" s="2" t="s">
        <v>385</v>
      </c>
      <c r="Q255" s="2">
        <v>2108</v>
      </c>
      <c r="R255" s="35" t="s">
        <v>799</v>
      </c>
      <c r="S255" s="2" t="s">
        <v>36</v>
      </c>
      <c r="T255" s="2" t="s">
        <v>154</v>
      </c>
      <c r="U255" s="2" t="s">
        <v>154</v>
      </c>
      <c r="W255" s="2" t="s">
        <v>90</v>
      </c>
      <c r="Z255" s="2">
        <v>14000</v>
      </c>
      <c r="AA255" s="34"/>
      <c r="AB255" s="50">
        <v>962018</v>
      </c>
      <c r="AC255" s="59"/>
      <c r="AF255" s="2" t="s">
        <v>37</v>
      </c>
      <c r="AG255" s="2" t="s">
        <v>37</v>
      </c>
      <c r="AH255" s="2" t="s">
        <v>79</v>
      </c>
      <c r="AI255" s="2" t="s">
        <v>79</v>
      </c>
      <c r="AJ255" s="2">
        <v>202</v>
      </c>
      <c r="AK255" s="2" t="s">
        <v>797</v>
      </c>
      <c r="AL255" s="52" t="s">
        <v>778</v>
      </c>
    </row>
    <row r="256" spans="1:38" s="2" customFormat="1" ht="14.1" customHeight="1" x14ac:dyDescent="0.2">
      <c r="A256" s="66">
        <v>302</v>
      </c>
      <c r="B256" s="3" t="s">
        <v>40</v>
      </c>
      <c r="C256" s="52" t="s">
        <v>840</v>
      </c>
      <c r="E256" s="76" t="str">
        <f t="shared" si="73"/>
        <v>TRIAL_STEP9</v>
      </c>
      <c r="F256" s="70" t="s">
        <v>801</v>
      </c>
      <c r="G256" s="2" t="s">
        <v>771</v>
      </c>
      <c r="J256" s="70" t="s">
        <v>809</v>
      </c>
      <c r="K256" s="52" t="s">
        <v>780</v>
      </c>
      <c r="L256" s="52" t="s">
        <v>806</v>
      </c>
      <c r="M256" s="3" t="s">
        <v>811</v>
      </c>
      <c r="N256" s="2" t="s">
        <v>523</v>
      </c>
      <c r="O256" s="2" t="s">
        <v>385</v>
      </c>
      <c r="Q256" s="2">
        <v>2109</v>
      </c>
      <c r="R256" s="35" t="s">
        <v>799</v>
      </c>
      <c r="S256" s="2" t="s">
        <v>36</v>
      </c>
      <c r="T256" s="2" t="s">
        <v>154</v>
      </c>
      <c r="U256" s="2" t="s">
        <v>154</v>
      </c>
      <c r="W256" s="2" t="s">
        <v>90</v>
      </c>
      <c r="Z256" s="2">
        <v>15000</v>
      </c>
      <c r="AA256" s="34"/>
      <c r="AB256" s="50">
        <v>962019</v>
      </c>
      <c r="AC256" s="59"/>
      <c r="AF256" s="2" t="s">
        <v>37</v>
      </c>
      <c r="AG256" s="2" t="s">
        <v>37</v>
      </c>
      <c r="AH256" s="2" t="s">
        <v>79</v>
      </c>
      <c r="AI256" s="2" t="s">
        <v>79</v>
      </c>
      <c r="AJ256" s="2">
        <v>202</v>
      </c>
      <c r="AK256" s="2" t="s">
        <v>797</v>
      </c>
      <c r="AL256" s="52" t="s">
        <v>778</v>
      </c>
    </row>
    <row r="257" spans="1:39" s="2" customFormat="1" ht="14.1" customHeight="1" x14ac:dyDescent="0.2">
      <c r="A257" s="66">
        <v>303</v>
      </c>
      <c r="B257" s="3" t="s">
        <v>745</v>
      </c>
      <c r="C257" s="52" t="s">
        <v>790</v>
      </c>
      <c r="E257" s="76" t="str">
        <f t="shared" si="71"/>
        <v>TRIAL_STEP1</v>
      </c>
      <c r="F257" s="70" t="s">
        <v>802</v>
      </c>
      <c r="G257" s="2" t="s">
        <v>771</v>
      </c>
      <c r="J257" s="70" t="s">
        <v>809</v>
      </c>
      <c r="K257" s="52" t="s">
        <v>781</v>
      </c>
      <c r="L257" s="52" t="s">
        <v>807</v>
      </c>
      <c r="M257" s="3" t="s">
        <v>810</v>
      </c>
      <c r="N257" s="2" t="s">
        <v>523</v>
      </c>
      <c r="O257" s="2" t="s">
        <v>385</v>
      </c>
      <c r="Q257" s="2">
        <v>2201</v>
      </c>
      <c r="R257" s="35" t="s">
        <v>799</v>
      </c>
      <c r="S257" s="2" t="s">
        <v>36</v>
      </c>
      <c r="T257" s="2" t="s">
        <v>154</v>
      </c>
      <c r="U257" s="2" t="s">
        <v>803</v>
      </c>
      <c r="W257" s="2" t="s">
        <v>90</v>
      </c>
      <c r="Z257" s="2">
        <v>7000</v>
      </c>
      <c r="AA257" s="34"/>
      <c r="AB257" s="50">
        <v>962111</v>
      </c>
      <c r="AC257" s="59"/>
      <c r="AF257" s="2" t="s">
        <v>37</v>
      </c>
      <c r="AG257" s="2" t="s">
        <v>37</v>
      </c>
      <c r="AH257" s="2" t="s">
        <v>79</v>
      </c>
      <c r="AI257" s="2" t="s">
        <v>79</v>
      </c>
      <c r="AJ257" s="2">
        <v>203</v>
      </c>
      <c r="AK257" s="2" t="s">
        <v>796</v>
      </c>
      <c r="AL257" s="52" t="s">
        <v>777</v>
      </c>
    </row>
    <row r="258" spans="1:39" s="2" customFormat="1" ht="14.1" customHeight="1" x14ac:dyDescent="0.2">
      <c r="A258" s="66">
        <v>303</v>
      </c>
      <c r="B258" s="3" t="s">
        <v>746</v>
      </c>
      <c r="C258" s="52" t="s">
        <v>791</v>
      </c>
      <c r="E258" s="76" t="str">
        <f t="shared" si="71"/>
        <v>TRIAL_STEP2</v>
      </c>
      <c r="F258" s="70" t="s">
        <v>802</v>
      </c>
      <c r="G258" s="2" t="s">
        <v>771</v>
      </c>
      <c r="J258" s="70" t="s">
        <v>809</v>
      </c>
      <c r="K258" s="52" t="s">
        <v>781</v>
      </c>
      <c r="L258" s="52" t="s">
        <v>807</v>
      </c>
      <c r="M258" s="3" t="s">
        <v>810</v>
      </c>
      <c r="N258" s="2" t="s">
        <v>523</v>
      </c>
      <c r="O258" s="2" t="s">
        <v>385</v>
      </c>
      <c r="Q258" s="2">
        <v>2202</v>
      </c>
      <c r="R258" s="35" t="s">
        <v>799</v>
      </c>
      <c r="S258" s="2" t="s">
        <v>36</v>
      </c>
      <c r="T258" s="2" t="s">
        <v>154</v>
      </c>
      <c r="U258" s="2" t="s">
        <v>803</v>
      </c>
      <c r="W258" s="2" t="s">
        <v>90</v>
      </c>
      <c r="Z258" s="2">
        <v>8000</v>
      </c>
      <c r="AA258" s="34"/>
      <c r="AB258" s="50">
        <v>962112</v>
      </c>
      <c r="AC258" s="59"/>
      <c r="AF258" s="2" t="s">
        <v>37</v>
      </c>
      <c r="AG258" s="2" t="s">
        <v>37</v>
      </c>
      <c r="AH258" s="2" t="s">
        <v>79</v>
      </c>
      <c r="AI258" s="2" t="s">
        <v>79</v>
      </c>
      <c r="AJ258" s="2">
        <v>203</v>
      </c>
      <c r="AK258" s="2" t="s">
        <v>796</v>
      </c>
      <c r="AL258" s="52" t="s">
        <v>777</v>
      </c>
    </row>
    <row r="259" spans="1:39" s="2" customFormat="1" ht="14.1" customHeight="1" x14ac:dyDescent="0.2">
      <c r="A259" s="66">
        <v>303</v>
      </c>
      <c r="B259" s="3" t="s">
        <v>747</v>
      </c>
      <c r="C259" s="52" t="s">
        <v>792</v>
      </c>
      <c r="E259" s="76" t="str">
        <f t="shared" si="71"/>
        <v>TRIAL_STEP3</v>
      </c>
      <c r="F259" s="70" t="s">
        <v>802</v>
      </c>
      <c r="G259" s="2" t="s">
        <v>771</v>
      </c>
      <c r="J259" s="70" t="s">
        <v>809</v>
      </c>
      <c r="K259" s="52" t="s">
        <v>781</v>
      </c>
      <c r="L259" s="52" t="s">
        <v>807</v>
      </c>
      <c r="M259" s="3" t="s">
        <v>810</v>
      </c>
      <c r="N259" s="2" t="s">
        <v>523</v>
      </c>
      <c r="O259" s="2" t="s">
        <v>385</v>
      </c>
      <c r="Q259" s="2">
        <v>2203</v>
      </c>
      <c r="R259" s="35" t="s">
        <v>799</v>
      </c>
      <c r="S259" s="2" t="s">
        <v>36</v>
      </c>
      <c r="T259" s="2" t="s">
        <v>154</v>
      </c>
      <c r="U259" s="2" t="s">
        <v>803</v>
      </c>
      <c r="W259" s="2" t="s">
        <v>90</v>
      </c>
      <c r="Z259" s="2">
        <v>9000</v>
      </c>
      <c r="AA259" s="34"/>
      <c r="AB259" s="50">
        <v>962113</v>
      </c>
      <c r="AC259" s="59"/>
      <c r="AF259" s="2" t="s">
        <v>37</v>
      </c>
      <c r="AG259" s="2" t="s">
        <v>37</v>
      </c>
      <c r="AH259" s="2" t="s">
        <v>79</v>
      </c>
      <c r="AI259" s="2" t="s">
        <v>79</v>
      </c>
      <c r="AJ259" s="2">
        <v>203</v>
      </c>
      <c r="AK259" s="2" t="s">
        <v>796</v>
      </c>
      <c r="AL259" s="52" t="s">
        <v>777</v>
      </c>
    </row>
    <row r="260" spans="1:39" s="2" customFormat="1" ht="14.1" customHeight="1" x14ac:dyDescent="0.2">
      <c r="A260" s="66">
        <v>303</v>
      </c>
      <c r="B260" s="3" t="s">
        <v>748</v>
      </c>
      <c r="C260" s="52" t="s">
        <v>793</v>
      </c>
      <c r="E260" s="76" t="str">
        <f t="shared" si="71"/>
        <v>TRIAL_STEP4</v>
      </c>
      <c r="F260" s="70" t="s">
        <v>802</v>
      </c>
      <c r="G260" s="2" t="s">
        <v>771</v>
      </c>
      <c r="J260" s="70" t="s">
        <v>809</v>
      </c>
      <c r="K260" s="52" t="s">
        <v>781</v>
      </c>
      <c r="L260" s="52" t="s">
        <v>807</v>
      </c>
      <c r="M260" s="3" t="s">
        <v>810</v>
      </c>
      <c r="N260" s="2" t="s">
        <v>523</v>
      </c>
      <c r="O260" s="2" t="s">
        <v>385</v>
      </c>
      <c r="Q260" s="2">
        <v>2204</v>
      </c>
      <c r="R260" s="35" t="s">
        <v>799</v>
      </c>
      <c r="S260" s="2" t="s">
        <v>36</v>
      </c>
      <c r="T260" s="2" t="s">
        <v>154</v>
      </c>
      <c r="U260" s="2" t="s">
        <v>803</v>
      </c>
      <c r="W260" s="2" t="s">
        <v>90</v>
      </c>
      <c r="Z260" s="2">
        <v>10000</v>
      </c>
      <c r="AA260" s="34"/>
      <c r="AB260" s="50">
        <v>962114</v>
      </c>
      <c r="AC260" s="59"/>
      <c r="AF260" s="2" t="s">
        <v>37</v>
      </c>
      <c r="AG260" s="2" t="s">
        <v>37</v>
      </c>
      <c r="AH260" s="2" t="s">
        <v>79</v>
      </c>
      <c r="AI260" s="2" t="s">
        <v>79</v>
      </c>
      <c r="AJ260" s="2">
        <v>203</v>
      </c>
      <c r="AK260" s="2" t="s">
        <v>774</v>
      </c>
      <c r="AL260" s="52" t="s">
        <v>777</v>
      </c>
    </row>
    <row r="261" spans="1:39" s="2" customFormat="1" ht="12.75" customHeight="1" x14ac:dyDescent="0.2">
      <c r="A261" s="66">
        <v>303</v>
      </c>
      <c r="B261" s="3" t="s">
        <v>749</v>
      </c>
      <c r="C261" s="52" t="s">
        <v>794</v>
      </c>
      <c r="E261" s="76" t="str">
        <f t="shared" si="71"/>
        <v>TRIAL_STEP5</v>
      </c>
      <c r="F261" s="70" t="s">
        <v>802</v>
      </c>
      <c r="G261" s="2" t="s">
        <v>771</v>
      </c>
      <c r="J261" s="70" t="s">
        <v>809</v>
      </c>
      <c r="K261" s="52" t="s">
        <v>781</v>
      </c>
      <c r="L261" s="52" t="s">
        <v>807</v>
      </c>
      <c r="M261" s="3" t="s">
        <v>810</v>
      </c>
      <c r="N261" s="2" t="s">
        <v>523</v>
      </c>
      <c r="O261" s="2" t="s">
        <v>385</v>
      </c>
      <c r="Q261" s="2">
        <v>2205</v>
      </c>
      <c r="R261" s="35" t="s">
        <v>799</v>
      </c>
      <c r="S261" s="2" t="s">
        <v>36</v>
      </c>
      <c r="T261" s="2" t="s">
        <v>154</v>
      </c>
      <c r="U261" s="2" t="s">
        <v>803</v>
      </c>
      <c r="W261" s="2" t="s">
        <v>90</v>
      </c>
      <c r="Z261" s="2">
        <v>11000</v>
      </c>
      <c r="AA261" s="34"/>
      <c r="AB261" s="50">
        <v>962115</v>
      </c>
      <c r="AC261" s="59"/>
      <c r="AF261" s="2" t="s">
        <v>37</v>
      </c>
      <c r="AG261" s="2" t="s">
        <v>37</v>
      </c>
      <c r="AH261" s="2" t="s">
        <v>79</v>
      </c>
      <c r="AI261" s="2" t="s">
        <v>79</v>
      </c>
      <c r="AJ261" s="2">
        <v>203</v>
      </c>
      <c r="AK261" s="2" t="s">
        <v>774</v>
      </c>
      <c r="AL261" s="52" t="s">
        <v>777</v>
      </c>
    </row>
    <row r="262" spans="1:39" s="2" customFormat="1" ht="14.1" customHeight="1" x14ac:dyDescent="0.2">
      <c r="A262" s="66">
        <v>303</v>
      </c>
      <c r="B262" s="3" t="s">
        <v>22</v>
      </c>
      <c r="C262" s="52" t="s">
        <v>795</v>
      </c>
      <c r="E262" s="76" t="str">
        <f t="shared" ref="E262" si="74">"TRIAL_STEP"&amp;B262</f>
        <v>TRIAL_STEP6</v>
      </c>
      <c r="F262" s="70" t="s">
        <v>802</v>
      </c>
      <c r="G262" s="2" t="s">
        <v>771</v>
      </c>
      <c r="J262" s="70" t="s">
        <v>809</v>
      </c>
      <c r="K262" s="52" t="s">
        <v>781</v>
      </c>
      <c r="L262" s="52" t="s">
        <v>807</v>
      </c>
      <c r="M262" s="3" t="s">
        <v>810</v>
      </c>
      <c r="N262" s="2" t="s">
        <v>523</v>
      </c>
      <c r="O262" s="2" t="s">
        <v>385</v>
      </c>
      <c r="Q262" s="2">
        <v>2206</v>
      </c>
      <c r="R262" s="35" t="s">
        <v>799</v>
      </c>
      <c r="S262" s="2" t="s">
        <v>36</v>
      </c>
      <c r="T262" s="2" t="s">
        <v>154</v>
      </c>
      <c r="U262" s="2" t="s">
        <v>803</v>
      </c>
      <c r="W262" s="2" t="s">
        <v>90</v>
      </c>
      <c r="Z262" s="2">
        <v>12000</v>
      </c>
      <c r="AA262" s="34"/>
      <c r="AB262" s="50">
        <v>962116</v>
      </c>
      <c r="AC262" s="59"/>
      <c r="AF262" s="2" t="s">
        <v>37</v>
      </c>
      <c r="AG262" s="2" t="s">
        <v>37</v>
      </c>
      <c r="AH262" s="2" t="s">
        <v>79</v>
      </c>
      <c r="AI262" s="2" t="s">
        <v>79</v>
      </c>
      <c r="AJ262" s="2">
        <v>203</v>
      </c>
      <c r="AK262" s="2" t="s">
        <v>774</v>
      </c>
      <c r="AL262" s="52" t="s">
        <v>777</v>
      </c>
    </row>
    <row r="263" spans="1:39" s="2" customFormat="1" ht="14.1" customHeight="1" x14ac:dyDescent="0.2">
      <c r="A263" s="66">
        <v>303</v>
      </c>
      <c r="B263" s="3" t="s">
        <v>38</v>
      </c>
      <c r="C263" s="52" t="s">
        <v>841</v>
      </c>
      <c r="E263" s="76" t="str">
        <f t="shared" ref="E263:E277" si="75">"TRIAL_STEP"&amp;B263</f>
        <v>TRIAL_STEP7</v>
      </c>
      <c r="F263" s="70" t="s">
        <v>802</v>
      </c>
      <c r="G263" s="2" t="s">
        <v>771</v>
      </c>
      <c r="J263" s="70" t="s">
        <v>809</v>
      </c>
      <c r="K263" s="52" t="s">
        <v>781</v>
      </c>
      <c r="L263" s="52" t="s">
        <v>807</v>
      </c>
      <c r="M263" s="3" t="s">
        <v>810</v>
      </c>
      <c r="N263" s="2" t="s">
        <v>523</v>
      </c>
      <c r="O263" s="2" t="s">
        <v>385</v>
      </c>
      <c r="Q263" s="2">
        <v>2207</v>
      </c>
      <c r="R263" s="35" t="s">
        <v>799</v>
      </c>
      <c r="S263" s="2" t="s">
        <v>36</v>
      </c>
      <c r="T263" s="2" t="s">
        <v>154</v>
      </c>
      <c r="U263" s="2" t="s">
        <v>154</v>
      </c>
      <c r="W263" s="2" t="s">
        <v>90</v>
      </c>
      <c r="Z263" s="2">
        <v>13000</v>
      </c>
      <c r="AA263" s="34"/>
      <c r="AB263" s="50">
        <v>962117</v>
      </c>
      <c r="AC263" s="59"/>
      <c r="AF263" s="2" t="s">
        <v>37</v>
      </c>
      <c r="AG263" s="2" t="s">
        <v>37</v>
      </c>
      <c r="AH263" s="2" t="s">
        <v>79</v>
      </c>
      <c r="AI263" s="2" t="s">
        <v>79</v>
      </c>
      <c r="AJ263" s="2">
        <v>203</v>
      </c>
      <c r="AK263" s="2" t="s">
        <v>797</v>
      </c>
      <c r="AL263" s="52" t="s">
        <v>777</v>
      </c>
    </row>
    <row r="264" spans="1:39" s="2" customFormat="1" ht="14.1" customHeight="1" x14ac:dyDescent="0.2">
      <c r="A264" s="66">
        <v>303</v>
      </c>
      <c r="B264" s="3" t="s">
        <v>39</v>
      </c>
      <c r="C264" s="52" t="s">
        <v>842</v>
      </c>
      <c r="E264" s="76" t="str">
        <f t="shared" si="75"/>
        <v>TRIAL_STEP8</v>
      </c>
      <c r="F264" s="70" t="s">
        <v>802</v>
      </c>
      <c r="G264" s="2" t="s">
        <v>771</v>
      </c>
      <c r="J264" s="70" t="s">
        <v>809</v>
      </c>
      <c r="K264" s="52" t="s">
        <v>781</v>
      </c>
      <c r="L264" s="52" t="s">
        <v>807</v>
      </c>
      <c r="M264" s="3" t="s">
        <v>810</v>
      </c>
      <c r="N264" s="2" t="s">
        <v>523</v>
      </c>
      <c r="O264" s="2" t="s">
        <v>385</v>
      </c>
      <c r="Q264" s="2">
        <v>2208</v>
      </c>
      <c r="R264" s="35" t="s">
        <v>799</v>
      </c>
      <c r="S264" s="2" t="s">
        <v>36</v>
      </c>
      <c r="T264" s="2" t="s">
        <v>154</v>
      </c>
      <c r="U264" s="2" t="s">
        <v>154</v>
      </c>
      <c r="W264" s="2" t="s">
        <v>90</v>
      </c>
      <c r="Z264" s="2">
        <v>14000</v>
      </c>
      <c r="AA264" s="34"/>
      <c r="AB264" s="50">
        <v>962118</v>
      </c>
      <c r="AC264" s="59"/>
      <c r="AF264" s="2" t="s">
        <v>37</v>
      </c>
      <c r="AG264" s="2" t="s">
        <v>37</v>
      </c>
      <c r="AH264" s="2" t="s">
        <v>79</v>
      </c>
      <c r="AI264" s="2" t="s">
        <v>79</v>
      </c>
      <c r="AJ264" s="2">
        <v>203</v>
      </c>
      <c r="AK264" s="2" t="s">
        <v>797</v>
      </c>
      <c r="AL264" s="52" t="s">
        <v>777</v>
      </c>
    </row>
    <row r="265" spans="1:39" s="2" customFormat="1" ht="14.1" customHeight="1" x14ac:dyDescent="0.2">
      <c r="A265" s="66">
        <v>303</v>
      </c>
      <c r="B265" s="3" t="s">
        <v>40</v>
      </c>
      <c r="C265" s="52" t="s">
        <v>843</v>
      </c>
      <c r="E265" s="76" t="str">
        <f t="shared" si="75"/>
        <v>TRIAL_STEP9</v>
      </c>
      <c r="F265" s="70" t="s">
        <v>802</v>
      </c>
      <c r="G265" s="2" t="s">
        <v>771</v>
      </c>
      <c r="J265" s="70" t="s">
        <v>809</v>
      </c>
      <c r="K265" s="52" t="s">
        <v>781</v>
      </c>
      <c r="L265" s="52" t="s">
        <v>807</v>
      </c>
      <c r="M265" s="3" t="s">
        <v>810</v>
      </c>
      <c r="N265" s="2" t="s">
        <v>523</v>
      </c>
      <c r="O265" s="2" t="s">
        <v>385</v>
      </c>
      <c r="Q265" s="2">
        <v>2209</v>
      </c>
      <c r="R265" s="35" t="s">
        <v>799</v>
      </c>
      <c r="S265" s="2" t="s">
        <v>36</v>
      </c>
      <c r="T265" s="2" t="s">
        <v>154</v>
      </c>
      <c r="U265" s="2" t="s">
        <v>154</v>
      </c>
      <c r="W265" s="2" t="s">
        <v>90</v>
      </c>
      <c r="Z265" s="2">
        <v>15000</v>
      </c>
      <c r="AA265" s="34"/>
      <c r="AB265" s="50">
        <v>962119</v>
      </c>
      <c r="AC265" s="59"/>
      <c r="AF265" s="2" t="s">
        <v>37</v>
      </c>
      <c r="AG265" s="2" t="s">
        <v>37</v>
      </c>
      <c r="AH265" s="2" t="s">
        <v>79</v>
      </c>
      <c r="AI265" s="2" t="s">
        <v>79</v>
      </c>
      <c r="AJ265" s="2">
        <v>203</v>
      </c>
      <c r="AK265" s="2" t="s">
        <v>797</v>
      </c>
      <c r="AL265" s="52" t="s">
        <v>777</v>
      </c>
    </row>
    <row r="266" spans="1:39" s="95" customFormat="1" ht="14.1" customHeight="1" x14ac:dyDescent="0.2">
      <c r="A266" s="92">
        <v>401</v>
      </c>
      <c r="B266" s="93" t="s">
        <v>28</v>
      </c>
      <c r="C266" s="94" t="s">
        <v>877</v>
      </c>
      <c r="D266" s="100">
        <v>10</v>
      </c>
      <c r="E266" s="96" t="str">
        <f t="shared" si="75"/>
        <v>TRIAL_STEP1</v>
      </c>
      <c r="F266" s="97" t="s">
        <v>845</v>
      </c>
      <c r="G266" s="95" t="s">
        <v>846</v>
      </c>
      <c r="I266" s="2" t="s">
        <v>133</v>
      </c>
      <c r="J266" s="97" t="s">
        <v>754</v>
      </c>
      <c r="K266" s="94" t="s">
        <v>847</v>
      </c>
      <c r="L266" s="94" t="s">
        <v>898</v>
      </c>
      <c r="M266" s="93" t="s">
        <v>899</v>
      </c>
      <c r="N266" s="95" t="s">
        <v>523</v>
      </c>
      <c r="O266" s="95" t="s">
        <v>385</v>
      </c>
      <c r="Q266" s="95" t="s">
        <v>848</v>
      </c>
      <c r="R266" s="98" t="s">
        <v>798</v>
      </c>
      <c r="S266" s="95" t="s">
        <v>20</v>
      </c>
      <c r="T266" s="95" t="s">
        <v>191</v>
      </c>
      <c r="U266" s="95" t="s">
        <v>73</v>
      </c>
      <c r="W266" s="95" t="s">
        <v>90</v>
      </c>
      <c r="Z266" s="95" t="s">
        <v>891</v>
      </c>
      <c r="AA266" s="94"/>
      <c r="AB266" s="99">
        <v>962201</v>
      </c>
      <c r="AC266" s="94"/>
      <c r="AE266" s="95" t="s">
        <v>849</v>
      </c>
      <c r="AF266" s="95" t="s">
        <v>37</v>
      </c>
      <c r="AG266" s="95" t="s">
        <v>37</v>
      </c>
      <c r="AH266" s="95" t="s">
        <v>73</v>
      </c>
      <c r="AI266" s="95" t="s">
        <v>73</v>
      </c>
      <c r="AL266" s="94" t="s">
        <v>850</v>
      </c>
      <c r="AM266" s="95" t="s">
        <v>870</v>
      </c>
    </row>
    <row r="267" spans="1:39" s="95" customFormat="1" ht="14.1" customHeight="1" x14ac:dyDescent="0.2">
      <c r="A267" s="92">
        <v>401</v>
      </c>
      <c r="B267" s="93" t="s">
        <v>20</v>
      </c>
      <c r="C267" s="94" t="s">
        <v>878</v>
      </c>
      <c r="D267" s="100">
        <v>20</v>
      </c>
      <c r="E267" s="96" t="str">
        <f t="shared" si="75"/>
        <v>TRIAL_STEP2</v>
      </c>
      <c r="F267" s="97" t="s">
        <v>845</v>
      </c>
      <c r="G267" s="95" t="s">
        <v>846</v>
      </c>
      <c r="J267" s="97" t="s">
        <v>754</v>
      </c>
      <c r="K267" s="94" t="s">
        <v>847</v>
      </c>
      <c r="L267" s="94" t="s">
        <v>886</v>
      </c>
      <c r="M267" s="93" t="s">
        <v>899</v>
      </c>
      <c r="N267" s="95" t="s">
        <v>523</v>
      </c>
      <c r="O267" s="95" t="s">
        <v>385</v>
      </c>
      <c r="Q267" s="95" t="s">
        <v>851</v>
      </c>
      <c r="R267" s="98" t="s">
        <v>798</v>
      </c>
      <c r="S267" s="95" t="s">
        <v>20</v>
      </c>
      <c r="T267" s="95" t="s">
        <v>191</v>
      </c>
      <c r="U267" s="95" t="s">
        <v>73</v>
      </c>
      <c r="W267" s="95" t="s">
        <v>90</v>
      </c>
      <c r="Z267" s="95" t="s">
        <v>892</v>
      </c>
      <c r="AA267" s="94"/>
      <c r="AB267" s="99">
        <v>962202</v>
      </c>
      <c r="AC267" s="94"/>
      <c r="AE267" s="95" t="s">
        <v>849</v>
      </c>
      <c r="AF267" s="95" t="s">
        <v>37</v>
      </c>
      <c r="AG267" s="95" t="s">
        <v>37</v>
      </c>
      <c r="AH267" s="95" t="s">
        <v>73</v>
      </c>
      <c r="AI267" s="95" t="s">
        <v>73</v>
      </c>
      <c r="AL267" s="94" t="s">
        <v>850</v>
      </c>
      <c r="AM267" s="95" t="s">
        <v>870</v>
      </c>
    </row>
    <row r="268" spans="1:39" s="95" customFormat="1" ht="14.1" customHeight="1" x14ac:dyDescent="0.2">
      <c r="A268" s="92">
        <v>401</v>
      </c>
      <c r="B268" s="93" t="s">
        <v>79</v>
      </c>
      <c r="C268" s="94" t="s">
        <v>879</v>
      </c>
      <c r="D268" s="100">
        <v>30</v>
      </c>
      <c r="E268" s="96" t="str">
        <f t="shared" si="75"/>
        <v>TRIAL_STEP3</v>
      </c>
      <c r="F268" s="97" t="s">
        <v>845</v>
      </c>
      <c r="G268" s="95" t="s">
        <v>846</v>
      </c>
      <c r="J268" s="97" t="s">
        <v>754</v>
      </c>
      <c r="K268" s="94" t="s">
        <v>897</v>
      </c>
      <c r="L268" s="94" t="s">
        <v>886</v>
      </c>
      <c r="M268" s="93" t="s">
        <v>899</v>
      </c>
      <c r="N268" s="95" t="s">
        <v>523</v>
      </c>
      <c r="O268" s="95" t="s">
        <v>385</v>
      </c>
      <c r="Q268" s="95" t="s">
        <v>852</v>
      </c>
      <c r="R268" s="98" t="s">
        <v>798</v>
      </c>
      <c r="S268" s="95" t="s">
        <v>20</v>
      </c>
      <c r="T268" s="95" t="s">
        <v>191</v>
      </c>
      <c r="U268" s="95" t="s">
        <v>73</v>
      </c>
      <c r="W268" s="95" t="s">
        <v>90</v>
      </c>
      <c r="Z268" s="95" t="s">
        <v>893</v>
      </c>
      <c r="AA268" s="94"/>
      <c r="AB268" s="99">
        <v>962203</v>
      </c>
      <c r="AC268" s="94"/>
      <c r="AE268" s="95" t="s">
        <v>849</v>
      </c>
      <c r="AF268" s="95" t="s">
        <v>37</v>
      </c>
      <c r="AG268" s="95" t="s">
        <v>37</v>
      </c>
      <c r="AH268" s="95" t="s">
        <v>73</v>
      </c>
      <c r="AI268" s="95" t="s">
        <v>73</v>
      </c>
      <c r="AL268" s="94" t="s">
        <v>850</v>
      </c>
      <c r="AM268" s="95" t="s">
        <v>870</v>
      </c>
    </row>
    <row r="269" spans="1:39" s="95" customFormat="1" ht="14.1" customHeight="1" x14ac:dyDescent="0.2">
      <c r="A269" s="92">
        <v>402</v>
      </c>
      <c r="B269" s="93" t="s">
        <v>28</v>
      </c>
      <c r="C269" s="94" t="s">
        <v>874</v>
      </c>
      <c r="D269" s="100">
        <v>10</v>
      </c>
      <c r="E269" s="96" t="str">
        <f t="shared" si="75"/>
        <v>TRIAL_STEP1</v>
      </c>
      <c r="F269" s="97" t="s">
        <v>853</v>
      </c>
      <c r="G269" s="95" t="s">
        <v>846</v>
      </c>
      <c r="I269" s="2" t="s">
        <v>133</v>
      </c>
      <c r="J269" s="97" t="s">
        <v>754</v>
      </c>
      <c r="K269" s="94" t="s">
        <v>854</v>
      </c>
      <c r="L269" s="94" t="s">
        <v>888</v>
      </c>
      <c r="M269" s="93" t="s">
        <v>890</v>
      </c>
      <c r="N269" s="95" t="s">
        <v>523</v>
      </c>
      <c r="O269" s="95" t="s">
        <v>385</v>
      </c>
      <c r="Q269" s="95" t="s">
        <v>855</v>
      </c>
      <c r="R269" s="98" t="s">
        <v>798</v>
      </c>
      <c r="S269" s="95" t="s">
        <v>20</v>
      </c>
      <c r="T269" s="95" t="s">
        <v>191</v>
      </c>
      <c r="U269" s="95" t="s">
        <v>73</v>
      </c>
      <c r="W269" s="95" t="s">
        <v>90</v>
      </c>
      <c r="Z269" s="95" t="s">
        <v>894</v>
      </c>
      <c r="AA269" s="94"/>
      <c r="AB269" s="99">
        <v>962204</v>
      </c>
      <c r="AC269" s="94"/>
      <c r="AE269" s="95" t="s">
        <v>856</v>
      </c>
      <c r="AF269" s="95" t="s">
        <v>37</v>
      </c>
      <c r="AG269" s="95" t="s">
        <v>37</v>
      </c>
      <c r="AH269" s="95" t="s">
        <v>73</v>
      </c>
      <c r="AI269" s="95" t="s">
        <v>73</v>
      </c>
      <c r="AL269" s="94" t="s">
        <v>857</v>
      </c>
      <c r="AM269" s="95" t="s">
        <v>871</v>
      </c>
    </row>
    <row r="270" spans="1:39" s="95" customFormat="1" ht="14.1" customHeight="1" x14ac:dyDescent="0.3">
      <c r="A270" s="92">
        <v>402</v>
      </c>
      <c r="B270" s="93" t="s">
        <v>20</v>
      </c>
      <c r="C270" s="94" t="s">
        <v>875</v>
      </c>
      <c r="D270" s="100">
        <v>20</v>
      </c>
      <c r="E270" s="96" t="str">
        <f t="shared" si="75"/>
        <v>TRIAL_STEP2</v>
      </c>
      <c r="F270" s="97" t="s">
        <v>853</v>
      </c>
      <c r="G270" s="95" t="s">
        <v>846</v>
      </c>
      <c r="J270" s="97" t="s">
        <v>754</v>
      </c>
      <c r="K270" s="94" t="s">
        <v>854</v>
      </c>
      <c r="L270" s="94" t="s">
        <v>888</v>
      </c>
      <c r="M270" s="93" t="s">
        <v>890</v>
      </c>
      <c r="N270" s="95" t="s">
        <v>523</v>
      </c>
      <c r="O270" s="11" t="s">
        <v>385</v>
      </c>
      <c r="Q270" s="95" t="s">
        <v>858</v>
      </c>
      <c r="R270" s="98" t="s">
        <v>798</v>
      </c>
      <c r="S270" s="95" t="s">
        <v>20</v>
      </c>
      <c r="T270" s="95" t="s">
        <v>191</v>
      </c>
      <c r="U270" s="95" t="s">
        <v>73</v>
      </c>
      <c r="W270" s="95" t="s">
        <v>90</v>
      </c>
      <c r="Z270" s="95" t="s">
        <v>895</v>
      </c>
      <c r="AA270" s="94"/>
      <c r="AB270" s="99">
        <v>962205</v>
      </c>
      <c r="AC270" s="94"/>
      <c r="AE270" s="95" t="s">
        <v>856</v>
      </c>
      <c r="AF270" s="95" t="s">
        <v>37</v>
      </c>
      <c r="AG270" s="95" t="s">
        <v>37</v>
      </c>
      <c r="AH270" s="95" t="s">
        <v>73</v>
      </c>
      <c r="AI270" s="95" t="s">
        <v>73</v>
      </c>
      <c r="AL270" s="94" t="s">
        <v>857</v>
      </c>
      <c r="AM270" s="95" t="s">
        <v>871</v>
      </c>
    </row>
    <row r="271" spans="1:39" s="95" customFormat="1" ht="14.1" customHeight="1" x14ac:dyDescent="0.2">
      <c r="A271" s="92">
        <v>402</v>
      </c>
      <c r="B271" s="93" t="s">
        <v>79</v>
      </c>
      <c r="C271" s="94" t="s">
        <v>876</v>
      </c>
      <c r="D271" s="100">
        <v>30</v>
      </c>
      <c r="E271" s="96" t="str">
        <f t="shared" si="75"/>
        <v>TRIAL_STEP3</v>
      </c>
      <c r="F271" s="97" t="s">
        <v>853</v>
      </c>
      <c r="G271" s="95" t="s">
        <v>846</v>
      </c>
      <c r="J271" s="97" t="s">
        <v>754</v>
      </c>
      <c r="K271" s="94" t="s">
        <v>854</v>
      </c>
      <c r="L271" s="94" t="s">
        <v>888</v>
      </c>
      <c r="M271" s="93" t="s">
        <v>890</v>
      </c>
      <c r="N271" s="95" t="s">
        <v>523</v>
      </c>
      <c r="O271" s="95" t="s">
        <v>385</v>
      </c>
      <c r="Q271" s="95" t="s">
        <v>859</v>
      </c>
      <c r="R271" s="98" t="s">
        <v>798</v>
      </c>
      <c r="S271" s="95" t="s">
        <v>20</v>
      </c>
      <c r="T271" s="95" t="s">
        <v>191</v>
      </c>
      <c r="U271" s="95" t="s">
        <v>73</v>
      </c>
      <c r="W271" s="95" t="s">
        <v>90</v>
      </c>
      <c r="Z271" s="95" t="s">
        <v>896</v>
      </c>
      <c r="AA271" s="94"/>
      <c r="AB271" s="99">
        <v>962206</v>
      </c>
      <c r="AC271" s="94"/>
      <c r="AE271" s="95" t="s">
        <v>856</v>
      </c>
      <c r="AF271" s="95" t="s">
        <v>37</v>
      </c>
      <c r="AG271" s="95" t="s">
        <v>37</v>
      </c>
      <c r="AH271" s="95" t="s">
        <v>73</v>
      </c>
      <c r="AI271" s="95" t="s">
        <v>73</v>
      </c>
      <c r="AL271" s="94" t="s">
        <v>857</v>
      </c>
      <c r="AM271" s="95" t="s">
        <v>871</v>
      </c>
    </row>
    <row r="272" spans="1:39" s="95" customFormat="1" ht="14.1" customHeight="1" x14ac:dyDescent="0.2">
      <c r="A272" s="92">
        <v>501</v>
      </c>
      <c r="B272" s="93" t="s">
        <v>28</v>
      </c>
      <c r="C272" s="94" t="s">
        <v>880</v>
      </c>
      <c r="E272" s="96" t="str">
        <f t="shared" si="75"/>
        <v>TRIAL_STEP1</v>
      </c>
      <c r="F272" s="97" t="s">
        <v>845</v>
      </c>
      <c r="G272" s="95" t="s">
        <v>860</v>
      </c>
      <c r="J272" s="97" t="s">
        <v>754</v>
      </c>
      <c r="K272" s="94" t="s">
        <v>847</v>
      </c>
      <c r="L272" s="94" t="s">
        <v>887</v>
      </c>
      <c r="M272" s="93" t="s">
        <v>903</v>
      </c>
      <c r="N272" s="95" t="s">
        <v>523</v>
      </c>
      <c r="O272" s="95" t="s">
        <v>385</v>
      </c>
      <c r="Q272" s="95" t="s">
        <v>861</v>
      </c>
      <c r="R272" s="98" t="s">
        <v>798</v>
      </c>
      <c r="S272" s="95" t="s">
        <v>28</v>
      </c>
      <c r="T272" s="95" t="s">
        <v>191</v>
      </c>
      <c r="U272" s="95" t="s">
        <v>191</v>
      </c>
      <c r="W272" s="95" t="s">
        <v>90</v>
      </c>
      <c r="Z272" s="95" t="s">
        <v>891</v>
      </c>
      <c r="AA272" s="94"/>
      <c r="AB272" s="99">
        <v>962201</v>
      </c>
      <c r="AC272" s="94"/>
      <c r="AF272" s="95" t="s">
        <v>37</v>
      </c>
      <c r="AG272" s="95" t="s">
        <v>37</v>
      </c>
      <c r="AH272" s="95" t="s">
        <v>73</v>
      </c>
      <c r="AI272" s="95" t="s">
        <v>73</v>
      </c>
      <c r="AJ272" s="95" t="s">
        <v>862</v>
      </c>
      <c r="AL272" s="94" t="s">
        <v>850</v>
      </c>
      <c r="AM272" s="95" t="s">
        <v>870</v>
      </c>
    </row>
    <row r="273" spans="1:39" s="95" customFormat="1" ht="14.1" customHeight="1" x14ac:dyDescent="0.2">
      <c r="A273" s="92">
        <v>501</v>
      </c>
      <c r="B273" s="93" t="s">
        <v>20</v>
      </c>
      <c r="C273" s="94" t="s">
        <v>881</v>
      </c>
      <c r="E273" s="96" t="str">
        <f t="shared" si="75"/>
        <v>TRIAL_STEP2</v>
      </c>
      <c r="F273" s="97" t="s">
        <v>845</v>
      </c>
      <c r="G273" s="95" t="s">
        <v>860</v>
      </c>
      <c r="J273" s="97" t="s">
        <v>754</v>
      </c>
      <c r="K273" s="94" t="s">
        <v>847</v>
      </c>
      <c r="L273" s="94" t="s">
        <v>887</v>
      </c>
      <c r="M273" s="93" t="s">
        <v>903</v>
      </c>
      <c r="N273" s="95" t="s">
        <v>523</v>
      </c>
      <c r="O273" s="95" t="s">
        <v>385</v>
      </c>
      <c r="Q273" s="95" t="s">
        <v>863</v>
      </c>
      <c r="R273" s="98" t="s">
        <v>798</v>
      </c>
      <c r="S273" s="95" t="s">
        <v>28</v>
      </c>
      <c r="T273" s="95" t="s">
        <v>191</v>
      </c>
      <c r="U273" s="95" t="s">
        <v>191</v>
      </c>
      <c r="W273" s="95" t="s">
        <v>90</v>
      </c>
      <c r="Z273" s="95" t="s">
        <v>892</v>
      </c>
      <c r="AA273" s="94"/>
      <c r="AB273" s="99">
        <v>962202</v>
      </c>
      <c r="AC273" s="94"/>
      <c r="AF273" s="95" t="s">
        <v>37</v>
      </c>
      <c r="AG273" s="95" t="s">
        <v>37</v>
      </c>
      <c r="AH273" s="95" t="s">
        <v>73</v>
      </c>
      <c r="AI273" s="95" t="s">
        <v>73</v>
      </c>
      <c r="AJ273" s="95" t="s">
        <v>862</v>
      </c>
      <c r="AL273" s="94" t="s">
        <v>850</v>
      </c>
      <c r="AM273" s="95" t="s">
        <v>870</v>
      </c>
    </row>
    <row r="274" spans="1:39" s="95" customFormat="1" ht="14.1" customHeight="1" x14ac:dyDescent="0.2">
      <c r="A274" s="92">
        <v>501</v>
      </c>
      <c r="B274" s="93" t="s">
        <v>79</v>
      </c>
      <c r="C274" s="94" t="s">
        <v>882</v>
      </c>
      <c r="E274" s="96" t="str">
        <f t="shared" si="75"/>
        <v>TRIAL_STEP3</v>
      </c>
      <c r="F274" s="97" t="s">
        <v>845</v>
      </c>
      <c r="G274" s="95" t="s">
        <v>860</v>
      </c>
      <c r="J274" s="97" t="s">
        <v>754</v>
      </c>
      <c r="K274" s="94" t="s">
        <v>897</v>
      </c>
      <c r="L274" s="94" t="s">
        <v>887</v>
      </c>
      <c r="M274" s="93" t="s">
        <v>903</v>
      </c>
      <c r="N274" s="95" t="s">
        <v>523</v>
      </c>
      <c r="O274" s="95" t="s">
        <v>385</v>
      </c>
      <c r="Q274" s="95" t="s">
        <v>864</v>
      </c>
      <c r="R274" s="98" t="s">
        <v>798</v>
      </c>
      <c r="S274" s="95" t="s">
        <v>28</v>
      </c>
      <c r="T274" s="95" t="s">
        <v>191</v>
      </c>
      <c r="U274" s="95" t="s">
        <v>191</v>
      </c>
      <c r="W274" s="95" t="s">
        <v>90</v>
      </c>
      <c r="Z274" s="95" t="s">
        <v>893</v>
      </c>
      <c r="AA274" s="94"/>
      <c r="AB274" s="99">
        <v>962203</v>
      </c>
      <c r="AC274" s="94"/>
      <c r="AF274" s="95" t="s">
        <v>37</v>
      </c>
      <c r="AG274" s="95" t="s">
        <v>37</v>
      </c>
      <c r="AH274" s="95" t="s">
        <v>73</v>
      </c>
      <c r="AI274" s="95" t="s">
        <v>73</v>
      </c>
      <c r="AJ274" s="95" t="s">
        <v>862</v>
      </c>
      <c r="AL274" s="94" t="s">
        <v>850</v>
      </c>
      <c r="AM274" s="95" t="s">
        <v>870</v>
      </c>
    </row>
    <row r="275" spans="1:39" s="95" customFormat="1" ht="14.1" customHeight="1" x14ac:dyDescent="0.2">
      <c r="A275" s="92">
        <v>502</v>
      </c>
      <c r="B275" s="93" t="s">
        <v>28</v>
      </c>
      <c r="C275" s="94" t="s">
        <v>883</v>
      </c>
      <c r="E275" s="96" t="str">
        <f t="shared" si="75"/>
        <v>TRIAL_STEP1</v>
      </c>
      <c r="F275" s="97" t="s">
        <v>853</v>
      </c>
      <c r="G275" s="95" t="s">
        <v>860</v>
      </c>
      <c r="J275" s="97" t="s">
        <v>754</v>
      </c>
      <c r="K275" s="94" t="s">
        <v>854</v>
      </c>
      <c r="L275" s="94" t="s">
        <v>889</v>
      </c>
      <c r="M275" s="93" t="s">
        <v>902</v>
      </c>
      <c r="N275" s="95" t="s">
        <v>523</v>
      </c>
      <c r="O275" s="95" t="s">
        <v>385</v>
      </c>
      <c r="Q275" s="95" t="s">
        <v>865</v>
      </c>
      <c r="R275" s="98" t="s">
        <v>798</v>
      </c>
      <c r="S275" s="95" t="s">
        <v>28</v>
      </c>
      <c r="T275" s="95" t="s">
        <v>191</v>
      </c>
      <c r="U275" s="95" t="s">
        <v>191</v>
      </c>
      <c r="W275" s="95" t="s">
        <v>90</v>
      </c>
      <c r="Z275" s="95" t="s">
        <v>894</v>
      </c>
      <c r="AA275" s="94"/>
      <c r="AB275" s="99">
        <v>962204</v>
      </c>
      <c r="AC275" s="94"/>
      <c r="AF275" s="95" t="s">
        <v>37</v>
      </c>
      <c r="AG275" s="95" t="s">
        <v>37</v>
      </c>
      <c r="AH275" s="95" t="s">
        <v>73</v>
      </c>
      <c r="AI275" s="95" t="s">
        <v>73</v>
      </c>
      <c r="AJ275" s="95" t="s">
        <v>866</v>
      </c>
      <c r="AL275" s="94" t="s">
        <v>857</v>
      </c>
      <c r="AM275" s="95" t="s">
        <v>871</v>
      </c>
    </row>
    <row r="276" spans="1:39" s="95" customFormat="1" ht="14.1" customHeight="1" x14ac:dyDescent="0.2">
      <c r="A276" s="92">
        <v>502</v>
      </c>
      <c r="B276" s="93" t="s">
        <v>20</v>
      </c>
      <c r="C276" s="94" t="s">
        <v>884</v>
      </c>
      <c r="E276" s="96" t="str">
        <f t="shared" si="75"/>
        <v>TRIAL_STEP2</v>
      </c>
      <c r="F276" s="97" t="s">
        <v>853</v>
      </c>
      <c r="G276" s="95" t="s">
        <v>860</v>
      </c>
      <c r="J276" s="97" t="s">
        <v>754</v>
      </c>
      <c r="K276" s="94" t="s">
        <v>854</v>
      </c>
      <c r="L276" s="94" t="s">
        <v>889</v>
      </c>
      <c r="M276" s="93" t="s">
        <v>902</v>
      </c>
      <c r="N276" s="95" t="s">
        <v>523</v>
      </c>
      <c r="O276" s="95" t="s">
        <v>385</v>
      </c>
      <c r="Q276" s="95" t="s">
        <v>867</v>
      </c>
      <c r="R276" s="98" t="s">
        <v>798</v>
      </c>
      <c r="S276" s="95" t="s">
        <v>28</v>
      </c>
      <c r="T276" s="95" t="s">
        <v>191</v>
      </c>
      <c r="U276" s="95" t="s">
        <v>191</v>
      </c>
      <c r="W276" s="95" t="s">
        <v>90</v>
      </c>
      <c r="Z276" s="95" t="s">
        <v>895</v>
      </c>
      <c r="AA276" s="94"/>
      <c r="AB276" s="99">
        <v>962205</v>
      </c>
      <c r="AC276" s="94"/>
      <c r="AF276" s="95" t="s">
        <v>37</v>
      </c>
      <c r="AG276" s="95" t="s">
        <v>37</v>
      </c>
      <c r="AH276" s="95" t="s">
        <v>73</v>
      </c>
      <c r="AI276" s="95" t="s">
        <v>73</v>
      </c>
      <c r="AJ276" s="95" t="s">
        <v>866</v>
      </c>
      <c r="AL276" s="94" t="s">
        <v>857</v>
      </c>
      <c r="AM276" s="95" t="s">
        <v>871</v>
      </c>
    </row>
    <row r="277" spans="1:39" s="95" customFormat="1" ht="14.1" customHeight="1" x14ac:dyDescent="0.2">
      <c r="A277" s="92">
        <v>502</v>
      </c>
      <c r="B277" s="93" t="s">
        <v>79</v>
      </c>
      <c r="C277" s="94" t="s">
        <v>885</v>
      </c>
      <c r="E277" s="96" t="str">
        <f t="shared" si="75"/>
        <v>TRIAL_STEP3</v>
      </c>
      <c r="F277" s="97" t="s">
        <v>853</v>
      </c>
      <c r="G277" s="95" t="s">
        <v>860</v>
      </c>
      <c r="J277" s="97" t="s">
        <v>754</v>
      </c>
      <c r="K277" s="94" t="s">
        <v>854</v>
      </c>
      <c r="L277" s="94" t="s">
        <v>889</v>
      </c>
      <c r="M277" s="93" t="s">
        <v>902</v>
      </c>
      <c r="N277" s="95" t="s">
        <v>523</v>
      </c>
      <c r="O277" s="95" t="s">
        <v>385</v>
      </c>
      <c r="Q277" s="95" t="s">
        <v>868</v>
      </c>
      <c r="R277" s="98" t="s">
        <v>798</v>
      </c>
      <c r="S277" s="95" t="s">
        <v>28</v>
      </c>
      <c r="T277" s="95" t="s">
        <v>191</v>
      </c>
      <c r="U277" s="95" t="s">
        <v>191</v>
      </c>
      <c r="W277" s="95" t="s">
        <v>90</v>
      </c>
      <c r="Z277" s="95" t="s">
        <v>896</v>
      </c>
      <c r="AA277" s="94"/>
      <c r="AB277" s="99">
        <v>962206</v>
      </c>
      <c r="AC277" s="94"/>
      <c r="AF277" s="95" t="s">
        <v>37</v>
      </c>
      <c r="AG277" s="95" t="s">
        <v>37</v>
      </c>
      <c r="AH277" s="95" t="s">
        <v>73</v>
      </c>
      <c r="AI277" s="95" t="s">
        <v>73</v>
      </c>
      <c r="AJ277" s="95" t="s">
        <v>866</v>
      </c>
      <c r="AL277" s="94" t="s">
        <v>857</v>
      </c>
      <c r="AM277" s="95" t="s">
        <v>871</v>
      </c>
    </row>
    <row r="278" spans="1:39" s="2" customFormat="1" ht="14.1" customHeight="1" x14ac:dyDescent="0.2">
      <c r="A278" s="67" t="s">
        <v>132</v>
      </c>
      <c r="B278" s="36" t="s">
        <v>57</v>
      </c>
      <c r="C278" s="88"/>
      <c r="E278" s="67"/>
      <c r="F278" s="71"/>
      <c r="G278" s="35" t="s">
        <v>131</v>
      </c>
      <c r="H278" s="35"/>
      <c r="I278" s="35" t="s">
        <v>133</v>
      </c>
      <c r="J278" s="71"/>
      <c r="K278" s="3" t="s">
        <v>138</v>
      </c>
      <c r="L278" s="36" t="s">
        <v>139</v>
      </c>
      <c r="M278" s="36" t="s">
        <v>169</v>
      </c>
      <c r="N278" s="35" t="s">
        <v>523</v>
      </c>
      <c r="O278" s="35" t="s">
        <v>134</v>
      </c>
      <c r="P278" s="35"/>
      <c r="Q278" s="71" t="s">
        <v>57</v>
      </c>
      <c r="R278" s="35" t="s">
        <v>137</v>
      </c>
      <c r="S278" s="35" t="s">
        <v>36</v>
      </c>
      <c r="T278" s="35" t="s">
        <v>154</v>
      </c>
      <c r="U278" s="35" t="s">
        <v>96</v>
      </c>
      <c r="V278" s="35"/>
      <c r="W278" s="35" t="s">
        <v>90</v>
      </c>
      <c r="X278" s="35" t="s">
        <v>136</v>
      </c>
      <c r="Y278" s="35" t="s">
        <v>135</v>
      </c>
      <c r="Z278" s="35"/>
      <c r="AA278" s="39"/>
      <c r="AB278" s="43" t="s">
        <v>269</v>
      </c>
      <c r="AC278" s="51"/>
      <c r="AL278" s="52"/>
    </row>
    <row r="279" spans="1:39" s="2" customFormat="1" ht="14.1" customHeight="1" x14ac:dyDescent="0.2">
      <c r="A279" s="67" t="s">
        <v>132</v>
      </c>
      <c r="B279" s="36" t="s">
        <v>19</v>
      </c>
      <c r="C279" s="88"/>
      <c r="E279" s="67"/>
      <c r="F279" s="71"/>
      <c r="G279" s="35" t="s">
        <v>131</v>
      </c>
      <c r="H279" s="35"/>
      <c r="I279" s="35" t="s">
        <v>133</v>
      </c>
      <c r="J279" s="71"/>
      <c r="K279" s="3" t="s">
        <v>138</v>
      </c>
      <c r="L279" s="36" t="s">
        <v>139</v>
      </c>
      <c r="M279" s="36" t="s">
        <v>169</v>
      </c>
      <c r="N279" s="35" t="s">
        <v>523</v>
      </c>
      <c r="O279" s="35" t="s">
        <v>134</v>
      </c>
      <c r="P279" s="35"/>
      <c r="Q279" s="71" t="s">
        <v>42</v>
      </c>
      <c r="R279" s="35" t="s">
        <v>137</v>
      </c>
      <c r="S279" s="35" t="s">
        <v>36</v>
      </c>
      <c r="T279" s="35" t="s">
        <v>154</v>
      </c>
      <c r="U279" s="35" t="s">
        <v>96</v>
      </c>
      <c r="V279" s="35"/>
      <c r="W279" s="35" t="s">
        <v>90</v>
      </c>
      <c r="X279" s="35" t="s">
        <v>136</v>
      </c>
      <c r="Y279" s="35" t="s">
        <v>135</v>
      </c>
      <c r="Z279" s="35"/>
      <c r="AA279" s="37"/>
      <c r="AB279" s="44" t="s">
        <v>270</v>
      </c>
      <c r="AC279" s="51"/>
      <c r="AL279" s="52"/>
    </row>
    <row r="280" spans="1:39" s="2" customFormat="1" ht="14.1" customHeight="1" x14ac:dyDescent="0.2">
      <c r="A280" s="67" t="s">
        <v>132</v>
      </c>
      <c r="B280" s="36" t="s">
        <v>36</v>
      </c>
      <c r="C280" s="88"/>
      <c r="E280" s="67"/>
      <c r="F280" s="71"/>
      <c r="G280" s="35" t="s">
        <v>131</v>
      </c>
      <c r="H280" s="35"/>
      <c r="I280" s="35" t="s">
        <v>133</v>
      </c>
      <c r="J280" s="71"/>
      <c r="K280" s="3" t="s">
        <v>138</v>
      </c>
      <c r="L280" s="36" t="s">
        <v>139</v>
      </c>
      <c r="M280" s="36" t="s">
        <v>169</v>
      </c>
      <c r="N280" s="35" t="s">
        <v>523</v>
      </c>
      <c r="O280" s="35" t="s">
        <v>134</v>
      </c>
      <c r="P280" s="35"/>
      <c r="Q280" s="71" t="s">
        <v>52</v>
      </c>
      <c r="R280" s="35" t="s">
        <v>137</v>
      </c>
      <c r="S280" s="35" t="s">
        <v>36</v>
      </c>
      <c r="T280" s="35" t="s">
        <v>154</v>
      </c>
      <c r="U280" s="35" t="s">
        <v>96</v>
      </c>
      <c r="V280" s="35"/>
      <c r="W280" s="35" t="s">
        <v>90</v>
      </c>
      <c r="X280" s="35" t="s">
        <v>136</v>
      </c>
      <c r="Y280" s="35" t="s">
        <v>135</v>
      </c>
      <c r="Z280" s="35"/>
      <c r="AA280" s="38"/>
      <c r="AB280" s="41" t="s">
        <v>271</v>
      </c>
      <c r="AC280" s="51"/>
      <c r="AL280" s="52"/>
    </row>
    <row r="281" spans="1:39" s="2" customFormat="1" ht="14.1" customHeight="1" x14ac:dyDescent="0.2">
      <c r="A281" s="67" t="s">
        <v>132</v>
      </c>
      <c r="B281" s="36" t="s">
        <v>37</v>
      </c>
      <c r="C281" s="88"/>
      <c r="E281" s="67"/>
      <c r="F281" s="71"/>
      <c r="G281" s="35" t="s">
        <v>131</v>
      </c>
      <c r="H281" s="35"/>
      <c r="I281" s="35" t="s">
        <v>133</v>
      </c>
      <c r="J281" s="71"/>
      <c r="K281" s="3" t="s">
        <v>138</v>
      </c>
      <c r="L281" s="36" t="s">
        <v>139</v>
      </c>
      <c r="M281" s="36" t="s">
        <v>169</v>
      </c>
      <c r="N281" s="35" t="s">
        <v>523</v>
      </c>
      <c r="O281" s="35" t="s">
        <v>134</v>
      </c>
      <c r="P281" s="35"/>
      <c r="Q281" s="71" t="s">
        <v>56</v>
      </c>
      <c r="R281" s="35" t="s">
        <v>137</v>
      </c>
      <c r="S281" s="35" t="s">
        <v>36</v>
      </c>
      <c r="T281" s="35" t="s">
        <v>154</v>
      </c>
      <c r="U281" s="35" t="s">
        <v>96</v>
      </c>
      <c r="V281" s="35"/>
      <c r="W281" s="35" t="s">
        <v>90</v>
      </c>
      <c r="X281" s="35" t="s">
        <v>136</v>
      </c>
      <c r="Y281" s="35" t="s">
        <v>135</v>
      </c>
      <c r="Z281" s="35"/>
      <c r="AA281" s="40"/>
      <c r="AB281" s="42" t="s">
        <v>272</v>
      </c>
      <c r="AC281" s="51"/>
      <c r="AL281" s="52"/>
    </row>
    <row r="282" spans="1:39" s="2" customFormat="1" ht="14.1" customHeight="1" x14ac:dyDescent="0.2">
      <c r="A282" s="67" t="s">
        <v>143</v>
      </c>
      <c r="B282" s="36" t="s">
        <v>57</v>
      </c>
      <c r="C282" s="88"/>
      <c r="E282" s="67"/>
      <c r="F282" s="71"/>
      <c r="G282" s="35" t="s">
        <v>131</v>
      </c>
      <c r="H282" s="35"/>
      <c r="I282" s="35" t="s">
        <v>133</v>
      </c>
      <c r="J282" s="71"/>
      <c r="K282" s="3" t="s">
        <v>140</v>
      </c>
      <c r="L282" s="36" t="s">
        <v>144</v>
      </c>
      <c r="M282" s="36" t="s">
        <v>192</v>
      </c>
      <c r="N282" s="35" t="s">
        <v>523</v>
      </c>
      <c r="O282" s="35" t="s">
        <v>141</v>
      </c>
      <c r="P282" s="35"/>
      <c r="Q282" s="71" t="s">
        <v>57</v>
      </c>
      <c r="R282" s="35" t="s">
        <v>145</v>
      </c>
      <c r="S282" s="35" t="s">
        <v>36</v>
      </c>
      <c r="T282" s="35" t="s">
        <v>191</v>
      </c>
      <c r="U282" s="35" t="s">
        <v>79</v>
      </c>
      <c r="V282" s="35"/>
      <c r="W282" s="35" t="s">
        <v>90</v>
      </c>
      <c r="X282" s="35" t="s">
        <v>142</v>
      </c>
      <c r="Y282" s="35" t="s">
        <v>135</v>
      </c>
      <c r="Z282" s="35"/>
      <c r="AA282" s="39"/>
      <c r="AB282" s="43" t="s">
        <v>269</v>
      </c>
      <c r="AC282" s="51"/>
      <c r="AL282" s="52"/>
    </row>
    <row r="283" spans="1:39" s="2" customFormat="1" ht="14.1" customHeight="1" x14ac:dyDescent="0.2">
      <c r="A283" s="67">
        <v>50002</v>
      </c>
      <c r="B283" s="36" t="s">
        <v>19</v>
      </c>
      <c r="C283" s="88"/>
      <c r="E283" s="67"/>
      <c r="F283" s="71"/>
      <c r="G283" s="35" t="s">
        <v>131</v>
      </c>
      <c r="H283" s="35"/>
      <c r="I283" s="35" t="s">
        <v>133</v>
      </c>
      <c r="J283" s="71"/>
      <c r="K283" s="3" t="s">
        <v>140</v>
      </c>
      <c r="L283" s="36" t="s">
        <v>144</v>
      </c>
      <c r="M283" s="36" t="s">
        <v>192</v>
      </c>
      <c r="N283" s="35" t="s">
        <v>523</v>
      </c>
      <c r="O283" s="35" t="s">
        <v>141</v>
      </c>
      <c r="P283" s="35"/>
      <c r="Q283" s="71" t="s">
        <v>42</v>
      </c>
      <c r="R283" s="35" t="s">
        <v>145</v>
      </c>
      <c r="S283" s="35" t="s">
        <v>36</v>
      </c>
      <c r="T283" s="35" t="s">
        <v>191</v>
      </c>
      <c r="U283" s="35" t="s">
        <v>79</v>
      </c>
      <c r="V283" s="35"/>
      <c r="W283" s="35" t="s">
        <v>90</v>
      </c>
      <c r="X283" s="35" t="s">
        <v>142</v>
      </c>
      <c r="Y283" s="35" t="s">
        <v>135</v>
      </c>
      <c r="Z283" s="35"/>
      <c r="AA283" s="37"/>
      <c r="AB283" s="44" t="s">
        <v>270</v>
      </c>
      <c r="AC283" s="51"/>
      <c r="AL283" s="52"/>
    </row>
    <row r="284" spans="1:39" s="2" customFormat="1" ht="14.1" customHeight="1" x14ac:dyDescent="0.2">
      <c r="A284" s="67">
        <v>50002</v>
      </c>
      <c r="B284" s="36" t="s">
        <v>36</v>
      </c>
      <c r="C284" s="88"/>
      <c r="E284" s="67"/>
      <c r="F284" s="71"/>
      <c r="G284" s="35" t="s">
        <v>131</v>
      </c>
      <c r="H284" s="35"/>
      <c r="I284" s="35" t="s">
        <v>133</v>
      </c>
      <c r="J284" s="71"/>
      <c r="K284" s="3" t="s">
        <v>140</v>
      </c>
      <c r="L284" s="36" t="s">
        <v>144</v>
      </c>
      <c r="M284" s="36" t="s">
        <v>192</v>
      </c>
      <c r="N284" s="35" t="s">
        <v>523</v>
      </c>
      <c r="O284" s="35" t="s">
        <v>141</v>
      </c>
      <c r="P284" s="35"/>
      <c r="Q284" s="71" t="s">
        <v>52</v>
      </c>
      <c r="R284" s="35" t="s">
        <v>145</v>
      </c>
      <c r="S284" s="35" t="s">
        <v>36</v>
      </c>
      <c r="T284" s="35" t="s">
        <v>191</v>
      </c>
      <c r="U284" s="35" t="s">
        <v>79</v>
      </c>
      <c r="V284" s="35"/>
      <c r="W284" s="35" t="s">
        <v>90</v>
      </c>
      <c r="X284" s="35" t="s">
        <v>142</v>
      </c>
      <c r="Y284" s="35" t="s">
        <v>135</v>
      </c>
      <c r="Z284" s="35"/>
      <c r="AA284" s="38"/>
      <c r="AB284" s="41" t="s">
        <v>271</v>
      </c>
      <c r="AC284" s="51"/>
      <c r="AL284" s="52"/>
    </row>
    <row r="285" spans="1:39" s="2" customFormat="1" ht="14.1" customHeight="1" x14ac:dyDescent="0.2">
      <c r="A285" s="67">
        <v>50002</v>
      </c>
      <c r="B285" s="36" t="s">
        <v>37</v>
      </c>
      <c r="C285" s="88"/>
      <c r="E285" s="67"/>
      <c r="F285" s="71"/>
      <c r="G285" s="35" t="s">
        <v>131</v>
      </c>
      <c r="H285" s="35"/>
      <c r="I285" s="35" t="s">
        <v>133</v>
      </c>
      <c r="J285" s="71"/>
      <c r="K285" s="3" t="s">
        <v>140</v>
      </c>
      <c r="L285" s="36" t="s">
        <v>144</v>
      </c>
      <c r="M285" s="36" t="s">
        <v>192</v>
      </c>
      <c r="N285" s="35" t="s">
        <v>523</v>
      </c>
      <c r="O285" s="35" t="s">
        <v>141</v>
      </c>
      <c r="P285" s="35"/>
      <c r="Q285" s="71" t="s">
        <v>56</v>
      </c>
      <c r="R285" s="35" t="s">
        <v>145</v>
      </c>
      <c r="S285" s="35" t="s">
        <v>36</v>
      </c>
      <c r="T285" s="35" t="s">
        <v>191</v>
      </c>
      <c r="U285" s="35" t="s">
        <v>79</v>
      </c>
      <c r="V285" s="35"/>
      <c r="W285" s="35" t="s">
        <v>90</v>
      </c>
      <c r="X285" s="35" t="s">
        <v>142</v>
      </c>
      <c r="Y285" s="35" t="s">
        <v>135</v>
      </c>
      <c r="Z285" s="35"/>
      <c r="AA285" s="40"/>
      <c r="AB285" s="42" t="s">
        <v>272</v>
      </c>
      <c r="AC285" s="51"/>
      <c r="AL285" s="52"/>
    </row>
    <row r="286" spans="1:39" s="2" customFormat="1" ht="14.1" customHeight="1" x14ac:dyDescent="0.2">
      <c r="A286" s="67" t="s">
        <v>146</v>
      </c>
      <c r="B286" s="36" t="s">
        <v>57</v>
      </c>
      <c r="C286" s="88"/>
      <c r="E286" s="67"/>
      <c r="F286" s="71"/>
      <c r="G286" s="35" t="s">
        <v>131</v>
      </c>
      <c r="H286" s="35"/>
      <c r="I286" s="35" t="s">
        <v>133</v>
      </c>
      <c r="J286" s="71"/>
      <c r="K286" s="3" t="s">
        <v>147</v>
      </c>
      <c r="L286" s="36" t="s">
        <v>149</v>
      </c>
      <c r="M286" s="3" t="s">
        <v>155</v>
      </c>
      <c r="N286" s="35" t="s">
        <v>523</v>
      </c>
      <c r="O286" s="35" t="s">
        <v>150</v>
      </c>
      <c r="P286" s="35"/>
      <c r="Q286" s="71" t="s">
        <v>57</v>
      </c>
      <c r="R286" s="35" t="s">
        <v>151</v>
      </c>
      <c r="S286" s="35" t="s">
        <v>36</v>
      </c>
      <c r="T286" s="35" t="s">
        <v>191</v>
      </c>
      <c r="U286" s="35" t="s">
        <v>79</v>
      </c>
      <c r="V286" s="35"/>
      <c r="W286" s="35" t="s">
        <v>90</v>
      </c>
      <c r="X286" s="35" t="s">
        <v>153</v>
      </c>
      <c r="Y286" s="35" t="s">
        <v>135</v>
      </c>
      <c r="Z286" s="35"/>
      <c r="AA286" s="39"/>
      <c r="AB286" s="43" t="s">
        <v>269</v>
      </c>
      <c r="AC286" s="51"/>
      <c r="AL286" s="52"/>
    </row>
    <row r="287" spans="1:39" s="2" customFormat="1" ht="14.1" customHeight="1" x14ac:dyDescent="0.2">
      <c r="A287" s="67" t="s">
        <v>146</v>
      </c>
      <c r="B287" s="36" t="s">
        <v>19</v>
      </c>
      <c r="C287" s="88"/>
      <c r="E287" s="67"/>
      <c r="F287" s="71"/>
      <c r="G287" s="35" t="s">
        <v>131</v>
      </c>
      <c r="H287" s="35"/>
      <c r="I287" s="35" t="s">
        <v>133</v>
      </c>
      <c r="J287" s="71"/>
      <c r="K287" s="3" t="s">
        <v>148</v>
      </c>
      <c r="L287" s="36" t="s">
        <v>149</v>
      </c>
      <c r="M287" s="3" t="s">
        <v>155</v>
      </c>
      <c r="N287" s="35" t="s">
        <v>523</v>
      </c>
      <c r="O287" s="35" t="s">
        <v>150</v>
      </c>
      <c r="P287" s="35"/>
      <c r="Q287" s="71" t="s">
        <v>42</v>
      </c>
      <c r="R287" s="35" t="s">
        <v>152</v>
      </c>
      <c r="S287" s="35" t="s">
        <v>36</v>
      </c>
      <c r="T287" s="35" t="s">
        <v>191</v>
      </c>
      <c r="U287" s="35" t="s">
        <v>79</v>
      </c>
      <c r="V287" s="35"/>
      <c r="W287" s="35" t="s">
        <v>90</v>
      </c>
      <c r="X287" s="35" t="s">
        <v>153</v>
      </c>
      <c r="Y287" s="35" t="s">
        <v>135</v>
      </c>
      <c r="Z287" s="35"/>
      <c r="AA287" s="37"/>
      <c r="AB287" s="44" t="s">
        <v>270</v>
      </c>
      <c r="AC287" s="51"/>
      <c r="AL287" s="52"/>
    </row>
    <row r="288" spans="1:39" s="2" customFormat="1" ht="14.1" customHeight="1" x14ac:dyDescent="0.2">
      <c r="A288" s="67" t="s">
        <v>146</v>
      </c>
      <c r="B288" s="36" t="s">
        <v>36</v>
      </c>
      <c r="C288" s="88"/>
      <c r="E288" s="67"/>
      <c r="F288" s="71"/>
      <c r="G288" s="35" t="s">
        <v>131</v>
      </c>
      <c r="H288" s="35"/>
      <c r="I288" s="35" t="s">
        <v>133</v>
      </c>
      <c r="J288" s="71"/>
      <c r="K288" s="3" t="s">
        <v>148</v>
      </c>
      <c r="L288" s="36" t="s">
        <v>149</v>
      </c>
      <c r="M288" s="3" t="s">
        <v>155</v>
      </c>
      <c r="N288" s="35" t="s">
        <v>523</v>
      </c>
      <c r="O288" s="35" t="s">
        <v>150</v>
      </c>
      <c r="P288" s="35"/>
      <c r="Q288" s="71" t="s">
        <v>52</v>
      </c>
      <c r="R288" s="35" t="s">
        <v>152</v>
      </c>
      <c r="S288" s="35" t="s">
        <v>36</v>
      </c>
      <c r="T288" s="35" t="s">
        <v>191</v>
      </c>
      <c r="U288" s="35" t="s">
        <v>79</v>
      </c>
      <c r="V288" s="35"/>
      <c r="W288" s="35" t="s">
        <v>90</v>
      </c>
      <c r="X288" s="35" t="s">
        <v>153</v>
      </c>
      <c r="Y288" s="35" t="s">
        <v>135</v>
      </c>
      <c r="Z288" s="35"/>
      <c r="AA288" s="38"/>
      <c r="AB288" s="41" t="s">
        <v>271</v>
      </c>
      <c r="AC288" s="51"/>
      <c r="AL288" s="52"/>
    </row>
    <row r="289" spans="1:38" s="2" customFormat="1" ht="14.1" customHeight="1" x14ac:dyDescent="0.2">
      <c r="A289" s="67" t="s">
        <v>146</v>
      </c>
      <c r="B289" s="36" t="s">
        <v>37</v>
      </c>
      <c r="C289" s="88"/>
      <c r="E289" s="67"/>
      <c r="F289" s="71"/>
      <c r="G289" s="35" t="s">
        <v>131</v>
      </c>
      <c r="H289" s="35"/>
      <c r="I289" s="35" t="s">
        <v>133</v>
      </c>
      <c r="J289" s="71"/>
      <c r="K289" s="3" t="s">
        <v>148</v>
      </c>
      <c r="L289" s="36" t="s">
        <v>149</v>
      </c>
      <c r="M289" s="3" t="s">
        <v>155</v>
      </c>
      <c r="N289" s="35" t="s">
        <v>523</v>
      </c>
      <c r="O289" s="35" t="s">
        <v>150</v>
      </c>
      <c r="P289" s="35"/>
      <c r="Q289" s="71" t="s">
        <v>56</v>
      </c>
      <c r="R289" s="35" t="s">
        <v>152</v>
      </c>
      <c r="S289" s="35" t="s">
        <v>36</v>
      </c>
      <c r="T289" s="35" t="s">
        <v>191</v>
      </c>
      <c r="U289" s="35" t="s">
        <v>79</v>
      </c>
      <c r="V289" s="35"/>
      <c r="W289" s="35" t="s">
        <v>90</v>
      </c>
      <c r="X289" s="35" t="s">
        <v>153</v>
      </c>
      <c r="Y289" s="35" t="s">
        <v>135</v>
      </c>
      <c r="Z289" s="35"/>
      <c r="AA289" s="40"/>
      <c r="AB289" s="42" t="s">
        <v>272</v>
      </c>
      <c r="AC289" s="51"/>
      <c r="AL289" s="52"/>
    </row>
    <row r="290" spans="1:38" s="2" customFormat="1" ht="14.1" customHeight="1" x14ac:dyDescent="0.2">
      <c r="A290" s="66" t="s">
        <v>156</v>
      </c>
      <c r="B290" s="3" t="s">
        <v>157</v>
      </c>
      <c r="C290" s="52"/>
      <c r="E290" s="66"/>
      <c r="F290" s="70"/>
      <c r="G290" s="35" t="s">
        <v>131</v>
      </c>
      <c r="H290" s="35"/>
      <c r="I290" s="35" t="s">
        <v>133</v>
      </c>
      <c r="J290" s="71"/>
      <c r="K290" s="3" t="s">
        <v>167</v>
      </c>
      <c r="L290" s="36" t="s">
        <v>168</v>
      </c>
      <c r="M290" s="3" t="s">
        <v>285</v>
      </c>
      <c r="N290" s="35" t="s">
        <v>523</v>
      </c>
      <c r="O290" s="35" t="s">
        <v>166</v>
      </c>
      <c r="P290" s="35"/>
      <c r="Q290" s="71" t="s">
        <v>162</v>
      </c>
      <c r="R290" s="35" t="s">
        <v>161</v>
      </c>
      <c r="S290" s="35" t="s">
        <v>79</v>
      </c>
      <c r="T290" s="35" t="s">
        <v>154</v>
      </c>
      <c r="U290" s="35" t="s">
        <v>97</v>
      </c>
      <c r="V290" s="35"/>
      <c r="W290" s="35"/>
      <c r="X290" s="35"/>
      <c r="Y290" s="35"/>
      <c r="AB290" s="43" t="s">
        <v>269</v>
      </c>
      <c r="AC290" s="52"/>
      <c r="AL290" s="52"/>
    </row>
    <row r="291" spans="1:38" s="2" customFormat="1" ht="14.1" customHeight="1" x14ac:dyDescent="0.2">
      <c r="A291" s="66" t="s">
        <v>156</v>
      </c>
      <c r="B291" s="3" t="s">
        <v>158</v>
      </c>
      <c r="C291" s="52"/>
      <c r="E291" s="66"/>
      <c r="F291" s="70"/>
      <c r="G291" s="35" t="s">
        <v>131</v>
      </c>
      <c r="H291" s="35"/>
      <c r="I291" s="35" t="s">
        <v>133</v>
      </c>
      <c r="J291" s="71"/>
      <c r="K291" s="3" t="s">
        <v>167</v>
      </c>
      <c r="L291" s="36" t="s">
        <v>168</v>
      </c>
      <c r="M291" s="3" t="s">
        <v>286</v>
      </c>
      <c r="N291" s="35" t="s">
        <v>523</v>
      </c>
      <c r="O291" s="35" t="s">
        <v>166</v>
      </c>
      <c r="P291" s="35"/>
      <c r="Q291" s="71" t="s">
        <v>163</v>
      </c>
      <c r="R291" s="35" t="s">
        <v>161</v>
      </c>
      <c r="S291" s="35" t="s">
        <v>79</v>
      </c>
      <c r="T291" s="35" t="s">
        <v>154</v>
      </c>
      <c r="U291" s="35" t="s">
        <v>97</v>
      </c>
      <c r="V291" s="35"/>
      <c r="W291" s="35"/>
      <c r="X291" s="35"/>
      <c r="Y291" s="35"/>
      <c r="AB291" s="44" t="s">
        <v>270</v>
      </c>
      <c r="AC291" s="52"/>
      <c r="AL291" s="52"/>
    </row>
    <row r="292" spans="1:38" s="2" customFormat="1" ht="14.1" customHeight="1" x14ac:dyDescent="0.2">
      <c r="A292" s="66" t="s">
        <v>156</v>
      </c>
      <c r="B292" s="3" t="s">
        <v>159</v>
      </c>
      <c r="C292" s="52"/>
      <c r="E292" s="66"/>
      <c r="F292" s="70"/>
      <c r="G292" s="35" t="s">
        <v>131</v>
      </c>
      <c r="H292" s="35"/>
      <c r="I292" s="35" t="s">
        <v>133</v>
      </c>
      <c r="J292" s="71"/>
      <c r="K292" s="3" t="s">
        <v>167</v>
      </c>
      <c r="L292" s="36" t="s">
        <v>168</v>
      </c>
      <c r="M292" s="3" t="s">
        <v>287</v>
      </c>
      <c r="N292" s="35" t="s">
        <v>523</v>
      </c>
      <c r="O292" s="35" t="s">
        <v>166</v>
      </c>
      <c r="P292" s="35"/>
      <c r="Q292" s="71" t="s">
        <v>164</v>
      </c>
      <c r="R292" s="35" t="s">
        <v>161</v>
      </c>
      <c r="S292" s="35" t="s">
        <v>79</v>
      </c>
      <c r="T292" s="35" t="s">
        <v>154</v>
      </c>
      <c r="U292" s="35" t="s">
        <v>97</v>
      </c>
      <c r="V292" s="35"/>
      <c r="W292" s="35"/>
      <c r="X292" s="35"/>
      <c r="Y292" s="35"/>
      <c r="AB292" s="41" t="s">
        <v>271</v>
      </c>
      <c r="AC292" s="52"/>
      <c r="AL292" s="52"/>
    </row>
    <row r="293" spans="1:38" s="2" customFormat="1" ht="14.1" customHeight="1" x14ac:dyDescent="0.2">
      <c r="A293" s="66" t="s">
        <v>156</v>
      </c>
      <c r="B293" s="3" t="s">
        <v>160</v>
      </c>
      <c r="C293" s="52"/>
      <c r="E293" s="66"/>
      <c r="F293" s="70"/>
      <c r="G293" s="35" t="s">
        <v>131</v>
      </c>
      <c r="H293" s="35"/>
      <c r="I293" s="35" t="s">
        <v>133</v>
      </c>
      <c r="J293" s="71"/>
      <c r="K293" s="3" t="s">
        <v>167</v>
      </c>
      <c r="L293" s="36" t="s">
        <v>168</v>
      </c>
      <c r="M293" s="3" t="s">
        <v>288</v>
      </c>
      <c r="N293" s="35" t="s">
        <v>523</v>
      </c>
      <c r="O293" s="35" t="s">
        <v>166</v>
      </c>
      <c r="P293" s="35"/>
      <c r="Q293" s="71" t="s">
        <v>165</v>
      </c>
      <c r="R293" s="35" t="s">
        <v>161</v>
      </c>
      <c r="S293" s="35" t="s">
        <v>79</v>
      </c>
      <c r="T293" s="35" t="s">
        <v>154</v>
      </c>
      <c r="U293" s="35" t="s">
        <v>97</v>
      </c>
      <c r="V293" s="35"/>
      <c r="W293" s="35"/>
      <c r="X293" s="35"/>
      <c r="Y293" s="35"/>
      <c r="AB293" s="42" t="s">
        <v>272</v>
      </c>
      <c r="AC293" s="52"/>
      <c r="AL293" s="52"/>
    </row>
    <row r="294" spans="1:38" s="2" customFormat="1" ht="14.1" customHeight="1" x14ac:dyDescent="0.2">
      <c r="A294" s="66" t="s">
        <v>197</v>
      </c>
      <c r="B294" s="3" t="s">
        <v>157</v>
      </c>
      <c r="C294" s="52"/>
      <c r="E294" s="66"/>
      <c r="F294" s="70"/>
      <c r="G294" s="35" t="s">
        <v>131</v>
      </c>
      <c r="H294" s="35"/>
      <c r="I294" s="35" t="s">
        <v>133</v>
      </c>
      <c r="J294" s="71"/>
      <c r="K294" s="3" t="s">
        <v>198</v>
      </c>
      <c r="L294" s="36" t="s">
        <v>199</v>
      </c>
      <c r="M294" s="3" t="s">
        <v>214</v>
      </c>
      <c r="N294" s="35" t="s">
        <v>523</v>
      </c>
      <c r="O294" s="35" t="s">
        <v>200</v>
      </c>
      <c r="P294" s="35"/>
      <c r="Q294" s="71" t="s">
        <v>162</v>
      </c>
      <c r="R294" s="35" t="s">
        <v>201</v>
      </c>
      <c r="S294" s="35" t="s">
        <v>79</v>
      </c>
      <c r="T294" s="35" t="s">
        <v>154</v>
      </c>
      <c r="U294" s="35" t="s">
        <v>97</v>
      </c>
      <c r="V294" s="35"/>
      <c r="W294" s="35" t="s">
        <v>90</v>
      </c>
      <c r="X294" s="35" t="s">
        <v>202</v>
      </c>
      <c r="Y294" s="35" t="s">
        <v>135</v>
      </c>
      <c r="AB294" s="2" t="s">
        <v>269</v>
      </c>
      <c r="AC294" s="52"/>
      <c r="AL294" s="52"/>
    </row>
    <row r="295" spans="1:38" s="2" customFormat="1" ht="14.1" customHeight="1" x14ac:dyDescent="0.2">
      <c r="A295" s="66" t="s">
        <v>197</v>
      </c>
      <c r="B295" s="3" t="s">
        <v>158</v>
      </c>
      <c r="C295" s="52"/>
      <c r="E295" s="66"/>
      <c r="F295" s="70"/>
      <c r="G295" s="35" t="s">
        <v>131</v>
      </c>
      <c r="H295" s="35"/>
      <c r="I295" s="35" t="s">
        <v>133</v>
      </c>
      <c r="J295" s="71"/>
      <c r="K295" s="3" t="s">
        <v>198</v>
      </c>
      <c r="L295" s="36" t="s">
        <v>199</v>
      </c>
      <c r="M295" s="3" t="s">
        <v>214</v>
      </c>
      <c r="N295" s="35" t="s">
        <v>523</v>
      </c>
      <c r="O295" s="35" t="s">
        <v>200</v>
      </c>
      <c r="P295" s="35"/>
      <c r="Q295" s="71" t="s">
        <v>163</v>
      </c>
      <c r="R295" s="35" t="s">
        <v>201</v>
      </c>
      <c r="S295" s="35" t="s">
        <v>79</v>
      </c>
      <c r="T295" s="35" t="s">
        <v>154</v>
      </c>
      <c r="U295" s="35" t="s">
        <v>97</v>
      </c>
      <c r="V295" s="35"/>
      <c r="W295" s="35" t="s">
        <v>90</v>
      </c>
      <c r="X295" s="35" t="s">
        <v>202</v>
      </c>
      <c r="Y295" s="35" t="s">
        <v>135</v>
      </c>
      <c r="AB295" s="2" t="s">
        <v>270</v>
      </c>
      <c r="AC295" s="52"/>
      <c r="AL295" s="52"/>
    </row>
    <row r="296" spans="1:38" s="2" customFormat="1" ht="14.1" customHeight="1" x14ac:dyDescent="0.2">
      <c r="A296" s="66" t="s">
        <v>197</v>
      </c>
      <c r="B296" s="3" t="s">
        <v>159</v>
      </c>
      <c r="C296" s="52"/>
      <c r="E296" s="66"/>
      <c r="F296" s="70"/>
      <c r="G296" s="35" t="s">
        <v>131</v>
      </c>
      <c r="H296" s="35"/>
      <c r="I296" s="35" t="s">
        <v>133</v>
      </c>
      <c r="J296" s="71"/>
      <c r="K296" s="3" t="s">
        <v>198</v>
      </c>
      <c r="L296" s="36" t="s">
        <v>199</v>
      </c>
      <c r="M296" s="3" t="s">
        <v>214</v>
      </c>
      <c r="N296" s="35" t="s">
        <v>523</v>
      </c>
      <c r="O296" s="35" t="s">
        <v>200</v>
      </c>
      <c r="P296" s="35"/>
      <c r="Q296" s="71" t="s">
        <v>164</v>
      </c>
      <c r="R296" s="35" t="s">
        <v>201</v>
      </c>
      <c r="S296" s="35" t="s">
        <v>79</v>
      </c>
      <c r="T296" s="35" t="s">
        <v>154</v>
      </c>
      <c r="U296" s="35" t="s">
        <v>97</v>
      </c>
      <c r="V296" s="35"/>
      <c r="W296" s="35" t="s">
        <v>90</v>
      </c>
      <c r="X296" s="35" t="s">
        <v>202</v>
      </c>
      <c r="Y296" s="35" t="s">
        <v>135</v>
      </c>
      <c r="AB296" s="2" t="s">
        <v>271</v>
      </c>
      <c r="AC296" s="52"/>
      <c r="AL296" s="52"/>
    </row>
    <row r="297" spans="1:38" s="2" customFormat="1" ht="14.1" customHeight="1" x14ac:dyDescent="0.2">
      <c r="A297" s="66" t="s">
        <v>197</v>
      </c>
      <c r="B297" s="3" t="s">
        <v>160</v>
      </c>
      <c r="C297" s="52"/>
      <c r="E297" s="66"/>
      <c r="F297" s="70"/>
      <c r="G297" s="35" t="s">
        <v>131</v>
      </c>
      <c r="H297" s="35"/>
      <c r="I297" s="35" t="s">
        <v>133</v>
      </c>
      <c r="J297" s="71"/>
      <c r="K297" s="3" t="s">
        <v>198</v>
      </c>
      <c r="L297" s="36" t="s">
        <v>199</v>
      </c>
      <c r="M297" s="3" t="s">
        <v>214</v>
      </c>
      <c r="N297" s="35" t="s">
        <v>523</v>
      </c>
      <c r="O297" s="35" t="s">
        <v>200</v>
      </c>
      <c r="P297" s="35"/>
      <c r="Q297" s="71" t="s">
        <v>165</v>
      </c>
      <c r="R297" s="35" t="s">
        <v>201</v>
      </c>
      <c r="S297" s="35" t="s">
        <v>79</v>
      </c>
      <c r="T297" s="35" t="s">
        <v>154</v>
      </c>
      <c r="U297" s="35" t="s">
        <v>97</v>
      </c>
      <c r="V297" s="35"/>
      <c r="W297" s="35" t="s">
        <v>90</v>
      </c>
      <c r="X297" s="35" t="s">
        <v>202</v>
      </c>
      <c r="Y297" s="35" t="s">
        <v>135</v>
      </c>
      <c r="AB297" s="2" t="s">
        <v>272</v>
      </c>
      <c r="AC297" s="52"/>
      <c r="AL297" s="52"/>
    </row>
    <row r="298" spans="1:38" s="2" customFormat="1" ht="14.1" customHeight="1" x14ac:dyDescent="0.2">
      <c r="A298" s="66" t="s">
        <v>217</v>
      </c>
      <c r="B298" s="3" t="s">
        <v>71</v>
      </c>
      <c r="C298" s="52"/>
      <c r="E298" s="66"/>
      <c r="F298" s="70"/>
      <c r="G298" s="35" t="s">
        <v>131</v>
      </c>
      <c r="H298" s="35"/>
      <c r="I298" s="35" t="s">
        <v>133</v>
      </c>
      <c r="J298" s="71"/>
      <c r="K298" s="3" t="s">
        <v>218</v>
      </c>
      <c r="L298" s="36" t="s">
        <v>225</v>
      </c>
      <c r="M298" s="3" t="s">
        <v>226</v>
      </c>
      <c r="N298" s="35" t="s">
        <v>523</v>
      </c>
      <c r="O298" s="35">
        <v>926</v>
      </c>
      <c r="P298" s="35"/>
      <c r="Q298" s="71" t="s">
        <v>71</v>
      </c>
      <c r="R298" s="35" t="s">
        <v>219</v>
      </c>
      <c r="S298" s="35" t="s">
        <v>79</v>
      </c>
      <c r="T298" s="35" t="s">
        <v>154</v>
      </c>
      <c r="U298" s="35" t="s">
        <v>97</v>
      </c>
      <c r="V298" s="35"/>
      <c r="W298" s="35" t="s">
        <v>90</v>
      </c>
      <c r="X298" s="35" t="s">
        <v>220</v>
      </c>
      <c r="Y298" s="35" t="s">
        <v>135</v>
      </c>
      <c r="AB298" s="2" t="s">
        <v>269</v>
      </c>
      <c r="AC298" s="52"/>
      <c r="AL298" s="52"/>
    </row>
    <row r="299" spans="1:38" s="2" customFormat="1" ht="14.1" customHeight="1" x14ac:dyDescent="0.2">
      <c r="A299" s="66" t="s">
        <v>217</v>
      </c>
      <c r="B299" s="3" t="s">
        <v>20</v>
      </c>
      <c r="C299" s="52"/>
      <c r="E299" s="66"/>
      <c r="F299" s="70"/>
      <c r="G299" s="35" t="s">
        <v>131</v>
      </c>
      <c r="H299" s="35"/>
      <c r="I299" s="35" t="s">
        <v>133</v>
      </c>
      <c r="J299" s="71"/>
      <c r="K299" s="3" t="s">
        <v>218</v>
      </c>
      <c r="L299" s="36" t="s">
        <v>225</v>
      </c>
      <c r="M299" s="3" t="s">
        <v>226</v>
      </c>
      <c r="N299" s="35" t="s">
        <v>523</v>
      </c>
      <c r="O299" s="35">
        <v>926</v>
      </c>
      <c r="P299" s="35"/>
      <c r="Q299" s="71" t="s">
        <v>163</v>
      </c>
      <c r="R299" s="35" t="s">
        <v>219</v>
      </c>
      <c r="S299" s="35" t="s">
        <v>79</v>
      </c>
      <c r="T299" s="35" t="s">
        <v>154</v>
      </c>
      <c r="U299" s="35" t="s">
        <v>97</v>
      </c>
      <c r="V299" s="35"/>
      <c r="W299" s="35" t="s">
        <v>90</v>
      </c>
      <c r="X299" s="35" t="s">
        <v>220</v>
      </c>
      <c r="Y299" s="35" t="s">
        <v>135</v>
      </c>
      <c r="AB299" s="2" t="s">
        <v>270</v>
      </c>
      <c r="AC299" s="52"/>
      <c r="AL299" s="52"/>
    </row>
    <row r="300" spans="1:38" s="2" customFormat="1" ht="14.1" customHeight="1" x14ac:dyDescent="0.2">
      <c r="A300" s="66" t="s">
        <v>217</v>
      </c>
      <c r="B300" s="3" t="s">
        <v>159</v>
      </c>
      <c r="C300" s="52"/>
      <c r="E300" s="66"/>
      <c r="F300" s="70"/>
      <c r="G300" s="35" t="s">
        <v>131</v>
      </c>
      <c r="H300" s="35"/>
      <c r="I300" s="35" t="s">
        <v>133</v>
      </c>
      <c r="J300" s="71"/>
      <c r="K300" s="3" t="s">
        <v>218</v>
      </c>
      <c r="L300" s="36" t="s">
        <v>225</v>
      </c>
      <c r="M300" s="3" t="s">
        <v>226</v>
      </c>
      <c r="N300" s="35" t="s">
        <v>523</v>
      </c>
      <c r="O300" s="35">
        <v>926</v>
      </c>
      <c r="P300" s="35"/>
      <c r="Q300" s="71" t="s">
        <v>164</v>
      </c>
      <c r="R300" s="35" t="s">
        <v>219</v>
      </c>
      <c r="S300" s="35" t="s">
        <v>79</v>
      </c>
      <c r="T300" s="35" t="s">
        <v>154</v>
      </c>
      <c r="U300" s="35" t="s">
        <v>97</v>
      </c>
      <c r="V300" s="35"/>
      <c r="W300" s="35" t="s">
        <v>90</v>
      </c>
      <c r="X300" s="35" t="s">
        <v>220</v>
      </c>
      <c r="Y300" s="35" t="s">
        <v>135</v>
      </c>
      <c r="AB300" s="2" t="s">
        <v>271</v>
      </c>
      <c r="AC300" s="52"/>
      <c r="AL300" s="52"/>
    </row>
    <row r="301" spans="1:38" s="2" customFormat="1" ht="14.1" customHeight="1" x14ac:dyDescent="0.2">
      <c r="A301" s="66" t="s">
        <v>217</v>
      </c>
      <c r="B301" s="3" t="s">
        <v>73</v>
      </c>
      <c r="C301" s="52"/>
      <c r="E301" s="66"/>
      <c r="F301" s="70"/>
      <c r="G301" s="35" t="s">
        <v>131</v>
      </c>
      <c r="H301" s="35"/>
      <c r="I301" s="35" t="s">
        <v>133</v>
      </c>
      <c r="J301" s="71"/>
      <c r="K301" s="3" t="s">
        <v>218</v>
      </c>
      <c r="L301" s="36" t="s">
        <v>225</v>
      </c>
      <c r="M301" s="3" t="s">
        <v>226</v>
      </c>
      <c r="N301" s="35" t="s">
        <v>523</v>
      </c>
      <c r="O301" s="35" t="s">
        <v>240</v>
      </c>
      <c r="P301" s="35"/>
      <c r="Q301" s="71" t="s">
        <v>165</v>
      </c>
      <c r="R301" s="35" t="s">
        <v>219</v>
      </c>
      <c r="S301" s="35" t="s">
        <v>79</v>
      </c>
      <c r="T301" s="35" t="s">
        <v>154</v>
      </c>
      <c r="U301" s="35" t="s">
        <v>97</v>
      </c>
      <c r="V301" s="35"/>
      <c r="W301" s="35" t="s">
        <v>90</v>
      </c>
      <c r="X301" s="35" t="s">
        <v>220</v>
      </c>
      <c r="Y301" s="35" t="s">
        <v>135</v>
      </c>
      <c r="AB301" s="2" t="s">
        <v>272</v>
      </c>
      <c r="AC301" s="52"/>
      <c r="AL301" s="52"/>
    </row>
    <row r="302" spans="1:38" s="2" customFormat="1" ht="14.1" customHeight="1" x14ac:dyDescent="0.2">
      <c r="A302" s="66" t="s">
        <v>241</v>
      </c>
      <c r="B302" s="3" t="s">
        <v>28</v>
      </c>
      <c r="C302" s="52"/>
      <c r="E302" s="66"/>
      <c r="F302" s="70"/>
      <c r="G302" s="35" t="s">
        <v>131</v>
      </c>
      <c r="H302" s="35"/>
      <c r="I302" s="35" t="s">
        <v>133</v>
      </c>
      <c r="J302" s="71"/>
      <c r="K302" s="3" t="s">
        <v>242</v>
      </c>
      <c r="L302" s="36" t="s">
        <v>243</v>
      </c>
      <c r="M302" s="3" t="s">
        <v>253</v>
      </c>
      <c r="N302" s="35" t="s">
        <v>523</v>
      </c>
      <c r="O302" s="35" t="s">
        <v>244</v>
      </c>
      <c r="P302" s="35"/>
      <c r="Q302" s="71" t="s">
        <v>28</v>
      </c>
      <c r="R302" s="35" t="s">
        <v>245</v>
      </c>
      <c r="S302" s="35" t="s">
        <v>79</v>
      </c>
      <c r="T302" s="35" t="s">
        <v>154</v>
      </c>
      <c r="U302" s="35" t="s">
        <v>79</v>
      </c>
      <c r="V302" s="35"/>
      <c r="W302" s="35" t="s">
        <v>90</v>
      </c>
      <c r="X302" s="35"/>
      <c r="Y302" s="35" t="s">
        <v>135</v>
      </c>
      <c r="AB302" s="2" t="s">
        <v>269</v>
      </c>
      <c r="AC302" s="52"/>
      <c r="AL302" s="52"/>
    </row>
    <row r="303" spans="1:38" s="2" customFormat="1" ht="14.1" customHeight="1" x14ac:dyDescent="0.2">
      <c r="A303" s="66" t="s">
        <v>241</v>
      </c>
      <c r="B303" s="3" t="s">
        <v>20</v>
      </c>
      <c r="C303" s="52"/>
      <c r="E303" s="66"/>
      <c r="F303" s="70"/>
      <c r="G303" s="35" t="s">
        <v>131</v>
      </c>
      <c r="H303" s="35"/>
      <c r="I303" s="35" t="s">
        <v>133</v>
      </c>
      <c r="J303" s="71"/>
      <c r="K303" s="3" t="s">
        <v>242</v>
      </c>
      <c r="L303" s="36" t="s">
        <v>243</v>
      </c>
      <c r="M303" s="3" t="s">
        <v>253</v>
      </c>
      <c r="N303" s="35" t="s">
        <v>523</v>
      </c>
      <c r="O303" s="35" t="s">
        <v>244</v>
      </c>
      <c r="P303" s="35"/>
      <c r="Q303" s="71" t="s">
        <v>110</v>
      </c>
      <c r="R303" s="35" t="s">
        <v>245</v>
      </c>
      <c r="S303" s="35" t="s">
        <v>79</v>
      </c>
      <c r="T303" s="35" t="s">
        <v>154</v>
      </c>
      <c r="U303" s="35" t="s">
        <v>79</v>
      </c>
      <c r="V303" s="35"/>
      <c r="W303" s="35" t="s">
        <v>90</v>
      </c>
      <c r="X303" s="35"/>
      <c r="Y303" s="35" t="s">
        <v>135</v>
      </c>
      <c r="AB303" s="2" t="s">
        <v>270</v>
      </c>
      <c r="AC303" s="52"/>
      <c r="AL303" s="52"/>
    </row>
    <row r="304" spans="1:38" s="2" customFormat="1" ht="14.1" customHeight="1" x14ac:dyDescent="0.2">
      <c r="A304" s="66" t="s">
        <v>241</v>
      </c>
      <c r="B304" s="3" t="s">
        <v>79</v>
      </c>
      <c r="C304" s="52"/>
      <c r="E304" s="66"/>
      <c r="F304" s="70"/>
      <c r="G304" s="35" t="s">
        <v>131</v>
      </c>
      <c r="H304" s="35"/>
      <c r="I304" s="35" t="s">
        <v>133</v>
      </c>
      <c r="J304" s="71"/>
      <c r="K304" s="3" t="s">
        <v>242</v>
      </c>
      <c r="L304" s="36" t="s">
        <v>243</v>
      </c>
      <c r="M304" s="3" t="s">
        <v>253</v>
      </c>
      <c r="N304" s="35" t="s">
        <v>523</v>
      </c>
      <c r="O304" s="35" t="s">
        <v>244</v>
      </c>
      <c r="P304" s="35"/>
      <c r="Q304" s="71" t="s">
        <v>164</v>
      </c>
      <c r="R304" s="35" t="s">
        <v>245</v>
      </c>
      <c r="S304" s="35" t="s">
        <v>79</v>
      </c>
      <c r="T304" s="35" t="s">
        <v>154</v>
      </c>
      <c r="U304" s="35" t="s">
        <v>79</v>
      </c>
      <c r="V304" s="35"/>
      <c r="W304" s="35" t="s">
        <v>90</v>
      </c>
      <c r="X304" s="35"/>
      <c r="Y304" s="35" t="s">
        <v>135</v>
      </c>
      <c r="AB304" s="2" t="s">
        <v>271</v>
      </c>
      <c r="AC304" s="52"/>
      <c r="AL304" s="52"/>
    </row>
    <row r="305" spans="1:38" s="2" customFormat="1" ht="13.5" customHeight="1" x14ac:dyDescent="0.2">
      <c r="A305" s="66" t="s">
        <v>241</v>
      </c>
      <c r="B305" s="3" t="s">
        <v>73</v>
      </c>
      <c r="C305" s="52"/>
      <c r="E305" s="66"/>
      <c r="F305" s="70"/>
      <c r="G305" s="35" t="s">
        <v>131</v>
      </c>
      <c r="H305" s="35"/>
      <c r="I305" s="35" t="s">
        <v>133</v>
      </c>
      <c r="J305" s="71"/>
      <c r="K305" s="3" t="s">
        <v>242</v>
      </c>
      <c r="L305" s="36" t="s">
        <v>243</v>
      </c>
      <c r="M305" s="3" t="s">
        <v>253</v>
      </c>
      <c r="N305" s="35" t="s">
        <v>523</v>
      </c>
      <c r="O305" s="35" t="s">
        <v>244</v>
      </c>
      <c r="P305" s="35"/>
      <c r="Q305" s="71" t="s">
        <v>165</v>
      </c>
      <c r="R305" s="35" t="s">
        <v>245</v>
      </c>
      <c r="S305" s="35" t="s">
        <v>79</v>
      </c>
      <c r="T305" s="35" t="s">
        <v>154</v>
      </c>
      <c r="U305" s="35" t="s">
        <v>79</v>
      </c>
      <c r="V305" s="35"/>
      <c r="W305" s="35" t="s">
        <v>90</v>
      </c>
      <c r="X305" s="35"/>
      <c r="Y305" s="35" t="s">
        <v>135</v>
      </c>
      <c r="AB305" s="2" t="s">
        <v>272</v>
      </c>
      <c r="AC305" s="52"/>
      <c r="AL305" s="52"/>
    </row>
    <row r="306" spans="1:38" s="2" customFormat="1" ht="14.1" customHeight="1" x14ac:dyDescent="0.2">
      <c r="A306" s="66">
        <v>50008</v>
      </c>
      <c r="B306" s="3" t="s">
        <v>28</v>
      </c>
      <c r="C306" s="52"/>
      <c r="E306" s="66"/>
      <c r="F306" s="70"/>
      <c r="G306" s="35" t="s">
        <v>131</v>
      </c>
      <c r="H306" s="35"/>
      <c r="I306" s="35" t="s">
        <v>133</v>
      </c>
      <c r="J306" s="71"/>
      <c r="K306" s="3" t="s">
        <v>471</v>
      </c>
      <c r="L306" s="36" t="s">
        <v>472</v>
      </c>
      <c r="M306" s="3" t="s">
        <v>525</v>
      </c>
      <c r="N306" s="35" t="s">
        <v>523</v>
      </c>
      <c r="O306" s="35">
        <v>928</v>
      </c>
      <c r="P306" s="35"/>
      <c r="Q306" s="71" t="s">
        <v>28</v>
      </c>
      <c r="R306" s="35" t="s">
        <v>527</v>
      </c>
      <c r="S306" s="35" t="s">
        <v>79</v>
      </c>
      <c r="T306" s="35" t="s">
        <v>154</v>
      </c>
      <c r="U306" s="35" t="s">
        <v>79</v>
      </c>
      <c r="V306" s="35"/>
      <c r="W306" s="35" t="s">
        <v>90</v>
      </c>
      <c r="X306" s="35"/>
      <c r="Y306" s="35" t="s">
        <v>135</v>
      </c>
      <c r="AB306" s="2" t="s">
        <v>269</v>
      </c>
      <c r="AC306" s="52"/>
      <c r="AL306" s="52"/>
    </row>
    <row r="307" spans="1:38" s="2" customFormat="1" ht="14.1" customHeight="1" x14ac:dyDescent="0.2">
      <c r="A307" s="66">
        <v>50008</v>
      </c>
      <c r="B307" s="3" t="s">
        <v>20</v>
      </c>
      <c r="C307" s="52"/>
      <c r="E307" s="66"/>
      <c r="F307" s="70"/>
      <c r="G307" s="35" t="s">
        <v>131</v>
      </c>
      <c r="H307" s="35"/>
      <c r="I307" s="35" t="s">
        <v>133</v>
      </c>
      <c r="J307" s="71"/>
      <c r="K307" s="3" t="s">
        <v>471</v>
      </c>
      <c r="L307" s="36" t="s">
        <v>472</v>
      </c>
      <c r="M307" s="3" t="s">
        <v>525</v>
      </c>
      <c r="N307" s="35" t="s">
        <v>523</v>
      </c>
      <c r="O307" s="35">
        <v>928</v>
      </c>
      <c r="P307" s="35"/>
      <c r="Q307" s="71" t="s">
        <v>110</v>
      </c>
      <c r="R307" s="35" t="s">
        <v>527</v>
      </c>
      <c r="S307" s="35" t="s">
        <v>79</v>
      </c>
      <c r="T307" s="35" t="s">
        <v>154</v>
      </c>
      <c r="U307" s="35" t="s">
        <v>79</v>
      </c>
      <c r="V307" s="35"/>
      <c r="W307" s="35" t="s">
        <v>90</v>
      </c>
      <c r="X307" s="35"/>
      <c r="Y307" s="35" t="s">
        <v>135</v>
      </c>
      <c r="AB307" s="2" t="s">
        <v>270</v>
      </c>
      <c r="AC307" s="52"/>
      <c r="AL307" s="52"/>
    </row>
    <row r="308" spans="1:38" s="2" customFormat="1" ht="14.1" customHeight="1" x14ac:dyDescent="0.2">
      <c r="A308" s="66">
        <v>50008</v>
      </c>
      <c r="B308" s="3" t="s">
        <v>79</v>
      </c>
      <c r="C308" s="52"/>
      <c r="E308" s="66"/>
      <c r="F308" s="70"/>
      <c r="G308" s="35" t="s">
        <v>131</v>
      </c>
      <c r="H308" s="35"/>
      <c r="I308" s="35" t="s">
        <v>133</v>
      </c>
      <c r="J308" s="71"/>
      <c r="K308" s="3" t="s">
        <v>471</v>
      </c>
      <c r="L308" s="36" t="s">
        <v>472</v>
      </c>
      <c r="M308" s="3" t="s">
        <v>525</v>
      </c>
      <c r="N308" s="35" t="s">
        <v>523</v>
      </c>
      <c r="O308" s="35">
        <v>928</v>
      </c>
      <c r="P308" s="35"/>
      <c r="Q308" s="71" t="s">
        <v>164</v>
      </c>
      <c r="R308" s="35" t="s">
        <v>527</v>
      </c>
      <c r="S308" s="35" t="s">
        <v>79</v>
      </c>
      <c r="T308" s="35" t="s">
        <v>154</v>
      </c>
      <c r="U308" s="35" t="s">
        <v>79</v>
      </c>
      <c r="V308" s="35"/>
      <c r="W308" s="35" t="s">
        <v>90</v>
      </c>
      <c r="X308" s="35"/>
      <c r="Y308" s="35" t="s">
        <v>135</v>
      </c>
      <c r="AB308" s="2" t="s">
        <v>271</v>
      </c>
      <c r="AC308" s="52"/>
      <c r="AL308" s="52"/>
    </row>
    <row r="309" spans="1:38" s="2" customFormat="1" ht="14.1" customHeight="1" x14ac:dyDescent="0.2">
      <c r="A309" s="66">
        <v>50008</v>
      </c>
      <c r="B309" s="3" t="s">
        <v>73</v>
      </c>
      <c r="C309" s="52"/>
      <c r="E309" s="66"/>
      <c r="F309" s="70"/>
      <c r="G309" s="35" t="s">
        <v>131</v>
      </c>
      <c r="H309" s="35"/>
      <c r="I309" s="35" t="s">
        <v>133</v>
      </c>
      <c r="J309" s="71"/>
      <c r="K309" s="3" t="s">
        <v>471</v>
      </c>
      <c r="L309" s="36" t="s">
        <v>472</v>
      </c>
      <c r="M309" s="3" t="s">
        <v>525</v>
      </c>
      <c r="N309" s="35" t="s">
        <v>523</v>
      </c>
      <c r="O309" s="35">
        <v>928</v>
      </c>
      <c r="P309" s="35"/>
      <c r="Q309" s="71" t="s">
        <v>165</v>
      </c>
      <c r="R309" s="35" t="s">
        <v>527</v>
      </c>
      <c r="S309" s="35" t="s">
        <v>79</v>
      </c>
      <c r="T309" s="35" t="s">
        <v>154</v>
      </c>
      <c r="U309" s="35" t="s">
        <v>79</v>
      </c>
      <c r="V309" s="35"/>
      <c r="W309" s="35" t="s">
        <v>90</v>
      </c>
      <c r="Y309" s="35" t="s">
        <v>135</v>
      </c>
      <c r="AB309" s="2" t="s">
        <v>272</v>
      </c>
      <c r="AC309" s="52"/>
      <c r="AL309" s="52"/>
    </row>
    <row r="310" spans="1:38" s="2" customFormat="1" ht="14.1" customHeight="1" x14ac:dyDescent="0.2">
      <c r="A310" s="66">
        <v>50009</v>
      </c>
      <c r="B310" s="3" t="s">
        <v>28</v>
      </c>
      <c r="C310" s="52"/>
      <c r="E310" s="66"/>
      <c r="F310" s="70"/>
      <c r="G310" s="35" t="s">
        <v>131</v>
      </c>
      <c r="H310" s="35"/>
      <c r="I310" s="35" t="s">
        <v>133</v>
      </c>
      <c r="J310" s="71"/>
      <c r="K310" s="3" t="s">
        <v>537</v>
      </c>
      <c r="L310" s="36" t="s">
        <v>533</v>
      </c>
      <c r="M310" s="3" t="s">
        <v>538</v>
      </c>
      <c r="N310" s="35" t="s">
        <v>523</v>
      </c>
      <c r="O310" s="35" t="s">
        <v>534</v>
      </c>
      <c r="P310" s="35"/>
      <c r="Q310" s="71" t="s">
        <v>28</v>
      </c>
      <c r="R310" s="35" t="s">
        <v>536</v>
      </c>
      <c r="S310" s="35" t="s">
        <v>79</v>
      </c>
      <c r="T310" s="35" t="s">
        <v>154</v>
      </c>
      <c r="U310" s="35" t="s">
        <v>79</v>
      </c>
      <c r="V310" s="35"/>
      <c r="W310" s="35"/>
      <c r="X310" s="35"/>
      <c r="Y310" s="35" t="s">
        <v>135</v>
      </c>
      <c r="AB310" s="2" t="s">
        <v>269</v>
      </c>
      <c r="AC310" s="52"/>
      <c r="AL310" s="52"/>
    </row>
    <row r="311" spans="1:38" s="2" customFormat="1" ht="14.1" customHeight="1" x14ac:dyDescent="0.2">
      <c r="A311" s="66">
        <v>50009</v>
      </c>
      <c r="B311" s="3" t="s">
        <v>20</v>
      </c>
      <c r="C311" s="52"/>
      <c r="E311" s="66"/>
      <c r="F311" s="70"/>
      <c r="G311" s="35" t="s">
        <v>131</v>
      </c>
      <c r="H311" s="35"/>
      <c r="I311" s="35" t="s">
        <v>133</v>
      </c>
      <c r="J311" s="71"/>
      <c r="K311" s="3" t="s">
        <v>537</v>
      </c>
      <c r="L311" s="36" t="s">
        <v>533</v>
      </c>
      <c r="M311" s="3" t="s">
        <v>538</v>
      </c>
      <c r="N311" s="35" t="s">
        <v>523</v>
      </c>
      <c r="O311" s="35" t="s">
        <v>534</v>
      </c>
      <c r="P311" s="35"/>
      <c r="Q311" s="71" t="s">
        <v>110</v>
      </c>
      <c r="R311" s="35" t="s">
        <v>536</v>
      </c>
      <c r="S311" s="35" t="s">
        <v>79</v>
      </c>
      <c r="T311" s="35" t="s">
        <v>154</v>
      </c>
      <c r="U311" s="35" t="s">
        <v>79</v>
      </c>
      <c r="V311" s="35"/>
      <c r="W311" s="35"/>
      <c r="X311" s="35"/>
      <c r="Y311" s="35" t="s">
        <v>135</v>
      </c>
      <c r="AB311" s="2" t="s">
        <v>270</v>
      </c>
      <c r="AC311" s="52"/>
      <c r="AL311" s="52"/>
    </row>
    <row r="312" spans="1:38" s="2" customFormat="1" ht="14.1" customHeight="1" x14ac:dyDescent="0.2">
      <c r="A312" s="66">
        <v>50009</v>
      </c>
      <c r="B312" s="3" t="s">
        <v>79</v>
      </c>
      <c r="C312" s="52"/>
      <c r="E312" s="66"/>
      <c r="F312" s="70"/>
      <c r="G312" s="35" t="s">
        <v>131</v>
      </c>
      <c r="H312" s="35"/>
      <c r="I312" s="35" t="s">
        <v>133</v>
      </c>
      <c r="J312" s="71"/>
      <c r="K312" s="3" t="s">
        <v>537</v>
      </c>
      <c r="L312" s="36" t="s">
        <v>533</v>
      </c>
      <c r="M312" s="3" t="s">
        <v>538</v>
      </c>
      <c r="N312" s="35" t="s">
        <v>523</v>
      </c>
      <c r="O312" s="35" t="s">
        <v>534</v>
      </c>
      <c r="P312" s="35"/>
      <c r="Q312" s="71" t="s">
        <v>164</v>
      </c>
      <c r="R312" s="35" t="s">
        <v>536</v>
      </c>
      <c r="S312" s="35" t="s">
        <v>79</v>
      </c>
      <c r="T312" s="35" t="s">
        <v>154</v>
      </c>
      <c r="U312" s="35" t="s">
        <v>79</v>
      </c>
      <c r="V312" s="35"/>
      <c r="W312" s="35"/>
      <c r="X312" s="35"/>
      <c r="Y312" s="35" t="s">
        <v>135</v>
      </c>
      <c r="AB312" s="2" t="s">
        <v>271</v>
      </c>
      <c r="AC312" s="52"/>
      <c r="AL312" s="52"/>
    </row>
    <row r="313" spans="1:38" s="2" customFormat="1" ht="14.1" customHeight="1" x14ac:dyDescent="0.2">
      <c r="A313" s="66">
        <v>50009</v>
      </c>
      <c r="B313" s="3" t="s">
        <v>73</v>
      </c>
      <c r="C313" s="52"/>
      <c r="E313" s="66"/>
      <c r="F313" s="70"/>
      <c r="G313" s="35" t="s">
        <v>131</v>
      </c>
      <c r="H313" s="35"/>
      <c r="I313" s="35" t="s">
        <v>133</v>
      </c>
      <c r="J313" s="71"/>
      <c r="K313" s="3" t="s">
        <v>537</v>
      </c>
      <c r="L313" s="36" t="s">
        <v>533</v>
      </c>
      <c r="M313" s="3" t="s">
        <v>538</v>
      </c>
      <c r="N313" s="35" t="s">
        <v>523</v>
      </c>
      <c r="O313" s="35" t="s">
        <v>534</v>
      </c>
      <c r="P313" s="35"/>
      <c r="Q313" s="71" t="s">
        <v>165</v>
      </c>
      <c r="R313" s="35" t="s">
        <v>536</v>
      </c>
      <c r="S313" s="35" t="s">
        <v>79</v>
      </c>
      <c r="T313" s="35" t="s">
        <v>154</v>
      </c>
      <c r="U313" s="35" t="s">
        <v>79</v>
      </c>
      <c r="V313" s="35"/>
      <c r="W313" s="35"/>
      <c r="Y313" s="35" t="s">
        <v>135</v>
      </c>
      <c r="AB313" s="2" t="s">
        <v>272</v>
      </c>
      <c r="AC313" s="52"/>
      <c r="AL313" s="52"/>
    </row>
    <row r="314" spans="1:38" s="2" customFormat="1" ht="14.1" customHeight="1" x14ac:dyDescent="0.2">
      <c r="A314" s="66" t="s">
        <v>203</v>
      </c>
      <c r="B314" s="3" t="s">
        <v>57</v>
      </c>
      <c r="C314" s="52"/>
      <c r="E314" s="66"/>
      <c r="F314" s="70"/>
      <c r="G314" s="2" t="s">
        <v>204</v>
      </c>
      <c r="I314" s="2" t="s">
        <v>133</v>
      </c>
      <c r="J314" s="70"/>
      <c r="K314" s="3" t="s">
        <v>205</v>
      </c>
      <c r="L314" s="3" t="s">
        <v>139</v>
      </c>
      <c r="M314" s="3" t="s">
        <v>206</v>
      </c>
      <c r="N314" s="2" t="s">
        <v>523</v>
      </c>
      <c r="O314" s="2" t="s">
        <v>207</v>
      </c>
      <c r="Q314" s="70" t="s">
        <v>57</v>
      </c>
      <c r="R314" s="2" t="s">
        <v>208</v>
      </c>
      <c r="S314" s="2" t="s">
        <v>211</v>
      </c>
      <c r="T314" s="2" t="s">
        <v>212</v>
      </c>
      <c r="U314" s="2" t="s">
        <v>210</v>
      </c>
      <c r="W314" s="2" t="s">
        <v>90</v>
      </c>
      <c r="X314" s="2" t="s">
        <v>209</v>
      </c>
      <c r="Y314" s="2" t="s">
        <v>135</v>
      </c>
      <c r="AB314" s="2" t="s">
        <v>269</v>
      </c>
      <c r="AC314" s="52"/>
      <c r="AF314" s="2" t="s">
        <v>213</v>
      </c>
      <c r="AG314" s="2" t="s">
        <v>213</v>
      </c>
      <c r="AH314" s="2" t="s">
        <v>213</v>
      </c>
      <c r="AI314" s="2" t="s">
        <v>213</v>
      </c>
      <c r="AL314" s="52"/>
    </row>
    <row r="315" spans="1:38" s="2" customFormat="1" ht="14.1" customHeight="1" x14ac:dyDescent="0.2">
      <c r="A315" s="66" t="s">
        <v>215</v>
      </c>
      <c r="B315" s="3" t="s">
        <v>57</v>
      </c>
      <c r="C315" s="52"/>
      <c r="E315" s="66"/>
      <c r="F315" s="70"/>
      <c r="G315" s="2" t="s">
        <v>204</v>
      </c>
      <c r="I315" s="2" t="s">
        <v>133</v>
      </c>
      <c r="J315" s="70"/>
      <c r="K315" s="3" t="s">
        <v>140</v>
      </c>
      <c r="L315" s="36" t="s">
        <v>144</v>
      </c>
      <c r="M315" s="36" t="s">
        <v>192</v>
      </c>
      <c r="N315" s="35" t="s">
        <v>523</v>
      </c>
      <c r="O315" s="35" t="s">
        <v>216</v>
      </c>
      <c r="P315" s="35"/>
      <c r="Q315" s="71" t="s">
        <v>57</v>
      </c>
      <c r="R315" s="35" t="s">
        <v>145</v>
      </c>
      <c r="S315" s="2" t="s">
        <v>28</v>
      </c>
      <c r="T315" s="2" t="s">
        <v>191</v>
      </c>
      <c r="U315" s="2" t="s">
        <v>73</v>
      </c>
      <c r="W315" s="35" t="s">
        <v>90</v>
      </c>
      <c r="X315" s="35" t="s">
        <v>142</v>
      </c>
      <c r="Y315" s="35" t="s">
        <v>135</v>
      </c>
      <c r="AB315" s="2" t="s">
        <v>269</v>
      </c>
      <c r="AC315" s="52"/>
      <c r="AF315" s="2" t="s">
        <v>73</v>
      </c>
      <c r="AG315" s="2" t="s">
        <v>73</v>
      </c>
      <c r="AH315" s="2" t="s">
        <v>73</v>
      </c>
      <c r="AI315" s="2" t="s">
        <v>73</v>
      </c>
      <c r="AL315" s="52"/>
    </row>
    <row r="316" spans="1:38" s="2" customFormat="1" ht="14.1" customHeight="1" x14ac:dyDescent="0.2">
      <c r="A316" s="66" t="s">
        <v>246</v>
      </c>
      <c r="B316" s="3" t="s">
        <v>57</v>
      </c>
      <c r="C316" s="52"/>
      <c r="E316" s="66"/>
      <c r="F316" s="70"/>
      <c r="G316" s="2" t="s">
        <v>204</v>
      </c>
      <c r="I316" s="2" t="s">
        <v>133</v>
      </c>
      <c r="J316" s="70"/>
      <c r="K316" s="3" t="s">
        <v>247</v>
      </c>
      <c r="L316" s="36" t="s">
        <v>248</v>
      </c>
      <c r="M316" s="36" t="s">
        <v>252</v>
      </c>
      <c r="N316" s="35" t="s">
        <v>523</v>
      </c>
      <c r="O316" s="35" t="s">
        <v>249</v>
      </c>
      <c r="P316" s="35"/>
      <c r="Q316" s="71" t="s">
        <v>57</v>
      </c>
      <c r="R316" s="35" t="s">
        <v>250</v>
      </c>
      <c r="S316" s="2" t="s">
        <v>28</v>
      </c>
      <c r="T316" s="2" t="s">
        <v>191</v>
      </c>
      <c r="U316" s="2" t="s">
        <v>73</v>
      </c>
      <c r="W316" s="35" t="s">
        <v>90</v>
      </c>
      <c r="X316" s="35" t="s">
        <v>153</v>
      </c>
      <c r="Y316" s="35" t="s">
        <v>135</v>
      </c>
      <c r="AB316" s="2" t="s">
        <v>269</v>
      </c>
      <c r="AC316" s="52"/>
      <c r="AF316" s="2" t="s">
        <v>73</v>
      </c>
      <c r="AG316" s="2" t="s">
        <v>73</v>
      </c>
      <c r="AH316" s="2" t="s">
        <v>73</v>
      </c>
      <c r="AI316" s="2" t="s">
        <v>73</v>
      </c>
      <c r="AL316" s="52"/>
    </row>
    <row r="317" spans="1:38" s="2" customFormat="1" ht="14.1" customHeight="1" x14ac:dyDescent="0.2">
      <c r="A317" s="66" t="s">
        <v>254</v>
      </c>
      <c r="B317" s="3" t="s">
        <v>57</v>
      </c>
      <c r="C317" s="52"/>
      <c r="E317" s="66"/>
      <c r="F317" s="70"/>
      <c r="G317" s="2" t="s">
        <v>204</v>
      </c>
      <c r="I317" s="2" t="s">
        <v>133</v>
      </c>
      <c r="J317" s="70"/>
      <c r="K317" s="3" t="s">
        <v>167</v>
      </c>
      <c r="L317" s="36" t="s">
        <v>168</v>
      </c>
      <c r="M317" s="3" t="s">
        <v>259</v>
      </c>
      <c r="N317" s="35" t="s">
        <v>523</v>
      </c>
      <c r="O317" s="35" t="s">
        <v>255</v>
      </c>
      <c r="P317" s="35"/>
      <c r="Q317" s="71" t="s">
        <v>256</v>
      </c>
      <c r="R317" s="35" t="s">
        <v>161</v>
      </c>
      <c r="S317" s="35" t="s">
        <v>257</v>
      </c>
      <c r="T317" s="35" t="s">
        <v>191</v>
      </c>
      <c r="U317" s="35" t="s">
        <v>258</v>
      </c>
      <c r="W317" s="35" t="s">
        <v>90</v>
      </c>
      <c r="X317" s="35"/>
      <c r="Y317" s="35"/>
      <c r="AB317" s="2" t="s">
        <v>269</v>
      </c>
      <c r="AC317" s="52"/>
      <c r="AF317" s="2" t="s">
        <v>73</v>
      </c>
      <c r="AG317" s="2" t="s">
        <v>73</v>
      </c>
      <c r="AH317" s="2" t="s">
        <v>73</v>
      </c>
      <c r="AI317" s="2" t="s">
        <v>73</v>
      </c>
      <c r="AL317" s="52"/>
    </row>
    <row r="318" spans="1:38" s="2" customFormat="1" ht="14.1" customHeight="1" x14ac:dyDescent="0.2">
      <c r="A318" s="66" t="s">
        <v>262</v>
      </c>
      <c r="B318" s="3" t="s">
        <v>57</v>
      </c>
      <c r="C318" s="52"/>
      <c r="E318" s="66"/>
      <c r="F318" s="70"/>
      <c r="G318" s="2" t="s">
        <v>204</v>
      </c>
      <c r="I318" s="2" t="s">
        <v>133</v>
      </c>
      <c r="J318" s="70"/>
      <c r="K318" s="3" t="s">
        <v>198</v>
      </c>
      <c r="L318" s="36" t="s">
        <v>199</v>
      </c>
      <c r="M318" s="3" t="s">
        <v>214</v>
      </c>
      <c r="N318" s="35" t="s">
        <v>523</v>
      </c>
      <c r="O318" s="35" t="s">
        <v>263</v>
      </c>
      <c r="P318" s="35"/>
      <c r="Q318" s="71" t="s">
        <v>28</v>
      </c>
      <c r="R318" s="35" t="s">
        <v>201</v>
      </c>
      <c r="S318" s="35" t="s">
        <v>28</v>
      </c>
      <c r="T318" s="35" t="s">
        <v>191</v>
      </c>
      <c r="U318" s="35" t="s">
        <v>73</v>
      </c>
      <c r="W318" s="35" t="s">
        <v>90</v>
      </c>
      <c r="X318" s="35"/>
      <c r="Y318" s="35"/>
      <c r="AB318" s="2" t="s">
        <v>269</v>
      </c>
      <c r="AC318" s="52"/>
      <c r="AF318" s="2" t="s">
        <v>73</v>
      </c>
      <c r="AG318" s="2" t="s">
        <v>73</v>
      </c>
      <c r="AH318" s="2" t="s">
        <v>73</v>
      </c>
      <c r="AI318" s="2" t="s">
        <v>73</v>
      </c>
      <c r="AL318" s="52"/>
    </row>
    <row r="319" spans="1:38" s="2" customFormat="1" ht="14.1" customHeight="1" x14ac:dyDescent="0.2">
      <c r="A319" s="66" t="s">
        <v>264</v>
      </c>
      <c r="B319" s="3" t="s">
        <v>57</v>
      </c>
      <c r="C319" s="52"/>
      <c r="E319" s="66"/>
      <c r="F319" s="70"/>
      <c r="G319" s="2" t="s">
        <v>204</v>
      </c>
      <c r="I319" s="2" t="s">
        <v>133</v>
      </c>
      <c r="J319" s="70"/>
      <c r="K319" s="3" t="s">
        <v>265</v>
      </c>
      <c r="L319" s="36" t="s">
        <v>266</v>
      </c>
      <c r="M319" s="3" t="s">
        <v>226</v>
      </c>
      <c r="N319" s="35" t="s">
        <v>523</v>
      </c>
      <c r="O319" s="35" t="s">
        <v>267</v>
      </c>
      <c r="P319" s="35"/>
      <c r="Q319" s="71" t="s">
        <v>28</v>
      </c>
      <c r="R319" s="35" t="s">
        <v>268</v>
      </c>
      <c r="S319" s="35" t="s">
        <v>28</v>
      </c>
      <c r="T319" s="35" t="s">
        <v>191</v>
      </c>
      <c r="U319" s="35" t="s">
        <v>73</v>
      </c>
      <c r="W319" s="35" t="s">
        <v>90</v>
      </c>
      <c r="X319" s="35"/>
      <c r="Y319" s="35"/>
      <c r="AB319" s="2" t="s">
        <v>269</v>
      </c>
      <c r="AC319" s="52"/>
      <c r="AF319" s="2" t="s">
        <v>73</v>
      </c>
      <c r="AG319" s="2" t="s">
        <v>73</v>
      </c>
      <c r="AH319" s="2" t="s">
        <v>73</v>
      </c>
      <c r="AI319" s="2" t="s">
        <v>73</v>
      </c>
      <c r="AL319" s="52"/>
    </row>
    <row r="320" spans="1:38" s="2" customFormat="1" ht="14.1" customHeight="1" x14ac:dyDescent="0.2">
      <c r="A320" s="66" t="s">
        <v>273</v>
      </c>
      <c r="B320" s="3" t="s">
        <v>57</v>
      </c>
      <c r="C320" s="52"/>
      <c r="E320" s="66"/>
      <c r="F320" s="70"/>
      <c r="G320" s="2" t="s">
        <v>204</v>
      </c>
      <c r="I320" s="2" t="s">
        <v>133</v>
      </c>
      <c r="J320" s="70"/>
      <c r="K320" s="3" t="s">
        <v>274</v>
      </c>
      <c r="L320" s="36" t="s">
        <v>275</v>
      </c>
      <c r="M320" s="3" t="s">
        <v>532</v>
      </c>
      <c r="N320" s="35" t="s">
        <v>523</v>
      </c>
      <c r="O320" s="35" t="s">
        <v>276</v>
      </c>
      <c r="P320" s="35"/>
      <c r="Q320" s="71" t="s">
        <v>28</v>
      </c>
      <c r="R320" s="35" t="s">
        <v>277</v>
      </c>
      <c r="S320" s="35" t="s">
        <v>28</v>
      </c>
      <c r="T320" s="35" t="s">
        <v>191</v>
      </c>
      <c r="U320" s="35" t="s">
        <v>73</v>
      </c>
      <c r="W320" s="35" t="s">
        <v>90</v>
      </c>
      <c r="X320" s="35"/>
      <c r="Y320" s="35"/>
      <c r="AB320" s="2" t="s">
        <v>269</v>
      </c>
      <c r="AC320" s="52"/>
      <c r="AF320" s="2" t="s">
        <v>73</v>
      </c>
      <c r="AG320" s="2" t="s">
        <v>73</v>
      </c>
      <c r="AH320" s="2" t="s">
        <v>73</v>
      </c>
      <c r="AI320" s="2" t="s">
        <v>73</v>
      </c>
      <c r="AL320" s="52"/>
    </row>
    <row r="321" spans="1:38" s="2" customFormat="1" ht="14.1" customHeight="1" x14ac:dyDescent="0.2">
      <c r="A321" s="66">
        <v>60008</v>
      </c>
      <c r="B321" s="3" t="s">
        <v>57</v>
      </c>
      <c r="C321" s="52"/>
      <c r="E321" s="66"/>
      <c r="F321" s="70"/>
      <c r="G321" s="2" t="s">
        <v>204</v>
      </c>
      <c r="I321" s="2" t="s">
        <v>133</v>
      </c>
      <c r="J321" s="70"/>
      <c r="K321" s="3" t="s">
        <v>473</v>
      </c>
      <c r="L321" s="36" t="s">
        <v>474</v>
      </c>
      <c r="M321" s="3" t="s">
        <v>525</v>
      </c>
      <c r="N321" s="35" t="s">
        <v>523</v>
      </c>
      <c r="O321" s="35" t="s">
        <v>475</v>
      </c>
      <c r="P321" s="35"/>
      <c r="Q321" s="71" t="s">
        <v>28</v>
      </c>
      <c r="R321" s="35" t="s">
        <v>527</v>
      </c>
      <c r="S321" s="35" t="s">
        <v>28</v>
      </c>
      <c r="T321" s="35" t="s">
        <v>191</v>
      </c>
      <c r="U321" s="35" t="s">
        <v>73</v>
      </c>
      <c r="W321" s="35" t="s">
        <v>90</v>
      </c>
      <c r="Y321" s="35"/>
      <c r="AB321" s="2" t="s">
        <v>269</v>
      </c>
      <c r="AC321" s="52"/>
      <c r="AF321" s="2" t="s">
        <v>73</v>
      </c>
      <c r="AG321" s="2" t="s">
        <v>73</v>
      </c>
      <c r="AH321" s="2" t="s">
        <v>73</v>
      </c>
      <c r="AI321" s="2" t="s">
        <v>73</v>
      </c>
      <c r="AL321" s="52"/>
    </row>
    <row r="322" spans="1:38" s="2" customFormat="1" ht="14.1" customHeight="1" x14ac:dyDescent="0.2">
      <c r="A322" s="66">
        <v>60009</v>
      </c>
      <c r="B322" s="3" t="s">
        <v>57</v>
      </c>
      <c r="C322" s="52"/>
      <c r="E322" s="66"/>
      <c r="F322" s="70"/>
      <c r="G322" s="2" t="s">
        <v>204</v>
      </c>
      <c r="I322" s="2" t="s">
        <v>133</v>
      </c>
      <c r="J322" s="70"/>
      <c r="K322" s="3" t="s">
        <v>537</v>
      </c>
      <c r="L322" s="36" t="s">
        <v>539</v>
      </c>
      <c r="M322" s="3" t="s">
        <v>538</v>
      </c>
      <c r="N322" s="35" t="s">
        <v>523</v>
      </c>
      <c r="O322" s="35" t="s">
        <v>535</v>
      </c>
      <c r="P322" s="35"/>
      <c r="Q322" s="71" t="s">
        <v>28</v>
      </c>
      <c r="R322" s="35" t="s">
        <v>536</v>
      </c>
      <c r="S322" s="35" t="s">
        <v>28</v>
      </c>
      <c r="T322" s="35" t="s">
        <v>191</v>
      </c>
      <c r="U322" s="35" t="s">
        <v>73</v>
      </c>
      <c r="W322" s="35" t="s">
        <v>90</v>
      </c>
      <c r="Y322" s="35"/>
      <c r="AB322" s="2" t="s">
        <v>269</v>
      </c>
      <c r="AC322" s="52"/>
      <c r="AF322" s="2" t="s">
        <v>73</v>
      </c>
      <c r="AG322" s="2" t="s">
        <v>73</v>
      </c>
      <c r="AH322" s="2" t="s">
        <v>73</v>
      </c>
      <c r="AI322" s="2" t="s">
        <v>73</v>
      </c>
      <c r="AL322" s="52"/>
    </row>
    <row r="323" spans="1:38" s="105" customFormat="1" ht="14.1" customHeight="1" x14ac:dyDescent="0.2">
      <c r="A323" s="103">
        <v>70001</v>
      </c>
      <c r="B323" s="104" t="s">
        <v>57</v>
      </c>
      <c r="C323" s="101"/>
      <c r="E323" s="103"/>
      <c r="F323" s="106"/>
      <c r="G323" s="102" t="s">
        <v>131</v>
      </c>
      <c r="H323" s="102"/>
      <c r="I323" s="102" t="s">
        <v>133</v>
      </c>
      <c r="J323" s="106"/>
      <c r="K323" s="107" t="s">
        <v>138</v>
      </c>
      <c r="L323" s="104" t="s">
        <v>139</v>
      </c>
      <c r="M323" s="104" t="s">
        <v>169</v>
      </c>
      <c r="N323" s="102" t="s">
        <v>523</v>
      </c>
      <c r="O323" s="102" t="s">
        <v>905</v>
      </c>
      <c r="P323" s="102"/>
      <c r="Q323" s="106" t="s">
        <v>57</v>
      </c>
      <c r="R323" s="102" t="s">
        <v>137</v>
      </c>
      <c r="S323" s="102" t="s">
        <v>36</v>
      </c>
      <c r="T323" s="102" t="s">
        <v>191</v>
      </c>
      <c r="U323" s="102" t="s">
        <v>79</v>
      </c>
      <c r="V323" s="102"/>
      <c r="W323" s="102" t="s">
        <v>90</v>
      </c>
      <c r="X323" s="102" t="s">
        <v>136</v>
      </c>
      <c r="Y323" s="102" t="s">
        <v>135</v>
      </c>
      <c r="Z323" s="102"/>
      <c r="AA323" s="101"/>
      <c r="AB323" s="102"/>
      <c r="AC323" s="101"/>
      <c r="AL323" s="108"/>
    </row>
    <row r="324" spans="1:38" s="105" customFormat="1" ht="14.1" customHeight="1" x14ac:dyDescent="0.2">
      <c r="A324" s="103">
        <v>70001</v>
      </c>
      <c r="B324" s="104" t="s">
        <v>19</v>
      </c>
      <c r="C324" s="101"/>
      <c r="E324" s="103"/>
      <c r="F324" s="106"/>
      <c r="G324" s="102" t="s">
        <v>131</v>
      </c>
      <c r="H324" s="102"/>
      <c r="I324" s="102" t="s">
        <v>133</v>
      </c>
      <c r="J324" s="106"/>
      <c r="K324" s="107" t="s">
        <v>138</v>
      </c>
      <c r="L324" s="104" t="s">
        <v>139</v>
      </c>
      <c r="M324" s="104" t="s">
        <v>169</v>
      </c>
      <c r="N324" s="102" t="s">
        <v>523</v>
      </c>
      <c r="O324" s="102" t="s">
        <v>905</v>
      </c>
      <c r="P324" s="102"/>
      <c r="Q324" s="106" t="s">
        <v>42</v>
      </c>
      <c r="R324" s="102" t="s">
        <v>137</v>
      </c>
      <c r="S324" s="102" t="s">
        <v>36</v>
      </c>
      <c r="T324" s="102" t="s">
        <v>191</v>
      </c>
      <c r="U324" s="102" t="s">
        <v>79</v>
      </c>
      <c r="V324" s="102"/>
      <c r="W324" s="102" t="s">
        <v>90</v>
      </c>
      <c r="X324" s="102" t="s">
        <v>136</v>
      </c>
      <c r="Y324" s="102" t="s">
        <v>135</v>
      </c>
      <c r="Z324" s="102"/>
      <c r="AA324" s="101"/>
      <c r="AB324" s="102"/>
      <c r="AC324" s="101"/>
      <c r="AL324" s="108"/>
    </row>
    <row r="325" spans="1:38" s="105" customFormat="1" ht="14.1" customHeight="1" x14ac:dyDescent="0.2">
      <c r="A325" s="103">
        <v>70001</v>
      </c>
      <c r="B325" s="104" t="s">
        <v>36</v>
      </c>
      <c r="C325" s="101"/>
      <c r="E325" s="103"/>
      <c r="F325" s="106"/>
      <c r="G325" s="102" t="s">
        <v>131</v>
      </c>
      <c r="H325" s="102"/>
      <c r="I325" s="102" t="s">
        <v>133</v>
      </c>
      <c r="J325" s="106"/>
      <c r="K325" s="107" t="s">
        <v>138</v>
      </c>
      <c r="L325" s="104" t="s">
        <v>139</v>
      </c>
      <c r="M325" s="104" t="s">
        <v>169</v>
      </c>
      <c r="N325" s="102" t="s">
        <v>523</v>
      </c>
      <c r="O325" s="102" t="s">
        <v>905</v>
      </c>
      <c r="P325" s="102"/>
      <c r="Q325" s="106" t="s">
        <v>52</v>
      </c>
      <c r="R325" s="102" t="s">
        <v>137</v>
      </c>
      <c r="S325" s="102" t="s">
        <v>36</v>
      </c>
      <c r="T325" s="102" t="s">
        <v>191</v>
      </c>
      <c r="U325" s="102" t="s">
        <v>79</v>
      </c>
      <c r="V325" s="102"/>
      <c r="W325" s="102" t="s">
        <v>90</v>
      </c>
      <c r="X325" s="102" t="s">
        <v>136</v>
      </c>
      <c r="Y325" s="102" t="s">
        <v>135</v>
      </c>
      <c r="Z325" s="102"/>
      <c r="AA325" s="101"/>
      <c r="AB325" s="102"/>
      <c r="AC325" s="101"/>
      <c r="AL325" s="108"/>
    </row>
    <row r="326" spans="1:38" s="105" customFormat="1" ht="14.1" customHeight="1" x14ac:dyDescent="0.2">
      <c r="A326" s="103">
        <v>70001</v>
      </c>
      <c r="B326" s="104" t="s">
        <v>37</v>
      </c>
      <c r="C326" s="101"/>
      <c r="E326" s="103"/>
      <c r="F326" s="106"/>
      <c r="G326" s="102" t="s">
        <v>131</v>
      </c>
      <c r="H326" s="102"/>
      <c r="I326" s="102" t="s">
        <v>133</v>
      </c>
      <c r="J326" s="106"/>
      <c r="K326" s="107" t="s">
        <v>138</v>
      </c>
      <c r="L326" s="104" t="s">
        <v>139</v>
      </c>
      <c r="M326" s="104" t="s">
        <v>169</v>
      </c>
      <c r="N326" s="102" t="s">
        <v>523</v>
      </c>
      <c r="O326" s="102" t="s">
        <v>905</v>
      </c>
      <c r="P326" s="102"/>
      <c r="Q326" s="106" t="s">
        <v>56</v>
      </c>
      <c r="R326" s="102" t="s">
        <v>137</v>
      </c>
      <c r="S326" s="102" t="s">
        <v>36</v>
      </c>
      <c r="T326" s="102" t="s">
        <v>191</v>
      </c>
      <c r="U326" s="102" t="s">
        <v>79</v>
      </c>
      <c r="V326" s="102"/>
      <c r="W326" s="102" t="s">
        <v>90</v>
      </c>
      <c r="X326" s="102" t="s">
        <v>136</v>
      </c>
      <c r="Y326" s="102" t="s">
        <v>135</v>
      </c>
      <c r="Z326" s="102"/>
      <c r="AA326" s="101"/>
      <c r="AB326" s="102"/>
      <c r="AC326" s="101"/>
      <c r="AL326" s="108"/>
    </row>
    <row r="327" spans="1:38" s="105" customFormat="1" ht="14.1" customHeight="1" x14ac:dyDescent="0.2">
      <c r="A327" s="103">
        <v>70002</v>
      </c>
      <c r="B327" s="107" t="s">
        <v>907</v>
      </c>
      <c r="C327" s="108"/>
      <c r="E327" s="109"/>
      <c r="F327" s="110"/>
      <c r="G327" s="105" t="s">
        <v>204</v>
      </c>
      <c r="I327" s="105" t="s">
        <v>133</v>
      </c>
      <c r="J327" s="110"/>
      <c r="K327" s="107" t="s">
        <v>205</v>
      </c>
      <c r="L327" s="107" t="s">
        <v>139</v>
      </c>
      <c r="M327" s="107" t="s">
        <v>206</v>
      </c>
      <c r="N327" s="105" t="s">
        <v>523</v>
      </c>
      <c r="O327" s="105" t="s">
        <v>906</v>
      </c>
      <c r="Q327" s="110" t="s">
        <v>57</v>
      </c>
      <c r="R327" s="105" t="s">
        <v>208</v>
      </c>
      <c r="S327" s="105" t="s">
        <v>28</v>
      </c>
      <c r="T327" s="102" t="s">
        <v>191</v>
      </c>
      <c r="U327" s="105" t="s">
        <v>73</v>
      </c>
      <c r="W327" s="105" t="s">
        <v>90</v>
      </c>
      <c r="X327" s="105" t="s">
        <v>209</v>
      </c>
      <c r="Y327" s="105" t="s">
        <v>135</v>
      </c>
      <c r="AC327" s="108"/>
      <c r="AF327" s="105" t="s">
        <v>73</v>
      </c>
      <c r="AG327" s="105" t="s">
        <v>73</v>
      </c>
      <c r="AH327" s="105" t="s">
        <v>73</v>
      </c>
      <c r="AI327" s="105" t="s">
        <v>73</v>
      </c>
      <c r="AL327" s="108"/>
    </row>
    <row r="328" spans="1:38" s="105" customFormat="1" ht="14.1" customHeight="1" x14ac:dyDescent="0.2">
      <c r="A328" s="103">
        <v>70002</v>
      </c>
      <c r="B328" s="107" t="s">
        <v>908</v>
      </c>
      <c r="C328" s="108"/>
      <c r="E328" s="109"/>
      <c r="F328" s="110"/>
      <c r="G328" s="105" t="s">
        <v>204</v>
      </c>
      <c r="I328" s="105" t="s">
        <v>133</v>
      </c>
      <c r="J328" s="110"/>
      <c r="K328" s="107" t="s">
        <v>205</v>
      </c>
      <c r="L328" s="107" t="s">
        <v>139</v>
      </c>
      <c r="M328" s="107" t="s">
        <v>206</v>
      </c>
      <c r="N328" s="105" t="s">
        <v>523</v>
      </c>
      <c r="O328" s="105" t="s">
        <v>906</v>
      </c>
      <c r="Q328" s="110">
        <v>11</v>
      </c>
      <c r="R328" s="105" t="s">
        <v>208</v>
      </c>
      <c r="S328" s="105" t="s">
        <v>28</v>
      </c>
      <c r="T328" s="102" t="s">
        <v>191</v>
      </c>
      <c r="U328" s="105" t="s">
        <v>73</v>
      </c>
      <c r="W328" s="105" t="s">
        <v>90</v>
      </c>
      <c r="X328" s="105" t="s">
        <v>209</v>
      </c>
      <c r="Y328" s="105" t="s">
        <v>135</v>
      </c>
      <c r="AC328" s="108"/>
      <c r="AF328" s="105" t="s">
        <v>73</v>
      </c>
      <c r="AG328" s="105" t="s">
        <v>73</v>
      </c>
      <c r="AH328" s="105" t="s">
        <v>73</v>
      </c>
      <c r="AI328" s="105" t="s">
        <v>73</v>
      </c>
      <c r="AL328" s="108"/>
    </row>
    <row r="329" spans="1:38" s="105" customFormat="1" ht="14.1" customHeight="1" x14ac:dyDescent="0.2">
      <c r="A329" s="103">
        <v>70002</v>
      </c>
      <c r="B329" s="107" t="s">
        <v>909</v>
      </c>
      <c r="C329" s="108"/>
      <c r="E329" s="109"/>
      <c r="F329" s="110"/>
      <c r="G329" s="105" t="s">
        <v>204</v>
      </c>
      <c r="I329" s="105" t="s">
        <v>133</v>
      </c>
      <c r="J329" s="110"/>
      <c r="K329" s="107" t="s">
        <v>205</v>
      </c>
      <c r="L329" s="107" t="s">
        <v>139</v>
      </c>
      <c r="M329" s="107" t="s">
        <v>206</v>
      </c>
      <c r="N329" s="105" t="s">
        <v>523</v>
      </c>
      <c r="O329" s="105" t="s">
        <v>906</v>
      </c>
      <c r="Q329" s="110">
        <v>21</v>
      </c>
      <c r="R329" s="105" t="s">
        <v>208</v>
      </c>
      <c r="S329" s="105" t="s">
        <v>28</v>
      </c>
      <c r="T329" s="102" t="s">
        <v>191</v>
      </c>
      <c r="U329" s="105" t="s">
        <v>73</v>
      </c>
      <c r="W329" s="105" t="s">
        <v>90</v>
      </c>
      <c r="X329" s="105" t="s">
        <v>209</v>
      </c>
      <c r="Y329" s="105" t="s">
        <v>135</v>
      </c>
      <c r="AC329" s="108"/>
      <c r="AF329" s="105" t="s">
        <v>73</v>
      </c>
      <c r="AG329" s="105" t="s">
        <v>73</v>
      </c>
      <c r="AH329" s="105" t="s">
        <v>73</v>
      </c>
      <c r="AI329" s="105" t="s">
        <v>73</v>
      </c>
      <c r="AL329" s="108"/>
    </row>
    <row r="330" spans="1:38" s="105" customFormat="1" ht="14.1" customHeight="1" x14ac:dyDescent="0.2">
      <c r="A330" s="103">
        <v>70002</v>
      </c>
      <c r="B330" s="107" t="s">
        <v>910</v>
      </c>
      <c r="C330" s="108"/>
      <c r="E330" s="109"/>
      <c r="F330" s="110"/>
      <c r="G330" s="105" t="s">
        <v>204</v>
      </c>
      <c r="I330" s="105" t="s">
        <v>133</v>
      </c>
      <c r="J330" s="110"/>
      <c r="K330" s="107" t="s">
        <v>205</v>
      </c>
      <c r="L330" s="107" t="s">
        <v>139</v>
      </c>
      <c r="M330" s="107" t="s">
        <v>206</v>
      </c>
      <c r="N330" s="105" t="s">
        <v>523</v>
      </c>
      <c r="O330" s="105" t="s">
        <v>906</v>
      </c>
      <c r="Q330" s="110">
        <v>31</v>
      </c>
      <c r="R330" s="105" t="s">
        <v>208</v>
      </c>
      <c r="S330" s="105" t="s">
        <v>28</v>
      </c>
      <c r="T330" s="102" t="s">
        <v>191</v>
      </c>
      <c r="U330" s="105" t="s">
        <v>73</v>
      </c>
      <c r="W330" s="105" t="s">
        <v>90</v>
      </c>
      <c r="X330" s="105" t="s">
        <v>209</v>
      </c>
      <c r="Y330" s="105" t="s">
        <v>135</v>
      </c>
      <c r="AC330" s="108"/>
      <c r="AF330" s="105" t="s">
        <v>73</v>
      </c>
      <c r="AG330" s="105" t="s">
        <v>73</v>
      </c>
      <c r="AH330" s="105" t="s">
        <v>73</v>
      </c>
      <c r="AI330" s="105" t="s">
        <v>73</v>
      </c>
      <c r="AL330" s="108"/>
    </row>
    <row r="331" spans="1:38" s="105" customFormat="1" ht="14.1" customHeight="1" x14ac:dyDescent="0.2">
      <c r="A331" s="103">
        <v>70003</v>
      </c>
      <c r="B331" s="104" t="s">
        <v>57</v>
      </c>
      <c r="C331" s="101"/>
      <c r="E331" s="103"/>
      <c r="F331" s="106"/>
      <c r="G331" s="102" t="s">
        <v>131</v>
      </c>
      <c r="H331" s="102"/>
      <c r="I331" s="102" t="s">
        <v>133</v>
      </c>
      <c r="J331" s="106"/>
      <c r="K331" s="107" t="s">
        <v>140</v>
      </c>
      <c r="L331" s="104" t="s">
        <v>144</v>
      </c>
      <c r="M331" s="104" t="s">
        <v>192</v>
      </c>
      <c r="N331" s="102" t="s">
        <v>523</v>
      </c>
      <c r="O331" s="102" t="s">
        <v>911</v>
      </c>
      <c r="P331" s="102"/>
      <c r="Q331" s="106" t="s">
        <v>57</v>
      </c>
      <c r="R331" s="102" t="s">
        <v>145</v>
      </c>
      <c r="S331" s="102" t="s">
        <v>36</v>
      </c>
      <c r="T331" s="102" t="s">
        <v>191</v>
      </c>
      <c r="U331" s="102" t="s">
        <v>79</v>
      </c>
      <c r="V331" s="102"/>
      <c r="W331" s="102" t="s">
        <v>90</v>
      </c>
      <c r="X331" s="102" t="s">
        <v>142</v>
      </c>
      <c r="Y331" s="102" t="s">
        <v>135</v>
      </c>
      <c r="Z331" s="102"/>
      <c r="AA331" s="101"/>
      <c r="AB331" s="102"/>
      <c r="AC331" s="101"/>
      <c r="AL331" s="108"/>
    </row>
    <row r="332" spans="1:38" s="105" customFormat="1" ht="14.1" customHeight="1" x14ac:dyDescent="0.2">
      <c r="A332" s="103">
        <v>70003</v>
      </c>
      <c r="B332" s="104" t="s">
        <v>19</v>
      </c>
      <c r="C332" s="101"/>
      <c r="E332" s="103"/>
      <c r="F332" s="106"/>
      <c r="G332" s="102" t="s">
        <v>131</v>
      </c>
      <c r="H332" s="102"/>
      <c r="I332" s="102" t="s">
        <v>133</v>
      </c>
      <c r="J332" s="106"/>
      <c r="K332" s="107" t="s">
        <v>140</v>
      </c>
      <c r="L332" s="104" t="s">
        <v>144</v>
      </c>
      <c r="M332" s="104" t="s">
        <v>192</v>
      </c>
      <c r="N332" s="102" t="s">
        <v>523</v>
      </c>
      <c r="O332" s="102" t="s">
        <v>911</v>
      </c>
      <c r="P332" s="102"/>
      <c r="Q332" s="106" t="s">
        <v>42</v>
      </c>
      <c r="R332" s="102" t="s">
        <v>145</v>
      </c>
      <c r="S332" s="102" t="s">
        <v>36</v>
      </c>
      <c r="T332" s="102" t="s">
        <v>191</v>
      </c>
      <c r="U332" s="102" t="s">
        <v>79</v>
      </c>
      <c r="V332" s="102"/>
      <c r="W332" s="102" t="s">
        <v>90</v>
      </c>
      <c r="X332" s="102" t="s">
        <v>142</v>
      </c>
      <c r="Y332" s="102" t="s">
        <v>135</v>
      </c>
      <c r="Z332" s="102"/>
      <c r="AA332" s="101"/>
      <c r="AB332" s="102"/>
      <c r="AC332" s="101"/>
      <c r="AL332" s="108"/>
    </row>
    <row r="333" spans="1:38" s="105" customFormat="1" ht="14.1" customHeight="1" x14ac:dyDescent="0.2">
      <c r="A333" s="103">
        <v>70003</v>
      </c>
      <c r="B333" s="104" t="s">
        <v>36</v>
      </c>
      <c r="C333" s="101"/>
      <c r="E333" s="103"/>
      <c r="F333" s="106"/>
      <c r="G333" s="102" t="s">
        <v>131</v>
      </c>
      <c r="H333" s="102"/>
      <c r="I333" s="102" t="s">
        <v>133</v>
      </c>
      <c r="J333" s="106"/>
      <c r="K333" s="107" t="s">
        <v>140</v>
      </c>
      <c r="L333" s="104" t="s">
        <v>144</v>
      </c>
      <c r="M333" s="104" t="s">
        <v>192</v>
      </c>
      <c r="N333" s="102" t="s">
        <v>523</v>
      </c>
      <c r="O333" s="102" t="s">
        <v>911</v>
      </c>
      <c r="P333" s="102"/>
      <c r="Q333" s="106" t="s">
        <v>52</v>
      </c>
      <c r="R333" s="102" t="s">
        <v>145</v>
      </c>
      <c r="S333" s="102" t="s">
        <v>36</v>
      </c>
      <c r="T333" s="102" t="s">
        <v>191</v>
      </c>
      <c r="U333" s="102" t="s">
        <v>79</v>
      </c>
      <c r="V333" s="102"/>
      <c r="W333" s="102" t="s">
        <v>90</v>
      </c>
      <c r="X333" s="102" t="s">
        <v>142</v>
      </c>
      <c r="Y333" s="102" t="s">
        <v>135</v>
      </c>
      <c r="Z333" s="102"/>
      <c r="AA333" s="101"/>
      <c r="AB333" s="102"/>
      <c r="AC333" s="101"/>
      <c r="AL333" s="108"/>
    </row>
    <row r="334" spans="1:38" s="105" customFormat="1" ht="14.1" customHeight="1" x14ac:dyDescent="0.2">
      <c r="A334" s="103">
        <v>70003</v>
      </c>
      <c r="B334" s="104" t="s">
        <v>37</v>
      </c>
      <c r="C334" s="101"/>
      <c r="E334" s="103"/>
      <c r="F334" s="106"/>
      <c r="G334" s="102" t="s">
        <v>131</v>
      </c>
      <c r="H334" s="102"/>
      <c r="I334" s="102" t="s">
        <v>133</v>
      </c>
      <c r="J334" s="106"/>
      <c r="K334" s="107" t="s">
        <v>140</v>
      </c>
      <c r="L334" s="104" t="s">
        <v>144</v>
      </c>
      <c r="M334" s="104" t="s">
        <v>192</v>
      </c>
      <c r="N334" s="102" t="s">
        <v>523</v>
      </c>
      <c r="O334" s="102" t="s">
        <v>911</v>
      </c>
      <c r="P334" s="102"/>
      <c r="Q334" s="106" t="s">
        <v>56</v>
      </c>
      <c r="R334" s="102" t="s">
        <v>145</v>
      </c>
      <c r="S334" s="102" t="s">
        <v>36</v>
      </c>
      <c r="T334" s="102" t="s">
        <v>191</v>
      </c>
      <c r="U334" s="102" t="s">
        <v>79</v>
      </c>
      <c r="V334" s="102"/>
      <c r="W334" s="102" t="s">
        <v>90</v>
      </c>
      <c r="X334" s="102" t="s">
        <v>142</v>
      </c>
      <c r="Y334" s="102" t="s">
        <v>135</v>
      </c>
      <c r="Z334" s="102"/>
      <c r="AA334" s="101"/>
      <c r="AB334" s="102"/>
      <c r="AC334" s="101"/>
      <c r="AL334" s="108"/>
    </row>
    <row r="335" spans="1:38" s="105" customFormat="1" ht="14.1" customHeight="1" x14ac:dyDescent="0.2">
      <c r="A335" s="109">
        <v>70004</v>
      </c>
      <c r="B335" s="107" t="s">
        <v>28</v>
      </c>
      <c r="C335" s="108"/>
      <c r="E335" s="109"/>
      <c r="F335" s="110"/>
      <c r="G335" s="105" t="s">
        <v>204</v>
      </c>
      <c r="I335" s="105" t="s">
        <v>133</v>
      </c>
      <c r="J335" s="110"/>
      <c r="K335" s="107" t="s">
        <v>140</v>
      </c>
      <c r="L335" s="104" t="s">
        <v>144</v>
      </c>
      <c r="M335" s="104" t="s">
        <v>192</v>
      </c>
      <c r="N335" s="102" t="s">
        <v>523</v>
      </c>
      <c r="O335" s="102" t="s">
        <v>912</v>
      </c>
      <c r="P335" s="102"/>
      <c r="Q335" s="106" t="s">
        <v>57</v>
      </c>
      <c r="R335" s="102" t="s">
        <v>145</v>
      </c>
      <c r="S335" s="105" t="s">
        <v>28</v>
      </c>
      <c r="T335" s="102" t="s">
        <v>191</v>
      </c>
      <c r="U335" s="105" t="s">
        <v>73</v>
      </c>
      <c r="W335" s="102" t="s">
        <v>90</v>
      </c>
      <c r="X335" s="102" t="s">
        <v>142</v>
      </c>
      <c r="Y335" s="102" t="s">
        <v>135</v>
      </c>
      <c r="AC335" s="108"/>
      <c r="AF335" s="105" t="s">
        <v>73</v>
      </c>
      <c r="AG335" s="105" t="s">
        <v>73</v>
      </c>
      <c r="AH335" s="105" t="s">
        <v>73</v>
      </c>
      <c r="AI335" s="105" t="s">
        <v>73</v>
      </c>
      <c r="AL335" s="108"/>
    </row>
    <row r="336" spans="1:38" s="105" customFormat="1" ht="14.1" customHeight="1" x14ac:dyDescent="0.2">
      <c r="A336" s="109">
        <v>70004</v>
      </c>
      <c r="B336" s="107" t="s">
        <v>20</v>
      </c>
      <c r="C336" s="108"/>
      <c r="E336" s="109"/>
      <c r="F336" s="110"/>
      <c r="G336" s="105" t="s">
        <v>204</v>
      </c>
      <c r="I336" s="105" t="s">
        <v>133</v>
      </c>
      <c r="J336" s="110"/>
      <c r="K336" s="107" t="s">
        <v>140</v>
      </c>
      <c r="L336" s="104" t="s">
        <v>144</v>
      </c>
      <c r="M336" s="104" t="s">
        <v>192</v>
      </c>
      <c r="N336" s="102" t="s">
        <v>523</v>
      </c>
      <c r="O336" s="102" t="s">
        <v>912</v>
      </c>
      <c r="P336" s="102"/>
      <c r="Q336" s="106">
        <v>11</v>
      </c>
      <c r="R336" s="102" t="s">
        <v>145</v>
      </c>
      <c r="S336" s="105" t="s">
        <v>28</v>
      </c>
      <c r="T336" s="102" t="s">
        <v>191</v>
      </c>
      <c r="U336" s="105" t="s">
        <v>73</v>
      </c>
      <c r="W336" s="102" t="s">
        <v>90</v>
      </c>
      <c r="X336" s="102" t="s">
        <v>142</v>
      </c>
      <c r="Y336" s="102" t="s">
        <v>135</v>
      </c>
      <c r="AC336" s="108"/>
      <c r="AF336" s="105" t="s">
        <v>73</v>
      </c>
      <c r="AG336" s="105" t="s">
        <v>73</v>
      </c>
      <c r="AH336" s="105" t="s">
        <v>73</v>
      </c>
      <c r="AI336" s="105" t="s">
        <v>73</v>
      </c>
      <c r="AL336" s="108"/>
    </row>
    <row r="337" spans="1:38" s="105" customFormat="1" ht="14.1" customHeight="1" x14ac:dyDescent="0.2">
      <c r="A337" s="109">
        <v>70004</v>
      </c>
      <c r="B337" s="107" t="s">
        <v>79</v>
      </c>
      <c r="C337" s="108"/>
      <c r="E337" s="109"/>
      <c r="F337" s="110"/>
      <c r="G337" s="105" t="s">
        <v>204</v>
      </c>
      <c r="I337" s="105" t="s">
        <v>133</v>
      </c>
      <c r="J337" s="110"/>
      <c r="K337" s="107" t="s">
        <v>140</v>
      </c>
      <c r="L337" s="104" t="s">
        <v>144</v>
      </c>
      <c r="M337" s="104" t="s">
        <v>192</v>
      </c>
      <c r="N337" s="102" t="s">
        <v>523</v>
      </c>
      <c r="O337" s="102" t="s">
        <v>912</v>
      </c>
      <c r="P337" s="102"/>
      <c r="Q337" s="106">
        <v>21</v>
      </c>
      <c r="R337" s="102" t="s">
        <v>145</v>
      </c>
      <c r="S337" s="105" t="s">
        <v>28</v>
      </c>
      <c r="T337" s="102" t="s">
        <v>191</v>
      </c>
      <c r="U337" s="105" t="s">
        <v>73</v>
      </c>
      <c r="W337" s="102" t="s">
        <v>90</v>
      </c>
      <c r="X337" s="102" t="s">
        <v>142</v>
      </c>
      <c r="Y337" s="102" t="s">
        <v>135</v>
      </c>
      <c r="AC337" s="108"/>
      <c r="AF337" s="105" t="s">
        <v>73</v>
      </c>
      <c r="AG337" s="105" t="s">
        <v>73</v>
      </c>
      <c r="AH337" s="105" t="s">
        <v>73</v>
      </c>
      <c r="AI337" s="105" t="s">
        <v>73</v>
      </c>
      <c r="AL337" s="108"/>
    </row>
    <row r="338" spans="1:38" s="105" customFormat="1" ht="14.1" customHeight="1" x14ac:dyDescent="0.2">
      <c r="A338" s="109">
        <v>70004</v>
      </c>
      <c r="B338" s="107" t="s">
        <v>73</v>
      </c>
      <c r="C338" s="108"/>
      <c r="E338" s="109"/>
      <c r="F338" s="110"/>
      <c r="G338" s="105" t="s">
        <v>204</v>
      </c>
      <c r="I338" s="105" t="s">
        <v>133</v>
      </c>
      <c r="J338" s="110"/>
      <c r="K338" s="107" t="s">
        <v>140</v>
      </c>
      <c r="L338" s="104" t="s">
        <v>144</v>
      </c>
      <c r="M338" s="104" t="s">
        <v>192</v>
      </c>
      <c r="N338" s="102" t="s">
        <v>523</v>
      </c>
      <c r="O338" s="102" t="s">
        <v>912</v>
      </c>
      <c r="P338" s="102"/>
      <c r="Q338" s="106">
        <v>31</v>
      </c>
      <c r="R338" s="102" t="s">
        <v>145</v>
      </c>
      <c r="S338" s="105" t="s">
        <v>28</v>
      </c>
      <c r="T338" s="102" t="s">
        <v>191</v>
      </c>
      <c r="U338" s="105" t="s">
        <v>73</v>
      </c>
      <c r="W338" s="102" t="s">
        <v>90</v>
      </c>
      <c r="X338" s="102" t="s">
        <v>142</v>
      </c>
      <c r="Y338" s="102" t="s">
        <v>135</v>
      </c>
      <c r="AC338" s="108"/>
      <c r="AF338" s="105" t="s">
        <v>73</v>
      </c>
      <c r="AG338" s="105" t="s">
        <v>73</v>
      </c>
      <c r="AH338" s="105" t="s">
        <v>73</v>
      </c>
      <c r="AI338" s="105" t="s">
        <v>73</v>
      </c>
      <c r="AL338" s="108"/>
    </row>
    <row r="339" spans="1:38" s="105" customFormat="1" ht="14.1" customHeight="1" x14ac:dyDescent="0.2">
      <c r="A339" s="103">
        <v>70005</v>
      </c>
      <c r="B339" s="104" t="s">
        <v>57</v>
      </c>
      <c r="C339" s="101"/>
      <c r="E339" s="103"/>
      <c r="F339" s="106"/>
      <c r="G339" s="102" t="s">
        <v>131</v>
      </c>
      <c r="H339" s="102"/>
      <c r="I339" s="102" t="s">
        <v>133</v>
      </c>
      <c r="J339" s="106"/>
      <c r="K339" s="107" t="s">
        <v>147</v>
      </c>
      <c r="L339" s="104" t="s">
        <v>149</v>
      </c>
      <c r="M339" s="107" t="s">
        <v>155</v>
      </c>
      <c r="N339" s="102" t="s">
        <v>523</v>
      </c>
      <c r="O339" s="102" t="s">
        <v>913</v>
      </c>
      <c r="P339" s="102"/>
      <c r="Q339" s="106" t="s">
        <v>57</v>
      </c>
      <c r="R339" s="102" t="s">
        <v>151</v>
      </c>
      <c r="S339" s="102" t="s">
        <v>36</v>
      </c>
      <c r="T339" s="102" t="s">
        <v>191</v>
      </c>
      <c r="U339" s="102" t="s">
        <v>79</v>
      </c>
      <c r="V339" s="102"/>
      <c r="W339" s="102" t="s">
        <v>90</v>
      </c>
      <c r="X339" s="102" t="s">
        <v>153</v>
      </c>
      <c r="Y339" s="102" t="s">
        <v>135</v>
      </c>
      <c r="Z339" s="102"/>
      <c r="AA339" s="101"/>
      <c r="AB339" s="102"/>
      <c r="AC339" s="101"/>
      <c r="AL339" s="108"/>
    </row>
    <row r="340" spans="1:38" s="105" customFormat="1" ht="14.1" customHeight="1" x14ac:dyDescent="0.2">
      <c r="A340" s="103">
        <v>70005</v>
      </c>
      <c r="B340" s="104" t="s">
        <v>19</v>
      </c>
      <c r="C340" s="101"/>
      <c r="E340" s="103"/>
      <c r="F340" s="106"/>
      <c r="G340" s="102" t="s">
        <v>131</v>
      </c>
      <c r="H340" s="102"/>
      <c r="I340" s="102" t="s">
        <v>133</v>
      </c>
      <c r="J340" s="106"/>
      <c r="K340" s="107" t="s">
        <v>147</v>
      </c>
      <c r="L340" s="104" t="s">
        <v>149</v>
      </c>
      <c r="M340" s="107" t="s">
        <v>155</v>
      </c>
      <c r="N340" s="102" t="s">
        <v>523</v>
      </c>
      <c r="O340" s="102" t="s">
        <v>913</v>
      </c>
      <c r="P340" s="102"/>
      <c r="Q340" s="106" t="s">
        <v>42</v>
      </c>
      <c r="R340" s="102" t="s">
        <v>151</v>
      </c>
      <c r="S340" s="102" t="s">
        <v>36</v>
      </c>
      <c r="T340" s="102" t="s">
        <v>191</v>
      </c>
      <c r="U340" s="102" t="s">
        <v>79</v>
      </c>
      <c r="V340" s="102"/>
      <c r="W340" s="102" t="s">
        <v>90</v>
      </c>
      <c r="X340" s="102" t="s">
        <v>153</v>
      </c>
      <c r="Y340" s="102" t="s">
        <v>135</v>
      </c>
      <c r="Z340" s="102"/>
      <c r="AA340" s="101"/>
      <c r="AB340" s="102"/>
      <c r="AC340" s="101"/>
      <c r="AL340" s="108"/>
    </row>
    <row r="341" spans="1:38" s="105" customFormat="1" ht="14.1" customHeight="1" x14ac:dyDescent="0.2">
      <c r="A341" s="103">
        <v>70005</v>
      </c>
      <c r="B341" s="104" t="s">
        <v>36</v>
      </c>
      <c r="C341" s="101"/>
      <c r="E341" s="103"/>
      <c r="F341" s="106"/>
      <c r="G341" s="102" t="s">
        <v>131</v>
      </c>
      <c r="H341" s="102"/>
      <c r="I341" s="102" t="s">
        <v>133</v>
      </c>
      <c r="J341" s="106"/>
      <c r="K341" s="107" t="s">
        <v>147</v>
      </c>
      <c r="L341" s="104" t="s">
        <v>149</v>
      </c>
      <c r="M341" s="107" t="s">
        <v>155</v>
      </c>
      <c r="N341" s="102" t="s">
        <v>523</v>
      </c>
      <c r="O341" s="102" t="s">
        <v>913</v>
      </c>
      <c r="P341" s="102"/>
      <c r="Q341" s="106" t="s">
        <v>52</v>
      </c>
      <c r="R341" s="102" t="s">
        <v>151</v>
      </c>
      <c r="S341" s="102" t="s">
        <v>36</v>
      </c>
      <c r="T341" s="102" t="s">
        <v>191</v>
      </c>
      <c r="U341" s="102" t="s">
        <v>79</v>
      </c>
      <c r="V341" s="102"/>
      <c r="W341" s="102" t="s">
        <v>90</v>
      </c>
      <c r="X341" s="102" t="s">
        <v>153</v>
      </c>
      <c r="Y341" s="102" t="s">
        <v>135</v>
      </c>
      <c r="Z341" s="102"/>
      <c r="AA341" s="101"/>
      <c r="AB341" s="102"/>
      <c r="AC341" s="101"/>
      <c r="AL341" s="108"/>
    </row>
    <row r="342" spans="1:38" s="105" customFormat="1" ht="14.1" customHeight="1" x14ac:dyDescent="0.2">
      <c r="A342" s="103">
        <v>70005</v>
      </c>
      <c r="B342" s="104" t="s">
        <v>37</v>
      </c>
      <c r="C342" s="101"/>
      <c r="E342" s="103"/>
      <c r="F342" s="106"/>
      <c r="G342" s="102" t="s">
        <v>131</v>
      </c>
      <c r="H342" s="102"/>
      <c r="I342" s="102" t="s">
        <v>133</v>
      </c>
      <c r="J342" s="106"/>
      <c r="K342" s="107" t="s">
        <v>147</v>
      </c>
      <c r="L342" s="104" t="s">
        <v>149</v>
      </c>
      <c r="M342" s="107" t="s">
        <v>155</v>
      </c>
      <c r="N342" s="102" t="s">
        <v>523</v>
      </c>
      <c r="O342" s="102" t="s">
        <v>913</v>
      </c>
      <c r="P342" s="102"/>
      <c r="Q342" s="106" t="s">
        <v>56</v>
      </c>
      <c r="R342" s="102" t="s">
        <v>151</v>
      </c>
      <c r="S342" s="102" t="s">
        <v>36</v>
      </c>
      <c r="T342" s="102" t="s">
        <v>191</v>
      </c>
      <c r="U342" s="102" t="s">
        <v>79</v>
      </c>
      <c r="V342" s="102"/>
      <c r="W342" s="102" t="s">
        <v>90</v>
      </c>
      <c r="X342" s="102" t="s">
        <v>153</v>
      </c>
      <c r="Y342" s="102" t="s">
        <v>135</v>
      </c>
      <c r="Z342" s="102"/>
      <c r="AA342" s="101"/>
      <c r="AB342" s="102"/>
      <c r="AC342" s="101"/>
      <c r="AL342" s="108"/>
    </row>
    <row r="343" spans="1:38" s="105" customFormat="1" ht="14.1" customHeight="1" x14ac:dyDescent="0.2">
      <c r="A343" s="103">
        <v>70006</v>
      </c>
      <c r="B343" s="107" t="s">
        <v>57</v>
      </c>
      <c r="C343" s="108"/>
      <c r="E343" s="109"/>
      <c r="F343" s="110"/>
      <c r="G343" s="105" t="s">
        <v>204</v>
      </c>
      <c r="I343" s="105" t="s">
        <v>133</v>
      </c>
      <c r="J343" s="110"/>
      <c r="K343" s="107" t="s">
        <v>147</v>
      </c>
      <c r="L343" s="104" t="s">
        <v>149</v>
      </c>
      <c r="M343" s="104" t="s">
        <v>252</v>
      </c>
      <c r="N343" s="102" t="s">
        <v>523</v>
      </c>
      <c r="O343" s="102" t="s">
        <v>914</v>
      </c>
      <c r="P343" s="102"/>
      <c r="Q343" s="106" t="s">
        <v>57</v>
      </c>
      <c r="R343" s="102" t="s">
        <v>151</v>
      </c>
      <c r="S343" s="105" t="s">
        <v>28</v>
      </c>
      <c r="T343" s="102" t="s">
        <v>191</v>
      </c>
      <c r="U343" s="105" t="s">
        <v>73</v>
      </c>
      <c r="W343" s="102" t="s">
        <v>90</v>
      </c>
      <c r="X343" s="102" t="s">
        <v>153</v>
      </c>
      <c r="Y343" s="102" t="s">
        <v>135</v>
      </c>
      <c r="AC343" s="108"/>
      <c r="AF343" s="105" t="s">
        <v>73</v>
      </c>
      <c r="AG343" s="105" t="s">
        <v>73</v>
      </c>
      <c r="AH343" s="105" t="s">
        <v>73</v>
      </c>
      <c r="AI343" s="105" t="s">
        <v>73</v>
      </c>
      <c r="AL343" s="108"/>
    </row>
    <row r="344" spans="1:38" s="105" customFormat="1" ht="14.1" customHeight="1" x14ac:dyDescent="0.2">
      <c r="A344" s="103">
        <v>70006</v>
      </c>
      <c r="B344" s="107" t="s">
        <v>20</v>
      </c>
      <c r="C344" s="108"/>
      <c r="E344" s="109"/>
      <c r="F344" s="110"/>
      <c r="G344" s="105" t="s">
        <v>204</v>
      </c>
      <c r="I344" s="105" t="s">
        <v>133</v>
      </c>
      <c r="J344" s="110"/>
      <c r="K344" s="107" t="s">
        <v>147</v>
      </c>
      <c r="L344" s="104" t="s">
        <v>149</v>
      </c>
      <c r="M344" s="104" t="s">
        <v>252</v>
      </c>
      <c r="N344" s="102" t="s">
        <v>523</v>
      </c>
      <c r="O344" s="102" t="s">
        <v>914</v>
      </c>
      <c r="P344" s="102"/>
      <c r="Q344" s="106" t="s">
        <v>42</v>
      </c>
      <c r="R344" s="102" t="s">
        <v>151</v>
      </c>
      <c r="S344" s="105" t="s">
        <v>28</v>
      </c>
      <c r="T344" s="102" t="s">
        <v>191</v>
      </c>
      <c r="U344" s="105" t="s">
        <v>73</v>
      </c>
      <c r="W344" s="102" t="s">
        <v>90</v>
      </c>
      <c r="X344" s="102" t="s">
        <v>153</v>
      </c>
      <c r="Y344" s="102" t="s">
        <v>135</v>
      </c>
      <c r="AC344" s="108"/>
      <c r="AF344" s="105" t="s">
        <v>73</v>
      </c>
      <c r="AG344" s="105" t="s">
        <v>73</v>
      </c>
      <c r="AH344" s="105" t="s">
        <v>73</v>
      </c>
      <c r="AI344" s="105" t="s">
        <v>73</v>
      </c>
      <c r="AL344" s="108"/>
    </row>
    <row r="345" spans="1:38" s="105" customFormat="1" ht="14.1" customHeight="1" x14ac:dyDescent="0.2">
      <c r="A345" s="103">
        <v>70006</v>
      </c>
      <c r="B345" s="107" t="s">
        <v>79</v>
      </c>
      <c r="C345" s="108"/>
      <c r="E345" s="109"/>
      <c r="F345" s="110"/>
      <c r="G345" s="105" t="s">
        <v>204</v>
      </c>
      <c r="I345" s="105" t="s">
        <v>133</v>
      </c>
      <c r="J345" s="110"/>
      <c r="K345" s="107" t="s">
        <v>147</v>
      </c>
      <c r="L345" s="104" t="s">
        <v>149</v>
      </c>
      <c r="M345" s="104" t="s">
        <v>252</v>
      </c>
      <c r="N345" s="102" t="s">
        <v>523</v>
      </c>
      <c r="O345" s="102" t="s">
        <v>914</v>
      </c>
      <c r="P345" s="102"/>
      <c r="Q345" s="106" t="s">
        <v>52</v>
      </c>
      <c r="R345" s="102" t="s">
        <v>151</v>
      </c>
      <c r="S345" s="105" t="s">
        <v>28</v>
      </c>
      <c r="T345" s="102" t="s">
        <v>191</v>
      </c>
      <c r="U345" s="105" t="s">
        <v>73</v>
      </c>
      <c r="W345" s="102" t="s">
        <v>90</v>
      </c>
      <c r="X345" s="102" t="s">
        <v>153</v>
      </c>
      <c r="Y345" s="102" t="s">
        <v>135</v>
      </c>
      <c r="AC345" s="108"/>
      <c r="AF345" s="105" t="s">
        <v>73</v>
      </c>
      <c r="AG345" s="105" t="s">
        <v>73</v>
      </c>
      <c r="AH345" s="105" t="s">
        <v>73</v>
      </c>
      <c r="AI345" s="105" t="s">
        <v>73</v>
      </c>
      <c r="AL345" s="108"/>
    </row>
    <row r="346" spans="1:38" s="105" customFormat="1" ht="14.1" customHeight="1" x14ac:dyDescent="0.2">
      <c r="A346" s="103">
        <v>70006</v>
      </c>
      <c r="B346" s="107" t="s">
        <v>73</v>
      </c>
      <c r="C346" s="108"/>
      <c r="E346" s="109"/>
      <c r="F346" s="110"/>
      <c r="G346" s="105" t="s">
        <v>204</v>
      </c>
      <c r="I346" s="105" t="s">
        <v>133</v>
      </c>
      <c r="J346" s="110"/>
      <c r="K346" s="107" t="s">
        <v>147</v>
      </c>
      <c r="L346" s="104" t="s">
        <v>149</v>
      </c>
      <c r="M346" s="104" t="s">
        <v>252</v>
      </c>
      <c r="N346" s="102" t="s">
        <v>523</v>
      </c>
      <c r="O346" s="102" t="s">
        <v>914</v>
      </c>
      <c r="P346" s="102"/>
      <c r="Q346" s="106" t="s">
        <v>56</v>
      </c>
      <c r="R346" s="102" t="s">
        <v>151</v>
      </c>
      <c r="S346" s="105" t="s">
        <v>28</v>
      </c>
      <c r="T346" s="102" t="s">
        <v>191</v>
      </c>
      <c r="U346" s="105" t="s">
        <v>73</v>
      </c>
      <c r="W346" s="102" t="s">
        <v>90</v>
      </c>
      <c r="X346" s="102" t="s">
        <v>153</v>
      </c>
      <c r="Y346" s="102" t="s">
        <v>135</v>
      </c>
      <c r="AC346" s="108"/>
      <c r="AF346" s="105" t="s">
        <v>73</v>
      </c>
      <c r="AG346" s="105" t="s">
        <v>73</v>
      </c>
      <c r="AH346" s="105" t="s">
        <v>73</v>
      </c>
      <c r="AI346" s="105" t="s">
        <v>73</v>
      </c>
      <c r="AL346" s="108"/>
    </row>
    <row r="347" spans="1:38" s="105" customFormat="1" ht="14.1" customHeight="1" x14ac:dyDescent="0.2">
      <c r="A347" s="109">
        <v>70007</v>
      </c>
      <c r="B347" s="107" t="s">
        <v>28</v>
      </c>
      <c r="C347" s="108"/>
      <c r="E347" s="109"/>
      <c r="F347" s="110"/>
      <c r="G347" s="102" t="s">
        <v>131</v>
      </c>
      <c r="H347" s="102"/>
      <c r="I347" s="102" t="s">
        <v>133</v>
      </c>
      <c r="J347" s="106"/>
      <c r="K347" s="107" t="s">
        <v>167</v>
      </c>
      <c r="L347" s="104" t="s">
        <v>168</v>
      </c>
      <c r="M347" s="107" t="s">
        <v>285</v>
      </c>
      <c r="N347" s="102" t="s">
        <v>523</v>
      </c>
      <c r="O347" s="102" t="s">
        <v>915</v>
      </c>
      <c r="P347" s="102"/>
      <c r="Q347" s="110" t="s">
        <v>57</v>
      </c>
      <c r="R347" s="102" t="s">
        <v>161</v>
      </c>
      <c r="S347" s="102" t="s">
        <v>79</v>
      </c>
      <c r="T347" s="102" t="s">
        <v>191</v>
      </c>
      <c r="U347" s="102" t="s">
        <v>79</v>
      </c>
      <c r="V347" s="102"/>
      <c r="W347" s="102" t="s">
        <v>90</v>
      </c>
      <c r="X347" s="102"/>
      <c r="Y347" s="102"/>
      <c r="AB347" s="102"/>
      <c r="AC347" s="108"/>
      <c r="AL347" s="108"/>
    </row>
    <row r="348" spans="1:38" s="105" customFormat="1" ht="14.1" customHeight="1" x14ac:dyDescent="0.2">
      <c r="A348" s="109">
        <v>70007</v>
      </c>
      <c r="B348" s="107" t="s">
        <v>20</v>
      </c>
      <c r="C348" s="108"/>
      <c r="E348" s="109"/>
      <c r="F348" s="110"/>
      <c r="G348" s="102" t="s">
        <v>131</v>
      </c>
      <c r="H348" s="102"/>
      <c r="I348" s="102" t="s">
        <v>133</v>
      </c>
      <c r="J348" s="106"/>
      <c r="K348" s="107" t="s">
        <v>167</v>
      </c>
      <c r="L348" s="104" t="s">
        <v>168</v>
      </c>
      <c r="M348" s="107" t="s">
        <v>285</v>
      </c>
      <c r="N348" s="102" t="s">
        <v>523</v>
      </c>
      <c r="O348" s="102" t="s">
        <v>915</v>
      </c>
      <c r="P348" s="102"/>
      <c r="Q348" s="110">
        <v>11</v>
      </c>
      <c r="R348" s="102" t="s">
        <v>161</v>
      </c>
      <c r="S348" s="102" t="s">
        <v>79</v>
      </c>
      <c r="T348" s="102" t="s">
        <v>191</v>
      </c>
      <c r="U348" s="102" t="s">
        <v>79</v>
      </c>
      <c r="V348" s="102"/>
      <c r="W348" s="102" t="s">
        <v>90</v>
      </c>
      <c r="X348" s="102"/>
      <c r="Y348" s="102"/>
      <c r="AB348" s="102"/>
      <c r="AC348" s="108"/>
      <c r="AL348" s="108"/>
    </row>
    <row r="349" spans="1:38" s="105" customFormat="1" ht="14.1" customHeight="1" x14ac:dyDescent="0.2">
      <c r="A349" s="109">
        <v>70007</v>
      </c>
      <c r="B349" s="107" t="s">
        <v>79</v>
      </c>
      <c r="C349" s="108"/>
      <c r="E349" s="109"/>
      <c r="F349" s="110"/>
      <c r="G349" s="102" t="s">
        <v>131</v>
      </c>
      <c r="H349" s="102"/>
      <c r="I349" s="102" t="s">
        <v>133</v>
      </c>
      <c r="J349" s="106"/>
      <c r="K349" s="107" t="s">
        <v>167</v>
      </c>
      <c r="L349" s="104" t="s">
        <v>168</v>
      </c>
      <c r="M349" s="107" t="s">
        <v>285</v>
      </c>
      <c r="N349" s="102" t="s">
        <v>523</v>
      </c>
      <c r="O349" s="102" t="s">
        <v>915</v>
      </c>
      <c r="P349" s="102"/>
      <c r="Q349" s="110">
        <v>21</v>
      </c>
      <c r="R349" s="102" t="s">
        <v>161</v>
      </c>
      <c r="S349" s="102" t="s">
        <v>79</v>
      </c>
      <c r="T349" s="102" t="s">
        <v>191</v>
      </c>
      <c r="U349" s="102" t="s">
        <v>79</v>
      </c>
      <c r="V349" s="102"/>
      <c r="W349" s="102" t="s">
        <v>90</v>
      </c>
      <c r="X349" s="102"/>
      <c r="Y349" s="102"/>
      <c r="AB349" s="102"/>
      <c r="AC349" s="108"/>
      <c r="AL349" s="108"/>
    </row>
    <row r="350" spans="1:38" s="105" customFormat="1" ht="14.1" customHeight="1" x14ac:dyDescent="0.2">
      <c r="A350" s="109">
        <v>70007</v>
      </c>
      <c r="B350" s="107" t="s">
        <v>73</v>
      </c>
      <c r="C350" s="108"/>
      <c r="E350" s="109"/>
      <c r="F350" s="110"/>
      <c r="G350" s="102" t="s">
        <v>131</v>
      </c>
      <c r="H350" s="102"/>
      <c r="I350" s="102" t="s">
        <v>133</v>
      </c>
      <c r="J350" s="106"/>
      <c r="K350" s="107" t="s">
        <v>167</v>
      </c>
      <c r="L350" s="104" t="s">
        <v>168</v>
      </c>
      <c r="M350" s="107" t="s">
        <v>285</v>
      </c>
      <c r="N350" s="102" t="s">
        <v>523</v>
      </c>
      <c r="O350" s="102" t="s">
        <v>915</v>
      </c>
      <c r="P350" s="102"/>
      <c r="Q350" s="110">
        <v>31</v>
      </c>
      <c r="R350" s="102" t="s">
        <v>161</v>
      </c>
      <c r="S350" s="102" t="s">
        <v>79</v>
      </c>
      <c r="T350" s="102" t="s">
        <v>191</v>
      </c>
      <c r="U350" s="102" t="s">
        <v>79</v>
      </c>
      <c r="V350" s="102"/>
      <c r="W350" s="102" t="s">
        <v>90</v>
      </c>
      <c r="X350" s="102"/>
      <c r="Y350" s="102"/>
      <c r="AB350" s="102"/>
      <c r="AC350" s="108"/>
      <c r="AL350" s="108"/>
    </row>
    <row r="351" spans="1:38" s="105" customFormat="1" ht="14.1" customHeight="1" x14ac:dyDescent="0.2">
      <c r="A351" s="109">
        <v>70008</v>
      </c>
      <c r="B351" s="107" t="s">
        <v>28</v>
      </c>
      <c r="C351" s="108"/>
      <c r="E351" s="109"/>
      <c r="F351" s="110"/>
      <c r="G351" s="105" t="s">
        <v>204</v>
      </c>
      <c r="I351" s="105" t="s">
        <v>133</v>
      </c>
      <c r="J351" s="110"/>
      <c r="K351" s="107" t="s">
        <v>167</v>
      </c>
      <c r="L351" s="104" t="s">
        <v>168</v>
      </c>
      <c r="M351" s="107" t="s">
        <v>259</v>
      </c>
      <c r="N351" s="102" t="s">
        <v>523</v>
      </c>
      <c r="O351" s="102" t="s">
        <v>916</v>
      </c>
      <c r="P351" s="102"/>
      <c r="Q351" s="106" t="s">
        <v>57</v>
      </c>
      <c r="R351" s="102" t="s">
        <v>161</v>
      </c>
      <c r="S351" s="102" t="s">
        <v>28</v>
      </c>
      <c r="T351" s="102" t="s">
        <v>191</v>
      </c>
      <c r="U351" s="102" t="s">
        <v>73</v>
      </c>
      <c r="W351" s="102" t="s">
        <v>90</v>
      </c>
      <c r="X351" s="102"/>
      <c r="Y351" s="102"/>
      <c r="AC351" s="108"/>
      <c r="AF351" s="105" t="s">
        <v>73</v>
      </c>
      <c r="AG351" s="105" t="s">
        <v>73</v>
      </c>
      <c r="AH351" s="105" t="s">
        <v>73</v>
      </c>
      <c r="AI351" s="105" t="s">
        <v>73</v>
      </c>
      <c r="AL351" s="108"/>
    </row>
    <row r="352" spans="1:38" s="105" customFormat="1" ht="14.1" customHeight="1" x14ac:dyDescent="0.2">
      <c r="A352" s="109">
        <v>70008</v>
      </c>
      <c r="B352" s="107" t="s">
        <v>20</v>
      </c>
      <c r="C352" s="108"/>
      <c r="E352" s="109"/>
      <c r="F352" s="110"/>
      <c r="G352" s="105" t="s">
        <v>204</v>
      </c>
      <c r="I352" s="105" t="s">
        <v>133</v>
      </c>
      <c r="J352" s="110"/>
      <c r="K352" s="107" t="s">
        <v>167</v>
      </c>
      <c r="L352" s="104" t="s">
        <v>168</v>
      </c>
      <c r="M352" s="107" t="s">
        <v>259</v>
      </c>
      <c r="N352" s="102" t="s">
        <v>523</v>
      </c>
      <c r="O352" s="102" t="s">
        <v>916</v>
      </c>
      <c r="P352" s="102"/>
      <c r="Q352" s="106" t="s">
        <v>42</v>
      </c>
      <c r="R352" s="102" t="s">
        <v>161</v>
      </c>
      <c r="S352" s="102" t="s">
        <v>28</v>
      </c>
      <c r="T352" s="102" t="s">
        <v>191</v>
      </c>
      <c r="U352" s="102" t="s">
        <v>73</v>
      </c>
      <c r="W352" s="102" t="s">
        <v>90</v>
      </c>
      <c r="X352" s="102"/>
      <c r="Y352" s="102"/>
      <c r="AC352" s="108"/>
      <c r="AF352" s="105" t="s">
        <v>73</v>
      </c>
      <c r="AG352" s="105" t="s">
        <v>73</v>
      </c>
      <c r="AH352" s="105" t="s">
        <v>73</v>
      </c>
      <c r="AI352" s="105" t="s">
        <v>73</v>
      </c>
      <c r="AL352" s="108"/>
    </row>
    <row r="353" spans="1:38" s="105" customFormat="1" ht="14.1" customHeight="1" x14ac:dyDescent="0.2">
      <c r="A353" s="109">
        <v>70008</v>
      </c>
      <c r="B353" s="107" t="s">
        <v>79</v>
      </c>
      <c r="C353" s="108"/>
      <c r="E353" s="109"/>
      <c r="F353" s="110"/>
      <c r="G353" s="105" t="s">
        <v>204</v>
      </c>
      <c r="I353" s="105" t="s">
        <v>133</v>
      </c>
      <c r="J353" s="110"/>
      <c r="K353" s="107" t="s">
        <v>167</v>
      </c>
      <c r="L353" s="104" t="s">
        <v>168</v>
      </c>
      <c r="M353" s="107" t="s">
        <v>259</v>
      </c>
      <c r="N353" s="102" t="s">
        <v>523</v>
      </c>
      <c r="O353" s="102" t="s">
        <v>916</v>
      </c>
      <c r="P353" s="102"/>
      <c r="Q353" s="106" t="s">
        <v>52</v>
      </c>
      <c r="R353" s="102" t="s">
        <v>161</v>
      </c>
      <c r="S353" s="102" t="s">
        <v>28</v>
      </c>
      <c r="T353" s="102" t="s">
        <v>191</v>
      </c>
      <c r="U353" s="102" t="s">
        <v>73</v>
      </c>
      <c r="W353" s="102" t="s">
        <v>90</v>
      </c>
      <c r="X353" s="102"/>
      <c r="Y353" s="102"/>
      <c r="AC353" s="108"/>
      <c r="AF353" s="105" t="s">
        <v>73</v>
      </c>
      <c r="AG353" s="105" t="s">
        <v>73</v>
      </c>
      <c r="AH353" s="105" t="s">
        <v>73</v>
      </c>
      <c r="AI353" s="105" t="s">
        <v>73</v>
      </c>
      <c r="AL353" s="108"/>
    </row>
    <row r="354" spans="1:38" s="105" customFormat="1" ht="14.1" customHeight="1" x14ac:dyDescent="0.2">
      <c r="A354" s="109">
        <v>70008</v>
      </c>
      <c r="B354" s="107" t="s">
        <v>73</v>
      </c>
      <c r="C354" s="108"/>
      <c r="E354" s="109"/>
      <c r="F354" s="110"/>
      <c r="G354" s="105" t="s">
        <v>204</v>
      </c>
      <c r="I354" s="105" t="s">
        <v>133</v>
      </c>
      <c r="J354" s="110"/>
      <c r="K354" s="107" t="s">
        <v>167</v>
      </c>
      <c r="L354" s="104" t="s">
        <v>168</v>
      </c>
      <c r="M354" s="107" t="s">
        <v>259</v>
      </c>
      <c r="N354" s="102" t="s">
        <v>523</v>
      </c>
      <c r="O354" s="102" t="s">
        <v>916</v>
      </c>
      <c r="P354" s="102"/>
      <c r="Q354" s="106" t="s">
        <v>56</v>
      </c>
      <c r="R354" s="102" t="s">
        <v>161</v>
      </c>
      <c r="S354" s="102" t="s">
        <v>28</v>
      </c>
      <c r="T354" s="102" t="s">
        <v>191</v>
      </c>
      <c r="U354" s="102" t="s">
        <v>73</v>
      </c>
      <c r="W354" s="102" t="s">
        <v>90</v>
      </c>
      <c r="X354" s="102"/>
      <c r="Y354" s="102"/>
      <c r="AC354" s="108"/>
      <c r="AF354" s="105" t="s">
        <v>73</v>
      </c>
      <c r="AG354" s="105" t="s">
        <v>73</v>
      </c>
      <c r="AH354" s="105" t="s">
        <v>73</v>
      </c>
      <c r="AI354" s="105" t="s">
        <v>73</v>
      </c>
      <c r="AL354" s="108"/>
    </row>
    <row r="355" spans="1:38" s="105" customFormat="1" ht="14.1" customHeight="1" x14ac:dyDescent="0.2">
      <c r="A355" s="109">
        <v>70009</v>
      </c>
      <c r="B355" s="104" t="s">
        <v>57</v>
      </c>
      <c r="C355" s="108"/>
      <c r="E355" s="109"/>
      <c r="F355" s="110"/>
      <c r="G355" s="102" t="s">
        <v>131</v>
      </c>
      <c r="H355" s="102"/>
      <c r="I355" s="102" t="s">
        <v>133</v>
      </c>
      <c r="J355" s="106"/>
      <c r="K355" s="107" t="s">
        <v>198</v>
      </c>
      <c r="L355" s="104" t="s">
        <v>199</v>
      </c>
      <c r="M355" s="107" t="s">
        <v>214</v>
      </c>
      <c r="N355" s="102" t="s">
        <v>523</v>
      </c>
      <c r="O355" s="102" t="s">
        <v>917</v>
      </c>
      <c r="P355" s="102"/>
      <c r="Q355" s="106" t="s">
        <v>57</v>
      </c>
      <c r="R355" s="102" t="s">
        <v>201</v>
      </c>
      <c r="S355" s="102" t="s">
        <v>79</v>
      </c>
      <c r="T355" s="102" t="s">
        <v>191</v>
      </c>
      <c r="U355" s="102" t="s">
        <v>79</v>
      </c>
      <c r="V355" s="102"/>
      <c r="W355" s="102" t="s">
        <v>90</v>
      </c>
      <c r="X355" s="102" t="s">
        <v>202</v>
      </c>
      <c r="Y355" s="102" t="s">
        <v>135</v>
      </c>
      <c r="AC355" s="108"/>
      <c r="AL355" s="108"/>
    </row>
    <row r="356" spans="1:38" s="105" customFormat="1" ht="14.1" customHeight="1" x14ac:dyDescent="0.2">
      <c r="A356" s="109">
        <v>70009</v>
      </c>
      <c r="B356" s="104" t="s">
        <v>19</v>
      </c>
      <c r="C356" s="108"/>
      <c r="E356" s="109"/>
      <c r="F356" s="110"/>
      <c r="G356" s="102" t="s">
        <v>131</v>
      </c>
      <c r="H356" s="102"/>
      <c r="I356" s="102" t="s">
        <v>133</v>
      </c>
      <c r="J356" s="106"/>
      <c r="K356" s="107" t="s">
        <v>198</v>
      </c>
      <c r="L356" s="104" t="s">
        <v>199</v>
      </c>
      <c r="M356" s="107" t="s">
        <v>214</v>
      </c>
      <c r="N356" s="102" t="s">
        <v>523</v>
      </c>
      <c r="O356" s="102" t="s">
        <v>917</v>
      </c>
      <c r="P356" s="102"/>
      <c r="Q356" s="106">
        <v>11</v>
      </c>
      <c r="R356" s="102" t="s">
        <v>201</v>
      </c>
      <c r="S356" s="102" t="s">
        <v>79</v>
      </c>
      <c r="T356" s="102" t="s">
        <v>191</v>
      </c>
      <c r="U356" s="102" t="s">
        <v>79</v>
      </c>
      <c r="V356" s="102"/>
      <c r="W356" s="102" t="s">
        <v>90</v>
      </c>
      <c r="X356" s="102" t="s">
        <v>202</v>
      </c>
      <c r="Y356" s="102" t="s">
        <v>135</v>
      </c>
      <c r="AC356" s="108"/>
      <c r="AL356" s="108"/>
    </row>
    <row r="357" spans="1:38" s="105" customFormat="1" ht="14.1" customHeight="1" x14ac:dyDescent="0.2">
      <c r="A357" s="109">
        <v>70009</v>
      </c>
      <c r="B357" s="104" t="s">
        <v>36</v>
      </c>
      <c r="C357" s="108"/>
      <c r="E357" s="109"/>
      <c r="F357" s="110"/>
      <c r="G357" s="102" t="s">
        <v>131</v>
      </c>
      <c r="H357" s="102"/>
      <c r="I357" s="102" t="s">
        <v>133</v>
      </c>
      <c r="J357" s="106"/>
      <c r="K357" s="107" t="s">
        <v>198</v>
      </c>
      <c r="L357" s="104" t="s">
        <v>199</v>
      </c>
      <c r="M357" s="107" t="s">
        <v>214</v>
      </c>
      <c r="N357" s="102" t="s">
        <v>523</v>
      </c>
      <c r="O357" s="102" t="s">
        <v>917</v>
      </c>
      <c r="P357" s="102"/>
      <c r="Q357" s="106">
        <v>21</v>
      </c>
      <c r="R357" s="102" t="s">
        <v>201</v>
      </c>
      <c r="S357" s="102" t="s">
        <v>79</v>
      </c>
      <c r="T357" s="102" t="s">
        <v>191</v>
      </c>
      <c r="U357" s="102" t="s">
        <v>79</v>
      </c>
      <c r="V357" s="102"/>
      <c r="W357" s="102" t="s">
        <v>90</v>
      </c>
      <c r="X357" s="102" t="s">
        <v>202</v>
      </c>
      <c r="Y357" s="102" t="s">
        <v>135</v>
      </c>
      <c r="AC357" s="108"/>
      <c r="AL357" s="108"/>
    </row>
    <row r="358" spans="1:38" s="105" customFormat="1" ht="13.5" customHeight="1" x14ac:dyDescent="0.2">
      <c r="A358" s="109">
        <v>70009</v>
      </c>
      <c r="B358" s="104" t="s">
        <v>37</v>
      </c>
      <c r="C358" s="108"/>
      <c r="E358" s="109"/>
      <c r="F358" s="110"/>
      <c r="G358" s="102" t="s">
        <v>131</v>
      </c>
      <c r="H358" s="102"/>
      <c r="I358" s="102" t="s">
        <v>133</v>
      </c>
      <c r="J358" s="106"/>
      <c r="K358" s="107" t="s">
        <v>198</v>
      </c>
      <c r="L358" s="104" t="s">
        <v>199</v>
      </c>
      <c r="M358" s="107" t="s">
        <v>214</v>
      </c>
      <c r="N358" s="102" t="s">
        <v>523</v>
      </c>
      <c r="O358" s="102" t="s">
        <v>917</v>
      </c>
      <c r="P358" s="102"/>
      <c r="Q358" s="106">
        <v>31</v>
      </c>
      <c r="R358" s="102" t="s">
        <v>201</v>
      </c>
      <c r="S358" s="102" t="s">
        <v>79</v>
      </c>
      <c r="T358" s="102" t="s">
        <v>191</v>
      </c>
      <c r="U358" s="102" t="s">
        <v>79</v>
      </c>
      <c r="V358" s="102"/>
      <c r="W358" s="102" t="s">
        <v>90</v>
      </c>
      <c r="X358" s="102" t="s">
        <v>202</v>
      </c>
      <c r="Y358" s="102" t="s">
        <v>135</v>
      </c>
      <c r="AC358" s="108"/>
      <c r="AL358" s="108"/>
    </row>
    <row r="359" spans="1:38" s="105" customFormat="1" ht="14.1" customHeight="1" x14ac:dyDescent="0.2">
      <c r="A359" s="109">
        <v>70010</v>
      </c>
      <c r="B359" s="107" t="s">
        <v>28</v>
      </c>
      <c r="C359" s="108"/>
      <c r="E359" s="109"/>
      <c r="F359" s="110"/>
      <c r="G359" s="105" t="s">
        <v>204</v>
      </c>
      <c r="I359" s="105" t="s">
        <v>133</v>
      </c>
      <c r="J359" s="110"/>
      <c r="K359" s="107" t="s">
        <v>198</v>
      </c>
      <c r="L359" s="104" t="s">
        <v>199</v>
      </c>
      <c r="M359" s="107" t="s">
        <v>214</v>
      </c>
      <c r="N359" s="102" t="s">
        <v>523</v>
      </c>
      <c r="O359" s="102" t="s">
        <v>918</v>
      </c>
      <c r="P359" s="102"/>
      <c r="Q359" s="106" t="s">
        <v>57</v>
      </c>
      <c r="R359" s="102" t="s">
        <v>201</v>
      </c>
      <c r="S359" s="102" t="s">
        <v>28</v>
      </c>
      <c r="T359" s="102" t="s">
        <v>191</v>
      </c>
      <c r="U359" s="102" t="s">
        <v>73</v>
      </c>
      <c r="W359" s="102" t="s">
        <v>90</v>
      </c>
      <c r="X359" s="102"/>
      <c r="Y359" s="102"/>
      <c r="AC359" s="108"/>
      <c r="AF359" s="105" t="s">
        <v>73</v>
      </c>
      <c r="AG359" s="105" t="s">
        <v>73</v>
      </c>
      <c r="AH359" s="105" t="s">
        <v>73</v>
      </c>
      <c r="AI359" s="105" t="s">
        <v>73</v>
      </c>
      <c r="AL359" s="108"/>
    </row>
    <row r="360" spans="1:38" s="105" customFormat="1" ht="14.1" customHeight="1" x14ac:dyDescent="0.2">
      <c r="A360" s="109">
        <v>70010</v>
      </c>
      <c r="B360" s="107" t="s">
        <v>20</v>
      </c>
      <c r="C360" s="108"/>
      <c r="E360" s="109"/>
      <c r="F360" s="110"/>
      <c r="G360" s="105" t="s">
        <v>204</v>
      </c>
      <c r="I360" s="105" t="s">
        <v>133</v>
      </c>
      <c r="J360" s="110"/>
      <c r="K360" s="107" t="s">
        <v>198</v>
      </c>
      <c r="L360" s="104" t="s">
        <v>199</v>
      </c>
      <c r="M360" s="107" t="s">
        <v>214</v>
      </c>
      <c r="N360" s="102" t="s">
        <v>523</v>
      </c>
      <c r="O360" s="102" t="s">
        <v>918</v>
      </c>
      <c r="P360" s="102"/>
      <c r="Q360" s="106" t="s">
        <v>42</v>
      </c>
      <c r="R360" s="102" t="s">
        <v>201</v>
      </c>
      <c r="S360" s="102" t="s">
        <v>28</v>
      </c>
      <c r="T360" s="102" t="s">
        <v>191</v>
      </c>
      <c r="U360" s="102" t="s">
        <v>73</v>
      </c>
      <c r="W360" s="102" t="s">
        <v>90</v>
      </c>
      <c r="X360" s="102"/>
      <c r="Y360" s="102"/>
      <c r="AC360" s="108"/>
      <c r="AF360" s="105" t="s">
        <v>73</v>
      </c>
      <c r="AG360" s="105" t="s">
        <v>73</v>
      </c>
      <c r="AH360" s="105" t="s">
        <v>73</v>
      </c>
      <c r="AI360" s="105" t="s">
        <v>73</v>
      </c>
      <c r="AL360" s="108"/>
    </row>
    <row r="361" spans="1:38" s="105" customFormat="1" ht="14.1" customHeight="1" x14ac:dyDescent="0.2">
      <c r="A361" s="109">
        <v>70010</v>
      </c>
      <c r="B361" s="107" t="s">
        <v>79</v>
      </c>
      <c r="C361" s="108"/>
      <c r="E361" s="109"/>
      <c r="F361" s="110"/>
      <c r="G361" s="105" t="s">
        <v>204</v>
      </c>
      <c r="I361" s="105" t="s">
        <v>133</v>
      </c>
      <c r="J361" s="110"/>
      <c r="K361" s="107" t="s">
        <v>198</v>
      </c>
      <c r="L361" s="104" t="s">
        <v>199</v>
      </c>
      <c r="M361" s="107" t="s">
        <v>214</v>
      </c>
      <c r="N361" s="102" t="s">
        <v>523</v>
      </c>
      <c r="O361" s="102" t="s">
        <v>918</v>
      </c>
      <c r="P361" s="102"/>
      <c r="Q361" s="106" t="s">
        <v>52</v>
      </c>
      <c r="R361" s="102" t="s">
        <v>201</v>
      </c>
      <c r="S361" s="102" t="s">
        <v>28</v>
      </c>
      <c r="T361" s="102" t="s">
        <v>191</v>
      </c>
      <c r="U361" s="102" t="s">
        <v>73</v>
      </c>
      <c r="W361" s="102" t="s">
        <v>90</v>
      </c>
      <c r="X361" s="102"/>
      <c r="Y361" s="102"/>
      <c r="AC361" s="108"/>
      <c r="AF361" s="105" t="s">
        <v>73</v>
      </c>
      <c r="AG361" s="105" t="s">
        <v>73</v>
      </c>
      <c r="AH361" s="105" t="s">
        <v>73</v>
      </c>
      <c r="AI361" s="105" t="s">
        <v>73</v>
      </c>
      <c r="AL361" s="108"/>
    </row>
    <row r="362" spans="1:38" s="105" customFormat="1" ht="14.1" customHeight="1" x14ac:dyDescent="0.2">
      <c r="A362" s="109">
        <v>70010</v>
      </c>
      <c r="B362" s="107" t="s">
        <v>73</v>
      </c>
      <c r="C362" s="108"/>
      <c r="E362" s="109"/>
      <c r="F362" s="110"/>
      <c r="G362" s="105" t="s">
        <v>204</v>
      </c>
      <c r="I362" s="105" t="s">
        <v>133</v>
      </c>
      <c r="J362" s="110"/>
      <c r="K362" s="107" t="s">
        <v>198</v>
      </c>
      <c r="L362" s="104" t="s">
        <v>199</v>
      </c>
      <c r="M362" s="107" t="s">
        <v>214</v>
      </c>
      <c r="N362" s="102" t="s">
        <v>523</v>
      </c>
      <c r="O362" s="102" t="s">
        <v>918</v>
      </c>
      <c r="P362" s="102"/>
      <c r="Q362" s="106" t="s">
        <v>56</v>
      </c>
      <c r="R362" s="102" t="s">
        <v>201</v>
      </c>
      <c r="S362" s="102" t="s">
        <v>28</v>
      </c>
      <c r="T362" s="102" t="s">
        <v>191</v>
      </c>
      <c r="U362" s="102" t="s">
        <v>73</v>
      </c>
      <c r="W362" s="102" t="s">
        <v>90</v>
      </c>
      <c r="X362" s="102"/>
      <c r="Y362" s="102"/>
      <c r="AC362" s="108"/>
      <c r="AF362" s="105" t="s">
        <v>73</v>
      </c>
      <c r="AG362" s="105" t="s">
        <v>73</v>
      </c>
      <c r="AH362" s="105" t="s">
        <v>73</v>
      </c>
      <c r="AI362" s="105" t="s">
        <v>73</v>
      </c>
      <c r="AL362" s="108"/>
    </row>
    <row r="363" spans="1:38" s="105" customFormat="1" ht="14.1" customHeight="1" x14ac:dyDescent="0.2">
      <c r="A363" s="109">
        <v>70011</v>
      </c>
      <c r="B363" s="104" t="s">
        <v>57</v>
      </c>
      <c r="C363" s="108"/>
      <c r="E363" s="109"/>
      <c r="F363" s="110"/>
      <c r="G363" s="102" t="s">
        <v>131</v>
      </c>
      <c r="H363" s="102"/>
      <c r="I363" s="102" t="s">
        <v>133</v>
      </c>
      <c r="J363" s="106"/>
      <c r="K363" s="107" t="s">
        <v>218</v>
      </c>
      <c r="L363" s="104" t="s">
        <v>225</v>
      </c>
      <c r="M363" s="107" t="s">
        <v>226</v>
      </c>
      <c r="N363" s="102" t="s">
        <v>523</v>
      </c>
      <c r="O363" s="102" t="s">
        <v>919</v>
      </c>
      <c r="P363" s="102"/>
      <c r="Q363" s="106" t="s">
        <v>28</v>
      </c>
      <c r="R363" s="102" t="s">
        <v>219</v>
      </c>
      <c r="S363" s="102" t="s">
        <v>79</v>
      </c>
      <c r="T363" s="102" t="s">
        <v>191</v>
      </c>
      <c r="U363" s="102" t="s">
        <v>79</v>
      </c>
      <c r="V363" s="102"/>
      <c r="W363" s="102" t="s">
        <v>90</v>
      </c>
      <c r="X363" s="102" t="s">
        <v>220</v>
      </c>
      <c r="Y363" s="102" t="s">
        <v>135</v>
      </c>
      <c r="AC363" s="108"/>
      <c r="AL363" s="108"/>
    </row>
    <row r="364" spans="1:38" s="105" customFormat="1" ht="14.1" customHeight="1" x14ac:dyDescent="0.2">
      <c r="A364" s="109">
        <v>70011</v>
      </c>
      <c r="B364" s="104" t="s">
        <v>19</v>
      </c>
      <c r="C364" s="108"/>
      <c r="E364" s="109"/>
      <c r="F364" s="110"/>
      <c r="G364" s="102" t="s">
        <v>131</v>
      </c>
      <c r="H364" s="102"/>
      <c r="I364" s="102" t="s">
        <v>133</v>
      </c>
      <c r="J364" s="106"/>
      <c r="K364" s="107" t="s">
        <v>218</v>
      </c>
      <c r="L364" s="104" t="s">
        <v>225</v>
      </c>
      <c r="M364" s="107" t="s">
        <v>226</v>
      </c>
      <c r="N364" s="102" t="s">
        <v>523</v>
      </c>
      <c r="O364" s="102" t="s">
        <v>919</v>
      </c>
      <c r="P364" s="102"/>
      <c r="Q364" s="106" t="s">
        <v>110</v>
      </c>
      <c r="R364" s="102" t="s">
        <v>219</v>
      </c>
      <c r="S364" s="102" t="s">
        <v>79</v>
      </c>
      <c r="T364" s="102" t="s">
        <v>191</v>
      </c>
      <c r="U364" s="102" t="s">
        <v>79</v>
      </c>
      <c r="V364" s="102"/>
      <c r="W364" s="102" t="s">
        <v>90</v>
      </c>
      <c r="X364" s="102" t="s">
        <v>220</v>
      </c>
      <c r="Y364" s="102" t="s">
        <v>135</v>
      </c>
      <c r="AC364" s="108"/>
      <c r="AL364" s="108"/>
    </row>
    <row r="365" spans="1:38" s="105" customFormat="1" ht="14.1" customHeight="1" x14ac:dyDescent="0.2">
      <c r="A365" s="109">
        <v>70011</v>
      </c>
      <c r="B365" s="104" t="s">
        <v>36</v>
      </c>
      <c r="C365" s="108"/>
      <c r="E365" s="109"/>
      <c r="F365" s="110"/>
      <c r="G365" s="102" t="s">
        <v>131</v>
      </c>
      <c r="H365" s="102"/>
      <c r="I365" s="102" t="s">
        <v>133</v>
      </c>
      <c r="J365" s="106"/>
      <c r="K365" s="107" t="s">
        <v>218</v>
      </c>
      <c r="L365" s="104" t="s">
        <v>225</v>
      </c>
      <c r="M365" s="107" t="s">
        <v>226</v>
      </c>
      <c r="N365" s="102" t="s">
        <v>523</v>
      </c>
      <c r="O365" s="102" t="s">
        <v>919</v>
      </c>
      <c r="P365" s="102"/>
      <c r="Q365" s="106" t="s">
        <v>164</v>
      </c>
      <c r="R365" s="102" t="s">
        <v>219</v>
      </c>
      <c r="S365" s="102" t="s">
        <v>79</v>
      </c>
      <c r="T365" s="102" t="s">
        <v>191</v>
      </c>
      <c r="U365" s="102" t="s">
        <v>79</v>
      </c>
      <c r="V365" s="102"/>
      <c r="W365" s="102" t="s">
        <v>90</v>
      </c>
      <c r="X365" s="102" t="s">
        <v>220</v>
      </c>
      <c r="Y365" s="102" t="s">
        <v>135</v>
      </c>
      <c r="AC365" s="108"/>
      <c r="AL365" s="108"/>
    </row>
    <row r="366" spans="1:38" s="105" customFormat="1" ht="14.1" customHeight="1" x14ac:dyDescent="0.2">
      <c r="A366" s="109">
        <v>70011</v>
      </c>
      <c r="B366" s="104" t="s">
        <v>37</v>
      </c>
      <c r="C366" s="108"/>
      <c r="E366" s="109"/>
      <c r="F366" s="110"/>
      <c r="G366" s="102" t="s">
        <v>131</v>
      </c>
      <c r="H366" s="102"/>
      <c r="I366" s="102" t="s">
        <v>133</v>
      </c>
      <c r="J366" s="106"/>
      <c r="K366" s="107" t="s">
        <v>218</v>
      </c>
      <c r="L366" s="104" t="s">
        <v>225</v>
      </c>
      <c r="M366" s="107" t="s">
        <v>226</v>
      </c>
      <c r="N366" s="102" t="s">
        <v>523</v>
      </c>
      <c r="O366" s="102" t="s">
        <v>919</v>
      </c>
      <c r="P366" s="102"/>
      <c r="Q366" s="106" t="s">
        <v>165</v>
      </c>
      <c r="R366" s="102" t="s">
        <v>219</v>
      </c>
      <c r="S366" s="102" t="s">
        <v>79</v>
      </c>
      <c r="T366" s="102" t="s">
        <v>191</v>
      </c>
      <c r="U366" s="102" t="s">
        <v>79</v>
      </c>
      <c r="V366" s="102"/>
      <c r="W366" s="102" t="s">
        <v>90</v>
      </c>
      <c r="X366" s="102" t="s">
        <v>220</v>
      </c>
      <c r="Y366" s="102" t="s">
        <v>135</v>
      </c>
      <c r="AC366" s="108"/>
      <c r="AL366" s="108"/>
    </row>
    <row r="367" spans="1:38" s="105" customFormat="1" ht="14.1" customHeight="1" x14ac:dyDescent="0.2">
      <c r="A367" s="109">
        <v>70012</v>
      </c>
      <c r="B367" s="107" t="s">
        <v>57</v>
      </c>
      <c r="C367" s="108"/>
      <c r="E367" s="109"/>
      <c r="F367" s="110"/>
      <c r="G367" s="105" t="s">
        <v>204</v>
      </c>
      <c r="I367" s="105" t="s">
        <v>133</v>
      </c>
      <c r="J367" s="110"/>
      <c r="K367" s="107" t="s">
        <v>265</v>
      </c>
      <c r="L367" s="104" t="s">
        <v>225</v>
      </c>
      <c r="M367" s="107" t="s">
        <v>226</v>
      </c>
      <c r="N367" s="102" t="s">
        <v>523</v>
      </c>
      <c r="O367" s="102" t="s">
        <v>920</v>
      </c>
      <c r="P367" s="102"/>
      <c r="Q367" s="106" t="s">
        <v>28</v>
      </c>
      <c r="R367" s="102" t="s">
        <v>268</v>
      </c>
      <c r="S367" s="102" t="s">
        <v>28</v>
      </c>
      <c r="T367" s="102" t="s">
        <v>191</v>
      </c>
      <c r="U367" s="102" t="s">
        <v>73</v>
      </c>
      <c r="W367" s="102" t="s">
        <v>90</v>
      </c>
      <c r="X367" s="102"/>
      <c r="Y367" s="102"/>
      <c r="AC367" s="108"/>
      <c r="AF367" s="105" t="s">
        <v>73</v>
      </c>
      <c r="AG367" s="105" t="s">
        <v>73</v>
      </c>
      <c r="AH367" s="105" t="s">
        <v>73</v>
      </c>
      <c r="AI367" s="105" t="s">
        <v>73</v>
      </c>
      <c r="AL367" s="108"/>
    </row>
    <row r="368" spans="1:38" s="105" customFormat="1" ht="14.1" customHeight="1" x14ac:dyDescent="0.2">
      <c r="A368" s="109">
        <v>70012</v>
      </c>
      <c r="B368" s="107" t="s">
        <v>20</v>
      </c>
      <c r="C368" s="108"/>
      <c r="E368" s="109"/>
      <c r="F368" s="110"/>
      <c r="G368" s="105" t="s">
        <v>204</v>
      </c>
      <c r="I368" s="105" t="s">
        <v>133</v>
      </c>
      <c r="J368" s="110"/>
      <c r="K368" s="107" t="s">
        <v>265</v>
      </c>
      <c r="L368" s="104" t="s">
        <v>225</v>
      </c>
      <c r="M368" s="107" t="s">
        <v>226</v>
      </c>
      <c r="N368" s="102" t="s">
        <v>523</v>
      </c>
      <c r="O368" s="102" t="s">
        <v>920</v>
      </c>
      <c r="P368" s="102"/>
      <c r="Q368" s="106">
        <v>11</v>
      </c>
      <c r="R368" s="102" t="s">
        <v>268</v>
      </c>
      <c r="S368" s="102" t="s">
        <v>28</v>
      </c>
      <c r="T368" s="102" t="s">
        <v>191</v>
      </c>
      <c r="U368" s="102" t="s">
        <v>73</v>
      </c>
      <c r="W368" s="102" t="s">
        <v>90</v>
      </c>
      <c r="X368" s="102"/>
      <c r="Y368" s="102"/>
      <c r="AC368" s="108"/>
      <c r="AF368" s="105" t="s">
        <v>73</v>
      </c>
      <c r="AG368" s="105" t="s">
        <v>73</v>
      </c>
      <c r="AH368" s="105" t="s">
        <v>73</v>
      </c>
      <c r="AI368" s="105" t="s">
        <v>73</v>
      </c>
      <c r="AL368" s="108"/>
    </row>
    <row r="369" spans="1:38" s="105" customFormat="1" ht="14.1" customHeight="1" x14ac:dyDescent="0.2">
      <c r="A369" s="109">
        <v>70012</v>
      </c>
      <c r="B369" s="107" t="s">
        <v>79</v>
      </c>
      <c r="C369" s="108"/>
      <c r="E369" s="109"/>
      <c r="F369" s="110"/>
      <c r="G369" s="105" t="s">
        <v>204</v>
      </c>
      <c r="I369" s="105" t="s">
        <v>133</v>
      </c>
      <c r="J369" s="110"/>
      <c r="K369" s="107" t="s">
        <v>265</v>
      </c>
      <c r="L369" s="104" t="s">
        <v>225</v>
      </c>
      <c r="M369" s="107" t="s">
        <v>226</v>
      </c>
      <c r="N369" s="102" t="s">
        <v>523</v>
      </c>
      <c r="O369" s="102" t="s">
        <v>920</v>
      </c>
      <c r="P369" s="102"/>
      <c r="Q369" s="106">
        <v>21</v>
      </c>
      <c r="R369" s="102" t="s">
        <v>268</v>
      </c>
      <c r="S369" s="102" t="s">
        <v>28</v>
      </c>
      <c r="T369" s="102" t="s">
        <v>191</v>
      </c>
      <c r="U369" s="102" t="s">
        <v>73</v>
      </c>
      <c r="W369" s="102" t="s">
        <v>90</v>
      </c>
      <c r="X369" s="102"/>
      <c r="Y369" s="102"/>
      <c r="AC369" s="108"/>
      <c r="AF369" s="105" t="s">
        <v>73</v>
      </c>
      <c r="AG369" s="105" t="s">
        <v>73</v>
      </c>
      <c r="AH369" s="105" t="s">
        <v>73</v>
      </c>
      <c r="AI369" s="105" t="s">
        <v>73</v>
      </c>
      <c r="AL369" s="108"/>
    </row>
    <row r="370" spans="1:38" s="105" customFormat="1" ht="14.1" customHeight="1" x14ac:dyDescent="0.2">
      <c r="A370" s="109">
        <v>70012</v>
      </c>
      <c r="B370" s="107" t="s">
        <v>73</v>
      </c>
      <c r="C370" s="108"/>
      <c r="E370" s="109"/>
      <c r="F370" s="110"/>
      <c r="G370" s="105" t="s">
        <v>204</v>
      </c>
      <c r="I370" s="105" t="s">
        <v>133</v>
      </c>
      <c r="J370" s="110"/>
      <c r="K370" s="107" t="s">
        <v>265</v>
      </c>
      <c r="L370" s="104" t="s">
        <v>225</v>
      </c>
      <c r="M370" s="107" t="s">
        <v>226</v>
      </c>
      <c r="N370" s="102" t="s">
        <v>523</v>
      </c>
      <c r="O370" s="102" t="s">
        <v>920</v>
      </c>
      <c r="P370" s="102"/>
      <c r="Q370" s="106">
        <v>31</v>
      </c>
      <c r="R370" s="102" t="s">
        <v>268</v>
      </c>
      <c r="S370" s="102" t="s">
        <v>28</v>
      </c>
      <c r="T370" s="102" t="s">
        <v>191</v>
      </c>
      <c r="U370" s="102" t="s">
        <v>73</v>
      </c>
      <c r="W370" s="102" t="s">
        <v>90</v>
      </c>
      <c r="X370" s="102"/>
      <c r="Y370" s="102"/>
      <c r="AC370" s="108"/>
      <c r="AF370" s="105" t="s">
        <v>73</v>
      </c>
      <c r="AG370" s="105" t="s">
        <v>73</v>
      </c>
      <c r="AH370" s="105" t="s">
        <v>73</v>
      </c>
      <c r="AI370" s="105" t="s">
        <v>73</v>
      </c>
      <c r="AL370" s="108"/>
    </row>
    <row r="371" spans="1:38" s="105" customFormat="1" ht="14.1" customHeight="1" x14ac:dyDescent="0.2">
      <c r="A371" s="109">
        <v>70013</v>
      </c>
      <c r="B371" s="107" t="s">
        <v>28</v>
      </c>
      <c r="C371" s="108"/>
      <c r="E371" s="109"/>
      <c r="F371" s="110"/>
      <c r="G371" s="102" t="s">
        <v>131</v>
      </c>
      <c r="H371" s="102"/>
      <c r="I371" s="102" t="s">
        <v>133</v>
      </c>
      <c r="J371" s="106"/>
      <c r="K371" s="107" t="s">
        <v>242</v>
      </c>
      <c r="L371" s="104" t="s">
        <v>243</v>
      </c>
      <c r="M371" s="107" t="s">
        <v>253</v>
      </c>
      <c r="N371" s="102" t="s">
        <v>523</v>
      </c>
      <c r="O371" s="102" t="s">
        <v>921</v>
      </c>
      <c r="P371" s="102"/>
      <c r="Q371" s="106" t="s">
        <v>28</v>
      </c>
      <c r="R371" s="102" t="s">
        <v>245</v>
      </c>
      <c r="S371" s="102" t="s">
        <v>79</v>
      </c>
      <c r="T371" s="102" t="s">
        <v>191</v>
      </c>
      <c r="U371" s="102" t="s">
        <v>79</v>
      </c>
      <c r="V371" s="102"/>
      <c r="W371" s="102" t="s">
        <v>90</v>
      </c>
      <c r="X371" s="102"/>
      <c r="Y371" s="102" t="s">
        <v>135</v>
      </c>
      <c r="AC371" s="108"/>
      <c r="AL371" s="108"/>
    </row>
    <row r="372" spans="1:38" s="105" customFormat="1" ht="14.1" customHeight="1" x14ac:dyDescent="0.2">
      <c r="A372" s="109">
        <v>70013</v>
      </c>
      <c r="B372" s="107" t="s">
        <v>20</v>
      </c>
      <c r="C372" s="108"/>
      <c r="E372" s="109"/>
      <c r="F372" s="110"/>
      <c r="G372" s="102" t="s">
        <v>131</v>
      </c>
      <c r="H372" s="102"/>
      <c r="I372" s="102" t="s">
        <v>133</v>
      </c>
      <c r="J372" s="106"/>
      <c r="K372" s="107" t="s">
        <v>242</v>
      </c>
      <c r="L372" s="104" t="s">
        <v>243</v>
      </c>
      <c r="M372" s="107" t="s">
        <v>253</v>
      </c>
      <c r="N372" s="102" t="s">
        <v>523</v>
      </c>
      <c r="O372" s="102" t="s">
        <v>921</v>
      </c>
      <c r="P372" s="102"/>
      <c r="Q372" s="106" t="s">
        <v>110</v>
      </c>
      <c r="R372" s="102" t="s">
        <v>245</v>
      </c>
      <c r="S372" s="102" t="s">
        <v>79</v>
      </c>
      <c r="T372" s="102" t="s">
        <v>191</v>
      </c>
      <c r="U372" s="102" t="s">
        <v>79</v>
      </c>
      <c r="V372" s="102"/>
      <c r="W372" s="102" t="s">
        <v>90</v>
      </c>
      <c r="X372" s="102"/>
      <c r="Y372" s="102" t="s">
        <v>135</v>
      </c>
      <c r="AC372" s="108"/>
      <c r="AL372" s="108"/>
    </row>
    <row r="373" spans="1:38" s="105" customFormat="1" ht="14.1" customHeight="1" x14ac:dyDescent="0.2">
      <c r="A373" s="109">
        <v>70013</v>
      </c>
      <c r="B373" s="107" t="s">
        <v>79</v>
      </c>
      <c r="C373" s="108"/>
      <c r="E373" s="109"/>
      <c r="F373" s="110"/>
      <c r="G373" s="102" t="s">
        <v>131</v>
      </c>
      <c r="H373" s="102"/>
      <c r="I373" s="102" t="s">
        <v>133</v>
      </c>
      <c r="J373" s="106"/>
      <c r="K373" s="107" t="s">
        <v>242</v>
      </c>
      <c r="L373" s="104" t="s">
        <v>243</v>
      </c>
      <c r="M373" s="107" t="s">
        <v>253</v>
      </c>
      <c r="N373" s="102" t="s">
        <v>523</v>
      </c>
      <c r="O373" s="102" t="s">
        <v>921</v>
      </c>
      <c r="P373" s="102"/>
      <c r="Q373" s="106" t="s">
        <v>164</v>
      </c>
      <c r="R373" s="102" t="s">
        <v>245</v>
      </c>
      <c r="S373" s="102" t="s">
        <v>79</v>
      </c>
      <c r="T373" s="102" t="s">
        <v>191</v>
      </c>
      <c r="U373" s="102" t="s">
        <v>79</v>
      </c>
      <c r="V373" s="102"/>
      <c r="W373" s="102" t="s">
        <v>90</v>
      </c>
      <c r="X373" s="102"/>
      <c r="Y373" s="102" t="s">
        <v>135</v>
      </c>
      <c r="AC373" s="108"/>
      <c r="AL373" s="108"/>
    </row>
    <row r="374" spans="1:38" s="105" customFormat="1" ht="13.5" customHeight="1" x14ac:dyDescent="0.2">
      <c r="A374" s="109">
        <v>70013</v>
      </c>
      <c r="B374" s="107" t="s">
        <v>73</v>
      </c>
      <c r="C374" s="108"/>
      <c r="E374" s="109"/>
      <c r="F374" s="110"/>
      <c r="G374" s="102" t="s">
        <v>131</v>
      </c>
      <c r="H374" s="102"/>
      <c r="I374" s="102" t="s">
        <v>133</v>
      </c>
      <c r="J374" s="106"/>
      <c r="K374" s="107" t="s">
        <v>242</v>
      </c>
      <c r="L374" s="104" t="s">
        <v>243</v>
      </c>
      <c r="M374" s="107" t="s">
        <v>253</v>
      </c>
      <c r="N374" s="102" t="s">
        <v>523</v>
      </c>
      <c r="O374" s="102" t="s">
        <v>921</v>
      </c>
      <c r="P374" s="102"/>
      <c r="Q374" s="106" t="s">
        <v>165</v>
      </c>
      <c r="R374" s="102" t="s">
        <v>245</v>
      </c>
      <c r="S374" s="102" t="s">
        <v>79</v>
      </c>
      <c r="T374" s="102" t="s">
        <v>191</v>
      </c>
      <c r="U374" s="102" t="s">
        <v>79</v>
      </c>
      <c r="V374" s="102"/>
      <c r="W374" s="102" t="s">
        <v>90</v>
      </c>
      <c r="X374" s="102"/>
      <c r="Y374" s="102" t="s">
        <v>135</v>
      </c>
      <c r="AC374" s="108"/>
      <c r="AL374" s="108"/>
    </row>
    <row r="375" spans="1:38" s="105" customFormat="1" ht="14.1" customHeight="1" x14ac:dyDescent="0.2">
      <c r="A375" s="109">
        <v>70014</v>
      </c>
      <c r="B375" s="107" t="s">
        <v>28</v>
      </c>
      <c r="C375" s="108"/>
      <c r="E375" s="109"/>
      <c r="F375" s="110"/>
      <c r="G375" s="105" t="s">
        <v>204</v>
      </c>
      <c r="I375" s="105" t="s">
        <v>133</v>
      </c>
      <c r="J375" s="110"/>
      <c r="K375" s="107" t="s">
        <v>242</v>
      </c>
      <c r="L375" s="104" t="s">
        <v>243</v>
      </c>
      <c r="M375" s="107" t="s">
        <v>532</v>
      </c>
      <c r="N375" s="102" t="s">
        <v>523</v>
      </c>
      <c r="O375" s="102" t="s">
        <v>922</v>
      </c>
      <c r="P375" s="102"/>
      <c r="Q375" s="106" t="s">
        <v>28</v>
      </c>
      <c r="R375" s="102" t="s">
        <v>245</v>
      </c>
      <c r="S375" s="102" t="s">
        <v>28</v>
      </c>
      <c r="T375" s="102" t="s">
        <v>191</v>
      </c>
      <c r="U375" s="102" t="s">
        <v>73</v>
      </c>
      <c r="W375" s="102" t="s">
        <v>90</v>
      </c>
      <c r="X375" s="102"/>
      <c r="Y375" s="102"/>
      <c r="AC375" s="108"/>
      <c r="AF375" s="105" t="s">
        <v>73</v>
      </c>
      <c r="AG375" s="105" t="s">
        <v>73</v>
      </c>
      <c r="AH375" s="105" t="s">
        <v>73</v>
      </c>
      <c r="AI375" s="105" t="s">
        <v>73</v>
      </c>
      <c r="AL375" s="108"/>
    </row>
    <row r="376" spans="1:38" s="105" customFormat="1" ht="14.1" customHeight="1" x14ac:dyDescent="0.2">
      <c r="A376" s="109">
        <v>70014</v>
      </c>
      <c r="B376" s="107" t="s">
        <v>20</v>
      </c>
      <c r="C376" s="108"/>
      <c r="E376" s="109"/>
      <c r="F376" s="110"/>
      <c r="G376" s="105" t="s">
        <v>204</v>
      </c>
      <c r="I376" s="105" t="s">
        <v>133</v>
      </c>
      <c r="J376" s="110"/>
      <c r="K376" s="107" t="s">
        <v>242</v>
      </c>
      <c r="L376" s="104" t="s">
        <v>243</v>
      </c>
      <c r="M376" s="107" t="s">
        <v>532</v>
      </c>
      <c r="N376" s="102" t="s">
        <v>523</v>
      </c>
      <c r="O376" s="102" t="s">
        <v>922</v>
      </c>
      <c r="P376" s="102"/>
      <c r="Q376" s="106">
        <v>11</v>
      </c>
      <c r="R376" s="102" t="s">
        <v>245</v>
      </c>
      <c r="S376" s="102" t="s">
        <v>28</v>
      </c>
      <c r="T376" s="102" t="s">
        <v>191</v>
      </c>
      <c r="U376" s="102" t="s">
        <v>73</v>
      </c>
      <c r="W376" s="102" t="s">
        <v>90</v>
      </c>
      <c r="X376" s="102"/>
      <c r="Y376" s="102"/>
      <c r="AC376" s="108"/>
      <c r="AF376" s="105" t="s">
        <v>73</v>
      </c>
      <c r="AG376" s="105" t="s">
        <v>73</v>
      </c>
      <c r="AH376" s="105" t="s">
        <v>73</v>
      </c>
      <c r="AI376" s="105" t="s">
        <v>73</v>
      </c>
      <c r="AL376" s="108"/>
    </row>
    <row r="377" spans="1:38" s="105" customFormat="1" ht="14.1" customHeight="1" x14ac:dyDescent="0.2">
      <c r="A377" s="109">
        <v>70014</v>
      </c>
      <c r="B377" s="107" t="s">
        <v>79</v>
      </c>
      <c r="C377" s="108"/>
      <c r="E377" s="109"/>
      <c r="F377" s="110"/>
      <c r="G377" s="105" t="s">
        <v>204</v>
      </c>
      <c r="I377" s="105" t="s">
        <v>133</v>
      </c>
      <c r="J377" s="110"/>
      <c r="K377" s="107" t="s">
        <v>242</v>
      </c>
      <c r="L377" s="104" t="s">
        <v>243</v>
      </c>
      <c r="M377" s="107" t="s">
        <v>532</v>
      </c>
      <c r="N377" s="102" t="s">
        <v>523</v>
      </c>
      <c r="O377" s="102" t="s">
        <v>922</v>
      </c>
      <c r="P377" s="102"/>
      <c r="Q377" s="106">
        <v>21</v>
      </c>
      <c r="R377" s="102" t="s">
        <v>245</v>
      </c>
      <c r="S377" s="102" t="s">
        <v>28</v>
      </c>
      <c r="T377" s="102" t="s">
        <v>191</v>
      </c>
      <c r="U377" s="102" t="s">
        <v>73</v>
      </c>
      <c r="W377" s="102" t="s">
        <v>90</v>
      </c>
      <c r="X377" s="102"/>
      <c r="Y377" s="102"/>
      <c r="AC377" s="108"/>
      <c r="AF377" s="105" t="s">
        <v>73</v>
      </c>
      <c r="AG377" s="105" t="s">
        <v>73</v>
      </c>
      <c r="AH377" s="105" t="s">
        <v>73</v>
      </c>
      <c r="AI377" s="105" t="s">
        <v>73</v>
      </c>
      <c r="AL377" s="108"/>
    </row>
    <row r="378" spans="1:38" s="105" customFormat="1" ht="14.1" customHeight="1" x14ac:dyDescent="0.2">
      <c r="A378" s="109">
        <v>70014</v>
      </c>
      <c r="B378" s="107" t="s">
        <v>73</v>
      </c>
      <c r="C378" s="108"/>
      <c r="E378" s="109"/>
      <c r="F378" s="110"/>
      <c r="G378" s="105" t="s">
        <v>204</v>
      </c>
      <c r="I378" s="105" t="s">
        <v>133</v>
      </c>
      <c r="J378" s="110"/>
      <c r="K378" s="107" t="s">
        <v>242</v>
      </c>
      <c r="L378" s="104" t="s">
        <v>243</v>
      </c>
      <c r="M378" s="107" t="s">
        <v>532</v>
      </c>
      <c r="N378" s="102" t="s">
        <v>523</v>
      </c>
      <c r="O378" s="102" t="s">
        <v>922</v>
      </c>
      <c r="P378" s="102"/>
      <c r="Q378" s="106">
        <v>31</v>
      </c>
      <c r="R378" s="102" t="s">
        <v>245</v>
      </c>
      <c r="S378" s="102" t="s">
        <v>28</v>
      </c>
      <c r="T378" s="102" t="s">
        <v>191</v>
      </c>
      <c r="U378" s="102" t="s">
        <v>73</v>
      </c>
      <c r="W378" s="102" t="s">
        <v>90</v>
      </c>
      <c r="X378" s="102"/>
      <c r="Y378" s="102"/>
      <c r="AC378" s="108"/>
      <c r="AF378" s="105" t="s">
        <v>73</v>
      </c>
      <c r="AG378" s="105" t="s">
        <v>73</v>
      </c>
      <c r="AH378" s="105" t="s">
        <v>73</v>
      </c>
      <c r="AI378" s="105" t="s">
        <v>73</v>
      </c>
      <c r="AL378" s="108"/>
    </row>
    <row r="379" spans="1:38" s="105" customFormat="1" ht="14.1" customHeight="1" x14ac:dyDescent="0.2">
      <c r="A379" s="109">
        <v>70015</v>
      </c>
      <c r="B379" s="104" t="s">
        <v>57</v>
      </c>
      <c r="C379" s="108"/>
      <c r="E379" s="109"/>
      <c r="F379" s="110"/>
      <c r="G379" s="102" t="s">
        <v>131</v>
      </c>
      <c r="H379" s="102"/>
      <c r="I379" s="102" t="s">
        <v>133</v>
      </c>
      <c r="J379" s="106"/>
      <c r="K379" s="107" t="s">
        <v>471</v>
      </c>
      <c r="L379" s="104" t="s">
        <v>472</v>
      </c>
      <c r="M379" s="107" t="s">
        <v>525</v>
      </c>
      <c r="N379" s="102" t="s">
        <v>523</v>
      </c>
      <c r="O379" s="102" t="s">
        <v>923</v>
      </c>
      <c r="P379" s="102"/>
      <c r="Q379" s="106" t="s">
        <v>28</v>
      </c>
      <c r="R379" s="102" t="s">
        <v>527</v>
      </c>
      <c r="S379" s="102" t="s">
        <v>79</v>
      </c>
      <c r="T379" s="102" t="s">
        <v>191</v>
      </c>
      <c r="U379" s="102" t="s">
        <v>79</v>
      </c>
      <c r="V379" s="102"/>
      <c r="W379" s="102" t="s">
        <v>90</v>
      </c>
      <c r="X379" s="102"/>
      <c r="Y379" s="102" t="s">
        <v>135</v>
      </c>
      <c r="AC379" s="108"/>
      <c r="AL379" s="108"/>
    </row>
    <row r="380" spans="1:38" s="105" customFormat="1" ht="14.1" customHeight="1" x14ac:dyDescent="0.2">
      <c r="A380" s="109">
        <v>70015</v>
      </c>
      <c r="B380" s="104" t="s">
        <v>19</v>
      </c>
      <c r="C380" s="108"/>
      <c r="E380" s="109"/>
      <c r="F380" s="110"/>
      <c r="G380" s="102" t="s">
        <v>131</v>
      </c>
      <c r="H380" s="102"/>
      <c r="I380" s="102" t="s">
        <v>133</v>
      </c>
      <c r="J380" s="106"/>
      <c r="K380" s="107" t="s">
        <v>471</v>
      </c>
      <c r="L380" s="104" t="s">
        <v>472</v>
      </c>
      <c r="M380" s="107" t="s">
        <v>525</v>
      </c>
      <c r="N380" s="102" t="s">
        <v>523</v>
      </c>
      <c r="O380" s="102" t="s">
        <v>923</v>
      </c>
      <c r="P380" s="102"/>
      <c r="Q380" s="106" t="s">
        <v>110</v>
      </c>
      <c r="R380" s="102" t="s">
        <v>527</v>
      </c>
      <c r="S380" s="102" t="s">
        <v>79</v>
      </c>
      <c r="T380" s="102" t="s">
        <v>191</v>
      </c>
      <c r="U380" s="102" t="s">
        <v>79</v>
      </c>
      <c r="V380" s="102"/>
      <c r="W380" s="102" t="s">
        <v>90</v>
      </c>
      <c r="X380" s="102"/>
      <c r="Y380" s="102" t="s">
        <v>135</v>
      </c>
      <c r="AC380" s="108"/>
      <c r="AL380" s="108"/>
    </row>
    <row r="381" spans="1:38" s="105" customFormat="1" ht="14.1" customHeight="1" x14ac:dyDescent="0.2">
      <c r="A381" s="109">
        <v>70015</v>
      </c>
      <c r="B381" s="104" t="s">
        <v>36</v>
      </c>
      <c r="C381" s="108"/>
      <c r="E381" s="109"/>
      <c r="F381" s="110"/>
      <c r="G381" s="102" t="s">
        <v>131</v>
      </c>
      <c r="H381" s="102"/>
      <c r="I381" s="102" t="s">
        <v>133</v>
      </c>
      <c r="J381" s="106"/>
      <c r="K381" s="107" t="s">
        <v>471</v>
      </c>
      <c r="L381" s="104" t="s">
        <v>472</v>
      </c>
      <c r="M381" s="107" t="s">
        <v>525</v>
      </c>
      <c r="N381" s="102" t="s">
        <v>523</v>
      </c>
      <c r="O381" s="102" t="s">
        <v>923</v>
      </c>
      <c r="P381" s="102"/>
      <c r="Q381" s="106" t="s">
        <v>164</v>
      </c>
      <c r="R381" s="102" t="s">
        <v>527</v>
      </c>
      <c r="S381" s="102" t="s">
        <v>79</v>
      </c>
      <c r="T381" s="102" t="s">
        <v>191</v>
      </c>
      <c r="U381" s="102" t="s">
        <v>79</v>
      </c>
      <c r="V381" s="102"/>
      <c r="W381" s="102" t="s">
        <v>90</v>
      </c>
      <c r="X381" s="102"/>
      <c r="Y381" s="102" t="s">
        <v>135</v>
      </c>
      <c r="AC381" s="108"/>
      <c r="AL381" s="108"/>
    </row>
    <row r="382" spans="1:38" s="105" customFormat="1" ht="14.1" customHeight="1" x14ac:dyDescent="0.2">
      <c r="A382" s="109">
        <v>70015</v>
      </c>
      <c r="B382" s="104" t="s">
        <v>37</v>
      </c>
      <c r="C382" s="108"/>
      <c r="E382" s="109"/>
      <c r="F382" s="110"/>
      <c r="G382" s="102" t="s">
        <v>131</v>
      </c>
      <c r="H382" s="102"/>
      <c r="I382" s="102" t="s">
        <v>133</v>
      </c>
      <c r="J382" s="106"/>
      <c r="K382" s="107" t="s">
        <v>471</v>
      </c>
      <c r="L382" s="104" t="s">
        <v>472</v>
      </c>
      <c r="M382" s="107" t="s">
        <v>525</v>
      </c>
      <c r="N382" s="102" t="s">
        <v>523</v>
      </c>
      <c r="O382" s="102" t="s">
        <v>923</v>
      </c>
      <c r="P382" s="102"/>
      <c r="Q382" s="106" t="s">
        <v>165</v>
      </c>
      <c r="R382" s="102" t="s">
        <v>527</v>
      </c>
      <c r="S382" s="102" t="s">
        <v>79</v>
      </c>
      <c r="T382" s="102" t="s">
        <v>191</v>
      </c>
      <c r="U382" s="102" t="s">
        <v>79</v>
      </c>
      <c r="V382" s="102"/>
      <c r="W382" s="102" t="s">
        <v>90</v>
      </c>
      <c r="Y382" s="102" t="s">
        <v>135</v>
      </c>
      <c r="AC382" s="108"/>
      <c r="AL382" s="108"/>
    </row>
    <row r="383" spans="1:38" s="105" customFormat="1" ht="14.1" customHeight="1" x14ac:dyDescent="0.2">
      <c r="A383" s="109">
        <v>70016</v>
      </c>
      <c r="B383" s="107" t="s">
        <v>28</v>
      </c>
      <c r="C383" s="108"/>
      <c r="E383" s="109"/>
      <c r="F383" s="110"/>
      <c r="G383" s="105" t="s">
        <v>204</v>
      </c>
      <c r="I383" s="105" t="s">
        <v>133</v>
      </c>
      <c r="J383" s="110"/>
      <c r="K383" s="107" t="s">
        <v>473</v>
      </c>
      <c r="L383" s="104" t="s">
        <v>474</v>
      </c>
      <c r="M383" s="107" t="s">
        <v>525</v>
      </c>
      <c r="N383" s="102" t="s">
        <v>523</v>
      </c>
      <c r="O383" s="102" t="s">
        <v>924</v>
      </c>
      <c r="P383" s="102"/>
      <c r="Q383" s="106" t="s">
        <v>28</v>
      </c>
      <c r="R383" s="102" t="s">
        <v>527</v>
      </c>
      <c r="S383" s="102" t="s">
        <v>28</v>
      </c>
      <c r="T383" s="102" t="s">
        <v>191</v>
      </c>
      <c r="U383" s="102" t="s">
        <v>73</v>
      </c>
      <c r="W383" s="102" t="s">
        <v>90</v>
      </c>
      <c r="Y383" s="102"/>
      <c r="AC383" s="108"/>
      <c r="AF383" s="105" t="s">
        <v>73</v>
      </c>
      <c r="AG383" s="105" t="s">
        <v>73</v>
      </c>
      <c r="AH383" s="105" t="s">
        <v>73</v>
      </c>
      <c r="AI383" s="105" t="s">
        <v>73</v>
      </c>
      <c r="AL383" s="108"/>
    </row>
    <row r="384" spans="1:38" s="105" customFormat="1" ht="14.1" customHeight="1" x14ac:dyDescent="0.2">
      <c r="A384" s="109">
        <v>70016</v>
      </c>
      <c r="B384" s="107" t="s">
        <v>20</v>
      </c>
      <c r="C384" s="108"/>
      <c r="E384" s="109"/>
      <c r="F384" s="110"/>
      <c r="G384" s="105" t="s">
        <v>204</v>
      </c>
      <c r="I384" s="105" t="s">
        <v>133</v>
      </c>
      <c r="J384" s="110"/>
      <c r="K384" s="107" t="s">
        <v>473</v>
      </c>
      <c r="L384" s="104" t="s">
        <v>474</v>
      </c>
      <c r="M384" s="107" t="s">
        <v>525</v>
      </c>
      <c r="N384" s="102" t="s">
        <v>523</v>
      </c>
      <c r="O384" s="102" t="s">
        <v>924</v>
      </c>
      <c r="P384" s="102"/>
      <c r="Q384" s="106">
        <v>11</v>
      </c>
      <c r="R384" s="102" t="s">
        <v>527</v>
      </c>
      <c r="S384" s="102" t="s">
        <v>28</v>
      </c>
      <c r="T384" s="102" t="s">
        <v>191</v>
      </c>
      <c r="U384" s="102" t="s">
        <v>73</v>
      </c>
      <c r="W384" s="102" t="s">
        <v>90</v>
      </c>
      <c r="Y384" s="102"/>
      <c r="AC384" s="108"/>
      <c r="AF384" s="105" t="s">
        <v>73</v>
      </c>
      <c r="AG384" s="105" t="s">
        <v>73</v>
      </c>
      <c r="AH384" s="105" t="s">
        <v>73</v>
      </c>
      <c r="AI384" s="105" t="s">
        <v>73</v>
      </c>
      <c r="AL384" s="108"/>
    </row>
    <row r="385" spans="1:38" s="105" customFormat="1" ht="14.1" customHeight="1" x14ac:dyDescent="0.2">
      <c r="A385" s="109">
        <v>70016</v>
      </c>
      <c r="B385" s="107" t="s">
        <v>79</v>
      </c>
      <c r="C385" s="108"/>
      <c r="E385" s="109"/>
      <c r="F385" s="110"/>
      <c r="G385" s="105" t="s">
        <v>204</v>
      </c>
      <c r="I385" s="105" t="s">
        <v>133</v>
      </c>
      <c r="J385" s="110"/>
      <c r="K385" s="107" t="s">
        <v>473</v>
      </c>
      <c r="L385" s="104" t="s">
        <v>474</v>
      </c>
      <c r="M385" s="107" t="s">
        <v>525</v>
      </c>
      <c r="N385" s="102" t="s">
        <v>523</v>
      </c>
      <c r="O385" s="102" t="s">
        <v>924</v>
      </c>
      <c r="P385" s="102"/>
      <c r="Q385" s="106">
        <v>21</v>
      </c>
      <c r="R385" s="102" t="s">
        <v>527</v>
      </c>
      <c r="S385" s="102" t="s">
        <v>28</v>
      </c>
      <c r="T385" s="102" t="s">
        <v>191</v>
      </c>
      <c r="U385" s="102" t="s">
        <v>73</v>
      </c>
      <c r="W385" s="102" t="s">
        <v>90</v>
      </c>
      <c r="Y385" s="102"/>
      <c r="AC385" s="108"/>
      <c r="AF385" s="105" t="s">
        <v>73</v>
      </c>
      <c r="AG385" s="105" t="s">
        <v>73</v>
      </c>
      <c r="AH385" s="105" t="s">
        <v>73</v>
      </c>
      <c r="AI385" s="105" t="s">
        <v>73</v>
      </c>
      <c r="AL385" s="108"/>
    </row>
    <row r="386" spans="1:38" s="105" customFormat="1" ht="14.1" customHeight="1" x14ac:dyDescent="0.2">
      <c r="A386" s="109">
        <v>70016</v>
      </c>
      <c r="B386" s="107" t="s">
        <v>73</v>
      </c>
      <c r="C386" s="108"/>
      <c r="E386" s="109"/>
      <c r="F386" s="110"/>
      <c r="G386" s="105" t="s">
        <v>204</v>
      </c>
      <c r="I386" s="105" t="s">
        <v>133</v>
      </c>
      <c r="J386" s="110"/>
      <c r="K386" s="107" t="s">
        <v>473</v>
      </c>
      <c r="L386" s="104" t="s">
        <v>474</v>
      </c>
      <c r="M386" s="107" t="s">
        <v>525</v>
      </c>
      <c r="N386" s="102" t="s">
        <v>523</v>
      </c>
      <c r="O386" s="102" t="s">
        <v>924</v>
      </c>
      <c r="P386" s="102"/>
      <c r="Q386" s="106">
        <v>31</v>
      </c>
      <c r="R386" s="102" t="s">
        <v>527</v>
      </c>
      <c r="S386" s="102" t="s">
        <v>28</v>
      </c>
      <c r="T386" s="102" t="s">
        <v>191</v>
      </c>
      <c r="U386" s="102" t="s">
        <v>73</v>
      </c>
      <c r="W386" s="102" t="s">
        <v>90</v>
      </c>
      <c r="Y386" s="102"/>
      <c r="AC386" s="108"/>
      <c r="AF386" s="105" t="s">
        <v>73</v>
      </c>
      <c r="AG386" s="105" t="s">
        <v>73</v>
      </c>
      <c r="AH386" s="105" t="s">
        <v>73</v>
      </c>
      <c r="AI386" s="105" t="s">
        <v>73</v>
      </c>
      <c r="AL386" s="108"/>
    </row>
    <row r="387" spans="1:38" s="2" customFormat="1" ht="14.1" customHeight="1" x14ac:dyDescent="0.2">
      <c r="A387" s="66" t="s">
        <v>261</v>
      </c>
      <c r="B387" s="3" t="s">
        <v>57</v>
      </c>
      <c r="C387" s="52"/>
      <c r="E387" s="66"/>
      <c r="F387" s="70"/>
      <c r="G387" s="2" t="s">
        <v>204</v>
      </c>
      <c r="I387" s="2" t="s">
        <v>133</v>
      </c>
      <c r="J387" s="70"/>
      <c r="K387" s="3" t="s">
        <v>205</v>
      </c>
      <c r="L387" s="3" t="s">
        <v>139</v>
      </c>
      <c r="M387" s="3" t="s">
        <v>206</v>
      </c>
      <c r="N387" s="2" t="s">
        <v>523</v>
      </c>
      <c r="O387" s="2" t="s">
        <v>260</v>
      </c>
      <c r="Q387" s="70" t="s">
        <v>57</v>
      </c>
      <c r="R387" s="2" t="s">
        <v>208</v>
      </c>
      <c r="S387" s="2" t="s">
        <v>211</v>
      </c>
      <c r="T387" s="2" t="s">
        <v>212</v>
      </c>
      <c r="U387" s="2" t="s">
        <v>179</v>
      </c>
      <c r="W387" s="2" t="s">
        <v>90</v>
      </c>
      <c r="X387" s="2" t="s">
        <v>209</v>
      </c>
      <c r="Y387" s="2" t="s">
        <v>135</v>
      </c>
      <c r="AC387" s="52"/>
      <c r="AF387" s="2" t="s">
        <v>179</v>
      </c>
      <c r="AG387" s="2" t="s">
        <v>179</v>
      </c>
      <c r="AH387" s="2" t="s">
        <v>179</v>
      </c>
      <c r="AI387" s="2" t="s">
        <v>179</v>
      </c>
      <c r="AL387" s="52"/>
    </row>
    <row r="388" spans="1:38" s="2" customFormat="1" ht="14.1" customHeight="1" x14ac:dyDescent="0.2">
      <c r="A388" s="111" t="s">
        <v>224</v>
      </c>
      <c r="B388" s="36" t="s">
        <v>57</v>
      </c>
      <c r="C388" s="88"/>
      <c r="E388" s="111"/>
      <c r="F388" s="112"/>
      <c r="G388" s="35" t="s">
        <v>221</v>
      </c>
      <c r="H388" s="35"/>
      <c r="I388" s="35" t="s">
        <v>133</v>
      </c>
      <c r="J388" s="112"/>
      <c r="K388" s="3" t="s">
        <v>228</v>
      </c>
      <c r="L388" s="36" t="s">
        <v>139</v>
      </c>
      <c r="M388" s="36" t="s">
        <v>169</v>
      </c>
      <c r="N388" s="35" t="s">
        <v>28</v>
      </c>
      <c r="O388" s="36" t="s">
        <v>223</v>
      </c>
      <c r="P388" s="35"/>
      <c r="Q388" s="112" t="s">
        <v>57</v>
      </c>
      <c r="R388" s="62" t="s">
        <v>251</v>
      </c>
      <c r="S388" s="35" t="s">
        <v>36</v>
      </c>
      <c r="T388" s="35" t="s">
        <v>154</v>
      </c>
      <c r="U388" s="35" t="s">
        <v>79</v>
      </c>
      <c r="V388" s="35"/>
      <c r="W388" s="35" t="s">
        <v>90</v>
      </c>
      <c r="X388" s="35"/>
      <c r="Y388" s="35"/>
      <c r="Z388" s="35"/>
      <c r="AA388" s="39"/>
      <c r="AB388" s="43"/>
      <c r="AC388" s="51"/>
      <c r="AL388" s="52"/>
    </row>
    <row r="389" spans="1:38" s="2" customFormat="1" ht="14.1" customHeight="1" x14ac:dyDescent="0.2">
      <c r="A389" s="111" t="s">
        <v>224</v>
      </c>
      <c r="B389" s="36" t="s">
        <v>20</v>
      </c>
      <c r="C389" s="88"/>
      <c r="E389" s="111"/>
      <c r="F389" s="112"/>
      <c r="G389" s="35" t="s">
        <v>221</v>
      </c>
      <c r="H389" s="35"/>
      <c r="I389" s="35" t="s">
        <v>133</v>
      </c>
      <c r="J389" s="112"/>
      <c r="K389" s="3" t="s">
        <v>290</v>
      </c>
      <c r="L389" s="36" t="s">
        <v>139</v>
      </c>
      <c r="M389" s="36" t="s">
        <v>169</v>
      </c>
      <c r="N389" s="35" t="s">
        <v>28</v>
      </c>
      <c r="O389" s="36" t="s">
        <v>223</v>
      </c>
      <c r="P389" s="35"/>
      <c r="Q389" s="112" t="s">
        <v>20</v>
      </c>
      <c r="R389" s="35" t="s">
        <v>219</v>
      </c>
      <c r="S389" s="35" t="s">
        <v>36</v>
      </c>
      <c r="T389" s="35" t="s">
        <v>154</v>
      </c>
      <c r="U389" s="35" t="s">
        <v>79</v>
      </c>
      <c r="V389" s="35"/>
      <c r="W389" s="35" t="s">
        <v>90</v>
      </c>
      <c r="X389" s="35"/>
      <c r="Y389" s="35"/>
      <c r="Z389" s="35"/>
      <c r="AA389" s="39"/>
      <c r="AB389" s="43"/>
      <c r="AC389" s="51"/>
      <c r="AL389" s="52"/>
    </row>
    <row r="390" spans="1:38" s="2" customFormat="1" ht="14.1" customHeight="1" x14ac:dyDescent="0.2">
      <c r="A390" s="111" t="s">
        <v>224</v>
      </c>
      <c r="B390" s="36" t="s">
        <v>79</v>
      </c>
      <c r="C390" s="88"/>
      <c r="E390" s="111"/>
      <c r="F390" s="112"/>
      <c r="G390" s="35" t="s">
        <v>221</v>
      </c>
      <c r="H390" s="35"/>
      <c r="I390" s="35" t="s">
        <v>133</v>
      </c>
      <c r="J390" s="112"/>
      <c r="K390" s="3" t="s">
        <v>227</v>
      </c>
      <c r="L390" s="36" t="s">
        <v>139</v>
      </c>
      <c r="M390" s="36" t="s">
        <v>169</v>
      </c>
      <c r="N390" s="35" t="s">
        <v>28</v>
      </c>
      <c r="O390" s="36" t="s">
        <v>223</v>
      </c>
      <c r="P390" s="35"/>
      <c r="Q390" s="112" t="s">
        <v>79</v>
      </c>
      <c r="R390" s="62" t="s">
        <v>221</v>
      </c>
      <c r="S390" s="35" t="s">
        <v>36</v>
      </c>
      <c r="T390" s="35" t="s">
        <v>154</v>
      </c>
      <c r="U390" s="35" t="s">
        <v>79</v>
      </c>
      <c r="V390" s="35"/>
      <c r="W390" s="35" t="s">
        <v>90</v>
      </c>
      <c r="X390" s="35"/>
      <c r="Y390" s="35"/>
      <c r="Z390" s="35"/>
      <c r="AA390" s="39"/>
      <c r="AB390" s="43"/>
      <c r="AC390" s="51"/>
      <c r="AL390" s="52"/>
    </row>
    <row r="391" spans="1:38" s="2" customFormat="1" ht="14.1" customHeight="1" x14ac:dyDescent="0.2">
      <c r="A391" s="67" t="s">
        <v>224</v>
      </c>
      <c r="B391" s="3" t="s">
        <v>278</v>
      </c>
      <c r="C391" s="52"/>
      <c r="E391" s="66"/>
      <c r="F391" s="70"/>
      <c r="G391" s="35" t="s">
        <v>280</v>
      </c>
      <c r="H391" s="2" t="s">
        <v>133</v>
      </c>
      <c r="I391" s="2" t="s">
        <v>133</v>
      </c>
      <c r="J391" s="70"/>
      <c r="K391" s="3" t="s">
        <v>228</v>
      </c>
      <c r="L391" s="36" t="s">
        <v>139</v>
      </c>
      <c r="M391" s="36" t="s">
        <v>222</v>
      </c>
      <c r="N391" s="35" t="s">
        <v>71</v>
      </c>
      <c r="O391" s="36" t="s">
        <v>223</v>
      </c>
      <c r="Q391" s="70" t="s">
        <v>278</v>
      </c>
      <c r="R391" s="62" t="s">
        <v>251</v>
      </c>
      <c r="S391" s="2" t="s">
        <v>282</v>
      </c>
      <c r="T391" s="2" t="s">
        <v>283</v>
      </c>
      <c r="U391" s="2" t="s">
        <v>283</v>
      </c>
      <c r="W391" s="35" t="s">
        <v>90</v>
      </c>
      <c r="AC391" s="52"/>
      <c r="AE391" s="2" t="s">
        <v>904</v>
      </c>
      <c r="AF391" s="2" t="s">
        <v>284</v>
      </c>
      <c r="AG391" s="2" t="s">
        <v>284</v>
      </c>
      <c r="AH391" s="2" t="s">
        <v>284</v>
      </c>
      <c r="AI391" s="2" t="s">
        <v>284</v>
      </c>
      <c r="AL391" s="52"/>
    </row>
    <row r="392" spans="1:38" s="2" customFormat="1" ht="14.1" customHeight="1" x14ac:dyDescent="0.2">
      <c r="A392" s="67" t="s">
        <v>224</v>
      </c>
      <c r="B392" s="3" t="s">
        <v>279</v>
      </c>
      <c r="C392" s="52"/>
      <c r="E392" s="66"/>
      <c r="F392" s="70"/>
      <c r="G392" s="35" t="s">
        <v>280</v>
      </c>
      <c r="H392" s="2" t="s">
        <v>133</v>
      </c>
      <c r="I392" s="2" t="s">
        <v>133</v>
      </c>
      <c r="J392" s="70"/>
      <c r="K392" s="3" t="s">
        <v>290</v>
      </c>
      <c r="L392" s="36" t="s">
        <v>139</v>
      </c>
      <c r="M392" s="36" t="s">
        <v>222</v>
      </c>
      <c r="N392" s="35" t="s">
        <v>229</v>
      </c>
      <c r="O392" s="36" t="s">
        <v>223</v>
      </c>
      <c r="Q392" s="70" t="s">
        <v>279</v>
      </c>
      <c r="R392" s="35" t="s">
        <v>219</v>
      </c>
      <c r="S392" s="2" t="s">
        <v>282</v>
      </c>
      <c r="T392" s="2" t="s">
        <v>283</v>
      </c>
      <c r="U392" s="2" t="s">
        <v>283</v>
      </c>
      <c r="W392" s="35" t="s">
        <v>90</v>
      </c>
      <c r="AC392" s="52"/>
      <c r="AE392" s="2" t="s">
        <v>904</v>
      </c>
      <c r="AF392" s="2" t="s">
        <v>284</v>
      </c>
      <c r="AG392" s="2" t="s">
        <v>284</v>
      </c>
      <c r="AH392" s="2" t="s">
        <v>284</v>
      </c>
      <c r="AI392" s="2" t="s">
        <v>284</v>
      </c>
      <c r="AL392" s="52"/>
    </row>
    <row r="393" spans="1:38" s="2" customFormat="1" ht="14.1" customHeight="1" x14ac:dyDescent="0.2">
      <c r="A393" s="67" t="s">
        <v>224</v>
      </c>
      <c r="B393" s="3" t="s">
        <v>289</v>
      </c>
      <c r="C393" s="52"/>
      <c r="E393" s="66"/>
      <c r="F393" s="70"/>
      <c r="G393" s="35" t="s">
        <v>280</v>
      </c>
      <c r="H393" s="2" t="s">
        <v>133</v>
      </c>
      <c r="I393" s="2" t="s">
        <v>133</v>
      </c>
      <c r="J393" s="70"/>
      <c r="K393" s="3" t="s">
        <v>227</v>
      </c>
      <c r="L393" s="36" t="s">
        <v>139</v>
      </c>
      <c r="M393" s="36" t="s">
        <v>169</v>
      </c>
      <c r="N393" s="35" t="s">
        <v>28</v>
      </c>
      <c r="O393" s="36" t="s">
        <v>223</v>
      </c>
      <c r="Q393" s="70" t="s">
        <v>289</v>
      </c>
      <c r="R393" s="62" t="s">
        <v>221</v>
      </c>
      <c r="S393" s="2" t="s">
        <v>28</v>
      </c>
      <c r="T393" s="2" t="s">
        <v>22</v>
      </c>
      <c r="U393" s="2" t="s">
        <v>22</v>
      </c>
      <c r="W393" s="35" t="s">
        <v>90</v>
      </c>
      <c r="AC393" s="52"/>
      <c r="AE393" s="2" t="s">
        <v>904</v>
      </c>
      <c r="AF393" s="2" t="s">
        <v>79</v>
      </c>
      <c r="AG393" s="2" t="s">
        <v>79</v>
      </c>
      <c r="AH393" s="2" t="s">
        <v>79</v>
      </c>
      <c r="AI393" s="2" t="s">
        <v>79</v>
      </c>
      <c r="AL393" s="52"/>
    </row>
    <row r="394" spans="1:38" s="2" customFormat="1" ht="14.1" customHeight="1" x14ac:dyDescent="0.2">
      <c r="A394" s="77" t="s">
        <v>292</v>
      </c>
      <c r="B394" s="63" t="s">
        <v>28</v>
      </c>
      <c r="C394" s="89"/>
      <c r="E394" s="68"/>
      <c r="F394" s="72"/>
      <c r="G394" s="35" t="s">
        <v>131</v>
      </c>
      <c r="I394" s="2" t="s">
        <v>133</v>
      </c>
      <c r="J394" s="70"/>
      <c r="K394" s="3" t="s">
        <v>227</v>
      </c>
      <c r="L394" s="36" t="s">
        <v>139</v>
      </c>
      <c r="M394" s="36" t="s">
        <v>169</v>
      </c>
      <c r="N394" s="35" t="s">
        <v>28</v>
      </c>
      <c r="O394" s="36" t="s">
        <v>294</v>
      </c>
      <c r="Q394" s="70" t="s">
        <v>296</v>
      </c>
      <c r="R394" s="62" t="s">
        <v>293</v>
      </c>
      <c r="S394" s="2" t="s">
        <v>295</v>
      </c>
      <c r="T394" s="2" t="s">
        <v>38</v>
      </c>
      <c r="U394" s="2" t="s">
        <v>73</v>
      </c>
      <c r="W394" s="35" t="s">
        <v>90</v>
      </c>
      <c r="AC394" s="52"/>
      <c r="AF394" s="2" t="s">
        <v>73</v>
      </c>
      <c r="AG394" s="2" t="s">
        <v>73</v>
      </c>
      <c r="AL394" s="52"/>
    </row>
    <row r="395" spans="1:38" s="2" customFormat="1" ht="14.1" customHeight="1" x14ac:dyDescent="0.2">
      <c r="A395" s="77" t="s">
        <v>299</v>
      </c>
      <c r="B395" s="63" t="s">
        <v>28</v>
      </c>
      <c r="C395" s="89"/>
      <c r="E395" s="68"/>
      <c r="F395" s="72"/>
      <c r="G395" s="35" t="s">
        <v>131</v>
      </c>
      <c r="I395" s="2" t="s">
        <v>133</v>
      </c>
      <c r="J395" s="70"/>
      <c r="K395" s="3" t="s">
        <v>227</v>
      </c>
      <c r="L395" s="36" t="s">
        <v>139</v>
      </c>
      <c r="M395" s="36" t="s">
        <v>169</v>
      </c>
      <c r="N395" s="35" t="s">
        <v>28</v>
      </c>
      <c r="O395" s="36" t="s">
        <v>294</v>
      </c>
      <c r="Q395" s="70" t="s">
        <v>297</v>
      </c>
      <c r="R395" s="62" t="s">
        <v>293</v>
      </c>
      <c r="S395" s="2" t="s">
        <v>79</v>
      </c>
      <c r="T395" s="2" t="s">
        <v>38</v>
      </c>
      <c r="U395" s="2" t="s">
        <v>73</v>
      </c>
      <c r="W395" s="35" t="s">
        <v>90</v>
      </c>
      <c r="AC395" s="52"/>
      <c r="AF395" s="2" t="s">
        <v>73</v>
      </c>
      <c r="AG395" s="2" t="s">
        <v>73</v>
      </c>
      <c r="AL395" s="52"/>
    </row>
    <row r="396" spans="1:38" s="2" customFormat="1" ht="14.25" customHeight="1" x14ac:dyDescent="0.2">
      <c r="A396" s="77" t="s">
        <v>300</v>
      </c>
      <c r="B396" s="63" t="s">
        <v>28</v>
      </c>
      <c r="C396" s="89"/>
      <c r="E396" s="68"/>
      <c r="F396" s="72"/>
      <c r="G396" s="35" t="s">
        <v>131</v>
      </c>
      <c r="I396" s="2" t="s">
        <v>133</v>
      </c>
      <c r="J396" s="70"/>
      <c r="K396" s="3" t="s">
        <v>227</v>
      </c>
      <c r="L396" s="36" t="s">
        <v>139</v>
      </c>
      <c r="M396" s="36" t="s">
        <v>169</v>
      </c>
      <c r="N396" s="35" t="s">
        <v>28</v>
      </c>
      <c r="O396" s="36" t="s">
        <v>294</v>
      </c>
      <c r="Q396" s="70" t="s">
        <v>298</v>
      </c>
      <c r="R396" s="62" t="s">
        <v>293</v>
      </c>
      <c r="S396" s="2" t="s">
        <v>79</v>
      </c>
      <c r="T396" s="2" t="s">
        <v>38</v>
      </c>
      <c r="U396" s="2" t="s">
        <v>73</v>
      </c>
      <c r="W396" s="35" t="s">
        <v>90</v>
      </c>
      <c r="AC396" s="52"/>
      <c r="AF396" s="2" t="s">
        <v>73</v>
      </c>
      <c r="AG396" s="2" t="s">
        <v>73</v>
      </c>
      <c r="AL396" s="52"/>
    </row>
    <row r="397" spans="1:38" s="116" customFormat="1" ht="14.1" customHeight="1" x14ac:dyDescent="0.2">
      <c r="A397" s="113">
        <v>1001</v>
      </c>
      <c r="B397" s="114" t="s">
        <v>28</v>
      </c>
      <c r="C397" s="115" t="s">
        <v>925</v>
      </c>
      <c r="E397" s="117"/>
      <c r="F397" s="118"/>
      <c r="G397" s="116" t="s">
        <v>926</v>
      </c>
      <c r="J397" s="118"/>
      <c r="K397" s="114" t="s">
        <v>312</v>
      </c>
      <c r="L397" s="119" t="s">
        <v>394</v>
      </c>
      <c r="M397" s="114" t="s">
        <v>942</v>
      </c>
      <c r="N397" s="116" t="s">
        <v>523</v>
      </c>
      <c r="O397" s="116" t="s">
        <v>927</v>
      </c>
      <c r="Q397" s="116" t="s">
        <v>28</v>
      </c>
      <c r="R397" s="116" t="s">
        <v>939</v>
      </c>
      <c r="S397" s="116" t="s">
        <v>28</v>
      </c>
      <c r="T397" s="116" t="s">
        <v>191</v>
      </c>
      <c r="U397" s="116" t="s">
        <v>37</v>
      </c>
      <c r="W397" s="116" t="s">
        <v>90</v>
      </c>
      <c r="X397" s="116" t="s">
        <v>316</v>
      </c>
      <c r="Y397" s="116" t="s">
        <v>135</v>
      </c>
      <c r="AA397" s="115"/>
      <c r="AB397" s="120"/>
      <c r="AC397" s="115"/>
      <c r="AE397" s="113">
        <v>1001</v>
      </c>
      <c r="AF397" s="116" t="s">
        <v>37</v>
      </c>
      <c r="AG397" s="116" t="s">
        <v>37</v>
      </c>
      <c r="AH397" s="116" t="s">
        <v>37</v>
      </c>
      <c r="AI397" s="116" t="s">
        <v>37</v>
      </c>
      <c r="AL397" s="115"/>
    </row>
    <row r="398" spans="1:38" s="116" customFormat="1" ht="12" x14ac:dyDescent="0.2">
      <c r="A398" s="113">
        <v>1002</v>
      </c>
      <c r="B398" s="114" t="s">
        <v>28</v>
      </c>
      <c r="C398" s="115" t="s">
        <v>928</v>
      </c>
      <c r="E398" s="117"/>
      <c r="F398" s="118"/>
      <c r="G398" s="116" t="s">
        <v>926</v>
      </c>
      <c r="J398" s="118"/>
      <c r="K398" s="114" t="s">
        <v>317</v>
      </c>
      <c r="L398" s="119" t="s">
        <v>395</v>
      </c>
      <c r="M398" s="114" t="s">
        <v>943</v>
      </c>
      <c r="N398" s="116" t="s">
        <v>523</v>
      </c>
      <c r="O398" s="116" t="s">
        <v>927</v>
      </c>
      <c r="Q398" s="116" t="s">
        <v>20</v>
      </c>
      <c r="R398" s="116" t="s">
        <v>939</v>
      </c>
      <c r="S398" s="116" t="s">
        <v>28</v>
      </c>
      <c r="T398" s="116" t="s">
        <v>191</v>
      </c>
      <c r="U398" s="116" t="s">
        <v>37</v>
      </c>
      <c r="W398" s="116" t="s">
        <v>90</v>
      </c>
      <c r="X398" s="116" t="s">
        <v>321</v>
      </c>
      <c r="Y398" s="116" t="s">
        <v>135</v>
      </c>
      <c r="AA398" s="115"/>
      <c r="AB398" s="120"/>
      <c r="AC398" s="115"/>
      <c r="AE398" s="113">
        <v>1002</v>
      </c>
      <c r="AF398" s="116" t="s">
        <v>37</v>
      </c>
      <c r="AG398" s="116" t="s">
        <v>37</v>
      </c>
      <c r="AH398" s="116" t="s">
        <v>37</v>
      </c>
      <c r="AI398" s="116" t="s">
        <v>37</v>
      </c>
      <c r="AL398" s="115"/>
    </row>
    <row r="399" spans="1:38" s="116" customFormat="1" ht="14.1" customHeight="1" x14ac:dyDescent="0.2">
      <c r="A399" s="113">
        <v>1003</v>
      </c>
      <c r="B399" s="114" t="s">
        <v>28</v>
      </c>
      <c r="C399" s="115" t="s">
        <v>929</v>
      </c>
      <c r="E399" s="117"/>
      <c r="F399" s="118"/>
      <c r="G399" s="116" t="s">
        <v>926</v>
      </c>
      <c r="J399" s="118"/>
      <c r="K399" s="114" t="s">
        <v>303</v>
      </c>
      <c r="L399" s="119" t="s">
        <v>396</v>
      </c>
      <c r="M399" s="114" t="s">
        <v>944</v>
      </c>
      <c r="N399" s="116" t="s">
        <v>523</v>
      </c>
      <c r="O399" s="116" t="s">
        <v>927</v>
      </c>
      <c r="Q399" s="116" t="s">
        <v>79</v>
      </c>
      <c r="R399" s="116" t="s">
        <v>939</v>
      </c>
      <c r="S399" s="116" t="s">
        <v>28</v>
      </c>
      <c r="T399" s="116" t="s">
        <v>191</v>
      </c>
      <c r="U399" s="116" t="s">
        <v>37</v>
      </c>
      <c r="W399" s="116" t="s">
        <v>90</v>
      </c>
      <c r="X399" s="116" t="s">
        <v>307</v>
      </c>
      <c r="Y399" s="116" t="s">
        <v>135</v>
      </c>
      <c r="AA399" s="115"/>
      <c r="AB399" s="120"/>
      <c r="AC399" s="115"/>
      <c r="AE399" s="113">
        <v>1003</v>
      </c>
      <c r="AF399" s="116" t="s">
        <v>37</v>
      </c>
      <c r="AG399" s="116" t="s">
        <v>37</v>
      </c>
      <c r="AH399" s="116" t="s">
        <v>37</v>
      </c>
      <c r="AI399" s="116" t="s">
        <v>37</v>
      </c>
      <c r="AL399" s="115"/>
    </row>
    <row r="400" spans="1:38" s="116" customFormat="1" ht="14.1" customHeight="1" x14ac:dyDescent="0.2">
      <c r="A400" s="113">
        <v>1004</v>
      </c>
      <c r="B400" s="114" t="s">
        <v>28</v>
      </c>
      <c r="C400" s="115" t="s">
        <v>930</v>
      </c>
      <c r="E400" s="117"/>
      <c r="F400" s="118"/>
      <c r="G400" s="116" t="s">
        <v>926</v>
      </c>
      <c r="J400" s="118"/>
      <c r="K400" s="114" t="s">
        <v>308</v>
      </c>
      <c r="L400" s="119" t="s">
        <v>397</v>
      </c>
      <c r="M400" s="114" t="s">
        <v>946</v>
      </c>
      <c r="N400" s="116" t="s">
        <v>523</v>
      </c>
      <c r="O400" s="116" t="s">
        <v>927</v>
      </c>
      <c r="Q400" s="116" t="s">
        <v>73</v>
      </c>
      <c r="R400" s="116" t="s">
        <v>939</v>
      </c>
      <c r="S400" s="116" t="s">
        <v>28</v>
      </c>
      <c r="T400" s="116" t="s">
        <v>191</v>
      </c>
      <c r="U400" s="116" t="s">
        <v>37</v>
      </c>
      <c r="W400" s="116" t="s">
        <v>90</v>
      </c>
      <c r="X400" s="116" t="s">
        <v>311</v>
      </c>
      <c r="Y400" s="116" t="s">
        <v>135</v>
      </c>
      <c r="AA400" s="115"/>
      <c r="AB400" s="120"/>
      <c r="AC400" s="115"/>
      <c r="AE400" s="113">
        <v>1004</v>
      </c>
      <c r="AF400" s="116" t="s">
        <v>37</v>
      </c>
      <c r="AG400" s="116" t="s">
        <v>37</v>
      </c>
      <c r="AH400" s="116" t="s">
        <v>37</v>
      </c>
      <c r="AI400" s="116" t="s">
        <v>37</v>
      </c>
      <c r="AL400" s="115"/>
    </row>
    <row r="401" spans="1:39" s="116" customFormat="1" ht="14.1" customHeight="1" x14ac:dyDescent="0.2">
      <c r="A401" s="113">
        <v>1005</v>
      </c>
      <c r="B401" s="114" t="s">
        <v>28</v>
      </c>
      <c r="C401" s="115" t="s">
        <v>931</v>
      </c>
      <c r="E401" s="117"/>
      <c r="F401" s="118"/>
      <c r="G401" s="116" t="s">
        <v>926</v>
      </c>
      <c r="J401" s="118"/>
      <c r="K401" s="114" t="s">
        <v>932</v>
      </c>
      <c r="L401" s="119"/>
      <c r="M401" s="114" t="s">
        <v>945</v>
      </c>
      <c r="N401" s="116" t="s">
        <v>523</v>
      </c>
      <c r="O401" s="116" t="s">
        <v>927</v>
      </c>
      <c r="Q401" s="116" t="s">
        <v>75</v>
      </c>
      <c r="R401" s="116" t="s">
        <v>939</v>
      </c>
      <c r="S401" s="116" t="s">
        <v>28</v>
      </c>
      <c r="T401" s="116" t="s">
        <v>191</v>
      </c>
      <c r="U401" s="116" t="s">
        <v>37</v>
      </c>
      <c r="W401" s="116" t="s">
        <v>90</v>
      </c>
      <c r="X401" s="116" t="s">
        <v>311</v>
      </c>
      <c r="Y401" s="116" t="s">
        <v>135</v>
      </c>
      <c r="AA401" s="115"/>
      <c r="AB401" s="120"/>
      <c r="AC401" s="115"/>
      <c r="AE401" s="113">
        <v>1005</v>
      </c>
      <c r="AF401" s="116" t="s">
        <v>37</v>
      </c>
      <c r="AG401" s="116" t="s">
        <v>37</v>
      </c>
      <c r="AH401" s="116" t="s">
        <v>37</v>
      </c>
      <c r="AI401" s="116" t="s">
        <v>37</v>
      </c>
      <c r="AL401" s="115"/>
      <c r="AM401" s="116" t="s">
        <v>79</v>
      </c>
    </row>
    <row r="402" spans="1:39" s="2" customFormat="1" ht="14.1" customHeight="1" x14ac:dyDescent="0.2">
      <c r="A402" s="66"/>
      <c r="B402" s="3"/>
      <c r="C402" s="52"/>
      <c r="D402" s="70"/>
      <c r="E402" s="66"/>
      <c r="F402" s="70"/>
      <c r="J402" s="70"/>
      <c r="K402" s="3"/>
      <c r="L402" s="3"/>
      <c r="M402" s="3"/>
      <c r="Q402" s="70"/>
      <c r="AC402" s="52"/>
      <c r="AL402" s="52"/>
    </row>
    <row r="403" spans="1:39" s="2" customFormat="1" ht="14.1" customHeight="1" x14ac:dyDescent="0.2">
      <c r="A403" s="66"/>
      <c r="B403" s="3"/>
      <c r="C403" s="52"/>
      <c r="D403" s="70"/>
      <c r="E403" s="66"/>
      <c r="F403" s="70"/>
      <c r="J403" s="70"/>
      <c r="K403" s="3"/>
      <c r="L403" s="3"/>
      <c r="M403" s="3"/>
      <c r="Q403" s="70"/>
      <c r="AC403" s="52"/>
      <c r="AL403" s="52"/>
    </row>
    <row r="404" spans="1:39" s="2" customFormat="1" ht="14.1" customHeight="1" x14ac:dyDescent="0.2">
      <c r="A404" s="66"/>
      <c r="B404" s="3"/>
      <c r="C404" s="52"/>
      <c r="D404" s="70"/>
      <c r="E404" s="66"/>
      <c r="F404" s="70"/>
      <c r="J404" s="70"/>
      <c r="K404" s="3"/>
      <c r="L404" s="3"/>
      <c r="M404" s="3"/>
      <c r="Q404" s="70"/>
      <c r="AC404" s="52"/>
      <c r="AL404" s="52"/>
    </row>
    <row r="405" spans="1:39" s="2" customFormat="1" ht="14.1" customHeight="1" x14ac:dyDescent="0.2">
      <c r="A405" s="66"/>
      <c r="B405" s="3"/>
      <c r="C405" s="52"/>
      <c r="D405" s="70"/>
      <c r="E405" s="66"/>
      <c r="F405" s="70"/>
      <c r="J405" s="70"/>
      <c r="K405" s="3"/>
      <c r="L405" s="3"/>
      <c r="M405" s="3"/>
      <c r="Q405" s="70"/>
      <c r="AC405" s="52"/>
      <c r="AL405" s="52"/>
    </row>
    <row r="406" spans="1:39" s="2" customFormat="1" ht="14.1" customHeight="1" x14ac:dyDescent="0.2">
      <c r="A406" s="66"/>
      <c r="B406" s="3"/>
      <c r="C406" s="52"/>
      <c r="D406" s="70"/>
      <c r="E406" s="66"/>
      <c r="F406" s="70"/>
      <c r="J406" s="70"/>
      <c r="K406" s="3"/>
      <c r="L406" s="3"/>
      <c r="M406" s="3"/>
      <c r="Q406" s="70"/>
      <c r="AC406" s="52"/>
      <c r="AL406" s="52"/>
    </row>
    <row r="407" spans="1:39" s="2" customFormat="1" ht="14.1" customHeight="1" x14ac:dyDescent="0.2">
      <c r="A407" s="66"/>
      <c r="B407" s="3"/>
      <c r="C407" s="52"/>
      <c r="D407" s="70"/>
      <c r="E407" s="66"/>
      <c r="F407" s="70"/>
      <c r="J407" s="70"/>
      <c r="K407" s="3"/>
      <c r="L407" s="3"/>
      <c r="M407" s="3"/>
      <c r="Q407" s="70"/>
      <c r="AC407" s="52"/>
      <c r="AL407" s="52"/>
    </row>
    <row r="408" spans="1:39" s="2" customFormat="1" ht="14.1" customHeight="1" x14ac:dyDescent="0.2">
      <c r="A408" s="66"/>
      <c r="B408" s="3"/>
      <c r="C408" s="52"/>
      <c r="D408" s="70"/>
      <c r="E408" s="66"/>
      <c r="F408" s="70"/>
      <c r="J408" s="70"/>
      <c r="K408" s="3"/>
      <c r="L408" s="3"/>
      <c r="M408" s="3"/>
      <c r="Q408" s="70"/>
      <c r="AC408" s="52"/>
      <c r="AL408" s="52"/>
    </row>
    <row r="409" spans="1:39" s="2" customFormat="1" ht="14.1" customHeight="1" x14ac:dyDescent="0.2">
      <c r="A409" s="66"/>
      <c r="B409" s="3"/>
      <c r="C409" s="52"/>
      <c r="D409" s="70"/>
      <c r="E409" s="66"/>
      <c r="F409" s="70"/>
      <c r="J409" s="70"/>
      <c r="K409" s="3"/>
      <c r="L409" s="3"/>
      <c r="M409" s="3"/>
      <c r="Q409" s="70"/>
      <c r="AC409" s="52"/>
      <c r="AL409" s="52"/>
    </row>
    <row r="410" spans="1:39" s="2" customFormat="1" ht="14.1" customHeight="1" x14ac:dyDescent="0.2">
      <c r="A410" s="66"/>
      <c r="B410" s="3"/>
      <c r="C410" s="52"/>
      <c r="D410" s="70"/>
      <c r="E410" s="66"/>
      <c r="F410" s="70"/>
      <c r="J410" s="70"/>
      <c r="K410" s="3"/>
      <c r="L410" s="3"/>
      <c r="M410" s="3"/>
      <c r="Q410" s="70"/>
      <c r="AC410" s="52"/>
      <c r="AL410" s="52"/>
    </row>
    <row r="411" spans="1:39" s="2" customFormat="1" ht="14.1" customHeight="1" x14ac:dyDescent="0.2">
      <c r="A411" s="66"/>
      <c r="B411" s="3"/>
      <c r="C411" s="52"/>
      <c r="D411" s="70"/>
      <c r="E411" s="66"/>
      <c r="F411" s="70"/>
      <c r="J411" s="70"/>
      <c r="K411" s="3"/>
      <c r="L411" s="3"/>
      <c r="M411" s="3"/>
      <c r="Q411" s="70"/>
      <c r="AC411" s="52"/>
      <c r="AL411" s="52"/>
    </row>
    <row r="412" spans="1:39" s="2" customFormat="1" ht="14.1" customHeight="1" x14ac:dyDescent="0.2">
      <c r="A412" s="66"/>
      <c r="B412" s="3"/>
      <c r="C412" s="52"/>
      <c r="D412" s="70"/>
      <c r="E412" s="66"/>
      <c r="F412" s="70"/>
      <c r="J412" s="70"/>
      <c r="K412" s="3"/>
      <c r="L412" s="3"/>
      <c r="M412" s="3"/>
      <c r="Q412" s="70"/>
      <c r="AC412" s="52"/>
      <c r="AL412" s="52"/>
    </row>
    <row r="413" spans="1:39" s="2" customFormat="1" ht="14.1" customHeight="1" x14ac:dyDescent="0.2">
      <c r="A413" s="66"/>
      <c r="B413" s="3"/>
      <c r="C413" s="52"/>
      <c r="D413" s="70"/>
      <c r="E413" s="66"/>
      <c r="F413" s="70"/>
      <c r="J413" s="70"/>
      <c r="K413" s="3"/>
      <c r="L413" s="3"/>
      <c r="M413" s="3"/>
      <c r="Q413" s="70"/>
      <c r="AC413" s="52"/>
      <c r="AL413" s="52"/>
    </row>
    <row r="414" spans="1:39" s="2" customFormat="1" ht="14.1" customHeight="1" x14ac:dyDescent="0.2">
      <c r="A414" s="66"/>
      <c r="B414" s="3"/>
      <c r="C414" s="52"/>
      <c r="D414" s="70"/>
      <c r="E414" s="66"/>
      <c r="F414" s="70"/>
      <c r="J414" s="70"/>
      <c r="K414" s="3"/>
      <c r="L414" s="3"/>
      <c r="M414" s="3"/>
      <c r="Q414" s="70"/>
      <c r="AC414" s="52"/>
      <c r="AL414" s="52"/>
    </row>
    <row r="415" spans="1:39" s="2" customFormat="1" ht="14.1" customHeight="1" x14ac:dyDescent="0.2">
      <c r="A415" s="66"/>
      <c r="B415" s="3"/>
      <c r="C415" s="52"/>
      <c r="D415" s="70"/>
      <c r="E415" s="66"/>
      <c r="F415" s="70"/>
      <c r="J415" s="70"/>
      <c r="K415" s="3"/>
      <c r="L415" s="3"/>
      <c r="M415" s="3"/>
      <c r="Q415" s="70"/>
      <c r="AC415" s="52"/>
      <c r="AL415" s="52"/>
    </row>
    <row r="416" spans="1:39" s="2" customFormat="1" ht="14.1" customHeight="1" x14ac:dyDescent="0.2">
      <c r="A416" s="66"/>
      <c r="B416" s="3"/>
      <c r="C416" s="52"/>
      <c r="D416" s="70"/>
      <c r="E416" s="66"/>
      <c r="F416" s="70"/>
      <c r="J416" s="70"/>
      <c r="K416" s="3"/>
      <c r="L416" s="3"/>
      <c r="M416" s="3"/>
      <c r="Q416" s="70"/>
      <c r="AC416" s="52"/>
      <c r="AL416" s="52"/>
    </row>
    <row r="417" spans="1:38" s="2" customFormat="1" ht="14.1" customHeight="1" x14ac:dyDescent="0.2">
      <c r="A417" s="66"/>
      <c r="B417" s="3"/>
      <c r="C417" s="52"/>
      <c r="D417" s="70"/>
      <c r="E417" s="66"/>
      <c r="F417" s="70"/>
      <c r="J417" s="70"/>
      <c r="K417" s="3"/>
      <c r="L417" s="3"/>
      <c r="M417" s="3"/>
      <c r="Q417" s="70"/>
      <c r="AC417" s="52"/>
      <c r="AL417" s="52"/>
    </row>
    <row r="418" spans="1:38" s="2" customFormat="1" ht="14.1" customHeight="1" x14ac:dyDescent="0.2">
      <c r="A418" s="66"/>
      <c r="B418" s="3"/>
      <c r="C418" s="52"/>
      <c r="D418" s="70"/>
      <c r="E418" s="66"/>
      <c r="F418" s="70"/>
      <c r="J418" s="70"/>
      <c r="K418" s="3"/>
      <c r="L418" s="3"/>
      <c r="M418" s="3"/>
      <c r="Q418" s="70"/>
      <c r="AC418" s="52"/>
      <c r="AL418" s="52"/>
    </row>
    <row r="419" spans="1:38" s="2" customFormat="1" ht="14.1" customHeight="1" x14ac:dyDescent="0.2">
      <c r="A419" s="66"/>
      <c r="B419" s="3"/>
      <c r="C419" s="52"/>
      <c r="D419" s="70"/>
      <c r="E419" s="66"/>
      <c r="F419" s="70"/>
      <c r="J419" s="70"/>
      <c r="K419" s="3"/>
      <c r="L419" s="3"/>
      <c r="M419" s="3"/>
      <c r="Q419" s="70"/>
      <c r="AC419" s="52"/>
      <c r="AL419" s="52"/>
    </row>
    <row r="420" spans="1:38" s="2" customFormat="1" ht="14.1" customHeight="1" x14ac:dyDescent="0.2">
      <c r="A420" s="66"/>
      <c r="B420" s="3"/>
      <c r="C420" s="52"/>
      <c r="D420" s="70"/>
      <c r="E420" s="66"/>
      <c r="F420" s="70"/>
      <c r="J420" s="70"/>
      <c r="K420" s="3"/>
      <c r="L420" s="3"/>
      <c r="M420" s="3"/>
      <c r="Q420" s="70"/>
      <c r="AC420" s="52"/>
      <c r="AL420" s="52"/>
    </row>
    <row r="421" spans="1:38" s="2" customFormat="1" ht="14.1" customHeight="1" x14ac:dyDescent="0.2">
      <c r="A421" s="66"/>
      <c r="B421" s="3"/>
      <c r="C421" s="52"/>
      <c r="D421" s="70"/>
      <c r="E421" s="66"/>
      <c r="F421" s="70"/>
      <c r="J421" s="70"/>
      <c r="K421" s="3"/>
      <c r="L421" s="3"/>
      <c r="M421" s="3"/>
      <c r="Q421" s="70"/>
      <c r="AC421" s="52"/>
      <c r="AL421" s="52"/>
    </row>
    <row r="422" spans="1:38" s="2" customFormat="1" ht="14.1" customHeight="1" x14ac:dyDescent="0.2">
      <c r="A422" s="66"/>
      <c r="B422" s="3"/>
      <c r="C422" s="52"/>
      <c r="D422" s="70"/>
      <c r="E422" s="66"/>
      <c r="F422" s="70"/>
      <c r="J422" s="70"/>
      <c r="K422" s="3"/>
      <c r="L422" s="3"/>
      <c r="M422" s="3"/>
      <c r="Q422" s="70"/>
      <c r="AC422" s="52"/>
      <c r="AL422" s="52"/>
    </row>
    <row r="423" spans="1:38" s="2" customFormat="1" ht="14.1" customHeight="1" x14ac:dyDescent="0.2">
      <c r="A423" s="66"/>
      <c r="B423" s="3"/>
      <c r="C423" s="52"/>
      <c r="D423" s="70"/>
      <c r="E423" s="66"/>
      <c r="F423" s="70"/>
      <c r="J423" s="70"/>
      <c r="K423" s="3"/>
      <c r="L423" s="3"/>
      <c r="M423" s="3"/>
      <c r="Q423" s="70"/>
      <c r="AC423" s="52"/>
      <c r="AL423" s="52"/>
    </row>
    <row r="424" spans="1:38" s="2" customFormat="1" ht="14.1" customHeight="1" x14ac:dyDescent="0.2">
      <c r="A424" s="66"/>
      <c r="B424" s="3"/>
      <c r="C424" s="52"/>
      <c r="D424" s="70"/>
      <c r="E424" s="66"/>
      <c r="F424" s="70"/>
      <c r="J424" s="70"/>
      <c r="K424" s="3"/>
      <c r="L424" s="3"/>
      <c r="M424" s="3"/>
      <c r="Q424" s="70"/>
      <c r="AC424" s="52"/>
      <c r="AL424" s="52"/>
    </row>
    <row r="425" spans="1:38" s="2" customFormat="1" ht="14.1" customHeight="1" x14ac:dyDescent="0.2">
      <c r="A425" s="66"/>
      <c r="B425" s="3"/>
      <c r="C425" s="52"/>
      <c r="D425" s="70"/>
      <c r="E425" s="66"/>
      <c r="F425" s="70"/>
      <c r="J425" s="70"/>
      <c r="K425" s="3"/>
      <c r="L425" s="3"/>
      <c r="M425" s="3"/>
      <c r="Q425" s="70"/>
      <c r="AC425" s="52"/>
      <c r="AL425" s="52"/>
    </row>
    <row r="426" spans="1:38" s="2" customFormat="1" ht="14.1" customHeight="1" x14ac:dyDescent="0.2">
      <c r="A426" s="66"/>
      <c r="B426" s="3"/>
      <c r="C426" s="52"/>
      <c r="D426" s="70"/>
      <c r="E426" s="66"/>
      <c r="F426" s="70"/>
      <c r="J426" s="70"/>
      <c r="K426" s="3"/>
      <c r="L426" s="3"/>
      <c r="M426" s="3"/>
      <c r="Q426" s="70"/>
      <c r="AC426" s="52"/>
      <c r="AL426" s="52"/>
    </row>
    <row r="427" spans="1:38" s="2" customFormat="1" ht="14.1" customHeight="1" x14ac:dyDescent="0.2">
      <c r="A427" s="66"/>
      <c r="B427" s="3"/>
      <c r="C427" s="52"/>
      <c r="D427" s="70"/>
      <c r="E427" s="66"/>
      <c r="F427" s="70"/>
      <c r="J427" s="70"/>
      <c r="K427" s="3"/>
      <c r="L427" s="3"/>
      <c r="M427" s="3"/>
      <c r="Q427" s="70"/>
      <c r="AC427" s="52"/>
      <c r="AL427" s="52"/>
    </row>
    <row r="428" spans="1:38" s="2" customFormat="1" ht="14.1" customHeight="1" x14ac:dyDescent="0.2">
      <c r="A428" s="66"/>
      <c r="B428" s="3"/>
      <c r="C428" s="52"/>
      <c r="D428" s="70"/>
      <c r="E428" s="66"/>
      <c r="F428" s="70"/>
      <c r="J428" s="70"/>
      <c r="K428" s="3"/>
      <c r="L428" s="3"/>
      <c r="M428" s="3"/>
      <c r="Q428" s="70"/>
      <c r="AC428" s="52"/>
      <c r="AL428" s="52"/>
    </row>
    <row r="429" spans="1:38" s="2" customFormat="1" ht="14.1" customHeight="1" x14ac:dyDescent="0.2">
      <c r="A429" s="66"/>
      <c r="B429" s="3"/>
      <c r="C429" s="52"/>
      <c r="D429" s="70"/>
      <c r="E429" s="66"/>
      <c r="F429" s="70"/>
      <c r="J429" s="70"/>
      <c r="K429" s="3"/>
      <c r="L429" s="3"/>
      <c r="M429" s="3"/>
      <c r="Q429" s="70"/>
      <c r="AC429" s="52"/>
      <c r="AL429" s="52"/>
    </row>
    <row r="430" spans="1:38" s="2" customFormat="1" ht="14.1" customHeight="1" x14ac:dyDescent="0.2">
      <c r="A430" s="66"/>
      <c r="B430" s="3"/>
      <c r="C430" s="52"/>
      <c r="D430" s="70"/>
      <c r="E430" s="66"/>
      <c r="F430" s="70"/>
      <c r="J430" s="70"/>
      <c r="K430" s="3"/>
      <c r="L430" s="3"/>
      <c r="M430" s="3"/>
      <c r="Q430" s="70"/>
      <c r="AC430" s="52"/>
      <c r="AL430" s="52"/>
    </row>
    <row r="431" spans="1:38" s="2" customFormat="1" ht="14.1" customHeight="1" x14ac:dyDescent="0.2">
      <c r="A431" s="66"/>
      <c r="B431" s="3"/>
      <c r="C431" s="52"/>
      <c r="D431" s="70"/>
      <c r="E431" s="66"/>
      <c r="F431" s="70"/>
      <c r="J431" s="70"/>
      <c r="K431" s="3"/>
      <c r="L431" s="3"/>
      <c r="M431" s="3"/>
      <c r="Q431" s="70"/>
      <c r="AC431" s="52"/>
      <c r="AL431" s="52"/>
    </row>
    <row r="432" spans="1:38" s="2" customFormat="1" ht="14.1" customHeight="1" x14ac:dyDescent="0.2">
      <c r="A432" s="66"/>
      <c r="B432" s="3"/>
      <c r="C432" s="52"/>
      <c r="D432" s="70"/>
      <c r="E432" s="66"/>
      <c r="F432" s="70"/>
      <c r="J432" s="70"/>
      <c r="K432" s="3"/>
      <c r="L432" s="3"/>
      <c r="M432" s="3"/>
      <c r="Q432" s="70"/>
      <c r="AC432" s="52"/>
      <c r="AL432" s="52"/>
    </row>
    <row r="433" spans="1:38" s="2" customFormat="1" ht="14.1" customHeight="1" x14ac:dyDescent="0.2">
      <c r="A433" s="66"/>
      <c r="B433" s="3"/>
      <c r="C433" s="52"/>
      <c r="D433" s="70"/>
      <c r="E433" s="66"/>
      <c r="F433" s="70"/>
      <c r="J433" s="70"/>
      <c r="K433" s="3"/>
      <c r="L433" s="3"/>
      <c r="M433" s="3"/>
      <c r="Q433" s="70"/>
      <c r="AC433" s="52"/>
      <c r="AL433" s="52"/>
    </row>
    <row r="434" spans="1:38" s="2" customFormat="1" ht="14.1" customHeight="1" x14ac:dyDescent="0.2">
      <c r="A434" s="66"/>
      <c r="B434" s="3"/>
      <c r="C434" s="52"/>
      <c r="D434" s="70"/>
      <c r="E434" s="66"/>
      <c r="F434" s="70"/>
      <c r="J434" s="70"/>
      <c r="K434" s="3"/>
      <c r="L434" s="3"/>
      <c r="M434" s="3"/>
      <c r="Q434" s="70"/>
      <c r="AC434" s="52"/>
      <c r="AL434" s="52"/>
    </row>
    <row r="435" spans="1:38" s="2" customFormat="1" ht="14.1" customHeight="1" x14ac:dyDescent="0.2">
      <c r="A435" s="66"/>
      <c r="B435" s="3"/>
      <c r="C435" s="52"/>
      <c r="D435" s="70"/>
      <c r="E435" s="66"/>
      <c r="F435" s="70"/>
      <c r="J435" s="70"/>
      <c r="K435" s="3"/>
      <c r="L435" s="3"/>
      <c r="M435" s="3"/>
      <c r="Q435" s="70"/>
      <c r="AC435" s="52"/>
      <c r="AL435" s="52"/>
    </row>
    <row r="436" spans="1:38" s="2" customFormat="1" ht="14.1" customHeight="1" x14ac:dyDescent="0.2">
      <c r="A436" s="66"/>
      <c r="B436" s="3"/>
      <c r="C436" s="52"/>
      <c r="D436" s="70"/>
      <c r="E436" s="66"/>
      <c r="F436" s="70"/>
      <c r="J436" s="70"/>
      <c r="K436" s="3"/>
      <c r="L436" s="3"/>
      <c r="M436" s="3"/>
      <c r="Q436" s="70"/>
      <c r="AC436" s="52"/>
      <c r="AL436" s="52"/>
    </row>
    <row r="437" spans="1:38" s="2" customFormat="1" ht="14.1" customHeight="1" x14ac:dyDescent="0.2">
      <c r="A437" s="66"/>
      <c r="B437" s="3"/>
      <c r="C437" s="52"/>
      <c r="D437" s="70"/>
      <c r="E437" s="66"/>
      <c r="F437" s="70"/>
      <c r="J437" s="70"/>
      <c r="K437" s="3"/>
      <c r="L437" s="3"/>
      <c r="M437" s="3"/>
      <c r="Q437" s="70"/>
      <c r="AC437" s="52"/>
      <c r="AL437" s="52"/>
    </row>
    <row r="438" spans="1:38" s="2" customFormat="1" ht="14.1" customHeight="1" x14ac:dyDescent="0.2">
      <c r="A438" s="66"/>
      <c r="B438" s="3"/>
      <c r="C438" s="52"/>
      <c r="D438" s="70"/>
      <c r="E438" s="66"/>
      <c r="F438" s="70"/>
      <c r="J438" s="70"/>
      <c r="K438" s="3"/>
      <c r="L438" s="3"/>
      <c r="M438" s="3"/>
      <c r="Q438" s="70"/>
      <c r="AC438" s="52"/>
      <c r="AL438" s="52"/>
    </row>
    <row r="439" spans="1:38" s="2" customFormat="1" ht="14.1" customHeight="1" x14ac:dyDescent="0.2">
      <c r="A439" s="66"/>
      <c r="B439" s="3"/>
      <c r="C439" s="52"/>
      <c r="D439" s="70"/>
      <c r="E439" s="66"/>
      <c r="F439" s="70"/>
      <c r="J439" s="70"/>
      <c r="K439" s="3"/>
      <c r="L439" s="3"/>
      <c r="M439" s="3"/>
      <c r="Q439" s="70"/>
      <c r="AC439" s="52"/>
      <c r="AL439" s="52"/>
    </row>
    <row r="440" spans="1:38" s="2" customFormat="1" ht="14.1" customHeight="1" x14ac:dyDescent="0.2">
      <c r="A440" s="66"/>
      <c r="B440" s="3"/>
      <c r="C440" s="52"/>
      <c r="D440" s="70"/>
      <c r="E440" s="66"/>
      <c r="F440" s="70"/>
      <c r="J440" s="70"/>
      <c r="K440" s="3"/>
      <c r="L440" s="3"/>
      <c r="M440" s="3"/>
      <c r="Q440" s="70"/>
      <c r="AC440" s="52"/>
      <c r="AL440" s="52"/>
    </row>
    <row r="441" spans="1:38" s="2" customFormat="1" ht="14.1" customHeight="1" x14ac:dyDescent="0.2">
      <c r="A441" s="66"/>
      <c r="B441" s="3"/>
      <c r="C441" s="52"/>
      <c r="D441" s="70"/>
      <c r="E441" s="66"/>
      <c r="F441" s="70"/>
      <c r="J441" s="70"/>
      <c r="K441" s="3"/>
      <c r="L441" s="3"/>
      <c r="M441" s="3"/>
      <c r="Q441" s="70"/>
      <c r="AC441" s="52"/>
      <c r="AL441" s="52"/>
    </row>
    <row r="442" spans="1:38" s="2" customFormat="1" ht="14.1" customHeight="1" x14ac:dyDescent="0.2">
      <c r="A442" s="66"/>
      <c r="B442" s="3"/>
      <c r="C442" s="52"/>
      <c r="D442" s="70"/>
      <c r="E442" s="66"/>
      <c r="F442" s="70"/>
      <c r="J442" s="70"/>
      <c r="K442" s="3"/>
      <c r="L442" s="3"/>
      <c r="M442" s="3"/>
      <c r="Q442" s="70"/>
      <c r="AC442" s="52"/>
      <c r="AL442" s="52"/>
    </row>
    <row r="443" spans="1:38" s="2" customFormat="1" ht="14.1" customHeight="1" x14ac:dyDescent="0.2">
      <c r="A443" s="66"/>
      <c r="B443" s="3"/>
      <c r="C443" s="52"/>
      <c r="D443" s="70"/>
      <c r="E443" s="66"/>
      <c r="F443" s="70"/>
      <c r="J443" s="70"/>
      <c r="K443" s="3"/>
      <c r="L443" s="3"/>
      <c r="M443" s="3"/>
      <c r="Q443" s="70"/>
      <c r="AC443" s="52"/>
      <c r="AL443" s="52"/>
    </row>
    <row r="444" spans="1:38" s="2" customFormat="1" ht="14.1" customHeight="1" x14ac:dyDescent="0.2">
      <c r="A444" s="66"/>
      <c r="B444" s="3"/>
      <c r="C444" s="52"/>
      <c r="D444" s="70"/>
      <c r="E444" s="66"/>
      <c r="F444" s="70"/>
      <c r="J444" s="70"/>
      <c r="K444" s="3"/>
      <c r="L444" s="3"/>
      <c r="M444" s="3"/>
      <c r="Q444" s="70"/>
      <c r="AC444" s="52"/>
      <c r="AL444" s="52"/>
    </row>
    <row r="445" spans="1:38" s="2" customFormat="1" ht="14.1" customHeight="1" x14ac:dyDescent="0.2">
      <c r="A445" s="66"/>
      <c r="B445" s="3"/>
      <c r="C445" s="52"/>
      <c r="D445" s="70"/>
      <c r="E445" s="66"/>
      <c r="F445" s="70"/>
      <c r="J445" s="70"/>
      <c r="K445" s="3"/>
      <c r="L445" s="3"/>
      <c r="M445" s="3"/>
      <c r="Q445" s="70"/>
      <c r="AC445" s="52"/>
      <c r="AL445" s="52"/>
    </row>
    <row r="446" spans="1:38" s="2" customFormat="1" ht="14.1" customHeight="1" x14ac:dyDescent="0.2">
      <c r="A446" s="66"/>
      <c r="B446" s="3"/>
      <c r="C446" s="52"/>
      <c r="D446" s="70"/>
      <c r="E446" s="66"/>
      <c r="F446" s="70"/>
      <c r="J446" s="70"/>
      <c r="K446" s="3"/>
      <c r="L446" s="3"/>
      <c r="M446" s="3"/>
      <c r="Q446" s="70"/>
      <c r="AC446" s="52"/>
      <c r="AL446" s="52"/>
    </row>
    <row r="447" spans="1:38" s="2" customFormat="1" ht="14.1" customHeight="1" x14ac:dyDescent="0.2">
      <c r="A447" s="66"/>
      <c r="B447" s="3"/>
      <c r="C447" s="52"/>
      <c r="D447" s="70"/>
      <c r="E447" s="66"/>
      <c r="F447" s="70"/>
      <c r="J447" s="70"/>
      <c r="K447" s="3"/>
      <c r="L447" s="3"/>
      <c r="M447" s="3"/>
      <c r="Q447" s="70"/>
      <c r="AC447" s="52"/>
      <c r="AL447" s="52"/>
    </row>
    <row r="448" spans="1:38" s="2" customFormat="1" ht="14.1" customHeight="1" x14ac:dyDescent="0.2">
      <c r="A448" s="66"/>
      <c r="B448" s="3"/>
      <c r="C448" s="52"/>
      <c r="D448" s="70"/>
      <c r="E448" s="66"/>
      <c r="F448" s="70"/>
      <c r="J448" s="70"/>
      <c r="K448" s="3"/>
      <c r="L448" s="3"/>
      <c r="M448" s="3"/>
      <c r="Q448" s="70"/>
      <c r="AC448" s="52"/>
      <c r="AL448" s="52"/>
    </row>
    <row r="449" spans="1:38" s="2" customFormat="1" ht="14.1" customHeight="1" x14ac:dyDescent="0.2">
      <c r="A449" s="66"/>
      <c r="B449" s="3"/>
      <c r="C449" s="52"/>
      <c r="D449" s="70"/>
      <c r="E449" s="66"/>
      <c r="F449" s="70"/>
      <c r="J449" s="70"/>
      <c r="K449" s="3"/>
      <c r="L449" s="3"/>
      <c r="M449" s="3"/>
      <c r="Q449" s="70"/>
      <c r="AC449" s="52"/>
      <c r="AL449" s="52"/>
    </row>
    <row r="450" spans="1:38" s="2" customFormat="1" ht="14.1" customHeight="1" x14ac:dyDescent="0.2">
      <c r="A450" s="66"/>
      <c r="B450" s="3"/>
      <c r="C450" s="52"/>
      <c r="D450" s="70"/>
      <c r="E450" s="66"/>
      <c r="F450" s="70"/>
      <c r="J450" s="70"/>
      <c r="K450" s="3"/>
      <c r="L450" s="3"/>
      <c r="M450" s="3"/>
      <c r="Q450" s="70"/>
      <c r="AC450" s="52"/>
      <c r="AL450" s="52"/>
    </row>
    <row r="451" spans="1:38" s="2" customFormat="1" ht="14.1" customHeight="1" x14ac:dyDescent="0.2">
      <c r="A451" s="66"/>
      <c r="B451" s="3"/>
      <c r="C451" s="52"/>
      <c r="D451" s="70"/>
      <c r="E451" s="66"/>
      <c r="F451" s="70"/>
      <c r="J451" s="70"/>
      <c r="K451" s="3"/>
      <c r="L451" s="3"/>
      <c r="M451" s="3"/>
      <c r="Q451" s="70"/>
      <c r="AC451" s="52"/>
      <c r="AL451" s="52"/>
    </row>
    <row r="452" spans="1:38" s="2" customFormat="1" ht="14.1" customHeight="1" x14ac:dyDescent="0.2">
      <c r="A452" s="66"/>
      <c r="B452" s="3"/>
      <c r="C452" s="52"/>
      <c r="D452" s="70"/>
      <c r="E452" s="66"/>
      <c r="F452" s="70"/>
      <c r="J452" s="70"/>
      <c r="K452" s="3"/>
      <c r="L452" s="3"/>
      <c r="M452" s="3"/>
      <c r="Q452" s="70"/>
      <c r="AC452" s="52"/>
      <c r="AL452" s="52"/>
    </row>
    <row r="453" spans="1:38" s="2" customFormat="1" ht="14.1" customHeight="1" x14ac:dyDescent="0.2">
      <c r="A453" s="66"/>
      <c r="B453" s="3"/>
      <c r="C453" s="52"/>
      <c r="D453" s="70"/>
      <c r="E453" s="66"/>
      <c r="F453" s="70"/>
      <c r="J453" s="70"/>
      <c r="K453" s="3"/>
      <c r="L453" s="3"/>
      <c r="M453" s="3"/>
      <c r="Q453" s="70"/>
      <c r="AC453" s="52"/>
      <c r="AL453" s="52"/>
    </row>
    <row r="454" spans="1:38" s="2" customFormat="1" ht="14.1" customHeight="1" x14ac:dyDescent="0.2">
      <c r="A454" s="66"/>
      <c r="B454" s="3"/>
      <c r="C454" s="52"/>
      <c r="D454" s="70"/>
      <c r="E454" s="66"/>
      <c r="F454" s="70"/>
      <c r="J454" s="70"/>
      <c r="K454" s="3"/>
      <c r="L454" s="3"/>
      <c r="M454" s="3"/>
      <c r="Q454" s="70"/>
      <c r="AC454" s="52"/>
      <c r="AL454" s="52"/>
    </row>
    <row r="455" spans="1:38" s="2" customFormat="1" ht="14.1" customHeight="1" x14ac:dyDescent="0.2">
      <c r="A455" s="66"/>
      <c r="B455" s="3"/>
      <c r="C455" s="52"/>
      <c r="D455" s="70"/>
      <c r="E455" s="66"/>
      <c r="F455" s="70"/>
      <c r="J455" s="70"/>
      <c r="K455" s="3"/>
      <c r="L455" s="3"/>
      <c r="M455" s="3"/>
      <c r="Q455" s="70"/>
      <c r="AC455" s="52"/>
      <c r="AL455" s="52"/>
    </row>
    <row r="456" spans="1:38" s="2" customFormat="1" ht="14.1" customHeight="1" x14ac:dyDescent="0.2">
      <c r="A456" s="66"/>
      <c r="B456" s="3"/>
      <c r="C456" s="52"/>
      <c r="D456" s="70"/>
      <c r="E456" s="66"/>
      <c r="F456" s="70"/>
      <c r="J456" s="70"/>
      <c r="K456" s="3"/>
      <c r="L456" s="3"/>
      <c r="M456" s="3"/>
      <c r="Q456" s="70"/>
      <c r="AC456" s="52"/>
      <c r="AL456" s="52"/>
    </row>
    <row r="457" spans="1:38" s="2" customFormat="1" ht="14.1" customHeight="1" x14ac:dyDescent="0.2">
      <c r="A457" s="66"/>
      <c r="B457" s="3"/>
      <c r="C457" s="52"/>
      <c r="D457" s="70"/>
      <c r="E457" s="66"/>
      <c r="F457" s="70"/>
      <c r="J457" s="70"/>
      <c r="K457" s="3"/>
      <c r="L457" s="3"/>
      <c r="M457" s="3"/>
      <c r="Q457" s="70"/>
      <c r="AC457" s="52"/>
      <c r="AL457" s="52"/>
    </row>
    <row r="458" spans="1:38" s="2" customFormat="1" ht="14.1" customHeight="1" x14ac:dyDescent="0.2">
      <c r="A458" s="66"/>
      <c r="B458" s="3"/>
      <c r="C458" s="52"/>
      <c r="D458" s="70"/>
      <c r="E458" s="66"/>
      <c r="F458" s="70"/>
      <c r="J458" s="70"/>
      <c r="K458" s="3"/>
      <c r="L458" s="3"/>
      <c r="M458" s="3"/>
      <c r="Q458" s="70"/>
      <c r="AC458" s="52"/>
      <c r="AL458" s="52"/>
    </row>
    <row r="459" spans="1:38" s="2" customFormat="1" ht="14.1" customHeight="1" x14ac:dyDescent="0.2">
      <c r="A459" s="66"/>
      <c r="B459" s="3"/>
      <c r="C459" s="52"/>
      <c r="D459" s="70"/>
      <c r="E459" s="66"/>
      <c r="F459" s="70"/>
      <c r="J459" s="70"/>
      <c r="K459" s="3"/>
      <c r="L459" s="3"/>
      <c r="M459" s="3"/>
      <c r="Q459" s="70"/>
      <c r="AC459" s="52"/>
      <c r="AL459" s="52"/>
    </row>
    <row r="460" spans="1:38" s="2" customFormat="1" ht="14.1" customHeight="1" x14ac:dyDescent="0.2">
      <c r="A460" s="66"/>
      <c r="B460" s="3"/>
      <c r="C460" s="52"/>
      <c r="D460" s="70"/>
      <c r="E460" s="66"/>
      <c r="F460" s="70"/>
      <c r="J460" s="70"/>
      <c r="K460" s="3"/>
      <c r="L460" s="3"/>
      <c r="M460" s="3"/>
      <c r="Q460" s="70"/>
      <c r="AC460" s="52"/>
      <c r="AL460" s="52"/>
    </row>
    <row r="461" spans="1:38" s="2" customFormat="1" ht="14.1" customHeight="1" x14ac:dyDescent="0.2">
      <c r="A461" s="66"/>
      <c r="B461" s="3"/>
      <c r="C461" s="52"/>
      <c r="D461" s="70"/>
      <c r="E461" s="66"/>
      <c r="F461" s="70"/>
      <c r="J461" s="70"/>
      <c r="K461" s="3"/>
      <c r="L461" s="3"/>
      <c r="M461" s="3"/>
      <c r="Q461" s="70"/>
      <c r="AC461" s="52"/>
      <c r="AL461" s="52"/>
    </row>
    <row r="462" spans="1:38" s="2" customFormat="1" ht="14.1" customHeight="1" x14ac:dyDescent="0.2">
      <c r="A462" s="66"/>
      <c r="B462" s="3"/>
      <c r="C462" s="52"/>
      <c r="D462" s="70"/>
      <c r="E462" s="66"/>
      <c r="F462" s="70"/>
      <c r="J462" s="70"/>
      <c r="K462" s="3"/>
      <c r="L462" s="3"/>
      <c r="M462" s="3"/>
      <c r="Q462" s="70"/>
      <c r="AC462" s="52"/>
      <c r="AL462" s="52"/>
    </row>
    <row r="463" spans="1:38" s="2" customFormat="1" ht="14.1" customHeight="1" x14ac:dyDescent="0.2">
      <c r="A463" s="66"/>
      <c r="B463" s="3"/>
      <c r="C463" s="52"/>
      <c r="D463" s="70"/>
      <c r="E463" s="66"/>
      <c r="F463" s="70"/>
      <c r="J463" s="70"/>
      <c r="K463" s="3"/>
      <c r="L463" s="3"/>
      <c r="M463" s="3"/>
      <c r="Q463" s="70"/>
      <c r="AC463" s="52"/>
      <c r="AL463" s="52"/>
    </row>
    <row r="464" spans="1:38" s="2" customFormat="1" ht="14.1" customHeight="1" x14ac:dyDescent="0.2">
      <c r="A464" s="66"/>
      <c r="B464" s="3"/>
      <c r="C464" s="52"/>
      <c r="D464" s="70"/>
      <c r="E464" s="66"/>
      <c r="F464" s="70"/>
      <c r="J464" s="70"/>
      <c r="K464" s="3"/>
      <c r="L464" s="3"/>
      <c r="M464" s="3"/>
      <c r="Q464" s="70"/>
      <c r="AC464" s="52"/>
      <c r="AL464" s="52"/>
    </row>
    <row r="465" spans="1:38" s="2" customFormat="1" ht="14.1" customHeight="1" x14ac:dyDescent="0.2">
      <c r="A465" s="66"/>
      <c r="B465" s="3"/>
      <c r="C465" s="52"/>
      <c r="D465" s="70"/>
      <c r="E465" s="66"/>
      <c r="F465" s="70"/>
      <c r="J465" s="70"/>
      <c r="K465" s="3"/>
      <c r="L465" s="3"/>
      <c r="M465" s="3"/>
      <c r="Q465" s="70"/>
      <c r="AC465" s="52"/>
      <c r="AL465" s="52"/>
    </row>
    <row r="466" spans="1:38" s="2" customFormat="1" ht="14.1" customHeight="1" x14ac:dyDescent="0.2">
      <c r="A466" s="66"/>
      <c r="B466" s="3"/>
      <c r="C466" s="52"/>
      <c r="D466" s="70"/>
      <c r="E466" s="66"/>
      <c r="F466" s="70"/>
      <c r="J466" s="70"/>
      <c r="K466" s="3"/>
      <c r="L466" s="3"/>
      <c r="M466" s="3"/>
      <c r="Q466" s="70"/>
      <c r="AC466" s="52"/>
      <c r="AL466" s="52"/>
    </row>
    <row r="467" spans="1:38" s="2" customFormat="1" ht="14.1" customHeight="1" x14ac:dyDescent="0.2">
      <c r="A467" s="66"/>
      <c r="B467" s="3"/>
      <c r="C467" s="52"/>
      <c r="D467" s="70"/>
      <c r="E467" s="66"/>
      <c r="F467" s="70"/>
      <c r="J467" s="70"/>
      <c r="K467" s="3"/>
      <c r="L467" s="3"/>
      <c r="M467" s="3"/>
      <c r="Q467" s="70"/>
      <c r="AC467" s="52"/>
      <c r="AL467" s="52"/>
    </row>
    <row r="468" spans="1:38" s="2" customFormat="1" ht="14.1" customHeight="1" x14ac:dyDescent="0.3">
      <c r="A468" s="69"/>
      <c r="B468" s="10"/>
      <c r="C468" s="53"/>
      <c r="D468" s="73"/>
      <c r="E468" s="69"/>
      <c r="F468" s="73"/>
      <c r="G468" s="11"/>
      <c r="H468" s="11"/>
      <c r="I468" s="11"/>
      <c r="J468" s="73"/>
      <c r="K468" s="10"/>
      <c r="L468" s="10"/>
      <c r="M468" s="10"/>
      <c r="N468" s="11"/>
      <c r="O468" s="11"/>
      <c r="P468" s="11"/>
      <c r="Q468" s="73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53"/>
      <c r="AD468" s="11"/>
      <c r="AE468" s="11"/>
      <c r="AF468" s="11"/>
      <c r="AG468" s="11"/>
      <c r="AH468" s="11"/>
      <c r="AI468" s="11"/>
      <c r="AJ468" s="11"/>
      <c r="AL468" s="52"/>
    </row>
    <row r="469" spans="1:38" s="2" customFormat="1" ht="14.1" customHeight="1" x14ac:dyDescent="0.2">
      <c r="A469" s="66"/>
      <c r="B469" s="3"/>
      <c r="C469" s="52"/>
      <c r="D469" s="70"/>
      <c r="E469" s="66"/>
      <c r="F469" s="70"/>
      <c r="J469" s="70"/>
      <c r="K469" s="3"/>
      <c r="L469" s="3"/>
      <c r="M469" s="3"/>
      <c r="Q469" s="70"/>
      <c r="AC469" s="52"/>
      <c r="AL469" s="52"/>
    </row>
    <row r="470" spans="1:38" s="12" customFormat="1" ht="14.1" customHeight="1" x14ac:dyDescent="0.3">
      <c r="A470" s="66"/>
      <c r="B470" s="3"/>
      <c r="C470" s="52"/>
      <c r="D470" s="70"/>
      <c r="E470" s="66"/>
      <c r="F470" s="70"/>
      <c r="J470" s="79"/>
      <c r="K470" s="3"/>
      <c r="L470" s="3"/>
      <c r="M470" s="3"/>
      <c r="Q470" s="79"/>
      <c r="AC470" s="54"/>
      <c r="AL470" s="54"/>
    </row>
    <row r="471" spans="1:38" s="2" customFormat="1" ht="14.1" customHeight="1" x14ac:dyDescent="0.2">
      <c r="A471" s="66"/>
      <c r="B471" s="3"/>
      <c r="C471" s="52"/>
      <c r="D471" s="70"/>
      <c r="E471" s="66"/>
      <c r="F471" s="70"/>
      <c r="J471" s="70"/>
      <c r="K471" s="3"/>
      <c r="L471" s="3"/>
      <c r="M471" s="3"/>
      <c r="Q471" s="70"/>
      <c r="AC471" s="52"/>
      <c r="AL471" s="52"/>
    </row>
    <row r="472" spans="1:38" s="2" customFormat="1" ht="14.1" customHeight="1" x14ac:dyDescent="0.2">
      <c r="A472" s="66"/>
      <c r="B472" s="3"/>
      <c r="C472" s="52"/>
      <c r="D472" s="70"/>
      <c r="E472" s="66"/>
      <c r="F472" s="70"/>
      <c r="J472" s="70"/>
      <c r="K472" s="3"/>
      <c r="L472" s="3"/>
      <c r="M472" s="3"/>
      <c r="Q472" s="70"/>
      <c r="AC472" s="52"/>
      <c r="AL472" s="52"/>
    </row>
    <row r="473" spans="1:38" s="2" customFormat="1" ht="14.1" customHeight="1" x14ac:dyDescent="0.2">
      <c r="A473" s="66"/>
      <c r="B473" s="3"/>
      <c r="C473" s="52"/>
      <c r="D473" s="70"/>
      <c r="E473" s="66"/>
      <c r="F473" s="70"/>
      <c r="J473" s="70"/>
      <c r="K473" s="3"/>
      <c r="L473" s="3"/>
      <c r="M473" s="3"/>
      <c r="Q473" s="70"/>
      <c r="AC473" s="52"/>
      <c r="AL473" s="52"/>
    </row>
    <row r="474" spans="1:38" s="2" customFormat="1" ht="14.1" customHeight="1" x14ac:dyDescent="0.2">
      <c r="A474" s="66"/>
      <c r="B474" s="3"/>
      <c r="C474" s="52"/>
      <c r="D474" s="70"/>
      <c r="E474" s="66"/>
      <c r="F474" s="70"/>
      <c r="J474" s="70"/>
      <c r="K474" s="3"/>
      <c r="L474" s="3"/>
      <c r="M474" s="3"/>
      <c r="Q474" s="70"/>
      <c r="AC474" s="52"/>
      <c r="AL474" s="52"/>
    </row>
    <row r="475" spans="1:38" s="2" customFormat="1" ht="14.1" customHeight="1" x14ac:dyDescent="0.2">
      <c r="A475" s="66"/>
      <c r="B475" s="3"/>
      <c r="C475" s="52"/>
      <c r="D475" s="70"/>
      <c r="E475" s="66"/>
      <c r="F475" s="70"/>
      <c r="J475" s="70"/>
      <c r="K475" s="3"/>
      <c r="L475" s="3"/>
      <c r="M475" s="3"/>
      <c r="Q475" s="70"/>
      <c r="AC475" s="52"/>
      <c r="AL475" s="52"/>
    </row>
    <row r="476" spans="1:38" s="2" customFormat="1" ht="14.1" customHeight="1" x14ac:dyDescent="0.2">
      <c r="A476" s="66"/>
      <c r="B476" s="3"/>
      <c r="C476" s="52"/>
      <c r="D476" s="70"/>
      <c r="E476" s="66"/>
      <c r="F476" s="70"/>
      <c r="J476" s="70"/>
      <c r="K476" s="3"/>
      <c r="L476" s="3"/>
      <c r="M476" s="3"/>
      <c r="Q476" s="70"/>
      <c r="AC476" s="52"/>
      <c r="AL476" s="52"/>
    </row>
    <row r="477" spans="1:38" s="2" customFormat="1" ht="14.1" customHeight="1" x14ac:dyDescent="0.2">
      <c r="A477" s="66"/>
      <c r="B477" s="3"/>
      <c r="C477" s="52"/>
      <c r="D477" s="70"/>
      <c r="E477" s="66"/>
      <c r="F477" s="70"/>
      <c r="J477" s="70"/>
      <c r="K477" s="3"/>
      <c r="L477" s="3"/>
      <c r="M477" s="3"/>
      <c r="Q477" s="70"/>
      <c r="AC477" s="52"/>
      <c r="AL477" s="52"/>
    </row>
    <row r="478" spans="1:38" s="2" customFormat="1" ht="14.1" customHeight="1" x14ac:dyDescent="0.2">
      <c r="A478" s="66"/>
      <c r="B478" s="3"/>
      <c r="C478" s="52"/>
      <c r="D478" s="70"/>
      <c r="E478" s="66"/>
      <c r="F478" s="70"/>
      <c r="J478" s="70"/>
      <c r="K478" s="3"/>
      <c r="L478" s="3"/>
      <c r="M478" s="3"/>
      <c r="Q478" s="70"/>
      <c r="AC478" s="52"/>
      <c r="AL478" s="52"/>
    </row>
    <row r="479" spans="1:38" s="2" customFormat="1" ht="14.1" customHeight="1" x14ac:dyDescent="0.2">
      <c r="A479" s="66"/>
      <c r="B479" s="3"/>
      <c r="C479" s="52"/>
      <c r="D479" s="70"/>
      <c r="E479" s="66"/>
      <c r="F479" s="70"/>
      <c r="J479" s="70"/>
      <c r="K479" s="3"/>
      <c r="L479" s="3"/>
      <c r="M479" s="3"/>
      <c r="Q479" s="70"/>
      <c r="AC479" s="52"/>
      <c r="AL479" s="52"/>
    </row>
    <row r="480" spans="1:38" s="2" customFormat="1" ht="14.1" customHeight="1" x14ac:dyDescent="0.2">
      <c r="A480" s="66"/>
      <c r="B480" s="3"/>
      <c r="C480" s="52"/>
      <c r="D480" s="70"/>
      <c r="E480" s="66"/>
      <c r="F480" s="70"/>
      <c r="J480" s="70"/>
      <c r="K480" s="3"/>
      <c r="L480" s="3"/>
      <c r="M480" s="3"/>
      <c r="Q480" s="70"/>
      <c r="AC480" s="52"/>
      <c r="AL480" s="52"/>
    </row>
    <row r="481" spans="1:38" s="2" customFormat="1" ht="14.1" customHeight="1" x14ac:dyDescent="0.2">
      <c r="A481" s="66"/>
      <c r="B481" s="3"/>
      <c r="C481" s="52"/>
      <c r="D481" s="70"/>
      <c r="E481" s="66"/>
      <c r="F481" s="70"/>
      <c r="J481" s="70"/>
      <c r="K481" s="3"/>
      <c r="L481" s="3"/>
      <c r="M481" s="3"/>
      <c r="Q481" s="70"/>
      <c r="AC481" s="52"/>
      <c r="AL481" s="52"/>
    </row>
    <row r="482" spans="1:38" s="2" customFormat="1" ht="14.1" customHeight="1" x14ac:dyDescent="0.2">
      <c r="A482" s="66"/>
      <c r="B482" s="3"/>
      <c r="C482" s="52"/>
      <c r="D482" s="70"/>
      <c r="E482" s="66"/>
      <c r="F482" s="70"/>
      <c r="J482" s="70"/>
      <c r="K482" s="3"/>
      <c r="L482" s="3"/>
      <c r="M482" s="3"/>
      <c r="Q482" s="70"/>
      <c r="AC482" s="52"/>
      <c r="AL482" s="52"/>
    </row>
    <row r="483" spans="1:38" s="2" customFormat="1" ht="14.1" customHeight="1" x14ac:dyDescent="0.2">
      <c r="A483" s="66"/>
      <c r="B483" s="3"/>
      <c r="C483" s="52"/>
      <c r="D483" s="70"/>
      <c r="E483" s="66"/>
      <c r="F483" s="70"/>
      <c r="J483" s="70"/>
      <c r="K483" s="3"/>
      <c r="L483" s="3"/>
      <c r="M483" s="3"/>
      <c r="Q483" s="70"/>
      <c r="AC483" s="52"/>
      <c r="AL483" s="52"/>
    </row>
    <row r="484" spans="1:38" s="2" customFormat="1" ht="14.1" customHeight="1" x14ac:dyDescent="0.2">
      <c r="A484" s="66"/>
      <c r="B484" s="3"/>
      <c r="C484" s="52"/>
      <c r="D484" s="70"/>
      <c r="E484" s="66"/>
      <c r="F484" s="70"/>
      <c r="J484" s="70"/>
      <c r="K484" s="3"/>
      <c r="L484" s="3"/>
      <c r="M484" s="3"/>
      <c r="Q484" s="70"/>
      <c r="AC484" s="52"/>
      <c r="AL484" s="52"/>
    </row>
    <row r="485" spans="1:38" s="2" customFormat="1" ht="14.1" customHeight="1" x14ac:dyDescent="0.2">
      <c r="A485" s="66"/>
      <c r="B485" s="3"/>
      <c r="C485" s="52"/>
      <c r="D485" s="70"/>
      <c r="E485" s="66"/>
      <c r="F485" s="70"/>
      <c r="J485" s="70"/>
      <c r="K485" s="3"/>
      <c r="L485" s="3"/>
      <c r="M485" s="3"/>
      <c r="Q485" s="70"/>
      <c r="AC485" s="52"/>
      <c r="AL485" s="52"/>
    </row>
    <row r="486" spans="1:38" s="2" customFormat="1" ht="14.1" customHeight="1" x14ac:dyDescent="0.2">
      <c r="A486" s="66"/>
      <c r="B486" s="3"/>
      <c r="C486" s="52"/>
      <c r="D486" s="70"/>
      <c r="E486" s="66"/>
      <c r="F486" s="70"/>
      <c r="J486" s="70"/>
      <c r="K486" s="3"/>
      <c r="L486" s="3"/>
      <c r="M486" s="3"/>
      <c r="Q486" s="70"/>
      <c r="AC486" s="52"/>
      <c r="AL486" s="52"/>
    </row>
    <row r="487" spans="1:38" s="2" customFormat="1" ht="14.1" customHeight="1" x14ac:dyDescent="0.2">
      <c r="A487" s="66"/>
      <c r="B487" s="3"/>
      <c r="C487" s="52"/>
      <c r="D487" s="70"/>
      <c r="E487" s="66"/>
      <c r="F487" s="70"/>
      <c r="J487" s="70"/>
      <c r="K487" s="3"/>
      <c r="L487" s="3"/>
      <c r="M487" s="3"/>
      <c r="Q487" s="70"/>
      <c r="AC487" s="52"/>
      <c r="AL487" s="52"/>
    </row>
    <row r="488" spans="1:38" s="2" customFormat="1" ht="14.1" customHeight="1" x14ac:dyDescent="0.2">
      <c r="A488" s="66"/>
      <c r="B488" s="3"/>
      <c r="C488" s="52"/>
      <c r="D488" s="70"/>
      <c r="E488" s="66"/>
      <c r="F488" s="70"/>
      <c r="J488" s="70"/>
      <c r="K488" s="3"/>
      <c r="L488" s="3"/>
      <c r="M488" s="3"/>
      <c r="Q488" s="70"/>
      <c r="AC488" s="52"/>
      <c r="AL488" s="52"/>
    </row>
    <row r="489" spans="1:38" s="2" customFormat="1" ht="14.1" customHeight="1" x14ac:dyDescent="0.2">
      <c r="A489" s="66"/>
      <c r="B489" s="3"/>
      <c r="C489" s="52"/>
      <c r="D489" s="70"/>
      <c r="E489" s="66"/>
      <c r="F489" s="70"/>
      <c r="J489" s="70"/>
      <c r="K489" s="3"/>
      <c r="L489" s="3"/>
      <c r="M489" s="3"/>
      <c r="Q489" s="70"/>
      <c r="AC489" s="52"/>
      <c r="AL489" s="52"/>
    </row>
    <row r="490" spans="1:38" s="2" customFormat="1" ht="14.1" customHeight="1" x14ac:dyDescent="0.2">
      <c r="A490" s="66"/>
      <c r="B490" s="3"/>
      <c r="C490" s="52"/>
      <c r="D490" s="70"/>
      <c r="E490" s="66"/>
      <c r="F490" s="70"/>
      <c r="J490" s="70"/>
      <c r="K490" s="3"/>
      <c r="L490" s="3"/>
      <c r="M490" s="3"/>
      <c r="Q490" s="70"/>
      <c r="AC490" s="52"/>
      <c r="AL490" s="52"/>
    </row>
    <row r="491" spans="1:38" s="2" customFormat="1" ht="14.1" customHeight="1" x14ac:dyDescent="0.2">
      <c r="A491" s="66"/>
      <c r="B491" s="3"/>
      <c r="C491" s="52"/>
      <c r="D491" s="70"/>
      <c r="E491" s="66"/>
      <c r="F491" s="70"/>
      <c r="J491" s="70"/>
      <c r="K491" s="3"/>
      <c r="L491" s="3"/>
      <c r="M491" s="3"/>
      <c r="Q491" s="70"/>
      <c r="AC491" s="52"/>
      <c r="AL491" s="52"/>
    </row>
    <row r="492" spans="1:38" s="2" customFormat="1" ht="14.1" customHeight="1" x14ac:dyDescent="0.2">
      <c r="A492" s="66"/>
      <c r="B492" s="3"/>
      <c r="C492" s="52"/>
      <c r="D492" s="70"/>
      <c r="E492" s="66"/>
      <c r="F492" s="70"/>
      <c r="J492" s="70"/>
      <c r="K492" s="3"/>
      <c r="L492" s="3"/>
      <c r="M492" s="3"/>
      <c r="Q492" s="70"/>
      <c r="AC492" s="52"/>
      <c r="AL492" s="52"/>
    </row>
    <row r="493" spans="1:38" s="2" customFormat="1" ht="14.1" customHeight="1" x14ac:dyDescent="0.2">
      <c r="A493" s="66"/>
      <c r="B493" s="3"/>
      <c r="C493" s="52"/>
      <c r="D493" s="70"/>
      <c r="E493" s="66"/>
      <c r="F493" s="70"/>
      <c r="J493" s="70"/>
      <c r="K493" s="3"/>
      <c r="L493" s="3"/>
      <c r="M493" s="3"/>
      <c r="Q493" s="70"/>
      <c r="AC493" s="52"/>
      <c r="AL493" s="52"/>
    </row>
    <row r="494" spans="1:38" s="2" customFormat="1" ht="14.1" customHeight="1" x14ac:dyDescent="0.2">
      <c r="A494" s="66"/>
      <c r="B494" s="3"/>
      <c r="C494" s="52"/>
      <c r="D494" s="70"/>
      <c r="E494" s="66"/>
      <c r="F494" s="70"/>
      <c r="J494" s="70"/>
      <c r="K494" s="3"/>
      <c r="L494" s="3"/>
      <c r="M494" s="3"/>
      <c r="Q494" s="70"/>
      <c r="AC494" s="52"/>
      <c r="AL494" s="52"/>
    </row>
    <row r="495" spans="1:38" s="2" customFormat="1" ht="14.1" customHeight="1" x14ac:dyDescent="0.2">
      <c r="A495" s="66"/>
      <c r="B495" s="3"/>
      <c r="C495" s="52"/>
      <c r="D495" s="70"/>
      <c r="E495" s="66"/>
      <c r="F495" s="70"/>
      <c r="J495" s="70"/>
      <c r="K495" s="3"/>
      <c r="L495" s="3"/>
      <c r="M495" s="3"/>
      <c r="Q495" s="70"/>
      <c r="AC495" s="52"/>
      <c r="AL495" s="52"/>
    </row>
    <row r="496" spans="1:38" s="2" customFormat="1" ht="14.1" customHeight="1" x14ac:dyDescent="0.2">
      <c r="A496" s="66"/>
      <c r="B496" s="3"/>
      <c r="C496" s="52"/>
      <c r="D496" s="70"/>
      <c r="E496" s="66"/>
      <c r="F496" s="70"/>
      <c r="J496" s="70"/>
      <c r="K496" s="3"/>
      <c r="L496" s="3"/>
      <c r="M496" s="3"/>
      <c r="Q496" s="70"/>
      <c r="AC496" s="52"/>
      <c r="AL496" s="52"/>
    </row>
    <row r="497" spans="1:38" s="2" customFormat="1" ht="14.1" customHeight="1" x14ac:dyDescent="0.2">
      <c r="A497" s="66"/>
      <c r="B497" s="3"/>
      <c r="C497" s="52"/>
      <c r="D497" s="70"/>
      <c r="E497" s="66"/>
      <c r="F497" s="70"/>
      <c r="J497" s="70"/>
      <c r="K497" s="3"/>
      <c r="L497" s="3"/>
      <c r="M497" s="3"/>
      <c r="Q497" s="70"/>
      <c r="AC497" s="52"/>
      <c r="AL497" s="52"/>
    </row>
    <row r="498" spans="1:38" s="2" customFormat="1" ht="14.1" customHeight="1" x14ac:dyDescent="0.2">
      <c r="A498" s="66"/>
      <c r="B498" s="3"/>
      <c r="C498" s="52"/>
      <c r="D498" s="70"/>
      <c r="E498" s="66"/>
      <c r="F498" s="70"/>
      <c r="J498" s="70"/>
      <c r="K498" s="3"/>
      <c r="L498" s="3"/>
      <c r="M498" s="3"/>
      <c r="Q498" s="70"/>
      <c r="AC498" s="52"/>
      <c r="AL498" s="52"/>
    </row>
    <row r="499" spans="1:38" s="2" customFormat="1" ht="14.1" customHeight="1" x14ac:dyDescent="0.2">
      <c r="A499" s="66"/>
      <c r="B499" s="3"/>
      <c r="C499" s="52"/>
      <c r="D499" s="70"/>
      <c r="E499" s="66"/>
      <c r="F499" s="70"/>
      <c r="J499" s="70"/>
      <c r="K499" s="3"/>
      <c r="L499" s="3"/>
      <c r="M499" s="3"/>
      <c r="Q499" s="70"/>
      <c r="AC499" s="52"/>
      <c r="AL499" s="52"/>
    </row>
    <row r="500" spans="1:38" s="2" customFormat="1" ht="14.1" customHeight="1" x14ac:dyDescent="0.2">
      <c r="A500" s="66"/>
      <c r="B500" s="3"/>
      <c r="C500" s="52"/>
      <c r="D500" s="70"/>
      <c r="E500" s="66"/>
      <c r="F500" s="70"/>
      <c r="J500" s="70"/>
      <c r="K500" s="3"/>
      <c r="L500" s="3"/>
      <c r="M500" s="3"/>
      <c r="Q500" s="70"/>
      <c r="AC500" s="52"/>
      <c r="AL500" s="52"/>
    </row>
    <row r="501" spans="1:38" s="2" customFormat="1" ht="14.1" customHeight="1" x14ac:dyDescent="0.2">
      <c r="A501" s="66"/>
      <c r="B501" s="3"/>
      <c r="C501" s="52"/>
      <c r="D501" s="70"/>
      <c r="E501" s="66"/>
      <c r="F501" s="70"/>
      <c r="J501" s="70"/>
      <c r="K501" s="3"/>
      <c r="L501" s="3"/>
      <c r="M501" s="3"/>
      <c r="Q501" s="70"/>
      <c r="AC501" s="52"/>
      <c r="AL501" s="52"/>
    </row>
    <row r="502" spans="1:38" s="2" customFormat="1" ht="14.1" customHeight="1" x14ac:dyDescent="0.2">
      <c r="A502" s="66"/>
      <c r="B502" s="3"/>
      <c r="C502" s="52"/>
      <c r="D502" s="70"/>
      <c r="E502" s="66"/>
      <c r="F502" s="70"/>
      <c r="J502" s="70"/>
      <c r="K502" s="3"/>
      <c r="L502" s="3"/>
      <c r="M502" s="3"/>
      <c r="Q502" s="70"/>
      <c r="AC502" s="52"/>
      <c r="AL502" s="52"/>
    </row>
    <row r="503" spans="1:38" s="2" customFormat="1" ht="14.1" customHeight="1" x14ac:dyDescent="0.2">
      <c r="A503" s="66"/>
      <c r="B503" s="3"/>
      <c r="C503" s="52"/>
      <c r="D503" s="70"/>
      <c r="E503" s="66"/>
      <c r="F503" s="70"/>
      <c r="J503" s="70"/>
      <c r="K503" s="3"/>
      <c r="L503" s="3"/>
      <c r="M503" s="3"/>
      <c r="Q503" s="70"/>
      <c r="AC503" s="52"/>
      <c r="AL503" s="52"/>
    </row>
    <row r="504" spans="1:38" s="2" customFormat="1" ht="14.1" customHeight="1" x14ac:dyDescent="0.2">
      <c r="A504" s="66"/>
      <c r="B504" s="3"/>
      <c r="C504" s="52"/>
      <c r="D504" s="70"/>
      <c r="E504" s="66"/>
      <c r="F504" s="70"/>
      <c r="J504" s="70"/>
      <c r="K504" s="3"/>
      <c r="L504" s="3"/>
      <c r="M504" s="3"/>
      <c r="Q504" s="70"/>
      <c r="AC504" s="52"/>
      <c r="AL504" s="52"/>
    </row>
    <row r="505" spans="1:38" s="2" customFormat="1" ht="14.1" customHeight="1" x14ac:dyDescent="0.2">
      <c r="A505" s="66"/>
      <c r="B505" s="3"/>
      <c r="C505" s="52"/>
      <c r="D505" s="70"/>
      <c r="E505" s="66"/>
      <c r="F505" s="70"/>
      <c r="J505" s="70"/>
      <c r="K505" s="3"/>
      <c r="L505" s="3"/>
      <c r="M505" s="3"/>
      <c r="Q505" s="70"/>
      <c r="AC505" s="52"/>
      <c r="AL505" s="52"/>
    </row>
    <row r="506" spans="1:38" s="2" customFormat="1" ht="14.1" customHeight="1" x14ac:dyDescent="0.2">
      <c r="A506" s="66"/>
      <c r="B506" s="3"/>
      <c r="C506" s="52"/>
      <c r="D506" s="70"/>
      <c r="E506" s="66"/>
      <c r="F506" s="70"/>
      <c r="J506" s="70"/>
      <c r="K506" s="3"/>
      <c r="L506" s="3"/>
      <c r="M506" s="3"/>
      <c r="Q506" s="70"/>
      <c r="AC506" s="52"/>
      <c r="AL506" s="52"/>
    </row>
    <row r="507" spans="1:38" s="2" customFormat="1" ht="14.1" customHeight="1" x14ac:dyDescent="0.2">
      <c r="A507" s="66"/>
      <c r="B507" s="3"/>
      <c r="C507" s="52"/>
      <c r="D507" s="70"/>
      <c r="E507" s="66"/>
      <c r="F507" s="70"/>
      <c r="J507" s="70"/>
      <c r="K507" s="3"/>
      <c r="L507" s="3"/>
      <c r="M507" s="3"/>
      <c r="Q507" s="70"/>
      <c r="AC507" s="52"/>
      <c r="AL507" s="52"/>
    </row>
    <row r="508" spans="1:38" s="2" customFormat="1" ht="14.1" customHeight="1" x14ac:dyDescent="0.2">
      <c r="A508" s="66"/>
      <c r="B508" s="3"/>
      <c r="C508" s="52"/>
      <c r="D508" s="70"/>
      <c r="E508" s="66"/>
      <c r="F508" s="70"/>
      <c r="J508" s="70"/>
      <c r="K508" s="3"/>
      <c r="L508" s="3"/>
      <c r="M508" s="3"/>
      <c r="Q508" s="70"/>
      <c r="AC508" s="52"/>
      <c r="AL508" s="52"/>
    </row>
    <row r="509" spans="1:38" s="2" customFormat="1" ht="14.1" customHeight="1" x14ac:dyDescent="0.2">
      <c r="A509" s="66"/>
      <c r="B509" s="3"/>
      <c r="C509" s="52"/>
      <c r="D509" s="70"/>
      <c r="E509" s="66"/>
      <c r="F509" s="70"/>
      <c r="J509" s="70"/>
      <c r="K509" s="3"/>
      <c r="L509" s="3"/>
      <c r="M509" s="3"/>
      <c r="Q509" s="70"/>
      <c r="AC509" s="52"/>
      <c r="AL509" s="52"/>
    </row>
    <row r="510" spans="1:38" s="2" customFormat="1" ht="14.1" customHeight="1" x14ac:dyDescent="0.2">
      <c r="A510" s="66"/>
      <c r="B510" s="3"/>
      <c r="C510" s="52"/>
      <c r="D510" s="70"/>
      <c r="E510" s="66"/>
      <c r="F510" s="70"/>
      <c r="J510" s="70"/>
      <c r="K510" s="3"/>
      <c r="L510" s="3"/>
      <c r="M510" s="3"/>
      <c r="Q510" s="70"/>
      <c r="AC510" s="52"/>
      <c r="AL510" s="52"/>
    </row>
    <row r="511" spans="1:38" s="2" customFormat="1" ht="14.1" customHeight="1" x14ac:dyDescent="0.2">
      <c r="A511" s="66"/>
      <c r="B511" s="3"/>
      <c r="C511" s="52"/>
      <c r="D511" s="70"/>
      <c r="E511" s="66"/>
      <c r="F511" s="70"/>
      <c r="J511" s="70"/>
      <c r="K511" s="3"/>
      <c r="L511" s="3"/>
      <c r="M511" s="3"/>
      <c r="Q511" s="70"/>
      <c r="AC511" s="52"/>
      <c r="AL511" s="52"/>
    </row>
    <row r="512" spans="1:38" s="2" customFormat="1" ht="14.1" customHeight="1" x14ac:dyDescent="0.2">
      <c r="A512" s="66"/>
      <c r="B512" s="3"/>
      <c r="C512" s="52"/>
      <c r="D512" s="70"/>
      <c r="E512" s="66"/>
      <c r="F512" s="70"/>
      <c r="J512" s="70"/>
      <c r="K512" s="3"/>
      <c r="L512" s="3"/>
      <c r="M512" s="3"/>
      <c r="Q512" s="70"/>
      <c r="AC512" s="52"/>
      <c r="AL512" s="52"/>
    </row>
    <row r="513" spans="1:38" s="2" customFormat="1" ht="14.1" customHeight="1" x14ac:dyDescent="0.2">
      <c r="A513" s="66"/>
      <c r="B513" s="3"/>
      <c r="C513" s="52"/>
      <c r="D513" s="70"/>
      <c r="E513" s="66"/>
      <c r="F513" s="70"/>
      <c r="J513" s="70"/>
      <c r="K513" s="3"/>
      <c r="L513" s="3"/>
      <c r="M513" s="3"/>
      <c r="Q513" s="70"/>
      <c r="AC513" s="52"/>
      <c r="AL513" s="52"/>
    </row>
    <row r="514" spans="1:38" s="2" customFormat="1" ht="14.1" customHeight="1" x14ac:dyDescent="0.2">
      <c r="A514" s="66"/>
      <c r="B514" s="3"/>
      <c r="C514" s="52"/>
      <c r="D514" s="70"/>
      <c r="E514" s="66"/>
      <c r="F514" s="70"/>
      <c r="J514" s="70"/>
      <c r="K514" s="3"/>
      <c r="L514" s="3"/>
      <c r="M514" s="3"/>
      <c r="Q514" s="70"/>
      <c r="AC514" s="52"/>
      <c r="AL514" s="52"/>
    </row>
    <row r="515" spans="1:38" s="2" customFormat="1" ht="14.1" customHeight="1" x14ac:dyDescent="0.2">
      <c r="A515" s="66"/>
      <c r="B515" s="3"/>
      <c r="C515" s="52"/>
      <c r="D515" s="70"/>
      <c r="E515" s="66"/>
      <c r="F515" s="70"/>
      <c r="J515" s="70"/>
      <c r="K515" s="3"/>
      <c r="L515" s="3"/>
      <c r="M515" s="3"/>
      <c r="Q515" s="70"/>
      <c r="AC515" s="52"/>
      <c r="AL515" s="52"/>
    </row>
    <row r="516" spans="1:38" s="2" customFormat="1" ht="14.1" customHeight="1" x14ac:dyDescent="0.2">
      <c r="A516" s="66"/>
      <c r="B516" s="3"/>
      <c r="C516" s="52"/>
      <c r="D516" s="70"/>
      <c r="E516" s="66"/>
      <c r="F516" s="70"/>
      <c r="J516" s="70"/>
      <c r="K516" s="3"/>
      <c r="L516" s="3"/>
      <c r="M516" s="3"/>
      <c r="Q516" s="70"/>
      <c r="AC516" s="52"/>
      <c r="AL516" s="52"/>
    </row>
    <row r="517" spans="1:38" s="2" customFormat="1" ht="14.1" customHeight="1" x14ac:dyDescent="0.2">
      <c r="A517" s="66"/>
      <c r="B517" s="3"/>
      <c r="C517" s="52"/>
      <c r="D517" s="70"/>
      <c r="E517" s="66"/>
      <c r="F517" s="70"/>
      <c r="J517" s="70"/>
      <c r="K517" s="3"/>
      <c r="L517" s="3"/>
      <c r="M517" s="3"/>
      <c r="Q517" s="70"/>
      <c r="AC517" s="52"/>
      <c r="AL517" s="52"/>
    </row>
    <row r="518" spans="1:38" s="2" customFormat="1" ht="14.1" customHeight="1" x14ac:dyDescent="0.2">
      <c r="A518" s="66"/>
      <c r="B518" s="3"/>
      <c r="C518" s="52"/>
      <c r="D518" s="70"/>
      <c r="E518" s="66"/>
      <c r="F518" s="70"/>
      <c r="J518" s="70"/>
      <c r="K518" s="3"/>
      <c r="L518" s="3"/>
      <c r="M518" s="3"/>
      <c r="Q518" s="70"/>
      <c r="AC518" s="52"/>
      <c r="AL518" s="52"/>
    </row>
    <row r="519" spans="1:38" s="2" customFormat="1" ht="14.1" customHeight="1" x14ac:dyDescent="0.2">
      <c r="A519" s="66"/>
      <c r="B519" s="3"/>
      <c r="C519" s="52"/>
      <c r="D519" s="70"/>
      <c r="E519" s="66"/>
      <c r="F519" s="70"/>
      <c r="J519" s="70"/>
      <c r="K519" s="3"/>
      <c r="L519" s="3"/>
      <c r="M519" s="3"/>
      <c r="Q519" s="70"/>
      <c r="AC519" s="52"/>
      <c r="AL519" s="52"/>
    </row>
    <row r="520" spans="1:38" s="2" customFormat="1" ht="14.1" customHeight="1" x14ac:dyDescent="0.2">
      <c r="A520" s="66"/>
      <c r="B520" s="3"/>
      <c r="C520" s="52"/>
      <c r="D520" s="70"/>
      <c r="E520" s="66"/>
      <c r="F520" s="70"/>
      <c r="J520" s="70"/>
      <c r="K520" s="3"/>
      <c r="L520" s="3"/>
      <c r="M520" s="3"/>
      <c r="Q520" s="70"/>
      <c r="AC520" s="52"/>
      <c r="AL520" s="52"/>
    </row>
    <row r="521" spans="1:38" s="2" customFormat="1" ht="14.1" customHeight="1" x14ac:dyDescent="0.2">
      <c r="A521" s="66"/>
      <c r="B521" s="3"/>
      <c r="C521" s="52"/>
      <c r="D521" s="70"/>
      <c r="E521" s="66"/>
      <c r="F521" s="70"/>
      <c r="J521" s="70"/>
      <c r="K521" s="3"/>
      <c r="L521" s="3"/>
      <c r="M521" s="3"/>
      <c r="Q521" s="70"/>
      <c r="AC521" s="52"/>
      <c r="AL521" s="52"/>
    </row>
    <row r="522" spans="1:38" s="2" customFormat="1" ht="14.1" customHeight="1" x14ac:dyDescent="0.2">
      <c r="A522" s="66"/>
      <c r="B522" s="3"/>
      <c r="C522" s="52"/>
      <c r="D522" s="70"/>
      <c r="E522" s="66"/>
      <c r="F522" s="70"/>
      <c r="J522" s="70"/>
      <c r="K522" s="3"/>
      <c r="L522" s="3"/>
      <c r="M522" s="3"/>
      <c r="Q522" s="70"/>
      <c r="AC522" s="52"/>
      <c r="AL522" s="52"/>
    </row>
    <row r="523" spans="1:38" s="2" customFormat="1" ht="14.1" customHeight="1" x14ac:dyDescent="0.2">
      <c r="A523" s="66"/>
      <c r="B523" s="3"/>
      <c r="C523" s="52"/>
      <c r="D523" s="70"/>
      <c r="E523" s="66"/>
      <c r="F523" s="70"/>
      <c r="J523" s="70"/>
      <c r="K523" s="3"/>
      <c r="L523" s="3"/>
      <c r="M523" s="3"/>
      <c r="Q523" s="70"/>
      <c r="AC523" s="52"/>
      <c r="AL523" s="52"/>
    </row>
    <row r="524" spans="1:38" s="2" customFormat="1" ht="14.1" customHeight="1" x14ac:dyDescent="0.2">
      <c r="A524" s="66"/>
      <c r="B524" s="3"/>
      <c r="C524" s="52"/>
      <c r="D524" s="70"/>
      <c r="E524" s="66"/>
      <c r="F524" s="70"/>
      <c r="J524" s="70"/>
      <c r="K524" s="3"/>
      <c r="L524" s="3"/>
      <c r="M524" s="3"/>
      <c r="Q524" s="70"/>
      <c r="AC524" s="52"/>
      <c r="AL524" s="52"/>
    </row>
    <row r="525" spans="1:38" s="2" customFormat="1" ht="14.1" customHeight="1" x14ac:dyDescent="0.2">
      <c r="A525" s="66"/>
      <c r="B525" s="3"/>
      <c r="C525" s="52"/>
      <c r="D525" s="70"/>
      <c r="E525" s="66"/>
      <c r="F525" s="70"/>
      <c r="J525" s="70"/>
      <c r="K525" s="3"/>
      <c r="L525" s="3"/>
      <c r="M525" s="3"/>
      <c r="Q525" s="70"/>
      <c r="AC525" s="52"/>
      <c r="AL525" s="52"/>
    </row>
    <row r="526" spans="1:38" s="2" customFormat="1" ht="14.1" customHeight="1" x14ac:dyDescent="0.2">
      <c r="A526" s="66"/>
      <c r="B526" s="3"/>
      <c r="C526" s="52"/>
      <c r="D526" s="70"/>
      <c r="E526" s="66"/>
      <c r="F526" s="70"/>
      <c r="J526" s="70"/>
      <c r="K526" s="3"/>
      <c r="L526" s="3"/>
      <c r="M526" s="3"/>
      <c r="Q526" s="70"/>
      <c r="AC526" s="52"/>
      <c r="AL526" s="52"/>
    </row>
    <row r="527" spans="1:38" s="2" customFormat="1" ht="14.1" customHeight="1" x14ac:dyDescent="0.2">
      <c r="A527" s="66"/>
      <c r="B527" s="3"/>
      <c r="C527" s="52"/>
      <c r="D527" s="70"/>
      <c r="E527" s="66"/>
      <c r="F527" s="70"/>
      <c r="J527" s="70"/>
      <c r="K527" s="3"/>
      <c r="L527" s="3"/>
      <c r="M527" s="3"/>
      <c r="Q527" s="70"/>
      <c r="AC527" s="52"/>
      <c r="AL527" s="52"/>
    </row>
    <row r="528" spans="1:38" s="2" customFormat="1" ht="14.1" customHeight="1" x14ac:dyDescent="0.2">
      <c r="A528" s="66"/>
      <c r="B528" s="3"/>
      <c r="C528" s="52"/>
      <c r="D528" s="70"/>
      <c r="E528" s="66"/>
      <c r="F528" s="70"/>
      <c r="J528" s="70"/>
      <c r="K528" s="3"/>
      <c r="L528" s="3"/>
      <c r="M528" s="3"/>
      <c r="Q528" s="70"/>
      <c r="AC528" s="52"/>
      <c r="AL528" s="52"/>
    </row>
    <row r="529" spans="1:38" s="2" customFormat="1" ht="14.1" customHeight="1" x14ac:dyDescent="0.2">
      <c r="A529" s="66"/>
      <c r="B529" s="3"/>
      <c r="C529" s="52"/>
      <c r="D529" s="70"/>
      <c r="E529" s="66"/>
      <c r="F529" s="70"/>
      <c r="J529" s="70"/>
      <c r="K529" s="3"/>
      <c r="L529" s="3"/>
      <c r="M529" s="3"/>
      <c r="Q529" s="70"/>
      <c r="AC529" s="52"/>
      <c r="AL529" s="52"/>
    </row>
    <row r="530" spans="1:38" s="2" customFormat="1" ht="14.1" customHeight="1" x14ac:dyDescent="0.2">
      <c r="A530" s="66"/>
      <c r="B530" s="3"/>
      <c r="C530" s="52"/>
      <c r="D530" s="70"/>
      <c r="E530" s="66"/>
      <c r="F530" s="70"/>
      <c r="J530" s="70"/>
      <c r="K530" s="3"/>
      <c r="L530" s="3"/>
      <c r="M530" s="3"/>
      <c r="Q530" s="70"/>
      <c r="AC530" s="52"/>
      <c r="AL530" s="52"/>
    </row>
    <row r="531" spans="1:38" s="2" customFormat="1" ht="14.1" customHeight="1" x14ac:dyDescent="0.2">
      <c r="A531" s="66"/>
      <c r="B531" s="3"/>
      <c r="C531" s="52"/>
      <c r="D531" s="70"/>
      <c r="E531" s="66"/>
      <c r="F531" s="70"/>
      <c r="J531" s="70"/>
      <c r="K531" s="3"/>
      <c r="L531" s="3"/>
      <c r="M531" s="3"/>
      <c r="Q531" s="70"/>
      <c r="AC531" s="52"/>
      <c r="AL531" s="52"/>
    </row>
    <row r="532" spans="1:38" s="2" customFormat="1" ht="14.1" customHeight="1" x14ac:dyDescent="0.2">
      <c r="A532" s="66"/>
      <c r="B532" s="3"/>
      <c r="C532" s="52"/>
      <c r="D532" s="70"/>
      <c r="E532" s="66"/>
      <c r="F532" s="70"/>
      <c r="J532" s="70"/>
      <c r="K532" s="3"/>
      <c r="L532" s="3"/>
      <c r="M532" s="3"/>
      <c r="Q532" s="70"/>
      <c r="AC532" s="52"/>
      <c r="AL532" s="52"/>
    </row>
    <row r="533" spans="1:38" s="2" customFormat="1" ht="14.1" customHeight="1" x14ac:dyDescent="0.2">
      <c r="A533" s="66"/>
      <c r="B533" s="3"/>
      <c r="C533" s="52"/>
      <c r="D533" s="70"/>
      <c r="E533" s="66"/>
      <c r="F533" s="70"/>
      <c r="J533" s="70"/>
      <c r="K533" s="3"/>
      <c r="L533" s="3"/>
      <c r="M533" s="3"/>
      <c r="Q533" s="70"/>
      <c r="AC533" s="52"/>
      <c r="AL533" s="52"/>
    </row>
    <row r="534" spans="1:38" s="2" customFormat="1" ht="14.1" customHeight="1" x14ac:dyDescent="0.2">
      <c r="A534" s="66"/>
      <c r="B534" s="3"/>
      <c r="C534" s="52"/>
      <c r="D534" s="70"/>
      <c r="E534" s="66"/>
      <c r="F534" s="70"/>
      <c r="J534" s="70"/>
      <c r="K534" s="3"/>
      <c r="L534" s="3"/>
      <c r="M534" s="3"/>
      <c r="Q534" s="70"/>
      <c r="AC534" s="52"/>
      <c r="AL534" s="52"/>
    </row>
    <row r="535" spans="1:38" s="2" customFormat="1" ht="14.1" customHeight="1" x14ac:dyDescent="0.2">
      <c r="A535" s="66"/>
      <c r="B535" s="3"/>
      <c r="C535" s="52"/>
      <c r="D535" s="70"/>
      <c r="E535" s="66"/>
      <c r="F535" s="70"/>
      <c r="J535" s="70"/>
      <c r="K535" s="3"/>
      <c r="L535" s="3"/>
      <c r="M535" s="3"/>
      <c r="Q535" s="70"/>
      <c r="AC535" s="52"/>
      <c r="AL535" s="52"/>
    </row>
    <row r="536" spans="1:38" s="2" customFormat="1" ht="14.1" customHeight="1" x14ac:dyDescent="0.2">
      <c r="A536" s="66"/>
      <c r="B536" s="3"/>
      <c r="C536" s="52"/>
      <c r="D536" s="70"/>
      <c r="E536" s="66"/>
      <c r="F536" s="70"/>
      <c r="J536" s="70"/>
      <c r="K536" s="3"/>
      <c r="L536" s="3"/>
      <c r="M536" s="3"/>
      <c r="Q536" s="70"/>
      <c r="AC536" s="52"/>
      <c r="AL536" s="52"/>
    </row>
    <row r="537" spans="1:38" s="2" customFormat="1" ht="14.1" customHeight="1" x14ac:dyDescent="0.2">
      <c r="A537" s="66"/>
      <c r="B537" s="3"/>
      <c r="C537" s="52"/>
      <c r="D537" s="70"/>
      <c r="E537" s="66"/>
      <c r="F537" s="70"/>
      <c r="J537" s="70"/>
      <c r="K537" s="3"/>
      <c r="L537" s="3"/>
      <c r="M537" s="3"/>
      <c r="Q537" s="70"/>
      <c r="AC537" s="52"/>
      <c r="AL537" s="52"/>
    </row>
    <row r="538" spans="1:38" s="2" customFormat="1" ht="14.1" customHeight="1" x14ac:dyDescent="0.2">
      <c r="A538" s="66"/>
      <c r="B538" s="3"/>
      <c r="C538" s="52"/>
      <c r="D538" s="70"/>
      <c r="E538" s="66"/>
      <c r="F538" s="70"/>
      <c r="J538" s="70"/>
      <c r="K538" s="3"/>
      <c r="L538" s="3"/>
      <c r="M538" s="3"/>
      <c r="Q538" s="70"/>
      <c r="AC538" s="52"/>
      <c r="AL538" s="52"/>
    </row>
    <row r="539" spans="1:38" s="2" customFormat="1" ht="14.1" customHeight="1" x14ac:dyDescent="0.2">
      <c r="A539" s="66"/>
      <c r="B539" s="3"/>
      <c r="C539" s="52"/>
      <c r="D539" s="70"/>
      <c r="E539" s="66"/>
      <c r="F539" s="70"/>
      <c r="J539" s="70"/>
      <c r="K539" s="3"/>
      <c r="L539" s="3"/>
      <c r="M539" s="3"/>
      <c r="Q539" s="70"/>
      <c r="AC539" s="52"/>
      <c r="AL539" s="52"/>
    </row>
    <row r="540" spans="1:38" s="2" customFormat="1" ht="14.1" customHeight="1" x14ac:dyDescent="0.2">
      <c r="A540" s="66"/>
      <c r="B540" s="3"/>
      <c r="C540" s="52"/>
      <c r="D540" s="70"/>
      <c r="E540" s="66"/>
      <c r="F540" s="70"/>
      <c r="J540" s="70"/>
      <c r="K540" s="3"/>
      <c r="L540" s="3"/>
      <c r="M540" s="3"/>
      <c r="Q540" s="70"/>
      <c r="AC540" s="52"/>
      <c r="AL540" s="52"/>
    </row>
    <row r="541" spans="1:38" s="2" customFormat="1" ht="14.1" customHeight="1" x14ac:dyDescent="0.2">
      <c r="A541" s="66"/>
      <c r="B541" s="3"/>
      <c r="C541" s="52"/>
      <c r="D541" s="70"/>
      <c r="E541" s="66"/>
      <c r="F541" s="70"/>
      <c r="J541" s="70"/>
      <c r="K541" s="3"/>
      <c r="L541" s="3"/>
      <c r="M541" s="3"/>
      <c r="Q541" s="70"/>
      <c r="AC541" s="52"/>
      <c r="AL541" s="52"/>
    </row>
    <row r="542" spans="1:38" s="2" customFormat="1" ht="14.1" customHeight="1" x14ac:dyDescent="0.2">
      <c r="A542" s="66"/>
      <c r="B542" s="3"/>
      <c r="C542" s="52"/>
      <c r="D542" s="70"/>
      <c r="E542" s="66"/>
      <c r="F542" s="70"/>
      <c r="J542" s="70"/>
      <c r="K542" s="3"/>
      <c r="L542" s="3"/>
      <c r="M542" s="3"/>
      <c r="Q542" s="70"/>
      <c r="AC542" s="52"/>
      <c r="AL542" s="52"/>
    </row>
    <row r="543" spans="1:38" s="2" customFormat="1" ht="14.1" customHeight="1" x14ac:dyDescent="0.2">
      <c r="A543" s="66"/>
      <c r="B543" s="3"/>
      <c r="C543" s="52"/>
      <c r="D543" s="70"/>
      <c r="E543" s="66"/>
      <c r="F543" s="70"/>
      <c r="J543" s="70"/>
      <c r="K543" s="3"/>
      <c r="L543" s="3"/>
      <c r="M543" s="3"/>
      <c r="Q543" s="70"/>
      <c r="AC543" s="52"/>
      <c r="AL543" s="52"/>
    </row>
    <row r="544" spans="1:38" s="2" customFormat="1" ht="14.1" customHeight="1" x14ac:dyDescent="0.2">
      <c r="A544" s="66"/>
      <c r="B544" s="3"/>
      <c r="C544" s="52"/>
      <c r="D544" s="70"/>
      <c r="E544" s="66"/>
      <c r="F544" s="70"/>
      <c r="J544" s="70"/>
      <c r="K544" s="3"/>
      <c r="L544" s="3"/>
      <c r="M544" s="3"/>
      <c r="Q544" s="70"/>
      <c r="AC544" s="52"/>
      <c r="AL544" s="52"/>
    </row>
    <row r="545" spans="1:38" s="2" customFormat="1" ht="14.1" customHeight="1" x14ac:dyDescent="0.2">
      <c r="A545" s="66"/>
      <c r="B545" s="3"/>
      <c r="C545" s="52"/>
      <c r="D545" s="70"/>
      <c r="E545" s="66"/>
      <c r="F545" s="70"/>
      <c r="J545" s="70"/>
      <c r="K545" s="3"/>
      <c r="L545" s="3"/>
      <c r="M545" s="3"/>
      <c r="Q545" s="70"/>
      <c r="AC545" s="52"/>
      <c r="AL545" s="52"/>
    </row>
    <row r="546" spans="1:38" s="2" customFormat="1" ht="14.1" customHeight="1" x14ac:dyDescent="0.2">
      <c r="A546" s="66"/>
      <c r="B546" s="3"/>
      <c r="C546" s="52"/>
      <c r="D546" s="70"/>
      <c r="E546" s="66"/>
      <c r="F546" s="70"/>
      <c r="J546" s="70"/>
      <c r="K546" s="3"/>
      <c r="L546" s="3"/>
      <c r="M546" s="3"/>
      <c r="Q546" s="70"/>
      <c r="AC546" s="52"/>
      <c r="AL546" s="52"/>
    </row>
    <row r="547" spans="1:38" s="2" customFormat="1" ht="14.1" customHeight="1" x14ac:dyDescent="0.2">
      <c r="A547" s="66"/>
      <c r="B547" s="3"/>
      <c r="C547" s="52"/>
      <c r="D547" s="70"/>
      <c r="E547" s="66"/>
      <c r="F547" s="70"/>
      <c r="J547" s="70"/>
      <c r="K547" s="3"/>
      <c r="L547" s="3"/>
      <c r="M547" s="3"/>
      <c r="Q547" s="70"/>
      <c r="AC547" s="52"/>
      <c r="AL547" s="52"/>
    </row>
    <row r="548" spans="1:38" s="2" customFormat="1" ht="14.1" customHeight="1" x14ac:dyDescent="0.2">
      <c r="A548" s="66"/>
      <c r="B548" s="3"/>
      <c r="C548" s="52"/>
      <c r="D548" s="70"/>
      <c r="E548" s="66"/>
      <c r="F548" s="70"/>
      <c r="J548" s="70"/>
      <c r="K548" s="3"/>
      <c r="L548" s="3"/>
      <c r="M548" s="3"/>
      <c r="Q548" s="70"/>
      <c r="AC548" s="52"/>
      <c r="AL548" s="52"/>
    </row>
    <row r="549" spans="1:38" s="2" customFormat="1" ht="14.1" customHeight="1" x14ac:dyDescent="0.2">
      <c r="A549" s="66"/>
      <c r="B549" s="3"/>
      <c r="C549" s="52"/>
      <c r="D549" s="70"/>
      <c r="E549" s="66"/>
      <c r="F549" s="70"/>
      <c r="J549" s="70"/>
      <c r="K549" s="3"/>
      <c r="L549" s="3"/>
      <c r="M549" s="3"/>
      <c r="Q549" s="70"/>
      <c r="AC549" s="52"/>
      <c r="AL549" s="52"/>
    </row>
    <row r="550" spans="1:38" s="2" customFormat="1" ht="14.1" customHeight="1" x14ac:dyDescent="0.2">
      <c r="A550" s="66"/>
      <c r="B550" s="3"/>
      <c r="C550" s="52"/>
      <c r="D550" s="70"/>
      <c r="E550" s="66"/>
      <c r="F550" s="70"/>
      <c r="J550" s="70"/>
      <c r="K550" s="3"/>
      <c r="L550" s="3"/>
      <c r="M550" s="3"/>
      <c r="Q550" s="70"/>
      <c r="AC550" s="52"/>
      <c r="AL550" s="52"/>
    </row>
    <row r="551" spans="1:38" s="2" customFormat="1" ht="14.1" customHeight="1" x14ac:dyDescent="0.2">
      <c r="A551" s="66"/>
      <c r="B551" s="3"/>
      <c r="C551" s="52"/>
      <c r="D551" s="70"/>
      <c r="E551" s="66"/>
      <c r="F551" s="70"/>
      <c r="J551" s="70"/>
      <c r="K551" s="3"/>
      <c r="L551" s="3"/>
      <c r="M551" s="3"/>
      <c r="Q551" s="70"/>
      <c r="AC551" s="52"/>
      <c r="AL551" s="52"/>
    </row>
    <row r="552" spans="1:38" s="2" customFormat="1" ht="14.1" customHeight="1" x14ac:dyDescent="0.2">
      <c r="A552" s="66"/>
      <c r="B552" s="3"/>
      <c r="C552" s="52"/>
      <c r="D552" s="70"/>
      <c r="E552" s="66"/>
      <c r="F552" s="70"/>
      <c r="J552" s="70"/>
      <c r="K552" s="3"/>
      <c r="L552" s="3"/>
      <c r="M552" s="3"/>
      <c r="Q552" s="70"/>
      <c r="AC552" s="52"/>
      <c r="AL552" s="52"/>
    </row>
    <row r="553" spans="1:38" s="2" customFormat="1" ht="14.1" customHeight="1" x14ac:dyDescent="0.2">
      <c r="A553" s="66"/>
      <c r="B553" s="3"/>
      <c r="C553" s="52"/>
      <c r="D553" s="70"/>
      <c r="E553" s="66"/>
      <c r="F553" s="70"/>
      <c r="J553" s="70"/>
      <c r="K553" s="3"/>
      <c r="L553" s="3"/>
      <c r="M553" s="3"/>
      <c r="Q553" s="70"/>
      <c r="AC553" s="52"/>
      <c r="AL553" s="52"/>
    </row>
    <row r="554" spans="1:38" s="2" customFormat="1" ht="14.1" customHeight="1" x14ac:dyDescent="0.2">
      <c r="A554" s="66"/>
      <c r="B554" s="3"/>
      <c r="C554" s="52"/>
      <c r="D554" s="70"/>
      <c r="E554" s="66"/>
      <c r="F554" s="70"/>
      <c r="J554" s="70"/>
      <c r="K554" s="3"/>
      <c r="L554" s="3"/>
      <c r="M554" s="3"/>
      <c r="Q554" s="70"/>
      <c r="AC554" s="52"/>
      <c r="AL554" s="52"/>
    </row>
    <row r="555" spans="1:38" s="2" customFormat="1" ht="14.1" customHeight="1" x14ac:dyDescent="0.2">
      <c r="A555" s="66"/>
      <c r="B555" s="3"/>
      <c r="C555" s="52"/>
      <c r="D555" s="70"/>
      <c r="E555" s="66"/>
      <c r="F555" s="70"/>
      <c r="J555" s="70"/>
      <c r="K555" s="3"/>
      <c r="L555" s="3"/>
      <c r="M555" s="3"/>
      <c r="Q555" s="70"/>
      <c r="AC555" s="52"/>
      <c r="AL555" s="52"/>
    </row>
    <row r="556" spans="1:38" s="2" customFormat="1" ht="14.1" customHeight="1" x14ac:dyDescent="0.2">
      <c r="A556" s="66"/>
      <c r="B556" s="3"/>
      <c r="C556" s="52"/>
      <c r="D556" s="70"/>
      <c r="E556" s="66"/>
      <c r="F556" s="70"/>
      <c r="J556" s="70"/>
      <c r="K556" s="3"/>
      <c r="L556" s="3"/>
      <c r="M556" s="3"/>
      <c r="Q556" s="70"/>
      <c r="AC556" s="52"/>
      <c r="AL556" s="52"/>
    </row>
    <row r="557" spans="1:38" s="2" customFormat="1" ht="14.1" customHeight="1" x14ac:dyDescent="0.2">
      <c r="A557" s="66"/>
      <c r="B557" s="3"/>
      <c r="C557" s="52"/>
      <c r="D557" s="70"/>
      <c r="E557" s="66"/>
      <c r="F557" s="70"/>
      <c r="J557" s="70"/>
      <c r="K557" s="3"/>
      <c r="L557" s="3"/>
      <c r="M557" s="3"/>
      <c r="Q557" s="70"/>
      <c r="AC557" s="52"/>
      <c r="AL557" s="52"/>
    </row>
    <row r="558" spans="1:38" s="2" customFormat="1" ht="14.1" customHeight="1" x14ac:dyDescent="0.2">
      <c r="A558" s="66"/>
      <c r="B558" s="3"/>
      <c r="C558" s="52"/>
      <c r="D558" s="70"/>
      <c r="E558" s="66"/>
      <c r="F558" s="70"/>
      <c r="J558" s="70"/>
      <c r="K558" s="3"/>
      <c r="L558" s="3"/>
      <c r="M558" s="3"/>
      <c r="Q558" s="70"/>
      <c r="AC558" s="52"/>
      <c r="AL558" s="52"/>
    </row>
    <row r="559" spans="1:38" s="2" customFormat="1" ht="14.1" customHeight="1" x14ac:dyDescent="0.2">
      <c r="A559" s="66"/>
      <c r="B559" s="3"/>
      <c r="C559" s="52"/>
      <c r="D559" s="70"/>
      <c r="E559" s="66"/>
      <c r="F559" s="70"/>
      <c r="J559" s="70"/>
      <c r="K559" s="3"/>
      <c r="L559" s="3"/>
      <c r="M559" s="3"/>
      <c r="Q559" s="70"/>
      <c r="AC559" s="52"/>
      <c r="AL559" s="52"/>
    </row>
    <row r="560" spans="1:38" s="2" customFormat="1" ht="14.1" customHeight="1" x14ac:dyDescent="0.2">
      <c r="A560" s="66"/>
      <c r="B560" s="3"/>
      <c r="C560" s="52"/>
      <c r="D560" s="70"/>
      <c r="E560" s="66"/>
      <c r="F560" s="70"/>
      <c r="J560" s="70"/>
      <c r="K560" s="3"/>
      <c r="L560" s="3"/>
      <c r="M560" s="3"/>
      <c r="Q560" s="70"/>
      <c r="AC560" s="52"/>
      <c r="AL560" s="52"/>
    </row>
    <row r="561" spans="1:38" s="2" customFormat="1" ht="14.1" customHeight="1" x14ac:dyDescent="0.2">
      <c r="A561" s="66"/>
      <c r="B561" s="3"/>
      <c r="C561" s="52"/>
      <c r="D561" s="70"/>
      <c r="E561" s="66"/>
      <c r="F561" s="70"/>
      <c r="J561" s="70"/>
      <c r="K561" s="3"/>
      <c r="L561" s="3"/>
      <c r="M561" s="3"/>
      <c r="Q561" s="70"/>
      <c r="AC561" s="52"/>
      <c r="AL561" s="52"/>
    </row>
    <row r="562" spans="1:38" s="2" customFormat="1" ht="14.1" customHeight="1" x14ac:dyDescent="0.2">
      <c r="A562" s="66"/>
      <c r="B562" s="3"/>
      <c r="C562" s="52"/>
      <c r="D562" s="70"/>
      <c r="E562" s="66"/>
      <c r="F562" s="70"/>
      <c r="J562" s="70"/>
      <c r="K562" s="3"/>
      <c r="L562" s="3"/>
      <c r="M562" s="3"/>
      <c r="Q562" s="70"/>
      <c r="AC562" s="52"/>
      <c r="AL562" s="52"/>
    </row>
    <row r="563" spans="1:38" s="2" customFormat="1" ht="14.1" customHeight="1" x14ac:dyDescent="0.2">
      <c r="A563" s="66"/>
      <c r="B563" s="3"/>
      <c r="C563" s="52"/>
      <c r="D563" s="70"/>
      <c r="E563" s="66"/>
      <c r="F563" s="70"/>
      <c r="J563" s="70"/>
      <c r="K563" s="3"/>
      <c r="L563" s="3"/>
      <c r="M563" s="3"/>
      <c r="Q563" s="70"/>
      <c r="AC563" s="52"/>
      <c r="AL563" s="52"/>
    </row>
    <row r="564" spans="1:38" s="2" customFormat="1" ht="14.1" customHeight="1" x14ac:dyDescent="0.2">
      <c r="A564" s="66"/>
      <c r="B564" s="3"/>
      <c r="C564" s="52"/>
      <c r="D564" s="70"/>
      <c r="E564" s="66"/>
      <c r="F564" s="70"/>
      <c r="J564" s="70"/>
      <c r="K564" s="3"/>
      <c r="L564" s="3"/>
      <c r="M564" s="3"/>
      <c r="Q564" s="70"/>
      <c r="AC564" s="52"/>
      <c r="AL564" s="52"/>
    </row>
    <row r="565" spans="1:38" s="2" customFormat="1" ht="14.1" customHeight="1" x14ac:dyDescent="0.2">
      <c r="A565" s="66"/>
      <c r="B565" s="3"/>
      <c r="C565" s="52"/>
      <c r="D565" s="70"/>
      <c r="E565" s="66"/>
      <c r="F565" s="70"/>
      <c r="J565" s="70"/>
      <c r="K565" s="3"/>
      <c r="L565" s="3"/>
      <c r="M565" s="3"/>
      <c r="Q565" s="70"/>
      <c r="AC565" s="52"/>
      <c r="AL565" s="52"/>
    </row>
    <row r="566" spans="1:38" s="2" customFormat="1" ht="14.1" customHeight="1" x14ac:dyDescent="0.2">
      <c r="A566" s="66"/>
      <c r="B566" s="3"/>
      <c r="C566" s="52"/>
      <c r="D566" s="70"/>
      <c r="E566" s="66"/>
      <c r="F566" s="70"/>
      <c r="J566" s="70"/>
      <c r="K566" s="3"/>
      <c r="L566" s="3"/>
      <c r="M566" s="3"/>
      <c r="Q566" s="70"/>
      <c r="AC566" s="52"/>
      <c r="AL566" s="52"/>
    </row>
    <row r="567" spans="1:38" s="2" customFormat="1" ht="14.1" customHeight="1" x14ac:dyDescent="0.2">
      <c r="A567" s="66"/>
      <c r="B567" s="3"/>
      <c r="C567" s="52"/>
      <c r="D567" s="70"/>
      <c r="E567" s="66"/>
      <c r="F567" s="70"/>
      <c r="J567" s="70"/>
      <c r="K567" s="3"/>
      <c r="L567" s="3"/>
      <c r="M567" s="3"/>
      <c r="Q567" s="70"/>
      <c r="AC567" s="52"/>
      <c r="AL567" s="52"/>
    </row>
    <row r="568" spans="1:38" s="2" customFormat="1" ht="14.1" customHeight="1" x14ac:dyDescent="0.2">
      <c r="A568" s="66"/>
      <c r="B568" s="3"/>
      <c r="C568" s="52"/>
      <c r="D568" s="70"/>
      <c r="E568" s="66"/>
      <c r="F568" s="70"/>
      <c r="J568" s="70"/>
      <c r="K568" s="3"/>
      <c r="L568" s="3"/>
      <c r="M568" s="3"/>
      <c r="Q568" s="70"/>
      <c r="AC568" s="52"/>
      <c r="AL568" s="52"/>
    </row>
    <row r="569" spans="1:38" s="2" customFormat="1" ht="14.1" customHeight="1" x14ac:dyDescent="0.2">
      <c r="A569" s="66"/>
      <c r="B569" s="3"/>
      <c r="C569" s="52"/>
      <c r="D569" s="70"/>
      <c r="E569" s="66"/>
      <c r="F569" s="70"/>
      <c r="J569" s="70"/>
      <c r="K569" s="3"/>
      <c r="L569" s="3"/>
      <c r="M569" s="3"/>
      <c r="Q569" s="70"/>
      <c r="AC569" s="52"/>
      <c r="AL569" s="52"/>
    </row>
    <row r="570" spans="1:38" s="2" customFormat="1" ht="14.1" customHeight="1" x14ac:dyDescent="0.2">
      <c r="A570" s="66"/>
      <c r="B570" s="3"/>
      <c r="C570" s="52"/>
      <c r="D570" s="70"/>
      <c r="E570" s="66"/>
      <c r="F570" s="70"/>
      <c r="J570" s="70"/>
      <c r="K570" s="3"/>
      <c r="L570" s="3"/>
      <c r="M570" s="3"/>
      <c r="Q570" s="70"/>
      <c r="AC570" s="52"/>
      <c r="AL570" s="52"/>
    </row>
    <row r="571" spans="1:38" s="2" customFormat="1" ht="14.1" customHeight="1" x14ac:dyDescent="0.2">
      <c r="A571" s="66"/>
      <c r="B571" s="3"/>
      <c r="C571" s="52"/>
      <c r="D571" s="70"/>
      <c r="E571" s="66"/>
      <c r="F571" s="70"/>
      <c r="J571" s="70"/>
      <c r="K571" s="3"/>
      <c r="L571" s="3"/>
      <c r="M571" s="3"/>
      <c r="Q571" s="70"/>
      <c r="AC571" s="52"/>
      <c r="AL571" s="52"/>
    </row>
    <row r="572" spans="1:38" s="2" customFormat="1" ht="14.1" customHeight="1" x14ac:dyDescent="0.2">
      <c r="A572" s="66"/>
      <c r="B572" s="3"/>
      <c r="C572" s="52"/>
      <c r="D572" s="70"/>
      <c r="E572" s="66"/>
      <c r="F572" s="70"/>
      <c r="J572" s="70"/>
      <c r="K572" s="3"/>
      <c r="L572" s="3"/>
      <c r="M572" s="3"/>
      <c r="Q572" s="70"/>
      <c r="AC572" s="52"/>
      <c r="AL572" s="52"/>
    </row>
    <row r="573" spans="1:38" s="2" customFormat="1" ht="14.1" customHeight="1" x14ac:dyDescent="0.2">
      <c r="A573" s="66"/>
      <c r="B573" s="3"/>
      <c r="C573" s="52"/>
      <c r="D573" s="70"/>
      <c r="E573" s="66"/>
      <c r="F573" s="70"/>
      <c r="J573" s="70"/>
      <c r="K573" s="3"/>
      <c r="L573" s="3"/>
      <c r="M573" s="3"/>
      <c r="Q573" s="70"/>
      <c r="AC573" s="52"/>
      <c r="AL573" s="52"/>
    </row>
    <row r="574" spans="1:38" s="2" customFormat="1" ht="14.1" customHeight="1" x14ac:dyDescent="0.2">
      <c r="A574" s="66"/>
      <c r="B574" s="3"/>
      <c r="C574" s="52"/>
      <c r="D574" s="70"/>
      <c r="E574" s="66"/>
      <c r="F574" s="70"/>
      <c r="J574" s="70"/>
      <c r="K574" s="3"/>
      <c r="L574" s="3"/>
      <c r="M574" s="3"/>
      <c r="Q574" s="70"/>
      <c r="AC574" s="52"/>
      <c r="AL574" s="52"/>
    </row>
    <row r="575" spans="1:38" s="2" customFormat="1" ht="14.1" customHeight="1" x14ac:dyDescent="0.2">
      <c r="A575" s="66"/>
      <c r="B575" s="3"/>
      <c r="C575" s="52"/>
      <c r="D575" s="70"/>
      <c r="E575" s="66"/>
      <c r="F575" s="70"/>
      <c r="J575" s="70"/>
      <c r="K575" s="3"/>
      <c r="L575" s="3"/>
      <c r="M575" s="3"/>
      <c r="Q575" s="70"/>
      <c r="AC575" s="52"/>
      <c r="AL575" s="52"/>
    </row>
    <row r="576" spans="1:38" s="2" customFormat="1" ht="14.1" customHeight="1" x14ac:dyDescent="0.2">
      <c r="A576" s="66"/>
      <c r="B576" s="3"/>
      <c r="C576" s="52"/>
      <c r="D576" s="70"/>
      <c r="E576" s="66"/>
      <c r="F576" s="70"/>
      <c r="J576" s="70"/>
      <c r="K576" s="3"/>
      <c r="L576" s="3"/>
      <c r="M576" s="3"/>
      <c r="Q576" s="70"/>
      <c r="AC576" s="52"/>
      <c r="AL576" s="52"/>
    </row>
    <row r="577" spans="1:38" s="2" customFormat="1" ht="14.1" customHeight="1" x14ac:dyDescent="0.2">
      <c r="A577" s="66"/>
      <c r="B577" s="3"/>
      <c r="C577" s="52"/>
      <c r="D577" s="70"/>
      <c r="E577" s="66"/>
      <c r="F577" s="70"/>
      <c r="J577" s="70"/>
      <c r="K577" s="3"/>
      <c r="L577" s="3"/>
      <c r="M577" s="3"/>
      <c r="Q577" s="70"/>
      <c r="AC577" s="52"/>
      <c r="AL577" s="52"/>
    </row>
    <row r="578" spans="1:38" s="2" customFormat="1" ht="14.1" customHeight="1" x14ac:dyDescent="0.2">
      <c r="A578" s="66"/>
      <c r="B578" s="3"/>
      <c r="C578" s="52"/>
      <c r="D578" s="70"/>
      <c r="E578" s="66"/>
      <c r="F578" s="70"/>
      <c r="J578" s="70"/>
      <c r="K578" s="3"/>
      <c r="L578" s="3"/>
      <c r="M578" s="3"/>
      <c r="Q578" s="70"/>
      <c r="AC578" s="52"/>
      <c r="AL578" s="52"/>
    </row>
    <row r="579" spans="1:38" s="2" customFormat="1" ht="14.1" customHeight="1" x14ac:dyDescent="0.2">
      <c r="A579" s="66"/>
      <c r="B579" s="3"/>
      <c r="C579" s="52"/>
      <c r="D579" s="70"/>
      <c r="E579" s="66"/>
      <c r="F579" s="70"/>
      <c r="J579" s="70"/>
      <c r="K579" s="3"/>
      <c r="L579" s="3"/>
      <c r="M579" s="3"/>
      <c r="Q579" s="70"/>
      <c r="AC579" s="52"/>
      <c r="AL579" s="52"/>
    </row>
    <row r="580" spans="1:38" s="2" customFormat="1" ht="14.1" customHeight="1" x14ac:dyDescent="0.2">
      <c r="A580" s="66"/>
      <c r="B580" s="3"/>
      <c r="C580" s="52"/>
      <c r="D580" s="70"/>
      <c r="E580" s="66"/>
      <c r="F580" s="70"/>
      <c r="J580" s="70"/>
      <c r="K580" s="3"/>
      <c r="L580" s="3"/>
      <c r="M580" s="3"/>
      <c r="Q580" s="70"/>
      <c r="AC580" s="52"/>
      <c r="AL580" s="52"/>
    </row>
    <row r="581" spans="1:38" s="2" customFormat="1" ht="14.1" customHeight="1" x14ac:dyDescent="0.2">
      <c r="A581" s="66"/>
      <c r="B581" s="3"/>
      <c r="C581" s="52"/>
      <c r="D581" s="70"/>
      <c r="E581" s="66"/>
      <c r="F581" s="70"/>
      <c r="J581" s="70"/>
      <c r="K581" s="3"/>
      <c r="L581" s="3"/>
      <c r="M581" s="3"/>
      <c r="Q581" s="70"/>
      <c r="AC581" s="52"/>
      <c r="AL581" s="52"/>
    </row>
    <row r="582" spans="1:38" s="2" customFormat="1" ht="14.1" customHeight="1" x14ac:dyDescent="0.2">
      <c r="A582" s="66"/>
      <c r="B582" s="3"/>
      <c r="C582" s="52"/>
      <c r="D582" s="70"/>
      <c r="E582" s="66"/>
      <c r="F582" s="70"/>
      <c r="J582" s="70"/>
      <c r="K582" s="3"/>
      <c r="L582" s="3"/>
      <c r="M582" s="3"/>
      <c r="Q582" s="70"/>
      <c r="AC582" s="52"/>
      <c r="AL582" s="52"/>
    </row>
    <row r="583" spans="1:38" s="2" customFormat="1" ht="14.1" customHeight="1" x14ac:dyDescent="0.2">
      <c r="A583" s="66"/>
      <c r="B583" s="3"/>
      <c r="C583" s="52"/>
      <c r="D583" s="70"/>
      <c r="E583" s="66"/>
      <c r="F583" s="70"/>
      <c r="J583" s="70"/>
      <c r="K583" s="3"/>
      <c r="L583" s="3"/>
      <c r="M583" s="3"/>
      <c r="Q583" s="70"/>
      <c r="AC583" s="52"/>
      <c r="AL583" s="52"/>
    </row>
    <row r="584" spans="1:38" s="2" customFormat="1" ht="14.1" customHeight="1" x14ac:dyDescent="0.2">
      <c r="A584" s="66"/>
      <c r="B584" s="3"/>
      <c r="C584" s="52"/>
      <c r="D584" s="70"/>
      <c r="E584" s="66"/>
      <c r="F584" s="70"/>
      <c r="J584" s="70"/>
      <c r="K584" s="3"/>
      <c r="L584" s="3"/>
      <c r="M584" s="3"/>
      <c r="Q584" s="70"/>
      <c r="AC584" s="52"/>
      <c r="AL584" s="52"/>
    </row>
    <row r="585" spans="1:38" s="2" customFormat="1" ht="14.1" customHeight="1" x14ac:dyDescent="0.2">
      <c r="A585" s="66"/>
      <c r="B585" s="3"/>
      <c r="C585" s="52"/>
      <c r="D585" s="70"/>
      <c r="E585" s="66"/>
      <c r="F585" s="70"/>
      <c r="J585" s="70"/>
      <c r="K585" s="3"/>
      <c r="L585" s="3"/>
      <c r="M585" s="3"/>
      <c r="Q585" s="70"/>
      <c r="AC585" s="52"/>
      <c r="AL585" s="52"/>
    </row>
    <row r="586" spans="1:38" s="2" customFormat="1" ht="14.1" customHeight="1" x14ac:dyDescent="0.2">
      <c r="A586" s="66"/>
      <c r="B586" s="3"/>
      <c r="C586" s="52"/>
      <c r="D586" s="70"/>
      <c r="E586" s="66"/>
      <c r="F586" s="70"/>
      <c r="J586" s="70"/>
      <c r="K586" s="3"/>
      <c r="L586" s="3"/>
      <c r="M586" s="3"/>
      <c r="Q586" s="70"/>
      <c r="AC586" s="52"/>
      <c r="AL586" s="52"/>
    </row>
    <row r="587" spans="1:38" s="2" customFormat="1" ht="14.1" customHeight="1" x14ac:dyDescent="0.2">
      <c r="A587" s="66"/>
      <c r="B587" s="3"/>
      <c r="C587" s="52"/>
      <c r="D587" s="70"/>
      <c r="E587" s="66"/>
      <c r="F587" s="70"/>
      <c r="J587" s="70"/>
      <c r="K587" s="3"/>
      <c r="L587" s="3"/>
      <c r="M587" s="3"/>
      <c r="Q587" s="70"/>
      <c r="AC587" s="52"/>
      <c r="AL587" s="52"/>
    </row>
    <row r="588" spans="1:38" s="2" customFormat="1" ht="14.1" customHeight="1" x14ac:dyDescent="0.2">
      <c r="A588" s="66"/>
      <c r="B588" s="3"/>
      <c r="C588" s="52"/>
      <c r="D588" s="70"/>
      <c r="E588" s="66"/>
      <c r="F588" s="70"/>
      <c r="J588" s="70"/>
      <c r="K588" s="3"/>
      <c r="L588" s="3"/>
      <c r="M588" s="3"/>
      <c r="Q588" s="70"/>
      <c r="AC588" s="52"/>
      <c r="AL588" s="52"/>
    </row>
    <row r="589" spans="1:38" s="2" customFormat="1" ht="14.1" customHeight="1" x14ac:dyDescent="0.2">
      <c r="A589" s="66"/>
      <c r="B589" s="3"/>
      <c r="C589" s="52"/>
      <c r="D589" s="70"/>
      <c r="E589" s="66"/>
      <c r="F589" s="70"/>
      <c r="J589" s="70"/>
      <c r="K589" s="3"/>
      <c r="L589" s="3"/>
      <c r="M589" s="3"/>
      <c r="Q589" s="70"/>
      <c r="AC589" s="52"/>
      <c r="AL589" s="52"/>
    </row>
    <row r="590" spans="1:38" s="2" customFormat="1" ht="14.1" customHeight="1" x14ac:dyDescent="0.2">
      <c r="A590" s="66"/>
      <c r="B590" s="3"/>
      <c r="C590" s="52"/>
      <c r="D590" s="70"/>
      <c r="E590" s="66"/>
      <c r="F590" s="70"/>
      <c r="J590" s="70"/>
      <c r="K590" s="3"/>
      <c r="L590" s="3"/>
      <c r="M590" s="3"/>
      <c r="Q590" s="70"/>
      <c r="AC590" s="52"/>
      <c r="AL590" s="52"/>
    </row>
    <row r="591" spans="1:38" s="2" customFormat="1" ht="14.1" customHeight="1" x14ac:dyDescent="0.2">
      <c r="A591" s="66"/>
      <c r="B591" s="3"/>
      <c r="C591" s="52"/>
      <c r="D591" s="70"/>
      <c r="E591" s="66"/>
      <c r="F591" s="70"/>
      <c r="J591" s="70"/>
      <c r="K591" s="3"/>
      <c r="L591" s="3"/>
      <c r="M591" s="3"/>
      <c r="Q591" s="70"/>
      <c r="AC591" s="52"/>
      <c r="AL591" s="52"/>
    </row>
    <row r="592" spans="1:38" s="2" customFormat="1" ht="14.1" customHeight="1" x14ac:dyDescent="0.2">
      <c r="A592" s="66"/>
      <c r="B592" s="3"/>
      <c r="C592" s="52"/>
      <c r="D592" s="70"/>
      <c r="E592" s="66"/>
      <c r="F592" s="70"/>
      <c r="J592" s="70"/>
      <c r="K592" s="3"/>
      <c r="L592" s="3"/>
      <c r="M592" s="3"/>
      <c r="Q592" s="70"/>
      <c r="AC592" s="52"/>
      <c r="AL592" s="52"/>
    </row>
    <row r="593" spans="1:38" s="2" customFormat="1" ht="14.1" customHeight="1" x14ac:dyDescent="0.2">
      <c r="A593" s="66"/>
      <c r="B593" s="3"/>
      <c r="C593" s="52"/>
      <c r="D593" s="70"/>
      <c r="E593" s="66"/>
      <c r="F593" s="70"/>
      <c r="J593" s="70"/>
      <c r="K593" s="3"/>
      <c r="L593" s="3"/>
      <c r="M593" s="3"/>
      <c r="Q593" s="70"/>
      <c r="AC593" s="52"/>
      <c r="AL593" s="52"/>
    </row>
    <row r="594" spans="1:38" s="2" customFormat="1" ht="14.1" customHeight="1" x14ac:dyDescent="0.2">
      <c r="A594" s="66"/>
      <c r="B594" s="3"/>
      <c r="C594" s="52"/>
      <c r="D594" s="70"/>
      <c r="E594" s="66"/>
      <c r="F594" s="70"/>
      <c r="J594" s="70"/>
      <c r="K594" s="3"/>
      <c r="L594" s="3"/>
      <c r="M594" s="3"/>
      <c r="Q594" s="70"/>
      <c r="AC594" s="52"/>
      <c r="AL594" s="52"/>
    </row>
    <row r="595" spans="1:38" s="2" customFormat="1" ht="14.1" customHeight="1" x14ac:dyDescent="0.2">
      <c r="A595" s="66"/>
      <c r="B595" s="3"/>
      <c r="C595" s="52"/>
      <c r="D595" s="70"/>
      <c r="E595" s="66"/>
      <c r="F595" s="70"/>
      <c r="J595" s="70"/>
      <c r="K595" s="3"/>
      <c r="L595" s="3"/>
      <c r="M595" s="3"/>
      <c r="Q595" s="70"/>
      <c r="AC595" s="52"/>
      <c r="AL595" s="52"/>
    </row>
    <row r="596" spans="1:38" s="2" customFormat="1" ht="14.1" customHeight="1" x14ac:dyDescent="0.2">
      <c r="A596" s="66"/>
      <c r="B596" s="3"/>
      <c r="C596" s="52"/>
      <c r="D596" s="70"/>
      <c r="E596" s="66"/>
      <c r="F596" s="70"/>
      <c r="J596" s="70"/>
      <c r="K596" s="3"/>
      <c r="L596" s="3"/>
      <c r="M596" s="3"/>
      <c r="Q596" s="70"/>
      <c r="AC596" s="52"/>
      <c r="AL596" s="52"/>
    </row>
    <row r="597" spans="1:38" s="2" customFormat="1" ht="14.1" customHeight="1" x14ac:dyDescent="0.2">
      <c r="A597" s="66"/>
      <c r="B597" s="3"/>
      <c r="C597" s="52"/>
      <c r="D597" s="70"/>
      <c r="E597" s="66"/>
      <c r="F597" s="70"/>
      <c r="J597" s="70"/>
      <c r="K597" s="3"/>
      <c r="L597" s="3"/>
      <c r="M597" s="3"/>
      <c r="Q597" s="70"/>
      <c r="AC597" s="52"/>
      <c r="AL597" s="52"/>
    </row>
    <row r="598" spans="1:38" s="2" customFormat="1" ht="14.1" customHeight="1" x14ac:dyDescent="0.2">
      <c r="A598" s="66"/>
      <c r="B598" s="3"/>
      <c r="C598" s="52"/>
      <c r="D598" s="70"/>
      <c r="E598" s="66"/>
      <c r="F598" s="70"/>
      <c r="J598" s="70"/>
      <c r="K598" s="3"/>
      <c r="L598" s="3"/>
      <c r="M598" s="3"/>
      <c r="Q598" s="70"/>
      <c r="AC598" s="52"/>
      <c r="AL598" s="52"/>
    </row>
    <row r="599" spans="1:38" s="2" customFormat="1" ht="14.1" customHeight="1" x14ac:dyDescent="0.2">
      <c r="A599" s="66"/>
      <c r="B599" s="3"/>
      <c r="C599" s="52"/>
      <c r="D599" s="70"/>
      <c r="E599" s="66"/>
      <c r="F599" s="70"/>
      <c r="J599" s="70"/>
      <c r="K599" s="3"/>
      <c r="L599" s="3"/>
      <c r="M599" s="3"/>
      <c r="Q599" s="70"/>
      <c r="AC599" s="52"/>
      <c r="AL599" s="52"/>
    </row>
    <row r="600" spans="1:38" s="2" customFormat="1" ht="14.1" customHeight="1" x14ac:dyDescent="0.2">
      <c r="A600" s="66"/>
      <c r="B600" s="3"/>
      <c r="C600" s="52"/>
      <c r="D600" s="70"/>
      <c r="E600" s="66"/>
      <c r="F600" s="70"/>
      <c r="J600" s="70"/>
      <c r="K600" s="3"/>
      <c r="L600" s="3"/>
      <c r="M600" s="3"/>
      <c r="Q600" s="70"/>
      <c r="AC600" s="52"/>
      <c r="AL600" s="52"/>
    </row>
    <row r="601" spans="1:38" s="2" customFormat="1" ht="14.1" customHeight="1" x14ac:dyDescent="0.2">
      <c r="A601" s="66"/>
      <c r="B601" s="3"/>
      <c r="C601" s="52"/>
      <c r="D601" s="70"/>
      <c r="E601" s="66"/>
      <c r="F601" s="70"/>
      <c r="J601" s="70"/>
      <c r="K601" s="3"/>
      <c r="L601" s="3"/>
      <c r="M601" s="3"/>
      <c r="Q601" s="70"/>
      <c r="AC601" s="52"/>
      <c r="AL601" s="52"/>
    </row>
    <row r="602" spans="1:38" s="2" customFormat="1" ht="14.1" customHeight="1" x14ac:dyDescent="0.2">
      <c r="A602" s="66"/>
      <c r="B602" s="3"/>
      <c r="C602" s="52"/>
      <c r="D602" s="70"/>
      <c r="E602" s="66"/>
      <c r="F602" s="70"/>
      <c r="J602" s="70"/>
      <c r="K602" s="3"/>
      <c r="L602" s="3"/>
      <c r="M602" s="3"/>
      <c r="Q602" s="70"/>
      <c r="AC602" s="52"/>
      <c r="AL602" s="52"/>
    </row>
    <row r="603" spans="1:38" s="2" customFormat="1" ht="14.1" customHeight="1" x14ac:dyDescent="0.2">
      <c r="A603" s="66"/>
      <c r="B603" s="3"/>
      <c r="C603" s="52"/>
      <c r="D603" s="70"/>
      <c r="E603" s="66"/>
      <c r="F603" s="70"/>
      <c r="J603" s="70"/>
      <c r="K603" s="3"/>
      <c r="L603" s="3"/>
      <c r="M603" s="3"/>
      <c r="Q603" s="70"/>
      <c r="AC603" s="52"/>
      <c r="AL603" s="52"/>
    </row>
    <row r="604" spans="1:38" s="2" customFormat="1" ht="14.1" customHeight="1" x14ac:dyDescent="0.2">
      <c r="A604" s="66"/>
      <c r="B604" s="3"/>
      <c r="C604" s="52"/>
      <c r="D604" s="70"/>
      <c r="E604" s="66"/>
      <c r="F604" s="70"/>
      <c r="J604" s="70"/>
      <c r="K604" s="3"/>
      <c r="L604" s="3"/>
      <c r="M604" s="3"/>
      <c r="Q604" s="70"/>
      <c r="AC604" s="52"/>
      <c r="AL604" s="52"/>
    </row>
    <row r="605" spans="1:38" s="2" customFormat="1" ht="14.1" customHeight="1" x14ac:dyDescent="0.2">
      <c r="A605" s="66"/>
      <c r="B605" s="3"/>
      <c r="C605" s="52"/>
      <c r="D605" s="70"/>
      <c r="E605" s="66"/>
      <c r="F605" s="70"/>
      <c r="J605" s="70"/>
      <c r="K605" s="3"/>
      <c r="L605" s="3"/>
      <c r="M605" s="3"/>
      <c r="Q605" s="70"/>
      <c r="AC605" s="52"/>
      <c r="AL605" s="52"/>
    </row>
    <row r="606" spans="1:38" s="2" customFormat="1" ht="14.1" customHeight="1" x14ac:dyDescent="0.2">
      <c r="A606" s="66"/>
      <c r="B606" s="3"/>
      <c r="C606" s="52"/>
      <c r="D606" s="70"/>
      <c r="E606" s="66"/>
      <c r="F606" s="70"/>
      <c r="J606" s="70"/>
      <c r="K606" s="3"/>
      <c r="L606" s="3"/>
      <c r="M606" s="3"/>
      <c r="Q606" s="70"/>
      <c r="AC606" s="52"/>
      <c r="AL606" s="52"/>
    </row>
    <row r="607" spans="1:38" s="2" customFormat="1" ht="14.1" customHeight="1" x14ac:dyDescent="0.2">
      <c r="A607" s="66"/>
      <c r="B607" s="3"/>
      <c r="C607" s="52"/>
      <c r="D607" s="70"/>
      <c r="E607" s="66"/>
      <c r="F607" s="70"/>
      <c r="J607" s="70"/>
      <c r="K607" s="3"/>
      <c r="L607" s="3"/>
      <c r="M607" s="3"/>
      <c r="Q607" s="70"/>
      <c r="AC607" s="52"/>
      <c r="AL607" s="52"/>
    </row>
    <row r="608" spans="1:38" s="2" customFormat="1" ht="14.1" customHeight="1" x14ac:dyDescent="0.2">
      <c r="A608" s="66"/>
      <c r="B608" s="3"/>
      <c r="C608" s="52"/>
      <c r="D608" s="70"/>
      <c r="E608" s="66"/>
      <c r="F608" s="70"/>
      <c r="J608" s="70"/>
      <c r="K608" s="3"/>
      <c r="L608" s="3"/>
      <c r="M608" s="3"/>
      <c r="Q608" s="70"/>
      <c r="AC608" s="52"/>
      <c r="AL608" s="52"/>
    </row>
    <row r="609" spans="1:38" s="2" customFormat="1" ht="14.1" customHeight="1" x14ac:dyDescent="0.2">
      <c r="A609" s="66"/>
      <c r="B609" s="3"/>
      <c r="C609" s="52"/>
      <c r="D609" s="70"/>
      <c r="E609" s="66"/>
      <c r="F609" s="70"/>
      <c r="J609" s="70"/>
      <c r="K609" s="3"/>
      <c r="L609" s="3"/>
      <c r="M609" s="3"/>
      <c r="Q609" s="70"/>
      <c r="AC609" s="52"/>
      <c r="AL609" s="52"/>
    </row>
    <row r="610" spans="1:38" s="2" customFormat="1" ht="14.1" customHeight="1" x14ac:dyDescent="0.2">
      <c r="A610" s="66"/>
      <c r="B610" s="3"/>
      <c r="C610" s="52"/>
      <c r="D610" s="70"/>
      <c r="E610" s="66"/>
      <c r="F610" s="70"/>
      <c r="J610" s="70"/>
      <c r="K610" s="3"/>
      <c r="L610" s="3"/>
      <c r="M610" s="3"/>
      <c r="Q610" s="70"/>
      <c r="AC610" s="52"/>
      <c r="AL610" s="52"/>
    </row>
    <row r="611" spans="1:38" s="2" customFormat="1" ht="14.1" customHeight="1" x14ac:dyDescent="0.2">
      <c r="A611" s="66"/>
      <c r="B611" s="3"/>
      <c r="C611" s="52"/>
      <c r="D611" s="70"/>
      <c r="E611" s="66"/>
      <c r="F611" s="70"/>
      <c r="J611" s="70"/>
      <c r="K611" s="3"/>
      <c r="L611" s="3"/>
      <c r="M611" s="3"/>
      <c r="Q611" s="70"/>
      <c r="AC611" s="52"/>
      <c r="AL611" s="52"/>
    </row>
    <row r="612" spans="1:38" s="2" customFormat="1" ht="14.1" customHeight="1" x14ac:dyDescent="0.2">
      <c r="A612" s="66"/>
      <c r="B612" s="3"/>
      <c r="C612" s="52"/>
      <c r="D612" s="70"/>
      <c r="E612" s="66"/>
      <c r="F612" s="70"/>
      <c r="J612" s="70"/>
      <c r="K612" s="3"/>
      <c r="L612" s="3"/>
      <c r="M612" s="3"/>
      <c r="Q612" s="70"/>
      <c r="AC612" s="52"/>
      <c r="AL612" s="52"/>
    </row>
    <row r="613" spans="1:38" s="2" customFormat="1" ht="14.1" customHeight="1" x14ac:dyDescent="0.2">
      <c r="A613" s="66"/>
      <c r="B613" s="3"/>
      <c r="C613" s="52"/>
      <c r="D613" s="70"/>
      <c r="E613" s="66"/>
      <c r="F613" s="70"/>
      <c r="J613" s="70"/>
      <c r="K613" s="3"/>
      <c r="L613" s="3"/>
      <c r="M613" s="3"/>
      <c r="Q613" s="70"/>
      <c r="AC613" s="52"/>
      <c r="AL613" s="52"/>
    </row>
    <row r="614" spans="1:38" s="2" customFormat="1" ht="14.1" customHeight="1" x14ac:dyDescent="0.2">
      <c r="A614" s="66"/>
      <c r="B614" s="3"/>
      <c r="C614" s="52"/>
      <c r="D614" s="70"/>
      <c r="E614" s="66"/>
      <c r="F614" s="70"/>
      <c r="J614" s="70"/>
      <c r="K614" s="3"/>
      <c r="L614" s="3"/>
      <c r="M614" s="3"/>
      <c r="Q614" s="70"/>
      <c r="AC614" s="52"/>
      <c r="AL614" s="52"/>
    </row>
    <row r="615" spans="1:38" s="2" customFormat="1" ht="14.1" customHeight="1" x14ac:dyDescent="0.2">
      <c r="A615" s="66"/>
      <c r="B615" s="3"/>
      <c r="C615" s="52"/>
      <c r="D615" s="70"/>
      <c r="E615" s="66"/>
      <c r="F615" s="70"/>
      <c r="J615" s="70"/>
      <c r="K615" s="3"/>
      <c r="L615" s="3"/>
      <c r="M615" s="3"/>
      <c r="Q615" s="70"/>
      <c r="AC615" s="52"/>
      <c r="AL615" s="52"/>
    </row>
    <row r="616" spans="1:38" s="2" customFormat="1" ht="14.1" customHeight="1" x14ac:dyDescent="0.2">
      <c r="A616" s="66"/>
      <c r="B616" s="3"/>
      <c r="C616" s="52"/>
      <c r="D616" s="70"/>
      <c r="E616" s="66"/>
      <c r="F616" s="70"/>
      <c r="J616" s="70"/>
      <c r="K616" s="3"/>
      <c r="L616" s="3"/>
      <c r="M616" s="3"/>
      <c r="Q616" s="70"/>
      <c r="AC616" s="52"/>
      <c r="AL616" s="52"/>
    </row>
    <row r="617" spans="1:38" s="2" customFormat="1" ht="14.1" customHeight="1" x14ac:dyDescent="0.2">
      <c r="A617" s="66"/>
      <c r="B617" s="3"/>
      <c r="C617" s="52"/>
      <c r="D617" s="70"/>
      <c r="E617" s="66"/>
      <c r="F617" s="70"/>
      <c r="J617" s="70"/>
      <c r="K617" s="3"/>
      <c r="L617" s="3"/>
      <c r="M617" s="3"/>
      <c r="Q617" s="70"/>
      <c r="AC617" s="52"/>
      <c r="AL617" s="52"/>
    </row>
    <row r="618" spans="1:38" s="2" customFormat="1" ht="14.1" customHeight="1" x14ac:dyDescent="0.2">
      <c r="A618" s="66"/>
      <c r="B618" s="3"/>
      <c r="C618" s="52"/>
      <c r="D618" s="70"/>
      <c r="E618" s="66"/>
      <c r="F618" s="70"/>
      <c r="J618" s="70"/>
      <c r="K618" s="3"/>
      <c r="L618" s="3"/>
      <c r="M618" s="3"/>
      <c r="Q618" s="70"/>
      <c r="AC618" s="52"/>
      <c r="AL618" s="52"/>
    </row>
    <row r="619" spans="1:38" s="2" customFormat="1" ht="14.1" customHeight="1" x14ac:dyDescent="0.2">
      <c r="A619" s="66"/>
      <c r="B619" s="3"/>
      <c r="C619" s="52"/>
      <c r="D619" s="70"/>
      <c r="E619" s="66"/>
      <c r="F619" s="70"/>
      <c r="J619" s="70"/>
      <c r="K619" s="3"/>
      <c r="L619" s="3"/>
      <c r="M619" s="3"/>
      <c r="Q619" s="70"/>
      <c r="AC619" s="52"/>
      <c r="AL619" s="52"/>
    </row>
    <row r="620" spans="1:38" s="2" customFormat="1" ht="14.1" customHeight="1" x14ac:dyDescent="0.2">
      <c r="A620" s="66"/>
      <c r="B620" s="3"/>
      <c r="C620" s="52"/>
      <c r="D620" s="70"/>
      <c r="E620" s="66"/>
      <c r="F620" s="70"/>
      <c r="J620" s="70"/>
      <c r="K620" s="3"/>
      <c r="L620" s="3"/>
      <c r="M620" s="3"/>
      <c r="Q620" s="70"/>
      <c r="AC620" s="52"/>
      <c r="AL620" s="52"/>
    </row>
    <row r="621" spans="1:38" s="2" customFormat="1" ht="14.1" customHeight="1" x14ac:dyDescent="0.2">
      <c r="A621" s="66"/>
      <c r="B621" s="3"/>
      <c r="C621" s="52"/>
      <c r="D621" s="70"/>
      <c r="E621" s="66"/>
      <c r="F621" s="70"/>
      <c r="J621" s="70"/>
      <c r="K621" s="3"/>
      <c r="L621" s="3"/>
      <c r="M621" s="3"/>
      <c r="Q621" s="70"/>
      <c r="AC621" s="52"/>
      <c r="AL621" s="52"/>
    </row>
    <row r="622" spans="1:38" s="2" customFormat="1" ht="14.1" customHeight="1" x14ac:dyDescent="0.2">
      <c r="A622" s="66"/>
      <c r="B622" s="3"/>
      <c r="C622" s="52"/>
      <c r="D622" s="70"/>
      <c r="E622" s="66"/>
      <c r="F622" s="70"/>
      <c r="J622" s="70"/>
      <c r="K622" s="3"/>
      <c r="L622" s="3"/>
      <c r="M622" s="3"/>
      <c r="Q622" s="70"/>
      <c r="AC622" s="52"/>
      <c r="AL622" s="52"/>
    </row>
    <row r="623" spans="1:38" s="2" customFormat="1" ht="14.1" customHeight="1" x14ac:dyDescent="0.2">
      <c r="A623" s="66"/>
      <c r="B623" s="3"/>
      <c r="C623" s="52"/>
      <c r="D623" s="70"/>
      <c r="E623" s="66"/>
      <c r="F623" s="70"/>
      <c r="J623" s="70"/>
      <c r="K623" s="3"/>
      <c r="L623" s="3"/>
      <c r="M623" s="3"/>
      <c r="Q623" s="70"/>
      <c r="AC623" s="52"/>
      <c r="AL623" s="52"/>
    </row>
    <row r="624" spans="1:38" s="2" customFormat="1" ht="14.1" customHeight="1" x14ac:dyDescent="0.2">
      <c r="A624" s="66"/>
      <c r="B624" s="3"/>
      <c r="C624" s="52"/>
      <c r="D624" s="70"/>
      <c r="E624" s="66"/>
      <c r="F624" s="70"/>
      <c r="J624" s="70"/>
      <c r="K624" s="3"/>
      <c r="L624" s="3"/>
      <c r="M624" s="3"/>
      <c r="Q624" s="70"/>
      <c r="AC624" s="52"/>
      <c r="AL624" s="52"/>
    </row>
    <row r="625" spans="1:38" s="2" customFormat="1" ht="14.1" customHeight="1" x14ac:dyDescent="0.2">
      <c r="A625" s="66"/>
      <c r="B625" s="3"/>
      <c r="C625" s="52"/>
      <c r="D625" s="70"/>
      <c r="E625" s="66"/>
      <c r="F625" s="70"/>
      <c r="J625" s="70"/>
      <c r="K625" s="3"/>
      <c r="L625" s="3"/>
      <c r="M625" s="3"/>
      <c r="Q625" s="70"/>
      <c r="AC625" s="52"/>
      <c r="AL625" s="52"/>
    </row>
    <row r="626" spans="1:38" s="2" customFormat="1" ht="14.1" customHeight="1" x14ac:dyDescent="0.2">
      <c r="A626" s="66"/>
      <c r="B626" s="3"/>
      <c r="C626" s="52"/>
      <c r="D626" s="70"/>
      <c r="E626" s="66"/>
      <c r="F626" s="70"/>
      <c r="J626" s="70"/>
      <c r="K626" s="3"/>
      <c r="L626" s="3"/>
      <c r="M626" s="3"/>
      <c r="Q626" s="70"/>
      <c r="AC626" s="52"/>
      <c r="AL626" s="52"/>
    </row>
    <row r="627" spans="1:38" s="2" customFormat="1" ht="14.1" customHeight="1" x14ac:dyDescent="0.2">
      <c r="A627" s="66"/>
      <c r="B627" s="3"/>
      <c r="C627" s="52"/>
      <c r="D627" s="70"/>
      <c r="E627" s="66"/>
      <c r="F627" s="70"/>
      <c r="J627" s="70"/>
      <c r="K627" s="3"/>
      <c r="L627" s="3"/>
      <c r="M627" s="3"/>
      <c r="Q627" s="70"/>
      <c r="AC627" s="52"/>
      <c r="AL627" s="52"/>
    </row>
    <row r="628" spans="1:38" s="2" customFormat="1" ht="14.1" customHeight="1" x14ac:dyDescent="0.2">
      <c r="A628" s="66"/>
      <c r="B628" s="3"/>
      <c r="C628" s="52"/>
      <c r="D628" s="70"/>
      <c r="E628" s="66"/>
      <c r="F628" s="70"/>
      <c r="J628" s="70"/>
      <c r="K628" s="3"/>
      <c r="L628" s="3"/>
      <c r="M628" s="3"/>
      <c r="Q628" s="70"/>
      <c r="AC628" s="52"/>
      <c r="AL628" s="52"/>
    </row>
    <row r="629" spans="1:38" s="2" customFormat="1" ht="14.1" customHeight="1" x14ac:dyDescent="0.2">
      <c r="A629" s="66"/>
      <c r="B629" s="3"/>
      <c r="C629" s="52"/>
      <c r="D629" s="70"/>
      <c r="E629" s="66"/>
      <c r="F629" s="70"/>
      <c r="J629" s="70"/>
      <c r="K629" s="3"/>
      <c r="L629" s="3"/>
      <c r="M629" s="3"/>
      <c r="Q629" s="70"/>
      <c r="AC629" s="52"/>
      <c r="AL629" s="52"/>
    </row>
    <row r="630" spans="1:38" s="2" customFormat="1" ht="14.1" customHeight="1" x14ac:dyDescent="0.2">
      <c r="A630" s="66"/>
      <c r="B630" s="3"/>
      <c r="C630" s="52"/>
      <c r="D630" s="70"/>
      <c r="E630" s="66"/>
      <c r="F630" s="70"/>
      <c r="J630" s="70"/>
      <c r="K630" s="3"/>
      <c r="L630" s="3"/>
      <c r="M630" s="3"/>
      <c r="Q630" s="70"/>
      <c r="AC630" s="52"/>
      <c r="AL630" s="52"/>
    </row>
    <row r="631" spans="1:38" s="2" customFormat="1" ht="14.1" customHeight="1" x14ac:dyDescent="0.2">
      <c r="A631" s="66"/>
      <c r="B631" s="3"/>
      <c r="C631" s="52"/>
      <c r="D631" s="70"/>
      <c r="E631" s="66"/>
      <c r="F631" s="70"/>
      <c r="J631" s="70"/>
      <c r="K631" s="3"/>
      <c r="L631" s="3"/>
      <c r="M631" s="3"/>
      <c r="Q631" s="70"/>
      <c r="AC631" s="52"/>
      <c r="AL631" s="52"/>
    </row>
    <row r="632" spans="1:38" s="2" customFormat="1" ht="14.1" customHeight="1" x14ac:dyDescent="0.2">
      <c r="A632" s="66"/>
      <c r="B632" s="3"/>
      <c r="C632" s="52"/>
      <c r="D632" s="70"/>
      <c r="E632" s="66"/>
      <c r="F632" s="70"/>
      <c r="J632" s="70"/>
      <c r="K632" s="3"/>
      <c r="L632" s="3"/>
      <c r="M632" s="3"/>
      <c r="Q632" s="70"/>
      <c r="AC632" s="52"/>
      <c r="AL632" s="52"/>
    </row>
    <row r="633" spans="1:38" s="2" customFormat="1" ht="14.1" customHeight="1" x14ac:dyDescent="0.2">
      <c r="A633" s="66"/>
      <c r="B633" s="3"/>
      <c r="C633" s="52"/>
      <c r="D633" s="70"/>
      <c r="E633" s="66"/>
      <c r="F633" s="70"/>
      <c r="J633" s="70"/>
      <c r="K633" s="3"/>
      <c r="L633" s="3"/>
      <c r="M633" s="3"/>
      <c r="Q633" s="70"/>
      <c r="AC633" s="52"/>
      <c r="AL633" s="52"/>
    </row>
    <row r="634" spans="1:38" s="2" customFormat="1" ht="14.1" customHeight="1" x14ac:dyDescent="0.2">
      <c r="A634" s="66"/>
      <c r="B634" s="3"/>
      <c r="C634" s="52"/>
      <c r="D634" s="70"/>
      <c r="E634" s="66"/>
      <c r="F634" s="70"/>
      <c r="J634" s="70"/>
      <c r="K634" s="3"/>
      <c r="L634" s="3"/>
      <c r="M634" s="3"/>
      <c r="Q634" s="70"/>
      <c r="AC634" s="52"/>
      <c r="AL634" s="52"/>
    </row>
    <row r="635" spans="1:38" s="2" customFormat="1" ht="14.1" customHeight="1" x14ac:dyDescent="0.2">
      <c r="A635" s="66"/>
      <c r="B635" s="3"/>
      <c r="C635" s="52"/>
      <c r="D635" s="70"/>
      <c r="E635" s="66"/>
      <c r="F635" s="70"/>
      <c r="J635" s="70"/>
      <c r="K635" s="3"/>
      <c r="L635" s="3"/>
      <c r="M635" s="3"/>
      <c r="Q635" s="70"/>
      <c r="AC635" s="52"/>
      <c r="AL635" s="52"/>
    </row>
    <row r="636" spans="1:38" s="2" customFormat="1" ht="14.1" customHeight="1" x14ac:dyDescent="0.2">
      <c r="A636" s="66"/>
      <c r="B636" s="3"/>
      <c r="C636" s="52"/>
      <c r="D636" s="70"/>
      <c r="E636" s="66"/>
      <c r="F636" s="70"/>
      <c r="J636" s="70"/>
      <c r="K636" s="3"/>
      <c r="L636" s="3"/>
      <c r="M636" s="3"/>
      <c r="Q636" s="70"/>
      <c r="AC636" s="52"/>
      <c r="AL636" s="52"/>
    </row>
    <row r="637" spans="1:38" s="2" customFormat="1" ht="14.1" customHeight="1" x14ac:dyDescent="0.2">
      <c r="A637" s="66"/>
      <c r="B637" s="3"/>
      <c r="C637" s="52"/>
      <c r="D637" s="70"/>
      <c r="E637" s="66"/>
      <c r="F637" s="70"/>
      <c r="J637" s="70"/>
      <c r="K637" s="3"/>
      <c r="L637" s="3"/>
      <c r="M637" s="3"/>
      <c r="Q637" s="70"/>
      <c r="AC637" s="52"/>
      <c r="AL637" s="52"/>
    </row>
    <row r="638" spans="1:38" s="2" customFormat="1" ht="14.1" customHeight="1" x14ac:dyDescent="0.2">
      <c r="A638" s="66"/>
      <c r="B638" s="3"/>
      <c r="C638" s="52"/>
      <c r="D638" s="70"/>
      <c r="E638" s="66"/>
      <c r="F638" s="70"/>
      <c r="J638" s="70"/>
      <c r="K638" s="3"/>
      <c r="L638" s="3"/>
      <c r="M638" s="3"/>
      <c r="Q638" s="70"/>
      <c r="AC638" s="52"/>
      <c r="AL638" s="52"/>
    </row>
    <row r="639" spans="1:38" s="2" customFormat="1" ht="14.1" customHeight="1" x14ac:dyDescent="0.2">
      <c r="A639" s="66"/>
      <c r="B639" s="3"/>
      <c r="C639" s="52"/>
      <c r="D639" s="70"/>
      <c r="E639" s="66"/>
      <c r="F639" s="70"/>
      <c r="J639" s="70"/>
      <c r="K639" s="3"/>
      <c r="L639" s="3"/>
      <c r="M639" s="3"/>
      <c r="Q639" s="70"/>
      <c r="AC639" s="52"/>
      <c r="AL639" s="52"/>
    </row>
    <row r="640" spans="1:38" s="2" customFormat="1" ht="14.1" customHeight="1" x14ac:dyDescent="0.2">
      <c r="A640" s="66"/>
      <c r="B640" s="3"/>
      <c r="C640" s="52"/>
      <c r="D640" s="70"/>
      <c r="E640" s="66"/>
      <c r="F640" s="70"/>
      <c r="J640" s="70"/>
      <c r="K640" s="3"/>
      <c r="L640" s="3"/>
      <c r="M640" s="3"/>
      <c r="Q640" s="70"/>
      <c r="AC640" s="52"/>
      <c r="AL640" s="52"/>
    </row>
    <row r="641" spans="1:38" s="2" customFormat="1" ht="14.1" customHeight="1" x14ac:dyDescent="0.2">
      <c r="A641" s="66"/>
      <c r="B641" s="3"/>
      <c r="C641" s="52"/>
      <c r="D641" s="70"/>
      <c r="E641" s="66"/>
      <c r="F641" s="70"/>
      <c r="J641" s="70"/>
      <c r="K641" s="3"/>
      <c r="L641" s="3"/>
      <c r="M641" s="3"/>
      <c r="Q641" s="70"/>
      <c r="AC641" s="52"/>
      <c r="AL641" s="52"/>
    </row>
    <row r="642" spans="1:38" s="2" customFormat="1" ht="14.1" customHeight="1" x14ac:dyDescent="0.2">
      <c r="A642" s="66"/>
      <c r="B642" s="3"/>
      <c r="C642" s="52"/>
      <c r="D642" s="70"/>
      <c r="E642" s="66"/>
      <c r="F642" s="70"/>
      <c r="J642" s="70"/>
      <c r="K642" s="3"/>
      <c r="L642" s="3"/>
      <c r="M642" s="3"/>
      <c r="Q642" s="70"/>
      <c r="AC642" s="52"/>
      <c r="AL642" s="52"/>
    </row>
    <row r="643" spans="1:38" s="2" customFormat="1" ht="14.1" customHeight="1" x14ac:dyDescent="0.2">
      <c r="A643" s="66"/>
      <c r="B643" s="3"/>
      <c r="C643" s="52"/>
      <c r="D643" s="70"/>
      <c r="E643" s="66"/>
      <c r="F643" s="70"/>
      <c r="J643" s="70"/>
      <c r="K643" s="3"/>
      <c r="L643" s="3"/>
      <c r="M643" s="3"/>
      <c r="Q643" s="70"/>
      <c r="AC643" s="52"/>
      <c r="AL643" s="52"/>
    </row>
    <row r="644" spans="1:38" s="2" customFormat="1" ht="14.1" customHeight="1" x14ac:dyDescent="0.2">
      <c r="A644" s="66"/>
      <c r="B644" s="3"/>
      <c r="C644" s="52"/>
      <c r="D644" s="70"/>
      <c r="E644" s="66"/>
      <c r="F644" s="70"/>
      <c r="J644" s="70"/>
      <c r="K644" s="3"/>
      <c r="L644" s="3"/>
      <c r="M644" s="3"/>
      <c r="Q644" s="70"/>
      <c r="AC644" s="52"/>
      <c r="AL644" s="52"/>
    </row>
    <row r="645" spans="1:38" s="2" customFormat="1" ht="14.1" customHeight="1" x14ac:dyDescent="0.2">
      <c r="A645" s="66"/>
      <c r="B645" s="3"/>
      <c r="C645" s="52"/>
      <c r="D645" s="70"/>
      <c r="E645" s="66"/>
      <c r="F645" s="70"/>
      <c r="J645" s="70"/>
      <c r="K645" s="3"/>
      <c r="L645" s="3"/>
      <c r="M645" s="3"/>
      <c r="Q645" s="70"/>
      <c r="AC645" s="52"/>
      <c r="AL645" s="52"/>
    </row>
    <row r="646" spans="1:38" s="2" customFormat="1" ht="14.1" customHeight="1" x14ac:dyDescent="0.2">
      <c r="A646" s="66"/>
      <c r="B646" s="3"/>
      <c r="C646" s="52"/>
      <c r="D646" s="70"/>
      <c r="E646" s="66"/>
      <c r="F646" s="70"/>
      <c r="J646" s="70"/>
      <c r="K646" s="3"/>
      <c r="L646" s="3"/>
      <c r="M646" s="3"/>
      <c r="Q646" s="70"/>
      <c r="AC646" s="52"/>
      <c r="AL646" s="52"/>
    </row>
    <row r="647" spans="1:38" s="2" customFormat="1" ht="14.1" customHeight="1" x14ac:dyDescent="0.2">
      <c r="A647" s="66"/>
      <c r="B647" s="3"/>
      <c r="C647" s="52"/>
      <c r="D647" s="70"/>
      <c r="E647" s="66"/>
      <c r="F647" s="70"/>
      <c r="J647" s="70"/>
      <c r="K647" s="3"/>
      <c r="L647" s="3"/>
      <c r="M647" s="3"/>
      <c r="Q647" s="70"/>
      <c r="AC647" s="52"/>
      <c r="AL647" s="52"/>
    </row>
    <row r="648" spans="1:38" s="2" customFormat="1" ht="14.1" customHeight="1" x14ac:dyDescent="0.2">
      <c r="A648" s="66"/>
      <c r="B648" s="3"/>
      <c r="C648" s="52"/>
      <c r="D648" s="70"/>
      <c r="E648" s="66"/>
      <c r="F648" s="70"/>
      <c r="J648" s="70"/>
      <c r="K648" s="3"/>
      <c r="L648" s="3"/>
      <c r="M648" s="3"/>
      <c r="Q648" s="70"/>
      <c r="AC648" s="52"/>
      <c r="AL648" s="52"/>
    </row>
    <row r="649" spans="1:38" s="2" customFormat="1" ht="14.1" customHeight="1" x14ac:dyDescent="0.2">
      <c r="A649" s="66"/>
      <c r="B649" s="3"/>
      <c r="C649" s="52"/>
      <c r="D649" s="70"/>
      <c r="E649" s="66"/>
      <c r="F649" s="70"/>
      <c r="J649" s="70"/>
      <c r="K649" s="3"/>
      <c r="L649" s="3"/>
      <c r="M649" s="3"/>
      <c r="Q649" s="70"/>
      <c r="AC649" s="52"/>
      <c r="AL649" s="52"/>
    </row>
    <row r="650" spans="1:38" s="2" customFormat="1" ht="14.1" customHeight="1" x14ac:dyDescent="0.2">
      <c r="A650" s="66"/>
      <c r="B650" s="3"/>
      <c r="C650" s="52"/>
      <c r="D650" s="70"/>
      <c r="E650" s="66"/>
      <c r="F650" s="70"/>
      <c r="J650" s="70"/>
      <c r="K650" s="3"/>
      <c r="L650" s="3"/>
      <c r="M650" s="3"/>
      <c r="Q650" s="70"/>
      <c r="AC650" s="52"/>
      <c r="AL650" s="52"/>
    </row>
    <row r="651" spans="1:38" s="2" customFormat="1" ht="14.1" customHeight="1" x14ac:dyDescent="0.2">
      <c r="A651" s="66"/>
      <c r="B651" s="3"/>
      <c r="C651" s="52"/>
      <c r="D651" s="70"/>
      <c r="E651" s="66"/>
      <c r="F651" s="70"/>
      <c r="J651" s="70"/>
      <c r="K651" s="3"/>
      <c r="L651" s="3"/>
      <c r="M651" s="3"/>
      <c r="Q651" s="70"/>
      <c r="AC651" s="52"/>
      <c r="AL651" s="52"/>
    </row>
    <row r="652" spans="1:38" s="2" customFormat="1" ht="14.1" customHeight="1" x14ac:dyDescent="0.2">
      <c r="A652" s="66"/>
      <c r="B652" s="3"/>
      <c r="C652" s="52"/>
      <c r="D652" s="70"/>
      <c r="E652" s="66"/>
      <c r="F652" s="70"/>
      <c r="J652" s="70"/>
      <c r="K652" s="3"/>
      <c r="L652" s="3"/>
      <c r="M652" s="3"/>
      <c r="Q652" s="70"/>
      <c r="AC652" s="52"/>
      <c r="AL652" s="52"/>
    </row>
    <row r="653" spans="1:38" s="2" customFormat="1" ht="14.1" customHeight="1" x14ac:dyDescent="0.2">
      <c r="A653" s="66"/>
      <c r="B653" s="3"/>
      <c r="C653" s="52"/>
      <c r="D653" s="70"/>
      <c r="E653" s="66"/>
      <c r="F653" s="70"/>
      <c r="J653" s="70"/>
      <c r="K653" s="3"/>
      <c r="L653" s="3"/>
      <c r="M653" s="3"/>
      <c r="Q653" s="70"/>
      <c r="AC653" s="52"/>
      <c r="AL653" s="52"/>
    </row>
    <row r="654" spans="1:38" s="2" customFormat="1" ht="14.1" customHeight="1" x14ac:dyDescent="0.2">
      <c r="A654" s="66"/>
      <c r="B654" s="3"/>
      <c r="C654" s="52"/>
      <c r="D654" s="70"/>
      <c r="E654" s="66"/>
      <c r="F654" s="70"/>
      <c r="J654" s="70"/>
      <c r="K654" s="3"/>
      <c r="L654" s="3"/>
      <c r="M654" s="3"/>
      <c r="Q654" s="70"/>
      <c r="AC654" s="52"/>
      <c r="AL654" s="52"/>
    </row>
    <row r="655" spans="1:38" s="2" customFormat="1" ht="14.1" customHeight="1" x14ac:dyDescent="0.2">
      <c r="A655" s="66"/>
      <c r="B655" s="3"/>
      <c r="C655" s="52"/>
      <c r="D655" s="70"/>
      <c r="E655" s="66"/>
      <c r="F655" s="70"/>
      <c r="J655" s="70"/>
      <c r="K655" s="3"/>
      <c r="L655" s="3"/>
      <c r="M655" s="3"/>
      <c r="Q655" s="70"/>
      <c r="AC655" s="52"/>
      <c r="AL655" s="52"/>
    </row>
    <row r="656" spans="1:38" s="2" customFormat="1" ht="14.1" customHeight="1" x14ac:dyDescent="0.2">
      <c r="A656" s="66"/>
      <c r="B656" s="3"/>
      <c r="C656" s="52"/>
      <c r="D656" s="70"/>
      <c r="E656" s="66"/>
      <c r="F656" s="70"/>
      <c r="J656" s="70"/>
      <c r="K656" s="3"/>
      <c r="L656" s="3"/>
      <c r="M656" s="3"/>
      <c r="Q656" s="70"/>
      <c r="AC656" s="52"/>
      <c r="AL656" s="52"/>
    </row>
    <row r="657" spans="1:38" s="2" customFormat="1" ht="14.1" customHeight="1" x14ac:dyDescent="0.2">
      <c r="A657" s="66"/>
      <c r="B657" s="3"/>
      <c r="C657" s="52"/>
      <c r="D657" s="70"/>
      <c r="E657" s="66"/>
      <c r="F657" s="70"/>
      <c r="J657" s="70"/>
      <c r="K657" s="3"/>
      <c r="L657" s="3"/>
      <c r="M657" s="3"/>
      <c r="Q657" s="70"/>
      <c r="AC657" s="52"/>
      <c r="AL657" s="52"/>
    </row>
    <row r="658" spans="1:38" s="2" customFormat="1" ht="14.1" customHeight="1" x14ac:dyDescent="0.2">
      <c r="A658" s="66"/>
      <c r="B658" s="3"/>
      <c r="C658" s="52"/>
      <c r="D658" s="70"/>
      <c r="E658" s="66"/>
      <c r="F658" s="70"/>
      <c r="J658" s="70"/>
      <c r="K658" s="3"/>
      <c r="L658" s="3"/>
      <c r="M658" s="3"/>
      <c r="Q658" s="70"/>
      <c r="AC658" s="52"/>
      <c r="AL658" s="52"/>
    </row>
    <row r="659" spans="1:38" s="2" customFormat="1" ht="14.1" customHeight="1" x14ac:dyDescent="0.2">
      <c r="A659" s="66"/>
      <c r="B659" s="3"/>
      <c r="C659" s="52"/>
      <c r="D659" s="70"/>
      <c r="E659" s="66"/>
      <c r="F659" s="70"/>
      <c r="J659" s="70"/>
      <c r="K659" s="3"/>
      <c r="L659" s="3"/>
      <c r="M659" s="3"/>
      <c r="Q659" s="70"/>
      <c r="AC659" s="52"/>
      <c r="AL659" s="52"/>
    </row>
    <row r="660" spans="1:38" s="2" customFormat="1" ht="14.1" customHeight="1" x14ac:dyDescent="0.2">
      <c r="A660" s="66"/>
      <c r="B660" s="3"/>
      <c r="C660" s="52"/>
      <c r="D660" s="70"/>
      <c r="E660" s="66"/>
      <c r="F660" s="70"/>
      <c r="J660" s="70"/>
      <c r="K660" s="3"/>
      <c r="L660" s="3"/>
      <c r="M660" s="3"/>
      <c r="Q660" s="70"/>
      <c r="AC660" s="52"/>
      <c r="AL660" s="52"/>
    </row>
    <row r="661" spans="1:38" s="2" customFormat="1" ht="14.1" customHeight="1" x14ac:dyDescent="0.2">
      <c r="A661" s="66"/>
      <c r="B661" s="3"/>
      <c r="C661" s="52"/>
      <c r="D661" s="70"/>
      <c r="E661" s="66"/>
      <c r="F661" s="70"/>
      <c r="J661" s="70"/>
      <c r="K661" s="3"/>
      <c r="L661" s="3"/>
      <c r="M661" s="3"/>
      <c r="Q661" s="70"/>
      <c r="AC661" s="52"/>
      <c r="AL661" s="52"/>
    </row>
    <row r="662" spans="1:38" s="2" customFormat="1" ht="14.1" customHeight="1" x14ac:dyDescent="0.2">
      <c r="A662" s="66"/>
      <c r="B662" s="3"/>
      <c r="C662" s="52"/>
      <c r="D662" s="70"/>
      <c r="E662" s="66"/>
      <c r="F662" s="70"/>
      <c r="J662" s="70"/>
      <c r="K662" s="3"/>
      <c r="L662" s="3"/>
      <c r="M662" s="3"/>
      <c r="Q662" s="70"/>
      <c r="AC662" s="52"/>
      <c r="AL662" s="52"/>
    </row>
    <row r="663" spans="1:38" s="2" customFormat="1" ht="14.1" customHeight="1" x14ac:dyDescent="0.2">
      <c r="A663" s="66"/>
      <c r="B663" s="3"/>
      <c r="C663" s="52"/>
      <c r="D663" s="70"/>
      <c r="E663" s="66"/>
      <c r="F663" s="70"/>
      <c r="J663" s="70"/>
      <c r="K663" s="3"/>
      <c r="L663" s="3"/>
      <c r="M663" s="3"/>
      <c r="Q663" s="70"/>
      <c r="AC663" s="52"/>
      <c r="AL663" s="52"/>
    </row>
    <row r="664" spans="1:38" s="2" customFormat="1" ht="14.1" customHeight="1" x14ac:dyDescent="0.2">
      <c r="A664" s="66"/>
      <c r="B664" s="3"/>
      <c r="C664" s="52"/>
      <c r="D664" s="70"/>
      <c r="E664" s="66"/>
      <c r="F664" s="70"/>
      <c r="J664" s="70"/>
      <c r="K664" s="3"/>
      <c r="L664" s="3"/>
      <c r="M664" s="3"/>
      <c r="Q664" s="70"/>
      <c r="AC664" s="52"/>
      <c r="AL664" s="52"/>
    </row>
    <row r="665" spans="1:38" s="2" customFormat="1" ht="14.1" customHeight="1" x14ac:dyDescent="0.2">
      <c r="A665" s="66"/>
      <c r="B665" s="3"/>
      <c r="C665" s="52"/>
      <c r="D665" s="70"/>
      <c r="E665" s="66"/>
      <c r="F665" s="70"/>
      <c r="J665" s="70"/>
      <c r="K665" s="3"/>
      <c r="L665" s="3"/>
      <c r="M665" s="3"/>
      <c r="Q665" s="70"/>
      <c r="AC665" s="52"/>
      <c r="AL665" s="52"/>
    </row>
    <row r="666" spans="1:38" s="2" customFormat="1" ht="14.1" customHeight="1" x14ac:dyDescent="0.2">
      <c r="A666" s="66"/>
      <c r="B666" s="3"/>
      <c r="C666" s="52"/>
      <c r="D666" s="70"/>
      <c r="E666" s="66"/>
      <c r="F666" s="70"/>
      <c r="J666" s="70"/>
      <c r="K666" s="3"/>
      <c r="L666" s="3"/>
      <c r="M666" s="3"/>
      <c r="Q666" s="70"/>
      <c r="AC666" s="52"/>
      <c r="AL666" s="52"/>
    </row>
    <row r="667" spans="1:38" s="2" customFormat="1" ht="14.1" customHeight="1" x14ac:dyDescent="0.2">
      <c r="A667" s="66"/>
      <c r="B667" s="3"/>
      <c r="C667" s="52"/>
      <c r="D667" s="70"/>
      <c r="E667" s="66"/>
      <c r="F667" s="70"/>
      <c r="J667" s="70"/>
      <c r="K667" s="3"/>
      <c r="L667" s="3"/>
      <c r="M667" s="3"/>
      <c r="Q667" s="70"/>
      <c r="AC667" s="52"/>
      <c r="AL667" s="52"/>
    </row>
    <row r="668" spans="1:38" s="2" customFormat="1" ht="14.1" customHeight="1" x14ac:dyDescent="0.2">
      <c r="A668" s="66"/>
      <c r="B668" s="3"/>
      <c r="C668" s="52"/>
      <c r="D668" s="70"/>
      <c r="E668" s="66"/>
      <c r="F668" s="70"/>
      <c r="J668" s="70"/>
      <c r="K668" s="3"/>
      <c r="L668" s="3"/>
      <c r="M668" s="3"/>
      <c r="Q668" s="70"/>
      <c r="AC668" s="52"/>
      <c r="AL668" s="52"/>
    </row>
    <row r="669" spans="1:38" s="2" customFormat="1" ht="14.1" customHeight="1" x14ac:dyDescent="0.2">
      <c r="A669" s="66"/>
      <c r="B669" s="3"/>
      <c r="C669" s="52"/>
      <c r="D669" s="70"/>
      <c r="E669" s="66"/>
      <c r="F669" s="70"/>
      <c r="J669" s="70"/>
      <c r="K669" s="3"/>
      <c r="L669" s="3"/>
      <c r="M669" s="3"/>
      <c r="Q669" s="70"/>
      <c r="AC669" s="52"/>
      <c r="AL669" s="52"/>
    </row>
    <row r="670" spans="1:38" s="2" customFormat="1" ht="14.1" customHeight="1" x14ac:dyDescent="0.2">
      <c r="A670" s="66"/>
      <c r="B670" s="3"/>
      <c r="C670" s="52"/>
      <c r="D670" s="70"/>
      <c r="E670" s="66"/>
      <c r="F670" s="70"/>
      <c r="J670" s="70"/>
      <c r="K670" s="3"/>
      <c r="L670" s="3"/>
      <c r="M670" s="3"/>
      <c r="Q670" s="70"/>
      <c r="AC670" s="52"/>
      <c r="AL670" s="52"/>
    </row>
    <row r="671" spans="1:38" s="2" customFormat="1" ht="14.1" customHeight="1" x14ac:dyDescent="0.2">
      <c r="A671" s="66"/>
      <c r="B671" s="3"/>
      <c r="C671" s="52"/>
      <c r="D671" s="70"/>
      <c r="E671" s="66"/>
      <c r="F671" s="70"/>
      <c r="J671" s="70"/>
      <c r="K671" s="3"/>
      <c r="L671" s="3"/>
      <c r="M671" s="3"/>
      <c r="Q671" s="70"/>
      <c r="AC671" s="52"/>
      <c r="AL671" s="52"/>
    </row>
    <row r="672" spans="1:38" s="2" customFormat="1" ht="14.1" customHeight="1" x14ac:dyDescent="0.2">
      <c r="A672" s="66"/>
      <c r="B672" s="3"/>
      <c r="C672" s="52"/>
      <c r="D672" s="70"/>
      <c r="E672" s="66"/>
      <c r="F672" s="70"/>
      <c r="J672" s="70"/>
      <c r="K672" s="3"/>
      <c r="L672" s="3"/>
      <c r="M672" s="3"/>
      <c r="Q672" s="70"/>
      <c r="AC672" s="52"/>
      <c r="AL672" s="52"/>
    </row>
    <row r="673" spans="1:38" s="2" customFormat="1" ht="14.1" customHeight="1" x14ac:dyDescent="0.2">
      <c r="A673" s="66"/>
      <c r="B673" s="3"/>
      <c r="C673" s="52"/>
      <c r="D673" s="70"/>
      <c r="E673" s="66"/>
      <c r="F673" s="70"/>
      <c r="J673" s="70"/>
      <c r="K673" s="3"/>
      <c r="L673" s="3"/>
      <c r="M673" s="3"/>
      <c r="Q673" s="70"/>
      <c r="AC673" s="52"/>
      <c r="AL673" s="52"/>
    </row>
    <row r="674" spans="1:38" s="2" customFormat="1" ht="14.1" customHeight="1" x14ac:dyDescent="0.2">
      <c r="A674" s="66"/>
      <c r="B674" s="3"/>
      <c r="C674" s="52"/>
      <c r="D674" s="70"/>
      <c r="E674" s="66"/>
      <c r="F674" s="70"/>
      <c r="J674" s="70"/>
      <c r="K674" s="3"/>
      <c r="L674" s="3"/>
      <c r="M674" s="3"/>
      <c r="Q674" s="70"/>
      <c r="AC674" s="52"/>
      <c r="AL674" s="52"/>
    </row>
    <row r="675" spans="1:38" s="2" customFormat="1" ht="14.1" customHeight="1" x14ac:dyDescent="0.2">
      <c r="A675" s="66"/>
      <c r="B675" s="3"/>
      <c r="C675" s="52"/>
      <c r="D675" s="70"/>
      <c r="E675" s="66"/>
      <c r="F675" s="70"/>
      <c r="J675" s="70"/>
      <c r="K675" s="3"/>
      <c r="L675" s="3"/>
      <c r="M675" s="3"/>
      <c r="Q675" s="70"/>
      <c r="AC675" s="52"/>
      <c r="AL675" s="52"/>
    </row>
    <row r="676" spans="1:38" s="2" customFormat="1" ht="14.1" customHeight="1" x14ac:dyDescent="0.2">
      <c r="A676" s="66"/>
      <c r="B676" s="3"/>
      <c r="C676" s="52"/>
      <c r="D676" s="70"/>
      <c r="E676" s="66"/>
      <c r="F676" s="70"/>
      <c r="J676" s="70"/>
      <c r="K676" s="3"/>
      <c r="L676" s="3"/>
      <c r="M676" s="3"/>
      <c r="Q676" s="70"/>
      <c r="AC676" s="52"/>
      <c r="AL676" s="52"/>
    </row>
    <row r="677" spans="1:38" s="2" customFormat="1" ht="14.1" customHeight="1" x14ac:dyDescent="0.2">
      <c r="A677" s="66"/>
      <c r="B677" s="3"/>
      <c r="C677" s="52"/>
      <c r="D677" s="70"/>
      <c r="E677" s="66"/>
      <c r="F677" s="70"/>
      <c r="J677" s="70"/>
      <c r="K677" s="3"/>
      <c r="L677" s="3"/>
      <c r="M677" s="3"/>
      <c r="Q677" s="70"/>
      <c r="AC677" s="52"/>
      <c r="AL677" s="52"/>
    </row>
    <row r="678" spans="1:38" s="2" customFormat="1" ht="14.1" customHeight="1" x14ac:dyDescent="0.2">
      <c r="A678" s="66"/>
      <c r="B678" s="3"/>
      <c r="C678" s="52"/>
      <c r="D678" s="70"/>
      <c r="E678" s="66"/>
      <c r="F678" s="70"/>
      <c r="J678" s="70"/>
      <c r="K678" s="3"/>
      <c r="L678" s="3"/>
      <c r="M678" s="3"/>
      <c r="Q678" s="70"/>
      <c r="AC678" s="52"/>
      <c r="AL678" s="52"/>
    </row>
    <row r="679" spans="1:38" s="2" customFormat="1" ht="14.1" customHeight="1" x14ac:dyDescent="0.2">
      <c r="A679" s="66"/>
      <c r="B679" s="3"/>
      <c r="C679" s="52"/>
      <c r="D679" s="70"/>
      <c r="E679" s="66"/>
      <c r="F679" s="70"/>
      <c r="J679" s="70"/>
      <c r="K679" s="3"/>
      <c r="L679" s="3"/>
      <c r="M679" s="3"/>
      <c r="Q679" s="70"/>
      <c r="AC679" s="52"/>
      <c r="AL679" s="52"/>
    </row>
    <row r="680" spans="1:38" s="2" customFormat="1" ht="14.1" customHeight="1" x14ac:dyDescent="0.2">
      <c r="A680" s="66"/>
      <c r="B680" s="3"/>
      <c r="C680" s="52"/>
      <c r="D680" s="70"/>
      <c r="E680" s="66"/>
      <c r="F680" s="70"/>
      <c r="J680" s="70"/>
      <c r="K680" s="3"/>
      <c r="L680" s="3"/>
      <c r="M680" s="3"/>
      <c r="Q680" s="70"/>
      <c r="AC680" s="52"/>
      <c r="AL680" s="52"/>
    </row>
    <row r="681" spans="1:38" s="2" customFormat="1" ht="14.1" customHeight="1" x14ac:dyDescent="0.2">
      <c r="A681" s="66"/>
      <c r="B681" s="3"/>
      <c r="C681" s="52"/>
      <c r="D681" s="70"/>
      <c r="E681" s="66"/>
      <c r="F681" s="70"/>
      <c r="J681" s="70"/>
      <c r="K681" s="3"/>
      <c r="L681" s="3"/>
      <c r="M681" s="3"/>
      <c r="Q681" s="70"/>
      <c r="AC681" s="52"/>
      <c r="AL681" s="52"/>
    </row>
    <row r="682" spans="1:38" s="2" customFormat="1" ht="14.1" customHeight="1" x14ac:dyDescent="0.2">
      <c r="A682" s="66"/>
      <c r="B682" s="3"/>
      <c r="C682" s="52"/>
      <c r="D682" s="70"/>
      <c r="E682" s="66"/>
      <c r="F682" s="70"/>
      <c r="J682" s="70"/>
      <c r="K682" s="3"/>
      <c r="L682" s="3"/>
      <c r="M682" s="3"/>
      <c r="Q682" s="70"/>
      <c r="AC682" s="52"/>
      <c r="AL682" s="52"/>
    </row>
    <row r="683" spans="1:38" s="2" customFormat="1" ht="14.1" customHeight="1" x14ac:dyDescent="0.2">
      <c r="A683" s="66"/>
      <c r="B683" s="3"/>
      <c r="C683" s="52"/>
      <c r="D683" s="70"/>
      <c r="E683" s="66"/>
      <c r="F683" s="70"/>
      <c r="J683" s="70"/>
      <c r="K683" s="3"/>
      <c r="L683" s="3"/>
      <c r="M683" s="3"/>
      <c r="Q683" s="70"/>
      <c r="AC683" s="52"/>
      <c r="AL683" s="52"/>
    </row>
    <row r="684" spans="1:38" s="2" customFormat="1" ht="14.1" customHeight="1" x14ac:dyDescent="0.2">
      <c r="A684" s="66"/>
      <c r="B684" s="3"/>
      <c r="C684" s="52"/>
      <c r="D684" s="70"/>
      <c r="E684" s="66"/>
      <c r="F684" s="70"/>
      <c r="J684" s="70"/>
      <c r="K684" s="3"/>
      <c r="L684" s="3"/>
      <c r="M684" s="3"/>
      <c r="Q684" s="70"/>
      <c r="AC684" s="52"/>
      <c r="AL684" s="52"/>
    </row>
    <row r="685" spans="1:38" s="2" customFormat="1" ht="14.1" customHeight="1" x14ac:dyDescent="0.2">
      <c r="A685" s="66"/>
      <c r="B685" s="3"/>
      <c r="C685" s="52"/>
      <c r="D685" s="70"/>
      <c r="E685" s="66"/>
      <c r="F685" s="70"/>
      <c r="J685" s="70"/>
      <c r="K685" s="3"/>
      <c r="L685" s="3"/>
      <c r="M685" s="3"/>
      <c r="Q685" s="70"/>
      <c r="AC685" s="52"/>
      <c r="AL685" s="52"/>
    </row>
    <row r="686" spans="1:38" s="2" customFormat="1" ht="14.1" customHeight="1" x14ac:dyDescent="0.2">
      <c r="A686" s="66"/>
      <c r="B686" s="3"/>
      <c r="C686" s="52"/>
      <c r="D686" s="70"/>
      <c r="E686" s="66"/>
      <c r="F686" s="70"/>
      <c r="J686" s="70"/>
      <c r="K686" s="3"/>
      <c r="L686" s="3"/>
      <c r="M686" s="3"/>
      <c r="Q686" s="70"/>
      <c r="AC686" s="52"/>
      <c r="AL686" s="52"/>
    </row>
    <row r="687" spans="1:38" s="2" customFormat="1" ht="14.1" customHeight="1" x14ac:dyDescent="0.2">
      <c r="A687" s="66"/>
      <c r="B687" s="3"/>
      <c r="C687" s="52"/>
      <c r="D687" s="70"/>
      <c r="E687" s="66"/>
      <c r="F687" s="70"/>
      <c r="J687" s="70"/>
      <c r="K687" s="3"/>
      <c r="L687" s="3"/>
      <c r="M687" s="3"/>
      <c r="Q687" s="70"/>
      <c r="AC687" s="52"/>
      <c r="AL687" s="52"/>
    </row>
    <row r="688" spans="1:38" s="2" customFormat="1" ht="14.1" customHeight="1" x14ac:dyDescent="0.2">
      <c r="A688" s="66"/>
      <c r="B688" s="3"/>
      <c r="C688" s="52"/>
      <c r="D688" s="70"/>
      <c r="E688" s="66"/>
      <c r="F688" s="70"/>
      <c r="J688" s="70"/>
      <c r="K688" s="3"/>
      <c r="L688" s="3"/>
      <c r="M688" s="3"/>
      <c r="Q688" s="70"/>
      <c r="AC688" s="52"/>
      <c r="AL688" s="52"/>
    </row>
    <row r="689" spans="1:38" s="2" customFormat="1" ht="14.1" customHeight="1" x14ac:dyDescent="0.2">
      <c r="A689" s="66"/>
      <c r="B689" s="3"/>
      <c r="C689" s="52"/>
      <c r="D689" s="70"/>
      <c r="E689" s="66"/>
      <c r="F689" s="70"/>
      <c r="J689" s="70"/>
      <c r="K689" s="3"/>
      <c r="L689" s="3"/>
      <c r="M689" s="3"/>
      <c r="Q689" s="70"/>
      <c r="AC689" s="52"/>
      <c r="AL689" s="52"/>
    </row>
    <row r="690" spans="1:38" s="2" customFormat="1" ht="14.1" customHeight="1" x14ac:dyDescent="0.2">
      <c r="A690" s="66"/>
      <c r="B690" s="3"/>
      <c r="C690" s="52"/>
      <c r="D690" s="70"/>
      <c r="E690" s="66"/>
      <c r="F690" s="70"/>
      <c r="J690" s="70"/>
      <c r="K690" s="3"/>
      <c r="L690" s="3"/>
      <c r="M690" s="3"/>
      <c r="Q690" s="70"/>
      <c r="AC690" s="52"/>
      <c r="AL690" s="52"/>
    </row>
    <row r="691" spans="1:38" s="2" customFormat="1" ht="14.1" customHeight="1" x14ac:dyDescent="0.2">
      <c r="A691" s="66"/>
      <c r="B691" s="3"/>
      <c r="C691" s="52"/>
      <c r="D691" s="70"/>
      <c r="E691" s="66"/>
      <c r="F691" s="70"/>
      <c r="J691" s="70"/>
      <c r="K691" s="3"/>
      <c r="L691" s="3"/>
      <c r="M691" s="3"/>
      <c r="Q691" s="70"/>
      <c r="AC691" s="52"/>
      <c r="AL691" s="52"/>
    </row>
    <row r="692" spans="1:38" s="2" customFormat="1" ht="14.1" customHeight="1" x14ac:dyDescent="0.2">
      <c r="A692" s="66"/>
      <c r="B692" s="3"/>
      <c r="C692" s="52"/>
      <c r="D692" s="70"/>
      <c r="E692" s="66"/>
      <c r="F692" s="70"/>
      <c r="J692" s="70"/>
      <c r="K692" s="3"/>
      <c r="L692" s="3"/>
      <c r="M692" s="3"/>
      <c r="Q692" s="70"/>
      <c r="AC692" s="52"/>
      <c r="AL692" s="52"/>
    </row>
    <row r="693" spans="1:38" s="2" customFormat="1" ht="14.1" customHeight="1" x14ac:dyDescent="0.2">
      <c r="A693" s="66"/>
      <c r="B693" s="3"/>
      <c r="C693" s="52"/>
      <c r="D693" s="70"/>
      <c r="E693" s="66"/>
      <c r="F693" s="70"/>
      <c r="J693" s="70"/>
      <c r="K693" s="3"/>
      <c r="L693" s="3"/>
      <c r="M693" s="3"/>
      <c r="Q693" s="70"/>
      <c r="AC693" s="52"/>
      <c r="AL693" s="52"/>
    </row>
    <row r="694" spans="1:38" s="2" customFormat="1" ht="14.1" customHeight="1" x14ac:dyDescent="0.2">
      <c r="A694" s="66"/>
      <c r="B694" s="3"/>
      <c r="C694" s="52"/>
      <c r="D694" s="70"/>
      <c r="E694" s="66"/>
      <c r="F694" s="70"/>
      <c r="J694" s="70"/>
      <c r="K694" s="3"/>
      <c r="L694" s="3"/>
      <c r="M694" s="3"/>
      <c r="Q694" s="70"/>
      <c r="AC694" s="52"/>
      <c r="AL694" s="52"/>
    </row>
    <row r="695" spans="1:38" s="2" customFormat="1" ht="14.1" customHeight="1" x14ac:dyDescent="0.2">
      <c r="A695" s="66"/>
      <c r="B695" s="3"/>
      <c r="C695" s="52"/>
      <c r="D695" s="70"/>
      <c r="E695" s="66"/>
      <c r="F695" s="70"/>
      <c r="J695" s="70"/>
      <c r="K695" s="3"/>
      <c r="L695" s="3"/>
      <c r="M695" s="3"/>
      <c r="Q695" s="70"/>
      <c r="AC695" s="52"/>
      <c r="AL695" s="52"/>
    </row>
    <row r="696" spans="1:38" s="2" customFormat="1" ht="14.1" customHeight="1" x14ac:dyDescent="0.2">
      <c r="A696" s="66"/>
      <c r="B696" s="3"/>
      <c r="C696" s="52"/>
      <c r="D696" s="70"/>
      <c r="E696" s="66"/>
      <c r="F696" s="70"/>
      <c r="J696" s="70"/>
      <c r="K696" s="3"/>
      <c r="L696" s="3"/>
      <c r="M696" s="3"/>
      <c r="Q696" s="70"/>
      <c r="AC696" s="52"/>
      <c r="AL696" s="52"/>
    </row>
    <row r="697" spans="1:38" s="2" customFormat="1" ht="14.1" customHeight="1" x14ac:dyDescent="0.2">
      <c r="A697" s="66"/>
      <c r="B697" s="3"/>
      <c r="C697" s="52"/>
      <c r="D697" s="70"/>
      <c r="E697" s="66"/>
      <c r="F697" s="70"/>
      <c r="J697" s="70"/>
      <c r="K697" s="3"/>
      <c r="L697" s="3"/>
      <c r="M697" s="3"/>
      <c r="Q697" s="70"/>
      <c r="AC697" s="52"/>
      <c r="AL697" s="52"/>
    </row>
    <row r="698" spans="1:38" s="2" customFormat="1" ht="14.1" customHeight="1" x14ac:dyDescent="0.2">
      <c r="A698" s="66"/>
      <c r="B698" s="3"/>
      <c r="C698" s="52"/>
      <c r="D698" s="70"/>
      <c r="E698" s="66"/>
      <c r="F698" s="70"/>
      <c r="J698" s="70"/>
      <c r="K698" s="3"/>
      <c r="L698" s="3"/>
      <c r="M698" s="3"/>
      <c r="Q698" s="70"/>
      <c r="AC698" s="52"/>
      <c r="AL698" s="52"/>
    </row>
    <row r="699" spans="1:38" s="2" customFormat="1" ht="14.1" customHeight="1" x14ac:dyDescent="0.2">
      <c r="A699" s="66"/>
      <c r="B699" s="3"/>
      <c r="C699" s="52"/>
      <c r="D699" s="70"/>
      <c r="E699" s="66"/>
      <c r="F699" s="70"/>
      <c r="J699" s="70"/>
      <c r="K699" s="3"/>
      <c r="L699" s="3"/>
      <c r="M699" s="3"/>
      <c r="Q699" s="70"/>
      <c r="AC699" s="52"/>
      <c r="AL699" s="52"/>
    </row>
    <row r="700" spans="1:38" s="2" customFormat="1" ht="14.1" customHeight="1" x14ac:dyDescent="0.2">
      <c r="A700" s="66"/>
      <c r="B700" s="3"/>
      <c r="C700" s="52"/>
      <c r="D700" s="70"/>
      <c r="E700" s="66"/>
      <c r="F700" s="70"/>
      <c r="J700" s="70"/>
      <c r="K700" s="3"/>
      <c r="L700" s="3"/>
      <c r="M700" s="3"/>
      <c r="Q700" s="70"/>
      <c r="AC700" s="52"/>
      <c r="AL700" s="52"/>
    </row>
    <row r="701" spans="1:38" s="2" customFormat="1" ht="14.1" customHeight="1" x14ac:dyDescent="0.2">
      <c r="A701" s="66"/>
      <c r="B701" s="3"/>
      <c r="C701" s="52"/>
      <c r="D701" s="70"/>
      <c r="E701" s="66"/>
      <c r="F701" s="70"/>
      <c r="J701" s="70"/>
      <c r="K701" s="3"/>
      <c r="L701" s="3"/>
      <c r="M701" s="3"/>
      <c r="Q701" s="70"/>
      <c r="AC701" s="52"/>
      <c r="AL701" s="52"/>
    </row>
    <row r="702" spans="1:38" s="2" customFormat="1" ht="14.1" customHeight="1" x14ac:dyDescent="0.2">
      <c r="A702" s="66"/>
      <c r="B702" s="3"/>
      <c r="C702" s="52"/>
      <c r="D702" s="70"/>
      <c r="E702" s="66"/>
      <c r="F702" s="70"/>
      <c r="J702" s="70"/>
      <c r="K702" s="3"/>
      <c r="L702" s="3"/>
      <c r="M702" s="3"/>
      <c r="Q702" s="70"/>
      <c r="AC702" s="52"/>
      <c r="AL702" s="52"/>
    </row>
    <row r="703" spans="1:38" s="2" customFormat="1" ht="14.1" customHeight="1" x14ac:dyDescent="0.2">
      <c r="A703" s="66"/>
      <c r="B703" s="3"/>
      <c r="C703" s="52"/>
      <c r="D703" s="70"/>
      <c r="E703" s="66"/>
      <c r="F703" s="70"/>
      <c r="J703" s="70"/>
      <c r="K703" s="3"/>
      <c r="L703" s="3"/>
      <c r="M703" s="3"/>
      <c r="Q703" s="70"/>
      <c r="AC703" s="52"/>
      <c r="AL703" s="52"/>
    </row>
    <row r="704" spans="1:38" s="2" customFormat="1" ht="14.1" customHeight="1" x14ac:dyDescent="0.2">
      <c r="A704" s="66"/>
      <c r="B704" s="3"/>
      <c r="C704" s="52"/>
      <c r="D704" s="70"/>
      <c r="E704" s="66"/>
      <c r="F704" s="70"/>
      <c r="J704" s="70"/>
      <c r="K704" s="3"/>
      <c r="L704" s="3"/>
      <c r="M704" s="3"/>
      <c r="Q704" s="70"/>
      <c r="AC704" s="52"/>
      <c r="AL704" s="52"/>
    </row>
    <row r="705" spans="1:38" s="2" customFormat="1" ht="14.1" customHeight="1" x14ac:dyDescent="0.2">
      <c r="A705" s="66"/>
      <c r="B705" s="3"/>
      <c r="C705" s="52"/>
      <c r="D705" s="70"/>
      <c r="E705" s="66"/>
      <c r="F705" s="70"/>
      <c r="J705" s="70"/>
      <c r="K705" s="3"/>
      <c r="L705" s="3"/>
      <c r="M705" s="3"/>
      <c r="Q705" s="70"/>
      <c r="AC705" s="52"/>
      <c r="AL705" s="52"/>
    </row>
    <row r="706" spans="1:38" s="2" customFormat="1" ht="14.1" customHeight="1" x14ac:dyDescent="0.2">
      <c r="A706" s="66"/>
      <c r="B706" s="3"/>
      <c r="C706" s="52"/>
      <c r="D706" s="70"/>
      <c r="E706" s="66"/>
      <c r="F706" s="70"/>
      <c r="J706" s="70"/>
      <c r="K706" s="3"/>
      <c r="L706" s="3"/>
      <c r="M706" s="3"/>
      <c r="Q706" s="70"/>
      <c r="AC706" s="52"/>
      <c r="AL706" s="52"/>
    </row>
    <row r="707" spans="1:38" s="2" customFormat="1" ht="14.1" customHeight="1" x14ac:dyDescent="0.2">
      <c r="A707" s="66"/>
      <c r="B707" s="3"/>
      <c r="C707" s="52"/>
      <c r="D707" s="70"/>
      <c r="E707" s="66"/>
      <c r="F707" s="70"/>
      <c r="J707" s="70"/>
      <c r="K707" s="3"/>
      <c r="L707" s="3"/>
      <c r="M707" s="3"/>
      <c r="Q707" s="70"/>
      <c r="AC707" s="52"/>
      <c r="AL707" s="52"/>
    </row>
    <row r="708" spans="1:38" s="2" customFormat="1" ht="14.1" customHeight="1" x14ac:dyDescent="0.2">
      <c r="A708" s="66"/>
      <c r="B708" s="3"/>
      <c r="C708" s="52"/>
      <c r="D708" s="70"/>
      <c r="E708" s="66"/>
      <c r="F708" s="70"/>
      <c r="J708" s="70"/>
      <c r="K708" s="3"/>
      <c r="L708" s="3"/>
      <c r="M708" s="3"/>
      <c r="Q708" s="70"/>
      <c r="AC708" s="52"/>
      <c r="AL708" s="52"/>
    </row>
    <row r="709" spans="1:38" s="2" customFormat="1" ht="14.1" customHeight="1" x14ac:dyDescent="0.2">
      <c r="A709" s="66"/>
      <c r="B709" s="3"/>
      <c r="C709" s="52"/>
      <c r="D709" s="70"/>
      <c r="E709" s="66"/>
      <c r="F709" s="70"/>
      <c r="J709" s="70"/>
      <c r="K709" s="3"/>
      <c r="L709" s="3"/>
      <c r="M709" s="3"/>
      <c r="Q709" s="70"/>
      <c r="AC709" s="52"/>
      <c r="AL709" s="52"/>
    </row>
    <row r="710" spans="1:38" s="2" customFormat="1" ht="14.1" customHeight="1" x14ac:dyDescent="0.2">
      <c r="A710" s="66"/>
      <c r="B710" s="3"/>
      <c r="C710" s="52"/>
      <c r="D710" s="70"/>
      <c r="E710" s="66"/>
      <c r="F710" s="70"/>
      <c r="J710" s="70"/>
      <c r="K710" s="3"/>
      <c r="L710" s="3"/>
      <c r="M710" s="3"/>
      <c r="Q710" s="70"/>
      <c r="AC710" s="52"/>
      <c r="AL710" s="52"/>
    </row>
    <row r="711" spans="1:38" s="2" customFormat="1" ht="14.1" customHeight="1" x14ac:dyDescent="0.2">
      <c r="A711" s="66"/>
      <c r="B711" s="3"/>
      <c r="C711" s="52"/>
      <c r="D711" s="70"/>
      <c r="E711" s="66"/>
      <c r="F711" s="70"/>
      <c r="J711" s="70"/>
      <c r="K711" s="3"/>
      <c r="L711" s="3"/>
      <c r="M711" s="3"/>
      <c r="Q711" s="70"/>
      <c r="AC711" s="52"/>
      <c r="AL711" s="52"/>
    </row>
    <row r="712" spans="1:38" s="2" customFormat="1" ht="14.1" customHeight="1" x14ac:dyDescent="0.2">
      <c r="A712" s="66"/>
      <c r="B712" s="3"/>
      <c r="C712" s="52"/>
      <c r="D712" s="70"/>
      <c r="E712" s="66"/>
      <c r="F712" s="70"/>
      <c r="J712" s="70"/>
      <c r="K712" s="3"/>
      <c r="L712" s="3"/>
      <c r="M712" s="3"/>
      <c r="Q712" s="70"/>
      <c r="AC712" s="52"/>
      <c r="AL712" s="52"/>
    </row>
    <row r="713" spans="1:38" s="2" customFormat="1" ht="14.1" customHeight="1" x14ac:dyDescent="0.2">
      <c r="A713" s="66"/>
      <c r="B713" s="3"/>
      <c r="C713" s="52"/>
      <c r="D713" s="70"/>
      <c r="E713" s="66"/>
      <c r="F713" s="70"/>
      <c r="J713" s="70"/>
      <c r="K713" s="3"/>
      <c r="L713" s="3"/>
      <c r="M713" s="3"/>
      <c r="Q713" s="70"/>
      <c r="AC713" s="52"/>
      <c r="AL713" s="52"/>
    </row>
    <row r="714" spans="1:38" s="2" customFormat="1" ht="14.1" customHeight="1" x14ac:dyDescent="0.2">
      <c r="A714" s="66"/>
      <c r="B714" s="3"/>
      <c r="C714" s="52"/>
      <c r="D714" s="70"/>
      <c r="E714" s="66"/>
      <c r="F714" s="70"/>
      <c r="J714" s="70"/>
      <c r="K714" s="3"/>
      <c r="L714" s="3"/>
      <c r="M714" s="3"/>
      <c r="Q714" s="70"/>
      <c r="AC714" s="52"/>
      <c r="AL714" s="52"/>
    </row>
    <row r="715" spans="1:38" s="2" customFormat="1" ht="14.1" customHeight="1" x14ac:dyDescent="0.2">
      <c r="A715" s="66"/>
      <c r="B715" s="3"/>
      <c r="C715" s="52"/>
      <c r="D715" s="70"/>
      <c r="E715" s="66"/>
      <c r="F715" s="70"/>
      <c r="J715" s="70"/>
      <c r="K715" s="3"/>
      <c r="L715" s="3"/>
      <c r="M715" s="3"/>
      <c r="Q715" s="70"/>
      <c r="AC715" s="52"/>
      <c r="AL715" s="52"/>
    </row>
    <row r="716" spans="1:38" s="2" customFormat="1" ht="14.1" customHeight="1" x14ac:dyDescent="0.2">
      <c r="A716" s="66"/>
      <c r="B716" s="3"/>
      <c r="C716" s="52"/>
      <c r="D716" s="70"/>
      <c r="E716" s="66"/>
      <c r="F716" s="70"/>
      <c r="J716" s="70"/>
      <c r="K716" s="3"/>
      <c r="L716" s="3"/>
      <c r="M716" s="3"/>
      <c r="Q716" s="70"/>
      <c r="AC716" s="52"/>
      <c r="AL716" s="52"/>
    </row>
    <row r="717" spans="1:38" s="2" customFormat="1" ht="14.1" customHeight="1" x14ac:dyDescent="0.2">
      <c r="A717" s="66"/>
      <c r="B717" s="3"/>
      <c r="C717" s="52"/>
      <c r="D717" s="70"/>
      <c r="E717" s="66"/>
      <c r="F717" s="70"/>
      <c r="J717" s="70"/>
      <c r="K717" s="3"/>
      <c r="L717" s="3"/>
      <c r="M717" s="3"/>
      <c r="Q717" s="70"/>
      <c r="AC717" s="52"/>
      <c r="AL717" s="52"/>
    </row>
    <row r="718" spans="1:38" s="2" customFormat="1" ht="14.1" customHeight="1" x14ac:dyDescent="0.2">
      <c r="A718" s="66"/>
      <c r="B718" s="3"/>
      <c r="C718" s="52"/>
      <c r="D718" s="70"/>
      <c r="E718" s="66"/>
      <c r="F718" s="70"/>
      <c r="J718" s="70"/>
      <c r="K718" s="3"/>
      <c r="L718" s="3"/>
      <c r="M718" s="3"/>
      <c r="Q718" s="70"/>
      <c r="AC718" s="52"/>
      <c r="AL718" s="52"/>
    </row>
    <row r="719" spans="1:38" s="2" customFormat="1" ht="14.1" customHeight="1" x14ac:dyDescent="0.2">
      <c r="A719" s="66"/>
      <c r="B719" s="3"/>
      <c r="C719" s="52"/>
      <c r="D719" s="70"/>
      <c r="E719" s="66"/>
      <c r="F719" s="70"/>
      <c r="J719" s="70"/>
      <c r="K719" s="3"/>
      <c r="L719" s="3"/>
      <c r="M719" s="3"/>
      <c r="Q719" s="70"/>
      <c r="AC719" s="52"/>
      <c r="AL719" s="52"/>
    </row>
    <row r="720" spans="1:38" s="2" customFormat="1" ht="14.1" customHeight="1" x14ac:dyDescent="0.2">
      <c r="A720" s="66"/>
      <c r="B720" s="3"/>
      <c r="C720" s="52"/>
      <c r="D720" s="70"/>
      <c r="E720" s="66"/>
      <c r="F720" s="70"/>
      <c r="J720" s="70"/>
      <c r="K720" s="3"/>
      <c r="L720" s="3"/>
      <c r="M720" s="3"/>
      <c r="Q720" s="70"/>
      <c r="AC720" s="52"/>
      <c r="AL720" s="52"/>
    </row>
    <row r="721" spans="1:38" s="2" customFormat="1" ht="14.1" customHeight="1" x14ac:dyDescent="0.2">
      <c r="A721" s="66"/>
      <c r="B721" s="3"/>
      <c r="C721" s="52"/>
      <c r="D721" s="70"/>
      <c r="E721" s="66"/>
      <c r="F721" s="70"/>
      <c r="J721" s="70"/>
      <c r="K721" s="3"/>
      <c r="L721" s="3"/>
      <c r="M721" s="3"/>
      <c r="Q721" s="70"/>
      <c r="AC721" s="52"/>
      <c r="AL721" s="52"/>
    </row>
    <row r="722" spans="1:38" s="2" customFormat="1" ht="14.1" customHeight="1" x14ac:dyDescent="0.2">
      <c r="A722" s="66"/>
      <c r="B722" s="3"/>
      <c r="C722" s="52"/>
      <c r="D722" s="70"/>
      <c r="E722" s="66"/>
      <c r="F722" s="70"/>
      <c r="J722" s="70"/>
      <c r="K722" s="3"/>
      <c r="L722" s="3"/>
      <c r="M722" s="3"/>
      <c r="Q722" s="70"/>
      <c r="AC722" s="52"/>
      <c r="AL722" s="52"/>
    </row>
    <row r="723" spans="1:38" s="2" customFormat="1" ht="14.1" customHeight="1" x14ac:dyDescent="0.2">
      <c r="A723" s="66"/>
      <c r="B723" s="3"/>
      <c r="C723" s="52"/>
      <c r="D723" s="70"/>
      <c r="E723" s="66"/>
      <c r="F723" s="70"/>
      <c r="J723" s="70"/>
      <c r="K723" s="3"/>
      <c r="L723" s="3"/>
      <c r="M723" s="3"/>
      <c r="Q723" s="70"/>
      <c r="AC723" s="52"/>
      <c r="AL723" s="52"/>
    </row>
    <row r="724" spans="1:38" s="2" customFormat="1" ht="14.1" customHeight="1" x14ac:dyDescent="0.2">
      <c r="A724" s="66"/>
      <c r="B724" s="3"/>
      <c r="C724" s="52"/>
      <c r="D724" s="70"/>
      <c r="E724" s="66"/>
      <c r="F724" s="70"/>
      <c r="J724" s="70"/>
      <c r="K724" s="3"/>
      <c r="L724" s="3"/>
      <c r="M724" s="3"/>
      <c r="Q724" s="70"/>
      <c r="AC724" s="52"/>
      <c r="AL724" s="52"/>
    </row>
    <row r="725" spans="1:38" s="2" customFormat="1" ht="14.1" customHeight="1" x14ac:dyDescent="0.2">
      <c r="A725" s="66"/>
      <c r="B725" s="3"/>
      <c r="C725" s="52"/>
      <c r="D725" s="70"/>
      <c r="E725" s="66"/>
      <c r="F725" s="70"/>
      <c r="J725" s="70"/>
      <c r="K725" s="3"/>
      <c r="L725" s="3"/>
      <c r="M725" s="3"/>
      <c r="Q725" s="70"/>
      <c r="AC725" s="52"/>
      <c r="AL725" s="52"/>
    </row>
    <row r="726" spans="1:38" s="2" customFormat="1" ht="14.1" customHeight="1" x14ac:dyDescent="0.2">
      <c r="A726" s="66"/>
      <c r="B726" s="3"/>
      <c r="C726" s="52"/>
      <c r="D726" s="70"/>
      <c r="E726" s="66"/>
      <c r="F726" s="70"/>
      <c r="J726" s="70"/>
      <c r="K726" s="3"/>
      <c r="L726" s="3"/>
      <c r="M726" s="3"/>
      <c r="Q726" s="70"/>
      <c r="AC726" s="52"/>
      <c r="AL726" s="52"/>
    </row>
    <row r="727" spans="1:38" s="2" customFormat="1" ht="14.1" customHeight="1" x14ac:dyDescent="0.2">
      <c r="A727" s="66"/>
      <c r="B727" s="3"/>
      <c r="C727" s="52"/>
      <c r="D727" s="70"/>
      <c r="E727" s="66"/>
      <c r="F727" s="70"/>
      <c r="J727" s="70"/>
      <c r="K727" s="3"/>
      <c r="L727" s="3"/>
      <c r="M727" s="3"/>
      <c r="Q727" s="70"/>
      <c r="AC727" s="52"/>
      <c r="AL727" s="52"/>
    </row>
    <row r="728" spans="1:38" s="2" customFormat="1" ht="14.1" customHeight="1" x14ac:dyDescent="0.2">
      <c r="A728" s="66"/>
      <c r="B728" s="3"/>
      <c r="C728" s="52"/>
      <c r="D728" s="70"/>
      <c r="E728" s="66"/>
      <c r="F728" s="70"/>
      <c r="J728" s="70"/>
      <c r="K728" s="3"/>
      <c r="L728" s="3"/>
      <c r="M728" s="3"/>
      <c r="Q728" s="70"/>
      <c r="AC728" s="52"/>
      <c r="AL728" s="52"/>
    </row>
    <row r="729" spans="1:38" s="2" customFormat="1" ht="14.1" customHeight="1" x14ac:dyDescent="0.2">
      <c r="A729" s="66"/>
      <c r="B729" s="3"/>
      <c r="C729" s="52"/>
      <c r="D729" s="70"/>
      <c r="E729" s="66"/>
      <c r="F729" s="70"/>
      <c r="J729" s="70"/>
      <c r="K729" s="3"/>
      <c r="L729" s="3"/>
      <c r="M729" s="3"/>
      <c r="Q729" s="70"/>
      <c r="AC729" s="52"/>
      <c r="AL729" s="52"/>
    </row>
    <row r="730" spans="1:38" s="2" customFormat="1" ht="14.1" customHeight="1" x14ac:dyDescent="0.2">
      <c r="A730" s="66"/>
      <c r="B730" s="3"/>
      <c r="C730" s="52"/>
      <c r="D730" s="70"/>
      <c r="E730" s="66"/>
      <c r="F730" s="70"/>
      <c r="J730" s="70"/>
      <c r="K730" s="3"/>
      <c r="L730" s="3"/>
      <c r="M730" s="3"/>
      <c r="Q730" s="70"/>
      <c r="AC730" s="52"/>
      <c r="AL730" s="52"/>
    </row>
    <row r="731" spans="1:38" s="2" customFormat="1" ht="14.1" customHeight="1" x14ac:dyDescent="0.2">
      <c r="A731" s="66"/>
      <c r="B731" s="3"/>
      <c r="C731" s="52"/>
      <c r="D731" s="70"/>
      <c r="E731" s="66"/>
      <c r="F731" s="70"/>
      <c r="J731" s="70"/>
      <c r="K731" s="3"/>
      <c r="L731" s="3"/>
      <c r="M731" s="3"/>
      <c r="Q731" s="70"/>
      <c r="AC731" s="52"/>
      <c r="AL731" s="52"/>
    </row>
    <row r="732" spans="1:38" s="2" customFormat="1" ht="14.1" customHeight="1" x14ac:dyDescent="0.2">
      <c r="A732" s="66"/>
      <c r="B732" s="3"/>
      <c r="C732" s="52"/>
      <c r="D732" s="70"/>
      <c r="E732" s="66"/>
      <c r="F732" s="70"/>
      <c r="J732" s="70"/>
      <c r="K732" s="3"/>
      <c r="L732" s="3"/>
      <c r="M732" s="3"/>
      <c r="Q732" s="70"/>
      <c r="AC732" s="52"/>
      <c r="AL732" s="52"/>
    </row>
    <row r="733" spans="1:38" s="2" customFormat="1" ht="14.1" customHeight="1" x14ac:dyDescent="0.2">
      <c r="A733" s="66"/>
      <c r="B733" s="3"/>
      <c r="C733" s="52"/>
      <c r="D733" s="70"/>
      <c r="E733" s="66"/>
      <c r="F733" s="70"/>
      <c r="J733" s="70"/>
      <c r="K733" s="3"/>
      <c r="L733" s="3"/>
      <c r="M733" s="3"/>
      <c r="Q733" s="70"/>
      <c r="AC733" s="52"/>
      <c r="AL733" s="52"/>
    </row>
    <row r="734" spans="1:38" s="2" customFormat="1" ht="14.1" customHeight="1" x14ac:dyDescent="0.2">
      <c r="A734" s="66"/>
      <c r="B734" s="3"/>
      <c r="C734" s="52"/>
      <c r="D734" s="70"/>
      <c r="E734" s="66"/>
      <c r="F734" s="70"/>
      <c r="J734" s="70"/>
      <c r="K734" s="3"/>
      <c r="L734" s="3"/>
      <c r="M734" s="3"/>
      <c r="Q734" s="70"/>
      <c r="AC734" s="52"/>
      <c r="AL734" s="52"/>
    </row>
    <row r="735" spans="1:38" s="2" customFormat="1" ht="14.1" customHeight="1" x14ac:dyDescent="0.2">
      <c r="A735" s="66"/>
      <c r="B735" s="3"/>
      <c r="C735" s="52"/>
      <c r="D735" s="70"/>
      <c r="E735" s="66"/>
      <c r="F735" s="70"/>
      <c r="J735" s="70"/>
      <c r="K735" s="3"/>
      <c r="L735" s="3"/>
      <c r="M735" s="3"/>
      <c r="Q735" s="70"/>
      <c r="AC735" s="52"/>
      <c r="AL735" s="52"/>
    </row>
    <row r="736" spans="1:38" s="2" customFormat="1" ht="14.1" customHeight="1" x14ac:dyDescent="0.2">
      <c r="A736" s="66"/>
      <c r="B736" s="3"/>
      <c r="C736" s="52"/>
      <c r="D736" s="70"/>
      <c r="E736" s="66"/>
      <c r="F736" s="70"/>
      <c r="J736" s="70"/>
      <c r="K736" s="3"/>
      <c r="L736" s="3"/>
      <c r="M736" s="3"/>
      <c r="Q736" s="70"/>
      <c r="AC736" s="52"/>
      <c r="AL736" s="52"/>
    </row>
    <row r="737" spans="1:38" s="2" customFormat="1" ht="14.1" customHeight="1" x14ac:dyDescent="0.2">
      <c r="A737" s="66"/>
      <c r="B737" s="3"/>
      <c r="C737" s="52"/>
      <c r="D737" s="70"/>
      <c r="E737" s="66"/>
      <c r="F737" s="70"/>
      <c r="J737" s="70"/>
      <c r="K737" s="3"/>
      <c r="L737" s="3"/>
      <c r="M737" s="3"/>
      <c r="Q737" s="70"/>
      <c r="AC737" s="52"/>
      <c r="AL737" s="52"/>
    </row>
    <row r="738" spans="1:38" s="2" customFormat="1" ht="14.1" customHeight="1" x14ac:dyDescent="0.2">
      <c r="A738" s="66"/>
      <c r="B738" s="3"/>
      <c r="C738" s="52"/>
      <c r="D738" s="70"/>
      <c r="E738" s="66"/>
      <c r="F738" s="70"/>
      <c r="J738" s="70"/>
      <c r="K738" s="3"/>
      <c r="L738" s="3"/>
      <c r="M738" s="3"/>
      <c r="Q738" s="70"/>
      <c r="AC738" s="52"/>
      <c r="AL738" s="52"/>
    </row>
    <row r="739" spans="1:38" s="2" customFormat="1" ht="14.1" customHeight="1" x14ac:dyDescent="0.2">
      <c r="A739" s="66"/>
      <c r="B739" s="3"/>
      <c r="C739" s="52"/>
      <c r="D739" s="70"/>
      <c r="E739" s="66"/>
      <c r="F739" s="70"/>
      <c r="J739" s="70"/>
      <c r="K739" s="3"/>
      <c r="L739" s="3"/>
      <c r="M739" s="3"/>
      <c r="Q739" s="70"/>
      <c r="AC739" s="52"/>
      <c r="AL739" s="52"/>
    </row>
    <row r="740" spans="1:38" s="2" customFormat="1" ht="14.1" customHeight="1" x14ac:dyDescent="0.2">
      <c r="A740" s="66"/>
      <c r="B740" s="3"/>
      <c r="C740" s="52"/>
      <c r="D740" s="70"/>
      <c r="E740" s="66"/>
      <c r="F740" s="70"/>
      <c r="J740" s="70"/>
      <c r="K740" s="3"/>
      <c r="L740" s="3"/>
      <c r="M740" s="3"/>
      <c r="Q740" s="70"/>
      <c r="AC740" s="52"/>
      <c r="AL740" s="52"/>
    </row>
    <row r="741" spans="1:38" s="2" customFormat="1" ht="14.1" customHeight="1" x14ac:dyDescent="0.2">
      <c r="A741" s="66"/>
      <c r="B741" s="3"/>
      <c r="C741" s="52"/>
      <c r="D741" s="70"/>
      <c r="E741" s="66"/>
      <c r="F741" s="70"/>
      <c r="J741" s="70"/>
      <c r="K741" s="3"/>
      <c r="L741" s="3"/>
      <c r="M741" s="3"/>
      <c r="Q741" s="70"/>
      <c r="AC741" s="52"/>
      <c r="AL741" s="52"/>
    </row>
    <row r="742" spans="1:38" s="2" customFormat="1" ht="14.1" customHeight="1" x14ac:dyDescent="0.2">
      <c r="A742" s="66"/>
      <c r="B742" s="3"/>
      <c r="C742" s="52"/>
      <c r="D742" s="70"/>
      <c r="E742" s="66"/>
      <c r="F742" s="70"/>
      <c r="J742" s="70"/>
      <c r="K742" s="3"/>
      <c r="L742" s="3"/>
      <c r="M742" s="3"/>
      <c r="Q742" s="70"/>
      <c r="AC742" s="52"/>
      <c r="AL742" s="52"/>
    </row>
    <row r="743" spans="1:38" s="2" customFormat="1" ht="14.1" customHeight="1" x14ac:dyDescent="0.2">
      <c r="A743" s="66"/>
      <c r="B743" s="3"/>
      <c r="C743" s="52"/>
      <c r="D743" s="70"/>
      <c r="E743" s="66"/>
      <c r="F743" s="70"/>
      <c r="J743" s="70"/>
      <c r="K743" s="3"/>
      <c r="L743" s="3"/>
      <c r="M743" s="3"/>
      <c r="Q743" s="70"/>
      <c r="AC743" s="52"/>
      <c r="AL743" s="52"/>
    </row>
    <row r="744" spans="1:38" s="2" customFormat="1" ht="14.1" customHeight="1" x14ac:dyDescent="0.2">
      <c r="A744" s="66"/>
      <c r="B744" s="3"/>
      <c r="C744" s="52"/>
      <c r="D744" s="70"/>
      <c r="E744" s="66"/>
      <c r="F744" s="70"/>
      <c r="J744" s="70"/>
      <c r="K744" s="3"/>
      <c r="L744" s="3"/>
      <c r="M744" s="3"/>
      <c r="Q744" s="70"/>
      <c r="AC744" s="52"/>
      <c r="AL744" s="52"/>
    </row>
    <row r="745" spans="1:38" s="2" customFormat="1" ht="14.1" customHeight="1" x14ac:dyDescent="0.2">
      <c r="A745" s="66"/>
      <c r="B745" s="3"/>
      <c r="C745" s="52"/>
      <c r="D745" s="70"/>
      <c r="E745" s="66"/>
      <c r="F745" s="70"/>
      <c r="J745" s="70"/>
      <c r="K745" s="3"/>
      <c r="L745" s="3"/>
      <c r="M745" s="3"/>
      <c r="Q745" s="70"/>
      <c r="AC745" s="52"/>
      <c r="AL745" s="52"/>
    </row>
    <row r="746" spans="1:38" s="2" customFormat="1" ht="14.1" customHeight="1" x14ac:dyDescent="0.2">
      <c r="A746" s="66"/>
      <c r="B746" s="3"/>
      <c r="C746" s="52"/>
      <c r="D746" s="70"/>
      <c r="E746" s="66"/>
      <c r="F746" s="70"/>
      <c r="J746" s="70"/>
      <c r="K746" s="3"/>
      <c r="L746" s="3"/>
      <c r="M746" s="3"/>
      <c r="Q746" s="70"/>
      <c r="AC746" s="52"/>
      <c r="AL746" s="52"/>
    </row>
    <row r="747" spans="1:38" s="2" customFormat="1" ht="14.1" customHeight="1" x14ac:dyDescent="0.2">
      <c r="A747" s="66"/>
      <c r="B747" s="3"/>
      <c r="C747" s="52"/>
      <c r="D747" s="70"/>
      <c r="E747" s="66"/>
      <c r="F747" s="70"/>
      <c r="J747" s="70"/>
      <c r="K747" s="3"/>
      <c r="L747" s="3"/>
      <c r="M747" s="3"/>
      <c r="Q747" s="70"/>
      <c r="AC747" s="52"/>
      <c r="AL747" s="52"/>
    </row>
    <row r="748" spans="1:38" s="2" customFormat="1" ht="14.1" customHeight="1" x14ac:dyDescent="0.2">
      <c r="A748" s="66"/>
      <c r="B748" s="3"/>
      <c r="C748" s="52"/>
      <c r="D748" s="70"/>
      <c r="E748" s="66"/>
      <c r="F748" s="70"/>
      <c r="J748" s="70"/>
      <c r="K748" s="3"/>
      <c r="L748" s="3"/>
      <c r="M748" s="3"/>
      <c r="Q748" s="70"/>
      <c r="AC748" s="52"/>
      <c r="AL748" s="52"/>
    </row>
    <row r="749" spans="1:38" s="2" customFormat="1" ht="14.1" customHeight="1" x14ac:dyDescent="0.2">
      <c r="A749" s="66"/>
      <c r="B749" s="3"/>
      <c r="C749" s="52"/>
      <c r="D749" s="70"/>
      <c r="E749" s="66"/>
      <c r="F749" s="70"/>
      <c r="J749" s="70"/>
      <c r="K749" s="3"/>
      <c r="L749" s="3"/>
      <c r="M749" s="3"/>
      <c r="Q749" s="70"/>
      <c r="AC749" s="52"/>
      <c r="AL749" s="52"/>
    </row>
    <row r="750" spans="1:38" s="2" customFormat="1" ht="14.1" customHeight="1" x14ac:dyDescent="0.2">
      <c r="A750" s="66"/>
      <c r="B750" s="3"/>
      <c r="C750" s="52"/>
      <c r="D750" s="70"/>
      <c r="E750" s="66"/>
      <c r="F750" s="70"/>
      <c r="J750" s="70"/>
      <c r="K750" s="3"/>
      <c r="L750" s="3"/>
      <c r="M750" s="3"/>
      <c r="Q750" s="70"/>
      <c r="AC750" s="52"/>
      <c r="AL750" s="52"/>
    </row>
    <row r="751" spans="1:38" s="2" customFormat="1" ht="14.1" customHeight="1" x14ac:dyDescent="0.2">
      <c r="A751" s="66"/>
      <c r="B751" s="3"/>
      <c r="C751" s="52"/>
      <c r="D751" s="70"/>
      <c r="E751" s="66"/>
      <c r="F751" s="70"/>
      <c r="J751" s="70"/>
      <c r="K751" s="3"/>
      <c r="L751" s="3"/>
      <c r="M751" s="3"/>
      <c r="Q751" s="70"/>
      <c r="AC751" s="52"/>
      <c r="AL751" s="52"/>
    </row>
    <row r="752" spans="1:38" s="2" customFormat="1" ht="14.1" customHeight="1" x14ac:dyDescent="0.2">
      <c r="A752" s="66"/>
      <c r="B752" s="3"/>
      <c r="C752" s="52"/>
      <c r="D752" s="70"/>
      <c r="E752" s="66"/>
      <c r="F752" s="70"/>
      <c r="J752" s="70"/>
      <c r="K752" s="3"/>
      <c r="L752" s="3"/>
      <c r="M752" s="3"/>
      <c r="Q752" s="70"/>
      <c r="AC752" s="52"/>
      <c r="AL752" s="52"/>
    </row>
    <row r="753" spans="1:38" s="2" customFormat="1" ht="14.1" customHeight="1" x14ac:dyDescent="0.2">
      <c r="A753" s="66"/>
      <c r="B753" s="3"/>
      <c r="C753" s="52"/>
      <c r="D753" s="70"/>
      <c r="E753" s="66"/>
      <c r="F753" s="70"/>
      <c r="J753" s="70"/>
      <c r="K753" s="3"/>
      <c r="L753" s="3"/>
      <c r="M753" s="3"/>
      <c r="Q753" s="70"/>
      <c r="AC753" s="52"/>
      <c r="AL753" s="52"/>
    </row>
    <row r="754" spans="1:38" s="2" customFormat="1" ht="14.1" customHeight="1" x14ac:dyDescent="0.2">
      <c r="A754" s="66"/>
      <c r="B754" s="3"/>
      <c r="C754" s="52"/>
      <c r="D754" s="70"/>
      <c r="E754" s="66"/>
      <c r="F754" s="70"/>
      <c r="J754" s="70"/>
      <c r="K754" s="3"/>
      <c r="L754" s="3"/>
      <c r="M754" s="3"/>
      <c r="Q754" s="70"/>
      <c r="AC754" s="52"/>
      <c r="AL754" s="52"/>
    </row>
    <row r="755" spans="1:38" s="2" customFormat="1" ht="14.1" customHeight="1" x14ac:dyDescent="0.2">
      <c r="A755" s="66"/>
      <c r="B755" s="3"/>
      <c r="C755" s="52"/>
      <c r="D755" s="70"/>
      <c r="E755" s="66"/>
      <c r="F755" s="70"/>
      <c r="J755" s="70"/>
      <c r="K755" s="3"/>
      <c r="L755" s="3"/>
      <c r="M755" s="3"/>
      <c r="Q755" s="70"/>
      <c r="AC755" s="52"/>
      <c r="AL755" s="52"/>
    </row>
    <row r="756" spans="1:38" s="2" customFormat="1" ht="14.1" customHeight="1" x14ac:dyDescent="0.2">
      <c r="A756" s="66"/>
      <c r="B756" s="3"/>
      <c r="C756" s="52"/>
      <c r="D756" s="70"/>
      <c r="E756" s="66"/>
      <c r="F756" s="70"/>
      <c r="J756" s="70"/>
      <c r="K756" s="3"/>
      <c r="L756" s="3"/>
      <c r="M756" s="3"/>
      <c r="Q756" s="70"/>
      <c r="AC756" s="52"/>
      <c r="AL756" s="52"/>
    </row>
    <row r="757" spans="1:38" s="2" customFormat="1" ht="14.1" customHeight="1" x14ac:dyDescent="0.2">
      <c r="A757" s="66"/>
      <c r="B757" s="3"/>
      <c r="C757" s="52"/>
      <c r="D757" s="70"/>
      <c r="E757" s="66"/>
      <c r="F757" s="70"/>
      <c r="J757" s="70"/>
      <c r="K757" s="3"/>
      <c r="L757" s="3"/>
      <c r="M757" s="3"/>
      <c r="Q757" s="70"/>
      <c r="AC757" s="52"/>
      <c r="AL757" s="52"/>
    </row>
    <row r="758" spans="1:38" s="2" customFormat="1" ht="14.1" customHeight="1" x14ac:dyDescent="0.2">
      <c r="A758" s="66"/>
      <c r="B758" s="3"/>
      <c r="C758" s="52"/>
      <c r="D758" s="70"/>
      <c r="E758" s="66"/>
      <c r="F758" s="70"/>
      <c r="J758" s="70"/>
      <c r="K758" s="3"/>
      <c r="L758" s="3"/>
      <c r="M758" s="3"/>
      <c r="Q758" s="70"/>
      <c r="AC758" s="52"/>
      <c r="AL758" s="52"/>
    </row>
    <row r="759" spans="1:38" s="2" customFormat="1" ht="14.1" customHeight="1" x14ac:dyDescent="0.2">
      <c r="A759" s="66"/>
      <c r="B759" s="3"/>
      <c r="C759" s="52"/>
      <c r="D759" s="70"/>
      <c r="E759" s="66"/>
      <c r="F759" s="70"/>
      <c r="J759" s="70"/>
      <c r="K759" s="3"/>
      <c r="L759" s="3"/>
      <c r="M759" s="3"/>
      <c r="Q759" s="70"/>
      <c r="AC759" s="52"/>
      <c r="AL759" s="52"/>
    </row>
    <row r="760" spans="1:38" s="2" customFormat="1" ht="14.1" customHeight="1" x14ac:dyDescent="0.2">
      <c r="A760" s="66"/>
      <c r="B760" s="3"/>
      <c r="C760" s="52"/>
      <c r="D760" s="70"/>
      <c r="E760" s="66"/>
      <c r="F760" s="70"/>
      <c r="J760" s="70"/>
      <c r="K760" s="3"/>
      <c r="L760" s="3"/>
      <c r="M760" s="3"/>
      <c r="Q760" s="70"/>
      <c r="AC760" s="52"/>
      <c r="AL760" s="52"/>
    </row>
    <row r="761" spans="1:38" s="2" customFormat="1" ht="14.1" customHeight="1" x14ac:dyDescent="0.2">
      <c r="A761" s="66"/>
      <c r="B761" s="3"/>
      <c r="C761" s="52"/>
      <c r="D761" s="70"/>
      <c r="E761" s="66"/>
      <c r="F761" s="70"/>
      <c r="J761" s="70"/>
      <c r="K761" s="3"/>
      <c r="L761" s="3"/>
      <c r="M761" s="3"/>
      <c r="Q761" s="70"/>
      <c r="AC761" s="52"/>
      <c r="AL761" s="52"/>
    </row>
    <row r="762" spans="1:38" s="2" customFormat="1" ht="14.1" customHeight="1" x14ac:dyDescent="0.2">
      <c r="A762" s="66"/>
      <c r="B762" s="3"/>
      <c r="C762" s="52"/>
      <c r="D762" s="70"/>
      <c r="E762" s="66"/>
      <c r="F762" s="70"/>
      <c r="J762" s="70"/>
      <c r="K762" s="3"/>
      <c r="L762" s="3"/>
      <c r="M762" s="3"/>
      <c r="Q762" s="70"/>
      <c r="AC762" s="52"/>
      <c r="AL762" s="52"/>
    </row>
    <row r="763" spans="1:38" s="2" customFormat="1" ht="14.1" customHeight="1" x14ac:dyDescent="0.2">
      <c r="A763" s="66"/>
      <c r="B763" s="3"/>
      <c r="C763" s="52"/>
      <c r="D763" s="70"/>
      <c r="E763" s="66"/>
      <c r="F763" s="70"/>
      <c r="J763" s="70"/>
      <c r="K763" s="3"/>
      <c r="L763" s="3"/>
      <c r="M763" s="3"/>
      <c r="Q763" s="70"/>
      <c r="AC763" s="52"/>
      <c r="AL763" s="52"/>
    </row>
    <row r="764" spans="1:38" s="2" customFormat="1" ht="14.1" customHeight="1" x14ac:dyDescent="0.2">
      <c r="A764" s="66"/>
      <c r="B764" s="3"/>
      <c r="C764" s="52"/>
      <c r="D764" s="70"/>
      <c r="E764" s="66"/>
      <c r="F764" s="70"/>
      <c r="J764" s="70"/>
      <c r="K764" s="3"/>
      <c r="L764" s="3"/>
      <c r="M764" s="3"/>
      <c r="Q764" s="70"/>
      <c r="AC764" s="52"/>
      <c r="AL764" s="52"/>
    </row>
    <row r="765" spans="1:38" s="2" customFormat="1" ht="14.1" customHeight="1" x14ac:dyDescent="0.2">
      <c r="A765" s="66"/>
      <c r="B765" s="3"/>
      <c r="C765" s="52"/>
      <c r="D765" s="70"/>
      <c r="E765" s="66"/>
      <c r="F765" s="70"/>
      <c r="J765" s="70"/>
      <c r="K765" s="3"/>
      <c r="L765" s="3"/>
      <c r="M765" s="3"/>
      <c r="Q765" s="70"/>
      <c r="AC765" s="52"/>
      <c r="AL765" s="52"/>
    </row>
    <row r="766" spans="1:38" s="2" customFormat="1" ht="14.1" customHeight="1" x14ac:dyDescent="0.2">
      <c r="A766" s="66"/>
      <c r="B766" s="3"/>
      <c r="C766" s="52"/>
      <c r="D766" s="70"/>
      <c r="E766" s="66"/>
      <c r="F766" s="70"/>
      <c r="J766" s="70"/>
      <c r="K766" s="3"/>
      <c r="L766" s="3"/>
      <c r="M766" s="3"/>
      <c r="Q766" s="70"/>
      <c r="AC766" s="52"/>
      <c r="AL766" s="52"/>
    </row>
    <row r="767" spans="1:38" s="2" customFormat="1" ht="14.1" customHeight="1" x14ac:dyDescent="0.2">
      <c r="A767" s="66"/>
      <c r="B767" s="3"/>
      <c r="C767" s="52"/>
      <c r="D767" s="70"/>
      <c r="E767" s="66"/>
      <c r="F767" s="70"/>
      <c r="J767" s="70"/>
      <c r="K767" s="3"/>
      <c r="L767" s="3"/>
      <c r="M767" s="3"/>
      <c r="Q767" s="70"/>
      <c r="AC767" s="52"/>
      <c r="AL767" s="52"/>
    </row>
    <row r="768" spans="1:38" s="2" customFormat="1" ht="14.1" customHeight="1" x14ac:dyDescent="0.2">
      <c r="A768" s="66"/>
      <c r="B768" s="3"/>
      <c r="C768" s="52"/>
      <c r="D768" s="70"/>
      <c r="E768" s="66"/>
      <c r="F768" s="70"/>
      <c r="J768" s="70"/>
      <c r="K768" s="3"/>
      <c r="L768" s="3"/>
      <c r="M768" s="3"/>
      <c r="Q768" s="70"/>
      <c r="AC768" s="52"/>
      <c r="AL768" s="52"/>
    </row>
    <row r="769" spans="1:38" s="2" customFormat="1" ht="14.1" customHeight="1" x14ac:dyDescent="0.2">
      <c r="A769" s="66"/>
      <c r="B769" s="3"/>
      <c r="C769" s="52"/>
      <c r="D769" s="70"/>
      <c r="E769" s="66"/>
      <c r="F769" s="70"/>
      <c r="J769" s="70"/>
      <c r="K769" s="3"/>
      <c r="L769" s="3"/>
      <c r="M769" s="3"/>
      <c r="Q769" s="70"/>
      <c r="AC769" s="52"/>
      <c r="AL769" s="52"/>
    </row>
    <row r="770" spans="1:38" s="2" customFormat="1" ht="14.1" customHeight="1" x14ac:dyDescent="0.2">
      <c r="A770" s="66"/>
      <c r="B770" s="3"/>
      <c r="C770" s="52"/>
      <c r="D770" s="70"/>
      <c r="E770" s="66"/>
      <c r="F770" s="70"/>
      <c r="J770" s="70"/>
      <c r="K770" s="3"/>
      <c r="L770" s="3"/>
      <c r="M770" s="3"/>
      <c r="Q770" s="70"/>
      <c r="AC770" s="52"/>
      <c r="AL770" s="52"/>
    </row>
    <row r="771" spans="1:38" s="2" customFormat="1" ht="14.1" customHeight="1" x14ac:dyDescent="0.2">
      <c r="A771" s="66"/>
      <c r="B771" s="3"/>
      <c r="C771" s="52"/>
      <c r="D771" s="70"/>
      <c r="E771" s="66"/>
      <c r="F771" s="70"/>
      <c r="J771" s="70"/>
      <c r="K771" s="3"/>
      <c r="L771" s="3"/>
      <c r="M771" s="3"/>
      <c r="Q771" s="70"/>
      <c r="AC771" s="52"/>
      <c r="AL771" s="52"/>
    </row>
    <row r="772" spans="1:38" s="2" customFormat="1" ht="14.1" customHeight="1" x14ac:dyDescent="0.2">
      <c r="A772" s="66"/>
      <c r="B772" s="3"/>
      <c r="C772" s="52"/>
      <c r="D772" s="70"/>
      <c r="E772" s="66"/>
      <c r="F772" s="70"/>
      <c r="J772" s="70"/>
      <c r="K772" s="3"/>
      <c r="L772" s="3"/>
      <c r="M772" s="3"/>
      <c r="Q772" s="70"/>
      <c r="AC772" s="52"/>
      <c r="AL772" s="52"/>
    </row>
    <row r="773" spans="1:38" s="2" customFormat="1" ht="14.1" customHeight="1" x14ac:dyDescent="0.2">
      <c r="A773" s="66"/>
      <c r="B773" s="3"/>
      <c r="C773" s="52"/>
      <c r="D773" s="70"/>
      <c r="E773" s="66"/>
      <c r="F773" s="70"/>
      <c r="J773" s="70"/>
      <c r="K773" s="3"/>
      <c r="L773" s="3"/>
      <c r="M773" s="3"/>
      <c r="Q773" s="70"/>
      <c r="AC773" s="52"/>
      <c r="AL773" s="52"/>
    </row>
    <row r="774" spans="1:38" s="2" customFormat="1" ht="14.1" customHeight="1" x14ac:dyDescent="0.2">
      <c r="A774" s="66"/>
      <c r="B774" s="3"/>
      <c r="C774" s="52"/>
      <c r="D774" s="70"/>
      <c r="E774" s="66"/>
      <c r="F774" s="70"/>
      <c r="J774" s="70"/>
      <c r="K774" s="3"/>
      <c r="L774" s="3"/>
      <c r="M774" s="3"/>
      <c r="Q774" s="70"/>
      <c r="AC774" s="52"/>
      <c r="AL774" s="52"/>
    </row>
    <row r="775" spans="1:38" s="2" customFormat="1" ht="14.1" customHeight="1" x14ac:dyDescent="0.2">
      <c r="A775" s="66"/>
      <c r="B775" s="3"/>
      <c r="C775" s="52"/>
      <c r="D775" s="70"/>
      <c r="E775" s="66"/>
      <c r="F775" s="70"/>
      <c r="J775" s="70"/>
      <c r="K775" s="3"/>
      <c r="L775" s="3"/>
      <c r="M775" s="3"/>
      <c r="Q775" s="70"/>
      <c r="AC775" s="52"/>
      <c r="AL775" s="52"/>
    </row>
    <row r="776" spans="1:38" s="2" customFormat="1" ht="14.1" customHeight="1" x14ac:dyDescent="0.2">
      <c r="A776" s="66"/>
      <c r="B776" s="3"/>
      <c r="C776" s="52"/>
      <c r="D776" s="70"/>
      <c r="E776" s="66"/>
      <c r="F776" s="70"/>
      <c r="J776" s="70"/>
      <c r="K776" s="3"/>
      <c r="L776" s="3"/>
      <c r="M776" s="3"/>
      <c r="Q776" s="70"/>
      <c r="AC776" s="52"/>
      <c r="AL776" s="52"/>
    </row>
    <row r="777" spans="1:38" s="2" customFormat="1" ht="14.1" customHeight="1" x14ac:dyDescent="0.2">
      <c r="A777" s="66"/>
      <c r="B777" s="3"/>
      <c r="C777" s="52"/>
      <c r="D777" s="70"/>
      <c r="E777" s="66"/>
      <c r="F777" s="70"/>
      <c r="J777" s="70"/>
      <c r="K777" s="3"/>
      <c r="L777" s="3"/>
      <c r="M777" s="3"/>
      <c r="Q777" s="70"/>
      <c r="AC777" s="52"/>
      <c r="AL777" s="52"/>
    </row>
    <row r="778" spans="1:38" s="2" customFormat="1" ht="14.1" customHeight="1" x14ac:dyDescent="0.2">
      <c r="A778" s="66"/>
      <c r="B778" s="3"/>
      <c r="C778" s="52"/>
      <c r="D778" s="70"/>
      <c r="E778" s="66"/>
      <c r="F778" s="70"/>
      <c r="J778" s="70"/>
      <c r="K778" s="3"/>
      <c r="L778" s="3"/>
      <c r="M778" s="3"/>
      <c r="Q778" s="70"/>
      <c r="AC778" s="52"/>
      <c r="AL778" s="52"/>
    </row>
    <row r="779" spans="1:38" s="2" customFormat="1" ht="14.1" customHeight="1" x14ac:dyDescent="0.2">
      <c r="A779" s="66"/>
      <c r="B779" s="3"/>
      <c r="C779" s="52"/>
      <c r="D779" s="70"/>
      <c r="E779" s="66"/>
      <c r="F779" s="70"/>
      <c r="J779" s="70"/>
      <c r="K779" s="3"/>
      <c r="L779" s="3"/>
      <c r="M779" s="3"/>
      <c r="Q779" s="70"/>
      <c r="AC779" s="52"/>
      <c r="AL779" s="52"/>
    </row>
  </sheetData>
  <mergeCells count="6">
    <mergeCell ref="AE1:AI1"/>
    <mergeCell ref="G1:J1"/>
    <mergeCell ref="O1:R1"/>
    <mergeCell ref="S1:U1"/>
    <mergeCell ref="X1:Y1"/>
    <mergeCell ref="Z1:AC1"/>
  </mergeCells>
  <phoneticPr fontId="7" type="noConversion"/>
  <conditionalFormatting sqref="AC116 AC126 AC136:AC138 AC146:AC148">
    <cfRule type="duplicateValues" dxfId="119" priority="261"/>
  </conditionalFormatting>
  <conditionalFormatting sqref="AC278">
    <cfRule type="duplicateValues" dxfId="118" priority="265"/>
  </conditionalFormatting>
  <conditionalFormatting sqref="AC281">
    <cfRule type="duplicateValues" dxfId="117" priority="266"/>
  </conditionalFormatting>
  <conditionalFormatting sqref="AC280">
    <cfRule type="duplicateValues" dxfId="116" priority="267"/>
  </conditionalFormatting>
  <conditionalFormatting sqref="AC279">
    <cfRule type="duplicateValues" dxfId="115" priority="268"/>
  </conditionalFormatting>
  <conditionalFormatting sqref="AC282">
    <cfRule type="duplicateValues" dxfId="114" priority="269"/>
  </conditionalFormatting>
  <conditionalFormatting sqref="AC285">
    <cfRule type="duplicateValues" dxfId="113" priority="270"/>
  </conditionalFormatting>
  <conditionalFormatting sqref="AC284">
    <cfRule type="duplicateValues" dxfId="112" priority="271"/>
  </conditionalFormatting>
  <conditionalFormatting sqref="AC283">
    <cfRule type="duplicateValues" dxfId="111" priority="272"/>
  </conditionalFormatting>
  <conditionalFormatting sqref="AC286">
    <cfRule type="duplicateValues" dxfId="110" priority="273"/>
  </conditionalFormatting>
  <conditionalFormatting sqref="AC289">
    <cfRule type="duplicateValues" dxfId="109" priority="274"/>
  </conditionalFormatting>
  <conditionalFormatting sqref="AC288">
    <cfRule type="duplicateValues" dxfId="108" priority="275"/>
  </conditionalFormatting>
  <conditionalFormatting sqref="AC287">
    <cfRule type="duplicateValues" dxfId="107" priority="276"/>
  </conditionalFormatting>
  <conditionalFormatting sqref="AC156:AC158 AC166:AC168 AC176:AC178 AC186:AC188">
    <cfRule type="duplicateValues" dxfId="106" priority="277"/>
  </conditionalFormatting>
  <conditionalFormatting sqref="AC117">
    <cfRule type="duplicateValues" dxfId="105" priority="284"/>
  </conditionalFormatting>
  <conditionalFormatting sqref="AC118">
    <cfRule type="duplicateValues" dxfId="104" priority="285"/>
  </conditionalFormatting>
  <conditionalFormatting sqref="AC127">
    <cfRule type="duplicateValues" dxfId="103" priority="286"/>
  </conditionalFormatting>
  <conditionalFormatting sqref="AC128">
    <cfRule type="duplicateValues" dxfId="102" priority="287"/>
  </conditionalFormatting>
  <conditionalFormatting sqref="AC119">
    <cfRule type="duplicateValues" dxfId="101" priority="288"/>
  </conditionalFormatting>
  <conditionalFormatting sqref="AC129">
    <cfRule type="duplicateValues" dxfId="100" priority="289"/>
  </conditionalFormatting>
  <conditionalFormatting sqref="AC139">
    <cfRule type="duplicateValues" dxfId="99" priority="290"/>
  </conditionalFormatting>
  <conditionalFormatting sqref="AC149">
    <cfRule type="duplicateValues" dxfId="98" priority="291"/>
  </conditionalFormatting>
  <conditionalFormatting sqref="AC159">
    <cfRule type="duplicateValues" dxfId="97" priority="292"/>
  </conditionalFormatting>
  <conditionalFormatting sqref="AC169">
    <cfRule type="duplicateValues" dxfId="96" priority="293"/>
  </conditionalFormatting>
  <conditionalFormatting sqref="AC179">
    <cfRule type="duplicateValues" dxfId="95" priority="294"/>
  </conditionalFormatting>
  <conditionalFormatting sqref="AC189">
    <cfRule type="duplicateValues" dxfId="94" priority="295"/>
  </conditionalFormatting>
  <conditionalFormatting sqref="AC120:AC122">
    <cfRule type="duplicateValues" dxfId="93" priority="296"/>
  </conditionalFormatting>
  <conditionalFormatting sqref="AC130:AC132">
    <cfRule type="duplicateValues" dxfId="92" priority="297"/>
  </conditionalFormatting>
  <conditionalFormatting sqref="AC140:AC142">
    <cfRule type="duplicateValues" dxfId="91" priority="298"/>
  </conditionalFormatting>
  <conditionalFormatting sqref="AC150:AC152">
    <cfRule type="duplicateValues" dxfId="90" priority="299"/>
  </conditionalFormatting>
  <conditionalFormatting sqref="AC160:AC162">
    <cfRule type="duplicateValues" dxfId="89" priority="300"/>
  </conditionalFormatting>
  <conditionalFormatting sqref="AC170:AC172">
    <cfRule type="duplicateValues" dxfId="88" priority="301"/>
  </conditionalFormatting>
  <conditionalFormatting sqref="AC180:AC182">
    <cfRule type="duplicateValues" dxfId="87" priority="302"/>
  </conditionalFormatting>
  <conditionalFormatting sqref="AC190:AC192">
    <cfRule type="duplicateValues" dxfId="86" priority="303"/>
  </conditionalFormatting>
  <conditionalFormatting sqref="AC133:AC135">
    <cfRule type="duplicateValues" dxfId="85" priority="304"/>
  </conditionalFormatting>
  <conditionalFormatting sqref="AC143:AC145">
    <cfRule type="duplicateValues" dxfId="84" priority="305"/>
  </conditionalFormatting>
  <conditionalFormatting sqref="AC153:AC155">
    <cfRule type="duplicateValues" dxfId="83" priority="306"/>
  </conditionalFormatting>
  <conditionalFormatting sqref="AC163:AC165">
    <cfRule type="duplicateValues" dxfId="82" priority="307"/>
  </conditionalFormatting>
  <conditionalFormatting sqref="AC173:AC175">
    <cfRule type="duplicateValues" dxfId="81" priority="308"/>
  </conditionalFormatting>
  <conditionalFormatting sqref="AC183:AC185">
    <cfRule type="duplicateValues" dxfId="80" priority="309"/>
  </conditionalFormatting>
  <conditionalFormatting sqref="AC123:AC125">
    <cfRule type="duplicateValues" dxfId="79" priority="310"/>
  </conditionalFormatting>
  <conditionalFormatting sqref="AC196">
    <cfRule type="duplicateValues" dxfId="78" priority="311"/>
  </conditionalFormatting>
  <conditionalFormatting sqref="AC197">
    <cfRule type="duplicateValues" dxfId="77" priority="312"/>
  </conditionalFormatting>
  <conditionalFormatting sqref="AC198">
    <cfRule type="duplicateValues" dxfId="76" priority="313"/>
  </conditionalFormatting>
  <conditionalFormatting sqref="AC199">
    <cfRule type="duplicateValues" dxfId="75" priority="314"/>
  </conditionalFormatting>
  <conditionalFormatting sqref="AC200">
    <cfRule type="duplicateValues" dxfId="74" priority="315"/>
  </conditionalFormatting>
  <conditionalFormatting sqref="AC201">
    <cfRule type="duplicateValues" dxfId="73" priority="316"/>
  </conditionalFormatting>
  <conditionalFormatting sqref="AC202">
    <cfRule type="duplicateValues" dxfId="72" priority="317"/>
  </conditionalFormatting>
  <conditionalFormatting sqref="AC203">
    <cfRule type="duplicateValues" dxfId="71" priority="318"/>
  </conditionalFormatting>
  <conditionalFormatting sqref="AC204">
    <cfRule type="duplicateValues" dxfId="70" priority="319"/>
  </conditionalFormatting>
  <conditionalFormatting sqref="AC205">
    <cfRule type="duplicateValues" dxfId="69" priority="320"/>
  </conditionalFormatting>
  <conditionalFormatting sqref="AC206">
    <cfRule type="duplicateValues" dxfId="68" priority="321"/>
  </conditionalFormatting>
  <conditionalFormatting sqref="AC207">
    <cfRule type="duplicateValues" dxfId="67" priority="322"/>
  </conditionalFormatting>
  <conditionalFormatting sqref="AC208">
    <cfRule type="duplicateValues" dxfId="66" priority="323"/>
  </conditionalFormatting>
  <conditionalFormatting sqref="AC209">
    <cfRule type="duplicateValues" dxfId="65" priority="324"/>
  </conditionalFormatting>
  <conditionalFormatting sqref="AC210">
    <cfRule type="duplicateValues" dxfId="64" priority="325"/>
  </conditionalFormatting>
  <conditionalFormatting sqref="AC193:AC195">
    <cfRule type="duplicateValues" dxfId="63" priority="326"/>
  </conditionalFormatting>
  <conditionalFormatting sqref="AC4:AC17">
    <cfRule type="duplicateValues" dxfId="62" priority="327"/>
  </conditionalFormatting>
  <conditionalFormatting sqref="AC18:AC31">
    <cfRule type="duplicateValues" dxfId="61" priority="328"/>
  </conditionalFormatting>
  <conditionalFormatting sqref="AC32:AC45">
    <cfRule type="duplicateValues" dxfId="60" priority="329"/>
  </conditionalFormatting>
  <conditionalFormatting sqref="AC46:AC59">
    <cfRule type="duplicateValues" dxfId="59" priority="330"/>
  </conditionalFormatting>
  <conditionalFormatting sqref="AC60:AC73">
    <cfRule type="duplicateValues" dxfId="58" priority="331"/>
  </conditionalFormatting>
  <conditionalFormatting sqref="AC74:AC87">
    <cfRule type="duplicateValues" dxfId="57" priority="332"/>
  </conditionalFormatting>
  <conditionalFormatting sqref="AC88:AC101">
    <cfRule type="duplicateValues" dxfId="56" priority="333"/>
  </conditionalFormatting>
  <conditionalFormatting sqref="AC102:AC115">
    <cfRule type="duplicateValues" dxfId="55" priority="334"/>
  </conditionalFormatting>
  <conditionalFormatting sqref="AC212:AC216">
    <cfRule type="duplicateValues" dxfId="54" priority="335"/>
  </conditionalFormatting>
  <conditionalFormatting sqref="AC221:AC225">
    <cfRule type="duplicateValues" dxfId="53" priority="336"/>
  </conditionalFormatting>
  <conditionalFormatting sqref="AC230:AC234">
    <cfRule type="duplicateValues" dxfId="52" priority="337"/>
  </conditionalFormatting>
  <conditionalFormatting sqref="AC239:AC243">
    <cfRule type="duplicateValues" dxfId="51" priority="338"/>
  </conditionalFormatting>
  <conditionalFormatting sqref="AC248:AC252">
    <cfRule type="duplicateValues" dxfId="50" priority="339"/>
  </conditionalFormatting>
  <conditionalFormatting sqref="AC257:AC261">
    <cfRule type="duplicateValues" dxfId="49" priority="340"/>
  </conditionalFormatting>
  <conditionalFormatting sqref="AC211">
    <cfRule type="duplicateValues" dxfId="48" priority="341"/>
  </conditionalFormatting>
  <conditionalFormatting sqref="AC217">
    <cfRule type="duplicateValues" dxfId="47" priority="342"/>
  </conditionalFormatting>
  <conditionalFormatting sqref="AC226">
    <cfRule type="duplicateValues" dxfId="46" priority="343"/>
  </conditionalFormatting>
  <conditionalFormatting sqref="AC235">
    <cfRule type="duplicateValues" dxfId="45" priority="344"/>
  </conditionalFormatting>
  <conditionalFormatting sqref="AC244">
    <cfRule type="duplicateValues" dxfId="44" priority="345"/>
  </conditionalFormatting>
  <conditionalFormatting sqref="AC253">
    <cfRule type="duplicateValues" dxfId="43" priority="346"/>
  </conditionalFormatting>
  <conditionalFormatting sqref="AC262">
    <cfRule type="duplicateValues" dxfId="42" priority="347"/>
  </conditionalFormatting>
  <conditionalFormatting sqref="AC218">
    <cfRule type="duplicateValues" dxfId="41" priority="55"/>
  </conditionalFormatting>
  <conditionalFormatting sqref="AC219">
    <cfRule type="duplicateValues" dxfId="40" priority="54"/>
  </conditionalFormatting>
  <conditionalFormatting sqref="AC220">
    <cfRule type="duplicateValues" dxfId="39" priority="53"/>
  </conditionalFormatting>
  <conditionalFormatting sqref="AC227">
    <cfRule type="duplicateValues" dxfId="38" priority="52"/>
  </conditionalFormatting>
  <conditionalFormatting sqref="AC228">
    <cfRule type="duplicateValues" dxfId="37" priority="51"/>
  </conditionalFormatting>
  <conditionalFormatting sqref="AC229">
    <cfRule type="duplicateValues" dxfId="36" priority="50"/>
  </conditionalFormatting>
  <conditionalFormatting sqref="AC236">
    <cfRule type="duplicateValues" dxfId="35" priority="49"/>
  </conditionalFormatting>
  <conditionalFormatting sqref="AC237">
    <cfRule type="duplicateValues" dxfId="34" priority="48"/>
  </conditionalFormatting>
  <conditionalFormatting sqref="AC238">
    <cfRule type="duplicateValues" dxfId="33" priority="47"/>
  </conditionalFormatting>
  <conditionalFormatting sqref="AC245">
    <cfRule type="duplicateValues" dxfId="32" priority="46"/>
  </conditionalFormatting>
  <conditionalFormatting sqref="AC246">
    <cfRule type="duplicateValues" dxfId="31" priority="45"/>
  </conditionalFormatting>
  <conditionalFormatting sqref="AC247">
    <cfRule type="duplicateValues" dxfId="30" priority="44"/>
  </conditionalFormatting>
  <conditionalFormatting sqref="AC254">
    <cfRule type="duplicateValues" dxfId="29" priority="43"/>
  </conditionalFormatting>
  <conditionalFormatting sqref="AC255">
    <cfRule type="duplicateValues" dxfId="28" priority="42"/>
  </conditionalFormatting>
  <conditionalFormatting sqref="AC256">
    <cfRule type="duplicateValues" dxfId="27" priority="41"/>
  </conditionalFormatting>
  <conditionalFormatting sqref="AC263">
    <cfRule type="duplicateValues" dxfId="26" priority="40"/>
  </conditionalFormatting>
  <conditionalFormatting sqref="AC264">
    <cfRule type="duplicateValues" dxfId="25" priority="39"/>
  </conditionalFormatting>
  <conditionalFormatting sqref="AC265">
    <cfRule type="duplicateValues" dxfId="24" priority="38"/>
  </conditionalFormatting>
  <conditionalFormatting sqref="AC266:AC268">
    <cfRule type="duplicateValues" dxfId="23" priority="29"/>
  </conditionalFormatting>
  <conditionalFormatting sqref="AC269:AC271">
    <cfRule type="duplicateValues" dxfId="22" priority="28"/>
  </conditionalFormatting>
  <conditionalFormatting sqref="AC272:AC274">
    <cfRule type="duplicateValues" dxfId="21" priority="27"/>
  </conditionalFormatting>
  <conditionalFormatting sqref="AC275:AC277">
    <cfRule type="duplicateValues" dxfId="20" priority="26"/>
  </conditionalFormatting>
  <conditionalFormatting sqref="AC323">
    <cfRule type="duplicateValues" dxfId="19" priority="18"/>
  </conditionalFormatting>
  <conditionalFormatting sqref="AC326">
    <cfRule type="duplicateValues" dxfId="18" priority="19"/>
  </conditionalFormatting>
  <conditionalFormatting sqref="AC325">
    <cfRule type="duplicateValues" dxfId="17" priority="20"/>
  </conditionalFormatting>
  <conditionalFormatting sqref="AC324">
    <cfRule type="duplicateValues" dxfId="16" priority="21"/>
  </conditionalFormatting>
  <conditionalFormatting sqref="AC331">
    <cfRule type="duplicateValues" dxfId="15" priority="14"/>
  </conditionalFormatting>
  <conditionalFormatting sqref="AC334">
    <cfRule type="duplicateValues" dxfId="14" priority="15"/>
  </conditionalFormatting>
  <conditionalFormatting sqref="AC333">
    <cfRule type="duplicateValues" dxfId="13" priority="16"/>
  </conditionalFormatting>
  <conditionalFormatting sqref="AC332">
    <cfRule type="duplicateValues" dxfId="12" priority="17"/>
  </conditionalFormatting>
  <conditionalFormatting sqref="AC339">
    <cfRule type="duplicateValues" dxfId="11" priority="10"/>
  </conditionalFormatting>
  <conditionalFormatting sqref="AC341">
    <cfRule type="duplicateValues" dxfId="10" priority="12"/>
  </conditionalFormatting>
  <conditionalFormatting sqref="AC340">
    <cfRule type="duplicateValues" dxfId="9" priority="13"/>
  </conditionalFormatting>
  <conditionalFormatting sqref="AC342">
    <cfRule type="duplicateValues" dxfId="8" priority="348"/>
  </conditionalFormatting>
  <conditionalFormatting sqref="AC388">
    <cfRule type="duplicateValues" dxfId="7" priority="6"/>
  </conditionalFormatting>
  <conditionalFormatting sqref="AC389">
    <cfRule type="duplicateValues" dxfId="6" priority="7"/>
  </conditionalFormatting>
  <conditionalFormatting sqref="AC390">
    <cfRule type="duplicateValues" dxfId="5" priority="8"/>
  </conditionalFormatting>
  <conditionalFormatting sqref="AC397">
    <cfRule type="duplicateValues" dxfId="4" priority="5"/>
  </conditionalFormatting>
  <conditionalFormatting sqref="AC398">
    <cfRule type="duplicateValues" dxfId="3" priority="4"/>
  </conditionalFormatting>
  <conditionalFormatting sqref="AC399">
    <cfRule type="duplicateValues" dxfId="2" priority="3"/>
  </conditionalFormatting>
  <conditionalFormatting sqref="AC400">
    <cfRule type="duplicateValues" dxfId="1" priority="2"/>
  </conditionalFormatting>
  <conditionalFormatting sqref="AC401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72863-6790-4903-9524-7AAA7E515A75}">
  <dimension ref="A1:G382"/>
  <sheetViews>
    <sheetView workbookViewId="0">
      <selection activeCell="G17" sqref="G17"/>
    </sheetView>
  </sheetViews>
  <sheetFormatPr defaultRowHeight="12" x14ac:dyDescent="0.2"/>
  <cols>
    <col min="1" max="2" width="9" style="2"/>
    <col min="3" max="3" width="17" style="2" customWidth="1"/>
    <col min="4" max="4" width="5.875" style="66" customWidth="1"/>
    <col min="5" max="5" width="5.875" style="66" bestFit="1" customWidth="1"/>
    <col min="6" max="6" width="36" style="66" customWidth="1"/>
    <col min="7" max="7" width="42.25" style="2" customWidth="1"/>
    <col min="8" max="16384" width="9" style="2"/>
  </cols>
  <sheetData>
    <row r="1" spans="1:7" s="16" customFormat="1" ht="30" customHeight="1" x14ac:dyDescent="0.3">
      <c r="D1" s="64"/>
      <c r="E1" s="64"/>
      <c r="F1" s="64"/>
    </row>
    <row r="2" spans="1:7" s="7" customFormat="1" ht="111" customHeight="1" x14ac:dyDescent="0.3">
      <c r="A2" s="7" t="s">
        <v>25</v>
      </c>
      <c r="B2" s="7" t="s">
        <v>16</v>
      </c>
      <c r="C2" s="7" t="s">
        <v>17</v>
      </c>
      <c r="D2" s="65" t="s">
        <v>900</v>
      </c>
      <c r="E2" s="65" t="s">
        <v>873</v>
      </c>
      <c r="F2" s="19" t="s">
        <v>94</v>
      </c>
      <c r="G2" s="7" t="s">
        <v>933</v>
      </c>
    </row>
    <row r="3" spans="1:7" s="85" customFormat="1" ht="18" customHeight="1" x14ac:dyDescent="0.3">
      <c r="A3" s="83" t="s">
        <v>528</v>
      </c>
      <c r="B3" s="83" t="s">
        <v>528</v>
      </c>
      <c r="C3" s="83" t="s">
        <v>528</v>
      </c>
      <c r="D3" s="83" t="s">
        <v>901</v>
      </c>
      <c r="E3" s="83" t="s">
        <v>528</v>
      </c>
      <c r="F3" s="84" t="s">
        <v>529</v>
      </c>
    </row>
    <row r="4" spans="1:7" s="95" customFormat="1" ht="14.1" customHeight="1" x14ac:dyDescent="0.2">
      <c r="A4" s="95" t="s">
        <v>28</v>
      </c>
      <c r="B4" s="95" t="s">
        <v>385</v>
      </c>
      <c r="C4" s="95" t="s">
        <v>852</v>
      </c>
      <c r="D4" s="92">
        <v>1</v>
      </c>
      <c r="E4" s="92">
        <v>1</v>
      </c>
      <c r="F4" s="121"/>
      <c r="G4" s="95" t="s">
        <v>934</v>
      </c>
    </row>
    <row r="5" spans="1:7" s="95" customFormat="1" ht="14.1" customHeight="1" x14ac:dyDescent="0.2">
      <c r="A5" s="95" t="s">
        <v>20</v>
      </c>
      <c r="B5" s="95" t="s">
        <v>385</v>
      </c>
      <c r="C5" s="95" t="s">
        <v>864</v>
      </c>
      <c r="D5" s="92">
        <v>2</v>
      </c>
      <c r="E5" s="92">
        <v>1</v>
      </c>
      <c r="F5" s="121"/>
      <c r="G5" s="95" t="s">
        <v>936</v>
      </c>
    </row>
    <row r="6" spans="1:7" s="95" customFormat="1" ht="14.1" customHeight="1" x14ac:dyDescent="0.2">
      <c r="A6" s="95" t="s">
        <v>79</v>
      </c>
      <c r="B6" s="95" t="s">
        <v>385</v>
      </c>
      <c r="C6" s="95" t="s">
        <v>859</v>
      </c>
      <c r="D6" s="92">
        <v>1</v>
      </c>
      <c r="E6" s="92">
        <v>2</v>
      </c>
      <c r="F6" s="121"/>
      <c r="G6" s="95" t="s">
        <v>935</v>
      </c>
    </row>
    <row r="7" spans="1:7" s="95" customFormat="1" ht="14.1" customHeight="1" x14ac:dyDescent="0.2">
      <c r="A7" s="95" t="s">
        <v>73</v>
      </c>
      <c r="B7" s="95" t="s">
        <v>385</v>
      </c>
      <c r="C7" s="95" t="s">
        <v>868</v>
      </c>
      <c r="D7" s="92">
        <v>2</v>
      </c>
      <c r="E7" s="92">
        <v>2</v>
      </c>
      <c r="F7" s="121"/>
      <c r="G7" s="95" t="s">
        <v>937</v>
      </c>
    </row>
    <row r="8" spans="1:7" ht="14.1" customHeight="1" x14ac:dyDescent="0.2">
      <c r="A8" s="2" t="s">
        <v>75</v>
      </c>
      <c r="B8" s="2" t="s">
        <v>927</v>
      </c>
      <c r="C8" s="2" t="s">
        <v>75</v>
      </c>
      <c r="D8" s="66">
        <v>1</v>
      </c>
      <c r="E8" s="66">
        <v>3</v>
      </c>
      <c r="F8" s="122" t="s">
        <v>940</v>
      </c>
      <c r="G8" s="2" t="s">
        <v>938</v>
      </c>
    </row>
    <row r="9" spans="1:7" ht="14.1" customHeight="1" x14ac:dyDescent="0.2">
      <c r="A9" s="2" t="s">
        <v>22</v>
      </c>
      <c r="B9" s="2" t="s">
        <v>927</v>
      </c>
      <c r="C9" s="2" t="s">
        <v>75</v>
      </c>
      <c r="D9" s="66">
        <v>2</v>
      </c>
      <c r="E9" s="66">
        <v>3</v>
      </c>
      <c r="F9" s="122" t="s">
        <v>941</v>
      </c>
      <c r="G9" s="2" t="s">
        <v>931</v>
      </c>
    </row>
    <row r="10" spans="1:7" ht="14.1" customHeight="1" x14ac:dyDescent="0.2"/>
    <row r="11" spans="1:7" ht="14.1" customHeight="1" x14ac:dyDescent="0.2"/>
    <row r="12" spans="1:7" ht="14.1" customHeight="1" x14ac:dyDescent="0.2"/>
    <row r="13" spans="1:7" ht="14.1" customHeight="1" x14ac:dyDescent="0.2"/>
    <row r="14" spans="1:7" ht="14.1" customHeight="1" x14ac:dyDescent="0.2"/>
    <row r="15" spans="1:7" ht="14.1" customHeight="1" x14ac:dyDescent="0.2"/>
    <row r="16" spans="1:7" ht="14.1" customHeight="1" x14ac:dyDescent="0.2"/>
    <row r="17" ht="14.1" customHeight="1" x14ac:dyDescent="0.2"/>
    <row r="18" ht="14.1" customHeight="1" x14ac:dyDescent="0.2"/>
    <row r="19" ht="14.1" customHeight="1" x14ac:dyDescent="0.2"/>
    <row r="20" ht="14.1" customHeight="1" x14ac:dyDescent="0.2"/>
    <row r="21" ht="14.1" customHeight="1" x14ac:dyDescent="0.2"/>
    <row r="22" ht="14.1" customHeight="1" x14ac:dyDescent="0.2"/>
    <row r="23" ht="14.1" customHeight="1" x14ac:dyDescent="0.2"/>
    <row r="24" ht="14.1" customHeight="1" x14ac:dyDescent="0.2"/>
    <row r="25" ht="14.1" customHeight="1" x14ac:dyDescent="0.2"/>
    <row r="26" ht="14.1" customHeight="1" x14ac:dyDescent="0.2"/>
    <row r="27" ht="14.1" customHeight="1" x14ac:dyDescent="0.2"/>
    <row r="28" ht="14.1" customHeight="1" x14ac:dyDescent="0.2"/>
    <row r="29" ht="14.1" customHeight="1" x14ac:dyDescent="0.2"/>
    <row r="30" ht="14.1" customHeight="1" x14ac:dyDescent="0.2"/>
    <row r="31" ht="14.1" customHeight="1" x14ac:dyDescent="0.2"/>
    <row r="32" ht="14.1" customHeight="1" x14ac:dyDescent="0.2"/>
    <row r="33" ht="14.1" customHeight="1" x14ac:dyDescent="0.2"/>
    <row r="34" ht="14.1" customHeight="1" x14ac:dyDescent="0.2"/>
    <row r="35" ht="14.1" customHeight="1" x14ac:dyDescent="0.2"/>
    <row r="36" ht="14.1" customHeight="1" x14ac:dyDescent="0.2"/>
    <row r="37" ht="14.1" customHeight="1" x14ac:dyDescent="0.2"/>
    <row r="38" ht="14.1" customHeight="1" x14ac:dyDescent="0.2"/>
    <row r="39" ht="14.1" customHeight="1" x14ac:dyDescent="0.2"/>
    <row r="40" ht="14.1" customHeight="1" x14ac:dyDescent="0.2"/>
    <row r="41" ht="14.1" customHeight="1" x14ac:dyDescent="0.2"/>
    <row r="42" ht="14.1" customHeight="1" x14ac:dyDescent="0.2"/>
    <row r="43" ht="14.1" customHeight="1" x14ac:dyDescent="0.2"/>
    <row r="44" ht="14.1" customHeight="1" x14ac:dyDescent="0.2"/>
    <row r="45" ht="14.1" customHeight="1" x14ac:dyDescent="0.2"/>
    <row r="46" ht="14.1" customHeight="1" x14ac:dyDescent="0.2"/>
    <row r="47" ht="14.1" customHeight="1" x14ac:dyDescent="0.2"/>
    <row r="48" ht="14.1" customHeight="1" x14ac:dyDescent="0.2"/>
    <row r="49" ht="14.1" customHeight="1" x14ac:dyDescent="0.2"/>
    <row r="50" ht="14.1" customHeight="1" x14ac:dyDescent="0.2"/>
    <row r="51" ht="14.1" customHeight="1" x14ac:dyDescent="0.2"/>
    <row r="52" ht="14.1" customHeight="1" x14ac:dyDescent="0.2"/>
    <row r="53" ht="14.1" customHeight="1" x14ac:dyDescent="0.2"/>
    <row r="54" ht="14.1" customHeight="1" x14ac:dyDescent="0.2"/>
    <row r="55" ht="14.1" customHeight="1" x14ac:dyDescent="0.2"/>
    <row r="56" ht="14.1" customHeight="1" x14ac:dyDescent="0.2"/>
    <row r="57" ht="14.1" customHeight="1" x14ac:dyDescent="0.2"/>
    <row r="58" ht="14.1" customHeight="1" x14ac:dyDescent="0.2"/>
    <row r="59" ht="14.1" customHeight="1" x14ac:dyDescent="0.2"/>
    <row r="60" ht="14.1" customHeight="1" x14ac:dyDescent="0.2"/>
    <row r="61" ht="14.1" customHeight="1" x14ac:dyDescent="0.2"/>
    <row r="62" ht="14.1" customHeight="1" x14ac:dyDescent="0.2"/>
    <row r="63" ht="14.1" customHeight="1" x14ac:dyDescent="0.2"/>
    <row r="64" ht="14.1" customHeight="1" x14ac:dyDescent="0.2"/>
    <row r="65" spans="4:6" ht="14.1" customHeight="1" x14ac:dyDescent="0.2"/>
    <row r="66" spans="4:6" ht="14.1" customHeight="1" x14ac:dyDescent="0.2"/>
    <row r="67" spans="4:6" ht="14.1" customHeight="1" x14ac:dyDescent="0.2"/>
    <row r="68" spans="4:6" ht="14.1" customHeight="1" x14ac:dyDescent="0.2"/>
    <row r="69" spans="4:6" ht="14.1" customHeight="1" x14ac:dyDescent="0.2"/>
    <row r="70" spans="4:6" ht="14.1" customHeight="1" x14ac:dyDescent="0.2"/>
    <row r="71" spans="4:6" ht="14.1" customHeight="1" x14ac:dyDescent="0.3">
      <c r="D71" s="69"/>
      <c r="E71" s="69"/>
      <c r="F71" s="69"/>
    </row>
    <row r="72" spans="4:6" ht="14.1" customHeight="1" x14ac:dyDescent="0.2"/>
    <row r="73" spans="4:6" s="12" customFormat="1" ht="14.1" customHeight="1" x14ac:dyDescent="0.3">
      <c r="D73" s="66"/>
      <c r="E73" s="66"/>
      <c r="F73" s="66"/>
    </row>
    <row r="74" spans="4:6" ht="14.1" customHeight="1" x14ac:dyDescent="0.2"/>
    <row r="75" spans="4:6" ht="14.1" customHeight="1" x14ac:dyDescent="0.2"/>
    <row r="76" spans="4:6" ht="14.1" customHeight="1" x14ac:dyDescent="0.2"/>
    <row r="77" spans="4:6" ht="14.1" customHeight="1" x14ac:dyDescent="0.2"/>
    <row r="78" spans="4:6" ht="14.1" customHeight="1" x14ac:dyDescent="0.2"/>
    <row r="79" spans="4:6" ht="14.1" customHeight="1" x14ac:dyDescent="0.2"/>
    <row r="80" spans="4:6" ht="14.1" customHeight="1" x14ac:dyDescent="0.2"/>
    <row r="81" ht="14.1" customHeight="1" x14ac:dyDescent="0.2"/>
    <row r="82" ht="14.1" customHeight="1" x14ac:dyDescent="0.2"/>
    <row r="83" ht="14.1" customHeight="1" x14ac:dyDescent="0.2"/>
    <row r="84" ht="14.1" customHeight="1" x14ac:dyDescent="0.2"/>
    <row r="85" ht="14.1" customHeight="1" x14ac:dyDescent="0.2"/>
    <row r="86" ht="14.1" customHeight="1" x14ac:dyDescent="0.2"/>
    <row r="87" ht="14.1" customHeight="1" x14ac:dyDescent="0.2"/>
    <row r="88" ht="14.1" customHeight="1" x14ac:dyDescent="0.2"/>
    <row r="89" ht="14.1" customHeight="1" x14ac:dyDescent="0.2"/>
    <row r="90" ht="14.1" customHeight="1" x14ac:dyDescent="0.2"/>
    <row r="91" ht="14.1" customHeight="1" x14ac:dyDescent="0.2"/>
    <row r="92" ht="14.1" customHeight="1" x14ac:dyDescent="0.2"/>
    <row r="93" ht="14.1" customHeight="1" x14ac:dyDescent="0.2"/>
    <row r="94" ht="14.1" customHeight="1" x14ac:dyDescent="0.2"/>
    <row r="95" ht="14.1" customHeight="1" x14ac:dyDescent="0.2"/>
    <row r="96" ht="14.1" customHeight="1" x14ac:dyDescent="0.2"/>
    <row r="97" ht="14.1" customHeight="1" x14ac:dyDescent="0.2"/>
    <row r="98" ht="14.1" customHeight="1" x14ac:dyDescent="0.2"/>
    <row r="99" ht="14.1" customHeight="1" x14ac:dyDescent="0.2"/>
    <row r="100" ht="14.1" customHeight="1" x14ac:dyDescent="0.2"/>
    <row r="101" ht="14.1" customHeight="1" x14ac:dyDescent="0.2"/>
    <row r="102" ht="14.1" customHeight="1" x14ac:dyDescent="0.2"/>
    <row r="103" ht="14.1" customHeight="1" x14ac:dyDescent="0.2"/>
    <row r="104" ht="14.1" customHeight="1" x14ac:dyDescent="0.2"/>
    <row r="105" ht="14.1" customHeight="1" x14ac:dyDescent="0.2"/>
    <row r="106" ht="14.1" customHeight="1" x14ac:dyDescent="0.2"/>
    <row r="107" ht="14.1" customHeight="1" x14ac:dyDescent="0.2"/>
    <row r="108" ht="14.1" customHeight="1" x14ac:dyDescent="0.2"/>
    <row r="109" ht="14.1" customHeight="1" x14ac:dyDescent="0.2"/>
    <row r="110" ht="14.1" customHeight="1" x14ac:dyDescent="0.2"/>
    <row r="111" ht="14.1" customHeight="1" x14ac:dyDescent="0.2"/>
    <row r="112" ht="14.1" customHeight="1" x14ac:dyDescent="0.2"/>
    <row r="113" ht="14.1" customHeight="1" x14ac:dyDescent="0.2"/>
    <row r="114" ht="14.1" customHeight="1" x14ac:dyDescent="0.2"/>
    <row r="115" ht="14.1" customHeight="1" x14ac:dyDescent="0.2"/>
    <row r="116" ht="14.1" customHeight="1" x14ac:dyDescent="0.2"/>
    <row r="117" ht="14.1" customHeight="1" x14ac:dyDescent="0.2"/>
    <row r="118" ht="14.1" customHeight="1" x14ac:dyDescent="0.2"/>
    <row r="119" ht="14.1" customHeight="1" x14ac:dyDescent="0.2"/>
    <row r="120" ht="14.1" customHeight="1" x14ac:dyDescent="0.2"/>
    <row r="121" ht="14.1" customHeight="1" x14ac:dyDescent="0.2"/>
    <row r="122" ht="14.1" customHeight="1" x14ac:dyDescent="0.2"/>
    <row r="123" ht="14.1" customHeight="1" x14ac:dyDescent="0.2"/>
    <row r="124" ht="14.1" customHeight="1" x14ac:dyDescent="0.2"/>
    <row r="125" ht="14.1" customHeight="1" x14ac:dyDescent="0.2"/>
    <row r="126" ht="14.1" customHeight="1" x14ac:dyDescent="0.2"/>
    <row r="127" ht="14.1" customHeight="1" x14ac:dyDescent="0.2"/>
    <row r="128" ht="14.1" customHeight="1" x14ac:dyDescent="0.2"/>
    <row r="129" ht="14.1" customHeight="1" x14ac:dyDescent="0.2"/>
    <row r="130" ht="14.1" customHeight="1" x14ac:dyDescent="0.2"/>
    <row r="131" ht="14.1" customHeight="1" x14ac:dyDescent="0.2"/>
    <row r="132" ht="14.1" customHeight="1" x14ac:dyDescent="0.2"/>
    <row r="133" ht="14.1" customHeight="1" x14ac:dyDescent="0.2"/>
    <row r="134" ht="14.1" customHeight="1" x14ac:dyDescent="0.2"/>
    <row r="135" ht="14.1" customHeight="1" x14ac:dyDescent="0.2"/>
    <row r="136" ht="14.1" customHeight="1" x14ac:dyDescent="0.2"/>
    <row r="137" ht="14.1" customHeight="1" x14ac:dyDescent="0.2"/>
    <row r="138" ht="14.1" customHeight="1" x14ac:dyDescent="0.2"/>
    <row r="139" ht="14.1" customHeight="1" x14ac:dyDescent="0.2"/>
    <row r="140" ht="14.1" customHeight="1" x14ac:dyDescent="0.2"/>
    <row r="141" ht="14.1" customHeight="1" x14ac:dyDescent="0.2"/>
    <row r="142" ht="14.1" customHeight="1" x14ac:dyDescent="0.2"/>
    <row r="143" ht="14.1" customHeight="1" x14ac:dyDescent="0.2"/>
    <row r="144" ht="14.1" customHeight="1" x14ac:dyDescent="0.2"/>
    <row r="145" ht="14.1" customHeight="1" x14ac:dyDescent="0.2"/>
    <row r="146" ht="14.1" customHeight="1" x14ac:dyDescent="0.2"/>
    <row r="147" ht="14.1" customHeight="1" x14ac:dyDescent="0.2"/>
    <row r="148" ht="14.1" customHeight="1" x14ac:dyDescent="0.2"/>
    <row r="149" ht="14.1" customHeight="1" x14ac:dyDescent="0.2"/>
    <row r="150" ht="14.1" customHeight="1" x14ac:dyDescent="0.2"/>
    <row r="151" ht="14.1" customHeight="1" x14ac:dyDescent="0.2"/>
    <row r="152" ht="14.1" customHeight="1" x14ac:dyDescent="0.2"/>
    <row r="153" ht="14.1" customHeight="1" x14ac:dyDescent="0.2"/>
    <row r="154" ht="14.1" customHeight="1" x14ac:dyDescent="0.2"/>
    <row r="155" ht="14.1" customHeight="1" x14ac:dyDescent="0.2"/>
    <row r="156" ht="14.1" customHeight="1" x14ac:dyDescent="0.2"/>
    <row r="157" ht="14.1" customHeight="1" x14ac:dyDescent="0.2"/>
    <row r="158" ht="14.1" customHeight="1" x14ac:dyDescent="0.2"/>
    <row r="159" ht="14.1" customHeight="1" x14ac:dyDescent="0.2"/>
    <row r="160" ht="14.1" customHeight="1" x14ac:dyDescent="0.2"/>
    <row r="161" ht="14.1" customHeight="1" x14ac:dyDescent="0.2"/>
    <row r="162" ht="14.1" customHeight="1" x14ac:dyDescent="0.2"/>
    <row r="163" ht="14.1" customHeight="1" x14ac:dyDescent="0.2"/>
    <row r="164" ht="14.1" customHeight="1" x14ac:dyDescent="0.2"/>
    <row r="165" ht="14.1" customHeight="1" x14ac:dyDescent="0.2"/>
    <row r="166" ht="14.1" customHeight="1" x14ac:dyDescent="0.2"/>
    <row r="167" ht="14.1" customHeight="1" x14ac:dyDescent="0.2"/>
    <row r="168" ht="14.1" customHeight="1" x14ac:dyDescent="0.2"/>
    <row r="169" ht="14.1" customHeight="1" x14ac:dyDescent="0.2"/>
    <row r="170" ht="14.1" customHeight="1" x14ac:dyDescent="0.2"/>
    <row r="171" ht="14.1" customHeight="1" x14ac:dyDescent="0.2"/>
    <row r="172" ht="14.1" customHeight="1" x14ac:dyDescent="0.2"/>
    <row r="173" ht="14.1" customHeight="1" x14ac:dyDescent="0.2"/>
    <row r="174" ht="14.1" customHeight="1" x14ac:dyDescent="0.2"/>
    <row r="175" ht="14.1" customHeight="1" x14ac:dyDescent="0.2"/>
    <row r="176" ht="14.1" customHeight="1" x14ac:dyDescent="0.2"/>
    <row r="177" ht="14.1" customHeight="1" x14ac:dyDescent="0.2"/>
    <row r="178" ht="14.1" customHeight="1" x14ac:dyDescent="0.2"/>
    <row r="179" ht="14.1" customHeight="1" x14ac:dyDescent="0.2"/>
    <row r="180" ht="14.1" customHeight="1" x14ac:dyDescent="0.2"/>
    <row r="181" ht="14.1" customHeight="1" x14ac:dyDescent="0.2"/>
    <row r="182" ht="14.1" customHeight="1" x14ac:dyDescent="0.2"/>
    <row r="183" ht="14.1" customHeight="1" x14ac:dyDescent="0.2"/>
    <row r="184" ht="14.1" customHeight="1" x14ac:dyDescent="0.2"/>
    <row r="185" ht="14.1" customHeight="1" x14ac:dyDescent="0.2"/>
    <row r="186" ht="14.1" customHeight="1" x14ac:dyDescent="0.2"/>
    <row r="187" ht="14.1" customHeight="1" x14ac:dyDescent="0.2"/>
    <row r="188" ht="14.1" customHeight="1" x14ac:dyDescent="0.2"/>
    <row r="189" ht="14.1" customHeight="1" x14ac:dyDescent="0.2"/>
    <row r="190" ht="14.1" customHeight="1" x14ac:dyDescent="0.2"/>
    <row r="191" ht="14.1" customHeight="1" x14ac:dyDescent="0.2"/>
    <row r="192" ht="14.1" customHeight="1" x14ac:dyDescent="0.2"/>
    <row r="193" ht="14.1" customHeight="1" x14ac:dyDescent="0.2"/>
    <row r="194" ht="14.1" customHeight="1" x14ac:dyDescent="0.2"/>
    <row r="195" ht="14.1" customHeight="1" x14ac:dyDescent="0.2"/>
    <row r="196" ht="14.1" customHeight="1" x14ac:dyDescent="0.2"/>
    <row r="197" ht="14.1" customHeight="1" x14ac:dyDescent="0.2"/>
    <row r="198" ht="14.1" customHeight="1" x14ac:dyDescent="0.2"/>
    <row r="199" ht="14.1" customHeight="1" x14ac:dyDescent="0.2"/>
    <row r="200" ht="14.1" customHeight="1" x14ac:dyDescent="0.2"/>
    <row r="201" ht="14.1" customHeight="1" x14ac:dyDescent="0.2"/>
    <row r="202" ht="14.1" customHeight="1" x14ac:dyDescent="0.2"/>
    <row r="203" ht="14.1" customHeight="1" x14ac:dyDescent="0.2"/>
    <row r="204" ht="14.1" customHeight="1" x14ac:dyDescent="0.2"/>
    <row r="205" ht="14.1" customHeight="1" x14ac:dyDescent="0.2"/>
    <row r="206" ht="14.1" customHeight="1" x14ac:dyDescent="0.2"/>
    <row r="207" ht="14.1" customHeight="1" x14ac:dyDescent="0.2"/>
    <row r="208" ht="14.1" customHeight="1" x14ac:dyDescent="0.2"/>
    <row r="209" ht="14.1" customHeight="1" x14ac:dyDescent="0.2"/>
    <row r="210" ht="14.1" customHeight="1" x14ac:dyDescent="0.2"/>
    <row r="211" ht="14.1" customHeight="1" x14ac:dyDescent="0.2"/>
    <row r="212" ht="14.1" customHeight="1" x14ac:dyDescent="0.2"/>
    <row r="213" ht="14.1" customHeight="1" x14ac:dyDescent="0.2"/>
    <row r="214" ht="14.1" customHeight="1" x14ac:dyDescent="0.2"/>
    <row r="215" ht="14.1" customHeight="1" x14ac:dyDescent="0.2"/>
    <row r="216" ht="14.1" customHeight="1" x14ac:dyDescent="0.2"/>
    <row r="217" ht="14.1" customHeight="1" x14ac:dyDescent="0.2"/>
    <row r="218" ht="14.1" customHeight="1" x14ac:dyDescent="0.2"/>
    <row r="219" ht="14.1" customHeight="1" x14ac:dyDescent="0.2"/>
    <row r="220" ht="14.1" customHeight="1" x14ac:dyDescent="0.2"/>
    <row r="221" ht="14.1" customHeight="1" x14ac:dyDescent="0.2"/>
    <row r="222" ht="14.1" customHeight="1" x14ac:dyDescent="0.2"/>
    <row r="223" ht="14.1" customHeight="1" x14ac:dyDescent="0.2"/>
    <row r="224" ht="14.1" customHeight="1" x14ac:dyDescent="0.2"/>
    <row r="225" ht="14.1" customHeight="1" x14ac:dyDescent="0.2"/>
    <row r="226" ht="14.1" customHeight="1" x14ac:dyDescent="0.2"/>
    <row r="227" ht="14.1" customHeight="1" x14ac:dyDescent="0.2"/>
    <row r="228" ht="14.1" customHeight="1" x14ac:dyDescent="0.2"/>
    <row r="229" ht="14.1" customHeight="1" x14ac:dyDescent="0.2"/>
    <row r="230" ht="14.1" customHeight="1" x14ac:dyDescent="0.2"/>
    <row r="231" ht="14.1" customHeight="1" x14ac:dyDescent="0.2"/>
    <row r="232" ht="14.1" customHeight="1" x14ac:dyDescent="0.2"/>
    <row r="233" ht="14.1" customHeight="1" x14ac:dyDescent="0.2"/>
    <row r="234" ht="14.1" customHeight="1" x14ac:dyDescent="0.2"/>
    <row r="235" ht="14.1" customHeight="1" x14ac:dyDescent="0.2"/>
    <row r="236" ht="14.1" customHeight="1" x14ac:dyDescent="0.2"/>
    <row r="237" ht="14.1" customHeight="1" x14ac:dyDescent="0.2"/>
    <row r="238" ht="14.1" customHeight="1" x14ac:dyDescent="0.2"/>
    <row r="239" ht="14.1" customHeight="1" x14ac:dyDescent="0.2"/>
    <row r="240" ht="14.1" customHeight="1" x14ac:dyDescent="0.2"/>
    <row r="241" ht="14.1" customHeight="1" x14ac:dyDescent="0.2"/>
    <row r="242" ht="14.1" customHeight="1" x14ac:dyDescent="0.2"/>
    <row r="243" ht="14.1" customHeight="1" x14ac:dyDescent="0.2"/>
    <row r="244" ht="14.1" customHeight="1" x14ac:dyDescent="0.2"/>
    <row r="245" ht="14.1" customHeight="1" x14ac:dyDescent="0.2"/>
    <row r="246" ht="14.1" customHeight="1" x14ac:dyDescent="0.2"/>
    <row r="247" ht="14.1" customHeight="1" x14ac:dyDescent="0.2"/>
    <row r="248" ht="14.1" customHeight="1" x14ac:dyDescent="0.2"/>
    <row r="249" ht="14.1" customHeight="1" x14ac:dyDescent="0.2"/>
    <row r="250" ht="14.1" customHeight="1" x14ac:dyDescent="0.2"/>
    <row r="251" ht="14.1" customHeight="1" x14ac:dyDescent="0.2"/>
    <row r="252" ht="14.1" customHeight="1" x14ac:dyDescent="0.2"/>
    <row r="253" ht="14.1" customHeight="1" x14ac:dyDescent="0.2"/>
    <row r="254" ht="14.1" customHeight="1" x14ac:dyDescent="0.2"/>
    <row r="255" ht="14.1" customHeight="1" x14ac:dyDescent="0.2"/>
    <row r="256" ht="14.1" customHeight="1" x14ac:dyDescent="0.2"/>
    <row r="257" ht="14.1" customHeight="1" x14ac:dyDescent="0.2"/>
    <row r="258" ht="14.1" customHeight="1" x14ac:dyDescent="0.2"/>
    <row r="259" ht="14.1" customHeight="1" x14ac:dyDescent="0.2"/>
    <row r="260" ht="14.1" customHeight="1" x14ac:dyDescent="0.2"/>
    <row r="261" ht="14.1" customHeight="1" x14ac:dyDescent="0.2"/>
    <row r="262" ht="14.1" customHeight="1" x14ac:dyDescent="0.2"/>
    <row r="263" ht="14.1" customHeight="1" x14ac:dyDescent="0.2"/>
    <row r="264" ht="14.1" customHeight="1" x14ac:dyDescent="0.2"/>
    <row r="265" ht="14.1" customHeight="1" x14ac:dyDescent="0.2"/>
    <row r="266" ht="14.1" customHeight="1" x14ac:dyDescent="0.2"/>
    <row r="267" ht="14.1" customHeight="1" x14ac:dyDescent="0.2"/>
    <row r="268" ht="14.1" customHeight="1" x14ac:dyDescent="0.2"/>
    <row r="269" ht="14.1" customHeight="1" x14ac:dyDescent="0.2"/>
    <row r="270" ht="14.1" customHeight="1" x14ac:dyDescent="0.2"/>
    <row r="271" ht="14.1" customHeight="1" x14ac:dyDescent="0.2"/>
    <row r="272" ht="14.1" customHeight="1" x14ac:dyDescent="0.2"/>
    <row r="273" ht="14.1" customHeight="1" x14ac:dyDescent="0.2"/>
    <row r="274" ht="14.1" customHeight="1" x14ac:dyDescent="0.2"/>
    <row r="275" ht="14.1" customHeight="1" x14ac:dyDescent="0.2"/>
    <row r="276" ht="14.1" customHeight="1" x14ac:dyDescent="0.2"/>
    <row r="277" ht="14.1" customHeight="1" x14ac:dyDescent="0.2"/>
    <row r="278" ht="14.1" customHeight="1" x14ac:dyDescent="0.2"/>
    <row r="279" ht="14.1" customHeight="1" x14ac:dyDescent="0.2"/>
    <row r="280" ht="14.1" customHeight="1" x14ac:dyDescent="0.2"/>
    <row r="281" ht="14.1" customHeight="1" x14ac:dyDescent="0.2"/>
    <row r="282" ht="14.1" customHeight="1" x14ac:dyDescent="0.2"/>
    <row r="283" ht="14.1" customHeight="1" x14ac:dyDescent="0.2"/>
    <row r="284" ht="14.1" customHeight="1" x14ac:dyDescent="0.2"/>
    <row r="285" ht="14.1" customHeight="1" x14ac:dyDescent="0.2"/>
    <row r="286" ht="14.1" customHeight="1" x14ac:dyDescent="0.2"/>
    <row r="287" ht="14.1" customHeight="1" x14ac:dyDescent="0.2"/>
    <row r="288" ht="14.1" customHeight="1" x14ac:dyDescent="0.2"/>
    <row r="289" ht="14.1" customHeight="1" x14ac:dyDescent="0.2"/>
    <row r="290" ht="14.1" customHeight="1" x14ac:dyDescent="0.2"/>
    <row r="291" ht="14.1" customHeight="1" x14ac:dyDescent="0.2"/>
    <row r="292" ht="14.1" customHeight="1" x14ac:dyDescent="0.2"/>
    <row r="293" ht="14.1" customHeight="1" x14ac:dyDescent="0.2"/>
    <row r="294" ht="14.1" customHeight="1" x14ac:dyDescent="0.2"/>
    <row r="295" ht="14.1" customHeight="1" x14ac:dyDescent="0.2"/>
    <row r="296" ht="14.1" customHeight="1" x14ac:dyDescent="0.2"/>
    <row r="297" ht="14.1" customHeight="1" x14ac:dyDescent="0.2"/>
    <row r="298" ht="14.1" customHeight="1" x14ac:dyDescent="0.2"/>
    <row r="299" ht="14.1" customHeight="1" x14ac:dyDescent="0.2"/>
    <row r="300" ht="14.1" customHeight="1" x14ac:dyDescent="0.2"/>
    <row r="301" ht="14.1" customHeight="1" x14ac:dyDescent="0.2"/>
    <row r="302" ht="14.1" customHeight="1" x14ac:dyDescent="0.2"/>
    <row r="303" ht="14.1" customHeight="1" x14ac:dyDescent="0.2"/>
    <row r="304" ht="14.1" customHeight="1" x14ac:dyDescent="0.2"/>
    <row r="305" ht="14.1" customHeight="1" x14ac:dyDescent="0.2"/>
    <row r="306" ht="14.1" customHeight="1" x14ac:dyDescent="0.2"/>
    <row r="307" ht="14.1" customHeight="1" x14ac:dyDescent="0.2"/>
    <row r="308" ht="14.1" customHeight="1" x14ac:dyDescent="0.2"/>
    <row r="309" ht="14.1" customHeight="1" x14ac:dyDescent="0.2"/>
    <row r="310" ht="14.1" customHeight="1" x14ac:dyDescent="0.2"/>
    <row r="311" ht="14.1" customHeight="1" x14ac:dyDescent="0.2"/>
    <row r="312" ht="14.1" customHeight="1" x14ac:dyDescent="0.2"/>
    <row r="313" ht="14.1" customHeight="1" x14ac:dyDescent="0.2"/>
    <row r="314" ht="14.1" customHeight="1" x14ac:dyDescent="0.2"/>
    <row r="315" ht="14.1" customHeight="1" x14ac:dyDescent="0.2"/>
    <row r="316" ht="14.1" customHeight="1" x14ac:dyDescent="0.2"/>
    <row r="317" ht="14.1" customHeight="1" x14ac:dyDescent="0.2"/>
    <row r="318" ht="14.1" customHeight="1" x14ac:dyDescent="0.2"/>
    <row r="319" ht="14.1" customHeight="1" x14ac:dyDescent="0.2"/>
    <row r="320" ht="14.1" customHeight="1" x14ac:dyDescent="0.2"/>
    <row r="321" ht="14.1" customHeight="1" x14ac:dyDescent="0.2"/>
    <row r="322" ht="14.1" customHeight="1" x14ac:dyDescent="0.2"/>
    <row r="323" ht="14.1" customHeight="1" x14ac:dyDescent="0.2"/>
    <row r="324" ht="14.1" customHeight="1" x14ac:dyDescent="0.2"/>
    <row r="325" ht="14.1" customHeight="1" x14ac:dyDescent="0.2"/>
    <row r="326" ht="14.1" customHeight="1" x14ac:dyDescent="0.2"/>
    <row r="327" ht="14.1" customHeight="1" x14ac:dyDescent="0.2"/>
    <row r="328" ht="14.1" customHeight="1" x14ac:dyDescent="0.2"/>
    <row r="329" ht="14.1" customHeight="1" x14ac:dyDescent="0.2"/>
    <row r="330" ht="14.1" customHeight="1" x14ac:dyDescent="0.2"/>
    <row r="331" ht="14.1" customHeight="1" x14ac:dyDescent="0.2"/>
    <row r="332" ht="14.1" customHeight="1" x14ac:dyDescent="0.2"/>
    <row r="333" ht="14.1" customHeight="1" x14ac:dyDescent="0.2"/>
    <row r="334" ht="14.1" customHeight="1" x14ac:dyDescent="0.2"/>
    <row r="335" ht="14.1" customHeight="1" x14ac:dyDescent="0.2"/>
    <row r="336" ht="14.1" customHeight="1" x14ac:dyDescent="0.2"/>
    <row r="337" ht="14.1" customHeight="1" x14ac:dyDescent="0.2"/>
    <row r="338" ht="14.1" customHeight="1" x14ac:dyDescent="0.2"/>
    <row r="339" ht="14.1" customHeight="1" x14ac:dyDescent="0.2"/>
    <row r="340" ht="14.1" customHeight="1" x14ac:dyDescent="0.2"/>
    <row r="341" ht="14.1" customHeight="1" x14ac:dyDescent="0.2"/>
    <row r="342" ht="14.1" customHeight="1" x14ac:dyDescent="0.2"/>
    <row r="343" ht="14.1" customHeight="1" x14ac:dyDescent="0.2"/>
    <row r="344" ht="14.1" customHeight="1" x14ac:dyDescent="0.2"/>
    <row r="345" ht="14.1" customHeight="1" x14ac:dyDescent="0.2"/>
    <row r="346" ht="14.1" customHeight="1" x14ac:dyDescent="0.2"/>
    <row r="347" ht="14.1" customHeight="1" x14ac:dyDescent="0.2"/>
    <row r="348" ht="14.1" customHeight="1" x14ac:dyDescent="0.2"/>
    <row r="349" ht="14.1" customHeight="1" x14ac:dyDescent="0.2"/>
    <row r="350" ht="14.1" customHeight="1" x14ac:dyDescent="0.2"/>
    <row r="351" ht="14.1" customHeight="1" x14ac:dyDescent="0.2"/>
    <row r="352" ht="14.1" customHeight="1" x14ac:dyDescent="0.2"/>
    <row r="353" ht="14.1" customHeight="1" x14ac:dyDescent="0.2"/>
    <row r="354" ht="14.1" customHeight="1" x14ac:dyDescent="0.2"/>
    <row r="355" ht="14.1" customHeight="1" x14ac:dyDescent="0.2"/>
    <row r="356" ht="14.1" customHeight="1" x14ac:dyDescent="0.2"/>
    <row r="357" ht="14.1" customHeight="1" x14ac:dyDescent="0.2"/>
    <row r="358" ht="14.1" customHeight="1" x14ac:dyDescent="0.2"/>
    <row r="359" ht="14.1" customHeight="1" x14ac:dyDescent="0.2"/>
    <row r="360" ht="14.1" customHeight="1" x14ac:dyDescent="0.2"/>
    <row r="361" ht="14.1" customHeight="1" x14ac:dyDescent="0.2"/>
    <row r="362" ht="14.1" customHeight="1" x14ac:dyDescent="0.2"/>
    <row r="363" ht="14.1" customHeight="1" x14ac:dyDescent="0.2"/>
    <row r="364" ht="14.1" customHeight="1" x14ac:dyDescent="0.2"/>
    <row r="365" ht="14.1" customHeight="1" x14ac:dyDescent="0.2"/>
    <row r="366" ht="14.1" customHeight="1" x14ac:dyDescent="0.2"/>
    <row r="367" ht="14.1" customHeight="1" x14ac:dyDescent="0.2"/>
    <row r="368" ht="14.1" customHeight="1" x14ac:dyDescent="0.2"/>
    <row r="369" ht="14.1" customHeight="1" x14ac:dyDescent="0.2"/>
    <row r="370" ht="14.1" customHeight="1" x14ac:dyDescent="0.2"/>
    <row r="371" ht="14.1" customHeight="1" x14ac:dyDescent="0.2"/>
    <row r="372" ht="14.1" customHeight="1" x14ac:dyDescent="0.2"/>
    <row r="373" ht="14.1" customHeight="1" x14ac:dyDescent="0.2"/>
    <row r="374" ht="14.1" customHeight="1" x14ac:dyDescent="0.2"/>
    <row r="375" ht="14.1" customHeight="1" x14ac:dyDescent="0.2"/>
    <row r="376" ht="14.1" customHeight="1" x14ac:dyDescent="0.2"/>
    <row r="377" ht="14.1" customHeight="1" x14ac:dyDescent="0.2"/>
    <row r="378" ht="14.1" customHeight="1" x14ac:dyDescent="0.2"/>
    <row r="379" ht="14.1" customHeight="1" x14ac:dyDescent="0.2"/>
    <row r="380" ht="14.1" customHeight="1" x14ac:dyDescent="0.2"/>
    <row r="381" ht="14.1" customHeight="1" x14ac:dyDescent="0.2"/>
    <row r="382" ht="14.1" customHeight="1" x14ac:dyDescent="0.2"/>
  </sheetData>
  <phoneticPr fontId="7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GemShopItemTable</vt:lpstr>
      <vt:lpstr>RaidTable</vt:lpstr>
      <vt:lpstr>RaidMultiInfoTable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2021-09-28T09:28:06Z</dcterms:modified>
</cp:coreProperties>
</file>