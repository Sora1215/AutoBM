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C36292D3-313D-4793-8DB4-5926B131AFFC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GuildSkillLevelTable" sheetId="8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4" i="8" l="1"/>
  <c r="H115" i="8" s="1"/>
  <c r="H116" i="8" s="1"/>
  <c r="H117" i="8" s="1"/>
  <c r="H118" i="8" s="1"/>
  <c r="H119" i="8" s="1"/>
  <c r="H120" i="8" s="1"/>
  <c r="H121" i="8" s="1"/>
  <c r="H122" i="8" s="1"/>
  <c r="H104" i="8"/>
  <c r="H105" i="8" s="1"/>
  <c r="H106" i="8" s="1"/>
  <c r="H107" i="8" s="1"/>
  <c r="H108" i="8" s="1"/>
  <c r="H109" i="8" s="1"/>
  <c r="H110" i="8" s="1"/>
  <c r="H111" i="8" s="1"/>
  <c r="H112" i="8" s="1"/>
  <c r="H94" i="8"/>
  <c r="H95" i="8" s="1"/>
  <c r="H96" i="8" s="1"/>
  <c r="H97" i="8" s="1"/>
  <c r="H98" i="8" s="1"/>
  <c r="H99" i="8" s="1"/>
  <c r="H100" i="8" s="1"/>
  <c r="H101" i="8" s="1"/>
  <c r="H102" i="8" s="1"/>
  <c r="H84" i="8"/>
  <c r="H85" i="8" s="1"/>
  <c r="H86" i="8" s="1"/>
  <c r="H87" i="8" s="1"/>
  <c r="H88" i="8" s="1"/>
  <c r="H89" i="8" s="1"/>
  <c r="H90" i="8" s="1"/>
  <c r="H91" i="8" s="1"/>
  <c r="H92" i="8" s="1"/>
  <c r="H74" i="8"/>
  <c r="H75" i="8" s="1"/>
  <c r="H76" i="8" s="1"/>
  <c r="H77" i="8" s="1"/>
  <c r="H78" i="8" s="1"/>
  <c r="H79" i="8" s="1"/>
  <c r="H80" i="8" s="1"/>
  <c r="H81" i="8" s="1"/>
  <c r="H82" i="8" s="1"/>
  <c r="H64" i="8"/>
  <c r="H65" i="8" s="1"/>
  <c r="H66" i="8" s="1"/>
  <c r="H67" i="8" s="1"/>
  <c r="H68" i="8" s="1"/>
  <c r="H69" i="8" s="1"/>
  <c r="H70" i="8" s="1"/>
  <c r="H71" i="8" s="1"/>
  <c r="H72" i="8" s="1"/>
  <c r="F64" i="8"/>
  <c r="F65" i="8" s="1"/>
  <c r="F66" i="8" s="1"/>
  <c r="F67" i="8" s="1"/>
  <c r="F68" i="8" s="1"/>
  <c r="F69" i="8" s="1"/>
  <c r="F70" i="8" s="1"/>
  <c r="F71" i="8" s="1"/>
  <c r="F72" i="8" s="1"/>
  <c r="F74" i="8" s="1"/>
  <c r="F75" i="8" s="1"/>
  <c r="F76" i="8" s="1"/>
  <c r="F77" i="8" s="1"/>
  <c r="F78" i="8" s="1"/>
  <c r="F79" i="8" s="1"/>
  <c r="F80" i="8" s="1"/>
  <c r="F81" i="8" s="1"/>
  <c r="F82" i="8" s="1"/>
  <c r="F84" i="8" s="1"/>
  <c r="F85" i="8" s="1"/>
  <c r="F86" i="8" s="1"/>
  <c r="F87" i="8" s="1"/>
  <c r="F88" i="8" s="1"/>
  <c r="F89" i="8" s="1"/>
  <c r="F90" i="8" s="1"/>
  <c r="F91" i="8" s="1"/>
  <c r="F92" i="8" s="1"/>
  <c r="F94" i="8" s="1"/>
  <c r="F95" i="8" s="1"/>
  <c r="F96" i="8" s="1"/>
  <c r="F97" i="8" s="1"/>
  <c r="F98" i="8" s="1"/>
  <c r="F99" i="8" s="1"/>
  <c r="F100" i="8" s="1"/>
  <c r="F101" i="8" s="1"/>
  <c r="F102" i="8" s="1"/>
  <c r="F104" i="8" s="1"/>
  <c r="F105" i="8" s="1"/>
  <c r="F106" i="8" s="1"/>
  <c r="F107" i="8" s="1"/>
  <c r="F108" i="8" s="1"/>
  <c r="F109" i="8" s="1"/>
  <c r="F110" i="8" s="1"/>
  <c r="F111" i="8" s="1"/>
  <c r="F112" i="8" s="1"/>
  <c r="F114" i="8" s="1"/>
  <c r="F115" i="8" s="1"/>
  <c r="F116" i="8" s="1"/>
  <c r="F117" i="8" s="1"/>
  <c r="F118" i="8" s="1"/>
  <c r="F119" i="8" s="1"/>
  <c r="F120" i="8" s="1"/>
  <c r="F121" i="8" s="1"/>
  <c r="F122" i="8" s="1"/>
  <c r="F54" i="8" l="1"/>
  <c r="F55" i="8" s="1"/>
  <c r="F56" i="8" s="1"/>
  <c r="F57" i="8" s="1"/>
  <c r="F58" i="8" s="1"/>
  <c r="F59" i="8" s="1"/>
  <c r="F60" i="8" s="1"/>
  <c r="F61" i="8" s="1"/>
  <c r="F62" i="8" s="1"/>
  <c r="F44" i="8"/>
  <c r="F45" i="8" s="1"/>
  <c r="F46" i="8" s="1"/>
  <c r="F47" i="8" s="1"/>
  <c r="F48" i="8" s="1"/>
  <c r="F49" i="8" s="1"/>
  <c r="F50" i="8" s="1"/>
  <c r="F51" i="8" s="1"/>
  <c r="F5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tc={26A681D6-DEC0-4517-B406-CBCA440A8869}</author>
    <author>tc={6EF0E88F-F56F-4C7D-B543-09CA4B2E0075}</author>
    <author>tc={CB427069-E1D9-4362-BB89-F16281E849E2}</author>
    <author>tc={67A7CCBB-3C2C-47BA-877B-204647BDCBD2}</author>
    <author>tc={C48DB43D-E314-4175-BB48-95EDEA28998F}</author>
    <author>tc={683475A7-1BDB-43E4-93D7-C8A12595CA79}</author>
    <author>tc={C617F162-B514-4C42-9642-210EFCE4F0D5}</author>
    <author>tc={EF8F43CF-B95C-44FB-A7D6-5D15CE95DCBE}</author>
    <author>tc={7463B43A-178C-4F21-9B89-D35534C63A4A}</author>
  </authors>
  <commentList>
    <comment ref="A1" authorId="0" shapeId="0" xr:uid="{26A681D6-DEC0-4517-B406-CBCA440A886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스킬 인덱스</t>
      </text>
    </comment>
    <comment ref="B1" authorId="1" shapeId="0" xr:uid="{6EF0E88F-F56F-4C7D-B543-09CA4B2E007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길드 스킬 레벨</t>
      </text>
    </comment>
    <comment ref="C1" authorId="2" shapeId="0" xr:uid="{CB427069-E1D9-4362-BB89-F16281E849E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값</t>
      </text>
    </comment>
    <comment ref="D1" authorId="3" shapeId="0" xr:uid="{67A7CCBB-3C2C-47BA-877B-204647BDCBD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스킬 인덱스</t>
      </text>
    </comment>
    <comment ref="E1" authorId="4" shapeId="0" xr:uid="{C48DB43D-E314-4175-BB48-95EDEA28998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활성화에 필요한 활동 포인트</t>
      </text>
    </comment>
    <comment ref="F1" authorId="5" shapeId="0" xr:uid="{683475A7-1BDB-43E4-93D7-C8A12595CA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총 활동 포인트</t>
      </text>
    </comment>
    <comment ref="G1" authorId="6" shapeId="0" xr:uid="{C617F162-B514-4C42-9642-210EFCE4F0D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토벌전 포인트</t>
      </text>
    </comment>
    <comment ref="H1" authorId="7" shapeId="0" xr:uid="{EF8F43CF-B95C-44FB-A7D6-5D15CE95DCB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총 토벌전 포인트</t>
      </text>
    </comment>
    <comment ref="I1" authorId="8" shapeId="0" xr:uid="{7463B43A-178C-4F21-9B89-D35534C63A4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필요한 훈련소 건물 레벨</t>
      </text>
    </comment>
  </commentList>
</comments>
</file>

<file path=xl/sharedStrings.xml><?xml version="1.0" encoding="utf-8"?>
<sst xmlns="http://schemas.openxmlformats.org/spreadsheetml/2006/main" count="432" uniqueCount="142">
  <si>
    <t>Values[]</t>
    <phoneticPr fontId="6" type="noConversion"/>
  </si>
  <si>
    <t>3</t>
  </si>
  <si>
    <t>4</t>
  </si>
  <si>
    <t>1</t>
  </si>
  <si>
    <t>2</t>
  </si>
  <si>
    <t>5</t>
  </si>
  <si>
    <t>6</t>
  </si>
  <si>
    <t>7</t>
  </si>
  <si>
    <t>8</t>
  </si>
  <si>
    <t>9</t>
  </si>
  <si>
    <t>10</t>
  </si>
  <si>
    <t>12</t>
  </si>
  <si>
    <t>15</t>
  </si>
  <si>
    <t>18</t>
  </si>
  <si>
    <t>21</t>
  </si>
  <si>
    <t>24</t>
  </si>
  <si>
    <t>27</t>
  </si>
  <si>
    <t>30</t>
  </si>
  <si>
    <t>70000021</t>
  </si>
  <si>
    <t>70000022</t>
  </si>
  <si>
    <t>70000023</t>
  </si>
  <si>
    <t>70000024</t>
  </si>
  <si>
    <t>70000025</t>
  </si>
  <si>
    <t>70000026</t>
  </si>
  <si>
    <t>70000027</t>
  </si>
  <si>
    <t>70000028</t>
  </si>
  <si>
    <t>70000029</t>
  </si>
  <si>
    <t>70000030</t>
  </si>
  <si>
    <t>70000031</t>
  </si>
  <si>
    <t>70000032</t>
  </si>
  <si>
    <t>70000033</t>
  </si>
  <si>
    <t>70000034</t>
  </si>
  <si>
    <t>70000035</t>
  </si>
  <si>
    <t>70000036</t>
  </si>
  <si>
    <t>70000037</t>
  </si>
  <si>
    <t>70000038</t>
  </si>
  <si>
    <t>70000039</t>
  </si>
  <si>
    <t>70000040</t>
  </si>
  <si>
    <t>GuildSkillIndex</t>
    <phoneticPr fontId="6" type="noConversion"/>
  </si>
  <si>
    <t>GuildSkillLevel</t>
    <phoneticPr fontId="6" type="noConversion"/>
  </si>
  <si>
    <t>SkillIndex</t>
    <phoneticPr fontId="6" type="noConversion"/>
  </si>
  <si>
    <t>ActivityPoint</t>
    <phoneticPr fontId="6" type="noConversion"/>
  </si>
  <si>
    <t>TotalActivityPoint</t>
    <phoneticPr fontId="6" type="noConversion"/>
  </si>
  <si>
    <t>SuppressPoint</t>
    <phoneticPr fontId="6" type="noConversion"/>
  </si>
  <si>
    <t>TotalSuppressPoint</t>
    <phoneticPr fontId="6" type="noConversion"/>
  </si>
  <si>
    <t>TrainingCenterLevel</t>
    <phoneticPr fontId="6" type="noConversion"/>
  </si>
  <si>
    <t>1</t>
    <phoneticPr fontId="6" type="noConversion"/>
  </si>
  <si>
    <t>1</t>
    <phoneticPr fontId="6" type="noConversion"/>
  </si>
  <si>
    <t>1</t>
    <phoneticPr fontId="6" type="noConversion"/>
  </si>
  <si>
    <t>2</t>
    <phoneticPr fontId="6" type="noConversion"/>
  </si>
  <si>
    <t>4</t>
    <phoneticPr fontId="6" type="noConversion"/>
  </si>
  <si>
    <t>6</t>
    <phoneticPr fontId="6" type="noConversion"/>
  </si>
  <si>
    <t>8</t>
    <phoneticPr fontId="6" type="noConversion"/>
  </si>
  <si>
    <t>10</t>
    <phoneticPr fontId="6" type="noConversion"/>
  </si>
  <si>
    <t>12</t>
    <phoneticPr fontId="6" type="noConversion"/>
  </si>
  <si>
    <t>6</t>
    <phoneticPr fontId="6" type="noConversion"/>
  </si>
  <si>
    <t>14</t>
    <phoneticPr fontId="6" type="noConversion"/>
  </si>
  <si>
    <t>16</t>
    <phoneticPr fontId="6" type="noConversion"/>
  </si>
  <si>
    <t>18</t>
    <phoneticPr fontId="6" type="noConversion"/>
  </si>
  <si>
    <t>20</t>
    <phoneticPr fontId="6" type="noConversion"/>
  </si>
  <si>
    <t>6</t>
    <phoneticPr fontId="6" type="noConversion"/>
  </si>
  <si>
    <t>8</t>
    <phoneticPr fontId="6" type="noConversion"/>
  </si>
  <si>
    <t>10</t>
    <phoneticPr fontId="6" type="noConversion"/>
  </si>
  <si>
    <t>14</t>
    <phoneticPr fontId="6" type="noConversion"/>
  </si>
  <si>
    <t>18</t>
    <phoneticPr fontId="6" type="noConversion"/>
  </si>
  <si>
    <t>(Name)</t>
  </si>
  <si>
    <t>길드 레이드 체력 증가</t>
    <phoneticPr fontId="6" type="noConversion"/>
  </si>
  <si>
    <t>길드 레이드 치피 증가</t>
    <phoneticPr fontId="6" type="noConversion"/>
  </si>
  <si>
    <t>길드 토벌전 공격력 증가</t>
    <phoneticPr fontId="6" type="noConversion"/>
  </si>
  <si>
    <t>길드 토벌전 방어력 증가</t>
    <phoneticPr fontId="6" type="noConversion"/>
  </si>
  <si>
    <t>길드 토벌전 체력 증가</t>
    <phoneticPr fontId="6" type="noConversion"/>
  </si>
  <si>
    <t>길드 토벌전 치피 증가</t>
    <phoneticPr fontId="6" type="noConversion"/>
  </si>
  <si>
    <t>70000043</t>
  </si>
  <si>
    <t>70000041</t>
    <phoneticPr fontId="6" type="noConversion"/>
  </si>
  <si>
    <t>70000042</t>
    <phoneticPr fontId="6" type="noConversion"/>
  </si>
  <si>
    <t>70000044</t>
  </si>
  <si>
    <t>70000045</t>
  </si>
  <si>
    <t>70000046</t>
  </si>
  <si>
    <t>70000047</t>
  </si>
  <si>
    <t>70000048</t>
  </si>
  <si>
    <t>70000049</t>
  </si>
  <si>
    <t>70000050</t>
  </si>
  <si>
    <t>70000051</t>
  </si>
  <si>
    <t>70000052</t>
  </si>
  <si>
    <t>70000053</t>
  </si>
  <si>
    <t>70000054</t>
  </si>
  <si>
    <t>70000055</t>
  </si>
  <si>
    <t>70000056</t>
  </si>
  <si>
    <t>70000057</t>
  </si>
  <si>
    <t>70000058</t>
  </si>
  <si>
    <t>70000059</t>
  </si>
  <si>
    <t>70000060</t>
  </si>
  <si>
    <t>70000082</t>
    <phoneticPr fontId="6" type="noConversion"/>
  </si>
  <si>
    <t>70000083</t>
  </si>
  <si>
    <t>70000084</t>
  </si>
  <si>
    <t>70000085</t>
  </si>
  <si>
    <t>70000086</t>
  </si>
  <si>
    <t>70000087</t>
  </si>
  <si>
    <t>70000088</t>
  </si>
  <si>
    <t>70000089</t>
  </si>
  <si>
    <t>70000090</t>
  </si>
  <si>
    <t>70000091</t>
  </si>
  <si>
    <t>70000092</t>
  </si>
  <si>
    <t>70000093</t>
  </si>
  <si>
    <t>70000094</t>
  </si>
  <si>
    <t>70000095</t>
  </si>
  <si>
    <t>70000096</t>
  </si>
  <si>
    <t>70000097</t>
  </si>
  <si>
    <t>70000098</t>
  </si>
  <si>
    <t>70000099</t>
  </si>
  <si>
    <t>70000100</t>
  </si>
  <si>
    <t>70000101</t>
  </si>
  <si>
    <t>70000102</t>
  </si>
  <si>
    <t>70000103</t>
  </si>
  <si>
    <t>70000104</t>
  </si>
  <si>
    <t>70000105</t>
  </si>
  <si>
    <t>70000106</t>
  </si>
  <si>
    <t>70000107</t>
  </si>
  <si>
    <t>70000108</t>
  </si>
  <si>
    <t>70000109</t>
  </si>
  <si>
    <t>70000110</t>
  </si>
  <si>
    <t>70000111</t>
  </si>
  <si>
    <t>70000112</t>
  </si>
  <si>
    <t>70000113</t>
  </si>
  <si>
    <t>70000114</t>
  </si>
  <si>
    <t>70000115</t>
  </si>
  <si>
    <t>70000116</t>
  </si>
  <si>
    <t>70000117</t>
  </si>
  <si>
    <t>70000118</t>
  </si>
  <si>
    <t>70000119</t>
  </si>
  <si>
    <t>70000120</t>
  </si>
  <si>
    <t>70000081</t>
    <phoneticPr fontId="6" type="noConversion"/>
  </si>
  <si>
    <t>2</t>
    <phoneticPr fontId="6" type="noConversion"/>
  </si>
  <si>
    <t>3</t>
    <phoneticPr fontId="6" type="noConversion"/>
  </si>
  <si>
    <t>4</t>
    <phoneticPr fontId="6" type="noConversion"/>
  </si>
  <si>
    <t>5</t>
    <phoneticPr fontId="6" type="noConversion"/>
  </si>
  <si>
    <t>6</t>
    <phoneticPr fontId="6" type="noConversion"/>
  </si>
  <si>
    <t>7</t>
    <phoneticPr fontId="6" type="noConversion"/>
  </si>
  <si>
    <t>8</t>
    <phoneticPr fontId="6" type="noConversion"/>
  </si>
  <si>
    <t>9</t>
    <phoneticPr fontId="6" type="noConversion"/>
  </si>
  <si>
    <t>10</t>
    <phoneticPr fontId="6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</si>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</sst>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1">
    <xf numFmtId="0" fontId="0" fillId="0" borderId="0"/>
    <xf numFmtId="0" fontId="5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">
    <xf numFmtId="0" fontId="0" fillId="0" borderId="0" xfId="0"/>
    <xf numFmtId="49" fontId="7" fillId="0" borderId="0" xfId="0" applyNumberFormat="1" applyFont="1" applyAlignment="1">
      <alignment horizontal="center"/>
    </xf>
    <xf numFmtId="49" fontId="9" fillId="2" borderId="1" xfId="1" applyNumberFormat="1" applyFont="1" applyFill="1" applyBorder="1" applyAlignment="1">
      <alignment horizontal="center" vertical="center" textRotation="90"/>
    </xf>
    <xf numFmtId="49" fontId="9" fillId="2" borderId="1" xfId="0" applyNumberFormat="1" applyFont="1" applyFill="1" applyBorder="1" applyAlignment="1">
      <alignment horizontal="center" vertical="center" textRotation="90"/>
    </xf>
    <xf numFmtId="49" fontId="9" fillId="2" borderId="1" xfId="0" applyNumberFormat="1" applyFont="1" applyFill="1" applyBorder="1" applyAlignment="1">
      <alignment horizontal="center" vertical="center"/>
    </xf>
    <xf numFmtId="49" fontId="9" fillId="2" borderId="1" xfId="1" applyNumberFormat="1" applyFont="1" applyFill="1" applyBorder="1" applyAlignment="1">
      <alignment horizontal="center" vertical="center"/>
    </xf>
    <xf numFmtId="49" fontId="9" fillId="2" borderId="2" xfId="1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vertical="center"/>
    </xf>
    <xf numFmtId="49" fontId="9" fillId="0" borderId="0" xfId="0" applyNumberFormat="1" applyFont="1" applyBorder="1" applyAlignment="1">
      <alignment vertical="center"/>
    </xf>
    <xf numFmtId="0" fontId="1" fillId="0" borderId="0" xfId="17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49" fontId="7" fillId="0" borderId="0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49" fontId="9" fillId="3" borderId="1" xfId="1" applyNumberFormat="1" applyFont="1" applyFill="1" applyBorder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 textRotation="90"/>
    </xf>
  </cellXfs>
  <cellStyles count="21">
    <cellStyle name="표준" xfId="0" builtinId="0"/>
    <cellStyle name="표준 12" xfId="2" xr:uid="{00000000-0005-0000-0000-000001000000}"/>
    <cellStyle name="표준 2" xfId="5" xr:uid="{00000000-0005-0000-0000-000002000000}"/>
    <cellStyle name="표준 2 2" xfId="1" xr:uid="{00000000-0005-0000-0000-000003000000}"/>
    <cellStyle name="표준 2 2 10" xfId="3" xr:uid="{00000000-0005-0000-0000-000004000000}"/>
    <cellStyle name="표준 2 2 10 2" xfId="7" xr:uid="{00000000-0005-0000-0000-000005000000}"/>
    <cellStyle name="표준 2 2 10 2 2" xfId="17" xr:uid="{00000000-0005-0000-0000-000006000000}"/>
    <cellStyle name="표준 2 2 10 3" xfId="9" xr:uid="{00000000-0005-0000-0000-000007000000}"/>
    <cellStyle name="표준 2 2 10 3 2" xfId="19" xr:uid="{00000000-0005-0000-0000-000008000000}"/>
    <cellStyle name="표준 2 2 10 4" xfId="14" xr:uid="{00000000-0005-0000-0000-000009000000}"/>
    <cellStyle name="표준 2 2 2" xfId="6" xr:uid="{00000000-0005-0000-0000-00000A000000}"/>
    <cellStyle name="표준 2 2 2 2" xfId="10" xr:uid="{00000000-0005-0000-0000-00000B000000}"/>
    <cellStyle name="표준 2 2 2 2 2" xfId="20" xr:uid="{00000000-0005-0000-0000-00000C000000}"/>
    <cellStyle name="표준 2 2 2 3" xfId="16" xr:uid="{00000000-0005-0000-0000-00000D000000}"/>
    <cellStyle name="표준 2 2 3" xfId="8" xr:uid="{00000000-0005-0000-0000-00000E000000}"/>
    <cellStyle name="표준 2 2 3 2" xfId="18" xr:uid="{00000000-0005-0000-0000-00000F000000}"/>
    <cellStyle name="표준 2 2 4" xfId="13" xr:uid="{00000000-0005-0000-0000-000010000000}"/>
    <cellStyle name="표준 3" xfId="4" xr:uid="{00000000-0005-0000-0000-000011000000}"/>
    <cellStyle name="표준 3 2" xfId="15" xr:uid="{00000000-0005-0000-0000-000012000000}"/>
    <cellStyle name="표준 4" xfId="12" xr:uid="{00000000-0005-0000-0000-000013000000}"/>
    <cellStyle name="표준 5" xfId="11" xr:uid="{00000000-0005-0000-0000-00001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7:08:55.35" personId="{00000000-0000-0000-0000-000000000000}" id="{26A681D6-DEC0-4517-B406-CBCA440A8869}">
    <text>길드 스킬 인덱스</text>
  </threadedComment>
  <threadedComment ref="B1" dT="2020-09-24T17:09:04.17" personId="{00000000-0000-0000-0000-000000000000}" id="{6EF0E88F-F56F-4C7D-B543-09CA4B2E0075}">
    <text>길드 스킬 레벨</text>
  </threadedComment>
  <threadedComment ref="C1" dT="2020-09-24T17:09:10.60" personId="{00000000-0000-0000-0000-000000000000}" id="{CB427069-E1D9-4362-BB89-F16281E849E2}">
    <text>값</text>
  </threadedComment>
  <threadedComment ref="D1" dT="2020-09-24T17:09:17.02" personId="{00000000-0000-0000-0000-000000000000}" id="{67A7CCBB-3C2C-47BA-877B-204647BDCBD2}">
    <text>스킬 인덱스</text>
  </threadedComment>
  <threadedComment ref="E1" dT="2020-09-24T17:10:27.59" personId="{00000000-0000-0000-0000-000000000000}" id="{C48DB43D-E314-4175-BB48-95EDEA28998F}">
    <text>활성화에 필요한 활동 포인트</text>
  </threadedComment>
  <threadedComment ref="F1" dT="2020-09-24T17:10:14.80" personId="{00000000-0000-0000-0000-000000000000}" id="{683475A7-1BDB-43E4-93D7-C8A12595CA79}">
    <text>총 활동 포인트</text>
  </threadedComment>
  <threadedComment ref="G1" dT="2020-09-24T17:10:37.41" personId="{00000000-0000-0000-0000-000000000000}" id="{C617F162-B514-4C42-9642-210EFCE4F0D5}">
    <text>토벌전 포인트</text>
  </threadedComment>
  <threadedComment ref="H1" dT="2020-09-24T17:10:44.51" personId="{00000000-0000-0000-0000-000000000000}" id="{EF8F43CF-B95C-44FB-A7D6-5D15CE95DCBE}">
    <text>총 토벌전 포인트</text>
  </threadedComment>
  <threadedComment ref="I1" dT="2020-09-24T17:11:07.44" personId="{00000000-0000-0000-0000-000000000000}" id="{7463B43A-178C-4F21-9B89-D35534C63A4A}">
    <text>필요한 훈련소 건물 레벨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2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J19" sqref="J19"/>
    </sheetView>
  </sheetViews>
  <sheetFormatPr defaultRowHeight="14.1" customHeight="1" x14ac:dyDescent="0.2"/>
  <cols>
    <col min="1" max="1" width="11.5" style="1" bestFit="1" customWidth="1"/>
    <col min="2" max="2" width="11.25" style="1" bestFit="1" customWidth="1"/>
    <col min="3" max="3" width="6.875" style="1" bestFit="1" customWidth="1"/>
    <col min="4" max="4" width="8.5" style="1" bestFit="1" customWidth="1"/>
    <col min="5" max="5" width="10" style="1" bestFit="1" customWidth="1"/>
    <col min="6" max="6" width="13.625" style="1" bestFit="1" customWidth="1"/>
    <col min="7" max="7" width="11.125" style="1" bestFit="1" customWidth="1"/>
    <col min="8" max="8" width="14.75" style="1" bestFit="1" customWidth="1"/>
    <col min="9" max="9" width="15.125" style="1" bestFit="1" customWidth="1"/>
    <col min="10" max="10" width="18.875" style="1" bestFit="1" customWidth="1"/>
    <col min="11" max="11" width="9.125" style="1" customWidth="1"/>
    <col min="12" max="12" width="8.125" style="1" customWidth="1"/>
    <col min="13" max="13" width="8" style="1" customWidth="1"/>
    <col min="14" max="14" width="6.5" style="1" customWidth="1"/>
    <col min="15" max="15" width="6.875" style="1" customWidth="1"/>
    <col min="16" max="16384" width="9" style="1"/>
  </cols>
  <sheetData>
    <row r="1" spans="1:15" s="3" customFormat="1" ht="48.75" customHeight="1" x14ac:dyDescent="0.3">
      <c r="A1" s="4" t="s">
        <v>38</v>
      </c>
      <c r="B1" s="5" t="s">
        <v>39</v>
      </c>
      <c r="C1" s="5" t="s">
        <v>0</v>
      </c>
      <c r="D1" s="6" t="s">
        <v>40</v>
      </c>
      <c r="E1" s="6" t="s">
        <v>41</v>
      </c>
      <c r="F1" s="5" t="s">
        <v>42</v>
      </c>
      <c r="G1" s="4" t="s">
        <v>43</v>
      </c>
      <c r="H1" s="5" t="s">
        <v>44</v>
      </c>
      <c r="I1" s="5" t="s">
        <v>45</v>
      </c>
      <c r="J1" s="5" t="s">
        <v>65</v>
      </c>
      <c r="K1" s="2"/>
      <c r="L1" s="2"/>
      <c r="M1" s="2"/>
      <c r="N1" s="2"/>
      <c r="O1" s="2"/>
    </row>
    <row r="2" spans="1:15" s="18" customFormat="1" ht="18" customHeight="1" x14ac:dyDescent="0.3">
      <c r="A2" s="17" t="s">
        <v>141</v>
      </c>
      <c r="B2" s="17" t="s">
        <v>141</v>
      </c>
      <c r="C2" s="17"/>
      <c r="D2" s="17" t="s">
        <v>141</v>
      </c>
      <c r="E2" s="17" t="s">
        <v>141</v>
      </c>
      <c r="F2" s="17" t="s">
        <v>141</v>
      </c>
      <c r="G2" s="17" t="s">
        <v>141</v>
      </c>
      <c r="H2" s="17" t="s">
        <v>141</v>
      </c>
      <c r="I2" s="17" t="s">
        <v>141</v>
      </c>
    </row>
    <row r="3" spans="1:15" ht="14.1" customHeight="1" x14ac:dyDescent="0.2">
      <c r="A3" s="10" t="s">
        <v>3</v>
      </c>
      <c r="B3" s="11">
        <v>1</v>
      </c>
      <c r="C3" s="10" t="s">
        <v>3</v>
      </c>
      <c r="D3" s="7">
        <v>70000001</v>
      </c>
      <c r="E3" s="12">
        <v>100000</v>
      </c>
      <c r="F3" s="11"/>
      <c r="G3" s="10"/>
      <c r="H3" s="10"/>
      <c r="I3" s="10" t="s">
        <v>46</v>
      </c>
      <c r="J3" s="10"/>
    </row>
    <row r="4" spans="1:15" ht="14.1" customHeight="1" x14ac:dyDescent="0.2">
      <c r="A4" s="10" t="s">
        <v>3</v>
      </c>
      <c r="B4" s="11">
        <v>2</v>
      </c>
      <c r="C4" s="10" t="s">
        <v>4</v>
      </c>
      <c r="D4" s="7">
        <v>70000002</v>
      </c>
      <c r="E4" s="12">
        <v>140000</v>
      </c>
      <c r="F4" s="11">
        <v>100000</v>
      </c>
      <c r="G4" s="10"/>
      <c r="H4" s="10"/>
      <c r="I4" s="10" t="s">
        <v>46</v>
      </c>
      <c r="J4" s="10"/>
    </row>
    <row r="5" spans="1:15" ht="14.1" customHeight="1" x14ac:dyDescent="0.2">
      <c r="A5" s="10" t="s">
        <v>3</v>
      </c>
      <c r="B5" s="11">
        <v>3</v>
      </c>
      <c r="C5" s="10" t="s">
        <v>1</v>
      </c>
      <c r="D5" s="7">
        <v>70000003</v>
      </c>
      <c r="E5" s="12">
        <v>190000</v>
      </c>
      <c r="F5" s="11">
        <v>240000</v>
      </c>
      <c r="G5" s="10"/>
      <c r="H5" s="10"/>
      <c r="I5" s="10" t="s">
        <v>46</v>
      </c>
      <c r="J5" s="10"/>
    </row>
    <row r="6" spans="1:15" ht="14.1" customHeight="1" x14ac:dyDescent="0.2">
      <c r="A6" s="10" t="s">
        <v>3</v>
      </c>
      <c r="B6" s="11">
        <v>4</v>
      </c>
      <c r="C6" s="10" t="s">
        <v>2</v>
      </c>
      <c r="D6" s="7">
        <v>70000004</v>
      </c>
      <c r="E6" s="12">
        <v>230000</v>
      </c>
      <c r="F6" s="11">
        <v>430000</v>
      </c>
      <c r="G6" s="10"/>
      <c r="H6" s="10"/>
      <c r="I6" s="10" t="s">
        <v>48</v>
      </c>
      <c r="J6" s="10"/>
    </row>
    <row r="7" spans="1:15" ht="14.1" customHeight="1" x14ac:dyDescent="0.2">
      <c r="A7" s="10" t="s">
        <v>3</v>
      </c>
      <c r="B7" s="11">
        <v>5</v>
      </c>
      <c r="C7" s="10" t="s">
        <v>5</v>
      </c>
      <c r="D7" s="7">
        <v>70000005</v>
      </c>
      <c r="E7" s="12">
        <v>280000</v>
      </c>
      <c r="F7" s="11">
        <v>660000</v>
      </c>
      <c r="G7" s="10"/>
      <c r="H7" s="10"/>
      <c r="I7" s="10" t="s">
        <v>46</v>
      </c>
      <c r="J7" s="10"/>
    </row>
    <row r="8" spans="1:15" ht="14.1" customHeight="1" x14ac:dyDescent="0.2">
      <c r="A8" s="10" t="s">
        <v>3</v>
      </c>
      <c r="B8" s="11">
        <v>6</v>
      </c>
      <c r="C8" s="10" t="s">
        <v>6</v>
      </c>
      <c r="D8" s="7">
        <v>70000006</v>
      </c>
      <c r="E8" s="12">
        <v>330000</v>
      </c>
      <c r="F8" s="11">
        <v>940000</v>
      </c>
      <c r="G8" s="10"/>
      <c r="H8" s="10"/>
      <c r="I8" s="10" t="s">
        <v>46</v>
      </c>
      <c r="J8" s="10"/>
    </row>
    <row r="9" spans="1:15" ht="14.1" customHeight="1" x14ac:dyDescent="0.2">
      <c r="A9" s="10" t="s">
        <v>3</v>
      </c>
      <c r="B9" s="11">
        <v>7</v>
      </c>
      <c r="C9" s="10" t="s">
        <v>7</v>
      </c>
      <c r="D9" s="7">
        <v>70000007</v>
      </c>
      <c r="E9" s="12">
        <v>370000</v>
      </c>
      <c r="F9" s="11">
        <v>1270000</v>
      </c>
      <c r="G9" s="10"/>
      <c r="H9" s="10"/>
      <c r="I9" s="10" t="s">
        <v>48</v>
      </c>
      <c r="J9" s="10"/>
    </row>
    <row r="10" spans="1:15" ht="14.1" customHeight="1" x14ac:dyDescent="0.2">
      <c r="A10" s="10" t="s">
        <v>3</v>
      </c>
      <c r="B10" s="11">
        <v>8</v>
      </c>
      <c r="C10" s="10" t="s">
        <v>8</v>
      </c>
      <c r="D10" s="7">
        <v>70000008</v>
      </c>
      <c r="E10" s="12">
        <v>420000</v>
      </c>
      <c r="F10" s="11">
        <v>1640000</v>
      </c>
      <c r="G10" s="10"/>
      <c r="H10" s="10"/>
      <c r="I10" s="10" t="s">
        <v>46</v>
      </c>
      <c r="J10" s="10"/>
    </row>
    <row r="11" spans="1:15" ht="14.1" customHeight="1" x14ac:dyDescent="0.2">
      <c r="A11" s="10" t="s">
        <v>3</v>
      </c>
      <c r="B11" s="11">
        <v>9</v>
      </c>
      <c r="C11" s="10" t="s">
        <v>9</v>
      </c>
      <c r="D11" s="7">
        <v>70000009</v>
      </c>
      <c r="E11" s="12">
        <v>460000</v>
      </c>
      <c r="F11" s="11">
        <v>2060000</v>
      </c>
      <c r="G11" s="10"/>
      <c r="H11" s="10"/>
      <c r="I11" s="10" t="s">
        <v>48</v>
      </c>
      <c r="J11" s="10"/>
    </row>
    <row r="12" spans="1:15" ht="14.1" customHeight="1" x14ac:dyDescent="0.2">
      <c r="A12" s="10" t="s">
        <v>3</v>
      </c>
      <c r="B12" s="11">
        <v>10</v>
      </c>
      <c r="C12" s="10" t="s">
        <v>10</v>
      </c>
      <c r="D12" s="7">
        <v>70000010</v>
      </c>
      <c r="E12" s="12"/>
      <c r="F12" s="11">
        <v>2520000</v>
      </c>
      <c r="G12" s="10"/>
      <c r="H12" s="10"/>
      <c r="I12" s="10" t="s">
        <v>48</v>
      </c>
      <c r="J12" s="10"/>
    </row>
    <row r="13" spans="1:15" ht="14.1" customHeight="1" x14ac:dyDescent="0.2">
      <c r="A13" s="10" t="s">
        <v>4</v>
      </c>
      <c r="B13" s="11">
        <v>1</v>
      </c>
      <c r="C13" s="11">
        <v>1</v>
      </c>
      <c r="D13" s="7">
        <v>70000011</v>
      </c>
      <c r="E13" s="12">
        <v>100000</v>
      </c>
      <c r="F13" s="11"/>
      <c r="G13" s="10"/>
      <c r="H13" s="10"/>
      <c r="I13" s="10" t="s">
        <v>47</v>
      </c>
      <c r="J13" s="10"/>
    </row>
    <row r="14" spans="1:15" ht="14.1" customHeight="1" x14ac:dyDescent="0.2">
      <c r="A14" s="10" t="s">
        <v>4</v>
      </c>
      <c r="B14" s="11">
        <v>2</v>
      </c>
      <c r="C14" s="11">
        <v>2</v>
      </c>
      <c r="D14" s="7">
        <v>70000012</v>
      </c>
      <c r="E14" s="12">
        <v>140000</v>
      </c>
      <c r="F14" s="11">
        <v>100000</v>
      </c>
      <c r="G14" s="10"/>
      <c r="H14" s="10"/>
      <c r="I14" s="10" t="s">
        <v>47</v>
      </c>
      <c r="J14" s="10"/>
    </row>
    <row r="15" spans="1:15" ht="14.1" customHeight="1" x14ac:dyDescent="0.2">
      <c r="A15" s="10" t="s">
        <v>4</v>
      </c>
      <c r="B15" s="11">
        <v>3</v>
      </c>
      <c r="C15" s="11">
        <v>3</v>
      </c>
      <c r="D15" s="7">
        <v>70000013</v>
      </c>
      <c r="E15" s="12">
        <v>190000</v>
      </c>
      <c r="F15" s="11">
        <v>240000</v>
      </c>
      <c r="G15" s="10"/>
      <c r="H15" s="10"/>
      <c r="I15" s="10" t="s">
        <v>47</v>
      </c>
      <c r="J15" s="10"/>
    </row>
    <row r="16" spans="1:15" ht="14.1" customHeight="1" x14ac:dyDescent="0.2">
      <c r="A16" s="10" t="s">
        <v>4</v>
      </c>
      <c r="B16" s="11">
        <v>4</v>
      </c>
      <c r="C16" s="11">
        <v>4</v>
      </c>
      <c r="D16" s="7">
        <v>70000014</v>
      </c>
      <c r="E16" s="12">
        <v>230000</v>
      </c>
      <c r="F16" s="11">
        <v>430000</v>
      </c>
      <c r="G16" s="10"/>
      <c r="H16" s="10"/>
      <c r="I16" s="10" t="s">
        <v>48</v>
      </c>
      <c r="J16" s="10"/>
    </row>
    <row r="17" spans="1:10" ht="14.1" customHeight="1" x14ac:dyDescent="0.2">
      <c r="A17" s="10" t="s">
        <v>4</v>
      </c>
      <c r="B17" s="11">
        <v>5</v>
      </c>
      <c r="C17" s="11">
        <v>5</v>
      </c>
      <c r="D17" s="7">
        <v>70000015</v>
      </c>
      <c r="E17" s="12">
        <v>280000</v>
      </c>
      <c r="F17" s="11">
        <v>660000</v>
      </c>
      <c r="G17" s="10"/>
      <c r="H17" s="10"/>
      <c r="I17" s="10" t="s">
        <v>47</v>
      </c>
      <c r="J17" s="10"/>
    </row>
    <row r="18" spans="1:10" ht="14.1" customHeight="1" x14ac:dyDescent="0.2">
      <c r="A18" s="10" t="s">
        <v>4</v>
      </c>
      <c r="B18" s="11">
        <v>6</v>
      </c>
      <c r="C18" s="11">
        <v>6</v>
      </c>
      <c r="D18" s="7">
        <v>70000016</v>
      </c>
      <c r="E18" s="12">
        <v>330000</v>
      </c>
      <c r="F18" s="11">
        <v>940000</v>
      </c>
      <c r="G18" s="10"/>
      <c r="H18" s="10"/>
      <c r="I18" s="10" t="s">
        <v>47</v>
      </c>
      <c r="J18" s="10"/>
    </row>
    <row r="19" spans="1:10" ht="14.1" customHeight="1" x14ac:dyDescent="0.2">
      <c r="A19" s="10" t="s">
        <v>4</v>
      </c>
      <c r="B19" s="11">
        <v>7</v>
      </c>
      <c r="C19" s="11">
        <v>7</v>
      </c>
      <c r="D19" s="7">
        <v>70000017</v>
      </c>
      <c r="E19" s="12">
        <v>370000</v>
      </c>
      <c r="F19" s="11">
        <v>1270000</v>
      </c>
      <c r="G19" s="10"/>
      <c r="H19" s="10"/>
      <c r="I19" s="10" t="s">
        <v>48</v>
      </c>
      <c r="J19" s="10"/>
    </row>
    <row r="20" spans="1:10" ht="14.1" customHeight="1" x14ac:dyDescent="0.2">
      <c r="A20" s="10" t="s">
        <v>4</v>
      </c>
      <c r="B20" s="11">
        <v>8</v>
      </c>
      <c r="C20" s="11">
        <v>8</v>
      </c>
      <c r="D20" s="7">
        <v>70000018</v>
      </c>
      <c r="E20" s="12">
        <v>420000</v>
      </c>
      <c r="F20" s="11">
        <v>1640000</v>
      </c>
      <c r="G20" s="10"/>
      <c r="H20" s="10"/>
      <c r="I20" s="10" t="s">
        <v>47</v>
      </c>
      <c r="J20" s="10"/>
    </row>
    <row r="21" spans="1:10" ht="14.1" customHeight="1" x14ac:dyDescent="0.2">
      <c r="A21" s="10" t="s">
        <v>4</v>
      </c>
      <c r="B21" s="11">
        <v>9</v>
      </c>
      <c r="C21" s="11">
        <v>9</v>
      </c>
      <c r="D21" s="7">
        <v>70000019</v>
      </c>
      <c r="E21" s="12">
        <v>460000</v>
      </c>
      <c r="F21" s="11">
        <v>2060000</v>
      </c>
      <c r="G21" s="10"/>
      <c r="H21" s="10"/>
      <c r="I21" s="10" t="s">
        <v>48</v>
      </c>
      <c r="J21" s="10"/>
    </row>
    <row r="22" spans="1:10" ht="14.1" customHeight="1" x14ac:dyDescent="0.2">
      <c r="A22" s="10" t="s">
        <v>4</v>
      </c>
      <c r="B22" s="11">
        <v>10</v>
      </c>
      <c r="C22" s="11">
        <v>10</v>
      </c>
      <c r="D22" s="7">
        <v>70000020</v>
      </c>
      <c r="E22" s="12"/>
      <c r="F22" s="11">
        <v>2520000</v>
      </c>
      <c r="G22" s="10"/>
      <c r="H22" s="10"/>
      <c r="I22" s="10" t="s">
        <v>48</v>
      </c>
      <c r="J22" s="10"/>
    </row>
    <row r="23" spans="1:10" ht="14.1" customHeight="1" x14ac:dyDescent="0.2">
      <c r="A23" s="10" t="s">
        <v>1</v>
      </c>
      <c r="B23" s="11">
        <v>1</v>
      </c>
      <c r="C23" s="11">
        <v>3</v>
      </c>
      <c r="D23" s="12"/>
      <c r="E23" s="13">
        <v>50000</v>
      </c>
      <c r="F23" s="14"/>
      <c r="G23" s="10"/>
      <c r="H23" s="10"/>
      <c r="I23" s="10" t="s">
        <v>47</v>
      </c>
      <c r="J23" s="10"/>
    </row>
    <row r="24" spans="1:10" ht="14.1" customHeight="1" x14ac:dyDescent="0.2">
      <c r="A24" s="10" t="s">
        <v>1</v>
      </c>
      <c r="B24" s="11">
        <v>2</v>
      </c>
      <c r="C24" s="11">
        <v>6</v>
      </c>
      <c r="D24" s="12"/>
      <c r="E24" s="13">
        <v>70000</v>
      </c>
      <c r="F24" s="14">
        <v>50000</v>
      </c>
      <c r="G24" s="10"/>
      <c r="H24" s="10"/>
      <c r="I24" s="10" t="s">
        <v>47</v>
      </c>
      <c r="J24" s="10"/>
    </row>
    <row r="25" spans="1:10" ht="14.1" customHeight="1" x14ac:dyDescent="0.2">
      <c r="A25" s="10" t="s">
        <v>1</v>
      </c>
      <c r="B25" s="11">
        <v>3</v>
      </c>
      <c r="C25" s="11">
        <v>9</v>
      </c>
      <c r="D25" s="12"/>
      <c r="E25" s="13">
        <v>90000</v>
      </c>
      <c r="F25" s="14">
        <v>120000</v>
      </c>
      <c r="G25" s="10"/>
      <c r="H25" s="10"/>
      <c r="I25" s="10" t="s">
        <v>46</v>
      </c>
      <c r="J25" s="10"/>
    </row>
    <row r="26" spans="1:10" ht="14.1" customHeight="1" x14ac:dyDescent="0.2">
      <c r="A26" s="10" t="s">
        <v>1</v>
      </c>
      <c r="B26" s="11">
        <v>4</v>
      </c>
      <c r="C26" s="11">
        <v>12</v>
      </c>
      <c r="D26" s="12"/>
      <c r="E26" s="13">
        <v>110000</v>
      </c>
      <c r="F26" s="14">
        <v>210000</v>
      </c>
      <c r="G26" s="10"/>
      <c r="H26" s="10"/>
      <c r="I26" s="10" t="s">
        <v>47</v>
      </c>
      <c r="J26" s="10"/>
    </row>
    <row r="27" spans="1:10" ht="14.1" customHeight="1" x14ac:dyDescent="0.2">
      <c r="A27" s="10" t="s">
        <v>1</v>
      </c>
      <c r="B27" s="11">
        <v>5</v>
      </c>
      <c r="C27" s="11">
        <v>15</v>
      </c>
      <c r="D27" s="12"/>
      <c r="E27" s="13">
        <v>130000</v>
      </c>
      <c r="F27" s="14">
        <v>320000</v>
      </c>
      <c r="G27" s="10"/>
      <c r="H27" s="10"/>
      <c r="I27" s="10" t="s">
        <v>47</v>
      </c>
      <c r="J27" s="10"/>
    </row>
    <row r="28" spans="1:10" ht="14.1" customHeight="1" x14ac:dyDescent="0.2">
      <c r="A28" s="10" t="s">
        <v>1</v>
      </c>
      <c r="B28" s="11">
        <v>6</v>
      </c>
      <c r="C28" s="11">
        <v>18</v>
      </c>
      <c r="D28" s="12"/>
      <c r="E28" s="13">
        <v>150000</v>
      </c>
      <c r="F28" s="14">
        <v>450000</v>
      </c>
      <c r="G28" s="10"/>
      <c r="H28" s="10"/>
      <c r="I28" s="10" t="s">
        <v>46</v>
      </c>
      <c r="J28" s="10"/>
    </row>
    <row r="29" spans="1:10" ht="14.1" customHeight="1" x14ac:dyDescent="0.2">
      <c r="A29" s="10" t="s">
        <v>1</v>
      </c>
      <c r="B29" s="11">
        <v>7</v>
      </c>
      <c r="C29" s="11">
        <v>21</v>
      </c>
      <c r="D29" s="12"/>
      <c r="E29" s="13">
        <v>170000</v>
      </c>
      <c r="F29" s="14">
        <v>600000</v>
      </c>
      <c r="G29" s="10"/>
      <c r="H29" s="10"/>
      <c r="I29" s="10" t="s">
        <v>47</v>
      </c>
      <c r="J29" s="10"/>
    </row>
    <row r="30" spans="1:10" ht="14.1" customHeight="1" x14ac:dyDescent="0.2">
      <c r="A30" s="10" t="s">
        <v>1</v>
      </c>
      <c r="B30" s="11">
        <v>8</v>
      </c>
      <c r="C30" s="11">
        <v>24</v>
      </c>
      <c r="D30" s="12"/>
      <c r="E30" s="13">
        <v>190000</v>
      </c>
      <c r="F30" s="14">
        <v>770000</v>
      </c>
      <c r="G30" s="10"/>
      <c r="H30" s="10"/>
      <c r="I30" s="10" t="s">
        <v>47</v>
      </c>
      <c r="J30" s="10"/>
    </row>
    <row r="31" spans="1:10" ht="14.1" customHeight="1" x14ac:dyDescent="0.2">
      <c r="A31" s="10" t="s">
        <v>1</v>
      </c>
      <c r="B31" s="11">
        <v>9</v>
      </c>
      <c r="C31" s="11">
        <v>27</v>
      </c>
      <c r="D31" s="12"/>
      <c r="E31" s="13">
        <v>210000</v>
      </c>
      <c r="F31" s="14">
        <v>960000</v>
      </c>
      <c r="G31" s="10"/>
      <c r="H31" s="10"/>
      <c r="I31" s="10" t="s">
        <v>47</v>
      </c>
      <c r="J31" s="10"/>
    </row>
    <row r="32" spans="1:10" ht="14.1" customHeight="1" x14ac:dyDescent="0.2">
      <c r="A32" s="10" t="s">
        <v>1</v>
      </c>
      <c r="B32" s="11">
        <v>10</v>
      </c>
      <c r="C32" s="11">
        <v>30</v>
      </c>
      <c r="D32" s="12"/>
      <c r="E32" s="13"/>
      <c r="F32" s="14">
        <v>1170000</v>
      </c>
      <c r="G32" s="10"/>
      <c r="H32" s="10"/>
      <c r="I32" s="10" t="s">
        <v>47</v>
      </c>
      <c r="J32" s="10"/>
    </row>
    <row r="33" spans="1:10" ht="14.1" customHeight="1" x14ac:dyDescent="0.2">
      <c r="A33" s="10" t="s">
        <v>2</v>
      </c>
      <c r="B33" s="11">
        <v>1</v>
      </c>
      <c r="C33" s="10" t="s">
        <v>1</v>
      </c>
      <c r="D33" s="12"/>
      <c r="E33" s="12">
        <v>50000</v>
      </c>
      <c r="F33" s="11"/>
      <c r="G33" s="10"/>
      <c r="H33" s="10"/>
      <c r="I33" s="10" t="s">
        <v>47</v>
      </c>
      <c r="J33" s="10"/>
    </row>
    <row r="34" spans="1:10" ht="14.1" customHeight="1" x14ac:dyDescent="0.2">
      <c r="A34" s="10" t="s">
        <v>2</v>
      </c>
      <c r="B34" s="11">
        <v>2</v>
      </c>
      <c r="C34" s="10" t="s">
        <v>6</v>
      </c>
      <c r="D34" s="12"/>
      <c r="E34" s="12">
        <v>70000</v>
      </c>
      <c r="F34" s="11">
        <v>50000</v>
      </c>
      <c r="G34" s="10"/>
      <c r="H34" s="10"/>
      <c r="I34" s="10" t="s">
        <v>48</v>
      </c>
      <c r="J34" s="10"/>
    </row>
    <row r="35" spans="1:10" ht="14.1" customHeight="1" x14ac:dyDescent="0.2">
      <c r="A35" s="10" t="s">
        <v>2</v>
      </c>
      <c r="B35" s="11">
        <v>3</v>
      </c>
      <c r="C35" s="10" t="s">
        <v>9</v>
      </c>
      <c r="D35" s="12"/>
      <c r="E35" s="12">
        <v>90000</v>
      </c>
      <c r="F35" s="11">
        <v>120000</v>
      </c>
      <c r="G35" s="10"/>
      <c r="H35" s="10"/>
      <c r="I35" s="10" t="s">
        <v>47</v>
      </c>
      <c r="J35" s="10"/>
    </row>
    <row r="36" spans="1:10" ht="14.1" customHeight="1" x14ac:dyDescent="0.2">
      <c r="A36" s="10" t="s">
        <v>2</v>
      </c>
      <c r="B36" s="11">
        <v>4</v>
      </c>
      <c r="C36" s="10" t="s">
        <v>11</v>
      </c>
      <c r="D36" s="12"/>
      <c r="E36" s="12">
        <v>110000</v>
      </c>
      <c r="F36" s="11">
        <v>210000</v>
      </c>
      <c r="G36" s="10"/>
      <c r="H36" s="10"/>
      <c r="I36" s="10" t="s">
        <v>48</v>
      </c>
      <c r="J36" s="10"/>
    </row>
    <row r="37" spans="1:10" ht="14.1" customHeight="1" x14ac:dyDescent="0.2">
      <c r="A37" s="10" t="s">
        <v>2</v>
      </c>
      <c r="B37" s="11">
        <v>5</v>
      </c>
      <c r="C37" s="10" t="s">
        <v>12</v>
      </c>
      <c r="D37" s="12"/>
      <c r="E37" s="12">
        <v>130000</v>
      </c>
      <c r="F37" s="11">
        <v>320000</v>
      </c>
      <c r="G37" s="10"/>
      <c r="H37" s="10"/>
      <c r="I37" s="10" t="s">
        <v>48</v>
      </c>
      <c r="J37" s="10"/>
    </row>
    <row r="38" spans="1:10" ht="14.1" customHeight="1" x14ac:dyDescent="0.2">
      <c r="A38" s="10" t="s">
        <v>2</v>
      </c>
      <c r="B38" s="11">
        <v>6</v>
      </c>
      <c r="C38" s="10" t="s">
        <v>13</v>
      </c>
      <c r="D38" s="12"/>
      <c r="E38" s="12">
        <v>150000</v>
      </c>
      <c r="F38" s="11">
        <v>450000</v>
      </c>
      <c r="G38" s="10"/>
      <c r="H38" s="10"/>
      <c r="I38" s="10" t="s">
        <v>46</v>
      </c>
      <c r="J38" s="10"/>
    </row>
    <row r="39" spans="1:10" ht="14.1" customHeight="1" x14ac:dyDescent="0.2">
      <c r="A39" s="10" t="s">
        <v>2</v>
      </c>
      <c r="B39" s="11">
        <v>7</v>
      </c>
      <c r="C39" s="10" t="s">
        <v>14</v>
      </c>
      <c r="D39" s="12"/>
      <c r="E39" s="12">
        <v>170000</v>
      </c>
      <c r="F39" s="11">
        <v>600000</v>
      </c>
      <c r="G39" s="10"/>
      <c r="H39" s="10"/>
      <c r="I39" s="10" t="s">
        <v>48</v>
      </c>
      <c r="J39" s="10"/>
    </row>
    <row r="40" spans="1:10" ht="14.1" customHeight="1" x14ac:dyDescent="0.2">
      <c r="A40" s="10" t="s">
        <v>2</v>
      </c>
      <c r="B40" s="11">
        <v>8</v>
      </c>
      <c r="C40" s="10" t="s">
        <v>15</v>
      </c>
      <c r="D40" s="12"/>
      <c r="E40" s="12">
        <v>190000</v>
      </c>
      <c r="F40" s="11">
        <v>770000</v>
      </c>
      <c r="G40" s="10"/>
      <c r="H40" s="10"/>
      <c r="I40" s="10" t="s">
        <v>48</v>
      </c>
      <c r="J40" s="10"/>
    </row>
    <row r="41" spans="1:10" ht="14.1" customHeight="1" x14ac:dyDescent="0.2">
      <c r="A41" s="10" t="s">
        <v>2</v>
      </c>
      <c r="B41" s="11">
        <v>9</v>
      </c>
      <c r="C41" s="10" t="s">
        <v>16</v>
      </c>
      <c r="D41" s="12"/>
      <c r="E41" s="12">
        <v>210000</v>
      </c>
      <c r="F41" s="11">
        <v>960000</v>
      </c>
      <c r="G41" s="10"/>
      <c r="H41" s="10"/>
      <c r="I41" s="10" t="s">
        <v>48</v>
      </c>
      <c r="J41" s="10"/>
    </row>
    <row r="42" spans="1:10" ht="14.1" customHeight="1" x14ac:dyDescent="0.2">
      <c r="A42" s="10" t="s">
        <v>2</v>
      </c>
      <c r="B42" s="11">
        <v>10</v>
      </c>
      <c r="C42" s="10" t="s">
        <v>17</v>
      </c>
      <c r="D42" s="12"/>
      <c r="E42" s="12"/>
      <c r="F42" s="11">
        <v>1170000</v>
      </c>
      <c r="G42" s="10"/>
      <c r="H42" s="10"/>
      <c r="I42" s="10" t="s">
        <v>46</v>
      </c>
      <c r="J42" s="10"/>
    </row>
    <row r="43" spans="1:10" ht="14.1" customHeight="1" x14ac:dyDescent="0.2">
      <c r="A43" s="10" t="s">
        <v>5</v>
      </c>
      <c r="B43" s="11">
        <v>1</v>
      </c>
      <c r="C43" s="10" t="s">
        <v>49</v>
      </c>
      <c r="D43" s="8" t="s">
        <v>18</v>
      </c>
      <c r="E43" s="9">
        <v>150000</v>
      </c>
      <c r="F43" s="12"/>
      <c r="G43" s="10"/>
      <c r="H43" s="10"/>
      <c r="I43" s="10" t="s">
        <v>46</v>
      </c>
      <c r="J43" s="10"/>
    </row>
    <row r="44" spans="1:10" ht="14.1" customHeight="1" x14ac:dyDescent="0.2">
      <c r="A44" s="10" t="s">
        <v>5</v>
      </c>
      <c r="B44" s="11">
        <v>2</v>
      </c>
      <c r="C44" s="10" t="s">
        <v>50</v>
      </c>
      <c r="D44" s="8" t="s">
        <v>19</v>
      </c>
      <c r="E44" s="9">
        <v>210000</v>
      </c>
      <c r="F44" s="11">
        <f>E43</f>
        <v>150000</v>
      </c>
      <c r="G44" s="10"/>
      <c r="H44" s="10"/>
      <c r="I44" s="10" t="s">
        <v>46</v>
      </c>
      <c r="J44" s="10"/>
    </row>
    <row r="45" spans="1:10" ht="14.1" customHeight="1" x14ac:dyDescent="0.2">
      <c r="A45" s="10" t="s">
        <v>5</v>
      </c>
      <c r="B45" s="11">
        <v>3</v>
      </c>
      <c r="C45" s="10" t="s">
        <v>51</v>
      </c>
      <c r="D45" s="8" t="s">
        <v>20</v>
      </c>
      <c r="E45" s="9">
        <v>285000</v>
      </c>
      <c r="F45" s="11">
        <f>F44+E44</f>
        <v>360000</v>
      </c>
      <c r="G45" s="10"/>
      <c r="H45" s="10"/>
      <c r="I45" s="10" t="s">
        <v>46</v>
      </c>
      <c r="J45" s="10"/>
    </row>
    <row r="46" spans="1:10" ht="14.1" customHeight="1" x14ac:dyDescent="0.2">
      <c r="A46" s="10" t="s">
        <v>5</v>
      </c>
      <c r="B46" s="11">
        <v>4</v>
      </c>
      <c r="C46" s="10" t="s">
        <v>52</v>
      </c>
      <c r="D46" s="8" t="s">
        <v>21</v>
      </c>
      <c r="E46" s="9">
        <v>345000</v>
      </c>
      <c r="F46" s="11">
        <f t="shared" ref="F46:F52" si="0">F45+E45</f>
        <v>645000</v>
      </c>
      <c r="G46" s="10"/>
      <c r="H46" s="10"/>
      <c r="I46" s="10" t="s">
        <v>46</v>
      </c>
      <c r="J46" s="10"/>
    </row>
    <row r="47" spans="1:10" ht="14.1" customHeight="1" x14ac:dyDescent="0.2">
      <c r="A47" s="10" t="s">
        <v>5</v>
      </c>
      <c r="B47" s="11">
        <v>5</v>
      </c>
      <c r="C47" s="10" t="s">
        <v>53</v>
      </c>
      <c r="D47" s="8" t="s">
        <v>22</v>
      </c>
      <c r="E47" s="9">
        <v>420000</v>
      </c>
      <c r="F47" s="11">
        <f t="shared" si="0"/>
        <v>990000</v>
      </c>
      <c r="G47" s="10"/>
      <c r="H47" s="10"/>
      <c r="I47" s="10" t="s">
        <v>46</v>
      </c>
      <c r="J47" s="10"/>
    </row>
    <row r="48" spans="1:10" ht="14.1" customHeight="1" x14ac:dyDescent="0.2">
      <c r="A48" s="10" t="s">
        <v>5</v>
      </c>
      <c r="B48" s="11">
        <v>6</v>
      </c>
      <c r="C48" s="10" t="s">
        <v>54</v>
      </c>
      <c r="D48" s="8" t="s">
        <v>23</v>
      </c>
      <c r="E48" s="9">
        <v>495000</v>
      </c>
      <c r="F48" s="11">
        <f t="shared" si="0"/>
        <v>1410000</v>
      </c>
      <c r="G48" s="10"/>
      <c r="H48" s="10"/>
      <c r="I48" s="10" t="s">
        <v>46</v>
      </c>
      <c r="J48" s="10"/>
    </row>
    <row r="49" spans="1:10" ht="14.1" customHeight="1" x14ac:dyDescent="0.2">
      <c r="A49" s="10" t="s">
        <v>5</v>
      </c>
      <c r="B49" s="11">
        <v>7</v>
      </c>
      <c r="C49" s="10" t="s">
        <v>56</v>
      </c>
      <c r="D49" s="8" t="s">
        <v>24</v>
      </c>
      <c r="E49" s="9">
        <v>555000</v>
      </c>
      <c r="F49" s="11">
        <f t="shared" si="0"/>
        <v>1905000</v>
      </c>
      <c r="G49" s="10"/>
      <c r="H49" s="10"/>
      <c r="I49" s="10" t="s">
        <v>46</v>
      </c>
      <c r="J49" s="10"/>
    </row>
    <row r="50" spans="1:10" ht="14.1" customHeight="1" x14ac:dyDescent="0.2">
      <c r="A50" s="10" t="s">
        <v>5</v>
      </c>
      <c r="B50" s="11">
        <v>8</v>
      </c>
      <c r="C50" s="10" t="s">
        <v>57</v>
      </c>
      <c r="D50" s="8" t="s">
        <v>25</v>
      </c>
      <c r="E50" s="9">
        <v>630000</v>
      </c>
      <c r="F50" s="11">
        <f t="shared" si="0"/>
        <v>2460000</v>
      </c>
      <c r="G50" s="10"/>
      <c r="H50" s="10"/>
      <c r="I50" s="10" t="s">
        <v>46</v>
      </c>
      <c r="J50" s="10"/>
    </row>
    <row r="51" spans="1:10" ht="14.1" customHeight="1" x14ac:dyDescent="0.2">
      <c r="A51" s="10" t="s">
        <v>5</v>
      </c>
      <c r="B51" s="11">
        <v>9</v>
      </c>
      <c r="C51" s="10" t="s">
        <v>58</v>
      </c>
      <c r="D51" s="8" t="s">
        <v>26</v>
      </c>
      <c r="E51" s="9">
        <v>690000</v>
      </c>
      <c r="F51" s="11">
        <f t="shared" si="0"/>
        <v>3090000</v>
      </c>
      <c r="G51" s="10"/>
      <c r="H51" s="10"/>
      <c r="I51" s="10" t="s">
        <v>46</v>
      </c>
      <c r="J51" s="10"/>
    </row>
    <row r="52" spans="1:10" ht="14.1" customHeight="1" x14ac:dyDescent="0.2">
      <c r="A52" s="10" t="s">
        <v>5</v>
      </c>
      <c r="B52" s="11">
        <v>10</v>
      </c>
      <c r="C52" s="10" t="s">
        <v>59</v>
      </c>
      <c r="D52" s="8" t="s">
        <v>27</v>
      </c>
      <c r="E52" s="12"/>
      <c r="F52" s="11">
        <f t="shared" si="0"/>
        <v>3780000</v>
      </c>
      <c r="G52" s="10"/>
      <c r="H52" s="10"/>
      <c r="I52" s="10" t="s">
        <v>46</v>
      </c>
      <c r="J52" s="10"/>
    </row>
    <row r="53" spans="1:10" ht="14.1" customHeight="1" x14ac:dyDescent="0.2">
      <c r="A53" s="10" t="s">
        <v>51</v>
      </c>
      <c r="B53" s="11">
        <v>1</v>
      </c>
      <c r="C53" s="10" t="s">
        <v>49</v>
      </c>
      <c r="D53" s="8" t="s">
        <v>28</v>
      </c>
      <c r="E53" s="9">
        <v>150000</v>
      </c>
      <c r="F53" s="12"/>
      <c r="G53" s="10"/>
      <c r="H53" s="10"/>
      <c r="I53" s="10" t="s">
        <v>46</v>
      </c>
      <c r="J53" s="10"/>
    </row>
    <row r="54" spans="1:10" ht="14.1" customHeight="1" x14ac:dyDescent="0.2">
      <c r="A54" s="10" t="s">
        <v>51</v>
      </c>
      <c r="B54" s="11">
        <v>2</v>
      </c>
      <c r="C54" s="10" t="s">
        <v>50</v>
      </c>
      <c r="D54" s="8" t="s">
        <v>29</v>
      </c>
      <c r="E54" s="9">
        <v>210000</v>
      </c>
      <c r="F54" s="11">
        <f>E53</f>
        <v>150000</v>
      </c>
      <c r="G54" s="10"/>
      <c r="H54" s="10"/>
      <c r="I54" s="10" t="s">
        <v>48</v>
      </c>
      <c r="J54" s="10"/>
    </row>
    <row r="55" spans="1:10" ht="14.1" customHeight="1" x14ac:dyDescent="0.2">
      <c r="A55" s="10" t="s">
        <v>60</v>
      </c>
      <c r="B55" s="11">
        <v>3</v>
      </c>
      <c r="C55" s="10" t="s">
        <v>60</v>
      </c>
      <c r="D55" s="8" t="s">
        <v>30</v>
      </c>
      <c r="E55" s="9">
        <v>285000</v>
      </c>
      <c r="F55" s="11">
        <f>F54+E54</f>
        <v>360000</v>
      </c>
      <c r="G55" s="10"/>
      <c r="H55" s="10"/>
      <c r="I55" s="10" t="s">
        <v>46</v>
      </c>
      <c r="J55" s="10"/>
    </row>
    <row r="56" spans="1:10" ht="14.1" customHeight="1" x14ac:dyDescent="0.2">
      <c r="A56" s="10" t="s">
        <v>60</v>
      </c>
      <c r="B56" s="11">
        <v>4</v>
      </c>
      <c r="C56" s="10" t="s">
        <v>61</v>
      </c>
      <c r="D56" s="8" t="s">
        <v>31</v>
      </c>
      <c r="E56" s="9">
        <v>345000</v>
      </c>
      <c r="F56" s="11">
        <f t="shared" ref="F56:F62" si="1">F55+E55</f>
        <v>645000</v>
      </c>
      <c r="G56" s="10"/>
      <c r="H56" s="10"/>
      <c r="I56" s="10" t="s">
        <v>48</v>
      </c>
      <c r="J56" s="10"/>
    </row>
    <row r="57" spans="1:10" ht="14.1" customHeight="1" x14ac:dyDescent="0.2">
      <c r="A57" s="10" t="s">
        <v>51</v>
      </c>
      <c r="B57" s="11">
        <v>5</v>
      </c>
      <c r="C57" s="10" t="s">
        <v>62</v>
      </c>
      <c r="D57" s="8" t="s">
        <v>32</v>
      </c>
      <c r="E57" s="9">
        <v>420000</v>
      </c>
      <c r="F57" s="11">
        <f t="shared" si="1"/>
        <v>990000</v>
      </c>
      <c r="G57" s="10"/>
      <c r="H57" s="10"/>
      <c r="I57" s="10" t="s">
        <v>48</v>
      </c>
      <c r="J57" s="10"/>
    </row>
    <row r="58" spans="1:10" ht="14.1" customHeight="1" x14ac:dyDescent="0.2">
      <c r="A58" s="10" t="s">
        <v>51</v>
      </c>
      <c r="B58" s="11">
        <v>6</v>
      </c>
      <c r="C58" s="10" t="s">
        <v>54</v>
      </c>
      <c r="D58" s="8" t="s">
        <v>33</v>
      </c>
      <c r="E58" s="9">
        <v>495000</v>
      </c>
      <c r="F58" s="11">
        <f t="shared" si="1"/>
        <v>1410000</v>
      </c>
      <c r="G58" s="10"/>
      <c r="H58" s="10"/>
      <c r="I58" s="10" t="s">
        <v>48</v>
      </c>
      <c r="J58" s="10"/>
    </row>
    <row r="59" spans="1:10" ht="14.1" customHeight="1" x14ac:dyDescent="0.2">
      <c r="A59" s="10" t="s">
        <v>55</v>
      </c>
      <c r="B59" s="11">
        <v>7</v>
      </c>
      <c r="C59" s="10" t="s">
        <v>63</v>
      </c>
      <c r="D59" s="8" t="s">
        <v>34</v>
      </c>
      <c r="E59" s="9">
        <v>555000</v>
      </c>
      <c r="F59" s="11">
        <f t="shared" si="1"/>
        <v>1905000</v>
      </c>
      <c r="G59" s="10"/>
      <c r="H59" s="10"/>
      <c r="I59" s="10" t="s">
        <v>47</v>
      </c>
      <c r="J59" s="10"/>
    </row>
    <row r="60" spans="1:10" ht="14.1" customHeight="1" x14ac:dyDescent="0.2">
      <c r="A60" s="10" t="s">
        <v>60</v>
      </c>
      <c r="B60" s="11">
        <v>8</v>
      </c>
      <c r="C60" s="10" t="s">
        <v>57</v>
      </c>
      <c r="D60" s="8" t="s">
        <v>35</v>
      </c>
      <c r="E60" s="9">
        <v>630000</v>
      </c>
      <c r="F60" s="11">
        <f t="shared" si="1"/>
        <v>2460000</v>
      </c>
      <c r="G60" s="10"/>
      <c r="H60" s="10"/>
      <c r="I60" s="10" t="s">
        <v>48</v>
      </c>
      <c r="J60" s="10"/>
    </row>
    <row r="61" spans="1:10" ht="14.1" customHeight="1" x14ac:dyDescent="0.2">
      <c r="A61" s="10" t="s">
        <v>51</v>
      </c>
      <c r="B61" s="11">
        <v>9</v>
      </c>
      <c r="C61" s="10" t="s">
        <v>64</v>
      </c>
      <c r="D61" s="8" t="s">
        <v>36</v>
      </c>
      <c r="E61" s="9">
        <v>690000</v>
      </c>
      <c r="F61" s="11">
        <f t="shared" si="1"/>
        <v>3090000</v>
      </c>
      <c r="G61" s="10"/>
      <c r="H61" s="10"/>
      <c r="I61" s="10" t="s">
        <v>48</v>
      </c>
      <c r="J61" s="10"/>
    </row>
    <row r="62" spans="1:10" ht="14.1" customHeight="1" x14ac:dyDescent="0.2">
      <c r="A62" s="10" t="s">
        <v>60</v>
      </c>
      <c r="B62" s="11">
        <v>10</v>
      </c>
      <c r="C62" s="10" t="s">
        <v>59</v>
      </c>
      <c r="D62" s="8" t="s">
        <v>37</v>
      </c>
      <c r="E62" s="12"/>
      <c r="F62" s="11">
        <f t="shared" si="1"/>
        <v>3780000</v>
      </c>
      <c r="G62" s="10"/>
      <c r="H62" s="10"/>
      <c r="I62" s="10" t="s">
        <v>47</v>
      </c>
      <c r="J62" s="10"/>
    </row>
    <row r="63" spans="1:10" ht="14.1" customHeight="1" x14ac:dyDescent="0.2">
      <c r="A63" s="10">
        <v>8</v>
      </c>
      <c r="B63" s="11">
        <v>1</v>
      </c>
      <c r="C63" s="10" t="s">
        <v>3</v>
      </c>
      <c r="D63" s="8" t="s">
        <v>73</v>
      </c>
      <c r="E63" s="16">
        <v>350000</v>
      </c>
      <c r="F63" s="14"/>
      <c r="G63" s="10">
        <v>810</v>
      </c>
      <c r="H63" s="14"/>
      <c r="I63" s="10" t="s">
        <v>132</v>
      </c>
      <c r="J63" s="10" t="s">
        <v>66</v>
      </c>
    </row>
    <row r="64" spans="1:10" ht="14.1" customHeight="1" x14ac:dyDescent="0.2">
      <c r="A64" s="10">
        <v>8</v>
      </c>
      <c r="B64" s="11">
        <v>2</v>
      </c>
      <c r="C64" s="10" t="s">
        <v>4</v>
      </c>
      <c r="D64" s="8" t="s">
        <v>74</v>
      </c>
      <c r="E64" s="16">
        <v>489999.99999999994</v>
      </c>
      <c r="F64" s="14">
        <f>E63+F63</f>
        <v>350000</v>
      </c>
      <c r="G64" s="10">
        <v>1134</v>
      </c>
      <c r="H64" s="14">
        <f>G63+H63</f>
        <v>810</v>
      </c>
      <c r="I64" s="10" t="s">
        <v>133</v>
      </c>
      <c r="J64" s="10" t="s">
        <v>66</v>
      </c>
    </row>
    <row r="65" spans="1:10" ht="14.1" customHeight="1" x14ac:dyDescent="0.2">
      <c r="A65" s="10">
        <v>8</v>
      </c>
      <c r="B65" s="11">
        <v>3</v>
      </c>
      <c r="C65" s="10" t="s">
        <v>1</v>
      </c>
      <c r="D65" s="8" t="s">
        <v>72</v>
      </c>
      <c r="E65" s="16">
        <v>665000</v>
      </c>
      <c r="F65" s="14">
        <f t="shared" ref="F65:H122" si="2">E64+F64</f>
        <v>840000</v>
      </c>
      <c r="G65" s="10">
        <v>1539</v>
      </c>
      <c r="H65" s="14">
        <f t="shared" si="2"/>
        <v>1944</v>
      </c>
      <c r="I65" s="10" t="s">
        <v>134</v>
      </c>
      <c r="J65" s="10" t="s">
        <v>66</v>
      </c>
    </row>
    <row r="66" spans="1:10" ht="14.1" customHeight="1" x14ac:dyDescent="0.2">
      <c r="A66" s="10">
        <v>8</v>
      </c>
      <c r="B66" s="11">
        <v>4</v>
      </c>
      <c r="C66" s="10" t="s">
        <v>2</v>
      </c>
      <c r="D66" s="8" t="s">
        <v>75</v>
      </c>
      <c r="E66" s="16">
        <v>805000</v>
      </c>
      <c r="F66" s="14">
        <f t="shared" si="2"/>
        <v>1505000</v>
      </c>
      <c r="G66" s="10">
        <v>1863</v>
      </c>
      <c r="H66" s="14">
        <f t="shared" si="2"/>
        <v>3483</v>
      </c>
      <c r="I66" s="10" t="s">
        <v>135</v>
      </c>
      <c r="J66" s="10" t="s">
        <v>66</v>
      </c>
    </row>
    <row r="67" spans="1:10" ht="14.1" customHeight="1" x14ac:dyDescent="0.2">
      <c r="A67" s="10">
        <v>8</v>
      </c>
      <c r="B67" s="11">
        <v>5</v>
      </c>
      <c r="C67" s="10" t="s">
        <v>5</v>
      </c>
      <c r="D67" s="8" t="s">
        <v>76</v>
      </c>
      <c r="E67" s="16">
        <v>980000.00000000012</v>
      </c>
      <c r="F67" s="14">
        <f t="shared" si="2"/>
        <v>2310000</v>
      </c>
      <c r="G67" s="10">
        <v>2268</v>
      </c>
      <c r="H67" s="14">
        <f t="shared" si="2"/>
        <v>5346</v>
      </c>
      <c r="I67" s="10" t="s">
        <v>136</v>
      </c>
      <c r="J67" s="10" t="s">
        <v>66</v>
      </c>
    </row>
    <row r="68" spans="1:10" ht="14.1" customHeight="1" x14ac:dyDescent="0.2">
      <c r="A68" s="10">
        <v>8</v>
      </c>
      <c r="B68" s="11">
        <v>6</v>
      </c>
      <c r="C68" s="10" t="s">
        <v>6</v>
      </c>
      <c r="D68" s="8" t="s">
        <v>77</v>
      </c>
      <c r="E68" s="16">
        <v>1155000.0000000002</v>
      </c>
      <c r="F68" s="14">
        <f t="shared" si="2"/>
        <v>3290000</v>
      </c>
      <c r="G68" s="10">
        <v>2673</v>
      </c>
      <c r="H68" s="14">
        <f t="shared" si="2"/>
        <v>7614</v>
      </c>
      <c r="I68" s="10" t="s">
        <v>137</v>
      </c>
      <c r="J68" s="10" t="s">
        <v>66</v>
      </c>
    </row>
    <row r="69" spans="1:10" ht="14.1" customHeight="1" x14ac:dyDescent="0.2">
      <c r="A69" s="10">
        <v>8</v>
      </c>
      <c r="B69" s="11">
        <v>7</v>
      </c>
      <c r="C69" s="10" t="s">
        <v>7</v>
      </c>
      <c r="D69" s="8" t="s">
        <v>78</v>
      </c>
      <c r="E69" s="16">
        <v>1295000.0000000002</v>
      </c>
      <c r="F69" s="14">
        <f t="shared" si="2"/>
        <v>4445000</v>
      </c>
      <c r="G69" s="10">
        <v>2997</v>
      </c>
      <c r="H69" s="14">
        <f t="shared" si="2"/>
        <v>10287</v>
      </c>
      <c r="I69" s="10" t="s">
        <v>138</v>
      </c>
      <c r="J69" s="10" t="s">
        <v>66</v>
      </c>
    </row>
    <row r="70" spans="1:10" ht="14.1" customHeight="1" x14ac:dyDescent="0.2">
      <c r="A70" s="10">
        <v>8</v>
      </c>
      <c r="B70" s="11">
        <v>8</v>
      </c>
      <c r="C70" s="10" t="s">
        <v>8</v>
      </c>
      <c r="D70" s="8" t="s">
        <v>79</v>
      </c>
      <c r="E70" s="16">
        <v>1470000.0000000002</v>
      </c>
      <c r="F70" s="14">
        <f t="shared" si="2"/>
        <v>5740000</v>
      </c>
      <c r="G70" s="10">
        <v>3402</v>
      </c>
      <c r="H70" s="14">
        <f t="shared" si="2"/>
        <v>13284</v>
      </c>
      <c r="I70" s="10" t="s">
        <v>139</v>
      </c>
      <c r="J70" s="10" t="s">
        <v>66</v>
      </c>
    </row>
    <row r="71" spans="1:10" ht="14.1" customHeight="1" x14ac:dyDescent="0.2">
      <c r="A71" s="10">
        <v>8</v>
      </c>
      <c r="B71" s="11">
        <v>9</v>
      </c>
      <c r="C71" s="10" t="s">
        <v>9</v>
      </c>
      <c r="D71" s="8" t="s">
        <v>80</v>
      </c>
      <c r="E71" s="16">
        <v>1610000.0000000005</v>
      </c>
      <c r="F71" s="14">
        <f t="shared" si="2"/>
        <v>7210000</v>
      </c>
      <c r="G71" s="10">
        <v>3726</v>
      </c>
      <c r="H71" s="14">
        <f t="shared" si="2"/>
        <v>16686</v>
      </c>
      <c r="I71" s="10" t="s">
        <v>140</v>
      </c>
      <c r="J71" s="10" t="s">
        <v>66</v>
      </c>
    </row>
    <row r="72" spans="1:10" ht="14.1" customHeight="1" x14ac:dyDescent="0.2">
      <c r="A72" s="10">
        <v>8</v>
      </c>
      <c r="B72" s="11">
        <v>10</v>
      </c>
      <c r="C72" s="10" t="s">
        <v>10</v>
      </c>
      <c r="D72" s="8" t="s">
        <v>81</v>
      </c>
      <c r="E72" s="15"/>
      <c r="F72" s="14">
        <f t="shared" si="2"/>
        <v>8820000</v>
      </c>
      <c r="G72" s="10"/>
      <c r="H72" s="14">
        <f t="shared" si="2"/>
        <v>20412</v>
      </c>
      <c r="I72" s="10"/>
      <c r="J72" s="10" t="s">
        <v>66</v>
      </c>
    </row>
    <row r="73" spans="1:10" ht="14.1" customHeight="1" x14ac:dyDescent="0.2">
      <c r="A73" s="10">
        <v>9</v>
      </c>
      <c r="B73" s="11">
        <v>1</v>
      </c>
      <c r="C73" s="10" t="s">
        <v>49</v>
      </c>
      <c r="D73" s="8" t="s">
        <v>82</v>
      </c>
      <c r="E73" s="15">
        <v>300000</v>
      </c>
      <c r="F73" s="14"/>
      <c r="G73" s="15">
        <v>540</v>
      </c>
      <c r="H73" s="14"/>
      <c r="I73" s="10" t="s">
        <v>132</v>
      </c>
      <c r="J73" s="10" t="s">
        <v>67</v>
      </c>
    </row>
    <row r="74" spans="1:10" ht="14.1" customHeight="1" x14ac:dyDescent="0.2">
      <c r="A74" s="10">
        <v>9</v>
      </c>
      <c r="B74" s="11">
        <v>2</v>
      </c>
      <c r="C74" s="10" t="s">
        <v>50</v>
      </c>
      <c r="D74" s="8" t="s">
        <v>83</v>
      </c>
      <c r="E74" s="15">
        <v>420000</v>
      </c>
      <c r="F74" s="14">
        <f t="shared" si="2"/>
        <v>300000</v>
      </c>
      <c r="G74" s="15">
        <v>756</v>
      </c>
      <c r="H74" s="14">
        <f t="shared" si="2"/>
        <v>540</v>
      </c>
      <c r="I74" s="10" t="s">
        <v>133</v>
      </c>
      <c r="J74" s="10" t="s">
        <v>67</v>
      </c>
    </row>
    <row r="75" spans="1:10" ht="14.1" customHeight="1" x14ac:dyDescent="0.2">
      <c r="A75" s="10">
        <v>9</v>
      </c>
      <c r="B75" s="11">
        <v>3</v>
      </c>
      <c r="C75" s="10" t="s">
        <v>55</v>
      </c>
      <c r="D75" s="8" t="s">
        <v>84</v>
      </c>
      <c r="E75" s="15">
        <v>570000</v>
      </c>
      <c r="F75" s="14">
        <f t="shared" si="2"/>
        <v>720000</v>
      </c>
      <c r="G75" s="15">
        <v>1026</v>
      </c>
      <c r="H75" s="14">
        <f t="shared" si="2"/>
        <v>1296</v>
      </c>
      <c r="I75" s="10" t="s">
        <v>134</v>
      </c>
      <c r="J75" s="10" t="s">
        <v>67</v>
      </c>
    </row>
    <row r="76" spans="1:10" ht="14.1" customHeight="1" x14ac:dyDescent="0.2">
      <c r="A76" s="10">
        <v>9</v>
      </c>
      <c r="B76" s="11">
        <v>4</v>
      </c>
      <c r="C76" s="10" t="s">
        <v>61</v>
      </c>
      <c r="D76" s="8" t="s">
        <v>85</v>
      </c>
      <c r="E76" s="15">
        <v>690000</v>
      </c>
      <c r="F76" s="14">
        <f t="shared" si="2"/>
        <v>1290000</v>
      </c>
      <c r="G76" s="15">
        <v>1242</v>
      </c>
      <c r="H76" s="14">
        <f t="shared" si="2"/>
        <v>2322</v>
      </c>
      <c r="I76" s="10" t="s">
        <v>135</v>
      </c>
      <c r="J76" s="10" t="s">
        <v>67</v>
      </c>
    </row>
    <row r="77" spans="1:10" ht="14.1" customHeight="1" x14ac:dyDescent="0.2">
      <c r="A77" s="10">
        <v>9</v>
      </c>
      <c r="B77" s="11">
        <v>5</v>
      </c>
      <c r="C77" s="10" t="s">
        <v>62</v>
      </c>
      <c r="D77" s="8" t="s">
        <v>86</v>
      </c>
      <c r="E77" s="15">
        <v>840000</v>
      </c>
      <c r="F77" s="14">
        <f t="shared" si="2"/>
        <v>1980000</v>
      </c>
      <c r="G77" s="15">
        <v>1512</v>
      </c>
      <c r="H77" s="14">
        <f t="shared" si="2"/>
        <v>3564</v>
      </c>
      <c r="I77" s="10" t="s">
        <v>136</v>
      </c>
      <c r="J77" s="10" t="s">
        <v>67</v>
      </c>
    </row>
    <row r="78" spans="1:10" ht="14.1" customHeight="1" x14ac:dyDescent="0.2">
      <c r="A78" s="10">
        <v>9</v>
      </c>
      <c r="B78" s="11">
        <v>6</v>
      </c>
      <c r="C78" s="10" t="s">
        <v>54</v>
      </c>
      <c r="D78" s="8" t="s">
        <v>87</v>
      </c>
      <c r="E78" s="15">
        <v>990000</v>
      </c>
      <c r="F78" s="14">
        <f t="shared" si="2"/>
        <v>2820000</v>
      </c>
      <c r="G78" s="15">
        <v>1782</v>
      </c>
      <c r="H78" s="14">
        <f t="shared" si="2"/>
        <v>5076</v>
      </c>
      <c r="I78" s="10" t="s">
        <v>137</v>
      </c>
      <c r="J78" s="10" t="s">
        <v>67</v>
      </c>
    </row>
    <row r="79" spans="1:10" ht="14.1" customHeight="1" x14ac:dyDescent="0.2">
      <c r="A79" s="10">
        <v>9</v>
      </c>
      <c r="B79" s="11">
        <v>7</v>
      </c>
      <c r="C79" s="10" t="s">
        <v>63</v>
      </c>
      <c r="D79" s="8" t="s">
        <v>88</v>
      </c>
      <c r="E79" s="15">
        <v>1110000</v>
      </c>
      <c r="F79" s="14">
        <f t="shared" si="2"/>
        <v>3810000</v>
      </c>
      <c r="G79" s="15">
        <v>1998</v>
      </c>
      <c r="H79" s="14">
        <f t="shared" si="2"/>
        <v>6858</v>
      </c>
      <c r="I79" s="10" t="s">
        <v>138</v>
      </c>
      <c r="J79" s="10" t="s">
        <v>67</v>
      </c>
    </row>
    <row r="80" spans="1:10" ht="14.1" customHeight="1" x14ac:dyDescent="0.2">
      <c r="A80" s="10">
        <v>9</v>
      </c>
      <c r="B80" s="11">
        <v>8</v>
      </c>
      <c r="C80" s="10" t="s">
        <v>57</v>
      </c>
      <c r="D80" s="8" t="s">
        <v>89</v>
      </c>
      <c r="E80" s="15">
        <v>1260000</v>
      </c>
      <c r="F80" s="14">
        <f t="shared" si="2"/>
        <v>4920000</v>
      </c>
      <c r="G80" s="15">
        <v>2268</v>
      </c>
      <c r="H80" s="14">
        <f t="shared" si="2"/>
        <v>8856</v>
      </c>
      <c r="I80" s="10" t="s">
        <v>139</v>
      </c>
      <c r="J80" s="10" t="s">
        <v>67</v>
      </c>
    </row>
    <row r="81" spans="1:10" ht="14.1" customHeight="1" x14ac:dyDescent="0.2">
      <c r="A81" s="10">
        <v>9</v>
      </c>
      <c r="B81" s="11">
        <v>9</v>
      </c>
      <c r="C81" s="10" t="s">
        <v>58</v>
      </c>
      <c r="D81" s="8" t="s">
        <v>90</v>
      </c>
      <c r="E81" s="15">
        <v>1380000.0000000002</v>
      </c>
      <c r="F81" s="14">
        <f t="shared" si="2"/>
        <v>6180000</v>
      </c>
      <c r="G81" s="15">
        <v>2484</v>
      </c>
      <c r="H81" s="14">
        <f t="shared" si="2"/>
        <v>11124</v>
      </c>
      <c r="I81" s="10" t="s">
        <v>140</v>
      </c>
      <c r="J81" s="10" t="s">
        <v>67</v>
      </c>
    </row>
    <row r="82" spans="1:10" ht="14.1" customHeight="1" x14ac:dyDescent="0.2">
      <c r="A82" s="10">
        <v>9</v>
      </c>
      <c r="B82" s="11">
        <v>10</v>
      </c>
      <c r="C82" s="10" t="s">
        <v>59</v>
      </c>
      <c r="D82" s="8" t="s">
        <v>91</v>
      </c>
      <c r="E82" s="15"/>
      <c r="F82" s="14">
        <f t="shared" si="2"/>
        <v>7560000</v>
      </c>
      <c r="G82" s="10"/>
      <c r="H82" s="14">
        <f t="shared" si="2"/>
        <v>13608</v>
      </c>
      <c r="I82" s="10"/>
      <c r="J82" s="10" t="s">
        <v>67</v>
      </c>
    </row>
    <row r="83" spans="1:10" ht="14.1" customHeight="1" x14ac:dyDescent="0.2">
      <c r="A83" s="10">
        <v>12</v>
      </c>
      <c r="B83" s="11">
        <v>1</v>
      </c>
      <c r="C83" s="10" t="s">
        <v>3</v>
      </c>
      <c r="D83" s="8" t="s">
        <v>131</v>
      </c>
      <c r="E83" s="1">
        <v>250000</v>
      </c>
      <c r="F83" s="14"/>
      <c r="G83" s="1">
        <v>1080</v>
      </c>
      <c r="H83" s="14"/>
      <c r="I83" s="10" t="s">
        <v>132</v>
      </c>
      <c r="J83" s="10" t="s">
        <v>68</v>
      </c>
    </row>
    <row r="84" spans="1:10" ht="14.1" customHeight="1" x14ac:dyDescent="0.2">
      <c r="A84" s="10">
        <v>12</v>
      </c>
      <c r="B84" s="11">
        <v>2</v>
      </c>
      <c r="C84" s="10" t="s">
        <v>4</v>
      </c>
      <c r="D84" s="8" t="s">
        <v>92</v>
      </c>
      <c r="E84" s="1">
        <v>350000</v>
      </c>
      <c r="F84" s="14">
        <f t="shared" si="2"/>
        <v>250000</v>
      </c>
      <c r="G84" s="1">
        <v>1512</v>
      </c>
      <c r="H84" s="14">
        <f t="shared" si="2"/>
        <v>1080</v>
      </c>
      <c r="I84" s="10" t="s">
        <v>133</v>
      </c>
      <c r="J84" s="10" t="s">
        <v>68</v>
      </c>
    </row>
    <row r="85" spans="1:10" ht="14.1" customHeight="1" x14ac:dyDescent="0.2">
      <c r="A85" s="10">
        <v>12</v>
      </c>
      <c r="B85" s="11">
        <v>3</v>
      </c>
      <c r="C85" s="10" t="s">
        <v>1</v>
      </c>
      <c r="D85" s="8" t="s">
        <v>93</v>
      </c>
      <c r="E85" s="1">
        <v>475000</v>
      </c>
      <c r="F85" s="14">
        <f t="shared" si="2"/>
        <v>600000</v>
      </c>
      <c r="G85" s="1">
        <v>2052</v>
      </c>
      <c r="H85" s="14">
        <f t="shared" si="2"/>
        <v>2592</v>
      </c>
      <c r="I85" s="10" t="s">
        <v>134</v>
      </c>
      <c r="J85" s="10" t="s">
        <v>68</v>
      </c>
    </row>
    <row r="86" spans="1:10" ht="14.1" customHeight="1" x14ac:dyDescent="0.2">
      <c r="A86" s="10">
        <v>12</v>
      </c>
      <c r="B86" s="11">
        <v>4</v>
      </c>
      <c r="C86" s="10" t="s">
        <v>2</v>
      </c>
      <c r="D86" s="8" t="s">
        <v>94</v>
      </c>
      <c r="E86" s="1">
        <v>575000</v>
      </c>
      <c r="F86" s="14">
        <f t="shared" si="2"/>
        <v>1075000</v>
      </c>
      <c r="G86" s="1">
        <v>2484</v>
      </c>
      <c r="H86" s="14">
        <f t="shared" si="2"/>
        <v>4644</v>
      </c>
      <c r="I86" s="10" t="s">
        <v>135</v>
      </c>
      <c r="J86" s="10" t="s">
        <v>68</v>
      </c>
    </row>
    <row r="87" spans="1:10" ht="14.1" customHeight="1" x14ac:dyDescent="0.2">
      <c r="A87" s="10">
        <v>12</v>
      </c>
      <c r="B87" s="11">
        <v>5</v>
      </c>
      <c r="C87" s="10" t="s">
        <v>5</v>
      </c>
      <c r="D87" s="8" t="s">
        <v>95</v>
      </c>
      <c r="E87" s="1">
        <v>700000</v>
      </c>
      <c r="F87" s="14">
        <f t="shared" si="2"/>
        <v>1650000</v>
      </c>
      <c r="G87" s="1">
        <v>3024</v>
      </c>
      <c r="H87" s="14">
        <f t="shared" si="2"/>
        <v>7128</v>
      </c>
      <c r="I87" s="10" t="s">
        <v>136</v>
      </c>
      <c r="J87" s="10" t="s">
        <v>68</v>
      </c>
    </row>
    <row r="88" spans="1:10" ht="14.1" customHeight="1" x14ac:dyDescent="0.2">
      <c r="A88" s="10">
        <v>12</v>
      </c>
      <c r="B88" s="11">
        <v>6</v>
      </c>
      <c r="C88" s="10" t="s">
        <v>6</v>
      </c>
      <c r="D88" s="8" t="s">
        <v>96</v>
      </c>
      <c r="E88" s="1">
        <v>825000</v>
      </c>
      <c r="F88" s="14">
        <f t="shared" si="2"/>
        <v>2350000</v>
      </c>
      <c r="G88" s="1">
        <v>3564</v>
      </c>
      <c r="H88" s="14">
        <f t="shared" si="2"/>
        <v>10152</v>
      </c>
      <c r="I88" s="10" t="s">
        <v>137</v>
      </c>
      <c r="J88" s="10" t="s">
        <v>68</v>
      </c>
    </row>
    <row r="89" spans="1:10" ht="14.1" customHeight="1" x14ac:dyDescent="0.2">
      <c r="A89" s="10">
        <v>12</v>
      </c>
      <c r="B89" s="11">
        <v>7</v>
      </c>
      <c r="C89" s="10" t="s">
        <v>7</v>
      </c>
      <c r="D89" s="8" t="s">
        <v>97</v>
      </c>
      <c r="E89" s="1">
        <v>925000</v>
      </c>
      <c r="F89" s="14">
        <f t="shared" si="2"/>
        <v>3175000</v>
      </c>
      <c r="G89" s="1">
        <v>3996</v>
      </c>
      <c r="H89" s="14">
        <f t="shared" si="2"/>
        <v>13716</v>
      </c>
      <c r="I89" s="10" t="s">
        <v>138</v>
      </c>
      <c r="J89" s="10" t="s">
        <v>68</v>
      </c>
    </row>
    <row r="90" spans="1:10" ht="14.1" customHeight="1" x14ac:dyDescent="0.2">
      <c r="A90" s="10">
        <v>12</v>
      </c>
      <c r="B90" s="11">
        <v>8</v>
      </c>
      <c r="C90" s="10" t="s">
        <v>8</v>
      </c>
      <c r="D90" s="8" t="s">
        <v>98</v>
      </c>
      <c r="E90" s="1">
        <v>1050000</v>
      </c>
      <c r="F90" s="14">
        <f t="shared" si="2"/>
        <v>4100000</v>
      </c>
      <c r="G90" s="1">
        <v>4536</v>
      </c>
      <c r="H90" s="14">
        <f t="shared" si="2"/>
        <v>17712</v>
      </c>
      <c r="I90" s="10" t="s">
        <v>139</v>
      </c>
      <c r="J90" s="10" t="s">
        <v>68</v>
      </c>
    </row>
    <row r="91" spans="1:10" ht="14.1" customHeight="1" x14ac:dyDescent="0.2">
      <c r="A91" s="10">
        <v>12</v>
      </c>
      <c r="B91" s="11">
        <v>9</v>
      </c>
      <c r="C91" s="10" t="s">
        <v>9</v>
      </c>
      <c r="D91" s="8" t="s">
        <v>99</v>
      </c>
      <c r="E91" s="1">
        <v>1150000</v>
      </c>
      <c r="F91" s="14">
        <f t="shared" si="2"/>
        <v>5150000</v>
      </c>
      <c r="G91" s="1">
        <v>4968</v>
      </c>
      <c r="H91" s="14">
        <f t="shared" si="2"/>
        <v>22248</v>
      </c>
      <c r="I91" s="10" t="s">
        <v>140</v>
      </c>
      <c r="J91" s="10" t="s">
        <v>68</v>
      </c>
    </row>
    <row r="92" spans="1:10" ht="14.1" customHeight="1" x14ac:dyDescent="0.2">
      <c r="A92" s="10">
        <v>12</v>
      </c>
      <c r="B92" s="11">
        <v>10</v>
      </c>
      <c r="C92" s="10" t="s">
        <v>10</v>
      </c>
      <c r="D92" s="8" t="s">
        <v>100</v>
      </c>
      <c r="F92" s="14">
        <f t="shared" si="2"/>
        <v>6300000</v>
      </c>
      <c r="H92" s="14">
        <f t="shared" si="2"/>
        <v>27216</v>
      </c>
      <c r="I92" s="10"/>
      <c r="J92" s="10" t="s">
        <v>68</v>
      </c>
    </row>
    <row r="93" spans="1:10" ht="14.1" customHeight="1" x14ac:dyDescent="0.2">
      <c r="A93" s="10">
        <v>13</v>
      </c>
      <c r="B93" s="11">
        <v>1</v>
      </c>
      <c r="C93" s="10" t="s">
        <v>3</v>
      </c>
      <c r="D93" s="8" t="s">
        <v>101</v>
      </c>
      <c r="E93" s="1">
        <v>250000</v>
      </c>
      <c r="F93" s="14"/>
      <c r="G93" s="1">
        <v>1080</v>
      </c>
      <c r="H93" s="14"/>
      <c r="I93" s="10" t="s">
        <v>132</v>
      </c>
      <c r="J93" s="10" t="s">
        <v>69</v>
      </c>
    </row>
    <row r="94" spans="1:10" ht="14.1" customHeight="1" x14ac:dyDescent="0.2">
      <c r="A94" s="10">
        <v>13</v>
      </c>
      <c r="B94" s="11">
        <v>2</v>
      </c>
      <c r="C94" s="10" t="s">
        <v>4</v>
      </c>
      <c r="D94" s="8" t="s">
        <v>102</v>
      </c>
      <c r="E94" s="1">
        <v>350000</v>
      </c>
      <c r="F94" s="14">
        <f t="shared" si="2"/>
        <v>250000</v>
      </c>
      <c r="G94" s="1">
        <v>1512</v>
      </c>
      <c r="H94" s="14">
        <f t="shared" si="2"/>
        <v>1080</v>
      </c>
      <c r="I94" s="10" t="s">
        <v>133</v>
      </c>
      <c r="J94" s="10" t="s">
        <v>69</v>
      </c>
    </row>
    <row r="95" spans="1:10" ht="14.1" customHeight="1" x14ac:dyDescent="0.2">
      <c r="A95" s="10">
        <v>13</v>
      </c>
      <c r="B95" s="11">
        <v>3</v>
      </c>
      <c r="C95" s="10" t="s">
        <v>1</v>
      </c>
      <c r="D95" s="8" t="s">
        <v>103</v>
      </c>
      <c r="E95" s="1">
        <v>475000</v>
      </c>
      <c r="F95" s="14">
        <f t="shared" si="2"/>
        <v>600000</v>
      </c>
      <c r="G95" s="1">
        <v>2052</v>
      </c>
      <c r="H95" s="14">
        <f t="shared" si="2"/>
        <v>2592</v>
      </c>
      <c r="I95" s="10" t="s">
        <v>134</v>
      </c>
      <c r="J95" s="10" t="s">
        <v>69</v>
      </c>
    </row>
    <row r="96" spans="1:10" ht="14.1" customHeight="1" x14ac:dyDescent="0.2">
      <c r="A96" s="10">
        <v>13</v>
      </c>
      <c r="B96" s="11">
        <v>4</v>
      </c>
      <c r="C96" s="10" t="s">
        <v>2</v>
      </c>
      <c r="D96" s="8" t="s">
        <v>104</v>
      </c>
      <c r="E96" s="1">
        <v>575000</v>
      </c>
      <c r="F96" s="14">
        <f t="shared" si="2"/>
        <v>1075000</v>
      </c>
      <c r="G96" s="1">
        <v>2484</v>
      </c>
      <c r="H96" s="14">
        <f t="shared" si="2"/>
        <v>4644</v>
      </c>
      <c r="I96" s="10" t="s">
        <v>135</v>
      </c>
      <c r="J96" s="10" t="s">
        <v>69</v>
      </c>
    </row>
    <row r="97" spans="1:10" ht="14.1" customHeight="1" x14ac:dyDescent="0.2">
      <c r="A97" s="10">
        <v>13</v>
      </c>
      <c r="B97" s="11">
        <v>5</v>
      </c>
      <c r="C97" s="10" t="s">
        <v>5</v>
      </c>
      <c r="D97" s="8" t="s">
        <v>105</v>
      </c>
      <c r="E97" s="1">
        <v>700000</v>
      </c>
      <c r="F97" s="14">
        <f t="shared" si="2"/>
        <v>1650000</v>
      </c>
      <c r="G97" s="1">
        <v>3024</v>
      </c>
      <c r="H97" s="14">
        <f t="shared" si="2"/>
        <v>7128</v>
      </c>
      <c r="I97" s="10" t="s">
        <v>136</v>
      </c>
      <c r="J97" s="10" t="s">
        <v>69</v>
      </c>
    </row>
    <row r="98" spans="1:10" ht="14.1" customHeight="1" x14ac:dyDescent="0.2">
      <c r="A98" s="10">
        <v>13</v>
      </c>
      <c r="B98" s="11">
        <v>6</v>
      </c>
      <c r="C98" s="10" t="s">
        <v>6</v>
      </c>
      <c r="D98" s="8" t="s">
        <v>106</v>
      </c>
      <c r="E98" s="1">
        <v>825000</v>
      </c>
      <c r="F98" s="14">
        <f t="shared" si="2"/>
        <v>2350000</v>
      </c>
      <c r="G98" s="1">
        <v>3564</v>
      </c>
      <c r="H98" s="14">
        <f t="shared" si="2"/>
        <v>10152</v>
      </c>
      <c r="I98" s="10" t="s">
        <v>137</v>
      </c>
      <c r="J98" s="10" t="s">
        <v>69</v>
      </c>
    </row>
    <row r="99" spans="1:10" ht="14.1" customHeight="1" x14ac:dyDescent="0.2">
      <c r="A99" s="10">
        <v>13</v>
      </c>
      <c r="B99" s="11">
        <v>7</v>
      </c>
      <c r="C99" s="10" t="s">
        <v>7</v>
      </c>
      <c r="D99" s="8" t="s">
        <v>107</v>
      </c>
      <c r="E99" s="1">
        <v>925000</v>
      </c>
      <c r="F99" s="14">
        <f t="shared" si="2"/>
        <v>3175000</v>
      </c>
      <c r="G99" s="1">
        <v>3996</v>
      </c>
      <c r="H99" s="14">
        <f t="shared" si="2"/>
        <v>13716</v>
      </c>
      <c r="I99" s="10" t="s">
        <v>138</v>
      </c>
      <c r="J99" s="10" t="s">
        <v>69</v>
      </c>
    </row>
    <row r="100" spans="1:10" ht="14.1" customHeight="1" x14ac:dyDescent="0.2">
      <c r="A100" s="10">
        <v>13</v>
      </c>
      <c r="B100" s="11">
        <v>8</v>
      </c>
      <c r="C100" s="10" t="s">
        <v>8</v>
      </c>
      <c r="D100" s="8" t="s">
        <v>108</v>
      </c>
      <c r="E100" s="1">
        <v>1050000</v>
      </c>
      <c r="F100" s="14">
        <f t="shared" si="2"/>
        <v>4100000</v>
      </c>
      <c r="G100" s="1">
        <v>4536</v>
      </c>
      <c r="H100" s="14">
        <f t="shared" si="2"/>
        <v>17712</v>
      </c>
      <c r="I100" s="10" t="s">
        <v>139</v>
      </c>
      <c r="J100" s="10" t="s">
        <v>69</v>
      </c>
    </row>
    <row r="101" spans="1:10" ht="14.1" customHeight="1" x14ac:dyDescent="0.2">
      <c r="A101" s="10">
        <v>13</v>
      </c>
      <c r="B101" s="11">
        <v>9</v>
      </c>
      <c r="C101" s="10" t="s">
        <v>9</v>
      </c>
      <c r="D101" s="8" t="s">
        <v>109</v>
      </c>
      <c r="E101" s="1">
        <v>1150000</v>
      </c>
      <c r="F101" s="14">
        <f t="shared" si="2"/>
        <v>5150000</v>
      </c>
      <c r="G101" s="1">
        <v>4968</v>
      </c>
      <c r="H101" s="14">
        <f t="shared" si="2"/>
        <v>22248</v>
      </c>
      <c r="I101" s="10" t="s">
        <v>140</v>
      </c>
      <c r="J101" s="10" t="s">
        <v>69</v>
      </c>
    </row>
    <row r="102" spans="1:10" ht="14.1" customHeight="1" x14ac:dyDescent="0.2">
      <c r="A102" s="10">
        <v>13</v>
      </c>
      <c r="B102" s="11">
        <v>10</v>
      </c>
      <c r="C102" s="10" t="s">
        <v>10</v>
      </c>
      <c r="D102" s="8" t="s">
        <v>110</v>
      </c>
      <c r="F102" s="14">
        <f t="shared" si="2"/>
        <v>6300000</v>
      </c>
      <c r="H102" s="14">
        <f t="shared" si="2"/>
        <v>27216</v>
      </c>
      <c r="I102" s="10"/>
      <c r="J102" s="10" t="s">
        <v>69</v>
      </c>
    </row>
    <row r="103" spans="1:10" ht="14.1" customHeight="1" x14ac:dyDescent="0.2">
      <c r="A103" s="10">
        <v>14</v>
      </c>
      <c r="B103" s="11">
        <v>1</v>
      </c>
      <c r="C103" s="10" t="s">
        <v>3</v>
      </c>
      <c r="D103" s="8" t="s">
        <v>111</v>
      </c>
      <c r="E103" s="1">
        <v>350000</v>
      </c>
      <c r="F103" s="14"/>
      <c r="G103" s="1">
        <v>810</v>
      </c>
      <c r="H103" s="14"/>
      <c r="I103" s="10" t="s">
        <v>132</v>
      </c>
      <c r="J103" s="10" t="s">
        <v>70</v>
      </c>
    </row>
    <row r="104" spans="1:10" ht="14.1" customHeight="1" x14ac:dyDescent="0.2">
      <c r="A104" s="10">
        <v>14</v>
      </c>
      <c r="B104" s="11">
        <v>2</v>
      </c>
      <c r="C104" s="10" t="s">
        <v>4</v>
      </c>
      <c r="D104" s="8" t="s">
        <v>112</v>
      </c>
      <c r="E104" s="1">
        <v>489999.99999999994</v>
      </c>
      <c r="F104" s="14">
        <f t="shared" si="2"/>
        <v>350000</v>
      </c>
      <c r="G104" s="1">
        <v>1134</v>
      </c>
      <c r="H104" s="14">
        <f t="shared" si="2"/>
        <v>810</v>
      </c>
      <c r="I104" s="10" t="s">
        <v>133</v>
      </c>
      <c r="J104" s="10" t="s">
        <v>70</v>
      </c>
    </row>
    <row r="105" spans="1:10" ht="14.1" customHeight="1" x14ac:dyDescent="0.2">
      <c r="A105" s="10">
        <v>14</v>
      </c>
      <c r="B105" s="11">
        <v>3</v>
      </c>
      <c r="C105" s="10" t="s">
        <v>1</v>
      </c>
      <c r="D105" s="8" t="s">
        <v>113</v>
      </c>
      <c r="E105" s="1">
        <v>665000</v>
      </c>
      <c r="F105" s="14">
        <f t="shared" si="2"/>
        <v>840000</v>
      </c>
      <c r="G105" s="1">
        <v>1539</v>
      </c>
      <c r="H105" s="14">
        <f t="shared" si="2"/>
        <v>1944</v>
      </c>
      <c r="I105" s="10" t="s">
        <v>134</v>
      </c>
      <c r="J105" s="10" t="s">
        <v>70</v>
      </c>
    </row>
    <row r="106" spans="1:10" ht="14.1" customHeight="1" x14ac:dyDescent="0.2">
      <c r="A106" s="10">
        <v>14</v>
      </c>
      <c r="B106" s="11">
        <v>4</v>
      </c>
      <c r="C106" s="10" t="s">
        <v>2</v>
      </c>
      <c r="D106" s="8" t="s">
        <v>114</v>
      </c>
      <c r="E106" s="1">
        <v>805000</v>
      </c>
      <c r="F106" s="14">
        <f t="shared" si="2"/>
        <v>1505000</v>
      </c>
      <c r="G106" s="1">
        <v>1863</v>
      </c>
      <c r="H106" s="14">
        <f t="shared" si="2"/>
        <v>3483</v>
      </c>
      <c r="I106" s="10" t="s">
        <v>135</v>
      </c>
      <c r="J106" s="10" t="s">
        <v>70</v>
      </c>
    </row>
    <row r="107" spans="1:10" ht="14.1" customHeight="1" x14ac:dyDescent="0.2">
      <c r="A107" s="10">
        <v>14</v>
      </c>
      <c r="B107" s="11">
        <v>5</v>
      </c>
      <c r="C107" s="10" t="s">
        <v>5</v>
      </c>
      <c r="D107" s="8" t="s">
        <v>115</v>
      </c>
      <c r="E107" s="1">
        <v>980000.00000000012</v>
      </c>
      <c r="F107" s="14">
        <f t="shared" si="2"/>
        <v>2310000</v>
      </c>
      <c r="G107" s="1">
        <v>2268</v>
      </c>
      <c r="H107" s="14">
        <f t="shared" si="2"/>
        <v>5346</v>
      </c>
      <c r="I107" s="10" t="s">
        <v>136</v>
      </c>
      <c r="J107" s="10" t="s">
        <v>70</v>
      </c>
    </row>
    <row r="108" spans="1:10" ht="14.1" customHeight="1" x14ac:dyDescent="0.2">
      <c r="A108" s="10">
        <v>14</v>
      </c>
      <c r="B108" s="11">
        <v>6</v>
      </c>
      <c r="C108" s="10" t="s">
        <v>6</v>
      </c>
      <c r="D108" s="8" t="s">
        <v>116</v>
      </c>
      <c r="E108" s="1">
        <v>1155000.0000000002</v>
      </c>
      <c r="F108" s="14">
        <f t="shared" si="2"/>
        <v>3290000</v>
      </c>
      <c r="G108" s="1">
        <v>2673</v>
      </c>
      <c r="H108" s="14">
        <f t="shared" si="2"/>
        <v>7614</v>
      </c>
      <c r="I108" s="10" t="s">
        <v>137</v>
      </c>
      <c r="J108" s="10" t="s">
        <v>70</v>
      </c>
    </row>
    <row r="109" spans="1:10" ht="14.1" customHeight="1" x14ac:dyDescent="0.2">
      <c r="A109" s="10">
        <v>14</v>
      </c>
      <c r="B109" s="11">
        <v>7</v>
      </c>
      <c r="C109" s="10" t="s">
        <v>7</v>
      </c>
      <c r="D109" s="8" t="s">
        <v>117</v>
      </c>
      <c r="E109" s="1">
        <v>1295000.0000000002</v>
      </c>
      <c r="F109" s="14">
        <f t="shared" si="2"/>
        <v>4445000</v>
      </c>
      <c r="G109" s="1">
        <v>2997</v>
      </c>
      <c r="H109" s="14">
        <f t="shared" si="2"/>
        <v>10287</v>
      </c>
      <c r="I109" s="10" t="s">
        <v>138</v>
      </c>
      <c r="J109" s="10" t="s">
        <v>70</v>
      </c>
    </row>
    <row r="110" spans="1:10" ht="14.1" customHeight="1" x14ac:dyDescent="0.2">
      <c r="A110" s="10">
        <v>14</v>
      </c>
      <c r="B110" s="11">
        <v>8</v>
      </c>
      <c r="C110" s="10" t="s">
        <v>8</v>
      </c>
      <c r="D110" s="8" t="s">
        <v>118</v>
      </c>
      <c r="E110" s="1">
        <v>1470000.0000000002</v>
      </c>
      <c r="F110" s="14">
        <f t="shared" si="2"/>
        <v>5740000</v>
      </c>
      <c r="G110" s="1">
        <v>3402</v>
      </c>
      <c r="H110" s="14">
        <f t="shared" si="2"/>
        <v>13284</v>
      </c>
      <c r="I110" s="10" t="s">
        <v>139</v>
      </c>
      <c r="J110" s="10" t="s">
        <v>70</v>
      </c>
    </row>
    <row r="111" spans="1:10" ht="14.1" customHeight="1" x14ac:dyDescent="0.2">
      <c r="A111" s="10">
        <v>14</v>
      </c>
      <c r="B111" s="11">
        <v>9</v>
      </c>
      <c r="C111" s="10" t="s">
        <v>9</v>
      </c>
      <c r="D111" s="8" t="s">
        <v>119</v>
      </c>
      <c r="E111" s="1">
        <v>1610000.0000000005</v>
      </c>
      <c r="F111" s="14">
        <f t="shared" si="2"/>
        <v>7210000</v>
      </c>
      <c r="G111" s="1">
        <v>3726</v>
      </c>
      <c r="H111" s="14">
        <f t="shared" si="2"/>
        <v>16686</v>
      </c>
      <c r="I111" s="10" t="s">
        <v>140</v>
      </c>
      <c r="J111" s="10" t="s">
        <v>70</v>
      </c>
    </row>
    <row r="112" spans="1:10" ht="14.1" customHeight="1" x14ac:dyDescent="0.2">
      <c r="A112" s="10">
        <v>14</v>
      </c>
      <c r="B112" s="11">
        <v>10</v>
      </c>
      <c r="C112" s="10" t="s">
        <v>10</v>
      </c>
      <c r="D112" s="8" t="s">
        <v>120</v>
      </c>
      <c r="F112" s="14">
        <f t="shared" si="2"/>
        <v>8820000</v>
      </c>
      <c r="H112" s="14">
        <f t="shared" si="2"/>
        <v>20412</v>
      </c>
      <c r="I112" s="10"/>
      <c r="J112" s="10" t="s">
        <v>70</v>
      </c>
    </row>
    <row r="113" spans="1:10" ht="14.1" customHeight="1" x14ac:dyDescent="0.2">
      <c r="A113" s="10">
        <v>15</v>
      </c>
      <c r="B113" s="11">
        <v>1</v>
      </c>
      <c r="C113" s="10" t="s">
        <v>49</v>
      </c>
      <c r="D113" s="8" t="s">
        <v>121</v>
      </c>
      <c r="E113" s="1">
        <v>300000</v>
      </c>
      <c r="F113" s="14"/>
      <c r="G113" s="1">
        <v>540</v>
      </c>
      <c r="H113" s="14"/>
      <c r="I113" s="10" t="s">
        <v>132</v>
      </c>
      <c r="J113" s="10" t="s">
        <v>71</v>
      </c>
    </row>
    <row r="114" spans="1:10" ht="14.1" customHeight="1" x14ac:dyDescent="0.2">
      <c r="A114" s="10">
        <v>15</v>
      </c>
      <c r="B114" s="11">
        <v>2</v>
      </c>
      <c r="C114" s="10" t="s">
        <v>50</v>
      </c>
      <c r="D114" s="8" t="s">
        <v>122</v>
      </c>
      <c r="E114" s="1">
        <v>420000</v>
      </c>
      <c r="F114" s="14">
        <f t="shared" si="2"/>
        <v>300000</v>
      </c>
      <c r="G114" s="1">
        <v>756</v>
      </c>
      <c r="H114" s="14">
        <f t="shared" si="2"/>
        <v>540</v>
      </c>
      <c r="I114" s="10" t="s">
        <v>133</v>
      </c>
      <c r="J114" s="10" t="s">
        <v>71</v>
      </c>
    </row>
    <row r="115" spans="1:10" ht="14.1" customHeight="1" x14ac:dyDescent="0.2">
      <c r="A115" s="10">
        <v>15</v>
      </c>
      <c r="B115" s="11">
        <v>3</v>
      </c>
      <c r="C115" s="10" t="s">
        <v>55</v>
      </c>
      <c r="D115" s="8" t="s">
        <v>123</v>
      </c>
      <c r="E115" s="1">
        <v>570000</v>
      </c>
      <c r="F115" s="14">
        <f t="shared" si="2"/>
        <v>720000</v>
      </c>
      <c r="G115" s="1">
        <v>1026</v>
      </c>
      <c r="H115" s="14">
        <f t="shared" si="2"/>
        <v>1296</v>
      </c>
      <c r="I115" s="10" t="s">
        <v>134</v>
      </c>
      <c r="J115" s="10" t="s">
        <v>71</v>
      </c>
    </row>
    <row r="116" spans="1:10" ht="14.1" customHeight="1" x14ac:dyDescent="0.2">
      <c r="A116" s="10">
        <v>15</v>
      </c>
      <c r="B116" s="11">
        <v>4</v>
      </c>
      <c r="C116" s="10" t="s">
        <v>61</v>
      </c>
      <c r="D116" s="8" t="s">
        <v>124</v>
      </c>
      <c r="E116" s="1">
        <v>690000</v>
      </c>
      <c r="F116" s="14">
        <f t="shared" si="2"/>
        <v>1290000</v>
      </c>
      <c r="G116" s="1">
        <v>1242</v>
      </c>
      <c r="H116" s="14">
        <f t="shared" si="2"/>
        <v>2322</v>
      </c>
      <c r="I116" s="10" t="s">
        <v>135</v>
      </c>
      <c r="J116" s="10" t="s">
        <v>71</v>
      </c>
    </row>
    <row r="117" spans="1:10" ht="14.1" customHeight="1" x14ac:dyDescent="0.2">
      <c r="A117" s="10">
        <v>15</v>
      </c>
      <c r="B117" s="11">
        <v>5</v>
      </c>
      <c r="C117" s="10" t="s">
        <v>62</v>
      </c>
      <c r="D117" s="8" t="s">
        <v>125</v>
      </c>
      <c r="E117" s="1">
        <v>840000</v>
      </c>
      <c r="F117" s="14">
        <f t="shared" si="2"/>
        <v>1980000</v>
      </c>
      <c r="G117" s="1">
        <v>1512</v>
      </c>
      <c r="H117" s="14">
        <f t="shared" si="2"/>
        <v>3564</v>
      </c>
      <c r="I117" s="10" t="s">
        <v>136</v>
      </c>
      <c r="J117" s="10" t="s">
        <v>71</v>
      </c>
    </row>
    <row r="118" spans="1:10" ht="14.1" customHeight="1" x14ac:dyDescent="0.2">
      <c r="A118" s="10">
        <v>15</v>
      </c>
      <c r="B118" s="11">
        <v>6</v>
      </c>
      <c r="C118" s="10" t="s">
        <v>54</v>
      </c>
      <c r="D118" s="8" t="s">
        <v>126</v>
      </c>
      <c r="E118" s="1">
        <v>990000</v>
      </c>
      <c r="F118" s="14">
        <f t="shared" si="2"/>
        <v>2820000</v>
      </c>
      <c r="G118" s="1">
        <v>1782</v>
      </c>
      <c r="H118" s="14">
        <f t="shared" si="2"/>
        <v>5076</v>
      </c>
      <c r="I118" s="10" t="s">
        <v>137</v>
      </c>
      <c r="J118" s="10" t="s">
        <v>71</v>
      </c>
    </row>
    <row r="119" spans="1:10" ht="14.1" customHeight="1" x14ac:dyDescent="0.2">
      <c r="A119" s="10">
        <v>15</v>
      </c>
      <c r="B119" s="11">
        <v>7</v>
      </c>
      <c r="C119" s="10" t="s">
        <v>63</v>
      </c>
      <c r="D119" s="8" t="s">
        <v>127</v>
      </c>
      <c r="E119" s="1">
        <v>1110000</v>
      </c>
      <c r="F119" s="14">
        <f t="shared" si="2"/>
        <v>3810000</v>
      </c>
      <c r="G119" s="1">
        <v>1998</v>
      </c>
      <c r="H119" s="14">
        <f t="shared" si="2"/>
        <v>6858</v>
      </c>
      <c r="I119" s="10" t="s">
        <v>138</v>
      </c>
      <c r="J119" s="10" t="s">
        <v>71</v>
      </c>
    </row>
    <row r="120" spans="1:10" ht="14.1" customHeight="1" x14ac:dyDescent="0.2">
      <c r="A120" s="10">
        <v>15</v>
      </c>
      <c r="B120" s="11">
        <v>8</v>
      </c>
      <c r="C120" s="10" t="s">
        <v>57</v>
      </c>
      <c r="D120" s="8" t="s">
        <v>128</v>
      </c>
      <c r="E120" s="1">
        <v>1260000</v>
      </c>
      <c r="F120" s="14">
        <f t="shared" si="2"/>
        <v>4920000</v>
      </c>
      <c r="G120" s="1">
        <v>2268</v>
      </c>
      <c r="H120" s="14">
        <f t="shared" si="2"/>
        <v>8856</v>
      </c>
      <c r="I120" s="10" t="s">
        <v>139</v>
      </c>
      <c r="J120" s="10" t="s">
        <v>71</v>
      </c>
    </row>
    <row r="121" spans="1:10" ht="14.1" customHeight="1" x14ac:dyDescent="0.2">
      <c r="A121" s="10">
        <v>15</v>
      </c>
      <c r="B121" s="11">
        <v>9</v>
      </c>
      <c r="C121" s="10" t="s">
        <v>58</v>
      </c>
      <c r="D121" s="8" t="s">
        <v>129</v>
      </c>
      <c r="E121" s="1">
        <v>1380000.0000000002</v>
      </c>
      <c r="F121" s="14">
        <f t="shared" si="2"/>
        <v>6180000</v>
      </c>
      <c r="G121" s="1">
        <v>2484</v>
      </c>
      <c r="H121" s="14">
        <f t="shared" si="2"/>
        <v>11124</v>
      </c>
      <c r="I121" s="10" t="s">
        <v>140</v>
      </c>
      <c r="J121" s="10" t="s">
        <v>71</v>
      </c>
    </row>
    <row r="122" spans="1:10" ht="14.1" customHeight="1" x14ac:dyDescent="0.2">
      <c r="A122" s="10">
        <v>15</v>
      </c>
      <c r="B122" s="11">
        <v>10</v>
      </c>
      <c r="C122" s="10" t="s">
        <v>59</v>
      </c>
      <c r="D122" s="8" t="s">
        <v>130</v>
      </c>
      <c r="F122" s="14">
        <f t="shared" si="2"/>
        <v>7560000</v>
      </c>
      <c r="H122" s="14">
        <f t="shared" si="2"/>
        <v>13608</v>
      </c>
      <c r="I122" s="10"/>
      <c r="J122" s="10" t="s">
        <v>71</v>
      </c>
    </row>
  </sheetData>
  <phoneticPr fontId="6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GuildSkillLevelTable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2020-09-24T17:11:18Z</dcterms:modified>
</cp:coreProperties>
</file>