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C5BBEA04-B48B-DB03-FC8F-E18A6752861A}"/>
  <workbookPr filterPrivacy="1" codeName="현재_통합_문서" defaultThemeVersion="124226"/>
  <xr:revisionPtr revIDLastSave="0" documentId="13_ncr:1_{9E73C1C6-0D4B-45B6-970D-54F73DA6B05D}" xr6:coauthVersionLast="47" xr6:coauthVersionMax="47" xr10:uidLastSave="{00000000-0000-0000-0000-000000000000}"/>
  <bookViews>
    <workbookView xWindow="-27975" yWindow="-120" windowWidth="28095" windowHeight="16440" xr2:uid="{00000000-000D-0000-FFFF-FFFF00000000}"/>
  </bookViews>
  <sheets>
    <sheet name="MonsterTierTable" sheetId="4" r:id="rId1"/>
  </sheets>
  <definedNames>
    <definedName name="_xlnm._FilterDatabase" localSheetId="0" hidden="1">MonsterTierTable!$A$2:$O$2108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39" i="4" l="1"/>
  <c r="I2039" i="4" s="1"/>
  <c r="G2039" i="4"/>
  <c r="F2039" i="4"/>
  <c r="A2039" i="4"/>
  <c r="S2038" i="4"/>
  <c r="I2038" i="4" s="1"/>
  <c r="G2038" i="4"/>
  <c r="F2038" i="4"/>
  <c r="A2038" i="4"/>
  <c r="S2037" i="4"/>
  <c r="I2037" i="4" s="1"/>
  <c r="G2037" i="4"/>
  <c r="F2037" i="4"/>
  <c r="A2037" i="4"/>
  <c r="S2036" i="4"/>
  <c r="I2036" i="4" s="1"/>
  <c r="G2036" i="4"/>
  <c r="F2036" i="4"/>
  <c r="A2036" i="4"/>
  <c r="S2035" i="4"/>
  <c r="I2035" i="4" s="1"/>
  <c r="G2035" i="4"/>
  <c r="F2035" i="4"/>
  <c r="A2035" i="4"/>
  <c r="S2034" i="4"/>
  <c r="I2034" i="4" s="1"/>
  <c r="G2034" i="4"/>
  <c r="F2034" i="4"/>
  <c r="A2034" i="4"/>
  <c r="S2033" i="4"/>
  <c r="I2033" i="4" s="1"/>
  <c r="G2033" i="4"/>
  <c r="F2033" i="4"/>
  <c r="A2033" i="4"/>
  <c r="S2032" i="4"/>
  <c r="I2032" i="4" s="1"/>
  <c r="G2032" i="4"/>
  <c r="F2032" i="4"/>
  <c r="A2032" i="4"/>
  <c r="S2031" i="4"/>
  <c r="I2031" i="4" s="1"/>
  <c r="A2031" i="4"/>
  <c r="N2030" i="4"/>
  <c r="M2030" i="4"/>
  <c r="I2945" i="4"/>
  <c r="H2945" i="4"/>
  <c r="G2945" i="4"/>
  <c r="F2945" i="4"/>
  <c r="I2944" i="4"/>
  <c r="H2944" i="4"/>
  <c r="G2944" i="4"/>
  <c r="F2944" i="4"/>
  <c r="I2943" i="4"/>
  <c r="H2943" i="4"/>
  <c r="G2943" i="4"/>
  <c r="F2943" i="4"/>
  <c r="I2942" i="4"/>
  <c r="H2942" i="4"/>
  <c r="G2942" i="4"/>
  <c r="F2942" i="4"/>
  <c r="M2942" i="4" s="1"/>
  <c r="I2941" i="4"/>
  <c r="H2941" i="4"/>
  <c r="G2941" i="4"/>
  <c r="F2941" i="4"/>
  <c r="I2940" i="4"/>
  <c r="H2940" i="4"/>
  <c r="G2940" i="4"/>
  <c r="F2940" i="4"/>
  <c r="I2939" i="4"/>
  <c r="H2939" i="4"/>
  <c r="G2939" i="4"/>
  <c r="F2939" i="4"/>
  <c r="I2938" i="4"/>
  <c r="H2938" i="4"/>
  <c r="G2938" i="4"/>
  <c r="F2938" i="4"/>
  <c r="I2937" i="4"/>
  <c r="H2937" i="4"/>
  <c r="G2937" i="4"/>
  <c r="F2937" i="4"/>
  <c r="I2936" i="4"/>
  <c r="H2936" i="4"/>
  <c r="G2936" i="4"/>
  <c r="F2936" i="4"/>
  <c r="I2935" i="4"/>
  <c r="H2935" i="4"/>
  <c r="G2935" i="4"/>
  <c r="F2935" i="4"/>
  <c r="I2934" i="4"/>
  <c r="H2934" i="4"/>
  <c r="G2934" i="4"/>
  <c r="F2934" i="4"/>
  <c r="I2932" i="4"/>
  <c r="H2932" i="4"/>
  <c r="G2932" i="4"/>
  <c r="F2932" i="4"/>
  <c r="M2932" i="4" s="1"/>
  <c r="I2931" i="4"/>
  <c r="H2931" i="4"/>
  <c r="G2931" i="4"/>
  <c r="F2931" i="4"/>
  <c r="I2930" i="4"/>
  <c r="H2930" i="4"/>
  <c r="G2930" i="4"/>
  <c r="F2930" i="4"/>
  <c r="I2929" i="4"/>
  <c r="H2929" i="4"/>
  <c r="G2929" i="4"/>
  <c r="F2929" i="4"/>
  <c r="M2929" i="4" s="1"/>
  <c r="I2928" i="4"/>
  <c r="H2928" i="4"/>
  <c r="G2928" i="4"/>
  <c r="F2928" i="4"/>
  <c r="I2927" i="4"/>
  <c r="H2927" i="4"/>
  <c r="G2927" i="4"/>
  <c r="F2927" i="4"/>
  <c r="I2926" i="4"/>
  <c r="H2926" i="4"/>
  <c r="G2926" i="4"/>
  <c r="F2926" i="4"/>
  <c r="I2925" i="4"/>
  <c r="H2925" i="4"/>
  <c r="G2925" i="4"/>
  <c r="F2925" i="4"/>
  <c r="I2924" i="4"/>
  <c r="H2924" i="4"/>
  <c r="G2924" i="4"/>
  <c r="F2924" i="4"/>
  <c r="I2923" i="4"/>
  <c r="H2923" i="4"/>
  <c r="G2923" i="4"/>
  <c r="F2923" i="4"/>
  <c r="I2922" i="4"/>
  <c r="H2922" i="4"/>
  <c r="G2922" i="4"/>
  <c r="F2922" i="4"/>
  <c r="I2921" i="4"/>
  <c r="H2921" i="4"/>
  <c r="G2921" i="4"/>
  <c r="F2921" i="4"/>
  <c r="H2034" i="4" l="1"/>
  <c r="H2033" i="4"/>
  <c r="H2039" i="4"/>
  <c r="M2039" i="4" s="1"/>
  <c r="H2038" i="4"/>
  <c r="M2038" i="4" s="1"/>
  <c r="H2037" i="4"/>
  <c r="M2037" i="4" s="1"/>
  <c r="H2036" i="4"/>
  <c r="M2036" i="4" s="1"/>
  <c r="M2034" i="4"/>
  <c r="H2035" i="4"/>
  <c r="M2035" i="4" s="1"/>
  <c r="M2033" i="4"/>
  <c r="H2032" i="4"/>
  <c r="M2032" i="4" s="1"/>
  <c r="H2031" i="4"/>
  <c r="M2031" i="4" s="1"/>
  <c r="M2945" i="4"/>
  <c r="M2943" i="4"/>
  <c r="M2934" i="4"/>
  <c r="M2928" i="4"/>
  <c r="M2938" i="4"/>
  <c r="M2944" i="4"/>
  <c r="M2931" i="4"/>
  <c r="M2935" i="4"/>
  <c r="M2941" i="4"/>
  <c r="M2936" i="4"/>
  <c r="M2927" i="4"/>
  <c r="M2930" i="4"/>
  <c r="M2939" i="4"/>
  <c r="M2937" i="4"/>
  <c r="M2940" i="4"/>
  <c r="M2922" i="4"/>
  <c r="M2923" i="4"/>
  <c r="M2921" i="4"/>
  <c r="M2925" i="4"/>
  <c r="M2926" i="4"/>
  <c r="M2924" i="4"/>
  <c r="S2028" i="4"/>
  <c r="I2028" i="4" s="1"/>
  <c r="J2028" i="4"/>
  <c r="G2028" i="4"/>
  <c r="F2028" i="4"/>
  <c r="A2028" i="4"/>
  <c r="S2027" i="4"/>
  <c r="I2027" i="4" s="1"/>
  <c r="J2027" i="4"/>
  <c r="G2027" i="4"/>
  <c r="F2027" i="4"/>
  <c r="A2027" i="4"/>
  <c r="S2026" i="4"/>
  <c r="I2026" i="4" s="1"/>
  <c r="J2026" i="4"/>
  <c r="G2026" i="4"/>
  <c r="F2026" i="4"/>
  <c r="A2026" i="4"/>
  <c r="S2025" i="4"/>
  <c r="I2025" i="4" s="1"/>
  <c r="J2025" i="4"/>
  <c r="G2025" i="4"/>
  <c r="F2025" i="4"/>
  <c r="A2025" i="4"/>
  <c r="S2029" i="4"/>
  <c r="I2029" i="4" s="1"/>
  <c r="J2029" i="4"/>
  <c r="G2029" i="4"/>
  <c r="F2029" i="4"/>
  <c r="A2029" i="4"/>
  <c r="H2026" i="4" l="1"/>
  <c r="M2026" i="4" s="1"/>
  <c r="H2027" i="4"/>
  <c r="M2027" i="4" s="1"/>
  <c r="H2028" i="4"/>
  <c r="M2028" i="4" s="1"/>
  <c r="H2025" i="4"/>
  <c r="M2025" i="4" s="1"/>
  <c r="H2029" i="4"/>
  <c r="M2029" i="4" s="1"/>
  <c r="N2024" i="4" l="1"/>
  <c r="M2024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020" i="4"/>
  <c r="A2021" i="4"/>
  <c r="A2022" i="4"/>
  <c r="A2023" i="4"/>
  <c r="S2023" i="4" l="1"/>
  <c r="I2023" i="4" s="1"/>
  <c r="G2023" i="4"/>
  <c r="F2023" i="4"/>
  <c r="S2022" i="4"/>
  <c r="I2022" i="4" s="1"/>
  <c r="I2021" i="4"/>
  <c r="H2021" i="4"/>
  <c r="G2021" i="4"/>
  <c r="F2021" i="4"/>
  <c r="S2020" i="4"/>
  <c r="I2020" i="4" s="1"/>
  <c r="G2020" i="4"/>
  <c r="F2020" i="4"/>
  <c r="A2040" i="4"/>
  <c r="M2040" i="4"/>
  <c r="A2041" i="4"/>
  <c r="F2041" i="4"/>
  <c r="G2041" i="4"/>
  <c r="H2041" i="4"/>
  <c r="I2041" i="4"/>
  <c r="J2041" i="4"/>
  <c r="A2042" i="4"/>
  <c r="H2042" i="4"/>
  <c r="I2042" i="4"/>
  <c r="P2042" i="4"/>
  <c r="P2043" i="4" s="1"/>
  <c r="A2043" i="4"/>
  <c r="H2043" i="4"/>
  <c r="I2043" i="4"/>
  <c r="A2044" i="4"/>
  <c r="H2044" i="4"/>
  <c r="I2044" i="4"/>
  <c r="A2045" i="4"/>
  <c r="H2045" i="4"/>
  <c r="I2045" i="4"/>
  <c r="A2046" i="4"/>
  <c r="F2046" i="4"/>
  <c r="G2046" i="4"/>
  <c r="H2046" i="4"/>
  <c r="I2046" i="4"/>
  <c r="J2046" i="4"/>
  <c r="A2047" i="4"/>
  <c r="H2047" i="4"/>
  <c r="I2047" i="4"/>
  <c r="P2047" i="4"/>
  <c r="J2047" i="4" s="1"/>
  <c r="A2048" i="4"/>
  <c r="H2048" i="4"/>
  <c r="I2048" i="4"/>
  <c r="A2049" i="4"/>
  <c r="H2049" i="4"/>
  <c r="I2049" i="4"/>
  <c r="A2050" i="4"/>
  <c r="H2050" i="4"/>
  <c r="I2050" i="4"/>
  <c r="N2019" i="4"/>
  <c r="M2019" i="4"/>
  <c r="N1997" i="4"/>
  <c r="M1997" i="4"/>
  <c r="J2018" i="4"/>
  <c r="I2018" i="4"/>
  <c r="H2018" i="4"/>
  <c r="G2018" i="4"/>
  <c r="F2018" i="4"/>
  <c r="A2018" i="4"/>
  <c r="S2017" i="4"/>
  <c r="I2017" i="4" s="1"/>
  <c r="J2017" i="4"/>
  <c r="G2017" i="4"/>
  <c r="F2017" i="4"/>
  <c r="A2017" i="4"/>
  <c r="J2016" i="4"/>
  <c r="I2016" i="4"/>
  <c r="H2016" i="4"/>
  <c r="G2016" i="4"/>
  <c r="F2016" i="4"/>
  <c r="A2016" i="4"/>
  <c r="S2015" i="4"/>
  <c r="I2015" i="4" s="1"/>
  <c r="J2015" i="4"/>
  <c r="A2015" i="4"/>
  <c r="J2014" i="4"/>
  <c r="I2014" i="4"/>
  <c r="H2014" i="4"/>
  <c r="G2014" i="4"/>
  <c r="F2014" i="4"/>
  <c r="A2014" i="4"/>
  <c r="J2013" i="4"/>
  <c r="I2013" i="4"/>
  <c r="H2013" i="4"/>
  <c r="G2013" i="4"/>
  <c r="F2013" i="4"/>
  <c r="A2013" i="4"/>
  <c r="J2012" i="4"/>
  <c r="I2012" i="4"/>
  <c r="H2012" i="4"/>
  <c r="G2012" i="4"/>
  <c r="F2012" i="4"/>
  <c r="A2012" i="4"/>
  <c r="S2011" i="4"/>
  <c r="I2011" i="4" s="1"/>
  <c r="J2011" i="4"/>
  <c r="G2011" i="4"/>
  <c r="F2011" i="4"/>
  <c r="A2011" i="4"/>
  <c r="S2010" i="4"/>
  <c r="H2010" i="4" s="1"/>
  <c r="J2010" i="4"/>
  <c r="A2010" i="4"/>
  <c r="S2009" i="4"/>
  <c r="I2009" i="4" s="1"/>
  <c r="J2009" i="4"/>
  <c r="G2009" i="4"/>
  <c r="F2009" i="4"/>
  <c r="A2009" i="4"/>
  <c r="S2008" i="4"/>
  <c r="I2008" i="4" s="1"/>
  <c r="J2008" i="4"/>
  <c r="G2008" i="4"/>
  <c r="F2008" i="4"/>
  <c r="A2008" i="4"/>
  <c r="S2007" i="4"/>
  <c r="I2007" i="4" s="1"/>
  <c r="J2007" i="4"/>
  <c r="G2007" i="4"/>
  <c r="F2007" i="4"/>
  <c r="A2007" i="4"/>
  <c r="S2006" i="4"/>
  <c r="I2006" i="4" s="1"/>
  <c r="J2006" i="4"/>
  <c r="G2006" i="4"/>
  <c r="F2006" i="4"/>
  <c r="A2006" i="4"/>
  <c r="S2005" i="4"/>
  <c r="I2005" i="4" s="1"/>
  <c r="J2005" i="4"/>
  <c r="G2005" i="4"/>
  <c r="F2005" i="4"/>
  <c r="A2005" i="4"/>
  <c r="S2004" i="4"/>
  <c r="I2004" i="4" s="1"/>
  <c r="J2004" i="4"/>
  <c r="G2004" i="4"/>
  <c r="F2004" i="4"/>
  <c r="A2004" i="4"/>
  <c r="S2003" i="4"/>
  <c r="I2003" i="4" s="1"/>
  <c r="J2003" i="4"/>
  <c r="G2003" i="4"/>
  <c r="F2003" i="4"/>
  <c r="A2003" i="4"/>
  <c r="S2002" i="4"/>
  <c r="I2002" i="4" s="1"/>
  <c r="J2002" i="4"/>
  <c r="G2002" i="4"/>
  <c r="F2002" i="4"/>
  <c r="A2002" i="4"/>
  <c r="S2001" i="4"/>
  <c r="I2001" i="4" s="1"/>
  <c r="J2001" i="4"/>
  <c r="G2001" i="4"/>
  <c r="F2001" i="4"/>
  <c r="A2001" i="4"/>
  <c r="S2000" i="4"/>
  <c r="I2000" i="4" s="1"/>
  <c r="J2000" i="4"/>
  <c r="G2000" i="4"/>
  <c r="F2000" i="4"/>
  <c r="A2000" i="4"/>
  <c r="S1999" i="4"/>
  <c r="I1999" i="4" s="1"/>
  <c r="J1999" i="4"/>
  <c r="G1999" i="4"/>
  <c r="F1999" i="4"/>
  <c r="A1999" i="4"/>
  <c r="S1998" i="4"/>
  <c r="I1998" i="4" s="1"/>
  <c r="J1998" i="4"/>
  <c r="G1998" i="4"/>
  <c r="F1998" i="4"/>
  <c r="A1998" i="4"/>
  <c r="M2919" i="4"/>
  <c r="M2918" i="4"/>
  <c r="M2917" i="4"/>
  <c r="M2916" i="4"/>
  <c r="M2914" i="4"/>
  <c r="M2913" i="4"/>
  <c r="M2912" i="4"/>
  <c r="M2911" i="4"/>
  <c r="F2047" i="4" l="1"/>
  <c r="M2047" i="4" s="1"/>
  <c r="H2020" i="4"/>
  <c r="M2020" i="4" s="1"/>
  <c r="J2042" i="4"/>
  <c r="M2021" i="4"/>
  <c r="P2048" i="4"/>
  <c r="F2048" i="4" s="1"/>
  <c r="M2041" i="4"/>
  <c r="H2023" i="4"/>
  <c r="M2023" i="4" s="1"/>
  <c r="G2047" i="4"/>
  <c r="M2046" i="4"/>
  <c r="H2022" i="4"/>
  <c r="M2022" i="4" s="1"/>
  <c r="P2044" i="4"/>
  <c r="F2043" i="4"/>
  <c r="G2043" i="4"/>
  <c r="J2043" i="4"/>
  <c r="G2042" i="4"/>
  <c r="F2042" i="4"/>
  <c r="H2008" i="4"/>
  <c r="M2008" i="4" s="1"/>
  <c r="H1999" i="4"/>
  <c r="M1999" i="4" s="1"/>
  <c r="H2001" i="4"/>
  <c r="M2001" i="4" s="1"/>
  <c r="H2003" i="4"/>
  <c r="M2003" i="4" s="1"/>
  <c r="H2005" i="4"/>
  <c r="M2005" i="4" s="1"/>
  <c r="M2014" i="4"/>
  <c r="M2016" i="4"/>
  <c r="H2006" i="4"/>
  <c r="M2006" i="4" s="1"/>
  <c r="M2013" i="4"/>
  <c r="H2000" i="4"/>
  <c r="M2000" i="4" s="1"/>
  <c r="H2002" i="4"/>
  <c r="M2002" i="4" s="1"/>
  <c r="H2004" i="4"/>
  <c r="M2004" i="4" s="1"/>
  <c r="H2015" i="4"/>
  <c r="M2015" i="4" s="1"/>
  <c r="H1998" i="4"/>
  <c r="M1998" i="4" s="1"/>
  <c r="H2007" i="4"/>
  <c r="M2007" i="4" s="1"/>
  <c r="H2009" i="4"/>
  <c r="M2009" i="4" s="1"/>
  <c r="H2011" i="4"/>
  <c r="M2011" i="4" s="1"/>
  <c r="M2012" i="4"/>
  <c r="H2017" i="4"/>
  <c r="M2017" i="4" s="1"/>
  <c r="M2018" i="4"/>
  <c r="I2010" i="4"/>
  <c r="M2010" i="4" s="1"/>
  <c r="J1285" i="4"/>
  <c r="M1285" i="4" s="1"/>
  <c r="A1285" i="4"/>
  <c r="A4029" i="4"/>
  <c r="M4029" i="4"/>
  <c r="S4029" i="4"/>
  <c r="A4030" i="4"/>
  <c r="M4030" i="4"/>
  <c r="S4030" i="4"/>
  <c r="A4031" i="4"/>
  <c r="M4031" i="4"/>
  <c r="S4031" i="4"/>
  <c r="A4032" i="4"/>
  <c r="M4032" i="4"/>
  <c r="S4032" i="4"/>
  <c r="A4033" i="4"/>
  <c r="M4033" i="4"/>
  <c r="S4033" i="4"/>
  <c r="A4034" i="4"/>
  <c r="M4034" i="4"/>
  <c r="S4034" i="4"/>
  <c r="A4035" i="4"/>
  <c r="M4035" i="4"/>
  <c r="S4035" i="4"/>
  <c r="A4036" i="4"/>
  <c r="M4036" i="4"/>
  <c r="S4036" i="4"/>
  <c r="A4037" i="4"/>
  <c r="M4037" i="4"/>
  <c r="S4037" i="4"/>
  <c r="A4038" i="4"/>
  <c r="M4038" i="4"/>
  <c r="S4038" i="4"/>
  <c r="A4039" i="4"/>
  <c r="M4039" i="4"/>
  <c r="S4039" i="4"/>
  <c r="A4040" i="4"/>
  <c r="M4040" i="4"/>
  <c r="S4040" i="4"/>
  <c r="M2042" i="4" l="1"/>
  <c r="P2049" i="4"/>
  <c r="F2049" i="4" s="1"/>
  <c r="G2048" i="4"/>
  <c r="J2048" i="4"/>
  <c r="M2048" i="4" s="1"/>
  <c r="M2043" i="4"/>
  <c r="P2045" i="4"/>
  <c r="F2044" i="4"/>
  <c r="J2044" i="4"/>
  <c r="G2044" i="4"/>
  <c r="A4028" i="4"/>
  <c r="G2904" i="4"/>
  <c r="F2904" i="4"/>
  <c r="G2909" i="4"/>
  <c r="H2897" i="4"/>
  <c r="I2897" i="4"/>
  <c r="S2909" i="4"/>
  <c r="S2886" i="4"/>
  <c r="I2886" i="4" s="1"/>
  <c r="J2886" i="4"/>
  <c r="G2886" i="4"/>
  <c r="F2886" i="4"/>
  <c r="S2885" i="4"/>
  <c r="H2885" i="4" s="1"/>
  <c r="G2885" i="4"/>
  <c r="F2885" i="4"/>
  <c r="I2884" i="4"/>
  <c r="H2884" i="4"/>
  <c r="G2884" i="4"/>
  <c r="F2884" i="4"/>
  <c r="S2883" i="4"/>
  <c r="H2883" i="4" s="1"/>
  <c r="J2883" i="4"/>
  <c r="G2883" i="4"/>
  <c r="F2883" i="4"/>
  <c r="I2882" i="4"/>
  <c r="H2882" i="4"/>
  <c r="G2882" i="4"/>
  <c r="F2882" i="4"/>
  <c r="I2881" i="4"/>
  <c r="H2881" i="4"/>
  <c r="G2881" i="4"/>
  <c r="F2881" i="4"/>
  <c r="S2880" i="4"/>
  <c r="I2880" i="4" s="1"/>
  <c r="J2880" i="4"/>
  <c r="G2880" i="4"/>
  <c r="F2880" i="4"/>
  <c r="I2879" i="4"/>
  <c r="H2879" i="4"/>
  <c r="G2879" i="4"/>
  <c r="F2879" i="4"/>
  <c r="I2878" i="4"/>
  <c r="H2878" i="4"/>
  <c r="G2878" i="4"/>
  <c r="F2878" i="4"/>
  <c r="S2877" i="4"/>
  <c r="H2877" i="4" s="1"/>
  <c r="J2877" i="4"/>
  <c r="G2877" i="4"/>
  <c r="F2877" i="4"/>
  <c r="I2876" i="4"/>
  <c r="H2876" i="4"/>
  <c r="G2876" i="4"/>
  <c r="F2876" i="4"/>
  <c r="I2875" i="4"/>
  <c r="H2875" i="4"/>
  <c r="G2875" i="4"/>
  <c r="F2875" i="4"/>
  <c r="A2886" i="4"/>
  <c r="A2883" i="4"/>
  <c r="A2880" i="4"/>
  <c r="H2899" i="4"/>
  <c r="J2899" i="4"/>
  <c r="G2899" i="4"/>
  <c r="F2899" i="4"/>
  <c r="A2899" i="4"/>
  <c r="S2896" i="4"/>
  <c r="H2896" i="4" s="1"/>
  <c r="J2896" i="4"/>
  <c r="G2896" i="4"/>
  <c r="F2896" i="4"/>
  <c r="A2896" i="4"/>
  <c r="S2893" i="4"/>
  <c r="I2893" i="4" s="1"/>
  <c r="J2893" i="4"/>
  <c r="G2893" i="4"/>
  <c r="F2893" i="4"/>
  <c r="A2893" i="4"/>
  <c r="S2890" i="4"/>
  <c r="I2890" i="4" s="1"/>
  <c r="J2890" i="4"/>
  <c r="G2890" i="4"/>
  <c r="F2890" i="4"/>
  <c r="A2890" i="4"/>
  <c r="A2877" i="4"/>
  <c r="A2875" i="4"/>
  <c r="A2876" i="4"/>
  <c r="A2878" i="4"/>
  <c r="A2879" i="4"/>
  <c r="A2881" i="4"/>
  <c r="A2882" i="4"/>
  <c r="A2884" i="4"/>
  <c r="A2885" i="4"/>
  <c r="J2985" i="4"/>
  <c r="I2985" i="4"/>
  <c r="H2985" i="4"/>
  <c r="G2985" i="4"/>
  <c r="F2985" i="4"/>
  <c r="A2985" i="4"/>
  <c r="J2984" i="4"/>
  <c r="I2984" i="4"/>
  <c r="H2984" i="4"/>
  <c r="G2984" i="4"/>
  <c r="F2984" i="4"/>
  <c r="A2984" i="4"/>
  <c r="J2983" i="4"/>
  <c r="I2983" i="4"/>
  <c r="H2983" i="4"/>
  <c r="G2983" i="4"/>
  <c r="F2983" i="4"/>
  <c r="A2983" i="4"/>
  <c r="J2982" i="4"/>
  <c r="I2982" i="4"/>
  <c r="H2982" i="4"/>
  <c r="G2982" i="4"/>
  <c r="F2982" i="4"/>
  <c r="A2982" i="4"/>
  <c r="J2980" i="4"/>
  <c r="I2980" i="4"/>
  <c r="H2980" i="4"/>
  <c r="G2980" i="4"/>
  <c r="F2980" i="4"/>
  <c r="A2980" i="4"/>
  <c r="J2979" i="4"/>
  <c r="I2979" i="4"/>
  <c r="H2979" i="4"/>
  <c r="G2979" i="4"/>
  <c r="F2979" i="4"/>
  <c r="A2979" i="4"/>
  <c r="J2978" i="4"/>
  <c r="I2978" i="4"/>
  <c r="H2978" i="4"/>
  <c r="G2978" i="4"/>
  <c r="F2978" i="4"/>
  <c r="A2978" i="4"/>
  <c r="J2977" i="4"/>
  <c r="I2977" i="4"/>
  <c r="H2977" i="4"/>
  <c r="G2977" i="4"/>
  <c r="F2977" i="4"/>
  <c r="A2977" i="4"/>
  <c r="A2981" i="4"/>
  <c r="A2976" i="4"/>
  <c r="A2975" i="4"/>
  <c r="A2974" i="4"/>
  <c r="A2973" i="4"/>
  <c r="A2972" i="4"/>
  <c r="A2970" i="4"/>
  <c r="A2969" i="4"/>
  <c r="A2968" i="4"/>
  <c r="A2967" i="4"/>
  <c r="A2971" i="4"/>
  <c r="A2966" i="4"/>
  <c r="A2965" i="4"/>
  <c r="A2964" i="4"/>
  <c r="A2963" i="4"/>
  <c r="A2962" i="4"/>
  <c r="A2960" i="4"/>
  <c r="A2959" i="4"/>
  <c r="A2958" i="4"/>
  <c r="A2957" i="4"/>
  <c r="A2961" i="4"/>
  <c r="A2956" i="4"/>
  <c r="S2955" i="4"/>
  <c r="A2955" i="4"/>
  <c r="S2954" i="4"/>
  <c r="A2954" i="4"/>
  <c r="S2953" i="4"/>
  <c r="A2953" i="4"/>
  <c r="S2952" i="4"/>
  <c r="A2952" i="4"/>
  <c r="S2950" i="4"/>
  <c r="A2950" i="4"/>
  <c r="S2949" i="4"/>
  <c r="A2949" i="4"/>
  <c r="S2948" i="4"/>
  <c r="A2948" i="4"/>
  <c r="S2947" i="4"/>
  <c r="A2947" i="4"/>
  <c r="A2951" i="4"/>
  <c r="A2946" i="4"/>
  <c r="P2050" i="4" l="1"/>
  <c r="J2050" i="4" s="1"/>
  <c r="G2049" i="4"/>
  <c r="J2049" i="4"/>
  <c r="M2049" i="4" s="1"/>
  <c r="M2044" i="4"/>
  <c r="F2045" i="4"/>
  <c r="G2045" i="4"/>
  <c r="J2045" i="4"/>
  <c r="H2880" i="4"/>
  <c r="M2880" i="4" s="1"/>
  <c r="M2882" i="4"/>
  <c r="H2886" i="4"/>
  <c r="M2886" i="4" s="1"/>
  <c r="M2875" i="4"/>
  <c r="M2876" i="4"/>
  <c r="M2878" i="4"/>
  <c r="I2896" i="4"/>
  <c r="M2896" i="4" s="1"/>
  <c r="M2881" i="4"/>
  <c r="I2883" i="4"/>
  <c r="M2883" i="4" s="1"/>
  <c r="I2899" i="4"/>
  <c r="M2899" i="4" s="1"/>
  <c r="I2877" i="4"/>
  <c r="M2877" i="4" s="1"/>
  <c r="M2879" i="4"/>
  <c r="M2884" i="4"/>
  <c r="I2885" i="4"/>
  <c r="M2885" i="4" s="1"/>
  <c r="H2893" i="4"/>
  <c r="M2893" i="4" s="1"/>
  <c r="H2890" i="4"/>
  <c r="M2890" i="4" s="1"/>
  <c r="M2978" i="4"/>
  <c r="M2979" i="4"/>
  <c r="M2975" i="4"/>
  <c r="M2982" i="4"/>
  <c r="M2984" i="4"/>
  <c r="M2977" i="4"/>
  <c r="M2980" i="4"/>
  <c r="M2983" i="4"/>
  <c r="M2985" i="4"/>
  <c r="M2964" i="4"/>
  <c r="M2970" i="4"/>
  <c r="M2973" i="4"/>
  <c r="M2960" i="4"/>
  <c r="M2974" i="4"/>
  <c r="M2957" i="4"/>
  <c r="M2963" i="4"/>
  <c r="M2965" i="4"/>
  <c r="M2969" i="4"/>
  <c r="M2972" i="4"/>
  <c r="M2962" i="4"/>
  <c r="M2968" i="4"/>
  <c r="M2959" i="4"/>
  <c r="M2958" i="4"/>
  <c r="M2967" i="4"/>
  <c r="M2947" i="4"/>
  <c r="M2950" i="4"/>
  <c r="M2952" i="4"/>
  <c r="M2953" i="4"/>
  <c r="M2954" i="4"/>
  <c r="M2955" i="4"/>
  <c r="M2949" i="4"/>
  <c r="M2948" i="4"/>
  <c r="G2050" i="4" l="1"/>
  <c r="F2050" i="4"/>
  <c r="M2050" i="4" s="1"/>
  <c r="M2045" i="4"/>
  <c r="A2933" i="4" l="1"/>
  <c r="A2920" i="4"/>
  <c r="A2919" i="4"/>
  <c r="A2918" i="4"/>
  <c r="A2917" i="4"/>
  <c r="A2916" i="4"/>
  <c r="A2915" i="4"/>
  <c r="A2914" i="4"/>
  <c r="A2913" i="4"/>
  <c r="A2912" i="4"/>
  <c r="A2911" i="4"/>
  <c r="A2910" i="4"/>
  <c r="F2909" i="4"/>
  <c r="S2908" i="4"/>
  <c r="A2909" i="4"/>
  <c r="A2908" i="4"/>
  <c r="A2907" i="4"/>
  <c r="A2906" i="4"/>
  <c r="A2905" i="4"/>
  <c r="S2904" i="4"/>
  <c r="A2904" i="4"/>
  <c r="S2903" i="4"/>
  <c r="A2903" i="4"/>
  <c r="A2902" i="4"/>
  <c r="A2901" i="4"/>
  <c r="A2900" i="4"/>
  <c r="A2986" i="4"/>
  <c r="A2987" i="4"/>
  <c r="F2987" i="4"/>
  <c r="G2987" i="4"/>
  <c r="H2987" i="4"/>
  <c r="I2987" i="4"/>
  <c r="J2987" i="4"/>
  <c r="A2988" i="4"/>
  <c r="F2988" i="4"/>
  <c r="G2988" i="4"/>
  <c r="H2988" i="4"/>
  <c r="I2988" i="4"/>
  <c r="J2988" i="4"/>
  <c r="M2902" i="4" l="1"/>
  <c r="M2904" i="4"/>
  <c r="M2901" i="4"/>
  <c r="M2909" i="4"/>
  <c r="M2907" i="4"/>
  <c r="M2906" i="4"/>
  <c r="M2908" i="4"/>
  <c r="M2903" i="4"/>
  <c r="M2987" i="4"/>
  <c r="M2988" i="4"/>
  <c r="S2898" i="4" l="1"/>
  <c r="G2898" i="4"/>
  <c r="F2898" i="4"/>
  <c r="G2897" i="4"/>
  <c r="F2897" i="4"/>
  <c r="I2895" i="4"/>
  <c r="G2895" i="4"/>
  <c r="F2895" i="4"/>
  <c r="I2894" i="4"/>
  <c r="G2894" i="4"/>
  <c r="F2894" i="4"/>
  <c r="I2892" i="4"/>
  <c r="H2892" i="4"/>
  <c r="G2892" i="4"/>
  <c r="F2892" i="4"/>
  <c r="I2891" i="4"/>
  <c r="H2891" i="4"/>
  <c r="G2891" i="4"/>
  <c r="F2891" i="4"/>
  <c r="I2889" i="4"/>
  <c r="H2889" i="4"/>
  <c r="G2889" i="4"/>
  <c r="F2889" i="4"/>
  <c r="I2888" i="4"/>
  <c r="H2888" i="4"/>
  <c r="G2888" i="4"/>
  <c r="F2888" i="4"/>
  <c r="I2898" i="4" l="1"/>
  <c r="H2898" i="4"/>
  <c r="M2891" i="4"/>
  <c r="M2892" i="4"/>
  <c r="M2888" i="4"/>
  <c r="M2889" i="4"/>
  <c r="M2897" i="4"/>
  <c r="H2895" i="4"/>
  <c r="M2895" i="4" s="1"/>
  <c r="H2894" i="4"/>
  <c r="M2894" i="4" s="1"/>
  <c r="A2889" i="4"/>
  <c r="A2898" i="4"/>
  <c r="A2895" i="4"/>
  <c r="A2892" i="4"/>
  <c r="A2897" i="4"/>
  <c r="A2894" i="4"/>
  <c r="A2891" i="4"/>
  <c r="A2888" i="4"/>
  <c r="A2715" i="4"/>
  <c r="M2898" i="4" l="1"/>
  <c r="A2887" i="4"/>
  <c r="A2874" i="4"/>
  <c r="A1282" i="4"/>
  <c r="J1282" i="4"/>
  <c r="M1282" i="4" s="1"/>
  <c r="J3109" i="4"/>
  <c r="I3109" i="4"/>
  <c r="H3109" i="4"/>
  <c r="G3109" i="4"/>
  <c r="F3109" i="4"/>
  <c r="J3108" i="4"/>
  <c r="I3108" i="4"/>
  <c r="H3108" i="4"/>
  <c r="G3108" i="4"/>
  <c r="F3108" i="4"/>
  <c r="T1262" i="4"/>
  <c r="I1262" i="4"/>
  <c r="H1262" i="4"/>
  <c r="G1262" i="4"/>
  <c r="F1262" i="4"/>
  <c r="A1262" i="4"/>
  <c r="T1261" i="4"/>
  <c r="I1261" i="4"/>
  <c r="H1261" i="4"/>
  <c r="G1261" i="4"/>
  <c r="F1261" i="4"/>
  <c r="A1261" i="4"/>
  <c r="T1260" i="4"/>
  <c r="I1260" i="4"/>
  <c r="H1260" i="4"/>
  <c r="G1260" i="4"/>
  <c r="F1260" i="4"/>
  <c r="A1260" i="4"/>
  <c r="T1259" i="4"/>
  <c r="I1259" i="4"/>
  <c r="H1259" i="4"/>
  <c r="G1259" i="4"/>
  <c r="F1259" i="4"/>
  <c r="A1259" i="4"/>
  <c r="T1258" i="4"/>
  <c r="I1258" i="4"/>
  <c r="H1258" i="4"/>
  <c r="G1258" i="4"/>
  <c r="F1258" i="4"/>
  <c r="A1258" i="4"/>
  <c r="S1257" i="4"/>
  <c r="I1257" i="4" s="1"/>
  <c r="J1257" i="4"/>
  <c r="G1257" i="4"/>
  <c r="F1257" i="4"/>
  <c r="A1257" i="4"/>
  <c r="S1256" i="4"/>
  <c r="I1256" i="4" s="1"/>
  <c r="J1256" i="4"/>
  <c r="G1256" i="4"/>
  <c r="F1256" i="4"/>
  <c r="A1256" i="4"/>
  <c r="S1255" i="4"/>
  <c r="T1255" i="4" s="1"/>
  <c r="J1255" i="4"/>
  <c r="G1255" i="4"/>
  <c r="F1255" i="4"/>
  <c r="A1255" i="4"/>
  <c r="S1254" i="4"/>
  <c r="H1254" i="4" s="1"/>
  <c r="J1254" i="4"/>
  <c r="G1254" i="4"/>
  <c r="F1254" i="4"/>
  <c r="A1254" i="4"/>
  <c r="S1253" i="4"/>
  <c r="T1253" i="4" s="1"/>
  <c r="J1253" i="4"/>
  <c r="G1253" i="4"/>
  <c r="F1253" i="4"/>
  <c r="A1253" i="4"/>
  <c r="S1252" i="4"/>
  <c r="T1252" i="4" s="1"/>
  <c r="J1252" i="4"/>
  <c r="G1252" i="4"/>
  <c r="F1252" i="4"/>
  <c r="A1252" i="4"/>
  <c r="S1251" i="4"/>
  <c r="T1251" i="4" s="1"/>
  <c r="J1251" i="4"/>
  <c r="G1251" i="4"/>
  <c r="F1251" i="4"/>
  <c r="A1251" i="4"/>
  <c r="S1250" i="4"/>
  <c r="H1250" i="4" s="1"/>
  <c r="J1250" i="4"/>
  <c r="G1250" i="4"/>
  <c r="F1250" i="4"/>
  <c r="A1250" i="4"/>
  <c r="S1249" i="4"/>
  <c r="I1249" i="4" s="1"/>
  <c r="J1249" i="4"/>
  <c r="G1249" i="4"/>
  <c r="F1249" i="4"/>
  <c r="A1249" i="4"/>
  <c r="S1248" i="4"/>
  <c r="I1248" i="4" s="1"/>
  <c r="J1248" i="4"/>
  <c r="G1248" i="4"/>
  <c r="F1248" i="4"/>
  <c r="A1248" i="4"/>
  <c r="T1247" i="4"/>
  <c r="J1247" i="4"/>
  <c r="I1247" i="4"/>
  <c r="H1247" i="4"/>
  <c r="G1247" i="4"/>
  <c r="F1247" i="4"/>
  <c r="A1247" i="4"/>
  <c r="S1246" i="4"/>
  <c r="I1246" i="4" s="1"/>
  <c r="J1246" i="4"/>
  <c r="G1246" i="4"/>
  <c r="F1246" i="4"/>
  <c r="A1246" i="4"/>
  <c r="S1245" i="4"/>
  <c r="I1245" i="4" s="1"/>
  <c r="J1245" i="4"/>
  <c r="G1245" i="4"/>
  <c r="F1245" i="4"/>
  <c r="A1245" i="4"/>
  <c r="S1244" i="4"/>
  <c r="I1244" i="4" s="1"/>
  <c r="J1244" i="4"/>
  <c r="G1244" i="4"/>
  <c r="F1244" i="4"/>
  <c r="A1244" i="4"/>
  <c r="S1243" i="4"/>
  <c r="T1243" i="4" s="1"/>
  <c r="J1243" i="4"/>
  <c r="G1243" i="4"/>
  <c r="F1243" i="4"/>
  <c r="A1243" i="4"/>
  <c r="S1242" i="4"/>
  <c r="T1242" i="4" s="1"/>
  <c r="J1242" i="4"/>
  <c r="G1242" i="4"/>
  <c r="F1242" i="4"/>
  <c r="A1242" i="4"/>
  <c r="S1241" i="4"/>
  <c r="H1241" i="4" s="1"/>
  <c r="J1241" i="4"/>
  <c r="G1241" i="4"/>
  <c r="F1241" i="4"/>
  <c r="A1241" i="4"/>
  <c r="S1240" i="4"/>
  <c r="I1240" i="4" s="1"/>
  <c r="J1240" i="4"/>
  <c r="G1240" i="4"/>
  <c r="F1240" i="4"/>
  <c r="A1240" i="4"/>
  <c r="S1239" i="4"/>
  <c r="I1239" i="4" s="1"/>
  <c r="J1239" i="4"/>
  <c r="G1239" i="4"/>
  <c r="F1239" i="4"/>
  <c r="A1239" i="4"/>
  <c r="S1238" i="4"/>
  <c r="I1238" i="4" s="1"/>
  <c r="J1238" i="4"/>
  <c r="G1238" i="4"/>
  <c r="F1238" i="4"/>
  <c r="A1238" i="4"/>
  <c r="S1237" i="4"/>
  <c r="I1237" i="4" s="1"/>
  <c r="J1237" i="4"/>
  <c r="G1237" i="4"/>
  <c r="F1237" i="4"/>
  <c r="A1237" i="4"/>
  <c r="S1236" i="4"/>
  <c r="I1236" i="4" s="1"/>
  <c r="J1236" i="4"/>
  <c r="G1236" i="4"/>
  <c r="F1236" i="4"/>
  <c r="A1236" i="4"/>
  <c r="A1263" i="4"/>
  <c r="M1263" i="4"/>
  <c r="S1996" i="4"/>
  <c r="H1996" i="4" s="1"/>
  <c r="J1996" i="4"/>
  <c r="G1996" i="4"/>
  <c r="F1996" i="4"/>
  <c r="A1996" i="4"/>
  <c r="S1995" i="4"/>
  <c r="I1995" i="4" s="1"/>
  <c r="J1995" i="4"/>
  <c r="G1995" i="4"/>
  <c r="F1995" i="4"/>
  <c r="A1995" i="4"/>
  <c r="S1994" i="4"/>
  <c r="I1994" i="4" s="1"/>
  <c r="J1994" i="4"/>
  <c r="G1994" i="4"/>
  <c r="F1994" i="4"/>
  <c r="A1994" i="4"/>
  <c r="N1993" i="4"/>
  <c r="M1993" i="4"/>
  <c r="H1244" i="4" l="1"/>
  <c r="M1244" i="4" s="1"/>
  <c r="T1236" i="4"/>
  <c r="T1244" i="4"/>
  <c r="I1254" i="4"/>
  <c r="M1254" i="4" s="1"/>
  <c r="M3108" i="4"/>
  <c r="M3109" i="4"/>
  <c r="M1247" i="4"/>
  <c r="H1251" i="4"/>
  <c r="I1251" i="4"/>
  <c r="H1245" i="4"/>
  <c r="M1245" i="4" s="1"/>
  <c r="T1245" i="4"/>
  <c r="H1236" i="4"/>
  <c r="M1236" i="4" s="1"/>
  <c r="T1237" i="4"/>
  <c r="I1250" i="4"/>
  <c r="M1250" i="4" s="1"/>
  <c r="M1259" i="4"/>
  <c r="I1241" i="4"/>
  <c r="M1241" i="4" s="1"/>
  <c r="H1242" i="4"/>
  <c r="H1252" i="4"/>
  <c r="T1254" i="4"/>
  <c r="H1237" i="4"/>
  <c r="M1237" i="4" s="1"/>
  <c r="I1242" i="4"/>
  <c r="H1243" i="4"/>
  <c r="I1252" i="4"/>
  <c r="H1253" i="4"/>
  <c r="I1243" i="4"/>
  <c r="I1253" i="4"/>
  <c r="M1258" i="4"/>
  <c r="M1262" i="4"/>
  <c r="M1260" i="4"/>
  <c r="M1261" i="4"/>
  <c r="T1239" i="4"/>
  <c r="T1248" i="4"/>
  <c r="T1238" i="4"/>
  <c r="T1246" i="4"/>
  <c r="T1257" i="4"/>
  <c r="T1241" i="4"/>
  <c r="H1246" i="4"/>
  <c r="M1246" i="4" s="1"/>
  <c r="T1250" i="4"/>
  <c r="H1255" i="4"/>
  <c r="T1256" i="4"/>
  <c r="H1248" i="4"/>
  <c r="M1248" i="4" s="1"/>
  <c r="I1255" i="4"/>
  <c r="H1256" i="4"/>
  <c r="M1256" i="4" s="1"/>
  <c r="T1240" i="4"/>
  <c r="T1249" i="4"/>
  <c r="H1238" i="4"/>
  <c r="M1238" i="4" s="1"/>
  <c r="H1239" i="4"/>
  <c r="M1239" i="4" s="1"/>
  <c r="H1240" i="4"/>
  <c r="M1240" i="4" s="1"/>
  <c r="H1249" i="4"/>
  <c r="M1249" i="4" s="1"/>
  <c r="H1257" i="4"/>
  <c r="M1257" i="4" s="1"/>
  <c r="I1996" i="4"/>
  <c r="M1996" i="4" s="1"/>
  <c r="H1994" i="4"/>
  <c r="M1994" i="4" s="1"/>
  <c r="H1995" i="4"/>
  <c r="M1995" i="4" s="1"/>
  <c r="M1251" i="4" l="1"/>
  <c r="M1243" i="4"/>
  <c r="M1252" i="4"/>
  <c r="M1253" i="4"/>
  <c r="M1242" i="4"/>
  <c r="M1255" i="4"/>
  <c r="A1235" i="4"/>
  <c r="A3113" i="4"/>
  <c r="J3113" i="4" l="1"/>
  <c r="F3113" i="4"/>
  <c r="F3112" i="4"/>
  <c r="S1016" i="4" l="1"/>
  <c r="J3107" i="4" l="1"/>
  <c r="I3107" i="4"/>
  <c r="H3107" i="4"/>
  <c r="G3107" i="4"/>
  <c r="F3107" i="4"/>
  <c r="A3107" i="4"/>
  <c r="J3106" i="4"/>
  <c r="I3106" i="4"/>
  <c r="H3106" i="4"/>
  <c r="G3106" i="4"/>
  <c r="F3106" i="4"/>
  <c r="A3106" i="4"/>
  <c r="J3105" i="4"/>
  <c r="I3105" i="4"/>
  <c r="H3105" i="4"/>
  <c r="G3105" i="4"/>
  <c r="F3105" i="4"/>
  <c r="A3105" i="4"/>
  <c r="J3104" i="4"/>
  <c r="I3104" i="4"/>
  <c r="H3104" i="4"/>
  <c r="G3104" i="4"/>
  <c r="F3104" i="4"/>
  <c r="A3104" i="4"/>
  <c r="J3103" i="4"/>
  <c r="I3103" i="4"/>
  <c r="H3103" i="4"/>
  <c r="G3103" i="4"/>
  <c r="F3103" i="4"/>
  <c r="A3103" i="4"/>
  <c r="J3102" i="4"/>
  <c r="I3102" i="4"/>
  <c r="H3102" i="4"/>
  <c r="G3102" i="4"/>
  <c r="F3102" i="4"/>
  <c r="A3102" i="4"/>
  <c r="J3101" i="4"/>
  <c r="I3101" i="4"/>
  <c r="H3101" i="4"/>
  <c r="G3101" i="4"/>
  <c r="F3101" i="4"/>
  <c r="A3101" i="4"/>
  <c r="J3100" i="4"/>
  <c r="I3100" i="4"/>
  <c r="H3100" i="4"/>
  <c r="G3100" i="4"/>
  <c r="F3100" i="4"/>
  <c r="A3100" i="4"/>
  <c r="J3099" i="4"/>
  <c r="I3099" i="4"/>
  <c r="H3099" i="4"/>
  <c r="G3099" i="4"/>
  <c r="F3099" i="4"/>
  <c r="A3099" i="4"/>
  <c r="J3098" i="4"/>
  <c r="I3098" i="4"/>
  <c r="H3098" i="4"/>
  <c r="G3098" i="4"/>
  <c r="F3098" i="4"/>
  <c r="A3098" i="4"/>
  <c r="M3097" i="4"/>
  <c r="M3101" i="4" l="1"/>
  <c r="M3104" i="4"/>
  <c r="M3107" i="4"/>
  <c r="M3106" i="4"/>
  <c r="M3100" i="4"/>
  <c r="M3102" i="4"/>
  <c r="M3098" i="4"/>
  <c r="M3099" i="4"/>
  <c r="M3103" i="4"/>
  <c r="M3105" i="4"/>
  <c r="J1976" i="4"/>
  <c r="I1976" i="4"/>
  <c r="H1976" i="4"/>
  <c r="G1976" i="4"/>
  <c r="F1976" i="4"/>
  <c r="J1975" i="4"/>
  <c r="I1975" i="4"/>
  <c r="H1975" i="4"/>
  <c r="G1975" i="4"/>
  <c r="F1975" i="4"/>
  <c r="A1976" i="4"/>
  <c r="A1975" i="4"/>
  <c r="J1987" i="4"/>
  <c r="I1987" i="4"/>
  <c r="H1987" i="4"/>
  <c r="G1987" i="4"/>
  <c r="F1987" i="4"/>
  <c r="S1986" i="4"/>
  <c r="I1986" i="4" s="1"/>
  <c r="J1986" i="4"/>
  <c r="G1986" i="4"/>
  <c r="F1986" i="4"/>
  <c r="J3076" i="4"/>
  <c r="I3076" i="4"/>
  <c r="H3076" i="4"/>
  <c r="G3076" i="4"/>
  <c r="F3076" i="4"/>
  <c r="M3076" i="4" l="1"/>
  <c r="M1975" i="4"/>
  <c r="M1976" i="4"/>
  <c r="M1987" i="4"/>
  <c r="H1986" i="4"/>
  <c r="M1986" i="4" s="1"/>
  <c r="A2700" i="4"/>
  <c r="I2699" i="4"/>
  <c r="H2699" i="4"/>
  <c r="G2699" i="4"/>
  <c r="F2699" i="4"/>
  <c r="A2699" i="4"/>
  <c r="J2698" i="4" l="1"/>
  <c r="I2698" i="4"/>
  <c r="H2698" i="4"/>
  <c r="G2698" i="4"/>
  <c r="F2698" i="4"/>
  <c r="A2698" i="4"/>
  <c r="J2697" i="4"/>
  <c r="I2697" i="4"/>
  <c r="H2697" i="4"/>
  <c r="G2697" i="4"/>
  <c r="F2697" i="4"/>
  <c r="A2697" i="4"/>
  <c r="A2696" i="4"/>
  <c r="A2695" i="4"/>
  <c r="A2694" i="4"/>
  <c r="M2693" i="4"/>
  <c r="A2693" i="4"/>
  <c r="J2861" i="4" l="1"/>
  <c r="S1991" i="4" l="1"/>
  <c r="H1991" i="4" s="1"/>
  <c r="J1991" i="4"/>
  <c r="G1991" i="4"/>
  <c r="F1991" i="4"/>
  <c r="A1991" i="4"/>
  <c r="I1990" i="4"/>
  <c r="J1990" i="4"/>
  <c r="G1990" i="4"/>
  <c r="F1990" i="4"/>
  <c r="A1990" i="4"/>
  <c r="S1989" i="4"/>
  <c r="I1989" i="4" s="1"/>
  <c r="J1989" i="4"/>
  <c r="G1989" i="4"/>
  <c r="F1989" i="4"/>
  <c r="A1989" i="4"/>
  <c r="S1988" i="4"/>
  <c r="H1988" i="4" s="1"/>
  <c r="J1988" i="4"/>
  <c r="G1988" i="4"/>
  <c r="F1988" i="4"/>
  <c r="A1988" i="4"/>
  <c r="S1992" i="4"/>
  <c r="I1992" i="4" s="1"/>
  <c r="J1992" i="4"/>
  <c r="G1992" i="4"/>
  <c r="F1992" i="4"/>
  <c r="A1992" i="4"/>
  <c r="A1987" i="4"/>
  <c r="A1986" i="4"/>
  <c r="J1985" i="4"/>
  <c r="I1985" i="4"/>
  <c r="H1985" i="4"/>
  <c r="G1985" i="4"/>
  <c r="F1985" i="4"/>
  <c r="A1985" i="4"/>
  <c r="S1984" i="4"/>
  <c r="H1984" i="4" s="1"/>
  <c r="J1984" i="4"/>
  <c r="G1984" i="4"/>
  <c r="F1984" i="4"/>
  <c r="A1984" i="4"/>
  <c r="S1983" i="4"/>
  <c r="I1983" i="4" s="1"/>
  <c r="J1983" i="4"/>
  <c r="G1983" i="4"/>
  <c r="F1983" i="4"/>
  <c r="A1983" i="4"/>
  <c r="S1982" i="4"/>
  <c r="I1982" i="4" s="1"/>
  <c r="J1982" i="4"/>
  <c r="G1982" i="4"/>
  <c r="F1982" i="4"/>
  <c r="A1982" i="4"/>
  <c r="S1981" i="4"/>
  <c r="H1981" i="4" s="1"/>
  <c r="J1981" i="4"/>
  <c r="G1981" i="4"/>
  <c r="F1981" i="4"/>
  <c r="A1981" i="4"/>
  <c r="S1980" i="4"/>
  <c r="I1980" i="4" s="1"/>
  <c r="J1980" i="4"/>
  <c r="G1980" i="4"/>
  <c r="F1980" i="4"/>
  <c r="A1980" i="4"/>
  <c r="S1979" i="4"/>
  <c r="I1979" i="4" s="1"/>
  <c r="J1979" i="4"/>
  <c r="G1979" i="4"/>
  <c r="F1979" i="4"/>
  <c r="A1979" i="4"/>
  <c r="S1978" i="4"/>
  <c r="H1978" i="4" s="1"/>
  <c r="J1978" i="4"/>
  <c r="G1978" i="4"/>
  <c r="F1978" i="4"/>
  <c r="A1978" i="4"/>
  <c r="N1977" i="4"/>
  <c r="M1977" i="4"/>
  <c r="S1974" i="4"/>
  <c r="I1974" i="4" s="1"/>
  <c r="J1974" i="4"/>
  <c r="G1974" i="4"/>
  <c r="F1974" i="4"/>
  <c r="A1974" i="4"/>
  <c r="I1978" i="4" l="1"/>
  <c r="M1978" i="4" s="1"/>
  <c r="H1979" i="4"/>
  <c r="M1979" i="4" s="1"/>
  <c r="I1981" i="4"/>
  <c r="M1981" i="4" s="1"/>
  <c r="H1982" i="4"/>
  <c r="M1982" i="4" s="1"/>
  <c r="H1992" i="4"/>
  <c r="M1992" i="4" s="1"/>
  <c r="I1988" i="4"/>
  <c r="M1988" i="4" s="1"/>
  <c r="H1989" i="4"/>
  <c r="M1989" i="4" s="1"/>
  <c r="I1991" i="4"/>
  <c r="M1991" i="4" s="1"/>
  <c r="I1984" i="4"/>
  <c r="M1984" i="4" s="1"/>
  <c r="H1990" i="4"/>
  <c r="M1990" i="4" s="1"/>
  <c r="M1985" i="4"/>
  <c r="H1980" i="4"/>
  <c r="M1980" i="4" s="1"/>
  <c r="H1983" i="4"/>
  <c r="M1983" i="4" s="1"/>
  <c r="H1974" i="4"/>
  <c r="M1974" i="4" s="1"/>
  <c r="S1973" i="4"/>
  <c r="I1973" i="4" s="1"/>
  <c r="S1972" i="4"/>
  <c r="I1972" i="4" s="1"/>
  <c r="I1971" i="4"/>
  <c r="S1970" i="4"/>
  <c r="I1970" i="4" s="1"/>
  <c r="S1969" i="4"/>
  <c r="H1969" i="4" s="1"/>
  <c r="S1968" i="4"/>
  <c r="I1968" i="4" s="1"/>
  <c r="S1967" i="4"/>
  <c r="I1967" i="4" s="1"/>
  <c r="S1966" i="4"/>
  <c r="H1966" i="4" s="1"/>
  <c r="J1973" i="4"/>
  <c r="G1973" i="4"/>
  <c r="F1973" i="4"/>
  <c r="A1973" i="4"/>
  <c r="J1972" i="4"/>
  <c r="G1972" i="4"/>
  <c r="F1972" i="4"/>
  <c r="A1972" i="4"/>
  <c r="J1971" i="4"/>
  <c r="G1971" i="4"/>
  <c r="F1971" i="4"/>
  <c r="A1971" i="4"/>
  <c r="J1970" i="4"/>
  <c r="G1970" i="4"/>
  <c r="F1970" i="4"/>
  <c r="A1970" i="4"/>
  <c r="J1969" i="4"/>
  <c r="G1969" i="4"/>
  <c r="F1969" i="4"/>
  <c r="A1969" i="4"/>
  <c r="J1968" i="4"/>
  <c r="G1968" i="4"/>
  <c r="F1968" i="4"/>
  <c r="A1968" i="4"/>
  <c r="J1967" i="4"/>
  <c r="G1967" i="4"/>
  <c r="F1967" i="4"/>
  <c r="A1967" i="4"/>
  <c r="J1966" i="4"/>
  <c r="G1966" i="4"/>
  <c r="F1966" i="4"/>
  <c r="A1966" i="4"/>
  <c r="S1965" i="4"/>
  <c r="I1965" i="4" s="1"/>
  <c r="J1965" i="4"/>
  <c r="G1965" i="4"/>
  <c r="F1965" i="4"/>
  <c r="A1965" i="4"/>
  <c r="S1964" i="4"/>
  <c r="I1964" i="4" s="1"/>
  <c r="J1964" i="4"/>
  <c r="G1964" i="4"/>
  <c r="F1964" i="4"/>
  <c r="A1964" i="4"/>
  <c r="N1963" i="4"/>
  <c r="M1963" i="4"/>
  <c r="I1969" i="4" l="1"/>
  <c r="M1969" i="4" s="1"/>
  <c r="H1973" i="4"/>
  <c r="M1973" i="4" s="1"/>
  <c r="H1964" i="4"/>
  <c r="M1964" i="4" s="1"/>
  <c r="I1966" i="4"/>
  <c r="M1966" i="4" s="1"/>
  <c r="H1967" i="4"/>
  <c r="M1967" i="4" s="1"/>
  <c r="H1970" i="4"/>
  <c r="M1970" i="4" s="1"/>
  <c r="H1971" i="4"/>
  <c r="M1971" i="4" s="1"/>
  <c r="H1965" i="4"/>
  <c r="M1965" i="4" s="1"/>
  <c r="H1968" i="4"/>
  <c r="M1968" i="4" s="1"/>
  <c r="H1972" i="4"/>
  <c r="M1972" i="4" s="1"/>
  <c r="S3949" i="4" l="1"/>
  <c r="H3949" i="4" s="1"/>
  <c r="J3949" i="4"/>
  <c r="G3949" i="4"/>
  <c r="F3949" i="4"/>
  <c r="S3948" i="4"/>
  <c r="I3948" i="4" s="1"/>
  <c r="J3948" i="4"/>
  <c r="G3948" i="4"/>
  <c r="F3948" i="4"/>
  <c r="S3947" i="4"/>
  <c r="H3947" i="4" s="1"/>
  <c r="J3947" i="4"/>
  <c r="G3947" i="4"/>
  <c r="F3947" i="4"/>
  <c r="S3946" i="4"/>
  <c r="I3946" i="4" s="1"/>
  <c r="J3946" i="4"/>
  <c r="G3946" i="4"/>
  <c r="F3946" i="4"/>
  <c r="S3945" i="4"/>
  <c r="I3945" i="4" s="1"/>
  <c r="J3945" i="4"/>
  <c r="G3945" i="4"/>
  <c r="F3945" i="4"/>
  <c r="I3949" i="4" l="1"/>
  <c r="M3949" i="4" s="1"/>
  <c r="H3948" i="4"/>
  <c r="M3948" i="4" s="1"/>
  <c r="I3947" i="4"/>
  <c r="M3947" i="4" s="1"/>
  <c r="H3945" i="4"/>
  <c r="M3945" i="4" s="1"/>
  <c r="H3946" i="4"/>
  <c r="M3946" i="4" s="1"/>
  <c r="S1960" i="4"/>
  <c r="I1960" i="4" s="1"/>
  <c r="J1960" i="4"/>
  <c r="G1960" i="4"/>
  <c r="F1960" i="4"/>
  <c r="A1960" i="4"/>
  <c r="H1960" i="4" l="1"/>
  <c r="M1960" i="4" s="1"/>
  <c r="J1962" i="4"/>
  <c r="I1962" i="4"/>
  <c r="H1962" i="4"/>
  <c r="G1962" i="4"/>
  <c r="F1962" i="4"/>
  <c r="A1962" i="4"/>
  <c r="J1961" i="4"/>
  <c r="I1961" i="4"/>
  <c r="H1961" i="4"/>
  <c r="G1961" i="4"/>
  <c r="F1961" i="4"/>
  <c r="A1961" i="4"/>
  <c r="M1962" i="4" l="1"/>
  <c r="M1961" i="4"/>
  <c r="S1959" i="4"/>
  <c r="I1959" i="4" s="1"/>
  <c r="J1959" i="4"/>
  <c r="G1959" i="4"/>
  <c r="F1959" i="4"/>
  <c r="A1959" i="4"/>
  <c r="S1958" i="4"/>
  <c r="H1958" i="4" s="1"/>
  <c r="J1958" i="4"/>
  <c r="G1958" i="4"/>
  <c r="F1958" i="4"/>
  <c r="A1958" i="4"/>
  <c r="S1957" i="4"/>
  <c r="I1957" i="4" s="1"/>
  <c r="J1957" i="4"/>
  <c r="G1957" i="4"/>
  <c r="F1957" i="4"/>
  <c r="A1957" i="4"/>
  <c r="H1959" i="4" l="1"/>
  <c r="M1959" i="4" s="1"/>
  <c r="I1958" i="4"/>
  <c r="M1958" i="4" s="1"/>
  <c r="H1957" i="4"/>
  <c r="M1957" i="4" s="1"/>
  <c r="S1956" i="4"/>
  <c r="H1956" i="4" s="1"/>
  <c r="J1956" i="4"/>
  <c r="G1956" i="4"/>
  <c r="F1956" i="4"/>
  <c r="A1956" i="4"/>
  <c r="S1955" i="4"/>
  <c r="I1955" i="4" s="1"/>
  <c r="J1955" i="4"/>
  <c r="G1955" i="4"/>
  <c r="F1955" i="4"/>
  <c r="A1955" i="4"/>
  <c r="S1954" i="4"/>
  <c r="H1954" i="4" s="1"/>
  <c r="J1954" i="4"/>
  <c r="G1954" i="4"/>
  <c r="F1954" i="4"/>
  <c r="A1954" i="4"/>
  <c r="S1953" i="4"/>
  <c r="I1953" i="4" s="1"/>
  <c r="J1953" i="4"/>
  <c r="G1953" i="4"/>
  <c r="F1953" i="4"/>
  <c r="A1953" i="4"/>
  <c r="S1952" i="4"/>
  <c r="I1952" i="4" s="1"/>
  <c r="J1952" i="4"/>
  <c r="G1952" i="4"/>
  <c r="F1952" i="4"/>
  <c r="A1952" i="4"/>
  <c r="S1951" i="4"/>
  <c r="I1951" i="4" s="1"/>
  <c r="J1951" i="4"/>
  <c r="G1951" i="4"/>
  <c r="F1951" i="4"/>
  <c r="A1951" i="4"/>
  <c r="S1950" i="4"/>
  <c r="I1950" i="4" s="1"/>
  <c r="J1950" i="4"/>
  <c r="G1950" i="4"/>
  <c r="F1950" i="4"/>
  <c r="A1950" i="4"/>
  <c r="S1949" i="4"/>
  <c r="I1949" i="4" s="1"/>
  <c r="J1949" i="4"/>
  <c r="G1949" i="4"/>
  <c r="F1949" i="4"/>
  <c r="A1949" i="4"/>
  <c r="S1948" i="4"/>
  <c r="H1948" i="4" s="1"/>
  <c r="J1948" i="4"/>
  <c r="G1948" i="4"/>
  <c r="F1948" i="4"/>
  <c r="A1948" i="4"/>
  <c r="S1947" i="4"/>
  <c r="I1947" i="4" s="1"/>
  <c r="J1947" i="4"/>
  <c r="G1947" i="4"/>
  <c r="F1947" i="4"/>
  <c r="A1947" i="4"/>
  <c r="S1946" i="4"/>
  <c r="I1946" i="4" s="1"/>
  <c r="J1946" i="4"/>
  <c r="G1946" i="4"/>
  <c r="F1946" i="4"/>
  <c r="A1946" i="4"/>
  <c r="S1945" i="4"/>
  <c r="I1945" i="4" s="1"/>
  <c r="J1945" i="4"/>
  <c r="G1945" i="4"/>
  <c r="F1945" i="4"/>
  <c r="A1945" i="4"/>
  <c r="S1944" i="4"/>
  <c r="I1944" i="4" s="1"/>
  <c r="J1944" i="4"/>
  <c r="G1944" i="4"/>
  <c r="F1944" i="4"/>
  <c r="A1944" i="4"/>
  <c r="I1954" i="4" l="1"/>
  <c r="M1954" i="4" s="1"/>
  <c r="H1955" i="4"/>
  <c r="M1955" i="4" s="1"/>
  <c r="H1952" i="4"/>
  <c r="M1952" i="4" s="1"/>
  <c r="H1953" i="4"/>
  <c r="M1953" i="4" s="1"/>
  <c r="H1949" i="4"/>
  <c r="M1949" i="4" s="1"/>
  <c r="I1956" i="4"/>
  <c r="M1956" i="4" s="1"/>
  <c r="H1944" i="4"/>
  <c r="M1944" i="4" s="1"/>
  <c r="H1945" i="4"/>
  <c r="M1945" i="4" s="1"/>
  <c r="H1947" i="4"/>
  <c r="M1947" i="4" s="1"/>
  <c r="H1951" i="4"/>
  <c r="M1951" i="4" s="1"/>
  <c r="H1946" i="4"/>
  <c r="M1946" i="4" s="1"/>
  <c r="I1948" i="4"/>
  <c r="M1948" i="4" s="1"/>
  <c r="H1950" i="4"/>
  <c r="M1950" i="4" s="1"/>
  <c r="S1943" i="4"/>
  <c r="H1943" i="4" s="1"/>
  <c r="J1943" i="4"/>
  <c r="G1943" i="4"/>
  <c r="F1943" i="4"/>
  <c r="S1942" i="4"/>
  <c r="I1942" i="4" s="1"/>
  <c r="J1942" i="4"/>
  <c r="G1942" i="4"/>
  <c r="F1942" i="4"/>
  <c r="S1941" i="4"/>
  <c r="I1941" i="4" s="1"/>
  <c r="J1941" i="4"/>
  <c r="G1941" i="4"/>
  <c r="F1941" i="4"/>
  <c r="S1940" i="4"/>
  <c r="H1940" i="4" s="1"/>
  <c r="J1940" i="4"/>
  <c r="G1940" i="4"/>
  <c r="F1940" i="4"/>
  <c r="S1939" i="4"/>
  <c r="I1939" i="4" s="1"/>
  <c r="J1939" i="4"/>
  <c r="G1939" i="4"/>
  <c r="F1939" i="4"/>
  <c r="S1938" i="4"/>
  <c r="I1938" i="4" s="1"/>
  <c r="J1938" i="4"/>
  <c r="G1938" i="4"/>
  <c r="F1938" i="4"/>
  <c r="S1937" i="4"/>
  <c r="H1937" i="4" s="1"/>
  <c r="J1937" i="4"/>
  <c r="G1937" i="4"/>
  <c r="F1937" i="4"/>
  <c r="S1936" i="4"/>
  <c r="I1936" i="4" s="1"/>
  <c r="J1936" i="4"/>
  <c r="G1936" i="4"/>
  <c r="F1936" i="4"/>
  <c r="S1935" i="4"/>
  <c r="I1935" i="4" s="1"/>
  <c r="J1935" i="4"/>
  <c r="G1935" i="4"/>
  <c r="F1935" i="4"/>
  <c r="S1934" i="4"/>
  <c r="I1934" i="4" s="1"/>
  <c r="J1934" i="4"/>
  <c r="G1934" i="4"/>
  <c r="F1934" i="4"/>
  <c r="S1933" i="4"/>
  <c r="H1933" i="4" s="1"/>
  <c r="J1933" i="4"/>
  <c r="G1933" i="4"/>
  <c r="F1933" i="4"/>
  <c r="S1932" i="4"/>
  <c r="H1932" i="4" s="1"/>
  <c r="J1932" i="4"/>
  <c r="G1932" i="4"/>
  <c r="F1932" i="4"/>
  <c r="S1931" i="4"/>
  <c r="H1931" i="4" s="1"/>
  <c r="J1931" i="4"/>
  <c r="G1931" i="4"/>
  <c r="F1931" i="4"/>
  <c r="S1930" i="4"/>
  <c r="I1930" i="4" s="1"/>
  <c r="J1930" i="4"/>
  <c r="G1930" i="4"/>
  <c r="F1930" i="4"/>
  <c r="S1929" i="4"/>
  <c r="I1929" i="4" s="1"/>
  <c r="J1929" i="4"/>
  <c r="G1929" i="4"/>
  <c r="F1929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N1928" i="4"/>
  <c r="I1931" i="4" l="1"/>
  <c r="M1931" i="4" s="1"/>
  <c r="I1932" i="4"/>
  <c r="M1932" i="4" s="1"/>
  <c r="I1933" i="4"/>
  <c r="M1933" i="4" s="1"/>
  <c r="H1935" i="4"/>
  <c r="M1935" i="4" s="1"/>
  <c r="H1938" i="4"/>
  <c r="M1938" i="4" s="1"/>
  <c r="H1929" i="4"/>
  <c r="M1929" i="4" s="1"/>
  <c r="H1936" i="4"/>
  <c r="M1936" i="4" s="1"/>
  <c r="H1939" i="4"/>
  <c r="M1939" i="4" s="1"/>
  <c r="H1930" i="4"/>
  <c r="M1930" i="4" s="1"/>
  <c r="I1937" i="4"/>
  <c r="M1937" i="4" s="1"/>
  <c r="I1943" i="4"/>
  <c r="M1943" i="4" s="1"/>
  <c r="I1940" i="4"/>
  <c r="M1940" i="4" s="1"/>
  <c r="H1941" i="4"/>
  <c r="M1941" i="4" s="1"/>
  <c r="H1942" i="4"/>
  <c r="M1942" i="4" s="1"/>
  <c r="H1934" i="4"/>
  <c r="M1934" i="4" s="1"/>
  <c r="S2870" i="4"/>
  <c r="S2868" i="4" l="1"/>
  <c r="H2868" i="4" s="1"/>
  <c r="J2868" i="4"/>
  <c r="G2868" i="4"/>
  <c r="F2868" i="4"/>
  <c r="A2868" i="4"/>
  <c r="S2867" i="4"/>
  <c r="H2867" i="4" s="1"/>
  <c r="J2867" i="4"/>
  <c r="G2867" i="4"/>
  <c r="F2867" i="4"/>
  <c r="A2867" i="4"/>
  <c r="I2868" i="4" l="1"/>
  <c r="M2868" i="4" s="1"/>
  <c r="I2867" i="4"/>
  <c r="M2867" i="4" s="1"/>
  <c r="J1927" i="4"/>
  <c r="I1927" i="4"/>
  <c r="H1927" i="4"/>
  <c r="G1927" i="4"/>
  <c r="F1927" i="4"/>
  <c r="A1927" i="4"/>
  <c r="J1926" i="4"/>
  <c r="I1926" i="4"/>
  <c r="H1926" i="4"/>
  <c r="G1926" i="4"/>
  <c r="F1926" i="4"/>
  <c r="A1926" i="4"/>
  <c r="M1926" i="4" l="1"/>
  <c r="M1927" i="4"/>
  <c r="S3018" i="4"/>
  <c r="I3018" i="4" s="1"/>
  <c r="J3018" i="4"/>
  <c r="G3018" i="4"/>
  <c r="F3018" i="4"/>
  <c r="A3018" i="4"/>
  <c r="S3017" i="4"/>
  <c r="H3017" i="4" s="1"/>
  <c r="J3017" i="4"/>
  <c r="G3017" i="4"/>
  <c r="F3017" i="4"/>
  <c r="A3017" i="4"/>
  <c r="S3016" i="4"/>
  <c r="I3016" i="4" s="1"/>
  <c r="J3016" i="4"/>
  <c r="G3016" i="4"/>
  <c r="F3016" i="4"/>
  <c r="A3016" i="4"/>
  <c r="S3015" i="4"/>
  <c r="H3015" i="4" s="1"/>
  <c r="J3015" i="4"/>
  <c r="G3015" i="4"/>
  <c r="F3015" i="4"/>
  <c r="A3015" i="4"/>
  <c r="S3014" i="4"/>
  <c r="H3014" i="4" s="1"/>
  <c r="J3014" i="4"/>
  <c r="G3014" i="4"/>
  <c r="F3014" i="4"/>
  <c r="S3013" i="4"/>
  <c r="H3013" i="4" s="1"/>
  <c r="J3013" i="4"/>
  <c r="G3013" i="4"/>
  <c r="F3013" i="4"/>
  <c r="S3012" i="4"/>
  <c r="H3012" i="4" s="1"/>
  <c r="J3012" i="4"/>
  <c r="G3012" i="4"/>
  <c r="F3012" i="4"/>
  <c r="J3011" i="4"/>
  <c r="I3011" i="4"/>
  <c r="H3011" i="4"/>
  <c r="G3011" i="4"/>
  <c r="F3011" i="4"/>
  <c r="A3011" i="4"/>
  <c r="J3010" i="4"/>
  <c r="I3010" i="4"/>
  <c r="H3010" i="4"/>
  <c r="G3010" i="4"/>
  <c r="F3010" i="4"/>
  <c r="A3010" i="4"/>
  <c r="J3009" i="4"/>
  <c r="I3009" i="4"/>
  <c r="H3009" i="4"/>
  <c r="G3009" i="4"/>
  <c r="F3009" i="4"/>
  <c r="A3009" i="4"/>
  <c r="J3008" i="4"/>
  <c r="I3008" i="4"/>
  <c r="H3008" i="4"/>
  <c r="G3008" i="4"/>
  <c r="F3008" i="4"/>
  <c r="A3008" i="4"/>
  <c r="J3007" i="4"/>
  <c r="I3007" i="4"/>
  <c r="H3007" i="4"/>
  <c r="G3007" i="4"/>
  <c r="F3007" i="4"/>
  <c r="A3007" i="4"/>
  <c r="M3007" i="4" l="1"/>
  <c r="H3018" i="4"/>
  <c r="M3018" i="4" s="1"/>
  <c r="M3010" i="4"/>
  <c r="M3008" i="4"/>
  <c r="I3013" i="4"/>
  <c r="M3013" i="4" s="1"/>
  <c r="I3015" i="4"/>
  <c r="M3015" i="4" s="1"/>
  <c r="H3016" i="4"/>
  <c r="M3016" i="4" s="1"/>
  <c r="M3017" i="4"/>
  <c r="M3009" i="4"/>
  <c r="M3011" i="4"/>
  <c r="M3014" i="4"/>
  <c r="I3012" i="4"/>
  <c r="M3012" i="4" s="1"/>
  <c r="J1862" i="4" l="1"/>
  <c r="I1862" i="4"/>
  <c r="H1862" i="4"/>
  <c r="G1862" i="4"/>
  <c r="F1862" i="4"/>
  <c r="J1861" i="4"/>
  <c r="I1861" i="4"/>
  <c r="H1861" i="4"/>
  <c r="G1861" i="4"/>
  <c r="F1861" i="4"/>
  <c r="M1862" i="4" l="1"/>
  <c r="M1861" i="4"/>
  <c r="A1862" i="4"/>
  <c r="A1861" i="4"/>
  <c r="I1925" i="4" l="1"/>
  <c r="J1925" i="4"/>
  <c r="G1925" i="4"/>
  <c r="F1925" i="4"/>
  <c r="H1925" i="4" l="1"/>
  <c r="M1925" i="4" s="1"/>
  <c r="J1858" i="4" l="1"/>
  <c r="I1858" i="4"/>
  <c r="H1858" i="4"/>
  <c r="G1858" i="4"/>
  <c r="F1858" i="4"/>
  <c r="A1858" i="4"/>
  <c r="M1858" i="4" l="1"/>
  <c r="A1925" i="4"/>
  <c r="S1924" i="4" l="1"/>
  <c r="I1924" i="4" s="1"/>
  <c r="J1924" i="4"/>
  <c r="G1924" i="4"/>
  <c r="F1924" i="4"/>
  <c r="A1924" i="4"/>
  <c r="S1923" i="4"/>
  <c r="H1923" i="4" s="1"/>
  <c r="J1923" i="4"/>
  <c r="G1923" i="4"/>
  <c r="F1923" i="4"/>
  <c r="A1923" i="4"/>
  <c r="S1922" i="4"/>
  <c r="I1922" i="4" s="1"/>
  <c r="J1922" i="4"/>
  <c r="G1922" i="4"/>
  <c r="F1922" i="4"/>
  <c r="A1922" i="4"/>
  <c r="S1921" i="4"/>
  <c r="I1921" i="4" s="1"/>
  <c r="J1921" i="4"/>
  <c r="G1921" i="4"/>
  <c r="F1921" i="4"/>
  <c r="A1921" i="4"/>
  <c r="H1924" i="4" l="1"/>
  <c r="M1924" i="4" s="1"/>
  <c r="H1921" i="4"/>
  <c r="M1921" i="4" s="1"/>
  <c r="I1923" i="4"/>
  <c r="M1923" i="4" s="1"/>
  <c r="H1922" i="4"/>
  <c r="M1922" i="4" s="1"/>
  <c r="J1920" i="4" l="1"/>
  <c r="I1920" i="4"/>
  <c r="H1920" i="4"/>
  <c r="G1920" i="4"/>
  <c r="F1920" i="4"/>
  <c r="A1920" i="4"/>
  <c r="J1918" i="4"/>
  <c r="I1918" i="4"/>
  <c r="H1918" i="4"/>
  <c r="G1918" i="4"/>
  <c r="F1918" i="4"/>
  <c r="A1918" i="4"/>
  <c r="J1916" i="4"/>
  <c r="I1916" i="4"/>
  <c r="H1916" i="4"/>
  <c r="G1916" i="4"/>
  <c r="F1916" i="4"/>
  <c r="A1916" i="4"/>
  <c r="J1914" i="4"/>
  <c r="I1914" i="4"/>
  <c r="H1914" i="4"/>
  <c r="G1914" i="4"/>
  <c r="F1914" i="4"/>
  <c r="A1914" i="4"/>
  <c r="M1920" i="4" l="1"/>
  <c r="M1916" i="4"/>
  <c r="M1918" i="4"/>
  <c r="M1914" i="4"/>
  <c r="J1919" i="4"/>
  <c r="I1919" i="4"/>
  <c r="H1919" i="4"/>
  <c r="G1919" i="4"/>
  <c r="F1919" i="4"/>
  <c r="A1919" i="4"/>
  <c r="J1917" i="4"/>
  <c r="I1917" i="4"/>
  <c r="H1917" i="4"/>
  <c r="G1917" i="4"/>
  <c r="F1917" i="4"/>
  <c r="A1917" i="4"/>
  <c r="J1915" i="4"/>
  <c r="I1915" i="4"/>
  <c r="H1915" i="4"/>
  <c r="G1915" i="4"/>
  <c r="F1915" i="4"/>
  <c r="A1915" i="4"/>
  <c r="J1913" i="4"/>
  <c r="I1913" i="4"/>
  <c r="H1913" i="4"/>
  <c r="G1913" i="4"/>
  <c r="F1913" i="4"/>
  <c r="A1913" i="4"/>
  <c r="J1912" i="4"/>
  <c r="I1912" i="4"/>
  <c r="H1912" i="4"/>
  <c r="G1912" i="4"/>
  <c r="F1912" i="4"/>
  <c r="A1912" i="4"/>
  <c r="J1911" i="4"/>
  <c r="I1911" i="4"/>
  <c r="H1911" i="4"/>
  <c r="G1911" i="4"/>
  <c r="F1911" i="4"/>
  <c r="A1911" i="4"/>
  <c r="H1910" i="4"/>
  <c r="J1910" i="4"/>
  <c r="I1910" i="4"/>
  <c r="G1910" i="4"/>
  <c r="F1910" i="4"/>
  <c r="A1910" i="4"/>
  <c r="M1919" i="4" l="1"/>
  <c r="M1917" i="4"/>
  <c r="M1911" i="4"/>
  <c r="M1912" i="4"/>
  <c r="M1913" i="4"/>
  <c r="M1915" i="4"/>
  <c r="M1910" i="4"/>
  <c r="S1906" i="4" l="1"/>
  <c r="I1906" i="4" s="1"/>
  <c r="H1909" i="4"/>
  <c r="J1909" i="4"/>
  <c r="G1909" i="4"/>
  <c r="F1909" i="4"/>
  <c r="I1908" i="4"/>
  <c r="J1908" i="4"/>
  <c r="G1908" i="4"/>
  <c r="F1908" i="4"/>
  <c r="I1907" i="4"/>
  <c r="J1907" i="4"/>
  <c r="G1907" i="4"/>
  <c r="F1907" i="4"/>
  <c r="S1905" i="4"/>
  <c r="I1905" i="4" s="1"/>
  <c r="J1906" i="4"/>
  <c r="G1906" i="4"/>
  <c r="F1906" i="4"/>
  <c r="J1905" i="4"/>
  <c r="G1905" i="4"/>
  <c r="F1905" i="4"/>
  <c r="A1906" i="4"/>
  <c r="I1909" i="4" l="1"/>
  <c r="M1909" i="4" s="1"/>
  <c r="H1908" i="4"/>
  <c r="M1908" i="4" s="1"/>
  <c r="H1907" i="4"/>
  <c r="M1907" i="4" s="1"/>
  <c r="H1905" i="4"/>
  <c r="M1905" i="4" s="1"/>
  <c r="H1906" i="4"/>
  <c r="M1906" i="4" s="1"/>
  <c r="A1909" i="4" l="1"/>
  <c r="A1908" i="4"/>
  <c r="A1907" i="4"/>
  <c r="A1905" i="4"/>
  <c r="N1904" i="4"/>
  <c r="S2629" i="4" l="1"/>
  <c r="I1403" i="4" l="1"/>
  <c r="H1403" i="4" l="1"/>
  <c r="S2863" i="4" l="1"/>
  <c r="A151" i="4" l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1" i="4"/>
  <c r="A1283" i="4"/>
  <c r="A1284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9" i="4"/>
  <c r="A1700" i="4"/>
  <c r="A1701" i="4"/>
  <c r="A1702" i="4"/>
  <c r="A1703" i="4"/>
  <c r="A1704" i="4"/>
  <c r="A1705" i="4"/>
  <c r="A1706" i="4"/>
  <c r="A1708" i="4"/>
  <c r="A1709" i="4"/>
  <c r="A1710" i="4"/>
  <c r="A1711" i="4"/>
  <c r="A1712" i="4"/>
  <c r="A1713" i="4"/>
  <c r="A1714" i="4"/>
  <c r="A1715" i="4"/>
  <c r="A1717" i="4"/>
  <c r="A1718" i="4"/>
  <c r="A1719" i="4"/>
  <c r="A1720" i="4"/>
  <c r="A1721" i="4"/>
  <c r="A1722" i="4"/>
  <c r="A1723" i="4"/>
  <c r="A1724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4" i="4"/>
  <c r="A1795" i="4"/>
  <c r="A1796" i="4"/>
  <c r="A1797" i="4"/>
  <c r="A1798" i="4"/>
  <c r="A1799" i="4"/>
  <c r="A1800" i="4"/>
  <c r="A1801" i="4"/>
  <c r="A1802" i="4"/>
  <c r="A1803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1" i="4"/>
  <c r="A1842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9" i="4"/>
  <c r="A1860" i="4"/>
  <c r="A1864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8" i="4"/>
  <c r="A1899" i="4"/>
  <c r="A1900" i="4"/>
  <c r="A1901" i="4"/>
  <c r="A1902" i="4"/>
  <c r="A1903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9" i="4"/>
  <c r="A2871" i="4"/>
  <c r="A2872" i="4"/>
  <c r="A2873" i="4"/>
  <c r="A2989" i="4"/>
  <c r="A2990" i="4"/>
  <c r="A2991" i="4"/>
  <c r="A2992" i="4"/>
  <c r="A2993" i="4"/>
  <c r="A2994" i="4"/>
  <c r="A2995" i="4"/>
  <c r="A2996" i="4"/>
  <c r="A2997" i="4"/>
  <c r="A2998" i="4"/>
  <c r="A2999" i="4"/>
  <c r="A3002" i="4"/>
  <c r="A3003" i="4"/>
  <c r="A3004" i="4"/>
  <c r="A3005" i="4"/>
  <c r="A3006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5" i="4"/>
  <c r="A3036" i="4"/>
  <c r="A3037" i="4"/>
  <c r="A3038" i="4"/>
  <c r="A3039" i="4"/>
  <c r="A3040" i="4"/>
  <c r="A3041" i="4"/>
  <c r="A3042" i="4"/>
  <c r="A3043" i="4"/>
  <c r="A3044" i="4"/>
  <c r="A3045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4" i="4"/>
  <c r="A3065" i="4"/>
  <c r="A3066" i="4"/>
  <c r="A3078" i="4"/>
  <c r="A3079" i="4"/>
  <c r="A3080" i="4"/>
  <c r="A3081" i="4"/>
  <c r="A3082" i="4"/>
  <c r="A3083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111" i="4"/>
  <c r="A3112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5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S1194" i="4" l="1"/>
  <c r="H1194" i="4" s="1"/>
  <c r="J1194" i="4"/>
  <c r="G1194" i="4"/>
  <c r="F1194" i="4"/>
  <c r="I1194" i="4" l="1"/>
  <c r="M1194" i="4" s="1"/>
  <c r="T1194" i="4"/>
  <c r="S1193" i="4" l="1"/>
  <c r="T1193" i="4" l="1"/>
  <c r="J1193" i="4"/>
  <c r="G1193" i="4"/>
  <c r="F1193" i="4"/>
  <c r="H1193" i="4" l="1"/>
  <c r="I1193" i="4"/>
  <c r="S1192" i="4"/>
  <c r="T1192" i="4" s="1"/>
  <c r="J1192" i="4"/>
  <c r="G1192" i="4"/>
  <c r="F1192" i="4"/>
  <c r="M1193" i="4" l="1"/>
  <c r="H1192" i="4"/>
  <c r="I1192" i="4"/>
  <c r="S1191" i="4"/>
  <c r="T1191" i="4" s="1"/>
  <c r="J1191" i="4"/>
  <c r="G1191" i="4"/>
  <c r="F1191" i="4"/>
  <c r="S1190" i="4"/>
  <c r="T1190" i="4" s="1"/>
  <c r="J1190" i="4"/>
  <c r="G1190" i="4"/>
  <c r="F1190" i="4"/>
  <c r="H1191" i="4" l="1"/>
  <c r="H1190" i="4"/>
  <c r="I1191" i="4"/>
  <c r="M1192" i="4"/>
  <c r="I1190" i="4"/>
  <c r="S1189" i="4"/>
  <c r="M1191" i="4" l="1"/>
  <c r="M1190" i="4"/>
  <c r="T1189" i="4"/>
  <c r="J1189" i="4"/>
  <c r="H1189" i="4"/>
  <c r="G1189" i="4"/>
  <c r="F1189" i="4"/>
  <c r="I1189" i="4" l="1"/>
  <c r="M1189" i="4" s="1"/>
  <c r="P3962" i="4" l="1"/>
  <c r="J3960" i="4" l="1"/>
  <c r="I3960" i="4"/>
  <c r="H3960" i="4"/>
  <c r="G3960" i="4"/>
  <c r="F3960" i="4"/>
  <c r="J3959" i="4"/>
  <c r="I3959" i="4"/>
  <c r="H3959" i="4"/>
  <c r="G3959" i="4"/>
  <c r="F3959" i="4"/>
  <c r="M3960" i="4" l="1"/>
  <c r="M3959" i="4"/>
  <c r="I3990" i="4"/>
  <c r="J3990" i="4"/>
  <c r="G3990" i="4"/>
  <c r="F3990" i="4"/>
  <c r="I3989" i="4"/>
  <c r="J3989" i="4"/>
  <c r="G3989" i="4"/>
  <c r="F3989" i="4"/>
  <c r="J3980" i="4"/>
  <c r="G3980" i="4"/>
  <c r="F3980" i="4"/>
  <c r="J3979" i="4"/>
  <c r="G3979" i="4"/>
  <c r="F3979" i="4"/>
  <c r="J3978" i="4"/>
  <c r="G3978" i="4"/>
  <c r="F3978" i="4"/>
  <c r="J3977" i="4"/>
  <c r="G3977" i="4"/>
  <c r="F3977" i="4"/>
  <c r="H3990" i="4" l="1"/>
  <c r="M3990" i="4" s="1"/>
  <c r="H3989" i="4"/>
  <c r="M3989" i="4" s="1"/>
  <c r="I3979" i="4"/>
  <c r="I3980" i="4"/>
  <c r="H3980" i="4"/>
  <c r="H3979" i="4"/>
  <c r="I3978" i="4"/>
  <c r="H3978" i="4"/>
  <c r="I3977" i="4"/>
  <c r="H3977" i="4"/>
  <c r="J1234" i="4"/>
  <c r="G1234" i="4"/>
  <c r="F1234" i="4"/>
  <c r="J1233" i="4"/>
  <c r="G1233" i="4"/>
  <c r="F1233" i="4"/>
  <c r="J1232" i="4"/>
  <c r="G1232" i="4"/>
  <c r="F1232" i="4"/>
  <c r="J1231" i="4"/>
  <c r="G1231" i="4"/>
  <c r="F1231" i="4"/>
  <c r="J1230" i="4"/>
  <c r="G1230" i="4"/>
  <c r="F1230" i="4"/>
  <c r="J1229" i="4"/>
  <c r="G1229" i="4"/>
  <c r="F1229" i="4"/>
  <c r="J1228" i="4"/>
  <c r="G1228" i="4"/>
  <c r="F1228" i="4"/>
  <c r="J1227" i="4"/>
  <c r="G1227" i="4"/>
  <c r="F1227" i="4"/>
  <c r="J1226" i="4"/>
  <c r="G1226" i="4"/>
  <c r="F1226" i="4"/>
  <c r="J1225" i="4"/>
  <c r="G1225" i="4"/>
  <c r="F1225" i="4"/>
  <c r="J1224" i="4"/>
  <c r="G1224" i="4"/>
  <c r="F1224" i="4"/>
  <c r="J1223" i="4"/>
  <c r="G1223" i="4"/>
  <c r="F1223" i="4"/>
  <c r="J1222" i="4"/>
  <c r="G1222" i="4"/>
  <c r="F1222" i="4"/>
  <c r="J1221" i="4"/>
  <c r="G1221" i="4"/>
  <c r="F1221" i="4"/>
  <c r="J1220" i="4"/>
  <c r="G1220" i="4"/>
  <c r="F1220" i="4"/>
  <c r="J1219" i="4"/>
  <c r="G1219" i="4"/>
  <c r="F1219" i="4"/>
  <c r="J1218" i="4"/>
  <c r="G1218" i="4"/>
  <c r="F1218" i="4"/>
  <c r="J1217" i="4"/>
  <c r="G1217" i="4"/>
  <c r="F1217" i="4"/>
  <c r="J1216" i="4"/>
  <c r="G1216" i="4"/>
  <c r="F1216" i="4"/>
  <c r="J1215" i="4"/>
  <c r="G1215" i="4"/>
  <c r="F1215" i="4"/>
  <c r="J1214" i="4"/>
  <c r="G1214" i="4"/>
  <c r="F1214" i="4"/>
  <c r="J1213" i="4"/>
  <c r="G1213" i="4"/>
  <c r="F1213" i="4"/>
  <c r="J1212" i="4"/>
  <c r="G1212" i="4"/>
  <c r="F1212" i="4"/>
  <c r="J1211" i="4"/>
  <c r="G1211" i="4"/>
  <c r="F1211" i="4"/>
  <c r="J1210" i="4"/>
  <c r="G1210" i="4"/>
  <c r="F1210" i="4"/>
  <c r="J1209" i="4"/>
  <c r="G1209" i="4"/>
  <c r="F1209" i="4"/>
  <c r="J1208" i="4"/>
  <c r="G1208" i="4"/>
  <c r="F1208" i="4"/>
  <c r="J1207" i="4"/>
  <c r="G1207" i="4"/>
  <c r="F1207" i="4"/>
  <c r="J1206" i="4"/>
  <c r="G1206" i="4"/>
  <c r="F1206" i="4"/>
  <c r="J1205" i="4"/>
  <c r="G1205" i="4"/>
  <c r="F1205" i="4"/>
  <c r="J1204" i="4"/>
  <c r="G1204" i="4"/>
  <c r="F1204" i="4"/>
  <c r="J1203" i="4"/>
  <c r="G1203" i="4"/>
  <c r="F1203" i="4"/>
  <c r="J1202" i="4"/>
  <c r="G1202" i="4"/>
  <c r="F1202" i="4"/>
  <c r="J1201" i="4"/>
  <c r="G1201" i="4"/>
  <c r="F1201" i="4"/>
  <c r="J1200" i="4"/>
  <c r="G1200" i="4"/>
  <c r="F1200" i="4"/>
  <c r="M3977" i="4" l="1"/>
  <c r="M3978" i="4"/>
  <c r="M3979" i="4"/>
  <c r="M3980" i="4"/>
  <c r="S1232" i="4"/>
  <c r="I1232" i="4" l="1"/>
  <c r="H1232" i="4"/>
  <c r="T1232" i="4"/>
  <c r="S1231" i="4"/>
  <c r="M1232" i="4" l="1"/>
  <c r="T1231" i="4"/>
  <c r="I1231" i="4"/>
  <c r="H1231" i="4"/>
  <c r="S1230" i="4"/>
  <c r="M1231" i="4" l="1"/>
  <c r="T1230" i="4"/>
  <c r="H1230" i="4"/>
  <c r="I1230" i="4"/>
  <c r="S1227" i="4"/>
  <c r="S1228" i="4"/>
  <c r="S1226" i="4"/>
  <c r="T1227" i="4" l="1"/>
  <c r="H1227" i="4"/>
  <c r="I1227" i="4"/>
  <c r="M1230" i="4"/>
  <c r="T1226" i="4"/>
  <c r="I1226" i="4"/>
  <c r="H1226" i="4"/>
  <c r="T1228" i="4"/>
  <c r="H1228" i="4"/>
  <c r="I1228" i="4"/>
  <c r="S1221" i="4"/>
  <c r="M1227" i="4" l="1"/>
  <c r="T1221" i="4"/>
  <c r="I1221" i="4"/>
  <c r="H1221" i="4"/>
  <c r="M1226" i="4"/>
  <c r="M1228" i="4"/>
  <c r="S1234" i="4"/>
  <c r="S1233" i="4"/>
  <c r="S1229" i="4"/>
  <c r="S1225" i="4"/>
  <c r="S1224" i="4"/>
  <c r="S1223" i="4"/>
  <c r="S1222" i="4"/>
  <c r="S1220" i="4"/>
  <c r="S1219" i="4"/>
  <c r="S1218" i="4"/>
  <c r="S1217" i="4"/>
  <c r="S1216" i="4"/>
  <c r="S1215" i="4"/>
  <c r="S1214" i="4"/>
  <c r="S1211" i="4"/>
  <c r="S1210" i="4"/>
  <c r="S1209" i="4"/>
  <c r="S1208" i="4"/>
  <c r="S1207" i="4"/>
  <c r="S1206" i="4"/>
  <c r="S1203" i="4"/>
  <c r="S1202" i="4"/>
  <c r="S1201" i="4"/>
  <c r="S1200" i="4"/>
  <c r="S1199" i="4"/>
  <c r="S1198" i="4"/>
  <c r="S1197" i="4"/>
  <c r="S1196" i="4"/>
  <c r="S1195" i="4"/>
  <c r="S1188" i="4"/>
  <c r="S1187" i="4"/>
  <c r="S1186" i="4"/>
  <c r="S1185" i="4"/>
  <c r="S1184" i="4"/>
  <c r="S1183" i="4"/>
  <c r="S1182" i="4"/>
  <c r="S1181" i="4"/>
  <c r="S1179" i="4"/>
  <c r="S1178" i="4"/>
  <c r="S1177" i="4"/>
  <c r="S1176" i="4"/>
  <c r="S1175" i="4"/>
  <c r="H1175" i="4" s="1"/>
  <c r="S1173" i="4"/>
  <c r="S1172" i="4"/>
  <c r="S1171" i="4"/>
  <c r="S1170" i="4"/>
  <c r="S1169" i="4"/>
  <c r="S1168" i="4"/>
  <c r="S1166" i="4"/>
  <c r="S1165" i="4"/>
  <c r="S1164" i="4"/>
  <c r="S1163" i="4"/>
  <c r="S1162" i="4"/>
  <c r="S1161" i="4"/>
  <c r="S1160" i="4"/>
  <c r="S1159" i="4"/>
  <c r="M1221" i="4" l="1"/>
  <c r="I1205" i="4"/>
  <c r="H1205" i="4"/>
  <c r="I1224" i="4"/>
  <c r="H1224" i="4"/>
  <c r="I1200" i="4"/>
  <c r="H1200" i="4"/>
  <c r="I1206" i="4"/>
  <c r="H1206" i="4"/>
  <c r="I1212" i="4"/>
  <c r="H1212" i="4"/>
  <c r="H1218" i="4"/>
  <c r="I1218" i="4"/>
  <c r="H1225" i="4"/>
  <c r="I1225" i="4"/>
  <c r="H1217" i="4"/>
  <c r="I1217" i="4"/>
  <c r="I1201" i="4"/>
  <c r="H1201" i="4"/>
  <c r="H1207" i="4"/>
  <c r="I1207" i="4"/>
  <c r="H1213" i="4"/>
  <c r="I1213" i="4"/>
  <c r="I1219" i="4"/>
  <c r="H1219" i="4"/>
  <c r="H1229" i="4"/>
  <c r="I1229" i="4"/>
  <c r="I1202" i="4"/>
  <c r="H1202" i="4"/>
  <c r="I1208" i="4"/>
  <c r="H1208" i="4"/>
  <c r="H1214" i="4"/>
  <c r="I1214" i="4"/>
  <c r="I1220" i="4"/>
  <c r="H1220" i="4"/>
  <c r="I1233" i="4"/>
  <c r="H1233" i="4"/>
  <c r="H1203" i="4"/>
  <c r="I1203" i="4"/>
  <c r="H1222" i="4"/>
  <c r="I1222" i="4"/>
  <c r="I1234" i="4"/>
  <c r="H1234" i="4"/>
  <c r="I1209" i="4"/>
  <c r="H1209" i="4"/>
  <c r="H1215" i="4"/>
  <c r="I1215" i="4"/>
  <c r="I1204" i="4"/>
  <c r="H1204" i="4"/>
  <c r="I1216" i="4"/>
  <c r="H1216" i="4"/>
  <c r="I1223" i="4"/>
  <c r="H1223" i="4"/>
  <c r="I1210" i="4"/>
  <c r="H1210" i="4"/>
  <c r="I1211" i="4"/>
  <c r="H1211" i="4"/>
  <c r="T1234" i="4"/>
  <c r="T1233" i="4"/>
  <c r="T1225" i="4"/>
  <c r="T1224" i="4"/>
  <c r="T1222" i="4"/>
  <c r="T1219" i="4"/>
  <c r="T1218" i="4"/>
  <c r="T1216" i="4"/>
  <c r="T1215" i="4"/>
  <c r="T1211" i="4"/>
  <c r="T1210" i="4"/>
  <c r="T1207" i="4"/>
  <c r="T1203" i="4"/>
  <c r="T1202" i="4"/>
  <c r="T1200" i="4"/>
  <c r="T1199" i="4"/>
  <c r="T1198" i="4"/>
  <c r="T1197" i="4"/>
  <c r="M1223" i="4" l="1"/>
  <c r="M1202" i="4"/>
  <c r="M1224" i="4"/>
  <c r="M1220" i="4"/>
  <c r="M1212" i="4"/>
  <c r="M1210" i="4"/>
  <c r="M1204" i="4"/>
  <c r="M1234" i="4"/>
  <c r="M1216" i="4"/>
  <c r="M1209" i="4"/>
  <c r="M1206" i="4"/>
  <c r="M1205" i="4"/>
  <c r="M1233" i="4"/>
  <c r="M1208" i="4"/>
  <c r="M1219" i="4"/>
  <c r="M1201" i="4"/>
  <c r="M1200" i="4"/>
  <c r="M1218" i="4"/>
  <c r="M1215" i="4"/>
  <c r="M1222" i="4"/>
  <c r="M1213" i="4"/>
  <c r="M1217" i="4"/>
  <c r="M1203" i="4"/>
  <c r="M1214" i="4"/>
  <c r="M1229" i="4"/>
  <c r="M1207" i="4"/>
  <c r="M1225" i="4"/>
  <c r="M1211" i="4"/>
  <c r="T1208" i="4"/>
  <c r="T1220" i="4"/>
  <c r="T1209" i="4"/>
  <c r="T1229" i="4"/>
  <c r="T1206" i="4"/>
  <c r="T1214" i="4"/>
  <c r="T1223" i="4"/>
  <c r="T1201" i="4"/>
  <c r="T1217" i="4"/>
  <c r="H1199" i="4" l="1"/>
  <c r="J1199" i="4"/>
  <c r="G1199" i="4"/>
  <c r="F1199" i="4"/>
  <c r="J1198" i="4"/>
  <c r="G1198" i="4"/>
  <c r="F1198" i="4"/>
  <c r="H1197" i="4"/>
  <c r="J1197" i="4"/>
  <c r="G1197" i="4"/>
  <c r="F1197" i="4"/>
  <c r="I1196" i="4"/>
  <c r="J1196" i="4"/>
  <c r="G1196" i="4"/>
  <c r="F1196" i="4"/>
  <c r="I1195" i="4"/>
  <c r="J1195" i="4"/>
  <c r="G1195" i="4"/>
  <c r="F1195" i="4"/>
  <c r="H1198" i="4" l="1"/>
  <c r="I1197" i="4"/>
  <c r="M1197" i="4" s="1"/>
  <c r="I1199" i="4"/>
  <c r="M1199" i="4" s="1"/>
  <c r="I1198" i="4"/>
  <c r="T1196" i="4"/>
  <c r="H1195" i="4"/>
  <c r="M1195" i="4" s="1"/>
  <c r="T1195" i="4"/>
  <c r="H1196" i="4"/>
  <c r="M1196" i="4" s="1"/>
  <c r="M1198" i="4" l="1"/>
  <c r="T1188" i="4"/>
  <c r="J1188" i="4"/>
  <c r="G1188" i="4"/>
  <c r="F1188" i="4"/>
  <c r="I1187" i="4"/>
  <c r="J1187" i="4"/>
  <c r="G1187" i="4"/>
  <c r="F1187" i="4"/>
  <c r="T1186" i="4"/>
  <c r="J1186" i="4"/>
  <c r="G1186" i="4"/>
  <c r="F1186" i="4"/>
  <c r="I1185" i="4"/>
  <c r="J1185" i="4"/>
  <c r="G1185" i="4"/>
  <c r="F1185" i="4"/>
  <c r="I1184" i="4"/>
  <c r="J1184" i="4"/>
  <c r="G1184" i="4"/>
  <c r="F1184" i="4"/>
  <c r="H1183" i="4"/>
  <c r="J1183" i="4"/>
  <c r="G1183" i="4"/>
  <c r="F1183" i="4"/>
  <c r="T1182" i="4"/>
  <c r="J1182" i="4"/>
  <c r="G1182" i="4"/>
  <c r="F1182" i="4"/>
  <c r="T1181" i="4"/>
  <c r="J1181" i="4"/>
  <c r="G1181" i="4"/>
  <c r="F1181" i="4"/>
  <c r="J1180" i="4"/>
  <c r="G1180" i="4"/>
  <c r="F1180" i="4"/>
  <c r="H1179" i="4"/>
  <c r="J1179" i="4"/>
  <c r="G1179" i="4"/>
  <c r="F1179" i="4"/>
  <c r="I1178" i="4"/>
  <c r="J1178" i="4"/>
  <c r="G1178" i="4"/>
  <c r="F1178" i="4"/>
  <c r="I1177" i="4"/>
  <c r="J1177" i="4"/>
  <c r="G1177" i="4"/>
  <c r="F1177" i="4"/>
  <c r="I1176" i="4"/>
  <c r="J1176" i="4"/>
  <c r="G1176" i="4"/>
  <c r="F1176" i="4"/>
  <c r="I1175" i="4"/>
  <c r="J1175" i="4"/>
  <c r="G1175" i="4"/>
  <c r="F1175" i="4"/>
  <c r="J1174" i="4"/>
  <c r="G1174" i="4"/>
  <c r="F1174" i="4"/>
  <c r="T1173" i="4"/>
  <c r="J1173" i="4"/>
  <c r="G1173" i="4"/>
  <c r="F1173" i="4"/>
  <c r="T1172" i="4"/>
  <c r="J1172" i="4"/>
  <c r="G1172" i="4"/>
  <c r="F1172" i="4"/>
  <c r="H1171" i="4"/>
  <c r="J1171" i="4"/>
  <c r="G1171" i="4"/>
  <c r="F1171" i="4"/>
  <c r="T1169" i="4"/>
  <c r="J1169" i="4"/>
  <c r="G1169" i="4"/>
  <c r="F1169" i="4"/>
  <c r="T1168" i="4"/>
  <c r="J1168" i="4"/>
  <c r="G1168" i="4"/>
  <c r="F1168" i="4"/>
  <c r="J1167" i="4"/>
  <c r="G1167" i="4"/>
  <c r="F1167" i="4"/>
  <c r="T1166" i="4"/>
  <c r="J1166" i="4"/>
  <c r="G1166" i="4"/>
  <c r="F1166" i="4"/>
  <c r="T1165" i="4"/>
  <c r="J1165" i="4"/>
  <c r="G1165" i="4"/>
  <c r="F1165" i="4"/>
  <c r="T1170" i="4"/>
  <c r="J1170" i="4"/>
  <c r="G1170" i="4"/>
  <c r="F1170" i="4"/>
  <c r="T1164" i="4"/>
  <c r="J1164" i="4"/>
  <c r="G1164" i="4"/>
  <c r="F1164" i="4"/>
  <c r="T1163" i="4"/>
  <c r="J1163" i="4"/>
  <c r="G1163" i="4"/>
  <c r="F1163" i="4"/>
  <c r="T1162" i="4"/>
  <c r="J1162" i="4"/>
  <c r="G1162" i="4"/>
  <c r="F1162" i="4"/>
  <c r="T1161" i="4"/>
  <c r="J1161" i="4"/>
  <c r="G1161" i="4"/>
  <c r="F1161" i="4"/>
  <c r="T1160" i="4"/>
  <c r="J1160" i="4"/>
  <c r="G1160" i="4"/>
  <c r="F1160" i="4"/>
  <c r="I1159" i="4"/>
  <c r="J1159" i="4"/>
  <c r="G1159" i="4"/>
  <c r="F1159" i="4"/>
  <c r="H1187" i="4" l="1"/>
  <c r="M1187" i="4" s="1"/>
  <c r="I1168" i="4"/>
  <c r="H1182" i="4"/>
  <c r="H1181" i="4"/>
  <c r="T1184" i="4"/>
  <c r="T1187" i="4"/>
  <c r="T1185" i="4"/>
  <c r="H1160" i="4"/>
  <c r="T1159" i="4"/>
  <c r="H1188" i="4"/>
  <c r="I1188" i="4"/>
  <c r="I1171" i="4"/>
  <c r="M1171" i="4" s="1"/>
  <c r="H1184" i="4"/>
  <c r="M1184" i="4" s="1"/>
  <c r="H1185" i="4"/>
  <c r="M1185" i="4" s="1"/>
  <c r="H1186" i="4"/>
  <c r="H1174" i="4"/>
  <c r="I1186" i="4"/>
  <c r="I1183" i="4"/>
  <c r="M1183" i="4" s="1"/>
  <c r="H1173" i="4"/>
  <c r="I1179" i="4"/>
  <c r="M1179" i="4" s="1"/>
  <c r="H1172" i="4"/>
  <c r="H1180" i="4"/>
  <c r="I1172" i="4"/>
  <c r="I1180" i="4"/>
  <c r="T1183" i="4"/>
  <c r="T1175" i="4"/>
  <c r="H1169" i="4"/>
  <c r="H1168" i="4"/>
  <c r="I1169" i="4"/>
  <c r="M1175" i="4"/>
  <c r="T1176" i="4"/>
  <c r="T1177" i="4"/>
  <c r="I1181" i="4"/>
  <c r="H1162" i="4"/>
  <c r="I1174" i="4"/>
  <c r="I1173" i="4"/>
  <c r="T1178" i="4"/>
  <c r="I1182" i="4"/>
  <c r="I1162" i="4"/>
  <c r="T1171" i="4"/>
  <c r="H1176" i="4"/>
  <c r="M1176" i="4" s="1"/>
  <c r="T1179" i="4"/>
  <c r="H1177" i="4"/>
  <c r="M1177" i="4" s="1"/>
  <c r="H1178" i="4"/>
  <c r="M1178" i="4" s="1"/>
  <c r="H1164" i="4"/>
  <c r="H1165" i="4"/>
  <c r="I1164" i="4"/>
  <c r="H1170" i="4"/>
  <c r="I1165" i="4"/>
  <c r="H1166" i="4"/>
  <c r="I1170" i="4"/>
  <c r="I1166" i="4"/>
  <c r="H1167" i="4"/>
  <c r="I1167" i="4"/>
  <c r="H1163" i="4"/>
  <c r="H1161" i="4"/>
  <c r="I1163" i="4"/>
  <c r="I1161" i="4"/>
  <c r="I1160" i="4"/>
  <c r="H1159" i="4"/>
  <c r="M1159" i="4" s="1"/>
  <c r="M1169" i="4" l="1"/>
  <c r="M1182" i="4"/>
  <c r="M1168" i="4"/>
  <c r="M1160" i="4"/>
  <c r="M1188" i="4"/>
  <c r="M1180" i="4"/>
  <c r="M1186" i="4"/>
  <c r="M1174" i="4"/>
  <c r="M1181" i="4"/>
  <c r="M1173" i="4"/>
  <c r="M1172" i="4"/>
  <c r="M1165" i="4"/>
  <c r="M1162" i="4"/>
  <c r="M1163" i="4"/>
  <c r="M1167" i="4"/>
  <c r="M1164" i="4"/>
  <c r="M1170" i="4"/>
  <c r="M1161" i="4"/>
  <c r="M1166" i="4"/>
  <c r="S1896" i="4" l="1"/>
  <c r="I1896" i="4" s="1"/>
  <c r="J1896" i="4"/>
  <c r="G1896" i="4"/>
  <c r="F1896" i="4"/>
  <c r="S1895" i="4"/>
  <c r="I1895" i="4" s="1"/>
  <c r="J1895" i="4"/>
  <c r="G1895" i="4"/>
  <c r="F1895" i="4"/>
  <c r="S1894" i="4"/>
  <c r="I1894" i="4" s="1"/>
  <c r="J1894" i="4"/>
  <c r="G1894" i="4"/>
  <c r="F1894" i="4"/>
  <c r="S1893" i="4"/>
  <c r="I1893" i="4" s="1"/>
  <c r="J1893" i="4"/>
  <c r="G1893" i="4"/>
  <c r="F1893" i="4"/>
  <c r="N1897" i="4"/>
  <c r="H1894" i="4" l="1"/>
  <c r="M1894" i="4" s="1"/>
  <c r="H1895" i="4"/>
  <c r="M1895" i="4" s="1"/>
  <c r="H1893" i="4"/>
  <c r="M1893" i="4" s="1"/>
  <c r="H1896" i="4"/>
  <c r="M1896" i="4" s="1"/>
  <c r="J1900" i="4"/>
  <c r="I1900" i="4"/>
  <c r="H1900" i="4"/>
  <c r="G1900" i="4"/>
  <c r="F1900" i="4"/>
  <c r="M1900" i="4" l="1"/>
  <c r="J1887" i="4"/>
  <c r="S1887" i="4"/>
  <c r="J1888" i="4"/>
  <c r="S1888" i="4"/>
  <c r="J1889" i="4"/>
  <c r="S1889" i="4"/>
  <c r="J1890" i="4"/>
  <c r="S1890" i="4"/>
  <c r="M1890" i="4" l="1"/>
  <c r="M1889" i="4"/>
  <c r="M1888" i="4"/>
  <c r="M1887" i="4"/>
  <c r="M1891" i="4"/>
  <c r="I1899" i="4" l="1"/>
  <c r="H1899" i="4"/>
  <c r="I1898" i="4"/>
  <c r="H1898" i="4"/>
  <c r="M1899" i="4" l="1"/>
  <c r="M1898" i="4"/>
  <c r="J1886" i="4" l="1"/>
  <c r="G1886" i="4"/>
  <c r="F1886" i="4"/>
  <c r="J1885" i="4"/>
  <c r="G1885" i="4"/>
  <c r="F1885" i="4"/>
  <c r="J1884" i="4"/>
  <c r="G1884" i="4"/>
  <c r="F1884" i="4"/>
  <c r="M1892" i="4" l="1"/>
  <c r="S1886" i="4"/>
  <c r="S1885" i="4"/>
  <c r="S1884" i="4"/>
  <c r="S1883" i="4"/>
  <c r="I1883" i="4" s="1"/>
  <c r="J1883" i="4"/>
  <c r="G1883" i="4"/>
  <c r="F1883" i="4"/>
  <c r="N1882" i="4"/>
  <c r="M1882" i="4"/>
  <c r="I1885" i="4" l="1"/>
  <c r="H1885" i="4"/>
  <c r="I1886" i="4"/>
  <c r="H1886" i="4"/>
  <c r="I1884" i="4"/>
  <c r="H1884" i="4"/>
  <c r="H1883" i="4"/>
  <c r="M1883" i="4" s="1"/>
  <c r="J1903" i="4"/>
  <c r="I1903" i="4"/>
  <c r="H1903" i="4"/>
  <c r="G1903" i="4"/>
  <c r="F1903" i="4"/>
  <c r="J1902" i="4"/>
  <c r="I1902" i="4"/>
  <c r="H1902" i="4"/>
  <c r="G1902" i="4"/>
  <c r="F1902" i="4"/>
  <c r="J1901" i="4"/>
  <c r="I1901" i="4"/>
  <c r="H1901" i="4"/>
  <c r="G1901" i="4"/>
  <c r="F1901" i="4"/>
  <c r="M1885" i="4" l="1"/>
  <c r="M1884" i="4"/>
  <c r="M1886" i="4"/>
  <c r="M1902" i="4"/>
  <c r="M1901" i="4"/>
  <c r="M1903" i="4"/>
  <c r="S3957" i="4" l="1"/>
  <c r="S3956" i="4"/>
  <c r="S3955" i="4"/>
  <c r="S3954" i="4"/>
  <c r="S3953" i="4"/>
  <c r="S3952" i="4"/>
  <c r="S3951" i="4"/>
  <c r="S3958" i="4"/>
  <c r="J1803" i="4" l="1"/>
  <c r="I1803" i="4"/>
  <c r="H1803" i="4"/>
  <c r="G1803" i="4"/>
  <c r="F1803" i="4"/>
  <c r="M1803" i="4" l="1"/>
  <c r="J1802" i="4"/>
  <c r="I1802" i="4"/>
  <c r="H1802" i="4"/>
  <c r="G1802" i="4"/>
  <c r="F1802" i="4"/>
  <c r="J1801" i="4"/>
  <c r="I1801" i="4"/>
  <c r="H1801" i="4"/>
  <c r="G1801" i="4"/>
  <c r="F1801" i="4"/>
  <c r="M1802" i="4" l="1"/>
  <c r="M1801" i="4"/>
  <c r="J1875" i="4"/>
  <c r="I1875" i="4"/>
  <c r="H1875" i="4"/>
  <c r="G1875" i="4"/>
  <c r="F1875" i="4"/>
  <c r="J1874" i="4"/>
  <c r="I1874" i="4"/>
  <c r="H1874" i="4"/>
  <c r="G1874" i="4"/>
  <c r="F1874" i="4"/>
  <c r="M1875" i="4" l="1"/>
  <c r="M1874" i="4"/>
  <c r="J1876" i="4" l="1"/>
  <c r="P1877" i="4"/>
  <c r="F1877" i="4" s="1"/>
  <c r="J1877" i="4"/>
  <c r="I1877" i="4"/>
  <c r="H1877" i="4"/>
  <c r="G1877" i="4" l="1"/>
  <c r="M1877" i="4"/>
  <c r="J2873" i="4"/>
  <c r="G2873" i="4"/>
  <c r="F2873" i="4"/>
  <c r="J2872" i="4" l="1"/>
  <c r="P1879" i="4" l="1"/>
  <c r="P1878" i="4"/>
  <c r="P1876" i="4"/>
  <c r="J1283" i="4" l="1"/>
  <c r="M1283" i="4" s="1"/>
  <c r="S2873" i="4" l="1"/>
  <c r="S2872" i="4"/>
  <c r="I2872" i="4" s="1"/>
  <c r="G2872" i="4"/>
  <c r="F2872" i="4"/>
  <c r="I2873" i="4" l="1"/>
  <c r="H2873" i="4"/>
  <c r="H2872" i="4"/>
  <c r="M2872" i="4" s="1"/>
  <c r="S1872" i="4"/>
  <c r="M2873" i="4" l="1"/>
  <c r="S1871" i="4"/>
  <c r="S1870" i="4"/>
  <c r="I1872" i="4" l="1"/>
  <c r="J1872" i="4"/>
  <c r="G1872" i="4"/>
  <c r="F1872" i="4"/>
  <c r="H1872" i="4" l="1"/>
  <c r="M1872" i="4" s="1"/>
  <c r="I1873" i="4"/>
  <c r="J1873" i="4"/>
  <c r="G1873" i="4"/>
  <c r="F1873" i="4"/>
  <c r="I1871" i="4"/>
  <c r="J1871" i="4"/>
  <c r="G1871" i="4"/>
  <c r="F1871" i="4"/>
  <c r="I1870" i="4"/>
  <c r="J1870" i="4"/>
  <c r="G1870" i="4"/>
  <c r="F1870" i="4"/>
  <c r="S1869" i="4"/>
  <c r="I1869" i="4" s="1"/>
  <c r="J1869" i="4"/>
  <c r="G1869" i="4"/>
  <c r="F1869" i="4"/>
  <c r="S1868" i="4"/>
  <c r="I1868" i="4" s="1"/>
  <c r="J1868" i="4"/>
  <c r="G1868" i="4"/>
  <c r="F1868" i="4"/>
  <c r="S1867" i="4"/>
  <c r="I1867" i="4" s="1"/>
  <c r="J1867" i="4"/>
  <c r="G1867" i="4"/>
  <c r="F1867" i="4"/>
  <c r="H1873" i="4" l="1"/>
  <c r="M1873" i="4" s="1"/>
  <c r="H1871" i="4"/>
  <c r="M1871" i="4" s="1"/>
  <c r="H1870" i="4"/>
  <c r="M1870" i="4" s="1"/>
  <c r="H1867" i="4"/>
  <c r="M1867" i="4" s="1"/>
  <c r="H1868" i="4"/>
  <c r="M1868" i="4" s="1"/>
  <c r="H1869" i="4"/>
  <c r="M1869" i="4" s="1"/>
  <c r="J1881" i="4"/>
  <c r="I1881" i="4"/>
  <c r="H1881" i="4"/>
  <c r="G1881" i="4"/>
  <c r="F1881" i="4"/>
  <c r="J1880" i="4"/>
  <c r="I1880" i="4"/>
  <c r="H1880" i="4"/>
  <c r="G1880" i="4"/>
  <c r="F1880" i="4"/>
  <c r="J1879" i="4"/>
  <c r="I1879" i="4"/>
  <c r="H1879" i="4"/>
  <c r="G1879" i="4"/>
  <c r="F1879" i="4"/>
  <c r="J1878" i="4"/>
  <c r="I1878" i="4"/>
  <c r="H1878" i="4"/>
  <c r="G1878" i="4"/>
  <c r="F1878" i="4"/>
  <c r="I1876" i="4"/>
  <c r="H1876" i="4"/>
  <c r="G1876" i="4"/>
  <c r="F1876" i="4"/>
  <c r="S1866" i="4"/>
  <c r="H1866" i="4" s="1"/>
  <c r="J1866" i="4"/>
  <c r="G1866" i="4"/>
  <c r="F1866" i="4"/>
  <c r="N1865" i="4"/>
  <c r="M1865" i="4"/>
  <c r="M1876" i="4" l="1"/>
  <c r="I1866" i="4"/>
  <c r="M1866" i="4" s="1"/>
  <c r="M1879" i="4"/>
  <c r="M1880" i="4"/>
  <c r="M1878" i="4"/>
  <c r="M1881" i="4"/>
  <c r="S3879" i="4"/>
  <c r="S3878" i="4"/>
  <c r="S3877" i="4"/>
  <c r="S3876" i="4"/>
  <c r="S3875" i="4"/>
  <c r="S3874" i="4"/>
  <c r="S3873" i="4"/>
  <c r="S3872" i="4"/>
  <c r="S3871" i="4"/>
  <c r="S3870" i="4"/>
  <c r="S3869" i="4"/>
  <c r="S3868" i="4"/>
  <c r="S3867" i="4"/>
  <c r="S3866" i="4"/>
  <c r="S3865" i="4"/>
  <c r="S3864" i="4"/>
  <c r="S3863" i="4"/>
  <c r="S3862" i="4"/>
  <c r="S3861" i="4"/>
  <c r="S3860" i="4"/>
  <c r="S3859" i="4"/>
  <c r="S1864" i="4" l="1"/>
  <c r="I1864" i="4" s="1"/>
  <c r="J1864" i="4"/>
  <c r="G1864" i="4"/>
  <c r="F1864" i="4"/>
  <c r="N1863" i="4"/>
  <c r="M1863" i="4"/>
  <c r="H1864" i="4" l="1"/>
  <c r="M1864" i="4" s="1"/>
  <c r="S2784" i="4"/>
  <c r="I2784" i="4" s="1"/>
  <c r="S2783" i="4"/>
  <c r="I2783" i="4" s="1"/>
  <c r="S2782" i="4"/>
  <c r="I2782" i="4" s="1"/>
  <c r="S2781" i="4"/>
  <c r="H2781" i="4" s="1"/>
  <c r="S2780" i="4"/>
  <c r="I2780" i="4" s="1"/>
  <c r="S2779" i="4"/>
  <c r="I2779" i="4" s="1"/>
  <c r="S2778" i="4"/>
  <c r="I2778" i="4" s="1"/>
  <c r="S2777" i="4"/>
  <c r="H2777" i="4" s="1"/>
  <c r="J2784" i="4"/>
  <c r="G2784" i="4"/>
  <c r="F2784" i="4"/>
  <c r="J2783" i="4"/>
  <c r="G2783" i="4"/>
  <c r="F2783" i="4"/>
  <c r="J2782" i="4"/>
  <c r="G2782" i="4"/>
  <c r="F2782" i="4"/>
  <c r="J2781" i="4"/>
  <c r="G2781" i="4"/>
  <c r="F2781" i="4"/>
  <c r="J2780" i="4"/>
  <c r="G2780" i="4"/>
  <c r="F2780" i="4"/>
  <c r="J2779" i="4"/>
  <c r="G2779" i="4"/>
  <c r="F2779" i="4"/>
  <c r="J2778" i="4"/>
  <c r="G2778" i="4"/>
  <c r="F2778" i="4"/>
  <c r="J2777" i="4"/>
  <c r="G2777" i="4"/>
  <c r="F2777" i="4"/>
  <c r="M2776" i="4"/>
  <c r="M2871" i="4"/>
  <c r="H2782" i="4" l="1"/>
  <c r="M2782" i="4" s="1"/>
  <c r="H2784" i="4"/>
  <c r="M2784" i="4" s="1"/>
  <c r="H2783" i="4"/>
  <c r="M2783" i="4" s="1"/>
  <c r="I2781" i="4"/>
  <c r="M2781" i="4" s="1"/>
  <c r="H2780" i="4"/>
  <c r="M2780" i="4" s="1"/>
  <c r="H2779" i="4"/>
  <c r="M2779" i="4" s="1"/>
  <c r="H2778" i="4"/>
  <c r="M2778" i="4" s="1"/>
  <c r="I2777" i="4"/>
  <c r="M2777" i="4" s="1"/>
  <c r="H1284" i="4"/>
  <c r="I1284" i="4"/>
  <c r="J1857" i="4" l="1"/>
  <c r="S1854" i="4" l="1"/>
  <c r="S1853" i="4"/>
  <c r="J1859" i="4" l="1"/>
  <c r="I1859" i="4"/>
  <c r="H1859" i="4"/>
  <c r="G1859" i="4"/>
  <c r="F1859" i="4"/>
  <c r="M1859" i="4" l="1"/>
  <c r="I1849" i="4"/>
  <c r="J1849" i="4"/>
  <c r="G1849" i="4"/>
  <c r="F1849" i="4"/>
  <c r="H1849" i="4" l="1"/>
  <c r="M1849" i="4" s="1"/>
  <c r="J1860" i="4"/>
  <c r="I1860" i="4"/>
  <c r="H1860" i="4"/>
  <c r="G1860" i="4"/>
  <c r="F1860" i="4"/>
  <c r="M1860" i="4" l="1"/>
  <c r="I1854" i="4"/>
  <c r="J1854" i="4"/>
  <c r="G1854" i="4"/>
  <c r="F1854" i="4"/>
  <c r="I1853" i="4"/>
  <c r="J1853" i="4"/>
  <c r="G1853" i="4"/>
  <c r="F1853" i="4"/>
  <c r="S1852" i="4"/>
  <c r="I1852" i="4" s="1"/>
  <c r="J1852" i="4"/>
  <c r="G1852" i="4"/>
  <c r="F1852" i="4"/>
  <c r="S1851" i="4"/>
  <c r="I1851" i="4" s="1"/>
  <c r="J1851" i="4"/>
  <c r="G1851" i="4"/>
  <c r="F1851" i="4"/>
  <c r="S1850" i="4"/>
  <c r="H1850" i="4" s="1"/>
  <c r="J1850" i="4"/>
  <c r="G1850" i="4"/>
  <c r="F1850" i="4"/>
  <c r="S1848" i="4"/>
  <c r="I1848" i="4" s="1"/>
  <c r="J1848" i="4"/>
  <c r="G1848" i="4"/>
  <c r="F1848" i="4"/>
  <c r="S1847" i="4"/>
  <c r="H1847" i="4" s="1"/>
  <c r="J1847" i="4"/>
  <c r="G1847" i="4"/>
  <c r="F1847" i="4"/>
  <c r="S1846" i="4"/>
  <c r="H1846" i="4" s="1"/>
  <c r="J1846" i="4"/>
  <c r="G1846" i="4"/>
  <c r="F1846" i="4"/>
  <c r="I1857" i="4"/>
  <c r="H1857" i="4"/>
  <c r="G1857" i="4"/>
  <c r="F1857" i="4"/>
  <c r="J1856" i="4"/>
  <c r="I1856" i="4"/>
  <c r="H1856" i="4"/>
  <c r="G1856" i="4"/>
  <c r="F1856" i="4"/>
  <c r="I1855" i="4"/>
  <c r="H1855" i="4"/>
  <c r="G1855" i="4"/>
  <c r="F1855" i="4"/>
  <c r="S1845" i="4"/>
  <c r="I1845" i="4" s="1"/>
  <c r="J1845" i="4"/>
  <c r="G1845" i="4"/>
  <c r="F1845" i="4"/>
  <c r="S1844" i="4"/>
  <c r="I1844" i="4" s="1"/>
  <c r="J1844" i="4"/>
  <c r="G1844" i="4"/>
  <c r="F1844" i="4"/>
  <c r="N1843" i="4"/>
  <c r="M1843" i="4"/>
  <c r="I1847" i="4" l="1"/>
  <c r="M1847" i="4" s="1"/>
  <c r="H1854" i="4"/>
  <c r="M1854" i="4" s="1"/>
  <c r="I1850" i="4"/>
  <c r="M1850" i="4" s="1"/>
  <c r="H1848" i="4"/>
  <c r="M1848" i="4" s="1"/>
  <c r="H1853" i="4"/>
  <c r="M1853" i="4" s="1"/>
  <c r="I1846" i="4"/>
  <c r="M1846" i="4" s="1"/>
  <c r="M1857" i="4"/>
  <c r="H1851" i="4"/>
  <c r="M1851" i="4" s="1"/>
  <c r="H1852" i="4"/>
  <c r="M1852" i="4" s="1"/>
  <c r="M1856" i="4"/>
  <c r="M1855" i="4"/>
  <c r="H1845" i="4"/>
  <c r="M1845" i="4" s="1"/>
  <c r="H1844" i="4"/>
  <c r="M1844" i="4" s="1"/>
  <c r="S4027" i="4" l="1"/>
  <c r="I4027" i="4" s="1"/>
  <c r="J4027" i="4"/>
  <c r="G4027" i="4"/>
  <c r="F4027" i="4"/>
  <c r="S4018" i="4"/>
  <c r="H4018" i="4" s="1"/>
  <c r="J4018" i="4"/>
  <c r="G4018" i="4"/>
  <c r="F4018" i="4"/>
  <c r="S4008" i="4"/>
  <c r="H4008" i="4" s="1"/>
  <c r="J4008" i="4"/>
  <c r="G4008" i="4"/>
  <c r="F4008" i="4"/>
  <c r="S4017" i="4"/>
  <c r="I4017" i="4" s="1"/>
  <c r="J4017" i="4"/>
  <c r="G4017" i="4"/>
  <c r="F4017" i="4"/>
  <c r="S4016" i="4"/>
  <c r="I4016" i="4" s="1"/>
  <c r="J4016" i="4"/>
  <c r="G4016" i="4"/>
  <c r="F4016" i="4"/>
  <c r="I4018" i="4" l="1"/>
  <c r="M4018" i="4" s="1"/>
  <c r="I4008" i="4"/>
  <c r="M4008" i="4" s="1"/>
  <c r="H4027" i="4"/>
  <c r="M4027" i="4" s="1"/>
  <c r="H4016" i="4"/>
  <c r="M4016" i="4" s="1"/>
  <c r="H4017" i="4"/>
  <c r="M4017" i="4" s="1"/>
  <c r="S4026" i="4"/>
  <c r="I4026" i="4" s="1"/>
  <c r="J4026" i="4"/>
  <c r="G4026" i="4"/>
  <c r="F4026" i="4"/>
  <c r="S4025" i="4"/>
  <c r="I4025" i="4" s="1"/>
  <c r="J4025" i="4"/>
  <c r="G4025" i="4"/>
  <c r="F4025" i="4"/>
  <c r="S4024" i="4"/>
  <c r="I4024" i="4" s="1"/>
  <c r="J4024" i="4"/>
  <c r="G4024" i="4"/>
  <c r="F4024" i="4"/>
  <c r="S4023" i="4"/>
  <c r="I4023" i="4" s="1"/>
  <c r="J4023" i="4"/>
  <c r="G4023" i="4"/>
  <c r="F4023" i="4"/>
  <c r="S4022" i="4"/>
  <c r="I4022" i="4" s="1"/>
  <c r="J4022" i="4"/>
  <c r="G4022" i="4"/>
  <c r="F4022" i="4"/>
  <c r="S4021" i="4"/>
  <c r="I4021" i="4" s="1"/>
  <c r="J4021" i="4"/>
  <c r="G4021" i="4"/>
  <c r="F4021" i="4"/>
  <c r="S4020" i="4"/>
  <c r="I4020" i="4" s="1"/>
  <c r="J4020" i="4"/>
  <c r="G4020" i="4"/>
  <c r="F4020" i="4"/>
  <c r="S4015" i="4"/>
  <c r="I4015" i="4" s="1"/>
  <c r="J4015" i="4"/>
  <c r="G4015" i="4"/>
  <c r="F4015" i="4"/>
  <c r="S4014" i="4"/>
  <c r="I4014" i="4" s="1"/>
  <c r="J4014" i="4"/>
  <c r="G4014" i="4"/>
  <c r="F4014" i="4"/>
  <c r="S4013" i="4"/>
  <c r="H4013" i="4" s="1"/>
  <c r="J4013" i="4"/>
  <c r="G4013" i="4"/>
  <c r="F4013" i="4"/>
  <c r="S4012" i="4"/>
  <c r="H4012" i="4" s="1"/>
  <c r="J4012" i="4"/>
  <c r="G4012" i="4"/>
  <c r="F4012" i="4"/>
  <c r="S4011" i="4"/>
  <c r="I4011" i="4" s="1"/>
  <c r="J4011" i="4"/>
  <c r="G4011" i="4"/>
  <c r="F4011" i="4"/>
  <c r="S4010" i="4"/>
  <c r="I4010" i="4" s="1"/>
  <c r="J4010" i="4"/>
  <c r="G4010" i="4"/>
  <c r="F4010" i="4"/>
  <c r="I4012" i="4" l="1"/>
  <c r="M4012" i="4" s="1"/>
  <c r="I4013" i="4"/>
  <c r="M4013" i="4" s="1"/>
  <c r="H4010" i="4"/>
  <c r="M4010" i="4" s="1"/>
  <c r="H4011" i="4"/>
  <c r="M4011" i="4" s="1"/>
  <c r="H4015" i="4"/>
  <c r="M4015" i="4" s="1"/>
  <c r="H4014" i="4"/>
  <c r="M4014" i="4" s="1"/>
  <c r="H4020" i="4"/>
  <c r="M4020" i="4" s="1"/>
  <c r="H4021" i="4"/>
  <c r="M4021" i="4" s="1"/>
  <c r="H4022" i="4"/>
  <c r="M4022" i="4" s="1"/>
  <c r="H4023" i="4"/>
  <c r="M4023" i="4" s="1"/>
  <c r="H4024" i="4"/>
  <c r="M4024" i="4" s="1"/>
  <c r="H4025" i="4"/>
  <c r="M4025" i="4" s="1"/>
  <c r="H4026" i="4"/>
  <c r="M4026" i="4" s="1"/>
  <c r="S4019" i="4"/>
  <c r="I4019" i="4" s="1"/>
  <c r="S4009" i="4"/>
  <c r="I4009" i="4" s="1"/>
  <c r="S4007" i="4"/>
  <c r="I4007" i="4" s="1"/>
  <c r="S4006" i="4"/>
  <c r="I4006" i="4" s="1"/>
  <c r="S4005" i="4"/>
  <c r="I4005" i="4" s="1"/>
  <c r="S4004" i="4"/>
  <c r="H4004" i="4" s="1"/>
  <c r="S4003" i="4"/>
  <c r="I4003" i="4" s="1"/>
  <c r="S4002" i="4"/>
  <c r="H4002" i="4" s="1"/>
  <c r="S4001" i="4"/>
  <c r="I4001" i="4" s="1"/>
  <c r="S4000" i="4"/>
  <c r="I4000" i="4" s="1"/>
  <c r="J4019" i="4"/>
  <c r="G4019" i="4"/>
  <c r="F4019" i="4"/>
  <c r="J4009" i="4"/>
  <c r="G4009" i="4"/>
  <c r="F4009" i="4"/>
  <c r="J4007" i="4"/>
  <c r="G4007" i="4"/>
  <c r="F4007" i="4"/>
  <c r="J4006" i="4"/>
  <c r="G4006" i="4"/>
  <c r="F4006" i="4"/>
  <c r="J4005" i="4"/>
  <c r="G4005" i="4"/>
  <c r="F4005" i="4"/>
  <c r="J4004" i="4"/>
  <c r="G4004" i="4"/>
  <c r="F4004" i="4"/>
  <c r="J4003" i="4"/>
  <c r="G4003" i="4"/>
  <c r="F4003" i="4"/>
  <c r="J4002" i="4"/>
  <c r="G4002" i="4"/>
  <c r="F4002" i="4"/>
  <c r="J4001" i="4"/>
  <c r="G4001" i="4"/>
  <c r="F4001" i="4"/>
  <c r="J4000" i="4"/>
  <c r="G4000" i="4"/>
  <c r="F4000" i="4"/>
  <c r="S3999" i="4"/>
  <c r="I3999" i="4" s="1"/>
  <c r="J3999" i="4"/>
  <c r="G3999" i="4"/>
  <c r="F3999" i="4"/>
  <c r="M3998" i="4"/>
  <c r="I4002" i="4" l="1"/>
  <c r="M4002" i="4" s="1"/>
  <c r="H4000" i="4"/>
  <c r="M4000" i="4" s="1"/>
  <c r="H4019" i="4"/>
  <c r="M4019" i="4" s="1"/>
  <c r="H4003" i="4"/>
  <c r="M4003" i="4" s="1"/>
  <c r="H4001" i="4"/>
  <c r="M4001" i="4" s="1"/>
  <c r="I4004" i="4"/>
  <c r="M4004" i="4" s="1"/>
  <c r="H4009" i="4"/>
  <c r="M4009" i="4" s="1"/>
  <c r="H4007" i="4"/>
  <c r="M4007" i="4" s="1"/>
  <c r="H3999" i="4"/>
  <c r="M3999" i="4" s="1"/>
  <c r="H4006" i="4"/>
  <c r="M4006" i="4" s="1"/>
  <c r="H4005" i="4"/>
  <c r="M4005" i="4" s="1"/>
  <c r="S356" i="4" l="1"/>
  <c r="T356" i="4" s="1"/>
  <c r="J356" i="4"/>
  <c r="G356" i="4"/>
  <c r="F356" i="4"/>
  <c r="S355" i="4"/>
  <c r="I355" i="4" s="1"/>
  <c r="J355" i="4"/>
  <c r="G355" i="4"/>
  <c r="F355" i="4"/>
  <c r="S354" i="4"/>
  <c r="H354" i="4" s="1"/>
  <c r="J354" i="4"/>
  <c r="G354" i="4"/>
  <c r="F354" i="4"/>
  <c r="S353" i="4"/>
  <c r="H353" i="4" s="1"/>
  <c r="J353" i="4"/>
  <c r="G353" i="4"/>
  <c r="F353" i="4"/>
  <c r="S352" i="4"/>
  <c r="I352" i="4" s="1"/>
  <c r="J352" i="4"/>
  <c r="G352" i="4"/>
  <c r="F352" i="4"/>
  <c r="S351" i="4"/>
  <c r="I351" i="4" s="1"/>
  <c r="J351" i="4"/>
  <c r="G351" i="4"/>
  <c r="F351" i="4"/>
  <c r="S350" i="4"/>
  <c r="I350" i="4" s="1"/>
  <c r="J350" i="4"/>
  <c r="G350" i="4"/>
  <c r="F350" i="4"/>
  <c r="S349" i="4"/>
  <c r="I349" i="4" s="1"/>
  <c r="J349" i="4"/>
  <c r="G349" i="4"/>
  <c r="F349" i="4"/>
  <c r="S348" i="4"/>
  <c r="I348" i="4" s="1"/>
  <c r="J348" i="4"/>
  <c r="G348" i="4"/>
  <c r="F348" i="4"/>
  <c r="S347" i="4"/>
  <c r="H347" i="4" s="1"/>
  <c r="J347" i="4"/>
  <c r="G347" i="4"/>
  <c r="F347" i="4"/>
  <c r="J346" i="4"/>
  <c r="I346" i="4"/>
  <c r="H346" i="4"/>
  <c r="G346" i="4"/>
  <c r="F346" i="4"/>
  <c r="J345" i="4"/>
  <c r="I345" i="4"/>
  <c r="H345" i="4"/>
  <c r="G345" i="4"/>
  <c r="F345" i="4"/>
  <c r="M344" i="4"/>
  <c r="N344" i="4"/>
  <c r="T343" i="4"/>
  <c r="J343" i="4"/>
  <c r="I343" i="4"/>
  <c r="H343" i="4"/>
  <c r="G343" i="4"/>
  <c r="F343" i="4"/>
  <c r="T342" i="4"/>
  <c r="J342" i="4"/>
  <c r="I342" i="4"/>
  <c r="H342" i="4"/>
  <c r="G342" i="4"/>
  <c r="F342" i="4"/>
  <c r="T341" i="4"/>
  <c r="I341" i="4" s="1"/>
  <c r="J341" i="4"/>
  <c r="H341" i="4"/>
  <c r="G341" i="4"/>
  <c r="F341" i="4"/>
  <c r="T340" i="4"/>
  <c r="I340" i="4" s="1"/>
  <c r="J340" i="4"/>
  <c r="H340" i="4"/>
  <c r="G340" i="4"/>
  <c r="F340" i="4"/>
  <c r="J339" i="4"/>
  <c r="I339" i="4"/>
  <c r="H339" i="4"/>
  <c r="G339" i="4"/>
  <c r="F339" i="4"/>
  <c r="J338" i="4"/>
  <c r="I338" i="4"/>
  <c r="H338" i="4"/>
  <c r="G338" i="4"/>
  <c r="F338" i="4"/>
  <c r="J337" i="4"/>
  <c r="I337" i="4"/>
  <c r="H337" i="4"/>
  <c r="G337" i="4"/>
  <c r="F337" i="4"/>
  <c r="J336" i="4"/>
  <c r="I336" i="4"/>
  <c r="H336" i="4"/>
  <c r="G336" i="4"/>
  <c r="F336" i="4"/>
  <c r="J335" i="4"/>
  <c r="I335" i="4"/>
  <c r="H335" i="4"/>
  <c r="G335" i="4"/>
  <c r="F335" i="4"/>
  <c r="J334" i="4"/>
  <c r="I334" i="4"/>
  <c r="H334" i="4"/>
  <c r="G334" i="4"/>
  <c r="F334" i="4"/>
  <c r="J333" i="4"/>
  <c r="I333" i="4"/>
  <c r="H333" i="4"/>
  <c r="G333" i="4"/>
  <c r="F333" i="4"/>
  <c r="J332" i="4"/>
  <c r="I332" i="4"/>
  <c r="H332" i="4"/>
  <c r="G332" i="4"/>
  <c r="F332" i="4"/>
  <c r="M331" i="4"/>
  <c r="N331" i="4"/>
  <c r="S330" i="4"/>
  <c r="I330" i="4" s="1"/>
  <c r="J330" i="4"/>
  <c r="G330" i="4"/>
  <c r="F330" i="4"/>
  <c r="S329" i="4"/>
  <c r="H329" i="4" s="1"/>
  <c r="J329" i="4"/>
  <c r="G329" i="4"/>
  <c r="F329" i="4"/>
  <c r="S328" i="4"/>
  <c r="H328" i="4" s="1"/>
  <c r="J328" i="4"/>
  <c r="G328" i="4"/>
  <c r="F328" i="4"/>
  <c r="S327" i="4"/>
  <c r="H327" i="4" s="1"/>
  <c r="J327" i="4"/>
  <c r="G327" i="4"/>
  <c r="F327" i="4"/>
  <c r="S326" i="4"/>
  <c r="I326" i="4" s="1"/>
  <c r="J326" i="4"/>
  <c r="G326" i="4"/>
  <c r="F326" i="4"/>
  <c r="S325" i="4"/>
  <c r="H325" i="4" s="1"/>
  <c r="J325" i="4"/>
  <c r="G325" i="4"/>
  <c r="F325" i="4"/>
  <c r="S324" i="4"/>
  <c r="I324" i="4" s="1"/>
  <c r="J324" i="4"/>
  <c r="G324" i="4"/>
  <c r="F324" i="4"/>
  <c r="S323" i="4"/>
  <c r="I323" i="4" s="1"/>
  <c r="J323" i="4"/>
  <c r="G323" i="4"/>
  <c r="F323" i="4"/>
  <c r="S322" i="4"/>
  <c r="I322" i="4" s="1"/>
  <c r="J322" i="4"/>
  <c r="G322" i="4"/>
  <c r="F322" i="4"/>
  <c r="S321" i="4"/>
  <c r="I321" i="4" s="1"/>
  <c r="J321" i="4"/>
  <c r="G321" i="4"/>
  <c r="F321" i="4"/>
  <c r="J320" i="4"/>
  <c r="I320" i="4"/>
  <c r="H320" i="4"/>
  <c r="G320" i="4"/>
  <c r="F320" i="4"/>
  <c r="J319" i="4"/>
  <c r="I319" i="4"/>
  <c r="H319" i="4"/>
  <c r="G319" i="4"/>
  <c r="F319" i="4"/>
  <c r="M318" i="4"/>
  <c r="N318" i="4"/>
  <c r="T317" i="4"/>
  <c r="J317" i="4"/>
  <c r="I317" i="4"/>
  <c r="H317" i="4"/>
  <c r="G317" i="4"/>
  <c r="F317" i="4"/>
  <c r="T316" i="4"/>
  <c r="J316" i="4"/>
  <c r="I316" i="4"/>
  <c r="H316" i="4"/>
  <c r="G316" i="4"/>
  <c r="F316" i="4"/>
  <c r="T315" i="4"/>
  <c r="I315" i="4" s="1"/>
  <c r="J315" i="4"/>
  <c r="H315" i="4"/>
  <c r="G315" i="4"/>
  <c r="F315" i="4"/>
  <c r="T314" i="4"/>
  <c r="I314" i="4" s="1"/>
  <c r="J314" i="4"/>
  <c r="H314" i="4"/>
  <c r="G314" i="4"/>
  <c r="F314" i="4"/>
  <c r="J313" i="4"/>
  <c r="I313" i="4"/>
  <c r="H313" i="4"/>
  <c r="G313" i="4"/>
  <c r="F313" i="4"/>
  <c r="J312" i="4"/>
  <c r="I312" i="4"/>
  <c r="H312" i="4"/>
  <c r="G312" i="4"/>
  <c r="F312" i="4"/>
  <c r="J311" i="4"/>
  <c r="I311" i="4"/>
  <c r="H311" i="4"/>
  <c r="G311" i="4"/>
  <c r="F311" i="4"/>
  <c r="J310" i="4"/>
  <c r="I310" i="4"/>
  <c r="H310" i="4"/>
  <c r="G310" i="4"/>
  <c r="F310" i="4"/>
  <c r="J309" i="4"/>
  <c r="I309" i="4"/>
  <c r="H309" i="4"/>
  <c r="G309" i="4"/>
  <c r="F309" i="4"/>
  <c r="J308" i="4"/>
  <c r="I308" i="4"/>
  <c r="H308" i="4"/>
  <c r="G308" i="4"/>
  <c r="F308" i="4"/>
  <c r="J307" i="4"/>
  <c r="I307" i="4"/>
  <c r="H307" i="4"/>
  <c r="G307" i="4"/>
  <c r="F307" i="4"/>
  <c r="J306" i="4"/>
  <c r="I306" i="4"/>
  <c r="H306" i="4"/>
  <c r="G306" i="4"/>
  <c r="F306" i="4"/>
  <c r="M305" i="4"/>
  <c r="N305" i="4"/>
  <c r="M304" i="4"/>
  <c r="T353" i="4" l="1"/>
  <c r="I353" i="4" s="1"/>
  <c r="M353" i="4" s="1"/>
  <c r="H352" i="4"/>
  <c r="M352" i="4" s="1"/>
  <c r="M316" i="4"/>
  <c r="I329" i="4"/>
  <c r="M329" i="4" s="1"/>
  <c r="M342" i="4"/>
  <c r="M333" i="4"/>
  <c r="M346" i="4"/>
  <c r="H355" i="4"/>
  <c r="M355" i="4" s="1"/>
  <c r="H356" i="4"/>
  <c r="M307" i="4"/>
  <c r="M309" i="4"/>
  <c r="M310" i="4"/>
  <c r="M311" i="4"/>
  <c r="M314" i="4"/>
  <c r="I356" i="4"/>
  <c r="M315" i="4"/>
  <c r="H323" i="4"/>
  <c r="M323" i="4" s="1"/>
  <c r="M343" i="4"/>
  <c r="I347" i="4"/>
  <c r="M347" i="4" s="1"/>
  <c r="H348" i="4"/>
  <c r="M348" i="4" s="1"/>
  <c r="H321" i="4"/>
  <c r="M321" i="4" s="1"/>
  <c r="H324" i="4"/>
  <c r="M324" i="4" s="1"/>
  <c r="I325" i="4"/>
  <c r="M345" i="4"/>
  <c r="M319" i="4"/>
  <c r="M332" i="4"/>
  <c r="H350" i="4"/>
  <c r="M350" i="4" s="1"/>
  <c r="H351" i="4"/>
  <c r="T354" i="4"/>
  <c r="I354" i="4" s="1"/>
  <c r="M354" i="4" s="1"/>
  <c r="M317" i="4"/>
  <c r="H326" i="4"/>
  <c r="M326" i="4" s="1"/>
  <c r="M334" i="4"/>
  <c r="M335" i="4"/>
  <c r="M339" i="4"/>
  <c r="M340" i="4"/>
  <c r="T355" i="4"/>
  <c r="M341" i="4"/>
  <c r="M337" i="4"/>
  <c r="M336" i="4"/>
  <c r="M320" i="4"/>
  <c r="M313" i="4"/>
  <c r="M308" i="4"/>
  <c r="M306" i="4"/>
  <c r="T328" i="4"/>
  <c r="I328" i="4" s="1"/>
  <c r="M328" i="4" s="1"/>
  <c r="T330" i="4"/>
  <c r="H322" i="4"/>
  <c r="M322" i="4" s="1"/>
  <c r="H330" i="4"/>
  <c r="M330" i="4" s="1"/>
  <c r="H349" i="4"/>
  <c r="M349" i="4" s="1"/>
  <c r="T327" i="4"/>
  <c r="I327" i="4" s="1"/>
  <c r="M327" i="4" s="1"/>
  <c r="T329" i="4"/>
  <c r="M356" i="4" l="1"/>
  <c r="I1842" i="4"/>
  <c r="H1842" i="4"/>
  <c r="G1842" i="4"/>
  <c r="F1842" i="4"/>
  <c r="I1841" i="4"/>
  <c r="H1841" i="4"/>
  <c r="G1841" i="4"/>
  <c r="F1841" i="4"/>
  <c r="N1840" i="4"/>
  <c r="M1840" i="4"/>
  <c r="M1842" i="4" l="1"/>
  <c r="M1841" i="4"/>
  <c r="F3095" i="4"/>
  <c r="G3095" i="4"/>
  <c r="H3095" i="4"/>
  <c r="I3095" i="4"/>
  <c r="J3095" i="4"/>
  <c r="S3001" i="4" l="1"/>
  <c r="I3001" i="4" s="1"/>
  <c r="J3001" i="4"/>
  <c r="G3001" i="4"/>
  <c r="F3001" i="4"/>
  <c r="S3000" i="4"/>
  <c r="H3000" i="4" s="1"/>
  <c r="J3000" i="4"/>
  <c r="G3000" i="4"/>
  <c r="F3000" i="4"/>
  <c r="I3000" i="4" l="1"/>
  <c r="M3000" i="4" s="1"/>
  <c r="H3001" i="4"/>
  <c r="M3001" i="4" s="1"/>
  <c r="H3034" i="4" l="1"/>
  <c r="J3034" i="4"/>
  <c r="G3034" i="4"/>
  <c r="F3034" i="4"/>
  <c r="S3048" i="4"/>
  <c r="H3048" i="4" s="1"/>
  <c r="J3048" i="4"/>
  <c r="G3048" i="4"/>
  <c r="F3048" i="4"/>
  <c r="S3047" i="4"/>
  <c r="H3047" i="4" s="1"/>
  <c r="J3047" i="4"/>
  <c r="G3047" i="4"/>
  <c r="F3047" i="4"/>
  <c r="S3046" i="4"/>
  <c r="I3046" i="4" s="1"/>
  <c r="J3046" i="4"/>
  <c r="G3046" i="4"/>
  <c r="F3046" i="4"/>
  <c r="S3063" i="4"/>
  <c r="H3063" i="4" s="1"/>
  <c r="J3063" i="4"/>
  <c r="G3063" i="4"/>
  <c r="F3063" i="4"/>
  <c r="S3062" i="4"/>
  <c r="I3062" i="4" s="1"/>
  <c r="J3062" i="4"/>
  <c r="G3062" i="4"/>
  <c r="F3062" i="4"/>
  <c r="J3081" i="4"/>
  <c r="I3081" i="4"/>
  <c r="H3081" i="4"/>
  <c r="G3081" i="4"/>
  <c r="F3081" i="4"/>
  <c r="I3047" i="4" l="1"/>
  <c r="M3047" i="4" s="1"/>
  <c r="I3048" i="4"/>
  <c r="M3048" i="4" s="1"/>
  <c r="M3034" i="4"/>
  <c r="H3046" i="4"/>
  <c r="M3046" i="4" s="1"/>
  <c r="I3063" i="4"/>
  <c r="M3063" i="4" s="1"/>
  <c r="H3062" i="4"/>
  <c r="M3062" i="4" s="1"/>
  <c r="M3081" i="4"/>
  <c r="J3096" i="4" l="1"/>
  <c r="I3096" i="4"/>
  <c r="H3096" i="4"/>
  <c r="G3096" i="4"/>
  <c r="F3096" i="4"/>
  <c r="J3093" i="4" l="1"/>
  <c r="I3093" i="4"/>
  <c r="H3093" i="4"/>
  <c r="G3093" i="4"/>
  <c r="F3093" i="4"/>
  <c r="M3093" i="4" l="1"/>
  <c r="J3090" i="4"/>
  <c r="I3090" i="4"/>
  <c r="H3090" i="4"/>
  <c r="G3090" i="4"/>
  <c r="F3090" i="4"/>
  <c r="J3087" i="4"/>
  <c r="I3087" i="4"/>
  <c r="H3087" i="4"/>
  <c r="G3087" i="4"/>
  <c r="F3087" i="4"/>
  <c r="M3090" i="4" l="1"/>
  <c r="M3087" i="4"/>
  <c r="J3094" i="4"/>
  <c r="I3094" i="4"/>
  <c r="H3094" i="4"/>
  <c r="G3094" i="4"/>
  <c r="F3094" i="4"/>
  <c r="J3092" i="4"/>
  <c r="I3092" i="4"/>
  <c r="H3092" i="4"/>
  <c r="G3092" i="4"/>
  <c r="F3092" i="4"/>
  <c r="J3091" i="4"/>
  <c r="I3091" i="4"/>
  <c r="H3091" i="4"/>
  <c r="G3091" i="4"/>
  <c r="F3091" i="4"/>
  <c r="J3089" i="4"/>
  <c r="I3089" i="4"/>
  <c r="H3089" i="4"/>
  <c r="G3089" i="4"/>
  <c r="F3089" i="4"/>
  <c r="J3088" i="4"/>
  <c r="I3088" i="4"/>
  <c r="H3088" i="4"/>
  <c r="G3088" i="4"/>
  <c r="F3088" i="4"/>
  <c r="J3086" i="4"/>
  <c r="I3086" i="4"/>
  <c r="H3086" i="4"/>
  <c r="G3086" i="4"/>
  <c r="F3086" i="4"/>
  <c r="J3085" i="4"/>
  <c r="I3085" i="4"/>
  <c r="H3085" i="4"/>
  <c r="G3085" i="4"/>
  <c r="F3085" i="4"/>
  <c r="M3084" i="4"/>
  <c r="M3085" i="4" l="1"/>
  <c r="M3094" i="4"/>
  <c r="M3092" i="4"/>
  <c r="M3091" i="4"/>
  <c r="M3088" i="4"/>
  <c r="M3086" i="4"/>
  <c r="M3089" i="4"/>
  <c r="S1832" i="4"/>
  <c r="I1832" i="4" s="1"/>
  <c r="J1832" i="4"/>
  <c r="G1832" i="4"/>
  <c r="F1832" i="4"/>
  <c r="S1831" i="4"/>
  <c r="I1831" i="4" s="1"/>
  <c r="J1831" i="4"/>
  <c r="G1831" i="4"/>
  <c r="F1831" i="4"/>
  <c r="S1830" i="4"/>
  <c r="H1830" i="4" s="1"/>
  <c r="J1830" i="4"/>
  <c r="G1830" i="4"/>
  <c r="F1830" i="4"/>
  <c r="S1829" i="4"/>
  <c r="I1829" i="4" s="1"/>
  <c r="J1829" i="4"/>
  <c r="G1829" i="4"/>
  <c r="F1829" i="4"/>
  <c r="S1828" i="4"/>
  <c r="H1828" i="4" s="1"/>
  <c r="J1828" i="4"/>
  <c r="G1828" i="4"/>
  <c r="F1828" i="4"/>
  <c r="S1827" i="4"/>
  <c r="I1827" i="4" s="1"/>
  <c r="J1827" i="4"/>
  <c r="G1827" i="4"/>
  <c r="F1827" i="4"/>
  <c r="S1826" i="4"/>
  <c r="I1826" i="4" s="1"/>
  <c r="J1826" i="4"/>
  <c r="G1826" i="4"/>
  <c r="F1826" i="4"/>
  <c r="S1825" i="4"/>
  <c r="I1825" i="4" s="1"/>
  <c r="J1825" i="4"/>
  <c r="G1825" i="4"/>
  <c r="F1825" i="4"/>
  <c r="S1824" i="4"/>
  <c r="I1824" i="4" s="1"/>
  <c r="J1824" i="4"/>
  <c r="G1824" i="4"/>
  <c r="F1824" i="4"/>
  <c r="S1823" i="4"/>
  <c r="I1823" i="4" s="1"/>
  <c r="J1823" i="4"/>
  <c r="G1823" i="4"/>
  <c r="F1823" i="4"/>
  <c r="S1822" i="4"/>
  <c r="I1822" i="4" s="1"/>
  <c r="J1822" i="4"/>
  <c r="G1822" i="4"/>
  <c r="F1822" i="4"/>
  <c r="S1821" i="4"/>
  <c r="H1821" i="4" s="1"/>
  <c r="J1821" i="4"/>
  <c r="G1821" i="4"/>
  <c r="F1821" i="4"/>
  <c r="S1820" i="4"/>
  <c r="I1820" i="4" s="1"/>
  <c r="J1820" i="4"/>
  <c r="G1820" i="4"/>
  <c r="F1820" i="4"/>
  <c r="S1819" i="4"/>
  <c r="H1819" i="4" s="1"/>
  <c r="J1819" i="4"/>
  <c r="G1819" i="4"/>
  <c r="F1819" i="4"/>
  <c r="S1818" i="4"/>
  <c r="H1818" i="4" s="1"/>
  <c r="J1818" i="4"/>
  <c r="G1818" i="4"/>
  <c r="F1818" i="4"/>
  <c r="S1817" i="4"/>
  <c r="I1817" i="4" s="1"/>
  <c r="J1817" i="4"/>
  <c r="G1817" i="4"/>
  <c r="F1817" i="4"/>
  <c r="S1816" i="4"/>
  <c r="H1816" i="4" s="1"/>
  <c r="J1816" i="4"/>
  <c r="G1816" i="4"/>
  <c r="F1816" i="4"/>
  <c r="S1815" i="4"/>
  <c r="H1815" i="4" s="1"/>
  <c r="J1815" i="4"/>
  <c r="G1815" i="4"/>
  <c r="F1815" i="4"/>
  <c r="J1814" i="4"/>
  <c r="I1814" i="4"/>
  <c r="H1814" i="4"/>
  <c r="G1814" i="4"/>
  <c r="F1814" i="4"/>
  <c r="J1813" i="4"/>
  <c r="I1813" i="4"/>
  <c r="H1813" i="4"/>
  <c r="G1813" i="4"/>
  <c r="F1813" i="4"/>
  <c r="S1812" i="4"/>
  <c r="H1812" i="4" s="1"/>
  <c r="J1812" i="4"/>
  <c r="G1812" i="4"/>
  <c r="F1812" i="4"/>
  <c r="S1811" i="4"/>
  <c r="H1811" i="4" s="1"/>
  <c r="J1811" i="4"/>
  <c r="G1811" i="4"/>
  <c r="F1811" i="4"/>
  <c r="S1810" i="4"/>
  <c r="H1810" i="4" s="1"/>
  <c r="J1810" i="4"/>
  <c r="G1810" i="4"/>
  <c r="F1810" i="4"/>
  <c r="S1809" i="4"/>
  <c r="I1809" i="4" s="1"/>
  <c r="J1809" i="4"/>
  <c r="G1809" i="4"/>
  <c r="F1809" i="4"/>
  <c r="S1808" i="4"/>
  <c r="H1808" i="4" s="1"/>
  <c r="J1808" i="4"/>
  <c r="G1808" i="4"/>
  <c r="F1808" i="4"/>
  <c r="S1807" i="4"/>
  <c r="H1807" i="4" s="1"/>
  <c r="J1807" i="4"/>
  <c r="G1807" i="4"/>
  <c r="F1807" i="4"/>
  <c r="S1806" i="4"/>
  <c r="I1806" i="4" s="1"/>
  <c r="J1806" i="4"/>
  <c r="G1806" i="4"/>
  <c r="F1806" i="4"/>
  <c r="S1805" i="4"/>
  <c r="H1805" i="4" s="1"/>
  <c r="J1805" i="4"/>
  <c r="G1805" i="4"/>
  <c r="F1805" i="4"/>
  <c r="F1726" i="4"/>
  <c r="G1726" i="4"/>
  <c r="J1726" i="4"/>
  <c r="S1726" i="4"/>
  <c r="I1726" i="4" s="1"/>
  <c r="F1727" i="4"/>
  <c r="G1727" i="4"/>
  <c r="J1727" i="4"/>
  <c r="S1727" i="4"/>
  <c r="I1727" i="4" s="1"/>
  <c r="F1728" i="4"/>
  <c r="G1728" i="4"/>
  <c r="J1728" i="4"/>
  <c r="S1728" i="4"/>
  <c r="H1728" i="4" s="1"/>
  <c r="F1729" i="4"/>
  <c r="G1729" i="4"/>
  <c r="J1729" i="4"/>
  <c r="S1729" i="4"/>
  <c r="I1729" i="4" s="1"/>
  <c r="F1730" i="4"/>
  <c r="G1730" i="4"/>
  <c r="J1730" i="4"/>
  <c r="S1730" i="4"/>
  <c r="I1730" i="4" s="1"/>
  <c r="F1731" i="4"/>
  <c r="G1731" i="4"/>
  <c r="J1731" i="4"/>
  <c r="S1731" i="4"/>
  <c r="H1731" i="4" s="1"/>
  <c r="F1732" i="4"/>
  <c r="G1732" i="4"/>
  <c r="J1732" i="4"/>
  <c r="S1732" i="4"/>
  <c r="I1732" i="4" s="1"/>
  <c r="F1733" i="4"/>
  <c r="G1733" i="4"/>
  <c r="J1733" i="4"/>
  <c r="S1733" i="4"/>
  <c r="I1733" i="4" s="1"/>
  <c r="F1734" i="4"/>
  <c r="G1734" i="4"/>
  <c r="J1734" i="4"/>
  <c r="S1734" i="4"/>
  <c r="I1734" i="4" s="1"/>
  <c r="F1735" i="4"/>
  <c r="G1735" i="4"/>
  <c r="J1735" i="4"/>
  <c r="S1735" i="4"/>
  <c r="I1735" i="4" s="1"/>
  <c r="F1736" i="4"/>
  <c r="G1736" i="4"/>
  <c r="J1736" i="4"/>
  <c r="S1736" i="4"/>
  <c r="I1736" i="4" s="1"/>
  <c r="F1737" i="4"/>
  <c r="G1737" i="4"/>
  <c r="J1737" i="4"/>
  <c r="S1737" i="4"/>
  <c r="H1737" i="4" s="1"/>
  <c r="F1738" i="4"/>
  <c r="G1738" i="4"/>
  <c r="J1738" i="4"/>
  <c r="S1738" i="4"/>
  <c r="I1738" i="4" s="1"/>
  <c r="F1739" i="4"/>
  <c r="G1739" i="4"/>
  <c r="J1739" i="4"/>
  <c r="S1739" i="4"/>
  <c r="I1739" i="4" s="1"/>
  <c r="F1740" i="4"/>
  <c r="G1740" i="4"/>
  <c r="J1740" i="4"/>
  <c r="S1740" i="4"/>
  <c r="I1740" i="4" s="1"/>
  <c r="F1741" i="4"/>
  <c r="G1741" i="4"/>
  <c r="J1741" i="4"/>
  <c r="S1741" i="4"/>
  <c r="I1741" i="4" s="1"/>
  <c r="F1742" i="4"/>
  <c r="G1742" i="4"/>
  <c r="J1742" i="4"/>
  <c r="S1742" i="4"/>
  <c r="I1742" i="4" s="1"/>
  <c r="F1743" i="4"/>
  <c r="G1743" i="4"/>
  <c r="J1743" i="4"/>
  <c r="S1743" i="4"/>
  <c r="I1743" i="4" s="1"/>
  <c r="F1744" i="4"/>
  <c r="G1744" i="4"/>
  <c r="J1744" i="4"/>
  <c r="S1744" i="4"/>
  <c r="I1744" i="4" s="1"/>
  <c r="F1745" i="4"/>
  <c r="G1745" i="4"/>
  <c r="J1745" i="4"/>
  <c r="S1745" i="4"/>
  <c r="I1745" i="4" s="1"/>
  <c r="F1746" i="4"/>
  <c r="G1746" i="4"/>
  <c r="J1746" i="4"/>
  <c r="S1746" i="4"/>
  <c r="H1746" i="4" s="1"/>
  <c r="F1747" i="4"/>
  <c r="G1747" i="4"/>
  <c r="J1747" i="4"/>
  <c r="S1747" i="4"/>
  <c r="I1747" i="4" s="1"/>
  <c r="J1748" i="4"/>
  <c r="S1748" i="4"/>
  <c r="I1748" i="4" s="1"/>
  <c r="F1749" i="4"/>
  <c r="G1749" i="4"/>
  <c r="J1749" i="4"/>
  <c r="S1749" i="4"/>
  <c r="I1749" i="4" s="1"/>
  <c r="F1750" i="4"/>
  <c r="G1750" i="4"/>
  <c r="J1750" i="4"/>
  <c r="S1750" i="4"/>
  <c r="H1750" i="4" s="1"/>
  <c r="J1751" i="4"/>
  <c r="S1751" i="4"/>
  <c r="H1751" i="4" s="1"/>
  <c r="F1752" i="4"/>
  <c r="G1752" i="4"/>
  <c r="J1752" i="4"/>
  <c r="S1752" i="4"/>
  <c r="I1752" i="4" s="1"/>
  <c r="F1753" i="4"/>
  <c r="G1753" i="4"/>
  <c r="H1753" i="4"/>
  <c r="I1753" i="4"/>
  <c r="J1753" i="4"/>
  <c r="H1825" i="4" l="1"/>
  <c r="M1825" i="4" s="1"/>
  <c r="H1826" i="4"/>
  <c r="M1826" i="4" s="1"/>
  <c r="H1832" i="4"/>
  <c r="M1832" i="4" s="1"/>
  <c r="H1744" i="4"/>
  <c r="M1744" i="4" s="1"/>
  <c r="H1743" i="4"/>
  <c r="M1743" i="4" s="1"/>
  <c r="H1752" i="4"/>
  <c r="M1752" i="4" s="1"/>
  <c r="I1731" i="4"/>
  <c r="M1731" i="4" s="1"/>
  <c r="H1740" i="4"/>
  <c r="M1740" i="4" s="1"/>
  <c r="H1747" i="4"/>
  <c r="M1747" i="4" s="1"/>
  <c r="I1819" i="4"/>
  <c r="M1819" i="4" s="1"/>
  <c r="I1750" i="4"/>
  <c r="M1750" i="4" s="1"/>
  <c r="H1732" i="4"/>
  <c r="M1732" i="4" s="1"/>
  <c r="I1807" i="4"/>
  <c r="M1807" i="4" s="1"/>
  <c r="H1820" i="4"/>
  <c r="M1820" i="4" s="1"/>
  <c r="I1810" i="4"/>
  <c r="M1810" i="4" s="1"/>
  <c r="H1809" i="4"/>
  <c r="M1809" i="4" s="1"/>
  <c r="H1734" i="4"/>
  <c r="M1734" i="4" s="1"/>
  <c r="I1812" i="4"/>
  <c r="M1812" i="4" s="1"/>
  <c r="I1828" i="4"/>
  <c r="M1828" i="4" s="1"/>
  <c r="H1829" i="4"/>
  <c r="M1829" i="4" s="1"/>
  <c r="H1806" i="4"/>
  <c r="M1806" i="4" s="1"/>
  <c r="H1735" i="4"/>
  <c r="M1735" i="4" s="1"/>
  <c r="I1728" i="4"/>
  <c r="M1728" i="4" s="1"/>
  <c r="H1823" i="4"/>
  <c r="M1823" i="4" s="1"/>
  <c r="M1753" i="4"/>
  <c r="I1816" i="4"/>
  <c r="M1816" i="4" s="1"/>
  <c r="I1751" i="4"/>
  <c r="M1751" i="4" s="1"/>
  <c r="M1814" i="4"/>
  <c r="H1748" i="4"/>
  <c r="M1748" i="4" s="1"/>
  <c r="H1741" i="4"/>
  <c r="M1741" i="4" s="1"/>
  <c r="I1737" i="4"/>
  <c r="M1737" i="4" s="1"/>
  <c r="H1729" i="4"/>
  <c r="M1729" i="4" s="1"/>
  <c r="I1746" i="4"/>
  <c r="M1746" i="4" s="1"/>
  <c r="H1738" i="4"/>
  <c r="M1738" i="4" s="1"/>
  <c r="H1726" i="4"/>
  <c r="M1726" i="4" s="1"/>
  <c r="H1822" i="4"/>
  <c r="M1822" i="4" s="1"/>
  <c r="M1813" i="4"/>
  <c r="H1817" i="4"/>
  <c r="M1817" i="4" s="1"/>
  <c r="H1831" i="4"/>
  <c r="M1831" i="4" s="1"/>
  <c r="I1805" i="4"/>
  <c r="M1805" i="4" s="1"/>
  <c r="I1808" i="4"/>
  <c r="M1808" i="4" s="1"/>
  <c r="I1811" i="4"/>
  <c r="M1811" i="4" s="1"/>
  <c r="I1815" i="4"/>
  <c r="M1815" i="4" s="1"/>
  <c r="I1818" i="4"/>
  <c r="M1818" i="4" s="1"/>
  <c r="I1821" i="4"/>
  <c r="M1821" i="4" s="1"/>
  <c r="I1830" i="4"/>
  <c r="M1830" i="4" s="1"/>
  <c r="H1824" i="4"/>
  <c r="M1824" i="4" s="1"/>
  <c r="H1827" i="4"/>
  <c r="M1827" i="4" s="1"/>
  <c r="H1749" i="4"/>
  <c r="M1749" i="4" s="1"/>
  <c r="H1745" i="4"/>
  <c r="M1745" i="4" s="1"/>
  <c r="H1742" i="4"/>
  <c r="M1742" i="4" s="1"/>
  <c r="H1739" i="4"/>
  <c r="M1739" i="4" s="1"/>
  <c r="H1736" i="4"/>
  <c r="M1736" i="4" s="1"/>
  <c r="H1733" i="4"/>
  <c r="M1733" i="4" s="1"/>
  <c r="H1730" i="4"/>
  <c r="M1730" i="4" s="1"/>
  <c r="H1727" i="4"/>
  <c r="M1727" i="4" s="1"/>
  <c r="S1838" i="4" l="1"/>
  <c r="I1838" i="4" s="1"/>
  <c r="J1838" i="4"/>
  <c r="G1838" i="4"/>
  <c r="F1838" i="4"/>
  <c r="S1837" i="4"/>
  <c r="H1837" i="4" s="1"/>
  <c r="J1837" i="4"/>
  <c r="G1837" i="4"/>
  <c r="F1837" i="4"/>
  <c r="S1836" i="4"/>
  <c r="I1836" i="4" s="1"/>
  <c r="J1836" i="4"/>
  <c r="G1836" i="4"/>
  <c r="F1836" i="4"/>
  <c r="S1835" i="4"/>
  <c r="I1835" i="4" s="1"/>
  <c r="J1835" i="4"/>
  <c r="G1835" i="4"/>
  <c r="F1835" i="4"/>
  <c r="S1834" i="4"/>
  <c r="I1834" i="4" s="1"/>
  <c r="J1834" i="4"/>
  <c r="G1834" i="4"/>
  <c r="F1834" i="4"/>
  <c r="S1833" i="4"/>
  <c r="I1833" i="4" s="1"/>
  <c r="J1833" i="4"/>
  <c r="G1833" i="4"/>
  <c r="F1833" i="4"/>
  <c r="H1833" i="4" l="1"/>
  <c r="M1833" i="4" s="1"/>
  <c r="H1838" i="4"/>
  <c r="M1838" i="4" s="1"/>
  <c r="I1837" i="4"/>
  <c r="M1837" i="4" s="1"/>
  <c r="H1834" i="4"/>
  <c r="M1834" i="4" s="1"/>
  <c r="H1835" i="4"/>
  <c r="M1835" i="4" s="1"/>
  <c r="H1836" i="4"/>
  <c r="M1836" i="4" s="1"/>
  <c r="I1839" i="4" l="1"/>
  <c r="H1839" i="4"/>
  <c r="G1839" i="4"/>
  <c r="F1839" i="4"/>
  <c r="M1839" i="4" l="1"/>
  <c r="I2870" i="4"/>
  <c r="J2870" i="4"/>
  <c r="G2870" i="4"/>
  <c r="F2870" i="4"/>
  <c r="H2870" i="4" l="1"/>
  <c r="M2870" i="4" s="1"/>
  <c r="M2869" i="4"/>
  <c r="N1804" i="4" l="1"/>
  <c r="M1804" i="4"/>
  <c r="N1793" i="4" l="1"/>
  <c r="M1793" i="4"/>
  <c r="G1791" i="4" l="1"/>
  <c r="F1791" i="4"/>
  <c r="J1792" i="4" l="1"/>
  <c r="I1792" i="4"/>
  <c r="H1792" i="4"/>
  <c r="G1792" i="4"/>
  <c r="F1792" i="4"/>
  <c r="H1791" i="4"/>
  <c r="J1791" i="4"/>
  <c r="J1790" i="4"/>
  <c r="I1790" i="4"/>
  <c r="H1790" i="4"/>
  <c r="G1790" i="4"/>
  <c r="F1790" i="4"/>
  <c r="J1789" i="4"/>
  <c r="I1789" i="4"/>
  <c r="H1789" i="4"/>
  <c r="G1789" i="4"/>
  <c r="F1789" i="4"/>
  <c r="J1788" i="4"/>
  <c r="I1788" i="4"/>
  <c r="H1788" i="4"/>
  <c r="G1788" i="4"/>
  <c r="F1788" i="4"/>
  <c r="I1787" i="4"/>
  <c r="J1787" i="4"/>
  <c r="G1787" i="4"/>
  <c r="F1787" i="4"/>
  <c r="S1786" i="4"/>
  <c r="H1786" i="4" s="1"/>
  <c r="J1786" i="4"/>
  <c r="G1786" i="4"/>
  <c r="F1786" i="4"/>
  <c r="S1785" i="4"/>
  <c r="H1785" i="4" s="1"/>
  <c r="J1785" i="4"/>
  <c r="G1785" i="4"/>
  <c r="F1785" i="4"/>
  <c r="S1784" i="4"/>
  <c r="H1784" i="4" s="1"/>
  <c r="J1784" i="4"/>
  <c r="G1784" i="4"/>
  <c r="F1784" i="4"/>
  <c r="S1783" i="4"/>
  <c r="H1783" i="4" s="1"/>
  <c r="J1783" i="4"/>
  <c r="G1783" i="4"/>
  <c r="F1783" i="4"/>
  <c r="S1782" i="4"/>
  <c r="H1782" i="4" s="1"/>
  <c r="J1782" i="4"/>
  <c r="G1782" i="4"/>
  <c r="F1782" i="4"/>
  <c r="S1781" i="4"/>
  <c r="H1781" i="4" s="1"/>
  <c r="J1781" i="4"/>
  <c r="G1781" i="4"/>
  <c r="F1781" i="4"/>
  <c r="S1780" i="4"/>
  <c r="H1780" i="4" s="1"/>
  <c r="J1780" i="4"/>
  <c r="G1780" i="4"/>
  <c r="F1780" i="4"/>
  <c r="S1779" i="4"/>
  <c r="H1779" i="4" s="1"/>
  <c r="J1779" i="4"/>
  <c r="G1779" i="4"/>
  <c r="F1779" i="4"/>
  <c r="S1778" i="4"/>
  <c r="H1778" i="4" s="1"/>
  <c r="J1778" i="4"/>
  <c r="G1778" i="4"/>
  <c r="F1778" i="4"/>
  <c r="S1777" i="4"/>
  <c r="H1777" i="4" s="1"/>
  <c r="J1777" i="4"/>
  <c r="G1777" i="4"/>
  <c r="F1777" i="4"/>
  <c r="N1776" i="4"/>
  <c r="M1776" i="4"/>
  <c r="M1792" i="4" l="1"/>
  <c r="M1788" i="4"/>
  <c r="M1789" i="4"/>
  <c r="M1790" i="4"/>
  <c r="I1791" i="4"/>
  <c r="M1791" i="4" s="1"/>
  <c r="H1787" i="4"/>
  <c r="M1787" i="4" s="1"/>
  <c r="I1777" i="4"/>
  <c r="M1777" i="4" s="1"/>
  <c r="I1778" i="4"/>
  <c r="M1778" i="4" s="1"/>
  <c r="I1779" i="4"/>
  <c r="M1779" i="4" s="1"/>
  <c r="I1780" i="4"/>
  <c r="M1780" i="4" s="1"/>
  <c r="I1781" i="4"/>
  <c r="M1781" i="4" s="1"/>
  <c r="I1782" i="4"/>
  <c r="M1782" i="4" s="1"/>
  <c r="I1783" i="4"/>
  <c r="M1783" i="4" s="1"/>
  <c r="I1784" i="4"/>
  <c r="M1784" i="4" s="1"/>
  <c r="I1785" i="4"/>
  <c r="M1785" i="4" s="1"/>
  <c r="I1786" i="4"/>
  <c r="M1786" i="4" s="1"/>
  <c r="J1772" i="4"/>
  <c r="I1772" i="4"/>
  <c r="H1772" i="4"/>
  <c r="G1772" i="4"/>
  <c r="F1772" i="4"/>
  <c r="J1771" i="4"/>
  <c r="I1771" i="4"/>
  <c r="H1771" i="4"/>
  <c r="G1771" i="4"/>
  <c r="F1771" i="4"/>
  <c r="J1770" i="4"/>
  <c r="I1770" i="4"/>
  <c r="H1770" i="4"/>
  <c r="G1770" i="4"/>
  <c r="F1770" i="4"/>
  <c r="J1769" i="4"/>
  <c r="I1769" i="4"/>
  <c r="H1769" i="4"/>
  <c r="G1769" i="4"/>
  <c r="F1769" i="4"/>
  <c r="J1768" i="4"/>
  <c r="I1768" i="4"/>
  <c r="H1768" i="4"/>
  <c r="G1768" i="4"/>
  <c r="F1768" i="4"/>
  <c r="J1767" i="4"/>
  <c r="I1767" i="4"/>
  <c r="H1767" i="4"/>
  <c r="G1767" i="4"/>
  <c r="F1767" i="4"/>
  <c r="J1766" i="4"/>
  <c r="I1766" i="4"/>
  <c r="H1766" i="4"/>
  <c r="G1766" i="4"/>
  <c r="F1766" i="4"/>
  <c r="J1765" i="4"/>
  <c r="I1765" i="4"/>
  <c r="H1765" i="4"/>
  <c r="G1765" i="4"/>
  <c r="F1765" i="4"/>
  <c r="J1764" i="4"/>
  <c r="I1764" i="4"/>
  <c r="H1764" i="4"/>
  <c r="G1764" i="4"/>
  <c r="F1764" i="4"/>
  <c r="J1763" i="4"/>
  <c r="I1763" i="4"/>
  <c r="H1763" i="4"/>
  <c r="G1763" i="4"/>
  <c r="F1763" i="4"/>
  <c r="J1762" i="4"/>
  <c r="I1762" i="4"/>
  <c r="H1762" i="4"/>
  <c r="G1762" i="4"/>
  <c r="F1762" i="4"/>
  <c r="J1761" i="4"/>
  <c r="I1761" i="4"/>
  <c r="H1761" i="4"/>
  <c r="G1761" i="4"/>
  <c r="F1761" i="4"/>
  <c r="M1762" i="4" l="1"/>
  <c r="M1763" i="4"/>
  <c r="M1769" i="4"/>
  <c r="M1768" i="4"/>
  <c r="M1767" i="4"/>
  <c r="M1766" i="4"/>
  <c r="M1772" i="4"/>
  <c r="M1765" i="4"/>
  <c r="M1771" i="4"/>
  <c r="M1764" i="4"/>
  <c r="M1770" i="4"/>
  <c r="M1761" i="4"/>
  <c r="H1774" i="4"/>
  <c r="H1775" i="4"/>
  <c r="J1775" i="4"/>
  <c r="G1775" i="4"/>
  <c r="F1775" i="4"/>
  <c r="J1774" i="4"/>
  <c r="G1774" i="4"/>
  <c r="F1774" i="4"/>
  <c r="J1773" i="4"/>
  <c r="I1773" i="4"/>
  <c r="H1773" i="4"/>
  <c r="G1773" i="4"/>
  <c r="F1773" i="4"/>
  <c r="N1760" i="4"/>
  <c r="M1760" i="4"/>
  <c r="I1774" i="4" l="1"/>
  <c r="M1774" i="4" s="1"/>
  <c r="I1775" i="4"/>
  <c r="M1775" i="4" s="1"/>
  <c r="M1773" i="4"/>
  <c r="J1759" i="4" l="1"/>
  <c r="I1759" i="4"/>
  <c r="H1759" i="4"/>
  <c r="G1759" i="4"/>
  <c r="F1759" i="4"/>
  <c r="S1758" i="4"/>
  <c r="I1758" i="4" s="1"/>
  <c r="J1758" i="4"/>
  <c r="G1758" i="4"/>
  <c r="F1758" i="4"/>
  <c r="J1757" i="4"/>
  <c r="I1757" i="4"/>
  <c r="H1757" i="4"/>
  <c r="G1757" i="4"/>
  <c r="F1757" i="4"/>
  <c r="S1756" i="4"/>
  <c r="I1756" i="4" s="1"/>
  <c r="J1756" i="4"/>
  <c r="J1755" i="4"/>
  <c r="I1755" i="4"/>
  <c r="H1755" i="4"/>
  <c r="G1755" i="4"/>
  <c r="F1755" i="4"/>
  <c r="J1754" i="4"/>
  <c r="I1754" i="4"/>
  <c r="H1754" i="4"/>
  <c r="G1754" i="4"/>
  <c r="F1754" i="4"/>
  <c r="N1725" i="4"/>
  <c r="M1725" i="4"/>
  <c r="H1756" i="4" l="1"/>
  <c r="M1756" i="4" s="1"/>
  <c r="M1759" i="4"/>
  <c r="M1757" i="4"/>
  <c r="M1755" i="4"/>
  <c r="M1754" i="4"/>
  <c r="H1758" i="4"/>
  <c r="M1758" i="4" s="1"/>
  <c r="S3924" i="4" l="1"/>
  <c r="S3923" i="4"/>
  <c r="S3922" i="4"/>
  <c r="S3921" i="4"/>
  <c r="S3920" i="4"/>
  <c r="S3919" i="4"/>
  <c r="S3918" i="4"/>
  <c r="S3917" i="4"/>
  <c r="S3916" i="4"/>
  <c r="S3915" i="4"/>
  <c r="S3914" i="4"/>
  <c r="S3913" i="4"/>
  <c r="S3912" i="4"/>
  <c r="S3911" i="4"/>
  <c r="S3910" i="4"/>
  <c r="S3909" i="4"/>
  <c r="S3988" i="4" l="1"/>
  <c r="H3988" i="4" s="1"/>
  <c r="J3988" i="4"/>
  <c r="G3988" i="4"/>
  <c r="F3988" i="4"/>
  <c r="J3976" i="4"/>
  <c r="G3976" i="4"/>
  <c r="F3976" i="4"/>
  <c r="S3975" i="4"/>
  <c r="S3976" i="4" s="1"/>
  <c r="J3975" i="4"/>
  <c r="G3975" i="4"/>
  <c r="F3975" i="4"/>
  <c r="I3958" i="4"/>
  <c r="J3958" i="4"/>
  <c r="G3958" i="4"/>
  <c r="F3958" i="4"/>
  <c r="I3988" i="4" l="1"/>
  <c r="M3988" i="4" s="1"/>
  <c r="I3976" i="4"/>
  <c r="H3976" i="4"/>
  <c r="H3975" i="4"/>
  <c r="I3975" i="4"/>
  <c r="H3958" i="4"/>
  <c r="M3958" i="4" s="1"/>
  <c r="J1279" i="4"/>
  <c r="M1279" i="4" s="1"/>
  <c r="M3976" i="4" l="1"/>
  <c r="M3975" i="4"/>
  <c r="S3987" i="4"/>
  <c r="S3986" i="4"/>
  <c r="S3985" i="4"/>
  <c r="S3904" i="4" l="1"/>
  <c r="S3903" i="4"/>
  <c r="S3902" i="4"/>
  <c r="S3901" i="4"/>
  <c r="S3900" i="4"/>
  <c r="S3973" i="4" l="1"/>
  <c r="S3974" i="4" s="1"/>
  <c r="S3971" i="4"/>
  <c r="S3972" i="4" s="1"/>
  <c r="S3969" i="4"/>
  <c r="S3970" i="4" s="1"/>
  <c r="S3967" i="4"/>
  <c r="S3968" i="4" s="1"/>
  <c r="S3965" i="4"/>
  <c r="S3966" i="4" s="1"/>
  <c r="S3963" i="4"/>
  <c r="S3964" i="4" s="1"/>
  <c r="S3961" i="4"/>
  <c r="S3962" i="4" s="1"/>
  <c r="S3944" i="4" l="1"/>
  <c r="S3943" i="4"/>
  <c r="S3942" i="4"/>
  <c r="S3941" i="4"/>
  <c r="S3940" i="4"/>
  <c r="S3939" i="4"/>
  <c r="S3930" i="4"/>
  <c r="S3981" i="4" l="1"/>
  <c r="S3905" i="4" l="1"/>
  <c r="S3906" i="4" l="1"/>
  <c r="S3982" i="4"/>
  <c r="S3907" i="4" l="1"/>
  <c r="S3983" i="4"/>
  <c r="I3997" i="4"/>
  <c r="J3997" i="4"/>
  <c r="S3984" i="4" l="1"/>
  <c r="S3908" i="4"/>
  <c r="H3997" i="4"/>
  <c r="S3996" i="4" l="1"/>
  <c r="I3996" i="4" s="1"/>
  <c r="J3996" i="4"/>
  <c r="G3996" i="4"/>
  <c r="F3996" i="4"/>
  <c r="H3996" i="4" l="1"/>
  <c r="M3996" i="4" s="1"/>
  <c r="S3995" i="4" l="1"/>
  <c r="H3995" i="4" s="1"/>
  <c r="J3995" i="4"/>
  <c r="G3995" i="4"/>
  <c r="F3995" i="4"/>
  <c r="I3995" i="4" l="1"/>
  <c r="M3995" i="4" s="1"/>
  <c r="S3994" i="4"/>
  <c r="I3994" i="4" s="1"/>
  <c r="J3994" i="4"/>
  <c r="G3994" i="4"/>
  <c r="F3994" i="4"/>
  <c r="H3994" i="4" l="1"/>
  <c r="M3994" i="4" s="1"/>
  <c r="S3993" i="4" l="1"/>
  <c r="H3993" i="4" s="1"/>
  <c r="J3993" i="4"/>
  <c r="G3993" i="4"/>
  <c r="F3993" i="4"/>
  <c r="M3991" i="4"/>
  <c r="S3992" i="4"/>
  <c r="I3992" i="4" s="1"/>
  <c r="J3992" i="4"/>
  <c r="G3992" i="4"/>
  <c r="F3992" i="4"/>
  <c r="I3993" i="4" l="1"/>
  <c r="M3993" i="4" s="1"/>
  <c r="H3992" i="4"/>
  <c r="M3992" i="4" s="1"/>
  <c r="P3925" i="4" l="1"/>
  <c r="S3925" i="4" s="1"/>
  <c r="I3966" i="4"/>
  <c r="H3964" i="4"/>
  <c r="J3973" i="4"/>
  <c r="I3973" i="4"/>
  <c r="H3973" i="4"/>
  <c r="G3973" i="4"/>
  <c r="F3973" i="4"/>
  <c r="J3971" i="4"/>
  <c r="I3971" i="4"/>
  <c r="H3971" i="4"/>
  <c r="G3971" i="4"/>
  <c r="F3971" i="4"/>
  <c r="J3969" i="4"/>
  <c r="I3969" i="4"/>
  <c r="H3969" i="4"/>
  <c r="G3969" i="4"/>
  <c r="F3969" i="4"/>
  <c r="J3967" i="4"/>
  <c r="I3967" i="4"/>
  <c r="H3967" i="4"/>
  <c r="G3967" i="4"/>
  <c r="F3967" i="4"/>
  <c r="J3966" i="4"/>
  <c r="G3966" i="4"/>
  <c r="F3966" i="4"/>
  <c r="J3961" i="4"/>
  <c r="I3961" i="4"/>
  <c r="H3961" i="4"/>
  <c r="G3961" i="4"/>
  <c r="F3961" i="4"/>
  <c r="P3926" i="4" l="1"/>
  <c r="S3926" i="4" s="1"/>
  <c r="H3956" i="4"/>
  <c r="M3973" i="4"/>
  <c r="M3961" i="4"/>
  <c r="M3967" i="4"/>
  <c r="H3966" i="4"/>
  <c r="M3966" i="4" s="1"/>
  <c r="I3964" i="4"/>
  <c r="M3969" i="4"/>
  <c r="M3971" i="4"/>
  <c r="J3987" i="4"/>
  <c r="I3987" i="4"/>
  <c r="H3987" i="4"/>
  <c r="G3987" i="4"/>
  <c r="F3987" i="4"/>
  <c r="J3986" i="4"/>
  <c r="I3986" i="4"/>
  <c r="H3986" i="4"/>
  <c r="G3986" i="4"/>
  <c r="F3986" i="4"/>
  <c r="J3985" i="4"/>
  <c r="I3985" i="4"/>
  <c r="H3985" i="4"/>
  <c r="G3985" i="4"/>
  <c r="F3985" i="4"/>
  <c r="J3984" i="4"/>
  <c r="I3984" i="4"/>
  <c r="H3984" i="4"/>
  <c r="G3984" i="4"/>
  <c r="F3984" i="4"/>
  <c r="J3983" i="4"/>
  <c r="I3983" i="4"/>
  <c r="H3983" i="4"/>
  <c r="G3983" i="4"/>
  <c r="F3983" i="4"/>
  <c r="J3982" i="4"/>
  <c r="I3982" i="4"/>
  <c r="H3982" i="4"/>
  <c r="G3982" i="4"/>
  <c r="F3982" i="4"/>
  <c r="J3981" i="4"/>
  <c r="I3981" i="4"/>
  <c r="H3981" i="4"/>
  <c r="G3981" i="4"/>
  <c r="F3981" i="4"/>
  <c r="J3974" i="4"/>
  <c r="I3974" i="4"/>
  <c r="H3974" i="4"/>
  <c r="G3974" i="4"/>
  <c r="F3974" i="4"/>
  <c r="J3972" i="4"/>
  <c r="I3972" i="4"/>
  <c r="H3972" i="4"/>
  <c r="G3972" i="4"/>
  <c r="F3972" i="4"/>
  <c r="J3970" i="4"/>
  <c r="I3970" i="4"/>
  <c r="H3970" i="4"/>
  <c r="G3970" i="4"/>
  <c r="F3970" i="4"/>
  <c r="J3968" i="4"/>
  <c r="I3968" i="4"/>
  <c r="H3968" i="4"/>
  <c r="G3968" i="4"/>
  <c r="F3968" i="4"/>
  <c r="J3965" i="4"/>
  <c r="I3965" i="4"/>
  <c r="H3965" i="4"/>
  <c r="G3965" i="4"/>
  <c r="F3965" i="4"/>
  <c r="J3963" i="4"/>
  <c r="I3963" i="4"/>
  <c r="H3963" i="4"/>
  <c r="G3963" i="4"/>
  <c r="F3963" i="4"/>
  <c r="J3962" i="4"/>
  <c r="I3962" i="4"/>
  <c r="H3962" i="4"/>
  <c r="G3962" i="4"/>
  <c r="F3962" i="4"/>
  <c r="J3956" i="4"/>
  <c r="F3956" i="4"/>
  <c r="J3955" i="4"/>
  <c r="I3955" i="4"/>
  <c r="H3955" i="4"/>
  <c r="G3955" i="4"/>
  <c r="F3955" i="4"/>
  <c r="J3954" i="4"/>
  <c r="I3954" i="4"/>
  <c r="H3954" i="4"/>
  <c r="G3954" i="4"/>
  <c r="F3954" i="4"/>
  <c r="J3953" i="4"/>
  <c r="I3953" i="4"/>
  <c r="H3953" i="4"/>
  <c r="G3953" i="4"/>
  <c r="F3953" i="4"/>
  <c r="J3952" i="4"/>
  <c r="I3952" i="4"/>
  <c r="H3952" i="4"/>
  <c r="G3952" i="4"/>
  <c r="F3952" i="4"/>
  <c r="J3951" i="4"/>
  <c r="I3951" i="4"/>
  <c r="H3951" i="4"/>
  <c r="G3951" i="4"/>
  <c r="F3951" i="4"/>
  <c r="P3927" i="4" l="1"/>
  <c r="S3927" i="4" s="1"/>
  <c r="I3956" i="4"/>
  <c r="M3956" i="4" s="1"/>
  <c r="G3956" i="4"/>
  <c r="G3957" i="4"/>
  <c r="I3957" i="4"/>
  <c r="J3957" i="4"/>
  <c r="F3957" i="4"/>
  <c r="M3983" i="4"/>
  <c r="M3952" i="4"/>
  <c r="M3965" i="4"/>
  <c r="M3984" i="4"/>
  <c r="M3982" i="4"/>
  <c r="M3981" i="4"/>
  <c r="M3987" i="4"/>
  <c r="M3986" i="4"/>
  <c r="M3985" i="4"/>
  <c r="M3974" i="4"/>
  <c r="M3972" i="4"/>
  <c r="M3968" i="4"/>
  <c r="M3963" i="4"/>
  <c r="M3970" i="4"/>
  <c r="M3955" i="4"/>
  <c r="M3954" i="4"/>
  <c r="M3953" i="4"/>
  <c r="M3962" i="4"/>
  <c r="M3951" i="4"/>
  <c r="P3928" i="4" l="1"/>
  <c r="H3957" i="4"/>
  <c r="M3957" i="4" s="1"/>
  <c r="M3950" i="4"/>
  <c r="I3901" i="4"/>
  <c r="J3927" i="4"/>
  <c r="G3927" i="4"/>
  <c r="F3927" i="4"/>
  <c r="J3926" i="4"/>
  <c r="G3926" i="4"/>
  <c r="F3926" i="4"/>
  <c r="J3925" i="4"/>
  <c r="G3925" i="4"/>
  <c r="F3925" i="4"/>
  <c r="J3924" i="4"/>
  <c r="G3924" i="4"/>
  <c r="F3924" i="4"/>
  <c r="J3923" i="4"/>
  <c r="G3923" i="4"/>
  <c r="F3923" i="4"/>
  <c r="J3922" i="4"/>
  <c r="G3922" i="4"/>
  <c r="F3922" i="4"/>
  <c r="J3921" i="4"/>
  <c r="G3921" i="4"/>
  <c r="F3921" i="4"/>
  <c r="J3920" i="4"/>
  <c r="G3920" i="4"/>
  <c r="F3920" i="4"/>
  <c r="J3919" i="4"/>
  <c r="G3919" i="4"/>
  <c r="F3919" i="4"/>
  <c r="J3918" i="4"/>
  <c r="G3918" i="4"/>
  <c r="F3918" i="4"/>
  <c r="J3917" i="4"/>
  <c r="G3917" i="4"/>
  <c r="F3917" i="4"/>
  <c r="J3916" i="4"/>
  <c r="G3916" i="4"/>
  <c r="F3916" i="4"/>
  <c r="J3915" i="4"/>
  <c r="G3915" i="4"/>
  <c r="F3915" i="4"/>
  <c r="J3914" i="4"/>
  <c r="G3914" i="4"/>
  <c r="F3914" i="4"/>
  <c r="J3913" i="4"/>
  <c r="G3913" i="4"/>
  <c r="F3913" i="4"/>
  <c r="J3912" i="4"/>
  <c r="G3912" i="4"/>
  <c r="F3912" i="4"/>
  <c r="J3911" i="4"/>
  <c r="G3911" i="4"/>
  <c r="F3911" i="4"/>
  <c r="J3910" i="4"/>
  <c r="G3910" i="4"/>
  <c r="F3910" i="4"/>
  <c r="J3909" i="4"/>
  <c r="G3909" i="4"/>
  <c r="F3909" i="4"/>
  <c r="J3908" i="4"/>
  <c r="G3908" i="4"/>
  <c r="F3908" i="4"/>
  <c r="J3907" i="4"/>
  <c r="G3907" i="4"/>
  <c r="F3907" i="4"/>
  <c r="J3906" i="4"/>
  <c r="G3906" i="4"/>
  <c r="F3906" i="4"/>
  <c r="J3905" i="4"/>
  <c r="G3905" i="4"/>
  <c r="F3905" i="4"/>
  <c r="J3904" i="4"/>
  <c r="H3904" i="4"/>
  <c r="G3904" i="4"/>
  <c r="F3904" i="4"/>
  <c r="J3903" i="4"/>
  <c r="G3903" i="4"/>
  <c r="F3903" i="4"/>
  <c r="J3902" i="4"/>
  <c r="G3902" i="4"/>
  <c r="F3902" i="4"/>
  <c r="J3901" i="4"/>
  <c r="G3901" i="4"/>
  <c r="F3901" i="4"/>
  <c r="J3900" i="4"/>
  <c r="I3900" i="4"/>
  <c r="H3900" i="4"/>
  <c r="G3900" i="4"/>
  <c r="F3900" i="4"/>
  <c r="J3928" i="4" l="1"/>
  <c r="S3928" i="4"/>
  <c r="F3928" i="4"/>
  <c r="S3929" i="4"/>
  <c r="G3928" i="4"/>
  <c r="H3905" i="4"/>
  <c r="I3905" i="4"/>
  <c r="I3904" i="4"/>
  <c r="M3904" i="4" s="1"/>
  <c r="M3900" i="4"/>
  <c r="H3902" i="4"/>
  <c r="H3901" i="4"/>
  <c r="M3901" i="4" s="1"/>
  <c r="F3929" i="4" l="1"/>
  <c r="J3929" i="4"/>
  <c r="G3929" i="4"/>
  <c r="P3931" i="4"/>
  <c r="S3931" i="4" s="1"/>
  <c r="J3930" i="4"/>
  <c r="G3930" i="4"/>
  <c r="F3930" i="4"/>
  <c r="M3905" i="4"/>
  <c r="I3906" i="4"/>
  <c r="H3906" i="4"/>
  <c r="I3902" i="4"/>
  <c r="M3902" i="4" s="1"/>
  <c r="P3932" i="4" l="1"/>
  <c r="S3932" i="4" s="1"/>
  <c r="J3931" i="4"/>
  <c r="G3931" i="4"/>
  <c r="F3931" i="4"/>
  <c r="H3907" i="4"/>
  <c r="I3907" i="4"/>
  <c r="M3906" i="4"/>
  <c r="I3903" i="4"/>
  <c r="H3903" i="4"/>
  <c r="P3933" i="4" l="1"/>
  <c r="J3932" i="4"/>
  <c r="G3932" i="4"/>
  <c r="F3932" i="4"/>
  <c r="M3907" i="4"/>
  <c r="H3908" i="4"/>
  <c r="I3908" i="4"/>
  <c r="M3903" i="4"/>
  <c r="S3933" i="4" l="1"/>
  <c r="S3934" i="4"/>
  <c r="S3935" i="4"/>
  <c r="G3933" i="4"/>
  <c r="F3933" i="4"/>
  <c r="J3933" i="4"/>
  <c r="I3909" i="4"/>
  <c r="H3909" i="4"/>
  <c r="M3908" i="4"/>
  <c r="G3934" i="4" l="1"/>
  <c r="J3934" i="4"/>
  <c r="F3934" i="4"/>
  <c r="P3936" i="4"/>
  <c r="S3936" i="4" s="1"/>
  <c r="J3935" i="4"/>
  <c r="G3935" i="4"/>
  <c r="F3935" i="4"/>
  <c r="M3909" i="4"/>
  <c r="I3910" i="4"/>
  <c r="H3910" i="4"/>
  <c r="S3937" i="4" l="1"/>
  <c r="F3936" i="4"/>
  <c r="J3936" i="4"/>
  <c r="G3936" i="4"/>
  <c r="M3910" i="4"/>
  <c r="H3911" i="4"/>
  <c r="I3911" i="4"/>
  <c r="S3938" i="4" l="1"/>
  <c r="F3937" i="4"/>
  <c r="J3937" i="4"/>
  <c r="G3937" i="4"/>
  <c r="M3911" i="4"/>
  <c r="I3912" i="4"/>
  <c r="H3912" i="4"/>
  <c r="M3899" i="4"/>
  <c r="J3938" i="4" l="1"/>
  <c r="G3938" i="4"/>
  <c r="F3938" i="4"/>
  <c r="M3912" i="4"/>
  <c r="I3913" i="4"/>
  <c r="H3913" i="4"/>
  <c r="S1724" i="4"/>
  <c r="I1724" i="4" s="1"/>
  <c r="J1724" i="4"/>
  <c r="G1724" i="4"/>
  <c r="F1724" i="4"/>
  <c r="S1723" i="4"/>
  <c r="H1723" i="4" s="1"/>
  <c r="J1723" i="4"/>
  <c r="G1723" i="4"/>
  <c r="F1723" i="4"/>
  <c r="S1722" i="4"/>
  <c r="H1722" i="4" s="1"/>
  <c r="J1722" i="4"/>
  <c r="G1722" i="4"/>
  <c r="F1722" i="4"/>
  <c r="S1721" i="4"/>
  <c r="H1721" i="4" s="1"/>
  <c r="J1721" i="4"/>
  <c r="G1721" i="4"/>
  <c r="F1721" i="4"/>
  <c r="S1720" i="4"/>
  <c r="H1720" i="4" s="1"/>
  <c r="J1720" i="4"/>
  <c r="G1720" i="4"/>
  <c r="F1720" i="4"/>
  <c r="S1719" i="4"/>
  <c r="H1719" i="4" s="1"/>
  <c r="J1719" i="4"/>
  <c r="G1719" i="4"/>
  <c r="F1719" i="4"/>
  <c r="S1718" i="4"/>
  <c r="H1718" i="4" s="1"/>
  <c r="J1718" i="4"/>
  <c r="G1718" i="4"/>
  <c r="F1718" i="4"/>
  <c r="S1717" i="4"/>
  <c r="I1717" i="4" s="1"/>
  <c r="J1717" i="4"/>
  <c r="G1717" i="4"/>
  <c r="F1717" i="4"/>
  <c r="N1716" i="4"/>
  <c r="M1716" i="4"/>
  <c r="I1723" i="4" l="1"/>
  <c r="M1723" i="4" s="1"/>
  <c r="I1721" i="4"/>
  <c r="M1721" i="4" s="1"/>
  <c r="I1718" i="4"/>
  <c r="M1718" i="4" s="1"/>
  <c r="G3941" i="4"/>
  <c r="F3941" i="4"/>
  <c r="J3941" i="4"/>
  <c r="J3940" i="4"/>
  <c r="G3940" i="4"/>
  <c r="F3940" i="4"/>
  <c r="F3942" i="4"/>
  <c r="G3942" i="4"/>
  <c r="J3942" i="4"/>
  <c r="J3943" i="4"/>
  <c r="G3943" i="4"/>
  <c r="F3943" i="4"/>
  <c r="F3944" i="4"/>
  <c r="J3944" i="4"/>
  <c r="G3944" i="4"/>
  <c r="G3939" i="4"/>
  <c r="J3939" i="4"/>
  <c r="F3939" i="4"/>
  <c r="I1720" i="4"/>
  <c r="M1720" i="4" s="1"/>
  <c r="I1719" i="4"/>
  <c r="M1719" i="4" s="1"/>
  <c r="H1717" i="4"/>
  <c r="M1717" i="4" s="1"/>
  <c r="I1722" i="4"/>
  <c r="M1722" i="4" s="1"/>
  <c r="M3913" i="4"/>
  <c r="H3914" i="4"/>
  <c r="I3914" i="4"/>
  <c r="H1724" i="4"/>
  <c r="M1724" i="4" s="1"/>
  <c r="J2546" i="4"/>
  <c r="I2546" i="4"/>
  <c r="H2546" i="4"/>
  <c r="G2546" i="4"/>
  <c r="F2546" i="4"/>
  <c r="J2545" i="4"/>
  <c r="I2545" i="4"/>
  <c r="H2545" i="4"/>
  <c r="G2545" i="4"/>
  <c r="F2545" i="4"/>
  <c r="J2544" i="4"/>
  <c r="I2544" i="4"/>
  <c r="H2544" i="4"/>
  <c r="G2544" i="4"/>
  <c r="F2544" i="4"/>
  <c r="J2543" i="4"/>
  <c r="I2543" i="4"/>
  <c r="H2543" i="4"/>
  <c r="G2543" i="4"/>
  <c r="F2543" i="4"/>
  <c r="J2542" i="4"/>
  <c r="I2542" i="4"/>
  <c r="H2542" i="4"/>
  <c r="G2542" i="4"/>
  <c r="F2542" i="4"/>
  <c r="J2541" i="4"/>
  <c r="I2541" i="4"/>
  <c r="H2541" i="4"/>
  <c r="G2541" i="4"/>
  <c r="F2541" i="4"/>
  <c r="J2572" i="4"/>
  <c r="I2572" i="4"/>
  <c r="H2572" i="4"/>
  <c r="G2572" i="4"/>
  <c r="F2572" i="4"/>
  <c r="J2571" i="4"/>
  <c r="I2571" i="4"/>
  <c r="H2571" i="4"/>
  <c r="G2571" i="4"/>
  <c r="F2571" i="4"/>
  <c r="J2570" i="4"/>
  <c r="I2570" i="4"/>
  <c r="H2570" i="4"/>
  <c r="G2570" i="4"/>
  <c r="F2570" i="4"/>
  <c r="J2569" i="4"/>
  <c r="I2569" i="4"/>
  <c r="H2569" i="4"/>
  <c r="G2569" i="4"/>
  <c r="F2569" i="4"/>
  <c r="J2568" i="4"/>
  <c r="I2568" i="4"/>
  <c r="H2568" i="4"/>
  <c r="G2568" i="4"/>
  <c r="F2568" i="4"/>
  <c r="J2567" i="4"/>
  <c r="I2567" i="4"/>
  <c r="H2567" i="4"/>
  <c r="G2567" i="4"/>
  <c r="F2567" i="4"/>
  <c r="J2599" i="4"/>
  <c r="I2599" i="4"/>
  <c r="H2599" i="4"/>
  <c r="G2599" i="4"/>
  <c r="F2599" i="4"/>
  <c r="J2598" i="4"/>
  <c r="I2598" i="4"/>
  <c r="H2598" i="4"/>
  <c r="G2598" i="4"/>
  <c r="F2598" i="4"/>
  <c r="J2597" i="4"/>
  <c r="I2597" i="4"/>
  <c r="H2597" i="4"/>
  <c r="G2597" i="4"/>
  <c r="F2597" i="4"/>
  <c r="J2596" i="4"/>
  <c r="I2596" i="4"/>
  <c r="H2596" i="4"/>
  <c r="G2596" i="4"/>
  <c r="F2596" i="4"/>
  <c r="J2595" i="4"/>
  <c r="I2595" i="4"/>
  <c r="H2595" i="4"/>
  <c r="G2595" i="4"/>
  <c r="F2595" i="4"/>
  <c r="J2594" i="4"/>
  <c r="I2594" i="4"/>
  <c r="H2594" i="4"/>
  <c r="G2594" i="4"/>
  <c r="F2594" i="4"/>
  <c r="J2593" i="4"/>
  <c r="I2593" i="4"/>
  <c r="H2593" i="4"/>
  <c r="G2593" i="4"/>
  <c r="F2593" i="4"/>
  <c r="M2569" i="4" l="1"/>
  <c r="M2593" i="4"/>
  <c r="M2542" i="4"/>
  <c r="H3915" i="4"/>
  <c r="I3915" i="4"/>
  <c r="M3914" i="4"/>
  <c r="M2546" i="4"/>
  <c r="M2594" i="4"/>
  <c r="M2596" i="4"/>
  <c r="M2598" i="4"/>
  <c r="M2570" i="4"/>
  <c r="M2567" i="4"/>
  <c r="M2544" i="4"/>
  <c r="M2595" i="4"/>
  <c r="M2599" i="4"/>
  <c r="M2571" i="4"/>
  <c r="M2541" i="4"/>
  <c r="M2597" i="4"/>
  <c r="M2568" i="4"/>
  <c r="M2543" i="4"/>
  <c r="M2545" i="4"/>
  <c r="M2572" i="4"/>
  <c r="F2645" i="4"/>
  <c r="G2645" i="4"/>
  <c r="H2645" i="4"/>
  <c r="I2645" i="4"/>
  <c r="J2645" i="4"/>
  <c r="I3916" i="4" l="1"/>
  <c r="H3916" i="4"/>
  <c r="M3915" i="4"/>
  <c r="M2645" i="4"/>
  <c r="I2649" i="4"/>
  <c r="J2649" i="4"/>
  <c r="H2649" i="4"/>
  <c r="G2649" i="4"/>
  <c r="F2649" i="4"/>
  <c r="J2648" i="4"/>
  <c r="I2648" i="4"/>
  <c r="H2648" i="4"/>
  <c r="J2647" i="4"/>
  <c r="I2647" i="4"/>
  <c r="H2647" i="4"/>
  <c r="G2647" i="4"/>
  <c r="F2647" i="4"/>
  <c r="J2646" i="4"/>
  <c r="I2646" i="4"/>
  <c r="H2646" i="4"/>
  <c r="G2646" i="4"/>
  <c r="F2646" i="4"/>
  <c r="J2644" i="4"/>
  <c r="I2644" i="4"/>
  <c r="H2644" i="4"/>
  <c r="G2644" i="4"/>
  <c r="F2644" i="4"/>
  <c r="J2643" i="4"/>
  <c r="I2643" i="4"/>
  <c r="H2643" i="4"/>
  <c r="G2643" i="4"/>
  <c r="F2643" i="4"/>
  <c r="J2642" i="4"/>
  <c r="I2642" i="4"/>
  <c r="H2642" i="4"/>
  <c r="G2642" i="4"/>
  <c r="F2642" i="4"/>
  <c r="M3916" i="4" l="1"/>
  <c r="H3917" i="4"/>
  <c r="I3917" i="4"/>
  <c r="M2644" i="4"/>
  <c r="M2643" i="4"/>
  <c r="M2649" i="4"/>
  <c r="M2648" i="4"/>
  <c r="M2647" i="4"/>
  <c r="M2646" i="4"/>
  <c r="M2642" i="4"/>
  <c r="J2369" i="4"/>
  <c r="I2369" i="4"/>
  <c r="H2369" i="4"/>
  <c r="G2369" i="4"/>
  <c r="F2369" i="4"/>
  <c r="I3918" i="4" l="1"/>
  <c r="H3918" i="4"/>
  <c r="M3917" i="4"/>
  <c r="M2369" i="4"/>
  <c r="J2520" i="4"/>
  <c r="I2520" i="4"/>
  <c r="H2520" i="4"/>
  <c r="G2520" i="4"/>
  <c r="F2520" i="4"/>
  <c r="M3918" i="4" l="1"/>
  <c r="I3919" i="4"/>
  <c r="H3919" i="4"/>
  <c r="M2520" i="4"/>
  <c r="J2343" i="4"/>
  <c r="I2343" i="4"/>
  <c r="H2343" i="4"/>
  <c r="G2343" i="4"/>
  <c r="F2343" i="4"/>
  <c r="J2317" i="4"/>
  <c r="I2317" i="4"/>
  <c r="H2317" i="4"/>
  <c r="G2317" i="4"/>
  <c r="F2317" i="4"/>
  <c r="M3919" i="4" l="1"/>
  <c r="I3920" i="4"/>
  <c r="H3920" i="4"/>
  <c r="M2317" i="4"/>
  <c r="M2343" i="4"/>
  <c r="H3921" i="4" l="1"/>
  <c r="I3921" i="4"/>
  <c r="M3920" i="4"/>
  <c r="S3897" i="4"/>
  <c r="I3897" i="4" s="1"/>
  <c r="S3895" i="4"/>
  <c r="I3895" i="4" s="1"/>
  <c r="I3893" i="4"/>
  <c r="J3898" i="4"/>
  <c r="I3898" i="4"/>
  <c r="H3898" i="4"/>
  <c r="G3898" i="4"/>
  <c r="F3898" i="4"/>
  <c r="J3897" i="4"/>
  <c r="G3897" i="4"/>
  <c r="F3897" i="4"/>
  <c r="J3896" i="4"/>
  <c r="I3896" i="4"/>
  <c r="H3896" i="4"/>
  <c r="G3896" i="4"/>
  <c r="F3896" i="4"/>
  <c r="J3895" i="4"/>
  <c r="G3895" i="4"/>
  <c r="F3895" i="4"/>
  <c r="J3894" i="4"/>
  <c r="I3894" i="4"/>
  <c r="H3894" i="4"/>
  <c r="G3894" i="4"/>
  <c r="F3894" i="4"/>
  <c r="J3893" i="4"/>
  <c r="G3893" i="4"/>
  <c r="F3893" i="4"/>
  <c r="J3892" i="4"/>
  <c r="I3892" i="4"/>
  <c r="H3892" i="4"/>
  <c r="G3892" i="4"/>
  <c r="F3892" i="4"/>
  <c r="S3891" i="4"/>
  <c r="I3891" i="4" s="1"/>
  <c r="J3891" i="4"/>
  <c r="G3891" i="4"/>
  <c r="F3891" i="4"/>
  <c r="M3890" i="4"/>
  <c r="H3922" i="4" l="1"/>
  <c r="I3922" i="4"/>
  <c r="M3921" i="4"/>
  <c r="M3898" i="4"/>
  <c r="M3894" i="4"/>
  <c r="H3897" i="4"/>
  <c r="M3897" i="4" s="1"/>
  <c r="H3895" i="4"/>
  <c r="M3895" i="4" s="1"/>
  <c r="H3893" i="4"/>
  <c r="M3893" i="4" s="1"/>
  <c r="M3896" i="4"/>
  <c r="M3892" i="4"/>
  <c r="H3891" i="4"/>
  <c r="M3891" i="4" s="1"/>
  <c r="M3922" i="4" l="1"/>
  <c r="H3923" i="4"/>
  <c r="I3923" i="4"/>
  <c r="I3924" i="4" l="1"/>
  <c r="H3924" i="4"/>
  <c r="M3923" i="4"/>
  <c r="J1403" i="4"/>
  <c r="G1403" i="4"/>
  <c r="F1403" i="4"/>
  <c r="S1401" i="4"/>
  <c r="I1401" i="4" s="1"/>
  <c r="J1401" i="4"/>
  <c r="G1401" i="4"/>
  <c r="F1401" i="4"/>
  <c r="S1399" i="4"/>
  <c r="I1399" i="4" s="1"/>
  <c r="J1399" i="4"/>
  <c r="G1399" i="4"/>
  <c r="F1399" i="4"/>
  <c r="S1397" i="4"/>
  <c r="I1397" i="4" s="1"/>
  <c r="J1397" i="4"/>
  <c r="G1397" i="4"/>
  <c r="F1397" i="4"/>
  <c r="S1395" i="4"/>
  <c r="I1395" i="4" s="1"/>
  <c r="J1395" i="4"/>
  <c r="G1395" i="4"/>
  <c r="F1395" i="4"/>
  <c r="M3924" i="4" l="1"/>
  <c r="I3925" i="4"/>
  <c r="H3925" i="4"/>
  <c r="M1403" i="4"/>
  <c r="H1399" i="4"/>
  <c r="M1399" i="4" s="1"/>
  <c r="H1401" i="4"/>
  <c r="M1401" i="4" s="1"/>
  <c r="H1397" i="4"/>
  <c r="M1397" i="4" s="1"/>
  <c r="H1395" i="4"/>
  <c r="M1395" i="4" s="1"/>
  <c r="J2846" i="4"/>
  <c r="I2846" i="4"/>
  <c r="H2846" i="4"/>
  <c r="G2846" i="4"/>
  <c r="F2846" i="4"/>
  <c r="S2845" i="4"/>
  <c r="H2845" i="4" s="1"/>
  <c r="J2845" i="4"/>
  <c r="G2845" i="4"/>
  <c r="F2845" i="4"/>
  <c r="S2844" i="4"/>
  <c r="I2844" i="4" s="1"/>
  <c r="J2844" i="4"/>
  <c r="G2844" i="4"/>
  <c r="F2844" i="4"/>
  <c r="S2843" i="4"/>
  <c r="H2843" i="4" s="1"/>
  <c r="J2843" i="4"/>
  <c r="G2843" i="4"/>
  <c r="F2843" i="4"/>
  <c r="S2842" i="4"/>
  <c r="I2842" i="4" s="1"/>
  <c r="J2842" i="4"/>
  <c r="G2842" i="4"/>
  <c r="F2842" i="4"/>
  <c r="J2840" i="4"/>
  <c r="I2840" i="4"/>
  <c r="H2840" i="4"/>
  <c r="G2840" i="4"/>
  <c r="F2840" i="4"/>
  <c r="S2839" i="4"/>
  <c r="I2839" i="4" s="1"/>
  <c r="J2839" i="4"/>
  <c r="G2839" i="4"/>
  <c r="F2839" i="4"/>
  <c r="S2838" i="4"/>
  <c r="I2838" i="4" s="1"/>
  <c r="J2838" i="4"/>
  <c r="G2838" i="4"/>
  <c r="F2838" i="4"/>
  <c r="S2837" i="4"/>
  <c r="I2837" i="4" s="1"/>
  <c r="J2837" i="4"/>
  <c r="G2837" i="4"/>
  <c r="F2837" i="4"/>
  <c r="S2836" i="4"/>
  <c r="I2836" i="4" s="1"/>
  <c r="J2836" i="4"/>
  <c r="G2836" i="4"/>
  <c r="F2836" i="4"/>
  <c r="J2835" i="4"/>
  <c r="I2835" i="4"/>
  <c r="H2835" i="4"/>
  <c r="G2835" i="4"/>
  <c r="F2835" i="4"/>
  <c r="S2834" i="4"/>
  <c r="I2834" i="4" s="1"/>
  <c r="J2834" i="4"/>
  <c r="G2834" i="4"/>
  <c r="F2834" i="4"/>
  <c r="S2833" i="4"/>
  <c r="H2833" i="4" s="1"/>
  <c r="J2833" i="4"/>
  <c r="G2833" i="4"/>
  <c r="F2833" i="4"/>
  <c r="S2832" i="4"/>
  <c r="H2832" i="4" s="1"/>
  <c r="J2832" i="4"/>
  <c r="G2832" i="4"/>
  <c r="F2832" i="4"/>
  <c r="S2831" i="4"/>
  <c r="I2831" i="4" s="1"/>
  <c r="J2831" i="4"/>
  <c r="G2831" i="4"/>
  <c r="F2831" i="4"/>
  <c r="J2829" i="4"/>
  <c r="I2829" i="4"/>
  <c r="H2829" i="4"/>
  <c r="G2829" i="4"/>
  <c r="F2829" i="4"/>
  <c r="S2828" i="4"/>
  <c r="I2828" i="4" s="1"/>
  <c r="J2828" i="4"/>
  <c r="G2828" i="4"/>
  <c r="F2828" i="4"/>
  <c r="S2827" i="4"/>
  <c r="I2827" i="4" s="1"/>
  <c r="J2827" i="4"/>
  <c r="G2827" i="4"/>
  <c r="F2827" i="4"/>
  <c r="S2826" i="4"/>
  <c r="H2826" i="4" s="1"/>
  <c r="J2826" i="4"/>
  <c r="G2826" i="4"/>
  <c r="F2826" i="4"/>
  <c r="S2825" i="4"/>
  <c r="I2825" i="4" s="1"/>
  <c r="J2825" i="4"/>
  <c r="G2825" i="4"/>
  <c r="F2825" i="4"/>
  <c r="S2823" i="4"/>
  <c r="H2823" i="4" s="1"/>
  <c r="J2823" i="4"/>
  <c r="G2823" i="4"/>
  <c r="F2823" i="4"/>
  <c r="S2822" i="4"/>
  <c r="H2822" i="4" s="1"/>
  <c r="J2822" i="4"/>
  <c r="G2822" i="4"/>
  <c r="F2822" i="4"/>
  <c r="S2821" i="4"/>
  <c r="H2821" i="4" s="1"/>
  <c r="J2821" i="4"/>
  <c r="G2821" i="4"/>
  <c r="F2821" i="4"/>
  <c r="S2820" i="4"/>
  <c r="H2820" i="4" s="1"/>
  <c r="J2820" i="4"/>
  <c r="G2820" i="4"/>
  <c r="F2820" i="4"/>
  <c r="S2819" i="4"/>
  <c r="H2819" i="4" s="1"/>
  <c r="J2819" i="4"/>
  <c r="G2819" i="4"/>
  <c r="F2819" i="4"/>
  <c r="S2818" i="4"/>
  <c r="H2818" i="4" s="1"/>
  <c r="J2818" i="4"/>
  <c r="G2818" i="4"/>
  <c r="F2818" i="4"/>
  <c r="S2817" i="4"/>
  <c r="H2817" i="4" s="1"/>
  <c r="J2817" i="4"/>
  <c r="G2817" i="4"/>
  <c r="F2817" i="4"/>
  <c r="S2816" i="4"/>
  <c r="H2816" i="4" s="1"/>
  <c r="J2816" i="4"/>
  <c r="G2816" i="4"/>
  <c r="F2816" i="4"/>
  <c r="S2815" i="4"/>
  <c r="H2815" i="4" s="1"/>
  <c r="J2815" i="4"/>
  <c r="G2815" i="4"/>
  <c r="F2815" i="4"/>
  <c r="S2814" i="4"/>
  <c r="H2814" i="4" s="1"/>
  <c r="J2814" i="4"/>
  <c r="G2814" i="4"/>
  <c r="F2814" i="4"/>
  <c r="S2813" i="4"/>
  <c r="H2813" i="4" s="1"/>
  <c r="J2813" i="4"/>
  <c r="G2813" i="4"/>
  <c r="F2813" i="4"/>
  <c r="S2812" i="4"/>
  <c r="H2812" i="4" s="1"/>
  <c r="J2812" i="4"/>
  <c r="G2812" i="4"/>
  <c r="F2812" i="4"/>
  <c r="S2811" i="4"/>
  <c r="H2811" i="4" s="1"/>
  <c r="J2811" i="4"/>
  <c r="G2811" i="4"/>
  <c r="F2811" i="4"/>
  <c r="S2810" i="4"/>
  <c r="H2810" i="4" s="1"/>
  <c r="J2810" i="4"/>
  <c r="G2810" i="4"/>
  <c r="F2810" i="4"/>
  <c r="S2809" i="4"/>
  <c r="H2809" i="4" s="1"/>
  <c r="J2809" i="4"/>
  <c r="G2809" i="4"/>
  <c r="F2809" i="4"/>
  <c r="S2808" i="4"/>
  <c r="H2808" i="4" s="1"/>
  <c r="J2808" i="4"/>
  <c r="G2808" i="4"/>
  <c r="F2808" i="4"/>
  <c r="S2807" i="4"/>
  <c r="H2807" i="4" s="1"/>
  <c r="J2807" i="4"/>
  <c r="G2807" i="4"/>
  <c r="F2807" i="4"/>
  <c r="S2806" i="4"/>
  <c r="H2806" i="4" s="1"/>
  <c r="J2806" i="4"/>
  <c r="G2806" i="4"/>
  <c r="F2806" i="4"/>
  <c r="S2805" i="4"/>
  <c r="H2805" i="4" s="1"/>
  <c r="J2805" i="4"/>
  <c r="G2805" i="4"/>
  <c r="F2805" i="4"/>
  <c r="S2804" i="4"/>
  <c r="H2804" i="4" s="1"/>
  <c r="J2804" i="4"/>
  <c r="G2804" i="4"/>
  <c r="F2804" i="4"/>
  <c r="S2802" i="4"/>
  <c r="I2802" i="4" s="1"/>
  <c r="J2802" i="4"/>
  <c r="G2802" i="4"/>
  <c r="F2802" i="4"/>
  <c r="S2801" i="4"/>
  <c r="I2801" i="4" s="1"/>
  <c r="J2801" i="4"/>
  <c r="G2801" i="4"/>
  <c r="F2801" i="4"/>
  <c r="S2800" i="4"/>
  <c r="H2800" i="4" s="1"/>
  <c r="J2800" i="4"/>
  <c r="G2800" i="4"/>
  <c r="F2800" i="4"/>
  <c r="S2799" i="4"/>
  <c r="I2799" i="4" s="1"/>
  <c r="J2799" i="4"/>
  <c r="G2799" i="4"/>
  <c r="F2799" i="4"/>
  <c r="S2798" i="4"/>
  <c r="H2798" i="4" s="1"/>
  <c r="J2798" i="4"/>
  <c r="G2798" i="4"/>
  <c r="F2798" i="4"/>
  <c r="J2796" i="4"/>
  <c r="I2796" i="4"/>
  <c r="H2796" i="4"/>
  <c r="G2796" i="4"/>
  <c r="F2796" i="4"/>
  <c r="S2795" i="4"/>
  <c r="H2795" i="4" s="1"/>
  <c r="J2795" i="4"/>
  <c r="G2795" i="4"/>
  <c r="F2795" i="4"/>
  <c r="S2794" i="4"/>
  <c r="I2794" i="4" s="1"/>
  <c r="J2794" i="4"/>
  <c r="G2794" i="4"/>
  <c r="F2794" i="4"/>
  <c r="J2793" i="4"/>
  <c r="I2793" i="4"/>
  <c r="H2793" i="4"/>
  <c r="G2793" i="4"/>
  <c r="F2793" i="4"/>
  <c r="J2792" i="4"/>
  <c r="I2792" i="4"/>
  <c r="H2792" i="4"/>
  <c r="G2792" i="4"/>
  <c r="F2792" i="4"/>
  <c r="J2790" i="4"/>
  <c r="I2790" i="4"/>
  <c r="H2790" i="4"/>
  <c r="G2790" i="4"/>
  <c r="F2790" i="4"/>
  <c r="J2789" i="4"/>
  <c r="I2789" i="4"/>
  <c r="H2789" i="4"/>
  <c r="G2789" i="4"/>
  <c r="F2789" i="4"/>
  <c r="S2788" i="4"/>
  <c r="I2788" i="4" s="1"/>
  <c r="J2788" i="4"/>
  <c r="G2788" i="4"/>
  <c r="F2788" i="4"/>
  <c r="S2787" i="4"/>
  <c r="H2787" i="4" s="1"/>
  <c r="J2787" i="4"/>
  <c r="G2787" i="4"/>
  <c r="F2787" i="4"/>
  <c r="S2786" i="4"/>
  <c r="H2786" i="4" s="1"/>
  <c r="J2786" i="4"/>
  <c r="G2786" i="4"/>
  <c r="F2786" i="4"/>
  <c r="M2791" i="4"/>
  <c r="M2785" i="4"/>
  <c r="M2797" i="4"/>
  <c r="M2803" i="4"/>
  <c r="M2824" i="4"/>
  <c r="M2830" i="4"/>
  <c r="M2841" i="4"/>
  <c r="M2847" i="4"/>
  <c r="F2848" i="4"/>
  <c r="G2848" i="4"/>
  <c r="J2848" i="4"/>
  <c r="S2848" i="4"/>
  <c r="I2848" i="4" s="1"/>
  <c r="F2849" i="4"/>
  <c r="G2849" i="4"/>
  <c r="J2849" i="4"/>
  <c r="S2849" i="4"/>
  <c r="H2849" i="4" s="1"/>
  <c r="F2850" i="4"/>
  <c r="G2850" i="4"/>
  <c r="J2850" i="4"/>
  <c r="S2850" i="4"/>
  <c r="I2850" i="4" s="1"/>
  <c r="F2851" i="4"/>
  <c r="G2851" i="4"/>
  <c r="J2851" i="4"/>
  <c r="S2851" i="4"/>
  <c r="I2851" i="4" s="1"/>
  <c r="F2852" i="4"/>
  <c r="G2852" i="4"/>
  <c r="J2852" i="4"/>
  <c r="S2852" i="4"/>
  <c r="H2852" i="4" s="1"/>
  <c r="M2853" i="4"/>
  <c r="F2854" i="4"/>
  <c r="G2854" i="4"/>
  <c r="J2854" i="4"/>
  <c r="S2854" i="4"/>
  <c r="I2854" i="4" s="1"/>
  <c r="M2855" i="4"/>
  <c r="F2856" i="4"/>
  <c r="G2856" i="4"/>
  <c r="J2856" i="4"/>
  <c r="S2856" i="4"/>
  <c r="H2856" i="4" s="1"/>
  <c r="F2857" i="4"/>
  <c r="G2857" i="4"/>
  <c r="J2857" i="4"/>
  <c r="S2857" i="4"/>
  <c r="I2857" i="4" s="1"/>
  <c r="M3925" i="4" l="1"/>
  <c r="I3926" i="4"/>
  <c r="H3926" i="4"/>
  <c r="I2856" i="4"/>
  <c r="M2856" i="4" s="1"/>
  <c r="H2857" i="4"/>
  <c r="M2857" i="4" s="1"/>
  <c r="I2818" i="4"/>
  <c r="M2818" i="4" s="1"/>
  <c r="I2800" i="4"/>
  <c r="M2800" i="4" s="1"/>
  <c r="I2821" i="4"/>
  <c r="M2821" i="4" s="1"/>
  <c r="I2812" i="4"/>
  <c r="M2812" i="4" s="1"/>
  <c r="H2801" i="4"/>
  <c r="M2801" i="4" s="1"/>
  <c r="I2798" i="4"/>
  <c r="M2798" i="4" s="1"/>
  <c r="I2809" i="4"/>
  <c r="M2809" i="4" s="1"/>
  <c r="I2843" i="4"/>
  <c r="M2843" i="4" s="1"/>
  <c r="H2844" i="4"/>
  <c r="M2844" i="4" s="1"/>
  <c r="M2789" i="4"/>
  <c r="M2790" i="4"/>
  <c r="M2793" i="4"/>
  <c r="M2840" i="4"/>
  <c r="H2850" i="4"/>
  <c r="M2850" i="4" s="1"/>
  <c r="I2806" i="4"/>
  <c r="M2806" i="4" s="1"/>
  <c r="I2815" i="4"/>
  <c r="M2815" i="4" s="1"/>
  <c r="M2829" i="4"/>
  <c r="M2835" i="4"/>
  <c r="H2851" i="4"/>
  <c r="M2851" i="4" s="1"/>
  <c r="H2848" i="4"/>
  <c r="M2848" i="4" s="1"/>
  <c r="I2787" i="4"/>
  <c r="M2787" i="4" s="1"/>
  <c r="I2795" i="4"/>
  <c r="M2795" i="4" s="1"/>
  <c r="I2805" i="4"/>
  <c r="M2805" i="4" s="1"/>
  <c r="I2808" i="4"/>
  <c r="M2808" i="4" s="1"/>
  <c r="I2811" i="4"/>
  <c r="M2811" i="4" s="1"/>
  <c r="I2814" i="4"/>
  <c r="M2814" i="4" s="1"/>
  <c r="I2817" i="4"/>
  <c r="M2817" i="4" s="1"/>
  <c r="I2820" i="4"/>
  <c r="M2820" i="4" s="1"/>
  <c r="I2823" i="4"/>
  <c r="M2823" i="4" s="1"/>
  <c r="I2826" i="4"/>
  <c r="M2826" i="4" s="1"/>
  <c r="M2792" i="4"/>
  <c r="M2796" i="4"/>
  <c r="H2831" i="4"/>
  <c r="M2831" i="4" s="1"/>
  <c r="I2833" i="4"/>
  <c r="M2833" i="4" s="1"/>
  <c r="H2834" i="4"/>
  <c r="M2834" i="4" s="1"/>
  <c r="H2837" i="4"/>
  <c r="M2837" i="4" s="1"/>
  <c r="H2854" i="4"/>
  <c r="M2854" i="4" s="1"/>
  <c r="I2786" i="4"/>
  <c r="M2786" i="4" s="1"/>
  <c r="H2838" i="4"/>
  <c r="M2838" i="4" s="1"/>
  <c r="M2846" i="4"/>
  <c r="I2845" i="4"/>
  <c r="M2845" i="4" s="1"/>
  <c r="H2842" i="4"/>
  <c r="M2842" i="4" s="1"/>
  <c r="I2832" i="4"/>
  <c r="M2832" i="4" s="1"/>
  <c r="H2836" i="4"/>
  <c r="M2836" i="4" s="1"/>
  <c r="H2839" i="4"/>
  <c r="M2839" i="4" s="1"/>
  <c r="H2825" i="4"/>
  <c r="M2825" i="4" s="1"/>
  <c r="H2828" i="4"/>
  <c r="M2828" i="4" s="1"/>
  <c r="H2827" i="4"/>
  <c r="M2827" i="4" s="1"/>
  <c r="I2804" i="4"/>
  <c r="M2804" i="4" s="1"/>
  <c r="I2807" i="4"/>
  <c r="M2807" i="4" s="1"/>
  <c r="I2810" i="4"/>
  <c r="M2810" i="4" s="1"/>
  <c r="I2813" i="4"/>
  <c r="M2813" i="4" s="1"/>
  <c r="I2816" i="4"/>
  <c r="M2816" i="4" s="1"/>
  <c r="I2819" i="4"/>
  <c r="M2819" i="4" s="1"/>
  <c r="I2822" i="4"/>
  <c r="M2822" i="4" s="1"/>
  <c r="H2799" i="4"/>
  <c r="M2799" i="4" s="1"/>
  <c r="H2802" i="4"/>
  <c r="M2802" i="4" s="1"/>
  <c r="H2794" i="4"/>
  <c r="M2794" i="4" s="1"/>
  <c r="H2788" i="4"/>
  <c r="M2788" i="4" s="1"/>
  <c r="I2852" i="4"/>
  <c r="M2852" i="4" s="1"/>
  <c r="I2849" i="4"/>
  <c r="M2849" i="4" s="1"/>
  <c r="I3927" i="4" l="1"/>
  <c r="H3927" i="4"/>
  <c r="M3926" i="4"/>
  <c r="S1402" i="4"/>
  <c r="I1402" i="4" s="1"/>
  <c r="J1402" i="4"/>
  <c r="G1402" i="4"/>
  <c r="F1402" i="4"/>
  <c r="S1400" i="4"/>
  <c r="I1400" i="4" s="1"/>
  <c r="J1400" i="4"/>
  <c r="G1400" i="4"/>
  <c r="F1400" i="4"/>
  <c r="S1398" i="4"/>
  <c r="I1398" i="4" s="1"/>
  <c r="J1398" i="4"/>
  <c r="G1398" i="4"/>
  <c r="F1398" i="4"/>
  <c r="S1396" i="4"/>
  <c r="H1396" i="4" s="1"/>
  <c r="J1396" i="4"/>
  <c r="G1396" i="4"/>
  <c r="F1396" i="4"/>
  <c r="S1394" i="4"/>
  <c r="H1394" i="4" s="1"/>
  <c r="J1394" i="4"/>
  <c r="G1394" i="4"/>
  <c r="F1394" i="4"/>
  <c r="M1393" i="4"/>
  <c r="I3928" i="4" l="1"/>
  <c r="H3928" i="4"/>
  <c r="M3927" i="4"/>
  <c r="I1394" i="4"/>
  <c r="M1394" i="4" s="1"/>
  <c r="I1396" i="4"/>
  <c r="M1396" i="4" s="1"/>
  <c r="H1402" i="4"/>
  <c r="M1402" i="4" s="1"/>
  <c r="H1400" i="4"/>
  <c r="M1400" i="4" s="1"/>
  <c r="H1398" i="4"/>
  <c r="M1398" i="4" s="1"/>
  <c r="M3928" i="4" l="1"/>
  <c r="H3929" i="4"/>
  <c r="I3929" i="4"/>
  <c r="I3930" i="4" l="1"/>
  <c r="H3930" i="4"/>
  <c r="M3929" i="4"/>
  <c r="M3930" i="4" l="1"/>
  <c r="I3931" i="4"/>
  <c r="H3931" i="4"/>
  <c r="M3931" i="4" l="1"/>
  <c r="I3932" i="4"/>
  <c r="H3932" i="4"/>
  <c r="M3932" i="4" l="1"/>
  <c r="H3933" i="4"/>
  <c r="I3933" i="4"/>
  <c r="J972" i="4"/>
  <c r="G972" i="4"/>
  <c r="F972" i="4"/>
  <c r="J971" i="4"/>
  <c r="G971" i="4"/>
  <c r="F971" i="4"/>
  <c r="J970" i="4"/>
  <c r="G970" i="4"/>
  <c r="F970" i="4"/>
  <c r="J969" i="4"/>
  <c r="G969" i="4"/>
  <c r="F969" i="4"/>
  <c r="J968" i="4"/>
  <c r="G968" i="4"/>
  <c r="F968" i="4"/>
  <c r="J903" i="4"/>
  <c r="G903" i="4"/>
  <c r="F903" i="4"/>
  <c r="J902" i="4"/>
  <c r="G902" i="4"/>
  <c r="F902" i="4"/>
  <c r="J901" i="4"/>
  <c r="G901" i="4"/>
  <c r="F901" i="4"/>
  <c r="J900" i="4"/>
  <c r="G900" i="4"/>
  <c r="F900" i="4"/>
  <c r="J899" i="4"/>
  <c r="G899" i="4"/>
  <c r="F899" i="4"/>
  <c r="J887" i="4"/>
  <c r="G887" i="4"/>
  <c r="F887" i="4"/>
  <c r="J886" i="4"/>
  <c r="G886" i="4"/>
  <c r="F886" i="4"/>
  <c r="J885" i="4"/>
  <c r="G885" i="4"/>
  <c r="F885" i="4"/>
  <c r="J884" i="4"/>
  <c r="G884" i="4"/>
  <c r="F884" i="4"/>
  <c r="J883" i="4"/>
  <c r="G883" i="4"/>
  <c r="F883" i="4"/>
  <c r="J881" i="4"/>
  <c r="G881" i="4"/>
  <c r="F881" i="4"/>
  <c r="J880" i="4"/>
  <c r="G880" i="4"/>
  <c r="F880" i="4"/>
  <c r="J879" i="4"/>
  <c r="G879" i="4"/>
  <c r="F879" i="4"/>
  <c r="J878" i="4"/>
  <c r="G878" i="4"/>
  <c r="F878" i="4"/>
  <c r="J877" i="4"/>
  <c r="G877" i="4"/>
  <c r="F877" i="4"/>
  <c r="J876" i="4"/>
  <c r="G876" i="4"/>
  <c r="F876" i="4"/>
  <c r="J875" i="4"/>
  <c r="G875" i="4"/>
  <c r="F875" i="4"/>
  <c r="J874" i="4"/>
  <c r="G874" i="4"/>
  <c r="F874" i="4"/>
  <c r="J873" i="4"/>
  <c r="G873" i="4"/>
  <c r="F873" i="4"/>
  <c r="J872" i="4"/>
  <c r="G872" i="4"/>
  <c r="F872" i="4"/>
  <c r="J871" i="4"/>
  <c r="G871" i="4"/>
  <c r="F871" i="4"/>
  <c r="J870" i="4"/>
  <c r="G870" i="4"/>
  <c r="F870" i="4"/>
  <c r="J869" i="4"/>
  <c r="G869" i="4"/>
  <c r="F869" i="4"/>
  <c r="J868" i="4"/>
  <c r="G868" i="4"/>
  <c r="F868" i="4"/>
  <c r="J867" i="4"/>
  <c r="G867" i="4"/>
  <c r="F867" i="4"/>
  <c r="J865" i="4"/>
  <c r="G865" i="4"/>
  <c r="F865" i="4"/>
  <c r="J864" i="4"/>
  <c r="G864" i="4"/>
  <c r="F864" i="4"/>
  <c r="J863" i="4"/>
  <c r="G863" i="4"/>
  <c r="F863" i="4"/>
  <c r="J862" i="4"/>
  <c r="G862" i="4"/>
  <c r="F862" i="4"/>
  <c r="J861" i="4"/>
  <c r="G861" i="4"/>
  <c r="F861" i="4"/>
  <c r="J860" i="4"/>
  <c r="G860" i="4"/>
  <c r="F860" i="4"/>
  <c r="J859" i="4"/>
  <c r="G859" i="4"/>
  <c r="F859" i="4"/>
  <c r="J858" i="4"/>
  <c r="G858" i="4"/>
  <c r="F858" i="4"/>
  <c r="J857" i="4"/>
  <c r="G857" i="4"/>
  <c r="F857" i="4"/>
  <c r="J856" i="4"/>
  <c r="G856" i="4"/>
  <c r="F856" i="4"/>
  <c r="J855" i="4"/>
  <c r="G855" i="4"/>
  <c r="F855" i="4"/>
  <c r="J854" i="4"/>
  <c r="G854" i="4"/>
  <c r="F854" i="4"/>
  <c r="J853" i="4"/>
  <c r="G853" i="4"/>
  <c r="F853" i="4"/>
  <c r="J852" i="4"/>
  <c r="G852" i="4"/>
  <c r="F852" i="4"/>
  <c r="J851" i="4"/>
  <c r="G851" i="4"/>
  <c r="F851" i="4"/>
  <c r="S903" i="4"/>
  <c r="H903" i="4" s="1"/>
  <c r="S902" i="4"/>
  <c r="I902" i="4" s="1"/>
  <c r="S901" i="4"/>
  <c r="I901" i="4" s="1"/>
  <c r="S900" i="4"/>
  <c r="I900" i="4" s="1"/>
  <c r="S899" i="4"/>
  <c r="I899" i="4" s="1"/>
  <c r="S897" i="4"/>
  <c r="S896" i="4"/>
  <c r="S895" i="4"/>
  <c r="S894" i="4"/>
  <c r="S893" i="4"/>
  <c r="S892" i="4"/>
  <c r="S891" i="4"/>
  <c r="S890" i="4"/>
  <c r="S889" i="4"/>
  <c r="S888" i="4"/>
  <c r="S887" i="4"/>
  <c r="I887" i="4" s="1"/>
  <c r="S886" i="4"/>
  <c r="I886" i="4" s="1"/>
  <c r="S885" i="4"/>
  <c r="I885" i="4" s="1"/>
  <c r="S884" i="4"/>
  <c r="I884" i="4" s="1"/>
  <c r="S883" i="4"/>
  <c r="I883" i="4" s="1"/>
  <c r="S881" i="4"/>
  <c r="I881" i="4" s="1"/>
  <c r="S880" i="4"/>
  <c r="H880" i="4" s="1"/>
  <c r="S879" i="4"/>
  <c r="I879" i="4" s="1"/>
  <c r="S878" i="4"/>
  <c r="I878" i="4" s="1"/>
  <c r="S877" i="4"/>
  <c r="I877" i="4" s="1"/>
  <c r="S876" i="4"/>
  <c r="I876" i="4" s="1"/>
  <c r="S875" i="4"/>
  <c r="I875" i="4" s="1"/>
  <c r="S874" i="4"/>
  <c r="H874" i="4" s="1"/>
  <c r="S873" i="4"/>
  <c r="I873" i="4" s="1"/>
  <c r="S872" i="4"/>
  <c r="I872" i="4" s="1"/>
  <c r="S871" i="4"/>
  <c r="I871" i="4" s="1"/>
  <c r="S870" i="4"/>
  <c r="I870" i="4" s="1"/>
  <c r="S869" i="4"/>
  <c r="H869" i="4" s="1"/>
  <c r="S868" i="4"/>
  <c r="H868" i="4" s="1"/>
  <c r="S867" i="4"/>
  <c r="H867" i="4" s="1"/>
  <c r="S865" i="4"/>
  <c r="H865" i="4" s="1"/>
  <c r="S864" i="4"/>
  <c r="I864" i="4" s="1"/>
  <c r="S863" i="4"/>
  <c r="I863" i="4" s="1"/>
  <c r="S862" i="4"/>
  <c r="I862" i="4" s="1"/>
  <c r="S861" i="4"/>
  <c r="I861" i="4" s="1"/>
  <c r="S860" i="4"/>
  <c r="I860" i="4" s="1"/>
  <c r="S859" i="4"/>
  <c r="I859" i="4" s="1"/>
  <c r="S858" i="4"/>
  <c r="H858" i="4" s="1"/>
  <c r="S857" i="4"/>
  <c r="H857" i="4" s="1"/>
  <c r="S856" i="4"/>
  <c r="I856" i="4" s="1"/>
  <c r="S855" i="4"/>
  <c r="I855" i="4" s="1"/>
  <c r="S854" i="4"/>
  <c r="I854" i="4" s="1"/>
  <c r="S853" i="4"/>
  <c r="I853" i="4" s="1"/>
  <c r="S852" i="4"/>
  <c r="H852" i="4" s="1"/>
  <c r="S851" i="4"/>
  <c r="I851" i="4" s="1"/>
  <c r="S849" i="4"/>
  <c r="S848" i="4"/>
  <c r="S847" i="4"/>
  <c r="S846" i="4"/>
  <c r="S845" i="4"/>
  <c r="S844" i="4"/>
  <c r="S843" i="4"/>
  <c r="S842" i="4"/>
  <c r="S841" i="4"/>
  <c r="S840" i="4"/>
  <c r="S839" i="4"/>
  <c r="S838" i="4"/>
  <c r="S837" i="4"/>
  <c r="S836" i="4"/>
  <c r="S835" i="4"/>
  <c r="S833" i="4"/>
  <c r="H833" i="4" s="1"/>
  <c r="S832" i="4"/>
  <c r="H832" i="4" s="1"/>
  <c r="S831" i="4"/>
  <c r="H831" i="4" s="1"/>
  <c r="S830" i="4"/>
  <c r="H830" i="4" s="1"/>
  <c r="S829" i="4"/>
  <c r="I829" i="4" s="1"/>
  <c r="J833" i="4"/>
  <c r="G833" i="4"/>
  <c r="F833" i="4"/>
  <c r="J832" i="4"/>
  <c r="G832" i="4"/>
  <c r="F832" i="4"/>
  <c r="J831" i="4"/>
  <c r="G831" i="4"/>
  <c r="F831" i="4"/>
  <c r="J830" i="4"/>
  <c r="G830" i="4"/>
  <c r="F830" i="4"/>
  <c r="J829" i="4"/>
  <c r="G829" i="4"/>
  <c r="F829" i="4"/>
  <c r="S817" i="4"/>
  <c r="I817" i="4" s="1"/>
  <c r="S816" i="4"/>
  <c r="H816" i="4" s="1"/>
  <c r="S815" i="4"/>
  <c r="H815" i="4" s="1"/>
  <c r="S814" i="4"/>
  <c r="H814" i="4" s="1"/>
  <c r="S813" i="4"/>
  <c r="I813" i="4" s="1"/>
  <c r="S811" i="4"/>
  <c r="I811" i="4" s="1"/>
  <c r="S810" i="4"/>
  <c r="H810" i="4" s="1"/>
  <c r="S809" i="4"/>
  <c r="I809" i="4" s="1"/>
  <c r="S808" i="4"/>
  <c r="I808" i="4" s="1"/>
  <c r="S807" i="4"/>
  <c r="H807" i="4" s="1"/>
  <c r="S806" i="4"/>
  <c r="I806" i="4" s="1"/>
  <c r="S805" i="4"/>
  <c r="I805" i="4" s="1"/>
  <c r="S804" i="4"/>
  <c r="I804" i="4" s="1"/>
  <c r="S803" i="4"/>
  <c r="I803" i="4" s="1"/>
  <c r="S802" i="4"/>
  <c r="H802" i="4" s="1"/>
  <c r="S801" i="4"/>
  <c r="H801" i="4" s="1"/>
  <c r="S800" i="4"/>
  <c r="I800" i="4" s="1"/>
  <c r="S799" i="4"/>
  <c r="I799" i="4" s="1"/>
  <c r="S798" i="4"/>
  <c r="I798" i="4" s="1"/>
  <c r="S797" i="4"/>
  <c r="I797" i="4" s="1"/>
  <c r="S795" i="4"/>
  <c r="I795" i="4" s="1"/>
  <c r="S794" i="4"/>
  <c r="I794" i="4" s="1"/>
  <c r="S793" i="4"/>
  <c r="H793" i="4" s="1"/>
  <c r="S792" i="4"/>
  <c r="H792" i="4" s="1"/>
  <c r="S791" i="4"/>
  <c r="I791" i="4" s="1"/>
  <c r="S790" i="4"/>
  <c r="H790" i="4" s="1"/>
  <c r="S789" i="4"/>
  <c r="H789" i="4" s="1"/>
  <c r="S788" i="4"/>
  <c r="H788" i="4" s="1"/>
  <c r="S787" i="4"/>
  <c r="I787" i="4" s="1"/>
  <c r="S786" i="4"/>
  <c r="I786" i="4" s="1"/>
  <c r="S785" i="4"/>
  <c r="I785" i="4" s="1"/>
  <c r="S784" i="4"/>
  <c r="I784" i="4" s="1"/>
  <c r="S783" i="4"/>
  <c r="I783" i="4" s="1"/>
  <c r="S782" i="4"/>
  <c r="H782" i="4" s="1"/>
  <c r="S781" i="4"/>
  <c r="I781" i="4" s="1"/>
  <c r="J817" i="4"/>
  <c r="G817" i="4"/>
  <c r="F817" i="4"/>
  <c r="J816" i="4"/>
  <c r="G816" i="4"/>
  <c r="F816" i="4"/>
  <c r="J815" i="4"/>
  <c r="G815" i="4"/>
  <c r="F815" i="4"/>
  <c r="J814" i="4"/>
  <c r="G814" i="4"/>
  <c r="F814" i="4"/>
  <c r="J813" i="4"/>
  <c r="G813" i="4"/>
  <c r="F813" i="4"/>
  <c r="J811" i="4"/>
  <c r="G811" i="4"/>
  <c r="F811" i="4"/>
  <c r="J810" i="4"/>
  <c r="G810" i="4"/>
  <c r="F810" i="4"/>
  <c r="J809" i="4"/>
  <c r="G809" i="4"/>
  <c r="F809" i="4"/>
  <c r="J808" i="4"/>
  <c r="G808" i="4"/>
  <c r="F808" i="4"/>
  <c r="J807" i="4"/>
  <c r="G807" i="4"/>
  <c r="F807" i="4"/>
  <c r="J806" i="4"/>
  <c r="G806" i="4"/>
  <c r="F806" i="4"/>
  <c r="J805" i="4"/>
  <c r="G805" i="4"/>
  <c r="F805" i="4"/>
  <c r="J804" i="4"/>
  <c r="G804" i="4"/>
  <c r="F804" i="4"/>
  <c r="J803" i="4"/>
  <c r="G803" i="4"/>
  <c r="F803" i="4"/>
  <c r="J802" i="4"/>
  <c r="G802" i="4"/>
  <c r="F802" i="4"/>
  <c r="J801" i="4"/>
  <c r="G801" i="4"/>
  <c r="F801" i="4"/>
  <c r="J800" i="4"/>
  <c r="G800" i="4"/>
  <c r="F800" i="4"/>
  <c r="J799" i="4"/>
  <c r="G799" i="4"/>
  <c r="F799" i="4"/>
  <c r="J798" i="4"/>
  <c r="G798" i="4"/>
  <c r="F798" i="4"/>
  <c r="J797" i="4"/>
  <c r="G797" i="4"/>
  <c r="F797" i="4"/>
  <c r="J795" i="4"/>
  <c r="G795" i="4"/>
  <c r="F795" i="4"/>
  <c r="J794" i="4"/>
  <c r="G794" i="4"/>
  <c r="F794" i="4"/>
  <c r="J793" i="4"/>
  <c r="G793" i="4"/>
  <c r="F793" i="4"/>
  <c r="J792" i="4"/>
  <c r="G792" i="4"/>
  <c r="F792" i="4"/>
  <c r="J791" i="4"/>
  <c r="G791" i="4"/>
  <c r="F791" i="4"/>
  <c r="J790" i="4"/>
  <c r="G790" i="4"/>
  <c r="F790" i="4"/>
  <c r="J789" i="4"/>
  <c r="G789" i="4"/>
  <c r="F789" i="4"/>
  <c r="J788" i="4"/>
  <c r="G788" i="4"/>
  <c r="F788" i="4"/>
  <c r="J787" i="4"/>
  <c r="G787" i="4"/>
  <c r="F787" i="4"/>
  <c r="J786" i="4"/>
  <c r="G786" i="4"/>
  <c r="F786" i="4"/>
  <c r="J785" i="4"/>
  <c r="G785" i="4"/>
  <c r="F785" i="4"/>
  <c r="J784" i="4"/>
  <c r="G784" i="4"/>
  <c r="F784" i="4"/>
  <c r="J783" i="4"/>
  <c r="G783" i="4"/>
  <c r="F783" i="4"/>
  <c r="J782" i="4"/>
  <c r="G782" i="4"/>
  <c r="F782" i="4"/>
  <c r="J781" i="4"/>
  <c r="G781" i="4"/>
  <c r="F781" i="4"/>
  <c r="J779" i="4"/>
  <c r="G779" i="4"/>
  <c r="F779" i="4"/>
  <c r="J778" i="4"/>
  <c r="G778" i="4"/>
  <c r="F778" i="4"/>
  <c r="J777" i="4"/>
  <c r="G777" i="4"/>
  <c r="F777" i="4"/>
  <c r="J776" i="4"/>
  <c r="G776" i="4"/>
  <c r="F776" i="4"/>
  <c r="J775" i="4"/>
  <c r="G775" i="4"/>
  <c r="F775" i="4"/>
  <c r="J774" i="4"/>
  <c r="G774" i="4"/>
  <c r="F774" i="4"/>
  <c r="J773" i="4"/>
  <c r="G773" i="4"/>
  <c r="F773" i="4"/>
  <c r="J772" i="4"/>
  <c r="G772" i="4"/>
  <c r="F772" i="4"/>
  <c r="J771" i="4"/>
  <c r="G771" i="4"/>
  <c r="F771" i="4"/>
  <c r="J770" i="4"/>
  <c r="G770" i="4"/>
  <c r="F770" i="4"/>
  <c r="J769" i="4"/>
  <c r="G769" i="4"/>
  <c r="F769" i="4"/>
  <c r="J768" i="4"/>
  <c r="G768" i="4"/>
  <c r="F768" i="4"/>
  <c r="J767" i="4"/>
  <c r="G767" i="4"/>
  <c r="F767" i="4"/>
  <c r="J766" i="4"/>
  <c r="G766" i="4"/>
  <c r="F766" i="4"/>
  <c r="J765" i="4"/>
  <c r="G765" i="4"/>
  <c r="F765" i="4"/>
  <c r="S779" i="4"/>
  <c r="I779" i="4" s="1"/>
  <c r="S778" i="4"/>
  <c r="I778" i="4" s="1"/>
  <c r="S777" i="4"/>
  <c r="I777" i="4" s="1"/>
  <c r="S776" i="4"/>
  <c r="H776" i="4" s="1"/>
  <c r="S775" i="4"/>
  <c r="I775" i="4" s="1"/>
  <c r="S774" i="4"/>
  <c r="H774" i="4" s="1"/>
  <c r="S773" i="4"/>
  <c r="I773" i="4" s="1"/>
  <c r="S772" i="4"/>
  <c r="I772" i="4" s="1"/>
  <c r="S771" i="4"/>
  <c r="I771" i="4" s="1"/>
  <c r="S770" i="4"/>
  <c r="I770" i="4" s="1"/>
  <c r="S769" i="4"/>
  <c r="I769" i="4" s="1"/>
  <c r="S768" i="4"/>
  <c r="H768" i="4" s="1"/>
  <c r="S767" i="4"/>
  <c r="I767" i="4" s="1"/>
  <c r="S766" i="4"/>
  <c r="H766" i="4" s="1"/>
  <c r="S765" i="4"/>
  <c r="H765" i="4" s="1"/>
  <c r="J747" i="4"/>
  <c r="G747" i="4"/>
  <c r="F747" i="4"/>
  <c r="J746" i="4"/>
  <c r="G746" i="4"/>
  <c r="F746" i="4"/>
  <c r="J745" i="4"/>
  <c r="G745" i="4"/>
  <c r="F745" i="4"/>
  <c r="J744" i="4"/>
  <c r="G744" i="4"/>
  <c r="F744" i="4"/>
  <c r="J743" i="4"/>
  <c r="G743" i="4"/>
  <c r="F743" i="4"/>
  <c r="S747" i="4"/>
  <c r="I747" i="4" s="1"/>
  <c r="S746" i="4"/>
  <c r="I746" i="4" s="1"/>
  <c r="S745" i="4"/>
  <c r="H745" i="4" s="1"/>
  <c r="S744" i="4"/>
  <c r="H744" i="4" s="1"/>
  <c r="S743" i="4"/>
  <c r="I743" i="4" s="1"/>
  <c r="S741" i="4"/>
  <c r="S740" i="4"/>
  <c r="S739" i="4"/>
  <c r="S738" i="4"/>
  <c r="S737" i="4"/>
  <c r="S736" i="4"/>
  <c r="S735" i="4"/>
  <c r="S734" i="4"/>
  <c r="S733" i="4"/>
  <c r="S732" i="4"/>
  <c r="S731" i="4"/>
  <c r="S730" i="4"/>
  <c r="S729" i="4"/>
  <c r="S728" i="4"/>
  <c r="S727" i="4"/>
  <c r="S725" i="4"/>
  <c r="S724" i="4"/>
  <c r="S723" i="4"/>
  <c r="S722" i="4"/>
  <c r="S721" i="4"/>
  <c r="S715" i="4"/>
  <c r="S714" i="4"/>
  <c r="S713" i="4"/>
  <c r="S712" i="4"/>
  <c r="S711" i="4"/>
  <c r="S709" i="4"/>
  <c r="S708" i="4"/>
  <c r="S707" i="4"/>
  <c r="S706" i="4"/>
  <c r="S705" i="4"/>
  <c r="S699" i="4"/>
  <c r="S698" i="4"/>
  <c r="S697" i="4"/>
  <c r="S696" i="4"/>
  <c r="S695" i="4"/>
  <c r="J677" i="4"/>
  <c r="G677" i="4"/>
  <c r="F677" i="4"/>
  <c r="J676" i="4"/>
  <c r="G676" i="4"/>
  <c r="F676" i="4"/>
  <c r="J675" i="4"/>
  <c r="G675" i="4"/>
  <c r="F675" i="4"/>
  <c r="J674" i="4"/>
  <c r="G674" i="4"/>
  <c r="F674" i="4"/>
  <c r="J673" i="4"/>
  <c r="G673" i="4"/>
  <c r="F673" i="4"/>
  <c r="S677" i="4"/>
  <c r="I677" i="4" s="1"/>
  <c r="S676" i="4"/>
  <c r="I676" i="4" s="1"/>
  <c r="S675" i="4"/>
  <c r="I675" i="4" s="1"/>
  <c r="S674" i="4"/>
  <c r="I674" i="4" s="1"/>
  <c r="S673" i="4"/>
  <c r="I673" i="4" s="1"/>
  <c r="S671" i="4"/>
  <c r="S670" i="4"/>
  <c r="S669" i="4"/>
  <c r="S668" i="4"/>
  <c r="S667" i="4"/>
  <c r="S661" i="4"/>
  <c r="S660" i="4"/>
  <c r="S659" i="4"/>
  <c r="S658" i="4"/>
  <c r="S657" i="4"/>
  <c r="S655" i="4"/>
  <c r="S654" i="4"/>
  <c r="S653" i="4"/>
  <c r="S652" i="4"/>
  <c r="S651" i="4"/>
  <c r="S645" i="4"/>
  <c r="S644" i="4"/>
  <c r="S643" i="4"/>
  <c r="S642" i="4"/>
  <c r="S641" i="4"/>
  <c r="S639" i="4"/>
  <c r="S638" i="4"/>
  <c r="S637" i="4"/>
  <c r="S636" i="4"/>
  <c r="S635" i="4"/>
  <c r="S629" i="4"/>
  <c r="S628" i="4"/>
  <c r="S627" i="4"/>
  <c r="S626" i="4"/>
  <c r="S625" i="4"/>
  <c r="S607" i="4"/>
  <c r="I607" i="4" s="1"/>
  <c r="S606" i="4"/>
  <c r="I606" i="4" s="1"/>
  <c r="S605" i="4"/>
  <c r="I605" i="4" s="1"/>
  <c r="S604" i="4"/>
  <c r="I604" i="4" s="1"/>
  <c r="S603" i="4"/>
  <c r="I603" i="4" s="1"/>
  <c r="S601" i="4"/>
  <c r="S600" i="4"/>
  <c r="S599" i="4"/>
  <c r="S598" i="4"/>
  <c r="S597" i="4"/>
  <c r="S596" i="4"/>
  <c r="S595" i="4"/>
  <c r="S594" i="4"/>
  <c r="S593" i="4"/>
  <c r="S592" i="4"/>
  <c r="S591" i="4"/>
  <c r="S590" i="4"/>
  <c r="S589" i="4"/>
  <c r="S588" i="4"/>
  <c r="S587" i="4"/>
  <c r="J607" i="4"/>
  <c r="G607" i="4"/>
  <c r="F607" i="4"/>
  <c r="J606" i="4"/>
  <c r="G606" i="4"/>
  <c r="F606" i="4"/>
  <c r="J605" i="4"/>
  <c r="G605" i="4"/>
  <c r="F605" i="4"/>
  <c r="J604" i="4"/>
  <c r="G604" i="4"/>
  <c r="F604" i="4"/>
  <c r="J603" i="4"/>
  <c r="G603" i="4"/>
  <c r="F603" i="4"/>
  <c r="S585" i="4"/>
  <c r="S584" i="4"/>
  <c r="S583" i="4"/>
  <c r="S582" i="4"/>
  <c r="S581" i="4"/>
  <c r="S580" i="4"/>
  <c r="S579" i="4"/>
  <c r="S578" i="4"/>
  <c r="S577" i="4"/>
  <c r="S576" i="4"/>
  <c r="S575" i="4"/>
  <c r="S574" i="4"/>
  <c r="S573" i="4"/>
  <c r="S572" i="4"/>
  <c r="S571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37" i="4"/>
  <c r="S536" i="4"/>
  <c r="S535" i="4"/>
  <c r="S534" i="4"/>
  <c r="S533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S518" i="4"/>
  <c r="S517" i="4"/>
  <c r="S515" i="4"/>
  <c r="S514" i="4"/>
  <c r="S513" i="4"/>
  <c r="S512" i="4"/>
  <c r="S511" i="4"/>
  <c r="S510" i="4"/>
  <c r="S509" i="4"/>
  <c r="S508" i="4"/>
  <c r="S507" i="4"/>
  <c r="S506" i="4"/>
  <c r="S505" i="4"/>
  <c r="S504" i="4"/>
  <c r="S503" i="4"/>
  <c r="S502" i="4"/>
  <c r="S501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67" i="4"/>
  <c r="I467" i="4" s="1"/>
  <c r="S466" i="4"/>
  <c r="H466" i="4" s="1"/>
  <c r="S465" i="4"/>
  <c r="I465" i="4" s="1"/>
  <c r="S464" i="4"/>
  <c r="I464" i="4" s="1"/>
  <c r="S463" i="4"/>
  <c r="I463" i="4" s="1"/>
  <c r="S461" i="4"/>
  <c r="H461" i="4" s="1"/>
  <c r="S460" i="4"/>
  <c r="I460" i="4" s="1"/>
  <c r="S459" i="4"/>
  <c r="H459" i="4" s="1"/>
  <c r="S458" i="4"/>
  <c r="H458" i="4" s="1"/>
  <c r="S457" i="4"/>
  <c r="H457" i="4" s="1"/>
  <c r="S456" i="4"/>
  <c r="I456" i="4" s="1"/>
  <c r="S455" i="4"/>
  <c r="H455" i="4" s="1"/>
  <c r="S454" i="4"/>
  <c r="I454" i="4" s="1"/>
  <c r="S453" i="4"/>
  <c r="H453" i="4" s="1"/>
  <c r="S452" i="4"/>
  <c r="I452" i="4" s="1"/>
  <c r="S451" i="4"/>
  <c r="H451" i="4" s="1"/>
  <c r="S450" i="4"/>
  <c r="H450" i="4" s="1"/>
  <c r="S449" i="4"/>
  <c r="I449" i="4" s="1"/>
  <c r="S448" i="4"/>
  <c r="I448" i="4" s="1"/>
  <c r="S447" i="4"/>
  <c r="H447" i="4" s="1"/>
  <c r="S445" i="4"/>
  <c r="I445" i="4" s="1"/>
  <c r="S444" i="4"/>
  <c r="H444" i="4" s="1"/>
  <c r="S443" i="4"/>
  <c r="I443" i="4" s="1"/>
  <c r="S442" i="4"/>
  <c r="I442" i="4" s="1"/>
  <c r="S441" i="4"/>
  <c r="H441" i="4" s="1"/>
  <c r="S440" i="4"/>
  <c r="I440" i="4" s="1"/>
  <c r="S439" i="4"/>
  <c r="I439" i="4" s="1"/>
  <c r="S438" i="4"/>
  <c r="I438" i="4" s="1"/>
  <c r="S437" i="4"/>
  <c r="I437" i="4" s="1"/>
  <c r="S436" i="4"/>
  <c r="H436" i="4" s="1"/>
  <c r="S435" i="4"/>
  <c r="H435" i="4" s="1"/>
  <c r="S434" i="4"/>
  <c r="H434" i="4" s="1"/>
  <c r="S433" i="4"/>
  <c r="H433" i="4" s="1"/>
  <c r="S432" i="4"/>
  <c r="I432" i="4" s="1"/>
  <c r="S431" i="4"/>
  <c r="I431" i="4" s="1"/>
  <c r="S429" i="4"/>
  <c r="I429" i="4" s="1"/>
  <c r="S428" i="4"/>
  <c r="H428" i="4" s="1"/>
  <c r="S427" i="4"/>
  <c r="I427" i="4" s="1"/>
  <c r="S426" i="4"/>
  <c r="I426" i="4" s="1"/>
  <c r="S425" i="4"/>
  <c r="I425" i="4" s="1"/>
  <c r="S424" i="4"/>
  <c r="I424" i="4" s="1"/>
  <c r="S423" i="4"/>
  <c r="I423" i="4" s="1"/>
  <c r="S422" i="4"/>
  <c r="H422" i="4" s="1"/>
  <c r="S421" i="4"/>
  <c r="I421" i="4" s="1"/>
  <c r="S420" i="4"/>
  <c r="I420" i="4" s="1"/>
  <c r="S419" i="4"/>
  <c r="H419" i="4" s="1"/>
  <c r="S418" i="4"/>
  <c r="H418" i="4" s="1"/>
  <c r="S417" i="4"/>
  <c r="H417" i="4" s="1"/>
  <c r="S416" i="4"/>
  <c r="I416" i="4" s="1"/>
  <c r="S415" i="4"/>
  <c r="I415" i="4" s="1"/>
  <c r="S414" i="4"/>
  <c r="I414" i="4" s="1"/>
  <c r="S479" i="4"/>
  <c r="J467" i="4"/>
  <c r="G467" i="4"/>
  <c r="F467" i="4"/>
  <c r="J466" i="4"/>
  <c r="G466" i="4"/>
  <c r="F466" i="4"/>
  <c r="J465" i="4"/>
  <c r="G465" i="4"/>
  <c r="F465" i="4"/>
  <c r="J464" i="4"/>
  <c r="G464" i="4"/>
  <c r="F464" i="4"/>
  <c r="J463" i="4"/>
  <c r="G463" i="4"/>
  <c r="F463" i="4"/>
  <c r="J461" i="4"/>
  <c r="G461" i="4"/>
  <c r="F461" i="4"/>
  <c r="J460" i="4"/>
  <c r="G460" i="4"/>
  <c r="F460" i="4"/>
  <c r="J459" i="4"/>
  <c r="G459" i="4"/>
  <c r="F459" i="4"/>
  <c r="J458" i="4"/>
  <c r="G458" i="4"/>
  <c r="F458" i="4"/>
  <c r="J457" i="4"/>
  <c r="G457" i="4"/>
  <c r="F457" i="4"/>
  <c r="J456" i="4"/>
  <c r="G456" i="4"/>
  <c r="F456" i="4"/>
  <c r="J455" i="4"/>
  <c r="G455" i="4"/>
  <c r="F455" i="4"/>
  <c r="J454" i="4"/>
  <c r="G454" i="4"/>
  <c r="F454" i="4"/>
  <c r="J453" i="4"/>
  <c r="G453" i="4"/>
  <c r="F453" i="4"/>
  <c r="J452" i="4"/>
  <c r="G452" i="4"/>
  <c r="F452" i="4"/>
  <c r="J451" i="4"/>
  <c r="G451" i="4"/>
  <c r="F451" i="4"/>
  <c r="J450" i="4"/>
  <c r="G450" i="4"/>
  <c r="F450" i="4"/>
  <c r="J449" i="4"/>
  <c r="G449" i="4"/>
  <c r="F449" i="4"/>
  <c r="J448" i="4"/>
  <c r="G448" i="4"/>
  <c r="F448" i="4"/>
  <c r="J447" i="4"/>
  <c r="G447" i="4"/>
  <c r="F447" i="4"/>
  <c r="J445" i="4"/>
  <c r="G445" i="4"/>
  <c r="F445" i="4"/>
  <c r="J444" i="4"/>
  <c r="G444" i="4"/>
  <c r="F444" i="4"/>
  <c r="J443" i="4"/>
  <c r="G443" i="4"/>
  <c r="F443" i="4"/>
  <c r="J442" i="4"/>
  <c r="G442" i="4"/>
  <c r="F442" i="4"/>
  <c r="J441" i="4"/>
  <c r="G441" i="4"/>
  <c r="F441" i="4"/>
  <c r="J440" i="4"/>
  <c r="G440" i="4"/>
  <c r="F440" i="4"/>
  <c r="J439" i="4"/>
  <c r="G439" i="4"/>
  <c r="F439" i="4"/>
  <c r="J438" i="4"/>
  <c r="G438" i="4"/>
  <c r="F438" i="4"/>
  <c r="J437" i="4"/>
  <c r="G437" i="4"/>
  <c r="F437" i="4"/>
  <c r="J436" i="4"/>
  <c r="G436" i="4"/>
  <c r="F436" i="4"/>
  <c r="J435" i="4"/>
  <c r="G435" i="4"/>
  <c r="F435" i="4"/>
  <c r="J434" i="4"/>
  <c r="G434" i="4"/>
  <c r="F434" i="4"/>
  <c r="J433" i="4"/>
  <c r="G433" i="4"/>
  <c r="F433" i="4"/>
  <c r="J432" i="4"/>
  <c r="G432" i="4"/>
  <c r="F432" i="4"/>
  <c r="J431" i="4"/>
  <c r="G431" i="4"/>
  <c r="F431" i="4"/>
  <c r="J429" i="4"/>
  <c r="G429" i="4"/>
  <c r="F429" i="4"/>
  <c r="J428" i="4"/>
  <c r="G428" i="4"/>
  <c r="F428" i="4"/>
  <c r="J427" i="4"/>
  <c r="G427" i="4"/>
  <c r="F427" i="4"/>
  <c r="J426" i="4"/>
  <c r="G426" i="4"/>
  <c r="F426" i="4"/>
  <c r="J425" i="4"/>
  <c r="G425" i="4"/>
  <c r="F425" i="4"/>
  <c r="J424" i="4"/>
  <c r="G424" i="4"/>
  <c r="F424" i="4"/>
  <c r="J423" i="4"/>
  <c r="G423" i="4"/>
  <c r="F423" i="4"/>
  <c r="J422" i="4"/>
  <c r="G422" i="4"/>
  <c r="F422" i="4"/>
  <c r="J421" i="4"/>
  <c r="G421" i="4"/>
  <c r="F421" i="4"/>
  <c r="J420" i="4"/>
  <c r="G420" i="4"/>
  <c r="F420" i="4"/>
  <c r="J419" i="4"/>
  <c r="G419" i="4"/>
  <c r="F419" i="4"/>
  <c r="J418" i="4"/>
  <c r="G418" i="4"/>
  <c r="F418" i="4"/>
  <c r="J417" i="4"/>
  <c r="G417" i="4"/>
  <c r="F417" i="4"/>
  <c r="J416" i="4"/>
  <c r="G416" i="4"/>
  <c r="F416" i="4"/>
  <c r="J415" i="4"/>
  <c r="G415" i="4"/>
  <c r="F415" i="4"/>
  <c r="J414" i="4"/>
  <c r="G414" i="4"/>
  <c r="F414" i="4"/>
  <c r="I3934" i="4" l="1"/>
  <c r="H3934" i="4"/>
  <c r="M3933" i="4"/>
  <c r="H605" i="4"/>
  <c r="I830" i="4"/>
  <c r="I461" i="4"/>
  <c r="H464" i="4"/>
  <c r="I816" i="4"/>
  <c r="H783" i="4"/>
  <c r="H800" i="4"/>
  <c r="I744" i="4"/>
  <c r="H806" i="4"/>
  <c r="I789" i="4"/>
  <c r="H415" i="4"/>
  <c r="H606" i="4"/>
  <c r="H879" i="4"/>
  <c r="I874" i="4"/>
  <c r="I831" i="4"/>
  <c r="H809" i="4"/>
  <c r="I801" i="4"/>
  <c r="H791" i="4"/>
  <c r="H784" i="4"/>
  <c r="I776" i="4"/>
  <c r="I774" i="4"/>
  <c r="I766" i="4"/>
  <c r="H442" i="4"/>
  <c r="I441" i="4"/>
  <c r="H438" i="4"/>
  <c r="I433" i="4"/>
  <c r="H432" i="4"/>
  <c r="H429" i="4"/>
  <c r="I419" i="4"/>
  <c r="H901" i="4"/>
  <c r="H456" i="4"/>
  <c r="H747" i="4"/>
  <c r="H449" i="4"/>
  <c r="H769" i="4"/>
  <c r="H778" i="4"/>
  <c r="I782" i="4"/>
  <c r="I807" i="4"/>
  <c r="I815" i="4"/>
  <c r="H817" i="4"/>
  <c r="I880" i="4"/>
  <c r="H440" i="4"/>
  <c r="H448" i="4"/>
  <c r="I459" i="4"/>
  <c r="H465" i="4"/>
  <c r="I793" i="4"/>
  <c r="H799" i="4"/>
  <c r="H862" i="4"/>
  <c r="I832" i="4"/>
  <c r="I457" i="4"/>
  <c r="I768" i="4"/>
  <c r="H770" i="4"/>
  <c r="H777" i="4"/>
  <c r="H871" i="4"/>
  <c r="I428" i="4"/>
  <c r="H785" i="4"/>
  <c r="I858" i="4"/>
  <c r="H771" i="4"/>
  <c r="H779" i="4"/>
  <c r="I792" i="4"/>
  <c r="H808" i="4"/>
  <c r="I867" i="4"/>
  <c r="I444" i="4"/>
  <c r="H420" i="4"/>
  <c r="H454" i="4"/>
  <c r="H787" i="4"/>
  <c r="I745" i="4"/>
  <c r="H794" i="4"/>
  <c r="H811" i="4"/>
  <c r="H886" i="4"/>
  <c r="H773" i="4"/>
  <c r="I833" i="4"/>
  <c r="H804" i="4"/>
  <c r="I765" i="4"/>
  <c r="I814" i="4"/>
  <c r="H425" i="4"/>
  <c r="H746" i="4"/>
  <c r="H767" i="4"/>
  <c r="H775" i="4"/>
  <c r="H786" i="4"/>
  <c r="H870" i="4"/>
  <c r="H900" i="4"/>
  <c r="I434" i="4"/>
  <c r="H743" i="4"/>
  <c r="H772" i="4"/>
  <c r="H781" i="4"/>
  <c r="H803" i="4"/>
  <c r="H854" i="4"/>
  <c r="H863" i="4"/>
  <c r="I865" i="4"/>
  <c r="I868" i="4"/>
  <c r="H885" i="4"/>
  <c r="H860" i="4"/>
  <c r="H607" i="4"/>
  <c r="I417" i="4"/>
  <c r="H421" i="4"/>
  <c r="I788" i="4"/>
  <c r="H795" i="4"/>
  <c r="H798" i="4"/>
  <c r="H813" i="4"/>
  <c r="I790" i="4"/>
  <c r="I857" i="4"/>
  <c r="I903" i="4"/>
  <c r="H902" i="4"/>
  <c r="H899" i="4"/>
  <c r="H887" i="4"/>
  <c r="H884" i="4"/>
  <c r="H883" i="4"/>
  <c r="H877" i="4"/>
  <c r="H881" i="4"/>
  <c r="H878" i="4"/>
  <c r="H876" i="4"/>
  <c r="H873" i="4"/>
  <c r="H875" i="4"/>
  <c r="H872" i="4"/>
  <c r="I869" i="4"/>
  <c r="H864" i="4"/>
  <c r="H861" i="4"/>
  <c r="H859" i="4"/>
  <c r="H856" i="4"/>
  <c r="I852" i="4"/>
  <c r="H853" i="4"/>
  <c r="H855" i="4"/>
  <c r="H851" i="4"/>
  <c r="H829" i="4"/>
  <c r="H797" i="4"/>
  <c r="H805" i="4"/>
  <c r="I802" i="4"/>
  <c r="I810" i="4"/>
  <c r="H604" i="4"/>
  <c r="H676" i="4"/>
  <c r="H675" i="4"/>
  <c r="H677" i="4"/>
  <c r="H674" i="4"/>
  <c r="H673" i="4"/>
  <c r="H603" i="4"/>
  <c r="I455" i="4"/>
  <c r="H431" i="4"/>
  <c r="H439" i="4"/>
  <c r="I422" i="4"/>
  <c r="H423" i="4"/>
  <c r="I453" i="4"/>
  <c r="H426" i="4"/>
  <c r="I418" i="4"/>
  <c r="H427" i="4"/>
  <c r="I435" i="4"/>
  <c r="H463" i="4"/>
  <c r="H460" i="4"/>
  <c r="H452" i="4"/>
  <c r="I451" i="4"/>
  <c r="I447" i="4"/>
  <c r="H443" i="4"/>
  <c r="I466" i="4"/>
  <c r="H467" i="4"/>
  <c r="I450" i="4"/>
  <c r="I458" i="4"/>
  <c r="I436" i="4"/>
  <c r="H437" i="4"/>
  <c r="H445" i="4"/>
  <c r="H416" i="4"/>
  <c r="H424" i="4"/>
  <c r="H414" i="4"/>
  <c r="J2775" i="4"/>
  <c r="I2775" i="4"/>
  <c r="H2775" i="4"/>
  <c r="G2775" i="4"/>
  <c r="F2775" i="4"/>
  <c r="M3934" i="4" l="1"/>
  <c r="H3935" i="4"/>
  <c r="I3935" i="4"/>
  <c r="M2775" i="4"/>
  <c r="M3935" i="4" l="1"/>
  <c r="I3936" i="4"/>
  <c r="H3936" i="4"/>
  <c r="J2774" i="4"/>
  <c r="I2774" i="4"/>
  <c r="H2774" i="4"/>
  <c r="G2774" i="4"/>
  <c r="F2774" i="4"/>
  <c r="J2773" i="4"/>
  <c r="I2773" i="4"/>
  <c r="H2773" i="4"/>
  <c r="G2773" i="4"/>
  <c r="F2773" i="4"/>
  <c r="J2772" i="4"/>
  <c r="I2772" i="4"/>
  <c r="H2772" i="4"/>
  <c r="G2772" i="4"/>
  <c r="F2772" i="4"/>
  <c r="J2771" i="4"/>
  <c r="I2771" i="4"/>
  <c r="H2771" i="4"/>
  <c r="G2771" i="4"/>
  <c r="F2771" i="4"/>
  <c r="J2770" i="4"/>
  <c r="I2770" i="4"/>
  <c r="H2770" i="4"/>
  <c r="G2770" i="4"/>
  <c r="F2770" i="4"/>
  <c r="J2769" i="4"/>
  <c r="I2769" i="4"/>
  <c r="H2769" i="4"/>
  <c r="G2769" i="4"/>
  <c r="F2769" i="4"/>
  <c r="J2768" i="4"/>
  <c r="I2768" i="4"/>
  <c r="H2768" i="4"/>
  <c r="G2768" i="4"/>
  <c r="F2768" i="4"/>
  <c r="M2767" i="4"/>
  <c r="M3936" i="4" l="1"/>
  <c r="I3937" i="4"/>
  <c r="H3937" i="4"/>
  <c r="M2771" i="4"/>
  <c r="M2769" i="4"/>
  <c r="M2768" i="4"/>
  <c r="M2772" i="4"/>
  <c r="M2770" i="4"/>
  <c r="M2774" i="4"/>
  <c r="M2773" i="4"/>
  <c r="I3938" i="4" l="1"/>
  <c r="H3938" i="4"/>
  <c r="M3937" i="4"/>
  <c r="S3882" i="4"/>
  <c r="I3882" i="4" s="1"/>
  <c r="J3882" i="4"/>
  <c r="G3882" i="4"/>
  <c r="F3882" i="4"/>
  <c r="S3881" i="4"/>
  <c r="I3881" i="4" s="1"/>
  <c r="J3881" i="4"/>
  <c r="G3881" i="4"/>
  <c r="F3881" i="4"/>
  <c r="M3938" i="4" l="1"/>
  <c r="H3939" i="4"/>
  <c r="I3939" i="4"/>
  <c r="H3882" i="4"/>
  <c r="M3882" i="4" s="1"/>
  <c r="H3881" i="4"/>
  <c r="M3881" i="4" s="1"/>
  <c r="J3889" i="4"/>
  <c r="I3889" i="4"/>
  <c r="H3889" i="4"/>
  <c r="G3889" i="4"/>
  <c r="F3889" i="4"/>
  <c r="J3888" i="4"/>
  <c r="I3888" i="4"/>
  <c r="H3888" i="4"/>
  <c r="G3888" i="4"/>
  <c r="F3888" i="4"/>
  <c r="I3887" i="4"/>
  <c r="H3887" i="4"/>
  <c r="G3887" i="4"/>
  <c r="F3887" i="4"/>
  <c r="J3886" i="4"/>
  <c r="I3886" i="4"/>
  <c r="H3886" i="4"/>
  <c r="G3886" i="4"/>
  <c r="F3886" i="4"/>
  <c r="J3885" i="4"/>
  <c r="I3885" i="4"/>
  <c r="H3885" i="4"/>
  <c r="G3885" i="4"/>
  <c r="F3885" i="4"/>
  <c r="J3884" i="4"/>
  <c r="I3884" i="4"/>
  <c r="H3884" i="4"/>
  <c r="G3884" i="4"/>
  <c r="F3884" i="4"/>
  <c r="J3883" i="4"/>
  <c r="I3883" i="4"/>
  <c r="H3883" i="4"/>
  <c r="G3883" i="4"/>
  <c r="F3883" i="4"/>
  <c r="M3880" i="4"/>
  <c r="I3940" i="4" l="1"/>
  <c r="H3940" i="4"/>
  <c r="M3939" i="4"/>
  <c r="M3889" i="4"/>
  <c r="M3887" i="4"/>
  <c r="M3888" i="4"/>
  <c r="M3884" i="4"/>
  <c r="M3885" i="4"/>
  <c r="M3886" i="4"/>
  <c r="M3883" i="4"/>
  <c r="S2724" i="4"/>
  <c r="M3940" i="4" l="1"/>
  <c r="H3941" i="4"/>
  <c r="I3941" i="4"/>
  <c r="S1715" i="4"/>
  <c r="I3942" i="4" l="1"/>
  <c r="H3942" i="4"/>
  <c r="M3941" i="4"/>
  <c r="S1711" i="4"/>
  <c r="I1711" i="4" s="1"/>
  <c r="J1711" i="4"/>
  <c r="G1711" i="4"/>
  <c r="F1711" i="4"/>
  <c r="S1710" i="4"/>
  <c r="I1710" i="4" s="1"/>
  <c r="J1710" i="4"/>
  <c r="G1710" i="4"/>
  <c r="F1710" i="4"/>
  <c r="M3942" i="4" l="1"/>
  <c r="I3943" i="4"/>
  <c r="H3943" i="4"/>
  <c r="H1711" i="4"/>
  <c r="M1711" i="4" s="1"/>
  <c r="H1710" i="4"/>
  <c r="M1710" i="4" s="1"/>
  <c r="S2861" i="4"/>
  <c r="M3943" i="4" l="1"/>
  <c r="I3944" i="4"/>
  <c r="H3944" i="4"/>
  <c r="I1715" i="4"/>
  <c r="J1715" i="4"/>
  <c r="G1715" i="4"/>
  <c r="F1715" i="4"/>
  <c r="S1714" i="4"/>
  <c r="H1714" i="4" s="1"/>
  <c r="J1714" i="4"/>
  <c r="G1714" i="4"/>
  <c r="F1714" i="4"/>
  <c r="S1713" i="4"/>
  <c r="I1713" i="4" s="1"/>
  <c r="J1713" i="4"/>
  <c r="G1713" i="4"/>
  <c r="F1713" i="4"/>
  <c r="S1712" i="4"/>
  <c r="I1712" i="4" s="1"/>
  <c r="J1712" i="4"/>
  <c r="G1712" i="4"/>
  <c r="F1712" i="4"/>
  <c r="S1709" i="4"/>
  <c r="I1709" i="4" s="1"/>
  <c r="J1709" i="4"/>
  <c r="G1709" i="4"/>
  <c r="F1709" i="4"/>
  <c r="S1708" i="4"/>
  <c r="H1708" i="4" s="1"/>
  <c r="J1708" i="4"/>
  <c r="G1708" i="4"/>
  <c r="F1708" i="4"/>
  <c r="N1707" i="4"/>
  <c r="M1707" i="4"/>
  <c r="M3944" i="4" l="1"/>
  <c r="H1709" i="4"/>
  <c r="M1709" i="4" s="1"/>
  <c r="H1712" i="4"/>
  <c r="M1712" i="4" s="1"/>
  <c r="H1713" i="4"/>
  <c r="M1713" i="4" s="1"/>
  <c r="H1715" i="4"/>
  <c r="M1715" i="4" s="1"/>
  <c r="I1708" i="4"/>
  <c r="M1708" i="4" s="1"/>
  <c r="I1714" i="4"/>
  <c r="M1714" i="4" s="1"/>
  <c r="S3120" i="4"/>
  <c r="T3118" i="4" s="1"/>
  <c r="J3120" i="4"/>
  <c r="G3120" i="4"/>
  <c r="F3120" i="4"/>
  <c r="H3120" i="4" l="1"/>
  <c r="I3120" i="4"/>
  <c r="M3120" i="4" l="1"/>
  <c r="S3119" i="4"/>
  <c r="S3118" i="4"/>
  <c r="J3117" i="4" l="1"/>
  <c r="I3117" i="4"/>
  <c r="H3117" i="4"/>
  <c r="G3117" i="4"/>
  <c r="F3117" i="4"/>
  <c r="M3117" i="4" l="1"/>
  <c r="J3116" i="4"/>
  <c r="I3116" i="4"/>
  <c r="H3116" i="4"/>
  <c r="G3116" i="4"/>
  <c r="F3116" i="4"/>
  <c r="M3116" i="4" l="1"/>
  <c r="T3117" i="4" l="1"/>
  <c r="J3119" i="4"/>
  <c r="H3119" i="4"/>
  <c r="G3119" i="4"/>
  <c r="F3119" i="4"/>
  <c r="T3116" i="4"/>
  <c r="J3118" i="4"/>
  <c r="I3118" i="4"/>
  <c r="H3118" i="4"/>
  <c r="G3118" i="4"/>
  <c r="F3118" i="4"/>
  <c r="M3118" i="4" l="1"/>
  <c r="I3119" i="4"/>
  <c r="M3119" i="4" s="1"/>
  <c r="J3115" i="4" l="1"/>
  <c r="I3115" i="4"/>
  <c r="H3115" i="4"/>
  <c r="G3115" i="4"/>
  <c r="F3115" i="4"/>
  <c r="J3114" i="4"/>
  <c r="I3114" i="4"/>
  <c r="H3114" i="4"/>
  <c r="G3114" i="4"/>
  <c r="F3114" i="4"/>
  <c r="M3114" i="4" l="1"/>
  <c r="M3115" i="4"/>
  <c r="I3113" i="4"/>
  <c r="H3113" i="4"/>
  <c r="G3113" i="4"/>
  <c r="J3112" i="4"/>
  <c r="I3112" i="4"/>
  <c r="H3112" i="4"/>
  <c r="G3112" i="4"/>
  <c r="M3110" i="4"/>
  <c r="J3111" i="4"/>
  <c r="I3111" i="4"/>
  <c r="H3111" i="4"/>
  <c r="G3111" i="4"/>
  <c r="F3111" i="4"/>
  <c r="M3111" i="4" l="1"/>
  <c r="M3113" i="4"/>
  <c r="M3112" i="4"/>
  <c r="S2858" i="4"/>
  <c r="I2858" i="4" l="1"/>
  <c r="J2858" i="4"/>
  <c r="G2858" i="4"/>
  <c r="F2858" i="4"/>
  <c r="H2858" i="4" l="1"/>
  <c r="M2858" i="4" s="1"/>
  <c r="S2748" i="4"/>
  <c r="S2747" i="4" l="1"/>
  <c r="S2746" i="4"/>
  <c r="S2745" i="4"/>
  <c r="S2744" i="4"/>
  <c r="S2743" i="4"/>
  <c r="S2742" i="4"/>
  <c r="S2741" i="4"/>
  <c r="H2748" i="4" l="1"/>
  <c r="H2746" i="4"/>
  <c r="H2742" i="4"/>
  <c r="F2742" i="4"/>
  <c r="G2742" i="4"/>
  <c r="J2742" i="4"/>
  <c r="F2744" i="4"/>
  <c r="G2744" i="4"/>
  <c r="H2744" i="4"/>
  <c r="I2744" i="4"/>
  <c r="J2744" i="4"/>
  <c r="F2746" i="4"/>
  <c r="G2746" i="4"/>
  <c r="J2746" i="4"/>
  <c r="F2748" i="4"/>
  <c r="G2748" i="4"/>
  <c r="J2748" i="4"/>
  <c r="I2746" i="4" l="1"/>
  <c r="M2746" i="4" s="1"/>
  <c r="I2748" i="4"/>
  <c r="M2748" i="4" s="1"/>
  <c r="M2744" i="4"/>
  <c r="I2742" i="4"/>
  <c r="M2742" i="4" s="1"/>
  <c r="S1704" i="4" l="1"/>
  <c r="S1706" i="4"/>
  <c r="S1702" i="4" l="1"/>
  <c r="S1701" i="4"/>
  <c r="S1700" i="4"/>
  <c r="S1699" i="4"/>
  <c r="S1703" i="4"/>
  <c r="S1705" i="4"/>
  <c r="N1698" i="4" l="1"/>
  <c r="M1698" i="4"/>
  <c r="J1706" i="4"/>
  <c r="I1706" i="4"/>
  <c r="H1706" i="4"/>
  <c r="G1706" i="4"/>
  <c r="F1706" i="4"/>
  <c r="I1705" i="4"/>
  <c r="J1705" i="4"/>
  <c r="G1705" i="4"/>
  <c r="F1705" i="4"/>
  <c r="I1704" i="4"/>
  <c r="J1704" i="4"/>
  <c r="G1704" i="4"/>
  <c r="F1704" i="4"/>
  <c r="H1703" i="4"/>
  <c r="J1703" i="4"/>
  <c r="I1703" i="4"/>
  <c r="G1703" i="4"/>
  <c r="F1703" i="4"/>
  <c r="J1702" i="4"/>
  <c r="I1702" i="4"/>
  <c r="H1702" i="4"/>
  <c r="G1702" i="4"/>
  <c r="F1702" i="4"/>
  <c r="J1701" i="4"/>
  <c r="I1701" i="4"/>
  <c r="H1701" i="4"/>
  <c r="G1701" i="4"/>
  <c r="F1701" i="4"/>
  <c r="J1700" i="4"/>
  <c r="I1700" i="4"/>
  <c r="H1700" i="4"/>
  <c r="G1700" i="4"/>
  <c r="F1700" i="4"/>
  <c r="J1699" i="4"/>
  <c r="I1699" i="4"/>
  <c r="H1699" i="4"/>
  <c r="G1699" i="4"/>
  <c r="F1699" i="4"/>
  <c r="M1701" i="4" l="1"/>
  <c r="M1700" i="4"/>
  <c r="M1706" i="4"/>
  <c r="M1703" i="4"/>
  <c r="H1705" i="4"/>
  <c r="M1705" i="4" s="1"/>
  <c r="H1704" i="4"/>
  <c r="M1704" i="4" s="1"/>
  <c r="M1699" i="4"/>
  <c r="M1702" i="4"/>
  <c r="S2991" i="4" l="1"/>
  <c r="I2991" i="4" s="1"/>
  <c r="J2991" i="4"/>
  <c r="G2991" i="4"/>
  <c r="F2991" i="4"/>
  <c r="H2991" i="4" l="1"/>
  <c r="M2991" i="4" s="1"/>
  <c r="M424" i="4" l="1"/>
  <c r="J995" i="4" l="1"/>
  <c r="S1004" i="4"/>
  <c r="H1004" i="4" s="1"/>
  <c r="S1003" i="4"/>
  <c r="I1003" i="4" s="1"/>
  <c r="S1002" i="4"/>
  <c r="T1002" i="4" s="1"/>
  <c r="S1001" i="4"/>
  <c r="T1001" i="4" s="1"/>
  <c r="S1000" i="4"/>
  <c r="T1000" i="4" s="1"/>
  <c r="S999" i="4"/>
  <c r="T999" i="4" s="1"/>
  <c r="S998" i="4"/>
  <c r="I998" i="4" s="1"/>
  <c r="S997" i="4"/>
  <c r="I997" i="4" s="1"/>
  <c r="S996" i="4"/>
  <c r="H996" i="4" s="1"/>
  <c r="S995" i="4"/>
  <c r="T995" i="4" s="1"/>
  <c r="I995" i="4" l="1"/>
  <c r="H995" i="4"/>
  <c r="I1004" i="4"/>
  <c r="H1001" i="4"/>
  <c r="T1003" i="4"/>
  <c r="I1000" i="4"/>
  <c r="H1003" i="4"/>
  <c r="T998" i="4"/>
  <c r="H999" i="4"/>
  <c r="T1004" i="4"/>
  <c r="I999" i="4"/>
  <c r="H998" i="4"/>
  <c r="H1002" i="4"/>
  <c r="H1000" i="4"/>
  <c r="I1002" i="4"/>
  <c r="F995" i="4"/>
  <c r="G995" i="4"/>
  <c r="T996" i="4"/>
  <c r="T997" i="4"/>
  <c r="I1001" i="4"/>
  <c r="I996" i="4"/>
  <c r="H997" i="4"/>
  <c r="J2990" i="4"/>
  <c r="I2990" i="4"/>
  <c r="H2990" i="4"/>
  <c r="G2990" i="4"/>
  <c r="F2990" i="4"/>
  <c r="M995" i="4" l="1"/>
  <c r="M2990" i="4"/>
  <c r="S1157" i="4" l="1"/>
  <c r="H1157" i="4" s="1"/>
  <c r="J1157" i="4"/>
  <c r="G1157" i="4"/>
  <c r="F1157" i="4"/>
  <c r="S1156" i="4"/>
  <c r="H1156" i="4" s="1"/>
  <c r="J1156" i="4"/>
  <c r="G1156" i="4"/>
  <c r="F1156" i="4"/>
  <c r="S1155" i="4"/>
  <c r="T1155" i="4" s="1"/>
  <c r="J1155" i="4"/>
  <c r="G1155" i="4"/>
  <c r="F1155" i="4"/>
  <c r="S1154" i="4"/>
  <c r="T1154" i="4" s="1"/>
  <c r="J1154" i="4"/>
  <c r="G1154" i="4"/>
  <c r="F1154" i="4"/>
  <c r="S1153" i="4"/>
  <c r="T1153" i="4" s="1"/>
  <c r="J1153" i="4"/>
  <c r="G1153" i="4"/>
  <c r="F1153" i="4"/>
  <c r="S1152" i="4"/>
  <c r="I1152" i="4" s="1"/>
  <c r="J1152" i="4"/>
  <c r="G1152" i="4"/>
  <c r="F1152" i="4"/>
  <c r="S1151" i="4"/>
  <c r="T1151" i="4" s="1"/>
  <c r="J1151" i="4"/>
  <c r="G1151" i="4"/>
  <c r="F1151" i="4"/>
  <c r="S1150" i="4"/>
  <c r="I1150" i="4" s="1"/>
  <c r="J1150" i="4"/>
  <c r="G1150" i="4"/>
  <c r="F1150" i="4"/>
  <c r="S1149" i="4"/>
  <c r="I1149" i="4" s="1"/>
  <c r="J1149" i="4"/>
  <c r="G1149" i="4"/>
  <c r="F1149" i="4"/>
  <c r="S1148" i="4"/>
  <c r="T1148" i="4" s="1"/>
  <c r="J1148" i="4"/>
  <c r="G1148" i="4"/>
  <c r="F1148" i="4"/>
  <c r="S1147" i="4"/>
  <c r="H1147" i="4" s="1"/>
  <c r="J1147" i="4"/>
  <c r="G1147" i="4"/>
  <c r="F1147" i="4"/>
  <c r="S1146" i="4"/>
  <c r="T1146" i="4" s="1"/>
  <c r="J1146" i="4"/>
  <c r="G1146" i="4"/>
  <c r="F1146" i="4"/>
  <c r="S1145" i="4"/>
  <c r="T1145" i="4" s="1"/>
  <c r="J1145" i="4"/>
  <c r="G1145" i="4"/>
  <c r="F1145" i="4"/>
  <c r="S1144" i="4"/>
  <c r="I1144" i="4" s="1"/>
  <c r="J1144" i="4"/>
  <c r="G1144" i="4"/>
  <c r="F1144" i="4"/>
  <c r="S1143" i="4"/>
  <c r="I1143" i="4" s="1"/>
  <c r="J1143" i="4"/>
  <c r="G1143" i="4"/>
  <c r="F1143" i="4"/>
  <c r="S1142" i="4"/>
  <c r="I1142" i="4" s="1"/>
  <c r="J1142" i="4"/>
  <c r="G1142" i="4"/>
  <c r="F1142" i="4"/>
  <c r="S1141" i="4"/>
  <c r="I1141" i="4" s="1"/>
  <c r="J1141" i="4"/>
  <c r="G1141" i="4"/>
  <c r="F1141" i="4"/>
  <c r="S1140" i="4"/>
  <c r="T1140" i="4" s="1"/>
  <c r="J1140" i="4"/>
  <c r="G1140" i="4"/>
  <c r="F1140" i="4"/>
  <c r="S1139" i="4"/>
  <c r="I1139" i="4" s="1"/>
  <c r="J1139" i="4"/>
  <c r="G1139" i="4"/>
  <c r="F1139" i="4"/>
  <c r="S1138" i="4"/>
  <c r="T1138" i="4" s="1"/>
  <c r="J1138" i="4"/>
  <c r="G1138" i="4"/>
  <c r="F1138" i="4"/>
  <c r="S1137" i="4"/>
  <c r="T1137" i="4" s="1"/>
  <c r="J1137" i="4"/>
  <c r="G1137" i="4"/>
  <c r="F1137" i="4"/>
  <c r="S1136" i="4"/>
  <c r="I1136" i="4" s="1"/>
  <c r="J1136" i="4"/>
  <c r="G1136" i="4"/>
  <c r="F1136" i="4"/>
  <c r="S1135" i="4"/>
  <c r="T1135" i="4" s="1"/>
  <c r="J1135" i="4"/>
  <c r="G1135" i="4"/>
  <c r="F1135" i="4"/>
  <c r="S1134" i="4"/>
  <c r="I1134" i="4" s="1"/>
  <c r="J1134" i="4"/>
  <c r="G1134" i="4"/>
  <c r="F1134" i="4"/>
  <c r="S1133" i="4"/>
  <c r="I1133" i="4" s="1"/>
  <c r="J1133" i="4"/>
  <c r="G1133" i="4"/>
  <c r="F1133" i="4"/>
  <c r="S1132" i="4"/>
  <c r="T1132" i="4" s="1"/>
  <c r="J1132" i="4"/>
  <c r="G1132" i="4"/>
  <c r="F1132" i="4"/>
  <c r="S1131" i="4"/>
  <c r="I1131" i="4" s="1"/>
  <c r="J1131" i="4"/>
  <c r="G1131" i="4"/>
  <c r="F1131" i="4"/>
  <c r="S1130" i="4"/>
  <c r="T1130" i="4" s="1"/>
  <c r="J1130" i="4"/>
  <c r="G1130" i="4"/>
  <c r="F1130" i="4"/>
  <c r="S1129" i="4"/>
  <c r="I1129" i="4" s="1"/>
  <c r="J1129" i="4"/>
  <c r="G1129" i="4"/>
  <c r="F1129" i="4"/>
  <c r="S1128" i="4"/>
  <c r="I1128" i="4" s="1"/>
  <c r="J1128" i="4"/>
  <c r="G1128" i="4"/>
  <c r="F1128" i="4"/>
  <c r="S1127" i="4"/>
  <c r="T1127" i="4" s="1"/>
  <c r="J1127" i="4"/>
  <c r="G1127" i="4"/>
  <c r="F1127" i="4"/>
  <c r="S1126" i="4"/>
  <c r="I1126" i="4" s="1"/>
  <c r="J1126" i="4"/>
  <c r="G1126" i="4"/>
  <c r="F1126" i="4"/>
  <c r="S1125" i="4"/>
  <c r="T1125" i="4" s="1"/>
  <c r="J1125" i="4"/>
  <c r="G1125" i="4"/>
  <c r="F1125" i="4"/>
  <c r="S1124" i="4"/>
  <c r="T1124" i="4" s="1"/>
  <c r="J1124" i="4"/>
  <c r="G1124" i="4"/>
  <c r="F1124" i="4"/>
  <c r="S1123" i="4"/>
  <c r="T1123" i="4" s="1"/>
  <c r="J1123" i="4"/>
  <c r="G1123" i="4"/>
  <c r="F1123" i="4"/>
  <c r="S1122" i="4"/>
  <c r="T1122" i="4" s="1"/>
  <c r="J1122" i="4"/>
  <c r="G1122" i="4"/>
  <c r="F1122" i="4"/>
  <c r="S1121" i="4"/>
  <c r="I1121" i="4" s="1"/>
  <c r="J1121" i="4"/>
  <c r="G1121" i="4"/>
  <c r="F1121" i="4"/>
  <c r="S1120" i="4"/>
  <c r="I1120" i="4" s="1"/>
  <c r="J1120" i="4"/>
  <c r="G1120" i="4"/>
  <c r="F1120" i="4"/>
  <c r="S1119" i="4"/>
  <c r="I1119" i="4" s="1"/>
  <c r="J1119" i="4"/>
  <c r="G1119" i="4"/>
  <c r="F1119" i="4"/>
  <c r="S1118" i="4"/>
  <c r="I1118" i="4" s="1"/>
  <c r="J1118" i="4"/>
  <c r="G1118" i="4"/>
  <c r="F1118" i="4"/>
  <c r="S1116" i="4"/>
  <c r="T1116" i="4" s="1"/>
  <c r="J1116" i="4"/>
  <c r="G1116" i="4"/>
  <c r="F1116" i="4"/>
  <c r="S1115" i="4"/>
  <c r="T1115" i="4" s="1"/>
  <c r="J1115" i="4"/>
  <c r="G1115" i="4"/>
  <c r="F1115" i="4"/>
  <c r="S1114" i="4"/>
  <c r="T1114" i="4" s="1"/>
  <c r="J1114" i="4"/>
  <c r="G1114" i="4"/>
  <c r="F1114" i="4"/>
  <c r="S1113" i="4"/>
  <c r="T1113" i="4" s="1"/>
  <c r="J1113" i="4"/>
  <c r="G1113" i="4"/>
  <c r="F1113" i="4"/>
  <c r="S1112" i="4"/>
  <c r="I1112" i="4" s="1"/>
  <c r="J1112" i="4"/>
  <c r="G1112" i="4"/>
  <c r="F1112" i="4"/>
  <c r="S1111" i="4"/>
  <c r="I1111" i="4" s="1"/>
  <c r="J1111" i="4"/>
  <c r="G1111" i="4"/>
  <c r="F1111" i="4"/>
  <c r="S1110" i="4"/>
  <c r="T1110" i="4" s="1"/>
  <c r="J1110" i="4"/>
  <c r="G1110" i="4"/>
  <c r="F1110" i="4"/>
  <c r="S1109" i="4"/>
  <c r="I1109" i="4" s="1"/>
  <c r="J1109" i="4"/>
  <c r="G1109" i="4"/>
  <c r="F1109" i="4"/>
  <c r="I1108" i="4"/>
  <c r="J1108" i="4"/>
  <c r="G1108" i="4"/>
  <c r="F1108" i="4"/>
  <c r="S1107" i="4"/>
  <c r="T1107" i="4" s="1"/>
  <c r="J1107" i="4"/>
  <c r="G1107" i="4"/>
  <c r="F1107" i="4"/>
  <c r="S1106" i="4"/>
  <c r="H1106" i="4" s="1"/>
  <c r="J1106" i="4"/>
  <c r="G1106" i="4"/>
  <c r="F1106" i="4"/>
  <c r="S1105" i="4"/>
  <c r="T1105" i="4" s="1"/>
  <c r="J1105" i="4"/>
  <c r="G1105" i="4"/>
  <c r="F1105" i="4"/>
  <c r="S1104" i="4"/>
  <c r="T1104" i="4" s="1"/>
  <c r="J1104" i="4"/>
  <c r="G1104" i="4"/>
  <c r="F1104" i="4"/>
  <c r="S1103" i="4"/>
  <c r="I1103" i="4" s="1"/>
  <c r="J1103" i="4"/>
  <c r="G1103" i="4"/>
  <c r="F1103" i="4"/>
  <c r="S1102" i="4"/>
  <c r="I1102" i="4" s="1"/>
  <c r="J1102" i="4"/>
  <c r="G1102" i="4"/>
  <c r="F1102" i="4"/>
  <c r="S1101" i="4"/>
  <c r="I1101" i="4" s="1"/>
  <c r="J1101" i="4"/>
  <c r="G1101" i="4"/>
  <c r="F1101" i="4"/>
  <c r="S1100" i="4"/>
  <c r="H1100" i="4" s="1"/>
  <c r="J1100" i="4"/>
  <c r="G1100" i="4"/>
  <c r="F1100" i="4"/>
  <c r="S1099" i="4"/>
  <c r="T1099" i="4" s="1"/>
  <c r="J1099" i="4"/>
  <c r="G1099" i="4"/>
  <c r="F1099" i="4"/>
  <c r="H1098" i="4"/>
  <c r="J1098" i="4"/>
  <c r="G1098" i="4"/>
  <c r="F1098" i="4"/>
  <c r="S1097" i="4"/>
  <c r="T1097" i="4" s="1"/>
  <c r="J1097" i="4"/>
  <c r="G1097" i="4"/>
  <c r="F1097" i="4"/>
  <c r="S1096" i="4"/>
  <c r="H1096" i="4" s="1"/>
  <c r="J1096" i="4"/>
  <c r="G1096" i="4"/>
  <c r="F1096" i="4"/>
  <c r="S1095" i="4"/>
  <c r="I1095" i="4" s="1"/>
  <c r="J1095" i="4"/>
  <c r="G1095" i="4"/>
  <c r="F1095" i="4"/>
  <c r="S1094" i="4"/>
  <c r="I1094" i="4" s="1"/>
  <c r="J1094" i="4"/>
  <c r="G1094" i="4"/>
  <c r="F1094" i="4"/>
  <c r="S1093" i="4"/>
  <c r="I1093" i="4" s="1"/>
  <c r="J1093" i="4"/>
  <c r="G1093" i="4"/>
  <c r="F1093" i="4"/>
  <c r="S1092" i="4"/>
  <c r="H1092" i="4" s="1"/>
  <c r="J1092" i="4"/>
  <c r="G1092" i="4"/>
  <c r="F1092" i="4"/>
  <c r="S1091" i="4"/>
  <c r="T1091" i="4" s="1"/>
  <c r="J1091" i="4"/>
  <c r="G1091" i="4"/>
  <c r="F1091" i="4"/>
  <c r="S1090" i="4"/>
  <c r="T1090" i="4" s="1"/>
  <c r="J1090" i="4"/>
  <c r="G1090" i="4"/>
  <c r="F1090" i="4"/>
  <c r="S1089" i="4"/>
  <c r="T1089" i="4" s="1"/>
  <c r="J1089" i="4"/>
  <c r="G1089" i="4"/>
  <c r="F1089" i="4"/>
  <c r="I1088" i="4"/>
  <c r="J1088" i="4"/>
  <c r="G1088" i="4"/>
  <c r="F1088" i="4"/>
  <c r="S1087" i="4"/>
  <c r="I1087" i="4" s="1"/>
  <c r="J1087" i="4"/>
  <c r="G1087" i="4"/>
  <c r="F1087" i="4"/>
  <c r="S1086" i="4"/>
  <c r="I1086" i="4" s="1"/>
  <c r="J1086" i="4"/>
  <c r="G1086" i="4"/>
  <c r="F1086" i="4"/>
  <c r="S1085" i="4"/>
  <c r="I1085" i="4" s="1"/>
  <c r="J1085" i="4"/>
  <c r="G1085" i="4"/>
  <c r="F1085" i="4"/>
  <c r="S1084" i="4"/>
  <c r="H1084" i="4" s="1"/>
  <c r="J1084" i="4"/>
  <c r="G1084" i="4"/>
  <c r="F1084" i="4"/>
  <c r="S1083" i="4"/>
  <c r="T1083" i="4" s="1"/>
  <c r="J1083" i="4"/>
  <c r="G1083" i="4"/>
  <c r="F1083" i="4"/>
  <c r="S1082" i="4"/>
  <c r="I1082" i="4" s="1"/>
  <c r="J1082" i="4"/>
  <c r="G1082" i="4"/>
  <c r="F1082" i="4"/>
  <c r="S1081" i="4"/>
  <c r="T1081" i="4" s="1"/>
  <c r="J1081" i="4"/>
  <c r="G1081" i="4"/>
  <c r="F1081" i="4"/>
  <c r="S1080" i="4"/>
  <c r="I1080" i="4" s="1"/>
  <c r="J1080" i="4"/>
  <c r="G1080" i="4"/>
  <c r="F1080" i="4"/>
  <c r="S1079" i="4"/>
  <c r="I1079" i="4" s="1"/>
  <c r="J1079" i="4"/>
  <c r="G1079" i="4"/>
  <c r="F1079" i="4"/>
  <c r="S1078" i="4"/>
  <c r="H1078" i="4" s="1"/>
  <c r="J1078" i="4"/>
  <c r="G1078" i="4"/>
  <c r="F1078" i="4"/>
  <c r="S1077" i="4"/>
  <c r="I1077" i="4" s="1"/>
  <c r="J1077" i="4"/>
  <c r="G1077" i="4"/>
  <c r="F1077" i="4"/>
  <c r="S1075" i="4"/>
  <c r="I1075" i="4" s="1"/>
  <c r="J1075" i="4"/>
  <c r="G1075" i="4"/>
  <c r="F1075" i="4"/>
  <c r="S1074" i="4"/>
  <c r="I1074" i="4" s="1"/>
  <c r="S1073" i="4"/>
  <c r="T1073" i="4" s="1"/>
  <c r="S1072" i="4"/>
  <c r="S1071" i="4"/>
  <c r="H1071" i="4" s="1"/>
  <c r="S1070" i="4"/>
  <c r="I1070" i="4" s="1"/>
  <c r="S1069" i="4"/>
  <c r="T1069" i="4" s="1"/>
  <c r="S1068" i="4"/>
  <c r="I1068" i="4" s="1"/>
  <c r="S1067" i="4"/>
  <c r="I1067" i="4" s="1"/>
  <c r="S1066" i="4"/>
  <c r="T1066" i="4" s="1"/>
  <c r="S1065" i="4"/>
  <c r="H1065" i="4" s="1"/>
  <c r="S1064" i="4"/>
  <c r="I1064" i="4" s="1"/>
  <c r="S1063" i="4"/>
  <c r="H1063" i="4" s="1"/>
  <c r="S1062" i="4"/>
  <c r="I1062" i="4" s="1"/>
  <c r="S1061" i="4"/>
  <c r="I1060" i="4"/>
  <c r="S1059" i="4"/>
  <c r="I1059" i="4" s="1"/>
  <c r="S1058" i="4"/>
  <c r="T1058" i="4" s="1"/>
  <c r="S1057" i="4"/>
  <c r="H1057" i="4" s="1"/>
  <c r="S1056" i="4"/>
  <c r="I1056" i="4" s="1"/>
  <c r="S1055" i="4"/>
  <c r="H1055" i="4" s="1"/>
  <c r="S1054" i="4"/>
  <c r="I1054" i="4" s="1"/>
  <c r="S1053" i="4"/>
  <c r="T1053" i="4" s="1"/>
  <c r="S1052" i="4"/>
  <c r="I1052" i="4" s="1"/>
  <c r="S1051" i="4"/>
  <c r="I1051" i="4" s="1"/>
  <c r="S1050" i="4"/>
  <c r="T1050" i="4" s="1"/>
  <c r="S1049" i="4"/>
  <c r="H1049" i="4" s="1"/>
  <c r="S1048" i="4"/>
  <c r="S1047" i="4"/>
  <c r="H1047" i="4" s="1"/>
  <c r="S1046" i="4"/>
  <c r="I1046" i="4" s="1"/>
  <c r="S1045" i="4"/>
  <c r="T1045" i="4" s="1"/>
  <c r="S1044" i="4"/>
  <c r="I1044" i="4" s="1"/>
  <c r="S1043" i="4"/>
  <c r="I1043" i="4" s="1"/>
  <c r="S1042" i="4"/>
  <c r="T1042" i="4" s="1"/>
  <c r="S1041" i="4"/>
  <c r="H1041" i="4" s="1"/>
  <c r="S1039" i="4"/>
  <c r="H1039" i="4" s="1"/>
  <c r="S1038" i="4"/>
  <c r="I1038" i="4" s="1"/>
  <c r="H1037" i="4"/>
  <c r="S1036" i="4"/>
  <c r="I1036" i="4" s="1"/>
  <c r="S1014" i="4"/>
  <c r="T1014" i="4" s="1"/>
  <c r="S1013" i="4"/>
  <c r="T1013" i="4" s="1"/>
  <c r="S1012" i="4"/>
  <c r="T1012" i="4" s="1"/>
  <c r="S1011" i="4"/>
  <c r="S1010" i="4"/>
  <c r="T1010" i="4" s="1"/>
  <c r="S1009" i="4"/>
  <c r="S1008" i="4"/>
  <c r="I1008" i="4" s="1"/>
  <c r="S1007" i="4"/>
  <c r="I1007" i="4" s="1"/>
  <c r="S1006" i="4"/>
  <c r="T1006" i="4" s="1"/>
  <c r="S1005" i="4"/>
  <c r="I1005" i="4" s="1"/>
  <c r="M3858" i="4"/>
  <c r="M3675" i="4"/>
  <c r="M3492" i="4"/>
  <c r="M3309" i="4"/>
  <c r="M3126" i="4"/>
  <c r="M3124" i="4"/>
  <c r="M3121" i="4"/>
  <c r="M3067" i="4"/>
  <c r="M3056" i="4"/>
  <c r="M3036" i="4"/>
  <c r="M3019" i="4"/>
  <c r="M3006" i="4"/>
  <c r="M2995" i="4"/>
  <c r="M2866" i="4"/>
  <c r="M2864" i="4"/>
  <c r="M2862" i="4"/>
  <c r="M2859" i="4"/>
  <c r="M2749" i="4"/>
  <c r="M2740" i="4"/>
  <c r="M2731" i="4"/>
  <c r="M2726" i="4"/>
  <c r="M2716" i="4"/>
  <c r="M2706" i="4"/>
  <c r="M2701" i="4"/>
  <c r="M2689" i="4"/>
  <c r="M2685" i="4"/>
  <c r="M2683" i="4"/>
  <c r="M2679" i="4"/>
  <c r="M2650" i="4"/>
  <c r="M2291" i="4"/>
  <c r="M1665" i="4"/>
  <c r="M1626" i="4"/>
  <c r="M1589" i="4"/>
  <c r="M1572" i="4"/>
  <c r="M1551" i="4"/>
  <c r="M1526" i="4"/>
  <c r="M1525" i="4"/>
  <c r="M1521" i="4"/>
  <c r="M1517" i="4"/>
  <c r="M1513" i="4"/>
  <c r="M1509" i="4"/>
  <c r="M1505" i="4"/>
  <c r="M1404" i="4"/>
  <c r="M1286" i="4"/>
  <c r="M1280" i="4"/>
  <c r="M1274" i="4"/>
  <c r="M1158" i="4"/>
  <c r="M1117" i="4"/>
  <c r="M1076" i="4"/>
  <c r="M1035" i="4"/>
  <c r="M994" i="4"/>
  <c r="M988" i="4"/>
  <c r="M967" i="4"/>
  <c r="M946" i="4"/>
  <c r="M925" i="4"/>
  <c r="M904" i="4"/>
  <c r="M898" i="4"/>
  <c r="M882" i="4"/>
  <c r="M866" i="4"/>
  <c r="M850" i="4"/>
  <c r="M834" i="4"/>
  <c r="M828" i="4"/>
  <c r="M812" i="4"/>
  <c r="M796" i="4"/>
  <c r="M780" i="4"/>
  <c r="M764" i="4"/>
  <c r="M758" i="4"/>
  <c r="M742" i="4"/>
  <c r="M726" i="4"/>
  <c r="M710" i="4"/>
  <c r="M694" i="4"/>
  <c r="M688" i="4"/>
  <c r="M672" i="4"/>
  <c r="M656" i="4"/>
  <c r="M640" i="4"/>
  <c r="M624" i="4"/>
  <c r="M618" i="4"/>
  <c r="M602" i="4"/>
  <c r="M586" i="4"/>
  <c r="M570" i="4"/>
  <c r="M554" i="4"/>
  <c r="M548" i="4"/>
  <c r="M532" i="4"/>
  <c r="M516" i="4"/>
  <c r="M500" i="4"/>
  <c r="M484" i="4"/>
  <c r="M478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298" i="4"/>
  <c r="M293" i="4"/>
  <c r="M288" i="4"/>
  <c r="M283" i="4"/>
  <c r="M278" i="4"/>
  <c r="M273" i="4"/>
  <c r="M268" i="4"/>
  <c r="M263" i="4"/>
  <c r="M258" i="4"/>
  <c r="M253" i="4"/>
  <c r="M248" i="4"/>
  <c r="M243" i="4"/>
  <c r="M238" i="4"/>
  <c r="M233" i="4"/>
  <c r="M228" i="4"/>
  <c r="M223" i="4"/>
  <c r="M218" i="4"/>
  <c r="M213" i="4"/>
  <c r="M208" i="4"/>
  <c r="M203" i="4"/>
  <c r="M198" i="4"/>
  <c r="M193" i="4"/>
  <c r="M188" i="4"/>
  <c r="M183" i="4"/>
  <c r="M178" i="4"/>
  <c r="M172" i="4"/>
  <c r="M171" i="4"/>
  <c r="M169" i="4"/>
  <c r="M167" i="4"/>
  <c r="M164" i="4"/>
  <c r="M161" i="4"/>
  <c r="M158" i="4"/>
  <c r="M153" i="4"/>
  <c r="M152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S1273" i="4"/>
  <c r="T1273" i="4" s="1"/>
  <c r="J1273" i="4"/>
  <c r="G1273" i="4"/>
  <c r="F1273" i="4"/>
  <c r="S1272" i="4"/>
  <c r="T1272" i="4" s="1"/>
  <c r="J1272" i="4"/>
  <c r="G1272" i="4"/>
  <c r="F1272" i="4"/>
  <c r="S1271" i="4"/>
  <c r="I1271" i="4" s="1"/>
  <c r="J1271" i="4"/>
  <c r="G1271" i="4"/>
  <c r="F1271" i="4"/>
  <c r="S1270" i="4"/>
  <c r="I1270" i="4" s="1"/>
  <c r="J1270" i="4"/>
  <c r="G1270" i="4"/>
  <c r="F1270" i="4"/>
  <c r="S1269" i="4"/>
  <c r="H1269" i="4" s="1"/>
  <c r="J1269" i="4"/>
  <c r="G1269" i="4"/>
  <c r="F1269" i="4"/>
  <c r="S1268" i="4"/>
  <c r="T1268" i="4" s="1"/>
  <c r="J1268" i="4"/>
  <c r="G1268" i="4"/>
  <c r="F1268" i="4"/>
  <c r="S1267" i="4"/>
  <c r="I1267" i="4" s="1"/>
  <c r="J1267" i="4"/>
  <c r="G1267" i="4"/>
  <c r="F1267" i="4"/>
  <c r="S1266" i="4"/>
  <c r="T1266" i="4" s="1"/>
  <c r="J1266" i="4"/>
  <c r="G1266" i="4"/>
  <c r="F1266" i="4"/>
  <c r="S1265" i="4"/>
  <c r="H1265" i="4" s="1"/>
  <c r="J1265" i="4"/>
  <c r="G1265" i="4"/>
  <c r="F1265" i="4"/>
  <c r="S1264" i="4"/>
  <c r="T1264" i="4" s="1"/>
  <c r="J1264" i="4"/>
  <c r="G1264" i="4"/>
  <c r="F1264" i="4"/>
  <c r="S1034" i="4"/>
  <c r="T1034" i="4" s="1"/>
  <c r="S1033" i="4"/>
  <c r="T1033" i="4" s="1"/>
  <c r="S1032" i="4"/>
  <c r="T1032" i="4" s="1"/>
  <c r="S1031" i="4"/>
  <c r="T1031" i="4" s="1"/>
  <c r="S1030" i="4"/>
  <c r="T1030" i="4" s="1"/>
  <c r="S1029" i="4"/>
  <c r="T1029" i="4" s="1"/>
  <c r="S1028" i="4"/>
  <c r="I1028" i="4" s="1"/>
  <c r="S1027" i="4"/>
  <c r="I1027" i="4" s="1"/>
  <c r="S1026" i="4"/>
  <c r="T1026" i="4" s="1"/>
  <c r="S1025" i="4"/>
  <c r="T1025" i="4" s="1"/>
  <c r="S1024" i="4"/>
  <c r="I1024" i="4" s="1"/>
  <c r="S1023" i="4"/>
  <c r="T1023" i="4" s="1"/>
  <c r="S1022" i="4"/>
  <c r="T1022" i="4" s="1"/>
  <c r="S1021" i="4"/>
  <c r="T1021" i="4" s="1"/>
  <c r="S1020" i="4"/>
  <c r="I1020" i="4" s="1"/>
  <c r="S1019" i="4"/>
  <c r="I1019" i="4" s="1"/>
  <c r="S1018" i="4"/>
  <c r="I1018" i="4" s="1"/>
  <c r="S1017" i="4"/>
  <c r="I1017" i="4" s="1"/>
  <c r="T1016" i="4"/>
  <c r="S1015" i="4"/>
  <c r="T1015" i="4" s="1"/>
  <c r="H1145" i="4" l="1"/>
  <c r="T1082" i="4"/>
  <c r="T1156" i="4"/>
  <c r="H1086" i="4"/>
  <c r="M1086" i="4" s="1"/>
  <c r="H1089" i="4"/>
  <c r="I1092" i="4"/>
  <c r="M1092" i="4" s="1"/>
  <c r="T1129" i="4"/>
  <c r="I1110" i="4"/>
  <c r="I1122" i="4"/>
  <c r="H1148" i="4"/>
  <c r="T1157" i="4"/>
  <c r="H1124" i="4"/>
  <c r="T1133" i="4"/>
  <c r="H1126" i="4"/>
  <c r="M1126" i="4" s="1"/>
  <c r="H1102" i="4"/>
  <c r="M1102" i="4" s="1"/>
  <c r="T1149" i="4"/>
  <c r="T1102" i="4"/>
  <c r="T1269" i="4"/>
  <c r="H1151" i="4"/>
  <c r="I1151" i="4"/>
  <c r="I1156" i="4"/>
  <c r="M1156" i="4" s="1"/>
  <c r="H1140" i="4"/>
  <c r="T1141" i="4"/>
  <c r="H1146" i="4"/>
  <c r="H1135" i="4"/>
  <c r="I1135" i="4"/>
  <c r="H1133" i="4"/>
  <c r="M1133" i="4" s="1"/>
  <c r="H1132" i="4"/>
  <c r="T1121" i="4"/>
  <c r="H1123" i="4"/>
  <c r="H1127" i="4"/>
  <c r="T1119" i="4"/>
  <c r="H1121" i="4"/>
  <c r="M1121" i="4" s="1"/>
  <c r="I1125" i="4"/>
  <c r="H1118" i="4"/>
  <c r="M1118" i="4" s="1"/>
  <c r="I1115" i="4"/>
  <c r="H1099" i="4"/>
  <c r="H1097" i="4"/>
  <c r="I1069" i="4"/>
  <c r="I1039" i="4"/>
  <c r="H1125" i="4"/>
  <c r="I1127" i="4"/>
  <c r="T1131" i="4"/>
  <c r="T1139" i="4"/>
  <c r="I1147" i="4"/>
  <c r="M1147" i="4" s="1"/>
  <c r="T1143" i="4"/>
  <c r="H1082" i="4"/>
  <c r="M1082" i="4" s="1"/>
  <c r="H1115" i="4"/>
  <c r="H1122" i="4"/>
  <c r="I1123" i="4"/>
  <c r="I1145" i="4"/>
  <c r="T1147" i="4"/>
  <c r="I1157" i="4"/>
  <c r="M1157" i="4" s="1"/>
  <c r="H1129" i="4"/>
  <c r="M1129" i="4" s="1"/>
  <c r="H1131" i="4"/>
  <c r="M1131" i="4" s="1"/>
  <c r="H1139" i="4"/>
  <c r="M1139" i="4" s="1"/>
  <c r="H1155" i="4"/>
  <c r="H1013" i="4"/>
  <c r="H1119" i="4"/>
  <c r="M1119" i="4" s="1"/>
  <c r="H1130" i="4"/>
  <c r="H1137" i="4"/>
  <c r="H1138" i="4"/>
  <c r="H1143" i="4"/>
  <c r="M1143" i="4" s="1"/>
  <c r="H1153" i="4"/>
  <c r="H1154" i="4"/>
  <c r="I1155" i="4"/>
  <c r="I1130" i="4"/>
  <c r="I1137" i="4"/>
  <c r="I1138" i="4"/>
  <c r="I1153" i="4"/>
  <c r="I1154" i="4"/>
  <c r="H1081" i="4"/>
  <c r="T1092" i="4"/>
  <c r="T1118" i="4"/>
  <c r="T1126" i="4"/>
  <c r="T1134" i="4"/>
  <c r="T1142" i="4"/>
  <c r="I1146" i="4"/>
  <c r="T1150" i="4"/>
  <c r="H1073" i="4"/>
  <c r="T1078" i="4"/>
  <c r="H1104" i="4"/>
  <c r="T1120" i="4"/>
  <c r="I1124" i="4"/>
  <c r="T1128" i="4"/>
  <c r="I1132" i="4"/>
  <c r="T1136" i="4"/>
  <c r="I1140" i="4"/>
  <c r="H1141" i="4"/>
  <c r="M1141" i="4" s="1"/>
  <c r="T1144" i="4"/>
  <c r="I1148" i="4"/>
  <c r="H1149" i="4"/>
  <c r="M1149" i="4" s="1"/>
  <c r="T1152" i="4"/>
  <c r="I1045" i="4"/>
  <c r="H1064" i="4"/>
  <c r="I1096" i="4"/>
  <c r="M1096" i="4" s="1"/>
  <c r="I1104" i="4"/>
  <c r="H1134" i="4"/>
  <c r="M1134" i="4" s="1"/>
  <c r="H1142" i="4"/>
  <c r="M1142" i="4" s="1"/>
  <c r="H1150" i="4"/>
  <c r="M1150" i="4" s="1"/>
  <c r="H1120" i="4"/>
  <c r="M1120" i="4" s="1"/>
  <c r="H1128" i="4"/>
  <c r="M1128" i="4" s="1"/>
  <c r="H1136" i="4"/>
  <c r="M1136" i="4" s="1"/>
  <c r="H1144" i="4"/>
  <c r="M1144" i="4" s="1"/>
  <c r="H1152" i="4"/>
  <c r="M1152" i="4" s="1"/>
  <c r="T1096" i="4"/>
  <c r="I1078" i="4"/>
  <c r="M1078" i="4" s="1"/>
  <c r="I1106" i="4"/>
  <c r="M1106" i="4" s="1"/>
  <c r="H1112" i="4"/>
  <c r="M1112" i="4" s="1"/>
  <c r="H1110" i="4"/>
  <c r="T1005" i="4"/>
  <c r="T1056" i="4"/>
  <c r="I1073" i="4"/>
  <c r="T1080" i="4"/>
  <c r="I1084" i="4"/>
  <c r="M1084" i="4" s="1"/>
  <c r="T1094" i="4"/>
  <c r="I1098" i="4"/>
  <c r="M1098" i="4" s="1"/>
  <c r="T1100" i="4"/>
  <c r="H1105" i="4"/>
  <c r="I1042" i="4"/>
  <c r="T1043" i="4"/>
  <c r="H1069" i="4"/>
  <c r="T1086" i="4"/>
  <c r="H1090" i="4"/>
  <c r="H1091" i="4"/>
  <c r="T1106" i="4"/>
  <c r="T1112" i="4"/>
  <c r="H1116" i="4"/>
  <c r="H1083" i="4"/>
  <c r="H1088" i="4"/>
  <c r="M1088" i="4" s="1"/>
  <c r="I1090" i="4"/>
  <c r="I1116" i="4"/>
  <c r="H1080" i="4"/>
  <c r="M1080" i="4" s="1"/>
  <c r="T1084" i="4"/>
  <c r="H1094" i="4"/>
  <c r="M1094" i="4" s="1"/>
  <c r="H1114" i="4"/>
  <c r="I1114" i="4"/>
  <c r="I1265" i="4"/>
  <c r="M1265" i="4" s="1"/>
  <c r="H1005" i="4"/>
  <c r="I1047" i="4"/>
  <c r="H1050" i="4"/>
  <c r="H1053" i="4"/>
  <c r="H1056" i="4"/>
  <c r="I1100" i="4"/>
  <c r="M1100" i="4" s="1"/>
  <c r="H1107" i="4"/>
  <c r="H1113" i="4"/>
  <c r="T1067" i="4"/>
  <c r="T1077" i="4"/>
  <c r="I1081" i="4"/>
  <c r="T1085" i="4"/>
  <c r="I1089" i="4"/>
  <c r="T1093" i="4"/>
  <c r="I1097" i="4"/>
  <c r="T1101" i="4"/>
  <c r="I1105" i="4"/>
  <c r="T1109" i="4"/>
  <c r="I1113" i="4"/>
  <c r="T1008" i="4"/>
  <c r="I1037" i="4"/>
  <c r="I1041" i="4"/>
  <c r="H1045" i="4"/>
  <c r="I1053" i="4"/>
  <c r="T1074" i="4"/>
  <c r="T1079" i="4"/>
  <c r="I1083" i="4"/>
  <c r="T1087" i="4"/>
  <c r="I1091" i="4"/>
  <c r="T1095" i="4"/>
  <c r="I1099" i="4"/>
  <c r="T1103" i="4"/>
  <c r="I1107" i="4"/>
  <c r="H1108" i="4"/>
  <c r="M1108" i="4" s="1"/>
  <c r="T1111" i="4"/>
  <c r="H1077" i="4"/>
  <c r="M1077" i="4" s="1"/>
  <c r="H1085" i="4"/>
  <c r="M1085" i="4" s="1"/>
  <c r="H1093" i="4"/>
  <c r="M1093" i="4" s="1"/>
  <c r="H1101" i="4"/>
  <c r="M1101" i="4" s="1"/>
  <c r="H1109" i="4"/>
  <c r="M1109" i="4" s="1"/>
  <c r="I1040" i="4"/>
  <c r="H1059" i="4"/>
  <c r="T1041" i="4"/>
  <c r="T1049" i="4"/>
  <c r="H1079" i="4"/>
  <c r="M1079" i="4" s="1"/>
  <c r="H1087" i="4"/>
  <c r="M1087" i="4" s="1"/>
  <c r="H1095" i="4"/>
  <c r="M1095" i="4" s="1"/>
  <c r="H1103" i="4"/>
  <c r="M1103" i="4" s="1"/>
  <c r="H1111" i="4"/>
  <c r="M1111" i="4" s="1"/>
  <c r="H1074" i="4"/>
  <c r="I1011" i="4"/>
  <c r="H1011" i="4"/>
  <c r="T1011" i="4"/>
  <c r="H1266" i="4"/>
  <c r="I1266" i="4"/>
  <c r="I1061" i="4"/>
  <c r="H1061" i="4"/>
  <c r="T1061" i="4"/>
  <c r="T1072" i="4"/>
  <c r="I1072" i="4"/>
  <c r="H1072" i="4"/>
  <c r="I1048" i="4"/>
  <c r="H1048" i="4"/>
  <c r="T1048" i="4"/>
  <c r="I1010" i="4"/>
  <c r="H1040" i="4"/>
  <c r="I1065" i="4"/>
  <c r="I1066" i="4"/>
  <c r="I1071" i="4"/>
  <c r="H1058" i="4"/>
  <c r="I1057" i="4"/>
  <c r="I1058" i="4"/>
  <c r="I1063" i="4"/>
  <c r="T1065" i="4"/>
  <c r="H1051" i="4"/>
  <c r="T1059" i="4"/>
  <c r="T1064" i="4"/>
  <c r="H1075" i="4"/>
  <c r="M1075" i="4" s="1"/>
  <c r="I1012" i="4"/>
  <c r="H1043" i="4"/>
  <c r="I1049" i="4"/>
  <c r="I1050" i="4"/>
  <c r="I1055" i="4"/>
  <c r="T1057" i="4"/>
  <c r="H1067" i="4"/>
  <c r="H1042" i="4"/>
  <c r="T1051" i="4"/>
  <c r="H1066" i="4"/>
  <c r="T1075" i="4"/>
  <c r="H1010" i="4"/>
  <c r="H1012" i="4"/>
  <c r="T1036" i="4"/>
  <c r="T1044" i="4"/>
  <c r="T1052" i="4"/>
  <c r="T1068" i="4"/>
  <c r="T1038" i="4"/>
  <c r="T1046" i="4"/>
  <c r="T1054" i="4"/>
  <c r="T1062" i="4"/>
  <c r="T1070" i="4"/>
  <c r="H1008" i="4"/>
  <c r="H1036" i="4"/>
  <c r="T1039" i="4"/>
  <c r="H1044" i="4"/>
  <c r="T1047" i="4"/>
  <c r="H1052" i="4"/>
  <c r="T1055" i="4"/>
  <c r="H1060" i="4"/>
  <c r="T1063" i="4"/>
  <c r="H1068" i="4"/>
  <c r="T1071" i="4"/>
  <c r="I1014" i="4"/>
  <c r="H1038" i="4"/>
  <c r="H1046" i="4"/>
  <c r="H1054" i="4"/>
  <c r="H1062" i="4"/>
  <c r="H1070" i="4"/>
  <c r="I1009" i="4"/>
  <c r="H1009" i="4"/>
  <c r="T1009" i="4"/>
  <c r="T1007" i="4"/>
  <c r="H1006" i="4"/>
  <c r="I1013" i="4"/>
  <c r="H1014" i="4"/>
  <c r="I1006" i="4"/>
  <c r="H1007" i="4"/>
  <c r="H1267" i="4"/>
  <c r="M1267" i="4" s="1"/>
  <c r="I1264" i="4"/>
  <c r="H1024" i="4"/>
  <c r="T1270" i="4"/>
  <c r="H1272" i="4"/>
  <c r="H1273" i="4"/>
  <c r="T1265" i="4"/>
  <c r="T1267" i="4"/>
  <c r="I1272" i="4"/>
  <c r="I1273" i="4"/>
  <c r="I1269" i="4"/>
  <c r="M1269" i="4" s="1"/>
  <c r="H1264" i="4"/>
  <c r="H1268" i="4"/>
  <c r="T1271" i="4"/>
  <c r="I1268" i="4"/>
  <c r="H1270" i="4"/>
  <c r="M1270" i="4" s="1"/>
  <c r="H1271" i="4"/>
  <c r="M1271" i="4" s="1"/>
  <c r="T1024" i="4"/>
  <c r="T1020" i="4"/>
  <c r="T1027" i="4"/>
  <c r="H1015" i="4"/>
  <c r="H1023" i="4"/>
  <c r="H1029" i="4"/>
  <c r="H1030" i="4"/>
  <c r="H1031" i="4"/>
  <c r="H1032" i="4"/>
  <c r="H1033" i="4"/>
  <c r="H1034" i="4"/>
  <c r="H1020" i="4"/>
  <c r="H1022" i="4"/>
  <c r="I1029" i="4"/>
  <c r="I1030" i="4"/>
  <c r="I1031" i="4"/>
  <c r="I1032" i="4"/>
  <c r="I1033" i="4"/>
  <c r="I1034" i="4"/>
  <c r="H1021" i="4"/>
  <c r="T1018" i="4"/>
  <c r="H1018" i="4"/>
  <c r="I1021" i="4"/>
  <c r="I1022" i="4"/>
  <c r="I1023" i="4"/>
  <c r="H1025" i="4"/>
  <c r="T1028" i="4"/>
  <c r="I1025" i="4"/>
  <c r="H1026" i="4"/>
  <c r="I1026" i="4"/>
  <c r="H1027" i="4"/>
  <c r="H1028" i="4"/>
  <c r="T1017" i="4"/>
  <c r="I1015" i="4"/>
  <c r="H1016" i="4"/>
  <c r="T1019" i="4"/>
  <c r="I1016" i="4"/>
  <c r="H1017" i="4"/>
  <c r="H1019" i="4"/>
  <c r="M1127" i="4" l="1"/>
  <c r="M1145" i="4"/>
  <c r="M1090" i="4"/>
  <c r="M1089" i="4"/>
  <c r="M1110" i="4"/>
  <c r="M1122" i="4"/>
  <c r="M1097" i="4"/>
  <c r="M1132" i="4"/>
  <c r="M1124" i="4"/>
  <c r="M1125" i="4"/>
  <c r="M1135" i="4"/>
  <c r="M1148" i="4"/>
  <c r="M1140" i="4"/>
  <c r="M1155" i="4"/>
  <c r="M1146" i="4"/>
  <c r="M1115" i="4"/>
  <c r="M1081" i="4"/>
  <c r="M1123" i="4"/>
  <c r="M1099" i="4"/>
  <c r="M1154" i="4"/>
  <c r="M1151" i="4"/>
  <c r="M1153" i="4"/>
  <c r="M1138" i="4"/>
  <c r="M1137" i="4"/>
  <c r="M1130" i="4"/>
  <c r="M1113" i="4"/>
  <c r="M1107" i="4"/>
  <c r="M1266" i="4"/>
  <c r="M1268" i="4"/>
  <c r="M1264" i="4"/>
  <c r="M1083" i="4"/>
  <c r="M1105" i="4"/>
  <c r="M1114" i="4"/>
  <c r="M1104" i="4"/>
  <c r="M1116" i="4"/>
  <c r="M1091" i="4"/>
  <c r="M1273" i="4"/>
  <c r="M1272" i="4"/>
  <c r="J2989" i="4" l="1"/>
  <c r="I2989" i="4"/>
  <c r="H2989" i="4"/>
  <c r="G2989" i="4"/>
  <c r="F2989" i="4"/>
  <c r="M2989" i="4" l="1"/>
  <c r="J2994" i="4"/>
  <c r="I2994" i="4"/>
  <c r="H2994" i="4"/>
  <c r="G2994" i="4"/>
  <c r="F2994" i="4"/>
  <c r="J2993" i="4"/>
  <c r="I2993" i="4"/>
  <c r="H2993" i="4"/>
  <c r="G2993" i="4"/>
  <c r="F2993" i="4"/>
  <c r="S2992" i="4"/>
  <c r="I2992" i="4" s="1"/>
  <c r="J2992" i="4"/>
  <c r="G2992" i="4"/>
  <c r="F2992" i="4"/>
  <c r="M2994" i="4" l="1"/>
  <c r="M2993" i="4"/>
  <c r="H2992" i="4"/>
  <c r="M2992" i="4" s="1"/>
  <c r="I3879" i="4" l="1"/>
  <c r="J3879" i="4"/>
  <c r="G3879" i="4"/>
  <c r="F3879" i="4"/>
  <c r="H3878" i="4"/>
  <c r="J3878" i="4"/>
  <c r="G3878" i="4"/>
  <c r="F3878" i="4"/>
  <c r="I3877" i="4"/>
  <c r="J3877" i="4"/>
  <c r="G3877" i="4"/>
  <c r="F3877" i="4"/>
  <c r="I3876" i="4"/>
  <c r="J3876" i="4"/>
  <c r="G3876" i="4"/>
  <c r="F3876" i="4"/>
  <c r="I3875" i="4"/>
  <c r="J3875" i="4"/>
  <c r="G3875" i="4"/>
  <c r="F3875" i="4"/>
  <c r="I3874" i="4"/>
  <c r="J3874" i="4"/>
  <c r="G3874" i="4"/>
  <c r="F3874" i="4"/>
  <c r="I3873" i="4"/>
  <c r="J3873" i="4"/>
  <c r="G3873" i="4"/>
  <c r="F3873" i="4"/>
  <c r="I3872" i="4"/>
  <c r="J3872" i="4"/>
  <c r="G3872" i="4"/>
  <c r="F3872" i="4"/>
  <c r="I3871" i="4"/>
  <c r="J3871" i="4"/>
  <c r="G3871" i="4"/>
  <c r="F3871" i="4"/>
  <c r="I3878" i="4" l="1"/>
  <c r="M3878" i="4" s="1"/>
  <c r="H3877" i="4"/>
  <c r="M3877" i="4" s="1"/>
  <c r="H3879" i="4"/>
  <c r="M3879" i="4" s="1"/>
  <c r="H3874" i="4"/>
  <c r="M3874" i="4" s="1"/>
  <c r="H3875" i="4"/>
  <c r="M3875" i="4" s="1"/>
  <c r="H3876" i="4"/>
  <c r="M3876" i="4" s="1"/>
  <c r="H3871" i="4"/>
  <c r="M3871" i="4" s="1"/>
  <c r="H3872" i="4"/>
  <c r="M3872" i="4" s="1"/>
  <c r="H3873" i="4"/>
  <c r="M3873" i="4" s="1"/>
  <c r="S3260" i="4" l="1"/>
  <c r="S3259" i="4"/>
  <c r="S3267" i="4"/>
  <c r="S3268" i="4"/>
  <c r="S3275" i="4"/>
  <c r="S3276" i="4"/>
  <c r="S3292" i="4"/>
  <c r="S3291" i="4"/>
  <c r="S3284" i="4"/>
  <c r="S3283" i="4"/>
  <c r="S3443" i="4"/>
  <c r="S3442" i="4"/>
  <c r="S3451" i="4"/>
  <c r="S3450" i="4"/>
  <c r="S3459" i="4"/>
  <c r="S3458" i="4"/>
  <c r="S3467" i="4"/>
  <c r="S3466" i="4"/>
  <c r="S3475" i="4"/>
  <c r="S3474" i="4"/>
  <c r="S3482" i="4"/>
  <c r="S3483" i="4"/>
  <c r="S3626" i="4"/>
  <c r="S3625" i="4"/>
  <c r="S3634" i="4"/>
  <c r="S3633" i="4"/>
  <c r="S3642" i="4"/>
  <c r="S3641" i="4"/>
  <c r="S3649" i="4"/>
  <c r="S3650" i="4"/>
  <c r="S3657" i="4"/>
  <c r="S3658" i="4"/>
  <c r="S3809" i="4"/>
  <c r="S3808" i="4"/>
  <c r="S3841" i="4"/>
  <c r="S3840" i="4"/>
  <c r="S3833" i="4"/>
  <c r="S3832" i="4"/>
  <c r="S3825" i="4"/>
  <c r="S3824" i="4"/>
  <c r="S3817" i="4"/>
  <c r="S3816" i="4"/>
  <c r="I3870" i="4" l="1"/>
  <c r="J3870" i="4"/>
  <c r="G3870" i="4"/>
  <c r="F3870" i="4"/>
  <c r="I3869" i="4"/>
  <c r="J3869" i="4"/>
  <c r="G3869" i="4"/>
  <c r="F3869" i="4"/>
  <c r="I3868" i="4"/>
  <c r="J3868" i="4"/>
  <c r="G3868" i="4"/>
  <c r="F3868" i="4"/>
  <c r="I3867" i="4"/>
  <c r="J3867" i="4"/>
  <c r="G3867" i="4"/>
  <c r="F3867" i="4"/>
  <c r="I3866" i="4"/>
  <c r="J3866" i="4"/>
  <c r="G3866" i="4"/>
  <c r="F3866" i="4"/>
  <c r="I3865" i="4"/>
  <c r="J3865" i="4"/>
  <c r="G3865" i="4"/>
  <c r="F3865" i="4"/>
  <c r="I3864" i="4"/>
  <c r="J3864" i="4"/>
  <c r="G3864" i="4"/>
  <c r="F3864" i="4"/>
  <c r="I3863" i="4"/>
  <c r="J3863" i="4"/>
  <c r="G3863" i="4"/>
  <c r="F3863" i="4"/>
  <c r="I3862" i="4"/>
  <c r="J3862" i="4"/>
  <c r="G3862" i="4"/>
  <c r="F3862" i="4"/>
  <c r="H3869" i="4" l="1"/>
  <c r="M3869" i="4" s="1"/>
  <c r="H3864" i="4"/>
  <c r="M3864" i="4" s="1"/>
  <c r="H3868" i="4"/>
  <c r="M3868" i="4" s="1"/>
  <c r="H3870" i="4"/>
  <c r="M3870" i="4" s="1"/>
  <c r="H3862" i="4"/>
  <c r="M3862" i="4" s="1"/>
  <c r="H3863" i="4"/>
  <c r="M3863" i="4" s="1"/>
  <c r="H3865" i="4"/>
  <c r="M3865" i="4" s="1"/>
  <c r="H3866" i="4"/>
  <c r="M3866" i="4" s="1"/>
  <c r="H3867" i="4"/>
  <c r="M3867" i="4" s="1"/>
  <c r="I3861" i="4"/>
  <c r="J3861" i="4"/>
  <c r="G3861" i="4"/>
  <c r="F3861" i="4"/>
  <c r="H3860" i="4"/>
  <c r="J3860" i="4"/>
  <c r="G3860" i="4"/>
  <c r="F3860" i="4"/>
  <c r="J3859" i="4"/>
  <c r="G3859" i="4"/>
  <c r="F3859" i="4"/>
  <c r="S3857" i="4"/>
  <c r="J3857" i="4"/>
  <c r="G3857" i="4"/>
  <c r="F3857" i="4"/>
  <c r="S3856" i="4"/>
  <c r="H3856" i="4" s="1"/>
  <c r="J3856" i="4"/>
  <c r="G3856" i="4"/>
  <c r="F3856" i="4"/>
  <c r="S3855" i="4"/>
  <c r="H3855" i="4" s="1"/>
  <c r="J3855" i="4"/>
  <c r="G3855" i="4"/>
  <c r="F3855" i="4"/>
  <c r="S3854" i="4"/>
  <c r="H3854" i="4" s="1"/>
  <c r="J3854" i="4"/>
  <c r="G3854" i="4"/>
  <c r="F3854" i="4"/>
  <c r="S3853" i="4"/>
  <c r="I3853" i="4" s="1"/>
  <c r="J3853" i="4"/>
  <c r="G3853" i="4"/>
  <c r="F3853" i="4"/>
  <c r="S3852" i="4"/>
  <c r="J3852" i="4"/>
  <c r="G3852" i="4"/>
  <c r="F3852" i="4"/>
  <c r="S3851" i="4"/>
  <c r="H3851" i="4" s="1"/>
  <c r="J3851" i="4"/>
  <c r="G3851" i="4"/>
  <c r="F3851" i="4"/>
  <c r="S3850" i="4"/>
  <c r="I3850" i="4" s="1"/>
  <c r="J3850" i="4"/>
  <c r="G3850" i="4"/>
  <c r="F3850" i="4"/>
  <c r="S3849" i="4"/>
  <c r="I3849" i="4" s="1"/>
  <c r="J3849" i="4"/>
  <c r="G3849" i="4"/>
  <c r="F3849" i="4"/>
  <c r="S3848" i="4"/>
  <c r="H3848" i="4" s="1"/>
  <c r="J3848" i="4"/>
  <c r="G3848" i="4"/>
  <c r="F3848" i="4"/>
  <c r="S3847" i="4"/>
  <c r="H3847" i="4" s="1"/>
  <c r="J3847" i="4"/>
  <c r="G3847" i="4"/>
  <c r="F3847" i="4"/>
  <c r="S3846" i="4"/>
  <c r="H3846" i="4" s="1"/>
  <c r="J3846" i="4"/>
  <c r="G3846" i="4"/>
  <c r="F3846" i="4"/>
  <c r="S3845" i="4"/>
  <c r="I3845" i="4" s="1"/>
  <c r="J3845" i="4"/>
  <c r="G3845" i="4"/>
  <c r="F3845" i="4"/>
  <c r="S3844" i="4"/>
  <c r="J3844" i="4"/>
  <c r="G3844" i="4"/>
  <c r="F3844" i="4"/>
  <c r="S3843" i="4"/>
  <c r="I3843" i="4" s="1"/>
  <c r="J3843" i="4"/>
  <c r="G3843" i="4"/>
  <c r="F3843" i="4"/>
  <c r="S3842" i="4"/>
  <c r="H3842" i="4" s="1"/>
  <c r="J3842" i="4"/>
  <c r="G3842" i="4"/>
  <c r="F3842" i="4"/>
  <c r="I3841" i="4"/>
  <c r="J3841" i="4"/>
  <c r="G3841" i="4"/>
  <c r="F3841" i="4"/>
  <c r="H3840" i="4"/>
  <c r="J3840" i="4"/>
  <c r="G3840" i="4"/>
  <c r="F3840" i="4"/>
  <c r="S3839" i="4"/>
  <c r="I3839" i="4" s="1"/>
  <c r="J3839" i="4"/>
  <c r="G3839" i="4"/>
  <c r="F3839" i="4"/>
  <c r="S3838" i="4"/>
  <c r="I3838" i="4" s="1"/>
  <c r="J3838" i="4"/>
  <c r="G3838" i="4"/>
  <c r="F3838" i="4"/>
  <c r="S3837" i="4"/>
  <c r="I3837" i="4" s="1"/>
  <c r="J3837" i="4"/>
  <c r="G3837" i="4"/>
  <c r="F3837" i="4"/>
  <c r="S3836" i="4"/>
  <c r="J3836" i="4"/>
  <c r="G3836" i="4"/>
  <c r="F3836" i="4"/>
  <c r="S3835" i="4"/>
  <c r="H3835" i="4" s="1"/>
  <c r="J3835" i="4"/>
  <c r="G3835" i="4"/>
  <c r="F3835" i="4"/>
  <c r="S3834" i="4"/>
  <c r="H3834" i="4" s="1"/>
  <c r="J3834" i="4"/>
  <c r="G3834" i="4"/>
  <c r="F3834" i="4"/>
  <c r="I3833" i="4"/>
  <c r="J3833" i="4"/>
  <c r="G3833" i="4"/>
  <c r="F3833" i="4"/>
  <c r="H3832" i="4"/>
  <c r="J3832" i="4"/>
  <c r="G3832" i="4"/>
  <c r="F3832" i="4"/>
  <c r="S3831" i="4"/>
  <c r="H3831" i="4" s="1"/>
  <c r="J3831" i="4"/>
  <c r="G3831" i="4"/>
  <c r="F3831" i="4"/>
  <c r="S3830" i="4"/>
  <c r="I3830" i="4" s="1"/>
  <c r="J3830" i="4"/>
  <c r="G3830" i="4"/>
  <c r="F3830" i="4"/>
  <c r="S3829" i="4"/>
  <c r="I3829" i="4" s="1"/>
  <c r="J3829" i="4"/>
  <c r="G3829" i="4"/>
  <c r="F3829" i="4"/>
  <c r="S3828" i="4"/>
  <c r="J3828" i="4"/>
  <c r="G3828" i="4"/>
  <c r="F3828" i="4"/>
  <c r="S3827" i="4"/>
  <c r="I3827" i="4" s="1"/>
  <c r="J3827" i="4"/>
  <c r="G3827" i="4"/>
  <c r="F3827" i="4"/>
  <c r="S3826" i="4"/>
  <c r="H3826" i="4" s="1"/>
  <c r="J3826" i="4"/>
  <c r="G3826" i="4"/>
  <c r="F3826" i="4"/>
  <c r="I3825" i="4"/>
  <c r="J3825" i="4"/>
  <c r="G3825" i="4"/>
  <c r="F3825" i="4"/>
  <c r="H3824" i="4"/>
  <c r="J3824" i="4"/>
  <c r="G3824" i="4"/>
  <c r="F3824" i="4"/>
  <c r="S3823" i="4"/>
  <c r="I3823" i="4" s="1"/>
  <c r="J3823" i="4"/>
  <c r="G3823" i="4"/>
  <c r="F3823" i="4"/>
  <c r="S3822" i="4"/>
  <c r="H3822" i="4" s="1"/>
  <c r="J3822" i="4"/>
  <c r="G3822" i="4"/>
  <c r="F3822" i="4"/>
  <c r="S3821" i="4"/>
  <c r="I3821" i="4" s="1"/>
  <c r="J3821" i="4"/>
  <c r="G3821" i="4"/>
  <c r="F3821" i="4"/>
  <c r="S3820" i="4"/>
  <c r="J3820" i="4"/>
  <c r="G3820" i="4"/>
  <c r="F3820" i="4"/>
  <c r="S3819" i="4"/>
  <c r="H3819" i="4" s="1"/>
  <c r="J3819" i="4"/>
  <c r="G3819" i="4"/>
  <c r="F3819" i="4"/>
  <c r="S3818" i="4"/>
  <c r="H3818" i="4" s="1"/>
  <c r="J3818" i="4"/>
  <c r="G3818" i="4"/>
  <c r="F3818" i="4"/>
  <c r="I3817" i="4"/>
  <c r="J3817" i="4"/>
  <c r="G3817" i="4"/>
  <c r="F3817" i="4"/>
  <c r="H3816" i="4"/>
  <c r="J3816" i="4"/>
  <c r="G3816" i="4"/>
  <c r="F3816" i="4"/>
  <c r="S3815" i="4"/>
  <c r="I3815" i="4" s="1"/>
  <c r="J3815" i="4"/>
  <c r="G3815" i="4"/>
  <c r="F3815" i="4"/>
  <c r="S3814" i="4"/>
  <c r="I3814" i="4" s="1"/>
  <c r="J3814" i="4"/>
  <c r="G3814" i="4"/>
  <c r="F3814" i="4"/>
  <c r="S3813" i="4"/>
  <c r="I3813" i="4" s="1"/>
  <c r="J3813" i="4"/>
  <c r="G3813" i="4"/>
  <c r="F3813" i="4"/>
  <c r="S3812" i="4"/>
  <c r="J3812" i="4"/>
  <c r="G3812" i="4"/>
  <c r="F3812" i="4"/>
  <c r="S3811" i="4"/>
  <c r="H3811" i="4" s="1"/>
  <c r="J3811" i="4"/>
  <c r="G3811" i="4"/>
  <c r="F3811" i="4"/>
  <c r="S3810" i="4"/>
  <c r="H3810" i="4" s="1"/>
  <c r="J3810" i="4"/>
  <c r="G3810" i="4"/>
  <c r="F3810" i="4"/>
  <c r="J3809" i="4"/>
  <c r="G3809" i="4"/>
  <c r="F3809" i="4"/>
  <c r="H3808" i="4"/>
  <c r="J3808" i="4"/>
  <c r="G3808" i="4"/>
  <c r="F3808" i="4"/>
  <c r="S3807" i="4"/>
  <c r="I3807" i="4" s="1"/>
  <c r="J3807" i="4"/>
  <c r="G3807" i="4"/>
  <c r="F3807" i="4"/>
  <c r="S3806" i="4"/>
  <c r="H3806" i="4" s="1"/>
  <c r="J3806" i="4"/>
  <c r="G3806" i="4"/>
  <c r="F3806" i="4"/>
  <c r="S3805" i="4"/>
  <c r="I3805" i="4" s="1"/>
  <c r="J3805" i="4"/>
  <c r="G3805" i="4"/>
  <c r="F3805" i="4"/>
  <c r="S3804" i="4"/>
  <c r="J3804" i="4"/>
  <c r="G3804" i="4"/>
  <c r="F3804" i="4"/>
  <c r="S3803" i="4"/>
  <c r="H3803" i="4" s="1"/>
  <c r="J3803" i="4"/>
  <c r="G3803" i="4"/>
  <c r="F3803" i="4"/>
  <c r="S3802" i="4"/>
  <c r="H3802" i="4" s="1"/>
  <c r="J3802" i="4"/>
  <c r="G3802" i="4"/>
  <c r="F3802" i="4"/>
  <c r="S3801" i="4"/>
  <c r="I3801" i="4" s="1"/>
  <c r="J3801" i="4"/>
  <c r="G3801" i="4"/>
  <c r="F3801" i="4"/>
  <c r="S3800" i="4"/>
  <c r="H3800" i="4" s="1"/>
  <c r="J3800" i="4"/>
  <c r="G3800" i="4"/>
  <c r="F3800" i="4"/>
  <c r="S3799" i="4"/>
  <c r="H3799" i="4" s="1"/>
  <c r="J3799" i="4"/>
  <c r="G3799" i="4"/>
  <c r="F3799" i="4"/>
  <c r="S3798" i="4"/>
  <c r="I3798" i="4" s="1"/>
  <c r="J3798" i="4"/>
  <c r="G3798" i="4"/>
  <c r="F3798" i="4"/>
  <c r="S3797" i="4"/>
  <c r="I3797" i="4" s="1"/>
  <c r="J3797" i="4"/>
  <c r="G3797" i="4"/>
  <c r="F3797" i="4"/>
  <c r="S3796" i="4"/>
  <c r="J3796" i="4"/>
  <c r="G3796" i="4"/>
  <c r="F3796" i="4"/>
  <c r="S3795" i="4"/>
  <c r="I3795" i="4" s="1"/>
  <c r="J3795" i="4"/>
  <c r="G3795" i="4"/>
  <c r="F3795" i="4"/>
  <c r="S3794" i="4"/>
  <c r="H3794" i="4" s="1"/>
  <c r="J3794" i="4"/>
  <c r="G3794" i="4"/>
  <c r="F3794" i="4"/>
  <c r="S3793" i="4"/>
  <c r="I3793" i="4" s="1"/>
  <c r="J3793" i="4"/>
  <c r="G3793" i="4"/>
  <c r="F3793" i="4"/>
  <c r="S3792" i="4"/>
  <c r="H3792" i="4" s="1"/>
  <c r="J3792" i="4"/>
  <c r="G3792" i="4"/>
  <c r="F3792" i="4"/>
  <c r="S3791" i="4"/>
  <c r="I3791" i="4" s="1"/>
  <c r="J3791" i="4"/>
  <c r="G3791" i="4"/>
  <c r="F3791" i="4"/>
  <c r="S3790" i="4"/>
  <c r="H3790" i="4" s="1"/>
  <c r="J3790" i="4"/>
  <c r="G3790" i="4"/>
  <c r="F3790" i="4"/>
  <c r="S3789" i="4"/>
  <c r="I3789" i="4" s="1"/>
  <c r="J3789" i="4"/>
  <c r="G3789" i="4"/>
  <c r="F3789" i="4"/>
  <c r="S3788" i="4"/>
  <c r="J3788" i="4"/>
  <c r="G3788" i="4"/>
  <c r="F3788" i="4"/>
  <c r="S3787" i="4"/>
  <c r="I3787" i="4" s="1"/>
  <c r="J3787" i="4"/>
  <c r="G3787" i="4"/>
  <c r="F3787" i="4"/>
  <c r="S3786" i="4"/>
  <c r="H3786" i="4" s="1"/>
  <c r="J3786" i="4"/>
  <c r="G3786" i="4"/>
  <c r="F3786" i="4"/>
  <c r="S3785" i="4"/>
  <c r="I3785" i="4" s="1"/>
  <c r="J3785" i="4"/>
  <c r="G3785" i="4"/>
  <c r="F3785" i="4"/>
  <c r="S3784" i="4"/>
  <c r="H3784" i="4" s="1"/>
  <c r="J3784" i="4"/>
  <c r="G3784" i="4"/>
  <c r="F3784" i="4"/>
  <c r="S3783" i="4"/>
  <c r="I3783" i="4" s="1"/>
  <c r="J3783" i="4"/>
  <c r="G3783" i="4"/>
  <c r="F3783" i="4"/>
  <c r="S3782" i="4"/>
  <c r="I3782" i="4" s="1"/>
  <c r="J3782" i="4"/>
  <c r="G3782" i="4"/>
  <c r="F3782" i="4"/>
  <c r="S3781" i="4"/>
  <c r="I3781" i="4" s="1"/>
  <c r="J3781" i="4"/>
  <c r="G3781" i="4"/>
  <c r="F3781" i="4"/>
  <c r="S3780" i="4"/>
  <c r="J3780" i="4"/>
  <c r="G3780" i="4"/>
  <c r="F3780" i="4"/>
  <c r="S3779" i="4"/>
  <c r="H3779" i="4" s="1"/>
  <c r="J3779" i="4"/>
  <c r="G3779" i="4"/>
  <c r="F3779" i="4"/>
  <c r="S3778" i="4"/>
  <c r="H3778" i="4" s="1"/>
  <c r="J3778" i="4"/>
  <c r="G3778" i="4"/>
  <c r="F3778" i="4"/>
  <c r="S3777" i="4"/>
  <c r="I3777" i="4" s="1"/>
  <c r="J3777" i="4"/>
  <c r="G3777" i="4"/>
  <c r="F3777" i="4"/>
  <c r="S3776" i="4"/>
  <c r="H3776" i="4" s="1"/>
  <c r="J3776" i="4"/>
  <c r="G3776" i="4"/>
  <c r="F3776" i="4"/>
  <c r="S3775" i="4"/>
  <c r="I3775" i="4" s="1"/>
  <c r="J3775" i="4"/>
  <c r="G3775" i="4"/>
  <c r="F3775" i="4"/>
  <c r="S3774" i="4"/>
  <c r="H3774" i="4" s="1"/>
  <c r="J3774" i="4"/>
  <c r="G3774" i="4"/>
  <c r="F3774" i="4"/>
  <c r="S3773" i="4"/>
  <c r="I3773" i="4" s="1"/>
  <c r="J3773" i="4"/>
  <c r="G3773" i="4"/>
  <c r="F3773" i="4"/>
  <c r="S3772" i="4"/>
  <c r="I3772" i="4" s="1"/>
  <c r="J3772" i="4"/>
  <c r="G3772" i="4"/>
  <c r="F3772" i="4"/>
  <c r="S3771" i="4"/>
  <c r="J3771" i="4"/>
  <c r="G3771" i="4"/>
  <c r="F3771" i="4"/>
  <c r="S3770" i="4"/>
  <c r="I3770" i="4" s="1"/>
  <c r="J3770" i="4"/>
  <c r="G3770" i="4"/>
  <c r="F3770" i="4"/>
  <c r="S3769" i="4"/>
  <c r="I3769" i="4" s="1"/>
  <c r="J3769" i="4"/>
  <c r="G3769" i="4"/>
  <c r="F3769" i="4"/>
  <c r="S3768" i="4"/>
  <c r="I3768" i="4" s="1"/>
  <c r="J3768" i="4"/>
  <c r="G3768" i="4"/>
  <c r="F3768" i="4"/>
  <c r="S3767" i="4"/>
  <c r="I3767" i="4" s="1"/>
  <c r="J3767" i="4"/>
  <c r="G3767" i="4"/>
  <c r="F3767" i="4"/>
  <c r="S3766" i="4"/>
  <c r="I3766" i="4" s="1"/>
  <c r="J3766" i="4"/>
  <c r="G3766" i="4"/>
  <c r="F3766" i="4"/>
  <c r="S3765" i="4"/>
  <c r="I3765" i="4" s="1"/>
  <c r="J3765" i="4"/>
  <c r="G3765" i="4"/>
  <c r="F3765" i="4"/>
  <c r="S3764" i="4"/>
  <c r="I3764" i="4" s="1"/>
  <c r="J3764" i="4"/>
  <c r="G3764" i="4"/>
  <c r="F3764" i="4"/>
  <c r="S3763" i="4"/>
  <c r="I3763" i="4" s="1"/>
  <c r="J3763" i="4"/>
  <c r="G3763" i="4"/>
  <c r="F3763" i="4"/>
  <c r="S3762" i="4"/>
  <c r="I3762" i="4" s="1"/>
  <c r="J3762" i="4"/>
  <c r="G3762" i="4"/>
  <c r="F3762" i="4"/>
  <c r="S3761" i="4"/>
  <c r="I3761" i="4" s="1"/>
  <c r="J3761" i="4"/>
  <c r="G3761" i="4"/>
  <c r="F3761" i="4"/>
  <c r="S3760" i="4"/>
  <c r="I3760" i="4" s="1"/>
  <c r="J3760" i="4"/>
  <c r="G3760" i="4"/>
  <c r="F3760" i="4"/>
  <c r="S3759" i="4"/>
  <c r="I3759" i="4" s="1"/>
  <c r="J3759" i="4"/>
  <c r="G3759" i="4"/>
  <c r="F3759" i="4"/>
  <c r="S3758" i="4"/>
  <c r="I3758" i="4" s="1"/>
  <c r="J3758" i="4"/>
  <c r="G3758" i="4"/>
  <c r="F3758" i="4"/>
  <c r="S3757" i="4"/>
  <c r="I3757" i="4" s="1"/>
  <c r="J3757" i="4"/>
  <c r="G3757" i="4"/>
  <c r="F3757" i="4"/>
  <c r="S3756" i="4"/>
  <c r="I3756" i="4" s="1"/>
  <c r="J3756" i="4"/>
  <c r="G3756" i="4"/>
  <c r="F3756" i="4"/>
  <c r="S3755" i="4"/>
  <c r="I3755" i="4" s="1"/>
  <c r="J3755" i="4"/>
  <c r="G3755" i="4"/>
  <c r="F3755" i="4"/>
  <c r="S3754" i="4"/>
  <c r="I3754" i="4" s="1"/>
  <c r="J3754" i="4"/>
  <c r="G3754" i="4"/>
  <c r="F3754" i="4"/>
  <c r="S3753" i="4"/>
  <c r="I3753" i="4" s="1"/>
  <c r="J3753" i="4"/>
  <c r="G3753" i="4"/>
  <c r="F3753" i="4"/>
  <c r="S3752" i="4"/>
  <c r="I3752" i="4" s="1"/>
  <c r="J3752" i="4"/>
  <c r="G3752" i="4"/>
  <c r="F3752" i="4"/>
  <c r="S3751" i="4"/>
  <c r="I3751" i="4" s="1"/>
  <c r="J3751" i="4"/>
  <c r="G3751" i="4"/>
  <c r="F3751" i="4"/>
  <c r="S3750" i="4"/>
  <c r="I3750" i="4" s="1"/>
  <c r="J3750" i="4"/>
  <c r="G3750" i="4"/>
  <c r="F3750" i="4"/>
  <c r="S3749" i="4"/>
  <c r="I3749" i="4" s="1"/>
  <c r="J3749" i="4"/>
  <c r="G3749" i="4"/>
  <c r="F3749" i="4"/>
  <c r="S3748" i="4"/>
  <c r="I3748" i="4" s="1"/>
  <c r="J3748" i="4"/>
  <c r="G3748" i="4"/>
  <c r="F3748" i="4"/>
  <c r="S3747" i="4"/>
  <c r="I3747" i="4" s="1"/>
  <c r="J3747" i="4"/>
  <c r="G3747" i="4"/>
  <c r="F3747" i="4"/>
  <c r="S3746" i="4"/>
  <c r="I3746" i="4" s="1"/>
  <c r="J3746" i="4"/>
  <c r="G3746" i="4"/>
  <c r="F3746" i="4"/>
  <c r="S3745" i="4"/>
  <c r="I3745" i="4" s="1"/>
  <c r="J3745" i="4"/>
  <c r="G3745" i="4"/>
  <c r="F3745" i="4"/>
  <c r="S3744" i="4"/>
  <c r="I3744" i="4" s="1"/>
  <c r="J3744" i="4"/>
  <c r="G3744" i="4"/>
  <c r="F3744" i="4"/>
  <c r="S3743" i="4"/>
  <c r="J3743" i="4"/>
  <c r="G3743" i="4"/>
  <c r="F3743" i="4"/>
  <c r="S3742" i="4"/>
  <c r="I3742" i="4" s="1"/>
  <c r="J3742" i="4"/>
  <c r="G3742" i="4"/>
  <c r="F3742" i="4"/>
  <c r="S3741" i="4"/>
  <c r="I3741" i="4" s="1"/>
  <c r="J3741" i="4"/>
  <c r="G3741" i="4"/>
  <c r="F3741" i="4"/>
  <c r="S3740" i="4"/>
  <c r="I3740" i="4" s="1"/>
  <c r="J3740" i="4"/>
  <c r="G3740" i="4"/>
  <c r="F3740" i="4"/>
  <c r="S3739" i="4"/>
  <c r="J3739" i="4"/>
  <c r="G3739" i="4"/>
  <c r="F3739" i="4"/>
  <c r="S3738" i="4"/>
  <c r="I3738" i="4" s="1"/>
  <c r="J3738" i="4"/>
  <c r="G3738" i="4"/>
  <c r="F3738" i="4"/>
  <c r="S3737" i="4"/>
  <c r="I3737" i="4" s="1"/>
  <c r="J3737" i="4"/>
  <c r="G3737" i="4"/>
  <c r="F3737" i="4"/>
  <c r="S3736" i="4"/>
  <c r="I3736" i="4" s="1"/>
  <c r="J3736" i="4"/>
  <c r="G3736" i="4"/>
  <c r="F3736" i="4"/>
  <c r="S3735" i="4"/>
  <c r="I3735" i="4" s="1"/>
  <c r="J3735" i="4"/>
  <c r="G3735" i="4"/>
  <c r="F3735" i="4"/>
  <c r="S3734" i="4"/>
  <c r="I3734" i="4" s="1"/>
  <c r="J3734" i="4"/>
  <c r="G3734" i="4"/>
  <c r="F3734" i="4"/>
  <c r="S3733" i="4"/>
  <c r="I3733" i="4" s="1"/>
  <c r="J3733" i="4"/>
  <c r="G3733" i="4"/>
  <c r="F3733" i="4"/>
  <c r="S3732" i="4"/>
  <c r="I3732" i="4" s="1"/>
  <c r="J3732" i="4"/>
  <c r="G3732" i="4"/>
  <c r="F3732" i="4"/>
  <c r="S3731" i="4"/>
  <c r="I3731" i="4" s="1"/>
  <c r="J3731" i="4"/>
  <c r="G3731" i="4"/>
  <c r="F3731" i="4"/>
  <c r="S3730" i="4"/>
  <c r="I3730" i="4" s="1"/>
  <c r="J3730" i="4"/>
  <c r="G3730" i="4"/>
  <c r="F3730" i="4"/>
  <c r="S3729" i="4"/>
  <c r="I3729" i="4" s="1"/>
  <c r="J3729" i="4"/>
  <c r="G3729" i="4"/>
  <c r="F3729" i="4"/>
  <c r="S3728" i="4"/>
  <c r="I3728" i="4" s="1"/>
  <c r="J3728" i="4"/>
  <c r="G3728" i="4"/>
  <c r="F3728" i="4"/>
  <c r="S3727" i="4"/>
  <c r="I3727" i="4" s="1"/>
  <c r="J3727" i="4"/>
  <c r="G3727" i="4"/>
  <c r="F3727" i="4"/>
  <c r="S3726" i="4"/>
  <c r="I3726" i="4" s="1"/>
  <c r="J3726" i="4"/>
  <c r="G3726" i="4"/>
  <c r="F3726" i="4"/>
  <c r="J3725" i="4"/>
  <c r="I3725" i="4"/>
  <c r="H3725" i="4"/>
  <c r="G3725" i="4"/>
  <c r="F3725" i="4"/>
  <c r="J3724" i="4"/>
  <c r="I3724" i="4"/>
  <c r="H3724" i="4"/>
  <c r="G3724" i="4"/>
  <c r="F3724" i="4"/>
  <c r="J3723" i="4"/>
  <c r="I3723" i="4"/>
  <c r="H3723" i="4"/>
  <c r="G3723" i="4"/>
  <c r="F3723" i="4"/>
  <c r="J3722" i="4"/>
  <c r="I3722" i="4"/>
  <c r="H3722" i="4"/>
  <c r="G3722" i="4"/>
  <c r="F3722" i="4"/>
  <c r="J3721" i="4"/>
  <c r="I3721" i="4"/>
  <c r="H3721" i="4"/>
  <c r="G3721" i="4"/>
  <c r="F3721" i="4"/>
  <c r="J3720" i="4"/>
  <c r="I3720" i="4"/>
  <c r="H3720" i="4"/>
  <c r="G3720" i="4"/>
  <c r="F3720" i="4"/>
  <c r="J3719" i="4"/>
  <c r="I3719" i="4"/>
  <c r="H3719" i="4"/>
  <c r="G3719" i="4"/>
  <c r="F3719" i="4"/>
  <c r="J3718" i="4"/>
  <c r="I3718" i="4"/>
  <c r="H3718" i="4"/>
  <c r="G3718" i="4"/>
  <c r="F3718" i="4"/>
  <c r="J3717" i="4"/>
  <c r="I3717" i="4"/>
  <c r="H3717" i="4"/>
  <c r="G3717" i="4"/>
  <c r="F3717" i="4"/>
  <c r="J3716" i="4"/>
  <c r="I3716" i="4"/>
  <c r="H3716" i="4"/>
  <c r="G3716" i="4"/>
  <c r="F3716" i="4"/>
  <c r="J3715" i="4"/>
  <c r="I3715" i="4"/>
  <c r="H3715" i="4"/>
  <c r="G3715" i="4"/>
  <c r="F3715" i="4"/>
  <c r="J3714" i="4"/>
  <c r="I3714" i="4"/>
  <c r="H3714" i="4"/>
  <c r="G3714" i="4"/>
  <c r="F3714" i="4"/>
  <c r="J3713" i="4"/>
  <c r="I3713" i="4"/>
  <c r="H3713" i="4"/>
  <c r="G3713" i="4"/>
  <c r="F3713" i="4"/>
  <c r="J3712" i="4"/>
  <c r="I3712" i="4"/>
  <c r="H3712" i="4"/>
  <c r="G3712" i="4"/>
  <c r="F3712" i="4"/>
  <c r="J3711" i="4"/>
  <c r="I3711" i="4"/>
  <c r="H3711" i="4"/>
  <c r="G3711" i="4"/>
  <c r="F3711" i="4"/>
  <c r="J3710" i="4"/>
  <c r="I3710" i="4"/>
  <c r="H3710" i="4"/>
  <c r="G3710" i="4"/>
  <c r="F3710" i="4"/>
  <c r="J3709" i="4"/>
  <c r="I3709" i="4"/>
  <c r="H3709" i="4"/>
  <c r="G3709" i="4"/>
  <c r="F3709" i="4"/>
  <c r="J3708" i="4"/>
  <c r="I3708" i="4"/>
  <c r="H3708" i="4"/>
  <c r="G3708" i="4"/>
  <c r="F3708" i="4"/>
  <c r="J3707" i="4"/>
  <c r="I3707" i="4"/>
  <c r="H3707" i="4"/>
  <c r="G3707" i="4"/>
  <c r="F3707" i="4"/>
  <c r="J3706" i="4"/>
  <c r="I3706" i="4"/>
  <c r="H3706" i="4"/>
  <c r="G3706" i="4"/>
  <c r="F3706" i="4"/>
  <c r="J3705" i="4"/>
  <c r="I3705" i="4"/>
  <c r="H3705" i="4"/>
  <c r="G3705" i="4"/>
  <c r="F3705" i="4"/>
  <c r="J3704" i="4"/>
  <c r="I3704" i="4"/>
  <c r="H3704" i="4"/>
  <c r="G3704" i="4"/>
  <c r="F3704" i="4"/>
  <c r="J3703" i="4"/>
  <c r="I3703" i="4"/>
  <c r="H3703" i="4"/>
  <c r="G3703" i="4"/>
  <c r="F3703" i="4"/>
  <c r="J3702" i="4"/>
  <c r="I3702" i="4"/>
  <c r="H3702" i="4"/>
  <c r="G3702" i="4"/>
  <c r="F3702" i="4"/>
  <c r="J3701" i="4"/>
  <c r="I3701" i="4"/>
  <c r="H3701" i="4"/>
  <c r="G3701" i="4"/>
  <c r="F3701" i="4"/>
  <c r="J3700" i="4"/>
  <c r="I3700" i="4"/>
  <c r="H3700" i="4"/>
  <c r="G3700" i="4"/>
  <c r="F3700" i="4"/>
  <c r="J3699" i="4"/>
  <c r="I3699" i="4"/>
  <c r="H3699" i="4"/>
  <c r="G3699" i="4"/>
  <c r="F3699" i="4"/>
  <c r="J3698" i="4"/>
  <c r="I3698" i="4"/>
  <c r="H3698" i="4"/>
  <c r="G3698" i="4"/>
  <c r="F3698" i="4"/>
  <c r="J3697" i="4"/>
  <c r="I3697" i="4"/>
  <c r="H3697" i="4"/>
  <c r="G3697" i="4"/>
  <c r="F3697" i="4"/>
  <c r="J3696" i="4"/>
  <c r="I3696" i="4"/>
  <c r="H3696" i="4"/>
  <c r="G3696" i="4"/>
  <c r="F3696" i="4"/>
  <c r="J3695" i="4"/>
  <c r="I3695" i="4"/>
  <c r="H3695" i="4"/>
  <c r="G3695" i="4"/>
  <c r="F3695" i="4"/>
  <c r="J3694" i="4"/>
  <c r="I3694" i="4"/>
  <c r="H3694" i="4"/>
  <c r="G3694" i="4"/>
  <c r="F3694" i="4"/>
  <c r="J3693" i="4"/>
  <c r="I3693" i="4"/>
  <c r="H3693" i="4"/>
  <c r="G3693" i="4"/>
  <c r="F3693" i="4"/>
  <c r="J3692" i="4"/>
  <c r="I3692" i="4"/>
  <c r="H3692" i="4"/>
  <c r="G3692" i="4"/>
  <c r="F3692" i="4"/>
  <c r="J3691" i="4"/>
  <c r="I3691" i="4"/>
  <c r="H3691" i="4"/>
  <c r="G3691" i="4"/>
  <c r="F3691" i="4"/>
  <c r="J3690" i="4"/>
  <c r="I3690" i="4"/>
  <c r="H3690" i="4"/>
  <c r="G3690" i="4"/>
  <c r="F3690" i="4"/>
  <c r="J3689" i="4"/>
  <c r="I3689" i="4"/>
  <c r="H3689" i="4"/>
  <c r="G3689" i="4"/>
  <c r="F3689" i="4"/>
  <c r="J3688" i="4"/>
  <c r="I3688" i="4"/>
  <c r="H3688" i="4"/>
  <c r="G3688" i="4"/>
  <c r="F3688" i="4"/>
  <c r="J3687" i="4"/>
  <c r="I3687" i="4"/>
  <c r="H3687" i="4"/>
  <c r="G3687" i="4"/>
  <c r="F3687" i="4"/>
  <c r="J3686" i="4"/>
  <c r="I3686" i="4"/>
  <c r="H3686" i="4"/>
  <c r="G3686" i="4"/>
  <c r="F3686" i="4"/>
  <c r="J3685" i="4"/>
  <c r="I3685" i="4"/>
  <c r="H3685" i="4"/>
  <c r="G3685" i="4"/>
  <c r="F3685" i="4"/>
  <c r="J3684" i="4"/>
  <c r="I3684" i="4"/>
  <c r="H3684" i="4"/>
  <c r="G3684" i="4"/>
  <c r="F3684" i="4"/>
  <c r="J3683" i="4"/>
  <c r="I3683" i="4"/>
  <c r="H3683" i="4"/>
  <c r="G3683" i="4"/>
  <c r="F3683" i="4"/>
  <c r="J3682" i="4"/>
  <c r="I3682" i="4"/>
  <c r="H3682" i="4"/>
  <c r="G3682" i="4"/>
  <c r="F3682" i="4"/>
  <c r="J3681" i="4"/>
  <c r="I3681" i="4"/>
  <c r="H3681" i="4"/>
  <c r="G3681" i="4"/>
  <c r="F3681" i="4"/>
  <c r="J3680" i="4"/>
  <c r="I3680" i="4"/>
  <c r="H3680" i="4"/>
  <c r="G3680" i="4"/>
  <c r="F3680" i="4"/>
  <c r="J3679" i="4"/>
  <c r="I3679" i="4"/>
  <c r="H3679" i="4"/>
  <c r="G3679" i="4"/>
  <c r="F3679" i="4"/>
  <c r="J3678" i="4"/>
  <c r="I3678" i="4"/>
  <c r="H3678" i="4"/>
  <c r="G3678" i="4"/>
  <c r="F3678" i="4"/>
  <c r="J3677" i="4"/>
  <c r="I3677" i="4"/>
  <c r="H3677" i="4"/>
  <c r="G3677" i="4"/>
  <c r="F3677" i="4"/>
  <c r="J3676" i="4"/>
  <c r="I3676" i="4"/>
  <c r="H3676" i="4"/>
  <c r="G3676" i="4"/>
  <c r="F3676" i="4"/>
  <c r="S3674" i="4"/>
  <c r="I3674" i="4" s="1"/>
  <c r="J3674" i="4"/>
  <c r="G3674" i="4"/>
  <c r="F3674" i="4"/>
  <c r="S3673" i="4"/>
  <c r="I3673" i="4" s="1"/>
  <c r="J3673" i="4"/>
  <c r="G3673" i="4"/>
  <c r="F3673" i="4"/>
  <c r="S3672" i="4"/>
  <c r="I3672" i="4" s="1"/>
  <c r="J3672" i="4"/>
  <c r="G3672" i="4"/>
  <c r="F3672" i="4"/>
  <c r="S3671" i="4"/>
  <c r="J3671" i="4"/>
  <c r="G3671" i="4"/>
  <c r="F3671" i="4"/>
  <c r="S3670" i="4"/>
  <c r="I3670" i="4" s="1"/>
  <c r="J3670" i="4"/>
  <c r="G3670" i="4"/>
  <c r="F3670" i="4"/>
  <c r="S3669" i="4"/>
  <c r="I3669" i="4" s="1"/>
  <c r="J3669" i="4"/>
  <c r="G3669" i="4"/>
  <c r="F3669" i="4"/>
  <c r="S3668" i="4"/>
  <c r="I3668" i="4" s="1"/>
  <c r="J3668" i="4"/>
  <c r="G3668" i="4"/>
  <c r="F3668" i="4"/>
  <c r="S3667" i="4"/>
  <c r="J3667" i="4"/>
  <c r="G3667" i="4"/>
  <c r="F3667" i="4"/>
  <c r="S3666" i="4"/>
  <c r="I3666" i="4" s="1"/>
  <c r="J3666" i="4"/>
  <c r="G3666" i="4"/>
  <c r="F3666" i="4"/>
  <c r="S3665" i="4"/>
  <c r="I3665" i="4" s="1"/>
  <c r="J3665" i="4"/>
  <c r="G3665" i="4"/>
  <c r="F3665" i="4"/>
  <c r="S3664" i="4"/>
  <c r="I3664" i="4" s="1"/>
  <c r="J3664" i="4"/>
  <c r="G3664" i="4"/>
  <c r="F3664" i="4"/>
  <c r="S3663" i="4"/>
  <c r="J3663" i="4"/>
  <c r="G3663" i="4"/>
  <c r="F3663" i="4"/>
  <c r="S3662" i="4"/>
  <c r="I3662" i="4" s="1"/>
  <c r="J3662" i="4"/>
  <c r="G3662" i="4"/>
  <c r="F3662" i="4"/>
  <c r="S3661" i="4"/>
  <c r="I3661" i="4" s="1"/>
  <c r="J3661" i="4"/>
  <c r="G3661" i="4"/>
  <c r="F3661" i="4"/>
  <c r="S3660" i="4"/>
  <c r="I3660" i="4" s="1"/>
  <c r="J3660" i="4"/>
  <c r="G3660" i="4"/>
  <c r="F3660" i="4"/>
  <c r="S3659" i="4"/>
  <c r="J3659" i="4"/>
  <c r="G3659" i="4"/>
  <c r="F3659" i="4"/>
  <c r="I3658" i="4"/>
  <c r="J3658" i="4"/>
  <c r="G3658" i="4"/>
  <c r="F3658" i="4"/>
  <c r="I3657" i="4"/>
  <c r="J3657" i="4"/>
  <c r="G3657" i="4"/>
  <c r="F3657" i="4"/>
  <c r="S3656" i="4"/>
  <c r="I3656" i="4" s="1"/>
  <c r="J3656" i="4"/>
  <c r="G3656" i="4"/>
  <c r="F3656" i="4"/>
  <c r="S3655" i="4"/>
  <c r="J3655" i="4"/>
  <c r="G3655" i="4"/>
  <c r="F3655" i="4"/>
  <c r="S3654" i="4"/>
  <c r="I3654" i="4" s="1"/>
  <c r="J3654" i="4"/>
  <c r="G3654" i="4"/>
  <c r="F3654" i="4"/>
  <c r="S3653" i="4"/>
  <c r="I3653" i="4" s="1"/>
  <c r="J3653" i="4"/>
  <c r="G3653" i="4"/>
  <c r="F3653" i="4"/>
  <c r="S3652" i="4"/>
  <c r="H3652" i="4" s="1"/>
  <c r="J3652" i="4"/>
  <c r="G3652" i="4"/>
  <c r="F3652" i="4"/>
  <c r="S3651" i="4"/>
  <c r="I3651" i="4" s="1"/>
  <c r="J3651" i="4"/>
  <c r="G3651" i="4"/>
  <c r="F3651" i="4"/>
  <c r="H3650" i="4"/>
  <c r="J3650" i="4"/>
  <c r="I3650" i="4"/>
  <c r="G3650" i="4"/>
  <c r="F3650" i="4"/>
  <c r="H3649" i="4"/>
  <c r="J3649" i="4"/>
  <c r="G3649" i="4"/>
  <c r="F3649" i="4"/>
  <c r="S3648" i="4"/>
  <c r="I3648" i="4" s="1"/>
  <c r="J3648" i="4"/>
  <c r="G3648" i="4"/>
  <c r="F3648" i="4"/>
  <c r="S3647" i="4"/>
  <c r="I3647" i="4" s="1"/>
  <c r="J3647" i="4"/>
  <c r="G3647" i="4"/>
  <c r="F3647" i="4"/>
  <c r="S3646" i="4"/>
  <c r="J3646" i="4"/>
  <c r="G3646" i="4"/>
  <c r="F3646" i="4"/>
  <c r="S3645" i="4"/>
  <c r="I3645" i="4" s="1"/>
  <c r="J3645" i="4"/>
  <c r="G3645" i="4"/>
  <c r="F3645" i="4"/>
  <c r="S3644" i="4"/>
  <c r="H3644" i="4" s="1"/>
  <c r="J3644" i="4"/>
  <c r="G3644" i="4"/>
  <c r="F3644" i="4"/>
  <c r="S3643" i="4"/>
  <c r="I3643" i="4" s="1"/>
  <c r="J3643" i="4"/>
  <c r="G3643" i="4"/>
  <c r="F3643" i="4"/>
  <c r="H3642" i="4"/>
  <c r="J3642" i="4"/>
  <c r="G3642" i="4"/>
  <c r="F3642" i="4"/>
  <c r="H3641" i="4"/>
  <c r="J3641" i="4"/>
  <c r="I3641" i="4"/>
  <c r="G3641" i="4"/>
  <c r="F3641" i="4"/>
  <c r="S3640" i="4"/>
  <c r="I3640" i="4" s="1"/>
  <c r="J3640" i="4"/>
  <c r="G3640" i="4"/>
  <c r="F3640" i="4"/>
  <c r="S3639" i="4"/>
  <c r="I3639" i="4" s="1"/>
  <c r="J3639" i="4"/>
  <c r="G3639" i="4"/>
  <c r="F3639" i="4"/>
  <c r="S3638" i="4"/>
  <c r="J3638" i="4"/>
  <c r="G3638" i="4"/>
  <c r="F3638" i="4"/>
  <c r="S3637" i="4"/>
  <c r="I3637" i="4" s="1"/>
  <c r="J3637" i="4"/>
  <c r="G3637" i="4"/>
  <c r="F3637" i="4"/>
  <c r="S3636" i="4"/>
  <c r="H3636" i="4" s="1"/>
  <c r="J3636" i="4"/>
  <c r="G3636" i="4"/>
  <c r="F3636" i="4"/>
  <c r="S3635" i="4"/>
  <c r="I3635" i="4" s="1"/>
  <c r="J3635" i="4"/>
  <c r="G3635" i="4"/>
  <c r="F3635" i="4"/>
  <c r="H3634" i="4"/>
  <c r="J3634" i="4"/>
  <c r="I3634" i="4"/>
  <c r="G3634" i="4"/>
  <c r="F3634" i="4"/>
  <c r="I3633" i="4"/>
  <c r="J3633" i="4"/>
  <c r="G3633" i="4"/>
  <c r="F3633" i="4"/>
  <c r="S3632" i="4"/>
  <c r="H3632" i="4" s="1"/>
  <c r="J3632" i="4"/>
  <c r="G3632" i="4"/>
  <c r="F3632" i="4"/>
  <c r="S3631" i="4"/>
  <c r="I3631" i="4" s="1"/>
  <c r="J3631" i="4"/>
  <c r="G3631" i="4"/>
  <c r="F3631" i="4"/>
  <c r="S3630" i="4"/>
  <c r="J3630" i="4"/>
  <c r="G3630" i="4"/>
  <c r="F3630" i="4"/>
  <c r="S3629" i="4"/>
  <c r="I3629" i="4" s="1"/>
  <c r="J3629" i="4"/>
  <c r="G3629" i="4"/>
  <c r="F3629" i="4"/>
  <c r="S3628" i="4"/>
  <c r="H3628" i="4" s="1"/>
  <c r="J3628" i="4"/>
  <c r="G3628" i="4"/>
  <c r="F3628" i="4"/>
  <c r="S3627" i="4"/>
  <c r="I3627" i="4" s="1"/>
  <c r="J3627" i="4"/>
  <c r="G3627" i="4"/>
  <c r="F3627" i="4"/>
  <c r="H3626" i="4"/>
  <c r="J3626" i="4"/>
  <c r="G3626" i="4"/>
  <c r="F3626" i="4"/>
  <c r="J3625" i="4"/>
  <c r="I3625" i="4"/>
  <c r="H3625" i="4"/>
  <c r="G3625" i="4"/>
  <c r="F3625" i="4"/>
  <c r="S3624" i="4"/>
  <c r="I3624" i="4" s="1"/>
  <c r="J3624" i="4"/>
  <c r="G3624" i="4"/>
  <c r="F3624" i="4"/>
  <c r="S3623" i="4"/>
  <c r="I3623" i="4" s="1"/>
  <c r="J3623" i="4"/>
  <c r="G3623" i="4"/>
  <c r="F3623" i="4"/>
  <c r="S3622" i="4"/>
  <c r="J3622" i="4"/>
  <c r="G3622" i="4"/>
  <c r="F3622" i="4"/>
  <c r="S3621" i="4"/>
  <c r="I3621" i="4" s="1"/>
  <c r="J3621" i="4"/>
  <c r="G3621" i="4"/>
  <c r="F3621" i="4"/>
  <c r="S3620" i="4"/>
  <c r="H3620" i="4" s="1"/>
  <c r="J3620" i="4"/>
  <c r="G3620" i="4"/>
  <c r="F3620" i="4"/>
  <c r="S3619" i="4"/>
  <c r="I3619" i="4" s="1"/>
  <c r="J3619" i="4"/>
  <c r="G3619" i="4"/>
  <c r="F3619" i="4"/>
  <c r="S3618" i="4"/>
  <c r="H3618" i="4" s="1"/>
  <c r="J3618" i="4"/>
  <c r="G3618" i="4"/>
  <c r="F3618" i="4"/>
  <c r="S3617" i="4"/>
  <c r="I3617" i="4" s="1"/>
  <c r="J3617" i="4"/>
  <c r="G3617" i="4"/>
  <c r="F3617" i="4"/>
  <c r="S3616" i="4"/>
  <c r="J3616" i="4"/>
  <c r="G3616" i="4"/>
  <c r="F3616" i="4"/>
  <c r="S3615" i="4"/>
  <c r="I3615" i="4" s="1"/>
  <c r="J3615" i="4"/>
  <c r="G3615" i="4"/>
  <c r="F3615" i="4"/>
  <c r="S3614" i="4"/>
  <c r="H3614" i="4" s="1"/>
  <c r="J3614" i="4"/>
  <c r="G3614" i="4"/>
  <c r="F3614" i="4"/>
  <c r="S3613" i="4"/>
  <c r="I3613" i="4" s="1"/>
  <c r="J3613" i="4"/>
  <c r="G3613" i="4"/>
  <c r="F3613" i="4"/>
  <c r="S3612" i="4"/>
  <c r="H3612" i="4" s="1"/>
  <c r="J3612" i="4"/>
  <c r="G3612" i="4"/>
  <c r="F3612" i="4"/>
  <c r="S3611" i="4"/>
  <c r="I3611" i="4" s="1"/>
  <c r="J3611" i="4"/>
  <c r="G3611" i="4"/>
  <c r="F3611" i="4"/>
  <c r="S3610" i="4"/>
  <c r="I3610" i="4" s="1"/>
  <c r="J3610" i="4"/>
  <c r="G3610" i="4"/>
  <c r="F3610" i="4"/>
  <c r="S3609" i="4"/>
  <c r="J3609" i="4"/>
  <c r="G3609" i="4"/>
  <c r="F3609" i="4"/>
  <c r="S3608" i="4"/>
  <c r="J3608" i="4"/>
  <c r="G3608" i="4"/>
  <c r="F3608" i="4"/>
  <c r="S3607" i="4"/>
  <c r="I3607" i="4" s="1"/>
  <c r="J3607" i="4"/>
  <c r="G3607" i="4"/>
  <c r="F3607" i="4"/>
  <c r="S3606" i="4"/>
  <c r="H3606" i="4" s="1"/>
  <c r="J3606" i="4"/>
  <c r="G3606" i="4"/>
  <c r="F3606" i="4"/>
  <c r="S3605" i="4"/>
  <c r="I3605" i="4" s="1"/>
  <c r="J3605" i="4"/>
  <c r="G3605" i="4"/>
  <c r="F3605" i="4"/>
  <c r="S3604" i="4"/>
  <c r="I3604" i="4" s="1"/>
  <c r="J3604" i="4"/>
  <c r="G3604" i="4"/>
  <c r="F3604" i="4"/>
  <c r="S3603" i="4"/>
  <c r="I3603" i="4" s="1"/>
  <c r="J3603" i="4"/>
  <c r="G3603" i="4"/>
  <c r="F3603" i="4"/>
  <c r="S3602" i="4"/>
  <c r="J3602" i="4"/>
  <c r="G3602" i="4"/>
  <c r="F3602" i="4"/>
  <c r="S3601" i="4"/>
  <c r="H3601" i="4" s="1"/>
  <c r="J3601" i="4"/>
  <c r="G3601" i="4"/>
  <c r="F3601" i="4"/>
  <c r="S3600" i="4"/>
  <c r="I3600" i="4" s="1"/>
  <c r="J3600" i="4"/>
  <c r="G3600" i="4"/>
  <c r="F3600" i="4"/>
  <c r="S3599" i="4"/>
  <c r="H3599" i="4" s="1"/>
  <c r="J3599" i="4"/>
  <c r="G3599" i="4"/>
  <c r="F3599" i="4"/>
  <c r="S3598" i="4"/>
  <c r="I3598" i="4" s="1"/>
  <c r="J3598" i="4"/>
  <c r="G3598" i="4"/>
  <c r="F3598" i="4"/>
  <c r="S3597" i="4"/>
  <c r="H3597" i="4" s="1"/>
  <c r="J3597" i="4"/>
  <c r="G3597" i="4"/>
  <c r="F3597" i="4"/>
  <c r="S3596" i="4"/>
  <c r="I3596" i="4" s="1"/>
  <c r="J3596" i="4"/>
  <c r="G3596" i="4"/>
  <c r="F3596" i="4"/>
  <c r="S3595" i="4"/>
  <c r="J3595" i="4"/>
  <c r="G3595" i="4"/>
  <c r="F3595" i="4"/>
  <c r="S3594" i="4"/>
  <c r="I3594" i="4" s="1"/>
  <c r="J3594" i="4"/>
  <c r="G3594" i="4"/>
  <c r="F3594" i="4"/>
  <c r="S3593" i="4"/>
  <c r="I3593" i="4" s="1"/>
  <c r="J3593" i="4"/>
  <c r="G3593" i="4"/>
  <c r="F3593" i="4"/>
  <c r="S3592" i="4"/>
  <c r="H3592" i="4" s="1"/>
  <c r="J3592" i="4"/>
  <c r="G3592" i="4"/>
  <c r="F3592" i="4"/>
  <c r="S3591" i="4"/>
  <c r="I3591" i="4" s="1"/>
  <c r="J3591" i="4"/>
  <c r="G3591" i="4"/>
  <c r="F3591" i="4"/>
  <c r="S3590" i="4"/>
  <c r="J3590" i="4"/>
  <c r="G3590" i="4"/>
  <c r="F3590" i="4"/>
  <c r="S3589" i="4"/>
  <c r="I3589" i="4" s="1"/>
  <c r="J3589" i="4"/>
  <c r="G3589" i="4"/>
  <c r="F3589" i="4"/>
  <c r="S3588" i="4"/>
  <c r="H3588" i="4" s="1"/>
  <c r="J3588" i="4"/>
  <c r="G3588" i="4"/>
  <c r="F3588" i="4"/>
  <c r="S3587" i="4"/>
  <c r="J3587" i="4"/>
  <c r="G3587" i="4"/>
  <c r="F3587" i="4"/>
  <c r="S3586" i="4"/>
  <c r="I3586" i="4" s="1"/>
  <c r="J3586" i="4"/>
  <c r="G3586" i="4"/>
  <c r="F3586" i="4"/>
  <c r="S3585" i="4"/>
  <c r="I3585" i="4" s="1"/>
  <c r="J3585" i="4"/>
  <c r="G3585" i="4"/>
  <c r="F3585" i="4"/>
  <c r="S3584" i="4"/>
  <c r="H3584" i="4" s="1"/>
  <c r="J3584" i="4"/>
  <c r="G3584" i="4"/>
  <c r="F3584" i="4"/>
  <c r="S3583" i="4"/>
  <c r="J3583" i="4"/>
  <c r="G3583" i="4"/>
  <c r="F3583" i="4"/>
  <c r="S3582" i="4"/>
  <c r="I3582" i="4" s="1"/>
  <c r="J3582" i="4"/>
  <c r="G3582" i="4"/>
  <c r="F3582" i="4"/>
  <c r="S3581" i="4"/>
  <c r="I3581" i="4" s="1"/>
  <c r="J3581" i="4"/>
  <c r="G3581" i="4"/>
  <c r="F3581" i="4"/>
  <c r="S3580" i="4"/>
  <c r="I3580" i="4" s="1"/>
  <c r="J3580" i="4"/>
  <c r="G3580" i="4"/>
  <c r="F3580" i="4"/>
  <c r="S3579" i="4"/>
  <c r="J3579" i="4"/>
  <c r="G3579" i="4"/>
  <c r="F3579" i="4"/>
  <c r="S3578" i="4"/>
  <c r="H3578" i="4" s="1"/>
  <c r="J3578" i="4"/>
  <c r="G3578" i="4"/>
  <c r="F3578" i="4"/>
  <c r="S3577" i="4"/>
  <c r="H3577" i="4" s="1"/>
  <c r="J3577" i="4"/>
  <c r="G3577" i="4"/>
  <c r="F3577" i="4"/>
  <c r="S3576" i="4"/>
  <c r="I3576" i="4" s="1"/>
  <c r="J3576" i="4"/>
  <c r="G3576" i="4"/>
  <c r="F3576" i="4"/>
  <c r="S3575" i="4"/>
  <c r="H3575" i="4" s="1"/>
  <c r="J3575" i="4"/>
  <c r="G3575" i="4"/>
  <c r="F3575" i="4"/>
  <c r="S3574" i="4"/>
  <c r="J3574" i="4"/>
  <c r="G3574" i="4"/>
  <c r="F3574" i="4"/>
  <c r="S3573" i="4"/>
  <c r="I3573" i="4" s="1"/>
  <c r="J3573" i="4"/>
  <c r="G3573" i="4"/>
  <c r="F3573" i="4"/>
  <c r="S3572" i="4"/>
  <c r="I3572" i="4" s="1"/>
  <c r="J3572" i="4"/>
  <c r="G3572" i="4"/>
  <c r="F3572" i="4"/>
  <c r="S3571" i="4"/>
  <c r="J3571" i="4"/>
  <c r="G3571" i="4"/>
  <c r="F3571" i="4"/>
  <c r="S3570" i="4"/>
  <c r="I3570" i="4" s="1"/>
  <c r="J3570" i="4"/>
  <c r="G3570" i="4"/>
  <c r="F3570" i="4"/>
  <c r="S3569" i="4"/>
  <c r="H3569" i="4" s="1"/>
  <c r="J3569" i="4"/>
  <c r="G3569" i="4"/>
  <c r="F3569" i="4"/>
  <c r="S3568" i="4"/>
  <c r="I3568" i="4" s="1"/>
  <c r="J3568" i="4"/>
  <c r="G3568" i="4"/>
  <c r="F3568" i="4"/>
  <c r="S3567" i="4"/>
  <c r="H3567" i="4" s="1"/>
  <c r="J3567" i="4"/>
  <c r="G3567" i="4"/>
  <c r="F3567" i="4"/>
  <c r="S3566" i="4"/>
  <c r="I3566" i="4" s="1"/>
  <c r="J3566" i="4"/>
  <c r="G3566" i="4"/>
  <c r="F3566" i="4"/>
  <c r="S3565" i="4"/>
  <c r="I3565" i="4" s="1"/>
  <c r="J3565" i="4"/>
  <c r="G3565" i="4"/>
  <c r="F3565" i="4"/>
  <c r="S3564" i="4"/>
  <c r="I3564" i="4" s="1"/>
  <c r="J3564" i="4"/>
  <c r="G3564" i="4"/>
  <c r="F3564" i="4"/>
  <c r="S3563" i="4"/>
  <c r="J3563" i="4"/>
  <c r="G3563" i="4"/>
  <c r="F3563" i="4"/>
  <c r="S3562" i="4"/>
  <c r="I3562" i="4" s="1"/>
  <c r="J3562" i="4"/>
  <c r="G3562" i="4"/>
  <c r="F3562" i="4"/>
  <c r="S3561" i="4"/>
  <c r="J3561" i="4"/>
  <c r="G3561" i="4"/>
  <c r="F3561" i="4"/>
  <c r="S3560" i="4"/>
  <c r="I3560" i="4" s="1"/>
  <c r="J3560" i="4"/>
  <c r="G3560" i="4"/>
  <c r="F3560" i="4"/>
  <c r="S3559" i="4"/>
  <c r="H3559" i="4" s="1"/>
  <c r="J3559" i="4"/>
  <c r="G3559" i="4"/>
  <c r="F3559" i="4"/>
  <c r="S3558" i="4"/>
  <c r="H3558" i="4" s="1"/>
  <c r="J3558" i="4"/>
  <c r="G3558" i="4"/>
  <c r="F3558" i="4"/>
  <c r="S3557" i="4"/>
  <c r="H3557" i="4" s="1"/>
  <c r="J3557" i="4"/>
  <c r="G3557" i="4"/>
  <c r="F3557" i="4"/>
  <c r="S3556" i="4"/>
  <c r="I3556" i="4" s="1"/>
  <c r="J3556" i="4"/>
  <c r="G3556" i="4"/>
  <c r="F3556" i="4"/>
  <c r="S3555" i="4"/>
  <c r="J3555" i="4"/>
  <c r="G3555" i="4"/>
  <c r="F3555" i="4"/>
  <c r="S3554" i="4"/>
  <c r="H3554" i="4" s="1"/>
  <c r="J3554" i="4"/>
  <c r="G3554" i="4"/>
  <c r="F3554" i="4"/>
  <c r="S3553" i="4"/>
  <c r="H3553" i="4" s="1"/>
  <c r="J3553" i="4"/>
  <c r="G3553" i="4"/>
  <c r="F3553" i="4"/>
  <c r="S3552" i="4"/>
  <c r="J3552" i="4"/>
  <c r="G3552" i="4"/>
  <c r="F3552" i="4"/>
  <c r="S3551" i="4"/>
  <c r="H3551" i="4" s="1"/>
  <c r="J3551" i="4"/>
  <c r="G3551" i="4"/>
  <c r="F3551" i="4"/>
  <c r="S3550" i="4"/>
  <c r="H3550" i="4" s="1"/>
  <c r="J3550" i="4"/>
  <c r="G3550" i="4"/>
  <c r="F3550" i="4"/>
  <c r="S3549" i="4"/>
  <c r="I3549" i="4" s="1"/>
  <c r="J3549" i="4"/>
  <c r="G3549" i="4"/>
  <c r="F3549" i="4"/>
  <c r="S3548" i="4"/>
  <c r="I3548" i="4" s="1"/>
  <c r="J3548" i="4"/>
  <c r="G3548" i="4"/>
  <c r="F3548" i="4"/>
  <c r="S3547" i="4"/>
  <c r="J3547" i="4"/>
  <c r="G3547" i="4"/>
  <c r="F3547" i="4"/>
  <c r="S3546" i="4"/>
  <c r="I3546" i="4" s="1"/>
  <c r="J3546" i="4"/>
  <c r="G3546" i="4"/>
  <c r="F3546" i="4"/>
  <c r="S3545" i="4"/>
  <c r="H3545" i="4" s="1"/>
  <c r="J3545" i="4"/>
  <c r="G3545" i="4"/>
  <c r="F3545" i="4"/>
  <c r="S3544" i="4"/>
  <c r="I3544" i="4" s="1"/>
  <c r="J3544" i="4"/>
  <c r="G3544" i="4"/>
  <c r="F3544" i="4"/>
  <c r="S3543" i="4"/>
  <c r="J3543" i="4"/>
  <c r="G3543" i="4"/>
  <c r="F3543" i="4"/>
  <c r="J3542" i="4"/>
  <c r="I3542" i="4"/>
  <c r="H3542" i="4"/>
  <c r="G3542" i="4"/>
  <c r="F3542" i="4"/>
  <c r="J3541" i="4"/>
  <c r="I3541" i="4"/>
  <c r="H3541" i="4"/>
  <c r="G3541" i="4"/>
  <c r="F3541" i="4"/>
  <c r="J3540" i="4"/>
  <c r="I3540" i="4"/>
  <c r="H3540" i="4"/>
  <c r="G3540" i="4"/>
  <c r="F3540" i="4"/>
  <c r="J3539" i="4"/>
  <c r="I3539" i="4"/>
  <c r="H3539" i="4"/>
  <c r="G3539" i="4"/>
  <c r="F3539" i="4"/>
  <c r="J3538" i="4"/>
  <c r="I3538" i="4"/>
  <c r="H3538" i="4"/>
  <c r="G3538" i="4"/>
  <c r="F3538" i="4"/>
  <c r="J3537" i="4"/>
  <c r="I3537" i="4"/>
  <c r="H3537" i="4"/>
  <c r="G3537" i="4"/>
  <c r="F3537" i="4"/>
  <c r="J3536" i="4"/>
  <c r="I3536" i="4"/>
  <c r="H3536" i="4"/>
  <c r="G3536" i="4"/>
  <c r="F3536" i="4"/>
  <c r="J3535" i="4"/>
  <c r="I3535" i="4"/>
  <c r="H3535" i="4"/>
  <c r="G3535" i="4"/>
  <c r="F3535" i="4"/>
  <c r="J3534" i="4"/>
  <c r="I3534" i="4"/>
  <c r="H3534" i="4"/>
  <c r="G3534" i="4"/>
  <c r="F3534" i="4"/>
  <c r="J3533" i="4"/>
  <c r="I3533" i="4"/>
  <c r="H3533" i="4"/>
  <c r="G3533" i="4"/>
  <c r="F3533" i="4"/>
  <c r="J3532" i="4"/>
  <c r="I3532" i="4"/>
  <c r="H3532" i="4"/>
  <c r="G3532" i="4"/>
  <c r="F3532" i="4"/>
  <c r="J3531" i="4"/>
  <c r="I3531" i="4"/>
  <c r="H3531" i="4"/>
  <c r="G3531" i="4"/>
  <c r="F3531" i="4"/>
  <c r="J3530" i="4"/>
  <c r="I3530" i="4"/>
  <c r="H3530" i="4"/>
  <c r="G3530" i="4"/>
  <c r="F3530" i="4"/>
  <c r="J3529" i="4"/>
  <c r="I3529" i="4"/>
  <c r="H3529" i="4"/>
  <c r="G3529" i="4"/>
  <c r="F3529" i="4"/>
  <c r="J3528" i="4"/>
  <c r="I3528" i="4"/>
  <c r="H3528" i="4"/>
  <c r="G3528" i="4"/>
  <c r="F3528" i="4"/>
  <c r="J3527" i="4"/>
  <c r="I3527" i="4"/>
  <c r="H3527" i="4"/>
  <c r="G3527" i="4"/>
  <c r="F3527" i="4"/>
  <c r="J3526" i="4"/>
  <c r="I3526" i="4"/>
  <c r="H3526" i="4"/>
  <c r="G3526" i="4"/>
  <c r="F3526" i="4"/>
  <c r="J3525" i="4"/>
  <c r="I3525" i="4"/>
  <c r="H3525" i="4"/>
  <c r="G3525" i="4"/>
  <c r="F3525" i="4"/>
  <c r="J3524" i="4"/>
  <c r="I3524" i="4"/>
  <c r="H3524" i="4"/>
  <c r="G3524" i="4"/>
  <c r="F3524" i="4"/>
  <c r="J3523" i="4"/>
  <c r="I3523" i="4"/>
  <c r="H3523" i="4"/>
  <c r="G3523" i="4"/>
  <c r="F3523" i="4"/>
  <c r="J3522" i="4"/>
  <c r="I3522" i="4"/>
  <c r="H3522" i="4"/>
  <c r="G3522" i="4"/>
  <c r="F3522" i="4"/>
  <c r="J3521" i="4"/>
  <c r="I3521" i="4"/>
  <c r="H3521" i="4"/>
  <c r="G3521" i="4"/>
  <c r="F3521" i="4"/>
  <c r="J3520" i="4"/>
  <c r="I3520" i="4"/>
  <c r="H3520" i="4"/>
  <c r="G3520" i="4"/>
  <c r="F3520" i="4"/>
  <c r="J3519" i="4"/>
  <c r="I3519" i="4"/>
  <c r="H3519" i="4"/>
  <c r="G3519" i="4"/>
  <c r="F3519" i="4"/>
  <c r="J3518" i="4"/>
  <c r="I3518" i="4"/>
  <c r="H3518" i="4"/>
  <c r="G3518" i="4"/>
  <c r="F3518" i="4"/>
  <c r="J3517" i="4"/>
  <c r="I3517" i="4"/>
  <c r="H3517" i="4"/>
  <c r="G3517" i="4"/>
  <c r="F3517" i="4"/>
  <c r="J3516" i="4"/>
  <c r="I3516" i="4"/>
  <c r="H3516" i="4"/>
  <c r="G3516" i="4"/>
  <c r="F3516" i="4"/>
  <c r="J3515" i="4"/>
  <c r="I3515" i="4"/>
  <c r="H3515" i="4"/>
  <c r="G3515" i="4"/>
  <c r="F3515" i="4"/>
  <c r="J3514" i="4"/>
  <c r="I3514" i="4"/>
  <c r="H3514" i="4"/>
  <c r="G3514" i="4"/>
  <c r="F3514" i="4"/>
  <c r="J3513" i="4"/>
  <c r="I3513" i="4"/>
  <c r="H3513" i="4"/>
  <c r="G3513" i="4"/>
  <c r="F3513" i="4"/>
  <c r="J3512" i="4"/>
  <c r="I3512" i="4"/>
  <c r="H3512" i="4"/>
  <c r="G3512" i="4"/>
  <c r="F3512" i="4"/>
  <c r="J3511" i="4"/>
  <c r="I3511" i="4"/>
  <c r="H3511" i="4"/>
  <c r="G3511" i="4"/>
  <c r="F3511" i="4"/>
  <c r="J3510" i="4"/>
  <c r="I3510" i="4"/>
  <c r="H3510" i="4"/>
  <c r="G3510" i="4"/>
  <c r="F3510" i="4"/>
  <c r="J3509" i="4"/>
  <c r="I3509" i="4"/>
  <c r="H3509" i="4"/>
  <c r="G3509" i="4"/>
  <c r="F3509" i="4"/>
  <c r="J3508" i="4"/>
  <c r="I3508" i="4"/>
  <c r="H3508" i="4"/>
  <c r="G3508" i="4"/>
  <c r="F3508" i="4"/>
  <c r="J3507" i="4"/>
  <c r="I3507" i="4"/>
  <c r="H3507" i="4"/>
  <c r="G3507" i="4"/>
  <c r="F3507" i="4"/>
  <c r="J3506" i="4"/>
  <c r="I3506" i="4"/>
  <c r="H3506" i="4"/>
  <c r="G3506" i="4"/>
  <c r="F3506" i="4"/>
  <c r="J3505" i="4"/>
  <c r="I3505" i="4"/>
  <c r="H3505" i="4"/>
  <c r="G3505" i="4"/>
  <c r="F3505" i="4"/>
  <c r="J3504" i="4"/>
  <c r="I3504" i="4"/>
  <c r="H3504" i="4"/>
  <c r="G3504" i="4"/>
  <c r="F3504" i="4"/>
  <c r="J3503" i="4"/>
  <c r="I3503" i="4"/>
  <c r="H3503" i="4"/>
  <c r="G3503" i="4"/>
  <c r="F3503" i="4"/>
  <c r="J3502" i="4"/>
  <c r="I3502" i="4"/>
  <c r="H3502" i="4"/>
  <c r="G3502" i="4"/>
  <c r="F3502" i="4"/>
  <c r="J3501" i="4"/>
  <c r="I3501" i="4"/>
  <c r="H3501" i="4"/>
  <c r="G3501" i="4"/>
  <c r="F3501" i="4"/>
  <c r="J3500" i="4"/>
  <c r="I3500" i="4"/>
  <c r="H3500" i="4"/>
  <c r="G3500" i="4"/>
  <c r="F3500" i="4"/>
  <c r="J3499" i="4"/>
  <c r="I3499" i="4"/>
  <c r="H3499" i="4"/>
  <c r="G3499" i="4"/>
  <c r="F3499" i="4"/>
  <c r="J3498" i="4"/>
  <c r="I3498" i="4"/>
  <c r="H3498" i="4"/>
  <c r="G3498" i="4"/>
  <c r="F3498" i="4"/>
  <c r="J3497" i="4"/>
  <c r="I3497" i="4"/>
  <c r="H3497" i="4"/>
  <c r="G3497" i="4"/>
  <c r="F3497" i="4"/>
  <c r="J3496" i="4"/>
  <c r="I3496" i="4"/>
  <c r="H3496" i="4"/>
  <c r="G3496" i="4"/>
  <c r="F3496" i="4"/>
  <c r="J3495" i="4"/>
  <c r="I3495" i="4"/>
  <c r="H3495" i="4"/>
  <c r="G3495" i="4"/>
  <c r="F3495" i="4"/>
  <c r="J3494" i="4"/>
  <c r="I3494" i="4"/>
  <c r="H3494" i="4"/>
  <c r="G3494" i="4"/>
  <c r="F3494" i="4"/>
  <c r="J3493" i="4"/>
  <c r="I3493" i="4"/>
  <c r="H3493" i="4"/>
  <c r="G3493" i="4"/>
  <c r="F3493" i="4"/>
  <c r="S3491" i="4"/>
  <c r="H3491" i="4" s="1"/>
  <c r="J3491" i="4"/>
  <c r="G3491" i="4"/>
  <c r="F3491" i="4"/>
  <c r="S3490" i="4"/>
  <c r="H3490" i="4" s="1"/>
  <c r="J3490" i="4"/>
  <c r="G3490" i="4"/>
  <c r="F3490" i="4"/>
  <c r="S3489" i="4"/>
  <c r="I3489" i="4" s="1"/>
  <c r="J3489" i="4"/>
  <c r="G3489" i="4"/>
  <c r="F3489" i="4"/>
  <c r="S3488" i="4"/>
  <c r="I3488" i="4" s="1"/>
  <c r="J3488" i="4"/>
  <c r="G3488" i="4"/>
  <c r="F3488" i="4"/>
  <c r="S3487" i="4"/>
  <c r="I3487" i="4" s="1"/>
  <c r="J3487" i="4"/>
  <c r="G3487" i="4"/>
  <c r="F3487" i="4"/>
  <c r="S3486" i="4"/>
  <c r="H3486" i="4" s="1"/>
  <c r="J3486" i="4"/>
  <c r="G3486" i="4"/>
  <c r="F3486" i="4"/>
  <c r="S3485" i="4"/>
  <c r="I3485" i="4" s="1"/>
  <c r="J3485" i="4"/>
  <c r="G3485" i="4"/>
  <c r="F3485" i="4"/>
  <c r="S3484" i="4"/>
  <c r="I3484" i="4" s="1"/>
  <c r="J3484" i="4"/>
  <c r="G3484" i="4"/>
  <c r="F3484" i="4"/>
  <c r="J3483" i="4"/>
  <c r="G3483" i="4"/>
  <c r="F3483" i="4"/>
  <c r="I3482" i="4"/>
  <c r="J3482" i="4"/>
  <c r="G3482" i="4"/>
  <c r="F3482" i="4"/>
  <c r="S3481" i="4"/>
  <c r="H3481" i="4" s="1"/>
  <c r="J3481" i="4"/>
  <c r="G3481" i="4"/>
  <c r="F3481" i="4"/>
  <c r="S3480" i="4"/>
  <c r="H3480" i="4" s="1"/>
  <c r="J3480" i="4"/>
  <c r="G3480" i="4"/>
  <c r="F3480" i="4"/>
  <c r="S3479" i="4"/>
  <c r="J3479" i="4"/>
  <c r="G3479" i="4"/>
  <c r="F3479" i="4"/>
  <c r="S3478" i="4"/>
  <c r="I3478" i="4" s="1"/>
  <c r="J3478" i="4"/>
  <c r="G3478" i="4"/>
  <c r="F3478" i="4"/>
  <c r="S3477" i="4"/>
  <c r="H3477" i="4" s="1"/>
  <c r="J3477" i="4"/>
  <c r="G3477" i="4"/>
  <c r="F3477" i="4"/>
  <c r="S3476" i="4"/>
  <c r="I3476" i="4" s="1"/>
  <c r="J3476" i="4"/>
  <c r="G3476" i="4"/>
  <c r="F3476" i="4"/>
  <c r="I3475" i="4"/>
  <c r="J3475" i="4"/>
  <c r="G3475" i="4"/>
  <c r="F3475" i="4"/>
  <c r="I3474" i="4"/>
  <c r="J3474" i="4"/>
  <c r="G3474" i="4"/>
  <c r="F3474" i="4"/>
  <c r="S3473" i="4"/>
  <c r="H3473" i="4" s="1"/>
  <c r="J3473" i="4"/>
  <c r="G3473" i="4"/>
  <c r="F3473" i="4"/>
  <c r="S3472" i="4"/>
  <c r="H3472" i="4" s="1"/>
  <c r="J3472" i="4"/>
  <c r="G3472" i="4"/>
  <c r="F3472" i="4"/>
  <c r="S3471" i="4"/>
  <c r="J3471" i="4"/>
  <c r="G3471" i="4"/>
  <c r="F3471" i="4"/>
  <c r="S3470" i="4"/>
  <c r="H3470" i="4" s="1"/>
  <c r="J3470" i="4"/>
  <c r="G3470" i="4"/>
  <c r="F3470" i="4"/>
  <c r="S3469" i="4"/>
  <c r="H3469" i="4" s="1"/>
  <c r="J3469" i="4"/>
  <c r="G3469" i="4"/>
  <c r="F3469" i="4"/>
  <c r="S3468" i="4"/>
  <c r="H3468" i="4" s="1"/>
  <c r="J3468" i="4"/>
  <c r="G3468" i="4"/>
  <c r="F3468" i="4"/>
  <c r="I3467" i="4"/>
  <c r="J3467" i="4"/>
  <c r="G3467" i="4"/>
  <c r="F3467" i="4"/>
  <c r="I3466" i="4"/>
  <c r="J3466" i="4"/>
  <c r="G3466" i="4"/>
  <c r="F3466" i="4"/>
  <c r="S3465" i="4"/>
  <c r="H3465" i="4" s="1"/>
  <c r="J3465" i="4"/>
  <c r="G3465" i="4"/>
  <c r="F3465" i="4"/>
  <c r="S3464" i="4"/>
  <c r="H3464" i="4" s="1"/>
  <c r="J3464" i="4"/>
  <c r="G3464" i="4"/>
  <c r="F3464" i="4"/>
  <c r="S3463" i="4"/>
  <c r="J3463" i="4"/>
  <c r="G3463" i="4"/>
  <c r="F3463" i="4"/>
  <c r="S3462" i="4"/>
  <c r="H3462" i="4" s="1"/>
  <c r="J3462" i="4"/>
  <c r="G3462" i="4"/>
  <c r="F3462" i="4"/>
  <c r="S3461" i="4"/>
  <c r="H3461" i="4" s="1"/>
  <c r="J3461" i="4"/>
  <c r="G3461" i="4"/>
  <c r="F3461" i="4"/>
  <c r="S3460" i="4"/>
  <c r="I3460" i="4" s="1"/>
  <c r="J3460" i="4"/>
  <c r="G3460" i="4"/>
  <c r="F3460" i="4"/>
  <c r="I3459" i="4"/>
  <c r="J3459" i="4"/>
  <c r="G3459" i="4"/>
  <c r="F3459" i="4"/>
  <c r="I3458" i="4"/>
  <c r="J3458" i="4"/>
  <c r="G3458" i="4"/>
  <c r="F3458" i="4"/>
  <c r="S3457" i="4"/>
  <c r="H3457" i="4" s="1"/>
  <c r="J3457" i="4"/>
  <c r="G3457" i="4"/>
  <c r="F3457" i="4"/>
  <c r="S3456" i="4"/>
  <c r="I3456" i="4" s="1"/>
  <c r="J3456" i="4"/>
  <c r="G3456" i="4"/>
  <c r="F3456" i="4"/>
  <c r="S3455" i="4"/>
  <c r="J3455" i="4"/>
  <c r="G3455" i="4"/>
  <c r="F3455" i="4"/>
  <c r="S3454" i="4"/>
  <c r="H3454" i="4" s="1"/>
  <c r="J3454" i="4"/>
  <c r="G3454" i="4"/>
  <c r="F3454" i="4"/>
  <c r="S3453" i="4"/>
  <c r="H3453" i="4" s="1"/>
  <c r="J3453" i="4"/>
  <c r="G3453" i="4"/>
  <c r="F3453" i="4"/>
  <c r="S3452" i="4"/>
  <c r="I3452" i="4" s="1"/>
  <c r="J3452" i="4"/>
  <c r="G3452" i="4"/>
  <c r="F3452" i="4"/>
  <c r="I3451" i="4"/>
  <c r="J3451" i="4"/>
  <c r="G3451" i="4"/>
  <c r="F3451" i="4"/>
  <c r="I3450" i="4"/>
  <c r="J3450" i="4"/>
  <c r="G3450" i="4"/>
  <c r="F3450" i="4"/>
  <c r="S3449" i="4"/>
  <c r="H3449" i="4" s="1"/>
  <c r="J3449" i="4"/>
  <c r="G3449" i="4"/>
  <c r="F3449" i="4"/>
  <c r="S3448" i="4"/>
  <c r="I3448" i="4" s="1"/>
  <c r="J3448" i="4"/>
  <c r="G3448" i="4"/>
  <c r="F3448" i="4"/>
  <c r="S3447" i="4"/>
  <c r="J3447" i="4"/>
  <c r="G3447" i="4"/>
  <c r="F3447" i="4"/>
  <c r="S3446" i="4"/>
  <c r="H3446" i="4" s="1"/>
  <c r="J3446" i="4"/>
  <c r="G3446" i="4"/>
  <c r="F3446" i="4"/>
  <c r="S3445" i="4"/>
  <c r="I3445" i="4" s="1"/>
  <c r="J3445" i="4"/>
  <c r="G3445" i="4"/>
  <c r="F3445" i="4"/>
  <c r="S3444" i="4"/>
  <c r="I3444" i="4" s="1"/>
  <c r="J3444" i="4"/>
  <c r="G3444" i="4"/>
  <c r="F3444" i="4"/>
  <c r="I3443" i="4"/>
  <c r="J3443" i="4"/>
  <c r="G3443" i="4"/>
  <c r="F3443" i="4"/>
  <c r="I3442" i="4"/>
  <c r="J3442" i="4"/>
  <c r="G3442" i="4"/>
  <c r="F3442" i="4"/>
  <c r="S3441" i="4"/>
  <c r="H3441" i="4" s="1"/>
  <c r="J3441" i="4"/>
  <c r="G3441" i="4"/>
  <c r="F3441" i="4"/>
  <c r="S3440" i="4"/>
  <c r="I3440" i="4" s="1"/>
  <c r="J3440" i="4"/>
  <c r="G3440" i="4"/>
  <c r="F3440" i="4"/>
  <c r="S3439" i="4"/>
  <c r="J3439" i="4"/>
  <c r="G3439" i="4"/>
  <c r="F3439" i="4"/>
  <c r="S3438" i="4"/>
  <c r="H3438" i="4" s="1"/>
  <c r="J3438" i="4"/>
  <c r="G3438" i="4"/>
  <c r="F3438" i="4"/>
  <c r="S3437" i="4"/>
  <c r="H3437" i="4" s="1"/>
  <c r="J3437" i="4"/>
  <c r="G3437" i="4"/>
  <c r="F3437" i="4"/>
  <c r="S3436" i="4"/>
  <c r="H3436" i="4" s="1"/>
  <c r="J3436" i="4"/>
  <c r="G3436" i="4"/>
  <c r="F3436" i="4"/>
  <c r="S3435" i="4"/>
  <c r="I3435" i="4" s="1"/>
  <c r="J3435" i="4"/>
  <c r="G3435" i="4"/>
  <c r="F3435" i="4"/>
  <c r="S3434" i="4"/>
  <c r="I3434" i="4" s="1"/>
  <c r="J3434" i="4"/>
  <c r="G3434" i="4"/>
  <c r="F3434" i="4"/>
  <c r="S3433" i="4"/>
  <c r="H3433" i="4" s="1"/>
  <c r="J3433" i="4"/>
  <c r="G3433" i="4"/>
  <c r="F3433" i="4"/>
  <c r="S3432" i="4"/>
  <c r="I3432" i="4" s="1"/>
  <c r="J3432" i="4"/>
  <c r="G3432" i="4"/>
  <c r="F3432" i="4"/>
  <c r="S3431" i="4"/>
  <c r="J3431" i="4"/>
  <c r="G3431" i="4"/>
  <c r="F3431" i="4"/>
  <c r="S3430" i="4"/>
  <c r="H3430" i="4" s="1"/>
  <c r="J3430" i="4"/>
  <c r="G3430" i="4"/>
  <c r="F3430" i="4"/>
  <c r="S3429" i="4"/>
  <c r="I3429" i="4" s="1"/>
  <c r="J3429" i="4"/>
  <c r="G3429" i="4"/>
  <c r="F3429" i="4"/>
  <c r="S3428" i="4"/>
  <c r="I3428" i="4" s="1"/>
  <c r="J3428" i="4"/>
  <c r="G3428" i="4"/>
  <c r="F3428" i="4"/>
  <c r="S3427" i="4"/>
  <c r="I3427" i="4" s="1"/>
  <c r="J3427" i="4"/>
  <c r="G3427" i="4"/>
  <c r="F3427" i="4"/>
  <c r="S3426" i="4"/>
  <c r="I3426" i="4" s="1"/>
  <c r="J3426" i="4"/>
  <c r="G3426" i="4"/>
  <c r="F3426" i="4"/>
  <c r="S3425" i="4"/>
  <c r="H3425" i="4" s="1"/>
  <c r="J3425" i="4"/>
  <c r="G3425" i="4"/>
  <c r="F3425" i="4"/>
  <c r="S3424" i="4"/>
  <c r="I3424" i="4" s="1"/>
  <c r="J3424" i="4"/>
  <c r="G3424" i="4"/>
  <c r="F3424" i="4"/>
  <c r="S3423" i="4"/>
  <c r="J3423" i="4"/>
  <c r="G3423" i="4"/>
  <c r="F3423" i="4"/>
  <c r="S3422" i="4"/>
  <c r="H3422" i="4" s="1"/>
  <c r="J3422" i="4"/>
  <c r="G3422" i="4"/>
  <c r="F3422" i="4"/>
  <c r="S3421" i="4"/>
  <c r="I3421" i="4" s="1"/>
  <c r="J3421" i="4"/>
  <c r="G3421" i="4"/>
  <c r="F3421" i="4"/>
  <c r="S3420" i="4"/>
  <c r="I3420" i="4" s="1"/>
  <c r="J3420" i="4"/>
  <c r="G3420" i="4"/>
  <c r="F3420" i="4"/>
  <c r="S3419" i="4"/>
  <c r="I3419" i="4" s="1"/>
  <c r="J3419" i="4"/>
  <c r="G3419" i="4"/>
  <c r="F3419" i="4"/>
  <c r="S3418" i="4"/>
  <c r="I3418" i="4" s="1"/>
  <c r="J3418" i="4"/>
  <c r="G3418" i="4"/>
  <c r="F3418" i="4"/>
  <c r="S3417" i="4"/>
  <c r="H3417" i="4" s="1"/>
  <c r="J3417" i="4"/>
  <c r="G3417" i="4"/>
  <c r="F3417" i="4"/>
  <c r="S3416" i="4"/>
  <c r="I3416" i="4" s="1"/>
  <c r="J3416" i="4"/>
  <c r="G3416" i="4"/>
  <c r="F3416" i="4"/>
  <c r="S3415" i="4"/>
  <c r="J3415" i="4"/>
  <c r="G3415" i="4"/>
  <c r="F3415" i="4"/>
  <c r="S3414" i="4"/>
  <c r="H3414" i="4" s="1"/>
  <c r="J3414" i="4"/>
  <c r="G3414" i="4"/>
  <c r="F3414" i="4"/>
  <c r="S3413" i="4"/>
  <c r="I3413" i="4" s="1"/>
  <c r="J3413" i="4"/>
  <c r="G3413" i="4"/>
  <c r="F3413" i="4"/>
  <c r="S3412" i="4"/>
  <c r="H3412" i="4" s="1"/>
  <c r="J3412" i="4"/>
  <c r="G3412" i="4"/>
  <c r="F3412" i="4"/>
  <c r="S3411" i="4"/>
  <c r="I3411" i="4" s="1"/>
  <c r="J3411" i="4"/>
  <c r="G3411" i="4"/>
  <c r="F3411" i="4"/>
  <c r="S3410" i="4"/>
  <c r="I3410" i="4" s="1"/>
  <c r="J3410" i="4"/>
  <c r="G3410" i="4"/>
  <c r="F3410" i="4"/>
  <c r="S3409" i="4"/>
  <c r="H3409" i="4" s="1"/>
  <c r="J3409" i="4"/>
  <c r="G3409" i="4"/>
  <c r="F3409" i="4"/>
  <c r="S3408" i="4"/>
  <c r="I3408" i="4" s="1"/>
  <c r="J3408" i="4"/>
  <c r="G3408" i="4"/>
  <c r="F3408" i="4"/>
  <c r="S3407" i="4"/>
  <c r="J3407" i="4"/>
  <c r="G3407" i="4"/>
  <c r="F3407" i="4"/>
  <c r="S3406" i="4"/>
  <c r="H3406" i="4" s="1"/>
  <c r="J3406" i="4"/>
  <c r="G3406" i="4"/>
  <c r="F3406" i="4"/>
  <c r="S3405" i="4"/>
  <c r="H3405" i="4" s="1"/>
  <c r="J3405" i="4"/>
  <c r="G3405" i="4"/>
  <c r="F3405" i="4"/>
  <c r="S3404" i="4"/>
  <c r="H3404" i="4" s="1"/>
  <c r="J3404" i="4"/>
  <c r="G3404" i="4"/>
  <c r="F3404" i="4"/>
  <c r="S3403" i="4"/>
  <c r="I3403" i="4" s="1"/>
  <c r="J3403" i="4"/>
  <c r="G3403" i="4"/>
  <c r="F3403" i="4"/>
  <c r="S3402" i="4"/>
  <c r="I3402" i="4" s="1"/>
  <c r="J3402" i="4"/>
  <c r="G3402" i="4"/>
  <c r="F3402" i="4"/>
  <c r="S3401" i="4"/>
  <c r="H3401" i="4" s="1"/>
  <c r="J3401" i="4"/>
  <c r="G3401" i="4"/>
  <c r="F3401" i="4"/>
  <c r="S3400" i="4"/>
  <c r="I3400" i="4" s="1"/>
  <c r="J3400" i="4"/>
  <c r="G3400" i="4"/>
  <c r="F3400" i="4"/>
  <c r="S3399" i="4"/>
  <c r="J3399" i="4"/>
  <c r="G3399" i="4"/>
  <c r="F3399" i="4"/>
  <c r="S3398" i="4"/>
  <c r="H3398" i="4" s="1"/>
  <c r="J3398" i="4"/>
  <c r="G3398" i="4"/>
  <c r="F3398" i="4"/>
  <c r="S3397" i="4"/>
  <c r="H3397" i="4" s="1"/>
  <c r="J3397" i="4"/>
  <c r="G3397" i="4"/>
  <c r="F3397" i="4"/>
  <c r="S3396" i="4"/>
  <c r="H3396" i="4" s="1"/>
  <c r="J3396" i="4"/>
  <c r="G3396" i="4"/>
  <c r="F3396" i="4"/>
  <c r="S3395" i="4"/>
  <c r="I3395" i="4" s="1"/>
  <c r="J3395" i="4"/>
  <c r="G3395" i="4"/>
  <c r="F3395" i="4"/>
  <c r="S3394" i="4"/>
  <c r="I3394" i="4" s="1"/>
  <c r="J3394" i="4"/>
  <c r="G3394" i="4"/>
  <c r="F3394" i="4"/>
  <c r="S3393" i="4"/>
  <c r="H3393" i="4" s="1"/>
  <c r="J3393" i="4"/>
  <c r="G3393" i="4"/>
  <c r="F3393" i="4"/>
  <c r="S3392" i="4"/>
  <c r="I3392" i="4" s="1"/>
  <c r="J3392" i="4"/>
  <c r="G3392" i="4"/>
  <c r="F3392" i="4"/>
  <c r="S3391" i="4"/>
  <c r="J3391" i="4"/>
  <c r="G3391" i="4"/>
  <c r="F3391" i="4"/>
  <c r="S3390" i="4"/>
  <c r="H3390" i="4" s="1"/>
  <c r="J3390" i="4"/>
  <c r="G3390" i="4"/>
  <c r="F3390" i="4"/>
  <c r="S3389" i="4"/>
  <c r="I3389" i="4" s="1"/>
  <c r="J3389" i="4"/>
  <c r="G3389" i="4"/>
  <c r="F3389" i="4"/>
  <c r="S3388" i="4"/>
  <c r="I3388" i="4" s="1"/>
  <c r="J3388" i="4"/>
  <c r="G3388" i="4"/>
  <c r="F3388" i="4"/>
  <c r="S3387" i="4"/>
  <c r="I3387" i="4" s="1"/>
  <c r="J3387" i="4"/>
  <c r="G3387" i="4"/>
  <c r="F3387" i="4"/>
  <c r="S3386" i="4"/>
  <c r="I3386" i="4" s="1"/>
  <c r="J3386" i="4"/>
  <c r="G3386" i="4"/>
  <c r="F3386" i="4"/>
  <c r="S3385" i="4"/>
  <c r="H3385" i="4" s="1"/>
  <c r="J3385" i="4"/>
  <c r="G3385" i="4"/>
  <c r="F3385" i="4"/>
  <c r="S3384" i="4"/>
  <c r="I3384" i="4" s="1"/>
  <c r="J3384" i="4"/>
  <c r="G3384" i="4"/>
  <c r="F3384" i="4"/>
  <c r="S3383" i="4"/>
  <c r="J3383" i="4"/>
  <c r="G3383" i="4"/>
  <c r="F3383" i="4"/>
  <c r="S3382" i="4"/>
  <c r="H3382" i="4" s="1"/>
  <c r="J3382" i="4"/>
  <c r="G3382" i="4"/>
  <c r="F3382" i="4"/>
  <c r="S3381" i="4"/>
  <c r="I3381" i="4" s="1"/>
  <c r="J3381" i="4"/>
  <c r="G3381" i="4"/>
  <c r="F3381" i="4"/>
  <c r="S3380" i="4"/>
  <c r="I3380" i="4" s="1"/>
  <c r="J3380" i="4"/>
  <c r="G3380" i="4"/>
  <c r="F3380" i="4"/>
  <c r="S3379" i="4"/>
  <c r="I3379" i="4" s="1"/>
  <c r="J3379" i="4"/>
  <c r="G3379" i="4"/>
  <c r="F3379" i="4"/>
  <c r="S3378" i="4"/>
  <c r="I3378" i="4" s="1"/>
  <c r="J3378" i="4"/>
  <c r="G3378" i="4"/>
  <c r="F3378" i="4"/>
  <c r="S3377" i="4"/>
  <c r="H3377" i="4" s="1"/>
  <c r="J3377" i="4"/>
  <c r="G3377" i="4"/>
  <c r="F3377" i="4"/>
  <c r="S3376" i="4"/>
  <c r="I3376" i="4" s="1"/>
  <c r="J3376" i="4"/>
  <c r="G3376" i="4"/>
  <c r="F3376" i="4"/>
  <c r="S3375" i="4"/>
  <c r="J3375" i="4"/>
  <c r="G3375" i="4"/>
  <c r="F3375" i="4"/>
  <c r="S3374" i="4"/>
  <c r="H3374" i="4" s="1"/>
  <c r="J3374" i="4"/>
  <c r="G3374" i="4"/>
  <c r="F3374" i="4"/>
  <c r="S3373" i="4"/>
  <c r="J3373" i="4"/>
  <c r="G3373" i="4"/>
  <c r="F3373" i="4"/>
  <c r="S3372" i="4"/>
  <c r="I3372" i="4" s="1"/>
  <c r="J3372" i="4"/>
  <c r="G3372" i="4"/>
  <c r="F3372" i="4"/>
  <c r="S3371" i="4"/>
  <c r="I3371" i="4" s="1"/>
  <c r="J3371" i="4"/>
  <c r="G3371" i="4"/>
  <c r="F3371" i="4"/>
  <c r="S3370" i="4"/>
  <c r="I3370" i="4" s="1"/>
  <c r="J3370" i="4"/>
  <c r="G3370" i="4"/>
  <c r="F3370" i="4"/>
  <c r="S3369" i="4"/>
  <c r="H3369" i="4" s="1"/>
  <c r="J3369" i="4"/>
  <c r="G3369" i="4"/>
  <c r="F3369" i="4"/>
  <c r="S3368" i="4"/>
  <c r="I3368" i="4" s="1"/>
  <c r="J3368" i="4"/>
  <c r="G3368" i="4"/>
  <c r="F3368" i="4"/>
  <c r="S3367" i="4"/>
  <c r="J3367" i="4"/>
  <c r="G3367" i="4"/>
  <c r="F3367" i="4"/>
  <c r="S3366" i="4"/>
  <c r="H3366" i="4" s="1"/>
  <c r="J3366" i="4"/>
  <c r="G3366" i="4"/>
  <c r="F3366" i="4"/>
  <c r="S3365" i="4"/>
  <c r="I3365" i="4" s="1"/>
  <c r="J3365" i="4"/>
  <c r="G3365" i="4"/>
  <c r="F3365" i="4"/>
  <c r="S3364" i="4"/>
  <c r="I3364" i="4" s="1"/>
  <c r="J3364" i="4"/>
  <c r="G3364" i="4"/>
  <c r="F3364" i="4"/>
  <c r="S3363" i="4"/>
  <c r="I3363" i="4" s="1"/>
  <c r="J3363" i="4"/>
  <c r="G3363" i="4"/>
  <c r="F3363" i="4"/>
  <c r="S3362" i="4"/>
  <c r="I3362" i="4" s="1"/>
  <c r="J3362" i="4"/>
  <c r="G3362" i="4"/>
  <c r="F3362" i="4"/>
  <c r="S3361" i="4"/>
  <c r="H3361" i="4" s="1"/>
  <c r="J3361" i="4"/>
  <c r="G3361" i="4"/>
  <c r="F3361" i="4"/>
  <c r="S3360" i="4"/>
  <c r="I3360" i="4" s="1"/>
  <c r="J3360" i="4"/>
  <c r="G3360" i="4"/>
  <c r="F3360" i="4"/>
  <c r="J3359" i="4"/>
  <c r="I3359" i="4"/>
  <c r="H3359" i="4"/>
  <c r="G3359" i="4"/>
  <c r="F3359" i="4"/>
  <c r="J3358" i="4"/>
  <c r="I3358" i="4"/>
  <c r="H3358" i="4"/>
  <c r="G3358" i="4"/>
  <c r="F3358" i="4"/>
  <c r="J3357" i="4"/>
  <c r="I3357" i="4"/>
  <c r="H3357" i="4"/>
  <c r="G3357" i="4"/>
  <c r="F3357" i="4"/>
  <c r="J3356" i="4"/>
  <c r="I3356" i="4"/>
  <c r="H3356" i="4"/>
  <c r="G3356" i="4"/>
  <c r="F3356" i="4"/>
  <c r="J3355" i="4"/>
  <c r="I3355" i="4"/>
  <c r="H3355" i="4"/>
  <c r="G3355" i="4"/>
  <c r="F3355" i="4"/>
  <c r="J3354" i="4"/>
  <c r="I3354" i="4"/>
  <c r="H3354" i="4"/>
  <c r="G3354" i="4"/>
  <c r="F3354" i="4"/>
  <c r="J3353" i="4"/>
  <c r="I3353" i="4"/>
  <c r="H3353" i="4"/>
  <c r="G3353" i="4"/>
  <c r="F3353" i="4"/>
  <c r="J3352" i="4"/>
  <c r="I3352" i="4"/>
  <c r="H3352" i="4"/>
  <c r="G3352" i="4"/>
  <c r="F3352" i="4"/>
  <c r="J3351" i="4"/>
  <c r="I3351" i="4"/>
  <c r="H3351" i="4"/>
  <c r="G3351" i="4"/>
  <c r="F3351" i="4"/>
  <c r="J3350" i="4"/>
  <c r="I3350" i="4"/>
  <c r="H3350" i="4"/>
  <c r="G3350" i="4"/>
  <c r="F3350" i="4"/>
  <c r="J3349" i="4"/>
  <c r="I3349" i="4"/>
  <c r="H3349" i="4"/>
  <c r="G3349" i="4"/>
  <c r="F3349" i="4"/>
  <c r="J3348" i="4"/>
  <c r="I3348" i="4"/>
  <c r="H3348" i="4"/>
  <c r="G3348" i="4"/>
  <c r="F3348" i="4"/>
  <c r="J3347" i="4"/>
  <c r="I3347" i="4"/>
  <c r="H3347" i="4"/>
  <c r="G3347" i="4"/>
  <c r="F3347" i="4"/>
  <c r="J3346" i="4"/>
  <c r="I3346" i="4"/>
  <c r="H3346" i="4"/>
  <c r="G3346" i="4"/>
  <c r="F3346" i="4"/>
  <c r="J3345" i="4"/>
  <c r="I3345" i="4"/>
  <c r="H3345" i="4"/>
  <c r="G3345" i="4"/>
  <c r="F3345" i="4"/>
  <c r="J3344" i="4"/>
  <c r="I3344" i="4"/>
  <c r="H3344" i="4"/>
  <c r="G3344" i="4"/>
  <c r="F3344" i="4"/>
  <c r="J3343" i="4"/>
  <c r="I3343" i="4"/>
  <c r="H3343" i="4"/>
  <c r="G3343" i="4"/>
  <c r="F3343" i="4"/>
  <c r="J3342" i="4"/>
  <c r="I3342" i="4"/>
  <c r="H3342" i="4"/>
  <c r="G3342" i="4"/>
  <c r="F3342" i="4"/>
  <c r="J3341" i="4"/>
  <c r="I3341" i="4"/>
  <c r="H3341" i="4"/>
  <c r="G3341" i="4"/>
  <c r="F3341" i="4"/>
  <c r="J3340" i="4"/>
  <c r="I3340" i="4"/>
  <c r="H3340" i="4"/>
  <c r="G3340" i="4"/>
  <c r="F3340" i="4"/>
  <c r="J3339" i="4"/>
  <c r="I3339" i="4"/>
  <c r="H3339" i="4"/>
  <c r="G3339" i="4"/>
  <c r="F3339" i="4"/>
  <c r="J3338" i="4"/>
  <c r="I3338" i="4"/>
  <c r="H3338" i="4"/>
  <c r="G3338" i="4"/>
  <c r="F3338" i="4"/>
  <c r="J3337" i="4"/>
  <c r="I3337" i="4"/>
  <c r="H3337" i="4"/>
  <c r="G3337" i="4"/>
  <c r="F3337" i="4"/>
  <c r="J3336" i="4"/>
  <c r="I3336" i="4"/>
  <c r="H3336" i="4"/>
  <c r="G3336" i="4"/>
  <c r="F3336" i="4"/>
  <c r="J3335" i="4"/>
  <c r="I3335" i="4"/>
  <c r="H3335" i="4"/>
  <c r="G3335" i="4"/>
  <c r="F3335" i="4"/>
  <c r="J3334" i="4"/>
  <c r="I3334" i="4"/>
  <c r="H3334" i="4"/>
  <c r="G3334" i="4"/>
  <c r="F3334" i="4"/>
  <c r="J3333" i="4"/>
  <c r="I3333" i="4"/>
  <c r="H3333" i="4"/>
  <c r="G3333" i="4"/>
  <c r="F3333" i="4"/>
  <c r="J3332" i="4"/>
  <c r="I3332" i="4"/>
  <c r="H3332" i="4"/>
  <c r="G3332" i="4"/>
  <c r="F3332" i="4"/>
  <c r="J3331" i="4"/>
  <c r="I3331" i="4"/>
  <c r="H3331" i="4"/>
  <c r="G3331" i="4"/>
  <c r="F3331" i="4"/>
  <c r="J3330" i="4"/>
  <c r="I3330" i="4"/>
  <c r="H3330" i="4"/>
  <c r="G3330" i="4"/>
  <c r="F3330" i="4"/>
  <c r="J3329" i="4"/>
  <c r="I3329" i="4"/>
  <c r="H3329" i="4"/>
  <c r="G3329" i="4"/>
  <c r="F3329" i="4"/>
  <c r="J3328" i="4"/>
  <c r="I3328" i="4"/>
  <c r="H3328" i="4"/>
  <c r="G3328" i="4"/>
  <c r="F3328" i="4"/>
  <c r="J3327" i="4"/>
  <c r="I3327" i="4"/>
  <c r="H3327" i="4"/>
  <c r="G3327" i="4"/>
  <c r="F3327" i="4"/>
  <c r="J3326" i="4"/>
  <c r="I3326" i="4"/>
  <c r="H3326" i="4"/>
  <c r="G3326" i="4"/>
  <c r="F3326" i="4"/>
  <c r="J3325" i="4"/>
  <c r="I3325" i="4"/>
  <c r="H3325" i="4"/>
  <c r="G3325" i="4"/>
  <c r="F3325" i="4"/>
  <c r="J3324" i="4"/>
  <c r="I3324" i="4"/>
  <c r="H3324" i="4"/>
  <c r="G3324" i="4"/>
  <c r="F3324" i="4"/>
  <c r="J3323" i="4"/>
  <c r="I3323" i="4"/>
  <c r="H3323" i="4"/>
  <c r="G3323" i="4"/>
  <c r="F3323" i="4"/>
  <c r="J3322" i="4"/>
  <c r="I3322" i="4"/>
  <c r="H3322" i="4"/>
  <c r="G3322" i="4"/>
  <c r="F3322" i="4"/>
  <c r="J3321" i="4"/>
  <c r="I3321" i="4"/>
  <c r="H3321" i="4"/>
  <c r="G3321" i="4"/>
  <c r="F3321" i="4"/>
  <c r="J3320" i="4"/>
  <c r="I3320" i="4"/>
  <c r="H3320" i="4"/>
  <c r="G3320" i="4"/>
  <c r="F3320" i="4"/>
  <c r="J3319" i="4"/>
  <c r="I3319" i="4"/>
  <c r="H3319" i="4"/>
  <c r="G3319" i="4"/>
  <c r="F3319" i="4"/>
  <c r="J3318" i="4"/>
  <c r="I3318" i="4"/>
  <c r="H3318" i="4"/>
  <c r="G3318" i="4"/>
  <c r="F3318" i="4"/>
  <c r="J3317" i="4"/>
  <c r="I3317" i="4"/>
  <c r="H3317" i="4"/>
  <c r="G3317" i="4"/>
  <c r="F3317" i="4"/>
  <c r="J3316" i="4"/>
  <c r="I3316" i="4"/>
  <c r="H3316" i="4"/>
  <c r="G3316" i="4"/>
  <c r="F3316" i="4"/>
  <c r="J3315" i="4"/>
  <c r="I3315" i="4"/>
  <c r="H3315" i="4"/>
  <c r="G3315" i="4"/>
  <c r="F3315" i="4"/>
  <c r="J3314" i="4"/>
  <c r="I3314" i="4"/>
  <c r="H3314" i="4"/>
  <c r="G3314" i="4"/>
  <c r="F3314" i="4"/>
  <c r="J3313" i="4"/>
  <c r="I3313" i="4"/>
  <c r="H3313" i="4"/>
  <c r="G3313" i="4"/>
  <c r="F3313" i="4"/>
  <c r="J3312" i="4"/>
  <c r="I3312" i="4"/>
  <c r="H3312" i="4"/>
  <c r="G3312" i="4"/>
  <c r="F3312" i="4"/>
  <c r="J3311" i="4"/>
  <c r="I3311" i="4"/>
  <c r="H3311" i="4"/>
  <c r="G3311" i="4"/>
  <c r="F3311" i="4"/>
  <c r="J3310" i="4"/>
  <c r="I3310" i="4"/>
  <c r="H3310" i="4"/>
  <c r="G3310" i="4"/>
  <c r="F3310" i="4"/>
  <c r="S3308" i="4"/>
  <c r="J3308" i="4"/>
  <c r="G3308" i="4"/>
  <c r="F3308" i="4"/>
  <c r="S3307" i="4"/>
  <c r="J3307" i="4"/>
  <c r="G3307" i="4"/>
  <c r="F3307" i="4"/>
  <c r="S3306" i="4"/>
  <c r="H3306" i="4" s="1"/>
  <c r="J3306" i="4"/>
  <c r="G3306" i="4"/>
  <c r="F3306" i="4"/>
  <c r="S3305" i="4"/>
  <c r="I3305" i="4" s="1"/>
  <c r="J3305" i="4"/>
  <c r="G3305" i="4"/>
  <c r="F3305" i="4"/>
  <c r="S3304" i="4"/>
  <c r="I3304" i="4" s="1"/>
  <c r="J3304" i="4"/>
  <c r="G3304" i="4"/>
  <c r="F3304" i="4"/>
  <c r="S3303" i="4"/>
  <c r="H3303" i="4" s="1"/>
  <c r="J3303" i="4"/>
  <c r="G3303" i="4"/>
  <c r="F3303" i="4"/>
  <c r="S3302" i="4"/>
  <c r="I3302" i="4" s="1"/>
  <c r="J3302" i="4"/>
  <c r="G3302" i="4"/>
  <c r="F3302" i="4"/>
  <c r="S3301" i="4"/>
  <c r="I3301" i="4" s="1"/>
  <c r="J3301" i="4"/>
  <c r="G3301" i="4"/>
  <c r="F3301" i="4"/>
  <c r="S3300" i="4"/>
  <c r="J3300" i="4"/>
  <c r="G3300" i="4"/>
  <c r="F3300" i="4"/>
  <c r="S3299" i="4"/>
  <c r="J3299" i="4"/>
  <c r="G3299" i="4"/>
  <c r="F3299" i="4"/>
  <c r="S3298" i="4"/>
  <c r="H3298" i="4" s="1"/>
  <c r="J3298" i="4"/>
  <c r="G3298" i="4"/>
  <c r="F3298" i="4"/>
  <c r="S3297" i="4"/>
  <c r="I3297" i="4" s="1"/>
  <c r="J3297" i="4"/>
  <c r="G3297" i="4"/>
  <c r="F3297" i="4"/>
  <c r="S3296" i="4"/>
  <c r="I3296" i="4" s="1"/>
  <c r="J3296" i="4"/>
  <c r="G3296" i="4"/>
  <c r="F3296" i="4"/>
  <c r="S3295" i="4"/>
  <c r="H3295" i="4" s="1"/>
  <c r="J3295" i="4"/>
  <c r="G3295" i="4"/>
  <c r="F3295" i="4"/>
  <c r="S3294" i="4"/>
  <c r="I3294" i="4" s="1"/>
  <c r="J3294" i="4"/>
  <c r="G3294" i="4"/>
  <c r="F3294" i="4"/>
  <c r="S3293" i="4"/>
  <c r="H3293" i="4" s="1"/>
  <c r="J3293" i="4"/>
  <c r="G3293" i="4"/>
  <c r="F3293" i="4"/>
  <c r="J3292" i="4"/>
  <c r="I3292" i="4"/>
  <c r="H3292" i="4"/>
  <c r="G3292" i="4"/>
  <c r="F3292" i="4"/>
  <c r="I3291" i="4"/>
  <c r="J3291" i="4"/>
  <c r="G3291" i="4"/>
  <c r="F3291" i="4"/>
  <c r="S3290" i="4"/>
  <c r="H3290" i="4" s="1"/>
  <c r="J3290" i="4"/>
  <c r="G3290" i="4"/>
  <c r="F3290" i="4"/>
  <c r="S3289" i="4"/>
  <c r="I3289" i="4" s="1"/>
  <c r="J3289" i="4"/>
  <c r="G3289" i="4"/>
  <c r="F3289" i="4"/>
  <c r="S3288" i="4"/>
  <c r="I3288" i="4" s="1"/>
  <c r="J3288" i="4"/>
  <c r="G3288" i="4"/>
  <c r="F3288" i="4"/>
  <c r="S3287" i="4"/>
  <c r="H3287" i="4" s="1"/>
  <c r="J3287" i="4"/>
  <c r="G3287" i="4"/>
  <c r="F3287" i="4"/>
  <c r="S3286" i="4"/>
  <c r="I3286" i="4" s="1"/>
  <c r="J3286" i="4"/>
  <c r="G3286" i="4"/>
  <c r="F3286" i="4"/>
  <c r="S3285" i="4"/>
  <c r="H3285" i="4" s="1"/>
  <c r="J3285" i="4"/>
  <c r="G3285" i="4"/>
  <c r="F3285" i="4"/>
  <c r="J3284" i="4"/>
  <c r="I3284" i="4"/>
  <c r="H3284" i="4"/>
  <c r="G3284" i="4"/>
  <c r="F3284" i="4"/>
  <c r="I3283" i="4"/>
  <c r="J3283" i="4"/>
  <c r="G3283" i="4"/>
  <c r="F3283" i="4"/>
  <c r="S3282" i="4"/>
  <c r="H3282" i="4" s="1"/>
  <c r="J3282" i="4"/>
  <c r="G3282" i="4"/>
  <c r="F3282" i="4"/>
  <c r="S3281" i="4"/>
  <c r="I3281" i="4" s="1"/>
  <c r="J3281" i="4"/>
  <c r="G3281" i="4"/>
  <c r="F3281" i="4"/>
  <c r="S3280" i="4"/>
  <c r="I3280" i="4" s="1"/>
  <c r="J3280" i="4"/>
  <c r="G3280" i="4"/>
  <c r="F3280" i="4"/>
  <c r="S3279" i="4"/>
  <c r="H3279" i="4" s="1"/>
  <c r="J3279" i="4"/>
  <c r="G3279" i="4"/>
  <c r="F3279" i="4"/>
  <c r="S3278" i="4"/>
  <c r="H3278" i="4" s="1"/>
  <c r="J3278" i="4"/>
  <c r="G3278" i="4"/>
  <c r="F3278" i="4"/>
  <c r="S3277" i="4"/>
  <c r="I3277" i="4" s="1"/>
  <c r="J3277" i="4"/>
  <c r="G3277" i="4"/>
  <c r="F3277" i="4"/>
  <c r="H3276" i="4"/>
  <c r="J3276" i="4"/>
  <c r="I3276" i="4"/>
  <c r="G3276" i="4"/>
  <c r="F3276" i="4"/>
  <c r="I3275" i="4"/>
  <c r="J3275" i="4"/>
  <c r="G3275" i="4"/>
  <c r="F3275" i="4"/>
  <c r="S3274" i="4"/>
  <c r="H3274" i="4" s="1"/>
  <c r="J3274" i="4"/>
  <c r="G3274" i="4"/>
  <c r="F3274" i="4"/>
  <c r="S3273" i="4"/>
  <c r="I3273" i="4" s="1"/>
  <c r="J3273" i="4"/>
  <c r="G3273" i="4"/>
  <c r="F3273" i="4"/>
  <c r="S3272" i="4"/>
  <c r="I3272" i="4" s="1"/>
  <c r="J3272" i="4"/>
  <c r="G3272" i="4"/>
  <c r="F3272" i="4"/>
  <c r="S3271" i="4"/>
  <c r="H3271" i="4" s="1"/>
  <c r="J3271" i="4"/>
  <c r="G3271" i="4"/>
  <c r="F3271" i="4"/>
  <c r="S3270" i="4"/>
  <c r="I3270" i="4" s="1"/>
  <c r="J3270" i="4"/>
  <c r="G3270" i="4"/>
  <c r="F3270" i="4"/>
  <c r="S3269" i="4"/>
  <c r="I3269" i="4" s="1"/>
  <c r="J3269" i="4"/>
  <c r="G3269" i="4"/>
  <c r="F3269" i="4"/>
  <c r="H3268" i="4"/>
  <c r="J3268" i="4"/>
  <c r="I3268" i="4"/>
  <c r="G3268" i="4"/>
  <c r="F3268" i="4"/>
  <c r="I3267" i="4"/>
  <c r="J3267" i="4"/>
  <c r="G3267" i="4"/>
  <c r="F3267" i="4"/>
  <c r="S3266" i="4"/>
  <c r="H3266" i="4" s="1"/>
  <c r="J3266" i="4"/>
  <c r="G3266" i="4"/>
  <c r="F3266" i="4"/>
  <c r="S3265" i="4"/>
  <c r="I3265" i="4" s="1"/>
  <c r="J3265" i="4"/>
  <c r="G3265" i="4"/>
  <c r="F3265" i="4"/>
  <c r="S3264" i="4"/>
  <c r="I3264" i="4" s="1"/>
  <c r="J3264" i="4"/>
  <c r="G3264" i="4"/>
  <c r="F3264" i="4"/>
  <c r="S3263" i="4"/>
  <c r="H3263" i="4" s="1"/>
  <c r="J3263" i="4"/>
  <c r="G3263" i="4"/>
  <c r="F3263" i="4"/>
  <c r="S3262" i="4"/>
  <c r="H3262" i="4" s="1"/>
  <c r="J3262" i="4"/>
  <c r="G3262" i="4"/>
  <c r="F3262" i="4"/>
  <c r="S3261" i="4"/>
  <c r="I3261" i="4" s="1"/>
  <c r="J3261" i="4"/>
  <c r="G3261" i="4"/>
  <c r="F3261" i="4"/>
  <c r="H3260" i="4"/>
  <c r="J3260" i="4"/>
  <c r="G3260" i="4"/>
  <c r="F3260" i="4"/>
  <c r="I3259" i="4"/>
  <c r="J3259" i="4"/>
  <c r="G3259" i="4"/>
  <c r="F3259" i="4"/>
  <c r="S3258" i="4"/>
  <c r="I3258" i="4" s="1"/>
  <c r="J3258" i="4"/>
  <c r="G3258" i="4"/>
  <c r="F3258" i="4"/>
  <c r="S3257" i="4"/>
  <c r="I3257" i="4" s="1"/>
  <c r="J3257" i="4"/>
  <c r="G3257" i="4"/>
  <c r="F3257" i="4"/>
  <c r="S3256" i="4"/>
  <c r="H3256" i="4" s="1"/>
  <c r="J3256" i="4"/>
  <c r="G3256" i="4"/>
  <c r="F3256" i="4"/>
  <c r="S3255" i="4"/>
  <c r="I3255" i="4" s="1"/>
  <c r="J3255" i="4"/>
  <c r="G3255" i="4"/>
  <c r="F3255" i="4"/>
  <c r="S3254" i="4"/>
  <c r="I3254" i="4" s="1"/>
  <c r="J3254" i="4"/>
  <c r="G3254" i="4"/>
  <c r="F3254" i="4"/>
  <c r="S3253" i="4"/>
  <c r="H3253" i="4" s="1"/>
  <c r="J3253" i="4"/>
  <c r="G3253" i="4"/>
  <c r="F3253" i="4"/>
  <c r="S3252" i="4"/>
  <c r="I3252" i="4" s="1"/>
  <c r="J3252" i="4"/>
  <c r="G3252" i="4"/>
  <c r="F3252" i="4"/>
  <c r="S3251" i="4"/>
  <c r="I3251" i="4" s="1"/>
  <c r="J3251" i="4"/>
  <c r="G3251" i="4"/>
  <c r="F3251" i="4"/>
  <c r="S3250" i="4"/>
  <c r="I3250" i="4" s="1"/>
  <c r="J3250" i="4"/>
  <c r="G3250" i="4"/>
  <c r="F3250" i="4"/>
  <c r="S3249" i="4"/>
  <c r="I3249" i="4" s="1"/>
  <c r="J3249" i="4"/>
  <c r="G3249" i="4"/>
  <c r="F3249" i="4"/>
  <c r="S3248" i="4"/>
  <c r="H3248" i="4" s="1"/>
  <c r="J3248" i="4"/>
  <c r="G3248" i="4"/>
  <c r="F3248" i="4"/>
  <c r="S3247" i="4"/>
  <c r="I3247" i="4" s="1"/>
  <c r="J3247" i="4"/>
  <c r="G3247" i="4"/>
  <c r="F3247" i="4"/>
  <c r="S3246" i="4"/>
  <c r="I3246" i="4" s="1"/>
  <c r="J3246" i="4"/>
  <c r="G3246" i="4"/>
  <c r="F3246" i="4"/>
  <c r="S3245" i="4"/>
  <c r="H3245" i="4" s="1"/>
  <c r="J3245" i="4"/>
  <c r="G3245" i="4"/>
  <c r="F3245" i="4"/>
  <c r="S3244" i="4"/>
  <c r="H3244" i="4" s="1"/>
  <c r="J3244" i="4"/>
  <c r="G3244" i="4"/>
  <c r="F3244" i="4"/>
  <c r="S3243" i="4"/>
  <c r="I3243" i="4" s="1"/>
  <c r="J3243" i="4"/>
  <c r="G3243" i="4"/>
  <c r="F3243" i="4"/>
  <c r="S3242" i="4"/>
  <c r="I3242" i="4" s="1"/>
  <c r="J3242" i="4"/>
  <c r="G3242" i="4"/>
  <c r="F3242" i="4"/>
  <c r="S3241" i="4"/>
  <c r="I3241" i="4" s="1"/>
  <c r="J3241" i="4"/>
  <c r="G3241" i="4"/>
  <c r="F3241" i="4"/>
  <c r="S3240" i="4"/>
  <c r="H3240" i="4" s="1"/>
  <c r="J3240" i="4"/>
  <c r="G3240" i="4"/>
  <c r="F3240" i="4"/>
  <c r="S3239" i="4"/>
  <c r="I3239" i="4" s="1"/>
  <c r="J3239" i="4"/>
  <c r="G3239" i="4"/>
  <c r="F3239" i="4"/>
  <c r="S3238" i="4"/>
  <c r="I3238" i="4" s="1"/>
  <c r="J3238" i="4"/>
  <c r="G3238" i="4"/>
  <c r="F3238" i="4"/>
  <c r="S3237" i="4"/>
  <c r="H3237" i="4" s="1"/>
  <c r="J3237" i="4"/>
  <c r="G3237" i="4"/>
  <c r="F3237" i="4"/>
  <c r="S3236" i="4"/>
  <c r="H3236" i="4" s="1"/>
  <c r="J3236" i="4"/>
  <c r="G3236" i="4"/>
  <c r="F3236" i="4"/>
  <c r="S3235" i="4"/>
  <c r="H3235" i="4" s="1"/>
  <c r="J3235" i="4"/>
  <c r="G3235" i="4"/>
  <c r="F3235" i="4"/>
  <c r="S3234" i="4"/>
  <c r="I3234" i="4" s="1"/>
  <c r="J3234" i="4"/>
  <c r="G3234" i="4"/>
  <c r="F3234" i="4"/>
  <c r="S3233" i="4"/>
  <c r="I3233" i="4" s="1"/>
  <c r="J3233" i="4"/>
  <c r="G3233" i="4"/>
  <c r="F3233" i="4"/>
  <c r="S3232" i="4"/>
  <c r="H3232" i="4" s="1"/>
  <c r="J3232" i="4"/>
  <c r="G3232" i="4"/>
  <c r="F3232" i="4"/>
  <c r="S3231" i="4"/>
  <c r="I3231" i="4" s="1"/>
  <c r="J3231" i="4"/>
  <c r="G3231" i="4"/>
  <c r="F3231" i="4"/>
  <c r="S3230" i="4"/>
  <c r="I3230" i="4" s="1"/>
  <c r="J3230" i="4"/>
  <c r="G3230" i="4"/>
  <c r="F3230" i="4"/>
  <c r="S3229" i="4"/>
  <c r="H3229" i="4" s="1"/>
  <c r="J3229" i="4"/>
  <c r="G3229" i="4"/>
  <c r="F3229" i="4"/>
  <c r="S3228" i="4"/>
  <c r="H3228" i="4" s="1"/>
  <c r="J3228" i="4"/>
  <c r="G3228" i="4"/>
  <c r="F3228" i="4"/>
  <c r="S3227" i="4"/>
  <c r="H3227" i="4" s="1"/>
  <c r="J3227" i="4"/>
  <c r="G3227" i="4"/>
  <c r="F3227" i="4"/>
  <c r="S3226" i="4"/>
  <c r="I3226" i="4" s="1"/>
  <c r="J3226" i="4"/>
  <c r="G3226" i="4"/>
  <c r="F3226" i="4"/>
  <c r="S3225" i="4"/>
  <c r="I3225" i="4" s="1"/>
  <c r="J3225" i="4"/>
  <c r="G3225" i="4"/>
  <c r="F3225" i="4"/>
  <c r="S3224" i="4"/>
  <c r="H3224" i="4" s="1"/>
  <c r="J3224" i="4"/>
  <c r="G3224" i="4"/>
  <c r="F3224" i="4"/>
  <c r="S3223" i="4"/>
  <c r="H3223" i="4" s="1"/>
  <c r="J3223" i="4"/>
  <c r="G3223" i="4"/>
  <c r="F3223" i="4"/>
  <c r="S3222" i="4"/>
  <c r="I3222" i="4" s="1"/>
  <c r="J3222" i="4"/>
  <c r="G3222" i="4"/>
  <c r="F3222" i="4"/>
  <c r="S3221" i="4"/>
  <c r="H3221" i="4" s="1"/>
  <c r="J3221" i="4"/>
  <c r="G3221" i="4"/>
  <c r="F3221" i="4"/>
  <c r="S3220" i="4"/>
  <c r="I3220" i="4" s="1"/>
  <c r="J3220" i="4"/>
  <c r="G3220" i="4"/>
  <c r="F3220" i="4"/>
  <c r="S3219" i="4"/>
  <c r="H3219" i="4" s="1"/>
  <c r="J3219" i="4"/>
  <c r="G3219" i="4"/>
  <c r="F3219" i="4"/>
  <c r="S3218" i="4"/>
  <c r="I3218" i="4" s="1"/>
  <c r="J3218" i="4"/>
  <c r="G3218" i="4"/>
  <c r="F3218" i="4"/>
  <c r="S3217" i="4"/>
  <c r="I3217" i="4" s="1"/>
  <c r="J3217" i="4"/>
  <c r="G3217" i="4"/>
  <c r="F3217" i="4"/>
  <c r="S3216" i="4"/>
  <c r="H3216" i="4" s="1"/>
  <c r="J3216" i="4"/>
  <c r="G3216" i="4"/>
  <c r="F3216" i="4"/>
  <c r="S3215" i="4"/>
  <c r="I3215" i="4" s="1"/>
  <c r="J3215" i="4"/>
  <c r="G3215" i="4"/>
  <c r="F3215" i="4"/>
  <c r="S3214" i="4"/>
  <c r="I3214" i="4" s="1"/>
  <c r="J3214" i="4"/>
  <c r="G3214" i="4"/>
  <c r="F3214" i="4"/>
  <c r="S3213" i="4"/>
  <c r="H3213" i="4" s="1"/>
  <c r="J3213" i="4"/>
  <c r="G3213" i="4"/>
  <c r="F3213" i="4"/>
  <c r="S3212" i="4"/>
  <c r="I3212" i="4" s="1"/>
  <c r="J3212" i="4"/>
  <c r="G3212" i="4"/>
  <c r="F3212" i="4"/>
  <c r="S3211" i="4"/>
  <c r="I3211" i="4" s="1"/>
  <c r="J3211" i="4"/>
  <c r="G3211" i="4"/>
  <c r="F3211" i="4"/>
  <c r="S3210" i="4"/>
  <c r="I3210" i="4" s="1"/>
  <c r="J3210" i="4"/>
  <c r="G3210" i="4"/>
  <c r="F3210" i="4"/>
  <c r="S3209" i="4"/>
  <c r="I3209" i="4" s="1"/>
  <c r="J3209" i="4"/>
  <c r="G3209" i="4"/>
  <c r="F3209" i="4"/>
  <c r="S3208" i="4"/>
  <c r="H3208" i="4" s="1"/>
  <c r="J3208" i="4"/>
  <c r="G3208" i="4"/>
  <c r="F3208" i="4"/>
  <c r="S3207" i="4"/>
  <c r="H3207" i="4" s="1"/>
  <c r="J3207" i="4"/>
  <c r="G3207" i="4"/>
  <c r="F3207" i="4"/>
  <c r="S3206" i="4"/>
  <c r="I3206" i="4" s="1"/>
  <c r="J3206" i="4"/>
  <c r="G3206" i="4"/>
  <c r="F3206" i="4"/>
  <c r="S3205" i="4"/>
  <c r="H3205" i="4" s="1"/>
  <c r="J3205" i="4"/>
  <c r="G3205" i="4"/>
  <c r="F3205" i="4"/>
  <c r="S3204" i="4"/>
  <c r="I3204" i="4" s="1"/>
  <c r="J3204" i="4"/>
  <c r="G3204" i="4"/>
  <c r="F3204" i="4"/>
  <c r="S3203" i="4"/>
  <c r="I3203" i="4" s="1"/>
  <c r="J3203" i="4"/>
  <c r="G3203" i="4"/>
  <c r="F3203" i="4"/>
  <c r="S3202" i="4"/>
  <c r="I3202" i="4" s="1"/>
  <c r="J3202" i="4"/>
  <c r="G3202" i="4"/>
  <c r="F3202" i="4"/>
  <c r="S3201" i="4"/>
  <c r="I3201" i="4" s="1"/>
  <c r="J3201" i="4"/>
  <c r="G3201" i="4"/>
  <c r="F3201" i="4"/>
  <c r="S3200" i="4"/>
  <c r="H3200" i="4" s="1"/>
  <c r="J3200" i="4"/>
  <c r="G3200" i="4"/>
  <c r="F3200" i="4"/>
  <c r="S3199" i="4"/>
  <c r="I3199" i="4" s="1"/>
  <c r="J3199" i="4"/>
  <c r="G3199" i="4"/>
  <c r="F3199" i="4"/>
  <c r="S3198" i="4"/>
  <c r="I3198" i="4" s="1"/>
  <c r="J3198" i="4"/>
  <c r="G3198" i="4"/>
  <c r="F3198" i="4"/>
  <c r="S3197" i="4"/>
  <c r="H3197" i="4" s="1"/>
  <c r="J3197" i="4"/>
  <c r="G3197" i="4"/>
  <c r="F3197" i="4"/>
  <c r="S3196" i="4"/>
  <c r="H3196" i="4" s="1"/>
  <c r="J3196" i="4"/>
  <c r="G3196" i="4"/>
  <c r="F3196" i="4"/>
  <c r="S3195" i="4"/>
  <c r="I3195" i="4" s="1"/>
  <c r="J3195" i="4"/>
  <c r="G3195" i="4"/>
  <c r="F3195" i="4"/>
  <c r="S3194" i="4"/>
  <c r="I3194" i="4" s="1"/>
  <c r="J3194" i="4"/>
  <c r="G3194" i="4"/>
  <c r="F3194" i="4"/>
  <c r="S3193" i="4"/>
  <c r="I3193" i="4" s="1"/>
  <c r="J3193" i="4"/>
  <c r="G3193" i="4"/>
  <c r="F3193" i="4"/>
  <c r="S3192" i="4"/>
  <c r="H3192" i="4" s="1"/>
  <c r="J3192" i="4"/>
  <c r="G3192" i="4"/>
  <c r="F3192" i="4"/>
  <c r="S3191" i="4"/>
  <c r="I3191" i="4" s="1"/>
  <c r="J3191" i="4"/>
  <c r="G3191" i="4"/>
  <c r="F3191" i="4"/>
  <c r="S3190" i="4"/>
  <c r="I3190" i="4" s="1"/>
  <c r="J3190" i="4"/>
  <c r="G3190" i="4"/>
  <c r="F3190" i="4"/>
  <c r="S3189" i="4"/>
  <c r="H3189" i="4" s="1"/>
  <c r="J3189" i="4"/>
  <c r="G3189" i="4"/>
  <c r="F3189" i="4"/>
  <c r="S3188" i="4"/>
  <c r="I3188" i="4" s="1"/>
  <c r="J3188" i="4"/>
  <c r="G3188" i="4"/>
  <c r="F3188" i="4"/>
  <c r="S3187" i="4"/>
  <c r="H3187" i="4" s="1"/>
  <c r="J3187" i="4"/>
  <c r="G3187" i="4"/>
  <c r="F3187" i="4"/>
  <c r="S3186" i="4"/>
  <c r="I3186" i="4" s="1"/>
  <c r="J3186" i="4"/>
  <c r="G3186" i="4"/>
  <c r="F3186" i="4"/>
  <c r="S3185" i="4"/>
  <c r="I3185" i="4" s="1"/>
  <c r="J3185" i="4"/>
  <c r="G3185" i="4"/>
  <c r="F3185" i="4"/>
  <c r="S3184" i="4"/>
  <c r="H3184" i="4" s="1"/>
  <c r="J3184" i="4"/>
  <c r="G3184" i="4"/>
  <c r="F3184" i="4"/>
  <c r="S3183" i="4"/>
  <c r="I3183" i="4" s="1"/>
  <c r="J3183" i="4"/>
  <c r="G3183" i="4"/>
  <c r="F3183" i="4"/>
  <c r="S3182" i="4"/>
  <c r="I3182" i="4" s="1"/>
  <c r="J3182" i="4"/>
  <c r="G3182" i="4"/>
  <c r="F3182" i="4"/>
  <c r="S3181" i="4"/>
  <c r="H3181" i="4" s="1"/>
  <c r="J3181" i="4"/>
  <c r="G3181" i="4"/>
  <c r="F3181" i="4"/>
  <c r="S3180" i="4"/>
  <c r="I3180" i="4" s="1"/>
  <c r="J3180" i="4"/>
  <c r="G3180" i="4"/>
  <c r="F3180" i="4"/>
  <c r="S3179" i="4"/>
  <c r="I3179" i="4" s="1"/>
  <c r="J3179" i="4"/>
  <c r="G3179" i="4"/>
  <c r="F3179" i="4"/>
  <c r="S3178" i="4"/>
  <c r="I3178" i="4" s="1"/>
  <c r="J3178" i="4"/>
  <c r="G3178" i="4"/>
  <c r="F3178" i="4"/>
  <c r="S3177" i="4"/>
  <c r="I3177" i="4" s="1"/>
  <c r="J3177" i="4"/>
  <c r="G3177" i="4"/>
  <c r="F3177" i="4"/>
  <c r="J3176" i="4"/>
  <c r="I3176" i="4"/>
  <c r="H3176" i="4"/>
  <c r="G3176" i="4"/>
  <c r="F3176" i="4"/>
  <c r="J3175" i="4"/>
  <c r="I3175" i="4"/>
  <c r="H3175" i="4"/>
  <c r="G3175" i="4"/>
  <c r="F3175" i="4"/>
  <c r="J3174" i="4"/>
  <c r="I3174" i="4"/>
  <c r="H3174" i="4"/>
  <c r="G3174" i="4"/>
  <c r="F3174" i="4"/>
  <c r="J3173" i="4"/>
  <c r="I3173" i="4"/>
  <c r="H3173" i="4"/>
  <c r="G3173" i="4"/>
  <c r="F3173" i="4"/>
  <c r="J3172" i="4"/>
  <c r="I3172" i="4"/>
  <c r="H3172" i="4"/>
  <c r="G3172" i="4"/>
  <c r="F3172" i="4"/>
  <c r="J3171" i="4"/>
  <c r="I3171" i="4"/>
  <c r="H3171" i="4"/>
  <c r="G3171" i="4"/>
  <c r="F3171" i="4"/>
  <c r="J3170" i="4"/>
  <c r="I3170" i="4"/>
  <c r="H3170" i="4"/>
  <c r="G3170" i="4"/>
  <c r="F3170" i="4"/>
  <c r="J3169" i="4"/>
  <c r="I3169" i="4"/>
  <c r="H3169" i="4"/>
  <c r="G3169" i="4"/>
  <c r="F3169" i="4"/>
  <c r="J3168" i="4"/>
  <c r="I3168" i="4"/>
  <c r="H3168" i="4"/>
  <c r="G3168" i="4"/>
  <c r="F3168" i="4"/>
  <c r="J3167" i="4"/>
  <c r="I3167" i="4"/>
  <c r="H3167" i="4"/>
  <c r="G3167" i="4"/>
  <c r="F3167" i="4"/>
  <c r="J3166" i="4"/>
  <c r="I3166" i="4"/>
  <c r="H3166" i="4"/>
  <c r="G3166" i="4"/>
  <c r="F3166" i="4"/>
  <c r="J3165" i="4"/>
  <c r="I3165" i="4"/>
  <c r="H3165" i="4"/>
  <c r="G3165" i="4"/>
  <c r="F3165" i="4"/>
  <c r="J3164" i="4"/>
  <c r="I3164" i="4"/>
  <c r="H3164" i="4"/>
  <c r="G3164" i="4"/>
  <c r="F3164" i="4"/>
  <c r="J3163" i="4"/>
  <c r="I3163" i="4"/>
  <c r="H3163" i="4"/>
  <c r="G3163" i="4"/>
  <c r="F3163" i="4"/>
  <c r="J3162" i="4"/>
  <c r="I3162" i="4"/>
  <c r="H3162" i="4"/>
  <c r="G3162" i="4"/>
  <c r="F3162" i="4"/>
  <c r="J3161" i="4"/>
  <c r="I3161" i="4"/>
  <c r="H3161" i="4"/>
  <c r="G3161" i="4"/>
  <c r="F3161" i="4"/>
  <c r="J3160" i="4"/>
  <c r="I3160" i="4"/>
  <c r="H3160" i="4"/>
  <c r="G3160" i="4"/>
  <c r="F3160" i="4"/>
  <c r="J3159" i="4"/>
  <c r="I3159" i="4"/>
  <c r="H3159" i="4"/>
  <c r="G3159" i="4"/>
  <c r="F3159" i="4"/>
  <c r="J3158" i="4"/>
  <c r="I3158" i="4"/>
  <c r="H3158" i="4"/>
  <c r="G3158" i="4"/>
  <c r="F3158" i="4"/>
  <c r="J3157" i="4"/>
  <c r="I3157" i="4"/>
  <c r="H3157" i="4"/>
  <c r="G3157" i="4"/>
  <c r="F3157" i="4"/>
  <c r="J3156" i="4"/>
  <c r="I3156" i="4"/>
  <c r="H3156" i="4"/>
  <c r="G3156" i="4"/>
  <c r="F3156" i="4"/>
  <c r="J3155" i="4"/>
  <c r="I3155" i="4"/>
  <c r="H3155" i="4"/>
  <c r="G3155" i="4"/>
  <c r="F3155" i="4"/>
  <c r="J3154" i="4"/>
  <c r="I3154" i="4"/>
  <c r="H3154" i="4"/>
  <c r="G3154" i="4"/>
  <c r="F3154" i="4"/>
  <c r="J3153" i="4"/>
  <c r="I3153" i="4"/>
  <c r="H3153" i="4"/>
  <c r="G3153" i="4"/>
  <c r="F3153" i="4"/>
  <c r="J3152" i="4"/>
  <c r="I3152" i="4"/>
  <c r="H3152" i="4"/>
  <c r="G3152" i="4"/>
  <c r="F3152" i="4"/>
  <c r="J3151" i="4"/>
  <c r="I3151" i="4"/>
  <c r="H3151" i="4"/>
  <c r="G3151" i="4"/>
  <c r="F3151" i="4"/>
  <c r="J3150" i="4"/>
  <c r="I3150" i="4"/>
  <c r="H3150" i="4"/>
  <c r="G3150" i="4"/>
  <c r="F3150" i="4"/>
  <c r="J3149" i="4"/>
  <c r="I3149" i="4"/>
  <c r="H3149" i="4"/>
  <c r="G3149" i="4"/>
  <c r="F3149" i="4"/>
  <c r="J3148" i="4"/>
  <c r="I3148" i="4"/>
  <c r="H3148" i="4"/>
  <c r="G3148" i="4"/>
  <c r="F3148" i="4"/>
  <c r="J3147" i="4"/>
  <c r="I3147" i="4"/>
  <c r="H3147" i="4"/>
  <c r="G3147" i="4"/>
  <c r="F3147" i="4"/>
  <c r="J3146" i="4"/>
  <c r="I3146" i="4"/>
  <c r="H3146" i="4"/>
  <c r="G3146" i="4"/>
  <c r="F3146" i="4"/>
  <c r="J3145" i="4"/>
  <c r="I3145" i="4"/>
  <c r="H3145" i="4"/>
  <c r="G3145" i="4"/>
  <c r="F3145" i="4"/>
  <c r="J3144" i="4"/>
  <c r="I3144" i="4"/>
  <c r="H3144" i="4"/>
  <c r="G3144" i="4"/>
  <c r="F3144" i="4"/>
  <c r="J3143" i="4"/>
  <c r="I3143" i="4"/>
  <c r="H3143" i="4"/>
  <c r="G3143" i="4"/>
  <c r="F3143" i="4"/>
  <c r="J3142" i="4"/>
  <c r="I3142" i="4"/>
  <c r="H3142" i="4"/>
  <c r="G3142" i="4"/>
  <c r="F3142" i="4"/>
  <c r="J3141" i="4"/>
  <c r="I3141" i="4"/>
  <c r="H3141" i="4"/>
  <c r="G3141" i="4"/>
  <c r="F3141" i="4"/>
  <c r="J3140" i="4"/>
  <c r="I3140" i="4"/>
  <c r="H3140" i="4"/>
  <c r="G3140" i="4"/>
  <c r="F3140" i="4"/>
  <c r="J3139" i="4"/>
  <c r="I3139" i="4"/>
  <c r="H3139" i="4"/>
  <c r="G3139" i="4"/>
  <c r="F3139" i="4"/>
  <c r="J3138" i="4"/>
  <c r="I3138" i="4"/>
  <c r="H3138" i="4"/>
  <c r="G3138" i="4"/>
  <c r="F3138" i="4"/>
  <c r="J3137" i="4"/>
  <c r="I3137" i="4"/>
  <c r="H3137" i="4"/>
  <c r="G3137" i="4"/>
  <c r="F3137" i="4"/>
  <c r="J3136" i="4"/>
  <c r="I3136" i="4"/>
  <c r="H3136" i="4"/>
  <c r="G3136" i="4"/>
  <c r="F3136" i="4"/>
  <c r="J3135" i="4"/>
  <c r="I3135" i="4"/>
  <c r="H3135" i="4"/>
  <c r="G3135" i="4"/>
  <c r="F3135" i="4"/>
  <c r="J3134" i="4"/>
  <c r="I3134" i="4"/>
  <c r="H3134" i="4"/>
  <c r="G3134" i="4"/>
  <c r="F3134" i="4"/>
  <c r="J3133" i="4"/>
  <c r="I3133" i="4"/>
  <c r="H3133" i="4"/>
  <c r="G3133" i="4"/>
  <c r="F3133" i="4"/>
  <c r="J3132" i="4"/>
  <c r="I3132" i="4"/>
  <c r="H3132" i="4"/>
  <c r="G3132" i="4"/>
  <c r="F3132" i="4"/>
  <c r="J3131" i="4"/>
  <c r="I3131" i="4"/>
  <c r="H3131" i="4"/>
  <c r="G3131" i="4"/>
  <c r="F3131" i="4"/>
  <c r="J3130" i="4"/>
  <c r="I3130" i="4"/>
  <c r="H3130" i="4"/>
  <c r="G3130" i="4"/>
  <c r="F3130" i="4"/>
  <c r="J3129" i="4"/>
  <c r="I3129" i="4"/>
  <c r="H3129" i="4"/>
  <c r="G3129" i="4"/>
  <c r="F3129" i="4"/>
  <c r="J3128" i="4"/>
  <c r="I3128" i="4"/>
  <c r="H3128" i="4"/>
  <c r="G3128" i="4"/>
  <c r="F3128" i="4"/>
  <c r="J3127" i="4"/>
  <c r="I3127" i="4"/>
  <c r="H3127" i="4"/>
  <c r="G3127" i="4"/>
  <c r="F3127" i="4"/>
  <c r="I3851" i="4" l="1"/>
  <c r="M3851" i="4" s="1"/>
  <c r="I3854" i="4"/>
  <c r="M3854" i="4" s="1"/>
  <c r="H3180" i="4"/>
  <c r="M3180" i="4" s="1"/>
  <c r="I3794" i="4"/>
  <c r="M3794" i="4" s="1"/>
  <c r="I3557" i="4"/>
  <c r="M3557" i="4" s="1"/>
  <c r="H3843" i="4"/>
  <c r="M3843" i="4" s="1"/>
  <c r="M3625" i="4"/>
  <c r="M3650" i="4"/>
  <c r="M3128" i="4"/>
  <c r="M3132" i="4"/>
  <c r="M3136" i="4"/>
  <c r="M3140" i="4"/>
  <c r="M3144" i="4"/>
  <c r="M3148" i="4"/>
  <c r="M3152" i="4"/>
  <c r="M3156" i="4"/>
  <c r="M3160" i="4"/>
  <c r="M3164" i="4"/>
  <c r="M3168" i="4"/>
  <c r="M3172" i="4"/>
  <c r="M3679" i="4"/>
  <c r="M3683" i="4"/>
  <c r="M3687" i="4"/>
  <c r="M3691" i="4"/>
  <c r="M3695" i="4"/>
  <c r="M3699" i="4"/>
  <c r="M3703" i="4"/>
  <c r="M3707" i="4"/>
  <c r="M3711" i="4"/>
  <c r="M3715" i="4"/>
  <c r="M3719" i="4"/>
  <c r="M3723" i="4"/>
  <c r="H3797" i="4"/>
  <c r="M3797" i="4" s="1"/>
  <c r="I3597" i="4"/>
  <c r="M3597" i="4" s="1"/>
  <c r="H3600" i="4"/>
  <c r="M3600" i="4" s="1"/>
  <c r="H3603" i="4"/>
  <c r="M3603" i="4" s="1"/>
  <c r="I3606" i="4"/>
  <c r="M3606" i="4" s="1"/>
  <c r="M3176" i="4"/>
  <c r="H3429" i="4"/>
  <c r="M3429" i="4" s="1"/>
  <c r="M3494" i="4"/>
  <c r="M3498" i="4"/>
  <c r="M3502" i="4"/>
  <c r="M3506" i="4"/>
  <c r="M3510" i="4"/>
  <c r="M3514" i="4"/>
  <c r="M3518" i="4"/>
  <c r="M3522" i="4"/>
  <c r="M3526" i="4"/>
  <c r="M3530" i="4"/>
  <c r="M3534" i="4"/>
  <c r="M3538" i="4"/>
  <c r="M3542" i="4"/>
  <c r="M3292" i="4"/>
  <c r="M3313" i="4"/>
  <c r="M3317" i="4"/>
  <c r="M3321" i="4"/>
  <c r="M3325" i="4"/>
  <c r="M3329" i="4"/>
  <c r="M3333" i="4"/>
  <c r="M3337" i="4"/>
  <c r="M3341" i="4"/>
  <c r="M3345" i="4"/>
  <c r="M3349" i="4"/>
  <c r="M3353" i="4"/>
  <c r="M3357" i="4"/>
  <c r="I3806" i="4"/>
  <c r="M3806" i="4" s="1"/>
  <c r="I3574" i="4"/>
  <c r="H3574" i="4"/>
  <c r="M3127" i="4"/>
  <c r="M3131" i="4"/>
  <c r="M3135" i="4"/>
  <c r="M3139" i="4"/>
  <c r="M3143" i="4"/>
  <c r="M3147" i="4"/>
  <c r="M3151" i="4"/>
  <c r="M3155" i="4"/>
  <c r="M3159" i="4"/>
  <c r="M3163" i="4"/>
  <c r="M3167" i="4"/>
  <c r="M3171" i="4"/>
  <c r="M3175" i="4"/>
  <c r="H3179" i="4"/>
  <c r="M3179" i="4" s="1"/>
  <c r="M3268" i="4"/>
  <c r="M3130" i="4"/>
  <c r="M3134" i="4"/>
  <c r="M3138" i="4"/>
  <c r="M3142" i="4"/>
  <c r="M3146" i="4"/>
  <c r="M3150" i="4"/>
  <c r="M3154" i="4"/>
  <c r="M3158" i="4"/>
  <c r="M3162" i="4"/>
  <c r="M3166" i="4"/>
  <c r="M3170" i="4"/>
  <c r="M3174" i="4"/>
  <c r="H3373" i="4"/>
  <c r="I3373" i="4"/>
  <c r="M3137" i="4"/>
  <c r="M3141" i="4"/>
  <c r="M3145" i="4"/>
  <c r="M3149" i="4"/>
  <c r="M3153" i="4"/>
  <c r="M3157" i="4"/>
  <c r="M3161" i="4"/>
  <c r="M3165" i="4"/>
  <c r="M3169" i="4"/>
  <c r="M3173" i="4"/>
  <c r="I3227" i="4"/>
  <c r="M3227" i="4" s="1"/>
  <c r="M3129" i="4"/>
  <c r="M3133" i="4"/>
  <c r="I3197" i="4"/>
  <c r="M3197" i="4" s="1"/>
  <c r="M3284" i="4"/>
  <c r="M3310" i="4"/>
  <c r="M3314" i="4"/>
  <c r="M3318" i="4"/>
  <c r="M3322" i="4"/>
  <c r="M3326" i="4"/>
  <c r="M3330" i="4"/>
  <c r="M3334" i="4"/>
  <c r="M3338" i="4"/>
  <c r="M3342" i="4"/>
  <c r="M3346" i="4"/>
  <c r="M3350" i="4"/>
  <c r="M3354" i="4"/>
  <c r="M3358" i="4"/>
  <c r="M3676" i="4"/>
  <c r="M3680" i="4"/>
  <c r="M3684" i="4"/>
  <c r="M3688" i="4"/>
  <c r="M3692" i="4"/>
  <c r="M3696" i="4"/>
  <c r="M3700" i="4"/>
  <c r="M3704" i="4"/>
  <c r="M3708" i="4"/>
  <c r="M3712" i="4"/>
  <c r="M3716" i="4"/>
  <c r="M3720" i="4"/>
  <c r="M3724" i="4"/>
  <c r="H3798" i="4"/>
  <c r="M3798" i="4" s="1"/>
  <c r="M3493" i="4"/>
  <c r="M3497" i="4"/>
  <c r="M3501" i="4"/>
  <c r="M3505" i="4"/>
  <c r="M3509" i="4"/>
  <c r="M3513" i="4"/>
  <c r="M3517" i="4"/>
  <c r="M3521" i="4"/>
  <c r="M3525" i="4"/>
  <c r="M3529" i="4"/>
  <c r="M3533" i="4"/>
  <c r="M3537" i="4"/>
  <c r="M3541" i="4"/>
  <c r="M3641" i="4"/>
  <c r="M3312" i="4"/>
  <c r="M3316" i="4"/>
  <c r="M3320" i="4"/>
  <c r="M3324" i="4"/>
  <c r="M3328" i="4"/>
  <c r="M3332" i="4"/>
  <c r="M3336" i="4"/>
  <c r="M3340" i="4"/>
  <c r="M3344" i="4"/>
  <c r="M3348" i="4"/>
  <c r="M3352" i="4"/>
  <c r="M3356" i="4"/>
  <c r="I3550" i="4"/>
  <c r="M3550" i="4" s="1"/>
  <c r="I3553" i="4"/>
  <c r="M3553" i="4" s="1"/>
  <c r="M3678" i="4"/>
  <c r="M3682" i="4"/>
  <c r="M3686" i="4"/>
  <c r="M3690" i="4"/>
  <c r="M3694" i="4"/>
  <c r="M3698" i="4"/>
  <c r="M3702" i="4"/>
  <c r="M3706" i="4"/>
  <c r="M3710" i="4"/>
  <c r="M3714" i="4"/>
  <c r="M3718" i="4"/>
  <c r="M3722" i="4"/>
  <c r="I3374" i="4"/>
  <c r="M3374" i="4" s="1"/>
  <c r="M3496" i="4"/>
  <c r="M3500" i="4"/>
  <c r="M3504" i="4"/>
  <c r="M3508" i="4"/>
  <c r="M3512" i="4"/>
  <c r="M3516" i="4"/>
  <c r="M3520" i="4"/>
  <c r="M3524" i="4"/>
  <c r="M3528" i="4"/>
  <c r="M3532" i="4"/>
  <c r="M3536" i="4"/>
  <c r="M3540" i="4"/>
  <c r="M3311" i="4"/>
  <c r="M3315" i="4"/>
  <c r="M3319" i="4"/>
  <c r="M3323" i="4"/>
  <c r="M3327" i="4"/>
  <c r="M3331" i="4"/>
  <c r="M3335" i="4"/>
  <c r="M3339" i="4"/>
  <c r="M3343" i="4"/>
  <c r="M3347" i="4"/>
  <c r="M3351" i="4"/>
  <c r="M3355" i="4"/>
  <c r="M3359" i="4"/>
  <c r="M3677" i="4"/>
  <c r="M3681" i="4"/>
  <c r="M3685" i="4"/>
  <c r="M3689" i="4"/>
  <c r="M3693" i="4"/>
  <c r="M3697" i="4"/>
  <c r="M3701" i="4"/>
  <c r="M3705" i="4"/>
  <c r="M3709" i="4"/>
  <c r="M3713" i="4"/>
  <c r="M3717" i="4"/>
  <c r="M3721" i="4"/>
  <c r="M3725" i="4"/>
  <c r="M3276" i="4"/>
  <c r="M3495" i="4"/>
  <c r="M3499" i="4"/>
  <c r="M3503" i="4"/>
  <c r="M3507" i="4"/>
  <c r="M3511" i="4"/>
  <c r="M3515" i="4"/>
  <c r="M3519" i="4"/>
  <c r="M3523" i="4"/>
  <c r="M3527" i="4"/>
  <c r="M3531" i="4"/>
  <c r="M3535" i="4"/>
  <c r="M3539" i="4"/>
  <c r="M3634" i="4"/>
  <c r="I3244" i="4"/>
  <c r="M3244" i="4" s="1"/>
  <c r="H3247" i="4"/>
  <c r="M3247" i="4" s="1"/>
  <c r="I3405" i="4"/>
  <c r="M3405" i="4" s="1"/>
  <c r="H3408" i="4"/>
  <c r="M3408" i="4" s="1"/>
  <c r="I3486" i="4"/>
  <c r="M3486" i="4" s="1"/>
  <c r="I3847" i="4"/>
  <c r="M3847" i="4" s="1"/>
  <c r="H3850" i="4"/>
  <c r="M3850" i="4" s="1"/>
  <c r="I3262" i="4"/>
  <c r="M3262" i="4" s="1"/>
  <c r="H3640" i="4"/>
  <c r="M3640" i="4" s="1"/>
  <c r="I3846" i="4"/>
  <c r="M3846" i="4" s="1"/>
  <c r="H3273" i="4"/>
  <c r="M3273" i="4" s="1"/>
  <c r="I3436" i="4"/>
  <c r="M3436" i="4" s="1"/>
  <c r="H3823" i="4"/>
  <c r="M3823" i="4" s="1"/>
  <c r="I3236" i="4"/>
  <c r="M3236" i="4" s="1"/>
  <c r="I3253" i="4"/>
  <c r="M3253" i="4" s="1"/>
  <c r="I3831" i="4"/>
  <c r="M3831" i="4" s="1"/>
  <c r="I3834" i="4"/>
  <c r="M3834" i="4" s="1"/>
  <c r="H3222" i="4"/>
  <c r="M3222" i="4" s="1"/>
  <c r="I3366" i="4"/>
  <c r="M3366" i="4" s="1"/>
  <c r="H3476" i="4"/>
  <c r="M3476" i="4" s="1"/>
  <c r="I3490" i="4"/>
  <c r="M3490" i="4" s="1"/>
  <c r="H3546" i="4"/>
  <c r="M3546" i="4" s="1"/>
  <c r="I3578" i="4"/>
  <c r="M3578" i="4" s="1"/>
  <c r="H3775" i="4"/>
  <c r="M3775" i="4" s="1"/>
  <c r="I3417" i="4"/>
  <c r="M3417" i="4" s="1"/>
  <c r="H3428" i="4"/>
  <c r="M3428" i="4" s="1"/>
  <c r="I3453" i="4"/>
  <c r="M3453" i="4" s="1"/>
  <c r="I3464" i="4"/>
  <c r="M3464" i="4" s="1"/>
  <c r="I3822" i="4"/>
  <c r="M3822" i="4" s="1"/>
  <c r="H3853" i="4"/>
  <c r="M3853" i="4" s="1"/>
  <c r="H3220" i="4"/>
  <c r="M3220" i="4" s="1"/>
  <c r="I3223" i="4"/>
  <c r="M3223" i="4" s="1"/>
  <c r="H3381" i="4"/>
  <c r="M3381" i="4" s="1"/>
  <c r="I3390" i="4"/>
  <c r="M3390" i="4" s="1"/>
  <c r="I3393" i="4"/>
  <c r="M3393" i="4" s="1"/>
  <c r="I3396" i="4"/>
  <c r="M3396" i="4" s="1"/>
  <c r="H3751" i="4"/>
  <c r="M3751" i="4" s="1"/>
  <c r="I3776" i="4"/>
  <c r="M3776" i="4" s="1"/>
  <c r="I3779" i="4"/>
  <c r="M3779" i="4" s="1"/>
  <c r="H3827" i="4"/>
  <c r="M3827" i="4" s="1"/>
  <c r="I3240" i="4"/>
  <c r="M3240" i="4" s="1"/>
  <c r="H3243" i="4"/>
  <c r="M3243" i="4" s="1"/>
  <c r="H3269" i="4"/>
  <c r="M3269" i="4" s="1"/>
  <c r="H3384" i="4"/>
  <c r="M3384" i="4" s="1"/>
  <c r="I3569" i="4"/>
  <c r="M3569" i="4" s="1"/>
  <c r="I3575" i="4"/>
  <c r="M3575" i="4" s="1"/>
  <c r="H3607" i="4"/>
  <c r="M3607" i="4" s="1"/>
  <c r="H3610" i="4"/>
  <c r="M3610" i="4" s="1"/>
  <c r="I3632" i="4"/>
  <c r="M3632" i="4" s="1"/>
  <c r="H3759" i="4"/>
  <c r="M3759" i="4" s="1"/>
  <c r="H3815" i="4"/>
  <c r="M3815" i="4" s="1"/>
  <c r="H3830" i="4"/>
  <c r="M3830" i="4" s="1"/>
  <c r="H3839" i="4"/>
  <c r="M3839" i="4" s="1"/>
  <c r="I3184" i="4"/>
  <c r="M3184" i="4" s="1"/>
  <c r="I3187" i="4"/>
  <c r="M3187" i="4" s="1"/>
  <c r="I3207" i="4"/>
  <c r="M3207" i="4" s="1"/>
  <c r="I3397" i="4"/>
  <c r="M3397" i="4" s="1"/>
  <c r="I3433" i="4"/>
  <c r="M3433" i="4" s="1"/>
  <c r="I3437" i="4"/>
  <c r="M3437" i="4" s="1"/>
  <c r="H3440" i="4"/>
  <c r="M3440" i="4" s="1"/>
  <c r="I3491" i="4"/>
  <c r="M3491" i="4" s="1"/>
  <c r="I3558" i="4"/>
  <c r="M3558" i="4" s="1"/>
  <c r="I3855" i="4"/>
  <c r="M3855" i="4" s="1"/>
  <c r="I3799" i="4"/>
  <c r="M3799" i="4" s="1"/>
  <c r="I3802" i="4"/>
  <c r="M3802" i="4" s="1"/>
  <c r="I3819" i="4"/>
  <c r="M3819" i="4" s="1"/>
  <c r="I3826" i="4"/>
  <c r="M3826" i="4" s="1"/>
  <c r="H3565" i="4"/>
  <c r="M3565" i="4" s="1"/>
  <c r="I3205" i="4"/>
  <c r="M3205" i="4" s="1"/>
  <c r="I3303" i="4"/>
  <c r="M3303" i="4" s="1"/>
  <c r="H3549" i="4"/>
  <c r="M3549" i="4" s="1"/>
  <c r="I3196" i="4"/>
  <c r="M3196" i="4" s="1"/>
  <c r="I3398" i="4"/>
  <c r="M3398" i="4" s="1"/>
  <c r="H3421" i="4"/>
  <c r="M3421" i="4" s="1"/>
  <c r="H3838" i="4"/>
  <c r="M3838" i="4" s="1"/>
  <c r="I3842" i="4"/>
  <c r="M3842" i="4" s="1"/>
  <c r="I3213" i="4"/>
  <c r="M3213" i="4" s="1"/>
  <c r="I3361" i="4"/>
  <c r="M3361" i="4" s="1"/>
  <c r="H3376" i="4"/>
  <c r="M3376" i="4" s="1"/>
  <c r="H3424" i="4"/>
  <c r="M3424" i="4" s="1"/>
  <c r="I3457" i="4"/>
  <c r="M3457" i="4" s="1"/>
  <c r="H3548" i="4"/>
  <c r="M3548" i="4" s="1"/>
  <c r="H3777" i="4"/>
  <c r="M3777" i="4" s="1"/>
  <c r="I3860" i="4"/>
  <c r="M3860" i="4" s="1"/>
  <c r="H3400" i="4"/>
  <c r="M3400" i="4" s="1"/>
  <c r="I3468" i="4"/>
  <c r="M3468" i="4" s="1"/>
  <c r="I3652" i="4"/>
  <c r="M3652" i="4" s="1"/>
  <c r="H3288" i="4"/>
  <c r="M3288" i="4" s="1"/>
  <c r="I3480" i="4"/>
  <c r="M3480" i="4" s="1"/>
  <c r="I3473" i="4"/>
  <c r="M3473" i="4" s="1"/>
  <c r="I3644" i="4"/>
  <c r="M3644" i="4" s="1"/>
  <c r="H3645" i="4"/>
  <c r="M3645" i="4" s="1"/>
  <c r="H3648" i="4"/>
  <c r="M3648" i="4" s="1"/>
  <c r="H3653" i="4"/>
  <c r="M3653" i="4" s="1"/>
  <c r="H3183" i="4"/>
  <c r="M3183" i="4" s="1"/>
  <c r="H3206" i="4"/>
  <c r="M3206" i="4" s="1"/>
  <c r="I3219" i="4"/>
  <c r="M3219" i="4" s="1"/>
  <c r="H3272" i="4"/>
  <c r="M3272" i="4" s="1"/>
  <c r="I3285" i="4"/>
  <c r="M3285" i="4" s="1"/>
  <c r="H3304" i="4"/>
  <c r="M3304" i="4" s="1"/>
  <c r="H3360" i="4"/>
  <c r="M3360" i="4" s="1"/>
  <c r="I3377" i="4"/>
  <c r="M3377" i="4" s="1"/>
  <c r="I3401" i="4"/>
  <c r="M3401" i="4" s="1"/>
  <c r="I3404" i="4"/>
  <c r="M3404" i="4" s="1"/>
  <c r="I3425" i="4"/>
  <c r="M3425" i="4" s="1"/>
  <c r="H3432" i="4"/>
  <c r="M3432" i="4" s="1"/>
  <c r="I3454" i="4"/>
  <c r="M3454" i="4" s="1"/>
  <c r="H3556" i="4"/>
  <c r="M3556" i="4" s="1"/>
  <c r="H3613" i="4"/>
  <c r="M3613" i="4" s="1"/>
  <c r="I3649" i="4"/>
  <c r="M3649" i="4" s="1"/>
  <c r="H3661" i="4"/>
  <c r="M3661" i="4" s="1"/>
  <c r="H3731" i="4"/>
  <c r="M3731" i="4" s="1"/>
  <c r="I3835" i="4"/>
  <c r="M3835" i="4" s="1"/>
  <c r="H3252" i="4"/>
  <c r="M3252" i="4" s="1"/>
  <c r="H3389" i="4"/>
  <c r="M3389" i="4" s="1"/>
  <c r="H3420" i="4"/>
  <c r="M3420" i="4" s="1"/>
  <c r="H3460" i="4"/>
  <c r="M3460" i="4" s="1"/>
  <c r="H3489" i="4"/>
  <c r="M3489" i="4" s="1"/>
  <c r="H3215" i="4"/>
  <c r="M3215" i="4" s="1"/>
  <c r="I3189" i="4"/>
  <c r="M3189" i="4" s="1"/>
  <c r="I3192" i="4"/>
  <c r="M3192" i="4" s="1"/>
  <c r="H3195" i="4"/>
  <c r="M3195" i="4" s="1"/>
  <c r="H3211" i="4"/>
  <c r="M3211" i="4" s="1"/>
  <c r="I3232" i="4"/>
  <c r="M3232" i="4" s="1"/>
  <c r="I3235" i="4"/>
  <c r="M3235" i="4" s="1"/>
  <c r="H3261" i="4"/>
  <c r="M3261" i="4" s="1"/>
  <c r="I3287" i="4"/>
  <c r="M3287" i="4" s="1"/>
  <c r="H3294" i="4"/>
  <c r="M3294" i="4" s="1"/>
  <c r="H3365" i="4"/>
  <c r="M3365" i="4" s="1"/>
  <c r="I3369" i="4"/>
  <c r="M3369" i="4" s="1"/>
  <c r="H3413" i="4"/>
  <c r="M3413" i="4" s="1"/>
  <c r="H3445" i="4"/>
  <c r="M3445" i="4" s="1"/>
  <c r="I3449" i="4"/>
  <c r="M3449" i="4" s="1"/>
  <c r="H3452" i="4"/>
  <c r="M3452" i="4" s="1"/>
  <c r="H3456" i="4"/>
  <c r="M3456" i="4" s="1"/>
  <c r="H3485" i="4"/>
  <c r="M3485" i="4" s="1"/>
  <c r="H3544" i="4"/>
  <c r="M3544" i="4" s="1"/>
  <c r="I3567" i="4"/>
  <c r="M3567" i="4" s="1"/>
  <c r="I3592" i="4"/>
  <c r="M3592" i="4" s="1"/>
  <c r="I3599" i="4"/>
  <c r="M3599" i="4" s="1"/>
  <c r="H3615" i="4"/>
  <c r="M3615" i="4" s="1"/>
  <c r="H3621" i="4"/>
  <c r="M3621" i="4" s="1"/>
  <c r="H3727" i="4"/>
  <c r="M3727" i="4" s="1"/>
  <c r="I3811" i="4"/>
  <c r="M3811" i="4" s="1"/>
  <c r="H3814" i="4"/>
  <c r="M3814" i="4" s="1"/>
  <c r="I3818" i="4"/>
  <c r="M3818" i="4" s="1"/>
  <c r="H3837" i="4"/>
  <c r="M3837" i="4" s="1"/>
  <c r="H3188" i="4"/>
  <c r="M3188" i="4" s="1"/>
  <c r="H3204" i="4"/>
  <c r="M3204" i="4" s="1"/>
  <c r="H3214" i="4"/>
  <c r="M3214" i="4" s="1"/>
  <c r="I3228" i="4"/>
  <c r="M3228" i="4" s="1"/>
  <c r="H3231" i="4"/>
  <c r="M3231" i="4" s="1"/>
  <c r="I3245" i="4"/>
  <c r="M3245" i="4" s="1"/>
  <c r="H3277" i="4"/>
  <c r="M3277" i="4" s="1"/>
  <c r="H3302" i="4"/>
  <c r="M3302" i="4" s="1"/>
  <c r="I3382" i="4"/>
  <c r="M3382" i="4" s="1"/>
  <c r="H3392" i="4"/>
  <c r="M3392" i="4" s="1"/>
  <c r="H3416" i="4"/>
  <c r="M3416" i="4" s="1"/>
  <c r="I3441" i="4"/>
  <c r="M3441" i="4" s="1"/>
  <c r="H3444" i="4"/>
  <c r="M3444" i="4" s="1"/>
  <c r="H3448" i="4"/>
  <c r="M3448" i="4" s="1"/>
  <c r="I3469" i="4"/>
  <c r="M3469" i="4" s="1"/>
  <c r="I3472" i="4"/>
  <c r="M3472" i="4" s="1"/>
  <c r="I3551" i="4"/>
  <c r="M3551" i="4" s="1"/>
  <c r="I3559" i="4"/>
  <c r="M3559" i="4" s="1"/>
  <c r="H3562" i="4"/>
  <c r="M3562" i="4" s="1"/>
  <c r="H3566" i="4"/>
  <c r="M3566" i="4" s="1"/>
  <c r="H3570" i="4"/>
  <c r="M3570" i="4" s="1"/>
  <c r="H3586" i="4"/>
  <c r="M3586" i="4" s="1"/>
  <c r="H3598" i="4"/>
  <c r="M3598" i="4" s="1"/>
  <c r="I3636" i="4"/>
  <c r="M3636" i="4" s="1"/>
  <c r="H3639" i="4"/>
  <c r="M3639" i="4" s="1"/>
  <c r="H3643" i="4"/>
  <c r="M3643" i="4" s="1"/>
  <c r="H3647" i="4"/>
  <c r="M3647" i="4" s="1"/>
  <c r="H3668" i="4"/>
  <c r="M3668" i="4" s="1"/>
  <c r="H3763" i="4"/>
  <c r="M3763" i="4" s="1"/>
  <c r="I3774" i="4"/>
  <c r="M3774" i="4" s="1"/>
  <c r="I3790" i="4"/>
  <c r="M3790" i="4" s="1"/>
  <c r="H3793" i="4"/>
  <c r="M3793" i="4" s="1"/>
  <c r="H3807" i="4"/>
  <c r="M3807" i="4" s="1"/>
  <c r="H3825" i="4"/>
  <c r="M3825" i="4" s="1"/>
  <c r="H3829" i="4"/>
  <c r="M3829" i="4" s="1"/>
  <c r="I3181" i="4"/>
  <c r="M3181" i="4" s="1"/>
  <c r="H3198" i="4"/>
  <c r="M3198" i="4" s="1"/>
  <c r="I3224" i="4"/>
  <c r="M3224" i="4" s="1"/>
  <c r="I3248" i="4"/>
  <c r="M3248" i="4" s="1"/>
  <c r="I3260" i="4"/>
  <c r="M3260" i="4" s="1"/>
  <c r="I3293" i="4"/>
  <c r="M3293" i="4" s="1"/>
  <c r="H3368" i="4"/>
  <c r="M3368" i="4" s="1"/>
  <c r="I3385" i="4"/>
  <c r="M3385" i="4" s="1"/>
  <c r="I3409" i="4"/>
  <c r="M3409" i="4" s="1"/>
  <c r="I3412" i="4"/>
  <c r="M3412" i="4" s="1"/>
  <c r="I3481" i="4"/>
  <c r="M3481" i="4" s="1"/>
  <c r="H3484" i="4"/>
  <c r="M3484" i="4" s="1"/>
  <c r="I3554" i="4"/>
  <c r="M3554" i="4" s="1"/>
  <c r="H3580" i="4"/>
  <c r="M3580" i="4" s="1"/>
  <c r="H3611" i="4"/>
  <c r="M3611" i="4" s="1"/>
  <c r="I3620" i="4"/>
  <c r="M3620" i="4" s="1"/>
  <c r="H3735" i="4"/>
  <c r="M3735" i="4" s="1"/>
  <c r="H3781" i="4"/>
  <c r="M3781" i="4" s="1"/>
  <c r="I3784" i="4"/>
  <c r="M3784" i="4" s="1"/>
  <c r="I3803" i="4"/>
  <c r="M3803" i="4" s="1"/>
  <c r="I3810" i="4"/>
  <c r="M3810" i="4" s="1"/>
  <c r="I3406" i="4"/>
  <c r="M3406" i="4" s="1"/>
  <c r="I3414" i="4"/>
  <c r="M3414" i="4" s="1"/>
  <c r="I3422" i="4"/>
  <c r="M3422" i="4" s="1"/>
  <c r="I3430" i="4"/>
  <c r="M3430" i="4" s="1"/>
  <c r="I3438" i="4"/>
  <c r="M3438" i="4" s="1"/>
  <c r="I3446" i="4"/>
  <c r="M3446" i="4" s="1"/>
  <c r="I3461" i="4"/>
  <c r="M3461" i="4" s="1"/>
  <c r="I3465" i="4"/>
  <c r="M3465" i="4" s="1"/>
  <c r="H3576" i="4"/>
  <c r="M3576" i="4" s="1"/>
  <c r="I3584" i="4"/>
  <c r="M3584" i="4" s="1"/>
  <c r="H3591" i="4"/>
  <c r="M3591" i="4" s="1"/>
  <c r="I3618" i="4"/>
  <c r="M3618" i="4" s="1"/>
  <c r="H3627" i="4"/>
  <c r="M3627" i="4" s="1"/>
  <c r="H3631" i="4"/>
  <c r="M3631" i="4" s="1"/>
  <c r="H3789" i="4"/>
  <c r="M3789" i="4" s="1"/>
  <c r="H3239" i="4"/>
  <c r="M3239" i="4" s="1"/>
  <c r="H3251" i="4"/>
  <c r="M3251" i="4" s="1"/>
  <c r="H3364" i="4"/>
  <c r="M3364" i="4" s="1"/>
  <c r="H3372" i="4"/>
  <c r="M3372" i="4" s="1"/>
  <c r="H3380" i="4"/>
  <c r="M3380" i="4" s="1"/>
  <c r="H3388" i="4"/>
  <c r="M3388" i="4" s="1"/>
  <c r="H3594" i="4"/>
  <c r="M3594" i="4" s="1"/>
  <c r="I3626" i="4"/>
  <c r="M3626" i="4" s="1"/>
  <c r="H3801" i="4"/>
  <c r="M3801" i="4" s="1"/>
  <c r="H3805" i="4"/>
  <c r="M3805" i="4" s="1"/>
  <c r="H3813" i="4"/>
  <c r="M3813" i="4" s="1"/>
  <c r="H3821" i="4"/>
  <c r="M3821" i="4" s="1"/>
  <c r="H3230" i="4"/>
  <c r="M3230" i="4" s="1"/>
  <c r="I3256" i="4"/>
  <c r="M3256" i="4" s="1"/>
  <c r="H3259" i="4"/>
  <c r="M3259" i="4" s="1"/>
  <c r="I3271" i="4"/>
  <c r="M3271" i="4" s="1"/>
  <c r="I3306" i="4"/>
  <c r="M3306" i="4" s="1"/>
  <c r="H3191" i="4"/>
  <c r="M3191" i="4" s="1"/>
  <c r="I3200" i="4"/>
  <c r="M3200" i="4" s="1"/>
  <c r="H3203" i="4"/>
  <c r="M3203" i="4" s="1"/>
  <c r="H3212" i="4"/>
  <c r="M3212" i="4" s="1"/>
  <c r="I3221" i="4"/>
  <c r="M3221" i="4" s="1"/>
  <c r="H3238" i="4"/>
  <c r="M3238" i="4" s="1"/>
  <c r="H3255" i="4"/>
  <c r="M3255" i="4" s="1"/>
  <c r="I3279" i="4"/>
  <c r="M3279" i="4" s="1"/>
  <c r="I3282" i="4"/>
  <c r="M3282" i="4" s="1"/>
  <c r="I3290" i="4"/>
  <c r="M3290" i="4" s="1"/>
  <c r="I3295" i="4"/>
  <c r="M3295" i="4" s="1"/>
  <c r="I3298" i="4"/>
  <c r="M3298" i="4" s="1"/>
  <c r="H3301" i="4"/>
  <c r="M3301" i="4" s="1"/>
  <c r="H3478" i="4"/>
  <c r="M3478" i="4" s="1"/>
  <c r="H3488" i="4"/>
  <c r="M3488" i="4" s="1"/>
  <c r="H3573" i="4"/>
  <c r="M3573" i="4" s="1"/>
  <c r="H3582" i="4"/>
  <c r="M3582" i="4" s="1"/>
  <c r="H3589" i="4"/>
  <c r="M3589" i="4" s="1"/>
  <c r="H3605" i="4"/>
  <c r="M3605" i="4" s="1"/>
  <c r="H3624" i="4"/>
  <c r="M3624" i="4" s="1"/>
  <c r="H3629" i="4"/>
  <c r="M3629" i="4" s="1"/>
  <c r="H3783" i="4"/>
  <c r="M3783" i="4" s="1"/>
  <c r="H3787" i="4"/>
  <c r="M3787" i="4" s="1"/>
  <c r="H3845" i="4"/>
  <c r="M3845" i="4" s="1"/>
  <c r="H3182" i="4"/>
  <c r="M3182" i="4" s="1"/>
  <c r="H3199" i="4"/>
  <c r="M3199" i="4" s="1"/>
  <c r="I3208" i="4"/>
  <c r="M3208" i="4" s="1"/>
  <c r="I3229" i="4"/>
  <c r="M3229" i="4" s="1"/>
  <c r="H3246" i="4"/>
  <c r="M3246" i="4" s="1"/>
  <c r="I3263" i="4"/>
  <c r="M3263" i="4" s="1"/>
  <c r="I3266" i="4"/>
  <c r="M3266" i="4" s="1"/>
  <c r="I3274" i="4"/>
  <c r="M3274" i="4" s="1"/>
  <c r="I3470" i="4"/>
  <c r="M3470" i="4" s="1"/>
  <c r="H3482" i="4"/>
  <c r="M3482" i="4" s="1"/>
  <c r="H3487" i="4"/>
  <c r="M3487" i="4" s="1"/>
  <c r="H3564" i="4"/>
  <c r="M3564" i="4" s="1"/>
  <c r="H3581" i="4"/>
  <c r="M3581" i="4" s="1"/>
  <c r="H3596" i="4"/>
  <c r="M3596" i="4" s="1"/>
  <c r="H3604" i="4"/>
  <c r="M3604" i="4" s="1"/>
  <c r="H3633" i="4"/>
  <c r="M3633" i="4" s="1"/>
  <c r="H3637" i="4"/>
  <c r="M3637" i="4" s="1"/>
  <c r="I3642" i="4"/>
  <c r="M3642" i="4" s="1"/>
  <c r="H3651" i="4"/>
  <c r="M3651" i="4" s="1"/>
  <c r="H3773" i="4"/>
  <c r="M3773" i="4" s="1"/>
  <c r="I3778" i="4"/>
  <c r="M3778" i="4" s="1"/>
  <c r="H3782" i="4"/>
  <c r="M3782" i="4" s="1"/>
  <c r="H3791" i="4"/>
  <c r="M3791" i="4" s="1"/>
  <c r="H3795" i="4"/>
  <c r="M3795" i="4" s="1"/>
  <c r="H3190" i="4"/>
  <c r="M3190" i="4" s="1"/>
  <c r="I3216" i="4"/>
  <c r="M3216" i="4" s="1"/>
  <c r="I3237" i="4"/>
  <c r="M3237" i="4" s="1"/>
  <c r="H3254" i="4"/>
  <c r="M3254" i="4" s="1"/>
  <c r="I3278" i="4"/>
  <c r="M3278" i="4" s="1"/>
  <c r="H3289" i="4"/>
  <c r="M3289" i="4" s="1"/>
  <c r="I3462" i="4"/>
  <c r="M3462" i="4" s="1"/>
  <c r="I3477" i="4"/>
  <c r="M3477" i="4" s="1"/>
  <c r="H3560" i="4"/>
  <c r="M3560" i="4" s="1"/>
  <c r="H3572" i="4"/>
  <c r="M3572" i="4" s="1"/>
  <c r="I3588" i="4"/>
  <c r="M3588" i="4" s="1"/>
  <c r="I3612" i="4"/>
  <c r="M3612" i="4" s="1"/>
  <c r="H3619" i="4"/>
  <c r="M3619" i="4" s="1"/>
  <c r="H3623" i="4"/>
  <c r="M3623" i="4" s="1"/>
  <c r="I3628" i="4"/>
  <c r="M3628" i="4" s="1"/>
  <c r="H3660" i="4"/>
  <c r="M3660" i="4" s="1"/>
  <c r="H3747" i="4"/>
  <c r="M3747" i="4" s="1"/>
  <c r="H3767" i="4"/>
  <c r="M3767" i="4" s="1"/>
  <c r="I3786" i="4"/>
  <c r="M3786" i="4" s="1"/>
  <c r="H3267" i="4"/>
  <c r="M3267" i="4" s="1"/>
  <c r="H3283" i="4"/>
  <c r="M3283" i="4" s="1"/>
  <c r="H3543" i="4"/>
  <c r="I3543" i="4"/>
  <c r="H3608" i="4"/>
  <c r="I3608" i="4"/>
  <c r="I3852" i="4"/>
  <c r="H3852" i="4"/>
  <c r="I3299" i="4"/>
  <c r="H3299" i="4"/>
  <c r="I3307" i="4"/>
  <c r="H3307" i="4"/>
  <c r="I3587" i="4"/>
  <c r="H3587" i="4"/>
  <c r="H3178" i="4"/>
  <c r="M3178" i="4" s="1"/>
  <c r="H3186" i="4"/>
  <c r="M3186" i="4" s="1"/>
  <c r="H3194" i="4"/>
  <c r="M3194" i="4" s="1"/>
  <c r="H3202" i="4"/>
  <c r="M3202" i="4" s="1"/>
  <c r="H3210" i="4"/>
  <c r="M3210" i="4" s="1"/>
  <c r="H3218" i="4"/>
  <c r="M3218" i="4" s="1"/>
  <c r="H3226" i="4"/>
  <c r="M3226" i="4" s="1"/>
  <c r="H3234" i="4"/>
  <c r="M3234" i="4" s="1"/>
  <c r="H3242" i="4"/>
  <c r="M3242" i="4" s="1"/>
  <c r="H3250" i="4"/>
  <c r="M3250" i="4" s="1"/>
  <c r="H3258" i="4"/>
  <c r="M3258" i="4" s="1"/>
  <c r="H3265" i="4"/>
  <c r="M3265" i="4" s="1"/>
  <c r="H3281" i="4"/>
  <c r="M3281" i="4" s="1"/>
  <c r="H3297" i="4"/>
  <c r="M3297" i="4" s="1"/>
  <c r="I3579" i="4"/>
  <c r="H3579" i="4"/>
  <c r="H3177" i="4"/>
  <c r="M3177" i="4" s="1"/>
  <c r="H3185" i="4"/>
  <c r="M3185" i="4" s="1"/>
  <c r="H3193" i="4"/>
  <c r="M3193" i="4" s="1"/>
  <c r="H3201" i="4"/>
  <c r="M3201" i="4" s="1"/>
  <c r="H3209" i="4"/>
  <c r="M3209" i="4" s="1"/>
  <c r="H3217" i="4"/>
  <c r="M3217" i="4" s="1"/>
  <c r="H3225" i="4"/>
  <c r="M3225" i="4" s="1"/>
  <c r="H3233" i="4"/>
  <c r="M3233" i="4" s="1"/>
  <c r="H3241" i="4"/>
  <c r="M3241" i="4" s="1"/>
  <c r="H3249" i="4"/>
  <c r="M3249" i="4" s="1"/>
  <c r="H3257" i="4"/>
  <c r="M3257" i="4" s="1"/>
  <c r="H3264" i="4"/>
  <c r="M3264" i="4" s="1"/>
  <c r="H3270" i="4"/>
  <c r="M3270" i="4" s="1"/>
  <c r="H3275" i="4"/>
  <c r="M3275" i="4" s="1"/>
  <c r="H3286" i="4"/>
  <c r="M3286" i="4" s="1"/>
  <c r="H3291" i="4"/>
  <c r="M3291" i="4" s="1"/>
  <c r="H3305" i="4"/>
  <c r="M3305" i="4" s="1"/>
  <c r="I3471" i="4"/>
  <c r="H3471" i="4"/>
  <c r="I3479" i="4"/>
  <c r="H3479" i="4"/>
  <c r="I3809" i="4"/>
  <c r="H3809" i="4"/>
  <c r="H3280" i="4"/>
  <c r="M3280" i="4" s="1"/>
  <c r="H3296" i="4"/>
  <c r="M3296" i="4" s="1"/>
  <c r="I3463" i="4"/>
  <c r="H3463" i="4"/>
  <c r="H3561" i="4"/>
  <c r="I3561" i="4"/>
  <c r="I3796" i="4"/>
  <c r="H3796" i="4"/>
  <c r="I3300" i="4"/>
  <c r="H3300" i="4"/>
  <c r="I3455" i="4"/>
  <c r="H3455" i="4"/>
  <c r="I3552" i="4"/>
  <c r="H3552" i="4"/>
  <c r="I3308" i="4"/>
  <c r="H3308" i="4"/>
  <c r="I3367" i="4"/>
  <c r="H3367" i="4"/>
  <c r="I3375" i="4"/>
  <c r="H3375" i="4"/>
  <c r="I3383" i="4"/>
  <c r="H3383" i="4"/>
  <c r="I3391" i="4"/>
  <c r="H3391" i="4"/>
  <c r="I3399" i="4"/>
  <c r="H3399" i="4"/>
  <c r="I3407" i="4"/>
  <c r="H3407" i="4"/>
  <c r="I3415" i="4"/>
  <c r="H3415" i="4"/>
  <c r="I3423" i="4"/>
  <c r="H3423" i="4"/>
  <c r="I3431" i="4"/>
  <c r="H3431" i="4"/>
  <c r="I3439" i="4"/>
  <c r="H3439" i="4"/>
  <c r="I3447" i="4"/>
  <c r="H3447" i="4"/>
  <c r="I3547" i="4"/>
  <c r="H3547" i="4"/>
  <c r="I3616" i="4"/>
  <c r="H3616" i="4"/>
  <c r="H3363" i="4"/>
  <c r="M3363" i="4" s="1"/>
  <c r="H3371" i="4"/>
  <c r="M3371" i="4" s="1"/>
  <c r="H3379" i="4"/>
  <c r="M3379" i="4" s="1"/>
  <c r="H3387" i="4"/>
  <c r="M3387" i="4" s="1"/>
  <c r="H3395" i="4"/>
  <c r="M3395" i="4" s="1"/>
  <c r="H3403" i="4"/>
  <c r="M3403" i="4" s="1"/>
  <c r="H3411" i="4"/>
  <c r="M3411" i="4" s="1"/>
  <c r="H3419" i="4"/>
  <c r="M3419" i="4" s="1"/>
  <c r="H3427" i="4"/>
  <c r="M3427" i="4" s="1"/>
  <c r="H3435" i="4"/>
  <c r="M3435" i="4" s="1"/>
  <c r="H3443" i="4"/>
  <c r="M3443" i="4" s="1"/>
  <c r="H3451" i="4"/>
  <c r="M3451" i="4" s="1"/>
  <c r="H3459" i="4"/>
  <c r="M3459" i="4" s="1"/>
  <c r="H3467" i="4"/>
  <c r="M3467" i="4" s="1"/>
  <c r="H3475" i="4"/>
  <c r="M3475" i="4" s="1"/>
  <c r="H3583" i="4"/>
  <c r="I3583" i="4"/>
  <c r="I3646" i="4"/>
  <c r="H3646" i="4"/>
  <c r="I3739" i="4"/>
  <c r="H3739" i="4"/>
  <c r="I3804" i="4"/>
  <c r="H3804" i="4"/>
  <c r="H3833" i="4"/>
  <c r="M3833" i="4" s="1"/>
  <c r="H3362" i="4"/>
  <c r="M3362" i="4" s="1"/>
  <c r="H3370" i="4"/>
  <c r="M3370" i="4" s="1"/>
  <c r="H3378" i="4"/>
  <c r="M3378" i="4" s="1"/>
  <c r="H3386" i="4"/>
  <c r="M3386" i="4" s="1"/>
  <c r="H3394" i="4"/>
  <c r="M3394" i="4" s="1"/>
  <c r="H3402" i="4"/>
  <c r="M3402" i="4" s="1"/>
  <c r="H3410" i="4"/>
  <c r="M3410" i="4" s="1"/>
  <c r="H3418" i="4"/>
  <c r="M3418" i="4" s="1"/>
  <c r="H3426" i="4"/>
  <c r="M3426" i="4" s="1"/>
  <c r="H3434" i="4"/>
  <c r="M3434" i="4" s="1"/>
  <c r="H3442" i="4"/>
  <c r="M3442" i="4" s="1"/>
  <c r="H3450" i="4"/>
  <c r="M3450" i="4" s="1"/>
  <c r="H3458" i="4"/>
  <c r="M3458" i="4" s="1"/>
  <c r="H3466" i="4"/>
  <c r="M3466" i="4" s="1"/>
  <c r="H3474" i="4"/>
  <c r="M3474" i="4" s="1"/>
  <c r="I3483" i="4"/>
  <c r="H3483" i="4"/>
  <c r="I3545" i="4"/>
  <c r="M3545" i="4" s="1"/>
  <c r="I3555" i="4"/>
  <c r="H3555" i="4"/>
  <c r="H3568" i="4"/>
  <c r="M3568" i="4" s="1"/>
  <c r="I3577" i="4"/>
  <c r="M3577" i="4" s="1"/>
  <c r="I3590" i="4"/>
  <c r="H3590" i="4"/>
  <c r="I3602" i="4"/>
  <c r="H3602" i="4"/>
  <c r="I3614" i="4"/>
  <c r="M3614" i="4" s="1"/>
  <c r="I3812" i="4"/>
  <c r="H3812" i="4"/>
  <c r="H3841" i="4"/>
  <c r="M3841" i="4" s="1"/>
  <c r="I3601" i="4"/>
  <c r="M3601" i="4" s="1"/>
  <c r="I3622" i="4"/>
  <c r="H3622" i="4"/>
  <c r="H3635" i="4"/>
  <c r="M3635" i="4" s="1"/>
  <c r="H3785" i="4"/>
  <c r="M3785" i="4" s="1"/>
  <c r="I3820" i="4"/>
  <c r="H3820" i="4"/>
  <c r="H3849" i="4"/>
  <c r="M3849" i="4" s="1"/>
  <c r="I3563" i="4"/>
  <c r="H3563" i="4"/>
  <c r="I3659" i="4"/>
  <c r="H3659" i="4"/>
  <c r="I3828" i="4"/>
  <c r="H3828" i="4"/>
  <c r="H3859" i="4"/>
  <c r="I3859" i="4"/>
  <c r="H3609" i="4"/>
  <c r="I3609" i="4"/>
  <c r="I3630" i="4"/>
  <c r="H3630" i="4"/>
  <c r="I3743" i="4"/>
  <c r="H3743" i="4"/>
  <c r="I3780" i="4"/>
  <c r="H3780" i="4"/>
  <c r="I3836" i="4"/>
  <c r="H3836" i="4"/>
  <c r="I3857" i="4"/>
  <c r="H3857" i="4"/>
  <c r="I3571" i="4"/>
  <c r="H3571" i="4"/>
  <c r="I3667" i="4"/>
  <c r="H3667" i="4"/>
  <c r="I3771" i="4"/>
  <c r="H3771" i="4"/>
  <c r="I3595" i="4"/>
  <c r="H3595" i="4"/>
  <c r="I3638" i="4"/>
  <c r="H3638" i="4"/>
  <c r="I3788" i="4"/>
  <c r="H3788" i="4"/>
  <c r="H3817" i="4"/>
  <c r="M3817" i="4" s="1"/>
  <c r="I3844" i="4"/>
  <c r="H3844" i="4"/>
  <c r="I3792" i="4"/>
  <c r="M3792" i="4" s="1"/>
  <c r="I3800" i="4"/>
  <c r="M3800" i="4" s="1"/>
  <c r="I3808" i="4"/>
  <c r="M3808" i="4" s="1"/>
  <c r="I3816" i="4"/>
  <c r="M3816" i="4" s="1"/>
  <c r="I3824" i="4"/>
  <c r="M3824" i="4" s="1"/>
  <c r="I3832" i="4"/>
  <c r="M3832" i="4" s="1"/>
  <c r="I3840" i="4"/>
  <c r="M3840" i="4" s="1"/>
  <c r="I3848" i="4"/>
  <c r="M3848" i="4" s="1"/>
  <c r="I3856" i="4"/>
  <c r="M3856" i="4" s="1"/>
  <c r="H3669" i="4"/>
  <c r="M3669" i="4" s="1"/>
  <c r="H3755" i="4"/>
  <c r="M3755" i="4" s="1"/>
  <c r="H3861" i="4"/>
  <c r="M3861" i="4" s="1"/>
  <c r="H3617" i="4"/>
  <c r="M3617" i="4" s="1"/>
  <c r="H3593" i="4"/>
  <c r="M3593" i="4" s="1"/>
  <c r="H3585" i="4"/>
  <c r="M3585" i="4" s="1"/>
  <c r="I3655" i="4"/>
  <c r="H3655" i="4"/>
  <c r="I3671" i="4"/>
  <c r="H3671" i="4"/>
  <c r="I3663" i="4"/>
  <c r="H3663" i="4"/>
  <c r="H3658" i="4"/>
  <c r="M3658" i="4" s="1"/>
  <c r="H3666" i="4"/>
  <c r="M3666" i="4" s="1"/>
  <c r="H3674" i="4"/>
  <c r="M3674" i="4" s="1"/>
  <c r="H3657" i="4"/>
  <c r="M3657" i="4" s="1"/>
  <c r="H3665" i="4"/>
  <c r="M3665" i="4" s="1"/>
  <c r="H3673" i="4"/>
  <c r="M3673" i="4" s="1"/>
  <c r="H3726" i="4"/>
  <c r="M3726" i="4" s="1"/>
  <c r="H3730" i="4"/>
  <c r="M3730" i="4" s="1"/>
  <c r="H3734" i="4"/>
  <c r="M3734" i="4" s="1"/>
  <c r="H3738" i="4"/>
  <c r="M3738" i="4" s="1"/>
  <c r="H3742" i="4"/>
  <c r="M3742" i="4" s="1"/>
  <c r="H3746" i="4"/>
  <c r="M3746" i="4" s="1"/>
  <c r="H3750" i="4"/>
  <c r="M3750" i="4" s="1"/>
  <c r="H3754" i="4"/>
  <c r="M3754" i="4" s="1"/>
  <c r="H3758" i="4"/>
  <c r="M3758" i="4" s="1"/>
  <c r="H3762" i="4"/>
  <c r="M3762" i="4" s="1"/>
  <c r="H3766" i="4"/>
  <c r="M3766" i="4" s="1"/>
  <c r="H3770" i="4"/>
  <c r="M3770" i="4" s="1"/>
  <c r="H3656" i="4"/>
  <c r="M3656" i="4" s="1"/>
  <c r="H3664" i="4"/>
  <c r="M3664" i="4" s="1"/>
  <c r="H3672" i="4"/>
  <c r="M3672" i="4" s="1"/>
  <c r="H3729" i="4"/>
  <c r="M3729" i="4" s="1"/>
  <c r="H3733" i="4"/>
  <c r="M3733" i="4" s="1"/>
  <c r="H3737" i="4"/>
  <c r="M3737" i="4" s="1"/>
  <c r="H3741" i="4"/>
  <c r="M3741" i="4" s="1"/>
  <c r="H3745" i="4"/>
  <c r="M3745" i="4" s="1"/>
  <c r="H3749" i="4"/>
  <c r="M3749" i="4" s="1"/>
  <c r="H3753" i="4"/>
  <c r="M3753" i="4" s="1"/>
  <c r="H3757" i="4"/>
  <c r="M3757" i="4" s="1"/>
  <c r="H3761" i="4"/>
  <c r="M3761" i="4" s="1"/>
  <c r="H3765" i="4"/>
  <c r="M3765" i="4" s="1"/>
  <c r="H3769" i="4"/>
  <c r="M3769" i="4" s="1"/>
  <c r="H3654" i="4"/>
  <c r="M3654" i="4" s="1"/>
  <c r="H3662" i="4"/>
  <c r="M3662" i="4" s="1"/>
  <c r="H3670" i="4"/>
  <c r="M3670" i="4" s="1"/>
  <c r="H3728" i="4"/>
  <c r="M3728" i="4" s="1"/>
  <c r="H3732" i="4"/>
  <c r="M3732" i="4" s="1"/>
  <c r="H3736" i="4"/>
  <c r="M3736" i="4" s="1"/>
  <c r="H3740" i="4"/>
  <c r="M3740" i="4" s="1"/>
  <c r="H3744" i="4"/>
  <c r="M3744" i="4" s="1"/>
  <c r="H3748" i="4"/>
  <c r="M3748" i="4" s="1"/>
  <c r="H3752" i="4"/>
  <c r="M3752" i="4" s="1"/>
  <c r="H3756" i="4"/>
  <c r="M3756" i="4" s="1"/>
  <c r="H3760" i="4"/>
  <c r="M3760" i="4" s="1"/>
  <c r="H3764" i="4"/>
  <c r="M3764" i="4" s="1"/>
  <c r="H3768" i="4"/>
  <c r="M3768" i="4" s="1"/>
  <c r="H3772" i="4"/>
  <c r="M3772" i="4" s="1"/>
  <c r="S2722" i="4"/>
  <c r="M3574" i="4" l="1"/>
  <c r="M3844" i="4"/>
  <c r="M3622" i="4"/>
  <c r="M3852" i="4"/>
  <c r="M3788" i="4"/>
  <c r="M3483" i="4"/>
  <c r="M3771" i="4"/>
  <c r="M3836" i="4"/>
  <c r="M3609" i="4"/>
  <c r="M3431" i="4"/>
  <c r="M3671" i="4"/>
  <c r="M3638" i="4"/>
  <c r="M3571" i="4"/>
  <c r="M3743" i="4"/>
  <c r="M3828" i="4"/>
  <c r="M3555" i="4"/>
  <c r="M3447" i="4"/>
  <c r="M3415" i="4"/>
  <c r="M3383" i="4"/>
  <c r="M3552" i="4"/>
  <c r="M3479" i="4"/>
  <c r="M3543" i="4"/>
  <c r="M3804" i="4"/>
  <c r="M3579" i="4"/>
  <c r="M3587" i="4"/>
  <c r="M3859" i="4"/>
  <c r="M3595" i="4"/>
  <c r="M3857" i="4"/>
  <c r="M3373" i="4"/>
  <c r="M3646" i="4"/>
  <c r="M3561" i="4"/>
  <c r="M3299" i="4"/>
  <c r="M3655" i="4"/>
  <c r="M3630" i="4"/>
  <c r="M3659" i="4"/>
  <c r="M3602" i="4"/>
  <c r="M3439" i="4"/>
  <c r="M3407" i="4"/>
  <c r="M3375" i="4"/>
  <c r="M3455" i="4"/>
  <c r="M3463" i="4"/>
  <c r="M3471" i="4"/>
  <c r="M3563" i="4"/>
  <c r="M3590" i="4"/>
  <c r="M3583" i="4"/>
  <c r="M3616" i="4"/>
  <c r="M3399" i="4"/>
  <c r="M3367" i="4"/>
  <c r="M3300" i="4"/>
  <c r="M3663" i="4"/>
  <c r="M3667" i="4"/>
  <c r="M3780" i="4"/>
  <c r="M3547" i="4"/>
  <c r="M3423" i="4"/>
  <c r="M3391" i="4"/>
  <c r="M3308" i="4"/>
  <c r="M3796" i="4"/>
  <c r="M3809" i="4"/>
  <c r="M3608" i="4"/>
  <c r="M3820" i="4"/>
  <c r="M3812" i="4"/>
  <c r="M3739" i="4"/>
  <c r="M3307" i="4"/>
  <c r="S2712" i="4"/>
  <c r="S2714" i="4" l="1"/>
  <c r="S1669" i="4" l="1"/>
  <c r="S1668" i="4"/>
  <c r="S1667" i="4"/>
  <c r="S1666" i="4"/>
  <c r="S1697" i="4" l="1"/>
  <c r="S1696" i="4"/>
  <c r="S1695" i="4"/>
  <c r="S1694" i="4"/>
  <c r="S1693" i="4"/>
  <c r="S1692" i="4"/>
  <c r="S1691" i="4"/>
  <c r="S1690" i="4"/>
  <c r="S1689" i="4"/>
  <c r="S1688" i="4"/>
  <c r="S1687" i="4"/>
  <c r="S1686" i="4"/>
  <c r="S1685" i="4"/>
  <c r="S1684" i="4"/>
  <c r="S1683" i="4"/>
  <c r="S1682" i="4"/>
  <c r="H1697" i="4" l="1"/>
  <c r="H1693" i="4"/>
  <c r="I1692" i="4"/>
  <c r="I1691" i="4"/>
  <c r="H1690" i="4"/>
  <c r="I1689" i="4"/>
  <c r="I1685" i="4"/>
  <c r="H1684" i="4"/>
  <c r="H1683" i="4"/>
  <c r="I1682" i="4"/>
  <c r="S1681" i="4"/>
  <c r="I1681" i="4" s="1"/>
  <c r="S1680" i="4"/>
  <c r="I1680" i="4" s="1"/>
  <c r="S1679" i="4"/>
  <c r="I1679" i="4" s="1"/>
  <c r="S1678" i="4"/>
  <c r="I1678" i="4" s="1"/>
  <c r="S1677" i="4"/>
  <c r="I1677" i="4" s="1"/>
  <c r="S1676" i="4"/>
  <c r="I1676" i="4" s="1"/>
  <c r="S1675" i="4"/>
  <c r="I1675" i="4" s="1"/>
  <c r="S1674" i="4"/>
  <c r="I1674" i="4" s="1"/>
  <c r="S1673" i="4"/>
  <c r="I1673" i="4" s="1"/>
  <c r="S1672" i="4"/>
  <c r="H1672" i="4" s="1"/>
  <c r="S1671" i="4"/>
  <c r="I1671" i="4" s="1"/>
  <c r="S1670" i="4"/>
  <c r="I1670" i="4" s="1"/>
  <c r="I1669" i="4"/>
  <c r="H1668" i="4"/>
  <c r="I1667" i="4"/>
  <c r="I1688" i="4"/>
  <c r="I1686" i="4"/>
  <c r="H1666" i="4"/>
  <c r="H1686" i="4"/>
  <c r="I1694" i="4"/>
  <c r="I1696" i="4"/>
  <c r="I1695" i="4"/>
  <c r="J1697" i="4"/>
  <c r="G1697" i="4"/>
  <c r="F1697" i="4"/>
  <c r="J1696" i="4"/>
  <c r="G1696" i="4"/>
  <c r="F1696" i="4"/>
  <c r="J1695" i="4"/>
  <c r="G1695" i="4"/>
  <c r="F1695" i="4"/>
  <c r="J1694" i="4"/>
  <c r="G1694" i="4"/>
  <c r="F1694" i="4"/>
  <c r="J1693" i="4"/>
  <c r="G1693" i="4"/>
  <c r="F1693" i="4"/>
  <c r="J1692" i="4"/>
  <c r="G1692" i="4"/>
  <c r="F1692" i="4"/>
  <c r="J1691" i="4"/>
  <c r="G1691" i="4"/>
  <c r="F1691" i="4"/>
  <c r="J1690" i="4"/>
  <c r="G1690" i="4"/>
  <c r="F1690" i="4"/>
  <c r="J1689" i="4"/>
  <c r="G1689" i="4"/>
  <c r="F1689" i="4"/>
  <c r="J1688" i="4"/>
  <c r="G1688" i="4"/>
  <c r="F1688" i="4"/>
  <c r="J1687" i="4"/>
  <c r="I1687" i="4"/>
  <c r="H1687" i="4"/>
  <c r="G1687" i="4"/>
  <c r="F1687" i="4"/>
  <c r="J1686" i="4"/>
  <c r="G1686" i="4"/>
  <c r="F1686" i="4"/>
  <c r="J1685" i="4"/>
  <c r="G1685" i="4"/>
  <c r="F1685" i="4"/>
  <c r="J1684" i="4"/>
  <c r="G1684" i="4"/>
  <c r="F1684" i="4"/>
  <c r="J1683" i="4"/>
  <c r="G1683" i="4"/>
  <c r="F1683" i="4"/>
  <c r="J1682" i="4"/>
  <c r="G1682" i="4"/>
  <c r="F1682" i="4"/>
  <c r="J1681" i="4"/>
  <c r="G1681" i="4"/>
  <c r="F1681" i="4"/>
  <c r="J1680" i="4"/>
  <c r="G1680" i="4"/>
  <c r="F1680" i="4"/>
  <c r="J1679" i="4"/>
  <c r="G1679" i="4"/>
  <c r="F1679" i="4"/>
  <c r="J1678" i="4"/>
  <c r="G1678" i="4"/>
  <c r="F1678" i="4"/>
  <c r="J1677" i="4"/>
  <c r="G1677" i="4"/>
  <c r="F1677" i="4"/>
  <c r="J1676" i="4"/>
  <c r="G1676" i="4"/>
  <c r="F1676" i="4"/>
  <c r="J1675" i="4"/>
  <c r="G1675" i="4"/>
  <c r="F1675" i="4"/>
  <c r="J1674" i="4"/>
  <c r="G1674" i="4"/>
  <c r="F1674" i="4"/>
  <c r="J1673" i="4"/>
  <c r="G1673" i="4"/>
  <c r="F1673" i="4"/>
  <c r="J1672" i="4"/>
  <c r="G1672" i="4"/>
  <c r="F1672" i="4"/>
  <c r="J1671" i="4"/>
  <c r="G1671" i="4"/>
  <c r="F1671" i="4"/>
  <c r="J1670" i="4"/>
  <c r="G1670" i="4"/>
  <c r="F1670" i="4"/>
  <c r="J1669" i="4"/>
  <c r="G1669" i="4"/>
  <c r="F1669" i="4"/>
  <c r="J1668" i="4"/>
  <c r="G1668" i="4"/>
  <c r="F1668" i="4"/>
  <c r="J1667" i="4"/>
  <c r="G1667" i="4"/>
  <c r="F1667" i="4"/>
  <c r="J1666" i="4"/>
  <c r="G1666" i="4"/>
  <c r="F1666" i="4"/>
  <c r="N1665" i="4"/>
  <c r="M1687" i="4" l="1"/>
  <c r="M1686" i="4"/>
  <c r="H1671" i="4"/>
  <c r="M1671" i="4" s="1"/>
  <c r="I1672" i="4"/>
  <c r="M1672" i="4" s="1"/>
  <c r="H1670" i="4"/>
  <c r="M1670" i="4" s="1"/>
  <c r="H1669" i="4"/>
  <c r="M1669" i="4" s="1"/>
  <c r="H1682" i="4"/>
  <c r="M1682" i="4" s="1"/>
  <c r="H1685" i="4"/>
  <c r="M1685" i="4" s="1"/>
  <c r="I1668" i="4"/>
  <c r="M1668" i="4" s="1"/>
  <c r="H1689" i="4"/>
  <c r="M1689" i="4" s="1"/>
  <c r="H1667" i="4"/>
  <c r="M1667" i="4" s="1"/>
  <c r="I1693" i="4"/>
  <c r="M1693" i="4" s="1"/>
  <c r="H1694" i="4"/>
  <c r="M1694" i="4" s="1"/>
  <c r="H1692" i="4"/>
  <c r="M1692" i="4" s="1"/>
  <c r="H1688" i="4"/>
  <c r="M1688" i="4" s="1"/>
  <c r="H1696" i="4"/>
  <c r="M1696" i="4" s="1"/>
  <c r="H1673" i="4"/>
  <c r="M1673" i="4" s="1"/>
  <c r="I1697" i="4"/>
  <c r="M1697" i="4" s="1"/>
  <c r="I1683" i="4"/>
  <c r="M1683" i="4" s="1"/>
  <c r="I1690" i="4"/>
  <c r="M1690" i="4" s="1"/>
  <c r="H1695" i="4"/>
  <c r="M1695" i="4" s="1"/>
  <c r="I1666" i="4"/>
  <c r="M1666" i="4" s="1"/>
  <c r="I1684" i="4"/>
  <c r="M1684" i="4" s="1"/>
  <c r="H1691" i="4"/>
  <c r="M1691" i="4" s="1"/>
  <c r="H1674" i="4"/>
  <c r="M1674" i="4" s="1"/>
  <c r="H1675" i="4"/>
  <c r="M1675" i="4" s="1"/>
  <c r="H1676" i="4"/>
  <c r="M1676" i="4" s="1"/>
  <c r="H1677" i="4"/>
  <c r="M1677" i="4" s="1"/>
  <c r="H1678" i="4"/>
  <c r="M1678" i="4" s="1"/>
  <c r="H1679" i="4"/>
  <c r="M1679" i="4" s="1"/>
  <c r="H1680" i="4"/>
  <c r="M1680" i="4" s="1"/>
  <c r="H1681" i="4"/>
  <c r="M1681" i="4" s="1"/>
  <c r="S1642" i="4"/>
  <c r="S1641" i="4"/>
  <c r="J1636" i="4" l="1"/>
  <c r="I1636" i="4"/>
  <c r="H1636" i="4"/>
  <c r="G1636" i="4"/>
  <c r="F1636" i="4"/>
  <c r="J1631" i="4"/>
  <c r="I1631" i="4"/>
  <c r="H1631" i="4"/>
  <c r="G1631" i="4"/>
  <c r="F1631" i="4"/>
  <c r="M1636" i="4" l="1"/>
  <c r="M1631" i="4"/>
  <c r="S1664" i="4"/>
  <c r="T1664" i="4" s="1"/>
  <c r="I1664" i="4" s="1"/>
  <c r="J1664" i="4"/>
  <c r="G1664" i="4"/>
  <c r="F1664" i="4"/>
  <c r="S1663" i="4"/>
  <c r="T1663" i="4" s="1"/>
  <c r="I1663" i="4" s="1"/>
  <c r="J1663" i="4"/>
  <c r="G1663" i="4"/>
  <c r="F1663" i="4"/>
  <c r="S1662" i="4"/>
  <c r="T1662" i="4" s="1"/>
  <c r="I1662" i="4" s="1"/>
  <c r="J1662" i="4"/>
  <c r="G1662" i="4"/>
  <c r="F1662" i="4"/>
  <c r="S1661" i="4"/>
  <c r="H1661" i="4" s="1"/>
  <c r="J1661" i="4"/>
  <c r="G1661" i="4"/>
  <c r="F1661" i="4"/>
  <c r="S1660" i="4"/>
  <c r="T1660" i="4" s="1"/>
  <c r="I1660" i="4" s="1"/>
  <c r="J1660" i="4"/>
  <c r="G1660" i="4"/>
  <c r="F1660" i="4"/>
  <c r="S1659" i="4"/>
  <c r="T1659" i="4" s="1"/>
  <c r="I1659" i="4" s="1"/>
  <c r="J1659" i="4"/>
  <c r="G1659" i="4"/>
  <c r="F1659" i="4"/>
  <c r="S1658" i="4"/>
  <c r="H1658" i="4" s="1"/>
  <c r="J1658" i="4"/>
  <c r="G1658" i="4"/>
  <c r="F1658" i="4"/>
  <c r="S1657" i="4"/>
  <c r="H1657" i="4" s="1"/>
  <c r="J1657" i="4"/>
  <c r="G1657" i="4"/>
  <c r="F1657" i="4"/>
  <c r="J1656" i="4"/>
  <c r="I1656" i="4"/>
  <c r="H1656" i="4"/>
  <c r="G1656" i="4"/>
  <c r="F1656" i="4"/>
  <c r="J1655" i="4"/>
  <c r="I1655" i="4"/>
  <c r="H1655" i="4"/>
  <c r="G1655" i="4"/>
  <c r="F1655" i="4"/>
  <c r="J1654" i="4"/>
  <c r="I1654" i="4"/>
  <c r="H1654" i="4"/>
  <c r="G1654" i="4"/>
  <c r="F1654" i="4"/>
  <c r="J1653" i="4"/>
  <c r="I1653" i="4"/>
  <c r="H1653" i="4"/>
  <c r="G1653" i="4"/>
  <c r="F1653" i="4"/>
  <c r="J1652" i="4"/>
  <c r="I1652" i="4"/>
  <c r="H1652" i="4"/>
  <c r="G1652" i="4"/>
  <c r="F1652" i="4"/>
  <c r="J1651" i="4"/>
  <c r="I1651" i="4"/>
  <c r="H1651" i="4"/>
  <c r="G1651" i="4"/>
  <c r="F1651" i="4"/>
  <c r="J1650" i="4"/>
  <c r="I1650" i="4"/>
  <c r="H1650" i="4"/>
  <c r="G1650" i="4"/>
  <c r="F1650" i="4"/>
  <c r="J1649" i="4"/>
  <c r="I1649" i="4"/>
  <c r="H1649" i="4"/>
  <c r="G1649" i="4"/>
  <c r="F1649" i="4"/>
  <c r="S1648" i="4"/>
  <c r="I1648" i="4" s="1"/>
  <c r="J1648" i="4"/>
  <c r="G1648" i="4"/>
  <c r="F1648" i="4"/>
  <c r="S1647" i="4"/>
  <c r="I1647" i="4" s="1"/>
  <c r="J1647" i="4"/>
  <c r="G1647" i="4"/>
  <c r="F1647" i="4"/>
  <c r="J1646" i="4"/>
  <c r="I1646" i="4"/>
  <c r="H1646" i="4"/>
  <c r="G1646" i="4"/>
  <c r="F1646" i="4"/>
  <c r="J1645" i="4"/>
  <c r="I1645" i="4"/>
  <c r="H1645" i="4"/>
  <c r="G1645" i="4"/>
  <c r="F1645" i="4"/>
  <c r="S1644" i="4"/>
  <c r="I1644" i="4" s="1"/>
  <c r="J1644" i="4"/>
  <c r="G1644" i="4"/>
  <c r="F1644" i="4"/>
  <c r="S1643" i="4"/>
  <c r="I1643" i="4" s="1"/>
  <c r="J1643" i="4"/>
  <c r="G1643" i="4"/>
  <c r="F1643" i="4"/>
  <c r="J1642" i="4"/>
  <c r="I1642" i="4"/>
  <c r="H1642" i="4"/>
  <c r="G1642" i="4"/>
  <c r="F1642" i="4"/>
  <c r="J1641" i="4"/>
  <c r="I1641" i="4"/>
  <c r="H1641" i="4"/>
  <c r="G1641" i="4"/>
  <c r="F1641" i="4"/>
  <c r="S1640" i="4"/>
  <c r="H1640" i="4" s="1"/>
  <c r="J1640" i="4"/>
  <c r="G1640" i="4"/>
  <c r="F1640" i="4"/>
  <c r="S1639" i="4"/>
  <c r="H1639" i="4" s="1"/>
  <c r="J1639" i="4"/>
  <c r="G1639" i="4"/>
  <c r="F1639" i="4"/>
  <c r="S1638" i="4"/>
  <c r="H1638" i="4" s="1"/>
  <c r="J1638" i="4"/>
  <c r="G1638" i="4"/>
  <c r="F1638" i="4"/>
  <c r="S1637" i="4"/>
  <c r="H1637" i="4" s="1"/>
  <c r="J1637" i="4"/>
  <c r="G1637" i="4"/>
  <c r="F1637" i="4"/>
  <c r="J1635" i="4"/>
  <c r="I1635" i="4"/>
  <c r="H1635" i="4"/>
  <c r="G1635" i="4"/>
  <c r="F1635" i="4"/>
  <c r="J1634" i="4"/>
  <c r="I1634" i="4"/>
  <c r="H1634" i="4"/>
  <c r="G1634" i="4"/>
  <c r="F1634" i="4"/>
  <c r="J1633" i="4"/>
  <c r="I1633" i="4"/>
  <c r="H1633" i="4"/>
  <c r="G1633" i="4"/>
  <c r="F1633" i="4"/>
  <c r="J1632" i="4"/>
  <c r="I1632" i="4"/>
  <c r="H1632" i="4"/>
  <c r="G1632" i="4"/>
  <c r="F1632" i="4"/>
  <c r="J1630" i="4"/>
  <c r="I1630" i="4"/>
  <c r="H1630" i="4"/>
  <c r="G1630" i="4"/>
  <c r="F1630" i="4"/>
  <c r="J1629" i="4"/>
  <c r="I1629" i="4"/>
  <c r="H1629" i="4"/>
  <c r="G1629" i="4"/>
  <c r="F1629" i="4"/>
  <c r="J1628" i="4"/>
  <c r="I1628" i="4"/>
  <c r="H1628" i="4"/>
  <c r="G1628" i="4"/>
  <c r="F1628" i="4"/>
  <c r="J1627" i="4"/>
  <c r="I1627" i="4"/>
  <c r="H1627" i="4"/>
  <c r="G1627" i="4"/>
  <c r="F1627" i="4"/>
  <c r="N1626" i="4"/>
  <c r="M1630" i="4" l="1"/>
  <c r="M1635" i="4"/>
  <c r="M1642" i="4"/>
  <c r="M1645" i="4"/>
  <c r="M1652" i="4"/>
  <c r="M1656" i="4"/>
  <c r="M1632" i="4"/>
  <c r="M1651" i="4"/>
  <c r="M1655" i="4"/>
  <c r="M1629" i="4"/>
  <c r="M1628" i="4"/>
  <c r="M1633" i="4"/>
  <c r="M1650" i="4"/>
  <c r="M1654" i="4"/>
  <c r="M1634" i="4"/>
  <c r="M1641" i="4"/>
  <c r="M1627" i="4"/>
  <c r="M1646" i="4"/>
  <c r="M1649" i="4"/>
  <c r="M1653" i="4"/>
  <c r="I1638" i="4"/>
  <c r="M1638" i="4" s="1"/>
  <c r="H1664" i="4"/>
  <c r="M1664" i="4" s="1"/>
  <c r="I1637" i="4"/>
  <c r="M1637" i="4" s="1"/>
  <c r="H1663" i="4"/>
  <c r="M1663" i="4" s="1"/>
  <c r="I1640" i="4"/>
  <c r="M1640" i="4" s="1"/>
  <c r="I1639" i="4"/>
  <c r="M1639" i="4" s="1"/>
  <c r="T1661" i="4"/>
  <c r="I1661" i="4" s="1"/>
  <c r="M1661" i="4" s="1"/>
  <c r="T1657" i="4"/>
  <c r="I1657" i="4" s="1"/>
  <c r="M1657" i="4" s="1"/>
  <c r="H1659" i="4"/>
  <c r="M1659" i="4" s="1"/>
  <c r="H1643" i="4"/>
  <c r="M1643" i="4" s="1"/>
  <c r="H1644" i="4"/>
  <c r="M1644" i="4" s="1"/>
  <c r="H1660" i="4"/>
  <c r="M1660" i="4" s="1"/>
  <c r="H1662" i="4"/>
  <c r="M1662" i="4" s="1"/>
  <c r="T1658" i="4"/>
  <c r="I1658" i="4" s="1"/>
  <c r="M1658" i="4" s="1"/>
  <c r="H1647" i="4"/>
  <c r="M1647" i="4" s="1"/>
  <c r="H1648" i="4"/>
  <c r="M1648" i="4" s="1"/>
  <c r="J2766" i="4"/>
  <c r="I2766" i="4"/>
  <c r="H2766" i="4"/>
  <c r="G2766" i="4"/>
  <c r="F2766" i="4"/>
  <c r="J2765" i="4"/>
  <c r="I2765" i="4"/>
  <c r="H2765" i="4"/>
  <c r="G2765" i="4"/>
  <c r="F2765" i="4"/>
  <c r="J2764" i="4"/>
  <c r="I2764" i="4"/>
  <c r="H2764" i="4"/>
  <c r="G2764" i="4"/>
  <c r="F2764" i="4"/>
  <c r="J2763" i="4"/>
  <c r="I2763" i="4"/>
  <c r="H2763" i="4"/>
  <c r="G2763" i="4"/>
  <c r="F2763" i="4"/>
  <c r="J2762" i="4"/>
  <c r="I2762" i="4"/>
  <c r="H2762" i="4"/>
  <c r="G2762" i="4"/>
  <c r="F2762" i="4"/>
  <c r="J2761" i="4"/>
  <c r="I2761" i="4"/>
  <c r="H2761" i="4"/>
  <c r="G2761" i="4"/>
  <c r="F2761" i="4"/>
  <c r="J2760" i="4"/>
  <c r="I2760" i="4"/>
  <c r="H2760" i="4"/>
  <c r="G2760" i="4"/>
  <c r="F2760" i="4"/>
  <c r="J2759" i="4"/>
  <c r="I2759" i="4"/>
  <c r="H2759" i="4"/>
  <c r="G2759" i="4"/>
  <c r="F2759" i="4"/>
  <c r="M2764" i="4" l="1"/>
  <c r="M2760" i="4"/>
  <c r="M2759" i="4"/>
  <c r="M2763" i="4"/>
  <c r="M2762" i="4"/>
  <c r="M2766" i="4"/>
  <c r="M2761" i="4"/>
  <c r="M2765" i="4"/>
  <c r="J3083" i="4" l="1"/>
  <c r="I3083" i="4"/>
  <c r="H3083" i="4"/>
  <c r="G3083" i="4"/>
  <c r="F3083" i="4"/>
  <c r="M3083" i="4" l="1"/>
  <c r="I3082" i="4"/>
  <c r="H3082" i="4" l="1"/>
  <c r="J3082" i="4"/>
  <c r="G3082" i="4"/>
  <c r="F3082" i="4"/>
  <c r="M3082" i="4" l="1"/>
  <c r="J3080" i="4"/>
  <c r="I3080" i="4"/>
  <c r="H3080" i="4"/>
  <c r="G3080" i="4"/>
  <c r="F3080" i="4"/>
  <c r="M3080" i="4" l="1"/>
  <c r="J3075" i="4"/>
  <c r="I3075" i="4"/>
  <c r="H3075" i="4"/>
  <c r="G3075" i="4"/>
  <c r="F3075" i="4"/>
  <c r="J3074" i="4"/>
  <c r="I3074" i="4"/>
  <c r="H3074" i="4"/>
  <c r="G3074" i="4"/>
  <c r="F3074" i="4"/>
  <c r="M3075" i="4" l="1"/>
  <c r="M3074" i="4"/>
  <c r="J3079" i="4"/>
  <c r="I3079" i="4"/>
  <c r="H3079" i="4"/>
  <c r="G3079" i="4"/>
  <c r="F3079" i="4"/>
  <c r="M3079" i="4" l="1"/>
  <c r="J3078" i="4"/>
  <c r="I3078" i="4"/>
  <c r="H3078" i="4"/>
  <c r="G3078" i="4"/>
  <c r="F3078" i="4"/>
  <c r="M3078" i="4" l="1"/>
  <c r="J3072" i="4"/>
  <c r="I3072" i="4"/>
  <c r="H3072" i="4"/>
  <c r="G3072" i="4"/>
  <c r="F3072" i="4"/>
  <c r="M3072" i="4" l="1"/>
  <c r="J3073" i="4"/>
  <c r="I3073" i="4"/>
  <c r="H3073" i="4"/>
  <c r="G3073" i="4"/>
  <c r="F3073" i="4"/>
  <c r="M3073" i="4" l="1"/>
  <c r="J3077" i="4"/>
  <c r="I3077" i="4"/>
  <c r="H3077" i="4"/>
  <c r="G3077" i="4"/>
  <c r="F3077" i="4"/>
  <c r="J3071" i="4"/>
  <c r="I3071" i="4"/>
  <c r="H3071" i="4"/>
  <c r="G3071" i="4"/>
  <c r="F3071" i="4"/>
  <c r="J3070" i="4"/>
  <c r="I3070" i="4"/>
  <c r="H3070" i="4"/>
  <c r="G3070" i="4"/>
  <c r="F3070" i="4"/>
  <c r="J3069" i="4"/>
  <c r="I3069" i="4"/>
  <c r="H3069" i="4"/>
  <c r="G3069" i="4"/>
  <c r="F3069" i="4"/>
  <c r="J3068" i="4"/>
  <c r="I3068" i="4"/>
  <c r="H3068" i="4"/>
  <c r="G3068" i="4"/>
  <c r="F3068" i="4"/>
  <c r="M3070" i="4" l="1"/>
  <c r="M3068" i="4"/>
  <c r="M3077" i="4"/>
  <c r="M3069" i="4"/>
  <c r="M3071" i="4"/>
  <c r="J1281" i="4" l="1"/>
  <c r="M1281" i="4" s="1"/>
  <c r="J2757" i="4" l="1"/>
  <c r="I2757" i="4"/>
  <c r="H2757" i="4"/>
  <c r="G2757" i="4"/>
  <c r="F2757" i="4"/>
  <c r="J2756" i="4"/>
  <c r="I2756" i="4"/>
  <c r="H2756" i="4"/>
  <c r="G2756" i="4"/>
  <c r="F2756" i="4"/>
  <c r="J2755" i="4"/>
  <c r="I2755" i="4"/>
  <c r="H2755" i="4"/>
  <c r="G2755" i="4"/>
  <c r="F2755" i="4"/>
  <c r="J2754" i="4"/>
  <c r="I2754" i="4"/>
  <c r="H2754" i="4"/>
  <c r="G2754" i="4"/>
  <c r="F2754" i="4"/>
  <c r="J2753" i="4"/>
  <c r="I2753" i="4"/>
  <c r="H2753" i="4"/>
  <c r="G2753" i="4"/>
  <c r="F2753" i="4"/>
  <c r="J2752" i="4"/>
  <c r="I2752" i="4"/>
  <c r="H2752" i="4"/>
  <c r="G2752" i="4"/>
  <c r="F2752" i="4"/>
  <c r="J2751" i="4"/>
  <c r="I2751" i="4"/>
  <c r="H2751" i="4"/>
  <c r="G2751" i="4"/>
  <c r="F2751" i="4"/>
  <c r="J2750" i="4"/>
  <c r="I2750" i="4"/>
  <c r="H2750" i="4"/>
  <c r="G2750" i="4"/>
  <c r="F2750" i="4"/>
  <c r="M2754" i="4" l="1"/>
  <c r="M2757" i="4"/>
  <c r="M2750" i="4"/>
  <c r="M2753" i="4"/>
  <c r="M2752" i="4"/>
  <c r="M2756" i="4"/>
  <c r="M2751" i="4"/>
  <c r="M2755" i="4"/>
  <c r="J1613" i="4"/>
  <c r="I1613" i="4"/>
  <c r="H1613" i="4"/>
  <c r="G1613" i="4"/>
  <c r="F1613" i="4"/>
  <c r="J1612" i="4"/>
  <c r="I1612" i="4"/>
  <c r="H1612" i="4"/>
  <c r="G1612" i="4"/>
  <c r="F1612" i="4"/>
  <c r="J1611" i="4"/>
  <c r="I1611" i="4"/>
  <c r="H1611" i="4"/>
  <c r="G1611" i="4"/>
  <c r="F1611" i="4"/>
  <c r="J1610" i="4"/>
  <c r="I1610" i="4"/>
  <c r="H1610" i="4"/>
  <c r="G1610" i="4"/>
  <c r="F1610" i="4"/>
  <c r="J1617" i="4"/>
  <c r="I1617" i="4"/>
  <c r="H1617" i="4"/>
  <c r="G1617" i="4"/>
  <c r="F1617" i="4"/>
  <c r="J1616" i="4"/>
  <c r="I1616" i="4"/>
  <c r="H1616" i="4"/>
  <c r="G1616" i="4"/>
  <c r="F1616" i="4"/>
  <c r="J1615" i="4"/>
  <c r="I1615" i="4"/>
  <c r="H1615" i="4"/>
  <c r="G1615" i="4"/>
  <c r="F1615" i="4"/>
  <c r="J1614" i="4"/>
  <c r="I1614" i="4"/>
  <c r="H1614" i="4"/>
  <c r="G1614" i="4"/>
  <c r="F1614" i="4"/>
  <c r="S1621" i="4"/>
  <c r="T1621" i="4" s="1"/>
  <c r="I1621" i="4" s="1"/>
  <c r="J1621" i="4"/>
  <c r="G1621" i="4"/>
  <c r="F1621" i="4"/>
  <c r="S1620" i="4"/>
  <c r="T1620" i="4" s="1"/>
  <c r="I1620" i="4" s="1"/>
  <c r="J1620" i="4"/>
  <c r="G1620" i="4"/>
  <c r="F1620" i="4"/>
  <c r="S1619" i="4"/>
  <c r="T1619" i="4" s="1"/>
  <c r="I1619" i="4" s="1"/>
  <c r="J1619" i="4"/>
  <c r="G1619" i="4"/>
  <c r="F1619" i="4"/>
  <c r="S1618" i="4"/>
  <c r="T1618" i="4" s="1"/>
  <c r="I1618" i="4" s="1"/>
  <c r="J1618" i="4"/>
  <c r="G1618" i="4"/>
  <c r="F1618" i="4"/>
  <c r="S1625" i="4"/>
  <c r="T1625" i="4" s="1"/>
  <c r="I1625" i="4" s="1"/>
  <c r="J1625" i="4"/>
  <c r="G1625" i="4"/>
  <c r="F1625" i="4"/>
  <c r="S1624" i="4"/>
  <c r="T1624" i="4" s="1"/>
  <c r="I1624" i="4" s="1"/>
  <c r="J1624" i="4"/>
  <c r="G1624" i="4"/>
  <c r="F1624" i="4"/>
  <c r="S1623" i="4"/>
  <c r="T1623" i="4" s="1"/>
  <c r="I1623" i="4" s="1"/>
  <c r="J1623" i="4"/>
  <c r="G1623" i="4"/>
  <c r="F1623" i="4"/>
  <c r="S1622" i="4"/>
  <c r="T1622" i="4" s="1"/>
  <c r="I1622" i="4" s="1"/>
  <c r="J1622" i="4"/>
  <c r="G1622" i="4"/>
  <c r="F1622" i="4"/>
  <c r="M1617" i="4" l="1"/>
  <c r="M1612" i="4"/>
  <c r="M1615" i="4"/>
  <c r="M1614" i="4"/>
  <c r="M1611" i="4"/>
  <c r="M1616" i="4"/>
  <c r="M1613" i="4"/>
  <c r="M1610" i="4"/>
  <c r="H1618" i="4"/>
  <c r="M1618" i="4" s="1"/>
  <c r="H1619" i="4"/>
  <c r="M1619" i="4" s="1"/>
  <c r="H1620" i="4"/>
  <c r="M1620" i="4" s="1"/>
  <c r="H1621" i="4"/>
  <c r="M1621" i="4" s="1"/>
  <c r="H1622" i="4"/>
  <c r="M1622" i="4" s="1"/>
  <c r="H1623" i="4"/>
  <c r="M1623" i="4" s="1"/>
  <c r="H1624" i="4"/>
  <c r="M1624" i="4" s="1"/>
  <c r="H1625" i="4"/>
  <c r="M1625" i="4" s="1"/>
  <c r="S1609" i="4" l="1"/>
  <c r="I1609" i="4" s="1"/>
  <c r="J1609" i="4"/>
  <c r="G1609" i="4"/>
  <c r="F1609" i="4"/>
  <c r="S1608" i="4"/>
  <c r="I1608" i="4" s="1"/>
  <c r="J1608" i="4"/>
  <c r="G1608" i="4"/>
  <c r="F1608" i="4"/>
  <c r="J1607" i="4"/>
  <c r="I1607" i="4"/>
  <c r="H1607" i="4"/>
  <c r="G1607" i="4"/>
  <c r="F1607" i="4"/>
  <c r="J1606" i="4"/>
  <c r="I1606" i="4"/>
  <c r="H1606" i="4"/>
  <c r="G1606" i="4"/>
  <c r="F1606" i="4"/>
  <c r="M1607" i="4" l="1"/>
  <c r="M1606" i="4"/>
  <c r="H1609" i="4"/>
  <c r="M1609" i="4" s="1"/>
  <c r="H1608" i="4"/>
  <c r="M1608" i="4" s="1"/>
  <c r="J1284" i="4"/>
  <c r="M1284" i="4" l="1"/>
  <c r="S1605" i="4"/>
  <c r="H1605" i="4" s="1"/>
  <c r="J1605" i="4"/>
  <c r="G1605" i="4"/>
  <c r="F1605" i="4"/>
  <c r="S1604" i="4"/>
  <c r="H1604" i="4" s="1"/>
  <c r="J1604" i="4"/>
  <c r="G1604" i="4"/>
  <c r="F1604" i="4"/>
  <c r="S1603" i="4"/>
  <c r="H1603" i="4" s="1"/>
  <c r="J1603" i="4"/>
  <c r="G1603" i="4"/>
  <c r="F1603" i="4"/>
  <c r="S1602" i="4"/>
  <c r="H1602" i="4" s="1"/>
  <c r="J1602" i="4"/>
  <c r="G1602" i="4"/>
  <c r="F1602" i="4"/>
  <c r="S1601" i="4"/>
  <c r="H1601" i="4" s="1"/>
  <c r="J1601" i="4"/>
  <c r="G1601" i="4"/>
  <c r="F1601" i="4"/>
  <c r="S1600" i="4"/>
  <c r="H1600" i="4" s="1"/>
  <c r="J1600" i="4"/>
  <c r="G1600" i="4"/>
  <c r="F1600" i="4"/>
  <c r="S1599" i="4"/>
  <c r="H1599" i="4" s="1"/>
  <c r="J1599" i="4"/>
  <c r="G1599" i="4"/>
  <c r="F1599" i="4"/>
  <c r="S1598" i="4"/>
  <c r="H1598" i="4" s="1"/>
  <c r="J1598" i="4"/>
  <c r="G1598" i="4"/>
  <c r="F1598" i="4"/>
  <c r="J1597" i="4"/>
  <c r="I1597" i="4"/>
  <c r="H1597" i="4"/>
  <c r="G1597" i="4"/>
  <c r="F1597" i="4"/>
  <c r="J1596" i="4"/>
  <c r="I1596" i="4"/>
  <c r="H1596" i="4"/>
  <c r="G1596" i="4"/>
  <c r="F1596" i="4"/>
  <c r="J1595" i="4"/>
  <c r="I1595" i="4"/>
  <c r="H1595" i="4"/>
  <c r="G1595" i="4"/>
  <c r="F1595" i="4"/>
  <c r="J1594" i="4"/>
  <c r="I1594" i="4"/>
  <c r="H1594" i="4"/>
  <c r="G1594" i="4"/>
  <c r="F1594" i="4"/>
  <c r="J1593" i="4"/>
  <c r="I1593" i="4"/>
  <c r="H1593" i="4"/>
  <c r="G1593" i="4"/>
  <c r="F1593" i="4"/>
  <c r="J1592" i="4"/>
  <c r="I1592" i="4"/>
  <c r="H1592" i="4"/>
  <c r="G1592" i="4"/>
  <c r="F1592" i="4"/>
  <c r="J1591" i="4"/>
  <c r="I1591" i="4"/>
  <c r="H1591" i="4"/>
  <c r="G1591" i="4"/>
  <c r="F1591" i="4"/>
  <c r="J1590" i="4"/>
  <c r="I1590" i="4"/>
  <c r="H1590" i="4"/>
  <c r="G1590" i="4"/>
  <c r="F1590" i="4"/>
  <c r="N1589" i="4"/>
  <c r="M1592" i="4" l="1"/>
  <c r="M1596" i="4"/>
  <c r="M1590" i="4"/>
  <c r="M1594" i="4"/>
  <c r="M1593" i="4"/>
  <c r="M1597" i="4"/>
  <c r="M1591" i="4"/>
  <c r="M1595" i="4"/>
  <c r="I1602" i="4"/>
  <c r="M1602" i="4" s="1"/>
  <c r="I1601" i="4"/>
  <c r="M1601" i="4" s="1"/>
  <c r="I1605" i="4"/>
  <c r="M1605" i="4" s="1"/>
  <c r="I1603" i="4"/>
  <c r="M1603" i="4" s="1"/>
  <c r="I1600" i="4"/>
  <c r="M1600" i="4" s="1"/>
  <c r="I1599" i="4"/>
  <c r="M1599" i="4" s="1"/>
  <c r="I1598" i="4"/>
  <c r="M1598" i="4" s="1"/>
  <c r="I1604" i="4"/>
  <c r="M1604" i="4" s="1"/>
  <c r="J2692" i="4"/>
  <c r="I2692" i="4"/>
  <c r="H2692" i="4"/>
  <c r="G2692" i="4"/>
  <c r="F2692" i="4"/>
  <c r="J2691" i="4"/>
  <c r="I2691" i="4"/>
  <c r="H2691" i="4"/>
  <c r="G2691" i="4"/>
  <c r="F2691" i="4"/>
  <c r="J2690" i="4"/>
  <c r="I2690" i="4"/>
  <c r="H2690" i="4"/>
  <c r="G2690" i="4"/>
  <c r="F2690" i="4"/>
  <c r="M2690" i="4" l="1"/>
  <c r="M2692" i="4"/>
  <c r="M2691" i="4"/>
  <c r="S2739" i="4"/>
  <c r="S987" i="4" l="1"/>
  <c r="T987" i="4" s="1"/>
  <c r="S986" i="4"/>
  <c r="T986" i="4" s="1"/>
  <c r="S985" i="4"/>
  <c r="T985" i="4" s="1"/>
  <c r="S984" i="4"/>
  <c r="T984" i="4" s="1"/>
  <c r="S983" i="4"/>
  <c r="T983" i="4" s="1"/>
  <c r="S982" i="4"/>
  <c r="T982" i="4" s="1"/>
  <c r="S981" i="4"/>
  <c r="T981" i="4" s="1"/>
  <c r="S980" i="4"/>
  <c r="T980" i="4" s="1"/>
  <c r="S979" i="4"/>
  <c r="T979" i="4" s="1"/>
  <c r="S978" i="4"/>
  <c r="T978" i="4" s="1"/>
  <c r="S977" i="4"/>
  <c r="T977" i="4" s="1"/>
  <c r="S976" i="4"/>
  <c r="T976" i="4" s="1"/>
  <c r="S975" i="4"/>
  <c r="T975" i="4" s="1"/>
  <c r="S974" i="4"/>
  <c r="T974" i="4" s="1"/>
  <c r="S973" i="4"/>
  <c r="T973" i="4" s="1"/>
  <c r="S972" i="4"/>
  <c r="S971" i="4"/>
  <c r="S970" i="4"/>
  <c r="S969" i="4"/>
  <c r="S968" i="4"/>
  <c r="T968" i="4" l="1"/>
  <c r="I968" i="4" s="1"/>
  <c r="H968" i="4"/>
  <c r="T970" i="4"/>
  <c r="I970" i="4" s="1"/>
  <c r="H970" i="4"/>
  <c r="T969" i="4"/>
  <c r="I969" i="4" s="1"/>
  <c r="H969" i="4"/>
  <c r="T971" i="4"/>
  <c r="I971" i="4" s="1"/>
  <c r="H971" i="4"/>
  <c r="T972" i="4"/>
  <c r="I972" i="4" s="1"/>
  <c r="H972" i="4"/>
  <c r="S3064" i="4" l="1"/>
  <c r="J3066" i="4" l="1"/>
  <c r="I3066" i="4"/>
  <c r="H3066" i="4"/>
  <c r="G3066" i="4"/>
  <c r="F3066" i="4"/>
  <c r="M3066" i="4" l="1"/>
  <c r="S3065" i="4"/>
  <c r="I3065" i="4" s="1"/>
  <c r="J3065" i="4"/>
  <c r="G3065" i="4"/>
  <c r="F3065" i="4"/>
  <c r="H3064" i="4"/>
  <c r="J3064" i="4"/>
  <c r="I3064" i="4"/>
  <c r="G3064" i="4"/>
  <c r="F3064" i="4"/>
  <c r="M3064" i="4" l="1"/>
  <c r="H3065" i="4"/>
  <c r="M3065" i="4" s="1"/>
  <c r="J3061" i="4"/>
  <c r="I3061" i="4"/>
  <c r="H3061" i="4"/>
  <c r="G3061" i="4"/>
  <c r="F3061" i="4"/>
  <c r="M3061" i="4" l="1"/>
  <c r="J3060" i="4" l="1"/>
  <c r="I3060" i="4"/>
  <c r="H3060" i="4"/>
  <c r="G3060" i="4"/>
  <c r="F3060" i="4"/>
  <c r="M3060" i="4" l="1"/>
  <c r="J3059" i="4"/>
  <c r="I3059" i="4"/>
  <c r="H3059" i="4"/>
  <c r="G3059" i="4"/>
  <c r="F3059" i="4"/>
  <c r="M3059" i="4" l="1"/>
  <c r="J3058" i="4"/>
  <c r="I3058" i="4"/>
  <c r="H3058" i="4"/>
  <c r="G3058" i="4"/>
  <c r="F3058" i="4"/>
  <c r="J3057" i="4"/>
  <c r="I3057" i="4"/>
  <c r="H3057" i="4"/>
  <c r="G3057" i="4"/>
  <c r="F3057" i="4"/>
  <c r="M3058" i="4" l="1"/>
  <c r="M3057" i="4"/>
  <c r="S2628" i="4"/>
  <c r="H2628" i="4" s="1"/>
  <c r="S2640" i="4"/>
  <c r="S2638" i="4"/>
  <c r="H2638" i="4" s="1"/>
  <c r="J2638" i="4"/>
  <c r="G2638" i="4"/>
  <c r="F2638" i="4"/>
  <c r="S2639" i="4"/>
  <c r="H2639" i="4" s="1"/>
  <c r="S2641" i="4"/>
  <c r="H2641" i="4" s="1"/>
  <c r="S2636" i="4"/>
  <c r="H2636" i="4" s="1"/>
  <c r="I2629" i="4"/>
  <c r="S2287" i="4"/>
  <c r="H2287" i="4" s="1"/>
  <c r="P2287" i="4"/>
  <c r="J2286" i="4"/>
  <c r="I2286" i="4"/>
  <c r="H2286" i="4"/>
  <c r="G2286" i="4"/>
  <c r="F2286" i="4"/>
  <c r="S2282" i="4"/>
  <c r="P2282" i="4"/>
  <c r="J2281" i="4"/>
  <c r="I2281" i="4"/>
  <c r="H2281" i="4"/>
  <c r="G2281" i="4"/>
  <c r="F2281" i="4"/>
  <c r="S2277" i="4"/>
  <c r="H2277" i="4" s="1"/>
  <c r="P2277" i="4"/>
  <c r="J2277" i="4" s="1"/>
  <c r="J2276" i="4"/>
  <c r="I2276" i="4"/>
  <c r="H2276" i="4"/>
  <c r="G2276" i="4"/>
  <c r="F2276" i="4"/>
  <c r="S2272" i="4"/>
  <c r="S2273" i="4" s="1"/>
  <c r="S2274" i="4" s="1"/>
  <c r="P2272" i="4"/>
  <c r="P2273" i="4" s="1"/>
  <c r="P2274" i="4" s="1"/>
  <c r="J2271" i="4"/>
  <c r="I2271" i="4"/>
  <c r="H2271" i="4"/>
  <c r="G2271" i="4"/>
  <c r="F2271" i="4"/>
  <c r="S2267" i="4"/>
  <c r="I2267" i="4" s="1"/>
  <c r="P2267" i="4"/>
  <c r="J2266" i="4"/>
  <c r="I2266" i="4"/>
  <c r="H2266" i="4"/>
  <c r="G2266" i="4"/>
  <c r="F2266" i="4"/>
  <c r="F2270" i="4"/>
  <c r="G2270" i="4"/>
  <c r="H2270" i="4"/>
  <c r="I2270" i="4"/>
  <c r="J2270" i="4"/>
  <c r="J2636" i="4"/>
  <c r="G2636" i="4"/>
  <c r="F2636" i="4"/>
  <c r="S2627" i="4"/>
  <c r="I2627" i="4" s="1"/>
  <c r="J2627" i="4"/>
  <c r="G2627" i="4"/>
  <c r="F2627" i="4"/>
  <c r="S2626" i="4"/>
  <c r="I2626" i="4" s="1"/>
  <c r="J2626" i="4"/>
  <c r="G2626" i="4"/>
  <c r="F2626" i="4"/>
  <c r="J2641" i="4"/>
  <c r="G2641" i="4"/>
  <c r="F2641" i="4"/>
  <c r="H2290" i="4"/>
  <c r="F2290" i="4"/>
  <c r="I2280" i="4"/>
  <c r="H2280" i="4"/>
  <c r="H2285" i="4"/>
  <c r="I2285" i="4"/>
  <c r="J2275" i="4"/>
  <c r="F2275" i="4"/>
  <c r="G2275" i="4"/>
  <c r="G2280" i="4"/>
  <c r="J2280" i="4"/>
  <c r="F2280" i="4"/>
  <c r="J2637" i="4"/>
  <c r="I2637" i="4"/>
  <c r="H2637" i="4"/>
  <c r="G2637" i="4"/>
  <c r="F2637" i="4"/>
  <c r="J2290" i="4"/>
  <c r="G2290" i="4"/>
  <c r="I2290" i="4"/>
  <c r="I2275" i="4"/>
  <c r="H2275" i="4"/>
  <c r="G2285" i="4"/>
  <c r="J2285" i="4"/>
  <c r="F2285" i="4"/>
  <c r="J2639" i="4"/>
  <c r="G2639" i="4"/>
  <c r="F2639" i="4"/>
  <c r="S2625" i="4"/>
  <c r="J2625" i="4"/>
  <c r="G2625" i="4"/>
  <c r="F2625" i="4"/>
  <c r="S2630" i="4"/>
  <c r="J2630" i="4"/>
  <c r="G2630" i="4"/>
  <c r="F2630" i="4"/>
  <c r="J2635" i="4"/>
  <c r="I2635" i="4"/>
  <c r="H2635" i="4"/>
  <c r="G2635" i="4"/>
  <c r="F2635" i="4"/>
  <c r="J2634" i="4"/>
  <c r="I2634" i="4"/>
  <c r="H2634" i="4"/>
  <c r="G2634" i="4"/>
  <c r="F2634" i="4"/>
  <c r="J2633" i="4"/>
  <c r="I2633" i="4"/>
  <c r="H2633" i="4"/>
  <c r="G2633" i="4"/>
  <c r="F2633" i="4"/>
  <c r="J2632" i="4"/>
  <c r="I2632" i="4"/>
  <c r="H2632" i="4"/>
  <c r="G2632" i="4"/>
  <c r="F2632" i="4"/>
  <c r="J2631" i="4"/>
  <c r="I2631" i="4"/>
  <c r="H2631" i="4"/>
  <c r="G2631" i="4"/>
  <c r="F2631" i="4"/>
  <c r="J2628" i="4"/>
  <c r="G2628" i="4"/>
  <c r="F2628" i="4"/>
  <c r="J2629" i="4"/>
  <c r="G2629" i="4"/>
  <c r="F2629" i="4"/>
  <c r="J2640" i="4"/>
  <c r="G2640" i="4"/>
  <c r="F2640" i="4"/>
  <c r="S2865" i="4"/>
  <c r="I2865" i="4" s="1"/>
  <c r="J2865" i="4"/>
  <c r="G2865" i="4"/>
  <c r="F2865" i="4"/>
  <c r="T3123" i="4"/>
  <c r="I3125" i="4" s="1"/>
  <c r="S3125" i="4"/>
  <c r="H3125" i="4" s="1"/>
  <c r="J3125" i="4"/>
  <c r="G3125" i="4"/>
  <c r="F3125" i="4"/>
  <c r="I2724" i="4"/>
  <c r="H2722" i="4"/>
  <c r="H2863" i="4"/>
  <c r="S3049" i="4"/>
  <c r="I3049" i="4" s="1"/>
  <c r="J3055" i="4"/>
  <c r="I3055" i="4"/>
  <c r="H3055" i="4"/>
  <c r="G3055" i="4"/>
  <c r="F3055" i="4"/>
  <c r="J3054" i="4"/>
  <c r="I3054" i="4"/>
  <c r="H3054" i="4"/>
  <c r="G3054" i="4"/>
  <c r="F3054" i="4"/>
  <c r="S3051" i="4"/>
  <c r="I3051" i="4" s="1"/>
  <c r="S3050" i="4"/>
  <c r="J3053" i="4"/>
  <c r="I3053" i="4"/>
  <c r="H3053" i="4"/>
  <c r="G3053" i="4"/>
  <c r="F3053" i="4"/>
  <c r="J3052" i="4"/>
  <c r="I3052" i="4"/>
  <c r="H3052" i="4"/>
  <c r="G3052" i="4"/>
  <c r="F3052" i="4"/>
  <c r="J3051" i="4"/>
  <c r="G3051" i="4"/>
  <c r="F3051" i="4"/>
  <c r="J3050" i="4"/>
  <c r="G3050" i="4"/>
  <c r="F3050" i="4"/>
  <c r="J3049" i="4"/>
  <c r="G3049" i="4"/>
  <c r="F3049" i="4"/>
  <c r="S1588" i="4"/>
  <c r="H1588" i="4" s="1"/>
  <c r="S1587" i="4"/>
  <c r="I1587" i="4" s="1"/>
  <c r="S1586" i="4"/>
  <c r="H1586" i="4" s="1"/>
  <c r="S1585" i="4"/>
  <c r="H1585" i="4" s="1"/>
  <c r="S1584" i="4"/>
  <c r="S1583" i="4"/>
  <c r="S1582" i="4"/>
  <c r="I1582" i="4" s="1"/>
  <c r="S1581" i="4"/>
  <c r="H1581" i="4" s="1"/>
  <c r="J1588" i="4"/>
  <c r="G1588" i="4"/>
  <c r="F1588" i="4"/>
  <c r="J1587" i="4"/>
  <c r="G1587" i="4"/>
  <c r="F1587" i="4"/>
  <c r="J1586" i="4"/>
  <c r="G1586" i="4"/>
  <c r="F1586" i="4"/>
  <c r="J1585" i="4"/>
  <c r="G1585" i="4"/>
  <c r="F1585" i="4"/>
  <c r="J1584" i="4"/>
  <c r="G1584" i="4"/>
  <c r="F1584" i="4"/>
  <c r="J1583" i="4"/>
  <c r="G1583" i="4"/>
  <c r="F1583" i="4"/>
  <c r="J1582" i="4"/>
  <c r="G1582" i="4"/>
  <c r="F1582" i="4"/>
  <c r="J1581" i="4"/>
  <c r="G1581" i="4"/>
  <c r="F1581" i="4"/>
  <c r="J1580" i="4"/>
  <c r="I1580" i="4"/>
  <c r="H1580" i="4"/>
  <c r="G1580" i="4"/>
  <c r="F1580" i="4"/>
  <c r="J1579" i="4"/>
  <c r="I1579" i="4"/>
  <c r="H1579" i="4"/>
  <c r="G1579" i="4"/>
  <c r="F1579" i="4"/>
  <c r="H1578" i="4"/>
  <c r="J1578" i="4"/>
  <c r="I1578" i="4"/>
  <c r="G1578" i="4"/>
  <c r="F1578" i="4"/>
  <c r="I1577" i="4"/>
  <c r="J1577" i="4"/>
  <c r="G1577" i="4"/>
  <c r="F1577" i="4"/>
  <c r="J1576" i="4"/>
  <c r="I1576" i="4"/>
  <c r="H1576" i="4"/>
  <c r="G1576" i="4"/>
  <c r="F1576" i="4"/>
  <c r="I1575" i="4"/>
  <c r="J1575" i="4"/>
  <c r="G1575" i="4"/>
  <c r="F1575" i="4"/>
  <c r="J1574" i="4"/>
  <c r="I1574" i="4"/>
  <c r="H1574" i="4"/>
  <c r="G1574" i="4"/>
  <c r="F1574" i="4"/>
  <c r="I1573" i="4"/>
  <c r="J1573" i="4"/>
  <c r="G1573" i="4"/>
  <c r="F1573" i="4"/>
  <c r="N1572" i="4"/>
  <c r="H1577" i="4"/>
  <c r="H1575" i="4"/>
  <c r="H1573" i="4"/>
  <c r="J3045" i="4"/>
  <c r="I3045" i="4"/>
  <c r="H3045" i="4"/>
  <c r="G3045" i="4"/>
  <c r="F3045" i="4"/>
  <c r="J3044" i="4"/>
  <c r="I3044" i="4"/>
  <c r="H3044" i="4"/>
  <c r="G3044" i="4"/>
  <c r="F3044" i="4"/>
  <c r="J3043" i="4"/>
  <c r="I3043" i="4"/>
  <c r="H3043" i="4"/>
  <c r="G3043" i="4"/>
  <c r="F3043" i="4"/>
  <c r="I3042" i="4"/>
  <c r="J3042" i="4"/>
  <c r="G3042" i="4"/>
  <c r="F3042" i="4"/>
  <c r="I3041" i="4"/>
  <c r="J3041" i="4"/>
  <c r="G3041" i="4"/>
  <c r="F3041" i="4"/>
  <c r="J3040" i="4"/>
  <c r="I3040" i="4"/>
  <c r="H3040" i="4"/>
  <c r="G3040" i="4"/>
  <c r="F3040" i="4"/>
  <c r="J3039" i="4"/>
  <c r="I3039" i="4"/>
  <c r="H3039" i="4"/>
  <c r="G3039" i="4"/>
  <c r="F3039" i="4"/>
  <c r="J3038" i="4"/>
  <c r="I3038" i="4"/>
  <c r="H3038" i="4"/>
  <c r="G3038" i="4"/>
  <c r="F3038" i="4"/>
  <c r="J3037" i="4"/>
  <c r="I3037" i="4"/>
  <c r="H3037" i="4"/>
  <c r="G3037" i="4"/>
  <c r="F3037" i="4"/>
  <c r="H3041" i="4"/>
  <c r="H3042" i="4"/>
  <c r="F2863" i="4"/>
  <c r="G2863" i="4"/>
  <c r="J2863" i="4"/>
  <c r="H2714" i="4"/>
  <c r="H2712" i="4"/>
  <c r="H2861" i="4"/>
  <c r="S2860" i="4"/>
  <c r="J2860" i="4"/>
  <c r="G2860" i="4"/>
  <c r="F2860" i="4"/>
  <c r="G2861" i="4"/>
  <c r="F2861" i="4"/>
  <c r="S3035" i="4"/>
  <c r="H3035" i="4" s="1"/>
  <c r="J3035" i="4"/>
  <c r="G3035" i="4"/>
  <c r="F3035" i="4"/>
  <c r="J3033" i="4"/>
  <c r="I3033" i="4"/>
  <c r="H3033" i="4"/>
  <c r="G3033" i="4"/>
  <c r="F3033" i="4"/>
  <c r="J3032" i="4"/>
  <c r="I3032" i="4"/>
  <c r="H3032" i="4"/>
  <c r="G3032" i="4"/>
  <c r="F3032" i="4"/>
  <c r="J3020" i="4"/>
  <c r="I3020" i="4"/>
  <c r="H3020" i="4"/>
  <c r="G3020" i="4"/>
  <c r="F3020" i="4"/>
  <c r="J3026" i="4"/>
  <c r="I3026" i="4"/>
  <c r="H3026" i="4"/>
  <c r="G3026" i="4"/>
  <c r="F3026" i="4"/>
  <c r="J3025" i="4"/>
  <c r="I3025" i="4"/>
  <c r="H3025" i="4"/>
  <c r="G3025" i="4"/>
  <c r="F3025" i="4"/>
  <c r="J3024" i="4"/>
  <c r="I3024" i="4"/>
  <c r="H3024" i="4"/>
  <c r="G3024" i="4"/>
  <c r="F3024" i="4"/>
  <c r="J3031" i="4"/>
  <c r="I3031" i="4"/>
  <c r="H3031" i="4"/>
  <c r="G3031" i="4"/>
  <c r="F3031" i="4"/>
  <c r="J3030" i="4"/>
  <c r="I3030" i="4"/>
  <c r="H3030" i="4"/>
  <c r="G3030" i="4"/>
  <c r="F3030" i="4"/>
  <c r="S3029" i="4"/>
  <c r="I3029" i="4" s="1"/>
  <c r="J3029" i="4"/>
  <c r="G3029" i="4"/>
  <c r="F3029" i="4"/>
  <c r="I3028" i="4"/>
  <c r="J3028" i="4"/>
  <c r="G3028" i="4"/>
  <c r="F3028" i="4"/>
  <c r="J3027" i="4"/>
  <c r="I3027" i="4"/>
  <c r="H3027" i="4"/>
  <c r="G3027" i="4"/>
  <c r="F3027" i="4"/>
  <c r="J3023" i="4"/>
  <c r="I3023" i="4"/>
  <c r="H3023" i="4"/>
  <c r="G3023" i="4"/>
  <c r="F3023" i="4"/>
  <c r="J3022" i="4"/>
  <c r="I3022" i="4"/>
  <c r="H3022" i="4"/>
  <c r="G3022" i="4"/>
  <c r="F3022" i="4"/>
  <c r="J3021" i="4"/>
  <c r="I3021" i="4"/>
  <c r="H3021" i="4"/>
  <c r="G3021" i="4"/>
  <c r="F3021" i="4"/>
  <c r="H3028" i="4"/>
  <c r="S993" i="4"/>
  <c r="T993" i="4" s="1"/>
  <c r="I993" i="4" s="1"/>
  <c r="S992" i="4"/>
  <c r="S991" i="4"/>
  <c r="T991" i="4" s="1"/>
  <c r="I991" i="4" s="1"/>
  <c r="S990" i="4"/>
  <c r="S989" i="4"/>
  <c r="H989" i="4" s="1"/>
  <c r="H966" i="4"/>
  <c r="S965" i="4"/>
  <c r="T965" i="4" s="1"/>
  <c r="I965" i="4" s="1"/>
  <c r="S964" i="4"/>
  <c r="S963" i="4"/>
  <c r="T963" i="4" s="1"/>
  <c r="I963" i="4" s="1"/>
  <c r="I962" i="4"/>
  <c r="S961" i="4"/>
  <c r="T961" i="4" s="1"/>
  <c r="I961" i="4" s="1"/>
  <c r="S960" i="4"/>
  <c r="S959" i="4"/>
  <c r="T959" i="4" s="1"/>
  <c r="I959" i="4" s="1"/>
  <c r="S958" i="4"/>
  <c r="T958" i="4" s="1"/>
  <c r="I958" i="4" s="1"/>
  <c r="S957" i="4"/>
  <c r="S956" i="4"/>
  <c r="S955" i="4"/>
  <c r="H955" i="4" s="1"/>
  <c r="S954" i="4"/>
  <c r="T954" i="4" s="1"/>
  <c r="I954" i="4" s="1"/>
  <c r="S953" i="4"/>
  <c r="T953" i="4" s="1"/>
  <c r="I953" i="4" s="1"/>
  <c r="S952" i="4"/>
  <c r="S951" i="4"/>
  <c r="T951" i="4" s="1"/>
  <c r="I951" i="4" s="1"/>
  <c r="S950" i="4"/>
  <c r="T950" i="4" s="1"/>
  <c r="I950" i="4" s="1"/>
  <c r="S949" i="4"/>
  <c r="T949" i="4" s="1"/>
  <c r="I949" i="4" s="1"/>
  <c r="S948" i="4"/>
  <c r="S947" i="4"/>
  <c r="T947" i="4" s="1"/>
  <c r="I947" i="4" s="1"/>
  <c r="S945" i="4"/>
  <c r="T945" i="4" s="1"/>
  <c r="I945" i="4" s="1"/>
  <c r="S944" i="4"/>
  <c r="T944" i="4" s="1"/>
  <c r="I944" i="4" s="1"/>
  <c r="S943" i="4"/>
  <c r="S942" i="4"/>
  <c r="T942" i="4" s="1"/>
  <c r="I942" i="4" s="1"/>
  <c r="S941" i="4"/>
  <c r="T941" i="4" s="1"/>
  <c r="I941" i="4" s="1"/>
  <c r="S940" i="4"/>
  <c r="T940" i="4" s="1"/>
  <c r="I940" i="4" s="1"/>
  <c r="S939" i="4"/>
  <c r="T939" i="4" s="1"/>
  <c r="I939" i="4" s="1"/>
  <c r="S938" i="4"/>
  <c r="T938" i="4" s="1"/>
  <c r="I938" i="4" s="1"/>
  <c r="S937" i="4"/>
  <c r="H937" i="4" s="1"/>
  <c r="S936" i="4"/>
  <c r="T936" i="4" s="1"/>
  <c r="I936" i="4" s="1"/>
  <c r="S935" i="4"/>
  <c r="T935" i="4" s="1"/>
  <c r="I935" i="4" s="1"/>
  <c r="S934" i="4"/>
  <c r="S933" i="4"/>
  <c r="H933" i="4" s="1"/>
  <c r="S932" i="4"/>
  <c r="T932" i="4" s="1"/>
  <c r="I932" i="4" s="1"/>
  <c r="S931" i="4"/>
  <c r="T931" i="4" s="1"/>
  <c r="I931" i="4" s="1"/>
  <c r="S930" i="4"/>
  <c r="T930" i="4" s="1"/>
  <c r="I930" i="4" s="1"/>
  <c r="I929" i="4"/>
  <c r="S928" i="4"/>
  <c r="S927" i="4"/>
  <c r="I926" i="4"/>
  <c r="S924" i="4"/>
  <c r="T924" i="4" s="1"/>
  <c r="S923" i="4"/>
  <c r="T923" i="4" s="1"/>
  <c r="S922" i="4"/>
  <c r="H922" i="4" s="1"/>
  <c r="S921" i="4"/>
  <c r="S920" i="4"/>
  <c r="T920" i="4" s="1"/>
  <c r="S919" i="4"/>
  <c r="T919" i="4" s="1"/>
  <c r="S918" i="4"/>
  <c r="I918" i="4" s="1"/>
  <c r="S917" i="4"/>
  <c r="H917" i="4" s="1"/>
  <c r="S916" i="4"/>
  <c r="T916" i="4" s="1"/>
  <c r="S915" i="4"/>
  <c r="T915" i="4" s="1"/>
  <c r="S914" i="4"/>
  <c r="I914" i="4" s="1"/>
  <c r="S913" i="4"/>
  <c r="S912" i="4"/>
  <c r="S911" i="4"/>
  <c r="T911" i="4" s="1"/>
  <c r="S910" i="4"/>
  <c r="S909" i="4"/>
  <c r="T909" i="4" s="1"/>
  <c r="S908" i="4"/>
  <c r="T908" i="4" s="1"/>
  <c r="S907" i="4"/>
  <c r="I907" i="4" s="1"/>
  <c r="S906" i="4"/>
  <c r="T906" i="4" s="1"/>
  <c r="S905" i="4"/>
  <c r="T905" i="4" s="1"/>
  <c r="S3123" i="4"/>
  <c r="I3122" i="4"/>
  <c r="H3122" i="4"/>
  <c r="G3122" i="4"/>
  <c r="F3122" i="4"/>
  <c r="J987" i="4"/>
  <c r="G987" i="4"/>
  <c r="F987" i="4"/>
  <c r="J986" i="4"/>
  <c r="G986" i="4"/>
  <c r="F986" i="4"/>
  <c r="H985" i="4"/>
  <c r="J985" i="4"/>
  <c r="G985" i="4"/>
  <c r="F985" i="4"/>
  <c r="J984" i="4"/>
  <c r="G984" i="4"/>
  <c r="F984" i="4"/>
  <c r="I983" i="4"/>
  <c r="J983" i="4"/>
  <c r="G983" i="4"/>
  <c r="F983" i="4"/>
  <c r="J966" i="4"/>
  <c r="G966" i="4"/>
  <c r="F966" i="4"/>
  <c r="J965" i="4"/>
  <c r="G965" i="4"/>
  <c r="F965" i="4"/>
  <c r="J964" i="4"/>
  <c r="G964" i="4"/>
  <c r="F964" i="4"/>
  <c r="J963" i="4"/>
  <c r="G963" i="4"/>
  <c r="F963" i="4"/>
  <c r="J962" i="4"/>
  <c r="G962" i="4"/>
  <c r="F962" i="4"/>
  <c r="J945" i="4"/>
  <c r="G945" i="4"/>
  <c r="F945" i="4"/>
  <c r="J944" i="4"/>
  <c r="G944" i="4"/>
  <c r="F944" i="4"/>
  <c r="J943" i="4"/>
  <c r="G943" i="4"/>
  <c r="F943" i="4"/>
  <c r="J942" i="4"/>
  <c r="G942" i="4"/>
  <c r="F942" i="4"/>
  <c r="J941" i="4"/>
  <c r="G941" i="4"/>
  <c r="F941" i="4"/>
  <c r="J924" i="4"/>
  <c r="G924" i="4"/>
  <c r="F924" i="4"/>
  <c r="J923" i="4"/>
  <c r="G923" i="4"/>
  <c r="F923" i="4"/>
  <c r="J922" i="4"/>
  <c r="G922" i="4"/>
  <c r="F922" i="4"/>
  <c r="J921" i="4"/>
  <c r="G921" i="4"/>
  <c r="F921" i="4"/>
  <c r="J920" i="4"/>
  <c r="G920" i="4"/>
  <c r="F920" i="4"/>
  <c r="J993" i="4"/>
  <c r="G993" i="4"/>
  <c r="F993" i="4"/>
  <c r="J992" i="4"/>
  <c r="G992" i="4"/>
  <c r="F992" i="4"/>
  <c r="J991" i="4"/>
  <c r="G991" i="4"/>
  <c r="F991" i="4"/>
  <c r="J990" i="4"/>
  <c r="G990" i="4"/>
  <c r="F990" i="4"/>
  <c r="J989" i="4"/>
  <c r="G989" i="4"/>
  <c r="F989" i="4"/>
  <c r="I982" i="4"/>
  <c r="J982" i="4"/>
  <c r="G982" i="4"/>
  <c r="F982" i="4"/>
  <c r="J981" i="4"/>
  <c r="G981" i="4"/>
  <c r="F981" i="4"/>
  <c r="I980" i="4"/>
  <c r="J980" i="4"/>
  <c r="G980" i="4"/>
  <c r="F980" i="4"/>
  <c r="H979" i="4"/>
  <c r="J979" i="4"/>
  <c r="G979" i="4"/>
  <c r="F979" i="4"/>
  <c r="J978" i="4"/>
  <c r="G978" i="4"/>
  <c r="F978" i="4"/>
  <c r="H977" i="4"/>
  <c r="J977" i="4"/>
  <c r="G977" i="4"/>
  <c r="F977" i="4"/>
  <c r="J976" i="4"/>
  <c r="G976" i="4"/>
  <c r="F976" i="4"/>
  <c r="I975" i="4"/>
  <c r="J975" i="4"/>
  <c r="G975" i="4"/>
  <c r="F975" i="4"/>
  <c r="I974" i="4"/>
  <c r="J974" i="4"/>
  <c r="G974" i="4"/>
  <c r="F974" i="4"/>
  <c r="J973" i="4"/>
  <c r="G973" i="4"/>
  <c r="F973" i="4"/>
  <c r="J961" i="4"/>
  <c r="G961" i="4"/>
  <c r="F961" i="4"/>
  <c r="J960" i="4"/>
  <c r="G960" i="4"/>
  <c r="F960" i="4"/>
  <c r="J959" i="4"/>
  <c r="G959" i="4"/>
  <c r="F959" i="4"/>
  <c r="J958" i="4"/>
  <c r="G958" i="4"/>
  <c r="F958" i="4"/>
  <c r="J957" i="4"/>
  <c r="G957" i="4"/>
  <c r="F957" i="4"/>
  <c r="J956" i="4"/>
  <c r="G956" i="4"/>
  <c r="F956" i="4"/>
  <c r="J955" i="4"/>
  <c r="G955" i="4"/>
  <c r="F955" i="4"/>
  <c r="J954" i="4"/>
  <c r="G954" i="4"/>
  <c r="F954" i="4"/>
  <c r="J953" i="4"/>
  <c r="G953" i="4"/>
  <c r="F953" i="4"/>
  <c r="J952" i="4"/>
  <c r="G952" i="4"/>
  <c r="F952" i="4"/>
  <c r="J951" i="4"/>
  <c r="G951" i="4"/>
  <c r="F951" i="4"/>
  <c r="J950" i="4"/>
  <c r="G950" i="4"/>
  <c r="F950" i="4"/>
  <c r="J949" i="4"/>
  <c r="G949" i="4"/>
  <c r="F949" i="4"/>
  <c r="J948" i="4"/>
  <c r="G948" i="4"/>
  <c r="F948" i="4"/>
  <c r="J947" i="4"/>
  <c r="G947" i="4"/>
  <c r="F947" i="4"/>
  <c r="J940" i="4"/>
  <c r="G940" i="4"/>
  <c r="F940" i="4"/>
  <c r="J939" i="4"/>
  <c r="G939" i="4"/>
  <c r="F939" i="4"/>
  <c r="J938" i="4"/>
  <c r="G938" i="4"/>
  <c r="F938" i="4"/>
  <c r="J937" i="4"/>
  <c r="G937" i="4"/>
  <c r="F937" i="4"/>
  <c r="J936" i="4"/>
  <c r="G936" i="4"/>
  <c r="F936" i="4"/>
  <c r="J935" i="4"/>
  <c r="G935" i="4"/>
  <c r="F935" i="4"/>
  <c r="J934" i="4"/>
  <c r="G934" i="4"/>
  <c r="F934" i="4"/>
  <c r="J933" i="4"/>
  <c r="G933" i="4"/>
  <c r="F933" i="4"/>
  <c r="J932" i="4"/>
  <c r="G932" i="4"/>
  <c r="F932" i="4"/>
  <c r="J931" i="4"/>
  <c r="G931" i="4"/>
  <c r="F931" i="4"/>
  <c r="J930" i="4"/>
  <c r="G930" i="4"/>
  <c r="F930" i="4"/>
  <c r="J929" i="4"/>
  <c r="G929" i="4"/>
  <c r="F929" i="4"/>
  <c r="J928" i="4"/>
  <c r="G928" i="4"/>
  <c r="F928" i="4"/>
  <c r="J927" i="4"/>
  <c r="G927" i="4"/>
  <c r="F927" i="4"/>
  <c r="J926" i="4"/>
  <c r="G926" i="4"/>
  <c r="F926" i="4"/>
  <c r="J919" i="4"/>
  <c r="G919" i="4"/>
  <c r="F919" i="4"/>
  <c r="J918" i="4"/>
  <c r="G918" i="4"/>
  <c r="F918" i="4"/>
  <c r="J917" i="4"/>
  <c r="G917" i="4"/>
  <c r="F917" i="4"/>
  <c r="J916" i="4"/>
  <c r="G916" i="4"/>
  <c r="F916" i="4"/>
  <c r="J915" i="4"/>
  <c r="G915" i="4"/>
  <c r="F915" i="4"/>
  <c r="J914" i="4"/>
  <c r="G914" i="4"/>
  <c r="F914" i="4"/>
  <c r="J913" i="4"/>
  <c r="G913" i="4"/>
  <c r="F913" i="4"/>
  <c r="J912" i="4"/>
  <c r="G912" i="4"/>
  <c r="F912" i="4"/>
  <c r="J911" i="4"/>
  <c r="G911" i="4"/>
  <c r="F911" i="4"/>
  <c r="J910" i="4"/>
  <c r="G910" i="4"/>
  <c r="F910" i="4"/>
  <c r="J909" i="4"/>
  <c r="G909" i="4"/>
  <c r="F909" i="4"/>
  <c r="J908" i="4"/>
  <c r="G908" i="4"/>
  <c r="F908" i="4"/>
  <c r="J907" i="4"/>
  <c r="G907" i="4"/>
  <c r="F907" i="4"/>
  <c r="J906" i="4"/>
  <c r="G906" i="4"/>
  <c r="F906" i="4"/>
  <c r="J905" i="4"/>
  <c r="G905" i="4"/>
  <c r="F905" i="4"/>
  <c r="J3123" i="4"/>
  <c r="G3123" i="4"/>
  <c r="F3123" i="4"/>
  <c r="J3005" i="4"/>
  <c r="I3005" i="4"/>
  <c r="H3005" i="4"/>
  <c r="G3005" i="4"/>
  <c r="F3005" i="4"/>
  <c r="J3004" i="4"/>
  <c r="I3004" i="4"/>
  <c r="H3004" i="4"/>
  <c r="G3004" i="4"/>
  <c r="F3004" i="4"/>
  <c r="S3003" i="4"/>
  <c r="H3003" i="4" s="1"/>
  <c r="J3003" i="4"/>
  <c r="G3003" i="4"/>
  <c r="F3003" i="4"/>
  <c r="S3002" i="4"/>
  <c r="I3002" i="4" s="1"/>
  <c r="J3002" i="4"/>
  <c r="G3002" i="4"/>
  <c r="F3002" i="4"/>
  <c r="J2999" i="4"/>
  <c r="I2999" i="4"/>
  <c r="H2999" i="4"/>
  <c r="G2999" i="4"/>
  <c r="F2999" i="4"/>
  <c r="J2998" i="4"/>
  <c r="I2998" i="4"/>
  <c r="H2998" i="4"/>
  <c r="G2998" i="4"/>
  <c r="F2998" i="4"/>
  <c r="J2997" i="4"/>
  <c r="I2997" i="4"/>
  <c r="H2997" i="4"/>
  <c r="G2997" i="4"/>
  <c r="F2997" i="4"/>
  <c r="J2996" i="4"/>
  <c r="I2996" i="4"/>
  <c r="H2996" i="4"/>
  <c r="G2996" i="4"/>
  <c r="F2996" i="4"/>
  <c r="I2747" i="4"/>
  <c r="F2743" i="4"/>
  <c r="G2743" i="4"/>
  <c r="J2743" i="4"/>
  <c r="H2743" i="4"/>
  <c r="F2745" i="4"/>
  <c r="G2745" i="4"/>
  <c r="J2745" i="4"/>
  <c r="F2747" i="4"/>
  <c r="G2747" i="4"/>
  <c r="J2747" i="4"/>
  <c r="I2743" i="4"/>
  <c r="H2739" i="4"/>
  <c r="S2737" i="4"/>
  <c r="I2737" i="4" s="1"/>
  <c r="S2735" i="4"/>
  <c r="I2735" i="4" s="1"/>
  <c r="S2733" i="4"/>
  <c r="H2733" i="4" s="1"/>
  <c r="S2738" i="4"/>
  <c r="I2738" i="4" s="1"/>
  <c r="S2736" i="4"/>
  <c r="H2736" i="4" s="1"/>
  <c r="S2734" i="4"/>
  <c r="I2734" i="4" s="1"/>
  <c r="S2732" i="4"/>
  <c r="I2732" i="4" s="1"/>
  <c r="S717" i="4"/>
  <c r="S704" i="4"/>
  <c r="H704" i="4" s="1"/>
  <c r="S700" i="4"/>
  <c r="I700" i="4" s="1"/>
  <c r="S648" i="4"/>
  <c r="H648" i="4" s="1"/>
  <c r="S646" i="4"/>
  <c r="I646" i="4" s="1"/>
  <c r="J596" i="4"/>
  <c r="F595" i="4"/>
  <c r="J593" i="4"/>
  <c r="G592" i="4"/>
  <c r="F579" i="4"/>
  <c r="F578" i="4"/>
  <c r="G577" i="4"/>
  <c r="J564" i="4"/>
  <c r="F563" i="4"/>
  <c r="J562" i="4"/>
  <c r="J561" i="4"/>
  <c r="F560" i="4"/>
  <c r="J525" i="4"/>
  <c r="F522" i="4"/>
  <c r="F509" i="4"/>
  <c r="J507" i="4"/>
  <c r="J506" i="4"/>
  <c r="J494" i="4"/>
  <c r="F493" i="4"/>
  <c r="J492" i="4"/>
  <c r="J490" i="4"/>
  <c r="S2705" i="4"/>
  <c r="H2705" i="4" s="1"/>
  <c r="J2705" i="4"/>
  <c r="G2705" i="4"/>
  <c r="F2705" i="4"/>
  <c r="S2704" i="4"/>
  <c r="I2704" i="4" s="1"/>
  <c r="S2703" i="4"/>
  <c r="H2703" i="4" s="1"/>
  <c r="S2702" i="4"/>
  <c r="I2702" i="4" s="1"/>
  <c r="J2704" i="4"/>
  <c r="G2704" i="4"/>
  <c r="F2704" i="4"/>
  <c r="J2703" i="4"/>
  <c r="G2703" i="4"/>
  <c r="F2703" i="4"/>
  <c r="J2702" i="4"/>
  <c r="G2702" i="4"/>
  <c r="F2702" i="4"/>
  <c r="J1278" i="4"/>
  <c r="M1278" i="4" s="1"/>
  <c r="F1276" i="4"/>
  <c r="J1277" i="4"/>
  <c r="G1277" i="4"/>
  <c r="F1277" i="4"/>
  <c r="J2739" i="4"/>
  <c r="G2739" i="4"/>
  <c r="F2739" i="4"/>
  <c r="J2738" i="4"/>
  <c r="G2738" i="4"/>
  <c r="F2738" i="4"/>
  <c r="J2737" i="4"/>
  <c r="G2737" i="4"/>
  <c r="F2737" i="4"/>
  <c r="J2736" i="4"/>
  <c r="G2736" i="4"/>
  <c r="F2736" i="4"/>
  <c r="J2735" i="4"/>
  <c r="G2735" i="4"/>
  <c r="F2735" i="4"/>
  <c r="J2734" i="4"/>
  <c r="G2734" i="4"/>
  <c r="F2734" i="4"/>
  <c r="J2733" i="4"/>
  <c r="G2733" i="4"/>
  <c r="F2733" i="4"/>
  <c r="J2732" i="4"/>
  <c r="G2732" i="4"/>
  <c r="F2732" i="4"/>
  <c r="J1276" i="4"/>
  <c r="G1276" i="4"/>
  <c r="J2730" i="4"/>
  <c r="G2730" i="4"/>
  <c r="F2730" i="4"/>
  <c r="I2729" i="4"/>
  <c r="J2729" i="4"/>
  <c r="G2729" i="4"/>
  <c r="F2729" i="4"/>
  <c r="G2728" i="4"/>
  <c r="J2728" i="4"/>
  <c r="I2728" i="4"/>
  <c r="H2728" i="4"/>
  <c r="F2728" i="4"/>
  <c r="J2727" i="4"/>
  <c r="I2727" i="4"/>
  <c r="H2727" i="4"/>
  <c r="G2727" i="4"/>
  <c r="F2727" i="4"/>
  <c r="F2723" i="4"/>
  <c r="G2723" i="4"/>
  <c r="J2723" i="4"/>
  <c r="S2723" i="4"/>
  <c r="I2723" i="4" s="1"/>
  <c r="F2724" i="4"/>
  <c r="G2724" i="4"/>
  <c r="J2724" i="4"/>
  <c r="F2725" i="4"/>
  <c r="G2725" i="4"/>
  <c r="J2725" i="4"/>
  <c r="S2725" i="4"/>
  <c r="H2725" i="4" s="1"/>
  <c r="J2722" i="4"/>
  <c r="G2722" i="4"/>
  <c r="F2722" i="4"/>
  <c r="S2721" i="4"/>
  <c r="H2721" i="4" s="1"/>
  <c r="J2721" i="4"/>
  <c r="G2721" i="4"/>
  <c r="F2721" i="4"/>
  <c r="J2720" i="4"/>
  <c r="I2720" i="4"/>
  <c r="H2720" i="4"/>
  <c r="G2720" i="4"/>
  <c r="F2720" i="4"/>
  <c r="J2719" i="4"/>
  <c r="I2719" i="4"/>
  <c r="H2719" i="4"/>
  <c r="G2719" i="4"/>
  <c r="F2719" i="4"/>
  <c r="G2718" i="4"/>
  <c r="J2718" i="4"/>
  <c r="I2718" i="4"/>
  <c r="H2718" i="4"/>
  <c r="F2718" i="4"/>
  <c r="J2717" i="4"/>
  <c r="I2717" i="4"/>
  <c r="H2717" i="4"/>
  <c r="G2717" i="4"/>
  <c r="F2717" i="4"/>
  <c r="J2684" i="4"/>
  <c r="I2684" i="4"/>
  <c r="H2684" i="4"/>
  <c r="G2684" i="4"/>
  <c r="F2684" i="4"/>
  <c r="J1571" i="4"/>
  <c r="G1571" i="4"/>
  <c r="F1571" i="4"/>
  <c r="J1570" i="4"/>
  <c r="G1570" i="4"/>
  <c r="F1570" i="4"/>
  <c r="J1567" i="4"/>
  <c r="G1567" i="4"/>
  <c r="F1567" i="4"/>
  <c r="J1566" i="4"/>
  <c r="G1566" i="4"/>
  <c r="F1566" i="4"/>
  <c r="P1569" i="4"/>
  <c r="S1569" i="4" s="1"/>
  <c r="I1570" i="4"/>
  <c r="H1570" i="4"/>
  <c r="P1568" i="4"/>
  <c r="T1568" i="4" s="1"/>
  <c r="I1571" i="4"/>
  <c r="H1571" i="4"/>
  <c r="T1567" i="4"/>
  <c r="S1567" i="4"/>
  <c r="H1567" i="4" s="1"/>
  <c r="P1559" i="4"/>
  <c r="F1559" i="4" s="1"/>
  <c r="P1558" i="4"/>
  <c r="F1558" i="4" s="1"/>
  <c r="P1557" i="4"/>
  <c r="P1561" i="4" s="1"/>
  <c r="F1561" i="4" s="1"/>
  <c r="P1556" i="4"/>
  <c r="P1565" i="4"/>
  <c r="J1565" i="4" s="1"/>
  <c r="P1564" i="4"/>
  <c r="T1564" i="4" s="1"/>
  <c r="T1555" i="4"/>
  <c r="T1554" i="4"/>
  <c r="T1553" i="4"/>
  <c r="T1552" i="4"/>
  <c r="T1566" i="4"/>
  <c r="S1566" i="4"/>
  <c r="S1555" i="4"/>
  <c r="I1555" i="4" s="1"/>
  <c r="S1554" i="4"/>
  <c r="H1554" i="4" s="1"/>
  <c r="S1553" i="4"/>
  <c r="S1552" i="4"/>
  <c r="I1552" i="4" s="1"/>
  <c r="S2715" i="4"/>
  <c r="J2715" i="4"/>
  <c r="G2715" i="4"/>
  <c r="F2715" i="4"/>
  <c r="I1563" i="4"/>
  <c r="H1563" i="4"/>
  <c r="J1555" i="4"/>
  <c r="G1555" i="4"/>
  <c r="F1555" i="4"/>
  <c r="J1554" i="4"/>
  <c r="G1554" i="4"/>
  <c r="F1554" i="4"/>
  <c r="J1553" i="4"/>
  <c r="G1553" i="4"/>
  <c r="F1553" i="4"/>
  <c r="J1552" i="4"/>
  <c r="G1552" i="4"/>
  <c r="F1552" i="4"/>
  <c r="N1551" i="4"/>
  <c r="J2714" i="4"/>
  <c r="G2714" i="4"/>
  <c r="F2714" i="4"/>
  <c r="S2713" i="4"/>
  <c r="I2713" i="4" s="1"/>
  <c r="J2713" i="4"/>
  <c r="G2713" i="4"/>
  <c r="F2713" i="4"/>
  <c r="J2712" i="4"/>
  <c r="G2712" i="4"/>
  <c r="F2712" i="4"/>
  <c r="S2711" i="4"/>
  <c r="J2711" i="4"/>
  <c r="G2711" i="4"/>
  <c r="F2711" i="4"/>
  <c r="G2710" i="4"/>
  <c r="I2710" i="4"/>
  <c r="H2710" i="4"/>
  <c r="J2709" i="4"/>
  <c r="I2709" i="4"/>
  <c r="H2709" i="4"/>
  <c r="G2709" i="4"/>
  <c r="F2709" i="4"/>
  <c r="J2708" i="4"/>
  <c r="I2708" i="4"/>
  <c r="H2708" i="4"/>
  <c r="J2707" i="4"/>
  <c r="I2707" i="4"/>
  <c r="H2707" i="4"/>
  <c r="G2707" i="4"/>
  <c r="F2707" i="4"/>
  <c r="F2710" i="4"/>
  <c r="G2708" i="4"/>
  <c r="F2708" i="4"/>
  <c r="J2710" i="4"/>
  <c r="F2682" i="4"/>
  <c r="H2682" i="4"/>
  <c r="I2682" i="4"/>
  <c r="G2682" i="4"/>
  <c r="J1550" i="4"/>
  <c r="I1550" i="4"/>
  <c r="H1550" i="4"/>
  <c r="G1550" i="4"/>
  <c r="F1550" i="4"/>
  <c r="J1549" i="4"/>
  <c r="I1549" i="4"/>
  <c r="H1549" i="4"/>
  <c r="G1549" i="4"/>
  <c r="F1549" i="4"/>
  <c r="J1548" i="4"/>
  <c r="I1548" i="4"/>
  <c r="H1548" i="4"/>
  <c r="G1548" i="4"/>
  <c r="F1548" i="4"/>
  <c r="J1547" i="4"/>
  <c r="I1547" i="4"/>
  <c r="H1547" i="4"/>
  <c r="G1547" i="4"/>
  <c r="F1547" i="4"/>
  <c r="J1546" i="4"/>
  <c r="I1546" i="4"/>
  <c r="H1546" i="4"/>
  <c r="G1546" i="4"/>
  <c r="F1546" i="4"/>
  <c r="J1545" i="4"/>
  <c r="I1545" i="4"/>
  <c r="H1545" i="4"/>
  <c r="G1545" i="4"/>
  <c r="F1545" i="4"/>
  <c r="J1544" i="4"/>
  <c r="I1544" i="4"/>
  <c r="H1544" i="4"/>
  <c r="G1544" i="4"/>
  <c r="F1544" i="4"/>
  <c r="J1543" i="4"/>
  <c r="I1543" i="4"/>
  <c r="H1543" i="4"/>
  <c r="G1543" i="4"/>
  <c r="F1543" i="4"/>
  <c r="J1542" i="4"/>
  <c r="I1542" i="4"/>
  <c r="H1542" i="4"/>
  <c r="G1542" i="4"/>
  <c r="F1542" i="4"/>
  <c r="J1541" i="4"/>
  <c r="I1541" i="4"/>
  <c r="H1541" i="4"/>
  <c r="G1541" i="4"/>
  <c r="F1541" i="4"/>
  <c r="J1540" i="4"/>
  <c r="I1540" i="4"/>
  <c r="H1540" i="4"/>
  <c r="G1540" i="4"/>
  <c r="F1540" i="4"/>
  <c r="J1539" i="4"/>
  <c r="I1539" i="4"/>
  <c r="H1539" i="4"/>
  <c r="G1539" i="4"/>
  <c r="F1539" i="4"/>
  <c r="J1538" i="4"/>
  <c r="I1538" i="4"/>
  <c r="H1538" i="4"/>
  <c r="G1538" i="4"/>
  <c r="F1538" i="4"/>
  <c r="J1537" i="4"/>
  <c r="I1537" i="4"/>
  <c r="H1537" i="4"/>
  <c r="G1537" i="4"/>
  <c r="F1537" i="4"/>
  <c r="J1536" i="4"/>
  <c r="I1536" i="4"/>
  <c r="H1536" i="4"/>
  <c r="G1536" i="4"/>
  <c r="F1536" i="4"/>
  <c r="J1535" i="4"/>
  <c r="I1535" i="4"/>
  <c r="H1535" i="4"/>
  <c r="G1535" i="4"/>
  <c r="F1535" i="4"/>
  <c r="J1534" i="4"/>
  <c r="I1534" i="4"/>
  <c r="H1534" i="4"/>
  <c r="G1534" i="4"/>
  <c r="F1534" i="4"/>
  <c r="J1533" i="4"/>
  <c r="I1533" i="4"/>
  <c r="H1533" i="4"/>
  <c r="G1533" i="4"/>
  <c r="F1533" i="4"/>
  <c r="J1532" i="4"/>
  <c r="I1532" i="4"/>
  <c r="H1532" i="4"/>
  <c r="G1532" i="4"/>
  <c r="F1532" i="4"/>
  <c r="J1531" i="4"/>
  <c r="I1531" i="4"/>
  <c r="H1531" i="4"/>
  <c r="G1531" i="4"/>
  <c r="F1531" i="4"/>
  <c r="J1530" i="4"/>
  <c r="I1530" i="4"/>
  <c r="H1530" i="4"/>
  <c r="G1530" i="4"/>
  <c r="F1530" i="4"/>
  <c r="J1529" i="4"/>
  <c r="I1529" i="4"/>
  <c r="H1529" i="4"/>
  <c r="G1529" i="4"/>
  <c r="F1529" i="4"/>
  <c r="J1528" i="4"/>
  <c r="I1528" i="4"/>
  <c r="H1528" i="4"/>
  <c r="G1528" i="4"/>
  <c r="F1528" i="4"/>
  <c r="J1527" i="4"/>
  <c r="I1527" i="4"/>
  <c r="H1527" i="4"/>
  <c r="G1527" i="4"/>
  <c r="F1527" i="4"/>
  <c r="N1526" i="4"/>
  <c r="J479" i="4"/>
  <c r="S480" i="4"/>
  <c r="H480" i="4" s="1"/>
  <c r="S689" i="4"/>
  <c r="I689" i="4" s="1"/>
  <c r="S692" i="4"/>
  <c r="I692" i="4" s="1"/>
  <c r="F732" i="4"/>
  <c r="F733" i="4"/>
  <c r="G734" i="4"/>
  <c r="F736" i="4"/>
  <c r="S759" i="4"/>
  <c r="I759" i="4" s="1"/>
  <c r="S761" i="4"/>
  <c r="I761" i="4" s="1"/>
  <c r="S763" i="4"/>
  <c r="I763" i="4" s="1"/>
  <c r="P1288" i="4"/>
  <c r="P1289" i="4" s="1"/>
  <c r="J1289" i="4" s="1"/>
  <c r="P1293" i="4"/>
  <c r="P1294" i="4" s="1"/>
  <c r="J1294" i="4" s="1"/>
  <c r="P1299" i="4"/>
  <c r="P1300" i="4" s="1"/>
  <c r="P1301" i="4" s="1"/>
  <c r="F1301" i="4" s="1"/>
  <c r="P1303" i="4"/>
  <c r="P1304" i="4" s="1"/>
  <c r="P1305" i="4" s="1"/>
  <c r="P1306" i="4" s="1"/>
  <c r="J1306" i="4" s="1"/>
  <c r="P1308" i="4"/>
  <c r="P1309" i="4" s="1"/>
  <c r="G1309" i="4" s="1"/>
  <c r="P1313" i="4"/>
  <c r="P1314" i="4" s="1"/>
  <c r="J1314" i="4" s="1"/>
  <c r="P1318" i="4"/>
  <c r="P1319" i="4" s="1"/>
  <c r="F1319" i="4" s="1"/>
  <c r="P1323" i="4"/>
  <c r="P1324" i="4" s="1"/>
  <c r="P1328" i="4"/>
  <c r="P1329" i="4" s="1"/>
  <c r="P1333" i="4"/>
  <c r="P1334" i="4" s="1"/>
  <c r="P1338" i="4"/>
  <c r="P1339" i="4" s="1"/>
  <c r="P1343" i="4"/>
  <c r="P1344" i="4" s="1"/>
  <c r="P1348" i="4"/>
  <c r="P1349" i="4" s="1"/>
  <c r="P1353" i="4"/>
  <c r="P1354" i="4" s="1"/>
  <c r="J1354" i="4" s="1"/>
  <c r="P1358" i="4"/>
  <c r="P1359" i="4" s="1"/>
  <c r="P1363" i="4"/>
  <c r="P1364" i="4" s="1"/>
  <c r="P1368" i="4"/>
  <c r="P1369" i="4" s="1"/>
  <c r="J1369" i="4" s="1"/>
  <c r="P1373" i="4"/>
  <c r="P1374" i="4" s="1"/>
  <c r="P1378" i="4"/>
  <c r="P1379" i="4" s="1"/>
  <c r="P1383" i="4"/>
  <c r="P1384" i="4" s="1"/>
  <c r="J1384" i="4" s="1"/>
  <c r="P2052" i="4"/>
  <c r="P2053" i="4" s="1"/>
  <c r="P2054" i="4" s="1"/>
  <c r="P2055" i="4" s="1"/>
  <c r="J2055" i="4" s="1"/>
  <c r="P2057" i="4"/>
  <c r="P2058" i="4" s="1"/>
  <c r="P2059" i="4" s="1"/>
  <c r="P2060" i="4" s="1"/>
  <c r="P2062" i="4"/>
  <c r="P2063" i="4" s="1"/>
  <c r="G2063" i="4" s="1"/>
  <c r="P2067" i="4"/>
  <c r="P2068" i="4" s="1"/>
  <c r="P2072" i="4"/>
  <c r="P2073" i="4" s="1"/>
  <c r="P2077" i="4"/>
  <c r="P2078" i="4" s="1"/>
  <c r="J2078" i="4" s="1"/>
  <c r="P2082" i="4"/>
  <c r="P2083" i="4" s="1"/>
  <c r="G2083" i="4" s="1"/>
  <c r="P2087" i="4"/>
  <c r="P2088" i="4" s="1"/>
  <c r="P2092" i="4"/>
  <c r="P2093" i="4" s="1"/>
  <c r="G2093" i="4" s="1"/>
  <c r="P2097" i="4"/>
  <c r="P2098" i="4" s="1"/>
  <c r="G2098" i="4" s="1"/>
  <c r="P2102" i="4"/>
  <c r="P2103" i="4" s="1"/>
  <c r="P2107" i="4"/>
  <c r="P2108" i="4" s="1"/>
  <c r="P2112" i="4"/>
  <c r="P2113" i="4" s="1"/>
  <c r="P2117" i="4"/>
  <c r="P2118" i="4" s="1"/>
  <c r="P2122" i="4"/>
  <c r="P2123" i="4" s="1"/>
  <c r="P2127" i="4"/>
  <c r="P2128" i="4" s="1"/>
  <c r="J2128" i="4" s="1"/>
  <c r="P2132" i="4"/>
  <c r="P2133" i="4" s="1"/>
  <c r="P2134" i="4" s="1"/>
  <c r="P2135" i="4" s="1"/>
  <c r="J2135" i="4" s="1"/>
  <c r="P2137" i="4"/>
  <c r="P2138" i="4" s="1"/>
  <c r="P2139" i="4" s="1"/>
  <c r="P2140" i="4" s="1"/>
  <c r="J2140" i="4" s="1"/>
  <c r="P2142" i="4"/>
  <c r="P2143" i="4" s="1"/>
  <c r="P2147" i="4"/>
  <c r="P2148" i="4" s="1"/>
  <c r="P2149" i="4" s="1"/>
  <c r="F2149" i="4" s="1"/>
  <c r="P2152" i="4"/>
  <c r="P2153" i="4" s="1"/>
  <c r="P2154" i="4" s="1"/>
  <c r="P2157" i="4"/>
  <c r="P2158" i="4" s="1"/>
  <c r="P2159" i="4" s="1"/>
  <c r="J2159" i="4" s="1"/>
  <c r="P2162" i="4"/>
  <c r="P2163" i="4" s="1"/>
  <c r="G2163" i="4" s="1"/>
  <c r="P2167" i="4"/>
  <c r="P2168" i="4" s="1"/>
  <c r="P2169" i="4" s="1"/>
  <c r="P2170" i="4" s="1"/>
  <c r="F2170" i="4" s="1"/>
  <c r="P2172" i="4"/>
  <c r="P2173" i="4" s="1"/>
  <c r="J2173" i="4" s="1"/>
  <c r="P2177" i="4"/>
  <c r="P2178" i="4" s="1"/>
  <c r="G2178" i="4" s="1"/>
  <c r="P2182" i="4"/>
  <c r="P2183" i="4" s="1"/>
  <c r="J2183" i="4" s="1"/>
  <c r="P2187" i="4"/>
  <c r="P2188" i="4" s="1"/>
  <c r="P2192" i="4"/>
  <c r="P2193" i="4" s="1"/>
  <c r="P2197" i="4"/>
  <c r="P2198" i="4" s="1"/>
  <c r="P2199" i="4" s="1"/>
  <c r="P2200" i="4" s="1"/>
  <c r="J2200" i="4" s="1"/>
  <c r="P2202" i="4"/>
  <c r="P2203" i="4" s="1"/>
  <c r="P2204" i="4" s="1"/>
  <c r="J2204" i="4" s="1"/>
  <c r="P2207" i="4"/>
  <c r="P2208" i="4" s="1"/>
  <c r="G2208" i="4" s="1"/>
  <c r="P2212" i="4"/>
  <c r="P2213" i="4" s="1"/>
  <c r="P2217" i="4"/>
  <c r="P2218" i="4" s="1"/>
  <c r="G2218" i="4" s="1"/>
  <c r="P2222" i="4"/>
  <c r="P2223" i="4" s="1"/>
  <c r="G2223" i="4" s="1"/>
  <c r="P2227" i="4"/>
  <c r="P2228" i="4" s="1"/>
  <c r="P2229" i="4" s="1"/>
  <c r="P2230" i="4" s="1"/>
  <c r="J2230" i="4" s="1"/>
  <c r="P2232" i="4"/>
  <c r="P2233" i="4" s="1"/>
  <c r="J2233" i="4" s="1"/>
  <c r="P2237" i="4"/>
  <c r="P2238" i="4" s="1"/>
  <c r="P2239" i="4" s="1"/>
  <c r="P2242" i="4"/>
  <c r="P2243" i="4" s="1"/>
  <c r="G2243" i="4" s="1"/>
  <c r="P2247" i="4"/>
  <c r="P2248" i="4" s="1"/>
  <c r="J2248" i="4" s="1"/>
  <c r="P2252" i="4"/>
  <c r="P2253" i="4" s="1"/>
  <c r="P2257" i="4"/>
  <c r="P2258" i="4" s="1"/>
  <c r="P2262" i="4"/>
  <c r="P2263" i="4" s="1"/>
  <c r="P2264" i="4" s="1"/>
  <c r="F2264" i="4" s="1"/>
  <c r="J2687" i="4"/>
  <c r="I2687" i="4"/>
  <c r="H2687" i="4"/>
  <c r="G2687" i="4"/>
  <c r="F2687" i="4"/>
  <c r="J2688" i="4"/>
  <c r="I2688" i="4"/>
  <c r="H2688" i="4"/>
  <c r="G2688" i="4"/>
  <c r="F2688" i="4"/>
  <c r="J2686" i="4"/>
  <c r="I2686" i="4"/>
  <c r="H2686" i="4"/>
  <c r="G2686" i="4"/>
  <c r="F2686" i="4"/>
  <c r="I2611" i="4"/>
  <c r="I2612" i="4"/>
  <c r="I2613" i="4"/>
  <c r="I2614" i="4"/>
  <c r="I2610" i="4"/>
  <c r="I2621" i="4"/>
  <c r="I2622" i="4"/>
  <c r="I2623" i="4"/>
  <c r="I2624" i="4"/>
  <c r="I2620" i="4"/>
  <c r="J2624" i="4"/>
  <c r="H2624" i="4"/>
  <c r="G2624" i="4"/>
  <c r="F2624" i="4"/>
  <c r="J2623" i="4"/>
  <c r="H2623" i="4"/>
  <c r="G2623" i="4"/>
  <c r="F2623" i="4"/>
  <c r="J2622" i="4"/>
  <c r="H2622" i="4"/>
  <c r="G2622" i="4"/>
  <c r="F2622" i="4"/>
  <c r="J2621" i="4"/>
  <c r="H2621" i="4"/>
  <c r="G2621" i="4"/>
  <c r="F2621" i="4"/>
  <c r="J2620" i="4"/>
  <c r="H2620" i="4"/>
  <c r="G2620" i="4"/>
  <c r="F2620" i="4"/>
  <c r="J2619" i="4"/>
  <c r="I2619" i="4"/>
  <c r="H2619" i="4"/>
  <c r="G2619" i="4"/>
  <c r="F2619" i="4"/>
  <c r="J2618" i="4"/>
  <c r="I2618" i="4"/>
  <c r="H2618" i="4"/>
  <c r="G2618" i="4"/>
  <c r="F2618" i="4"/>
  <c r="J2617" i="4"/>
  <c r="I2617" i="4"/>
  <c r="H2617" i="4"/>
  <c r="G2617" i="4"/>
  <c r="F2617" i="4"/>
  <c r="J2616" i="4"/>
  <c r="I2616" i="4"/>
  <c r="H2616" i="4"/>
  <c r="G2616" i="4"/>
  <c r="F2616" i="4"/>
  <c r="J2615" i="4"/>
  <c r="I2615" i="4"/>
  <c r="H2615" i="4"/>
  <c r="G2615" i="4"/>
  <c r="F2615" i="4"/>
  <c r="J2614" i="4"/>
  <c r="H2614" i="4"/>
  <c r="G2614" i="4"/>
  <c r="F2614" i="4"/>
  <c r="J2613" i="4"/>
  <c r="H2613" i="4"/>
  <c r="G2613" i="4"/>
  <c r="F2613" i="4"/>
  <c r="J2612" i="4"/>
  <c r="H2612" i="4"/>
  <c r="G2612" i="4"/>
  <c r="F2612" i="4"/>
  <c r="J2611" i="4"/>
  <c r="H2611" i="4"/>
  <c r="G2611" i="4"/>
  <c r="F2611" i="4"/>
  <c r="J2610" i="4"/>
  <c r="H2610" i="4"/>
  <c r="G2610" i="4"/>
  <c r="F2610" i="4"/>
  <c r="J2609" i="4"/>
  <c r="I2609" i="4"/>
  <c r="H2609" i="4"/>
  <c r="G2609" i="4"/>
  <c r="F2609" i="4"/>
  <c r="J2608" i="4"/>
  <c r="I2608" i="4"/>
  <c r="H2608" i="4"/>
  <c r="G2608" i="4"/>
  <c r="F2608" i="4"/>
  <c r="J2607" i="4"/>
  <c r="I2607" i="4"/>
  <c r="H2607" i="4"/>
  <c r="G2607" i="4"/>
  <c r="F2607" i="4"/>
  <c r="J2606" i="4"/>
  <c r="I2606" i="4"/>
  <c r="H2606" i="4"/>
  <c r="G2606" i="4"/>
  <c r="F2606" i="4"/>
  <c r="J2605" i="4"/>
  <c r="I2605" i="4"/>
  <c r="H2605" i="4"/>
  <c r="G2605" i="4"/>
  <c r="F2605" i="4"/>
  <c r="J2604" i="4"/>
  <c r="I2604" i="4"/>
  <c r="H2604" i="4"/>
  <c r="G2604" i="4"/>
  <c r="F2604" i="4"/>
  <c r="J2603" i="4"/>
  <c r="I2603" i="4"/>
  <c r="H2603" i="4"/>
  <c r="G2603" i="4"/>
  <c r="F2603" i="4"/>
  <c r="J2602" i="4"/>
  <c r="I2602" i="4"/>
  <c r="H2602" i="4"/>
  <c r="G2602" i="4"/>
  <c r="F2602" i="4"/>
  <c r="J2601" i="4"/>
  <c r="I2601" i="4"/>
  <c r="H2601" i="4"/>
  <c r="G2601" i="4"/>
  <c r="F2601" i="4"/>
  <c r="J2600" i="4"/>
  <c r="I2600" i="4"/>
  <c r="H2600" i="4"/>
  <c r="G2600" i="4"/>
  <c r="F2600" i="4"/>
  <c r="S2262" i="4"/>
  <c r="I2262" i="4" s="1"/>
  <c r="S2257" i="4"/>
  <c r="H2257" i="4" s="1"/>
  <c r="S2252" i="4"/>
  <c r="I2252" i="4" s="1"/>
  <c r="S2247" i="4"/>
  <c r="S2248" i="4" s="1"/>
  <c r="S2249" i="4" s="1"/>
  <c r="H2249" i="4" s="1"/>
  <c r="S2242" i="4"/>
  <c r="I2242" i="4" s="1"/>
  <c r="J2261" i="4"/>
  <c r="I2261" i="4"/>
  <c r="H2261" i="4"/>
  <c r="G2261" i="4"/>
  <c r="F2261" i="4"/>
  <c r="J2256" i="4"/>
  <c r="I2256" i="4"/>
  <c r="H2256" i="4"/>
  <c r="G2256" i="4"/>
  <c r="F2256" i="4"/>
  <c r="J2251" i="4"/>
  <c r="I2251" i="4"/>
  <c r="H2251" i="4"/>
  <c r="G2251" i="4"/>
  <c r="F2251" i="4"/>
  <c r="J2246" i="4"/>
  <c r="I2246" i="4"/>
  <c r="H2246" i="4"/>
  <c r="G2246" i="4"/>
  <c r="F2246" i="4"/>
  <c r="J2241" i="4"/>
  <c r="I2241" i="4"/>
  <c r="H2241" i="4"/>
  <c r="G2241" i="4"/>
  <c r="F2241" i="4"/>
  <c r="J1392" i="4"/>
  <c r="I1392" i="4"/>
  <c r="H1392" i="4"/>
  <c r="G1392" i="4"/>
  <c r="F1392" i="4"/>
  <c r="I1391" i="4"/>
  <c r="H1391" i="4"/>
  <c r="I1390" i="4"/>
  <c r="H1390" i="4"/>
  <c r="I1389" i="4"/>
  <c r="H1389" i="4"/>
  <c r="I1388" i="4"/>
  <c r="H1388" i="4"/>
  <c r="I1387" i="4"/>
  <c r="H1387" i="4"/>
  <c r="I849" i="4"/>
  <c r="I847" i="4"/>
  <c r="H846" i="4"/>
  <c r="H845" i="4"/>
  <c r="I844" i="4"/>
  <c r="H843" i="4"/>
  <c r="H841" i="4"/>
  <c r="I840" i="4"/>
  <c r="H839" i="4"/>
  <c r="H837" i="4"/>
  <c r="I836" i="4"/>
  <c r="I835" i="4"/>
  <c r="J2681" i="4"/>
  <c r="I2681" i="4"/>
  <c r="H2681" i="4"/>
  <c r="G2681" i="4"/>
  <c r="F2681" i="4"/>
  <c r="J897" i="4"/>
  <c r="G897" i="4"/>
  <c r="F897" i="4"/>
  <c r="J896" i="4"/>
  <c r="G896" i="4"/>
  <c r="F896" i="4"/>
  <c r="J895" i="4"/>
  <c r="G895" i="4"/>
  <c r="F895" i="4"/>
  <c r="J894" i="4"/>
  <c r="G894" i="4"/>
  <c r="F894" i="4"/>
  <c r="J893" i="4"/>
  <c r="G893" i="4"/>
  <c r="F893" i="4"/>
  <c r="J892" i="4"/>
  <c r="G892" i="4"/>
  <c r="F892" i="4"/>
  <c r="J891" i="4"/>
  <c r="G891" i="4"/>
  <c r="F891" i="4"/>
  <c r="J890" i="4"/>
  <c r="G890" i="4"/>
  <c r="F890" i="4"/>
  <c r="J889" i="4"/>
  <c r="G889" i="4"/>
  <c r="F889" i="4"/>
  <c r="J888" i="4"/>
  <c r="G888" i="4"/>
  <c r="F888" i="4"/>
  <c r="J849" i="4"/>
  <c r="G849" i="4"/>
  <c r="F849" i="4"/>
  <c r="J848" i="4"/>
  <c r="G848" i="4"/>
  <c r="F848" i="4"/>
  <c r="J847" i="4"/>
  <c r="G847" i="4"/>
  <c r="F847" i="4"/>
  <c r="J846" i="4"/>
  <c r="G846" i="4"/>
  <c r="F846" i="4"/>
  <c r="J845" i="4"/>
  <c r="G845" i="4"/>
  <c r="F845" i="4"/>
  <c r="J844" i="4"/>
  <c r="G844" i="4"/>
  <c r="F844" i="4"/>
  <c r="J843" i="4"/>
  <c r="G843" i="4"/>
  <c r="F843" i="4"/>
  <c r="J842" i="4"/>
  <c r="G842" i="4"/>
  <c r="F842" i="4"/>
  <c r="J841" i="4"/>
  <c r="G841" i="4"/>
  <c r="F841" i="4"/>
  <c r="J840" i="4"/>
  <c r="G840" i="4"/>
  <c r="F840" i="4"/>
  <c r="J839" i="4"/>
  <c r="G839" i="4"/>
  <c r="F839" i="4"/>
  <c r="J838" i="4"/>
  <c r="G838" i="4"/>
  <c r="F838" i="4"/>
  <c r="J837" i="4"/>
  <c r="G837" i="4"/>
  <c r="F837" i="4"/>
  <c r="J836" i="4"/>
  <c r="G836" i="4"/>
  <c r="F836" i="4"/>
  <c r="J835" i="4"/>
  <c r="G835" i="4"/>
  <c r="F835" i="4"/>
  <c r="H479" i="4"/>
  <c r="I479" i="4"/>
  <c r="J2680" i="4"/>
  <c r="I2680" i="4"/>
  <c r="H2680" i="4"/>
  <c r="G2680" i="4"/>
  <c r="F2680" i="4"/>
  <c r="J2678" i="4"/>
  <c r="I2678" i="4"/>
  <c r="H2678" i="4"/>
  <c r="G2678" i="4"/>
  <c r="F2678" i="4"/>
  <c r="S2237" i="4"/>
  <c r="S2238" i="4" s="1"/>
  <c r="S2239" i="4" s="1"/>
  <c r="I2239" i="4" s="1"/>
  <c r="J2236" i="4"/>
  <c r="I2236" i="4"/>
  <c r="H2236" i="4"/>
  <c r="G2236" i="4"/>
  <c r="F2236" i="4"/>
  <c r="S2232" i="4"/>
  <c r="S2233" i="4" s="1"/>
  <c r="J2231" i="4"/>
  <c r="I2231" i="4"/>
  <c r="H2231" i="4"/>
  <c r="G2231" i="4"/>
  <c r="F2231" i="4"/>
  <c r="S2227" i="4"/>
  <c r="S2228" i="4" s="1"/>
  <c r="S2229" i="4" s="1"/>
  <c r="I2229" i="4" s="1"/>
  <c r="J2226" i="4"/>
  <c r="I2226" i="4"/>
  <c r="H2226" i="4"/>
  <c r="G2226" i="4"/>
  <c r="F2226" i="4"/>
  <c r="S2222" i="4"/>
  <c r="S2223" i="4" s="1"/>
  <c r="S2224" i="4" s="1"/>
  <c r="S2225" i="4" s="1"/>
  <c r="I2225" i="4" s="1"/>
  <c r="J2221" i="4"/>
  <c r="I2221" i="4"/>
  <c r="H2221" i="4"/>
  <c r="G2221" i="4"/>
  <c r="F2221" i="4"/>
  <c r="S2217" i="4"/>
  <c r="S2218" i="4" s="1"/>
  <c r="S2219" i="4" s="1"/>
  <c r="S2220" i="4" s="1"/>
  <c r="J2216" i="4"/>
  <c r="I2216" i="4"/>
  <c r="H2216" i="4"/>
  <c r="G2216" i="4"/>
  <c r="F2216" i="4"/>
  <c r="J827" i="4"/>
  <c r="I827" i="4"/>
  <c r="H827" i="4"/>
  <c r="G827" i="4"/>
  <c r="F827" i="4"/>
  <c r="J826" i="4"/>
  <c r="I826" i="4"/>
  <c r="H826" i="4"/>
  <c r="G826" i="4"/>
  <c r="F826" i="4"/>
  <c r="J825" i="4"/>
  <c r="I825" i="4"/>
  <c r="H825" i="4"/>
  <c r="G825" i="4"/>
  <c r="F825" i="4"/>
  <c r="J824" i="4"/>
  <c r="I824" i="4"/>
  <c r="H824" i="4"/>
  <c r="G824" i="4"/>
  <c r="F824" i="4"/>
  <c r="J823" i="4"/>
  <c r="I823" i="4"/>
  <c r="H823" i="4"/>
  <c r="G823" i="4"/>
  <c r="F823" i="4"/>
  <c r="J822" i="4"/>
  <c r="I822" i="4"/>
  <c r="H822" i="4"/>
  <c r="G822" i="4"/>
  <c r="F822" i="4"/>
  <c r="J821" i="4"/>
  <c r="I821" i="4"/>
  <c r="H821" i="4"/>
  <c r="G821" i="4"/>
  <c r="F821" i="4"/>
  <c r="J820" i="4"/>
  <c r="I820" i="4"/>
  <c r="H820" i="4"/>
  <c r="G820" i="4"/>
  <c r="F820" i="4"/>
  <c r="J819" i="4"/>
  <c r="I819" i="4"/>
  <c r="H819" i="4"/>
  <c r="G819" i="4"/>
  <c r="F819" i="4"/>
  <c r="J818" i="4"/>
  <c r="I818" i="4"/>
  <c r="H818" i="4"/>
  <c r="G818" i="4"/>
  <c r="F818" i="4"/>
  <c r="J757" i="4"/>
  <c r="I757" i="4"/>
  <c r="H757" i="4"/>
  <c r="G757" i="4"/>
  <c r="F757" i="4"/>
  <c r="J756" i="4"/>
  <c r="I756" i="4"/>
  <c r="H756" i="4"/>
  <c r="G756" i="4"/>
  <c r="F756" i="4"/>
  <c r="J755" i="4"/>
  <c r="I755" i="4"/>
  <c r="H755" i="4"/>
  <c r="G755" i="4"/>
  <c r="F755" i="4"/>
  <c r="J754" i="4"/>
  <c r="I754" i="4"/>
  <c r="H754" i="4"/>
  <c r="G754" i="4"/>
  <c r="F754" i="4"/>
  <c r="J753" i="4"/>
  <c r="I753" i="4"/>
  <c r="H753" i="4"/>
  <c r="G753" i="4"/>
  <c r="F753" i="4"/>
  <c r="J752" i="4"/>
  <c r="I752" i="4"/>
  <c r="H752" i="4"/>
  <c r="G752" i="4"/>
  <c r="F752" i="4"/>
  <c r="J751" i="4"/>
  <c r="I751" i="4"/>
  <c r="H751" i="4"/>
  <c r="G751" i="4"/>
  <c r="F751" i="4"/>
  <c r="J750" i="4"/>
  <c r="I750" i="4"/>
  <c r="H750" i="4"/>
  <c r="G750" i="4"/>
  <c r="F750" i="4"/>
  <c r="J749" i="4"/>
  <c r="I749" i="4"/>
  <c r="H749" i="4"/>
  <c r="G749" i="4"/>
  <c r="F749" i="4"/>
  <c r="J748" i="4"/>
  <c r="I748" i="4"/>
  <c r="H748" i="4"/>
  <c r="G748" i="4"/>
  <c r="F748" i="4"/>
  <c r="J687" i="4"/>
  <c r="I687" i="4"/>
  <c r="H687" i="4"/>
  <c r="G687" i="4"/>
  <c r="F687" i="4"/>
  <c r="J686" i="4"/>
  <c r="I686" i="4"/>
  <c r="H686" i="4"/>
  <c r="G686" i="4"/>
  <c r="F686" i="4"/>
  <c r="J685" i="4"/>
  <c r="I685" i="4"/>
  <c r="H685" i="4"/>
  <c r="G685" i="4"/>
  <c r="F685" i="4"/>
  <c r="J684" i="4"/>
  <c r="I684" i="4"/>
  <c r="H684" i="4"/>
  <c r="G684" i="4"/>
  <c r="F684" i="4"/>
  <c r="J683" i="4"/>
  <c r="I683" i="4"/>
  <c r="H683" i="4"/>
  <c r="G683" i="4"/>
  <c r="F683" i="4"/>
  <c r="J682" i="4"/>
  <c r="I682" i="4"/>
  <c r="H682" i="4"/>
  <c r="G682" i="4"/>
  <c r="F682" i="4"/>
  <c r="J681" i="4"/>
  <c r="I681" i="4"/>
  <c r="H681" i="4"/>
  <c r="G681" i="4"/>
  <c r="F681" i="4"/>
  <c r="J680" i="4"/>
  <c r="I680" i="4"/>
  <c r="H680" i="4"/>
  <c r="G680" i="4"/>
  <c r="F680" i="4"/>
  <c r="J679" i="4"/>
  <c r="I679" i="4"/>
  <c r="H679" i="4"/>
  <c r="G679" i="4"/>
  <c r="F679" i="4"/>
  <c r="J678" i="4"/>
  <c r="I678" i="4"/>
  <c r="H678" i="4"/>
  <c r="G678" i="4"/>
  <c r="F678" i="4"/>
  <c r="J617" i="4"/>
  <c r="I617" i="4"/>
  <c r="H617" i="4"/>
  <c r="G617" i="4"/>
  <c r="F617" i="4"/>
  <c r="J616" i="4"/>
  <c r="I616" i="4"/>
  <c r="H616" i="4"/>
  <c r="G616" i="4"/>
  <c r="F616" i="4"/>
  <c r="J615" i="4"/>
  <c r="I615" i="4"/>
  <c r="H615" i="4"/>
  <c r="G615" i="4"/>
  <c r="F615" i="4"/>
  <c r="J614" i="4"/>
  <c r="I614" i="4"/>
  <c r="H614" i="4"/>
  <c r="G614" i="4"/>
  <c r="F614" i="4"/>
  <c r="J613" i="4"/>
  <c r="I613" i="4"/>
  <c r="H613" i="4"/>
  <c r="G613" i="4"/>
  <c r="F613" i="4"/>
  <c r="J612" i="4"/>
  <c r="I612" i="4"/>
  <c r="H612" i="4"/>
  <c r="G612" i="4"/>
  <c r="F612" i="4"/>
  <c r="J611" i="4"/>
  <c r="I611" i="4"/>
  <c r="H611" i="4"/>
  <c r="G611" i="4"/>
  <c r="F611" i="4"/>
  <c r="J610" i="4"/>
  <c r="I610" i="4"/>
  <c r="H610" i="4"/>
  <c r="G610" i="4"/>
  <c r="F610" i="4"/>
  <c r="J609" i="4"/>
  <c r="I609" i="4"/>
  <c r="H609" i="4"/>
  <c r="G609" i="4"/>
  <c r="F609" i="4"/>
  <c r="J608" i="4"/>
  <c r="I608" i="4"/>
  <c r="H608" i="4"/>
  <c r="G608" i="4"/>
  <c r="F608" i="4"/>
  <c r="N153" i="4"/>
  <c r="N158" i="4"/>
  <c r="N161" i="4"/>
  <c r="N164" i="4"/>
  <c r="N167" i="4"/>
  <c r="N169" i="4"/>
  <c r="N172" i="4"/>
  <c r="N298" i="4"/>
  <c r="J547" i="4"/>
  <c r="I547" i="4"/>
  <c r="H547" i="4"/>
  <c r="G547" i="4"/>
  <c r="F547" i="4"/>
  <c r="J546" i="4"/>
  <c r="I546" i="4"/>
  <c r="H546" i="4"/>
  <c r="G546" i="4"/>
  <c r="F546" i="4"/>
  <c r="J545" i="4"/>
  <c r="I545" i="4"/>
  <c r="H545" i="4"/>
  <c r="G545" i="4"/>
  <c r="F545" i="4"/>
  <c r="J544" i="4"/>
  <c r="I544" i="4"/>
  <c r="H544" i="4"/>
  <c r="G544" i="4"/>
  <c r="F544" i="4"/>
  <c r="J543" i="4"/>
  <c r="I543" i="4"/>
  <c r="H543" i="4"/>
  <c r="G543" i="4"/>
  <c r="F543" i="4"/>
  <c r="J542" i="4"/>
  <c r="I542" i="4"/>
  <c r="H542" i="4"/>
  <c r="G542" i="4"/>
  <c r="F542" i="4"/>
  <c r="J541" i="4"/>
  <c r="I541" i="4"/>
  <c r="H541" i="4"/>
  <c r="G541" i="4"/>
  <c r="F541" i="4"/>
  <c r="J540" i="4"/>
  <c r="I540" i="4"/>
  <c r="H540" i="4"/>
  <c r="G540" i="4"/>
  <c r="F540" i="4"/>
  <c r="J539" i="4"/>
  <c r="I539" i="4"/>
  <c r="H539" i="4"/>
  <c r="G539" i="4"/>
  <c r="F539" i="4"/>
  <c r="J538" i="4"/>
  <c r="I538" i="4"/>
  <c r="H538" i="4"/>
  <c r="G538" i="4"/>
  <c r="F538" i="4"/>
  <c r="J537" i="4"/>
  <c r="I537" i="4"/>
  <c r="H537" i="4"/>
  <c r="G537" i="4"/>
  <c r="F537" i="4"/>
  <c r="J536" i="4"/>
  <c r="I536" i="4"/>
  <c r="H536" i="4"/>
  <c r="G536" i="4"/>
  <c r="F536" i="4"/>
  <c r="J535" i="4"/>
  <c r="I535" i="4"/>
  <c r="H535" i="4"/>
  <c r="G535" i="4"/>
  <c r="F535" i="4"/>
  <c r="J534" i="4"/>
  <c r="I534" i="4"/>
  <c r="H534" i="4"/>
  <c r="G534" i="4"/>
  <c r="F534" i="4"/>
  <c r="J533" i="4"/>
  <c r="I533" i="4"/>
  <c r="H533" i="4"/>
  <c r="G533" i="4"/>
  <c r="F533" i="4"/>
  <c r="J477" i="4"/>
  <c r="I477" i="4"/>
  <c r="H477" i="4"/>
  <c r="G477" i="4"/>
  <c r="F477" i="4"/>
  <c r="J476" i="4"/>
  <c r="I476" i="4"/>
  <c r="H476" i="4"/>
  <c r="G476" i="4"/>
  <c r="F476" i="4"/>
  <c r="J475" i="4"/>
  <c r="I475" i="4"/>
  <c r="H475" i="4"/>
  <c r="G475" i="4"/>
  <c r="F475" i="4"/>
  <c r="J474" i="4"/>
  <c r="I474" i="4"/>
  <c r="H474" i="4"/>
  <c r="G474" i="4"/>
  <c r="F474" i="4"/>
  <c r="J473" i="4"/>
  <c r="I473" i="4"/>
  <c r="H473" i="4"/>
  <c r="G473" i="4"/>
  <c r="F473" i="4"/>
  <c r="J472" i="4"/>
  <c r="I472" i="4"/>
  <c r="H472" i="4"/>
  <c r="G472" i="4"/>
  <c r="F472" i="4"/>
  <c r="J471" i="4"/>
  <c r="I471" i="4"/>
  <c r="H471" i="4"/>
  <c r="G471" i="4"/>
  <c r="F471" i="4"/>
  <c r="J470" i="4"/>
  <c r="I470" i="4"/>
  <c r="H470" i="4"/>
  <c r="G470" i="4"/>
  <c r="F470" i="4"/>
  <c r="J469" i="4"/>
  <c r="I469" i="4"/>
  <c r="H469" i="4"/>
  <c r="G469" i="4"/>
  <c r="F469" i="4"/>
  <c r="J468" i="4"/>
  <c r="I468" i="4"/>
  <c r="H468" i="4"/>
  <c r="G468" i="4"/>
  <c r="F468" i="4"/>
  <c r="J2677" i="4"/>
  <c r="I2677" i="4"/>
  <c r="H2677" i="4"/>
  <c r="G2677" i="4"/>
  <c r="F2677" i="4"/>
  <c r="J2676" i="4"/>
  <c r="I2676" i="4"/>
  <c r="H2676" i="4"/>
  <c r="G2676" i="4"/>
  <c r="F2676" i="4"/>
  <c r="J2675" i="4"/>
  <c r="I2675" i="4"/>
  <c r="H2675" i="4"/>
  <c r="G2675" i="4"/>
  <c r="F2675" i="4"/>
  <c r="F2663" i="4"/>
  <c r="G2663" i="4"/>
  <c r="J2663" i="4"/>
  <c r="H2663" i="4"/>
  <c r="I2663" i="4"/>
  <c r="S2674" i="4"/>
  <c r="I2674" i="4" s="1"/>
  <c r="S2673" i="4"/>
  <c r="I2673" i="4" s="1"/>
  <c r="S2672" i="4"/>
  <c r="H2672" i="4" s="1"/>
  <c r="S2671" i="4"/>
  <c r="H2671" i="4" s="1"/>
  <c r="S2670" i="4"/>
  <c r="H2670" i="4" s="1"/>
  <c r="S2669" i="4"/>
  <c r="I2669" i="4" s="1"/>
  <c r="S2668" i="4"/>
  <c r="I2668" i="4" s="1"/>
  <c r="S2667" i="4"/>
  <c r="I2667" i="4" s="1"/>
  <c r="S2666" i="4"/>
  <c r="H2666" i="4" s="1"/>
  <c r="S2665" i="4"/>
  <c r="H2665" i="4" s="1"/>
  <c r="S2664" i="4"/>
  <c r="I2664" i="4" s="1"/>
  <c r="S2662" i="4"/>
  <c r="H2662" i="4" s="1"/>
  <c r="S2661" i="4"/>
  <c r="I2661" i="4" s="1"/>
  <c r="S2660" i="4"/>
  <c r="H2660" i="4" s="1"/>
  <c r="S2659" i="4"/>
  <c r="H2659" i="4" s="1"/>
  <c r="S2658" i="4"/>
  <c r="H2658" i="4" s="1"/>
  <c r="S2657" i="4"/>
  <c r="I2657" i="4" s="1"/>
  <c r="S2656" i="4"/>
  <c r="I2656" i="4" s="1"/>
  <c r="S2655" i="4"/>
  <c r="H2655" i="4" s="1"/>
  <c r="S2654" i="4"/>
  <c r="I2654" i="4" s="1"/>
  <c r="S2653" i="4"/>
  <c r="H2653" i="4" s="1"/>
  <c r="S2652" i="4"/>
  <c r="H2652" i="4" s="1"/>
  <c r="I2651" i="4"/>
  <c r="J2674" i="4"/>
  <c r="G2674" i="4"/>
  <c r="F2674" i="4"/>
  <c r="J2673" i="4"/>
  <c r="G2673" i="4"/>
  <c r="F2673" i="4"/>
  <c r="J2672" i="4"/>
  <c r="G2672" i="4"/>
  <c r="F2672" i="4"/>
  <c r="J2671" i="4"/>
  <c r="G2671" i="4"/>
  <c r="F2671" i="4"/>
  <c r="J2670" i="4"/>
  <c r="G2670" i="4"/>
  <c r="F2670" i="4"/>
  <c r="J2669" i="4"/>
  <c r="G2669" i="4"/>
  <c r="F2669" i="4"/>
  <c r="J2668" i="4"/>
  <c r="G2668" i="4"/>
  <c r="F2668" i="4"/>
  <c r="J2667" i="4"/>
  <c r="G2667" i="4"/>
  <c r="F2667" i="4"/>
  <c r="J2666" i="4"/>
  <c r="G2666" i="4"/>
  <c r="F2666" i="4"/>
  <c r="J2665" i="4"/>
  <c r="G2665" i="4"/>
  <c r="F2665" i="4"/>
  <c r="J2664" i="4"/>
  <c r="G2664" i="4"/>
  <c r="F2664" i="4"/>
  <c r="J2662" i="4"/>
  <c r="G2662" i="4"/>
  <c r="F2662" i="4"/>
  <c r="J2661" i="4"/>
  <c r="G2661" i="4"/>
  <c r="F2661" i="4"/>
  <c r="J2660" i="4"/>
  <c r="G2660" i="4"/>
  <c r="F2660" i="4"/>
  <c r="J2659" i="4"/>
  <c r="G2659" i="4"/>
  <c r="F2659" i="4"/>
  <c r="J2658" i="4"/>
  <c r="G2658" i="4"/>
  <c r="F2658" i="4"/>
  <c r="J2657" i="4"/>
  <c r="G2657" i="4"/>
  <c r="F2657" i="4"/>
  <c r="J2656" i="4"/>
  <c r="G2656" i="4"/>
  <c r="F2656" i="4"/>
  <c r="J2655" i="4"/>
  <c r="G2655" i="4"/>
  <c r="F2655" i="4"/>
  <c r="J2654" i="4"/>
  <c r="G2654" i="4"/>
  <c r="F2654" i="4"/>
  <c r="J2653" i="4"/>
  <c r="G2653" i="4"/>
  <c r="F2653" i="4"/>
  <c r="J2652" i="4"/>
  <c r="G2652" i="4"/>
  <c r="F2652" i="4"/>
  <c r="J2651" i="4"/>
  <c r="G2651" i="4"/>
  <c r="F2651" i="4"/>
  <c r="H2651" i="4"/>
  <c r="S1406" i="4"/>
  <c r="H1406" i="4" s="1"/>
  <c r="S1407" i="4"/>
  <c r="S1408" i="4"/>
  <c r="H1408" i="4" s="1"/>
  <c r="S1409" i="4"/>
  <c r="I1409" i="4" s="1"/>
  <c r="S1410" i="4"/>
  <c r="H1410" i="4" s="1"/>
  <c r="S1411" i="4"/>
  <c r="S1412" i="4"/>
  <c r="H1412" i="4" s="1"/>
  <c r="S1413" i="4"/>
  <c r="I1413" i="4" s="1"/>
  <c r="S1414" i="4"/>
  <c r="H1414" i="4" s="1"/>
  <c r="S1415" i="4"/>
  <c r="I1415" i="4" s="1"/>
  <c r="S1416" i="4"/>
  <c r="I1416" i="4" s="1"/>
  <c r="S1417" i="4"/>
  <c r="S1418" i="4"/>
  <c r="I1418" i="4" s="1"/>
  <c r="S1419" i="4"/>
  <c r="H1419" i="4" s="1"/>
  <c r="S1420" i="4"/>
  <c r="H1420" i="4" s="1"/>
  <c r="S1421" i="4"/>
  <c r="I1421" i="4" s="1"/>
  <c r="S1422" i="4"/>
  <c r="I1422" i="4" s="1"/>
  <c r="S1423" i="4"/>
  <c r="S1424" i="4"/>
  <c r="H1424" i="4" s="1"/>
  <c r="S1425" i="4"/>
  <c r="H1425" i="4" s="1"/>
  <c r="S1426" i="4"/>
  <c r="H1426" i="4" s="1"/>
  <c r="S1427" i="4"/>
  <c r="I1427" i="4" s="1"/>
  <c r="S1428" i="4"/>
  <c r="I1428" i="4" s="1"/>
  <c r="S1429" i="4"/>
  <c r="I1429" i="4" s="1"/>
  <c r="S1430" i="4"/>
  <c r="S1431" i="4"/>
  <c r="H1431" i="4" s="1"/>
  <c r="S1432" i="4"/>
  <c r="H1432" i="4" s="1"/>
  <c r="S1433" i="4"/>
  <c r="S1434" i="4"/>
  <c r="H1434" i="4" s="1"/>
  <c r="S1435" i="4"/>
  <c r="H1435" i="4" s="1"/>
  <c r="S1436" i="4"/>
  <c r="H1436" i="4" s="1"/>
  <c r="S1437" i="4"/>
  <c r="S1438" i="4"/>
  <c r="I1438" i="4" s="1"/>
  <c r="S1439" i="4"/>
  <c r="I1439" i="4" s="1"/>
  <c r="S1440" i="4"/>
  <c r="I1440" i="4" s="1"/>
  <c r="S1441" i="4"/>
  <c r="I1441" i="4" s="1"/>
  <c r="S1442" i="4"/>
  <c r="H1442" i="4" s="1"/>
  <c r="S1443" i="4"/>
  <c r="I1443" i="4" s="1"/>
  <c r="S1444" i="4"/>
  <c r="S1445" i="4"/>
  <c r="H1445" i="4" s="1"/>
  <c r="S1446" i="4"/>
  <c r="H1446" i="4" s="1"/>
  <c r="S1447" i="4"/>
  <c r="S1448" i="4"/>
  <c r="S1449" i="4"/>
  <c r="S1450" i="4"/>
  <c r="I1450" i="4" s="1"/>
  <c r="S1451" i="4"/>
  <c r="I1451" i="4" s="1"/>
  <c r="S1452" i="4"/>
  <c r="I1452" i="4" s="1"/>
  <c r="S1453" i="4"/>
  <c r="I1453" i="4" s="1"/>
  <c r="S1454" i="4"/>
  <c r="I1454" i="4" s="1"/>
  <c r="S1455" i="4"/>
  <c r="I1455" i="4" s="1"/>
  <c r="S1456" i="4"/>
  <c r="S1457" i="4"/>
  <c r="S1458" i="4"/>
  <c r="S1459" i="4"/>
  <c r="I1459" i="4" s="1"/>
  <c r="S1460" i="4"/>
  <c r="H1460" i="4" s="1"/>
  <c r="S1461" i="4"/>
  <c r="I1461" i="4" s="1"/>
  <c r="S1462" i="4"/>
  <c r="H1462" i="4" s="1"/>
  <c r="S1463" i="4"/>
  <c r="I1463" i="4" s="1"/>
  <c r="S1464" i="4"/>
  <c r="H1464" i="4" s="1"/>
  <c r="S1465" i="4"/>
  <c r="H1465" i="4" s="1"/>
  <c r="S1466" i="4"/>
  <c r="H1466" i="4" s="1"/>
  <c r="S1467" i="4"/>
  <c r="I1467" i="4" s="1"/>
  <c r="S1468" i="4"/>
  <c r="H1468" i="4" s="1"/>
  <c r="S1469" i="4"/>
  <c r="H1469" i="4" s="1"/>
  <c r="S1470" i="4"/>
  <c r="I1470" i="4" s="1"/>
  <c r="S1471" i="4"/>
  <c r="I1471" i="4" s="1"/>
  <c r="S1472" i="4"/>
  <c r="I1472" i="4" s="1"/>
  <c r="S1473" i="4"/>
  <c r="I1473" i="4" s="1"/>
  <c r="S1474" i="4"/>
  <c r="S1475" i="4"/>
  <c r="H1475" i="4" s="1"/>
  <c r="S1476" i="4"/>
  <c r="S1477" i="4"/>
  <c r="I1477" i="4" s="1"/>
  <c r="S1478" i="4"/>
  <c r="H1478" i="4" s="1"/>
  <c r="S1479" i="4"/>
  <c r="I1479" i="4" s="1"/>
  <c r="S1480" i="4"/>
  <c r="I1480" i="4" s="1"/>
  <c r="S1481" i="4"/>
  <c r="H1481" i="4" s="1"/>
  <c r="S1482" i="4"/>
  <c r="S1483" i="4"/>
  <c r="S1484" i="4"/>
  <c r="S1485" i="4"/>
  <c r="S1486" i="4"/>
  <c r="I1486" i="4" s="1"/>
  <c r="S1487" i="4"/>
  <c r="I1487" i="4" s="1"/>
  <c r="S1488" i="4"/>
  <c r="I1488" i="4" s="1"/>
  <c r="S1489" i="4"/>
  <c r="I1489" i="4" s="1"/>
  <c r="S1490" i="4"/>
  <c r="H1490" i="4" s="1"/>
  <c r="S1491" i="4"/>
  <c r="H1491" i="4" s="1"/>
  <c r="S1492" i="4"/>
  <c r="I1492" i="4" s="1"/>
  <c r="S1493" i="4"/>
  <c r="H1493" i="4" s="1"/>
  <c r="S1494" i="4"/>
  <c r="S1495" i="4"/>
  <c r="I1495" i="4" s="1"/>
  <c r="S1496" i="4"/>
  <c r="I1496" i="4" s="1"/>
  <c r="S1497" i="4"/>
  <c r="I1497" i="4" s="1"/>
  <c r="S1498" i="4"/>
  <c r="H1498" i="4" s="1"/>
  <c r="S1499" i="4"/>
  <c r="H1499" i="4" s="1"/>
  <c r="S1500" i="4"/>
  <c r="I1500" i="4" s="1"/>
  <c r="S1501" i="4"/>
  <c r="I1501" i="4" s="1"/>
  <c r="S1502" i="4"/>
  <c r="I1502" i="4" s="1"/>
  <c r="S1503" i="4"/>
  <c r="H1503" i="4" s="1"/>
  <c r="S1504" i="4"/>
  <c r="H1504" i="4" s="1"/>
  <c r="S1405" i="4"/>
  <c r="H1405" i="4" s="1"/>
  <c r="F1405" i="4"/>
  <c r="G1405" i="4"/>
  <c r="J1405" i="4"/>
  <c r="G1503" i="4"/>
  <c r="J1502" i="4"/>
  <c r="F1502" i="4"/>
  <c r="J1501" i="4"/>
  <c r="G1501" i="4"/>
  <c r="F1501" i="4"/>
  <c r="J1500" i="4"/>
  <c r="G1500" i="4"/>
  <c r="F1500" i="4"/>
  <c r="J1496" i="4"/>
  <c r="F1496" i="4"/>
  <c r="J1495" i="4"/>
  <c r="G1495" i="4"/>
  <c r="F1495" i="4"/>
  <c r="G1492" i="4"/>
  <c r="G1491" i="4"/>
  <c r="J1490" i="4"/>
  <c r="G1490" i="4"/>
  <c r="F1490" i="4"/>
  <c r="J1486" i="4"/>
  <c r="G1486" i="4"/>
  <c r="J1485" i="4"/>
  <c r="G1485" i="4"/>
  <c r="F1485" i="4"/>
  <c r="G1482" i="4"/>
  <c r="J1481" i="4"/>
  <c r="G1481" i="4"/>
  <c r="F1481" i="4"/>
  <c r="J1480" i="4"/>
  <c r="G1480" i="4"/>
  <c r="F1480" i="4"/>
  <c r="F1476" i="4"/>
  <c r="J1475" i="4"/>
  <c r="G1475" i="4"/>
  <c r="F1475" i="4"/>
  <c r="G1471" i="4"/>
  <c r="J1470" i="4"/>
  <c r="G1470" i="4"/>
  <c r="F1470" i="4"/>
  <c r="J1465" i="4"/>
  <c r="G1465" i="4"/>
  <c r="F1465" i="4"/>
  <c r="J1464" i="4"/>
  <c r="J1461" i="4"/>
  <c r="G1461" i="4"/>
  <c r="F1461" i="4"/>
  <c r="J1460" i="4"/>
  <c r="G1460" i="4"/>
  <c r="F1460" i="4"/>
  <c r="J1456" i="4"/>
  <c r="F1456" i="4"/>
  <c r="J1455" i="4"/>
  <c r="G1455" i="4"/>
  <c r="F1455" i="4"/>
  <c r="G1451" i="4"/>
  <c r="J1450" i="4"/>
  <c r="G1450" i="4"/>
  <c r="F1450" i="4"/>
  <c r="J1445" i="4"/>
  <c r="G1445" i="4"/>
  <c r="F1445" i="4"/>
  <c r="G1444" i="4"/>
  <c r="J1443" i="4"/>
  <c r="F1443" i="4"/>
  <c r="J1444" i="4"/>
  <c r="J1441" i="4"/>
  <c r="G1441" i="4"/>
  <c r="F1441" i="4"/>
  <c r="J1440" i="4"/>
  <c r="G1440" i="4"/>
  <c r="F1440" i="4"/>
  <c r="F1437" i="4"/>
  <c r="J1436" i="4"/>
  <c r="F1436" i="4"/>
  <c r="J1435" i="4"/>
  <c r="G1435" i="4"/>
  <c r="F1435" i="4"/>
  <c r="G1432" i="4"/>
  <c r="G1431" i="4"/>
  <c r="J1430" i="4"/>
  <c r="G1430" i="4"/>
  <c r="F1430" i="4"/>
  <c r="J1426" i="4"/>
  <c r="G1426" i="4"/>
  <c r="F1426" i="4"/>
  <c r="J1425" i="4"/>
  <c r="G1425" i="4"/>
  <c r="F1425" i="4"/>
  <c r="G1423" i="4"/>
  <c r="J1422" i="4"/>
  <c r="G1422" i="4"/>
  <c r="F1422" i="4"/>
  <c r="J1421" i="4"/>
  <c r="G1421" i="4"/>
  <c r="F1421" i="4"/>
  <c r="J1420" i="4"/>
  <c r="G1420" i="4"/>
  <c r="F1420" i="4"/>
  <c r="J1418" i="4"/>
  <c r="F1418" i="4"/>
  <c r="J1417" i="4"/>
  <c r="F1417" i="4"/>
  <c r="J1416" i="4"/>
  <c r="G1416" i="4"/>
  <c r="F1416" i="4"/>
  <c r="J1415" i="4"/>
  <c r="G1415" i="4"/>
  <c r="F1415" i="4"/>
  <c r="J1411" i="4"/>
  <c r="G1411" i="4"/>
  <c r="F1411" i="4"/>
  <c r="J1410" i="4"/>
  <c r="G1410" i="4"/>
  <c r="F1410" i="4"/>
  <c r="G1412" i="4"/>
  <c r="J1412" i="4"/>
  <c r="F1412" i="4"/>
  <c r="G1477" i="4"/>
  <c r="F1477" i="4"/>
  <c r="J1477" i="4"/>
  <c r="F1427" i="4"/>
  <c r="G1427" i="4"/>
  <c r="J1427" i="4"/>
  <c r="G1447" i="4"/>
  <c r="J1447" i="4"/>
  <c r="F1447" i="4"/>
  <c r="J1493" i="4"/>
  <c r="F1493" i="4"/>
  <c r="G1493" i="4"/>
  <c r="G1418" i="4"/>
  <c r="J1432" i="4"/>
  <c r="F1432" i="4"/>
  <c r="F1442" i="4"/>
  <c r="J1442" i="4"/>
  <c r="G1443" i="4"/>
  <c r="F1446" i="4"/>
  <c r="J1446" i="4"/>
  <c r="F1463" i="4"/>
  <c r="J1463" i="4"/>
  <c r="G1464" i="4"/>
  <c r="J1471" i="4"/>
  <c r="F1471" i="4"/>
  <c r="F1484" i="4"/>
  <c r="J1484" i="4"/>
  <c r="G1496" i="4"/>
  <c r="G1502" i="4"/>
  <c r="G1437" i="4"/>
  <c r="J1451" i="4"/>
  <c r="F1451" i="4"/>
  <c r="F1464" i="4"/>
  <c r="J1406" i="4"/>
  <c r="F1424" i="4"/>
  <c r="J1424" i="4"/>
  <c r="G1436" i="4"/>
  <c r="G1442" i="4"/>
  <c r="G1446" i="4"/>
  <c r="F1462" i="4"/>
  <c r="J1462" i="4"/>
  <c r="G1463" i="4"/>
  <c r="F1466" i="4"/>
  <c r="J1466" i="4"/>
  <c r="F1483" i="4"/>
  <c r="J1483" i="4"/>
  <c r="G1484" i="4"/>
  <c r="J1491" i="4"/>
  <c r="F1491" i="4"/>
  <c r="F1504" i="4"/>
  <c r="J1504" i="4"/>
  <c r="G1476" i="4"/>
  <c r="J1492" i="4"/>
  <c r="F1492" i="4"/>
  <c r="F1406" i="4"/>
  <c r="G1406" i="4"/>
  <c r="G1417" i="4"/>
  <c r="F1423" i="4"/>
  <c r="J1423" i="4"/>
  <c r="G1424" i="4"/>
  <c r="J1431" i="4"/>
  <c r="F1431" i="4"/>
  <c r="J1437" i="4"/>
  <c r="F1444" i="4"/>
  <c r="G1456" i="4"/>
  <c r="G1462" i="4"/>
  <c r="G1466" i="4"/>
  <c r="J1476" i="4"/>
  <c r="F1482" i="4"/>
  <c r="J1482" i="4"/>
  <c r="G1483" i="4"/>
  <c r="F1486" i="4"/>
  <c r="F1503" i="4"/>
  <c r="J1503" i="4"/>
  <c r="G1504" i="4"/>
  <c r="G1448" i="4"/>
  <c r="J1448" i="4"/>
  <c r="F1448" i="4"/>
  <c r="F1428" i="4"/>
  <c r="G1428" i="4"/>
  <c r="J1428" i="4"/>
  <c r="J1433" i="4"/>
  <c r="F1433" i="4"/>
  <c r="G1433" i="4"/>
  <c r="J1452" i="4"/>
  <c r="F1452" i="4"/>
  <c r="G1452" i="4"/>
  <c r="G1497" i="4"/>
  <c r="F1497" i="4"/>
  <c r="J1497" i="4"/>
  <c r="J1472" i="4"/>
  <c r="F1472" i="4"/>
  <c r="G1472" i="4"/>
  <c r="G1438" i="4"/>
  <c r="F1438" i="4"/>
  <c r="J1438" i="4"/>
  <c r="J1487" i="4"/>
  <c r="F1487" i="4"/>
  <c r="G1487" i="4"/>
  <c r="G1407" i="4"/>
  <c r="F1407" i="4"/>
  <c r="J1407" i="4"/>
  <c r="G1478" i="4"/>
  <c r="J1478" i="4"/>
  <c r="F1478" i="4"/>
  <c r="G1467" i="4"/>
  <c r="J1467" i="4"/>
  <c r="F1467" i="4"/>
  <c r="J1494" i="4"/>
  <c r="F1494" i="4"/>
  <c r="G1494" i="4"/>
  <c r="G1419" i="4"/>
  <c r="F1419" i="4"/>
  <c r="J1419" i="4"/>
  <c r="G1457" i="4"/>
  <c r="J1457" i="4"/>
  <c r="F1457" i="4"/>
  <c r="G1413" i="4"/>
  <c r="F1413" i="4"/>
  <c r="J1413" i="4"/>
  <c r="S303" i="4"/>
  <c r="S302" i="4"/>
  <c r="I302" i="4" s="1"/>
  <c r="S301" i="4"/>
  <c r="H301" i="4" s="1"/>
  <c r="S300" i="4"/>
  <c r="I300" i="4" s="1"/>
  <c r="S299" i="4"/>
  <c r="H299" i="4" s="1"/>
  <c r="G1414" i="4"/>
  <c r="J1414" i="4"/>
  <c r="F1414" i="4"/>
  <c r="G1408" i="4"/>
  <c r="J1408" i="4"/>
  <c r="F1408" i="4"/>
  <c r="G1498" i="4"/>
  <c r="J1498" i="4"/>
  <c r="F1498" i="4"/>
  <c r="G1449" i="4"/>
  <c r="J1449" i="4"/>
  <c r="F1449" i="4"/>
  <c r="G1468" i="4"/>
  <c r="J1468" i="4"/>
  <c r="F1468" i="4"/>
  <c r="J1488" i="4"/>
  <c r="F1488" i="4"/>
  <c r="G1488" i="4"/>
  <c r="G1439" i="4"/>
  <c r="J1439" i="4"/>
  <c r="F1439" i="4"/>
  <c r="J1453" i="4"/>
  <c r="F1453" i="4"/>
  <c r="G1453" i="4"/>
  <c r="J1434" i="4"/>
  <c r="F1434" i="4"/>
  <c r="G1434" i="4"/>
  <c r="G1458" i="4"/>
  <c r="F1458" i="4"/>
  <c r="J1458" i="4"/>
  <c r="G1479" i="4"/>
  <c r="F1479" i="4"/>
  <c r="J1479" i="4"/>
  <c r="J1473" i="4"/>
  <c r="F1473" i="4"/>
  <c r="G1473" i="4"/>
  <c r="G1429" i="4"/>
  <c r="J1429" i="4"/>
  <c r="F1429" i="4"/>
  <c r="S175" i="4"/>
  <c r="H175" i="4" s="1"/>
  <c r="S176" i="4"/>
  <c r="H176" i="4" s="1"/>
  <c r="S177" i="4"/>
  <c r="H177" i="4" s="1"/>
  <c r="S178" i="4"/>
  <c r="S179" i="4"/>
  <c r="H179" i="4" s="1"/>
  <c r="S180" i="4"/>
  <c r="I180" i="4" s="1"/>
  <c r="S181" i="4"/>
  <c r="S182" i="4"/>
  <c r="H182" i="4" s="1"/>
  <c r="S183" i="4"/>
  <c r="S184" i="4"/>
  <c r="S185" i="4"/>
  <c r="H185" i="4" s="1"/>
  <c r="S186" i="4"/>
  <c r="H186" i="4" s="1"/>
  <c r="S187" i="4"/>
  <c r="I187" i="4" s="1"/>
  <c r="S188" i="4"/>
  <c r="S189" i="4"/>
  <c r="H189" i="4" s="1"/>
  <c r="S190" i="4"/>
  <c r="I190" i="4" s="1"/>
  <c r="S191" i="4"/>
  <c r="H191" i="4" s="1"/>
  <c r="S192" i="4"/>
  <c r="I192" i="4" s="1"/>
  <c r="S193" i="4"/>
  <c r="S194" i="4"/>
  <c r="I194" i="4" s="1"/>
  <c r="S195" i="4"/>
  <c r="I195" i="4" s="1"/>
  <c r="S196" i="4"/>
  <c r="S197" i="4"/>
  <c r="S198" i="4"/>
  <c r="S199" i="4"/>
  <c r="S200" i="4"/>
  <c r="I200" i="4" s="1"/>
  <c r="S201" i="4"/>
  <c r="H201" i="4" s="1"/>
  <c r="S202" i="4"/>
  <c r="S203" i="4"/>
  <c r="S204" i="4"/>
  <c r="I204" i="4" s="1"/>
  <c r="S205" i="4"/>
  <c r="I205" i="4" s="1"/>
  <c r="S206" i="4"/>
  <c r="H206" i="4" s="1"/>
  <c r="S207" i="4"/>
  <c r="I207" i="4" s="1"/>
  <c r="S208" i="4"/>
  <c r="S209" i="4"/>
  <c r="I209" i="4" s="1"/>
  <c r="S210" i="4"/>
  <c r="I210" i="4" s="1"/>
  <c r="S211" i="4"/>
  <c r="H211" i="4" s="1"/>
  <c r="S212" i="4"/>
  <c r="I212" i="4" s="1"/>
  <c r="S213" i="4"/>
  <c r="S214" i="4"/>
  <c r="I214" i="4" s="1"/>
  <c r="S215" i="4"/>
  <c r="I215" i="4" s="1"/>
  <c r="S216" i="4"/>
  <c r="I216" i="4" s="1"/>
  <c r="S217" i="4"/>
  <c r="H217" i="4" s="1"/>
  <c r="S218" i="4"/>
  <c r="S219" i="4"/>
  <c r="S220" i="4"/>
  <c r="S221" i="4"/>
  <c r="H221" i="4" s="1"/>
  <c r="S222" i="4"/>
  <c r="I222" i="4" s="1"/>
  <c r="S223" i="4"/>
  <c r="S224" i="4"/>
  <c r="H224" i="4" s="1"/>
  <c r="S225" i="4"/>
  <c r="H225" i="4" s="1"/>
  <c r="S226" i="4"/>
  <c r="I226" i="4" s="1"/>
  <c r="S227" i="4"/>
  <c r="H227" i="4" s="1"/>
  <c r="S228" i="4"/>
  <c r="S229" i="4"/>
  <c r="H229" i="4" s="1"/>
  <c r="S230" i="4"/>
  <c r="H230" i="4" s="1"/>
  <c r="S231" i="4"/>
  <c r="H231" i="4" s="1"/>
  <c r="S232" i="4"/>
  <c r="S233" i="4"/>
  <c r="S234" i="4"/>
  <c r="H234" i="4" s="1"/>
  <c r="S235" i="4"/>
  <c r="H235" i="4" s="1"/>
  <c r="S236" i="4"/>
  <c r="I236" i="4" s="1"/>
  <c r="S237" i="4"/>
  <c r="I237" i="4" s="1"/>
  <c r="S238" i="4"/>
  <c r="S239" i="4"/>
  <c r="I239" i="4" s="1"/>
  <c r="S240" i="4"/>
  <c r="I240" i="4" s="1"/>
  <c r="S241" i="4"/>
  <c r="I241" i="4" s="1"/>
  <c r="S242" i="4"/>
  <c r="S243" i="4"/>
  <c r="S244" i="4"/>
  <c r="S245" i="4"/>
  <c r="S246" i="4"/>
  <c r="I246" i="4" s="1"/>
  <c r="S247" i="4"/>
  <c r="I247" i="4" s="1"/>
  <c r="S248" i="4"/>
  <c r="S249" i="4"/>
  <c r="H249" i="4" s="1"/>
  <c r="S250" i="4"/>
  <c r="I250" i="4" s="1"/>
  <c r="S251" i="4"/>
  <c r="I251" i="4" s="1"/>
  <c r="S252" i="4"/>
  <c r="H252" i="4" s="1"/>
  <c r="S253" i="4"/>
  <c r="S254" i="4"/>
  <c r="I254" i="4" s="1"/>
  <c r="S255" i="4"/>
  <c r="I255" i="4" s="1"/>
  <c r="S256" i="4"/>
  <c r="I256" i="4" s="1"/>
  <c r="S257" i="4"/>
  <c r="I257" i="4" s="1"/>
  <c r="S258" i="4"/>
  <c r="S259" i="4"/>
  <c r="I259" i="4" s="1"/>
  <c r="S260" i="4"/>
  <c r="I260" i="4" s="1"/>
  <c r="S261" i="4"/>
  <c r="H261" i="4" s="1"/>
  <c r="S262" i="4"/>
  <c r="H262" i="4" s="1"/>
  <c r="S263" i="4"/>
  <c r="S264" i="4"/>
  <c r="I264" i="4" s="1"/>
  <c r="S265" i="4"/>
  <c r="S266" i="4"/>
  <c r="S267" i="4"/>
  <c r="I267" i="4" s="1"/>
  <c r="S268" i="4"/>
  <c r="S269" i="4"/>
  <c r="I269" i="4" s="1"/>
  <c r="S270" i="4"/>
  <c r="H270" i="4" s="1"/>
  <c r="S271" i="4"/>
  <c r="I271" i="4" s="1"/>
  <c r="S272" i="4"/>
  <c r="S273" i="4"/>
  <c r="S274" i="4"/>
  <c r="H274" i="4" s="1"/>
  <c r="S275" i="4"/>
  <c r="H275" i="4" s="1"/>
  <c r="S276" i="4"/>
  <c r="H276" i="4" s="1"/>
  <c r="S277" i="4"/>
  <c r="I277" i="4" s="1"/>
  <c r="S278" i="4"/>
  <c r="S279" i="4"/>
  <c r="S280" i="4"/>
  <c r="H280" i="4" s="1"/>
  <c r="S281" i="4"/>
  <c r="I281" i="4" s="1"/>
  <c r="S282" i="4"/>
  <c r="I282" i="4" s="1"/>
  <c r="S283" i="4"/>
  <c r="S284" i="4"/>
  <c r="I284" i="4" s="1"/>
  <c r="S285" i="4"/>
  <c r="I285" i="4" s="1"/>
  <c r="S286" i="4"/>
  <c r="H286" i="4" s="1"/>
  <c r="S287" i="4"/>
  <c r="H287" i="4" s="1"/>
  <c r="S288" i="4"/>
  <c r="S289" i="4"/>
  <c r="I289" i="4" s="1"/>
  <c r="S290" i="4"/>
  <c r="H290" i="4" s="1"/>
  <c r="S291" i="4"/>
  <c r="I291" i="4" s="1"/>
  <c r="S292" i="4"/>
  <c r="I292" i="4" s="1"/>
  <c r="S293" i="4"/>
  <c r="S294" i="4"/>
  <c r="I294" i="4" s="1"/>
  <c r="S295" i="4"/>
  <c r="S296" i="4"/>
  <c r="H296" i="4" s="1"/>
  <c r="S297" i="4"/>
  <c r="I297" i="4" s="1"/>
  <c r="S173" i="4"/>
  <c r="H173" i="4" s="1"/>
  <c r="S174" i="4"/>
  <c r="I174" i="4" s="1"/>
  <c r="J1474" i="4"/>
  <c r="F1474" i="4"/>
  <c r="G1474" i="4"/>
  <c r="G1499" i="4"/>
  <c r="F1499" i="4"/>
  <c r="J1499" i="4"/>
  <c r="J1489" i="4"/>
  <c r="F1489" i="4"/>
  <c r="G1489" i="4"/>
  <c r="G1459" i="4"/>
  <c r="J1459" i="4"/>
  <c r="F1459" i="4"/>
  <c r="J1454" i="4"/>
  <c r="F1454" i="4"/>
  <c r="G1454" i="4"/>
  <c r="G1469" i="4"/>
  <c r="J1469" i="4"/>
  <c r="F1469" i="4"/>
  <c r="G1409" i="4"/>
  <c r="J1409" i="4"/>
  <c r="F1409" i="4"/>
  <c r="F576" i="4"/>
  <c r="T1524" i="4"/>
  <c r="S1524" i="4"/>
  <c r="H1524" i="4" s="1"/>
  <c r="T1523" i="4"/>
  <c r="S1523" i="4"/>
  <c r="H1523" i="4" s="1"/>
  <c r="T1522" i="4"/>
  <c r="S1522" i="4"/>
  <c r="H1522" i="4" s="1"/>
  <c r="J302" i="4"/>
  <c r="G302" i="4"/>
  <c r="F302" i="4"/>
  <c r="J303" i="4"/>
  <c r="G303" i="4"/>
  <c r="F303" i="4"/>
  <c r="J301" i="4"/>
  <c r="G301" i="4"/>
  <c r="F301" i="4"/>
  <c r="J300" i="4"/>
  <c r="G300" i="4"/>
  <c r="F300" i="4"/>
  <c r="J299" i="4"/>
  <c r="G299" i="4"/>
  <c r="F299" i="4"/>
  <c r="J1382" i="4"/>
  <c r="I1382" i="4"/>
  <c r="H1382" i="4"/>
  <c r="G1382" i="4"/>
  <c r="F1382" i="4"/>
  <c r="J1377" i="4"/>
  <c r="I1377" i="4"/>
  <c r="H1377" i="4"/>
  <c r="G1377" i="4"/>
  <c r="F1377" i="4"/>
  <c r="J1372" i="4"/>
  <c r="I1372" i="4"/>
  <c r="H1372" i="4"/>
  <c r="G1372" i="4"/>
  <c r="F1372" i="4"/>
  <c r="J1367" i="4"/>
  <c r="I1367" i="4"/>
  <c r="H1367" i="4"/>
  <c r="G1367" i="4"/>
  <c r="F1367" i="4"/>
  <c r="J1362" i="4"/>
  <c r="I1362" i="4"/>
  <c r="H1362" i="4"/>
  <c r="G1362" i="4"/>
  <c r="F1362" i="4"/>
  <c r="J1357" i="4"/>
  <c r="I1357" i="4"/>
  <c r="H1357" i="4"/>
  <c r="G1357" i="4"/>
  <c r="F1357" i="4"/>
  <c r="J1352" i="4"/>
  <c r="I1352" i="4"/>
  <c r="H1352" i="4"/>
  <c r="G1352" i="4"/>
  <c r="F1352" i="4"/>
  <c r="I1348" i="4"/>
  <c r="J1347" i="4"/>
  <c r="I1347" i="4"/>
  <c r="H1347" i="4"/>
  <c r="G1347" i="4"/>
  <c r="F1347" i="4"/>
  <c r="J1342" i="4"/>
  <c r="I1342" i="4"/>
  <c r="H1342" i="4"/>
  <c r="G1342" i="4"/>
  <c r="F1342" i="4"/>
  <c r="J1337" i="4"/>
  <c r="I1337" i="4"/>
  <c r="H1337" i="4"/>
  <c r="G1337" i="4"/>
  <c r="F1337" i="4"/>
  <c r="J1332" i="4"/>
  <c r="I1332" i="4"/>
  <c r="H1332" i="4"/>
  <c r="G1332" i="4"/>
  <c r="F1332" i="4"/>
  <c r="J1327" i="4"/>
  <c r="I1327" i="4"/>
  <c r="H1327" i="4"/>
  <c r="G1327" i="4"/>
  <c r="F1327" i="4"/>
  <c r="J1322" i="4"/>
  <c r="I1322" i="4"/>
  <c r="H1322" i="4"/>
  <c r="G1322" i="4"/>
  <c r="F1322" i="4"/>
  <c r="J1317" i="4"/>
  <c r="I1317" i="4"/>
  <c r="H1317" i="4"/>
  <c r="G1317" i="4"/>
  <c r="F1317" i="4"/>
  <c r="J1312" i="4"/>
  <c r="I1312" i="4"/>
  <c r="H1312" i="4"/>
  <c r="G1312" i="4"/>
  <c r="F1312" i="4"/>
  <c r="J1307" i="4"/>
  <c r="I1307" i="4"/>
  <c r="H1307" i="4"/>
  <c r="G1307" i="4"/>
  <c r="F1307" i="4"/>
  <c r="J1302" i="4"/>
  <c r="I1302" i="4"/>
  <c r="H1302" i="4"/>
  <c r="G1302" i="4"/>
  <c r="F1302" i="4"/>
  <c r="I1298" i="4"/>
  <c r="H1298" i="4"/>
  <c r="J1297" i="4"/>
  <c r="I1297" i="4"/>
  <c r="H1297" i="4"/>
  <c r="G1297" i="4"/>
  <c r="F1297" i="4"/>
  <c r="J1292" i="4"/>
  <c r="I1292" i="4"/>
  <c r="H1292" i="4"/>
  <c r="G1292" i="4"/>
  <c r="F1292" i="4"/>
  <c r="J1287" i="4"/>
  <c r="I1287" i="4"/>
  <c r="H1287" i="4"/>
  <c r="G1287" i="4"/>
  <c r="F1287" i="4"/>
  <c r="H1308" i="4"/>
  <c r="I1314" i="4"/>
  <c r="I1313" i="4"/>
  <c r="I1319" i="4"/>
  <c r="H1318" i="4"/>
  <c r="I1303" i="4"/>
  <c r="I1329" i="4"/>
  <c r="H1328" i="4"/>
  <c r="I1323" i="4"/>
  <c r="H1384" i="4"/>
  <c r="I1383" i="4"/>
  <c r="H1378" i="4"/>
  <c r="H1373" i="4"/>
  <c r="H1369" i="4"/>
  <c r="I1368" i="4"/>
  <c r="H1363" i="4"/>
  <c r="H1358" i="4"/>
  <c r="I1353" i="4"/>
  <c r="H1343" i="4"/>
  <c r="H1338" i="4"/>
  <c r="H1334" i="4"/>
  <c r="I1333" i="4"/>
  <c r="I1363" i="4"/>
  <c r="H1314" i="4"/>
  <c r="I1328" i="4"/>
  <c r="I1358" i="4"/>
  <c r="F1298" i="4"/>
  <c r="J1298" i="4"/>
  <c r="H1299" i="4"/>
  <c r="G1298" i="4"/>
  <c r="I1299" i="4"/>
  <c r="H1348" i="4"/>
  <c r="I1300" i="4"/>
  <c r="H1304" i="4"/>
  <c r="S2212" i="4"/>
  <c r="S2213" i="4" s="1"/>
  <c r="H2213" i="4" s="1"/>
  <c r="J2211" i="4"/>
  <c r="I2211" i="4"/>
  <c r="H2211" i="4"/>
  <c r="G2211" i="4"/>
  <c r="F2211" i="4"/>
  <c r="S2207" i="4"/>
  <c r="S2208" i="4" s="1"/>
  <c r="H2208" i="4" s="1"/>
  <c r="J2206" i="4"/>
  <c r="I2206" i="4"/>
  <c r="H2206" i="4"/>
  <c r="G2206" i="4"/>
  <c r="F2206" i="4"/>
  <c r="S2202" i="4"/>
  <c r="S2203" i="4" s="1"/>
  <c r="J2201" i="4"/>
  <c r="I2201" i="4"/>
  <c r="H2201" i="4"/>
  <c r="G2201" i="4"/>
  <c r="F2201" i="4"/>
  <c r="S2197" i="4"/>
  <c r="H2197" i="4" s="1"/>
  <c r="J2196" i="4"/>
  <c r="I2196" i="4"/>
  <c r="H2196" i="4"/>
  <c r="G2196" i="4"/>
  <c r="F2196" i="4"/>
  <c r="S2192" i="4"/>
  <c r="H2192" i="4" s="1"/>
  <c r="J2191" i="4"/>
  <c r="I2191" i="4"/>
  <c r="H2191" i="4"/>
  <c r="G2191" i="4"/>
  <c r="F2191" i="4"/>
  <c r="I2592" i="4"/>
  <c r="H2592" i="4"/>
  <c r="I2591" i="4"/>
  <c r="H2591" i="4"/>
  <c r="I2590" i="4"/>
  <c r="H2590" i="4"/>
  <c r="I2589" i="4"/>
  <c r="H2589" i="4"/>
  <c r="I2588" i="4"/>
  <c r="H2588" i="4"/>
  <c r="I2587" i="4"/>
  <c r="H2587" i="4"/>
  <c r="I2586" i="4"/>
  <c r="H2586" i="4"/>
  <c r="I2585" i="4"/>
  <c r="H2585" i="4"/>
  <c r="I2584" i="4"/>
  <c r="H2584" i="4"/>
  <c r="I2583" i="4"/>
  <c r="H2583" i="4"/>
  <c r="I2582" i="4"/>
  <c r="H2582" i="4"/>
  <c r="I2581" i="4"/>
  <c r="H2581" i="4"/>
  <c r="I2580" i="4"/>
  <c r="H2580" i="4"/>
  <c r="I2579" i="4"/>
  <c r="H2579" i="4"/>
  <c r="I2578" i="4"/>
  <c r="H2578" i="4"/>
  <c r="I2577" i="4"/>
  <c r="H2577" i="4"/>
  <c r="I2576" i="4"/>
  <c r="H2576" i="4"/>
  <c r="I2575" i="4"/>
  <c r="H2575" i="4"/>
  <c r="I2574" i="4"/>
  <c r="H2574" i="4"/>
  <c r="I2573" i="4"/>
  <c r="H2573" i="4"/>
  <c r="I2566" i="4"/>
  <c r="H2566" i="4"/>
  <c r="I2565" i="4"/>
  <c r="H2565" i="4"/>
  <c r="I2564" i="4"/>
  <c r="H2564" i="4"/>
  <c r="I2563" i="4"/>
  <c r="H2563" i="4"/>
  <c r="I2562" i="4"/>
  <c r="H2562" i="4"/>
  <c r="I2561" i="4"/>
  <c r="H2561" i="4"/>
  <c r="I2560" i="4"/>
  <c r="H2560" i="4"/>
  <c r="I2559" i="4"/>
  <c r="H2559" i="4"/>
  <c r="I2558" i="4"/>
  <c r="H2558" i="4"/>
  <c r="I2557" i="4"/>
  <c r="H2557" i="4"/>
  <c r="I2556" i="4"/>
  <c r="H2556" i="4"/>
  <c r="I2555" i="4"/>
  <c r="H2555" i="4"/>
  <c r="I2554" i="4"/>
  <c r="H2554" i="4"/>
  <c r="I2553" i="4"/>
  <c r="H2553" i="4"/>
  <c r="I2552" i="4"/>
  <c r="H2552" i="4"/>
  <c r="I2551" i="4"/>
  <c r="H2551" i="4"/>
  <c r="I2550" i="4"/>
  <c r="H2550" i="4"/>
  <c r="I2549" i="4"/>
  <c r="H2549" i="4"/>
  <c r="I2548" i="4"/>
  <c r="H2548" i="4"/>
  <c r="I2547" i="4"/>
  <c r="H2547" i="4"/>
  <c r="H1313" i="4"/>
  <c r="H1323" i="4"/>
  <c r="I1384" i="4"/>
  <c r="H1319" i="4"/>
  <c r="H1353" i="4"/>
  <c r="I1334" i="4"/>
  <c r="I1320" i="4"/>
  <c r="I1335" i="4"/>
  <c r="I1318" i="4"/>
  <c r="H1303" i="4"/>
  <c r="H1315" i="4"/>
  <c r="I1308" i="4"/>
  <c r="H1300" i="4"/>
  <c r="H1293" i="4"/>
  <c r="I1293" i="4"/>
  <c r="I1288" i="4"/>
  <c r="H1288" i="4"/>
  <c r="H1370" i="4"/>
  <c r="H1329" i="4"/>
  <c r="I1373" i="4"/>
  <c r="H1333" i="4"/>
  <c r="I1289" i="4"/>
  <c r="H1289" i="4"/>
  <c r="I1304" i="4"/>
  <c r="H1309" i="4"/>
  <c r="H1294" i="4"/>
  <c r="I1294" i="4"/>
  <c r="H1368" i="4"/>
  <c r="I1378" i="4"/>
  <c r="H1385" i="4"/>
  <c r="H1383" i="4"/>
  <c r="H1379" i="4"/>
  <c r="I1359" i="4"/>
  <c r="I1343" i="4"/>
  <c r="I1338" i="4"/>
  <c r="I1339" i="4"/>
  <c r="I1369" i="4"/>
  <c r="H1349" i="4"/>
  <c r="I1349" i="4"/>
  <c r="H1344" i="4"/>
  <c r="I1344" i="4"/>
  <c r="I1340" i="4"/>
  <c r="H1364" i="4"/>
  <c r="I1364" i="4"/>
  <c r="H1335" i="4"/>
  <c r="I1309" i="4"/>
  <c r="I1305" i="4"/>
  <c r="H1320" i="4"/>
  <c r="H1301" i="4"/>
  <c r="I1321" i="4"/>
  <c r="I1376" i="4"/>
  <c r="H1345" i="4"/>
  <c r="I1379" i="4"/>
  <c r="H1331" i="4"/>
  <c r="H1371" i="4"/>
  <c r="I1370" i="4"/>
  <c r="I1386" i="4"/>
  <c r="H1359" i="4"/>
  <c r="H1305" i="4"/>
  <c r="I1295" i="4"/>
  <c r="H1295" i="4"/>
  <c r="I1324" i="4"/>
  <c r="H1324" i="4"/>
  <c r="I1301" i="4"/>
  <c r="H1290" i="4"/>
  <c r="I1290" i="4"/>
  <c r="H1339" i="4"/>
  <c r="I1310" i="4"/>
  <c r="I1385" i="4"/>
  <c r="I1374" i="4"/>
  <c r="H1374" i="4"/>
  <c r="H1356" i="4"/>
  <c r="I1354" i="4"/>
  <c r="H1354" i="4"/>
  <c r="H1340" i="4"/>
  <c r="I1315" i="4"/>
  <c r="H1341" i="4"/>
  <c r="I1365" i="4"/>
  <c r="H1365" i="4"/>
  <c r="H1350" i="4"/>
  <c r="I1350" i="4"/>
  <c r="H1380" i="4"/>
  <c r="I1380" i="4"/>
  <c r="I1360" i="4"/>
  <c r="H1360" i="4"/>
  <c r="H1321" i="4"/>
  <c r="H1336" i="4"/>
  <c r="I1336" i="4"/>
  <c r="H1306" i="4"/>
  <c r="H1386" i="4"/>
  <c r="I1345" i="4"/>
  <c r="I1331" i="4"/>
  <c r="H1310" i="4"/>
  <c r="I1356" i="4"/>
  <c r="H1376" i="4"/>
  <c r="I1326" i="4"/>
  <c r="H1326" i="4"/>
  <c r="I1306" i="4"/>
  <c r="I1371" i="4"/>
  <c r="I1330" i="4"/>
  <c r="H1330" i="4"/>
  <c r="I1341" i="4"/>
  <c r="H1291" i="4"/>
  <c r="I1291" i="4"/>
  <c r="H1296" i="4"/>
  <c r="I1296" i="4"/>
  <c r="H1325" i="4"/>
  <c r="I1325" i="4"/>
  <c r="H1311" i="4"/>
  <c r="H1375" i="4"/>
  <c r="I1375" i="4"/>
  <c r="H1355" i="4"/>
  <c r="I1355" i="4"/>
  <c r="I1316" i="4"/>
  <c r="H1316" i="4"/>
  <c r="H1381" i="4"/>
  <c r="I1381" i="4"/>
  <c r="H1361" i="4"/>
  <c r="I1361" i="4"/>
  <c r="H1346" i="4"/>
  <c r="I1346" i="4"/>
  <c r="H1351" i="4"/>
  <c r="I1351" i="4"/>
  <c r="H1366" i="4"/>
  <c r="I1366" i="4"/>
  <c r="J1524" i="4"/>
  <c r="G1524" i="4"/>
  <c r="F1524" i="4"/>
  <c r="J1523" i="4"/>
  <c r="G1523" i="4"/>
  <c r="F1523" i="4"/>
  <c r="J1522" i="4"/>
  <c r="G1522" i="4"/>
  <c r="F1522" i="4"/>
  <c r="I1311" i="4"/>
  <c r="S2187" i="4"/>
  <c r="S2188" i="4" s="1"/>
  <c r="S2189" i="4" s="1"/>
  <c r="H2189" i="4" s="1"/>
  <c r="S2182" i="4"/>
  <c r="S2183" i="4" s="1"/>
  <c r="S2177" i="4"/>
  <c r="S2178" i="4" s="1"/>
  <c r="S2172" i="4"/>
  <c r="S2167" i="4"/>
  <c r="S2168" i="4" s="1"/>
  <c r="H2168" i="4" s="1"/>
  <c r="S2162" i="4"/>
  <c r="H2162" i="4" s="1"/>
  <c r="S2157" i="4"/>
  <c r="S2158" i="4" s="1"/>
  <c r="H2158" i="4" s="1"/>
  <c r="S2152" i="4"/>
  <c r="I2152" i="4" s="1"/>
  <c r="S2147" i="4"/>
  <c r="H2147" i="4" s="1"/>
  <c r="S2142" i="4"/>
  <c r="I2142" i="4" s="1"/>
  <c r="S2137" i="4"/>
  <c r="S2138" i="4" s="1"/>
  <c r="S2132" i="4"/>
  <c r="I2132" i="4" s="1"/>
  <c r="S2127" i="4"/>
  <c r="I2127" i="4" s="1"/>
  <c r="S2122" i="4"/>
  <c r="H2122" i="4" s="1"/>
  <c r="S2117" i="4"/>
  <c r="I2117" i="4" s="1"/>
  <c r="S2112" i="4"/>
  <c r="S2113" i="4" s="1"/>
  <c r="S2114" i="4" s="1"/>
  <c r="I2114" i="4" s="1"/>
  <c r="S2107" i="4"/>
  <c r="I2107" i="4" s="1"/>
  <c r="S2102" i="4"/>
  <c r="I2102" i="4" s="1"/>
  <c r="S2097" i="4"/>
  <c r="S2098" i="4" s="1"/>
  <c r="I2098" i="4" s="1"/>
  <c r="S2092" i="4"/>
  <c r="S2093" i="4" s="1"/>
  <c r="H2093" i="4" s="1"/>
  <c r="S2087" i="4"/>
  <c r="I2087" i="4" s="1"/>
  <c r="S2082" i="4"/>
  <c r="S2083" i="4" s="1"/>
  <c r="S2084" i="4" s="1"/>
  <c r="S2077" i="4"/>
  <c r="S2072" i="4"/>
  <c r="S2073" i="4" s="1"/>
  <c r="S2067" i="4"/>
  <c r="S2068" i="4" s="1"/>
  <c r="H2068" i="4" s="1"/>
  <c r="S2062" i="4"/>
  <c r="I2062" i="4" s="1"/>
  <c r="S2057" i="4"/>
  <c r="S2053" i="4"/>
  <c r="S2054" i="4" s="1"/>
  <c r="I2054" i="4" s="1"/>
  <c r="I2540" i="4"/>
  <c r="H2540" i="4"/>
  <c r="I2539" i="4"/>
  <c r="H2539" i="4"/>
  <c r="I2538" i="4"/>
  <c r="H2538" i="4"/>
  <c r="I2537" i="4"/>
  <c r="H2537" i="4"/>
  <c r="I2536" i="4"/>
  <c r="H2536" i="4"/>
  <c r="I2535" i="4"/>
  <c r="H2535" i="4"/>
  <c r="I2534" i="4"/>
  <c r="H2534" i="4"/>
  <c r="I2533" i="4"/>
  <c r="H2533" i="4"/>
  <c r="I2532" i="4"/>
  <c r="H2532" i="4"/>
  <c r="I2531" i="4"/>
  <c r="H2531" i="4"/>
  <c r="I2530" i="4"/>
  <c r="H2530" i="4"/>
  <c r="I2529" i="4"/>
  <c r="H2529" i="4"/>
  <c r="I2528" i="4"/>
  <c r="H2528" i="4"/>
  <c r="I2527" i="4"/>
  <c r="H2527" i="4"/>
  <c r="I2526" i="4"/>
  <c r="H2526" i="4"/>
  <c r="I2525" i="4"/>
  <c r="H2525" i="4"/>
  <c r="I2524" i="4"/>
  <c r="H2524" i="4"/>
  <c r="I2523" i="4"/>
  <c r="H2523" i="4"/>
  <c r="I2522" i="4"/>
  <c r="H2522" i="4"/>
  <c r="I2521" i="4"/>
  <c r="H2521" i="4"/>
  <c r="I2519" i="4"/>
  <c r="H2519" i="4"/>
  <c r="I2518" i="4"/>
  <c r="H2518" i="4"/>
  <c r="I2517" i="4"/>
  <c r="H2517" i="4"/>
  <c r="I2516" i="4"/>
  <c r="H2516" i="4"/>
  <c r="I2515" i="4"/>
  <c r="H2515" i="4"/>
  <c r="I2514" i="4"/>
  <c r="H2514" i="4"/>
  <c r="I2513" i="4"/>
  <c r="H2513" i="4"/>
  <c r="I2512" i="4"/>
  <c r="H2512" i="4"/>
  <c r="I2511" i="4"/>
  <c r="H2511" i="4"/>
  <c r="I2510" i="4"/>
  <c r="H2510" i="4"/>
  <c r="I2509" i="4"/>
  <c r="H2509" i="4"/>
  <c r="I2508" i="4"/>
  <c r="H2508" i="4"/>
  <c r="I2507" i="4"/>
  <c r="H2507" i="4"/>
  <c r="I2506" i="4"/>
  <c r="H2506" i="4"/>
  <c r="I2505" i="4"/>
  <c r="H2505" i="4"/>
  <c r="I2504" i="4"/>
  <c r="H2504" i="4"/>
  <c r="I2503" i="4"/>
  <c r="H2503" i="4"/>
  <c r="I2502" i="4"/>
  <c r="H2502" i="4"/>
  <c r="I2501" i="4"/>
  <c r="H2501" i="4"/>
  <c r="I2500" i="4"/>
  <c r="H2500" i="4"/>
  <c r="I2499" i="4"/>
  <c r="H2499" i="4"/>
  <c r="I2498" i="4"/>
  <c r="H2498" i="4"/>
  <c r="I2497" i="4"/>
  <c r="H2497" i="4"/>
  <c r="I2496" i="4"/>
  <c r="H2496" i="4"/>
  <c r="I2495" i="4"/>
  <c r="H2495" i="4"/>
  <c r="I2494" i="4"/>
  <c r="H2494" i="4"/>
  <c r="I2493" i="4"/>
  <c r="H2493" i="4"/>
  <c r="I2492" i="4"/>
  <c r="H2492" i="4"/>
  <c r="I2491" i="4"/>
  <c r="H2491" i="4"/>
  <c r="I2490" i="4"/>
  <c r="H2490" i="4"/>
  <c r="I2489" i="4"/>
  <c r="H2489" i="4"/>
  <c r="I2488" i="4"/>
  <c r="H2488" i="4"/>
  <c r="I2487" i="4"/>
  <c r="H2487" i="4"/>
  <c r="I2486" i="4"/>
  <c r="H2486" i="4"/>
  <c r="I2485" i="4"/>
  <c r="H2485" i="4"/>
  <c r="I2484" i="4"/>
  <c r="H2484" i="4"/>
  <c r="I2483" i="4"/>
  <c r="H2483" i="4"/>
  <c r="I2482" i="4"/>
  <c r="H2482" i="4"/>
  <c r="I2481" i="4"/>
  <c r="H2481" i="4"/>
  <c r="I2480" i="4"/>
  <c r="H2480" i="4"/>
  <c r="I2479" i="4"/>
  <c r="H2479" i="4"/>
  <c r="I2478" i="4"/>
  <c r="H2478" i="4"/>
  <c r="I2477" i="4"/>
  <c r="H2477" i="4"/>
  <c r="I2476" i="4"/>
  <c r="H2476" i="4"/>
  <c r="I2475" i="4"/>
  <c r="H2475" i="4"/>
  <c r="I2474" i="4"/>
  <c r="H2474" i="4"/>
  <c r="I2473" i="4"/>
  <c r="H2473" i="4"/>
  <c r="I2472" i="4"/>
  <c r="H2472" i="4"/>
  <c r="I2471" i="4"/>
  <c r="H2471" i="4"/>
  <c r="I2470" i="4"/>
  <c r="H2470" i="4"/>
  <c r="I2469" i="4"/>
  <c r="H2469" i="4"/>
  <c r="I2468" i="4"/>
  <c r="H2468" i="4"/>
  <c r="I2467" i="4"/>
  <c r="H2467" i="4"/>
  <c r="I2466" i="4"/>
  <c r="H2466" i="4"/>
  <c r="I2465" i="4"/>
  <c r="H2465" i="4"/>
  <c r="I2464" i="4"/>
  <c r="H2464" i="4"/>
  <c r="I2463" i="4"/>
  <c r="H2463" i="4"/>
  <c r="I2462" i="4"/>
  <c r="H2462" i="4"/>
  <c r="I2461" i="4"/>
  <c r="H2461" i="4"/>
  <c r="I2460" i="4"/>
  <c r="H2460" i="4"/>
  <c r="I2459" i="4"/>
  <c r="H2459" i="4"/>
  <c r="I2458" i="4"/>
  <c r="H2458" i="4"/>
  <c r="I2457" i="4"/>
  <c r="H2457" i="4"/>
  <c r="I2456" i="4"/>
  <c r="H2456" i="4"/>
  <c r="I2455" i="4"/>
  <c r="H2455" i="4"/>
  <c r="I2454" i="4"/>
  <c r="H2454" i="4"/>
  <c r="I2453" i="4"/>
  <c r="H2453" i="4"/>
  <c r="I2452" i="4"/>
  <c r="H2452" i="4"/>
  <c r="I2451" i="4"/>
  <c r="H2451" i="4"/>
  <c r="I2450" i="4"/>
  <c r="H2450" i="4"/>
  <c r="I2449" i="4"/>
  <c r="H2449" i="4"/>
  <c r="I2448" i="4"/>
  <c r="H2448" i="4"/>
  <c r="I2447" i="4"/>
  <c r="H2447" i="4"/>
  <c r="I2446" i="4"/>
  <c r="H2446" i="4"/>
  <c r="I2445" i="4"/>
  <c r="H2445" i="4"/>
  <c r="I2444" i="4"/>
  <c r="H2444" i="4"/>
  <c r="I2443" i="4"/>
  <c r="H2443" i="4"/>
  <c r="I2442" i="4"/>
  <c r="H2442" i="4"/>
  <c r="I2441" i="4"/>
  <c r="H2441" i="4"/>
  <c r="I2440" i="4"/>
  <c r="H2440" i="4"/>
  <c r="I2439" i="4"/>
  <c r="H2439" i="4"/>
  <c r="I2438" i="4"/>
  <c r="H2438" i="4"/>
  <c r="I2437" i="4"/>
  <c r="H2437" i="4"/>
  <c r="I2436" i="4"/>
  <c r="H2436" i="4"/>
  <c r="I2435" i="4"/>
  <c r="H2435" i="4"/>
  <c r="I2434" i="4"/>
  <c r="H2434" i="4"/>
  <c r="I2433" i="4"/>
  <c r="H2433" i="4"/>
  <c r="I2432" i="4"/>
  <c r="H2432" i="4"/>
  <c r="I2431" i="4"/>
  <c r="H2431" i="4"/>
  <c r="I2430" i="4"/>
  <c r="H2430" i="4"/>
  <c r="I2429" i="4"/>
  <c r="H2429" i="4"/>
  <c r="I2428" i="4"/>
  <c r="H2428" i="4"/>
  <c r="I2427" i="4"/>
  <c r="H2427" i="4"/>
  <c r="I2426" i="4"/>
  <c r="H2426" i="4"/>
  <c r="I2425" i="4"/>
  <c r="H2425" i="4"/>
  <c r="I2424" i="4"/>
  <c r="H2424" i="4"/>
  <c r="I2423" i="4"/>
  <c r="H2423" i="4"/>
  <c r="I2422" i="4"/>
  <c r="H2422" i="4"/>
  <c r="I2421" i="4"/>
  <c r="H2421" i="4"/>
  <c r="I2420" i="4"/>
  <c r="H2420" i="4"/>
  <c r="I2419" i="4"/>
  <c r="H2419" i="4"/>
  <c r="I2418" i="4"/>
  <c r="H2418" i="4"/>
  <c r="I2417" i="4"/>
  <c r="H2417" i="4"/>
  <c r="I2416" i="4"/>
  <c r="H2416" i="4"/>
  <c r="I2415" i="4"/>
  <c r="H2415" i="4"/>
  <c r="I2414" i="4"/>
  <c r="H2414" i="4"/>
  <c r="I2413" i="4"/>
  <c r="H2413" i="4"/>
  <c r="I2412" i="4"/>
  <c r="H2412" i="4"/>
  <c r="I2411" i="4"/>
  <c r="H2411" i="4"/>
  <c r="I2410" i="4"/>
  <c r="H2410" i="4"/>
  <c r="I2409" i="4"/>
  <c r="H2409" i="4"/>
  <c r="I2408" i="4"/>
  <c r="H2408" i="4"/>
  <c r="I2407" i="4"/>
  <c r="H2407" i="4"/>
  <c r="I2406" i="4"/>
  <c r="H2406" i="4"/>
  <c r="I2405" i="4"/>
  <c r="H2405" i="4"/>
  <c r="I2404" i="4"/>
  <c r="H2404" i="4"/>
  <c r="I2403" i="4"/>
  <c r="H2403" i="4"/>
  <c r="I2402" i="4"/>
  <c r="H2402" i="4"/>
  <c r="I2401" i="4"/>
  <c r="H2401" i="4"/>
  <c r="I2400" i="4"/>
  <c r="H2400" i="4"/>
  <c r="I2399" i="4"/>
  <c r="H2399" i="4"/>
  <c r="I2398" i="4"/>
  <c r="H2398" i="4"/>
  <c r="I2397" i="4"/>
  <c r="H2397" i="4"/>
  <c r="I2396" i="4"/>
  <c r="H2396" i="4"/>
  <c r="I2395" i="4"/>
  <c r="H2395" i="4"/>
  <c r="I2394" i="4"/>
  <c r="H2394" i="4"/>
  <c r="I2393" i="4"/>
  <c r="H2393" i="4"/>
  <c r="I2392" i="4"/>
  <c r="H2392" i="4"/>
  <c r="I2391" i="4"/>
  <c r="H2391" i="4"/>
  <c r="I2390" i="4"/>
  <c r="H2390" i="4"/>
  <c r="I2389" i="4"/>
  <c r="H2389" i="4"/>
  <c r="I2388" i="4"/>
  <c r="H2388" i="4"/>
  <c r="I2387" i="4"/>
  <c r="H2387" i="4"/>
  <c r="I2386" i="4"/>
  <c r="H2386" i="4"/>
  <c r="I2385" i="4"/>
  <c r="H2385" i="4"/>
  <c r="I2384" i="4"/>
  <c r="H2384" i="4"/>
  <c r="I2383" i="4"/>
  <c r="H2383" i="4"/>
  <c r="I2382" i="4"/>
  <c r="H2382" i="4"/>
  <c r="I2381" i="4"/>
  <c r="H2381" i="4"/>
  <c r="I2380" i="4"/>
  <c r="H2380" i="4"/>
  <c r="I2379" i="4"/>
  <c r="H2379" i="4"/>
  <c r="I2378" i="4"/>
  <c r="H2378" i="4"/>
  <c r="I2377" i="4"/>
  <c r="H2377" i="4"/>
  <c r="I2376" i="4"/>
  <c r="H2376" i="4"/>
  <c r="I2375" i="4"/>
  <c r="H2375" i="4"/>
  <c r="I2374" i="4"/>
  <c r="H2374" i="4"/>
  <c r="I2373" i="4"/>
  <c r="H2373" i="4"/>
  <c r="I2372" i="4"/>
  <c r="H2372" i="4"/>
  <c r="I2371" i="4"/>
  <c r="H2371" i="4"/>
  <c r="I2370" i="4"/>
  <c r="H2370" i="4"/>
  <c r="I2368" i="4"/>
  <c r="H2368" i="4"/>
  <c r="I2367" i="4"/>
  <c r="H2367" i="4"/>
  <c r="I2366" i="4"/>
  <c r="H2366" i="4"/>
  <c r="I2365" i="4"/>
  <c r="H2365" i="4"/>
  <c r="I2364" i="4"/>
  <c r="H2364" i="4"/>
  <c r="I2363" i="4"/>
  <c r="H2363" i="4"/>
  <c r="I2362" i="4"/>
  <c r="H2362" i="4"/>
  <c r="I2361" i="4"/>
  <c r="H2361" i="4"/>
  <c r="I2360" i="4"/>
  <c r="H2360" i="4"/>
  <c r="I2359" i="4"/>
  <c r="H2359" i="4"/>
  <c r="I2358" i="4"/>
  <c r="H2358" i="4"/>
  <c r="I2357" i="4"/>
  <c r="H2357" i="4"/>
  <c r="I2356" i="4"/>
  <c r="H2356" i="4"/>
  <c r="I2355" i="4"/>
  <c r="H2355" i="4"/>
  <c r="I2354" i="4"/>
  <c r="H2354" i="4"/>
  <c r="I2353" i="4"/>
  <c r="H2353" i="4"/>
  <c r="I2352" i="4"/>
  <c r="H2352" i="4"/>
  <c r="I2351" i="4"/>
  <c r="H2351" i="4"/>
  <c r="I2350" i="4"/>
  <c r="H2350" i="4"/>
  <c r="I2349" i="4"/>
  <c r="H2349" i="4"/>
  <c r="I2348" i="4"/>
  <c r="H2348" i="4"/>
  <c r="I2347" i="4"/>
  <c r="H2347" i="4"/>
  <c r="I2346" i="4"/>
  <c r="H2346" i="4"/>
  <c r="I2345" i="4"/>
  <c r="H2345" i="4"/>
  <c r="I2344" i="4"/>
  <c r="H2344" i="4"/>
  <c r="I2342" i="4"/>
  <c r="H2342" i="4"/>
  <c r="I2341" i="4"/>
  <c r="H2341" i="4"/>
  <c r="I2340" i="4"/>
  <c r="H2340" i="4"/>
  <c r="I2339" i="4"/>
  <c r="H2339" i="4"/>
  <c r="I2338" i="4"/>
  <c r="H2338" i="4"/>
  <c r="I2337" i="4"/>
  <c r="H2337" i="4"/>
  <c r="I2336" i="4"/>
  <c r="H2336" i="4"/>
  <c r="I2335" i="4"/>
  <c r="H2335" i="4"/>
  <c r="I2334" i="4"/>
  <c r="H2334" i="4"/>
  <c r="I2333" i="4"/>
  <c r="H2333" i="4"/>
  <c r="I2332" i="4"/>
  <c r="H2332" i="4"/>
  <c r="I2331" i="4"/>
  <c r="H2331" i="4"/>
  <c r="I2330" i="4"/>
  <c r="H2330" i="4"/>
  <c r="I2329" i="4"/>
  <c r="H2329" i="4"/>
  <c r="I2328" i="4"/>
  <c r="H2328" i="4"/>
  <c r="I2327" i="4"/>
  <c r="H2327" i="4"/>
  <c r="I2326" i="4"/>
  <c r="H2326" i="4"/>
  <c r="I2325" i="4"/>
  <c r="H2325" i="4"/>
  <c r="I2324" i="4"/>
  <c r="H2324" i="4"/>
  <c r="I2323" i="4"/>
  <c r="H2323" i="4"/>
  <c r="I2322" i="4"/>
  <c r="H2322" i="4"/>
  <c r="I2321" i="4"/>
  <c r="H2321" i="4"/>
  <c r="I2320" i="4"/>
  <c r="H2320" i="4"/>
  <c r="I2319" i="4"/>
  <c r="H2319" i="4"/>
  <c r="I2318" i="4"/>
  <c r="H2318" i="4"/>
  <c r="I2316" i="4"/>
  <c r="H2316" i="4"/>
  <c r="I2315" i="4"/>
  <c r="H2315" i="4"/>
  <c r="I2314" i="4"/>
  <c r="H2314" i="4"/>
  <c r="I2313" i="4"/>
  <c r="H2313" i="4"/>
  <c r="I2312" i="4"/>
  <c r="H2312" i="4"/>
  <c r="I2311" i="4"/>
  <c r="H2311" i="4"/>
  <c r="I2310" i="4"/>
  <c r="H2310" i="4"/>
  <c r="I2309" i="4"/>
  <c r="H2309" i="4"/>
  <c r="I2308" i="4"/>
  <c r="H2308" i="4"/>
  <c r="I2307" i="4"/>
  <c r="H2307" i="4"/>
  <c r="I2306" i="4"/>
  <c r="H2306" i="4"/>
  <c r="I2305" i="4"/>
  <c r="H2305" i="4"/>
  <c r="I2304" i="4"/>
  <c r="H2304" i="4"/>
  <c r="I2303" i="4"/>
  <c r="H2303" i="4"/>
  <c r="I2302" i="4"/>
  <c r="H2302" i="4"/>
  <c r="I2301" i="4"/>
  <c r="H2301" i="4"/>
  <c r="I2300" i="4"/>
  <c r="H2300" i="4"/>
  <c r="I2299" i="4"/>
  <c r="H2299" i="4"/>
  <c r="I2298" i="4"/>
  <c r="H2298" i="4"/>
  <c r="I2297" i="4"/>
  <c r="H2297" i="4"/>
  <c r="I2296" i="4"/>
  <c r="H2296" i="4"/>
  <c r="I2295" i="4"/>
  <c r="H2295" i="4"/>
  <c r="I2294" i="4"/>
  <c r="H2294" i="4"/>
  <c r="I2293" i="4"/>
  <c r="H2293" i="4"/>
  <c r="I2292" i="4"/>
  <c r="H2292" i="4"/>
  <c r="I2186" i="4"/>
  <c r="H2186" i="4"/>
  <c r="I2181" i="4"/>
  <c r="H2181" i="4"/>
  <c r="I2176" i="4"/>
  <c r="H2176" i="4"/>
  <c r="I2171" i="4"/>
  <c r="H2171" i="4"/>
  <c r="I2166" i="4"/>
  <c r="H2166" i="4"/>
  <c r="I2161" i="4"/>
  <c r="H2161" i="4"/>
  <c r="I2156" i="4"/>
  <c r="H2156" i="4"/>
  <c r="I2151" i="4"/>
  <c r="H2151" i="4"/>
  <c r="I2146" i="4"/>
  <c r="H2146" i="4"/>
  <c r="I2141" i="4"/>
  <c r="H2141" i="4"/>
  <c r="I2136" i="4"/>
  <c r="H2136" i="4"/>
  <c r="I2131" i="4"/>
  <c r="H2131" i="4"/>
  <c r="I2126" i="4"/>
  <c r="H2126" i="4"/>
  <c r="I2121" i="4"/>
  <c r="H2121" i="4"/>
  <c r="I2116" i="4"/>
  <c r="H2116" i="4"/>
  <c r="I2111" i="4"/>
  <c r="H2111" i="4"/>
  <c r="I2106" i="4"/>
  <c r="H2106" i="4"/>
  <c r="I2101" i="4"/>
  <c r="H2101" i="4"/>
  <c r="I2096" i="4"/>
  <c r="H2096" i="4"/>
  <c r="I2091" i="4"/>
  <c r="H2091" i="4"/>
  <c r="I2086" i="4"/>
  <c r="H2086" i="4"/>
  <c r="I2081" i="4"/>
  <c r="H2081" i="4"/>
  <c r="I2076" i="4"/>
  <c r="H2076" i="4"/>
  <c r="I2071" i="4"/>
  <c r="H2071" i="4"/>
  <c r="I2066" i="4"/>
  <c r="H2066" i="4"/>
  <c r="I2061" i="4"/>
  <c r="H2061" i="4"/>
  <c r="I2056" i="4"/>
  <c r="H2056" i="4"/>
  <c r="I2052" i="4"/>
  <c r="H2052" i="4"/>
  <c r="I2051" i="4"/>
  <c r="H2051" i="4"/>
  <c r="I1520" i="4"/>
  <c r="H1520" i="4"/>
  <c r="I1519" i="4"/>
  <c r="H1519" i="4"/>
  <c r="I1518" i="4"/>
  <c r="H1518" i="4"/>
  <c r="I1516" i="4"/>
  <c r="H1516" i="4"/>
  <c r="I1515" i="4"/>
  <c r="H1515" i="4"/>
  <c r="I1514" i="4"/>
  <c r="H1514" i="4"/>
  <c r="I1512" i="4"/>
  <c r="H1512" i="4"/>
  <c r="I1511" i="4"/>
  <c r="H1511" i="4"/>
  <c r="I1510" i="4"/>
  <c r="H1510" i="4"/>
  <c r="I1508" i="4"/>
  <c r="H1508" i="4"/>
  <c r="I1507" i="4"/>
  <c r="H1507" i="4"/>
  <c r="I1506" i="4"/>
  <c r="H1506" i="4"/>
  <c r="I741" i="4"/>
  <c r="H741" i="4"/>
  <c r="I740" i="4"/>
  <c r="H740" i="4"/>
  <c r="I739" i="4"/>
  <c r="H739" i="4"/>
  <c r="I738" i="4"/>
  <c r="H738" i="4"/>
  <c r="I737" i="4"/>
  <c r="H737" i="4"/>
  <c r="I731" i="4"/>
  <c r="H731" i="4"/>
  <c r="I730" i="4"/>
  <c r="H730" i="4"/>
  <c r="I729" i="4"/>
  <c r="H729" i="4"/>
  <c r="I728" i="4"/>
  <c r="H728" i="4"/>
  <c r="I727" i="4"/>
  <c r="H727" i="4"/>
  <c r="I725" i="4"/>
  <c r="H725" i="4"/>
  <c r="I724" i="4"/>
  <c r="H724" i="4"/>
  <c r="I723" i="4"/>
  <c r="H723" i="4"/>
  <c r="I722" i="4"/>
  <c r="H722" i="4"/>
  <c r="I721" i="4"/>
  <c r="H721" i="4"/>
  <c r="I715" i="4"/>
  <c r="H715" i="4"/>
  <c r="I714" i="4"/>
  <c r="H714" i="4"/>
  <c r="I713" i="4"/>
  <c r="H713" i="4"/>
  <c r="I712" i="4"/>
  <c r="H712" i="4"/>
  <c r="I711" i="4"/>
  <c r="H711" i="4"/>
  <c r="I709" i="4"/>
  <c r="H709" i="4"/>
  <c r="I708" i="4"/>
  <c r="H708" i="4"/>
  <c r="I707" i="4"/>
  <c r="H707" i="4"/>
  <c r="I706" i="4"/>
  <c r="H706" i="4"/>
  <c r="I705" i="4"/>
  <c r="H705" i="4"/>
  <c r="I699" i="4"/>
  <c r="H699" i="4"/>
  <c r="I698" i="4"/>
  <c r="H698" i="4"/>
  <c r="I697" i="4"/>
  <c r="H697" i="4"/>
  <c r="I696" i="4"/>
  <c r="H696" i="4"/>
  <c r="I695" i="4"/>
  <c r="H695" i="4"/>
  <c r="I671" i="4"/>
  <c r="H671" i="4"/>
  <c r="I670" i="4"/>
  <c r="H670" i="4"/>
  <c r="I669" i="4"/>
  <c r="H669" i="4"/>
  <c r="I668" i="4"/>
  <c r="H668" i="4"/>
  <c r="I667" i="4"/>
  <c r="H667" i="4"/>
  <c r="I661" i="4"/>
  <c r="H661" i="4"/>
  <c r="I660" i="4"/>
  <c r="H660" i="4"/>
  <c r="I659" i="4"/>
  <c r="H659" i="4"/>
  <c r="I658" i="4"/>
  <c r="H658" i="4"/>
  <c r="I657" i="4"/>
  <c r="H657" i="4"/>
  <c r="I655" i="4"/>
  <c r="H655" i="4"/>
  <c r="I654" i="4"/>
  <c r="H654" i="4"/>
  <c r="I653" i="4"/>
  <c r="H653" i="4"/>
  <c r="I652" i="4"/>
  <c r="H652" i="4"/>
  <c r="I651" i="4"/>
  <c r="H651" i="4"/>
  <c r="I645" i="4"/>
  <c r="H645" i="4"/>
  <c r="I644" i="4"/>
  <c r="H644" i="4"/>
  <c r="I643" i="4"/>
  <c r="H643" i="4"/>
  <c r="I642" i="4"/>
  <c r="H642" i="4"/>
  <c r="I641" i="4"/>
  <c r="H641" i="4"/>
  <c r="I639" i="4"/>
  <c r="H639" i="4"/>
  <c r="I638" i="4"/>
  <c r="H638" i="4"/>
  <c r="I637" i="4"/>
  <c r="H637" i="4"/>
  <c r="I636" i="4"/>
  <c r="H636" i="4"/>
  <c r="I635" i="4"/>
  <c r="H635" i="4"/>
  <c r="I629" i="4"/>
  <c r="H629" i="4"/>
  <c r="I628" i="4"/>
  <c r="H628" i="4"/>
  <c r="I627" i="4"/>
  <c r="H627" i="4"/>
  <c r="I626" i="4"/>
  <c r="H626" i="4"/>
  <c r="I625" i="4"/>
  <c r="H625" i="4"/>
  <c r="I601" i="4"/>
  <c r="H601" i="4"/>
  <c r="I600" i="4"/>
  <c r="H600" i="4"/>
  <c r="I599" i="4"/>
  <c r="H599" i="4"/>
  <c r="I598" i="4"/>
  <c r="H598" i="4"/>
  <c r="I597" i="4"/>
  <c r="H597" i="4"/>
  <c r="I591" i="4"/>
  <c r="H591" i="4"/>
  <c r="I590" i="4"/>
  <c r="H590" i="4"/>
  <c r="I589" i="4"/>
  <c r="H589" i="4"/>
  <c r="I588" i="4"/>
  <c r="H588" i="4"/>
  <c r="I587" i="4"/>
  <c r="H587" i="4"/>
  <c r="I585" i="4"/>
  <c r="H585" i="4"/>
  <c r="I584" i="4"/>
  <c r="H584" i="4"/>
  <c r="I583" i="4"/>
  <c r="H583" i="4"/>
  <c r="I582" i="4"/>
  <c r="H582" i="4"/>
  <c r="I581" i="4"/>
  <c r="H581" i="4"/>
  <c r="I575" i="4"/>
  <c r="H575" i="4"/>
  <c r="I574" i="4"/>
  <c r="H574" i="4"/>
  <c r="I573" i="4"/>
  <c r="H573" i="4"/>
  <c r="I572" i="4"/>
  <c r="H572" i="4"/>
  <c r="I571" i="4"/>
  <c r="H571" i="4"/>
  <c r="I569" i="4"/>
  <c r="H569" i="4"/>
  <c r="I568" i="4"/>
  <c r="H568" i="4"/>
  <c r="I567" i="4"/>
  <c r="H567" i="4"/>
  <c r="I566" i="4"/>
  <c r="H566" i="4"/>
  <c r="I565" i="4"/>
  <c r="H565" i="4"/>
  <c r="I559" i="4"/>
  <c r="H559" i="4"/>
  <c r="I558" i="4"/>
  <c r="H558" i="4"/>
  <c r="I557" i="4"/>
  <c r="H557" i="4"/>
  <c r="I556" i="4"/>
  <c r="H556" i="4"/>
  <c r="I555" i="4"/>
  <c r="H555" i="4"/>
  <c r="I531" i="4"/>
  <c r="H531" i="4"/>
  <c r="I530" i="4"/>
  <c r="H530" i="4"/>
  <c r="I529" i="4"/>
  <c r="H529" i="4"/>
  <c r="I528" i="4"/>
  <c r="H528" i="4"/>
  <c r="I527" i="4"/>
  <c r="H527" i="4"/>
  <c r="I521" i="4"/>
  <c r="H521" i="4"/>
  <c r="I520" i="4"/>
  <c r="H520" i="4"/>
  <c r="I519" i="4"/>
  <c r="H519" i="4"/>
  <c r="I518" i="4"/>
  <c r="H518" i="4"/>
  <c r="I517" i="4"/>
  <c r="H517" i="4"/>
  <c r="I515" i="4"/>
  <c r="H515" i="4"/>
  <c r="I514" i="4"/>
  <c r="H514" i="4"/>
  <c r="I513" i="4"/>
  <c r="H513" i="4"/>
  <c r="I512" i="4"/>
  <c r="H512" i="4"/>
  <c r="I511" i="4"/>
  <c r="H511" i="4"/>
  <c r="I505" i="4"/>
  <c r="H505" i="4"/>
  <c r="I504" i="4"/>
  <c r="H504" i="4"/>
  <c r="I503" i="4"/>
  <c r="H503" i="4"/>
  <c r="I502" i="4"/>
  <c r="H502" i="4"/>
  <c r="I501" i="4"/>
  <c r="H501" i="4"/>
  <c r="I499" i="4"/>
  <c r="H499" i="4"/>
  <c r="I498" i="4"/>
  <c r="H498" i="4"/>
  <c r="I497" i="4"/>
  <c r="H497" i="4"/>
  <c r="I496" i="4"/>
  <c r="H496" i="4"/>
  <c r="I495" i="4"/>
  <c r="H495" i="4"/>
  <c r="I489" i="4"/>
  <c r="H489" i="4"/>
  <c r="I488" i="4"/>
  <c r="H488" i="4"/>
  <c r="I487" i="4"/>
  <c r="H487" i="4"/>
  <c r="I486" i="4"/>
  <c r="H486" i="4"/>
  <c r="I485" i="4"/>
  <c r="H485" i="4"/>
  <c r="H736" i="4"/>
  <c r="I735" i="4"/>
  <c r="I734" i="4"/>
  <c r="I733" i="4"/>
  <c r="I732" i="4"/>
  <c r="I596" i="4"/>
  <c r="I595" i="4"/>
  <c r="H594" i="4"/>
  <c r="I593" i="4"/>
  <c r="I592" i="4"/>
  <c r="I580" i="4"/>
  <c r="I579" i="4"/>
  <c r="I578" i="4"/>
  <c r="I577" i="4"/>
  <c r="I576" i="4"/>
  <c r="I564" i="4"/>
  <c r="I563" i="4"/>
  <c r="H562" i="4"/>
  <c r="H561" i="4"/>
  <c r="I560" i="4"/>
  <c r="I526" i="4"/>
  <c r="H525" i="4"/>
  <c r="H524" i="4"/>
  <c r="I523" i="4"/>
  <c r="H522" i="4"/>
  <c r="H510" i="4"/>
  <c r="H509" i="4"/>
  <c r="I507" i="4"/>
  <c r="H506" i="4"/>
  <c r="H494" i="4"/>
  <c r="I493" i="4"/>
  <c r="H492" i="4"/>
  <c r="I491" i="4"/>
  <c r="I490" i="4"/>
  <c r="J297" i="4"/>
  <c r="G297" i="4"/>
  <c r="F297" i="4"/>
  <c r="J296" i="4"/>
  <c r="G296" i="4"/>
  <c r="F296" i="4"/>
  <c r="J295" i="4"/>
  <c r="G295" i="4"/>
  <c r="F295" i="4"/>
  <c r="J294" i="4"/>
  <c r="G294" i="4"/>
  <c r="F294" i="4"/>
  <c r="J292" i="4"/>
  <c r="G292" i="4"/>
  <c r="F292" i="4"/>
  <c r="J291" i="4"/>
  <c r="G291" i="4"/>
  <c r="F291" i="4"/>
  <c r="J290" i="4"/>
  <c r="G290" i="4"/>
  <c r="F290" i="4"/>
  <c r="J289" i="4"/>
  <c r="G289" i="4"/>
  <c r="F289" i="4"/>
  <c r="J287" i="4"/>
  <c r="G287" i="4"/>
  <c r="F287" i="4"/>
  <c r="J286" i="4"/>
  <c r="G286" i="4"/>
  <c r="F286" i="4"/>
  <c r="J285" i="4"/>
  <c r="G285" i="4"/>
  <c r="F285" i="4"/>
  <c r="J284" i="4"/>
  <c r="G284" i="4"/>
  <c r="F284" i="4"/>
  <c r="J282" i="4"/>
  <c r="G282" i="4"/>
  <c r="F282" i="4"/>
  <c r="J281" i="4"/>
  <c r="G281" i="4"/>
  <c r="F281" i="4"/>
  <c r="J280" i="4"/>
  <c r="G280" i="4"/>
  <c r="F280" i="4"/>
  <c r="J279" i="4"/>
  <c r="G279" i="4"/>
  <c r="F279" i="4"/>
  <c r="J277" i="4"/>
  <c r="G277" i="4"/>
  <c r="F277" i="4"/>
  <c r="J276" i="4"/>
  <c r="G276" i="4"/>
  <c r="F276" i="4"/>
  <c r="J275" i="4"/>
  <c r="G275" i="4"/>
  <c r="F275" i="4"/>
  <c r="J274" i="4"/>
  <c r="G274" i="4"/>
  <c r="F274" i="4"/>
  <c r="J272" i="4"/>
  <c r="G272" i="4"/>
  <c r="F272" i="4"/>
  <c r="J271" i="4"/>
  <c r="G271" i="4"/>
  <c r="F271" i="4"/>
  <c r="J270" i="4"/>
  <c r="G270" i="4"/>
  <c r="F270" i="4"/>
  <c r="J269" i="4"/>
  <c r="G269" i="4"/>
  <c r="F269" i="4"/>
  <c r="J267" i="4"/>
  <c r="G267" i="4"/>
  <c r="F267" i="4"/>
  <c r="J266" i="4"/>
  <c r="G266" i="4"/>
  <c r="F266" i="4"/>
  <c r="J265" i="4"/>
  <c r="G265" i="4"/>
  <c r="F265" i="4"/>
  <c r="J264" i="4"/>
  <c r="G264" i="4"/>
  <c r="F264" i="4"/>
  <c r="J262" i="4"/>
  <c r="G262" i="4"/>
  <c r="F262" i="4"/>
  <c r="J261" i="4"/>
  <c r="G261" i="4"/>
  <c r="F261" i="4"/>
  <c r="J260" i="4"/>
  <c r="G260" i="4"/>
  <c r="F260" i="4"/>
  <c r="J259" i="4"/>
  <c r="G259" i="4"/>
  <c r="F259" i="4"/>
  <c r="J257" i="4"/>
  <c r="G257" i="4"/>
  <c r="F257" i="4"/>
  <c r="J256" i="4"/>
  <c r="G256" i="4"/>
  <c r="F256" i="4"/>
  <c r="J255" i="4"/>
  <c r="G255" i="4"/>
  <c r="F255" i="4"/>
  <c r="J254" i="4"/>
  <c r="G254" i="4"/>
  <c r="F254" i="4"/>
  <c r="J252" i="4"/>
  <c r="G252" i="4"/>
  <c r="F252" i="4"/>
  <c r="J251" i="4"/>
  <c r="G251" i="4"/>
  <c r="F251" i="4"/>
  <c r="J250" i="4"/>
  <c r="G250" i="4"/>
  <c r="F250" i="4"/>
  <c r="J249" i="4"/>
  <c r="G249" i="4"/>
  <c r="F249" i="4"/>
  <c r="J247" i="4"/>
  <c r="G247" i="4"/>
  <c r="F247" i="4"/>
  <c r="J246" i="4"/>
  <c r="G246" i="4"/>
  <c r="F246" i="4"/>
  <c r="J245" i="4"/>
  <c r="G245" i="4"/>
  <c r="F245" i="4"/>
  <c r="J244" i="4"/>
  <c r="G244" i="4"/>
  <c r="F244" i="4"/>
  <c r="J242" i="4"/>
  <c r="G242" i="4"/>
  <c r="F242" i="4"/>
  <c r="J241" i="4"/>
  <c r="G241" i="4"/>
  <c r="F241" i="4"/>
  <c r="J240" i="4"/>
  <c r="G240" i="4"/>
  <c r="F240" i="4"/>
  <c r="J239" i="4"/>
  <c r="G239" i="4"/>
  <c r="F239" i="4"/>
  <c r="J237" i="4"/>
  <c r="G237" i="4"/>
  <c r="F237" i="4"/>
  <c r="J236" i="4"/>
  <c r="G236" i="4"/>
  <c r="F236" i="4"/>
  <c r="J235" i="4"/>
  <c r="G235" i="4"/>
  <c r="F235" i="4"/>
  <c r="J234" i="4"/>
  <c r="G234" i="4"/>
  <c r="F234" i="4"/>
  <c r="J232" i="4"/>
  <c r="G232" i="4"/>
  <c r="F232" i="4"/>
  <c r="J231" i="4"/>
  <c r="G231" i="4"/>
  <c r="F231" i="4"/>
  <c r="J230" i="4"/>
  <c r="G230" i="4"/>
  <c r="F230" i="4"/>
  <c r="J229" i="4"/>
  <c r="G229" i="4"/>
  <c r="F229" i="4"/>
  <c r="J227" i="4"/>
  <c r="G227" i="4"/>
  <c r="F227" i="4"/>
  <c r="J226" i="4"/>
  <c r="G226" i="4"/>
  <c r="F226" i="4"/>
  <c r="J225" i="4"/>
  <c r="G225" i="4"/>
  <c r="F225" i="4"/>
  <c r="J224" i="4"/>
  <c r="G224" i="4"/>
  <c r="F224" i="4"/>
  <c r="J222" i="4"/>
  <c r="G222" i="4"/>
  <c r="F222" i="4"/>
  <c r="J221" i="4"/>
  <c r="G221" i="4"/>
  <c r="F221" i="4"/>
  <c r="J220" i="4"/>
  <c r="G220" i="4"/>
  <c r="F220" i="4"/>
  <c r="J219" i="4"/>
  <c r="G219" i="4"/>
  <c r="F219" i="4"/>
  <c r="J217" i="4"/>
  <c r="G217" i="4"/>
  <c r="F217" i="4"/>
  <c r="J216" i="4"/>
  <c r="G216" i="4"/>
  <c r="F216" i="4"/>
  <c r="J215" i="4"/>
  <c r="G215" i="4"/>
  <c r="F215" i="4"/>
  <c r="J214" i="4"/>
  <c r="G214" i="4"/>
  <c r="F214" i="4"/>
  <c r="J212" i="4"/>
  <c r="G212" i="4"/>
  <c r="F212" i="4"/>
  <c r="J211" i="4"/>
  <c r="G211" i="4"/>
  <c r="F211" i="4"/>
  <c r="J210" i="4"/>
  <c r="G210" i="4"/>
  <c r="F210" i="4"/>
  <c r="J209" i="4"/>
  <c r="G209" i="4"/>
  <c r="F209" i="4"/>
  <c r="J207" i="4"/>
  <c r="G207" i="4"/>
  <c r="F207" i="4"/>
  <c r="J206" i="4"/>
  <c r="G206" i="4"/>
  <c r="F206" i="4"/>
  <c r="J205" i="4"/>
  <c r="G205" i="4"/>
  <c r="F205" i="4"/>
  <c r="J204" i="4"/>
  <c r="G204" i="4"/>
  <c r="F204" i="4"/>
  <c r="J202" i="4"/>
  <c r="G202" i="4"/>
  <c r="F202" i="4"/>
  <c r="J201" i="4"/>
  <c r="G201" i="4"/>
  <c r="F201" i="4"/>
  <c r="J200" i="4"/>
  <c r="G200" i="4"/>
  <c r="F200" i="4"/>
  <c r="J199" i="4"/>
  <c r="G199" i="4"/>
  <c r="F199" i="4"/>
  <c r="J197" i="4"/>
  <c r="G197" i="4"/>
  <c r="F197" i="4"/>
  <c r="J196" i="4"/>
  <c r="G196" i="4"/>
  <c r="F196" i="4"/>
  <c r="J195" i="4"/>
  <c r="G195" i="4"/>
  <c r="F195" i="4"/>
  <c r="J194" i="4"/>
  <c r="G194" i="4"/>
  <c r="F194" i="4"/>
  <c r="J192" i="4"/>
  <c r="G192" i="4"/>
  <c r="F192" i="4"/>
  <c r="J191" i="4"/>
  <c r="G191" i="4"/>
  <c r="F191" i="4"/>
  <c r="J190" i="4"/>
  <c r="G190" i="4"/>
  <c r="F190" i="4"/>
  <c r="J189" i="4"/>
  <c r="G189" i="4"/>
  <c r="F189" i="4"/>
  <c r="J187" i="4"/>
  <c r="G187" i="4"/>
  <c r="F187" i="4"/>
  <c r="J186" i="4"/>
  <c r="G186" i="4"/>
  <c r="F186" i="4"/>
  <c r="J185" i="4"/>
  <c r="G185" i="4"/>
  <c r="F185" i="4"/>
  <c r="J184" i="4"/>
  <c r="G184" i="4"/>
  <c r="F184" i="4"/>
  <c r="J182" i="4"/>
  <c r="G182" i="4"/>
  <c r="F182" i="4"/>
  <c r="J181" i="4"/>
  <c r="G181" i="4"/>
  <c r="F181" i="4"/>
  <c r="J180" i="4"/>
  <c r="G180" i="4"/>
  <c r="F180" i="4"/>
  <c r="J179" i="4"/>
  <c r="G179" i="4"/>
  <c r="F179" i="4"/>
  <c r="J177" i="4"/>
  <c r="G177" i="4"/>
  <c r="F177" i="4"/>
  <c r="J176" i="4"/>
  <c r="G176" i="4"/>
  <c r="F176" i="4"/>
  <c r="J175" i="4"/>
  <c r="G175" i="4"/>
  <c r="F175" i="4"/>
  <c r="J174" i="4"/>
  <c r="G174" i="4"/>
  <c r="F174" i="4"/>
  <c r="J1520" i="4"/>
  <c r="G1520" i="4"/>
  <c r="F1520" i="4"/>
  <c r="J1519" i="4"/>
  <c r="G1519" i="4"/>
  <c r="F1519" i="4"/>
  <c r="J1518" i="4"/>
  <c r="G1518" i="4"/>
  <c r="F1518" i="4"/>
  <c r="J1512" i="4"/>
  <c r="G1512" i="4"/>
  <c r="F1512" i="4"/>
  <c r="J1511" i="4"/>
  <c r="G1511" i="4"/>
  <c r="F1511" i="4"/>
  <c r="J1510" i="4"/>
  <c r="G1510" i="4"/>
  <c r="F1510" i="4"/>
  <c r="J2186" i="4"/>
  <c r="G2186" i="4"/>
  <c r="F2186" i="4"/>
  <c r="J2181" i="4"/>
  <c r="G2181" i="4"/>
  <c r="F2181" i="4"/>
  <c r="J2176" i="4"/>
  <c r="G2176" i="4"/>
  <c r="F2176" i="4"/>
  <c r="J2171" i="4"/>
  <c r="G2171" i="4"/>
  <c r="F2171" i="4"/>
  <c r="J2166" i="4"/>
  <c r="G2166" i="4"/>
  <c r="F2166" i="4"/>
  <c r="J2161" i="4"/>
  <c r="G2161" i="4"/>
  <c r="F2161" i="4"/>
  <c r="J2156" i="4"/>
  <c r="G2156" i="4"/>
  <c r="F2156" i="4"/>
  <c r="J2151" i="4"/>
  <c r="G2151" i="4"/>
  <c r="F2151" i="4"/>
  <c r="J2146" i="4"/>
  <c r="G2146" i="4"/>
  <c r="F2146" i="4"/>
  <c r="J2141" i="4"/>
  <c r="G2141" i="4"/>
  <c r="F2141" i="4"/>
  <c r="J2136" i="4"/>
  <c r="G2136" i="4"/>
  <c r="F2136" i="4"/>
  <c r="J2131" i="4"/>
  <c r="G2131" i="4"/>
  <c r="F2131" i="4"/>
  <c r="J2126" i="4"/>
  <c r="G2126" i="4"/>
  <c r="F2126" i="4"/>
  <c r="J2121" i="4"/>
  <c r="G2121" i="4"/>
  <c r="F2121" i="4"/>
  <c r="J2116" i="4"/>
  <c r="G2116" i="4"/>
  <c r="F2116" i="4"/>
  <c r="J2111" i="4"/>
  <c r="G2111" i="4"/>
  <c r="F2111" i="4"/>
  <c r="J2106" i="4"/>
  <c r="G2106" i="4"/>
  <c r="F2106" i="4"/>
  <c r="J2101" i="4"/>
  <c r="G2101" i="4"/>
  <c r="F2101" i="4"/>
  <c r="J2096" i="4"/>
  <c r="G2096" i="4"/>
  <c r="F2096" i="4"/>
  <c r="J2091" i="4"/>
  <c r="G2091" i="4"/>
  <c r="F2091" i="4"/>
  <c r="J2086" i="4"/>
  <c r="G2086" i="4"/>
  <c r="F2086" i="4"/>
  <c r="J2081" i="4"/>
  <c r="G2081" i="4"/>
  <c r="F2081" i="4"/>
  <c r="J2076" i="4"/>
  <c r="G2076" i="4"/>
  <c r="F2076" i="4"/>
  <c r="J2071" i="4"/>
  <c r="G2071" i="4"/>
  <c r="F2071" i="4"/>
  <c r="J2066" i="4"/>
  <c r="G2066" i="4"/>
  <c r="F2066" i="4"/>
  <c r="J2061" i="4"/>
  <c r="G2061" i="4"/>
  <c r="F2061" i="4"/>
  <c r="J2056" i="4"/>
  <c r="G2056" i="4"/>
  <c r="F2056" i="4"/>
  <c r="J2051" i="4"/>
  <c r="G2051" i="4"/>
  <c r="F2051" i="4"/>
  <c r="J1516" i="4"/>
  <c r="G1516" i="4"/>
  <c r="F1516" i="4"/>
  <c r="J1515" i="4"/>
  <c r="G1515" i="4"/>
  <c r="F1515" i="4"/>
  <c r="J1514" i="4"/>
  <c r="G1514" i="4"/>
  <c r="F1514" i="4"/>
  <c r="J1508" i="4"/>
  <c r="G1508" i="4"/>
  <c r="F1508" i="4"/>
  <c r="J1507" i="4"/>
  <c r="G1507" i="4"/>
  <c r="F1507" i="4"/>
  <c r="J1506" i="4"/>
  <c r="G1506" i="4"/>
  <c r="F1506" i="4"/>
  <c r="J741" i="4"/>
  <c r="G741" i="4"/>
  <c r="F741" i="4"/>
  <c r="J740" i="4"/>
  <c r="G740" i="4"/>
  <c r="F740" i="4"/>
  <c r="J739" i="4"/>
  <c r="G739" i="4"/>
  <c r="F739" i="4"/>
  <c r="J738" i="4"/>
  <c r="G738" i="4"/>
  <c r="F738" i="4"/>
  <c r="J737" i="4"/>
  <c r="G737" i="4"/>
  <c r="F737" i="4"/>
  <c r="J731" i="4"/>
  <c r="G731" i="4"/>
  <c r="F731" i="4"/>
  <c r="J730" i="4"/>
  <c r="G730" i="4"/>
  <c r="F730" i="4"/>
  <c r="J729" i="4"/>
  <c r="G729" i="4"/>
  <c r="F729" i="4"/>
  <c r="J728" i="4"/>
  <c r="G728" i="4"/>
  <c r="F728" i="4"/>
  <c r="J727" i="4"/>
  <c r="G727" i="4"/>
  <c r="F727" i="4"/>
  <c r="J725" i="4"/>
  <c r="G725" i="4"/>
  <c r="F725" i="4"/>
  <c r="J724" i="4"/>
  <c r="G724" i="4"/>
  <c r="F724" i="4"/>
  <c r="J723" i="4"/>
  <c r="G723" i="4"/>
  <c r="F723" i="4"/>
  <c r="J722" i="4"/>
  <c r="G722" i="4"/>
  <c r="F722" i="4"/>
  <c r="J721" i="4"/>
  <c r="G721" i="4"/>
  <c r="F721" i="4"/>
  <c r="J715" i="4"/>
  <c r="G715" i="4"/>
  <c r="F715" i="4"/>
  <c r="J714" i="4"/>
  <c r="G714" i="4"/>
  <c r="F714" i="4"/>
  <c r="J713" i="4"/>
  <c r="G713" i="4"/>
  <c r="F713" i="4"/>
  <c r="J712" i="4"/>
  <c r="G712" i="4"/>
  <c r="F712" i="4"/>
  <c r="J711" i="4"/>
  <c r="G711" i="4"/>
  <c r="F711" i="4"/>
  <c r="J709" i="4"/>
  <c r="G709" i="4"/>
  <c r="F709" i="4"/>
  <c r="J708" i="4"/>
  <c r="G708" i="4"/>
  <c r="F708" i="4"/>
  <c r="J707" i="4"/>
  <c r="G707" i="4"/>
  <c r="F707" i="4"/>
  <c r="J706" i="4"/>
  <c r="G706" i="4"/>
  <c r="F706" i="4"/>
  <c r="J705" i="4"/>
  <c r="G705" i="4"/>
  <c r="F705" i="4"/>
  <c r="J699" i="4"/>
  <c r="G699" i="4"/>
  <c r="F699" i="4"/>
  <c r="J698" i="4"/>
  <c r="G698" i="4"/>
  <c r="F698" i="4"/>
  <c r="J697" i="4"/>
  <c r="G697" i="4"/>
  <c r="F697" i="4"/>
  <c r="J696" i="4"/>
  <c r="G696" i="4"/>
  <c r="F696" i="4"/>
  <c r="J695" i="4"/>
  <c r="G695" i="4"/>
  <c r="F695" i="4"/>
  <c r="J671" i="4"/>
  <c r="G671" i="4"/>
  <c r="F671" i="4"/>
  <c r="J670" i="4"/>
  <c r="G670" i="4"/>
  <c r="F670" i="4"/>
  <c r="J669" i="4"/>
  <c r="G669" i="4"/>
  <c r="F669" i="4"/>
  <c r="J668" i="4"/>
  <c r="G668" i="4"/>
  <c r="F668" i="4"/>
  <c r="J667" i="4"/>
  <c r="G667" i="4"/>
  <c r="F667" i="4"/>
  <c r="J661" i="4"/>
  <c r="G661" i="4"/>
  <c r="F661" i="4"/>
  <c r="J660" i="4"/>
  <c r="G660" i="4"/>
  <c r="F660" i="4"/>
  <c r="J659" i="4"/>
  <c r="G659" i="4"/>
  <c r="F659" i="4"/>
  <c r="J658" i="4"/>
  <c r="G658" i="4"/>
  <c r="F658" i="4"/>
  <c r="J657" i="4"/>
  <c r="G657" i="4"/>
  <c r="F657" i="4"/>
  <c r="J655" i="4"/>
  <c r="G655" i="4"/>
  <c r="F655" i="4"/>
  <c r="J654" i="4"/>
  <c r="G654" i="4"/>
  <c r="F654" i="4"/>
  <c r="J653" i="4"/>
  <c r="G653" i="4"/>
  <c r="F653" i="4"/>
  <c r="J652" i="4"/>
  <c r="G652" i="4"/>
  <c r="F652" i="4"/>
  <c r="J651" i="4"/>
  <c r="G651" i="4"/>
  <c r="F651" i="4"/>
  <c r="J645" i="4"/>
  <c r="G645" i="4"/>
  <c r="F645" i="4"/>
  <c r="J644" i="4"/>
  <c r="G644" i="4"/>
  <c r="F644" i="4"/>
  <c r="J643" i="4"/>
  <c r="G643" i="4"/>
  <c r="F643" i="4"/>
  <c r="J642" i="4"/>
  <c r="G642" i="4"/>
  <c r="F642" i="4"/>
  <c r="J641" i="4"/>
  <c r="G641" i="4"/>
  <c r="F641" i="4"/>
  <c r="J639" i="4"/>
  <c r="G639" i="4"/>
  <c r="F639" i="4"/>
  <c r="J638" i="4"/>
  <c r="G638" i="4"/>
  <c r="F638" i="4"/>
  <c r="J637" i="4"/>
  <c r="G637" i="4"/>
  <c r="F637" i="4"/>
  <c r="J636" i="4"/>
  <c r="G636" i="4"/>
  <c r="F636" i="4"/>
  <c r="J635" i="4"/>
  <c r="G635" i="4"/>
  <c r="F635" i="4"/>
  <c r="J629" i="4"/>
  <c r="G629" i="4"/>
  <c r="F629" i="4"/>
  <c r="J628" i="4"/>
  <c r="G628" i="4"/>
  <c r="F628" i="4"/>
  <c r="J627" i="4"/>
  <c r="G627" i="4"/>
  <c r="F627" i="4"/>
  <c r="J626" i="4"/>
  <c r="G626" i="4"/>
  <c r="F626" i="4"/>
  <c r="J625" i="4"/>
  <c r="G625" i="4"/>
  <c r="F625" i="4"/>
  <c r="J601" i="4"/>
  <c r="G601" i="4"/>
  <c r="F601" i="4"/>
  <c r="J600" i="4"/>
  <c r="G600" i="4"/>
  <c r="F600" i="4"/>
  <c r="J599" i="4"/>
  <c r="G599" i="4"/>
  <c r="F599" i="4"/>
  <c r="J598" i="4"/>
  <c r="G598" i="4"/>
  <c r="F598" i="4"/>
  <c r="J597" i="4"/>
  <c r="G597" i="4"/>
  <c r="F597" i="4"/>
  <c r="J591" i="4"/>
  <c r="G591" i="4"/>
  <c r="F591" i="4"/>
  <c r="J590" i="4"/>
  <c r="G590" i="4"/>
  <c r="F590" i="4"/>
  <c r="J589" i="4"/>
  <c r="G589" i="4"/>
  <c r="F589" i="4"/>
  <c r="J588" i="4"/>
  <c r="G588" i="4"/>
  <c r="F588" i="4"/>
  <c r="J587" i="4"/>
  <c r="G587" i="4"/>
  <c r="F587" i="4"/>
  <c r="J585" i="4"/>
  <c r="G585" i="4"/>
  <c r="F585" i="4"/>
  <c r="J584" i="4"/>
  <c r="G584" i="4"/>
  <c r="F584" i="4"/>
  <c r="J583" i="4"/>
  <c r="G583" i="4"/>
  <c r="F583" i="4"/>
  <c r="J582" i="4"/>
  <c r="G582" i="4"/>
  <c r="F582" i="4"/>
  <c r="J581" i="4"/>
  <c r="G581" i="4"/>
  <c r="F581" i="4"/>
  <c r="J575" i="4"/>
  <c r="G575" i="4"/>
  <c r="F575" i="4"/>
  <c r="J574" i="4"/>
  <c r="G574" i="4"/>
  <c r="F574" i="4"/>
  <c r="J573" i="4"/>
  <c r="G573" i="4"/>
  <c r="F573" i="4"/>
  <c r="J572" i="4"/>
  <c r="G572" i="4"/>
  <c r="F572" i="4"/>
  <c r="J571" i="4"/>
  <c r="G571" i="4"/>
  <c r="F571" i="4"/>
  <c r="J569" i="4"/>
  <c r="G569" i="4"/>
  <c r="F569" i="4"/>
  <c r="J568" i="4"/>
  <c r="G568" i="4"/>
  <c r="F568" i="4"/>
  <c r="J567" i="4"/>
  <c r="G567" i="4"/>
  <c r="F567" i="4"/>
  <c r="J566" i="4"/>
  <c r="G566" i="4"/>
  <c r="F566" i="4"/>
  <c r="J565" i="4"/>
  <c r="G565" i="4"/>
  <c r="F565" i="4"/>
  <c r="J559" i="4"/>
  <c r="G559" i="4"/>
  <c r="F559" i="4"/>
  <c r="J558" i="4"/>
  <c r="G558" i="4"/>
  <c r="F558" i="4"/>
  <c r="J557" i="4"/>
  <c r="G557" i="4"/>
  <c r="F557" i="4"/>
  <c r="J556" i="4"/>
  <c r="G556" i="4"/>
  <c r="F556" i="4"/>
  <c r="J555" i="4"/>
  <c r="G555" i="4"/>
  <c r="F555" i="4"/>
  <c r="J531" i="4"/>
  <c r="G531" i="4"/>
  <c r="F531" i="4"/>
  <c r="J530" i="4"/>
  <c r="G530" i="4"/>
  <c r="F530" i="4"/>
  <c r="J529" i="4"/>
  <c r="G529" i="4"/>
  <c r="F529" i="4"/>
  <c r="J528" i="4"/>
  <c r="G528" i="4"/>
  <c r="F528" i="4"/>
  <c r="J527" i="4"/>
  <c r="G527" i="4"/>
  <c r="F527" i="4"/>
  <c r="J521" i="4"/>
  <c r="G521" i="4"/>
  <c r="F521" i="4"/>
  <c r="J520" i="4"/>
  <c r="G520" i="4"/>
  <c r="F520" i="4"/>
  <c r="J519" i="4"/>
  <c r="G519" i="4"/>
  <c r="F519" i="4"/>
  <c r="J518" i="4"/>
  <c r="G518" i="4"/>
  <c r="F518" i="4"/>
  <c r="J517" i="4"/>
  <c r="G517" i="4"/>
  <c r="F517" i="4"/>
  <c r="J515" i="4"/>
  <c r="G515" i="4"/>
  <c r="F515" i="4"/>
  <c r="J514" i="4"/>
  <c r="G514" i="4"/>
  <c r="F514" i="4"/>
  <c r="J513" i="4"/>
  <c r="G513" i="4"/>
  <c r="F513" i="4"/>
  <c r="J512" i="4"/>
  <c r="G512" i="4"/>
  <c r="F512" i="4"/>
  <c r="J511" i="4"/>
  <c r="G511" i="4"/>
  <c r="F511" i="4"/>
  <c r="J505" i="4"/>
  <c r="G505" i="4"/>
  <c r="F505" i="4"/>
  <c r="J504" i="4"/>
  <c r="G504" i="4"/>
  <c r="F504" i="4"/>
  <c r="J503" i="4"/>
  <c r="G503" i="4"/>
  <c r="F503" i="4"/>
  <c r="J502" i="4"/>
  <c r="G502" i="4"/>
  <c r="F502" i="4"/>
  <c r="J501" i="4"/>
  <c r="G501" i="4"/>
  <c r="F501" i="4"/>
  <c r="J499" i="4"/>
  <c r="G499" i="4"/>
  <c r="F499" i="4"/>
  <c r="J498" i="4"/>
  <c r="G498" i="4"/>
  <c r="F498" i="4"/>
  <c r="J497" i="4"/>
  <c r="G497" i="4"/>
  <c r="F497" i="4"/>
  <c r="J496" i="4"/>
  <c r="G496" i="4"/>
  <c r="F496" i="4"/>
  <c r="J495" i="4"/>
  <c r="G495" i="4"/>
  <c r="F495" i="4"/>
  <c r="J489" i="4"/>
  <c r="G489" i="4"/>
  <c r="F489" i="4"/>
  <c r="J488" i="4"/>
  <c r="G488" i="4"/>
  <c r="F488" i="4"/>
  <c r="J487" i="4"/>
  <c r="G487" i="4"/>
  <c r="F487" i="4"/>
  <c r="J486" i="4"/>
  <c r="G486" i="4"/>
  <c r="F486" i="4"/>
  <c r="J485" i="4"/>
  <c r="G485" i="4"/>
  <c r="F485" i="4"/>
  <c r="I151" i="4"/>
  <c r="H151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M4" i="4"/>
  <c r="N4" i="4" s="1"/>
  <c r="J1275" i="4"/>
  <c r="G1275" i="4"/>
  <c r="F1275" i="4"/>
  <c r="G692" i="4"/>
  <c r="G22" i="4"/>
  <c r="G13" i="4"/>
  <c r="G14" i="4"/>
  <c r="G15" i="4"/>
  <c r="G16" i="4"/>
  <c r="G17" i="4"/>
  <c r="G18" i="4"/>
  <c r="G19" i="4"/>
  <c r="G20" i="4"/>
  <c r="G21" i="4"/>
  <c r="F151" i="4"/>
  <c r="H168" i="4"/>
  <c r="J168" i="4"/>
  <c r="G168" i="4"/>
  <c r="I168" i="4"/>
  <c r="F168" i="4"/>
  <c r="G170" i="4"/>
  <c r="J170" i="4"/>
  <c r="F170" i="4"/>
  <c r="H170" i="4"/>
  <c r="I170" i="4"/>
  <c r="G166" i="4"/>
  <c r="F166" i="4"/>
  <c r="I166" i="4"/>
  <c r="H166" i="4"/>
  <c r="J166" i="4"/>
  <c r="I157" i="4"/>
  <c r="G157" i="4"/>
  <c r="H157" i="4"/>
  <c r="J157" i="4"/>
  <c r="F157" i="4"/>
  <c r="I154" i="4"/>
  <c r="H154" i="4"/>
  <c r="J154" i="4"/>
  <c r="G154" i="4"/>
  <c r="F154" i="4"/>
  <c r="H159" i="4"/>
  <c r="G159" i="4"/>
  <c r="J159" i="4"/>
  <c r="F159" i="4"/>
  <c r="I159" i="4"/>
  <c r="H165" i="4"/>
  <c r="J165" i="4"/>
  <c r="F165" i="4"/>
  <c r="G165" i="4"/>
  <c r="I165" i="4"/>
  <c r="G160" i="4"/>
  <c r="F160" i="4"/>
  <c r="I160" i="4"/>
  <c r="J160" i="4"/>
  <c r="H160" i="4"/>
  <c r="G156" i="4"/>
  <c r="J156" i="4"/>
  <c r="I156" i="4"/>
  <c r="H156" i="4"/>
  <c r="F156" i="4"/>
  <c r="J162" i="4"/>
  <c r="F162" i="4"/>
  <c r="H162" i="4"/>
  <c r="G162" i="4"/>
  <c r="I162" i="4"/>
  <c r="H155" i="4"/>
  <c r="G155" i="4"/>
  <c r="J155" i="4"/>
  <c r="F155" i="4"/>
  <c r="I155" i="4"/>
  <c r="I163" i="4"/>
  <c r="H163" i="4"/>
  <c r="G163" i="4"/>
  <c r="J163" i="4"/>
  <c r="F163" i="4"/>
  <c r="J151" i="4"/>
  <c r="G151" i="4"/>
  <c r="G12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1" i="4"/>
  <c r="G10" i="4"/>
  <c r="G9" i="4"/>
  <c r="G8" i="4"/>
  <c r="G7" i="4"/>
  <c r="G6" i="4"/>
  <c r="G5" i="4"/>
  <c r="G4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G28" i="4"/>
  <c r="G24" i="4"/>
  <c r="G29" i="4"/>
  <c r="G25" i="4"/>
  <c r="G27" i="4"/>
  <c r="G23" i="4"/>
  <c r="G26" i="4"/>
  <c r="G30" i="4"/>
  <c r="G125" i="4"/>
  <c r="G124" i="4"/>
  <c r="G118" i="4"/>
  <c r="G117" i="4"/>
  <c r="G133" i="4"/>
  <c r="G13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72" i="4"/>
  <c r="G32" i="4"/>
  <c r="G115" i="4"/>
  <c r="G11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34" i="4"/>
  <c r="G33" i="4"/>
  <c r="G116" i="4"/>
  <c r="G123" i="4"/>
  <c r="G122" i="4"/>
  <c r="G121" i="4"/>
  <c r="G131" i="4"/>
  <c r="G130" i="4"/>
  <c r="G129" i="4"/>
  <c r="G46" i="4"/>
  <c r="G45" i="4"/>
  <c r="G44" i="4"/>
  <c r="G43" i="4"/>
  <c r="G42" i="4"/>
  <c r="G41" i="4"/>
  <c r="G40" i="4"/>
  <c r="G39" i="4"/>
  <c r="G38" i="4"/>
  <c r="G37" i="4"/>
  <c r="G52" i="4"/>
  <c r="G51" i="4"/>
  <c r="G50" i="4"/>
  <c r="G49" i="4"/>
  <c r="G48" i="4"/>
  <c r="G47" i="4"/>
  <c r="G36" i="4"/>
  <c r="G35" i="4"/>
  <c r="G126" i="4"/>
  <c r="G134" i="4"/>
  <c r="G128" i="4"/>
  <c r="G127" i="4"/>
  <c r="G113" i="4"/>
  <c r="G114" i="4"/>
  <c r="G119" i="4"/>
  <c r="G120" i="4"/>
  <c r="F2297" i="4"/>
  <c r="G2297" i="4"/>
  <c r="J2297" i="4"/>
  <c r="F2301" i="4"/>
  <c r="G2301" i="4"/>
  <c r="G2305" i="4"/>
  <c r="F2305" i="4"/>
  <c r="J2305" i="4"/>
  <c r="G2309" i="4"/>
  <c r="F2309" i="4"/>
  <c r="F2313" i="4"/>
  <c r="G2313" i="4"/>
  <c r="J2313" i="4"/>
  <c r="F2318" i="4"/>
  <c r="G2318" i="4"/>
  <c r="G2322" i="4"/>
  <c r="F2322" i="4"/>
  <c r="J2322" i="4"/>
  <c r="G2326" i="4"/>
  <c r="F2326" i="4"/>
  <c r="G2330" i="4"/>
  <c r="F2330" i="4"/>
  <c r="J2330" i="4"/>
  <c r="F2334" i="4"/>
  <c r="G2334" i="4"/>
  <c r="F2295" i="4"/>
  <c r="G2295" i="4"/>
  <c r="J2295" i="4"/>
  <c r="F2311" i="4"/>
  <c r="G2311" i="4"/>
  <c r="F2323" i="4"/>
  <c r="G2323" i="4"/>
  <c r="J2323" i="4"/>
  <c r="G2333" i="4"/>
  <c r="F2333" i="4"/>
  <c r="F2392" i="4"/>
  <c r="G2392" i="4"/>
  <c r="J2392" i="4"/>
  <c r="G2404" i="4"/>
  <c r="F2404" i="4"/>
  <c r="F2416" i="4"/>
  <c r="G2416" i="4"/>
  <c r="J2416" i="4"/>
  <c r="F2424" i="4"/>
  <c r="G2424" i="4"/>
  <c r="F2436" i="4"/>
  <c r="G2436" i="4"/>
  <c r="J2436" i="4"/>
  <c r="F2448" i="4"/>
  <c r="G2448" i="4"/>
  <c r="G2456" i="4"/>
  <c r="F2456" i="4"/>
  <c r="J2456" i="4"/>
  <c r="F2468" i="4"/>
  <c r="G2468" i="4"/>
  <c r="F2480" i="4"/>
  <c r="G2480" i="4"/>
  <c r="J2480" i="4"/>
  <c r="F2488" i="4"/>
  <c r="G2488" i="4"/>
  <c r="G2500" i="4"/>
  <c r="F2500" i="4"/>
  <c r="J2500" i="4"/>
  <c r="F2512" i="4"/>
  <c r="G2512" i="4"/>
  <c r="G2521" i="4"/>
  <c r="F2521" i="4"/>
  <c r="J2521" i="4"/>
  <c r="G2533" i="4"/>
  <c r="F2533" i="4"/>
  <c r="F2292" i="4"/>
  <c r="G2292" i="4"/>
  <c r="F2298" i="4"/>
  <c r="G2298" i="4"/>
  <c r="J2298" i="4"/>
  <c r="F2303" i="4"/>
  <c r="G2303" i="4"/>
  <c r="G2308" i="4"/>
  <c r="F2308" i="4"/>
  <c r="J2308" i="4"/>
  <c r="F2314" i="4"/>
  <c r="G2314" i="4"/>
  <c r="F2320" i="4"/>
  <c r="G2320" i="4"/>
  <c r="J2320" i="4"/>
  <c r="F2325" i="4"/>
  <c r="G2325" i="4"/>
  <c r="G2331" i="4"/>
  <c r="F2331" i="4"/>
  <c r="J2331" i="4"/>
  <c r="F2336" i="4"/>
  <c r="G2336" i="4"/>
  <c r="G2340" i="4"/>
  <c r="F2340" i="4"/>
  <c r="J2340" i="4"/>
  <c r="J2301" i="4"/>
  <c r="J2309" i="4"/>
  <c r="J2318" i="4"/>
  <c r="J2326" i="4"/>
  <c r="J2334" i="4"/>
  <c r="J2311" i="4"/>
  <c r="J2333" i="4"/>
  <c r="J2404" i="4"/>
  <c r="J2424" i="4"/>
  <c r="J2448" i="4"/>
  <c r="J2468" i="4"/>
  <c r="J2488" i="4"/>
  <c r="J2512" i="4"/>
  <c r="J2533" i="4"/>
  <c r="J2292" i="4"/>
  <c r="J2303" i="4"/>
  <c r="J2314" i="4"/>
  <c r="J2325" i="4"/>
  <c r="J2336" i="4"/>
  <c r="F2390" i="4"/>
  <c r="G2390" i="4"/>
  <c r="J2390" i="4"/>
  <c r="F2394" i="4"/>
  <c r="G2394" i="4"/>
  <c r="F2398" i="4"/>
  <c r="G2398" i="4"/>
  <c r="J2398" i="4"/>
  <c r="G2402" i="4"/>
  <c r="F2402" i="4"/>
  <c r="G2406" i="4"/>
  <c r="F2406" i="4"/>
  <c r="J2406" i="4"/>
  <c r="F2410" i="4"/>
  <c r="G2410" i="4"/>
  <c r="F2414" i="4"/>
  <c r="G2414" i="4"/>
  <c r="J2414" i="4"/>
  <c r="G2418" i="4"/>
  <c r="F2418" i="4"/>
  <c r="G2422" i="4"/>
  <c r="F2422" i="4"/>
  <c r="J2422" i="4"/>
  <c r="G2426" i="4"/>
  <c r="F2426" i="4"/>
  <c r="G2430" i="4"/>
  <c r="F2430" i="4"/>
  <c r="J2430" i="4"/>
  <c r="F2434" i="4"/>
  <c r="G2434" i="4"/>
  <c r="G2438" i="4"/>
  <c r="F2438" i="4"/>
  <c r="J2438" i="4"/>
  <c r="G2442" i="4"/>
  <c r="F2442" i="4"/>
  <c r="F2446" i="4"/>
  <c r="G2446" i="4"/>
  <c r="J2446" i="4"/>
  <c r="G2450" i="4"/>
  <c r="F2450" i="4"/>
  <c r="F2454" i="4"/>
  <c r="G2454" i="4"/>
  <c r="J2454" i="4"/>
  <c r="G2458" i="4"/>
  <c r="F2458" i="4"/>
  <c r="F2462" i="4"/>
  <c r="G2462" i="4"/>
  <c r="J2462" i="4"/>
  <c r="F2466" i="4"/>
  <c r="G2466" i="4"/>
  <c r="G2470" i="4"/>
  <c r="F2470" i="4"/>
  <c r="J2470" i="4"/>
  <c r="F2474" i="4"/>
  <c r="G2474" i="4"/>
  <c r="G2478" i="4"/>
  <c r="F2478" i="4"/>
  <c r="J2478" i="4"/>
  <c r="G2294" i="4"/>
  <c r="F2294" i="4"/>
  <c r="F2299" i="4"/>
  <c r="G2299" i="4"/>
  <c r="J2299" i="4"/>
  <c r="F2304" i="4"/>
  <c r="G2304" i="4"/>
  <c r="F2310" i="4"/>
  <c r="G2310" i="4"/>
  <c r="J2310" i="4"/>
  <c r="F2315" i="4"/>
  <c r="G2315" i="4"/>
  <c r="F2321" i="4"/>
  <c r="G2321" i="4"/>
  <c r="J2321" i="4"/>
  <c r="G2327" i="4"/>
  <c r="F2327" i="4"/>
  <c r="G2332" i="4"/>
  <c r="F2332" i="4"/>
  <c r="J2332" i="4"/>
  <c r="F2337" i="4"/>
  <c r="G2337" i="4"/>
  <c r="G2341" i="4"/>
  <c r="F2341" i="4"/>
  <c r="J2341" i="4"/>
  <c r="F2391" i="4"/>
  <c r="G2391" i="4"/>
  <c r="J2391" i="4"/>
  <c r="G2395" i="4"/>
  <c r="F2395" i="4"/>
  <c r="F2399" i="4"/>
  <c r="G2399" i="4"/>
  <c r="J2399" i="4"/>
  <c r="G2403" i="4"/>
  <c r="F2403" i="4"/>
  <c r="G2407" i="4"/>
  <c r="F2407" i="4"/>
  <c r="J2407" i="4"/>
  <c r="J2394" i="4"/>
  <c r="J2402" i="4"/>
  <c r="J2410" i="4"/>
  <c r="J2418" i="4"/>
  <c r="J2426" i="4"/>
  <c r="J2434" i="4"/>
  <c r="J2442" i="4"/>
  <c r="J2450" i="4"/>
  <c r="J2458" i="4"/>
  <c r="J2466" i="4"/>
  <c r="J2474" i="4"/>
  <c r="J2294" i="4"/>
  <c r="J2304" i="4"/>
  <c r="J2315" i="4"/>
  <c r="J2327" i="4"/>
  <c r="J2337" i="4"/>
  <c r="J2395" i="4"/>
  <c r="G2411" i="4"/>
  <c r="F2411" i="4"/>
  <c r="F2415" i="4"/>
  <c r="G2415" i="4"/>
  <c r="F2419" i="4"/>
  <c r="G2419" i="4"/>
  <c r="J2403" i="4"/>
  <c r="G2423" i="4"/>
  <c r="F2423" i="4"/>
  <c r="J2423" i="4"/>
  <c r="F2427" i="4"/>
  <c r="G2427" i="4"/>
  <c r="G2431" i="4"/>
  <c r="F2431" i="4"/>
  <c r="J2431" i="4"/>
  <c r="F2435" i="4"/>
  <c r="G2435" i="4"/>
  <c r="G2439" i="4"/>
  <c r="F2439" i="4"/>
  <c r="J2439" i="4"/>
  <c r="G2443" i="4"/>
  <c r="F2443" i="4"/>
  <c r="G2447" i="4"/>
  <c r="F2447" i="4"/>
  <c r="J2447" i="4"/>
  <c r="F2451" i="4"/>
  <c r="G2451" i="4"/>
  <c r="F2455" i="4"/>
  <c r="G2455" i="4"/>
  <c r="J2455" i="4"/>
  <c r="G2459" i="4"/>
  <c r="F2459" i="4"/>
  <c r="G2463" i="4"/>
  <c r="F2463" i="4"/>
  <c r="J2463" i="4"/>
  <c r="G2467" i="4"/>
  <c r="F2467" i="4"/>
  <c r="G2471" i="4"/>
  <c r="F2471" i="4"/>
  <c r="J2471" i="4"/>
  <c r="F2475" i="4"/>
  <c r="G2475" i="4"/>
  <c r="G2479" i="4"/>
  <c r="F2479" i="4"/>
  <c r="J2479" i="4"/>
  <c r="G2483" i="4"/>
  <c r="F2483" i="4"/>
  <c r="G2487" i="4"/>
  <c r="F2487" i="4"/>
  <c r="J2487" i="4"/>
  <c r="F2491" i="4"/>
  <c r="G2491" i="4"/>
  <c r="F2495" i="4"/>
  <c r="G2495" i="4"/>
  <c r="J2495" i="4"/>
  <c r="G2499" i="4"/>
  <c r="F2499" i="4"/>
  <c r="F2503" i="4"/>
  <c r="G2503" i="4"/>
  <c r="J2503" i="4"/>
  <c r="F2507" i="4"/>
  <c r="G2507" i="4"/>
  <c r="G2511" i="4"/>
  <c r="F2511" i="4"/>
  <c r="J2511" i="4"/>
  <c r="F2515" i="4"/>
  <c r="G2515" i="4"/>
  <c r="G2519" i="4"/>
  <c r="F2519" i="4"/>
  <c r="J2519" i="4"/>
  <c r="G2524" i="4"/>
  <c r="F2524" i="4"/>
  <c r="G2528" i="4"/>
  <c r="F2528" i="4"/>
  <c r="J2528" i="4"/>
  <c r="F2532" i="4"/>
  <c r="G2532" i="4"/>
  <c r="F2536" i="4"/>
  <c r="G2536" i="4"/>
  <c r="J2536" i="4"/>
  <c r="G2540" i="4"/>
  <c r="F2540" i="4"/>
  <c r="F2293" i="4"/>
  <c r="G2293" i="4"/>
  <c r="G2300" i="4"/>
  <c r="F2300" i="4"/>
  <c r="J2300" i="4"/>
  <c r="F2306" i="4"/>
  <c r="G2306" i="4"/>
  <c r="F2316" i="4"/>
  <c r="G2316" i="4"/>
  <c r="J2316" i="4"/>
  <c r="G2328" i="4"/>
  <c r="F2328" i="4"/>
  <c r="G2338" i="4"/>
  <c r="F2338" i="4"/>
  <c r="J2338" i="4"/>
  <c r="G2342" i="4"/>
  <c r="F2342" i="4"/>
  <c r="J2411" i="4"/>
  <c r="J2415" i="4"/>
  <c r="J2419" i="4"/>
  <c r="J2427" i="4"/>
  <c r="J2435" i="4"/>
  <c r="J2443" i="4"/>
  <c r="J2451" i="4"/>
  <c r="J2459" i="4"/>
  <c r="J2467" i="4"/>
  <c r="J2475" i="4"/>
  <c r="J2483" i="4"/>
  <c r="J2491" i="4"/>
  <c r="J2499" i="4"/>
  <c r="J2507" i="4"/>
  <c r="J2515" i="4"/>
  <c r="J2524" i="4"/>
  <c r="J2532" i="4"/>
  <c r="J2540" i="4"/>
  <c r="J2293" i="4"/>
  <c r="J2306" i="4"/>
  <c r="J2328" i="4"/>
  <c r="J2342" i="4"/>
  <c r="G2396" i="4"/>
  <c r="F2396" i="4"/>
  <c r="G2400" i="4"/>
  <c r="F2400" i="4"/>
  <c r="F2408" i="4"/>
  <c r="G2408" i="4"/>
  <c r="J2408" i="4"/>
  <c r="F2412" i="4"/>
  <c r="G2412" i="4"/>
  <c r="G2420" i="4"/>
  <c r="F2420" i="4"/>
  <c r="J2420" i="4"/>
  <c r="G2428" i="4"/>
  <c r="F2428" i="4"/>
  <c r="F2432" i="4"/>
  <c r="G2432" i="4"/>
  <c r="J2432" i="4"/>
  <c r="G2440" i="4"/>
  <c r="F2440" i="4"/>
  <c r="F2444" i="4"/>
  <c r="G2444" i="4"/>
  <c r="J2444" i="4"/>
  <c r="G2452" i="4"/>
  <c r="F2452" i="4"/>
  <c r="F2460" i="4"/>
  <c r="G2460" i="4"/>
  <c r="J2460" i="4"/>
  <c r="G2464" i="4"/>
  <c r="F2464" i="4"/>
  <c r="F2472" i="4"/>
  <c r="G2472" i="4"/>
  <c r="J2472" i="4"/>
  <c r="F2476" i="4"/>
  <c r="G2476" i="4"/>
  <c r="G2484" i="4"/>
  <c r="F2484" i="4"/>
  <c r="J2484" i="4"/>
  <c r="F2492" i="4"/>
  <c r="G2492" i="4"/>
  <c r="G2496" i="4"/>
  <c r="F2496" i="4"/>
  <c r="J2496" i="4"/>
  <c r="F2504" i="4"/>
  <c r="G2504" i="4"/>
  <c r="F2508" i="4"/>
  <c r="G2508" i="4"/>
  <c r="J2508" i="4"/>
  <c r="G2516" i="4"/>
  <c r="F2516" i="4"/>
  <c r="G2525" i="4"/>
  <c r="F2525" i="4"/>
  <c r="J2525" i="4"/>
  <c r="F2529" i="4"/>
  <c r="G2529" i="4"/>
  <c r="G2537" i="4"/>
  <c r="F2537" i="4"/>
  <c r="J2537" i="4"/>
  <c r="F2433" i="4"/>
  <c r="G2433" i="4"/>
  <c r="G2465" i="4"/>
  <c r="F2465" i="4"/>
  <c r="J2465" i="4"/>
  <c r="G2497" i="4"/>
  <c r="F2497" i="4"/>
  <c r="F2513" i="4"/>
  <c r="G2513" i="4"/>
  <c r="J2513" i="4"/>
  <c r="G2538" i="4"/>
  <c r="F2538" i="4"/>
  <c r="G2421" i="4"/>
  <c r="F2421" i="4"/>
  <c r="G2469" i="4"/>
  <c r="F2469" i="4"/>
  <c r="J2469" i="4"/>
  <c r="G2506" i="4"/>
  <c r="F2506" i="4"/>
  <c r="G2531" i="4"/>
  <c r="F2531" i="4"/>
  <c r="J2531" i="4"/>
  <c r="G2530" i="4"/>
  <c r="F2530" i="4"/>
  <c r="G2482" i="4"/>
  <c r="F2482" i="4"/>
  <c r="J2482" i="4"/>
  <c r="G2523" i="4"/>
  <c r="F2523" i="4"/>
  <c r="F2319" i="4"/>
  <c r="G2319" i="4"/>
  <c r="J2319" i="4"/>
  <c r="F2490" i="4"/>
  <c r="G2490" i="4"/>
  <c r="G2302" i="4"/>
  <c r="F2302" i="4"/>
  <c r="G2324" i="4"/>
  <c r="F2324" i="4"/>
  <c r="J2324" i="4"/>
  <c r="F2393" i="4"/>
  <c r="G2393" i="4"/>
  <c r="J2393" i="4"/>
  <c r="G2409" i="4"/>
  <c r="F2409" i="4"/>
  <c r="F2425" i="4"/>
  <c r="G2425" i="4"/>
  <c r="J2425" i="4"/>
  <c r="G2441" i="4"/>
  <c r="F2441" i="4"/>
  <c r="F2457" i="4"/>
  <c r="G2457" i="4"/>
  <c r="J2457" i="4"/>
  <c r="G2473" i="4"/>
  <c r="F2473" i="4"/>
  <c r="F2485" i="4"/>
  <c r="G2485" i="4"/>
  <c r="J2485" i="4"/>
  <c r="F2493" i="4"/>
  <c r="G2493" i="4"/>
  <c r="F2501" i="4"/>
  <c r="G2501" i="4"/>
  <c r="J2501" i="4"/>
  <c r="F2509" i="4"/>
  <c r="G2509" i="4"/>
  <c r="F2517" i="4"/>
  <c r="G2517" i="4"/>
  <c r="J2517" i="4"/>
  <c r="G2526" i="4"/>
  <c r="F2526" i="4"/>
  <c r="F2534" i="4"/>
  <c r="G2534" i="4"/>
  <c r="J2534" i="4"/>
  <c r="F2307" i="4"/>
  <c r="G2307" i="4"/>
  <c r="J2307" i="4"/>
  <c r="G2329" i="4"/>
  <c r="F2329" i="4"/>
  <c r="G2397" i="4"/>
  <c r="F2397" i="4"/>
  <c r="J2397" i="4"/>
  <c r="F2413" i="4"/>
  <c r="G2413" i="4"/>
  <c r="G2429" i="4"/>
  <c r="F2429" i="4"/>
  <c r="J2429" i="4"/>
  <c r="G2445" i="4"/>
  <c r="F2445" i="4"/>
  <c r="F2461" i="4"/>
  <c r="G2461" i="4"/>
  <c r="J2461" i="4"/>
  <c r="F2477" i="4"/>
  <c r="G2477" i="4"/>
  <c r="F2486" i="4"/>
  <c r="G2486" i="4"/>
  <c r="J2486" i="4"/>
  <c r="F2494" i="4"/>
  <c r="G2494" i="4"/>
  <c r="F2502" i="4"/>
  <c r="G2502" i="4"/>
  <c r="J2502" i="4"/>
  <c r="G2510" i="4"/>
  <c r="F2510" i="4"/>
  <c r="G2518" i="4"/>
  <c r="F2518" i="4"/>
  <c r="J2518" i="4"/>
  <c r="G2527" i="4"/>
  <c r="F2527" i="4"/>
  <c r="G2535" i="4"/>
  <c r="F2535" i="4"/>
  <c r="J2535" i="4"/>
  <c r="J2412" i="4"/>
  <c r="J2428" i="4"/>
  <c r="J2440" i="4"/>
  <c r="J2452" i="4"/>
  <c r="J2464" i="4"/>
  <c r="J2476" i="4"/>
  <c r="J2492" i="4"/>
  <c r="J2504" i="4"/>
  <c r="J2516" i="4"/>
  <c r="J2529" i="4"/>
  <c r="J2433" i="4"/>
  <c r="J2497" i="4"/>
  <c r="J2538" i="4"/>
  <c r="J2421" i="4"/>
  <c r="J2506" i="4"/>
  <c r="J2530" i="4"/>
  <c r="J2523" i="4"/>
  <c r="J2490" i="4"/>
  <c r="J2302" i="4"/>
  <c r="J2409" i="4"/>
  <c r="J2441" i="4"/>
  <c r="J2473" i="4"/>
  <c r="J2493" i="4"/>
  <c r="J2509" i="4"/>
  <c r="J2526" i="4"/>
  <c r="J2329" i="4"/>
  <c r="J2413" i="4"/>
  <c r="J2445" i="4"/>
  <c r="J2477" i="4"/>
  <c r="J2494" i="4"/>
  <c r="J2510" i="4"/>
  <c r="J2527" i="4"/>
  <c r="J2396" i="4"/>
  <c r="J2400" i="4"/>
  <c r="F2312" i="4"/>
  <c r="G2312" i="4"/>
  <c r="F2335" i="4"/>
  <c r="G2335" i="4"/>
  <c r="F2401" i="4"/>
  <c r="G2401" i="4"/>
  <c r="F2417" i="4"/>
  <c r="G2417" i="4"/>
  <c r="F2449" i="4"/>
  <c r="G2449" i="4"/>
  <c r="J2449" i="4"/>
  <c r="G2481" i="4"/>
  <c r="F2481" i="4"/>
  <c r="F2489" i="4"/>
  <c r="G2489" i="4"/>
  <c r="J2489" i="4"/>
  <c r="G2505" i="4"/>
  <c r="F2505" i="4"/>
  <c r="F2522" i="4"/>
  <c r="G2522" i="4"/>
  <c r="J2522" i="4"/>
  <c r="F2339" i="4"/>
  <c r="G2339" i="4"/>
  <c r="J2339" i="4"/>
  <c r="G2405" i="4"/>
  <c r="F2405" i="4"/>
  <c r="G2539" i="4"/>
  <c r="F2539" i="4"/>
  <c r="J2539" i="4"/>
  <c r="F2498" i="4"/>
  <c r="G2498" i="4"/>
  <c r="J2498" i="4"/>
  <c r="G2296" i="4"/>
  <c r="F2296" i="4"/>
  <c r="F2437" i="4"/>
  <c r="G2437" i="4"/>
  <c r="G2453" i="4"/>
  <c r="F2453" i="4"/>
  <c r="J2453" i="4"/>
  <c r="G2514" i="4"/>
  <c r="F2514" i="4"/>
  <c r="J2514" i="4"/>
  <c r="J2401" i="4"/>
  <c r="J2417" i="4"/>
  <c r="J2481" i="4"/>
  <c r="J2505" i="4"/>
  <c r="J2405" i="4"/>
  <c r="J2296" i="4"/>
  <c r="J2437" i="4"/>
  <c r="J2312" i="4"/>
  <c r="J2335" i="4"/>
  <c r="G2549" i="4"/>
  <c r="F2549" i="4"/>
  <c r="J2549" i="4"/>
  <c r="F2553" i="4"/>
  <c r="G2553" i="4"/>
  <c r="F2557" i="4"/>
  <c r="G2557" i="4"/>
  <c r="J2557" i="4"/>
  <c r="G2561" i="4"/>
  <c r="F2561" i="4"/>
  <c r="F2565" i="4"/>
  <c r="G2565" i="4"/>
  <c r="J2565" i="4"/>
  <c r="F2574" i="4"/>
  <c r="G2574" i="4"/>
  <c r="J2574" i="4"/>
  <c r="F2578" i="4"/>
  <c r="G2578" i="4"/>
  <c r="G2582" i="4"/>
  <c r="F2582" i="4"/>
  <c r="J2582" i="4"/>
  <c r="F2586" i="4"/>
  <c r="G2586" i="4"/>
  <c r="G2550" i="4"/>
  <c r="F2550" i="4"/>
  <c r="J2550" i="4"/>
  <c r="F2554" i="4"/>
  <c r="G2554" i="4"/>
  <c r="G2558" i="4"/>
  <c r="F2558" i="4"/>
  <c r="J2558" i="4"/>
  <c r="G2562" i="4"/>
  <c r="F2562" i="4"/>
  <c r="G2566" i="4"/>
  <c r="F2566" i="4"/>
  <c r="J2566" i="4"/>
  <c r="F2575" i="4"/>
  <c r="G2575" i="4"/>
  <c r="J2575" i="4"/>
  <c r="G2579" i="4"/>
  <c r="F2579" i="4"/>
  <c r="G2583" i="4"/>
  <c r="F2583" i="4"/>
  <c r="J2583" i="4"/>
  <c r="G2587" i="4"/>
  <c r="F2587" i="4"/>
  <c r="F2591" i="4"/>
  <c r="G2591" i="4"/>
  <c r="G2560" i="4"/>
  <c r="F2560" i="4"/>
  <c r="F2585" i="4"/>
  <c r="G2585" i="4"/>
  <c r="G2563" i="4"/>
  <c r="F2563" i="4"/>
  <c r="F2576" i="4"/>
  <c r="G2576" i="4"/>
  <c r="F2556" i="4"/>
  <c r="G2556" i="4"/>
  <c r="G2573" i="4"/>
  <c r="F2573" i="4"/>
  <c r="J2553" i="4"/>
  <c r="J2561" i="4"/>
  <c r="J2578" i="4"/>
  <c r="J2586" i="4"/>
  <c r="J2554" i="4"/>
  <c r="J2562" i="4"/>
  <c r="J2579" i="4"/>
  <c r="J2587" i="4"/>
  <c r="F2552" i="4"/>
  <c r="G2552" i="4"/>
  <c r="J2552" i="4"/>
  <c r="F2577" i="4"/>
  <c r="G2577" i="4"/>
  <c r="J2585" i="4"/>
  <c r="F2590" i="4"/>
  <c r="G2590" i="4"/>
  <c r="G2547" i="4"/>
  <c r="F2547" i="4"/>
  <c r="J2547" i="4"/>
  <c r="F2551" i="4"/>
  <c r="G2551" i="4"/>
  <c r="J2551" i="4"/>
  <c r="F2555" i="4"/>
  <c r="G2555" i="4"/>
  <c r="J2555" i="4"/>
  <c r="F2559" i="4"/>
  <c r="G2559" i="4"/>
  <c r="J2563" i="4"/>
  <c r="F2580" i="4"/>
  <c r="G2580" i="4"/>
  <c r="J2580" i="4"/>
  <c r="F2584" i="4"/>
  <c r="J2584" i="4"/>
  <c r="G2584" i="4"/>
  <c r="F2588" i="4"/>
  <c r="G2588" i="4"/>
  <c r="J2588" i="4"/>
  <c r="F2592" i="4"/>
  <c r="G2592" i="4"/>
  <c r="F2548" i="4"/>
  <c r="G2548" i="4"/>
  <c r="J2548" i="4"/>
  <c r="G2564" i="4"/>
  <c r="F2564" i="4"/>
  <c r="J2564" i="4"/>
  <c r="F2581" i="4"/>
  <c r="G2581" i="4"/>
  <c r="J2581" i="4"/>
  <c r="F2589" i="4"/>
  <c r="G2589" i="4"/>
  <c r="J2589" i="4"/>
  <c r="J2591" i="4"/>
  <c r="J2560" i="4"/>
  <c r="J2590" i="4"/>
  <c r="J2559" i="4"/>
  <c r="J2576" i="4"/>
  <c r="J2577" i="4"/>
  <c r="J2592" i="4"/>
  <c r="J2556" i="4"/>
  <c r="J2573" i="4"/>
  <c r="G2346" i="4"/>
  <c r="F2346" i="4"/>
  <c r="J2346" i="4"/>
  <c r="G2350" i="4"/>
  <c r="F2350" i="4"/>
  <c r="G2354" i="4"/>
  <c r="F2354" i="4"/>
  <c r="J2354" i="4"/>
  <c r="G2358" i="4"/>
  <c r="F2358" i="4"/>
  <c r="G2362" i="4"/>
  <c r="F2362" i="4"/>
  <c r="J2362" i="4"/>
  <c r="F2366" i="4"/>
  <c r="G2366" i="4"/>
  <c r="G2371" i="4"/>
  <c r="F2371" i="4"/>
  <c r="J2371" i="4"/>
  <c r="G2375" i="4"/>
  <c r="F2375" i="4"/>
  <c r="G2379" i="4"/>
  <c r="F2379" i="4"/>
  <c r="J2379" i="4"/>
  <c r="F2383" i="4"/>
  <c r="G2383" i="4"/>
  <c r="G2387" i="4"/>
  <c r="F2387" i="4"/>
  <c r="J2387" i="4"/>
  <c r="F2347" i="4"/>
  <c r="G2347" i="4"/>
  <c r="G2351" i="4"/>
  <c r="F2351" i="4"/>
  <c r="J2351" i="4"/>
  <c r="F2355" i="4"/>
  <c r="G2355" i="4"/>
  <c r="G2359" i="4"/>
  <c r="F2359" i="4"/>
  <c r="J2359" i="4"/>
  <c r="F2363" i="4"/>
  <c r="G2363" i="4"/>
  <c r="G2367" i="4"/>
  <c r="F2367" i="4"/>
  <c r="J2367" i="4"/>
  <c r="F2372" i="4"/>
  <c r="G2372" i="4"/>
  <c r="F2376" i="4"/>
  <c r="G2376" i="4"/>
  <c r="J2376" i="4"/>
  <c r="F2380" i="4"/>
  <c r="G2380" i="4"/>
  <c r="G2384" i="4"/>
  <c r="F2384" i="4"/>
  <c r="J2384" i="4"/>
  <c r="F2388" i="4"/>
  <c r="G2388" i="4"/>
  <c r="G2344" i="4"/>
  <c r="F2344" i="4"/>
  <c r="J2344" i="4"/>
  <c r="F2348" i="4"/>
  <c r="G2348" i="4"/>
  <c r="F2352" i="4"/>
  <c r="G2352" i="4"/>
  <c r="J2352" i="4"/>
  <c r="F2356" i="4"/>
  <c r="G2356" i="4"/>
  <c r="F2360" i="4"/>
  <c r="G2360" i="4"/>
  <c r="J2360" i="4"/>
  <c r="F2364" i="4"/>
  <c r="G2364" i="4"/>
  <c r="F2368" i="4"/>
  <c r="G2368" i="4"/>
  <c r="J2368" i="4"/>
  <c r="F2373" i="4"/>
  <c r="G2373" i="4"/>
  <c r="G2377" i="4"/>
  <c r="F2377" i="4"/>
  <c r="J2377" i="4"/>
  <c r="F2381" i="4"/>
  <c r="G2381" i="4"/>
  <c r="G2385" i="4"/>
  <c r="F2385" i="4"/>
  <c r="J2385" i="4"/>
  <c r="G2389" i="4"/>
  <c r="F2389" i="4"/>
  <c r="F2345" i="4"/>
  <c r="G2345" i="4"/>
  <c r="J2345" i="4"/>
  <c r="G2349" i="4"/>
  <c r="F2349" i="4"/>
  <c r="F2353" i="4"/>
  <c r="G2353" i="4"/>
  <c r="J2353" i="4"/>
  <c r="F2357" i="4"/>
  <c r="G2357" i="4"/>
  <c r="G2361" i="4"/>
  <c r="F2361" i="4"/>
  <c r="J2361" i="4"/>
  <c r="G2365" i="4"/>
  <c r="F2365" i="4"/>
  <c r="F2370" i="4"/>
  <c r="G2370" i="4"/>
  <c r="J2370" i="4"/>
  <c r="F2374" i="4"/>
  <c r="G2374" i="4"/>
  <c r="F2378" i="4"/>
  <c r="G2378" i="4"/>
  <c r="J2378" i="4"/>
  <c r="F2382" i="4"/>
  <c r="G2382" i="4"/>
  <c r="F2386" i="4"/>
  <c r="G2386" i="4"/>
  <c r="J2386" i="4"/>
  <c r="J2350" i="4"/>
  <c r="J2358" i="4"/>
  <c r="J2366" i="4"/>
  <c r="J2375" i="4"/>
  <c r="J2383" i="4"/>
  <c r="J2347" i="4"/>
  <c r="J2355" i="4"/>
  <c r="J2363" i="4"/>
  <c r="J2372" i="4"/>
  <c r="J2380" i="4"/>
  <c r="J2388" i="4"/>
  <c r="J2348" i="4"/>
  <c r="J2356" i="4"/>
  <c r="J2364" i="4"/>
  <c r="J2373" i="4"/>
  <c r="J2381" i="4"/>
  <c r="J2389" i="4"/>
  <c r="J2349" i="4"/>
  <c r="J2357" i="4"/>
  <c r="J2365" i="4"/>
  <c r="J2374" i="4"/>
  <c r="J2382" i="4"/>
  <c r="J576" i="4"/>
  <c r="J662" i="4"/>
  <c r="F592" i="4"/>
  <c r="J560" i="4"/>
  <c r="F692" i="4"/>
  <c r="J692" i="4"/>
  <c r="F483" i="4"/>
  <c r="G576" i="4"/>
  <c r="J633" i="4"/>
  <c r="J510" i="4"/>
  <c r="F510" i="4"/>
  <c r="G1388" i="4"/>
  <c r="F1388" i="4"/>
  <c r="J1388" i="4"/>
  <c r="G1387" i="4"/>
  <c r="J1387" i="4"/>
  <c r="F1387" i="4"/>
  <c r="J1389" i="4"/>
  <c r="G1389" i="4"/>
  <c r="F1389" i="4"/>
  <c r="J1391" i="4"/>
  <c r="F1391" i="4"/>
  <c r="G1391" i="4"/>
  <c r="F1390" i="4"/>
  <c r="J1390" i="4"/>
  <c r="G1390" i="4"/>
  <c r="J691" i="4"/>
  <c r="J524" i="4"/>
  <c r="H889" i="4"/>
  <c r="S2263" i="4" l="1"/>
  <c r="S2264" i="4" s="1"/>
  <c r="H2264" i="4" s="1"/>
  <c r="F1383" i="4"/>
  <c r="G1383" i="4"/>
  <c r="J2237" i="4"/>
  <c r="J1343" i="4"/>
  <c r="H692" i="4"/>
  <c r="M692" i="4" s="1"/>
  <c r="H761" i="4"/>
  <c r="G1303" i="4"/>
  <c r="G2197" i="4"/>
  <c r="G2202" i="4"/>
  <c r="G1348" i="4"/>
  <c r="G2162" i="4"/>
  <c r="F2202" i="4"/>
  <c r="J2202" i="4"/>
  <c r="G2242" i="4"/>
  <c r="F1348" i="4"/>
  <c r="F2122" i="4"/>
  <c r="J2242" i="4"/>
  <c r="J1348" i="4"/>
  <c r="F2242" i="4"/>
  <c r="J2122" i="4"/>
  <c r="G2122" i="4"/>
  <c r="F1303" i="4"/>
  <c r="F2198" i="4"/>
  <c r="G2198" i="4"/>
  <c r="J1303" i="4"/>
  <c r="G2199" i="4"/>
  <c r="J2162" i="4"/>
  <c r="F2162" i="4"/>
  <c r="I2628" i="4"/>
  <c r="M2628" i="4" s="1"/>
  <c r="H763" i="4"/>
  <c r="I2641" i="4"/>
  <c r="M2641" i="4" s="1"/>
  <c r="H759" i="4"/>
  <c r="I480" i="4"/>
  <c r="G553" i="4"/>
  <c r="S553" i="4"/>
  <c r="G481" i="4"/>
  <c r="S481" i="4"/>
  <c r="F552" i="4"/>
  <c r="S552" i="4"/>
  <c r="J551" i="4"/>
  <c r="S551" i="4"/>
  <c r="H689" i="4"/>
  <c r="F762" i="4"/>
  <c r="S762" i="4"/>
  <c r="J550" i="4"/>
  <c r="S550" i="4"/>
  <c r="H2262" i="4"/>
  <c r="F549" i="4"/>
  <c r="S549" i="4"/>
  <c r="F760" i="4"/>
  <c r="S760" i="4"/>
  <c r="G483" i="4"/>
  <c r="S483" i="4"/>
  <c r="G482" i="4"/>
  <c r="S482" i="4"/>
  <c r="G718" i="4"/>
  <c r="S718" i="4"/>
  <c r="I718" i="4" s="1"/>
  <c r="J719" i="4"/>
  <c r="S719" i="4"/>
  <c r="I719" i="4" s="1"/>
  <c r="F720" i="4"/>
  <c r="S720" i="4"/>
  <c r="I720" i="4" s="1"/>
  <c r="J716" i="4"/>
  <c r="S716" i="4"/>
  <c r="H716" i="4" s="1"/>
  <c r="G701" i="4"/>
  <c r="S701" i="4"/>
  <c r="I701" i="4" s="1"/>
  <c r="G702" i="4"/>
  <c r="S702" i="4"/>
  <c r="H702" i="4" s="1"/>
  <c r="F703" i="4"/>
  <c r="S703" i="4"/>
  <c r="H703" i="4" s="1"/>
  <c r="J693" i="4"/>
  <c r="S693" i="4"/>
  <c r="F691" i="4"/>
  <c r="S691" i="4"/>
  <c r="G690" i="4"/>
  <c r="S690" i="4"/>
  <c r="F620" i="4"/>
  <c r="S620" i="4"/>
  <c r="J623" i="4"/>
  <c r="S623" i="4"/>
  <c r="J622" i="4"/>
  <c r="S622" i="4"/>
  <c r="J621" i="4"/>
  <c r="S621" i="4"/>
  <c r="G619" i="4"/>
  <c r="S619" i="4"/>
  <c r="F666" i="4"/>
  <c r="S666" i="4"/>
  <c r="I666" i="4" s="1"/>
  <c r="G663" i="4"/>
  <c r="S663" i="4"/>
  <c r="I663" i="4" s="1"/>
  <c r="G664" i="4"/>
  <c r="S664" i="4"/>
  <c r="H664" i="4" s="1"/>
  <c r="G665" i="4"/>
  <c r="S665" i="4"/>
  <c r="H665" i="4" s="1"/>
  <c r="F662" i="4"/>
  <c r="S662" i="4"/>
  <c r="I662" i="4" s="1"/>
  <c r="J647" i="4"/>
  <c r="S647" i="4"/>
  <c r="I647" i="4" s="1"/>
  <c r="F649" i="4"/>
  <c r="S649" i="4"/>
  <c r="H649" i="4" s="1"/>
  <c r="F650" i="4"/>
  <c r="S650" i="4"/>
  <c r="I650" i="4" s="1"/>
  <c r="J630" i="4"/>
  <c r="S630" i="4"/>
  <c r="I630" i="4" s="1"/>
  <c r="G631" i="4"/>
  <c r="S631" i="4"/>
  <c r="H631" i="4" s="1"/>
  <c r="J632" i="4"/>
  <c r="S632" i="4"/>
  <c r="I632" i="4" s="1"/>
  <c r="F633" i="4"/>
  <c r="S633" i="4"/>
  <c r="I633" i="4" s="1"/>
  <c r="J634" i="4"/>
  <c r="S634" i="4"/>
  <c r="I634" i="4" s="1"/>
  <c r="J2107" i="4"/>
  <c r="G622" i="4"/>
  <c r="F622" i="4"/>
  <c r="M2286" i="4"/>
  <c r="M2280" i="4"/>
  <c r="F1363" i="4"/>
  <c r="H2629" i="4"/>
  <c r="M2629" i="4" s="1"/>
  <c r="M3052" i="4"/>
  <c r="M2632" i="4"/>
  <c r="J2057" i="4"/>
  <c r="G2217" i="4"/>
  <c r="J619" i="4"/>
  <c r="J483" i="4"/>
  <c r="H2664" i="4"/>
  <c r="M2664" i="4" s="1"/>
  <c r="M2357" i="4"/>
  <c r="M2379" i="4"/>
  <c r="M2514" i="4"/>
  <c r="M2429" i="4"/>
  <c r="M2324" i="4"/>
  <c r="M2519" i="4"/>
  <c r="M2422" i="4"/>
  <c r="M1514" i="4"/>
  <c r="M2066" i="4"/>
  <c r="M2106" i="4"/>
  <c r="M2146" i="4"/>
  <c r="M2186" i="4"/>
  <c r="M2206" i="4"/>
  <c r="M1297" i="4"/>
  <c r="M1327" i="4"/>
  <c r="M1382" i="4"/>
  <c r="J549" i="4"/>
  <c r="G549" i="4"/>
  <c r="M2345" i="4"/>
  <c r="M2588" i="4"/>
  <c r="M2552" i="4"/>
  <c r="M2522" i="4"/>
  <c r="M2335" i="4"/>
  <c r="M2534" i="4"/>
  <c r="M2319" i="4"/>
  <c r="M2507" i="4"/>
  <c r="M2495" i="4"/>
  <c r="M2462" i="4"/>
  <c r="M2398" i="4"/>
  <c r="M789" i="4"/>
  <c r="M606" i="4"/>
  <c r="M614" i="4"/>
  <c r="M677" i="4"/>
  <c r="M685" i="4"/>
  <c r="M748" i="4"/>
  <c r="M756" i="4"/>
  <c r="M819" i="4"/>
  <c r="M827" i="4"/>
  <c r="M3040" i="4"/>
  <c r="M3043" i="4"/>
  <c r="M774" i="4"/>
  <c r="M566" i="4"/>
  <c r="M575" i="4"/>
  <c r="M589" i="4"/>
  <c r="M638" i="4"/>
  <c r="M652" i="4"/>
  <c r="M661" i="4"/>
  <c r="M2261" i="4"/>
  <c r="M2615" i="4"/>
  <c r="M2619" i="4"/>
  <c r="M2622" i="4"/>
  <c r="M2688" i="4"/>
  <c r="M1535" i="4"/>
  <c r="M1546" i="4"/>
  <c r="M2708" i="4"/>
  <c r="M2720" i="4"/>
  <c r="M2997" i="4"/>
  <c r="H3051" i="4"/>
  <c r="M3051" i="4" s="1"/>
  <c r="M1390" i="4"/>
  <c r="M2354" i="4"/>
  <c r="M2564" i="4"/>
  <c r="M2582" i="4"/>
  <c r="M2539" i="4"/>
  <c r="M2535" i="4"/>
  <c r="M2431" i="4"/>
  <c r="M2407" i="4"/>
  <c r="M2312" i="4"/>
  <c r="M2325" i="4"/>
  <c r="M1520" i="4"/>
  <c r="M2513" i="4"/>
  <c r="M2573" i="4"/>
  <c r="M2528" i="4"/>
  <c r="M2515" i="4"/>
  <c r="M2463" i="4"/>
  <c r="M2451" i="4"/>
  <c r="M2327" i="4"/>
  <c r="M2442" i="4"/>
  <c r="M1515" i="4"/>
  <c r="M2071" i="4"/>
  <c r="M2111" i="4"/>
  <c r="M2151" i="4"/>
  <c r="M1510" i="4"/>
  <c r="M1298" i="4"/>
  <c r="M1292" i="4"/>
  <c r="M1322" i="4"/>
  <c r="M1377" i="4"/>
  <c r="M2352" i="4"/>
  <c r="M2126" i="4"/>
  <c r="M2166" i="4"/>
  <c r="M2425" i="4"/>
  <c r="M2455" i="4"/>
  <c r="M2299" i="4"/>
  <c r="M2578" i="4"/>
  <c r="M2370" i="4"/>
  <c r="M2555" i="4"/>
  <c r="M777" i="4"/>
  <c r="M111" i="4"/>
  <c r="N111" i="4" s="1"/>
  <c r="M1391" i="4"/>
  <c r="M2382" i="4"/>
  <c r="M2389" i="4"/>
  <c r="M2377" i="4"/>
  <c r="M2364" i="4"/>
  <c r="M2359" i="4"/>
  <c r="M2347" i="4"/>
  <c r="M2350" i="4"/>
  <c r="M2590" i="4"/>
  <c r="M2563" i="4"/>
  <c r="M2553" i="4"/>
  <c r="M2405" i="4"/>
  <c r="M2505" i="4"/>
  <c r="M2527" i="4"/>
  <c r="M2526" i="4"/>
  <c r="M2523" i="4"/>
  <c r="M2531" i="4"/>
  <c r="M2529" i="4"/>
  <c r="M2508" i="4"/>
  <c r="M2464" i="4"/>
  <c r="M2408" i="4"/>
  <c r="M2328" i="4"/>
  <c r="M2300" i="4"/>
  <c r="M2532" i="4"/>
  <c r="M2479" i="4"/>
  <c r="M2403" i="4"/>
  <c r="M2332" i="4"/>
  <c r="M2315" i="4"/>
  <c r="M2458" i="4"/>
  <c r="M2434" i="4"/>
  <c r="M2308" i="4"/>
  <c r="M2292" i="4"/>
  <c r="M2295" i="4"/>
  <c r="M2309" i="4"/>
  <c r="M1275" i="4"/>
  <c r="M496" i="4"/>
  <c r="M505" i="4"/>
  <c r="M568" i="4"/>
  <c r="M582" i="4"/>
  <c r="M591" i="4"/>
  <c r="M654" i="4"/>
  <c r="M668" i="4"/>
  <c r="M699" i="4"/>
  <c r="M713" i="4"/>
  <c r="M740" i="4"/>
  <c r="M2081" i="4"/>
  <c r="M2121" i="4"/>
  <c r="M2161" i="4"/>
  <c r="M1512" i="4"/>
  <c r="M833" i="4"/>
  <c r="M1312" i="4"/>
  <c r="M1367" i="4"/>
  <c r="M2676" i="4"/>
  <c r="M2271" i="4"/>
  <c r="M2394" i="4"/>
  <c r="M1507" i="4"/>
  <c r="M2602" i="4"/>
  <c r="M2606" i="4"/>
  <c r="M2610" i="4"/>
  <c r="M3039" i="4"/>
  <c r="M2651" i="4"/>
  <c r="M2373" i="4"/>
  <c r="M2346" i="4"/>
  <c r="M2551" i="4"/>
  <c r="M2585" i="4"/>
  <c r="M2417" i="4"/>
  <c r="M2518" i="4"/>
  <c r="M2494" i="4"/>
  <c r="M2461" i="4"/>
  <c r="M2457" i="4"/>
  <c r="M2482" i="4"/>
  <c r="M2499" i="4"/>
  <c r="M2487" i="4"/>
  <c r="M2475" i="4"/>
  <c r="M2423" i="4"/>
  <c r="M2341" i="4"/>
  <c r="M2310" i="4"/>
  <c r="M2323" i="4"/>
  <c r="M2086" i="4"/>
  <c r="M1518" i="4"/>
  <c r="M2675" i="4"/>
  <c r="M2236" i="4"/>
  <c r="M2586" i="4"/>
  <c r="M2336" i="4"/>
  <c r="M2285" i="4"/>
  <c r="M2226" i="4"/>
  <c r="M1389" i="4"/>
  <c r="M2386" i="4"/>
  <c r="M2560" i="4"/>
  <c r="M2557" i="4"/>
  <c r="M2337" i="4"/>
  <c r="M2331" i="4"/>
  <c r="M104" i="4"/>
  <c r="N104" i="4" s="1"/>
  <c r="M96" i="4"/>
  <c r="N96" i="4" s="1"/>
  <c r="M88" i="4"/>
  <c r="N88" i="4" s="1"/>
  <c r="M80" i="4"/>
  <c r="N80" i="4" s="1"/>
  <c r="M469" i="4"/>
  <c r="M477" i="4"/>
  <c r="M540" i="4"/>
  <c r="M782" i="4"/>
  <c r="M608" i="4"/>
  <c r="M813" i="4"/>
  <c r="M821" i="4"/>
  <c r="M102" i="4"/>
  <c r="N102" i="4" s="1"/>
  <c r="M697" i="4"/>
  <c r="M738" i="4"/>
  <c r="M766" i="4"/>
  <c r="M785" i="4"/>
  <c r="M795" i="4"/>
  <c r="M809" i="4"/>
  <c r="M783" i="4"/>
  <c r="M793" i="4"/>
  <c r="M2388" i="4"/>
  <c r="M2376" i="4"/>
  <c r="M2366" i="4"/>
  <c r="M2576" i="4"/>
  <c r="M2579" i="4"/>
  <c r="M2566" i="4"/>
  <c r="M2554" i="4"/>
  <c r="M2473" i="4"/>
  <c r="M2421" i="4"/>
  <c r="M2433" i="4"/>
  <c r="M2492" i="4"/>
  <c r="M2472" i="4"/>
  <c r="M2428" i="4"/>
  <c r="M2467" i="4"/>
  <c r="M2419" i="4"/>
  <c r="M2474" i="4"/>
  <c r="M2410" i="4"/>
  <c r="M2521" i="4"/>
  <c r="M2488" i="4"/>
  <c r="M2333" i="4"/>
  <c r="M2313" i="4"/>
  <c r="M2365" i="4"/>
  <c r="M2384" i="4"/>
  <c r="M2372" i="4"/>
  <c r="M2375" i="4"/>
  <c r="M2362" i="4"/>
  <c r="M2589" i="4"/>
  <c r="M2591" i="4"/>
  <c r="M2562" i="4"/>
  <c r="M2550" i="4"/>
  <c r="M2565" i="4"/>
  <c r="M2449" i="4"/>
  <c r="M2502" i="4"/>
  <c r="M2501" i="4"/>
  <c r="M2409" i="4"/>
  <c r="M2302" i="4"/>
  <c r="M2497" i="4"/>
  <c r="M2484" i="4"/>
  <c r="M2444" i="4"/>
  <c r="M2400" i="4"/>
  <c r="M2491" i="4"/>
  <c r="M2439" i="4"/>
  <c r="M2427" i="4"/>
  <c r="M2415" i="4"/>
  <c r="M2391" i="4"/>
  <c r="M2294" i="4"/>
  <c r="M2470" i="4"/>
  <c r="M2446" i="4"/>
  <c r="M2418" i="4"/>
  <c r="M2406" i="4"/>
  <c r="M2340" i="4"/>
  <c r="M2448" i="4"/>
  <c r="M2416" i="4"/>
  <c r="M2322" i="4"/>
  <c r="M2297" i="4"/>
  <c r="M486" i="4"/>
  <c r="M499" i="4"/>
  <c r="M513" i="4"/>
  <c r="M558" i="4"/>
  <c r="M572" i="4"/>
  <c r="M2477" i="4"/>
  <c r="M2353" i="4"/>
  <c r="M2348" i="4"/>
  <c r="M2387" i="4"/>
  <c r="M2548" i="4"/>
  <c r="M2584" i="4"/>
  <c r="M2587" i="4"/>
  <c r="M2561" i="4"/>
  <c r="M2549" i="4"/>
  <c r="M2453" i="4"/>
  <c r="M2413" i="4"/>
  <c r="M2307" i="4"/>
  <c r="M2506" i="4"/>
  <c r="M2525" i="4"/>
  <c r="M2504" i="4"/>
  <c r="M2440" i="4"/>
  <c r="M2420" i="4"/>
  <c r="M2540" i="4"/>
  <c r="M2503" i="4"/>
  <c r="M2411" i="4"/>
  <c r="M2430" i="4"/>
  <c r="M2512" i="4"/>
  <c r="M2480" i="4"/>
  <c r="M2404" i="4"/>
  <c r="M2334" i="4"/>
  <c r="M772" i="4"/>
  <c r="M489" i="4"/>
  <c r="M503" i="4"/>
  <c r="M530" i="4"/>
  <c r="M2349" i="4"/>
  <c r="M2367" i="4"/>
  <c r="M2358" i="4"/>
  <c r="M2493" i="4"/>
  <c r="M2396" i="4"/>
  <c r="M2342" i="4"/>
  <c r="M2293" i="4"/>
  <c r="M2402" i="4"/>
  <c r="M2303" i="4"/>
  <c r="M2305" i="4"/>
  <c r="M2385" i="4"/>
  <c r="M2575" i="4"/>
  <c r="M2361" i="4"/>
  <c r="M2344" i="4"/>
  <c r="M2380" i="4"/>
  <c r="M2371" i="4"/>
  <c r="M2581" i="4"/>
  <c r="M2592" i="4"/>
  <c r="M2558" i="4"/>
  <c r="M2574" i="4"/>
  <c r="M2498" i="4"/>
  <c r="M2339" i="4"/>
  <c r="M2489" i="4"/>
  <c r="M2445" i="4"/>
  <c r="M2397" i="4"/>
  <c r="M2517" i="4"/>
  <c r="M2441" i="4"/>
  <c r="M2490" i="4"/>
  <c r="M2538" i="4"/>
  <c r="M2465" i="4"/>
  <c r="M2516" i="4"/>
  <c r="M2496" i="4"/>
  <c r="M2476" i="4"/>
  <c r="M2460" i="4"/>
  <c r="M2316" i="4"/>
  <c r="M2524" i="4"/>
  <c r="M2511" i="4"/>
  <c r="M2459" i="4"/>
  <c r="M2447" i="4"/>
  <c r="M2435" i="4"/>
  <c r="M2399" i="4"/>
  <c r="M2478" i="4"/>
  <c r="M2466" i="4"/>
  <c r="M2454" i="4"/>
  <c r="M2426" i="4"/>
  <c r="M2390" i="4"/>
  <c r="M2320" i="4"/>
  <c r="M2533" i="4"/>
  <c r="M2500" i="4"/>
  <c r="M2468" i="4"/>
  <c r="M2436" i="4"/>
  <c r="M2330" i="4"/>
  <c r="M2318" i="4"/>
  <c r="M771" i="4"/>
  <c r="M1388" i="4"/>
  <c r="M2378" i="4"/>
  <c r="M2355" i="4"/>
  <c r="M2577" i="4"/>
  <c r="M2374" i="4"/>
  <c r="M2356" i="4"/>
  <c r="M2351" i="4"/>
  <c r="M2383" i="4"/>
  <c r="M2580" i="4"/>
  <c r="M2559" i="4"/>
  <c r="M2547" i="4"/>
  <c r="M2556" i="4"/>
  <c r="M2583" i="4"/>
  <c r="M2437" i="4"/>
  <c r="M2481" i="4"/>
  <c r="M2401" i="4"/>
  <c r="M2510" i="4"/>
  <c r="M2393" i="4"/>
  <c r="M2530" i="4"/>
  <c r="M2469" i="4"/>
  <c r="M2537" i="4"/>
  <c r="M2452" i="4"/>
  <c r="M2412" i="4"/>
  <c r="M2483" i="4"/>
  <c r="M2471" i="4"/>
  <c r="M2395" i="4"/>
  <c r="M2304" i="4"/>
  <c r="M2450" i="4"/>
  <c r="M2438" i="4"/>
  <c r="M2414" i="4"/>
  <c r="M2311" i="4"/>
  <c r="M773" i="4"/>
  <c r="M107" i="4"/>
  <c r="N107" i="4" s="1"/>
  <c r="M99" i="4"/>
  <c r="N99" i="4" s="1"/>
  <c r="M162" i="4"/>
  <c r="M2360" i="4"/>
  <c r="M1387" i="4"/>
  <c r="M2381" i="4"/>
  <c r="M2368" i="4"/>
  <c r="M2363" i="4"/>
  <c r="M2296" i="4"/>
  <c r="M2486" i="4"/>
  <c r="M2329" i="4"/>
  <c r="M2509" i="4"/>
  <c r="M2485" i="4"/>
  <c r="M2432" i="4"/>
  <c r="M2338" i="4"/>
  <c r="M2306" i="4"/>
  <c r="M2536" i="4"/>
  <c r="M2443" i="4"/>
  <c r="M2321" i="4"/>
  <c r="M2314" i="4"/>
  <c r="M2298" i="4"/>
  <c r="M2456" i="4"/>
  <c r="M2424" i="4"/>
  <c r="M2392" i="4"/>
  <c r="M2326" i="4"/>
  <c r="M2301" i="4"/>
  <c r="M808" i="4"/>
  <c r="M464" i="4"/>
  <c r="M472" i="4"/>
  <c r="M535" i="4"/>
  <c r="M543" i="4"/>
  <c r="M2216" i="4"/>
  <c r="M2603" i="4"/>
  <c r="M2607" i="4"/>
  <c r="M2623" i="4"/>
  <c r="M1528" i="4"/>
  <c r="M1536" i="4"/>
  <c r="M1547" i="4"/>
  <c r="M3023" i="4"/>
  <c r="M3025" i="4"/>
  <c r="M2231" i="4"/>
  <c r="M1392" i="4"/>
  <c r="M2251" i="4"/>
  <c r="M2613" i="4"/>
  <c r="M2616" i="4"/>
  <c r="M2620" i="4"/>
  <c r="M2687" i="4"/>
  <c r="M1533" i="4"/>
  <c r="M1541" i="4"/>
  <c r="M1544" i="4"/>
  <c r="M2709" i="4"/>
  <c r="M2717" i="4"/>
  <c r="M2998" i="4"/>
  <c r="M1575" i="4"/>
  <c r="M1578" i="4"/>
  <c r="M585" i="4"/>
  <c r="M599" i="4"/>
  <c r="M644" i="4"/>
  <c r="M658" i="4"/>
  <c r="M671" i="4"/>
  <c r="M707" i="4"/>
  <c r="M730" i="4"/>
  <c r="M2056" i="4"/>
  <c r="M2096" i="4"/>
  <c r="M2136" i="4"/>
  <c r="M2176" i="4"/>
  <c r="M495" i="4"/>
  <c r="M527" i="4"/>
  <c r="M571" i="4"/>
  <c r="M651" i="4"/>
  <c r="M727" i="4"/>
  <c r="M806" i="4"/>
  <c r="M801" i="4"/>
  <c r="M2201" i="4"/>
  <c r="M1337" i="4"/>
  <c r="M1352" i="4"/>
  <c r="M781" i="4"/>
  <c r="M466" i="4"/>
  <c r="M474" i="4"/>
  <c r="M537" i="4"/>
  <c r="M545" i="4"/>
  <c r="M616" i="4"/>
  <c r="M679" i="4"/>
  <c r="M687" i="4"/>
  <c r="M750" i="4"/>
  <c r="M1527" i="4"/>
  <c r="M1530" i="4"/>
  <c r="M1538" i="4"/>
  <c r="M1549" i="4"/>
  <c r="M1570" i="4"/>
  <c r="M2684" i="4"/>
  <c r="M1277" i="4"/>
  <c r="M3005" i="4"/>
  <c r="M3122" i="4"/>
  <c r="M3022" i="4"/>
  <c r="M3024" i="4"/>
  <c r="M3032" i="4"/>
  <c r="M2631" i="4"/>
  <c r="M2635" i="4"/>
  <c r="M2663" i="4"/>
  <c r="M2221" i="4"/>
  <c r="M3042" i="4"/>
  <c r="M1574" i="4"/>
  <c r="M2270" i="4"/>
  <c r="M501" i="4"/>
  <c r="M581" i="4"/>
  <c r="M625" i="4"/>
  <c r="M657" i="4"/>
  <c r="M705" i="4"/>
  <c r="M737" i="4"/>
  <c r="M2196" i="4"/>
  <c r="M1307" i="4"/>
  <c r="M1347" i="4"/>
  <c r="M1362" i="4"/>
  <c r="M765" i="4"/>
  <c r="M802" i="4"/>
  <c r="M2680" i="4"/>
  <c r="M2246" i="4"/>
  <c r="M2601" i="4"/>
  <c r="M2605" i="4"/>
  <c r="M2609" i="4"/>
  <c r="M2612" i="4"/>
  <c r="M1532" i="4"/>
  <c r="M1540" i="4"/>
  <c r="M1543" i="4"/>
  <c r="M2999" i="4"/>
  <c r="M3004" i="4"/>
  <c r="M3021" i="4"/>
  <c r="M3028" i="4"/>
  <c r="M3031" i="4"/>
  <c r="M3020" i="4"/>
  <c r="M3035" i="4"/>
  <c r="M3038" i="4"/>
  <c r="M3045" i="4"/>
  <c r="M1577" i="4"/>
  <c r="M3055" i="4"/>
  <c r="M2634" i="4"/>
  <c r="M2266" i="4"/>
  <c r="M2276" i="4"/>
  <c r="M151" i="4"/>
  <c r="M731" i="4"/>
  <c r="M1508" i="4"/>
  <c r="M2061" i="4"/>
  <c r="M2101" i="4"/>
  <c r="M2141" i="4"/>
  <c r="M2181" i="4"/>
  <c r="M1332" i="4"/>
  <c r="M2678" i="4"/>
  <c r="M2618" i="4"/>
  <c r="M2624" i="4"/>
  <c r="M2686" i="4"/>
  <c r="M1529" i="4"/>
  <c r="M1537" i="4"/>
  <c r="M1548" i="4"/>
  <c r="M2682" i="4"/>
  <c r="M2710" i="4"/>
  <c r="M1571" i="4"/>
  <c r="M2719" i="4"/>
  <c r="M1276" i="4"/>
  <c r="M2996" i="4"/>
  <c r="M1580" i="4"/>
  <c r="M3125" i="4"/>
  <c r="M2290" i="4"/>
  <c r="M504" i="4"/>
  <c r="M518" i="4"/>
  <c r="M531" i="4"/>
  <c r="M626" i="4"/>
  <c r="M725" i="4"/>
  <c r="M739" i="4"/>
  <c r="M1516" i="4"/>
  <c r="M2076" i="4"/>
  <c r="M2116" i="4"/>
  <c r="M2156" i="4"/>
  <c r="M1511" i="4"/>
  <c r="M511" i="4"/>
  <c r="M555" i="4"/>
  <c r="M587" i="4"/>
  <c r="M635" i="4"/>
  <c r="M667" i="4"/>
  <c r="M711" i="4"/>
  <c r="M2191" i="4"/>
  <c r="M2211" i="4"/>
  <c r="M1287" i="4"/>
  <c r="M1317" i="4"/>
  <c r="M1372" i="4"/>
  <c r="M770" i="4"/>
  <c r="M791" i="4"/>
  <c r="M2677" i="4"/>
  <c r="M2256" i="4"/>
  <c r="M2600" i="4"/>
  <c r="M2604" i="4"/>
  <c r="M2608" i="4"/>
  <c r="M2614" i="4"/>
  <c r="M2621" i="4"/>
  <c r="M1534" i="4"/>
  <c r="M1542" i="4"/>
  <c r="M1545" i="4"/>
  <c r="M2743" i="4"/>
  <c r="M3027" i="4"/>
  <c r="M3030" i="4"/>
  <c r="M3026" i="4"/>
  <c r="M3033" i="4"/>
  <c r="M3037" i="4"/>
  <c r="M3041" i="4"/>
  <c r="M3044" i="4"/>
  <c r="M1573" i="4"/>
  <c r="M1576" i="4"/>
  <c r="M3053" i="4"/>
  <c r="M3054" i="4"/>
  <c r="M2633" i="4"/>
  <c r="M2637" i="4"/>
  <c r="M1506" i="4"/>
  <c r="M2051" i="4"/>
  <c r="M2091" i="4"/>
  <c r="M2131" i="4"/>
  <c r="M2171" i="4"/>
  <c r="M1519" i="4"/>
  <c r="M1302" i="4"/>
  <c r="M1342" i="4"/>
  <c r="M1357" i="4"/>
  <c r="M2681" i="4"/>
  <c r="M2241" i="4"/>
  <c r="M2611" i="4"/>
  <c r="M2617" i="4"/>
  <c r="M1531" i="4"/>
  <c r="M1539" i="4"/>
  <c r="M1550" i="4"/>
  <c r="M2707" i="4"/>
  <c r="M2718" i="4"/>
  <c r="M2727" i="4"/>
  <c r="M2728" i="4"/>
  <c r="M1579" i="4"/>
  <c r="M2275" i="4"/>
  <c r="M2281" i="4"/>
  <c r="M807" i="4"/>
  <c r="M776" i="4"/>
  <c r="M168" i="4"/>
  <c r="M696" i="4"/>
  <c r="M709" i="4"/>
  <c r="M163" i="4"/>
  <c r="M157" i="4"/>
  <c r="M166" i="4"/>
  <c r="M519" i="4"/>
  <c r="M627" i="4"/>
  <c r="M831" i="4"/>
  <c r="M790" i="4"/>
  <c r="M788" i="4"/>
  <c r="M768" i="4"/>
  <c r="M798" i="4"/>
  <c r="M811" i="4"/>
  <c r="M724" i="4"/>
  <c r="M769" i="4"/>
  <c r="M799" i="4"/>
  <c r="M786" i="4"/>
  <c r="M108" i="4"/>
  <c r="N108" i="4" s="1"/>
  <c r="M92" i="4"/>
  <c r="N92" i="4" s="1"/>
  <c r="M84" i="4"/>
  <c r="N84" i="4" s="1"/>
  <c r="M779" i="4"/>
  <c r="G106" i="4"/>
  <c r="M106" i="4"/>
  <c r="N106" i="4" s="1"/>
  <c r="G98" i="4"/>
  <c r="M98" i="4"/>
  <c r="N98" i="4" s="1"/>
  <c r="G90" i="4"/>
  <c r="M90" i="4"/>
  <c r="N90" i="4" s="1"/>
  <c r="G82" i="4"/>
  <c r="M82" i="4"/>
  <c r="N82" i="4" s="1"/>
  <c r="G74" i="4"/>
  <c r="M74" i="4"/>
  <c r="N74" i="4" s="1"/>
  <c r="M155" i="4"/>
  <c r="M498" i="4"/>
  <c r="M512" i="4"/>
  <c r="M521" i="4"/>
  <c r="M557" i="4"/>
  <c r="M584" i="4"/>
  <c r="M598" i="4"/>
  <c r="M629" i="4"/>
  <c r="M643" i="4"/>
  <c r="M670" i="4"/>
  <c r="M706" i="4"/>
  <c r="M715" i="4"/>
  <c r="G105" i="4"/>
  <c r="M105" i="4"/>
  <c r="N105" i="4" s="1"/>
  <c r="G97" i="4"/>
  <c r="M97" i="4"/>
  <c r="N97" i="4" s="1"/>
  <c r="G89" i="4"/>
  <c r="M89" i="4"/>
  <c r="N89" i="4" s="1"/>
  <c r="G81" i="4"/>
  <c r="M81" i="4"/>
  <c r="N81" i="4" s="1"/>
  <c r="G73" i="4"/>
  <c r="M73" i="4"/>
  <c r="N73" i="4" s="1"/>
  <c r="M156" i="4"/>
  <c r="M160" i="4"/>
  <c r="M159" i="4"/>
  <c r="M488" i="4"/>
  <c r="M502" i="4"/>
  <c r="M515" i="4"/>
  <c r="M529" i="4"/>
  <c r="M574" i="4"/>
  <c r="M588" i="4"/>
  <c r="M601" i="4"/>
  <c r="M637" i="4"/>
  <c r="M660" i="4"/>
  <c r="M723" i="4"/>
  <c r="M778" i="4"/>
  <c r="G103" i="4"/>
  <c r="M103" i="4"/>
  <c r="N103" i="4" s="1"/>
  <c r="G95" i="4"/>
  <c r="M95" i="4"/>
  <c r="N95" i="4" s="1"/>
  <c r="G87" i="4"/>
  <c r="M87" i="4"/>
  <c r="N87" i="4" s="1"/>
  <c r="G79" i="4"/>
  <c r="M79" i="4"/>
  <c r="N79" i="4" s="1"/>
  <c r="G110" i="4"/>
  <c r="M110" i="4"/>
  <c r="N110" i="4" s="1"/>
  <c r="G94" i="4"/>
  <c r="M94" i="4"/>
  <c r="N94" i="4" s="1"/>
  <c r="G86" i="4"/>
  <c r="M86" i="4"/>
  <c r="N86" i="4" s="1"/>
  <c r="G78" i="4"/>
  <c r="M78" i="4"/>
  <c r="N78" i="4" s="1"/>
  <c r="G109" i="4"/>
  <c r="M109" i="4"/>
  <c r="N109" i="4" s="1"/>
  <c r="G101" i="4"/>
  <c r="M101" i="4"/>
  <c r="N101" i="4" s="1"/>
  <c r="G93" i="4"/>
  <c r="M93" i="4"/>
  <c r="N93" i="4" s="1"/>
  <c r="G85" i="4"/>
  <c r="M85" i="4"/>
  <c r="N85" i="4" s="1"/>
  <c r="G77" i="4"/>
  <c r="M77" i="4"/>
  <c r="N77" i="4" s="1"/>
  <c r="M165" i="4"/>
  <c r="M154" i="4"/>
  <c r="M497" i="4"/>
  <c r="M520" i="4"/>
  <c r="M556" i="4"/>
  <c r="M569" i="4"/>
  <c r="M583" i="4"/>
  <c r="M628" i="4"/>
  <c r="M642" i="4"/>
  <c r="M655" i="4"/>
  <c r="M669" i="4"/>
  <c r="M714" i="4"/>
  <c r="M728" i="4"/>
  <c r="G72" i="4"/>
  <c r="M72" i="4"/>
  <c r="N72" i="4" s="1"/>
  <c r="G100" i="4"/>
  <c r="M100" i="4"/>
  <c r="N100" i="4" s="1"/>
  <c r="G76" i="4"/>
  <c r="M76" i="4"/>
  <c r="N76" i="4" s="1"/>
  <c r="M170" i="4"/>
  <c r="M487" i="4"/>
  <c r="M514" i="4"/>
  <c r="M528" i="4"/>
  <c r="M559" i="4"/>
  <c r="M573" i="4"/>
  <c r="M600" i="4"/>
  <c r="M636" i="4"/>
  <c r="M645" i="4"/>
  <c r="M659" i="4"/>
  <c r="M708" i="4"/>
  <c r="M722" i="4"/>
  <c r="G91" i="4"/>
  <c r="M91" i="4"/>
  <c r="N91" i="4" s="1"/>
  <c r="G83" i="4"/>
  <c r="M83" i="4"/>
  <c r="N83" i="4" s="1"/>
  <c r="G75" i="4"/>
  <c r="M75" i="4"/>
  <c r="N75" i="4" s="1"/>
  <c r="M567" i="4"/>
  <c r="M590" i="4"/>
  <c r="M639" i="4"/>
  <c r="M653" i="4"/>
  <c r="M698" i="4"/>
  <c r="M712" i="4"/>
  <c r="M729" i="4"/>
  <c r="M805" i="4"/>
  <c r="M803" i="4"/>
  <c r="M800" i="4"/>
  <c r="M467" i="4"/>
  <c r="M475" i="4"/>
  <c r="M538" i="4"/>
  <c r="M546" i="4"/>
  <c r="M609" i="4"/>
  <c r="M617" i="4"/>
  <c r="M680" i="4"/>
  <c r="M743" i="4"/>
  <c r="M751" i="4"/>
  <c r="M814" i="4"/>
  <c r="M822" i="4"/>
  <c r="M485" i="4"/>
  <c r="M517" i="4"/>
  <c r="M565" i="4"/>
  <c r="M597" i="4"/>
  <c r="M641" i="4"/>
  <c r="M721" i="4"/>
  <c r="M784" i="4"/>
  <c r="M794" i="4"/>
  <c r="M775" i="4"/>
  <c r="M829" i="4"/>
  <c r="M603" i="4"/>
  <c r="M611" i="4"/>
  <c r="M674" i="4"/>
  <c r="M682" i="4"/>
  <c r="M745" i="4"/>
  <c r="M753" i="4"/>
  <c r="M816" i="4"/>
  <c r="M824" i="4"/>
  <c r="M695" i="4"/>
  <c r="M792" i="4"/>
  <c r="M797" i="4"/>
  <c r="M832" i="4"/>
  <c r="M463" i="4"/>
  <c r="M471" i="4"/>
  <c r="M534" i="4"/>
  <c r="M542" i="4"/>
  <c r="M605" i="4"/>
  <c r="M613" i="4"/>
  <c r="M676" i="4"/>
  <c r="M684" i="4"/>
  <c r="M747" i="4"/>
  <c r="M755" i="4"/>
  <c r="M818" i="4"/>
  <c r="M826" i="4"/>
  <c r="M741" i="4"/>
  <c r="M830" i="4"/>
  <c r="M468" i="4"/>
  <c r="M476" i="4"/>
  <c r="M539" i="4"/>
  <c r="M547" i="4"/>
  <c r="M610" i="4"/>
  <c r="M673" i="4"/>
  <c r="M681" i="4"/>
  <c r="M744" i="4"/>
  <c r="M752" i="4"/>
  <c r="M815" i="4"/>
  <c r="M823" i="4"/>
  <c r="M465" i="4"/>
  <c r="M473" i="4"/>
  <c r="M536" i="4"/>
  <c r="M544" i="4"/>
  <c r="M607" i="4"/>
  <c r="M615" i="4"/>
  <c r="M678" i="4"/>
  <c r="M686" i="4"/>
  <c r="M749" i="4"/>
  <c r="M757" i="4"/>
  <c r="M820" i="4"/>
  <c r="M804" i="4"/>
  <c r="M787" i="4"/>
  <c r="M767" i="4"/>
  <c r="M810" i="4"/>
  <c r="M470" i="4"/>
  <c r="M533" i="4"/>
  <c r="M541" i="4"/>
  <c r="M604" i="4"/>
  <c r="M612" i="4"/>
  <c r="M675" i="4"/>
  <c r="M683" i="4"/>
  <c r="M746" i="4"/>
  <c r="M754" i="4"/>
  <c r="M817" i="4"/>
  <c r="M825" i="4"/>
  <c r="F761" i="4"/>
  <c r="I2257" i="4"/>
  <c r="S2258" i="4"/>
  <c r="I2258" i="4" s="1"/>
  <c r="F630" i="4"/>
  <c r="F2167" i="4"/>
  <c r="G2127" i="4"/>
  <c r="G620" i="4"/>
  <c r="J2167" i="4"/>
  <c r="M859" i="4"/>
  <c r="G2168" i="4"/>
  <c r="I2703" i="4"/>
  <c r="M2703" i="4" s="1"/>
  <c r="G2200" i="4"/>
  <c r="G2237" i="4"/>
  <c r="J2199" i="4"/>
  <c r="F619" i="4"/>
  <c r="I889" i="4"/>
  <c r="M889" i="4" s="1"/>
  <c r="F759" i="4"/>
  <c r="G759" i="4"/>
  <c r="G2238" i="4"/>
  <c r="F2197" i="4"/>
  <c r="G691" i="4"/>
  <c r="J759" i="4"/>
  <c r="J2198" i="4"/>
  <c r="G560" i="4"/>
  <c r="G1343" i="4"/>
  <c r="J2197" i="4"/>
  <c r="F2199" i="4"/>
  <c r="F2237" i="4"/>
  <c r="J1383" i="4"/>
  <c r="F1343" i="4"/>
  <c r="F2200" i="4"/>
  <c r="F1378" i="4"/>
  <c r="F690" i="4"/>
  <c r="G2282" i="4"/>
  <c r="I894" i="4"/>
  <c r="H2252" i="4"/>
  <c r="M868" i="4"/>
  <c r="I842" i="4"/>
  <c r="F2173" i="4"/>
  <c r="J2087" i="4"/>
  <c r="G704" i="4"/>
  <c r="F704" i="4"/>
  <c r="J2168" i="4"/>
  <c r="J2127" i="4"/>
  <c r="F2168" i="4"/>
  <c r="G550" i="4"/>
  <c r="I2247" i="4"/>
  <c r="M903" i="4"/>
  <c r="F1353" i="4"/>
  <c r="F491" i="4"/>
  <c r="J663" i="4"/>
  <c r="G1313" i="4"/>
  <c r="G761" i="4"/>
  <c r="J2053" i="4"/>
  <c r="G510" i="4"/>
  <c r="J592" i="4"/>
  <c r="J761" i="4"/>
  <c r="I841" i="4"/>
  <c r="M841" i="4" s="1"/>
  <c r="G2087" i="4"/>
  <c r="G491" i="4"/>
  <c r="G2247" i="4"/>
  <c r="J2169" i="4"/>
  <c r="J491" i="4"/>
  <c r="F1313" i="4"/>
  <c r="G522" i="4"/>
  <c r="J704" i="4"/>
  <c r="S2243" i="4"/>
  <c r="S2244" i="4" s="1"/>
  <c r="H2244" i="4" s="1"/>
  <c r="G2167" i="4"/>
  <c r="F2087" i="4"/>
  <c r="H2247" i="4"/>
  <c r="G1353" i="4"/>
  <c r="G2170" i="4"/>
  <c r="J2170" i="4"/>
  <c r="J1353" i="4"/>
  <c r="F663" i="4"/>
  <c r="F2052" i="4"/>
  <c r="G562" i="4"/>
  <c r="J2207" i="4"/>
  <c r="F550" i="4"/>
  <c r="M851" i="4"/>
  <c r="F2252" i="4"/>
  <c r="H842" i="4"/>
  <c r="F2127" i="4"/>
  <c r="F562" i="4"/>
  <c r="J1313" i="4"/>
  <c r="H2735" i="4"/>
  <c r="M2735" i="4" s="1"/>
  <c r="H2734" i="4"/>
  <c r="M2734" i="4" s="1"/>
  <c r="G1384" i="4"/>
  <c r="F1304" i="4"/>
  <c r="F1305" i="4"/>
  <c r="G1306" i="4"/>
  <c r="F1306" i="4"/>
  <c r="M1306" i="4" s="1"/>
  <c r="J1305" i="4"/>
  <c r="J1304" i="4"/>
  <c r="J664" i="4"/>
  <c r="G1305" i="4"/>
  <c r="G1304" i="4"/>
  <c r="I1588" i="4"/>
  <c r="M1588" i="4" s="1"/>
  <c r="G666" i="4"/>
  <c r="H897" i="4"/>
  <c r="I897" i="4"/>
  <c r="F524" i="4"/>
  <c r="G524" i="4"/>
  <c r="G736" i="4"/>
  <c r="J1323" i="4"/>
  <c r="J2062" i="4"/>
  <c r="J2222" i="4"/>
  <c r="F1323" i="4"/>
  <c r="G763" i="4"/>
  <c r="F479" i="4"/>
  <c r="M479" i="4" s="1"/>
  <c r="J620" i="4"/>
  <c r="F526" i="4"/>
  <c r="G2257" i="4"/>
  <c r="G2060" i="4"/>
  <c r="G2182" i="4"/>
  <c r="J2217" i="4"/>
  <c r="G1363" i="4"/>
  <c r="J2282" i="4"/>
  <c r="J1328" i="4"/>
  <c r="F2137" i="4"/>
  <c r="J763" i="4"/>
  <c r="G630" i="4"/>
  <c r="F2282" i="4"/>
  <c r="I846" i="4"/>
  <c r="M846" i="4" s="1"/>
  <c r="J2063" i="4"/>
  <c r="G720" i="4"/>
  <c r="J526" i="4"/>
  <c r="J2098" i="4"/>
  <c r="G2258" i="4"/>
  <c r="J2258" i="4"/>
  <c r="F2139" i="4"/>
  <c r="G649" i="4"/>
  <c r="F507" i="4"/>
  <c r="F2138" i="4"/>
  <c r="J1364" i="4"/>
  <c r="G2059" i="4"/>
  <c r="F2140" i="4"/>
  <c r="J2218" i="4"/>
  <c r="G1364" i="4"/>
  <c r="M863" i="4"/>
  <c r="F2059" i="4"/>
  <c r="M856" i="4"/>
  <c r="H838" i="4"/>
  <c r="G578" i="4"/>
  <c r="G526" i="4"/>
  <c r="G507" i="4"/>
  <c r="H2067" i="4"/>
  <c r="F2063" i="4"/>
  <c r="M880" i="4"/>
  <c r="J2262" i="4"/>
  <c r="P2064" i="4"/>
  <c r="P2065" i="4" s="1"/>
  <c r="F2065" i="4" s="1"/>
  <c r="I838" i="4"/>
  <c r="J2102" i="4"/>
  <c r="F2062" i="4"/>
  <c r="J1368" i="4"/>
  <c r="F1289" i="4"/>
  <c r="M1289" i="4" s="1"/>
  <c r="F2262" i="4"/>
  <c r="F553" i="4"/>
  <c r="F480" i="4"/>
  <c r="F2222" i="4"/>
  <c r="J1329" i="4"/>
  <c r="G1288" i="4"/>
  <c r="G2062" i="4"/>
  <c r="J553" i="4"/>
  <c r="M883" i="4"/>
  <c r="G2139" i="4"/>
  <c r="F763" i="4"/>
  <c r="G2137" i="4"/>
  <c r="J2257" i="4"/>
  <c r="J2137" i="4"/>
  <c r="F2057" i="4"/>
  <c r="G2140" i="4"/>
  <c r="G1323" i="4"/>
  <c r="F1364" i="4"/>
  <c r="F2257" i="4"/>
  <c r="G552" i="4"/>
  <c r="J1363" i="4"/>
  <c r="F2217" i="4"/>
  <c r="G2057" i="4"/>
  <c r="F2218" i="4"/>
  <c r="J2058" i="4"/>
  <c r="I2714" i="4"/>
  <c r="M2714" i="4" s="1"/>
  <c r="J2138" i="4"/>
  <c r="F2097" i="4"/>
  <c r="G719" i="4"/>
  <c r="P1365" i="4"/>
  <c r="P1366" i="4" s="1"/>
  <c r="J2139" i="4"/>
  <c r="F2060" i="4"/>
  <c r="J2059" i="4"/>
  <c r="G479" i="4"/>
  <c r="G733" i="4"/>
  <c r="H257" i="4"/>
  <c r="M257" i="4" s="1"/>
  <c r="J552" i="4"/>
  <c r="J733" i="4"/>
  <c r="J2097" i="4"/>
  <c r="F2058" i="4"/>
  <c r="J2060" i="4"/>
  <c r="G2097" i="4"/>
  <c r="G2138" i="4"/>
  <c r="G2058" i="4"/>
  <c r="H2661" i="4"/>
  <c r="M2661" i="4" s="1"/>
  <c r="H578" i="4"/>
  <c r="I2672" i="4"/>
  <c r="M2672" i="4" s="1"/>
  <c r="J2092" i="4"/>
  <c r="H246" i="4"/>
  <c r="M246" i="4" s="1"/>
  <c r="I262" i="4"/>
  <c r="M262" i="4" s="1"/>
  <c r="I2072" i="4"/>
  <c r="I2655" i="4"/>
  <c r="M2655" i="4" s="1"/>
  <c r="I1522" i="4"/>
  <c r="M1522" i="4" s="1"/>
  <c r="H2187" i="4"/>
  <c r="I2067" i="4"/>
  <c r="I2147" i="4"/>
  <c r="H2272" i="4"/>
  <c r="H580" i="4"/>
  <c r="G693" i="4"/>
  <c r="H2167" i="4"/>
  <c r="I1465" i="4"/>
  <c r="M1465" i="4" s="1"/>
  <c r="H1473" i="4"/>
  <c r="M1473" i="4" s="1"/>
  <c r="P1315" i="4"/>
  <c r="F1315" i="4" s="1"/>
  <c r="J508" i="4"/>
  <c r="J702" i="4"/>
  <c r="F1314" i="4"/>
  <c r="M1314" i="4" s="1"/>
  <c r="G1314" i="4"/>
  <c r="F1354" i="4"/>
  <c r="M1354" i="4" s="1"/>
  <c r="I837" i="4"/>
  <c r="M837" i="4" s="1"/>
  <c r="M879" i="4"/>
  <c r="I522" i="4"/>
  <c r="M853" i="4"/>
  <c r="G579" i="4"/>
  <c r="J650" i="4"/>
  <c r="J631" i="4"/>
  <c r="F702" i="4"/>
  <c r="G650" i="4"/>
  <c r="G508" i="4"/>
  <c r="F631" i="4"/>
  <c r="H844" i="4"/>
  <c r="M844" i="4" s="1"/>
  <c r="M887" i="4"/>
  <c r="F508" i="4"/>
  <c r="J579" i="4"/>
  <c r="H895" i="4"/>
  <c r="M862" i="4"/>
  <c r="M854" i="4"/>
  <c r="F2203" i="4"/>
  <c r="H579" i="4"/>
  <c r="H1418" i="4"/>
  <c r="M1418" i="4" s="1"/>
  <c r="F2163" i="4"/>
  <c r="F2243" i="4"/>
  <c r="I888" i="4"/>
  <c r="P2244" i="4"/>
  <c r="J2203" i="4"/>
  <c r="F1349" i="4"/>
  <c r="G580" i="4"/>
  <c r="J2243" i="4"/>
  <c r="I1442" i="4"/>
  <c r="M1442" i="4" s="1"/>
  <c r="I845" i="4"/>
  <c r="M845" i="4" s="1"/>
  <c r="H888" i="4"/>
  <c r="M871" i="4"/>
  <c r="G2203" i="4"/>
  <c r="H896" i="4"/>
  <c r="J1349" i="4"/>
  <c r="G1349" i="4"/>
  <c r="P1350" i="4"/>
  <c r="P1351" i="4" s="1"/>
  <c r="G1351" i="4" s="1"/>
  <c r="J2163" i="4"/>
  <c r="I896" i="4"/>
  <c r="H2242" i="4"/>
  <c r="I1503" i="4"/>
  <c r="M1503" i="4" s="1"/>
  <c r="I2653" i="4"/>
  <c r="M2653" i="4" s="1"/>
  <c r="M901" i="4"/>
  <c r="G1294" i="4"/>
  <c r="I182" i="4"/>
  <c r="M182" i="4" s="1"/>
  <c r="I2092" i="4"/>
  <c r="H2207" i="4"/>
  <c r="J1288" i="4"/>
  <c r="G480" i="4"/>
  <c r="F2102" i="4"/>
  <c r="G1293" i="4"/>
  <c r="G1329" i="4"/>
  <c r="F2223" i="4"/>
  <c r="I201" i="4"/>
  <c r="M201" i="4" s="1"/>
  <c r="G2147" i="4"/>
  <c r="J665" i="4"/>
  <c r="H2667" i="4"/>
  <c r="M2667" i="4" s="1"/>
  <c r="J2103" i="4"/>
  <c r="I230" i="4"/>
  <c r="M230" i="4" s="1"/>
  <c r="F1288" i="4"/>
  <c r="H892" i="4"/>
  <c r="P1330" i="4"/>
  <c r="J1330" i="4" s="1"/>
  <c r="J2223" i="4"/>
  <c r="H849" i="4"/>
  <c r="M849" i="4" s="1"/>
  <c r="F1329" i="4"/>
  <c r="H2117" i="4"/>
  <c r="H2092" i="4"/>
  <c r="J2182" i="4"/>
  <c r="F2182" i="4"/>
  <c r="G2222" i="4"/>
  <c r="F1328" i="4"/>
  <c r="H2232" i="4"/>
  <c r="I1412" i="4"/>
  <c r="M1412" i="4" s="1"/>
  <c r="J2149" i="4"/>
  <c r="G2067" i="4"/>
  <c r="G717" i="4"/>
  <c r="I892" i="4"/>
  <c r="P2224" i="4"/>
  <c r="P2225" i="4" s="1"/>
  <c r="J2225" i="4" s="1"/>
  <c r="I225" i="4"/>
  <c r="M225" i="4" s="1"/>
  <c r="G2262" i="4"/>
  <c r="I2207" i="4"/>
  <c r="G1328" i="4"/>
  <c r="G2102" i="4"/>
  <c r="J480" i="4"/>
  <c r="H300" i="4"/>
  <c r="M300" i="4" s="1"/>
  <c r="I301" i="4"/>
  <c r="M301" i="4" s="1"/>
  <c r="M858" i="4"/>
  <c r="M875" i="4"/>
  <c r="I270" i="4"/>
  <c r="M270" i="4" s="1"/>
  <c r="H209" i="4"/>
  <c r="M209" i="4" s="1"/>
  <c r="I1420" i="4"/>
  <c r="M1420" i="4" s="1"/>
  <c r="J481" i="4"/>
  <c r="G646" i="4"/>
  <c r="H216" i="4"/>
  <c r="M216" i="4" s="1"/>
  <c r="H256" i="4"/>
  <c r="M256" i="4" s="1"/>
  <c r="H1454" i="4"/>
  <c r="M1454" i="4" s="1"/>
  <c r="H1486" i="4"/>
  <c r="M1486" i="4" s="1"/>
  <c r="I1446" i="4"/>
  <c r="M1446" i="4" s="1"/>
  <c r="I2666" i="4"/>
  <c r="M2666" i="4" s="1"/>
  <c r="I2187" i="4"/>
  <c r="I1481" i="4"/>
  <c r="M1481" i="4" s="1"/>
  <c r="I2733" i="4"/>
  <c r="M2733" i="4" s="1"/>
  <c r="I2177" i="4"/>
  <c r="H560" i="4"/>
  <c r="M560" i="4" s="1"/>
  <c r="H2657" i="4"/>
  <c r="M2657" i="4" s="1"/>
  <c r="H1489" i="4"/>
  <c r="M1489" i="4" s="1"/>
  <c r="I2112" i="4"/>
  <c r="I2287" i="4"/>
  <c r="H2072" i="4"/>
  <c r="I648" i="4"/>
  <c r="S2108" i="4"/>
  <c r="I2108" i="4" s="1"/>
  <c r="H2107" i="4"/>
  <c r="H2112" i="4"/>
  <c r="H174" i="4"/>
  <c r="M174" i="4" s="1"/>
  <c r="H2674" i="4"/>
  <c r="M2674" i="4" s="1"/>
  <c r="I1405" i="4"/>
  <c r="M1405" i="4" s="1"/>
  <c r="M878" i="4"/>
  <c r="I562" i="4"/>
  <c r="J1301" i="4"/>
  <c r="M1301" i="4" s="1"/>
  <c r="G2169" i="4"/>
  <c r="J720" i="4"/>
  <c r="G633" i="4"/>
  <c r="M861" i="4"/>
  <c r="I895" i="4"/>
  <c r="H264" i="4"/>
  <c r="M264" i="4" s="1"/>
  <c r="J649" i="4"/>
  <c r="H1443" i="4"/>
  <c r="M1443" i="4" s="1"/>
  <c r="I1462" i="4"/>
  <c r="M1462" i="4" s="1"/>
  <c r="J701" i="4"/>
  <c r="H277" i="4"/>
  <c r="M277" i="4" s="1"/>
  <c r="I510" i="4"/>
  <c r="M510" i="4" s="1"/>
  <c r="I1475" i="4"/>
  <c r="M1475" i="4" s="1"/>
  <c r="H836" i="4"/>
  <c r="M836" i="4" s="1"/>
  <c r="I1406" i="4"/>
  <c r="M1406" i="4" s="1"/>
  <c r="I224" i="4"/>
  <c r="M224" i="4" s="1"/>
  <c r="F2169" i="4"/>
  <c r="J1299" i="4"/>
  <c r="F701" i="4"/>
  <c r="J578" i="4"/>
  <c r="H491" i="4"/>
  <c r="I919" i="4"/>
  <c r="H961" i="4"/>
  <c r="M961" i="4" s="1"/>
  <c r="H259" i="4"/>
  <c r="M259" i="4" s="1"/>
  <c r="H291" i="4"/>
  <c r="M291" i="4" s="1"/>
  <c r="I1585" i="4"/>
  <c r="M1585" i="4" s="1"/>
  <c r="I1524" i="4"/>
  <c r="M1524" i="4" s="1"/>
  <c r="I492" i="4"/>
  <c r="I217" i="4"/>
  <c r="M217" i="4" s="1"/>
  <c r="I185" i="4"/>
  <c r="M185" i="4" s="1"/>
  <c r="H908" i="4"/>
  <c r="I924" i="4"/>
  <c r="I252" i="4"/>
  <c r="M252" i="4" s="1"/>
  <c r="H1495" i="4"/>
  <c r="M1495" i="4" s="1"/>
  <c r="H941" i="4"/>
  <c r="M941" i="4" s="1"/>
  <c r="I1434" i="4"/>
  <c r="M1434" i="4" s="1"/>
  <c r="I1426" i="4"/>
  <c r="M1426" i="4" s="1"/>
  <c r="H563" i="4"/>
  <c r="I1523" i="4"/>
  <c r="M1523" i="4" s="1"/>
  <c r="P1295" i="4"/>
  <c r="H239" i="4"/>
  <c r="M239" i="4" s="1"/>
  <c r="F2107" i="4"/>
  <c r="J2187" i="4"/>
  <c r="J735" i="4"/>
  <c r="G493" i="4"/>
  <c r="F481" i="4"/>
  <c r="G623" i="4"/>
  <c r="J2067" i="4"/>
  <c r="G1569" i="4"/>
  <c r="I2863" i="4"/>
  <c r="M2863" i="4" s="1"/>
  <c r="I2739" i="4"/>
  <c r="M2739" i="4" s="1"/>
  <c r="S2088" i="4"/>
  <c r="H2088" i="4" s="1"/>
  <c r="I231" i="4"/>
  <c r="M231" i="4" s="1"/>
  <c r="J2148" i="4"/>
  <c r="J1293" i="4"/>
  <c r="F665" i="4"/>
  <c r="F689" i="4"/>
  <c r="F646" i="4"/>
  <c r="I2736" i="4"/>
  <c r="M2736" i="4" s="1"/>
  <c r="T989" i="4"/>
  <c r="I989" i="4" s="1"/>
  <c r="M989" i="4" s="1"/>
  <c r="H3049" i="4"/>
  <c r="M3049" i="4" s="1"/>
  <c r="H2087" i="4"/>
  <c r="I1499" i="4"/>
  <c r="M1499" i="4" s="1"/>
  <c r="H215" i="4"/>
  <c r="M215" i="4" s="1"/>
  <c r="G594" i="4"/>
  <c r="I2662" i="4"/>
  <c r="M2662" i="4" s="1"/>
  <c r="J2147" i="4"/>
  <c r="H255" i="4"/>
  <c r="M255" i="4" s="1"/>
  <c r="I191" i="4"/>
  <c r="M191" i="4" s="1"/>
  <c r="H596" i="4"/>
  <c r="I286" i="4"/>
  <c r="M286" i="4" s="1"/>
  <c r="H576" i="4"/>
  <c r="M576" i="4" s="1"/>
  <c r="I2652" i="4"/>
  <c r="M2652" i="4" s="1"/>
  <c r="G2148" i="4"/>
  <c r="F1293" i="4"/>
  <c r="J1373" i="4"/>
  <c r="F1373" i="4"/>
  <c r="J646" i="4"/>
  <c r="F717" i="4"/>
  <c r="H951" i="4"/>
  <c r="M951" i="4" s="1"/>
  <c r="H2626" i="4"/>
  <c r="M2626" i="4" s="1"/>
  <c r="I2272" i="4"/>
  <c r="F1294" i="4"/>
  <c r="M1294" i="4" s="1"/>
  <c r="F2147" i="4"/>
  <c r="J689" i="4"/>
  <c r="H700" i="4"/>
  <c r="H2127" i="4"/>
  <c r="H577" i="4"/>
  <c r="F2187" i="4"/>
  <c r="J717" i="4"/>
  <c r="F623" i="4"/>
  <c r="G1373" i="4"/>
  <c r="S2128" i="4"/>
  <c r="I2128" i="4" s="1"/>
  <c r="H1451" i="4"/>
  <c r="M1451" i="4" s="1"/>
  <c r="H285" i="4"/>
  <c r="M285" i="4" s="1"/>
  <c r="H269" i="4"/>
  <c r="M269" i="4" s="1"/>
  <c r="H1467" i="4"/>
  <c r="M1467" i="4" s="1"/>
  <c r="H2177" i="4"/>
  <c r="I2660" i="4"/>
  <c r="M2660" i="4" s="1"/>
  <c r="J2228" i="4"/>
  <c r="G2107" i="4"/>
  <c r="F2067" i="4"/>
  <c r="F1333" i="4"/>
  <c r="G689" i="4"/>
  <c r="G2187" i="4"/>
  <c r="H926" i="4"/>
  <c r="M926" i="4" s="1"/>
  <c r="I1491" i="4"/>
  <c r="M1491" i="4" s="1"/>
  <c r="H1459" i="4"/>
  <c r="M1459" i="4" s="1"/>
  <c r="I2167" i="4"/>
  <c r="H271" i="4"/>
  <c r="M271" i="4" s="1"/>
  <c r="H237" i="4"/>
  <c r="M237" i="4" s="1"/>
  <c r="I261" i="4"/>
  <c r="M261" i="4" s="1"/>
  <c r="H2137" i="4"/>
  <c r="G1333" i="4"/>
  <c r="J1333" i="4"/>
  <c r="H935" i="4"/>
  <c r="M935" i="4" s="1"/>
  <c r="H2238" i="4"/>
  <c r="G2054" i="4"/>
  <c r="G2092" i="4"/>
  <c r="J2212" i="4"/>
  <c r="S1565" i="4"/>
  <c r="H1565" i="4" s="1"/>
  <c r="S2288" i="4"/>
  <c r="S2289" i="4" s="1"/>
  <c r="H894" i="4"/>
  <c r="H735" i="4"/>
  <c r="S2253" i="4"/>
  <c r="I2253" i="4" s="1"/>
  <c r="M852" i="4"/>
  <c r="H1409" i="4"/>
  <c r="M1409" i="4" s="1"/>
  <c r="H1472" i="4"/>
  <c r="M1472" i="4" s="1"/>
  <c r="H194" i="4"/>
  <c r="M194" i="4" s="1"/>
  <c r="H2217" i="4"/>
  <c r="F2135" i="4"/>
  <c r="F2133" i="4"/>
  <c r="J2213" i="4"/>
  <c r="G2053" i="4"/>
  <c r="G762" i="4"/>
  <c r="J2132" i="4"/>
  <c r="H835" i="4"/>
  <c r="M835" i="4" s="1"/>
  <c r="H281" i="4"/>
  <c r="M281" i="4" s="1"/>
  <c r="H210" i="4"/>
  <c r="M210" i="4" s="1"/>
  <c r="H1480" i="4"/>
  <c r="M1480" i="4" s="1"/>
  <c r="G2135" i="4"/>
  <c r="J2133" i="4"/>
  <c r="G2212" i="4"/>
  <c r="J2252" i="4"/>
  <c r="S2163" i="4"/>
  <c r="S2164" i="4" s="1"/>
  <c r="H2164" i="4" s="1"/>
  <c r="I2217" i="4"/>
  <c r="G2055" i="4"/>
  <c r="G2133" i="4"/>
  <c r="G2173" i="4"/>
  <c r="F2212" i="4"/>
  <c r="G2052" i="4"/>
  <c r="G2132" i="4"/>
  <c r="F1568" i="4"/>
  <c r="P2174" i="4"/>
  <c r="F2174" i="4" s="1"/>
  <c r="I2238" i="4"/>
  <c r="H1496" i="4"/>
  <c r="M1496" i="4" s="1"/>
  <c r="F2134" i="4"/>
  <c r="F2055" i="4"/>
  <c r="G700" i="4"/>
  <c r="H982" i="4"/>
  <c r="M982" i="4" s="1"/>
  <c r="I2636" i="4"/>
  <c r="M2636" i="4" s="1"/>
  <c r="G2252" i="4"/>
  <c r="H646" i="4"/>
  <c r="H2239" i="4"/>
  <c r="H2237" i="4"/>
  <c r="G2134" i="4"/>
  <c r="F2093" i="4"/>
  <c r="F2054" i="4"/>
  <c r="F2092" i="4"/>
  <c r="F2172" i="4"/>
  <c r="G621" i="4"/>
  <c r="G732" i="4"/>
  <c r="J2172" i="4"/>
  <c r="J2052" i="4"/>
  <c r="I2721" i="4"/>
  <c r="M2721" i="4" s="1"/>
  <c r="H974" i="4"/>
  <c r="M974" i="4" s="1"/>
  <c r="S2240" i="4"/>
  <c r="I2240" i="4" s="1"/>
  <c r="I299" i="4"/>
  <c r="M299" i="4" s="1"/>
  <c r="I2237" i="4"/>
  <c r="H2656" i="4"/>
  <c r="M2656" i="4" s="1"/>
  <c r="J2134" i="4"/>
  <c r="J2054" i="4"/>
  <c r="F2053" i="4"/>
  <c r="F2132" i="4"/>
  <c r="G2172" i="4"/>
  <c r="J732" i="4"/>
  <c r="H226" i="4"/>
  <c r="M226" i="4" s="1"/>
  <c r="S2103" i="4"/>
  <c r="I2103" i="4" s="1"/>
  <c r="H3029" i="4"/>
  <c r="M3029" i="4" s="1"/>
  <c r="P2283" i="4"/>
  <c r="F2283" i="4" s="1"/>
  <c r="J2232" i="4"/>
  <c r="I561" i="4"/>
  <c r="G2072" i="4"/>
  <c r="H2267" i="4"/>
  <c r="F2233" i="4"/>
  <c r="I2671" i="4"/>
  <c r="M2671" i="4" s="1"/>
  <c r="M881" i="4"/>
  <c r="G1300" i="4"/>
  <c r="F2232" i="4"/>
  <c r="F482" i="4"/>
  <c r="M899" i="4"/>
  <c r="I509" i="4"/>
  <c r="J1378" i="4"/>
  <c r="G716" i="4"/>
  <c r="J482" i="4"/>
  <c r="G492" i="4"/>
  <c r="F716" i="4"/>
  <c r="I839" i="4"/>
  <c r="M839" i="4" s="1"/>
  <c r="G1301" i="4"/>
  <c r="F2072" i="4"/>
  <c r="G2152" i="4"/>
  <c r="P2234" i="4"/>
  <c r="G2234" i="4" s="1"/>
  <c r="H2142" i="4"/>
  <c r="S2143" i="4"/>
  <c r="I2143" i="4" s="1"/>
  <c r="I2232" i="4"/>
  <c r="G563" i="4"/>
  <c r="J2113" i="4"/>
  <c r="I2182" i="4"/>
  <c r="F664" i="4"/>
  <c r="H2222" i="4"/>
  <c r="J690" i="4"/>
  <c r="M864" i="4"/>
  <c r="F1300" i="4"/>
  <c r="I890" i="4"/>
  <c r="I2222" i="4"/>
  <c r="G1378" i="4"/>
  <c r="F2152" i="4"/>
  <c r="J522" i="4"/>
  <c r="J2112" i="4"/>
  <c r="G2272" i="4"/>
  <c r="F593" i="4"/>
  <c r="M873" i="4"/>
  <c r="F634" i="4"/>
  <c r="H2654" i="4"/>
  <c r="M2654" i="4" s="1"/>
  <c r="H847" i="4"/>
  <c r="M847" i="4" s="1"/>
  <c r="J2072" i="4"/>
  <c r="J2152" i="4"/>
  <c r="H890" i="4"/>
  <c r="H2182" i="4"/>
  <c r="H2102" i="4"/>
  <c r="G634" i="4"/>
  <c r="G2232" i="4"/>
  <c r="F1299" i="4"/>
  <c r="G593" i="4"/>
  <c r="F492" i="4"/>
  <c r="T1565" i="4"/>
  <c r="S2179" i="4"/>
  <c r="I2179" i="4" s="1"/>
  <c r="I2178" i="4"/>
  <c r="H2178" i="4"/>
  <c r="P2194" i="4"/>
  <c r="P2195" i="4" s="1"/>
  <c r="G2193" i="4"/>
  <c r="J2193" i="4"/>
  <c r="F2193" i="4"/>
  <c r="P2189" i="4"/>
  <c r="F2188" i="4"/>
  <c r="G2188" i="4"/>
  <c r="J2188" i="4"/>
  <c r="P2069" i="4"/>
  <c r="G2068" i="4"/>
  <c r="J2068" i="4"/>
  <c r="F2068" i="4"/>
  <c r="P1360" i="4"/>
  <c r="F1360" i="4" s="1"/>
  <c r="G1359" i="4"/>
  <c r="F1359" i="4"/>
  <c r="J1359" i="4"/>
  <c r="H891" i="4"/>
  <c r="F2158" i="4"/>
  <c r="I276" i="4"/>
  <c r="M276" i="4" s="1"/>
  <c r="H284" i="4"/>
  <c r="M284" i="4" s="1"/>
  <c r="F719" i="4"/>
  <c r="J2227" i="4"/>
  <c r="F2229" i="4"/>
  <c r="G2228" i="4"/>
  <c r="G648" i="4"/>
  <c r="F577" i="4"/>
  <c r="J1358" i="4"/>
  <c r="F700" i="4"/>
  <c r="J577" i="4"/>
  <c r="J2158" i="4"/>
  <c r="H1429" i="4"/>
  <c r="M1429" i="4" s="1"/>
  <c r="H2668" i="4"/>
  <c r="M2668" i="4" s="1"/>
  <c r="S2118" i="4"/>
  <c r="H2118" i="4" s="1"/>
  <c r="J2077" i="4"/>
  <c r="F2227" i="4"/>
  <c r="G525" i="4"/>
  <c r="J648" i="4"/>
  <c r="J2117" i="4"/>
  <c r="F2192" i="4"/>
  <c r="G506" i="4"/>
  <c r="I2157" i="4"/>
  <c r="I1460" i="4"/>
  <c r="M1460" i="4" s="1"/>
  <c r="H2157" i="4"/>
  <c r="G2117" i="4"/>
  <c r="F2157" i="4"/>
  <c r="J2157" i="4"/>
  <c r="F2228" i="4"/>
  <c r="G1318" i="4"/>
  <c r="F525" i="4"/>
  <c r="G2192" i="4"/>
  <c r="J762" i="4"/>
  <c r="M874" i="4"/>
  <c r="G2158" i="4"/>
  <c r="J2229" i="4"/>
  <c r="F596" i="4"/>
  <c r="J700" i="4"/>
  <c r="F621" i="4"/>
  <c r="J2192" i="4"/>
  <c r="G2078" i="4"/>
  <c r="I2659" i="4"/>
  <c r="M2659" i="4" s="1"/>
  <c r="S2198" i="4"/>
  <c r="S2199" i="4" s="1"/>
  <c r="H2199" i="4" s="1"/>
  <c r="I2197" i="4"/>
  <c r="F2230" i="4"/>
  <c r="G2227" i="4"/>
  <c r="J1318" i="4"/>
  <c r="F648" i="4"/>
  <c r="J1564" i="4"/>
  <c r="H2729" i="4"/>
  <c r="M2729" i="4" s="1"/>
  <c r="H493" i="4"/>
  <c r="G2157" i="4"/>
  <c r="F2117" i="4"/>
  <c r="G2077" i="4"/>
  <c r="G2230" i="4"/>
  <c r="F1318" i="4"/>
  <c r="G596" i="4"/>
  <c r="F506" i="4"/>
  <c r="I3003" i="4"/>
  <c r="M3003" i="4" s="1"/>
  <c r="H1413" i="4"/>
  <c r="M1413" i="4" s="1"/>
  <c r="G2229" i="4"/>
  <c r="G1358" i="4"/>
  <c r="F1358" i="4"/>
  <c r="F2077" i="4"/>
  <c r="H2737" i="4"/>
  <c r="M2737" i="4" s="1"/>
  <c r="H932" i="4"/>
  <c r="M932" i="4" s="1"/>
  <c r="P2089" i="4"/>
  <c r="F2088" i="4"/>
  <c r="J2088" i="4"/>
  <c r="G2088" i="4"/>
  <c r="P1325" i="4"/>
  <c r="F1324" i="4"/>
  <c r="J1324" i="4"/>
  <c r="G1324" i="4"/>
  <c r="P2119" i="4"/>
  <c r="F2118" i="4"/>
  <c r="J2118" i="4"/>
  <c r="G2118" i="4"/>
  <c r="P2109" i="4"/>
  <c r="J2108" i="4"/>
  <c r="F2108" i="4"/>
  <c r="G2108" i="4"/>
  <c r="F2253" i="4"/>
  <c r="G2253" i="4"/>
  <c r="J2253" i="4"/>
  <c r="P2254" i="4"/>
  <c r="J2254" i="4" s="1"/>
  <c r="F2143" i="4"/>
  <c r="G2143" i="4"/>
  <c r="P2144" i="4"/>
  <c r="J2144" i="4" s="1"/>
  <c r="J2143" i="4"/>
  <c r="G1379" i="4"/>
  <c r="F1379" i="4"/>
  <c r="P1380" i="4"/>
  <c r="J1380" i="4" s="1"/>
  <c r="J1379" i="4"/>
  <c r="P1375" i="4"/>
  <c r="G1374" i="4"/>
  <c r="J1374" i="4"/>
  <c r="F1374" i="4"/>
  <c r="P1340" i="4"/>
  <c r="P1341" i="4" s="1"/>
  <c r="F1341" i="4" s="1"/>
  <c r="J1339" i="4"/>
  <c r="G1339" i="4"/>
  <c r="F1339" i="4"/>
  <c r="P1335" i="4"/>
  <c r="F1334" i="4"/>
  <c r="G1334" i="4"/>
  <c r="J1334" i="4"/>
  <c r="P2114" i="4"/>
  <c r="G2114" i="4" s="1"/>
  <c r="H2062" i="4"/>
  <c r="H2229" i="4"/>
  <c r="F2247" i="4"/>
  <c r="J2142" i="4"/>
  <c r="H2673" i="4"/>
  <c r="M2673" i="4" s="1"/>
  <c r="I2227" i="4"/>
  <c r="F1338" i="4"/>
  <c r="F2207" i="4"/>
  <c r="F490" i="4"/>
  <c r="F693" i="4"/>
  <c r="I2137" i="4"/>
  <c r="F580" i="4"/>
  <c r="H2713" i="4"/>
  <c r="M2713" i="4" s="1"/>
  <c r="G1565" i="4"/>
  <c r="J1568" i="4"/>
  <c r="I2705" i="4"/>
  <c r="M2705" i="4" s="1"/>
  <c r="F1309" i="4"/>
  <c r="J2247" i="4"/>
  <c r="F1368" i="4"/>
  <c r="J580" i="4"/>
  <c r="G2207" i="4"/>
  <c r="G490" i="4"/>
  <c r="G662" i="4"/>
  <c r="F1565" i="4"/>
  <c r="H2738" i="4"/>
  <c r="M2738" i="4" s="1"/>
  <c r="H945" i="4"/>
  <c r="M945" i="4" s="1"/>
  <c r="F2082" i="4"/>
  <c r="P2249" i="4"/>
  <c r="J2249" i="4" s="1"/>
  <c r="F2083" i="4"/>
  <c r="I1466" i="4"/>
  <c r="M1466" i="4" s="1"/>
  <c r="H1450" i="4"/>
  <c r="M1450" i="4" s="1"/>
  <c r="S2230" i="4"/>
  <c r="H2230" i="4" s="1"/>
  <c r="G1368" i="4"/>
  <c r="J760" i="4"/>
  <c r="G1308" i="4"/>
  <c r="G760" i="4"/>
  <c r="G1338" i="4"/>
  <c r="F561" i="4"/>
  <c r="G703" i="4"/>
  <c r="I905" i="4"/>
  <c r="M865" i="4"/>
  <c r="F2248" i="4"/>
  <c r="P2084" i="4"/>
  <c r="G2084" i="4" s="1"/>
  <c r="H1427" i="4"/>
  <c r="M1427" i="4" s="1"/>
  <c r="H732" i="4"/>
  <c r="H187" i="4"/>
  <c r="M187" i="4" s="1"/>
  <c r="I2162" i="4"/>
  <c r="H2097" i="4"/>
  <c r="H2227" i="4"/>
  <c r="F2113" i="4"/>
  <c r="J1338" i="4"/>
  <c r="G561" i="4"/>
  <c r="J703" i="4"/>
  <c r="F551" i="4"/>
  <c r="S2148" i="4"/>
  <c r="I2148" i="4" s="1"/>
  <c r="I2712" i="4"/>
  <c r="M2712" i="4" s="1"/>
  <c r="H1552" i="4"/>
  <c r="M1552" i="4" s="1"/>
  <c r="F1564" i="4"/>
  <c r="H905" i="4"/>
  <c r="H954" i="4"/>
  <c r="M954" i="4" s="1"/>
  <c r="I179" i="4"/>
  <c r="M179" i="4" s="1"/>
  <c r="J1308" i="4"/>
  <c r="F2177" i="4"/>
  <c r="J2082" i="4"/>
  <c r="I891" i="4"/>
  <c r="S2099" i="4"/>
  <c r="S2100" i="4" s="1"/>
  <c r="I2100" i="4" s="1"/>
  <c r="H2212" i="4"/>
  <c r="I2228" i="4"/>
  <c r="G2082" i="4"/>
  <c r="G2248" i="4"/>
  <c r="G2113" i="4"/>
  <c r="H2098" i="4"/>
  <c r="P1310" i="4"/>
  <c r="G1310" i="4" s="1"/>
  <c r="G509" i="4"/>
  <c r="M900" i="4"/>
  <c r="I2097" i="4"/>
  <c r="S2133" i="4"/>
  <c r="H2133" i="4" s="1"/>
  <c r="G2142" i="4"/>
  <c r="J2177" i="4"/>
  <c r="F1308" i="4"/>
  <c r="G2177" i="4"/>
  <c r="J509" i="4"/>
  <c r="F632" i="4"/>
  <c r="G2112" i="4"/>
  <c r="G551" i="4"/>
  <c r="M857" i="4"/>
  <c r="H523" i="4"/>
  <c r="I2658" i="4"/>
  <c r="M2658" i="4" s="1"/>
  <c r="S2063" i="4"/>
  <c r="I2063" i="4" s="1"/>
  <c r="I2192" i="4"/>
  <c r="I2212" i="4"/>
  <c r="F2142" i="4"/>
  <c r="S2193" i="4"/>
  <c r="J2083" i="4"/>
  <c r="H2228" i="4"/>
  <c r="F2178" i="4"/>
  <c r="G632" i="4"/>
  <c r="F2112" i="4"/>
  <c r="I173" i="4"/>
  <c r="M173" i="4" s="1"/>
  <c r="I2665" i="4"/>
  <c r="M2665" i="4" s="1"/>
  <c r="G1556" i="4"/>
  <c r="H1461" i="4"/>
  <c r="M1461" i="4" s="1"/>
  <c r="I1468" i="4"/>
  <c r="M1468" i="4" s="1"/>
  <c r="H984" i="4"/>
  <c r="H1438" i="4"/>
  <c r="M1438" i="4" s="1"/>
  <c r="H1422" i="4"/>
  <c r="M1422" i="4" s="1"/>
  <c r="H734" i="4"/>
  <c r="H1452" i="4"/>
  <c r="M1452" i="4" s="1"/>
  <c r="H250" i="4"/>
  <c r="M250" i="4" s="1"/>
  <c r="H1492" i="4"/>
  <c r="M1492" i="4" s="1"/>
  <c r="H1416" i="4"/>
  <c r="M1416" i="4" s="1"/>
  <c r="I2188" i="4"/>
  <c r="H1453" i="4"/>
  <c r="M1453" i="4" s="1"/>
  <c r="I1469" i="4"/>
  <c r="M1469" i="4" s="1"/>
  <c r="S2069" i="4"/>
  <c r="H2069" i="4" s="1"/>
  <c r="I1431" i="4"/>
  <c r="M1431" i="4" s="1"/>
  <c r="I1445" i="4"/>
  <c r="M1445" i="4" s="1"/>
  <c r="H733" i="4"/>
  <c r="H282" i="4"/>
  <c r="M282" i="4" s="1"/>
  <c r="H595" i="4"/>
  <c r="H1500" i="4"/>
  <c r="M1500" i="4" s="1"/>
  <c r="M869" i="4"/>
  <c r="I843" i="4"/>
  <c r="M843" i="4" s="1"/>
  <c r="I2223" i="4"/>
  <c r="M860" i="4"/>
  <c r="I2068" i="4"/>
  <c r="H1439" i="4"/>
  <c r="M1439" i="4" s="1"/>
  <c r="I1493" i="4"/>
  <c r="M1493" i="4" s="1"/>
  <c r="I704" i="4"/>
  <c r="H195" i="4"/>
  <c r="M195" i="4" s="1"/>
  <c r="I906" i="4"/>
  <c r="H1415" i="4"/>
  <c r="M1415" i="4" s="1"/>
  <c r="I249" i="4"/>
  <c r="M249" i="4" s="1"/>
  <c r="I189" i="4"/>
  <c r="M189" i="4" s="1"/>
  <c r="H1501" i="4"/>
  <c r="M1501" i="4" s="1"/>
  <c r="H906" i="4"/>
  <c r="I1586" i="4"/>
  <c r="M1586" i="4" s="1"/>
  <c r="H244" i="4"/>
  <c r="I244" i="4"/>
  <c r="H292" i="4"/>
  <c r="M292" i="4" s="1"/>
  <c r="I2172" i="4"/>
  <c r="S2173" i="4"/>
  <c r="I2173" i="4" s="1"/>
  <c r="P2164" i="4"/>
  <c r="P1385" i="4"/>
  <c r="F1384" i="4"/>
  <c r="M1384" i="4" s="1"/>
  <c r="H592" i="4"/>
  <c r="H1487" i="4"/>
  <c r="M1487" i="4" s="1"/>
  <c r="F2159" i="4"/>
  <c r="G2159" i="4"/>
  <c r="P1355" i="4"/>
  <c r="G1354" i="4"/>
  <c r="J1309" i="4"/>
  <c r="I229" i="4"/>
  <c r="M229" i="4" s="1"/>
  <c r="I506" i="4"/>
  <c r="I2053" i="4"/>
  <c r="S2078" i="4"/>
  <c r="S2079" i="4" s="1"/>
  <c r="I2079" i="4" s="1"/>
  <c r="H2077" i="4"/>
  <c r="I2077" i="4"/>
  <c r="P2259" i="4"/>
  <c r="F2258" i="4"/>
  <c r="P2094" i="4"/>
  <c r="G2094" i="4" s="1"/>
  <c r="J2093" i="4"/>
  <c r="P2219" i="4"/>
  <c r="P2150" i="4"/>
  <c r="G2149" i="4"/>
  <c r="P2214" i="4"/>
  <c r="G2213" i="4"/>
  <c r="F2213" i="4"/>
  <c r="G80" i="4"/>
  <c r="H1471" i="4"/>
  <c r="M1471" i="4" s="1"/>
  <c r="S2159" i="4"/>
  <c r="I2159" i="4" s="1"/>
  <c r="H2053" i="4"/>
  <c r="G111" i="4"/>
  <c r="I2722" i="4"/>
  <c r="M2722" i="4" s="1"/>
  <c r="S1564" i="4"/>
  <c r="I1564" i="4" s="1"/>
  <c r="G1564" i="4"/>
  <c r="G1568" i="4"/>
  <c r="H3002" i="4"/>
  <c r="M3002" i="4" s="1"/>
  <c r="H965" i="4"/>
  <c r="M965" i="4" s="1"/>
  <c r="I2861" i="4"/>
  <c r="M2861" i="4" s="1"/>
  <c r="I2639" i="4"/>
  <c r="M2639" i="4" s="1"/>
  <c r="H940" i="4"/>
  <c r="M940" i="4" s="1"/>
  <c r="I1414" i="4"/>
  <c r="M1414" i="4" s="1"/>
  <c r="S1568" i="4"/>
  <c r="I1568" i="4" s="1"/>
  <c r="I2725" i="4"/>
  <c r="M2725" i="4" s="1"/>
  <c r="H2702" i="4"/>
  <c r="M2702" i="4" s="1"/>
  <c r="T937" i="4"/>
  <c r="I937" i="4" s="1"/>
  <c r="M937" i="4" s="1"/>
  <c r="H2865" i="4"/>
  <c r="M2865" i="4" s="1"/>
  <c r="J2272" i="4"/>
  <c r="G2287" i="4"/>
  <c r="P1560" i="4"/>
  <c r="G1560" i="4" s="1"/>
  <c r="H2704" i="4"/>
  <c r="M2704" i="4" s="1"/>
  <c r="H2747" i="4"/>
  <c r="M2747" i="4" s="1"/>
  <c r="M968" i="4"/>
  <c r="F2272" i="4"/>
  <c r="J2287" i="4"/>
  <c r="T1569" i="4"/>
  <c r="F2287" i="4"/>
  <c r="S2123" i="4"/>
  <c r="S2124" i="4" s="1"/>
  <c r="I2124" i="4" s="1"/>
  <c r="I2122" i="4"/>
  <c r="H1440" i="4"/>
  <c r="M1440" i="4" s="1"/>
  <c r="I1432" i="4"/>
  <c r="M1432" i="4" s="1"/>
  <c r="F1569" i="4"/>
  <c r="P2288" i="4"/>
  <c r="F2288" i="4" s="1"/>
  <c r="F2239" i="4"/>
  <c r="P2240" i="4"/>
  <c r="J2239" i="4"/>
  <c r="G2239" i="4"/>
  <c r="P2184" i="4"/>
  <c r="F2183" i="4"/>
  <c r="P2074" i="4"/>
  <c r="G2074" i="4" s="1"/>
  <c r="F2073" i="4"/>
  <c r="I197" i="4"/>
  <c r="H197" i="4"/>
  <c r="I981" i="4"/>
  <c r="H981" i="4"/>
  <c r="T928" i="4"/>
  <c r="I928" i="4" s="1"/>
  <c r="H928" i="4"/>
  <c r="T990" i="4"/>
  <c r="I990" i="4" s="1"/>
  <c r="H990" i="4"/>
  <c r="H893" i="4"/>
  <c r="H508" i="4"/>
  <c r="I508" i="4"/>
  <c r="I1433" i="4"/>
  <c r="H1433" i="4"/>
  <c r="H1411" i="4"/>
  <c r="I1411" i="4"/>
  <c r="T913" i="4"/>
  <c r="H913" i="4"/>
  <c r="T921" i="4"/>
  <c r="H921" i="4"/>
  <c r="I921" i="4"/>
  <c r="H266" i="4"/>
  <c r="I266" i="4"/>
  <c r="H196" i="4"/>
  <c r="I196" i="4"/>
  <c r="S2265" i="4"/>
  <c r="I2265" i="4" s="1"/>
  <c r="I2263" i="4"/>
  <c r="M902" i="4"/>
  <c r="H204" i="4"/>
  <c r="M204" i="4" s="1"/>
  <c r="H236" i="4"/>
  <c r="M236" i="4" s="1"/>
  <c r="J734" i="4"/>
  <c r="I290" i="4"/>
  <c r="M290" i="4" s="1"/>
  <c r="I1425" i="4"/>
  <c r="M1425" i="4" s="1"/>
  <c r="G2128" i="4"/>
  <c r="I295" i="4"/>
  <c r="H295" i="4"/>
  <c r="I1485" i="4"/>
  <c r="H1485" i="4"/>
  <c r="J2238" i="4"/>
  <c r="P2104" i="4"/>
  <c r="F2103" i="4"/>
  <c r="J1344" i="4"/>
  <c r="G2183" i="4"/>
  <c r="I2264" i="4"/>
  <c r="I893" i="4"/>
  <c r="H2248" i="4"/>
  <c r="G1344" i="4"/>
  <c r="G1369" i="4"/>
  <c r="H212" i="4"/>
  <c r="M212" i="4" s="1"/>
  <c r="H507" i="4"/>
  <c r="H593" i="4"/>
  <c r="J2178" i="4"/>
  <c r="F1344" i="4"/>
  <c r="I1490" i="4"/>
  <c r="M1490" i="4" s="1"/>
  <c r="H1484" i="4"/>
  <c r="I1484" i="4"/>
  <c r="H840" i="4"/>
  <c r="M840" i="4" s="1"/>
  <c r="J493" i="4"/>
  <c r="J523" i="4"/>
  <c r="F523" i="4"/>
  <c r="G523" i="4"/>
  <c r="G564" i="4"/>
  <c r="F564" i="4"/>
  <c r="J594" i="4"/>
  <c r="F594" i="4"/>
  <c r="P1320" i="4"/>
  <c r="F1320" i="4" s="1"/>
  <c r="S2234" i="4"/>
  <c r="H2233" i="4"/>
  <c r="F2153" i="4"/>
  <c r="H2263" i="4"/>
  <c r="I2233" i="4"/>
  <c r="H219" i="4"/>
  <c r="I219" i="4"/>
  <c r="I1447" i="4"/>
  <c r="H1447" i="4"/>
  <c r="I2249" i="4"/>
  <c r="I2248" i="4"/>
  <c r="F2263" i="4"/>
  <c r="P1345" i="4"/>
  <c r="P1346" i="4" s="1"/>
  <c r="P1370" i="4"/>
  <c r="F1370" i="4" s="1"/>
  <c r="I594" i="4"/>
  <c r="H289" i="4"/>
  <c r="M289" i="4" s="1"/>
  <c r="F1369" i="4"/>
  <c r="M1369" i="4" s="1"/>
  <c r="J2073" i="4"/>
  <c r="G104" i="4"/>
  <c r="G88" i="4"/>
  <c r="H848" i="4"/>
  <c r="I848" i="4"/>
  <c r="I1554" i="4"/>
  <c r="M1554" i="4" s="1"/>
  <c r="F494" i="4"/>
  <c r="G494" i="4"/>
  <c r="G595" i="4"/>
  <c r="J595" i="4"/>
  <c r="G647" i="4"/>
  <c r="F647" i="4"/>
  <c r="J666" i="4"/>
  <c r="J718" i="4"/>
  <c r="F718" i="4"/>
  <c r="I2083" i="4"/>
  <c r="H2083" i="4"/>
  <c r="P2209" i="4"/>
  <c r="J2208" i="4"/>
  <c r="F2208" i="4"/>
  <c r="F2123" i="4"/>
  <c r="P2124" i="4"/>
  <c r="T912" i="4"/>
  <c r="H912" i="4"/>
  <c r="H1583" i="4"/>
  <c r="I1583" i="4"/>
  <c r="J2123" i="4"/>
  <c r="H2203" i="4"/>
  <c r="S2204" i="4"/>
  <c r="I2204" i="4" s="1"/>
  <c r="I2093" i="4"/>
  <c r="S2094" i="4"/>
  <c r="P2179" i="4"/>
  <c r="P2180" i="4" s="1"/>
  <c r="H251" i="4"/>
  <c r="M251" i="4" s="1"/>
  <c r="S2250" i="4"/>
  <c r="H2250" i="4" s="1"/>
  <c r="J2153" i="4"/>
  <c r="M870" i="4"/>
  <c r="H1441" i="4"/>
  <c r="M1441" i="4" s="1"/>
  <c r="I184" i="4"/>
  <c r="H184" i="4"/>
  <c r="I1474" i="4"/>
  <c r="H1474" i="4"/>
  <c r="H1444" i="4"/>
  <c r="I1444" i="4"/>
  <c r="I1437" i="4"/>
  <c r="H1437" i="4"/>
  <c r="H1407" i="4"/>
  <c r="I1407" i="4"/>
  <c r="H944" i="4"/>
  <c r="M944" i="4" s="1"/>
  <c r="J2263" i="4"/>
  <c r="G2263" i="4"/>
  <c r="P2129" i="4"/>
  <c r="F2128" i="4"/>
  <c r="G1319" i="4"/>
  <c r="I242" i="4"/>
  <c r="H242" i="4"/>
  <c r="H181" i="4"/>
  <c r="I181" i="4"/>
  <c r="M885" i="4"/>
  <c r="F2098" i="4"/>
  <c r="P2099" i="4"/>
  <c r="F2238" i="4"/>
  <c r="F734" i="4"/>
  <c r="G2103" i="4"/>
  <c r="I2203" i="4"/>
  <c r="G2153" i="4"/>
  <c r="I235" i="4"/>
  <c r="M235" i="4" s="1"/>
  <c r="G2123" i="4"/>
  <c r="J1319" i="4"/>
  <c r="M1319" i="4" s="1"/>
  <c r="H2113" i="4"/>
  <c r="I2113" i="4"/>
  <c r="H1488" i="4"/>
  <c r="M1488" i="4" s="1"/>
  <c r="I1458" i="4"/>
  <c r="H1458" i="4"/>
  <c r="P2079" i="4"/>
  <c r="F2078" i="4"/>
  <c r="P1290" i="4"/>
  <c r="J1290" i="4" s="1"/>
  <c r="G1289" i="4"/>
  <c r="F735" i="4"/>
  <c r="G735" i="4"/>
  <c r="H938" i="4"/>
  <c r="M938" i="4" s="1"/>
  <c r="H975" i="4"/>
  <c r="M975" i="4" s="1"/>
  <c r="I984" i="4"/>
  <c r="H180" i="4"/>
  <c r="M180" i="4" s="1"/>
  <c r="I986" i="4"/>
  <c r="I911" i="4"/>
  <c r="T933" i="4"/>
  <c r="I933" i="4" s="1"/>
  <c r="M933" i="4" s="1"/>
  <c r="T955" i="4"/>
  <c r="I955" i="4" s="1"/>
  <c r="M955" i="4" s="1"/>
  <c r="I206" i="4"/>
  <c r="M206" i="4" s="1"/>
  <c r="H993" i="4"/>
  <c r="M993" i="4" s="1"/>
  <c r="I1504" i="4"/>
  <c r="M1504" i="4" s="1"/>
  <c r="P2160" i="4"/>
  <c r="J2264" i="4"/>
  <c r="G99" i="4"/>
  <c r="I296" i="4"/>
  <c r="M296" i="4" s="1"/>
  <c r="H1455" i="4"/>
  <c r="M1455" i="4" s="1"/>
  <c r="H1470" i="4"/>
  <c r="M1470" i="4" s="1"/>
  <c r="I227" i="4"/>
  <c r="M227" i="4" s="1"/>
  <c r="I2218" i="4"/>
  <c r="I177" i="4"/>
  <c r="M177" i="4" s="1"/>
  <c r="I494" i="4"/>
  <c r="I274" i="4"/>
  <c r="M274" i="4" s="1"/>
  <c r="H1497" i="4"/>
  <c r="M1497" i="4" s="1"/>
  <c r="H2219" i="4"/>
  <c r="G1557" i="4"/>
  <c r="H915" i="4"/>
  <c r="H959" i="4"/>
  <c r="M959" i="4" s="1"/>
  <c r="I987" i="4"/>
  <c r="H1421" i="4"/>
  <c r="M1421" i="4" s="1"/>
  <c r="H1463" i="4"/>
  <c r="M1463" i="4" s="1"/>
  <c r="H254" i="4"/>
  <c r="M254" i="4" s="1"/>
  <c r="G84" i="4"/>
  <c r="H240" i="4"/>
  <c r="M240" i="4" s="1"/>
  <c r="I175" i="4"/>
  <c r="M175" i="4" s="1"/>
  <c r="I211" i="4"/>
  <c r="M211" i="4" s="1"/>
  <c r="I1419" i="4"/>
  <c r="M1419" i="4" s="1"/>
  <c r="I2219" i="4"/>
  <c r="I525" i="4"/>
  <c r="S2214" i="4"/>
  <c r="S2215" i="4" s="1"/>
  <c r="I287" i="4"/>
  <c r="M287" i="4" s="1"/>
  <c r="H987" i="4"/>
  <c r="H205" i="4"/>
  <c r="M205" i="4" s="1"/>
  <c r="I1478" i="4"/>
  <c r="M1478" i="4" s="1"/>
  <c r="H267" i="4"/>
  <c r="M267" i="4" s="1"/>
  <c r="I524" i="4"/>
  <c r="I1435" i="4"/>
  <c r="M1435" i="4" s="1"/>
  <c r="I2213" i="4"/>
  <c r="I221" i="4"/>
  <c r="M221" i="4" s="1"/>
  <c r="I1436" i="4"/>
  <c r="M1436" i="4" s="1"/>
  <c r="I912" i="4"/>
  <c r="I979" i="4"/>
  <c r="M979" i="4" s="1"/>
  <c r="H949" i="4"/>
  <c r="M949" i="4" s="1"/>
  <c r="I920" i="4"/>
  <c r="G92" i="4"/>
  <c r="H564" i="4"/>
  <c r="I234" i="4"/>
  <c r="M234" i="4" s="1"/>
  <c r="H1479" i="4"/>
  <c r="M1479" i="4" s="1"/>
  <c r="H241" i="4"/>
  <c r="M241" i="4" s="1"/>
  <c r="H190" i="4"/>
  <c r="M190" i="4" s="1"/>
  <c r="I1408" i="4"/>
  <c r="M1408" i="4" s="1"/>
  <c r="J563" i="4"/>
  <c r="H911" i="4"/>
  <c r="I915" i="4"/>
  <c r="H939" i="4"/>
  <c r="M939" i="4" s="1"/>
  <c r="H920" i="4"/>
  <c r="I1464" i="4"/>
  <c r="M1464" i="4" s="1"/>
  <c r="H2188" i="4"/>
  <c r="I176" i="4"/>
  <c r="M176" i="4" s="1"/>
  <c r="I1498" i="4"/>
  <c r="M1498" i="4" s="1"/>
  <c r="I275" i="4"/>
  <c r="M275" i="4" s="1"/>
  <c r="H260" i="4"/>
  <c r="M260" i="4" s="1"/>
  <c r="H2218" i="4"/>
  <c r="H1428" i="4"/>
  <c r="M1428" i="4" s="1"/>
  <c r="G107" i="4"/>
  <c r="H297" i="4"/>
  <c r="M297" i="4" s="1"/>
  <c r="S2074" i="4"/>
  <c r="H2073" i="4"/>
  <c r="I2073" i="4"/>
  <c r="F2204" i="4"/>
  <c r="G108" i="4"/>
  <c r="I232" i="4"/>
  <c r="H232" i="4"/>
  <c r="I1456" i="4"/>
  <c r="H1456" i="4"/>
  <c r="H1448" i="4"/>
  <c r="I1448" i="4"/>
  <c r="I717" i="4"/>
  <c r="H717" i="4"/>
  <c r="S2139" i="4"/>
  <c r="H2138" i="4"/>
  <c r="I2138" i="4"/>
  <c r="I736" i="4"/>
  <c r="H1477" i="4"/>
  <c r="M1477" i="4" s="1"/>
  <c r="H265" i="4"/>
  <c r="I265" i="4"/>
  <c r="I245" i="4"/>
  <c r="H245" i="4"/>
  <c r="I2220" i="4"/>
  <c r="H2220" i="4"/>
  <c r="H272" i="4"/>
  <c r="I272" i="4"/>
  <c r="I2189" i="4"/>
  <c r="H2223" i="4"/>
  <c r="I280" i="4"/>
  <c r="M280" i="4" s="1"/>
  <c r="S2169" i="4"/>
  <c r="I1424" i="4"/>
  <c r="M1424" i="4" s="1"/>
  <c r="H279" i="4"/>
  <c r="I279" i="4"/>
  <c r="H1483" i="4"/>
  <c r="I1483" i="4"/>
  <c r="I1476" i="4"/>
  <c r="H1476" i="4"/>
  <c r="I186" i="4"/>
  <c r="M186" i="4" s="1"/>
  <c r="I1494" i="4"/>
  <c r="H1494" i="4"/>
  <c r="H1482" i="4"/>
  <c r="I1482" i="4"/>
  <c r="H1417" i="4"/>
  <c r="I1417" i="4"/>
  <c r="P2155" i="4"/>
  <c r="G2155" i="4" s="1"/>
  <c r="I1410" i="4"/>
  <c r="M1410" i="4" s="1"/>
  <c r="H192" i="4"/>
  <c r="M192" i="4" s="1"/>
  <c r="H199" i="4"/>
  <c r="I199" i="4"/>
  <c r="I1430" i="4"/>
  <c r="H1430" i="4"/>
  <c r="I1423" i="4"/>
  <c r="H1423" i="4"/>
  <c r="S2209" i="4"/>
  <c r="I2209" i="4" s="1"/>
  <c r="I2208" i="4"/>
  <c r="H200" i="4"/>
  <c r="M200" i="4" s="1"/>
  <c r="I2168" i="4"/>
  <c r="G102" i="4"/>
  <c r="I220" i="4"/>
  <c r="H220" i="4"/>
  <c r="I1457" i="4"/>
  <c r="H1457" i="4"/>
  <c r="I1449" i="4"/>
  <c r="H1449" i="4"/>
  <c r="J1557" i="4"/>
  <c r="H916" i="4"/>
  <c r="J1558" i="4"/>
  <c r="I916" i="4"/>
  <c r="H942" i="4"/>
  <c r="M942" i="4" s="1"/>
  <c r="G2073" i="4"/>
  <c r="F2148" i="4"/>
  <c r="I909" i="4"/>
  <c r="H930" i="4"/>
  <c r="M930" i="4" s="1"/>
  <c r="I966" i="4"/>
  <c r="M966" i="4" s="1"/>
  <c r="H1582" i="4"/>
  <c r="M1582" i="4" s="1"/>
  <c r="H1555" i="4"/>
  <c r="M1555" i="4" s="1"/>
  <c r="H924" i="4"/>
  <c r="S1557" i="4"/>
  <c r="I1557" i="4" s="1"/>
  <c r="M971" i="4"/>
  <c r="H980" i="4"/>
  <c r="M980" i="4" s="1"/>
  <c r="H909" i="4"/>
  <c r="I1581" i="4"/>
  <c r="M1581" i="4" s="1"/>
  <c r="G2233" i="4"/>
  <c r="J736" i="4"/>
  <c r="T1557" i="4"/>
  <c r="H931" i="4"/>
  <c r="M931" i="4" s="1"/>
  <c r="H963" i="4"/>
  <c r="M963" i="4" s="1"/>
  <c r="F1557" i="4"/>
  <c r="H950" i="4"/>
  <c r="M950" i="4" s="1"/>
  <c r="S2184" i="4"/>
  <c r="I2183" i="4"/>
  <c r="H526" i="4"/>
  <c r="H214" i="4"/>
  <c r="M214" i="4" s="1"/>
  <c r="H247" i="4"/>
  <c r="M247" i="4" s="1"/>
  <c r="H2225" i="4"/>
  <c r="G96" i="4"/>
  <c r="F2154" i="4"/>
  <c r="H222" i="4"/>
  <c r="M222" i="4" s="1"/>
  <c r="H2082" i="4"/>
  <c r="I2082" i="4"/>
  <c r="J2154" i="4"/>
  <c r="P2265" i="4"/>
  <c r="F2265" i="4" s="1"/>
  <c r="G2264" i="4"/>
  <c r="H2054" i="4"/>
  <c r="S2055" i="4"/>
  <c r="H2669" i="4"/>
  <c r="M2669" i="4" s="1"/>
  <c r="I2057" i="4"/>
  <c r="H2057" i="4"/>
  <c r="S2058" i="4"/>
  <c r="H1502" i="4"/>
  <c r="M1502" i="4" s="1"/>
  <c r="S2190" i="4"/>
  <c r="I2190" i="4" s="1"/>
  <c r="G2154" i="4"/>
  <c r="H2183" i="4"/>
  <c r="H2224" i="4"/>
  <c r="I2224" i="4"/>
  <c r="H207" i="4"/>
  <c r="M207" i="4" s="1"/>
  <c r="H302" i="4"/>
  <c r="M302" i="4" s="1"/>
  <c r="I303" i="4"/>
  <c r="H303" i="4"/>
  <c r="H2152" i="4"/>
  <c r="S2153" i="4"/>
  <c r="H2172" i="4"/>
  <c r="I2202" i="4"/>
  <c r="H2202" i="4"/>
  <c r="I2158" i="4"/>
  <c r="H2132" i="4"/>
  <c r="H490" i="4"/>
  <c r="I202" i="4"/>
  <c r="H202" i="4"/>
  <c r="J1300" i="4"/>
  <c r="I1567" i="4"/>
  <c r="M1567" i="4" s="1"/>
  <c r="H1569" i="4"/>
  <c r="I1569" i="4"/>
  <c r="I2730" i="4"/>
  <c r="H2730" i="4"/>
  <c r="H1587" i="4"/>
  <c r="M1587" i="4" s="1"/>
  <c r="I3123" i="4"/>
  <c r="H3123" i="4"/>
  <c r="H294" i="4"/>
  <c r="M294" i="4" s="1"/>
  <c r="I2670" i="4"/>
  <c r="M2670" i="4" s="1"/>
  <c r="G1299" i="4"/>
  <c r="H2715" i="4"/>
  <c r="I2715" i="4"/>
  <c r="I2711" i="4"/>
  <c r="H2711" i="4"/>
  <c r="J2274" i="4"/>
  <c r="F2274" i="4"/>
  <c r="H2724" i="4"/>
  <c r="M2724" i="4" s="1"/>
  <c r="H2745" i="4"/>
  <c r="I2745" i="4"/>
  <c r="H929" i="4"/>
  <c r="M929" i="4" s="1"/>
  <c r="H962" i="4"/>
  <c r="M962" i="4" s="1"/>
  <c r="H2860" i="4"/>
  <c r="I2860" i="4"/>
  <c r="H2625" i="4"/>
  <c r="I2625" i="4"/>
  <c r="H2732" i="4"/>
  <c r="M2732" i="4" s="1"/>
  <c r="T907" i="4"/>
  <c r="H907" i="4"/>
  <c r="M907" i="4" s="1"/>
  <c r="T927" i="4"/>
  <c r="I927" i="4" s="1"/>
  <c r="H927" i="4"/>
  <c r="T934" i="4"/>
  <c r="I934" i="4" s="1"/>
  <c r="H934" i="4"/>
  <c r="F2273" i="4"/>
  <c r="G2273" i="4"/>
  <c r="J2273" i="4"/>
  <c r="F1556" i="4"/>
  <c r="G2267" i="4"/>
  <c r="P2268" i="4"/>
  <c r="F2268" i="4" s="1"/>
  <c r="J2267" i="4"/>
  <c r="I2282" i="4"/>
  <c r="S2283" i="4"/>
  <c r="I1584" i="4"/>
  <c r="H1584" i="4"/>
  <c r="H2630" i="4"/>
  <c r="I2630" i="4"/>
  <c r="T1556" i="4"/>
  <c r="H2723" i="4"/>
  <c r="M2723" i="4" s="1"/>
  <c r="M969" i="4"/>
  <c r="T992" i="4"/>
  <c r="I992" i="4" s="1"/>
  <c r="H992" i="4"/>
  <c r="F2267" i="4"/>
  <c r="G2274" i="4"/>
  <c r="H2282" i="4"/>
  <c r="P2278" i="4"/>
  <c r="P2279" i="4" s="1"/>
  <c r="F2277" i="4"/>
  <c r="G2277" i="4"/>
  <c r="H2640" i="4"/>
  <c r="I2640" i="4"/>
  <c r="J1556" i="4"/>
  <c r="S1556" i="4"/>
  <c r="I977" i="4"/>
  <c r="M977" i="4" s="1"/>
  <c r="T917" i="4"/>
  <c r="I917" i="4"/>
  <c r="M917" i="4" s="1"/>
  <c r="T957" i="4"/>
  <c r="I957" i="4" s="1"/>
  <c r="H957" i="4"/>
  <c r="T964" i="4"/>
  <c r="I964" i="4" s="1"/>
  <c r="H964" i="4"/>
  <c r="H3050" i="4"/>
  <c r="I3050" i="4"/>
  <c r="J1569" i="4"/>
  <c r="H919" i="4"/>
  <c r="H958" i="4"/>
  <c r="M958" i="4" s="1"/>
  <c r="S2268" i="4"/>
  <c r="I2268" i="4" s="1"/>
  <c r="I2277" i="4"/>
  <c r="S2278" i="4"/>
  <c r="H953" i="4"/>
  <c r="M953" i="4" s="1"/>
  <c r="I908" i="4"/>
  <c r="I2638" i="4"/>
  <c r="M2638" i="4" s="1"/>
  <c r="H991" i="4"/>
  <c r="M991" i="4" s="1"/>
  <c r="H947" i="4"/>
  <c r="M947" i="4" s="1"/>
  <c r="I913" i="4"/>
  <c r="H936" i="4"/>
  <c r="M936" i="4" s="1"/>
  <c r="H986" i="4"/>
  <c r="H2627" i="4"/>
  <c r="M2627" i="4" s="1"/>
  <c r="I2273" i="4"/>
  <c r="I2084" i="4"/>
  <c r="H2084" i="4"/>
  <c r="S2085" i="4"/>
  <c r="S2115" i="4"/>
  <c r="H2114" i="4"/>
  <c r="P2205" i="4"/>
  <c r="G2204" i="4"/>
  <c r="I973" i="4"/>
  <c r="H973" i="4"/>
  <c r="H978" i="4"/>
  <c r="I978" i="4"/>
  <c r="I1553" i="4"/>
  <c r="H1553" i="4"/>
  <c r="T1561" i="4"/>
  <c r="G1561" i="4"/>
  <c r="J1561" i="4"/>
  <c r="S1561" i="4"/>
  <c r="T1559" i="4"/>
  <c r="P1563" i="4"/>
  <c r="S1559" i="4"/>
  <c r="G1559" i="4"/>
  <c r="J1559" i="4"/>
  <c r="I1566" i="4"/>
  <c r="H1566" i="4"/>
  <c r="S1558" i="4"/>
  <c r="H910" i="4"/>
  <c r="T910" i="4"/>
  <c r="I910" i="4"/>
  <c r="T943" i="4"/>
  <c r="I943" i="4" s="1"/>
  <c r="H943" i="4"/>
  <c r="H960" i="4"/>
  <c r="T960" i="4"/>
  <c r="I960" i="4" s="1"/>
  <c r="G1558" i="4"/>
  <c r="T1558" i="4"/>
  <c r="P1562" i="4"/>
  <c r="T918" i="4"/>
  <c r="H918" i="4"/>
  <c r="M918" i="4" s="1"/>
  <c r="T952" i="4"/>
  <c r="I952" i="4" s="1"/>
  <c r="H952" i="4"/>
  <c r="I922" i="4"/>
  <c r="M922" i="4" s="1"/>
  <c r="T922" i="4"/>
  <c r="T956" i="4"/>
  <c r="I956" i="4" s="1"/>
  <c r="H956" i="4"/>
  <c r="I2274" i="4"/>
  <c r="H2274" i="4"/>
  <c r="H914" i="4"/>
  <c r="M914" i="4" s="1"/>
  <c r="T914" i="4"/>
  <c r="T948" i="4"/>
  <c r="I948" i="4" s="1"/>
  <c r="H948" i="4"/>
  <c r="I976" i="4"/>
  <c r="H976" i="4"/>
  <c r="I985" i="4"/>
  <c r="M985" i="4" s="1"/>
  <c r="H983" i="4"/>
  <c r="M983" i="4" s="1"/>
  <c r="H2273" i="4"/>
  <c r="H923" i="4"/>
  <c r="I923" i="4"/>
  <c r="M1383" i="4" l="1"/>
  <c r="M1343" i="4"/>
  <c r="M1348" i="4"/>
  <c r="H650" i="4"/>
  <c r="M650" i="4" s="1"/>
  <c r="H720" i="4"/>
  <c r="M720" i="4" s="1"/>
  <c r="M2122" i="4"/>
  <c r="M2242" i="4"/>
  <c r="M1303" i="4"/>
  <c r="I703" i="4"/>
  <c r="M703" i="4" s="1"/>
  <c r="H718" i="4"/>
  <c r="M718" i="4" s="1"/>
  <c r="M2162" i="4"/>
  <c r="I702" i="4"/>
  <c r="M702" i="4" s="1"/>
  <c r="H719" i="4"/>
  <c r="M719" i="4" s="1"/>
  <c r="I664" i="4"/>
  <c r="M664" i="4" s="1"/>
  <c r="H632" i="4"/>
  <c r="M632" i="4" s="1"/>
  <c r="I649" i="4"/>
  <c r="M649" i="4" s="1"/>
  <c r="H633" i="4"/>
  <c r="M633" i="4" s="1"/>
  <c r="H662" i="4"/>
  <c r="M662" i="4" s="1"/>
  <c r="H630" i="4"/>
  <c r="M630" i="4" s="1"/>
  <c r="H666" i="4"/>
  <c r="M666" i="4" s="1"/>
  <c r="H634" i="4"/>
  <c r="M634" i="4" s="1"/>
  <c r="I549" i="4"/>
  <c r="H549" i="4"/>
  <c r="H663" i="4"/>
  <c r="M663" i="4" s="1"/>
  <c r="I551" i="4"/>
  <c r="H551" i="4"/>
  <c r="H482" i="4"/>
  <c r="I482" i="4"/>
  <c r="H552" i="4"/>
  <c r="I552" i="4"/>
  <c r="I550" i="4"/>
  <c r="H550" i="4"/>
  <c r="I483" i="4"/>
  <c r="H483" i="4"/>
  <c r="H481" i="4"/>
  <c r="I481" i="4"/>
  <c r="H647" i="4"/>
  <c r="M647" i="4" s="1"/>
  <c r="I631" i="4"/>
  <c r="M631" i="4" s="1"/>
  <c r="I762" i="4"/>
  <c r="H762" i="4"/>
  <c r="I760" i="4"/>
  <c r="H760" i="4"/>
  <c r="I553" i="4"/>
  <c r="H553" i="4"/>
  <c r="I716" i="4"/>
  <c r="M716" i="4" s="1"/>
  <c r="H701" i="4"/>
  <c r="M701" i="4" s="1"/>
  <c r="I690" i="4"/>
  <c r="H690" i="4"/>
  <c r="I691" i="4"/>
  <c r="H691" i="4"/>
  <c r="I693" i="4"/>
  <c r="H693" i="4"/>
  <c r="I621" i="4"/>
  <c r="H621" i="4"/>
  <c r="I622" i="4"/>
  <c r="H622" i="4"/>
  <c r="I623" i="4"/>
  <c r="H623" i="4"/>
  <c r="I620" i="4"/>
  <c r="H620" i="4"/>
  <c r="I619" i="4"/>
  <c r="H619" i="4"/>
  <c r="I665" i="4"/>
  <c r="M665" i="4" s="1"/>
  <c r="M924" i="4"/>
  <c r="M894" i="4"/>
  <c r="M2262" i="4"/>
  <c r="M1482" i="4"/>
  <c r="M1483" i="4"/>
  <c r="M1448" i="4"/>
  <c r="M1363" i="4"/>
  <c r="M2272" i="4"/>
  <c r="M919" i="4"/>
  <c r="M2640" i="4"/>
  <c r="M1433" i="4"/>
  <c r="M492" i="4"/>
  <c r="M1417" i="4"/>
  <c r="M1368" i="4"/>
  <c r="M1344" i="4"/>
  <c r="M596" i="4"/>
  <c r="M2202" i="4"/>
  <c r="M1566" i="4"/>
  <c r="M1444" i="4"/>
  <c r="M490" i="4"/>
  <c r="H2258" i="4"/>
  <c r="M2258" i="4" s="1"/>
  <c r="M2098" i="4"/>
  <c r="M563" i="4"/>
  <c r="F2064" i="4"/>
  <c r="M2107" i="4"/>
  <c r="M759" i="4"/>
  <c r="J2065" i="4"/>
  <c r="M735" i="4"/>
  <c r="M2092" i="4"/>
  <c r="S2259" i="4"/>
  <c r="S2260" i="4" s="1"/>
  <c r="G2064" i="4"/>
  <c r="M1328" i="4"/>
  <c r="M3050" i="4"/>
  <c r="M1457" i="4"/>
  <c r="M2238" i="4"/>
  <c r="M897" i="4"/>
  <c r="M2267" i="4"/>
  <c r="M2860" i="4"/>
  <c r="M1407" i="4"/>
  <c r="M2112" i="4"/>
  <c r="M2117" i="4"/>
  <c r="M1494" i="4"/>
  <c r="M1456" i="4"/>
  <c r="M1379" i="4"/>
  <c r="M2147" i="4"/>
  <c r="M1484" i="4"/>
  <c r="M1584" i="4"/>
  <c r="M2264" i="4"/>
  <c r="M1474" i="4"/>
  <c r="M952" i="4"/>
  <c r="M734" i="4"/>
  <c r="M884" i="4"/>
  <c r="M2715" i="4"/>
  <c r="M303" i="4"/>
  <c r="M2248" i="4"/>
  <c r="M1309" i="4"/>
  <c r="M1329" i="4"/>
  <c r="M220" i="4"/>
  <c r="M1423" i="4"/>
  <c r="M242" i="4"/>
  <c r="M184" i="4"/>
  <c r="M1447" i="4"/>
  <c r="M1485" i="4"/>
  <c r="M990" i="4"/>
  <c r="M2207" i="4"/>
  <c r="M2192" i="4"/>
  <c r="M896" i="4"/>
  <c r="M1323" i="4"/>
  <c r="M2277" i="4"/>
  <c r="M2630" i="4"/>
  <c r="M1430" i="4"/>
  <c r="M279" i="4"/>
  <c r="M1437" i="4"/>
  <c r="M295" i="4"/>
  <c r="M1411" i="4"/>
  <c r="M506" i="4"/>
  <c r="M1359" i="4"/>
  <c r="M592" i="4"/>
  <c r="M905" i="4"/>
  <c r="M1334" i="4"/>
  <c r="M1293" i="4"/>
  <c r="M1553" i="4"/>
  <c r="M2625" i="4"/>
  <c r="M2745" i="4"/>
  <c r="M2711" i="4"/>
  <c r="M2730" i="4"/>
  <c r="M1449" i="4"/>
  <c r="M1583" i="4"/>
  <c r="M2073" i="4"/>
  <c r="M2142" i="4"/>
  <c r="M1358" i="4"/>
  <c r="M1299" i="4"/>
  <c r="M646" i="4"/>
  <c r="M689" i="4"/>
  <c r="M1288" i="4"/>
  <c r="M986" i="4"/>
  <c r="M3123" i="4"/>
  <c r="M1476" i="4"/>
  <c r="M1458" i="4"/>
  <c r="M886" i="4"/>
  <c r="M970" i="4"/>
  <c r="M934" i="4"/>
  <c r="M202" i="4"/>
  <c r="M736" i="4"/>
  <c r="M245" i="4"/>
  <c r="M911" i="4"/>
  <c r="M981" i="4"/>
  <c r="M838" i="4"/>
  <c r="M579" i="4"/>
  <c r="M910" i="4"/>
  <c r="M987" i="4"/>
  <c r="M181" i="4"/>
  <c r="M509" i="4"/>
  <c r="M578" i="4"/>
  <c r="M928" i="4"/>
  <c r="M197" i="4"/>
  <c r="M763" i="4"/>
  <c r="M2083" i="4"/>
  <c r="M2158" i="4"/>
  <c r="M2152" i="4"/>
  <c r="M2053" i="4"/>
  <c r="M2054" i="4"/>
  <c r="M1373" i="4"/>
  <c r="M2217" i="4"/>
  <c r="M1378" i="4"/>
  <c r="M923" i="4"/>
  <c r="M2178" i="4"/>
  <c r="M2228" i="4"/>
  <c r="M2093" i="4"/>
  <c r="M2062" i="4"/>
  <c r="M2208" i="4"/>
  <c r="M848" i="4"/>
  <c r="M493" i="4"/>
  <c r="M2082" i="4"/>
  <c r="M1338" i="4"/>
  <c r="M1374" i="4"/>
  <c r="M890" i="4"/>
  <c r="M2072" i="4"/>
  <c r="M2233" i="4"/>
  <c r="M2097" i="4"/>
  <c r="M2282" i="4"/>
  <c r="M2052" i="4"/>
  <c r="M2087" i="4"/>
  <c r="M2168" i="4"/>
  <c r="M916" i="4"/>
  <c r="M1308" i="4"/>
  <c r="M2157" i="4"/>
  <c r="M2229" i="4"/>
  <c r="M1349" i="4"/>
  <c r="M2203" i="4"/>
  <c r="M522" i="4"/>
  <c r="M2257" i="4"/>
  <c r="M2222" i="4"/>
  <c r="M1305" i="4"/>
  <c r="M2127" i="4"/>
  <c r="M2167" i="4"/>
  <c r="M2273" i="4"/>
  <c r="M595" i="4"/>
  <c r="M2239" i="4"/>
  <c r="M2287" i="4"/>
  <c r="M2213" i="4"/>
  <c r="M732" i="4"/>
  <c r="M1324" i="4"/>
  <c r="M2077" i="4"/>
  <c r="M1318" i="4"/>
  <c r="M648" i="4"/>
  <c r="M2188" i="4"/>
  <c r="M2187" i="4"/>
  <c r="M2182" i="4"/>
  <c r="M2223" i="4"/>
  <c r="M1364" i="4"/>
  <c r="M1304" i="4"/>
  <c r="M2237" i="4"/>
  <c r="M2197" i="4"/>
  <c r="M1300" i="4"/>
  <c r="M2212" i="4"/>
  <c r="M2137" i="4"/>
  <c r="M2252" i="4"/>
  <c r="M2263" i="4"/>
  <c r="M2113" i="4"/>
  <c r="M561" i="4"/>
  <c r="M2247" i="4"/>
  <c r="M1339" i="4"/>
  <c r="M2227" i="4"/>
  <c r="M2068" i="4"/>
  <c r="M2232" i="4"/>
  <c r="M2172" i="4"/>
  <c r="M1333" i="4"/>
  <c r="M2218" i="4"/>
  <c r="M2138" i="4"/>
  <c r="M1353" i="4"/>
  <c r="M976" i="4"/>
  <c r="M956" i="4"/>
  <c r="M964" i="4"/>
  <c r="M927" i="4"/>
  <c r="M2274" i="4"/>
  <c r="M855" i="4"/>
  <c r="M876" i="4"/>
  <c r="M2183" i="4"/>
  <c r="M1569" i="4"/>
  <c r="M2177" i="4"/>
  <c r="M2132" i="4"/>
  <c r="M2067" i="4"/>
  <c r="M700" i="4"/>
  <c r="M2102" i="4"/>
  <c r="M2057" i="4"/>
  <c r="M1313" i="4"/>
  <c r="M978" i="4"/>
  <c r="M992" i="4"/>
  <c r="M909" i="4"/>
  <c r="M265" i="4"/>
  <c r="M523" i="4"/>
  <c r="M196" i="4"/>
  <c r="M893" i="4"/>
  <c r="M948" i="4"/>
  <c r="M973" i="4"/>
  <c r="M957" i="4"/>
  <c r="M891" i="4"/>
  <c r="M272" i="4"/>
  <c r="M266" i="4"/>
  <c r="M960" i="4"/>
  <c r="M984" i="4"/>
  <c r="M943" i="4"/>
  <c r="M972" i="4"/>
  <c r="M232" i="4"/>
  <c r="M219" i="4"/>
  <c r="M921" i="4"/>
  <c r="M244" i="4"/>
  <c r="M892" i="4"/>
  <c r="M888" i="4"/>
  <c r="M842" i="4"/>
  <c r="M908" i="4"/>
  <c r="M199" i="4"/>
  <c r="M912" i="4"/>
  <c r="M913" i="4"/>
  <c r="M906" i="4"/>
  <c r="M895" i="4"/>
  <c r="M733" i="4"/>
  <c r="M525" i="4"/>
  <c r="M717" i="4"/>
  <c r="M494" i="4"/>
  <c r="M507" i="4"/>
  <c r="M524" i="4"/>
  <c r="M761" i="4"/>
  <c r="M915" i="4"/>
  <c r="M577" i="4"/>
  <c r="M508" i="4"/>
  <c r="M920" i="4"/>
  <c r="M562" i="4"/>
  <c r="M594" i="4"/>
  <c r="M593" i="4"/>
  <c r="M480" i="4"/>
  <c r="M564" i="4"/>
  <c r="M580" i="4"/>
  <c r="M526" i="4"/>
  <c r="M491" i="4"/>
  <c r="M704" i="4"/>
  <c r="G2065" i="4"/>
  <c r="J2064" i="4"/>
  <c r="S2245" i="4"/>
  <c r="I2245" i="4" s="1"/>
  <c r="H2243" i="4"/>
  <c r="I2244" i="4"/>
  <c r="I2243" i="4"/>
  <c r="F1330" i="4"/>
  <c r="M1330" i="4" s="1"/>
  <c r="G2244" i="4"/>
  <c r="H2108" i="4"/>
  <c r="M2108" i="4" s="1"/>
  <c r="S2109" i="4"/>
  <c r="S2110" i="4" s="1"/>
  <c r="J2244" i="4"/>
  <c r="P2245" i="4"/>
  <c r="F2244" i="4"/>
  <c r="F1351" i="4"/>
  <c r="F1350" i="4"/>
  <c r="J1350" i="4"/>
  <c r="J1351" i="4"/>
  <c r="G1350" i="4"/>
  <c r="G1366" i="4"/>
  <c r="H2240" i="4"/>
  <c r="J1366" i="4"/>
  <c r="F1365" i="4"/>
  <c r="J1365" i="4"/>
  <c r="F1366" i="4"/>
  <c r="G1365" i="4"/>
  <c r="I2288" i="4"/>
  <c r="P1316" i="4"/>
  <c r="J1316" i="4" s="1"/>
  <c r="I1565" i="4"/>
  <c r="M1565" i="4" s="1"/>
  <c r="G1315" i="4"/>
  <c r="J1315" i="4"/>
  <c r="M1315" i="4" s="1"/>
  <c r="F2225" i="4"/>
  <c r="M2225" i="4" s="1"/>
  <c r="J2224" i="4"/>
  <c r="G2225" i="4"/>
  <c r="S2129" i="4"/>
  <c r="I2129" i="4" s="1"/>
  <c r="F2224" i="4"/>
  <c r="G2224" i="4"/>
  <c r="H2128" i="4"/>
  <c r="M2128" i="4" s="1"/>
  <c r="H2288" i="4"/>
  <c r="S2089" i="4"/>
  <c r="S2090" i="4" s="1"/>
  <c r="P1331" i="4"/>
  <c r="G1331" i="4" s="1"/>
  <c r="G1330" i="4"/>
  <c r="J1295" i="4"/>
  <c r="S2254" i="4"/>
  <c r="S2255" i="4" s="1"/>
  <c r="F1295" i="4"/>
  <c r="H2253" i="4"/>
  <c r="M2253" i="4" s="1"/>
  <c r="G1295" i="4"/>
  <c r="F2099" i="4"/>
  <c r="I2088" i="4"/>
  <c r="M2088" i="4" s="1"/>
  <c r="P2085" i="4"/>
  <c r="J2085" i="4" s="1"/>
  <c r="P1296" i="4"/>
  <c r="F1296" i="4" s="1"/>
  <c r="S2104" i="4"/>
  <c r="I2104" i="4" s="1"/>
  <c r="I2198" i="4"/>
  <c r="J1560" i="4"/>
  <c r="T1560" i="4"/>
  <c r="I2199" i="4"/>
  <c r="M2199" i="4" s="1"/>
  <c r="F1560" i="4"/>
  <c r="S1560" i="4"/>
  <c r="I1560" i="4" s="1"/>
  <c r="J1370" i="4"/>
  <c r="M1370" i="4" s="1"/>
  <c r="I2164" i="4"/>
  <c r="H2103" i="4"/>
  <c r="M2103" i="4" s="1"/>
  <c r="S2165" i="4"/>
  <c r="I2163" i="4"/>
  <c r="H2163" i="4"/>
  <c r="J2278" i="4"/>
  <c r="H2143" i="4"/>
  <c r="M2143" i="4" s="1"/>
  <c r="P2095" i="4"/>
  <c r="F2194" i="4"/>
  <c r="G2194" i="4"/>
  <c r="S2144" i="4"/>
  <c r="S2145" i="4" s="1"/>
  <c r="H2145" i="4" s="1"/>
  <c r="I2123" i="4"/>
  <c r="I2230" i="4"/>
  <c r="M2230" i="4" s="1"/>
  <c r="J2194" i="4"/>
  <c r="H1557" i="4"/>
  <c r="M1557" i="4" s="1"/>
  <c r="J2084" i="4"/>
  <c r="P1361" i="4"/>
  <c r="F1361" i="4" s="1"/>
  <c r="P2269" i="4"/>
  <c r="J2269" i="4" s="1"/>
  <c r="G1290" i="4"/>
  <c r="J2155" i="4"/>
  <c r="S2125" i="4"/>
  <c r="I2125" i="4" s="1"/>
  <c r="F2084" i="4"/>
  <c r="P2284" i="4"/>
  <c r="P2100" i="4"/>
  <c r="J2100" i="4" s="1"/>
  <c r="I2250" i="4"/>
  <c r="G2249" i="4"/>
  <c r="J2234" i="4"/>
  <c r="J2099" i="4"/>
  <c r="G1320" i="4"/>
  <c r="P2115" i="4"/>
  <c r="G2115" i="4" s="1"/>
  <c r="P1381" i="4"/>
  <c r="G1381" i="4" s="1"/>
  <c r="F2219" i="4"/>
  <c r="S2119" i="4"/>
  <c r="S2120" i="4" s="1"/>
  <c r="J2174" i="4"/>
  <c r="J2114" i="4"/>
  <c r="F2234" i="4"/>
  <c r="J1320" i="4"/>
  <c r="M1320" i="4" s="1"/>
  <c r="P2175" i="4"/>
  <c r="P1321" i="4"/>
  <c r="F1321" i="4" s="1"/>
  <c r="P1311" i="4"/>
  <c r="J1311" i="4" s="1"/>
  <c r="P2235" i="4"/>
  <c r="G2174" i="4"/>
  <c r="P2220" i="4"/>
  <c r="F1380" i="4"/>
  <c r="M1380" i="4" s="1"/>
  <c r="G1380" i="4"/>
  <c r="J2219" i="4"/>
  <c r="F2114" i="4"/>
  <c r="G2099" i="4"/>
  <c r="H2198" i="4"/>
  <c r="F2155" i="4"/>
  <c r="H2204" i="4"/>
  <c r="M2204" i="4" s="1"/>
  <c r="I2133" i="4"/>
  <c r="M2133" i="4" s="1"/>
  <c r="H1564" i="4"/>
  <c r="M1564" i="4" s="1"/>
  <c r="F2179" i="4"/>
  <c r="G2283" i="4"/>
  <c r="H2100" i="4"/>
  <c r="H2099" i="4"/>
  <c r="S2064" i="4"/>
  <c r="S2065" i="4" s="1"/>
  <c r="I2099" i="4"/>
  <c r="S2200" i="4"/>
  <c r="J2268" i="4"/>
  <c r="J2283" i="4"/>
  <c r="S2134" i="4"/>
  <c r="G2268" i="4"/>
  <c r="P2190" i="4"/>
  <c r="J2189" i="4"/>
  <c r="G2189" i="4"/>
  <c r="F2189" i="4"/>
  <c r="S2180" i="4"/>
  <c r="H2179" i="4"/>
  <c r="F2249" i="4"/>
  <c r="M2249" i="4" s="1"/>
  <c r="G1360" i="4"/>
  <c r="J1360" i="4"/>
  <c r="M1360" i="4" s="1"/>
  <c r="P2250" i="4"/>
  <c r="G2250" i="4" s="1"/>
  <c r="I2118" i="4"/>
  <c r="M2118" i="4" s="1"/>
  <c r="P2070" i="4"/>
  <c r="G2069" i="4"/>
  <c r="F2069" i="4"/>
  <c r="J2069" i="4"/>
  <c r="P1291" i="4"/>
  <c r="P2255" i="4"/>
  <c r="J2255" i="4" s="1"/>
  <c r="H2124" i="4"/>
  <c r="P1371" i="4"/>
  <c r="J1371" i="4" s="1"/>
  <c r="G1341" i="4"/>
  <c r="F2254" i="4"/>
  <c r="F1310" i="4"/>
  <c r="H2148" i="4"/>
  <c r="M2148" i="4" s="1"/>
  <c r="P2110" i="4"/>
  <c r="J2109" i="4"/>
  <c r="G2109" i="4"/>
  <c r="F2109" i="4"/>
  <c r="P1326" i="4"/>
  <c r="J1325" i="4"/>
  <c r="F1325" i="4"/>
  <c r="G1325" i="4"/>
  <c r="J1310" i="4"/>
  <c r="F1340" i="4"/>
  <c r="P2120" i="4"/>
  <c r="G2119" i="4"/>
  <c r="J2119" i="4"/>
  <c r="F2119" i="4"/>
  <c r="G2254" i="4"/>
  <c r="G1370" i="4"/>
  <c r="H2265" i="4"/>
  <c r="J1340" i="4"/>
  <c r="P2145" i="4"/>
  <c r="F2144" i="4"/>
  <c r="G2144" i="4"/>
  <c r="H2193" i="4"/>
  <c r="I2193" i="4"/>
  <c r="G2240" i="4"/>
  <c r="F2240" i="4"/>
  <c r="J1341" i="4"/>
  <c r="M1341" i="4" s="1"/>
  <c r="P1336" i="4"/>
  <c r="G1335" i="4"/>
  <c r="J1335" i="4"/>
  <c r="F1335" i="4"/>
  <c r="P1376" i="4"/>
  <c r="J1375" i="4"/>
  <c r="G1375" i="4"/>
  <c r="F1375" i="4"/>
  <c r="S2149" i="4"/>
  <c r="S2150" i="4" s="1"/>
  <c r="S2194" i="4"/>
  <c r="J2240" i="4"/>
  <c r="H2123" i="4"/>
  <c r="H2063" i="4"/>
  <c r="M2063" i="4" s="1"/>
  <c r="G1340" i="4"/>
  <c r="P2090" i="4"/>
  <c r="J2089" i="4"/>
  <c r="F2089" i="4"/>
  <c r="G2089" i="4"/>
  <c r="I2069" i="4"/>
  <c r="S2070" i="4"/>
  <c r="F1290" i="4"/>
  <c r="M1290" i="4" s="1"/>
  <c r="P2289" i="4"/>
  <c r="J2179" i="4"/>
  <c r="F2094" i="4"/>
  <c r="J2094" i="4"/>
  <c r="J2288" i="4"/>
  <c r="G2288" i="4"/>
  <c r="H1568" i="4"/>
  <c r="M1568" i="4" s="1"/>
  <c r="G2179" i="4"/>
  <c r="J2150" i="4"/>
  <c r="F2150" i="4"/>
  <c r="G2150" i="4"/>
  <c r="P1356" i="4"/>
  <c r="J1355" i="4"/>
  <c r="F1355" i="4"/>
  <c r="G1355" i="4"/>
  <c r="P2165" i="4"/>
  <c r="J2164" i="4"/>
  <c r="G2164" i="4"/>
  <c r="F2164" i="4"/>
  <c r="G2259" i="4"/>
  <c r="P2260" i="4"/>
  <c r="F2259" i="4"/>
  <c r="J2259" i="4"/>
  <c r="S2205" i="4"/>
  <c r="H2159" i="4"/>
  <c r="M2159" i="4" s="1"/>
  <c r="S2160" i="4"/>
  <c r="I2078" i="4"/>
  <c r="H2078" i="4"/>
  <c r="H2173" i="4"/>
  <c r="M2173" i="4" s="1"/>
  <c r="S2174" i="4"/>
  <c r="G2219" i="4"/>
  <c r="P2215" i="4"/>
  <c r="J2214" i="4"/>
  <c r="G2214" i="4"/>
  <c r="F2214" i="4"/>
  <c r="P1386" i="4"/>
  <c r="J1385" i="4"/>
  <c r="F1385" i="4"/>
  <c r="G1385" i="4"/>
  <c r="P2105" i="4"/>
  <c r="G2104" i="4"/>
  <c r="J2104" i="4"/>
  <c r="F2104" i="4"/>
  <c r="P2075" i="4"/>
  <c r="F2074" i="4"/>
  <c r="J2074" i="4"/>
  <c r="H2094" i="4"/>
  <c r="I2094" i="4"/>
  <c r="S2095" i="4"/>
  <c r="H2234" i="4"/>
  <c r="S2235" i="4"/>
  <c r="I2234" i="4"/>
  <c r="P2185" i="4"/>
  <c r="J2184" i="4"/>
  <c r="G2184" i="4"/>
  <c r="F2184" i="4"/>
  <c r="P2210" i="4"/>
  <c r="G2209" i="4"/>
  <c r="J2209" i="4"/>
  <c r="F2209" i="4"/>
  <c r="F1345" i="4"/>
  <c r="J1345" i="4"/>
  <c r="G1345" i="4"/>
  <c r="P2080" i="4"/>
  <c r="J2079" i="4"/>
  <c r="G2079" i="4"/>
  <c r="F2079" i="4"/>
  <c r="P2125" i="4"/>
  <c r="J2124" i="4"/>
  <c r="G2124" i="4"/>
  <c r="F2124" i="4"/>
  <c r="P2130" i="4"/>
  <c r="F2129" i="4"/>
  <c r="G2129" i="4"/>
  <c r="J2129" i="4"/>
  <c r="S2210" i="4"/>
  <c r="I2210" i="4" s="1"/>
  <c r="S2080" i="4"/>
  <c r="H2079" i="4"/>
  <c r="J2160" i="4"/>
  <c r="F2160" i="4"/>
  <c r="G2160" i="4"/>
  <c r="H2209" i="4"/>
  <c r="I2214" i="4"/>
  <c r="H2214" i="4"/>
  <c r="H2139" i="4"/>
  <c r="S2140" i="4"/>
  <c r="I2139" i="4"/>
  <c r="J2265" i="4"/>
  <c r="G2265" i="4"/>
  <c r="H2074" i="4"/>
  <c r="I2074" i="4"/>
  <c r="S2075" i="4"/>
  <c r="F1346" i="4"/>
  <c r="I2169" i="4"/>
  <c r="S2170" i="4"/>
  <c r="H2169" i="4"/>
  <c r="J1346" i="4"/>
  <c r="G1346" i="4"/>
  <c r="F2278" i="4"/>
  <c r="G2278" i="4"/>
  <c r="F2180" i="4"/>
  <c r="J2180" i="4"/>
  <c r="G2180" i="4"/>
  <c r="I2055" i="4"/>
  <c r="H2055" i="4"/>
  <c r="I1556" i="4"/>
  <c r="H1556" i="4"/>
  <c r="S2185" i="4"/>
  <c r="I2184" i="4"/>
  <c r="H2184" i="4"/>
  <c r="I2278" i="4"/>
  <c r="H2278" i="4"/>
  <c r="S2279" i="4"/>
  <c r="H2058" i="4"/>
  <c r="I2058" i="4"/>
  <c r="S2059" i="4"/>
  <c r="H2268" i="4"/>
  <c r="S2269" i="4"/>
  <c r="S2284" i="4"/>
  <c r="I2283" i="4"/>
  <c r="H2283" i="4"/>
  <c r="I2289" i="4"/>
  <c r="H2289" i="4"/>
  <c r="H2153" i="4"/>
  <c r="S2154" i="4"/>
  <c r="I2153" i="4"/>
  <c r="I2215" i="4"/>
  <c r="H2215" i="4"/>
  <c r="H2190" i="4"/>
  <c r="J2195" i="4"/>
  <c r="G2195" i="4"/>
  <c r="F2195" i="4"/>
  <c r="I1559" i="4"/>
  <c r="H1559" i="4"/>
  <c r="I2115" i="4"/>
  <c r="H2115" i="4"/>
  <c r="G1563" i="4"/>
  <c r="J1563" i="4"/>
  <c r="F1563" i="4"/>
  <c r="I2085" i="4"/>
  <c r="H2085" i="4"/>
  <c r="G2279" i="4"/>
  <c r="J2279" i="4"/>
  <c r="F2279" i="4"/>
  <c r="I1561" i="4"/>
  <c r="H1561" i="4"/>
  <c r="F2205" i="4"/>
  <c r="G2205" i="4"/>
  <c r="J2205" i="4"/>
  <c r="T1562" i="4"/>
  <c r="J1562" i="4"/>
  <c r="S1562" i="4"/>
  <c r="F1562" i="4"/>
  <c r="G1562" i="4"/>
  <c r="H1558" i="4"/>
  <c r="I1558" i="4"/>
  <c r="M553" i="4" l="1"/>
  <c r="M481" i="4"/>
  <c r="M690" i="4"/>
  <c r="M760" i="4"/>
  <c r="M551" i="4"/>
  <c r="M762" i="4"/>
  <c r="M549" i="4"/>
  <c r="M552" i="4"/>
  <c r="M621" i="4"/>
  <c r="M550" i="4"/>
  <c r="M620" i="4"/>
  <c r="M691" i="4"/>
  <c r="M482" i="4"/>
  <c r="M622" i="4"/>
  <c r="M483" i="4"/>
  <c r="M693" i="4"/>
  <c r="M623" i="4"/>
  <c r="M619" i="4"/>
  <c r="I2109" i="4"/>
  <c r="H2259" i="4"/>
  <c r="I2259" i="4"/>
  <c r="M1295" i="4"/>
  <c r="M2055" i="4"/>
  <c r="M2288" i="4"/>
  <c r="M2163" i="4"/>
  <c r="M2058" i="4"/>
  <c r="M2265" i="4"/>
  <c r="M2193" i="4"/>
  <c r="M2139" i="4"/>
  <c r="M2153" i="4"/>
  <c r="M2078" i="4"/>
  <c r="M1561" i="4"/>
  <c r="M2169" i="4"/>
  <c r="M2268" i="4"/>
  <c r="M1365" i="4"/>
  <c r="M1558" i="4"/>
  <c r="M1563" i="4"/>
  <c r="M1556" i="4"/>
  <c r="M2278" i="4"/>
  <c r="M2079" i="4"/>
  <c r="M2164" i="4"/>
  <c r="M2094" i="4"/>
  <c r="M1375" i="4"/>
  <c r="M2244" i="4"/>
  <c r="M2243" i="4"/>
  <c r="M2198" i="4"/>
  <c r="M2124" i="4"/>
  <c r="M2123" i="4"/>
  <c r="M1559" i="4"/>
  <c r="M1385" i="4"/>
  <c r="M1355" i="4"/>
  <c r="M1325" i="4"/>
  <c r="M1310" i="4"/>
  <c r="M2283" i="4"/>
  <c r="M2084" i="4"/>
  <c r="M2209" i="4"/>
  <c r="M2189" i="4"/>
  <c r="M2234" i="4"/>
  <c r="M1351" i="4"/>
  <c r="M2240" i="4"/>
  <c r="M1340" i="4"/>
  <c r="M2224" i="4"/>
  <c r="M2184" i="4"/>
  <c r="M2219" i="4"/>
  <c r="M1335" i="4"/>
  <c r="M2114" i="4"/>
  <c r="M2069" i="4"/>
  <c r="M2179" i="4"/>
  <c r="M1366" i="4"/>
  <c r="M2214" i="4"/>
  <c r="M1346" i="4"/>
  <c r="M1345" i="4"/>
  <c r="M2074" i="4"/>
  <c r="M2099" i="4"/>
  <c r="M1350" i="4"/>
  <c r="G2100" i="4"/>
  <c r="H2245" i="4"/>
  <c r="S2130" i="4"/>
  <c r="H2130" i="4" s="1"/>
  <c r="H2109" i="4"/>
  <c r="J2245" i="4"/>
  <c r="G2245" i="4"/>
  <c r="F2245" i="4"/>
  <c r="G2269" i="4"/>
  <c r="F1316" i="4"/>
  <c r="M1316" i="4" s="1"/>
  <c r="G1316" i="4"/>
  <c r="H2089" i="4"/>
  <c r="F2269" i="4"/>
  <c r="I2089" i="4"/>
  <c r="H2129" i="4"/>
  <c r="M2129" i="4" s="1"/>
  <c r="G2235" i="4"/>
  <c r="I2254" i="4"/>
  <c r="G1296" i="4"/>
  <c r="H1560" i="4"/>
  <c r="M1560" i="4" s="1"/>
  <c r="J1296" i="4"/>
  <c r="M1296" i="4" s="1"/>
  <c r="H2254" i="4"/>
  <c r="J1331" i="4"/>
  <c r="F1331" i="4"/>
  <c r="F2289" i="4"/>
  <c r="H2104" i="4"/>
  <c r="M2104" i="4" s="1"/>
  <c r="J2289" i="4"/>
  <c r="F2220" i="4"/>
  <c r="J2175" i="4"/>
  <c r="J2220" i="4"/>
  <c r="F2175" i="4"/>
  <c r="G2220" i="4"/>
  <c r="G1291" i="4"/>
  <c r="G2085" i="4"/>
  <c r="J2095" i="4"/>
  <c r="J1361" i="4"/>
  <c r="M1361" i="4" s="1"/>
  <c r="S2105" i="4"/>
  <c r="F2085" i="4"/>
  <c r="M2085" i="4" s="1"/>
  <c r="G2095" i="4"/>
  <c r="J1291" i="4"/>
  <c r="F2095" i="4"/>
  <c r="F2255" i="4"/>
  <c r="J2115" i="4"/>
  <c r="G2175" i="4"/>
  <c r="F2115" i="4"/>
  <c r="G2255" i="4"/>
  <c r="H2125" i="4"/>
  <c r="F2235" i="4"/>
  <c r="I2119" i="4"/>
  <c r="H2119" i="4"/>
  <c r="G1361" i="4"/>
  <c r="J2284" i="4"/>
  <c r="G2284" i="4"/>
  <c r="F2284" i="4"/>
  <c r="F1291" i="4"/>
  <c r="J1381" i="4"/>
  <c r="I2064" i="4"/>
  <c r="I2165" i="4"/>
  <c r="H2165" i="4"/>
  <c r="F1381" i="4"/>
  <c r="G1311" i="4"/>
  <c r="G2289" i="4"/>
  <c r="F1311" i="4"/>
  <c r="M1311" i="4" s="1"/>
  <c r="H2064" i="4"/>
  <c r="F2100" i="4"/>
  <c r="M2100" i="4" s="1"/>
  <c r="I2144" i="4"/>
  <c r="H2144" i="4"/>
  <c r="G1321" i="4"/>
  <c r="J1321" i="4"/>
  <c r="M1321" i="4" s="1"/>
  <c r="J2235" i="4"/>
  <c r="H2210" i="4"/>
  <c r="H2149" i="4"/>
  <c r="I2149" i="4"/>
  <c r="F2250" i="4"/>
  <c r="J2250" i="4"/>
  <c r="H2134" i="4"/>
  <c r="I2134" i="4"/>
  <c r="S2135" i="4"/>
  <c r="H2200" i="4"/>
  <c r="I2200" i="4"/>
  <c r="I2180" i="4"/>
  <c r="H2180" i="4"/>
  <c r="J2070" i="4"/>
  <c r="G2070" i="4"/>
  <c r="F2070" i="4"/>
  <c r="I2145" i="4"/>
  <c r="G2190" i="4"/>
  <c r="F2190" i="4"/>
  <c r="J2190" i="4"/>
  <c r="J1326" i="4"/>
  <c r="G1326" i="4"/>
  <c r="F1326" i="4"/>
  <c r="F1336" i="4"/>
  <c r="J1336" i="4"/>
  <c r="G1336" i="4"/>
  <c r="H2194" i="4"/>
  <c r="I2194" i="4"/>
  <c r="S2195" i="4"/>
  <c r="F2120" i="4"/>
  <c r="G2120" i="4"/>
  <c r="J2120" i="4"/>
  <c r="F1371" i="4"/>
  <c r="M1371" i="4" s="1"/>
  <c r="G1371" i="4"/>
  <c r="F2090" i="4"/>
  <c r="J2090" i="4"/>
  <c r="G2090" i="4"/>
  <c r="F1376" i="4"/>
  <c r="J1376" i="4"/>
  <c r="G1376" i="4"/>
  <c r="G2145" i="4"/>
  <c r="J2145" i="4"/>
  <c r="F2145" i="4"/>
  <c r="F2110" i="4"/>
  <c r="J2110" i="4"/>
  <c r="G2110" i="4"/>
  <c r="I2070" i="4"/>
  <c r="H2070" i="4"/>
  <c r="J1386" i="4"/>
  <c r="F1386" i="4"/>
  <c r="G1386" i="4"/>
  <c r="F2215" i="4"/>
  <c r="G2215" i="4"/>
  <c r="J2215" i="4"/>
  <c r="I2160" i="4"/>
  <c r="H2160" i="4"/>
  <c r="G2165" i="4"/>
  <c r="F2165" i="4"/>
  <c r="J2165" i="4"/>
  <c r="I2174" i="4"/>
  <c r="H2174" i="4"/>
  <c r="S2175" i="4"/>
  <c r="I2205" i="4"/>
  <c r="H2205" i="4"/>
  <c r="F2260" i="4"/>
  <c r="J2260" i="4"/>
  <c r="G2260" i="4"/>
  <c r="F1356" i="4"/>
  <c r="G1356" i="4"/>
  <c r="J1356" i="4"/>
  <c r="H2095" i="4"/>
  <c r="I2095" i="4"/>
  <c r="G2130" i="4"/>
  <c r="F2130" i="4"/>
  <c r="J2130" i="4"/>
  <c r="J2210" i="4"/>
  <c r="F2210" i="4"/>
  <c r="G2210" i="4"/>
  <c r="J2105" i="4"/>
  <c r="G2105" i="4"/>
  <c r="F2105" i="4"/>
  <c r="J2080" i="4"/>
  <c r="F2080" i="4"/>
  <c r="G2080" i="4"/>
  <c r="J2075" i="4"/>
  <c r="F2075" i="4"/>
  <c r="G2075" i="4"/>
  <c r="F2125" i="4"/>
  <c r="G2125" i="4"/>
  <c r="J2125" i="4"/>
  <c r="G2185" i="4"/>
  <c r="F2185" i="4"/>
  <c r="J2185" i="4"/>
  <c r="I2235" i="4"/>
  <c r="H2235" i="4"/>
  <c r="I2150" i="4"/>
  <c r="H2150" i="4"/>
  <c r="H2080" i="4"/>
  <c r="I2080" i="4"/>
  <c r="H2065" i="4"/>
  <c r="I2065" i="4"/>
  <c r="H2075" i="4"/>
  <c r="I2075" i="4"/>
  <c r="I2090" i="4"/>
  <c r="H2090" i="4"/>
  <c r="I2140" i="4"/>
  <c r="H2140" i="4"/>
  <c r="I2170" i="4"/>
  <c r="H2170" i="4"/>
  <c r="I2269" i="4"/>
  <c r="H2269" i="4"/>
  <c r="I2279" i="4"/>
  <c r="H2279" i="4"/>
  <c r="H2154" i="4"/>
  <c r="I2154" i="4"/>
  <c r="S2155" i="4"/>
  <c r="I2284" i="4"/>
  <c r="H2284" i="4"/>
  <c r="I2120" i="4"/>
  <c r="H2120" i="4"/>
  <c r="I2185" i="4"/>
  <c r="H2185" i="4"/>
  <c r="I2255" i="4"/>
  <c r="H2255" i="4"/>
  <c r="S2060" i="4"/>
  <c r="H2059" i="4"/>
  <c r="I2059" i="4"/>
  <c r="H2110" i="4"/>
  <c r="I2110" i="4"/>
  <c r="I2260" i="4"/>
  <c r="H2260" i="4"/>
  <c r="H1562" i="4"/>
  <c r="I1562" i="4"/>
  <c r="M2109" i="4" l="1"/>
  <c r="M2259" i="4"/>
  <c r="M2279" i="4"/>
  <c r="M2150" i="4"/>
  <c r="M2180" i="4"/>
  <c r="M1386" i="4"/>
  <c r="M1356" i="4"/>
  <c r="M2215" i="4"/>
  <c r="M2289" i="4"/>
  <c r="M2115" i="4"/>
  <c r="M1376" i="4"/>
  <c r="M2119" i="4"/>
  <c r="M2165" i="4"/>
  <c r="M2200" i="4"/>
  <c r="M1291" i="4"/>
  <c r="M2065" i="4"/>
  <c r="M2284" i="4"/>
  <c r="M2254" i="4"/>
  <c r="M2269" i="4"/>
  <c r="M2064" i="4"/>
  <c r="M2205" i="4"/>
  <c r="M2160" i="4"/>
  <c r="M2089" i="4"/>
  <c r="M2194" i="4"/>
  <c r="M2154" i="4"/>
  <c r="M1326" i="4"/>
  <c r="M1562" i="4"/>
  <c r="M2144" i="4"/>
  <c r="M1336" i="4"/>
  <c r="M2070" i="4"/>
  <c r="M2134" i="4"/>
  <c r="M1381" i="4"/>
  <c r="M2220" i="4"/>
  <c r="M2125" i="4"/>
  <c r="M2075" i="4"/>
  <c r="M2120" i="4"/>
  <c r="M2260" i="4"/>
  <c r="M2059" i="4"/>
  <c r="M2170" i="4"/>
  <c r="M2210" i="4"/>
  <c r="M2174" i="4"/>
  <c r="M2250" i="4"/>
  <c r="M2255" i="4"/>
  <c r="M2185" i="4"/>
  <c r="M2110" i="4"/>
  <c r="M2095" i="4"/>
  <c r="M2245" i="4"/>
  <c r="M2140" i="4"/>
  <c r="M2080" i="4"/>
  <c r="M2145" i="4"/>
  <c r="M2090" i="4"/>
  <c r="M2190" i="4"/>
  <c r="M2149" i="4"/>
  <c r="M2235" i="4"/>
  <c r="M1331" i="4"/>
  <c r="I2130" i="4"/>
  <c r="M2130" i="4" s="1"/>
  <c r="I2105" i="4"/>
  <c r="H2105" i="4"/>
  <c r="I2135" i="4"/>
  <c r="H2135" i="4"/>
  <c r="I2195" i="4"/>
  <c r="H2195" i="4"/>
  <c r="I2175" i="4"/>
  <c r="H2175" i="4"/>
  <c r="I2060" i="4"/>
  <c r="H2060" i="4"/>
  <c r="H2155" i="4"/>
  <c r="I2155" i="4"/>
  <c r="M2135" i="4" l="1"/>
  <c r="M2105" i="4"/>
  <c r="M2175" i="4"/>
  <c r="M2195" i="4"/>
  <c r="M2155" i="4"/>
  <c r="M2060" i="4"/>
  <c r="G2741" i="4" l="1"/>
  <c r="J2741" i="4"/>
  <c r="I2741" i="4"/>
  <c r="F2741" i="4"/>
  <c r="H2741" i="4" l="1"/>
  <c r="M2741" i="4" s="1"/>
  <c r="J3964" i="4"/>
  <c r="G3964" i="4"/>
  <c r="F3964" i="4"/>
  <c r="M3964" i="4" l="1"/>
  <c r="G1074" i="4" l="1"/>
  <c r="J1074" i="4"/>
  <c r="G1068" i="4"/>
  <c r="J1068" i="4"/>
  <c r="G1062" i="4"/>
  <c r="J1062" i="4"/>
  <c r="J1061" i="4"/>
  <c r="G1061" i="4"/>
  <c r="J1071" i="4"/>
  <c r="G1071" i="4"/>
  <c r="J1073" i="4"/>
  <c r="G1073" i="4"/>
  <c r="J1064" i="4"/>
  <c r="G1064" i="4"/>
  <c r="G1070" i="4"/>
  <c r="J1070" i="4"/>
  <c r="G1063" i="4"/>
  <c r="J1063" i="4"/>
  <c r="J1067" i="4"/>
  <c r="G1067" i="4"/>
  <c r="F1061" i="4"/>
  <c r="F1062" i="4"/>
  <c r="J1069" i="4"/>
  <c r="F1069" i="4"/>
  <c r="G1069" i="4"/>
  <c r="J1072" i="4"/>
  <c r="G1072" i="4"/>
  <c r="F1073" i="4"/>
  <c r="R1073" i="4" s="1"/>
  <c r="F1063" i="4"/>
  <c r="F1071" i="4"/>
  <c r="F1070" i="4"/>
  <c r="G1065" i="4"/>
  <c r="J1065" i="4"/>
  <c r="F1064" i="4"/>
  <c r="J1066" i="4"/>
  <c r="G1066" i="4"/>
  <c r="F1072" i="4"/>
  <c r="F1066" i="4"/>
  <c r="F1065" i="4"/>
  <c r="F1068" i="4"/>
  <c r="F1074" i="4"/>
  <c r="F1067" i="4"/>
  <c r="M1068" i="4" l="1"/>
  <c r="M1067" i="4"/>
  <c r="M1065" i="4"/>
  <c r="M1071" i="4"/>
  <c r="M1074" i="4"/>
  <c r="M1072" i="4"/>
  <c r="M1066" i="4"/>
  <c r="M1063" i="4"/>
  <c r="M1062" i="4"/>
  <c r="M1061" i="4"/>
  <c r="M1070" i="4"/>
  <c r="M1064" i="4"/>
  <c r="M1069" i="4"/>
  <c r="M1073" i="4"/>
  <c r="J1007" i="4"/>
  <c r="G1007" i="4"/>
  <c r="J1000" i="4"/>
  <c r="G1000" i="4"/>
  <c r="G1005" i="4"/>
  <c r="J1005" i="4"/>
  <c r="J1017" i="4"/>
  <c r="G1017" i="4"/>
  <c r="J1029" i="4"/>
  <c r="G1029" i="4"/>
  <c r="G1028" i="4"/>
  <c r="J1028" i="4"/>
  <c r="J1004" i="4"/>
  <c r="G1004" i="4"/>
  <c r="J1025" i="4"/>
  <c r="G1025" i="4"/>
  <c r="J1032" i="4"/>
  <c r="G1032" i="4"/>
  <c r="G997" i="4"/>
  <c r="J997" i="4"/>
  <c r="G1010" i="4"/>
  <c r="J1010" i="4"/>
  <c r="G1011" i="4"/>
  <c r="J1011" i="4"/>
  <c r="J996" i="4"/>
  <c r="G996" i="4"/>
  <c r="J1026" i="4"/>
  <c r="G1026" i="4"/>
  <c r="J1014" i="4"/>
  <c r="G1014" i="4"/>
  <c r="J1002" i="4"/>
  <c r="G1002" i="4"/>
  <c r="J1012" i="4"/>
  <c r="G1012" i="4"/>
  <c r="J1027" i="4"/>
  <c r="G1027" i="4"/>
  <c r="J1016" i="4"/>
  <c r="G1016" i="4"/>
  <c r="J1024" i="4"/>
  <c r="G1024" i="4"/>
  <c r="G1013" i="4"/>
  <c r="J1013" i="4"/>
  <c r="G1015" i="4"/>
  <c r="J1015" i="4"/>
  <c r="G1031" i="4"/>
  <c r="J1031" i="4"/>
  <c r="J998" i="4"/>
  <c r="G998" i="4"/>
  <c r="G1018" i="4"/>
  <c r="J1018" i="4"/>
  <c r="J1030" i="4"/>
  <c r="G1030" i="4"/>
  <c r="J1033" i="4"/>
  <c r="G1033" i="4"/>
  <c r="G1001" i="4"/>
  <c r="J1001" i="4"/>
  <c r="J1019" i="4"/>
  <c r="G1019" i="4"/>
  <c r="G1034" i="4"/>
  <c r="J1034" i="4"/>
  <c r="G1022" i="4"/>
  <c r="J1022" i="4"/>
  <c r="F1016" i="4"/>
  <c r="F1031" i="4"/>
  <c r="R1031" i="4" s="1"/>
  <c r="G1023" i="4"/>
  <c r="J1023" i="4"/>
  <c r="F1023" i="4"/>
  <c r="G1003" i="4"/>
  <c r="F1003" i="4"/>
  <c r="J1003" i="4"/>
  <c r="F1029" i="4"/>
  <c r="G1021" i="4"/>
  <c r="J1021" i="4"/>
  <c r="G999" i="4"/>
  <c r="J999" i="4"/>
  <c r="F1022" i="4"/>
  <c r="J1020" i="4"/>
  <c r="G1020" i="4"/>
  <c r="J1006" i="4"/>
  <c r="G1006" i="4"/>
  <c r="F999" i="4"/>
  <c r="F1020" i="4"/>
  <c r="J1009" i="4"/>
  <c r="F1009" i="4"/>
  <c r="G1009" i="4"/>
  <c r="F1019" i="4"/>
  <c r="F1034" i="4"/>
  <c r="F1025" i="4"/>
  <c r="J1008" i="4"/>
  <c r="F1008" i="4"/>
  <c r="G1008" i="4"/>
  <c r="F1015" i="4"/>
  <c r="M1015" i="4" s="1"/>
  <c r="F1001" i="4"/>
  <c r="F1007" i="4"/>
  <c r="F1018" i="4"/>
  <c r="F1017" i="4"/>
  <c r="F997" i="4"/>
  <c r="F1030" i="4"/>
  <c r="F1011" i="4"/>
  <c r="F1026" i="4"/>
  <c r="F1014" i="4"/>
  <c r="F1012" i="4"/>
  <c r="F1027" i="4"/>
  <c r="F1013" i="4"/>
  <c r="F1006" i="4"/>
  <c r="F1002" i="4"/>
  <c r="F1004" i="4"/>
  <c r="F1005" i="4"/>
  <c r="F1032" i="4"/>
  <c r="F996" i="4"/>
  <c r="F1024" i="4"/>
  <c r="M1024" i="4" s="1"/>
  <c r="F1021" i="4"/>
  <c r="F1000" i="4"/>
  <c r="F1028" i="4"/>
  <c r="F1010" i="4"/>
  <c r="F1033" i="4"/>
  <c r="F998" i="4"/>
  <c r="M1005" i="4" l="1"/>
  <c r="M999" i="4"/>
  <c r="M1025" i="4"/>
  <c r="M1010" i="4"/>
  <c r="M1013" i="4"/>
  <c r="M996" i="4"/>
  <c r="M1027" i="4"/>
  <c r="M1017" i="4"/>
  <c r="M1002" i="4"/>
  <c r="M998" i="4"/>
  <c r="M1006" i="4"/>
  <c r="M1011" i="4"/>
  <c r="M1030" i="4"/>
  <c r="M1000" i="4"/>
  <c r="M1022" i="4"/>
  <c r="M1003" i="4"/>
  <c r="M1018" i="4"/>
  <c r="M1001" i="4"/>
  <c r="M1023" i="4"/>
  <c r="M1019" i="4"/>
  <c r="M1033" i="4"/>
  <c r="M997" i="4"/>
  <c r="M1032" i="4"/>
  <c r="M1012" i="4"/>
  <c r="M1020" i="4"/>
  <c r="M1004" i="4"/>
  <c r="M1026" i="4"/>
  <c r="M1007" i="4"/>
  <c r="M1034" i="4"/>
  <c r="M1014" i="4"/>
  <c r="M1028" i="4"/>
  <c r="M1029" i="4"/>
  <c r="M1016" i="4"/>
  <c r="M1021" i="4"/>
  <c r="M1008" i="4"/>
  <c r="M1009" i="4"/>
  <c r="M1031" i="4"/>
  <c r="J1055" i="4"/>
  <c r="G1055" i="4"/>
  <c r="G1057" i="4"/>
  <c r="J1057" i="4"/>
  <c r="J1056" i="4"/>
  <c r="G1056" i="4"/>
  <c r="J1059" i="4"/>
  <c r="G1059" i="4"/>
  <c r="J1040" i="4"/>
  <c r="G1040" i="4"/>
  <c r="G1037" i="4"/>
  <c r="J1037" i="4"/>
  <c r="G1039" i="4"/>
  <c r="J1039" i="4"/>
  <c r="J1050" i="4"/>
  <c r="G1050" i="4"/>
  <c r="G1045" i="4"/>
  <c r="J1045" i="4"/>
  <c r="G1036" i="4"/>
  <c r="J1036" i="4"/>
  <c r="G1052" i="4"/>
  <c r="J1052" i="4"/>
  <c r="J1046" i="4"/>
  <c r="G1046" i="4"/>
  <c r="J1054" i="4"/>
  <c r="G1054" i="4"/>
  <c r="J1041" i="4"/>
  <c r="G1041" i="4"/>
  <c r="G1060" i="4"/>
  <c r="J1060" i="4"/>
  <c r="G1058" i="4"/>
  <c r="J1058" i="4"/>
  <c r="J1051" i="4"/>
  <c r="G1051" i="4"/>
  <c r="F1057" i="4"/>
  <c r="F1037" i="4"/>
  <c r="J1044" i="4"/>
  <c r="G1044" i="4"/>
  <c r="F1044" i="4"/>
  <c r="J1048" i="4"/>
  <c r="G1048" i="4"/>
  <c r="G1042" i="4"/>
  <c r="J1042" i="4"/>
  <c r="F1052" i="4"/>
  <c r="F1055" i="4"/>
  <c r="J1047" i="4"/>
  <c r="G1047" i="4"/>
  <c r="F1047" i="4"/>
  <c r="J1053" i="4"/>
  <c r="F1053" i="4"/>
  <c r="G1053" i="4"/>
  <c r="J1043" i="4"/>
  <c r="G1043" i="4"/>
  <c r="F1043" i="4"/>
  <c r="G1049" i="4"/>
  <c r="J1049" i="4"/>
  <c r="G1038" i="4"/>
  <c r="F1038" i="4"/>
  <c r="J1038" i="4"/>
  <c r="F1049" i="4"/>
  <c r="F1056" i="4"/>
  <c r="F1059" i="4"/>
  <c r="F1060" i="4"/>
  <c r="F1039" i="4"/>
  <c r="F1036" i="4"/>
  <c r="F1051" i="4"/>
  <c r="F1046" i="4"/>
  <c r="F1042" i="4"/>
  <c r="F1048" i="4"/>
  <c r="F1054" i="4"/>
  <c r="F1040" i="4"/>
  <c r="F1050" i="4"/>
  <c r="F1041" i="4"/>
  <c r="F1058" i="4"/>
  <c r="F1045" i="4"/>
  <c r="M1059" i="4" l="1"/>
  <c r="M1037" i="4"/>
  <c r="M1054" i="4"/>
  <c r="M1055" i="4"/>
  <c r="M1045" i="4"/>
  <c r="M1060" i="4"/>
  <c r="M1046" i="4"/>
  <c r="M1056" i="4"/>
  <c r="M1050" i="4"/>
  <c r="M1040" i="4"/>
  <c r="M1036" i="4"/>
  <c r="M1057" i="4"/>
  <c r="M1052" i="4"/>
  <c r="M1051" i="4"/>
  <c r="M1047" i="4"/>
  <c r="M1039" i="4"/>
  <c r="M1041" i="4"/>
  <c r="M1053" i="4"/>
  <c r="M1042" i="4"/>
  <c r="M1044" i="4"/>
  <c r="M1048" i="4"/>
  <c r="M1049" i="4"/>
  <c r="M1058" i="4"/>
  <c r="M1043" i="4"/>
  <c r="M10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K2" authorId="0" shapeId="0" xr:uid="{7CFC39CF-C011-4655-A7C9-7BDF3876CC72}">
      <text>
        <r>
          <rPr>
            <b/>
            <sz val="9"/>
            <color indexed="81"/>
            <rFont val="돋움"/>
            <family val="3"/>
            <charset val="129"/>
          </rPr>
          <t xml:space="preserve">디폴트 : 1000
</t>
        </r>
      </text>
    </comment>
  </commentList>
</comments>
</file>

<file path=xl/sharedStrings.xml><?xml version="1.0" encoding="utf-8"?>
<sst xmlns="http://schemas.openxmlformats.org/spreadsheetml/2006/main" count="10498" uniqueCount="1200">
  <si>
    <t>Index</t>
    <phoneticPr fontId="11" type="noConversion"/>
  </si>
  <si>
    <t>AntiCcChance</t>
    <phoneticPr fontId="9" type="noConversion"/>
  </si>
  <si>
    <t>PhysicalDefense</t>
  </si>
  <si>
    <t>MagicalDefense</t>
  </si>
  <si>
    <t>STAT</t>
    <phoneticPr fontId="9" type="noConversion"/>
  </si>
  <si>
    <t>(Description)</t>
    <phoneticPr fontId="9" type="noConversion"/>
  </si>
  <si>
    <t>(전투력배수)</t>
    <phoneticPr fontId="9" type="noConversion"/>
  </si>
  <si>
    <t>(Desc2)</t>
    <phoneticPr fontId="9" type="noConversion"/>
  </si>
  <si>
    <t>PhysicalAttack</t>
    <phoneticPr fontId="9" type="noConversion"/>
  </si>
  <si>
    <t>MaxHp</t>
    <phoneticPr fontId="9" type="noConversion"/>
  </si>
  <si>
    <t>(Chapter)</t>
    <phoneticPr fontId="9" type="noConversion"/>
  </si>
  <si>
    <t>(Dungeon)</t>
    <phoneticPr fontId="9" type="noConversion"/>
  </si>
  <si>
    <t>(Difficulty)</t>
    <phoneticPr fontId="9" type="noConversion"/>
  </si>
  <si>
    <t>&lt;기타&gt;</t>
  </si>
  <si>
    <t>아레나</t>
  </si>
  <si>
    <t>1000</t>
  </si>
  <si>
    <t>&lt;튜토리얼&gt;</t>
  </si>
  <si>
    <t>시작튜토리얼</t>
  </si>
  <si>
    <t>4</t>
  </si>
  <si>
    <t>슬라임-웃는가면(1-3)</t>
  </si>
  <si>
    <t>1001</t>
  </si>
  <si>
    <t>2</t>
  </si>
  <si>
    <t>고블린-마리아(1-18다음 세계수)</t>
  </si>
  <si>
    <t>3</t>
  </si>
  <si>
    <t>웃는가면 레이나</t>
  </si>
  <si>
    <t>바랄라이카</t>
  </si>
  <si>
    <t>5</t>
  </si>
  <si>
    <t>카셀 내면의 어둠</t>
  </si>
  <si>
    <t>6</t>
  </si>
  <si>
    <t>&lt;시련의 방&gt;</t>
  </si>
  <si>
    <t>카셀 시련의 방</t>
  </si>
  <si>
    <t>프레이 시련의 방</t>
  </si>
  <si>
    <t>클레오 시련의 방</t>
  </si>
  <si>
    <t>로이 시련의 방</t>
  </si>
  <si>
    <t>가우 시련의 방</t>
  </si>
  <si>
    <t>필롭 시련의 방</t>
  </si>
  <si>
    <t>라크락 시련의 방</t>
  </si>
  <si>
    <t>카울라 시련의 방</t>
  </si>
  <si>
    <t>에피스 시련의 방</t>
  </si>
  <si>
    <t>셀레네 시련의 방</t>
  </si>
  <si>
    <t>마리아 시련의 방</t>
  </si>
  <si>
    <t>미르르 시련의 방</t>
  </si>
  <si>
    <t>로레인 시련의 방</t>
  </si>
  <si>
    <t>마야 시련의 방</t>
  </si>
  <si>
    <t>클라우스 시련의 방</t>
  </si>
  <si>
    <t>레피 시련의 방</t>
  </si>
  <si>
    <t>디마엘 시련의 방</t>
  </si>
  <si>
    <t>레이나 시련의 방</t>
  </si>
  <si>
    <t>파벨 시련의 방</t>
  </si>
  <si>
    <t>데미아 시련의 방</t>
  </si>
  <si>
    <t>네일라 시련의 방</t>
  </si>
  <si>
    <t>로지나 시련의 방</t>
  </si>
  <si>
    <t>모라 시련의 방</t>
  </si>
  <si>
    <t>보두앵 시련의 방</t>
  </si>
  <si>
    <t>제인 시련의 방</t>
  </si>
  <si>
    <t>&lt;지하감옥&gt;</t>
  </si>
  <si>
    <t>&lt;1챕터-보통&gt;</t>
  </si>
  <si>
    <t>&lt;1챕터-어려움&gt;</t>
  </si>
  <si>
    <t>&lt;허수아비&gt;</t>
  </si>
  <si>
    <t>1002</t>
  </si>
  <si>
    <t>&lt;시련의탑&gt;</t>
  </si>
  <si>
    <t>&lt;왕실지하미궁&gt;</t>
  </si>
  <si>
    <t>Easy</t>
    <phoneticPr fontId="9" type="noConversion"/>
  </si>
  <si>
    <t>Normal</t>
    <phoneticPr fontId="9" type="noConversion"/>
  </si>
  <si>
    <t>Hard</t>
    <phoneticPr fontId="9" type="noConversion"/>
  </si>
  <si>
    <t>&lt;1챕터-쉬움&gt;</t>
    <phoneticPr fontId="9" type="noConversion"/>
  </si>
  <si>
    <t>&lt;1챕터던전-어려움&gt;</t>
    <phoneticPr fontId="9" type="noConversion"/>
  </si>
  <si>
    <t>&lt;2챕터-쉬움&gt;</t>
    <phoneticPr fontId="9" type="noConversion"/>
  </si>
  <si>
    <t>&lt;2챕터-보통&gt;</t>
    <phoneticPr fontId="9" type="noConversion"/>
  </si>
  <si>
    <t>&lt;2챕터-어려움&gt;</t>
    <phoneticPr fontId="9" type="noConversion"/>
  </si>
  <si>
    <t>&lt;2챕터던전-어려움&gt;</t>
    <phoneticPr fontId="9" type="noConversion"/>
  </si>
  <si>
    <t>&lt;3챕터-쉬움&gt;</t>
    <phoneticPr fontId="9" type="noConversion"/>
  </si>
  <si>
    <t>&lt;3챕터던전-어려움&gt;</t>
    <phoneticPr fontId="9" type="noConversion"/>
  </si>
  <si>
    <t>&lt;3챕터-보통&gt;</t>
    <phoneticPr fontId="9" type="noConversion"/>
  </si>
  <si>
    <t>&lt;3챕터-어려움&gt;</t>
    <phoneticPr fontId="9" type="noConversion"/>
  </si>
  <si>
    <t>&lt;4챕터-쉬움&gt;</t>
    <phoneticPr fontId="9" type="noConversion"/>
  </si>
  <si>
    <t>&lt;4챕터-보통&gt;</t>
    <phoneticPr fontId="9" type="noConversion"/>
  </si>
  <si>
    <t>&lt;4챕터-어려움&gt;</t>
    <phoneticPr fontId="9" type="noConversion"/>
  </si>
  <si>
    <t>&lt;4챕터던전-어려움&gt;</t>
    <phoneticPr fontId="9" type="noConversion"/>
  </si>
  <si>
    <t>&lt;5챕터-쉬움&gt;</t>
    <phoneticPr fontId="9" type="noConversion"/>
  </si>
  <si>
    <t>&lt;5챕터-보통&gt;</t>
    <phoneticPr fontId="9" type="noConversion"/>
  </si>
  <si>
    <t>&lt;5챕터-어려움&gt;</t>
    <phoneticPr fontId="9" type="noConversion"/>
  </si>
  <si>
    <t>&lt;5챕터던전-어려움&gt;</t>
    <phoneticPr fontId="9" type="noConversion"/>
  </si>
  <si>
    <t>(전투력요구)</t>
    <phoneticPr fontId="9" type="noConversion"/>
  </si>
  <si>
    <t>&lt;2챕터-토벌&gt;</t>
    <phoneticPr fontId="9" type="noConversion"/>
  </si>
  <si>
    <t>(Index)</t>
    <phoneticPr fontId="9" type="noConversion"/>
  </si>
  <si>
    <t>&lt;4챕터-토벌&gt;</t>
    <phoneticPr fontId="9" type="noConversion"/>
  </si>
  <si>
    <t>1</t>
    <phoneticPr fontId="9" type="noConversion"/>
  </si>
  <si>
    <t>8000</t>
    <phoneticPr fontId="9" type="noConversion"/>
  </si>
  <si>
    <t>4</t>
    <phoneticPr fontId="9" type="noConversion"/>
  </si>
  <si>
    <t>400</t>
    <phoneticPr fontId="9" type="noConversion"/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</si>
  <si>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</si>
  <si>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</si>
  <si>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</si>
  <si>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</si>
  <si>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</si>
  <si>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</si>
  <si>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</si>
  <si>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</si>
  <si>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</si>
  <si>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</si>
  <si>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(레벨별 최대상수값)</t>
    <phoneticPr fontId="9" type="noConversion"/>
  </si>
  <si>
    <t>731</t>
  </si>
  <si>
    <t>731</t>
    <phoneticPr fontId="9" type="noConversion"/>
  </si>
  <si>
    <t>710</t>
    <phoneticPr fontId="9" type="noConversion"/>
  </si>
  <si>
    <t>731</t>
    <phoneticPr fontId="9" type="noConversion"/>
  </si>
  <si>
    <t>&lt;3챕터-토벌&gt;</t>
    <phoneticPr fontId="9" type="noConversion"/>
  </si>
  <si>
    <t>&lt;5챕터-토벌&gt;</t>
    <phoneticPr fontId="9" type="noConversion"/>
  </si>
  <si>
    <t>1304</t>
    <phoneticPr fontId="9" type="noConversion"/>
  </si>
  <si>
    <t>1636</t>
    <phoneticPr fontId="9" type="noConversion"/>
  </si>
  <si>
    <t>1860</t>
    <phoneticPr fontId="9" type="noConversion"/>
  </si>
  <si>
    <t>2208</t>
    <phoneticPr fontId="9" type="noConversion"/>
  </si>
  <si>
    <t>2660</t>
    <phoneticPr fontId="9" type="noConversion"/>
  </si>
  <si>
    <t>3352</t>
    <phoneticPr fontId="9" type="noConversion"/>
  </si>
  <si>
    <t>3900</t>
    <phoneticPr fontId="9" type="noConversion"/>
  </si>
  <si>
    <t>5232</t>
    <phoneticPr fontId="9" type="noConversion"/>
  </si>
  <si>
    <t>6880</t>
    <phoneticPr fontId="9" type="noConversion"/>
  </si>
  <si>
    <t>4692</t>
    <phoneticPr fontId="9" type="noConversion"/>
  </si>
  <si>
    <t>5980</t>
    <phoneticPr fontId="9" type="noConversion"/>
  </si>
  <si>
    <t>8668</t>
    <phoneticPr fontId="9" type="noConversion"/>
  </si>
  <si>
    <t>&lt;도전의탑&gt;</t>
    <phoneticPr fontId="9" type="noConversion"/>
  </si>
  <si>
    <t>(특이사항)</t>
    <phoneticPr fontId="9" type="noConversion"/>
  </si>
  <si>
    <t>200</t>
    <phoneticPr fontId="9" type="noConversion"/>
  </si>
  <si>
    <t>400</t>
    <phoneticPr fontId="9" type="noConversion"/>
  </si>
  <si>
    <t>731</t>
    <phoneticPr fontId="9" type="noConversion"/>
  </si>
  <si>
    <t>(방어전투력요구)</t>
    <phoneticPr fontId="9" type="noConversion"/>
  </si>
  <si>
    <t>1244</t>
    <phoneticPr fontId="9" type="noConversion"/>
  </si>
  <si>
    <t>1316</t>
    <phoneticPr fontId="9" type="noConversion"/>
  </si>
  <si>
    <t>400</t>
    <phoneticPr fontId="9" type="noConversion"/>
  </si>
  <si>
    <t>956</t>
    <phoneticPr fontId="9" type="noConversion"/>
  </si>
  <si>
    <t>856</t>
    <phoneticPr fontId="9" type="noConversion"/>
  </si>
  <si>
    <t>1304</t>
    <phoneticPr fontId="9" type="noConversion"/>
  </si>
  <si>
    <t>1132</t>
    <phoneticPr fontId="9" type="noConversion"/>
  </si>
  <si>
    <t>1572</t>
    <phoneticPr fontId="9" type="noConversion"/>
  </si>
  <si>
    <t>1876</t>
    <phoneticPr fontId="9" type="noConversion"/>
  </si>
  <si>
    <t>1996</t>
    <phoneticPr fontId="9" type="noConversion"/>
  </si>
  <si>
    <t>2324</t>
    <phoneticPr fontId="9" type="noConversion"/>
  </si>
  <si>
    <t>2420</t>
    <phoneticPr fontId="9" type="noConversion"/>
  </si>
  <si>
    <t>1244</t>
    <phoneticPr fontId="9" type="noConversion"/>
  </si>
  <si>
    <t>1456</t>
    <phoneticPr fontId="9" type="noConversion"/>
  </si>
  <si>
    <t>676</t>
    <phoneticPr fontId="9" type="noConversion"/>
  </si>
  <si>
    <t>764</t>
    <phoneticPr fontId="9" type="noConversion"/>
  </si>
  <si>
    <t>844</t>
    <phoneticPr fontId="9" type="noConversion"/>
  </si>
  <si>
    <t>884</t>
    <phoneticPr fontId="9" type="noConversion"/>
  </si>
  <si>
    <t>1100</t>
    <phoneticPr fontId="9" type="noConversion"/>
  </si>
  <si>
    <t>1260</t>
    <phoneticPr fontId="9" type="noConversion"/>
  </si>
  <si>
    <t>1324</t>
    <phoneticPr fontId="9" type="noConversion"/>
  </si>
  <si>
    <t>1512</t>
    <phoneticPr fontId="9" type="noConversion"/>
  </si>
  <si>
    <t>1628</t>
    <phoneticPr fontId="9" type="noConversion"/>
  </si>
  <si>
    <t>1696</t>
    <phoneticPr fontId="9" type="noConversion"/>
  </si>
  <si>
    <t>1728</t>
    <phoneticPr fontId="9" type="noConversion"/>
  </si>
  <si>
    <t>1868</t>
    <phoneticPr fontId="9" type="noConversion"/>
  </si>
  <si>
    <t>1944</t>
    <phoneticPr fontId="9" type="noConversion"/>
  </si>
  <si>
    <t>2120</t>
    <phoneticPr fontId="9" type="noConversion"/>
  </si>
  <si>
    <t>2212</t>
    <phoneticPr fontId="9" type="noConversion"/>
  </si>
  <si>
    <t>2356</t>
    <phoneticPr fontId="9" type="noConversion"/>
  </si>
  <si>
    <t>2404</t>
    <phoneticPr fontId="9" type="noConversion"/>
  </si>
  <si>
    <t>2508</t>
    <phoneticPr fontId="9" type="noConversion"/>
  </si>
  <si>
    <t>2640</t>
    <phoneticPr fontId="9" type="noConversion"/>
  </si>
  <si>
    <t>2764</t>
    <phoneticPr fontId="9" type="noConversion"/>
  </si>
  <si>
    <t>2820</t>
    <phoneticPr fontId="9" type="noConversion"/>
  </si>
  <si>
    <t>2808</t>
    <phoneticPr fontId="9" type="noConversion"/>
  </si>
  <si>
    <t>2940</t>
    <phoneticPr fontId="9" type="noConversion"/>
  </si>
  <si>
    <t>3216</t>
    <phoneticPr fontId="9" type="noConversion"/>
  </si>
  <si>
    <t>3372</t>
    <phoneticPr fontId="9" type="noConversion"/>
  </si>
  <si>
    <t>3444</t>
    <phoneticPr fontId="9" type="noConversion"/>
  </si>
  <si>
    <t>700</t>
    <phoneticPr fontId="9" type="noConversion"/>
  </si>
  <si>
    <t>45</t>
  </si>
  <si>
    <t>55</t>
  </si>
  <si>
    <t>70</t>
  </si>
  <si>
    <t>83</t>
  </si>
  <si>
    <t>&lt;6챕터-쉬움&gt;</t>
    <phoneticPr fontId="9" type="noConversion"/>
  </si>
  <si>
    <t>&lt;6챕터-보통&gt;</t>
    <phoneticPr fontId="9" type="noConversion"/>
  </si>
  <si>
    <t>&lt;6챕터-어려움&gt;</t>
    <phoneticPr fontId="9" type="noConversion"/>
  </si>
  <si>
    <t>&lt;6챕터던전-어려움&gt;</t>
    <phoneticPr fontId="9" type="noConversion"/>
  </si>
  <si>
    <t>&lt;6챕터-토벌&gt;</t>
    <phoneticPr fontId="9" type="noConversion"/>
  </si>
  <si>
    <t>3666</t>
    <phoneticPr fontId="9" type="noConversion"/>
  </si>
  <si>
    <t>4000</t>
    <phoneticPr fontId="9" type="noConversion"/>
  </si>
  <si>
    <t>4333</t>
    <phoneticPr fontId="9" type="noConversion"/>
  </si>
  <si>
    <t>4666</t>
    <phoneticPr fontId="9" type="noConversion"/>
  </si>
  <si>
    <t>5000</t>
    <phoneticPr fontId="9" type="noConversion"/>
  </si>
  <si>
    <t>6000</t>
    <phoneticPr fontId="9" type="noConversion"/>
  </si>
  <si>
    <t>시련의 방(초월공통임시)</t>
    <phoneticPr fontId="9" type="noConversion"/>
  </si>
  <si>
    <t>820</t>
    <phoneticPr fontId="9" type="noConversion"/>
  </si>
  <si>
    <t>(마법방어전투력요구)</t>
    <phoneticPr fontId="9" type="noConversion"/>
  </si>
  <si>
    <t>730</t>
    <phoneticPr fontId="9" type="noConversion"/>
  </si>
  <si>
    <t>780</t>
    <phoneticPr fontId="9" type="noConversion"/>
  </si>
  <si>
    <t>830</t>
    <phoneticPr fontId="9" type="noConversion"/>
  </si>
  <si>
    <t>880</t>
    <phoneticPr fontId="9" type="noConversion"/>
  </si>
  <si>
    <t>7225</t>
    <phoneticPr fontId="9" type="noConversion"/>
  </si>
  <si>
    <t>10350</t>
  </si>
  <si>
    <t>0</t>
  </si>
  <si>
    <t>14400</t>
  </si>
  <si>
    <t>7200</t>
    <phoneticPr fontId="9" type="noConversion"/>
  </si>
  <si>
    <t>10350</t>
    <phoneticPr fontId="9" type="noConversion"/>
  </si>
  <si>
    <t>13950</t>
    <phoneticPr fontId="9" type="noConversion"/>
  </si>
  <si>
    <t>650</t>
    <phoneticPr fontId="9" type="noConversion"/>
  </si>
  <si>
    <t>600</t>
    <phoneticPr fontId="9" type="noConversion"/>
  </si>
  <si>
    <t>16672</t>
    <phoneticPr fontId="9" type="noConversion"/>
  </si>
  <si>
    <t>710</t>
    <phoneticPr fontId="9" type="noConversion"/>
  </si>
  <si>
    <t>500</t>
    <phoneticPr fontId="9" type="noConversion"/>
  </si>
  <si>
    <t>40층 아이샤 3마리</t>
    <phoneticPr fontId="9" type="noConversion"/>
  </si>
  <si>
    <t>2000</t>
    <phoneticPr fontId="9" type="noConversion"/>
  </si>
  <si>
    <t>&lt;시련의탑 임시&gt;</t>
    <phoneticPr fontId="9" type="noConversion"/>
  </si>
  <si>
    <t>6000</t>
  </si>
  <si>
    <t>6800</t>
  </si>
  <si>
    <t>7600</t>
  </si>
  <si>
    <t>8400</t>
  </si>
  <si>
    <t>9200</t>
  </si>
  <si>
    <t>10000</t>
  </si>
  <si>
    <t>10800</t>
  </si>
  <si>
    <t>11600</t>
  </si>
  <si>
    <t>12400</t>
  </si>
  <si>
    <t>13400</t>
  </si>
  <si>
    <t>15400</t>
  </si>
  <si>
    <t>16400</t>
  </si>
  <si>
    <t>17400</t>
  </si>
  <si>
    <t>18400</t>
  </si>
  <si>
    <t>19700</t>
  </si>
  <si>
    <t>21000</t>
  </si>
  <si>
    <t>22300</t>
  </si>
  <si>
    <t>23600</t>
  </si>
  <si>
    <t>24900</t>
  </si>
  <si>
    <t>&lt;길드 레이드&gt;</t>
    <phoneticPr fontId="9" type="noConversion"/>
  </si>
  <si>
    <t>Normal</t>
    <phoneticPr fontId="9" type="noConversion"/>
  </si>
  <si>
    <t>만티코어 전갈</t>
    <phoneticPr fontId="9" type="noConversion"/>
  </si>
  <si>
    <t>사막의 폭군 전갈</t>
    <phoneticPr fontId="9" type="noConversion"/>
  </si>
  <si>
    <t>광도적</t>
    <phoneticPr fontId="9" type="noConversion"/>
  </si>
  <si>
    <t>19</t>
    <phoneticPr fontId="9" type="noConversion"/>
  </si>
  <si>
    <t>&lt;1챕터-지옥&gt;</t>
    <phoneticPr fontId="9" type="noConversion"/>
  </si>
  <si>
    <t>Hell</t>
  </si>
  <si>
    <t>880</t>
  </si>
  <si>
    <t>830</t>
  </si>
  <si>
    <t>780</t>
  </si>
  <si>
    <t>650</t>
  </si>
  <si>
    <t>600</t>
  </si>
  <si>
    <t>&lt;2챕터-지옥&gt;</t>
    <phoneticPr fontId="9" type="noConversion"/>
  </si>
  <si>
    <t>Hell</t>
    <phoneticPr fontId="9" type="noConversion"/>
  </si>
  <si>
    <t>&lt;3챕터-지옥&gt;</t>
    <phoneticPr fontId="9" type="noConversion"/>
  </si>
  <si>
    <t>&lt;4챕터-지옥&gt;</t>
    <phoneticPr fontId="9" type="noConversion"/>
  </si>
  <si>
    <t>&lt;5챕터-지옥&gt;</t>
    <phoneticPr fontId="9" type="noConversion"/>
  </si>
  <si>
    <t>&lt;6챕터-지옥&gt;</t>
    <phoneticPr fontId="9" type="noConversion"/>
  </si>
  <si>
    <t>MagicalAttack</t>
    <phoneticPr fontId="9" type="noConversion"/>
  </si>
  <si>
    <t>20</t>
    <phoneticPr fontId="9" type="noConversion"/>
  </si>
  <si>
    <t>12</t>
    <phoneticPr fontId="9" type="noConversion"/>
  </si>
  <si>
    <t>160</t>
    <phoneticPr fontId="9" type="noConversion"/>
  </si>
  <si>
    <t>220</t>
    <phoneticPr fontId="9" type="noConversion"/>
  </si>
  <si>
    <t>광도적 하드</t>
    <phoneticPr fontId="9" type="noConversion"/>
  </si>
  <si>
    <t>720</t>
    <phoneticPr fontId="9" type="noConversion"/>
  </si>
  <si>
    <t>590</t>
    <phoneticPr fontId="9" type="noConversion"/>
  </si>
  <si>
    <t>540</t>
    <phoneticPr fontId="9" type="noConversion"/>
  </si>
  <si>
    <t>530</t>
    <phoneticPr fontId="9" type="noConversion"/>
  </si>
  <si>
    <t>530</t>
    <phoneticPr fontId="9" type="noConversion"/>
  </si>
  <si>
    <t>15</t>
    <phoneticPr fontId="9" type="noConversion"/>
  </si>
  <si>
    <t>20.5</t>
    <phoneticPr fontId="9" type="noConversion"/>
  </si>
  <si>
    <t>29650</t>
  </si>
  <si>
    <t>830</t>
    <phoneticPr fontId="9" type="noConversion"/>
  </si>
  <si>
    <t>&lt;월드 보스&gt;</t>
    <phoneticPr fontId="9" type="noConversion"/>
  </si>
  <si>
    <t>Easy</t>
    <phoneticPr fontId="9" type="noConversion"/>
  </si>
  <si>
    <t>Easy</t>
  </si>
  <si>
    <t>9</t>
  </si>
  <si>
    <t>라크락2성</t>
  </si>
  <si>
    <t>Normal</t>
  </si>
  <si>
    <t>710</t>
  </si>
  <si>
    <t>Hard</t>
  </si>
  <si>
    <t>&lt;7챕터-쉬움&gt;</t>
    <phoneticPr fontId="9" type="noConversion"/>
  </si>
  <si>
    <t>&lt;7챕터-보통&gt;</t>
    <phoneticPr fontId="9" type="noConversion"/>
  </si>
  <si>
    <t>&lt;7챕터-어려움&gt;</t>
    <phoneticPr fontId="9" type="noConversion"/>
  </si>
  <si>
    <t>&lt;7챕터-지옥&gt;</t>
    <phoneticPr fontId="9" type="noConversion"/>
  </si>
  <si>
    <t>&lt;7챕터던전-어려움&gt;</t>
    <phoneticPr fontId="9" type="noConversion"/>
  </si>
  <si>
    <t>작은 골렘</t>
    <phoneticPr fontId="9" type="noConversion"/>
  </si>
  <si>
    <t>200</t>
    <phoneticPr fontId="9" type="noConversion"/>
  </si>
  <si>
    <t>10</t>
    <phoneticPr fontId="9" type="noConversion"/>
  </si>
  <si>
    <t>920</t>
  </si>
  <si>
    <t>860</t>
  </si>
  <si>
    <t>720</t>
  </si>
  <si>
    <t>660</t>
  </si>
  <si>
    <t>&lt;튜토리얼 초반전투&gt;</t>
    <phoneticPr fontId="9" type="noConversion"/>
  </si>
  <si>
    <t>45</t>
    <phoneticPr fontId="9" type="noConversion"/>
  </si>
  <si>
    <t>45</t>
    <phoneticPr fontId="9" type="noConversion"/>
  </si>
  <si>
    <t>포이즌 슬라임</t>
    <phoneticPr fontId="9" type="noConversion"/>
  </si>
  <si>
    <t>250</t>
    <phoneticPr fontId="9" type="noConversion"/>
  </si>
  <si>
    <t>구샤크</t>
    <phoneticPr fontId="9" type="noConversion"/>
  </si>
  <si>
    <t>300</t>
    <phoneticPr fontId="9" type="noConversion"/>
  </si>
  <si>
    <t>150</t>
    <phoneticPr fontId="9" type="noConversion"/>
  </si>
  <si>
    <t>3500</t>
    <phoneticPr fontId="9" type="noConversion"/>
  </si>
  <si>
    <t>1400</t>
    <phoneticPr fontId="9" type="noConversion"/>
  </si>
  <si>
    <t>15000</t>
    <phoneticPr fontId="9" type="noConversion"/>
  </si>
  <si>
    <t>600</t>
    <phoneticPr fontId="9" type="noConversion"/>
  </si>
  <si>
    <t>40000</t>
    <phoneticPr fontId="9" type="noConversion"/>
  </si>
  <si>
    <t>48000</t>
    <phoneticPr fontId="9" type="noConversion"/>
  </si>
  <si>
    <t>57000</t>
    <phoneticPr fontId="9" type="noConversion"/>
  </si>
  <si>
    <t>82000</t>
    <phoneticPr fontId="9" type="noConversion"/>
  </si>
  <si>
    <t>66000</t>
    <phoneticPr fontId="9" type="noConversion"/>
  </si>
  <si>
    <t>490</t>
    <phoneticPr fontId="9" type="noConversion"/>
  </si>
  <si>
    <t>110000</t>
    <phoneticPr fontId="9" type="noConversion"/>
  </si>
  <si>
    <t>125000</t>
    <phoneticPr fontId="9" type="noConversion"/>
  </si>
  <si>
    <t>170000</t>
    <phoneticPr fontId="9" type="noConversion"/>
  </si>
  <si>
    <t>200000</t>
    <phoneticPr fontId="9" type="noConversion"/>
  </si>
  <si>
    <t>&lt;길드 레이드 하드&gt;</t>
    <phoneticPr fontId="9" type="noConversion"/>
  </si>
  <si>
    <t>Hard</t>
    <phoneticPr fontId="9" type="noConversion"/>
  </si>
  <si>
    <t>27</t>
    <phoneticPr fontId="9" type="noConversion"/>
  </si>
  <si>
    <t>180</t>
    <phoneticPr fontId="9" type="noConversion"/>
  </si>
  <si>
    <t>140</t>
    <phoneticPr fontId="9" type="noConversion"/>
  </si>
  <si>
    <t>&lt;이벤트 던전&gt;</t>
    <phoneticPr fontId="9" type="noConversion"/>
  </si>
  <si>
    <t>빨용 3페이즈 해즐링</t>
    <phoneticPr fontId="9" type="noConversion"/>
  </si>
  <si>
    <t>1304</t>
  </si>
  <si>
    <t>1636</t>
  </si>
  <si>
    <t>1860</t>
  </si>
  <si>
    <t>할로윈</t>
    <phoneticPr fontId="9" type="noConversion"/>
  </si>
  <si>
    <t>1800</t>
  </si>
  <si>
    <t>2660</t>
  </si>
  <si>
    <t>3352</t>
  </si>
  <si>
    <t>3900</t>
  </si>
  <si>
    <t>4692</t>
  </si>
  <si>
    <t>5232</t>
  </si>
  <si>
    <t>5980</t>
  </si>
  <si>
    <t>6880</t>
  </si>
  <si>
    <t>8668</t>
  </si>
  <si>
    <t>18810</t>
  </si>
  <si>
    <t>26620</t>
  </si>
  <si>
    <t>37268</t>
  </si>
  <si>
    <t>49247</t>
  </si>
  <si>
    <t>이지막보</t>
    <phoneticPr fontId="9" type="noConversion"/>
  </si>
  <si>
    <t>노말막보</t>
    <phoneticPr fontId="9" type="noConversion"/>
  </si>
  <si>
    <t>하드막보</t>
    <phoneticPr fontId="9" type="noConversion"/>
  </si>
  <si>
    <t>드라이어드</t>
    <phoneticPr fontId="9" type="noConversion"/>
  </si>
  <si>
    <t>920</t>
    <phoneticPr fontId="9" type="noConversion"/>
  </si>
  <si>
    <t>크리스마스</t>
    <phoneticPr fontId="9" type="noConversion"/>
  </si>
  <si>
    <t>20</t>
    <phoneticPr fontId="9" type="noConversion"/>
  </si>
  <si>
    <t>감시탑</t>
    <phoneticPr fontId="9" type="noConversion"/>
  </si>
  <si>
    <t>고블린</t>
    <phoneticPr fontId="9" type="noConversion"/>
  </si>
  <si>
    <t>3</t>
    <phoneticPr fontId="9" type="noConversion"/>
  </si>
  <si>
    <t>220</t>
    <phoneticPr fontId="9" type="noConversion"/>
  </si>
  <si>
    <t>5000</t>
    <phoneticPr fontId="9" type="noConversion"/>
  </si>
  <si>
    <t>크리스마스 노말 보스</t>
    <phoneticPr fontId="9" type="noConversion"/>
  </si>
  <si>
    <t>크리스마스 노말 웨이브</t>
  </si>
  <si>
    <t>크리스마스 이지 웨이브</t>
    <phoneticPr fontId="9" type="noConversion"/>
  </si>
  <si>
    <t>크리스마스 이지 보스</t>
    <phoneticPr fontId="9" type="noConversion"/>
  </si>
  <si>
    <t>크리스마스 하드 웨이브</t>
    <phoneticPr fontId="9" type="noConversion"/>
  </si>
  <si>
    <t>크리스마스 하드 보스</t>
    <phoneticPr fontId="9" type="noConversion"/>
  </si>
  <si>
    <t>크리스마스 헬 웨이브</t>
    <phoneticPr fontId="9" type="noConversion"/>
  </si>
  <si>
    <t>크리스마스 헬 보스</t>
    <phoneticPr fontId="9" type="noConversion"/>
  </si>
  <si>
    <t>5000</t>
    <phoneticPr fontId="9" type="noConversion"/>
  </si>
  <si>
    <t>15000</t>
    <phoneticPr fontId="9" type="noConversion"/>
  </si>
  <si>
    <t>70000</t>
    <phoneticPr fontId="9" type="noConversion"/>
  </si>
  <si>
    <t>60000</t>
    <phoneticPr fontId="9" type="noConversion"/>
  </si>
  <si>
    <t>13000</t>
    <phoneticPr fontId="9" type="noConversion"/>
  </si>
  <si>
    <t>&lt;이벤트 월드 보스&gt;</t>
    <phoneticPr fontId="9" type="noConversion"/>
  </si>
  <si>
    <t>&lt;챌린지 레이드 우르칵&gt;</t>
    <phoneticPr fontId="9" type="noConversion"/>
  </si>
  <si>
    <t>&lt;챌린지 레이드 사트리아&gt;</t>
    <phoneticPr fontId="9" type="noConversion"/>
  </si>
  <si>
    <t>650</t>
    <phoneticPr fontId="9" type="noConversion"/>
  </si>
  <si>
    <t>5500</t>
    <phoneticPr fontId="9" type="noConversion"/>
  </si>
  <si>
    <t>2</t>
    <phoneticPr fontId="9" type="noConversion"/>
  </si>
  <si>
    <t>1000000</t>
    <phoneticPr fontId="9" type="noConversion"/>
  </si>
  <si>
    <t>&lt;챌린지 레이드 오브리가드&gt;</t>
    <phoneticPr fontId="9" type="noConversion"/>
  </si>
  <si>
    <t>3</t>
    <phoneticPr fontId="9" type="noConversion"/>
  </si>
  <si>
    <t>4</t>
    <phoneticPr fontId="9" type="noConversion"/>
  </si>
  <si>
    <t>7</t>
    <phoneticPr fontId="9" type="noConversion"/>
  </si>
  <si>
    <t>&lt;레이드 솔로 하드&gt;</t>
    <phoneticPr fontId="9" type="noConversion"/>
  </si>
  <si>
    <t>550</t>
    <phoneticPr fontId="9" type="noConversion"/>
  </si>
  <si>
    <t>455</t>
    <phoneticPr fontId="9" type="noConversion"/>
  </si>
  <si>
    <t>녹용</t>
    <phoneticPr fontId="9" type="noConversion"/>
  </si>
  <si>
    <t>7000</t>
    <phoneticPr fontId="9" type="noConversion"/>
  </si>
  <si>
    <t>640</t>
    <phoneticPr fontId="9" type="noConversion"/>
  </si>
  <si>
    <t>&lt;챌린지 레이드 케베른&gt;</t>
    <phoneticPr fontId="9" type="noConversion"/>
  </si>
  <si>
    <t>771</t>
  </si>
  <si>
    <t>751</t>
  </si>
  <si>
    <t>781</t>
  </si>
  <si>
    <t>761</t>
  </si>
  <si>
    <t>741</t>
  </si>
  <si>
    <t>791</t>
  </si>
  <si>
    <t>801</t>
  </si>
  <si>
    <t>811</t>
  </si>
  <si>
    <t>821</t>
  </si>
  <si>
    <t>831</t>
  </si>
  <si>
    <t>2157</t>
    <phoneticPr fontId="9" type="noConversion"/>
  </si>
  <si>
    <t>3105</t>
    <phoneticPr fontId="9" type="noConversion"/>
  </si>
  <si>
    <t>5878</t>
    <phoneticPr fontId="9" type="noConversion"/>
  </si>
  <si>
    <t>7463</t>
    <phoneticPr fontId="9" type="noConversion"/>
  </si>
  <si>
    <t>&lt;챌린지 레이드 시스라엘&gt;</t>
    <phoneticPr fontId="9" type="noConversion"/>
  </si>
  <si>
    <t>1</t>
    <phoneticPr fontId="9" type="noConversion"/>
  </si>
  <si>
    <t>&lt;지하미궁 전사&gt;</t>
    <phoneticPr fontId="9" type="noConversion"/>
  </si>
  <si>
    <t>750</t>
    <phoneticPr fontId="9" type="noConversion"/>
  </si>
  <si>
    <t>&lt;지하미궁 기사&gt;</t>
    <phoneticPr fontId="9" type="noConversion"/>
  </si>
  <si>
    <t>&lt;지하미궁 암살자&gt;</t>
    <phoneticPr fontId="9" type="noConversion"/>
  </si>
  <si>
    <t>&lt;지하미궁 기계공&gt;</t>
    <phoneticPr fontId="9" type="noConversion"/>
  </si>
  <si>
    <t>&lt;지하미궁 궁수&gt;</t>
    <phoneticPr fontId="9" type="noConversion"/>
  </si>
  <si>
    <t>&lt;지하미궁 마법사&gt;</t>
    <phoneticPr fontId="9" type="noConversion"/>
  </si>
  <si>
    <t>&lt;지하미궁 사제&gt;</t>
    <phoneticPr fontId="9" type="noConversion"/>
  </si>
  <si>
    <t>350</t>
    <phoneticPr fontId="9" type="noConversion"/>
  </si>
  <si>
    <t>포이즌 웜</t>
    <phoneticPr fontId="9" type="noConversion"/>
  </si>
  <si>
    <t>11000</t>
    <phoneticPr fontId="9" type="noConversion"/>
  </si>
  <si>
    <t>슬라임</t>
    <phoneticPr fontId="9" type="noConversion"/>
  </si>
  <si>
    <t>690</t>
    <phoneticPr fontId="9" type="noConversion"/>
  </si>
  <si>
    <t>740</t>
    <phoneticPr fontId="9" type="noConversion"/>
  </si>
  <si>
    <t>705</t>
    <phoneticPr fontId="9" type="noConversion"/>
  </si>
  <si>
    <t>230</t>
    <phoneticPr fontId="9" type="noConversion"/>
  </si>
  <si>
    <t>240</t>
    <phoneticPr fontId="9" type="noConversion"/>
  </si>
  <si>
    <t>10000</t>
    <phoneticPr fontId="9" type="noConversion"/>
  </si>
  <si>
    <t>800</t>
    <phoneticPr fontId="9" type="noConversion"/>
  </si>
  <si>
    <t>47000</t>
    <phoneticPr fontId="9" type="noConversion"/>
  </si>
  <si>
    <t>850</t>
    <phoneticPr fontId="9" type="noConversion"/>
  </si>
  <si>
    <t>860</t>
    <phoneticPr fontId="9" type="noConversion"/>
  </si>
  <si>
    <t>워트롤</t>
    <phoneticPr fontId="9" type="noConversion"/>
  </si>
  <si>
    <t>925</t>
    <phoneticPr fontId="9" type="noConversion"/>
  </si>
  <si>
    <t>70000</t>
    <phoneticPr fontId="9" type="noConversion"/>
  </si>
  <si>
    <t>14200</t>
    <phoneticPr fontId="9" type="noConversion"/>
  </si>
  <si>
    <t>1000</t>
    <phoneticPr fontId="9" type="noConversion"/>
  </si>
  <si>
    <t>590</t>
    <phoneticPr fontId="9" type="noConversion"/>
  </si>
  <si>
    <t>700</t>
    <phoneticPr fontId="9" type="noConversion"/>
  </si>
  <si>
    <t>83</t>
    <phoneticPr fontId="9" type="noConversion"/>
  </si>
  <si>
    <t>450</t>
    <phoneticPr fontId="9" type="noConversion"/>
  </si>
  <si>
    <t>160</t>
    <phoneticPr fontId="9" type="noConversion"/>
  </si>
  <si>
    <t>510</t>
    <phoneticPr fontId="9" type="noConversion"/>
  </si>
  <si>
    <t>130</t>
    <phoneticPr fontId="9" type="noConversion"/>
  </si>
  <si>
    <t>&lt;챌린지 레이드 사트리아&gt;</t>
    <phoneticPr fontId="9" type="noConversion"/>
  </si>
  <si>
    <t>&lt;서브스토리 비스카&gt;</t>
    <phoneticPr fontId="9" type="noConversion"/>
  </si>
  <si>
    <t>22000</t>
    <phoneticPr fontId="9" type="noConversion"/>
  </si>
  <si>
    <t>6300</t>
    <phoneticPr fontId="9" type="noConversion"/>
  </si>
  <si>
    <t>도전 노드 1웨이브 소환</t>
    <phoneticPr fontId="9" type="noConversion"/>
  </si>
  <si>
    <t>도전 노드 1웨이브 보스</t>
    <phoneticPr fontId="9" type="noConversion"/>
  </si>
  <si>
    <t>서브스토리 도전</t>
    <phoneticPr fontId="9" type="noConversion"/>
  </si>
  <si>
    <t>서브스토리 도전 제인</t>
    <phoneticPr fontId="9" type="noConversion"/>
  </si>
  <si>
    <t>서브스토리 도전 에피스</t>
    <phoneticPr fontId="9" type="noConversion"/>
  </si>
  <si>
    <t>1800</t>
    <phoneticPr fontId="9" type="noConversion"/>
  </si>
  <si>
    <t>320</t>
    <phoneticPr fontId="9" type="noConversion"/>
  </si>
  <si>
    <t>길드 토벌전</t>
    <phoneticPr fontId="9" type="noConversion"/>
  </si>
  <si>
    <t>Hell</t>
    <phoneticPr fontId="9" type="noConversion"/>
  </si>
  <si>
    <t>&lt;8챕터-쉬움&gt;</t>
    <phoneticPr fontId="9" type="noConversion"/>
  </si>
  <si>
    <t>&lt;8챕터-보통&gt;</t>
    <phoneticPr fontId="9" type="noConversion"/>
  </si>
  <si>
    <t>&lt;8챕터-어려움&gt;</t>
    <phoneticPr fontId="9" type="noConversion"/>
  </si>
  <si>
    <t>&lt;8챕터-지옥&gt;</t>
    <phoneticPr fontId="9" type="noConversion"/>
  </si>
  <si>
    <t>&lt;8챕터던전-어려움&gt;</t>
    <phoneticPr fontId="9" type="noConversion"/>
  </si>
  <si>
    <t>Hell</t>
    <phoneticPr fontId="9" type="noConversion"/>
  </si>
  <si>
    <t>80</t>
    <phoneticPr fontId="9" type="noConversion"/>
  </si>
  <si>
    <t>&lt;서브스토리 테오&gt;</t>
    <phoneticPr fontId="9" type="noConversion"/>
  </si>
  <si>
    <t>&lt;서브스토리 프리실라&gt;</t>
    <phoneticPr fontId="9" type="noConversion"/>
  </si>
  <si>
    <t>데미클라</t>
    <phoneticPr fontId="9" type="noConversion"/>
  </si>
  <si>
    <t>900</t>
    <phoneticPr fontId="9" type="noConversion"/>
  </si>
  <si>
    <t>데미클라웃는가면단</t>
    <phoneticPr fontId="9" type="noConversion"/>
  </si>
  <si>
    <t>아이샤</t>
    <phoneticPr fontId="9" type="noConversion"/>
  </si>
  <si>
    <t>2000</t>
    <phoneticPr fontId="9" type="noConversion"/>
  </si>
  <si>
    <t>1200</t>
    <phoneticPr fontId="9" type="noConversion"/>
  </si>
  <si>
    <t>3노드 북치기 소환</t>
    <phoneticPr fontId="9" type="noConversion"/>
  </si>
  <si>
    <t>3노드 소환</t>
    <phoneticPr fontId="9" type="noConversion"/>
  </si>
  <si>
    <t>3100</t>
    <phoneticPr fontId="9" type="noConversion"/>
  </si>
  <si>
    <t>2600</t>
    <phoneticPr fontId="9" type="noConversion"/>
  </si>
  <si>
    <t>480</t>
    <phoneticPr fontId="9" type="noConversion"/>
  </si>
  <si>
    <t>만티코어</t>
    <phoneticPr fontId="9" type="noConversion"/>
  </si>
  <si>
    <t>&lt;챌린지 레이드 오브리가드&gt;</t>
    <phoneticPr fontId="9" type="noConversion"/>
  </si>
  <si>
    <t>쫄몹  하드</t>
    <phoneticPr fontId="9" type="noConversion"/>
  </si>
  <si>
    <t>쫄몹 노말</t>
    <phoneticPr fontId="9" type="noConversion"/>
  </si>
  <si>
    <t>쫄몹 이지</t>
    <phoneticPr fontId="9" type="noConversion"/>
  </si>
  <si>
    <t>하드 보스</t>
    <phoneticPr fontId="9" type="noConversion"/>
  </si>
  <si>
    <t>&lt;챌린지 레이드 시스라엘 솔로&gt;</t>
    <phoneticPr fontId="9" type="noConversion"/>
  </si>
  <si>
    <t>&lt;서브스토리 디마엘&gt;</t>
    <phoneticPr fontId="9" type="noConversion"/>
  </si>
  <si>
    <t>300</t>
    <phoneticPr fontId="9" type="noConversion"/>
  </si>
  <si>
    <t>헬타니오스</t>
    <phoneticPr fontId="9" type="noConversion"/>
  </si>
  <si>
    <t>400</t>
    <phoneticPr fontId="9" type="noConversion"/>
  </si>
  <si>
    <t>100000</t>
    <phoneticPr fontId="9" type="noConversion"/>
  </si>
  <si>
    <t>보스</t>
    <phoneticPr fontId="9" type="noConversion"/>
  </si>
  <si>
    <t>노말 보스</t>
    <phoneticPr fontId="9" type="noConversion"/>
  </si>
  <si>
    <t>하드 보스</t>
    <phoneticPr fontId="9" type="noConversion"/>
  </si>
  <si>
    <t>헬 보스</t>
    <phoneticPr fontId="9" type="noConversion"/>
  </si>
  <si>
    <t>2018 여름</t>
    <phoneticPr fontId="9" type="noConversion"/>
  </si>
  <si>
    <t>Normal</t>
    <phoneticPr fontId="9" type="noConversion"/>
  </si>
  <si>
    <t>Hard</t>
    <phoneticPr fontId="9" type="noConversion"/>
  </si>
  <si>
    <t>Hell</t>
    <phoneticPr fontId="9" type="noConversion"/>
  </si>
  <si>
    <t>2챕 하드 - 30레벨</t>
    <phoneticPr fontId="9" type="noConversion"/>
  </si>
  <si>
    <t>4챕 하드 - 50레벨</t>
    <phoneticPr fontId="9" type="noConversion"/>
  </si>
  <si>
    <t>6챕 하드 - 70레벨</t>
    <phoneticPr fontId="9" type="noConversion"/>
  </si>
  <si>
    <t>7챕 헬 - 80레벨</t>
    <phoneticPr fontId="9" type="noConversion"/>
  </si>
  <si>
    <t>55786</t>
    <phoneticPr fontId="9" type="noConversion"/>
  </si>
  <si>
    <t>900</t>
    <phoneticPr fontId="9" type="noConversion"/>
  </si>
  <si>
    <t>서브스토리 도전 몹</t>
    <phoneticPr fontId="9" type="noConversion"/>
  </si>
  <si>
    <t>서브스토리 도전 몹 토템</t>
    <phoneticPr fontId="9" type="noConversion"/>
  </si>
  <si>
    <t>특별 토템 9노드</t>
    <phoneticPr fontId="9" type="noConversion"/>
  </si>
  <si>
    <t>토템 9노드</t>
    <phoneticPr fontId="9" type="noConversion"/>
  </si>
  <si>
    <t>65000</t>
    <phoneticPr fontId="9" type="noConversion"/>
  </si>
  <si>
    <t>280</t>
    <phoneticPr fontId="9" type="noConversion"/>
  </si>
  <si>
    <t>80000</t>
    <phoneticPr fontId="9" type="noConversion"/>
  </si>
  <si>
    <t>100</t>
    <phoneticPr fontId="9" type="noConversion"/>
  </si>
  <si>
    <t>1노드 보스</t>
    <phoneticPr fontId="9" type="noConversion"/>
  </si>
  <si>
    <t>210</t>
    <phoneticPr fontId="9" type="noConversion"/>
  </si>
  <si>
    <t>1노드 일반몹</t>
    <phoneticPr fontId="9" type="noConversion"/>
  </si>
  <si>
    <t>500</t>
    <phoneticPr fontId="9" type="noConversion"/>
  </si>
  <si>
    <t>보물창고</t>
    <phoneticPr fontId="9" type="noConversion"/>
  </si>
  <si>
    <t>300</t>
    <phoneticPr fontId="9" type="noConversion"/>
  </si>
  <si>
    <t>1500</t>
    <phoneticPr fontId="9" type="noConversion"/>
  </si>
  <si>
    <t>&lt;챌린지 레이드 가로우 솔로&gt;</t>
    <phoneticPr fontId="9" type="noConversion"/>
  </si>
  <si>
    <t>68층 만티코어</t>
    <phoneticPr fontId="9" type="noConversion"/>
  </si>
  <si>
    <t>69층 석상</t>
    <phoneticPr fontId="9" type="noConversion"/>
  </si>
  <si>
    <t>66층 골렘</t>
    <phoneticPr fontId="9" type="noConversion"/>
  </si>
  <si>
    <t>74층 라바</t>
    <phoneticPr fontId="9" type="noConversion"/>
  </si>
  <si>
    <t>73층 하피</t>
    <phoneticPr fontId="9" type="noConversion"/>
  </si>
  <si>
    <t>72층 가우</t>
    <phoneticPr fontId="9" type="noConversion"/>
  </si>
  <si>
    <t>75층 인피라</t>
    <phoneticPr fontId="9" type="noConversion"/>
  </si>
  <si>
    <t>67층 보스</t>
    <phoneticPr fontId="9" type="noConversion"/>
  </si>
  <si>
    <t>67층 소환</t>
    <phoneticPr fontId="9" type="noConversion"/>
  </si>
  <si>
    <t>760</t>
    <phoneticPr fontId="9" type="noConversion"/>
  </si>
  <si>
    <t>670</t>
    <phoneticPr fontId="9" type="noConversion"/>
  </si>
  <si>
    <t>50</t>
    <phoneticPr fontId="9" type="noConversion"/>
  </si>
  <si>
    <t>210000</t>
    <phoneticPr fontId="9" type="noConversion"/>
  </si>
  <si>
    <t>220000</t>
    <phoneticPr fontId="9" type="noConversion"/>
  </si>
  <si>
    <t>120000</t>
    <phoneticPr fontId="9" type="noConversion"/>
  </si>
  <si>
    <t>46</t>
    <phoneticPr fontId="9" type="noConversion"/>
  </si>
  <si>
    <t>47</t>
    <phoneticPr fontId="9" type="noConversion"/>
  </si>
  <si>
    <t>48</t>
    <phoneticPr fontId="9" type="noConversion"/>
  </si>
  <si>
    <t>49</t>
    <phoneticPr fontId="9" type="noConversion"/>
  </si>
  <si>
    <t>660</t>
    <phoneticPr fontId="9" type="noConversion"/>
  </si>
  <si>
    <t>205000</t>
    <phoneticPr fontId="9" type="noConversion"/>
  </si>
  <si>
    <t>215000</t>
    <phoneticPr fontId="9" type="noConversion"/>
  </si>
  <si>
    <t>140000</t>
    <phoneticPr fontId="9" type="noConversion"/>
  </si>
  <si>
    <t>560</t>
    <phoneticPr fontId="9" type="noConversion"/>
  </si>
  <si>
    <t>520</t>
    <phoneticPr fontId="9" type="noConversion"/>
  </si>
  <si>
    <t>71층 똥개</t>
    <phoneticPr fontId="9" type="noConversion"/>
  </si>
  <si>
    <t>870</t>
    <phoneticPr fontId="9" type="noConversion"/>
  </si>
  <si>
    <t>130000</t>
    <phoneticPr fontId="9" type="noConversion"/>
  </si>
  <si>
    <t>570</t>
    <phoneticPr fontId="9" type="noConversion"/>
  </si>
  <si>
    <t>74층 라바 소환</t>
    <phoneticPr fontId="9" type="noConversion"/>
  </si>
  <si>
    <t>&lt;서브스토리 레피&gt;</t>
    <phoneticPr fontId="9" type="noConversion"/>
  </si>
  <si>
    <t>18000</t>
    <phoneticPr fontId="9" type="noConversion"/>
  </si>
  <si>
    <t>2100</t>
    <phoneticPr fontId="9" type="noConversion"/>
  </si>
  <si>
    <t>16000</t>
    <phoneticPr fontId="9" type="noConversion"/>
  </si>
  <si>
    <t>2200</t>
    <phoneticPr fontId="9" type="noConversion"/>
  </si>
  <si>
    <t>모든 노드 몹</t>
    <phoneticPr fontId="9" type="noConversion"/>
  </si>
  <si>
    <t>영웅</t>
    <phoneticPr fontId="9" type="noConversion"/>
  </si>
  <si>
    <t>막 웨이브</t>
    <phoneticPr fontId="9" type="noConversion"/>
  </si>
  <si>
    <t>3000</t>
    <phoneticPr fontId="9" type="noConversion"/>
  </si>
  <si>
    <t>제인 스펙</t>
    <phoneticPr fontId="9" type="noConversion"/>
  </si>
  <si>
    <t>서브스토리 플라플라</t>
    <phoneticPr fontId="9" type="noConversion"/>
  </si>
  <si>
    <t>270</t>
    <phoneticPr fontId="9" type="noConversion"/>
  </si>
  <si>
    <t>레피 보스</t>
    <phoneticPr fontId="9" type="noConversion"/>
  </si>
  <si>
    <t>19000</t>
    <phoneticPr fontId="9" type="noConversion"/>
  </si>
  <si>
    <t>470</t>
    <phoneticPr fontId="9" type="noConversion"/>
  </si>
  <si>
    <t>&lt;챌린지 레이드 토르페 솔로&gt;</t>
    <phoneticPr fontId="9" type="noConversion"/>
  </si>
  <si>
    <t>748</t>
    <phoneticPr fontId="9" type="noConversion"/>
  </si>
  <si>
    <t>748</t>
    <phoneticPr fontId="9" type="noConversion"/>
  </si>
  <si>
    <t>714</t>
    <phoneticPr fontId="9" type="noConversion"/>
  </si>
  <si>
    <t>595</t>
    <phoneticPr fontId="9" type="noConversion"/>
  </si>
  <si>
    <t>527</t>
    <phoneticPr fontId="9" type="noConversion"/>
  </si>
  <si>
    <t>748</t>
    <phoneticPr fontId="9" type="noConversion"/>
  </si>
  <si>
    <t>595</t>
    <phoneticPr fontId="9" type="noConversion"/>
  </si>
  <si>
    <t>714</t>
    <phoneticPr fontId="9" type="noConversion"/>
  </si>
  <si>
    <t>527</t>
    <phoneticPr fontId="9" type="noConversion"/>
  </si>
  <si>
    <t>748</t>
    <phoneticPr fontId="9" type="noConversion"/>
  </si>
  <si>
    <t>527</t>
    <phoneticPr fontId="9" type="noConversion"/>
  </si>
  <si>
    <t>595</t>
    <phoneticPr fontId="9" type="noConversion"/>
  </si>
  <si>
    <t>748</t>
    <phoneticPr fontId="9" type="noConversion"/>
  </si>
  <si>
    <t>527</t>
    <phoneticPr fontId="9" type="noConversion"/>
  </si>
  <si>
    <t>748</t>
    <phoneticPr fontId="9" type="noConversion"/>
  </si>
  <si>
    <t>714</t>
    <phoneticPr fontId="9" type="noConversion"/>
  </si>
  <si>
    <t>714</t>
    <phoneticPr fontId="9" type="noConversion"/>
  </si>
  <si>
    <t>595</t>
    <phoneticPr fontId="9" type="noConversion"/>
  </si>
  <si>
    <t>150</t>
    <phoneticPr fontId="9" type="noConversion"/>
  </si>
  <si>
    <t>150</t>
    <phoneticPr fontId="9" type="noConversion"/>
  </si>
  <si>
    <t>1</t>
    <phoneticPr fontId="9" type="noConversion"/>
  </si>
  <si>
    <t>150</t>
    <phoneticPr fontId="9" type="noConversion"/>
  </si>
  <si>
    <t>&lt;길드 레이드 헬&gt;</t>
    <phoneticPr fontId="9" type="noConversion"/>
  </si>
  <si>
    <t>2018 할로윈</t>
    <phoneticPr fontId="9" type="noConversion"/>
  </si>
  <si>
    <t>&lt;Test챕터&gt;</t>
    <phoneticPr fontId="9" type="noConversion"/>
  </si>
  <si>
    <t>8챕 하드 - 90레벨</t>
    <phoneticPr fontId="9" type="noConversion"/>
  </si>
  <si>
    <t>7챕 노말 - 80레벨</t>
    <phoneticPr fontId="9" type="noConversion"/>
  </si>
  <si>
    <t>5챕 노말 - 60레벨</t>
    <phoneticPr fontId="9" type="noConversion"/>
  </si>
  <si>
    <t>3챕 노말 - 40레벨</t>
    <phoneticPr fontId="9" type="noConversion"/>
  </si>
  <si>
    <t>&lt;챌린지 레이드 가로우&gt;</t>
    <phoneticPr fontId="9" type="noConversion"/>
  </si>
  <si>
    <t>16000</t>
  </si>
  <si>
    <t>2200</t>
  </si>
  <si>
    <t>모든 노드 몹</t>
  </si>
  <si>
    <t>영웅</t>
  </si>
  <si>
    <t>22000</t>
  </si>
  <si>
    <t>740</t>
  </si>
  <si>
    <t>막 웨이브</t>
  </si>
  <si>
    <t>3000</t>
  </si>
  <si>
    <t>700</t>
  </si>
  <si>
    <t>&lt;서브스토리 크로우&gt;</t>
    <phoneticPr fontId="9" type="noConversion"/>
  </si>
  <si>
    <t>999</t>
    <phoneticPr fontId="9" type="noConversion"/>
  </si>
  <si>
    <t>Easy</t>
    <phoneticPr fontId="9" type="noConversion"/>
  </si>
  <si>
    <t>4</t>
    <phoneticPr fontId="9" type="noConversion"/>
  </si>
  <si>
    <t>보스체력많음</t>
    <phoneticPr fontId="9" type="noConversion"/>
  </si>
  <si>
    <t>18000</t>
    <phoneticPr fontId="9" type="noConversion"/>
  </si>
  <si>
    <t>카산플루스 적</t>
    <phoneticPr fontId="9" type="noConversion"/>
  </si>
  <si>
    <t>카산플루스 보스</t>
    <phoneticPr fontId="9" type="noConversion"/>
  </si>
  <si>
    <t>4500</t>
    <phoneticPr fontId="9" type="noConversion"/>
  </si>
  <si>
    <t>2500</t>
    <phoneticPr fontId="9" type="noConversion"/>
  </si>
  <si>
    <t>38000</t>
    <phoneticPr fontId="9" type="noConversion"/>
  </si>
  <si>
    <t>2800</t>
    <phoneticPr fontId="9" type="noConversion"/>
  </si>
  <si>
    <t>1노드 웨이브</t>
    <phoneticPr fontId="9" type="noConversion"/>
  </si>
  <si>
    <t>7노드 웨이브</t>
    <phoneticPr fontId="9" type="noConversion"/>
  </si>
  <si>
    <t>13000</t>
    <phoneticPr fontId="9" type="noConversion"/>
  </si>
  <si>
    <t>미트라난입</t>
    <phoneticPr fontId="9" type="noConversion"/>
  </si>
  <si>
    <t>미트라난입2</t>
    <phoneticPr fontId="9" type="noConversion"/>
  </si>
  <si>
    <t>1500</t>
    <phoneticPr fontId="9" type="noConversion"/>
  </si>
  <si>
    <t>20000</t>
    <phoneticPr fontId="9" type="noConversion"/>
  </si>
  <si>
    <t>막 웨이브 4dnpq</t>
    <phoneticPr fontId="9" type="noConversion"/>
  </si>
  <si>
    <t>230000</t>
    <phoneticPr fontId="9" type="noConversion"/>
  </si>
  <si>
    <t>170</t>
    <phoneticPr fontId="9" type="noConversion"/>
  </si>
  <si>
    <t>&lt;챌린지 레이드 토르페&gt;</t>
    <phoneticPr fontId="9" type="noConversion"/>
  </si>
  <si>
    <t>토르페 하드</t>
    <phoneticPr fontId="9" type="noConversion"/>
  </si>
  <si>
    <t>토르페 헬</t>
    <phoneticPr fontId="9" type="noConversion"/>
  </si>
  <si>
    <t>2018  크리스마스</t>
    <phoneticPr fontId="9" type="noConversion"/>
  </si>
  <si>
    <t>미르르 노말</t>
    <phoneticPr fontId="9" type="noConversion"/>
  </si>
  <si>
    <t>미르르 이지</t>
    <phoneticPr fontId="9" type="noConversion"/>
  </si>
  <si>
    <t>5600</t>
    <phoneticPr fontId="9" type="noConversion"/>
  </si>
  <si>
    <t>2018 크리스마스 2차</t>
    <phoneticPr fontId="9" type="noConversion"/>
  </si>
  <si>
    <t>700</t>
    <phoneticPr fontId="9" type="noConversion"/>
  </si>
  <si>
    <t>700</t>
    <phoneticPr fontId="9" type="noConversion"/>
  </si>
  <si>
    <t>700</t>
    <phoneticPr fontId="9" type="noConversion"/>
  </si>
  <si>
    <t>693</t>
    <phoneticPr fontId="9" type="noConversion"/>
  </si>
  <si>
    <t>577</t>
    <phoneticPr fontId="9" type="noConversion"/>
  </si>
  <si>
    <t>533</t>
    <phoneticPr fontId="9" type="noConversion"/>
  </si>
  <si>
    <t>1700</t>
    <phoneticPr fontId="9" type="noConversion"/>
  </si>
  <si>
    <t>580</t>
    <phoneticPr fontId="9" type="noConversion"/>
  </si>
  <si>
    <t>&lt;일반 레이드 - 화염 드래곤&gt;</t>
    <phoneticPr fontId="9" type="noConversion"/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</si>
  <si>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</si>
  <si>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</si>
  <si>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</si>
  <si>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</si>
  <si>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</si>
  <si>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</si>
  <si>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</si>
  <si>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</si>
  <si>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</si>
  <si>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</si>
  <si>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</si>
  <si>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</si>
  <si>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</si>
  <si>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</si>
  <si>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</si>
  <si>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</si>
  <si>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</si>
  <si>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</si>
  <si>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</si>
  <si>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</si>
  <si>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</si>
  <si>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</si>
  <si>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</si>
  <si>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</si>
  <si>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</si>
  <si>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</si>
  <si>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</si>
  <si>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</si>
  <si>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</si>
  <si>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</si>
  <si>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</si>
  <si>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</si>
  <si>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</si>
  <si>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</si>
  <si>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</si>
  <si>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</si>
  <si>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</si>
  <si>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</si>
  <si>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</si>
  <si>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</si>
  <si>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</si>
  <si>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</si>
  <si>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</si>
  <si>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</si>
  <si>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</si>
  <si>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</si>
  <si>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</si>
  <si>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</si>
  <si>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</si>
  <si>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</si>
  <si>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</si>
  <si>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</si>
  <si>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</si>
  <si>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</si>
  <si>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</si>
  <si>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</si>
  <si>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</si>
  <si>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</si>
  <si>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</si>
  <si>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</si>
  <si>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</si>
  <si>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</si>
  <si>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</si>
  <si>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</si>
  <si>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</si>
  <si>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</si>
  <si>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</si>
  <si>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</si>
  <si>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</si>
  <si>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</si>
  <si>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</si>
  <si>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</si>
  <si>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</si>
  <si>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</si>
  <si>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</si>
  <si>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</si>
  <si>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</si>
  <si>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</si>
  <si>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</si>
  <si>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</si>
  <si>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</si>
  <si>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</si>
  <si>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</si>
  <si>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</si>
  <si>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</si>
  <si>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</si>
  <si>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</si>
  <si>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&lt;일반 레이드 - 서리 드래곤&gt;</t>
    <phoneticPr fontId="9" type="noConversion"/>
  </si>
  <si>
    <t>&lt;일반 레이드 - 맹독 드래곤&gt;</t>
    <phoneticPr fontId="9" type="noConversion"/>
  </si>
  <si>
    <t>&lt;일반 레이드 - 블랙 드래곤&gt;</t>
    <phoneticPr fontId="9" type="noConversion"/>
  </si>
  <si>
    <t>&lt;레이드 하드&gt;</t>
    <phoneticPr fontId="9" type="noConversion"/>
  </si>
  <si>
    <t>620</t>
    <phoneticPr fontId="9" type="noConversion"/>
  </si>
  <si>
    <t>460</t>
    <phoneticPr fontId="9" type="noConversion"/>
  </si>
  <si>
    <t>&lt;서브스토리 9챕터&gt;</t>
    <phoneticPr fontId="9" type="noConversion"/>
  </si>
  <si>
    <t>에제테오</t>
    <phoneticPr fontId="9" type="noConversion"/>
  </si>
  <si>
    <t>영웅판시로네</t>
    <phoneticPr fontId="9" type="noConversion"/>
  </si>
  <si>
    <t>&lt;9챕터-쉬움&gt;</t>
    <phoneticPr fontId="9" type="noConversion"/>
  </si>
  <si>
    <t>&lt;9챕터-상급던전&gt;</t>
    <phoneticPr fontId="9" type="noConversion"/>
  </si>
  <si>
    <t>&lt;9챕터-노말&gt;</t>
    <phoneticPr fontId="9" type="noConversion"/>
  </si>
  <si>
    <t>&lt;9챕터-하드&gt;</t>
    <phoneticPr fontId="9" type="noConversion"/>
  </si>
  <si>
    <t>&lt;9챕터-헬&gt;</t>
    <phoneticPr fontId="9" type="noConversion"/>
  </si>
  <si>
    <t>Normal</t>
    <phoneticPr fontId="9" type="noConversion"/>
  </si>
  <si>
    <t>748</t>
    <phoneticPr fontId="9" type="noConversion"/>
  </si>
  <si>
    <t>714</t>
    <phoneticPr fontId="9" type="noConversion"/>
  </si>
  <si>
    <t>527</t>
    <phoneticPr fontId="9" type="noConversion"/>
  </si>
  <si>
    <t>460</t>
    <phoneticPr fontId="9" type="noConversion"/>
  </si>
  <si>
    <t>430</t>
    <phoneticPr fontId="9" type="noConversion"/>
  </si>
  <si>
    <t>490</t>
    <phoneticPr fontId="9" type="noConversion"/>
  </si>
  <si>
    <t>415</t>
    <phoneticPr fontId="9" type="noConversion"/>
  </si>
  <si>
    <t>Hard</t>
    <phoneticPr fontId="9" type="noConversion"/>
  </si>
  <si>
    <t>Hell</t>
    <phoneticPr fontId="9" type="noConversion"/>
  </si>
  <si>
    <t>루시테오-테오</t>
    <phoneticPr fontId="9" type="noConversion"/>
  </si>
  <si>
    <t>보닥카 10프로 더쎔</t>
    <phoneticPr fontId="9" type="noConversion"/>
  </si>
  <si>
    <t>580</t>
    <phoneticPr fontId="9" type="noConversion"/>
  </si>
  <si>
    <t>9.5카일</t>
    <phoneticPr fontId="9" type="noConversion"/>
  </si>
  <si>
    <t>루시테오-루시</t>
    <phoneticPr fontId="9" type="noConversion"/>
  </si>
  <si>
    <t>2019  신학기 이벤트</t>
    <phoneticPr fontId="9" type="noConversion"/>
  </si>
  <si>
    <t>이지 보스</t>
    <phoneticPr fontId="9" type="noConversion"/>
  </si>
  <si>
    <t>이지 웨이브 몬스터</t>
    <phoneticPr fontId="9" type="noConversion"/>
  </si>
  <si>
    <t>노말 웨이브 몬스터</t>
    <phoneticPr fontId="9" type="noConversion"/>
  </si>
  <si>
    <t>노말 보스</t>
    <phoneticPr fontId="9" type="noConversion"/>
  </si>
  <si>
    <t>하드 웨이브 몬스터</t>
    <phoneticPr fontId="9" type="noConversion"/>
  </si>
  <si>
    <t>하드 보스</t>
    <phoneticPr fontId="9" type="noConversion"/>
  </si>
  <si>
    <t>헬 웨이브 몬스터</t>
    <phoneticPr fontId="9" type="noConversion"/>
  </si>
  <si>
    <t>헬 보스</t>
    <phoneticPr fontId="9" type="noConversion"/>
  </si>
  <si>
    <t>205</t>
    <phoneticPr fontId="9" type="noConversion"/>
  </si>
  <si>
    <t>&lt;서브스토리 9.5&gt;</t>
    <phoneticPr fontId="9" type="noConversion"/>
  </si>
  <si>
    <t>리카르도</t>
    <phoneticPr fontId="9" type="noConversion"/>
  </si>
  <si>
    <t>25000</t>
    <phoneticPr fontId="9" type="noConversion"/>
  </si>
  <si>
    <t>9.5</t>
    <phoneticPr fontId="9" type="noConversion"/>
  </si>
  <si>
    <t>카셀프레이</t>
    <phoneticPr fontId="9" type="noConversion"/>
  </si>
  <si>
    <t>클라우스 방어</t>
    <phoneticPr fontId="9" type="noConversion"/>
  </si>
  <si>
    <t>카셀프레이클라우스노드</t>
    <phoneticPr fontId="9" type="noConversion"/>
  </si>
  <si>
    <t>12000</t>
    <phoneticPr fontId="9" type="noConversion"/>
  </si>
  <si>
    <t xml:space="preserve">카셀 하드 </t>
    <phoneticPr fontId="9" type="noConversion"/>
  </si>
  <si>
    <t>236</t>
    <phoneticPr fontId="9" type="noConversion"/>
  </si>
  <si>
    <t>2019  나들이 이벤트</t>
    <phoneticPr fontId="9" type="noConversion"/>
  </si>
  <si>
    <t>800000</t>
    <phoneticPr fontId="9" type="noConversion"/>
  </si>
  <si>
    <t>&lt;갓킹 이벤트 던전&gt;</t>
    <phoneticPr fontId="9" type="noConversion"/>
  </si>
  <si>
    <t>갓킹 영웅 스탯</t>
    <phoneticPr fontId="9" type="noConversion"/>
  </si>
  <si>
    <t>380</t>
    <phoneticPr fontId="9" type="noConversion"/>
  </si>
  <si>
    <t>미믹 체력</t>
    <phoneticPr fontId="9" type="noConversion"/>
  </si>
  <si>
    <t>75000</t>
    <phoneticPr fontId="9" type="noConversion"/>
  </si>
  <si>
    <t>9000</t>
    <phoneticPr fontId="9" type="noConversion"/>
  </si>
  <si>
    <t>헬 영웅스탯</t>
    <phoneticPr fontId="9" type="noConversion"/>
  </si>
  <si>
    <t>160000</t>
    <phoneticPr fontId="9" type="noConversion"/>
  </si>
  <si>
    <t>&lt;챌린지 레이드 칼락스&gt;</t>
    <phoneticPr fontId="9" type="noConversion"/>
  </si>
  <si>
    <t>칼락스 하드</t>
    <phoneticPr fontId="9" type="noConversion"/>
  </si>
  <si>
    <t>칼락스 헬</t>
    <phoneticPr fontId="9" type="noConversion"/>
  </si>
  <si>
    <t>710</t>
    <phoneticPr fontId="9" type="noConversion"/>
  </si>
  <si>
    <t>1300</t>
    <phoneticPr fontId="9" type="noConversion"/>
  </si>
  <si>
    <t>7700</t>
    <phoneticPr fontId="9" type="noConversion"/>
  </si>
  <si>
    <t>12800</t>
    <phoneticPr fontId="9" type="noConversion"/>
  </si>
  <si>
    <t>11794</t>
    <phoneticPr fontId="9" type="noConversion"/>
  </si>
  <si>
    <t>16875</t>
    <phoneticPr fontId="9" type="noConversion"/>
  </si>
  <si>
    <t>21274</t>
    <phoneticPr fontId="9" type="noConversion"/>
  </si>
  <si>
    <t>545</t>
    <phoneticPr fontId="9" type="noConversion"/>
  </si>
  <si>
    <t>솔로용</t>
    <phoneticPr fontId="9" type="noConversion"/>
  </si>
  <si>
    <t>&lt;시련의 관문&gt;</t>
    <phoneticPr fontId="9" type="noConversion"/>
  </si>
  <si>
    <t>120</t>
    <phoneticPr fontId="9" type="noConversion"/>
  </si>
  <si>
    <t>지하미궁 5층</t>
    <phoneticPr fontId="9" type="noConversion"/>
  </si>
  <si>
    <t>암살자 미궁 5층</t>
    <phoneticPr fontId="9" type="noConversion"/>
  </si>
  <si>
    <t>1노드</t>
    <phoneticPr fontId="9" type="noConversion"/>
  </si>
  <si>
    <t>2노드</t>
    <phoneticPr fontId="9" type="noConversion"/>
  </si>
  <si>
    <t>3노드</t>
    <phoneticPr fontId="9" type="noConversion"/>
  </si>
  <si>
    <t>4노드</t>
    <phoneticPr fontId="9" type="noConversion"/>
  </si>
  <si>
    <t>5노드</t>
    <phoneticPr fontId="9" type="noConversion"/>
  </si>
  <si>
    <t>1노드 적</t>
    <phoneticPr fontId="9" type="noConversion"/>
  </si>
  <si>
    <t>2노드 적</t>
    <phoneticPr fontId="9" type="noConversion"/>
  </si>
  <si>
    <t>3노드 적</t>
    <phoneticPr fontId="9" type="noConversion"/>
  </si>
  <si>
    <t>4노드 적</t>
    <phoneticPr fontId="9" type="noConversion"/>
  </si>
  <si>
    <t>50000</t>
    <phoneticPr fontId="9" type="noConversion"/>
  </si>
  <si>
    <t>1500</t>
    <phoneticPr fontId="9" type="noConversion"/>
  </si>
  <si>
    <t>1500</t>
    <phoneticPr fontId="9" type="noConversion"/>
  </si>
  <si>
    <t>1000</t>
    <phoneticPr fontId="9" type="noConversion"/>
  </si>
  <si>
    <t>5노드키르제</t>
    <phoneticPr fontId="9" type="noConversion"/>
  </si>
  <si>
    <t>&lt;2019 여름 이벤트 던전&gt;</t>
    <phoneticPr fontId="9" type="noConversion"/>
  </si>
  <si>
    <t>여름 영웅 스탯</t>
    <phoneticPr fontId="9" type="noConversion"/>
  </si>
  <si>
    <t>토터스</t>
    <phoneticPr fontId="9" type="noConversion"/>
  </si>
  <si>
    <t>보두앵</t>
    <phoneticPr fontId="9" type="noConversion"/>
  </si>
  <si>
    <t>가우</t>
    <phoneticPr fontId="9" type="noConversion"/>
  </si>
  <si>
    <t>헥시폴리아(에스커)</t>
    <phoneticPr fontId="9" type="noConversion"/>
  </si>
  <si>
    <t>83000</t>
    <phoneticPr fontId="9" type="noConversion"/>
  </si>
  <si>
    <t>38000</t>
    <phoneticPr fontId="9" type="noConversion"/>
  </si>
  <si>
    <t>76층 판시로네</t>
    <phoneticPr fontId="9" type="noConversion"/>
  </si>
  <si>
    <t>76층 미트라</t>
    <phoneticPr fontId="9" type="noConversion"/>
  </si>
  <si>
    <t>76층 크로우</t>
    <phoneticPr fontId="9" type="noConversion"/>
  </si>
  <si>
    <t>77층 용암석</t>
    <phoneticPr fontId="9" type="noConversion"/>
  </si>
  <si>
    <t>78층 미리안느 어둠</t>
    <phoneticPr fontId="9" type="noConversion"/>
  </si>
  <si>
    <t>78층 미리안느 빛</t>
    <phoneticPr fontId="9" type="noConversion"/>
  </si>
  <si>
    <t xml:space="preserve">79층 방패병 </t>
    <phoneticPr fontId="9" type="noConversion"/>
  </si>
  <si>
    <t>80층 루시키엘</t>
    <phoneticPr fontId="9" type="noConversion"/>
  </si>
  <si>
    <t>리자드맨 장군</t>
    <phoneticPr fontId="9" type="noConversion"/>
  </si>
  <si>
    <t>골든 미믹</t>
    <phoneticPr fontId="9" type="noConversion"/>
  </si>
  <si>
    <t>680</t>
    <phoneticPr fontId="9" type="noConversion"/>
  </si>
  <si>
    <t>14000</t>
    <phoneticPr fontId="9" type="noConversion"/>
  </si>
  <si>
    <t>2019  유노의 요리 수행 이벤트</t>
    <phoneticPr fontId="9" type="noConversion"/>
  </si>
  <si>
    <t>&lt;이클립스&gt;</t>
    <phoneticPr fontId="9" type="noConversion"/>
  </si>
  <si>
    <t>이클립스 웨이브1</t>
    <phoneticPr fontId="9" type="noConversion"/>
  </si>
  <si>
    <t>이클립스 웨이브2</t>
  </si>
  <si>
    <t>이클립스 웨이브3</t>
  </si>
  <si>
    <t>이클립스 웨이브4</t>
  </si>
  <si>
    <t>이클립스 웨이브6</t>
  </si>
  <si>
    <t>이클립스 웨이브7</t>
  </si>
  <si>
    <t>이클립스 웨이브8</t>
  </si>
  <si>
    <t>이클립스 웨이브9</t>
  </si>
  <si>
    <t>이클립스 웨이브11</t>
  </si>
  <si>
    <t>이클립스 웨이브12</t>
  </si>
  <si>
    <t>이클립스 웨이브13</t>
  </si>
  <si>
    <t>이클립스 웨이브14</t>
  </si>
  <si>
    <t>이클립스 웨이브16</t>
  </si>
  <si>
    <t>이클립스 웨이브17</t>
  </si>
  <si>
    <t>이클립스 웨이브18</t>
  </si>
  <si>
    <t>이클립스 웨이브19</t>
  </si>
  <si>
    <t>이클립스 웨이브21</t>
  </si>
  <si>
    <t>이클립스 웨이브22</t>
  </si>
  <si>
    <t>이클립스 웨이브23</t>
  </si>
  <si>
    <t>이클립스 웨이브24</t>
  </si>
  <si>
    <t>이클립스 웨이브26</t>
  </si>
  <si>
    <t>이클립스 웨이브27</t>
  </si>
  <si>
    <t>이클립스 웨이브28</t>
  </si>
  <si>
    <t>이클립스 웨이브29</t>
  </si>
  <si>
    <t>이클립스 웨이브31</t>
  </si>
  <si>
    <t>이클립스 웨이브32</t>
  </si>
  <si>
    <t>이클립스 웨이브33</t>
  </si>
  <si>
    <t>이클립스 웨이브34</t>
  </si>
  <si>
    <t>이클립스 웨이브36</t>
  </si>
  <si>
    <t>이클립스 웨이브37</t>
  </si>
  <si>
    <t>이클립스 웨이브38</t>
  </si>
  <si>
    <t>이클립스 웨이브39</t>
  </si>
  <si>
    <t>카타폴립스1</t>
    <phoneticPr fontId="9" type="noConversion"/>
  </si>
  <si>
    <t>스카비르1</t>
    <phoneticPr fontId="9" type="noConversion"/>
  </si>
  <si>
    <t>지옥불의 아이1</t>
    <phoneticPr fontId="9" type="noConversion"/>
  </si>
  <si>
    <t>듀라한1</t>
    <phoneticPr fontId="9" type="noConversion"/>
  </si>
  <si>
    <t>듀라한2</t>
    <phoneticPr fontId="9" type="noConversion"/>
  </si>
  <si>
    <t>스카비르2</t>
    <phoneticPr fontId="9" type="noConversion"/>
  </si>
  <si>
    <t>카타폴립스2</t>
    <phoneticPr fontId="9" type="noConversion"/>
  </si>
  <si>
    <t>듀라한3</t>
    <phoneticPr fontId="9" type="noConversion"/>
  </si>
  <si>
    <t>리치</t>
    <phoneticPr fontId="9" type="noConversion"/>
  </si>
  <si>
    <t>지옥불의 아이3</t>
    <phoneticPr fontId="9" type="noConversion"/>
  </si>
  <si>
    <t>지옥불의 아이2</t>
    <phoneticPr fontId="9" type="noConversion"/>
  </si>
  <si>
    <t>스카비르3</t>
    <phoneticPr fontId="9" type="noConversion"/>
  </si>
  <si>
    <t>카타폴립스3</t>
    <phoneticPr fontId="9" type="noConversion"/>
  </si>
  <si>
    <t>&lt;신왕의 시련&gt;</t>
    <phoneticPr fontId="9" type="noConversion"/>
  </si>
  <si>
    <t>이메트1</t>
    <phoneticPr fontId="9" type="noConversion"/>
  </si>
  <si>
    <t>이메트2</t>
  </si>
  <si>
    <t>이메트3</t>
  </si>
  <si>
    <t>이메트4</t>
  </si>
  <si>
    <t>이메트5</t>
  </si>
  <si>
    <t>이메트6</t>
  </si>
  <si>
    <t>므사마1</t>
    <phoneticPr fontId="9" type="noConversion"/>
  </si>
  <si>
    <t>므사마2</t>
  </si>
  <si>
    <t>므사마3</t>
  </si>
  <si>
    <t>므사마4</t>
  </si>
  <si>
    <t>므사마5</t>
  </si>
  <si>
    <t>므사마6</t>
  </si>
  <si>
    <t>므사마7</t>
  </si>
  <si>
    <t>세크마하1</t>
    <phoneticPr fontId="9" type="noConversion"/>
  </si>
  <si>
    <t>세크마하2</t>
  </si>
  <si>
    <t>세크마하3</t>
  </si>
  <si>
    <t>세크마하4</t>
  </si>
  <si>
    <t>세크마하5</t>
  </si>
  <si>
    <t>세크마하6</t>
  </si>
  <si>
    <t>세크마하7</t>
  </si>
  <si>
    <t>&lt;신왕튜토티어&gt;</t>
    <phoneticPr fontId="9" type="noConversion"/>
  </si>
  <si>
    <t>5노드카인</t>
    <phoneticPr fontId="9" type="noConversion"/>
  </si>
  <si>
    <t>적 티어</t>
    <phoneticPr fontId="9" type="noConversion"/>
  </si>
  <si>
    <t>영웅티어</t>
    <phoneticPr fontId="9" type="noConversion"/>
  </si>
  <si>
    <t>32000</t>
    <phoneticPr fontId="9" type="noConversion"/>
  </si>
  <si>
    <t>미르르라크락</t>
    <phoneticPr fontId="9" type="noConversion"/>
  </si>
  <si>
    <t>1000</t>
    <phoneticPr fontId="9" type="noConversion"/>
  </si>
  <si>
    <t>5000</t>
    <phoneticPr fontId="9" type="noConversion"/>
  </si>
  <si>
    <t>5</t>
    <phoneticPr fontId="9" type="noConversion"/>
  </si>
  <si>
    <t>950</t>
    <phoneticPr fontId="9" type="noConversion"/>
  </si>
  <si>
    <t>세크마하8</t>
    <phoneticPr fontId="9" type="noConversion"/>
  </si>
  <si>
    <t>므사마8</t>
    <phoneticPr fontId="9" type="noConversion"/>
  </si>
  <si>
    <t>이메트7</t>
    <phoneticPr fontId="9" type="noConversion"/>
  </si>
  <si>
    <t>이메트8</t>
    <phoneticPr fontId="9" type="noConversion"/>
  </si>
  <si>
    <t>2019  할로윈 신규</t>
    <phoneticPr fontId="9" type="noConversion"/>
  </si>
  <si>
    <t>195000</t>
    <phoneticPr fontId="9" type="noConversion"/>
  </si>
  <si>
    <t>155000</t>
    <phoneticPr fontId="9" type="noConversion"/>
  </si>
  <si>
    <t>할로윈 유리아</t>
    <phoneticPr fontId="9" type="noConversion"/>
  </si>
  <si>
    <t>할로윈 베른헤임</t>
    <phoneticPr fontId="9" type="noConversion"/>
  </si>
  <si>
    <t>할로윈 카라</t>
    <phoneticPr fontId="9" type="noConversion"/>
  </si>
  <si>
    <t>스토리 노말 몬스터</t>
    <phoneticPr fontId="9" type="noConversion"/>
  </si>
  <si>
    <t>스토리 노말 보스</t>
    <phoneticPr fontId="9" type="noConversion"/>
  </si>
  <si>
    <t>스토리 하드 몬스터</t>
    <phoneticPr fontId="9" type="noConversion"/>
  </si>
  <si>
    <t>스토리 하드 보스</t>
    <phoneticPr fontId="9" type="noConversion"/>
  </si>
  <si>
    <t>보스 레위시아</t>
    <phoneticPr fontId="9" type="noConversion"/>
  </si>
  <si>
    <t>할로윈 메디아나</t>
    <phoneticPr fontId="9" type="noConversion"/>
  </si>
  <si>
    <t>1000일 이벤트</t>
    <phoneticPr fontId="9" type="noConversion"/>
  </si>
  <si>
    <t>진 1</t>
    <phoneticPr fontId="9" type="noConversion"/>
  </si>
  <si>
    <t>진 2</t>
    <phoneticPr fontId="9" type="noConversion"/>
  </si>
  <si>
    <t>진 3</t>
    <phoneticPr fontId="9" type="noConversion"/>
  </si>
  <si>
    <t>100</t>
    <phoneticPr fontId="9" type="noConversion"/>
  </si>
  <si>
    <t>빛이벤트</t>
    <phoneticPr fontId="9" type="noConversion"/>
  </si>
  <si>
    <t>체이스데미아</t>
    <phoneticPr fontId="9" type="noConversion"/>
  </si>
  <si>
    <t>크리샤어둠</t>
    <phoneticPr fontId="9" type="noConversion"/>
  </si>
  <si>
    <t>드레드브링어</t>
    <phoneticPr fontId="9" type="noConversion"/>
  </si>
  <si>
    <t>23000</t>
    <phoneticPr fontId="9" type="noConversion"/>
  </si>
  <si>
    <t>특별 영웅던전 판시로네</t>
    <phoneticPr fontId="9" type="noConversion"/>
  </si>
  <si>
    <t>18666</t>
  </si>
  <si>
    <t>730</t>
  </si>
  <si>
    <t>815</t>
    <phoneticPr fontId="9" type="noConversion"/>
  </si>
  <si>
    <t>79</t>
    <phoneticPr fontId="9" type="noConversion"/>
  </si>
  <si>
    <t>611</t>
    <phoneticPr fontId="9" type="noConversion"/>
  </si>
  <si>
    <t>60</t>
    <phoneticPr fontId="9" type="noConversion"/>
  </si>
  <si>
    <t>2019크리스마스</t>
    <phoneticPr fontId="9" type="noConversion"/>
  </si>
  <si>
    <t>11794</t>
  </si>
  <si>
    <t>12919</t>
  </si>
  <si>
    <t>16875</t>
  </si>
  <si>
    <t>18293</t>
  </si>
  <si>
    <t>21274</t>
  </si>
  <si>
    <t>21656</t>
  </si>
  <si>
    <t>22040</t>
  </si>
  <si>
    <t>뜻밖의 선물상자</t>
    <phoneticPr fontId="9" type="noConversion"/>
  </si>
  <si>
    <t>오펠리아</t>
    <phoneticPr fontId="9" type="noConversion"/>
  </si>
  <si>
    <t>&lt;서브스토리 오펠리아&gt;</t>
    <phoneticPr fontId="9" type="noConversion"/>
  </si>
  <si>
    <t>책 보스</t>
    <phoneticPr fontId="9" type="noConversion"/>
  </si>
  <si>
    <t>레오</t>
    <phoneticPr fontId="9" type="noConversion"/>
  </si>
  <si>
    <t>7노드해골</t>
    <phoneticPr fontId="9" type="noConversion"/>
  </si>
  <si>
    <t>7노드 해골 보스</t>
    <phoneticPr fontId="9" type="noConversion"/>
  </si>
  <si>
    <t>7노드해골(연출)</t>
    <phoneticPr fontId="9" type="noConversion"/>
  </si>
  <si>
    <t>10노드 벌</t>
    <phoneticPr fontId="9" type="noConversion"/>
  </si>
  <si>
    <t>12000</t>
    <phoneticPr fontId="9" type="noConversion"/>
  </si>
  <si>
    <t>라시필</t>
    <phoneticPr fontId="9" type="noConversion"/>
  </si>
  <si>
    <t>650</t>
    <phoneticPr fontId="9" type="noConversion"/>
  </si>
  <si>
    <t>도전노드 1</t>
    <phoneticPr fontId="9" type="noConversion"/>
  </si>
  <si>
    <t>도전노드 2</t>
    <phoneticPr fontId="9" type="noConversion"/>
  </si>
  <si>
    <t xml:space="preserve">체이스 노말 </t>
    <phoneticPr fontId="9" type="noConversion"/>
  </si>
  <si>
    <t xml:space="preserve">체이스 헬  </t>
    <phoneticPr fontId="9" type="noConversion"/>
  </si>
  <si>
    <t>서브스토리 도전 (워트롤)</t>
    <phoneticPr fontId="9" type="noConversion"/>
  </si>
  <si>
    <t>서브스토리 도전 (만티코어 노말)</t>
    <phoneticPr fontId="9" type="noConversion"/>
  </si>
  <si>
    <t>서브스토리 도전 (만티코어 헬)</t>
    <phoneticPr fontId="9" type="noConversion"/>
  </si>
  <si>
    <t>서브스토리 도전(리치)</t>
    <phoneticPr fontId="9" type="noConversion"/>
  </si>
  <si>
    <t>서브스토리 도전(에제키엘,파벨)</t>
    <phoneticPr fontId="9" type="noConversion"/>
  </si>
  <si>
    <t>사탕 골렘</t>
    <phoneticPr fontId="9" type="noConversion"/>
  </si>
  <si>
    <t>카카오 트렌트</t>
    <phoneticPr fontId="9" type="noConversion"/>
  </si>
  <si>
    <t>파편던전 - 토터스</t>
    <phoneticPr fontId="9" type="noConversion"/>
  </si>
  <si>
    <t>스킬북 던전 - 책</t>
    <phoneticPr fontId="9" type="noConversion"/>
  </si>
  <si>
    <t>경험치 - 슬라임</t>
    <phoneticPr fontId="9" type="noConversion"/>
  </si>
  <si>
    <t>골드 - 미믹</t>
    <phoneticPr fontId="9" type="noConversion"/>
  </si>
  <si>
    <t>MaxMp</t>
    <phoneticPr fontId="9" type="noConversion"/>
  </si>
  <si>
    <t>&lt;샤크메&gt;</t>
    <phoneticPr fontId="9" type="noConversion"/>
  </si>
  <si>
    <t>샤크메1</t>
    <phoneticPr fontId="9" type="noConversion"/>
  </si>
  <si>
    <t>샤크메2</t>
  </si>
  <si>
    <t>샤크메3</t>
  </si>
  <si>
    <t>샤크메4</t>
  </si>
  <si>
    <t>샤크메5</t>
  </si>
  <si>
    <t>샤크메6</t>
  </si>
  <si>
    <t>샤크메7</t>
  </si>
  <si>
    <t>샤크메8</t>
  </si>
  <si>
    <t>샤크메9</t>
  </si>
  <si>
    <t>최종보스샤크메</t>
    <phoneticPr fontId="9" type="noConversion"/>
  </si>
  <si>
    <t>중보샤크메</t>
    <phoneticPr fontId="9" type="noConversion"/>
  </si>
  <si>
    <t>2020 제라 이벤트</t>
    <phoneticPr fontId="9" type="noConversion"/>
  </si>
  <si>
    <t>스토리 이지 몬스터</t>
  </si>
  <si>
    <t>스토리 이지 보스</t>
  </si>
  <si>
    <t>특별던전 1</t>
    <phoneticPr fontId="9" type="noConversion"/>
  </si>
  <si>
    <t>특별던전 2</t>
    <phoneticPr fontId="9" type="noConversion"/>
  </si>
  <si>
    <t>특별던전 3</t>
    <phoneticPr fontId="9" type="noConversion"/>
  </si>
  <si>
    <t>아군영웅티어</t>
    <phoneticPr fontId="9" type="noConversion"/>
  </si>
  <si>
    <t>2웨이브 디마엘</t>
    <phoneticPr fontId="9" type="noConversion"/>
  </si>
  <si>
    <t>아군영웅티어스토리</t>
    <phoneticPr fontId="9" type="noConversion"/>
  </si>
  <si>
    <t>105000</t>
    <phoneticPr fontId="9" type="noConversion"/>
  </si>
  <si>
    <t>Int</t>
    <phoneticPr fontId="9" type="noConversion"/>
  </si>
  <si>
    <t>&lt;챌린지 레이드 칼락스 솔로&gt;</t>
    <phoneticPr fontId="9" type="noConversion"/>
  </si>
  <si>
    <t>&lt;챌린지 레이드 흑카셀 솔로&gt;</t>
    <phoneticPr fontId="9" type="noConversion"/>
  </si>
  <si>
    <t>&lt;챌린지 레이드 흑카셀&gt;</t>
    <phoneticPr fontId="9" type="noConversion"/>
  </si>
  <si>
    <t>이지카셀</t>
    <phoneticPr fontId="9" type="noConversion"/>
  </si>
  <si>
    <t>이지프레이</t>
    <phoneticPr fontId="9" type="noConversion"/>
  </si>
  <si>
    <t>노말 카셀</t>
    <phoneticPr fontId="9" type="noConversion"/>
  </si>
  <si>
    <t>노말 프레이</t>
    <phoneticPr fontId="9" type="noConversion"/>
  </si>
  <si>
    <t>하드 카셀</t>
    <phoneticPr fontId="9" type="noConversion"/>
  </si>
  <si>
    <t>하드 프레이</t>
    <phoneticPr fontId="9" type="noConversion"/>
  </si>
  <si>
    <t xml:space="preserve">헬 카셀 </t>
    <phoneticPr fontId="9" type="noConversion"/>
  </si>
  <si>
    <t>헬 프레이</t>
    <phoneticPr fontId="9" type="noConversion"/>
  </si>
  <si>
    <t>흑흑던전</t>
    <phoneticPr fontId="9" type="noConversion"/>
  </si>
  <si>
    <t>예고편연출</t>
    <phoneticPr fontId="9" type="noConversion"/>
  </si>
  <si>
    <t>13</t>
    <phoneticPr fontId="9" type="noConversion"/>
  </si>
  <si>
    <t>8</t>
    <phoneticPr fontId="9" type="noConversion"/>
  </si>
  <si>
    <t>루시키엘</t>
    <phoneticPr fontId="9" type="noConversion"/>
  </si>
  <si>
    <t>마리아</t>
    <phoneticPr fontId="9" type="noConversion"/>
  </si>
  <si>
    <t>마리아 카셀프레이</t>
    <phoneticPr fontId="9" type="noConversion"/>
  </si>
  <si>
    <t>특별던전 1 리카르도</t>
    <phoneticPr fontId="9" type="noConversion"/>
  </si>
  <si>
    <t>특별던전 1 루시아스</t>
    <phoneticPr fontId="9" type="noConversion"/>
  </si>
  <si>
    <t>900</t>
    <phoneticPr fontId="9" type="noConversion"/>
  </si>
  <si>
    <t>2020여름이벤트</t>
    <phoneticPr fontId="9" type="noConversion"/>
  </si>
  <si>
    <t>2020여름 특던1</t>
    <phoneticPr fontId="9" type="noConversion"/>
  </si>
  <si>
    <t>2020여름 특던2</t>
    <phoneticPr fontId="9" type="noConversion"/>
  </si>
  <si>
    <t>2020여름 특던3</t>
    <phoneticPr fontId="9" type="noConversion"/>
  </si>
  <si>
    <t>8500</t>
    <phoneticPr fontId="9" type="noConversion"/>
  </si>
  <si>
    <t>힐다</t>
    <phoneticPr fontId="9" type="noConversion"/>
  </si>
  <si>
    <t>힐다 1,2노드</t>
    <phoneticPr fontId="9" type="noConversion"/>
  </si>
  <si>
    <t>힐다 3,4노드</t>
    <phoneticPr fontId="9" type="noConversion"/>
  </si>
  <si>
    <t>힐다 특던1</t>
    <phoneticPr fontId="9" type="noConversion"/>
  </si>
  <si>
    <t>힐다 특던2</t>
    <phoneticPr fontId="9" type="noConversion"/>
  </si>
  <si>
    <t>힐다 특던3</t>
    <phoneticPr fontId="9" type="noConversion"/>
  </si>
  <si>
    <t>2.5</t>
    <phoneticPr fontId="9" type="noConversion"/>
  </si>
  <si>
    <t>2020 여름 일반 난이도</t>
    <phoneticPr fontId="9" type="noConversion"/>
  </si>
  <si>
    <t>힐다 티어</t>
    <phoneticPr fontId="9" type="noConversion"/>
  </si>
  <si>
    <t>&lt;10챕터&gt;</t>
    <phoneticPr fontId="9" type="noConversion"/>
  </si>
  <si>
    <t>스토리용 힐다</t>
    <phoneticPr fontId="9" type="noConversion"/>
  </si>
  <si>
    <t>스토리용 갈고리아</t>
    <phoneticPr fontId="9" type="noConversion"/>
  </si>
  <si>
    <t>크로우와아이들</t>
    <phoneticPr fontId="9" type="noConversion"/>
  </si>
  <si>
    <t>지크프리트</t>
    <phoneticPr fontId="9" type="noConversion"/>
  </si>
  <si>
    <t>힐다</t>
    <phoneticPr fontId="9" type="noConversion"/>
  </si>
  <si>
    <t>아스칼론</t>
    <phoneticPr fontId="9" type="noConversion"/>
  </si>
  <si>
    <t>흑클라</t>
    <phoneticPr fontId="9" type="noConversion"/>
  </si>
  <si>
    <t>아스칼론</t>
    <phoneticPr fontId="9" type="noConversion"/>
  </si>
  <si>
    <t>아스칼론쫄</t>
    <phoneticPr fontId="9" type="noConversion"/>
  </si>
  <si>
    <t>16노드아스칼론</t>
    <phoneticPr fontId="9" type="noConversion"/>
  </si>
  <si>
    <t>16하향</t>
    <phoneticPr fontId="9" type="noConversion"/>
  </si>
  <si>
    <t>아스칼론 일반노드</t>
    <phoneticPr fontId="9" type="noConversion"/>
  </si>
  <si>
    <t>세크마하9</t>
    <phoneticPr fontId="9" type="noConversion"/>
  </si>
  <si>
    <t>세크마하10</t>
    <phoneticPr fontId="9" type="noConversion"/>
  </si>
  <si>
    <t>므사마9</t>
    <phoneticPr fontId="9" type="noConversion"/>
  </si>
  <si>
    <t>므사마10</t>
    <phoneticPr fontId="9" type="noConversion"/>
  </si>
  <si>
    <t>이메트9</t>
    <phoneticPr fontId="9" type="noConversion"/>
  </si>
  <si>
    <t>이메트10</t>
    <phoneticPr fontId="9" type="noConversion"/>
  </si>
  <si>
    <t>310000</t>
    <phoneticPr fontId="9" type="noConversion"/>
  </si>
  <si>
    <t>36000</t>
    <phoneticPr fontId="9" type="noConversion"/>
  </si>
  <si>
    <t>63000</t>
    <phoneticPr fontId="9" type="noConversion"/>
  </si>
  <si>
    <t>142500</t>
    <phoneticPr fontId="9" type="noConversion"/>
  </si>
  <si>
    <t>185000</t>
    <phoneticPr fontId="9" type="noConversion"/>
  </si>
  <si>
    <t>270000</t>
    <phoneticPr fontId="9" type="noConversion"/>
  </si>
  <si>
    <t>300000</t>
    <phoneticPr fontId="9" type="noConversion"/>
  </si>
  <si>
    <t>13500</t>
    <phoneticPr fontId="9" type="noConversion"/>
  </si>
  <si>
    <t>72000</t>
    <phoneticPr fontId="9" type="noConversion"/>
  </si>
  <si>
    <t>145000</t>
    <phoneticPr fontId="9" type="noConversion"/>
  </si>
  <si>
    <t>45000</t>
    <phoneticPr fontId="9" type="noConversion"/>
  </si>
  <si>
    <t>78000</t>
    <phoneticPr fontId="9" type="noConversion"/>
  </si>
  <si>
    <t>190000</t>
    <phoneticPr fontId="9" type="noConversion"/>
  </si>
  <si>
    <t>350000</t>
    <phoneticPr fontId="9" type="noConversion"/>
  </si>
  <si>
    <t>305000</t>
    <phoneticPr fontId="9" type="noConversion"/>
  </si>
  <si>
    <t>360000</t>
    <phoneticPr fontId="9" type="noConversion"/>
  </si>
  <si>
    <t>10.5챕터 영웅</t>
    <phoneticPr fontId="9" type="noConversion"/>
  </si>
  <si>
    <t>10.5챕터 루시키엘</t>
    <phoneticPr fontId="9" type="noConversion"/>
  </si>
  <si>
    <t>10.5챕터 플루스</t>
    <phoneticPr fontId="9" type="noConversion"/>
  </si>
  <si>
    <t>10.5챕터 이솔렛</t>
    <phoneticPr fontId="9" type="noConversion"/>
  </si>
  <si>
    <t>10.5챕터 그레모리</t>
    <phoneticPr fontId="9" type="noConversion"/>
  </si>
  <si>
    <t>10.5챕터 38</t>
    <phoneticPr fontId="9" type="noConversion"/>
  </si>
  <si>
    <t>2020반역자 클라우스</t>
    <phoneticPr fontId="9" type="noConversion"/>
  </si>
  <si>
    <t>반클 특던1</t>
    <phoneticPr fontId="9" type="noConversion"/>
  </si>
  <si>
    <t>반클 특던2</t>
    <phoneticPr fontId="9" type="noConversion"/>
  </si>
  <si>
    <t>반클 특던3</t>
    <phoneticPr fontId="9" type="noConversion"/>
  </si>
  <si>
    <t>1250</t>
    <phoneticPr fontId="9" type="noConversion"/>
  </si>
  <si>
    <t>1350</t>
    <phoneticPr fontId="9" type="noConversion"/>
  </si>
  <si>
    <t>1450</t>
    <phoneticPr fontId="9" type="noConversion"/>
  </si>
  <si>
    <t>1550</t>
    <phoneticPr fontId="9" type="noConversion"/>
  </si>
  <si>
    <t>스토리 아군 영웅 티어</t>
    <phoneticPr fontId="9" type="noConversion"/>
  </si>
  <si>
    <t>비밀던전 몬스터</t>
    <phoneticPr fontId="9" type="noConversion"/>
  </si>
  <si>
    <t>비밀던전 보스</t>
    <phoneticPr fontId="9" type="noConversion"/>
  </si>
  <si>
    <t>리히트 리피네 영던</t>
    <phoneticPr fontId="9" type="noConversion"/>
  </si>
  <si>
    <t>0</t>
    <phoneticPr fontId="9" type="noConversion"/>
  </si>
  <si>
    <t>리리 특던1</t>
    <phoneticPr fontId="9" type="noConversion"/>
  </si>
  <si>
    <t>리리 특던2</t>
    <phoneticPr fontId="9" type="noConversion"/>
  </si>
  <si>
    <t>리리 특던3</t>
    <phoneticPr fontId="9" type="noConversion"/>
  </si>
  <si>
    <t>2021 샤크메 영던</t>
    <phoneticPr fontId="9" type="noConversion"/>
  </si>
  <si>
    <t>2400</t>
    <phoneticPr fontId="9" type="noConversion"/>
  </si>
  <si>
    <t>특던 아군영웅티어</t>
    <phoneticPr fontId="9" type="noConversion"/>
  </si>
  <si>
    <t>스토리 아군영웅티어</t>
    <phoneticPr fontId="9" type="noConversion"/>
  </si>
  <si>
    <t>오건일 특던1</t>
    <phoneticPr fontId="9" type="noConversion"/>
  </si>
  <si>
    <t>오건일 특던2</t>
    <phoneticPr fontId="9" type="noConversion"/>
  </si>
  <si>
    <t>오건일 특던3</t>
    <phoneticPr fontId="9" type="noConversion"/>
  </si>
  <si>
    <t>2021 오건일 영던</t>
    <phoneticPr fontId="9" type="noConversion"/>
  </si>
  <si>
    <t>&lt;길드 레이드 개편&gt;</t>
    <phoneticPr fontId="9" type="noConversion"/>
  </si>
  <si>
    <t>20.5</t>
  </si>
  <si>
    <t>27</t>
  </si>
  <si>
    <t>28</t>
    <phoneticPr fontId="9" type="noConversion"/>
  </si>
  <si>
    <t>30</t>
    <phoneticPr fontId="9" type="noConversion"/>
  </si>
  <si>
    <t>35</t>
    <phoneticPr fontId="9" type="noConversion"/>
  </si>
  <si>
    <t>섭스 3노드 체이스 약화</t>
    <phoneticPr fontId="9" type="noConversion"/>
  </si>
  <si>
    <t>&lt;서브스토리 로이&gt;</t>
    <phoneticPr fontId="9" type="noConversion"/>
  </si>
  <si>
    <t>32900</t>
    <phoneticPr fontId="9" type="noConversion"/>
  </si>
  <si>
    <t>21000</t>
    <phoneticPr fontId="9" type="noConversion"/>
  </si>
  <si>
    <t>12500</t>
    <phoneticPr fontId="9" type="noConversion"/>
  </si>
  <si>
    <t>&lt;11챕터&gt;</t>
    <phoneticPr fontId="9" type="noConversion"/>
  </si>
  <si>
    <t>11 노드</t>
    <phoneticPr fontId="9" type="noConversion"/>
  </si>
  <si>
    <t>샤밀라</t>
    <phoneticPr fontId="9" type="noConversion"/>
  </si>
  <si>
    <t>3노드 스토리 이사야</t>
    <phoneticPr fontId="9" type="noConversion"/>
  </si>
  <si>
    <t>10노드 스토리 루시키엘</t>
    <phoneticPr fontId="9" type="noConversion"/>
  </si>
  <si>
    <t>5노드 스토리 마왕 카셀</t>
    <phoneticPr fontId="9" type="noConversion"/>
  </si>
  <si>
    <t>21 이사야 영던</t>
    <phoneticPr fontId="9" type="noConversion"/>
  </si>
  <si>
    <t>7노드 스토리 마왕 카셀</t>
    <phoneticPr fontId="9" type="noConversion"/>
  </si>
  <si>
    <t>도전노드 1</t>
    <phoneticPr fontId="9" type="noConversion"/>
  </si>
  <si>
    <t>25000</t>
    <phoneticPr fontId="9" type="noConversion"/>
  </si>
  <si>
    <t>도전노드 2</t>
    <phoneticPr fontId="9" type="noConversion"/>
  </si>
  <si>
    <t>&lt;챌린지 레이드 우르칵 - 패널티 멀티&gt;</t>
    <phoneticPr fontId="9" type="noConversion"/>
  </si>
  <si>
    <t>&lt;챌린지 레이드 우르칵 - 패널티 싱글&gt;</t>
    <phoneticPr fontId="9" type="noConversion"/>
  </si>
  <si>
    <t>Easy -  우르칵</t>
  </si>
  <si>
    <t>Easy - 감시탑</t>
  </si>
  <si>
    <t>Normal - 우르칵</t>
  </si>
  <si>
    <t>Normal - 감시탑</t>
  </si>
  <si>
    <t>Hard - 우르칵</t>
  </si>
  <si>
    <t>Hard - 감시탑</t>
  </si>
  <si>
    <t>Hell - 우르칵</t>
  </si>
  <si>
    <t>Hell - 감시탑</t>
  </si>
  <si>
    <t>&lt;챌린지 레이드 사트리아 - 패널티 멀티&gt;</t>
    <phoneticPr fontId="9" type="noConversion"/>
  </si>
  <si>
    <t>&lt;챌린지 레이드 사트리아 - 패널티 싱글&gt;</t>
    <phoneticPr fontId="9" type="noConversion"/>
  </si>
  <si>
    <t>Easy - 사트리아</t>
    <phoneticPr fontId="9" type="noConversion"/>
  </si>
  <si>
    <t>Normal - 사트리아</t>
    <phoneticPr fontId="9" type="noConversion"/>
  </si>
  <si>
    <t>Hard -  사트리아</t>
    <phoneticPr fontId="9" type="noConversion"/>
  </si>
  <si>
    <t>Hell - 사트리아</t>
    <phoneticPr fontId="9" type="noConversion"/>
  </si>
  <si>
    <t>&lt;챌린지 레이드 케베른 - 패널티 멀티&gt;</t>
    <phoneticPr fontId="9" type="noConversion"/>
  </si>
  <si>
    <t>&lt;챌린지 레이드 케베른 - 패널티 싱글&gt;</t>
    <phoneticPr fontId="9" type="noConversion"/>
  </si>
  <si>
    <t>Easy - 케베른</t>
  </si>
  <si>
    <t>Normal - 케베른</t>
  </si>
  <si>
    <t>Hard -  케베른</t>
  </si>
  <si>
    <t>Hell - 케베른</t>
  </si>
  <si>
    <t>&lt;챌린지 레이드 오브리가드 - 패널티 멀티&gt;</t>
    <phoneticPr fontId="9" type="noConversion"/>
  </si>
  <si>
    <t>&lt;챌린지 레이드 오브리가드 - 패널티 싱글&gt;</t>
    <phoneticPr fontId="9" type="noConversion"/>
  </si>
  <si>
    <t>Normal - 쫄몹</t>
    <phoneticPr fontId="9" type="noConversion"/>
  </si>
  <si>
    <t>Hard -  쫄몹</t>
    <phoneticPr fontId="9" type="noConversion"/>
  </si>
  <si>
    <t>Easy -  쫄몹</t>
    <phoneticPr fontId="9" type="noConversion"/>
  </si>
  <si>
    <t>Hell - 쫄몹</t>
    <phoneticPr fontId="9" type="noConversion"/>
  </si>
  <si>
    <t>Easy - 오브리가드</t>
  </si>
  <si>
    <t>Normal - 오브리가드</t>
  </si>
  <si>
    <t>Hard -  오브리가드</t>
  </si>
  <si>
    <t>Hell - 오브리가드</t>
  </si>
  <si>
    <t>&lt;챌린지 레이드 시스라엘 - 패널티 멀티&gt;</t>
    <phoneticPr fontId="9" type="noConversion"/>
  </si>
  <si>
    <t>&lt;챌린지 레이드 시스라엘 - 패널티 싱글&gt;</t>
    <phoneticPr fontId="9" type="noConversion"/>
  </si>
  <si>
    <t>Easy - 시스라엘</t>
  </si>
  <si>
    <t>Normal - 시스라엘</t>
  </si>
  <si>
    <t>Hard -  시스라엘</t>
  </si>
  <si>
    <t>Hell - 시스라엘</t>
  </si>
  <si>
    <t>&lt;챌린지 레이드 가로우 - 패널티 멀티&gt;</t>
    <phoneticPr fontId="9" type="noConversion"/>
  </si>
  <si>
    <t>&lt;챌린지 레이드 가로우 - 패널티 싱글&gt;</t>
    <phoneticPr fontId="9" type="noConversion"/>
  </si>
  <si>
    <t>Easy - 가로우</t>
  </si>
  <si>
    <t>Normal - 가로우</t>
  </si>
  <si>
    <t>Hard -  가로우</t>
  </si>
  <si>
    <t>Hell - 가로우</t>
  </si>
  <si>
    <t>&lt;챌린지 레이드 토르페 - 패널티 멀티&gt;</t>
    <phoneticPr fontId="9" type="noConversion"/>
  </si>
  <si>
    <t>&lt;챌린지 레이드 토르페 - 패널티 싱글&gt;</t>
    <phoneticPr fontId="9" type="noConversion"/>
  </si>
  <si>
    <t>Easy - 토르페</t>
  </si>
  <si>
    <t>Normal - 토르페</t>
  </si>
  <si>
    <t>Hard -  토르페</t>
  </si>
  <si>
    <t>Hell - 토르페</t>
  </si>
  <si>
    <t>&lt;챌린지 레이드 칼락스 - 패널티 멀티&gt;</t>
    <phoneticPr fontId="9" type="noConversion"/>
  </si>
  <si>
    <t>&lt;챌린지 레이드 칼락스 - 패널티 싱글&gt;</t>
    <phoneticPr fontId="9" type="noConversion"/>
  </si>
  <si>
    <t>Easy - 칼락스</t>
  </si>
  <si>
    <t>Normal - 칼락스</t>
  </si>
  <si>
    <t>Hard -  칼락스</t>
  </si>
  <si>
    <t>Hell - 칼락스</t>
  </si>
  <si>
    <t>36720</t>
    <phoneticPr fontId="9" type="noConversion"/>
  </si>
  <si>
    <t>20400</t>
    <phoneticPr fontId="9" type="noConversion"/>
  </si>
  <si>
    <t>Easy - 쫄</t>
    <phoneticPr fontId="9" type="noConversion"/>
  </si>
  <si>
    <t>Normal - 쫄</t>
    <phoneticPr fontId="9" type="noConversion"/>
  </si>
  <si>
    <t>Hard - 쫄</t>
    <phoneticPr fontId="9" type="noConversion"/>
  </si>
  <si>
    <t>Hell - 쫄</t>
    <phoneticPr fontId="9" type="noConversion"/>
  </si>
  <si>
    <t>&lt;신벌 레이드&gt;</t>
    <phoneticPr fontId="9" type="noConversion"/>
  </si>
  <si>
    <t>레드 드래곤</t>
    <phoneticPr fontId="9" type="noConversion"/>
  </si>
  <si>
    <t>블루 드래곤</t>
    <phoneticPr fontId="9" type="noConversion"/>
  </si>
  <si>
    <t>작은 레드 헤즐링</t>
    <phoneticPr fontId="9" type="noConversion"/>
  </si>
  <si>
    <t>큰 레드 헤즐링</t>
    <phoneticPr fontId="9" type="noConversion"/>
  </si>
  <si>
    <t>블루 헤즐링 / 얼음 수정</t>
    <phoneticPr fontId="9" type="noConversion"/>
  </si>
  <si>
    <t>포이즌 드래곤</t>
    <phoneticPr fontId="9" type="noConversion"/>
  </si>
  <si>
    <t>블랙 드래곤</t>
    <phoneticPr fontId="9" type="noConversion"/>
  </si>
  <si>
    <t>블랙 헤즐링</t>
    <phoneticPr fontId="9" type="noConversion"/>
  </si>
  <si>
    <t>테르시오</t>
    <phoneticPr fontId="9" type="noConversion"/>
  </si>
  <si>
    <t>아포칼립시온</t>
    <phoneticPr fontId="9" type="noConversion"/>
  </si>
  <si>
    <t>22</t>
    <phoneticPr fontId="9" type="noConversion"/>
  </si>
  <si>
    <t>2021 할로윈 이벤트</t>
    <phoneticPr fontId="9" type="noConversion"/>
  </si>
  <si>
    <t>스토리 이지 몬스터</t>
    <phoneticPr fontId="9" type="noConversion"/>
  </si>
  <si>
    <t>스토리 이지 보스</t>
    <phoneticPr fontId="9" type="noConversion"/>
  </si>
  <si>
    <t>2021 가을 운동회</t>
    <phoneticPr fontId="9" type="noConversion"/>
  </si>
  <si>
    <t>할로윈 세크마하</t>
    <phoneticPr fontId="9" type="noConversion"/>
  </si>
  <si>
    <t>할로윈 다카리스</t>
    <phoneticPr fontId="9" type="noConversion"/>
  </si>
  <si>
    <t>할로윈 스켈레톤 토템</t>
    <phoneticPr fontId="9" type="noConversion"/>
  </si>
  <si>
    <t>할로윈 펌프킨</t>
    <phoneticPr fontId="9" type="noConversion"/>
  </si>
  <si>
    <t>Easy -  쫄몹 / 체력 버프</t>
    <phoneticPr fontId="9" type="noConversion"/>
  </si>
  <si>
    <t>Normal - 쫄몹 / 체력 버프</t>
    <phoneticPr fontId="9" type="noConversion"/>
  </si>
  <si>
    <t>Hard -  쫄몹 / 체력 버프</t>
    <phoneticPr fontId="9" type="noConversion"/>
  </si>
  <si>
    <t>Hell - 쫄몹 / 체력 버프</t>
    <phoneticPr fontId="9" type="noConversion"/>
  </si>
  <si>
    <t>발란세 특별 던전</t>
    <phoneticPr fontId="9" type="noConversion"/>
  </si>
  <si>
    <t>2021 추수감사절 방어전</t>
    <phoneticPr fontId="9" type="noConversion"/>
  </si>
  <si>
    <t>모체 - 고블린 감시탑</t>
  </si>
  <si>
    <t>1페이즈 - 고블린 사냥꾼 (스폰)</t>
  </si>
  <si>
    <t>1페이즈 - 고블린 정예 사냥꾼 (엘리트)</t>
  </si>
  <si>
    <t>2페이즈 - 고블린 폭탄광 (스폰)</t>
  </si>
  <si>
    <t>2페이즈 - 화염방사 고블린 (스폰)</t>
  </si>
  <si>
    <t>2페이즈 - 고블린 정예 폭탄광 (엘리트)</t>
  </si>
  <si>
    <t>3페이즈 - 고블린 약탈꾼 (스폰)</t>
  </si>
  <si>
    <t>3페이즈 - 고블린 정예 약탈꾼 (스폰)</t>
  </si>
  <si>
    <t>3페이즈 - 고블린 약탈대장 (엘리트)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</si>
</sst>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_ "/>
    <numFmt numFmtId="178" formatCode="0_);[Red]\(0\)"/>
  </numFmts>
  <fonts count="2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맑은 고딕"/>
      <family val="2"/>
      <charset val="129"/>
    </font>
    <font>
      <b/>
      <sz val="22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9"/>
      <color rgb="FFFF0000"/>
      <name val="맑은 고딕"/>
      <family val="2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31">
    <xf numFmtId="0" fontId="0" fillId="0" borderId="0"/>
    <xf numFmtId="0" fontId="8" fillId="0" borderId="0">
      <alignment vertical="center"/>
    </xf>
    <xf numFmtId="0" fontId="18" fillId="0" borderId="0"/>
    <xf numFmtId="0" fontId="7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8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13">
    <xf numFmtId="0" fontId="0" fillId="0" borderId="0" xfId="0"/>
    <xf numFmtId="49" fontId="12" fillId="2" borderId="1" xfId="0" applyNumberFormat="1" applyFont="1" applyFill="1" applyBorder="1" applyAlignment="1">
      <alignment horizontal="right" vertical="center" textRotation="90"/>
    </xf>
    <xf numFmtId="49" fontId="10" fillId="0" borderId="0" xfId="0" applyNumberFormat="1" applyFont="1" applyAlignment="1">
      <alignment horizontal="right"/>
    </xf>
    <xf numFmtId="49" fontId="12" fillId="0" borderId="0" xfId="0" applyNumberFormat="1" applyFont="1" applyAlignment="1">
      <alignment horizontal="right" vertical="center"/>
    </xf>
    <xf numFmtId="49" fontId="14" fillId="0" borderId="0" xfId="0" applyNumberFormat="1" applyFont="1" applyAlignment="1">
      <alignment horizontal="right" vertical="center"/>
    </xf>
    <xf numFmtId="49" fontId="12" fillId="8" borderId="0" xfId="0" applyNumberFormat="1" applyFont="1" applyFill="1" applyAlignment="1">
      <alignment horizontal="right" vertical="center"/>
    </xf>
    <xf numFmtId="49" fontId="15" fillId="8" borderId="0" xfId="0" applyNumberFormat="1" applyFont="1" applyFill="1" applyAlignment="1">
      <alignment horizontal="right" vertical="center"/>
    </xf>
    <xf numFmtId="49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 vertical="center"/>
    </xf>
    <xf numFmtId="49" fontId="10" fillId="2" borderId="0" xfId="0" applyNumberFormat="1" applyFont="1" applyFill="1" applyAlignment="1">
      <alignment horizontal="right" vertical="center"/>
    </xf>
    <xf numFmtId="176" fontId="10" fillId="2" borderId="0" xfId="0" applyNumberFormat="1" applyFont="1" applyFill="1" applyAlignment="1">
      <alignment horizontal="right" vertical="center"/>
    </xf>
    <xf numFmtId="0" fontId="10" fillId="2" borderId="0" xfId="0" applyFont="1" applyFill="1" applyAlignment="1">
      <alignment horizontal="right" vertical="center"/>
    </xf>
    <xf numFmtId="0" fontId="12" fillId="2" borderId="1" xfId="0" applyFont="1" applyFill="1" applyBorder="1" applyAlignment="1">
      <alignment horizontal="right" vertical="center" textRotation="90"/>
    </xf>
    <xf numFmtId="176" fontId="12" fillId="2" borderId="1" xfId="0" applyNumberFormat="1" applyFont="1" applyFill="1" applyBorder="1" applyAlignment="1">
      <alignment horizontal="right" vertical="center" textRotation="90"/>
    </xf>
    <xf numFmtId="0" fontId="12" fillId="3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176" fontId="10" fillId="3" borderId="0" xfId="0" applyNumberFormat="1" applyFont="1" applyFill="1" applyAlignment="1">
      <alignment horizontal="right" vertical="center"/>
    </xf>
    <xf numFmtId="49" fontId="10" fillId="3" borderId="0" xfId="0" applyNumberFormat="1" applyFont="1" applyFill="1" applyAlignment="1">
      <alignment horizontal="right" vertical="center"/>
    </xf>
    <xf numFmtId="0" fontId="12" fillId="4" borderId="0" xfId="0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49" fontId="10" fillId="4" borderId="0" xfId="0" applyNumberFormat="1" applyFont="1" applyFill="1" applyAlignment="1">
      <alignment horizontal="right" vertical="center"/>
    </xf>
    <xf numFmtId="0" fontId="12" fillId="7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right" vertical="center"/>
    </xf>
    <xf numFmtId="0" fontId="12" fillId="6" borderId="0" xfId="0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49" fontId="10" fillId="6" borderId="0" xfId="0" applyNumberFormat="1" applyFont="1" applyFill="1" applyAlignment="1">
      <alignment horizontal="right" vertical="center"/>
    </xf>
    <xf numFmtId="0" fontId="12" fillId="5" borderId="0" xfId="0" applyFont="1" applyFill="1" applyAlignment="1">
      <alignment horizontal="right" vertical="center"/>
    </xf>
    <xf numFmtId="0" fontId="10" fillId="5" borderId="0" xfId="0" applyFont="1" applyFill="1" applyAlignment="1">
      <alignment horizontal="right" vertical="center"/>
    </xf>
    <xf numFmtId="49" fontId="10" fillId="5" borderId="0" xfId="0" applyNumberFormat="1" applyFont="1" applyFill="1" applyAlignment="1">
      <alignment horizontal="right" vertical="center"/>
    </xf>
    <xf numFmtId="0" fontId="12" fillId="8" borderId="0" xfId="0" applyFont="1" applyFill="1" applyAlignment="1">
      <alignment horizontal="right" vertical="center"/>
    </xf>
    <xf numFmtId="0" fontId="0" fillId="0" borderId="0" xfId="0" applyAlignment="1">
      <alignment horizontal="right"/>
    </xf>
    <xf numFmtId="0" fontId="14" fillId="0" borderId="0" xfId="0" applyFont="1" applyAlignment="1">
      <alignment horizontal="right" vertical="center"/>
    </xf>
    <xf numFmtId="49" fontId="14" fillId="4" borderId="0" xfId="0" applyNumberFormat="1" applyFont="1" applyFill="1" applyAlignment="1">
      <alignment horizontal="right" vertical="center"/>
    </xf>
    <xf numFmtId="0" fontId="10" fillId="0" borderId="0" xfId="0" applyFont="1" applyAlignment="1">
      <alignment horizontal="right" vertical="center"/>
    </xf>
    <xf numFmtId="49" fontId="13" fillId="4" borderId="0" xfId="0" applyNumberFormat="1" applyFont="1" applyFill="1" applyAlignment="1">
      <alignment horizontal="right" vertical="center"/>
    </xf>
    <xf numFmtId="0" fontId="10" fillId="0" borderId="0" xfId="0" applyFont="1" applyAlignment="1">
      <alignment horizontal="right"/>
    </xf>
    <xf numFmtId="176" fontId="10" fillId="0" borderId="0" xfId="0" applyNumberFormat="1" applyFont="1" applyAlignment="1">
      <alignment horizontal="right"/>
    </xf>
    <xf numFmtId="49" fontId="13" fillId="4" borderId="0" xfId="0" applyNumberFormat="1" applyFont="1" applyFill="1" applyAlignment="1">
      <alignment horizontal="right"/>
    </xf>
    <xf numFmtId="0" fontId="13" fillId="4" borderId="0" xfId="0" applyFont="1" applyFill="1" applyAlignment="1">
      <alignment horizontal="right" vertical="center"/>
    </xf>
    <xf numFmtId="0" fontId="13" fillId="4" borderId="0" xfId="0" applyFont="1" applyFill="1" applyAlignment="1">
      <alignment horizontal="right"/>
    </xf>
    <xf numFmtId="49" fontId="10" fillId="4" borderId="0" xfId="0" applyNumberFormat="1" applyFont="1" applyFill="1" applyAlignment="1">
      <alignment horizontal="right"/>
    </xf>
    <xf numFmtId="0" fontId="14" fillId="4" borderId="0" xfId="0" applyFont="1" applyFill="1" applyAlignment="1">
      <alignment horizontal="right" vertical="center"/>
    </xf>
    <xf numFmtId="0" fontId="12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49" fontId="10" fillId="9" borderId="0" xfId="0" applyNumberFormat="1" applyFont="1" applyFill="1" applyAlignment="1">
      <alignment horizontal="right" vertical="center"/>
    </xf>
    <xf numFmtId="49" fontId="10" fillId="10" borderId="0" xfId="0" applyNumberFormat="1" applyFont="1" applyFill="1" applyAlignment="1">
      <alignment horizontal="right"/>
    </xf>
    <xf numFmtId="0" fontId="10" fillId="10" borderId="0" xfId="0" applyFont="1" applyFill="1" applyAlignment="1">
      <alignment horizontal="right"/>
    </xf>
    <xf numFmtId="0" fontId="10" fillId="8" borderId="0" xfId="0" applyFont="1" applyFill="1" applyAlignment="1">
      <alignment horizontal="right" vertical="center"/>
    </xf>
    <xf numFmtId="0" fontId="10" fillId="8" borderId="0" xfId="0" applyFont="1" applyFill="1" applyAlignment="1">
      <alignment horizontal="right"/>
    </xf>
    <xf numFmtId="49" fontId="10" fillId="8" borderId="0" xfId="0" applyNumberFormat="1" applyFont="1" applyFill="1" applyAlignment="1">
      <alignment horizontal="right"/>
    </xf>
    <xf numFmtId="49" fontId="10" fillId="9" borderId="0" xfId="0" applyNumberFormat="1" applyFont="1" applyFill="1" applyAlignment="1">
      <alignment horizontal="right"/>
    </xf>
    <xf numFmtId="49" fontId="10" fillId="11" borderId="0" xfId="0" applyNumberFormat="1" applyFont="1" applyFill="1" applyAlignment="1">
      <alignment horizontal="right"/>
    </xf>
    <xf numFmtId="49" fontId="17" fillId="0" borderId="0" xfId="0" applyNumberFormat="1" applyFont="1"/>
    <xf numFmtId="0" fontId="16" fillId="0" borderId="0" xfId="0" applyFont="1" applyAlignment="1">
      <alignment vertical="center"/>
    </xf>
    <xf numFmtId="0" fontId="10" fillId="0" borderId="0" xfId="0" applyFont="1"/>
    <xf numFmtId="1" fontId="10" fillId="0" borderId="0" xfId="0" applyNumberFormat="1" applyFont="1" applyAlignment="1">
      <alignment horizontal="right"/>
    </xf>
    <xf numFmtId="1" fontId="17" fillId="0" borderId="0" xfId="0" applyNumberFormat="1" applyFont="1"/>
    <xf numFmtId="0" fontId="10" fillId="4" borderId="0" xfId="0" applyFont="1" applyFill="1" applyAlignment="1">
      <alignment horizontal="right"/>
    </xf>
    <xf numFmtId="177" fontId="10" fillId="4" borderId="0" xfId="0" applyNumberFormat="1" applyFont="1" applyFill="1" applyAlignment="1">
      <alignment horizontal="right"/>
    </xf>
    <xf numFmtId="49" fontId="12" fillId="4" borderId="0" xfId="0" applyNumberFormat="1" applyFont="1" applyFill="1" applyAlignment="1">
      <alignment horizontal="right" vertical="center"/>
    </xf>
    <xf numFmtId="49" fontId="10" fillId="0" borderId="0" xfId="0" applyNumberFormat="1" applyFont="1"/>
    <xf numFmtId="0" fontId="12" fillId="4" borderId="0" xfId="0" applyFont="1" applyFill="1" applyAlignment="1">
      <alignment vertical="center"/>
    </xf>
    <xf numFmtId="0" fontId="10" fillId="3" borderId="0" xfId="0" applyFont="1" applyFill="1" applyAlignment="1">
      <alignment horizontal="right"/>
    </xf>
    <xf numFmtId="49" fontId="10" fillId="3" borderId="0" xfId="0" applyNumberFormat="1" applyFont="1" applyFill="1" applyAlignment="1">
      <alignment horizontal="right"/>
    </xf>
    <xf numFmtId="177" fontId="10" fillId="0" borderId="0" xfId="0" applyNumberFormat="1" applyFont="1" applyAlignment="1">
      <alignment horizontal="right" vertical="center"/>
    </xf>
    <xf numFmtId="0" fontId="10" fillId="0" borderId="0" xfId="3" applyFont="1">
      <alignment vertical="center"/>
    </xf>
    <xf numFmtId="1" fontId="12" fillId="8" borderId="0" xfId="0" applyNumberFormat="1" applyFont="1" applyFill="1" applyAlignment="1">
      <alignment horizontal="right" vertical="center"/>
    </xf>
    <xf numFmtId="0" fontId="7" fillId="0" borderId="0" xfId="3">
      <alignment vertical="center"/>
    </xf>
    <xf numFmtId="0" fontId="12" fillId="12" borderId="0" xfId="0" applyFont="1" applyFill="1" applyAlignment="1">
      <alignment horizontal="right" vertical="center"/>
    </xf>
    <xf numFmtId="0" fontId="10" fillId="12" borderId="0" xfId="0" applyFont="1" applyFill="1" applyAlignment="1">
      <alignment horizontal="right" vertical="center"/>
    </xf>
    <xf numFmtId="0" fontId="10" fillId="12" borderId="0" xfId="0" applyFont="1" applyFill="1" applyAlignment="1">
      <alignment horizontal="right"/>
    </xf>
    <xf numFmtId="49" fontId="10" fillId="12" borderId="0" xfId="0" applyNumberFormat="1" applyFont="1" applyFill="1" applyAlignment="1">
      <alignment horizontal="right"/>
    </xf>
    <xf numFmtId="177" fontId="10" fillId="3" borderId="0" xfId="0" applyNumberFormat="1" applyFont="1" applyFill="1" applyAlignment="1">
      <alignment horizontal="right"/>
    </xf>
    <xf numFmtId="0" fontId="12" fillId="13" borderId="0" xfId="0" applyFont="1" applyFill="1" applyAlignment="1">
      <alignment horizontal="right" vertical="center"/>
    </xf>
    <xf numFmtId="0" fontId="10" fillId="13" borderId="0" xfId="0" applyFont="1" applyFill="1" applyAlignment="1">
      <alignment horizontal="right" vertical="center"/>
    </xf>
    <xf numFmtId="0" fontId="10" fillId="13" borderId="0" xfId="0" applyFont="1" applyFill="1" applyAlignment="1">
      <alignment horizontal="right"/>
    </xf>
    <xf numFmtId="177" fontId="10" fillId="13" borderId="0" xfId="0" applyNumberFormat="1" applyFont="1" applyFill="1" applyAlignment="1">
      <alignment horizontal="right"/>
    </xf>
    <xf numFmtId="49" fontId="10" fillId="13" borderId="0" xfId="0" applyNumberFormat="1" applyFont="1" applyFill="1" applyAlignment="1">
      <alignment horizontal="right"/>
    </xf>
    <xf numFmtId="49" fontId="19" fillId="8" borderId="0" xfId="0" applyNumberFormat="1" applyFont="1" applyFill="1" applyAlignment="1">
      <alignment horizontal="center" vertical="center"/>
    </xf>
    <xf numFmtId="0" fontId="12" fillId="14" borderId="0" xfId="0" applyFont="1" applyFill="1" applyAlignment="1">
      <alignment horizontal="right" vertical="center"/>
    </xf>
    <xf numFmtId="0" fontId="10" fillId="14" borderId="0" xfId="0" applyFont="1" applyFill="1" applyAlignment="1">
      <alignment horizontal="right" vertical="center"/>
    </xf>
    <xf numFmtId="0" fontId="10" fillId="14" borderId="0" xfId="0" applyFont="1" applyFill="1" applyAlignment="1">
      <alignment horizontal="right"/>
    </xf>
    <xf numFmtId="49" fontId="10" fillId="14" borderId="0" xfId="0" applyNumberFormat="1" applyFont="1" applyFill="1" applyAlignment="1">
      <alignment horizontal="right"/>
    </xf>
    <xf numFmtId="0" fontId="12" fillId="15" borderId="0" xfId="0" applyFont="1" applyFill="1" applyAlignment="1">
      <alignment horizontal="right" vertical="center"/>
    </xf>
    <xf numFmtId="0" fontId="10" fillId="15" borderId="0" xfId="0" applyFont="1" applyFill="1" applyAlignment="1">
      <alignment horizontal="right" vertical="center"/>
    </xf>
    <xf numFmtId="0" fontId="10" fillId="15" borderId="0" xfId="0" applyFont="1" applyFill="1" applyAlignment="1">
      <alignment horizontal="right"/>
    </xf>
    <xf numFmtId="49" fontId="10" fillId="15" borderId="0" xfId="0" applyNumberFormat="1" applyFont="1" applyFill="1" applyAlignment="1">
      <alignment horizontal="right"/>
    </xf>
    <xf numFmtId="49" fontId="10" fillId="15" borderId="0" xfId="0" applyNumberFormat="1" applyFont="1" applyFill="1" applyAlignment="1">
      <alignment horizontal="right" vertical="center"/>
    </xf>
    <xf numFmtId="49" fontId="10" fillId="14" borderId="0" xfId="0" quotePrefix="1" applyNumberFormat="1" applyFont="1" applyFill="1" applyAlignment="1">
      <alignment horizontal="right"/>
    </xf>
    <xf numFmtId="49" fontId="20" fillId="0" borderId="0" xfId="0" applyNumberFormat="1" applyFont="1" applyAlignment="1">
      <alignment horizontal="right"/>
    </xf>
    <xf numFmtId="49" fontId="12" fillId="8" borderId="0" xfId="0" applyNumberFormat="1" applyFont="1" applyFill="1" applyAlignment="1">
      <alignment vertical="center"/>
    </xf>
    <xf numFmtId="49" fontId="12" fillId="8" borderId="0" xfId="0" applyNumberFormat="1" applyFont="1" applyFill="1" applyAlignment="1">
      <alignment horizontal="center" vertical="center"/>
    </xf>
    <xf numFmtId="49" fontId="21" fillId="8" borderId="0" xfId="0" applyNumberFormat="1" applyFont="1" applyFill="1" applyAlignment="1">
      <alignment horizontal="right" vertical="center"/>
    </xf>
    <xf numFmtId="1" fontId="10" fillId="4" borderId="0" xfId="0" applyNumberFormat="1" applyFont="1" applyFill="1" applyAlignment="1">
      <alignment horizontal="right"/>
    </xf>
    <xf numFmtId="1" fontId="7" fillId="0" borderId="0" xfId="3" applyNumberFormat="1">
      <alignment vertical="center"/>
    </xf>
    <xf numFmtId="1" fontId="2" fillId="0" borderId="0" xfId="117" applyNumberFormat="1">
      <alignment vertical="center"/>
    </xf>
    <xf numFmtId="1" fontId="2" fillId="0" borderId="0" xfId="194" applyNumberFormat="1">
      <alignment vertical="center"/>
    </xf>
    <xf numFmtId="178" fontId="20" fillId="0" borderId="0" xfId="0" applyNumberFormat="1" applyFont="1" applyAlignment="1">
      <alignment horizontal="right"/>
    </xf>
    <xf numFmtId="178" fontId="10" fillId="0" borderId="0" xfId="0" applyNumberFormat="1" applyFont="1" applyAlignment="1">
      <alignment horizontal="right"/>
    </xf>
    <xf numFmtId="178" fontId="12" fillId="8" borderId="0" xfId="0" applyNumberFormat="1" applyFont="1" applyFill="1" applyAlignment="1">
      <alignment horizontal="right" vertical="center"/>
    </xf>
    <xf numFmtId="1" fontId="10" fillId="3" borderId="0" xfId="0" applyNumberFormat="1" applyFont="1" applyFill="1" applyAlignment="1">
      <alignment horizontal="right"/>
    </xf>
    <xf numFmtId="0" fontId="16" fillId="3" borderId="0" xfId="0" applyFont="1" applyFill="1" applyAlignment="1">
      <alignment vertical="center"/>
    </xf>
    <xf numFmtId="0" fontId="22" fillId="3" borderId="0" xfId="0" applyFont="1" applyFill="1" applyAlignment="1">
      <alignment horizontal="right" vertical="center"/>
    </xf>
    <xf numFmtId="176" fontId="22" fillId="3" borderId="0" xfId="0" applyNumberFormat="1" applyFont="1" applyFill="1" applyAlignment="1">
      <alignment horizontal="right" vertical="center"/>
    </xf>
    <xf numFmtId="0" fontId="22" fillId="3" borderId="0" xfId="0" applyFont="1" applyFill="1" applyAlignment="1">
      <alignment horizontal="right"/>
    </xf>
    <xf numFmtId="49" fontId="22" fillId="3" borderId="0" xfId="0" applyNumberFormat="1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0" borderId="0" xfId="0" applyFont="1" applyAlignment="1">
      <alignment horizontal="right"/>
    </xf>
    <xf numFmtId="49" fontId="22" fillId="0" borderId="0" xfId="0" applyNumberFormat="1" applyFont="1" applyAlignment="1">
      <alignment horizontal="right"/>
    </xf>
    <xf numFmtId="0" fontId="12" fillId="0" borderId="0" xfId="0" applyFont="1" applyFill="1" applyAlignment="1">
      <alignment horizontal="right" vertical="center"/>
    </xf>
    <xf numFmtId="0" fontId="12" fillId="0" borderId="0" xfId="0" applyFont="1" applyFill="1" applyAlignment="1">
      <alignment vertical="center"/>
    </xf>
    <xf numFmtId="0" fontId="10" fillId="0" borderId="0" xfId="0" applyFont="1" applyFill="1" applyAlignment="1">
      <alignment horizontal="right" vertical="center"/>
    </xf>
    <xf numFmtId="176" fontId="10" fillId="0" borderId="0" xfId="0" applyNumberFormat="1" applyFont="1" applyFill="1" applyAlignment="1">
      <alignment horizontal="right" vertical="center"/>
    </xf>
    <xf numFmtId="0" fontId="10" fillId="0" borderId="0" xfId="0" applyFont="1" applyFill="1" applyAlignment="1">
      <alignment horizontal="right"/>
    </xf>
    <xf numFmtId="178" fontId="10" fillId="0" borderId="0" xfId="0" applyNumberFormat="1" applyFont="1" applyFill="1" applyAlignment="1">
      <alignment horizontal="right"/>
    </xf>
    <xf numFmtId="49" fontId="10" fillId="0" borderId="0" xfId="0" applyNumberFormat="1" applyFont="1" applyFill="1" applyAlignment="1">
      <alignment horizontal="right"/>
    </xf>
    <xf numFmtId="178" fontId="0" fillId="0" borderId="0" xfId="0" applyNumberFormat="1" applyAlignment="1">
      <alignment vertical="center"/>
    </xf>
    <xf numFmtId="176" fontId="10" fillId="4" borderId="0" xfId="0" applyNumberFormat="1" applyFont="1" applyFill="1" applyAlignment="1">
      <alignment horizontal="right" vertical="center"/>
    </xf>
    <xf numFmtId="0" fontId="12" fillId="16" borderId="0" xfId="0" applyFont="1" applyFill="1" applyAlignment="1">
      <alignment horizontal="right" vertical="center"/>
    </xf>
    <xf numFmtId="0" fontId="10" fillId="16" borderId="0" xfId="0" applyFont="1" applyFill="1" applyAlignment="1">
      <alignment horizontal="right" vertical="center"/>
    </xf>
    <xf numFmtId="176" fontId="10" fillId="16" borderId="0" xfId="0" applyNumberFormat="1" applyFont="1" applyFill="1" applyAlignment="1">
      <alignment horizontal="right" vertical="center"/>
    </xf>
    <xf numFmtId="0" fontId="10" fillId="16" borderId="0" xfId="0" applyFont="1" applyFill="1" applyAlignment="1">
      <alignment horizontal="right"/>
    </xf>
    <xf numFmtId="1" fontId="10" fillId="16" borderId="0" xfId="0" applyNumberFormat="1" applyFont="1" applyFill="1" applyAlignment="1">
      <alignment horizontal="right"/>
    </xf>
    <xf numFmtId="49" fontId="10" fillId="16" borderId="0" xfId="0" applyNumberFormat="1" applyFont="1" applyFill="1" applyAlignment="1">
      <alignment horizontal="right"/>
    </xf>
    <xf numFmtId="0" fontId="12" fillId="17" borderId="0" xfId="0" applyFont="1" applyFill="1" applyAlignment="1">
      <alignment horizontal="right" vertical="center"/>
    </xf>
    <xf numFmtId="0" fontId="10" fillId="17" borderId="0" xfId="0" applyFont="1" applyFill="1" applyAlignment="1">
      <alignment horizontal="right" vertical="center"/>
    </xf>
    <xf numFmtId="176" fontId="10" fillId="17" borderId="0" xfId="0" applyNumberFormat="1" applyFont="1" applyFill="1" applyAlignment="1">
      <alignment horizontal="right" vertical="center"/>
    </xf>
    <xf numFmtId="0" fontId="10" fillId="17" borderId="0" xfId="0" applyFont="1" applyFill="1" applyAlignment="1">
      <alignment horizontal="right"/>
    </xf>
    <xf numFmtId="177" fontId="10" fillId="17" borderId="0" xfId="0" applyNumberFormat="1" applyFont="1" applyFill="1" applyAlignment="1">
      <alignment horizontal="right"/>
    </xf>
    <xf numFmtId="49" fontId="10" fillId="17" borderId="0" xfId="0" applyNumberFormat="1" applyFont="1" applyFill="1" applyAlignment="1">
      <alignment horizontal="right"/>
    </xf>
    <xf numFmtId="176" fontId="10" fillId="12" borderId="0" xfId="0" applyNumberFormat="1" applyFont="1" applyFill="1" applyAlignment="1">
      <alignment horizontal="right" vertical="center"/>
    </xf>
    <xf numFmtId="177" fontId="10" fillId="12" borderId="0" xfId="0" applyNumberFormat="1" applyFont="1" applyFill="1" applyAlignment="1">
      <alignment horizontal="right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4" borderId="0" xfId="0" applyFont="1" applyFill="1"/>
    <xf numFmtId="0" fontId="12" fillId="4" borderId="0" xfId="0" applyFont="1" applyFill="1"/>
    <xf numFmtId="0" fontId="10" fillId="0" borderId="0" xfId="0" applyNumberFormat="1" applyFont="1" applyAlignment="1">
      <alignment horizontal="right"/>
    </xf>
    <xf numFmtId="0" fontId="12" fillId="18" borderId="5" xfId="0" applyFont="1" applyFill="1" applyBorder="1" applyAlignment="1">
      <alignment horizontal="right" vertical="center"/>
    </xf>
    <xf numFmtId="0" fontId="12" fillId="18" borderId="6" xfId="0" applyFont="1" applyFill="1" applyBorder="1" applyAlignment="1">
      <alignment horizontal="right" vertical="center"/>
    </xf>
    <xf numFmtId="0" fontId="16" fillId="18" borderId="6" xfId="0" applyFont="1" applyFill="1" applyBorder="1"/>
    <xf numFmtId="49" fontId="10" fillId="18" borderId="6" xfId="0" applyNumberFormat="1" applyFont="1" applyFill="1" applyBorder="1" applyAlignment="1">
      <alignment horizontal="right"/>
    </xf>
    <xf numFmtId="0" fontId="16" fillId="18" borderId="6" xfId="0" applyFont="1" applyFill="1" applyBorder="1" applyAlignment="1">
      <alignment horizontal="right"/>
    </xf>
    <xf numFmtId="0" fontId="12" fillId="18" borderId="8" xfId="0" applyFont="1" applyFill="1" applyBorder="1" applyAlignment="1">
      <alignment horizontal="right" vertical="center"/>
    </xf>
    <xf numFmtId="0" fontId="12" fillId="18" borderId="0" xfId="0" applyFont="1" applyFill="1" applyBorder="1" applyAlignment="1">
      <alignment horizontal="right" vertical="center"/>
    </xf>
    <xf numFmtId="0" fontId="16" fillId="18" borderId="0" xfId="0" applyFont="1" applyFill="1" applyBorder="1"/>
    <xf numFmtId="49" fontId="10" fillId="18" borderId="0" xfId="0" applyNumberFormat="1" applyFont="1" applyFill="1" applyBorder="1" applyAlignment="1">
      <alignment horizontal="right"/>
    </xf>
    <xf numFmtId="0" fontId="10" fillId="0" borderId="9" xfId="0" applyNumberFormat="1" applyFont="1" applyBorder="1" applyAlignment="1">
      <alignment horizontal="right"/>
    </xf>
    <xf numFmtId="0" fontId="12" fillId="19" borderId="8" xfId="0" applyFont="1" applyFill="1" applyBorder="1" applyAlignment="1">
      <alignment horizontal="right" vertical="center"/>
    </xf>
    <xf numFmtId="0" fontId="12" fillId="19" borderId="0" xfId="0" applyFont="1" applyFill="1" applyBorder="1" applyAlignment="1">
      <alignment horizontal="right" vertical="center"/>
    </xf>
    <xf numFmtId="0" fontId="16" fillId="19" borderId="0" xfId="0" applyFont="1" applyFill="1" applyBorder="1"/>
    <xf numFmtId="49" fontId="10" fillId="19" borderId="0" xfId="0" applyNumberFormat="1" applyFont="1" applyFill="1" applyBorder="1" applyAlignment="1">
      <alignment horizontal="right"/>
    </xf>
    <xf numFmtId="0" fontId="12" fillId="20" borderId="8" xfId="0" applyFont="1" applyFill="1" applyBorder="1" applyAlignment="1">
      <alignment horizontal="right" vertical="center"/>
    </xf>
    <xf numFmtId="0" fontId="12" fillId="20" borderId="0" xfId="0" applyFont="1" applyFill="1" applyBorder="1" applyAlignment="1">
      <alignment horizontal="right" vertical="center"/>
    </xf>
    <xf numFmtId="0" fontId="16" fillId="20" borderId="0" xfId="0" applyFont="1" applyFill="1" applyBorder="1"/>
    <xf numFmtId="49" fontId="10" fillId="20" borderId="0" xfId="0" applyNumberFormat="1" applyFont="1" applyFill="1" applyBorder="1" applyAlignment="1">
      <alignment horizontal="right"/>
    </xf>
    <xf numFmtId="0" fontId="12" fillId="21" borderId="8" xfId="0" applyFont="1" applyFill="1" applyBorder="1" applyAlignment="1">
      <alignment horizontal="right" vertical="center"/>
    </xf>
    <xf numFmtId="0" fontId="12" fillId="21" borderId="0" xfId="0" applyFont="1" applyFill="1" applyBorder="1" applyAlignment="1">
      <alignment horizontal="right" vertical="center"/>
    </xf>
    <xf numFmtId="0" fontId="16" fillId="21" borderId="0" xfId="0" applyFont="1" applyFill="1" applyBorder="1"/>
    <xf numFmtId="49" fontId="10" fillId="21" borderId="0" xfId="0" applyNumberFormat="1" applyFont="1" applyFill="1" applyBorder="1" applyAlignment="1">
      <alignment horizontal="right"/>
    </xf>
    <xf numFmtId="0" fontId="12" fillId="4" borderId="8" xfId="0" applyFont="1" applyFill="1" applyBorder="1" applyAlignment="1">
      <alignment horizontal="right" vertical="center"/>
    </xf>
    <xf numFmtId="0" fontId="12" fillId="4" borderId="0" xfId="0" applyFont="1" applyFill="1" applyBorder="1" applyAlignment="1">
      <alignment horizontal="right" vertical="center"/>
    </xf>
    <xf numFmtId="0" fontId="16" fillId="4" borderId="0" xfId="0" applyFont="1" applyFill="1" applyBorder="1"/>
    <xf numFmtId="49" fontId="10" fillId="4" borderId="0" xfId="0" applyNumberFormat="1" applyFont="1" applyFill="1" applyBorder="1" applyAlignment="1">
      <alignment horizontal="right"/>
    </xf>
    <xf numFmtId="0" fontId="12" fillId="9" borderId="8" xfId="0" applyFont="1" applyFill="1" applyBorder="1" applyAlignment="1">
      <alignment horizontal="right" vertical="center"/>
    </xf>
    <xf numFmtId="0" fontId="12" fillId="9" borderId="0" xfId="0" applyFont="1" applyFill="1" applyBorder="1" applyAlignment="1">
      <alignment horizontal="right" vertical="center"/>
    </xf>
    <xf numFmtId="0" fontId="16" fillId="9" borderId="0" xfId="0" applyFont="1" applyFill="1" applyBorder="1"/>
    <xf numFmtId="49" fontId="10" fillId="9" borderId="0" xfId="0" applyNumberFormat="1" applyFont="1" applyFill="1" applyBorder="1" applyAlignment="1">
      <alignment horizontal="right"/>
    </xf>
    <xf numFmtId="0" fontId="12" fillId="22" borderId="8" xfId="0" applyFont="1" applyFill="1" applyBorder="1" applyAlignment="1">
      <alignment horizontal="right" vertical="center"/>
    </xf>
    <xf numFmtId="0" fontId="12" fillId="22" borderId="0" xfId="0" applyFont="1" applyFill="1" applyBorder="1" applyAlignment="1">
      <alignment horizontal="right" vertical="center"/>
    </xf>
    <xf numFmtId="0" fontId="16" fillId="22" borderId="0" xfId="0" applyFont="1" applyFill="1" applyBorder="1"/>
    <xf numFmtId="49" fontId="10" fillId="22" borderId="0" xfId="0" applyNumberFormat="1" applyFont="1" applyFill="1" applyBorder="1" applyAlignment="1">
      <alignment horizontal="right"/>
    </xf>
    <xf numFmtId="0" fontId="12" fillId="22" borderId="10" xfId="0" applyFont="1" applyFill="1" applyBorder="1" applyAlignment="1">
      <alignment horizontal="right" vertical="center"/>
    </xf>
    <xf numFmtId="0" fontId="12" fillId="22" borderId="11" xfId="0" applyFont="1" applyFill="1" applyBorder="1" applyAlignment="1">
      <alignment horizontal="right" vertical="center"/>
    </xf>
    <xf numFmtId="0" fontId="16" fillId="22" borderId="11" xfId="0" applyFont="1" applyFill="1" applyBorder="1"/>
    <xf numFmtId="49" fontId="10" fillId="22" borderId="11" xfId="0" applyNumberFormat="1" applyFont="1" applyFill="1" applyBorder="1" applyAlignment="1">
      <alignment horizontal="right"/>
    </xf>
    <xf numFmtId="0" fontId="10" fillId="0" borderId="7" xfId="0" applyNumberFormat="1" applyFont="1" applyBorder="1" applyAlignment="1">
      <alignment horizontal="right"/>
    </xf>
    <xf numFmtId="0" fontId="16" fillId="0" borderId="0" xfId="0" applyFont="1" applyAlignment="1"/>
    <xf numFmtId="0" fontId="16" fillId="18" borderId="6" xfId="0" applyFont="1" applyFill="1" applyBorder="1" applyAlignment="1"/>
    <xf numFmtId="0" fontId="16" fillId="18" borderId="0" xfId="0" applyFont="1" applyFill="1" applyBorder="1" applyAlignment="1"/>
    <xf numFmtId="0" fontId="16" fillId="19" borderId="0" xfId="0" applyFont="1" applyFill="1" applyBorder="1" applyAlignment="1"/>
    <xf numFmtId="0" fontId="16" fillId="20" borderId="0" xfId="0" applyFont="1" applyFill="1" applyBorder="1" applyAlignment="1"/>
    <xf numFmtId="0" fontId="16" fillId="21" borderId="0" xfId="0" applyFont="1" applyFill="1" applyBorder="1" applyAlignment="1"/>
    <xf numFmtId="0" fontId="16" fillId="4" borderId="0" xfId="0" applyFont="1" applyFill="1" applyBorder="1" applyAlignment="1"/>
    <xf numFmtId="0" fontId="16" fillId="9" borderId="0" xfId="0" applyFont="1" applyFill="1" applyBorder="1" applyAlignment="1"/>
    <xf numFmtId="0" fontId="16" fillId="22" borderId="0" xfId="0" applyFont="1" applyFill="1" applyBorder="1" applyAlignment="1"/>
    <xf numFmtId="0" fontId="16" fillId="22" borderId="11" xfId="0" applyFont="1" applyFill="1" applyBorder="1" applyAlignment="1"/>
    <xf numFmtId="1" fontId="10" fillId="12" borderId="0" xfId="0" applyNumberFormat="1" applyFont="1" applyFill="1" applyAlignment="1">
      <alignment horizontal="right"/>
    </xf>
    <xf numFmtId="176" fontId="10" fillId="13" borderId="0" xfId="0" applyNumberFormat="1" applyFont="1" applyFill="1" applyAlignment="1">
      <alignment horizontal="right" vertical="center"/>
    </xf>
    <xf numFmtId="0" fontId="16" fillId="13" borderId="0" xfId="0" applyFont="1" applyFill="1" applyAlignment="1">
      <alignment vertical="center"/>
    </xf>
    <xf numFmtId="1" fontId="10" fillId="13" borderId="0" xfId="0" applyNumberFormat="1" applyFont="1" applyFill="1" applyAlignment="1">
      <alignment horizontal="right"/>
    </xf>
    <xf numFmtId="0" fontId="12" fillId="23" borderId="0" xfId="0" applyFont="1" applyFill="1" applyAlignment="1">
      <alignment horizontal="right" vertical="center"/>
    </xf>
    <xf numFmtId="0" fontId="10" fillId="23" borderId="0" xfId="0" applyFont="1" applyFill="1" applyAlignment="1">
      <alignment horizontal="right" vertical="center"/>
    </xf>
    <xf numFmtId="176" fontId="10" fillId="23" borderId="0" xfId="0" applyNumberFormat="1" applyFont="1" applyFill="1" applyAlignment="1">
      <alignment horizontal="right" vertical="center"/>
    </xf>
    <xf numFmtId="49" fontId="10" fillId="23" borderId="0" xfId="0" applyNumberFormat="1" applyFont="1" applyFill="1" applyAlignment="1">
      <alignment horizontal="right"/>
    </xf>
    <xf numFmtId="1" fontId="10" fillId="23" borderId="0" xfId="0" applyNumberFormat="1" applyFont="1" applyFill="1" applyAlignment="1">
      <alignment horizontal="right"/>
    </xf>
    <xf numFmtId="0" fontId="12" fillId="24" borderId="0" xfId="0" applyFont="1" applyFill="1" applyAlignment="1">
      <alignment horizontal="right" vertical="center"/>
    </xf>
    <xf numFmtId="0" fontId="10" fillId="24" borderId="0" xfId="0" applyFont="1" applyFill="1" applyAlignment="1">
      <alignment horizontal="right"/>
    </xf>
    <xf numFmtId="49" fontId="10" fillId="24" borderId="0" xfId="0" applyNumberFormat="1" applyFont="1" applyFill="1" applyAlignment="1">
      <alignment horizontal="right"/>
    </xf>
    <xf numFmtId="178" fontId="10" fillId="0" borderId="0" xfId="3" applyNumberFormat="1" applyFont="1">
      <alignment vertical="center"/>
    </xf>
    <xf numFmtId="178" fontId="7" fillId="0" borderId="0" xfId="3" applyNumberFormat="1">
      <alignment vertical="center"/>
    </xf>
    <xf numFmtId="178" fontId="15" fillId="8" borderId="0" xfId="0" applyNumberFormat="1" applyFont="1" applyFill="1" applyAlignment="1">
      <alignment vertical="center"/>
    </xf>
    <xf numFmtId="0" fontId="12" fillId="25" borderId="0" xfId="0" applyFont="1" applyFill="1" applyAlignment="1">
      <alignment horizontal="right" vertical="center"/>
    </xf>
    <xf numFmtId="0" fontId="10" fillId="25" borderId="0" xfId="0" applyFont="1" applyFill="1" applyAlignment="1">
      <alignment horizontal="right" vertical="center"/>
    </xf>
    <xf numFmtId="176" fontId="10" fillId="25" borderId="0" xfId="0" applyNumberFormat="1" applyFont="1" applyFill="1" applyAlignment="1">
      <alignment horizontal="right" vertical="center"/>
    </xf>
    <xf numFmtId="0" fontId="10" fillId="25" borderId="0" xfId="0" applyFont="1" applyFill="1" applyAlignment="1">
      <alignment horizontal="right"/>
    </xf>
    <xf numFmtId="49" fontId="10" fillId="25" borderId="0" xfId="0" applyNumberFormat="1" applyFont="1" applyFill="1" applyAlignment="1">
      <alignment horizontal="right"/>
    </xf>
    <xf numFmtId="1" fontId="10" fillId="25" borderId="0" xfId="0" applyNumberFormat="1" applyFont="1" applyFill="1" applyAlignment="1">
      <alignment horizontal="right"/>
    </xf>
    <xf numFmtId="0" fontId="10" fillId="24" borderId="0" xfId="0" applyFont="1" applyFill="1" applyAlignment="1">
      <alignment horizontal="right" vertical="center"/>
    </xf>
    <xf numFmtId="176" fontId="10" fillId="24" borderId="0" xfId="0" applyNumberFormat="1" applyFont="1" applyFill="1" applyAlignment="1">
      <alignment horizontal="right" vertical="center"/>
    </xf>
    <xf numFmtId="1" fontId="10" fillId="24" borderId="0" xfId="0" applyNumberFormat="1" applyFont="1" applyFill="1" applyAlignment="1">
      <alignment horizontal="right"/>
    </xf>
    <xf numFmtId="0" fontId="12" fillId="26" borderId="0" xfId="0" applyFont="1" applyFill="1" applyAlignment="1">
      <alignment horizontal="right" vertical="center"/>
    </xf>
    <xf numFmtId="0" fontId="10" fillId="26" borderId="0" xfId="0" applyFont="1" applyFill="1" applyAlignment="1">
      <alignment horizontal="right" vertical="center"/>
    </xf>
    <xf numFmtId="176" fontId="10" fillId="26" borderId="0" xfId="0" applyNumberFormat="1" applyFont="1" applyFill="1" applyAlignment="1">
      <alignment horizontal="right" vertical="center"/>
    </xf>
    <xf numFmtId="0" fontId="10" fillId="26" borderId="0" xfId="0" applyFont="1" applyFill="1" applyAlignment="1">
      <alignment horizontal="right"/>
    </xf>
    <xf numFmtId="49" fontId="10" fillId="26" borderId="0" xfId="0" applyNumberFormat="1" applyFont="1" applyFill="1" applyAlignment="1">
      <alignment horizontal="right"/>
    </xf>
    <xf numFmtId="1" fontId="10" fillId="26" borderId="0" xfId="0" applyNumberFormat="1" applyFont="1" applyFill="1" applyAlignment="1">
      <alignment horizontal="right"/>
    </xf>
    <xf numFmtId="49" fontId="12" fillId="2" borderId="2" xfId="0" applyNumberFormat="1" applyFont="1" applyFill="1" applyBorder="1" applyAlignment="1">
      <alignment horizontal="right" vertical="center" textRotation="90"/>
    </xf>
    <xf numFmtId="49" fontId="10" fillId="0" borderId="0" xfId="0" applyNumberFormat="1" applyFont="1" applyFill="1" applyBorder="1" applyAlignment="1" applyProtection="1">
      <alignment horizontal="right"/>
      <protection locked="0"/>
    </xf>
    <xf numFmtId="49" fontId="10" fillId="0" borderId="0" xfId="0" applyNumberFormat="1" applyFont="1" applyFill="1" applyBorder="1" applyAlignment="1" applyProtection="1">
      <alignment horizontal="right" vertical="center"/>
      <protection locked="0"/>
    </xf>
    <xf numFmtId="49" fontId="12" fillId="0" borderId="0" xfId="0" applyNumberFormat="1" applyFont="1" applyFill="1" applyBorder="1" applyAlignment="1" applyProtection="1">
      <alignment horizontal="right" vertical="center" textRotation="90"/>
      <protection locked="0"/>
    </xf>
    <xf numFmtId="0" fontId="0" fillId="0" borderId="0" xfId="0" applyFill="1" applyBorder="1" applyProtection="1">
      <protection locked="0"/>
    </xf>
    <xf numFmtId="49" fontId="22" fillId="0" borderId="0" xfId="0" applyNumberFormat="1" applyFont="1" applyFill="1" applyBorder="1" applyAlignment="1" applyProtection="1">
      <alignment horizontal="right"/>
      <protection locked="0"/>
    </xf>
    <xf numFmtId="49" fontId="10" fillId="0" borderId="0" xfId="0" applyNumberFormat="1" applyFont="1" applyAlignment="1" applyProtection="1">
      <alignment horizontal="right"/>
      <protection locked="0"/>
    </xf>
    <xf numFmtId="49" fontId="12" fillId="27" borderId="1" xfId="230" applyNumberFormat="1" applyFont="1" applyFill="1" applyBorder="1" applyAlignment="1">
      <alignment horizontal="center" vertical="center"/>
    </xf>
    <xf numFmtId="49" fontId="12" fillId="27" borderId="1" xfId="0" applyNumberFormat="1" applyFont="1" applyFill="1" applyBorder="1" applyAlignment="1">
      <alignment horizontal="center" vertical="center"/>
    </xf>
    <xf numFmtId="49" fontId="12" fillId="27" borderId="0" xfId="0" applyNumberFormat="1" applyFont="1" applyFill="1" applyAlignment="1">
      <alignment horizontal="center" vertical="center"/>
    </xf>
    <xf numFmtId="49" fontId="12" fillId="27" borderId="0" xfId="0" applyNumberFormat="1" applyFont="1" applyFill="1" applyAlignment="1">
      <alignment horizontal="center" vertical="center" textRotation="90"/>
    </xf>
    <xf numFmtId="0" fontId="16" fillId="9" borderId="0" xfId="0" applyFont="1" applyFill="1"/>
    <xf numFmtId="176" fontId="10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/>
    </xf>
    <xf numFmtId="1" fontId="10" fillId="9" borderId="0" xfId="0" applyNumberFormat="1" applyFont="1" applyFill="1" applyAlignment="1">
      <alignment horizontal="right"/>
    </xf>
    <xf numFmtId="49" fontId="10" fillId="9" borderId="0" xfId="0" applyNumberFormat="1" applyFont="1" applyFill="1" applyBorder="1" applyAlignment="1" applyProtection="1">
      <alignment horizontal="right"/>
      <protection locked="0"/>
    </xf>
    <xf numFmtId="0" fontId="16" fillId="12" borderId="0" xfId="0" applyFont="1" applyFill="1"/>
    <xf numFmtId="0" fontId="16" fillId="12" borderId="0" xfId="0" applyFont="1" applyFill="1" applyAlignment="1">
      <alignment vertical="center"/>
    </xf>
    <xf numFmtId="49" fontId="24" fillId="12" borderId="0" xfId="0" applyNumberFormat="1" applyFont="1" applyFill="1" applyAlignment="1">
      <alignment horizontal="right"/>
    </xf>
    <xf numFmtId="0" fontId="16" fillId="18" borderId="0" xfId="0" applyFont="1" applyFill="1" applyAlignment="1">
      <alignment horizontal="right"/>
    </xf>
    <xf numFmtId="49" fontId="10" fillId="19" borderId="0" xfId="0" applyNumberFormat="1" applyFont="1" applyFill="1" applyAlignment="1">
      <alignment horizontal="right"/>
    </xf>
    <xf numFmtId="0" fontId="16" fillId="19" borderId="0" xfId="0" applyFont="1" applyFill="1" applyAlignment="1">
      <alignment horizontal="right"/>
    </xf>
    <xf numFmtId="49" fontId="10" fillId="20" borderId="0" xfId="0" applyNumberFormat="1" applyFont="1" applyFill="1" applyAlignment="1">
      <alignment horizontal="right"/>
    </xf>
    <xf numFmtId="0" fontId="16" fillId="20" borderId="0" xfId="0" applyFont="1" applyFill="1" applyAlignment="1">
      <alignment horizontal="right"/>
    </xf>
    <xf numFmtId="49" fontId="10" fillId="21" borderId="0" xfId="0" applyNumberFormat="1" applyFont="1" applyFill="1" applyAlignment="1">
      <alignment horizontal="right"/>
    </xf>
    <xf numFmtId="0" fontId="16" fillId="22" borderId="0" xfId="0" applyFont="1" applyFill="1" applyAlignment="1">
      <alignment horizontal="right"/>
    </xf>
    <xf numFmtId="49" fontId="10" fillId="22" borderId="0" xfId="0" applyNumberFormat="1" applyFont="1" applyFill="1" applyAlignment="1">
      <alignment horizontal="right"/>
    </xf>
    <xf numFmtId="1" fontId="16" fillId="0" borderId="0" xfId="0" applyNumberFormat="1" applyFont="1" applyAlignment="1">
      <alignment vertical="center"/>
    </xf>
    <xf numFmtId="0" fontId="16" fillId="13" borderId="0" xfId="0" applyFont="1" applyFill="1"/>
    <xf numFmtId="49" fontId="10" fillId="13" borderId="0" xfId="0" applyNumberFormat="1" applyFont="1" applyFill="1" applyBorder="1" applyAlignment="1" applyProtection="1">
      <alignment horizontal="right"/>
      <protection locked="0"/>
    </xf>
    <xf numFmtId="49" fontId="10" fillId="13" borderId="0" xfId="0" applyNumberFormat="1" applyFont="1" applyFill="1" applyAlignment="1" applyProtection="1">
      <alignment horizontal="right"/>
      <protection locked="0"/>
    </xf>
    <xf numFmtId="0" fontId="16" fillId="0" borderId="0" xfId="0" applyFont="1" applyFill="1"/>
    <xf numFmtId="178" fontId="10" fillId="0" borderId="0" xfId="3" applyNumberFormat="1" applyFont="1" applyFill="1">
      <alignment vertical="center"/>
    </xf>
    <xf numFmtId="0" fontId="14" fillId="0" borderId="0" xfId="0" applyFont="1" applyFill="1" applyAlignment="1">
      <alignment horizontal="right" vertical="center"/>
    </xf>
    <xf numFmtId="178" fontId="7" fillId="0" borderId="0" xfId="3" applyNumberFormat="1" applyFill="1">
      <alignment vertical="center"/>
    </xf>
    <xf numFmtId="1" fontId="7" fillId="0" borderId="0" xfId="3" applyNumberFormat="1" applyFill="1">
      <alignment vertical="center"/>
    </xf>
    <xf numFmtId="1" fontId="10" fillId="0" borderId="0" xfId="0" applyNumberFormat="1" applyFont="1" applyFill="1" applyAlignment="1">
      <alignment horizontal="right"/>
    </xf>
    <xf numFmtId="1" fontId="10" fillId="0" borderId="0" xfId="3" applyNumberFormat="1" applyFont="1" applyFill="1">
      <alignment vertical="center"/>
    </xf>
    <xf numFmtId="0" fontId="16" fillId="8" borderId="0" xfId="0" applyFont="1" applyFill="1"/>
    <xf numFmtId="176" fontId="10" fillId="8" borderId="0" xfId="0" applyNumberFormat="1" applyFont="1" applyFill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" fontId="10" fillId="0" borderId="0" xfId="3" applyNumberFormat="1" applyFont="1">
      <alignment vertical="center"/>
    </xf>
    <xf numFmtId="49" fontId="12" fillId="28" borderId="0" xfId="0" applyNumberFormat="1" applyFont="1" applyFill="1" applyAlignment="1">
      <alignment horizontal="right" vertical="center"/>
    </xf>
    <xf numFmtId="49" fontId="19" fillId="28" borderId="0" xfId="0" applyNumberFormat="1" applyFont="1" applyFill="1" applyAlignment="1">
      <alignment horizontal="center" vertical="center"/>
    </xf>
    <xf numFmtId="0" fontId="16" fillId="28" borderId="0" xfId="0" applyFont="1" applyFill="1"/>
    <xf numFmtId="176" fontId="10" fillId="28" borderId="0" xfId="0" applyNumberFormat="1" applyFont="1" applyFill="1" applyAlignment="1">
      <alignment horizontal="right" vertical="center"/>
    </xf>
    <xf numFmtId="0" fontId="12" fillId="28" borderId="0" xfId="0" applyFont="1" applyFill="1" applyAlignment="1">
      <alignment horizontal="right" vertical="center"/>
    </xf>
    <xf numFmtId="49" fontId="10" fillId="0" borderId="0" xfId="0" applyNumberFormat="1" applyFont="1" applyFill="1" applyAlignment="1">
      <alignment horizontal="right" vertical="center"/>
    </xf>
    <xf numFmtId="49" fontId="1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Alignment="1">
      <alignment horizontal="right" vertical="center"/>
    </xf>
    <xf numFmtId="49" fontId="13" fillId="0" borderId="0" xfId="0" applyNumberFormat="1" applyFont="1" applyFill="1" applyAlignment="1">
      <alignment horizontal="right"/>
    </xf>
    <xf numFmtId="49" fontId="14" fillId="0" borderId="0" xfId="0" applyNumberFormat="1" applyFont="1" applyFill="1" applyAlignment="1">
      <alignment horizontal="right" vertical="center"/>
    </xf>
    <xf numFmtId="1" fontId="12" fillId="0" borderId="0" xfId="0" applyNumberFormat="1" applyFont="1" applyFill="1" applyAlignment="1">
      <alignment horizontal="right" vertical="center"/>
    </xf>
    <xf numFmtId="49" fontId="12" fillId="0" borderId="0" xfId="0" applyNumberFormat="1" applyFont="1" applyFill="1" applyAlignment="1">
      <alignment horizontal="center" vertical="center"/>
    </xf>
    <xf numFmtId="1" fontId="10" fillId="0" borderId="0" xfId="0" applyNumberFormat="1" applyFont="1" applyFill="1"/>
    <xf numFmtId="49" fontId="10" fillId="0" borderId="0" xfId="0" applyNumberFormat="1" applyFont="1" applyFill="1"/>
    <xf numFmtId="49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0" fontId="10" fillId="0" borderId="0" xfId="0" applyNumberFormat="1" applyFont="1" applyFill="1" applyAlignment="1">
      <alignment horizontal="right"/>
    </xf>
    <xf numFmtId="0" fontId="14" fillId="3" borderId="0" xfId="0" applyFont="1" applyFill="1" applyAlignment="1">
      <alignment horizontal="right" vertical="center"/>
    </xf>
    <xf numFmtId="0" fontId="14" fillId="0" borderId="0" xfId="0" applyFont="1"/>
    <xf numFmtId="176" fontId="14" fillId="3" borderId="0" xfId="0" applyNumberFormat="1" applyFont="1" applyFill="1" applyAlignment="1">
      <alignment horizontal="right" vertical="center"/>
    </xf>
    <xf numFmtId="0" fontId="14" fillId="3" borderId="0" xfId="0" applyFont="1" applyFill="1" applyAlignment="1">
      <alignment horizontal="right"/>
    </xf>
    <xf numFmtId="49" fontId="14" fillId="3" borderId="0" xfId="0" applyNumberFormat="1" applyFont="1" applyFill="1" applyAlignment="1">
      <alignment horizontal="right"/>
    </xf>
    <xf numFmtId="49" fontId="14" fillId="0" borderId="0" xfId="0" applyNumberFormat="1" applyFont="1" applyAlignment="1">
      <alignment horizontal="right"/>
    </xf>
    <xf numFmtId="1" fontId="14" fillId="3" borderId="0" xfId="0" applyNumberFormat="1" applyFont="1" applyFill="1" applyAlignment="1">
      <alignment horizontal="right"/>
    </xf>
    <xf numFmtId="49" fontId="14" fillId="0" borderId="0" xfId="0" applyNumberFormat="1" applyFont="1" applyAlignment="1" applyProtection="1">
      <alignment horizontal="right"/>
      <protection locked="0"/>
    </xf>
    <xf numFmtId="0" fontId="14" fillId="0" borderId="0" xfId="0" applyFont="1" applyAlignment="1">
      <alignment horizontal="right"/>
    </xf>
    <xf numFmtId="0" fontId="12" fillId="29" borderId="0" xfId="0" applyFont="1" applyFill="1" applyAlignment="1">
      <alignment horizontal="right" vertical="center"/>
    </xf>
    <xf numFmtId="0" fontId="10" fillId="29" borderId="0" xfId="0" applyFont="1" applyFill="1" applyAlignment="1">
      <alignment horizontal="right" vertical="center"/>
    </xf>
    <xf numFmtId="0" fontId="16" fillId="29" borderId="0" xfId="0" applyFont="1" applyFill="1"/>
    <xf numFmtId="176" fontId="10" fillId="29" borderId="0" xfId="0" applyNumberFormat="1" applyFont="1" applyFill="1" applyAlignment="1">
      <alignment horizontal="right" vertical="center"/>
    </xf>
    <xf numFmtId="0" fontId="10" fillId="29" borderId="0" xfId="0" applyFont="1" applyFill="1" applyAlignment="1">
      <alignment horizontal="right"/>
    </xf>
    <xf numFmtId="49" fontId="10" fillId="29" borderId="0" xfId="0" applyNumberFormat="1" applyFont="1" applyFill="1" applyAlignment="1">
      <alignment horizontal="right"/>
    </xf>
    <xf numFmtId="1" fontId="10" fillId="29" borderId="0" xfId="0" applyNumberFormat="1" applyFont="1" applyFill="1" applyAlignment="1">
      <alignment horizontal="right"/>
    </xf>
    <xf numFmtId="49" fontId="10" fillId="29" borderId="0" xfId="0" applyNumberFormat="1" applyFont="1" applyFill="1" applyAlignment="1" applyProtection="1">
      <alignment horizontal="right"/>
      <protection locked="0"/>
    </xf>
    <xf numFmtId="49" fontId="10" fillId="0" borderId="0" xfId="0" applyNumberFormat="1" applyFont="1" applyFill="1" applyAlignment="1" applyProtection="1">
      <alignment horizontal="right"/>
      <protection locked="0"/>
    </xf>
    <xf numFmtId="3" fontId="10" fillId="0" borderId="0" xfId="0" applyNumberFormat="1" applyFont="1" applyAlignment="1">
      <alignment horizontal="right" vertical="center"/>
    </xf>
    <xf numFmtId="49" fontId="12" fillId="26" borderId="0" xfId="0" applyNumberFormat="1" applyFont="1" applyFill="1" applyAlignment="1">
      <alignment horizontal="right" vertical="center"/>
    </xf>
    <xf numFmtId="49" fontId="19" fillId="26" borderId="0" xfId="0" applyNumberFormat="1" applyFont="1" applyFill="1" applyAlignment="1">
      <alignment horizontal="center" vertical="center"/>
    </xf>
    <xf numFmtId="49" fontId="10" fillId="26" borderId="0" xfId="0" applyNumberFormat="1" applyFont="1" applyFill="1" applyBorder="1" applyAlignment="1" applyProtection="1">
      <alignment horizontal="right"/>
      <protection locked="0"/>
    </xf>
    <xf numFmtId="3" fontId="16" fillId="0" borderId="0" xfId="0" applyNumberFormat="1" applyFont="1"/>
    <xf numFmtId="0" fontId="12" fillId="30" borderId="0" xfId="0" applyFont="1" applyFill="1" applyAlignment="1">
      <alignment horizontal="right" vertical="center"/>
    </xf>
    <xf numFmtId="0" fontId="10" fillId="30" borderId="0" xfId="0" applyFont="1" applyFill="1" applyAlignment="1">
      <alignment horizontal="right" vertical="center"/>
    </xf>
    <xf numFmtId="0" fontId="16" fillId="30" borderId="0" xfId="0" applyFont="1" applyFill="1"/>
    <xf numFmtId="176" fontId="10" fillId="30" borderId="0" xfId="0" applyNumberFormat="1" applyFont="1" applyFill="1" applyAlignment="1">
      <alignment horizontal="right" vertical="center"/>
    </xf>
    <xf numFmtId="0" fontId="10" fillId="30" borderId="0" xfId="0" applyFont="1" applyFill="1" applyAlignment="1">
      <alignment horizontal="right"/>
    </xf>
    <xf numFmtId="49" fontId="10" fillId="30" borderId="0" xfId="0" applyNumberFormat="1" applyFont="1" applyFill="1" applyAlignment="1">
      <alignment horizontal="right"/>
    </xf>
    <xf numFmtId="1" fontId="10" fillId="30" borderId="0" xfId="0" applyNumberFormat="1" applyFont="1" applyFill="1" applyAlignment="1">
      <alignment horizontal="right"/>
    </xf>
    <xf numFmtId="49" fontId="10" fillId="30" borderId="0" xfId="0" applyNumberFormat="1" applyFont="1" applyFill="1" applyBorder="1" applyAlignment="1" applyProtection="1">
      <alignment horizontal="right"/>
      <protection locked="0"/>
    </xf>
    <xf numFmtId="0" fontId="10" fillId="30" borderId="0" xfId="0" applyNumberFormat="1" applyFont="1" applyFill="1" applyAlignment="1">
      <alignment horizontal="right" vertical="center"/>
    </xf>
    <xf numFmtId="0" fontId="14" fillId="0" borderId="0" xfId="0" applyNumberFormat="1" applyFont="1" applyAlignment="1">
      <alignment horizontal="right" vertical="center"/>
    </xf>
    <xf numFmtId="0" fontId="14" fillId="3" borderId="0" xfId="0" applyNumberFormat="1" applyFont="1" applyFill="1" applyAlignment="1">
      <alignment horizontal="right" vertical="center"/>
    </xf>
    <xf numFmtId="0" fontId="10" fillId="2" borderId="2" xfId="0" applyFont="1" applyFill="1" applyBorder="1" applyAlignment="1">
      <alignment horizontal="right" vertical="center"/>
    </xf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</cellXfs>
  <cellStyles count="231">
    <cellStyle name="표준" xfId="0" builtinId="0"/>
    <cellStyle name="표준 10" xfId="30" xr:uid="{00000000-0005-0000-0000-000002000000}"/>
    <cellStyle name="표준 10 2" xfId="81" xr:uid="{00000000-0005-0000-0000-000003000000}"/>
    <cellStyle name="표준 10 2 2" xfId="194" xr:uid="{00000000-0005-0000-0000-000004000000}"/>
    <cellStyle name="표준 10 3" xfId="144" xr:uid="{00000000-0005-0000-0000-000005000000}"/>
    <cellStyle name="표준 11" xfId="44" xr:uid="{00000000-0005-0000-0000-000006000000}"/>
    <cellStyle name="표준 12" xfId="15" xr:uid="{00000000-0005-0000-0000-000007000000}"/>
    <cellStyle name="표준 12 2" xfId="130" xr:uid="{00000000-0005-0000-0000-000008000000}"/>
    <cellStyle name="표준 13" xfId="67" xr:uid="{00000000-0005-0000-0000-000009000000}"/>
    <cellStyle name="표준 13 2" xfId="180" xr:uid="{00000000-0005-0000-0000-00000A000000}"/>
    <cellStyle name="표준 14" xfId="118" xr:uid="{00000000-0005-0000-0000-00000B000000}"/>
    <cellStyle name="표준 15" xfId="117" xr:uid="{00000000-0005-0000-0000-00000C000000}"/>
    <cellStyle name="표준 2" xfId="2" xr:uid="{00000000-0005-0000-0000-00000D000000}"/>
    <cellStyle name="표준 2 2" xfId="230" xr:uid="{F65F6EDA-25D4-46EA-BCAE-0C50CE82A4D8}"/>
    <cellStyle name="표준 3" xfId="1" xr:uid="{00000000-0005-0000-0000-00000E000000}"/>
    <cellStyle name="표준 3 10" xfId="119" xr:uid="{00000000-0005-0000-0000-00000F000000}"/>
    <cellStyle name="표준 3 2" xfId="6" xr:uid="{00000000-0005-0000-0000-000010000000}"/>
    <cellStyle name="표준 3 2 2" xfId="13" xr:uid="{00000000-0005-0000-0000-000011000000}"/>
    <cellStyle name="표준 3 2 2 2" xfId="42" xr:uid="{00000000-0005-0000-0000-000012000000}"/>
    <cellStyle name="표준 3 2 2 2 2" xfId="93" xr:uid="{00000000-0005-0000-0000-000013000000}"/>
    <cellStyle name="표준 3 2 2 2 2 2" xfId="206" xr:uid="{00000000-0005-0000-0000-000014000000}"/>
    <cellStyle name="표준 3 2 2 2 3" xfId="156" xr:uid="{00000000-0005-0000-0000-000015000000}"/>
    <cellStyle name="표준 3 2 2 3" xfId="54" xr:uid="{00000000-0005-0000-0000-000016000000}"/>
    <cellStyle name="표준 3 2 2 3 2" xfId="104" xr:uid="{00000000-0005-0000-0000-000017000000}"/>
    <cellStyle name="표준 3 2 2 3 2 2" xfId="217" xr:uid="{00000000-0005-0000-0000-000018000000}"/>
    <cellStyle name="표준 3 2 2 3 3" xfId="167" xr:uid="{00000000-0005-0000-0000-000019000000}"/>
    <cellStyle name="표준 3 2 2 4" xfId="65" xr:uid="{00000000-0005-0000-0000-00001A000000}"/>
    <cellStyle name="표준 3 2 2 4 2" xfId="115" xr:uid="{00000000-0005-0000-0000-00001B000000}"/>
    <cellStyle name="표준 3 2 2 4 2 2" xfId="228" xr:uid="{00000000-0005-0000-0000-00001C000000}"/>
    <cellStyle name="표준 3 2 2 4 3" xfId="178" xr:uid="{00000000-0005-0000-0000-00001D000000}"/>
    <cellStyle name="표준 3 2 2 5" xfId="26" xr:uid="{00000000-0005-0000-0000-00001E000000}"/>
    <cellStyle name="표준 3 2 2 5 2" xfId="140" xr:uid="{00000000-0005-0000-0000-00001F000000}"/>
    <cellStyle name="표준 3 2 2 6" xfId="77" xr:uid="{00000000-0005-0000-0000-000020000000}"/>
    <cellStyle name="표준 3 2 2 6 2" xfId="190" xr:uid="{00000000-0005-0000-0000-000021000000}"/>
    <cellStyle name="표준 3 2 2 7" xfId="128" xr:uid="{00000000-0005-0000-0000-000022000000}"/>
    <cellStyle name="표준 3 2 3" xfId="37" xr:uid="{00000000-0005-0000-0000-000023000000}"/>
    <cellStyle name="표준 3 2 3 2" xfId="88" xr:uid="{00000000-0005-0000-0000-000024000000}"/>
    <cellStyle name="표준 3 2 3 2 2" xfId="201" xr:uid="{00000000-0005-0000-0000-000025000000}"/>
    <cellStyle name="표준 3 2 3 3" xfId="151" xr:uid="{00000000-0005-0000-0000-000026000000}"/>
    <cellStyle name="표준 3 2 4" xfId="48" xr:uid="{00000000-0005-0000-0000-000027000000}"/>
    <cellStyle name="표준 3 2 4 2" xfId="98" xr:uid="{00000000-0005-0000-0000-000028000000}"/>
    <cellStyle name="표준 3 2 4 2 2" xfId="211" xr:uid="{00000000-0005-0000-0000-000029000000}"/>
    <cellStyle name="표준 3 2 4 3" xfId="161" xr:uid="{00000000-0005-0000-0000-00002A000000}"/>
    <cellStyle name="표준 3 2 5" xfId="59" xr:uid="{00000000-0005-0000-0000-00002B000000}"/>
    <cellStyle name="표준 3 2 5 2" xfId="109" xr:uid="{00000000-0005-0000-0000-00002C000000}"/>
    <cellStyle name="표준 3 2 5 2 2" xfId="222" xr:uid="{00000000-0005-0000-0000-00002D000000}"/>
    <cellStyle name="표준 3 2 5 3" xfId="172" xr:uid="{00000000-0005-0000-0000-00002E000000}"/>
    <cellStyle name="표준 3 2 6" xfId="20" xr:uid="{00000000-0005-0000-0000-00002F000000}"/>
    <cellStyle name="표준 3 2 6 2" xfId="134" xr:uid="{00000000-0005-0000-0000-000030000000}"/>
    <cellStyle name="표준 3 2 7" xfId="71" xr:uid="{00000000-0005-0000-0000-000031000000}"/>
    <cellStyle name="표준 3 2 7 2" xfId="184" xr:uid="{00000000-0005-0000-0000-000032000000}"/>
    <cellStyle name="표준 3 2 8" xfId="122" xr:uid="{00000000-0005-0000-0000-000033000000}"/>
    <cellStyle name="표준 3 3" xfId="10" xr:uid="{00000000-0005-0000-0000-000034000000}"/>
    <cellStyle name="표준 3 3 2" xfId="34" xr:uid="{00000000-0005-0000-0000-000035000000}"/>
    <cellStyle name="표준 3 3 2 2" xfId="85" xr:uid="{00000000-0005-0000-0000-000036000000}"/>
    <cellStyle name="표준 3 3 2 2 2" xfId="198" xr:uid="{00000000-0005-0000-0000-000037000000}"/>
    <cellStyle name="표준 3 3 2 3" xfId="148" xr:uid="{00000000-0005-0000-0000-000038000000}"/>
    <cellStyle name="표준 3 3 3" xfId="51" xr:uid="{00000000-0005-0000-0000-000039000000}"/>
    <cellStyle name="표준 3 3 3 2" xfId="101" xr:uid="{00000000-0005-0000-0000-00003A000000}"/>
    <cellStyle name="표준 3 3 3 2 2" xfId="214" xr:uid="{00000000-0005-0000-0000-00003B000000}"/>
    <cellStyle name="표준 3 3 3 3" xfId="164" xr:uid="{00000000-0005-0000-0000-00003C000000}"/>
    <cellStyle name="표준 3 3 4" xfId="62" xr:uid="{00000000-0005-0000-0000-00003D000000}"/>
    <cellStyle name="표준 3 3 4 2" xfId="112" xr:uid="{00000000-0005-0000-0000-00003E000000}"/>
    <cellStyle name="표준 3 3 4 2 2" xfId="225" xr:uid="{00000000-0005-0000-0000-00003F000000}"/>
    <cellStyle name="표준 3 3 4 3" xfId="175" xr:uid="{00000000-0005-0000-0000-000040000000}"/>
    <cellStyle name="표준 3 3 5" xfId="23" xr:uid="{00000000-0005-0000-0000-000041000000}"/>
    <cellStyle name="표준 3 3 5 2" xfId="137" xr:uid="{00000000-0005-0000-0000-000042000000}"/>
    <cellStyle name="표준 3 3 6" xfId="74" xr:uid="{00000000-0005-0000-0000-000043000000}"/>
    <cellStyle name="표준 3 3 6 2" xfId="187" xr:uid="{00000000-0005-0000-0000-000044000000}"/>
    <cellStyle name="표준 3 3 7" xfId="125" xr:uid="{00000000-0005-0000-0000-000045000000}"/>
    <cellStyle name="표준 3 4" xfId="28" xr:uid="{00000000-0005-0000-0000-000046000000}"/>
    <cellStyle name="표준 3 4 2" xfId="39" xr:uid="{00000000-0005-0000-0000-000047000000}"/>
    <cellStyle name="표준 3 4 2 2" xfId="90" xr:uid="{00000000-0005-0000-0000-000048000000}"/>
    <cellStyle name="표준 3 4 2 2 2" xfId="203" xr:uid="{00000000-0005-0000-0000-000049000000}"/>
    <cellStyle name="표준 3 4 2 3" xfId="153" xr:uid="{00000000-0005-0000-0000-00004A000000}"/>
    <cellStyle name="표준 3 4 3" xfId="79" xr:uid="{00000000-0005-0000-0000-00004B000000}"/>
    <cellStyle name="표준 3 4 3 2" xfId="192" xr:uid="{00000000-0005-0000-0000-00004C000000}"/>
    <cellStyle name="표준 3 4 4" xfId="142" xr:uid="{00000000-0005-0000-0000-00004D000000}"/>
    <cellStyle name="표준 3 5" xfId="31" xr:uid="{00000000-0005-0000-0000-00004E000000}"/>
    <cellStyle name="표준 3 5 2" xfId="82" xr:uid="{00000000-0005-0000-0000-00004F000000}"/>
    <cellStyle name="표준 3 5 2 2" xfId="195" xr:uid="{00000000-0005-0000-0000-000050000000}"/>
    <cellStyle name="표준 3 5 3" xfId="145" xr:uid="{00000000-0005-0000-0000-000051000000}"/>
    <cellStyle name="표준 3 6" xfId="45" xr:uid="{00000000-0005-0000-0000-000052000000}"/>
    <cellStyle name="표준 3 6 2" xfId="95" xr:uid="{00000000-0005-0000-0000-000053000000}"/>
    <cellStyle name="표준 3 6 2 2" xfId="208" xr:uid="{00000000-0005-0000-0000-000054000000}"/>
    <cellStyle name="표준 3 6 3" xfId="158" xr:uid="{00000000-0005-0000-0000-000055000000}"/>
    <cellStyle name="표준 3 7" xfId="56" xr:uid="{00000000-0005-0000-0000-000056000000}"/>
    <cellStyle name="표준 3 7 2" xfId="106" xr:uid="{00000000-0005-0000-0000-000057000000}"/>
    <cellStyle name="표준 3 7 2 2" xfId="219" xr:uid="{00000000-0005-0000-0000-000058000000}"/>
    <cellStyle name="표준 3 7 3" xfId="169" xr:uid="{00000000-0005-0000-0000-000059000000}"/>
    <cellStyle name="표준 3 8" xfId="17" xr:uid="{00000000-0005-0000-0000-00005A000000}"/>
    <cellStyle name="표준 3 8 2" xfId="131" xr:uid="{00000000-0005-0000-0000-00005B000000}"/>
    <cellStyle name="표준 3 9" xfId="68" xr:uid="{00000000-0005-0000-0000-00005C000000}"/>
    <cellStyle name="표준 3 9 2" xfId="181" xr:uid="{00000000-0005-0000-0000-00005D000000}"/>
    <cellStyle name="표준 4" xfId="3" xr:uid="{00000000-0005-0000-0000-00005E000000}"/>
    <cellStyle name="표준 4 10" xfId="120" xr:uid="{00000000-0005-0000-0000-00005F000000}"/>
    <cellStyle name="표준 4 2" xfId="7" xr:uid="{00000000-0005-0000-0000-000060000000}"/>
    <cellStyle name="표준 4 2 2" xfId="14" xr:uid="{00000000-0005-0000-0000-000061000000}"/>
    <cellStyle name="표준 4 2 2 2" xfId="43" xr:uid="{00000000-0005-0000-0000-000062000000}"/>
    <cellStyle name="표준 4 2 2 2 2" xfId="94" xr:uid="{00000000-0005-0000-0000-000063000000}"/>
    <cellStyle name="표준 4 2 2 2 2 2" xfId="207" xr:uid="{00000000-0005-0000-0000-000064000000}"/>
    <cellStyle name="표준 4 2 2 2 3" xfId="157" xr:uid="{00000000-0005-0000-0000-000065000000}"/>
    <cellStyle name="표준 4 2 2 3" xfId="55" xr:uid="{00000000-0005-0000-0000-000066000000}"/>
    <cellStyle name="표준 4 2 2 3 2" xfId="105" xr:uid="{00000000-0005-0000-0000-000067000000}"/>
    <cellStyle name="표준 4 2 2 3 2 2" xfId="218" xr:uid="{00000000-0005-0000-0000-000068000000}"/>
    <cellStyle name="표준 4 2 2 3 3" xfId="168" xr:uid="{00000000-0005-0000-0000-000069000000}"/>
    <cellStyle name="표준 4 2 2 4" xfId="66" xr:uid="{00000000-0005-0000-0000-00006A000000}"/>
    <cellStyle name="표준 4 2 2 4 2" xfId="116" xr:uid="{00000000-0005-0000-0000-00006B000000}"/>
    <cellStyle name="표준 4 2 2 4 2 2" xfId="229" xr:uid="{00000000-0005-0000-0000-00006C000000}"/>
    <cellStyle name="표준 4 2 2 4 3" xfId="179" xr:uid="{00000000-0005-0000-0000-00006D000000}"/>
    <cellStyle name="표준 4 2 2 5" xfId="27" xr:uid="{00000000-0005-0000-0000-00006E000000}"/>
    <cellStyle name="표준 4 2 2 5 2" xfId="141" xr:uid="{00000000-0005-0000-0000-00006F000000}"/>
    <cellStyle name="표준 4 2 2 6" xfId="78" xr:uid="{00000000-0005-0000-0000-000070000000}"/>
    <cellStyle name="표준 4 2 2 6 2" xfId="191" xr:uid="{00000000-0005-0000-0000-000071000000}"/>
    <cellStyle name="표준 4 2 2 7" xfId="129" xr:uid="{00000000-0005-0000-0000-000072000000}"/>
    <cellStyle name="표준 4 2 3" xfId="38" xr:uid="{00000000-0005-0000-0000-000073000000}"/>
    <cellStyle name="표준 4 2 3 2" xfId="89" xr:uid="{00000000-0005-0000-0000-000074000000}"/>
    <cellStyle name="표준 4 2 3 2 2" xfId="202" xr:uid="{00000000-0005-0000-0000-000075000000}"/>
    <cellStyle name="표준 4 2 3 3" xfId="152" xr:uid="{00000000-0005-0000-0000-000076000000}"/>
    <cellStyle name="표준 4 2 4" xfId="49" xr:uid="{00000000-0005-0000-0000-000077000000}"/>
    <cellStyle name="표준 4 2 4 2" xfId="99" xr:uid="{00000000-0005-0000-0000-000078000000}"/>
    <cellStyle name="표준 4 2 4 2 2" xfId="212" xr:uid="{00000000-0005-0000-0000-000079000000}"/>
    <cellStyle name="표준 4 2 4 3" xfId="162" xr:uid="{00000000-0005-0000-0000-00007A000000}"/>
    <cellStyle name="표준 4 2 5" xfId="60" xr:uid="{00000000-0005-0000-0000-00007B000000}"/>
    <cellStyle name="표준 4 2 5 2" xfId="110" xr:uid="{00000000-0005-0000-0000-00007C000000}"/>
    <cellStyle name="표준 4 2 5 2 2" xfId="223" xr:uid="{00000000-0005-0000-0000-00007D000000}"/>
    <cellStyle name="표준 4 2 5 3" xfId="173" xr:uid="{00000000-0005-0000-0000-00007E000000}"/>
    <cellStyle name="표준 4 2 6" xfId="21" xr:uid="{00000000-0005-0000-0000-00007F000000}"/>
    <cellStyle name="표준 4 2 6 2" xfId="135" xr:uid="{00000000-0005-0000-0000-000080000000}"/>
    <cellStyle name="표준 4 2 7" xfId="72" xr:uid="{00000000-0005-0000-0000-000081000000}"/>
    <cellStyle name="표준 4 2 7 2" xfId="185" xr:uid="{00000000-0005-0000-0000-000082000000}"/>
    <cellStyle name="표준 4 2 8" xfId="123" xr:uid="{00000000-0005-0000-0000-000083000000}"/>
    <cellStyle name="표준 4 3" xfId="11" xr:uid="{00000000-0005-0000-0000-000084000000}"/>
    <cellStyle name="표준 4 3 2" xfId="35" xr:uid="{00000000-0005-0000-0000-000085000000}"/>
    <cellStyle name="표준 4 3 2 2" xfId="86" xr:uid="{00000000-0005-0000-0000-000086000000}"/>
    <cellStyle name="표준 4 3 2 2 2" xfId="199" xr:uid="{00000000-0005-0000-0000-000087000000}"/>
    <cellStyle name="표준 4 3 2 3" xfId="149" xr:uid="{00000000-0005-0000-0000-000088000000}"/>
    <cellStyle name="표준 4 3 3" xfId="52" xr:uid="{00000000-0005-0000-0000-000089000000}"/>
    <cellStyle name="표준 4 3 3 2" xfId="102" xr:uid="{00000000-0005-0000-0000-00008A000000}"/>
    <cellStyle name="표준 4 3 3 2 2" xfId="215" xr:uid="{00000000-0005-0000-0000-00008B000000}"/>
    <cellStyle name="표준 4 3 3 3" xfId="165" xr:uid="{00000000-0005-0000-0000-00008C000000}"/>
    <cellStyle name="표준 4 3 4" xfId="63" xr:uid="{00000000-0005-0000-0000-00008D000000}"/>
    <cellStyle name="표준 4 3 4 2" xfId="113" xr:uid="{00000000-0005-0000-0000-00008E000000}"/>
    <cellStyle name="표준 4 3 4 2 2" xfId="226" xr:uid="{00000000-0005-0000-0000-00008F000000}"/>
    <cellStyle name="표준 4 3 4 3" xfId="176" xr:uid="{00000000-0005-0000-0000-000090000000}"/>
    <cellStyle name="표준 4 3 5" xfId="24" xr:uid="{00000000-0005-0000-0000-000091000000}"/>
    <cellStyle name="표준 4 3 5 2" xfId="138" xr:uid="{00000000-0005-0000-0000-000092000000}"/>
    <cellStyle name="표준 4 3 6" xfId="75" xr:uid="{00000000-0005-0000-0000-000093000000}"/>
    <cellStyle name="표준 4 3 6 2" xfId="188" xr:uid="{00000000-0005-0000-0000-000094000000}"/>
    <cellStyle name="표준 4 3 7" xfId="126" xr:uid="{00000000-0005-0000-0000-000095000000}"/>
    <cellStyle name="표준 4 4" xfId="29" xr:uid="{00000000-0005-0000-0000-000096000000}"/>
    <cellStyle name="표준 4 4 2" xfId="40" xr:uid="{00000000-0005-0000-0000-000097000000}"/>
    <cellStyle name="표준 4 4 2 2" xfId="91" xr:uid="{00000000-0005-0000-0000-000098000000}"/>
    <cellStyle name="표준 4 4 2 2 2" xfId="204" xr:uid="{00000000-0005-0000-0000-000099000000}"/>
    <cellStyle name="표준 4 4 2 3" xfId="154" xr:uid="{00000000-0005-0000-0000-00009A000000}"/>
    <cellStyle name="표준 4 4 3" xfId="80" xr:uid="{00000000-0005-0000-0000-00009B000000}"/>
    <cellStyle name="표준 4 4 3 2" xfId="193" xr:uid="{00000000-0005-0000-0000-00009C000000}"/>
    <cellStyle name="표준 4 4 4" xfId="143" xr:uid="{00000000-0005-0000-0000-00009D000000}"/>
    <cellStyle name="표준 4 5" xfId="32" xr:uid="{00000000-0005-0000-0000-00009E000000}"/>
    <cellStyle name="표준 4 5 2" xfId="83" xr:uid="{00000000-0005-0000-0000-00009F000000}"/>
    <cellStyle name="표준 4 5 2 2" xfId="196" xr:uid="{00000000-0005-0000-0000-0000A0000000}"/>
    <cellStyle name="표준 4 5 3" xfId="146" xr:uid="{00000000-0005-0000-0000-0000A1000000}"/>
    <cellStyle name="표준 4 6" xfId="46" xr:uid="{00000000-0005-0000-0000-0000A2000000}"/>
    <cellStyle name="표준 4 6 2" xfId="96" xr:uid="{00000000-0005-0000-0000-0000A3000000}"/>
    <cellStyle name="표준 4 6 2 2" xfId="209" xr:uid="{00000000-0005-0000-0000-0000A4000000}"/>
    <cellStyle name="표준 4 6 3" xfId="159" xr:uid="{00000000-0005-0000-0000-0000A5000000}"/>
    <cellStyle name="표준 4 7" xfId="57" xr:uid="{00000000-0005-0000-0000-0000A6000000}"/>
    <cellStyle name="표준 4 7 2" xfId="107" xr:uid="{00000000-0005-0000-0000-0000A7000000}"/>
    <cellStyle name="표준 4 7 2 2" xfId="220" xr:uid="{00000000-0005-0000-0000-0000A8000000}"/>
    <cellStyle name="표준 4 7 3" xfId="170" xr:uid="{00000000-0005-0000-0000-0000A9000000}"/>
    <cellStyle name="표준 4 8" xfId="18" xr:uid="{00000000-0005-0000-0000-0000AA000000}"/>
    <cellStyle name="표준 4 8 2" xfId="132" xr:uid="{00000000-0005-0000-0000-0000AB000000}"/>
    <cellStyle name="표준 4 9" xfId="69" xr:uid="{00000000-0005-0000-0000-0000AC000000}"/>
    <cellStyle name="표준 4 9 2" xfId="182" xr:uid="{00000000-0005-0000-0000-0000AD000000}"/>
    <cellStyle name="표준 5" xfId="5" xr:uid="{00000000-0005-0000-0000-0000AE000000}"/>
    <cellStyle name="표준 6" xfId="4" xr:uid="{00000000-0005-0000-0000-0000AF000000}"/>
    <cellStyle name="표준 6 2" xfId="12" xr:uid="{00000000-0005-0000-0000-0000B0000000}"/>
    <cellStyle name="표준 6 2 2" xfId="41" xr:uid="{00000000-0005-0000-0000-0000B1000000}"/>
    <cellStyle name="표준 6 2 2 2" xfId="92" xr:uid="{00000000-0005-0000-0000-0000B2000000}"/>
    <cellStyle name="표준 6 2 2 2 2" xfId="205" xr:uid="{00000000-0005-0000-0000-0000B3000000}"/>
    <cellStyle name="표준 6 2 2 3" xfId="155" xr:uid="{00000000-0005-0000-0000-0000B4000000}"/>
    <cellStyle name="표준 6 2 3" xfId="53" xr:uid="{00000000-0005-0000-0000-0000B5000000}"/>
    <cellStyle name="표준 6 2 3 2" xfId="103" xr:uid="{00000000-0005-0000-0000-0000B6000000}"/>
    <cellStyle name="표준 6 2 3 2 2" xfId="216" xr:uid="{00000000-0005-0000-0000-0000B7000000}"/>
    <cellStyle name="표준 6 2 3 3" xfId="166" xr:uid="{00000000-0005-0000-0000-0000B8000000}"/>
    <cellStyle name="표준 6 2 4" xfId="64" xr:uid="{00000000-0005-0000-0000-0000B9000000}"/>
    <cellStyle name="표준 6 2 4 2" xfId="114" xr:uid="{00000000-0005-0000-0000-0000BA000000}"/>
    <cellStyle name="표준 6 2 4 2 2" xfId="227" xr:uid="{00000000-0005-0000-0000-0000BB000000}"/>
    <cellStyle name="표준 6 2 4 3" xfId="177" xr:uid="{00000000-0005-0000-0000-0000BC000000}"/>
    <cellStyle name="표준 6 2 5" xfId="25" xr:uid="{00000000-0005-0000-0000-0000BD000000}"/>
    <cellStyle name="표준 6 2 5 2" xfId="139" xr:uid="{00000000-0005-0000-0000-0000BE000000}"/>
    <cellStyle name="표준 6 2 6" xfId="76" xr:uid="{00000000-0005-0000-0000-0000BF000000}"/>
    <cellStyle name="표준 6 2 6 2" xfId="189" xr:uid="{00000000-0005-0000-0000-0000C0000000}"/>
    <cellStyle name="표준 6 2 7" xfId="127" xr:uid="{00000000-0005-0000-0000-0000C1000000}"/>
    <cellStyle name="표준 6 3" xfId="36" xr:uid="{00000000-0005-0000-0000-0000C2000000}"/>
    <cellStyle name="표준 6 3 2" xfId="87" xr:uid="{00000000-0005-0000-0000-0000C3000000}"/>
    <cellStyle name="표준 6 3 2 2" xfId="200" xr:uid="{00000000-0005-0000-0000-0000C4000000}"/>
    <cellStyle name="표준 6 3 3" xfId="150" xr:uid="{00000000-0005-0000-0000-0000C5000000}"/>
    <cellStyle name="표준 6 4" xfId="47" xr:uid="{00000000-0005-0000-0000-0000C6000000}"/>
    <cellStyle name="표준 6 4 2" xfId="97" xr:uid="{00000000-0005-0000-0000-0000C7000000}"/>
    <cellStyle name="표준 6 4 2 2" xfId="210" xr:uid="{00000000-0005-0000-0000-0000C8000000}"/>
    <cellStyle name="표준 6 4 3" xfId="160" xr:uid="{00000000-0005-0000-0000-0000C9000000}"/>
    <cellStyle name="표준 6 5" xfId="58" xr:uid="{00000000-0005-0000-0000-0000CA000000}"/>
    <cellStyle name="표준 6 5 2" xfId="108" xr:uid="{00000000-0005-0000-0000-0000CB000000}"/>
    <cellStyle name="표준 6 5 2 2" xfId="221" xr:uid="{00000000-0005-0000-0000-0000CC000000}"/>
    <cellStyle name="표준 6 5 3" xfId="171" xr:uid="{00000000-0005-0000-0000-0000CD000000}"/>
    <cellStyle name="표준 6 6" xfId="19" xr:uid="{00000000-0005-0000-0000-0000CE000000}"/>
    <cellStyle name="표준 6 6 2" xfId="133" xr:uid="{00000000-0005-0000-0000-0000CF000000}"/>
    <cellStyle name="표준 6 7" xfId="70" xr:uid="{00000000-0005-0000-0000-0000D0000000}"/>
    <cellStyle name="표준 6 7 2" xfId="183" xr:uid="{00000000-0005-0000-0000-0000D1000000}"/>
    <cellStyle name="표준 6 8" xfId="121" xr:uid="{00000000-0005-0000-0000-0000D2000000}"/>
    <cellStyle name="표준 7" xfId="9" xr:uid="{00000000-0005-0000-0000-0000D3000000}"/>
    <cellStyle name="표준 8" xfId="8" xr:uid="{00000000-0005-0000-0000-0000D4000000}"/>
    <cellStyle name="표준 8 2" xfId="33" xr:uid="{00000000-0005-0000-0000-0000D5000000}"/>
    <cellStyle name="표준 8 2 2" xfId="84" xr:uid="{00000000-0005-0000-0000-0000D6000000}"/>
    <cellStyle name="표준 8 2 2 2" xfId="197" xr:uid="{00000000-0005-0000-0000-0000D7000000}"/>
    <cellStyle name="표준 8 2 3" xfId="147" xr:uid="{00000000-0005-0000-0000-0000D8000000}"/>
    <cellStyle name="표준 8 3" xfId="50" xr:uid="{00000000-0005-0000-0000-0000D9000000}"/>
    <cellStyle name="표준 8 3 2" xfId="100" xr:uid="{00000000-0005-0000-0000-0000DA000000}"/>
    <cellStyle name="표준 8 3 2 2" xfId="213" xr:uid="{00000000-0005-0000-0000-0000DB000000}"/>
    <cellStyle name="표준 8 3 3" xfId="163" xr:uid="{00000000-0005-0000-0000-0000DC000000}"/>
    <cellStyle name="표준 8 4" xfId="61" xr:uid="{00000000-0005-0000-0000-0000DD000000}"/>
    <cellStyle name="표준 8 4 2" xfId="111" xr:uid="{00000000-0005-0000-0000-0000DE000000}"/>
    <cellStyle name="표준 8 4 2 2" xfId="224" xr:uid="{00000000-0005-0000-0000-0000DF000000}"/>
    <cellStyle name="표준 8 4 3" xfId="174" xr:uid="{00000000-0005-0000-0000-0000E0000000}"/>
    <cellStyle name="표준 8 5" xfId="22" xr:uid="{00000000-0005-0000-0000-0000E1000000}"/>
    <cellStyle name="표준 8 5 2" xfId="136" xr:uid="{00000000-0005-0000-0000-0000E2000000}"/>
    <cellStyle name="표준 8 6" xfId="73" xr:uid="{00000000-0005-0000-0000-0000E3000000}"/>
    <cellStyle name="표준 8 6 2" xfId="186" xr:uid="{00000000-0005-0000-0000-0000E4000000}"/>
    <cellStyle name="표준 8 7" xfId="124" xr:uid="{00000000-0005-0000-0000-0000E5000000}"/>
    <cellStyle name="표준 9" xfId="16" xr:uid="{00000000-0005-0000-0000-0000E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4040"/>
  <sheetViews>
    <sheetView tabSelected="1" zoomScaleNormal="100" workbookViewId="0">
      <pane ySplit="2" topLeftCell="A2950" activePane="bottomLeft" state="frozen"/>
      <selection pane="bottomLeft" activeCell="F2972" sqref="F2972:J2975"/>
    </sheetView>
  </sheetViews>
  <sheetFormatPr defaultRowHeight="12" x14ac:dyDescent="0.2"/>
  <cols>
    <col min="1" max="1" width="10.25" style="2" customWidth="1"/>
    <col min="2" max="2" width="6.75" style="2" customWidth="1"/>
    <col min="3" max="3" width="44.75" style="2" customWidth="1"/>
    <col min="4" max="4" width="6.5" style="2" customWidth="1"/>
    <col min="5" max="5" width="3.875" style="2" customWidth="1"/>
    <col min="6" max="7" width="9.375" style="36" customWidth="1"/>
    <col min="8" max="9" width="8.5" style="36" customWidth="1"/>
    <col min="10" max="11" width="11.25" style="36" customWidth="1"/>
    <col min="12" max="12" width="5" style="36" customWidth="1"/>
    <col min="13" max="13" width="13.125" style="37" customWidth="1"/>
    <col min="14" max="14" width="11.25" style="36" customWidth="1"/>
    <col min="15" max="15" width="5.875" style="2" customWidth="1"/>
    <col min="16" max="16" width="12.625" style="2" customWidth="1"/>
    <col min="17" max="17" width="8.375" style="2" customWidth="1"/>
    <col min="18" max="18" width="18.375" style="2" customWidth="1"/>
    <col min="19" max="19" width="9.75" style="36" bestFit="1" customWidth="1"/>
    <col min="20" max="20" width="9" style="116"/>
    <col min="21" max="16384" width="9" style="218"/>
  </cols>
  <sheetData>
    <row r="1" spans="1:29" s="219" customFormat="1" x14ac:dyDescent="0.3">
      <c r="A1" s="9"/>
      <c r="B1" s="9"/>
      <c r="C1" s="9"/>
      <c r="D1" s="9"/>
      <c r="E1" s="9"/>
      <c r="F1" s="310" t="s">
        <v>4</v>
      </c>
      <c r="G1" s="311"/>
      <c r="H1" s="311"/>
      <c r="I1" s="311"/>
      <c r="J1" s="311"/>
      <c r="K1" s="311"/>
      <c r="L1" s="312"/>
      <c r="M1" s="10"/>
      <c r="N1" s="11"/>
      <c r="O1" s="9"/>
      <c r="P1" s="9"/>
      <c r="Q1" s="9"/>
      <c r="R1" s="9"/>
      <c r="S1" s="11"/>
      <c r="T1" s="9"/>
    </row>
    <row r="2" spans="1:29" s="220" customFormat="1" ht="90.75" x14ac:dyDescent="0.3">
      <c r="A2" s="1" t="s">
        <v>0</v>
      </c>
      <c r="B2" s="1" t="s">
        <v>10</v>
      </c>
      <c r="C2" s="1" t="s">
        <v>11</v>
      </c>
      <c r="D2" s="1" t="s">
        <v>12</v>
      </c>
      <c r="E2" s="1" t="s">
        <v>85</v>
      </c>
      <c r="F2" s="12" t="s">
        <v>8</v>
      </c>
      <c r="G2" s="12" t="s">
        <v>242</v>
      </c>
      <c r="H2" s="12" t="s">
        <v>2</v>
      </c>
      <c r="I2" s="12" t="s">
        <v>3</v>
      </c>
      <c r="J2" s="12" t="s">
        <v>9</v>
      </c>
      <c r="K2" s="12" t="s">
        <v>957</v>
      </c>
      <c r="L2" s="12" t="s">
        <v>1</v>
      </c>
      <c r="M2" s="13" t="s">
        <v>6</v>
      </c>
      <c r="N2" s="12" t="s">
        <v>5</v>
      </c>
      <c r="O2" s="1" t="s">
        <v>7</v>
      </c>
      <c r="P2" s="1" t="s">
        <v>83</v>
      </c>
      <c r="Q2" s="1" t="s">
        <v>101</v>
      </c>
      <c r="R2" s="1" t="s">
        <v>121</v>
      </c>
      <c r="S2" s="12" t="s">
        <v>125</v>
      </c>
      <c r="T2" s="217" t="s">
        <v>184</v>
      </c>
    </row>
    <row r="3" spans="1:29" s="227" customFormat="1" ht="18" customHeight="1" x14ac:dyDescent="0.3">
      <c r="A3" s="224" t="s">
        <v>980</v>
      </c>
      <c r="B3" s="224"/>
      <c r="C3" s="225"/>
      <c r="D3" s="225"/>
      <c r="E3" s="225"/>
      <c r="F3" s="224"/>
      <c r="G3" s="224"/>
      <c r="H3" s="224"/>
      <c r="I3" s="224"/>
      <c r="J3" s="224"/>
      <c r="K3" s="224" t="s">
        <v>980</v>
      </c>
      <c r="L3" s="224" t="s">
        <v>980</v>
      </c>
      <c r="M3" s="225"/>
      <c r="N3" s="225"/>
      <c r="O3" s="225"/>
      <c r="P3" s="226"/>
      <c r="Q3" s="226"/>
      <c r="R3" s="225"/>
      <c r="S3" s="225"/>
      <c r="T3" s="265"/>
      <c r="U3" s="225"/>
      <c r="V3" s="226"/>
      <c r="W3" s="226"/>
      <c r="X3" s="225"/>
      <c r="Y3" s="225"/>
      <c r="Z3" s="225"/>
      <c r="AA3" s="225"/>
      <c r="AB3" s="226"/>
      <c r="AC3" s="226"/>
    </row>
    <row r="4" spans="1:29" s="219" customFormat="1" x14ac:dyDescent="0.2">
      <c r="A4" s="14">
        <v>1</v>
      </c>
      <c r="B4" s="14"/>
      <c r="C4" s="14"/>
      <c r="D4" s="14"/>
      <c r="E4" s="14"/>
      <c r="F4" s="15">
        <v>1000</v>
      </c>
      <c r="G4" s="15">
        <f t="shared" ref="G4:G36" si="0">F4</f>
        <v>1000</v>
      </c>
      <c r="H4" s="15">
        <v>1000</v>
      </c>
      <c r="I4" s="15">
        <v>1000</v>
      </c>
      <c r="J4" s="15">
        <v>1000</v>
      </c>
      <c r="K4" s="133">
        <v>1000</v>
      </c>
      <c r="L4" s="15"/>
      <c r="M4" s="16">
        <f>(F4*J4*((H4+I4)/2)/1000)^(1/2)/10*0.8</f>
        <v>80</v>
      </c>
      <c r="N4" s="15">
        <f t="shared" ref="N4:N36" si="1">400/M4</f>
        <v>5</v>
      </c>
      <c r="O4" s="17"/>
      <c r="P4" s="17"/>
      <c r="Q4" s="17"/>
      <c r="R4" s="17"/>
      <c r="S4" s="15"/>
      <c r="T4" s="264"/>
    </row>
    <row r="5" spans="1:29" s="219" customFormat="1" x14ac:dyDescent="0.2">
      <c r="A5" s="14">
        <v>2</v>
      </c>
      <c r="B5" s="14"/>
      <c r="C5" s="14"/>
      <c r="D5" s="14"/>
      <c r="E5" s="14"/>
      <c r="F5" s="15">
        <v>1250</v>
      </c>
      <c r="G5" s="15">
        <f t="shared" si="0"/>
        <v>1250</v>
      </c>
      <c r="H5" s="15">
        <v>1000</v>
      </c>
      <c r="I5" s="15">
        <v>1000</v>
      </c>
      <c r="J5" s="15">
        <v>3200</v>
      </c>
      <c r="K5" s="133">
        <v>1000</v>
      </c>
      <c r="L5" s="15"/>
      <c r="M5" s="16">
        <f t="shared" ref="M5:M68" si="2">(F5*J5*((H5+I5)/2)/1000)^(1/2)/10*0.8</f>
        <v>160</v>
      </c>
      <c r="N5" s="15">
        <f t="shared" si="1"/>
        <v>2.5</v>
      </c>
      <c r="O5" s="17"/>
      <c r="P5" s="17"/>
      <c r="Q5" s="17"/>
      <c r="R5" s="17"/>
      <c r="S5" s="15"/>
      <c r="T5" s="264"/>
    </row>
    <row r="6" spans="1:29" s="219" customFormat="1" x14ac:dyDescent="0.2">
      <c r="A6" s="14">
        <v>3</v>
      </c>
      <c r="B6" s="14"/>
      <c r="C6" s="14"/>
      <c r="D6" s="14"/>
      <c r="E6" s="14"/>
      <c r="F6" s="15">
        <v>1500</v>
      </c>
      <c r="G6" s="15">
        <f t="shared" si="0"/>
        <v>1500</v>
      </c>
      <c r="H6" s="15">
        <v>1000</v>
      </c>
      <c r="I6" s="15">
        <v>1000</v>
      </c>
      <c r="J6" s="15">
        <v>6000</v>
      </c>
      <c r="K6" s="133">
        <v>1000</v>
      </c>
      <c r="L6" s="15"/>
      <c r="M6" s="16">
        <f t="shared" si="2"/>
        <v>240</v>
      </c>
      <c r="N6" s="15">
        <f t="shared" si="1"/>
        <v>1.6666666666666667</v>
      </c>
      <c r="O6" s="17"/>
      <c r="P6" s="17"/>
      <c r="Q6" s="17"/>
      <c r="R6" s="17"/>
      <c r="S6" s="15"/>
      <c r="T6" s="264"/>
    </row>
    <row r="7" spans="1:29" s="219" customFormat="1" x14ac:dyDescent="0.2">
      <c r="A7" s="14">
        <v>4</v>
      </c>
      <c r="B7" s="14"/>
      <c r="C7" s="14"/>
      <c r="D7" s="14"/>
      <c r="E7" s="14"/>
      <c r="F7" s="15">
        <v>1750</v>
      </c>
      <c r="G7" s="15">
        <f t="shared" si="0"/>
        <v>1750</v>
      </c>
      <c r="H7" s="15">
        <v>1000</v>
      </c>
      <c r="I7" s="15">
        <v>1000</v>
      </c>
      <c r="J7" s="15">
        <v>9143</v>
      </c>
      <c r="K7" s="133">
        <v>1000</v>
      </c>
      <c r="L7" s="15"/>
      <c r="M7" s="16">
        <f t="shared" si="2"/>
        <v>320.00249999023447</v>
      </c>
      <c r="N7" s="15">
        <f t="shared" si="1"/>
        <v>1.2499902344894394</v>
      </c>
      <c r="O7" s="17"/>
      <c r="P7" s="17"/>
      <c r="Q7" s="17"/>
      <c r="R7" s="17"/>
      <c r="S7" s="15"/>
      <c r="T7" s="264"/>
    </row>
    <row r="8" spans="1:29" s="219" customFormat="1" x14ac:dyDescent="0.2">
      <c r="A8" s="14">
        <v>5</v>
      </c>
      <c r="B8" s="14"/>
      <c r="C8" s="14"/>
      <c r="D8" s="14"/>
      <c r="E8" s="14"/>
      <c r="F8" s="15">
        <v>2000</v>
      </c>
      <c r="G8" s="15">
        <f t="shared" si="0"/>
        <v>2000</v>
      </c>
      <c r="H8" s="15">
        <v>2000</v>
      </c>
      <c r="I8" s="15">
        <v>2000</v>
      </c>
      <c r="J8" s="15">
        <v>1000</v>
      </c>
      <c r="K8" s="133">
        <v>1000</v>
      </c>
      <c r="L8" s="15"/>
      <c r="M8" s="16">
        <f t="shared" si="2"/>
        <v>160</v>
      </c>
      <c r="N8" s="15">
        <f t="shared" si="1"/>
        <v>2.5</v>
      </c>
      <c r="O8" s="17"/>
      <c r="P8" s="17"/>
      <c r="Q8" s="17"/>
      <c r="R8" s="17"/>
      <c r="S8" s="15"/>
      <c r="T8" s="264"/>
    </row>
    <row r="9" spans="1:29" s="219" customFormat="1" x14ac:dyDescent="0.2">
      <c r="A9" s="14">
        <v>6</v>
      </c>
      <c r="B9" s="14"/>
      <c r="C9" s="14"/>
      <c r="D9" s="14"/>
      <c r="E9" s="14"/>
      <c r="F9" s="15">
        <v>1000</v>
      </c>
      <c r="G9" s="15">
        <f t="shared" si="0"/>
        <v>1000</v>
      </c>
      <c r="H9" s="15">
        <v>2000</v>
      </c>
      <c r="I9" s="15">
        <v>2000</v>
      </c>
      <c r="J9" s="15">
        <v>4000</v>
      </c>
      <c r="K9" s="133">
        <v>1000</v>
      </c>
      <c r="L9" s="15"/>
      <c r="M9" s="16">
        <f t="shared" si="2"/>
        <v>226.27416997969522</v>
      </c>
      <c r="N9" s="15">
        <f t="shared" si="1"/>
        <v>1.7677669529663687</v>
      </c>
      <c r="O9" s="17"/>
      <c r="P9" s="17"/>
      <c r="Q9" s="17"/>
      <c r="R9" s="17"/>
      <c r="S9" s="15"/>
      <c r="T9" s="264"/>
    </row>
    <row r="10" spans="1:29" s="219" customFormat="1" x14ac:dyDescent="0.2">
      <c r="A10" s="14">
        <v>7</v>
      </c>
      <c r="B10" s="14"/>
      <c r="C10" s="14"/>
      <c r="D10" s="14"/>
      <c r="E10" s="14"/>
      <c r="F10" s="15">
        <v>1500</v>
      </c>
      <c r="G10" s="15">
        <f t="shared" si="0"/>
        <v>1500</v>
      </c>
      <c r="H10" s="15">
        <v>15000</v>
      </c>
      <c r="I10" s="15">
        <v>15000</v>
      </c>
      <c r="J10" s="15">
        <v>8000</v>
      </c>
      <c r="K10" s="133">
        <v>1000</v>
      </c>
      <c r="L10" s="15"/>
      <c r="M10" s="16">
        <f t="shared" si="2"/>
        <v>1073.3126291998992</v>
      </c>
      <c r="N10" s="15">
        <f t="shared" si="1"/>
        <v>0.37267799624996489</v>
      </c>
      <c r="O10" s="17"/>
      <c r="P10" s="17"/>
      <c r="Q10" s="17"/>
      <c r="R10" s="17"/>
      <c r="S10" s="15"/>
      <c r="T10" s="264"/>
    </row>
    <row r="11" spans="1:29" s="219" customFormat="1" x14ac:dyDescent="0.2">
      <c r="A11" s="14">
        <v>8</v>
      </c>
      <c r="B11" s="14"/>
      <c r="C11" s="14"/>
      <c r="D11" s="14"/>
      <c r="E11" s="14"/>
      <c r="F11" s="15">
        <v>2000</v>
      </c>
      <c r="G11" s="15">
        <f t="shared" si="0"/>
        <v>2000</v>
      </c>
      <c r="H11" s="15">
        <v>20000</v>
      </c>
      <c r="I11" s="15">
        <v>20000</v>
      </c>
      <c r="J11" s="15">
        <v>8000</v>
      </c>
      <c r="K11" s="133">
        <v>1000</v>
      </c>
      <c r="L11" s="15"/>
      <c r="M11" s="16">
        <f t="shared" si="2"/>
        <v>1431.0835055998655</v>
      </c>
      <c r="N11" s="15">
        <f t="shared" si="1"/>
        <v>0.27950849718747373</v>
      </c>
      <c r="O11" s="17"/>
      <c r="P11" s="17"/>
      <c r="Q11" s="17"/>
      <c r="R11" s="17"/>
      <c r="S11" s="15"/>
      <c r="T11" s="264"/>
    </row>
    <row r="12" spans="1:29" s="219" customFormat="1" x14ac:dyDescent="0.2">
      <c r="A12" s="14">
        <v>10</v>
      </c>
      <c r="B12" s="14"/>
      <c r="C12" s="14"/>
      <c r="D12" s="14"/>
      <c r="E12" s="14"/>
      <c r="F12" s="15">
        <v>1000</v>
      </c>
      <c r="G12" s="15">
        <f t="shared" si="0"/>
        <v>1000</v>
      </c>
      <c r="H12" s="15">
        <v>4000</v>
      </c>
      <c r="I12" s="15">
        <v>4000</v>
      </c>
      <c r="J12" s="15">
        <v>4000</v>
      </c>
      <c r="K12" s="133">
        <v>1000</v>
      </c>
      <c r="L12" s="15"/>
      <c r="M12" s="16">
        <f t="shared" si="2"/>
        <v>320</v>
      </c>
      <c r="N12" s="15">
        <f t="shared" si="1"/>
        <v>1.25</v>
      </c>
      <c r="O12" s="17"/>
      <c r="P12" s="17"/>
      <c r="Q12" s="17"/>
      <c r="R12" s="17"/>
      <c r="S12" s="15"/>
      <c r="T12" s="264"/>
    </row>
    <row r="13" spans="1:29" s="219" customFormat="1" x14ac:dyDescent="0.2">
      <c r="A13" s="14">
        <v>11</v>
      </c>
      <c r="B13" s="14"/>
      <c r="C13" s="14"/>
      <c r="D13" s="14"/>
      <c r="E13" s="14"/>
      <c r="F13" s="15">
        <v>375</v>
      </c>
      <c r="G13" s="15">
        <f t="shared" si="0"/>
        <v>375</v>
      </c>
      <c r="H13" s="15">
        <v>1000</v>
      </c>
      <c r="I13" s="15">
        <v>1000</v>
      </c>
      <c r="J13" s="15">
        <v>375</v>
      </c>
      <c r="K13" s="133">
        <v>1000</v>
      </c>
      <c r="L13" s="15"/>
      <c r="M13" s="16">
        <f t="shared" si="2"/>
        <v>30</v>
      </c>
      <c r="N13" s="15">
        <f t="shared" si="1"/>
        <v>13.333333333333334</v>
      </c>
      <c r="O13" s="17"/>
      <c r="P13" s="17"/>
      <c r="Q13" s="17"/>
      <c r="R13" s="17"/>
      <c r="S13" s="15"/>
      <c r="T13" s="264"/>
    </row>
    <row r="14" spans="1:29" s="219" customFormat="1" x14ac:dyDescent="0.2">
      <c r="A14" s="14">
        <v>12</v>
      </c>
      <c r="B14" s="14"/>
      <c r="C14" s="14"/>
      <c r="D14" s="14"/>
      <c r="E14" s="14"/>
      <c r="F14" s="15">
        <v>375</v>
      </c>
      <c r="G14" s="15">
        <f t="shared" si="0"/>
        <v>375</v>
      </c>
      <c r="H14" s="15">
        <v>1000</v>
      </c>
      <c r="I14" s="15">
        <v>1000</v>
      </c>
      <c r="J14" s="15">
        <v>375</v>
      </c>
      <c r="K14" s="133">
        <v>1000</v>
      </c>
      <c r="L14" s="15"/>
      <c r="M14" s="16">
        <f t="shared" si="2"/>
        <v>30</v>
      </c>
      <c r="N14" s="15">
        <f t="shared" si="1"/>
        <v>13.333333333333334</v>
      </c>
      <c r="O14" s="17"/>
      <c r="P14" s="17"/>
      <c r="Q14" s="17"/>
      <c r="R14" s="17"/>
      <c r="S14" s="15"/>
      <c r="T14" s="264"/>
    </row>
    <row r="15" spans="1:29" s="219" customFormat="1" x14ac:dyDescent="0.2">
      <c r="A15" s="14">
        <v>13</v>
      </c>
      <c r="B15" s="14"/>
      <c r="C15" s="14"/>
      <c r="D15" s="14"/>
      <c r="E15" s="14"/>
      <c r="F15" s="15">
        <v>375</v>
      </c>
      <c r="G15" s="15">
        <f t="shared" si="0"/>
        <v>375</v>
      </c>
      <c r="H15" s="15">
        <v>1000</v>
      </c>
      <c r="I15" s="15">
        <v>1000</v>
      </c>
      <c r="J15" s="15">
        <v>375</v>
      </c>
      <c r="K15" s="133">
        <v>1000</v>
      </c>
      <c r="L15" s="15"/>
      <c r="M15" s="16">
        <f t="shared" si="2"/>
        <v>30</v>
      </c>
      <c r="N15" s="15">
        <f t="shared" si="1"/>
        <v>13.333333333333334</v>
      </c>
      <c r="O15" s="17"/>
      <c r="P15" s="17"/>
      <c r="Q15" s="17"/>
      <c r="R15" s="17"/>
      <c r="S15" s="15"/>
      <c r="T15" s="264"/>
    </row>
    <row r="16" spans="1:29" s="219" customFormat="1" x14ac:dyDescent="0.2">
      <c r="A16" s="14">
        <v>14</v>
      </c>
      <c r="B16" s="14"/>
      <c r="C16" s="14"/>
      <c r="D16" s="14"/>
      <c r="E16" s="14"/>
      <c r="F16" s="15">
        <v>375</v>
      </c>
      <c r="G16" s="15">
        <f t="shared" si="0"/>
        <v>375</v>
      </c>
      <c r="H16" s="15">
        <v>1000</v>
      </c>
      <c r="I16" s="15">
        <v>1000</v>
      </c>
      <c r="J16" s="15">
        <v>375</v>
      </c>
      <c r="K16" s="133">
        <v>1000</v>
      </c>
      <c r="L16" s="15"/>
      <c r="M16" s="16">
        <f t="shared" si="2"/>
        <v>30</v>
      </c>
      <c r="N16" s="15">
        <f t="shared" si="1"/>
        <v>13.333333333333334</v>
      </c>
      <c r="O16" s="17"/>
      <c r="P16" s="17"/>
      <c r="Q16" s="17"/>
      <c r="R16" s="17"/>
      <c r="S16" s="15"/>
      <c r="T16" s="264"/>
    </row>
    <row r="17" spans="1:20" s="219" customFormat="1" x14ac:dyDescent="0.2">
      <c r="A17" s="14">
        <v>15</v>
      </c>
      <c r="B17" s="14"/>
      <c r="C17" s="14"/>
      <c r="D17" s="14"/>
      <c r="E17" s="14"/>
      <c r="F17" s="15">
        <v>375</v>
      </c>
      <c r="G17" s="15">
        <f t="shared" si="0"/>
        <v>375</v>
      </c>
      <c r="H17" s="15">
        <v>1000</v>
      </c>
      <c r="I17" s="15">
        <v>1000</v>
      </c>
      <c r="J17" s="15">
        <v>375</v>
      </c>
      <c r="K17" s="133">
        <v>1000</v>
      </c>
      <c r="L17" s="15"/>
      <c r="M17" s="16">
        <f t="shared" si="2"/>
        <v>30</v>
      </c>
      <c r="N17" s="15">
        <f t="shared" si="1"/>
        <v>13.333333333333334</v>
      </c>
      <c r="O17" s="17"/>
      <c r="P17" s="17"/>
      <c r="Q17" s="17"/>
      <c r="R17" s="17"/>
      <c r="S17" s="15"/>
      <c r="T17" s="264"/>
    </row>
    <row r="18" spans="1:20" s="219" customFormat="1" x14ac:dyDescent="0.2">
      <c r="A18" s="14">
        <v>16</v>
      </c>
      <c r="B18" s="14"/>
      <c r="C18" s="14"/>
      <c r="D18" s="14"/>
      <c r="E18" s="14"/>
      <c r="F18" s="15">
        <v>375</v>
      </c>
      <c r="G18" s="15">
        <f t="shared" si="0"/>
        <v>375</v>
      </c>
      <c r="H18" s="15">
        <v>1000</v>
      </c>
      <c r="I18" s="15">
        <v>1000</v>
      </c>
      <c r="J18" s="15">
        <v>375</v>
      </c>
      <c r="K18" s="133">
        <v>1000</v>
      </c>
      <c r="L18" s="15"/>
      <c r="M18" s="16">
        <f t="shared" si="2"/>
        <v>30</v>
      </c>
      <c r="N18" s="15">
        <f t="shared" si="1"/>
        <v>13.333333333333334</v>
      </c>
      <c r="O18" s="17"/>
      <c r="P18" s="17"/>
      <c r="Q18" s="17"/>
      <c r="R18" s="17"/>
      <c r="S18" s="15"/>
      <c r="T18" s="264"/>
    </row>
    <row r="19" spans="1:20" s="219" customFormat="1" x14ac:dyDescent="0.2">
      <c r="A19" s="14">
        <v>17</v>
      </c>
      <c r="B19" s="14"/>
      <c r="C19" s="14"/>
      <c r="D19" s="14"/>
      <c r="E19" s="14"/>
      <c r="F19" s="15">
        <v>375</v>
      </c>
      <c r="G19" s="15">
        <f t="shared" si="0"/>
        <v>375</v>
      </c>
      <c r="H19" s="15">
        <v>1000</v>
      </c>
      <c r="I19" s="15">
        <v>1000</v>
      </c>
      <c r="J19" s="15">
        <v>375</v>
      </c>
      <c r="K19" s="133">
        <v>1000</v>
      </c>
      <c r="L19" s="15"/>
      <c r="M19" s="16">
        <f t="shared" si="2"/>
        <v>30</v>
      </c>
      <c r="N19" s="15">
        <f t="shared" si="1"/>
        <v>13.333333333333334</v>
      </c>
      <c r="O19" s="17"/>
      <c r="P19" s="17"/>
      <c r="Q19" s="17"/>
      <c r="R19" s="17"/>
      <c r="S19" s="15"/>
      <c r="T19" s="264"/>
    </row>
    <row r="20" spans="1:20" s="219" customFormat="1" x14ac:dyDescent="0.2">
      <c r="A20" s="14">
        <v>18</v>
      </c>
      <c r="B20" s="14"/>
      <c r="C20" s="14"/>
      <c r="D20" s="14"/>
      <c r="E20" s="14"/>
      <c r="F20" s="15">
        <v>375</v>
      </c>
      <c r="G20" s="15">
        <f t="shared" si="0"/>
        <v>375</v>
      </c>
      <c r="H20" s="15">
        <v>1000</v>
      </c>
      <c r="I20" s="15">
        <v>1000</v>
      </c>
      <c r="J20" s="15">
        <v>375</v>
      </c>
      <c r="K20" s="133">
        <v>1000</v>
      </c>
      <c r="L20" s="15"/>
      <c r="M20" s="16">
        <f t="shared" si="2"/>
        <v>30</v>
      </c>
      <c r="N20" s="15">
        <f t="shared" si="1"/>
        <v>13.333333333333334</v>
      </c>
      <c r="O20" s="17"/>
      <c r="P20" s="17"/>
      <c r="Q20" s="17"/>
      <c r="R20" s="17"/>
      <c r="S20" s="15"/>
      <c r="T20" s="264"/>
    </row>
    <row r="21" spans="1:20" s="219" customFormat="1" x14ac:dyDescent="0.2">
      <c r="A21" s="14">
        <v>19</v>
      </c>
      <c r="B21" s="14"/>
      <c r="C21" s="14"/>
      <c r="D21" s="14"/>
      <c r="E21" s="14"/>
      <c r="F21" s="15">
        <v>375</v>
      </c>
      <c r="G21" s="15">
        <f t="shared" si="0"/>
        <v>375</v>
      </c>
      <c r="H21" s="15">
        <v>1000</v>
      </c>
      <c r="I21" s="15">
        <v>1000</v>
      </c>
      <c r="J21" s="15">
        <v>375</v>
      </c>
      <c r="K21" s="133">
        <v>1000</v>
      </c>
      <c r="L21" s="15"/>
      <c r="M21" s="16">
        <f t="shared" si="2"/>
        <v>30</v>
      </c>
      <c r="N21" s="15">
        <f t="shared" si="1"/>
        <v>13.333333333333334</v>
      </c>
      <c r="O21" s="17"/>
      <c r="P21" s="17"/>
      <c r="Q21" s="17"/>
      <c r="R21" s="17"/>
      <c r="S21" s="15"/>
      <c r="T21" s="264"/>
    </row>
    <row r="22" spans="1:20" s="219" customFormat="1" x14ac:dyDescent="0.2">
      <c r="A22" s="18">
        <v>21</v>
      </c>
      <c r="B22" s="18"/>
      <c r="C22" s="18"/>
      <c r="D22" s="18"/>
      <c r="E22" s="18"/>
      <c r="F22" s="19">
        <v>1000</v>
      </c>
      <c r="G22" s="19">
        <f t="shared" si="0"/>
        <v>1000</v>
      </c>
      <c r="H22" s="19">
        <v>1000</v>
      </c>
      <c r="I22" s="19">
        <v>1000</v>
      </c>
      <c r="J22" s="19">
        <v>1500</v>
      </c>
      <c r="K22" s="133">
        <v>1000</v>
      </c>
      <c r="L22" s="19"/>
      <c r="M22" s="16">
        <f t="shared" si="2"/>
        <v>97.979589711327122</v>
      </c>
      <c r="N22" s="19">
        <f t="shared" si="1"/>
        <v>4.0824829046386304</v>
      </c>
      <c r="O22" s="20"/>
      <c r="P22" s="20"/>
      <c r="Q22" s="20"/>
      <c r="R22" s="20"/>
      <c r="S22" s="19"/>
      <c r="T22" s="264"/>
    </row>
    <row r="23" spans="1:20" s="219" customFormat="1" x14ac:dyDescent="0.2">
      <c r="A23" s="18">
        <v>22</v>
      </c>
      <c r="B23" s="18"/>
      <c r="C23" s="18"/>
      <c r="D23" s="18"/>
      <c r="E23" s="18"/>
      <c r="F23" s="19">
        <v>1000</v>
      </c>
      <c r="G23" s="19">
        <f t="shared" si="0"/>
        <v>1000</v>
      </c>
      <c r="H23" s="19">
        <v>1000</v>
      </c>
      <c r="I23" s="19">
        <v>1000</v>
      </c>
      <c r="J23" s="19">
        <v>1500</v>
      </c>
      <c r="K23" s="133">
        <v>1000</v>
      </c>
      <c r="L23" s="19"/>
      <c r="M23" s="16">
        <f t="shared" si="2"/>
        <v>97.979589711327122</v>
      </c>
      <c r="N23" s="19">
        <f t="shared" si="1"/>
        <v>4.0824829046386304</v>
      </c>
      <c r="O23" s="20"/>
      <c r="P23" s="20"/>
      <c r="Q23" s="20"/>
      <c r="R23" s="20"/>
      <c r="S23" s="19"/>
      <c r="T23" s="264"/>
    </row>
    <row r="24" spans="1:20" s="219" customFormat="1" x14ac:dyDescent="0.2">
      <c r="A24" s="18">
        <v>23</v>
      </c>
      <c r="B24" s="18"/>
      <c r="C24" s="18"/>
      <c r="D24" s="18"/>
      <c r="E24" s="18"/>
      <c r="F24" s="19">
        <v>1200</v>
      </c>
      <c r="G24" s="19">
        <f t="shared" si="0"/>
        <v>1200</v>
      </c>
      <c r="H24" s="19">
        <v>1000</v>
      </c>
      <c r="I24" s="19">
        <v>1000</v>
      </c>
      <c r="J24" s="19">
        <v>2000</v>
      </c>
      <c r="K24" s="133">
        <v>1000</v>
      </c>
      <c r="L24" s="19"/>
      <c r="M24" s="16">
        <f t="shared" si="2"/>
        <v>123.93546707863734</v>
      </c>
      <c r="N24" s="19">
        <f t="shared" si="1"/>
        <v>3.2274861218395139</v>
      </c>
      <c r="O24" s="20"/>
      <c r="P24" s="20"/>
      <c r="Q24" s="20"/>
      <c r="R24" s="20"/>
      <c r="S24" s="19"/>
      <c r="T24" s="264"/>
    </row>
    <row r="25" spans="1:20" s="219" customFormat="1" x14ac:dyDescent="0.2">
      <c r="A25" s="18">
        <v>24</v>
      </c>
      <c r="B25" s="18"/>
      <c r="C25" s="18"/>
      <c r="D25" s="18"/>
      <c r="E25" s="18"/>
      <c r="F25" s="19">
        <v>1200</v>
      </c>
      <c r="G25" s="19">
        <f t="shared" si="0"/>
        <v>1200</v>
      </c>
      <c r="H25" s="19">
        <v>1000</v>
      </c>
      <c r="I25" s="19">
        <v>1000</v>
      </c>
      <c r="J25" s="19">
        <v>2000</v>
      </c>
      <c r="K25" s="133">
        <v>1000</v>
      </c>
      <c r="L25" s="19"/>
      <c r="M25" s="16">
        <f t="shared" si="2"/>
        <v>123.93546707863734</v>
      </c>
      <c r="N25" s="19">
        <f t="shared" si="1"/>
        <v>3.2274861218395139</v>
      </c>
      <c r="O25" s="20"/>
      <c r="P25" s="20"/>
      <c r="Q25" s="20"/>
      <c r="R25" s="20"/>
      <c r="S25" s="19"/>
      <c r="T25" s="264"/>
    </row>
    <row r="26" spans="1:20" s="219" customFormat="1" x14ac:dyDescent="0.2">
      <c r="A26" s="18">
        <v>25</v>
      </c>
      <c r="B26" s="18"/>
      <c r="C26" s="18"/>
      <c r="D26" s="18"/>
      <c r="E26" s="18"/>
      <c r="F26" s="19">
        <v>1200</v>
      </c>
      <c r="G26" s="19">
        <f t="shared" si="0"/>
        <v>1200</v>
      </c>
      <c r="H26" s="19">
        <v>1000</v>
      </c>
      <c r="I26" s="19">
        <v>1000</v>
      </c>
      <c r="J26" s="19">
        <v>2000</v>
      </c>
      <c r="K26" s="133">
        <v>1000</v>
      </c>
      <c r="L26" s="19"/>
      <c r="M26" s="16">
        <f t="shared" si="2"/>
        <v>123.93546707863734</v>
      </c>
      <c r="N26" s="19">
        <f t="shared" si="1"/>
        <v>3.2274861218395139</v>
      </c>
      <c r="O26" s="20"/>
      <c r="P26" s="20"/>
      <c r="Q26" s="20"/>
      <c r="R26" s="20"/>
      <c r="S26" s="19"/>
      <c r="T26" s="264"/>
    </row>
    <row r="27" spans="1:20" s="219" customFormat="1" x14ac:dyDescent="0.2">
      <c r="A27" s="18">
        <v>26</v>
      </c>
      <c r="B27" s="18"/>
      <c r="C27" s="18"/>
      <c r="D27" s="18"/>
      <c r="E27" s="18"/>
      <c r="F27" s="19">
        <v>1200</v>
      </c>
      <c r="G27" s="19">
        <f t="shared" si="0"/>
        <v>1200</v>
      </c>
      <c r="H27" s="19">
        <v>1000</v>
      </c>
      <c r="I27" s="19">
        <v>1000</v>
      </c>
      <c r="J27" s="19">
        <v>2000</v>
      </c>
      <c r="K27" s="133">
        <v>1000</v>
      </c>
      <c r="L27" s="19"/>
      <c r="M27" s="16">
        <f t="shared" si="2"/>
        <v>123.93546707863734</v>
      </c>
      <c r="N27" s="19">
        <f t="shared" si="1"/>
        <v>3.2274861218395139</v>
      </c>
      <c r="O27" s="20"/>
      <c r="P27" s="20"/>
      <c r="Q27" s="20"/>
      <c r="R27" s="20"/>
      <c r="S27" s="19"/>
      <c r="T27" s="264"/>
    </row>
    <row r="28" spans="1:20" s="219" customFormat="1" x14ac:dyDescent="0.2">
      <c r="A28" s="18">
        <v>27</v>
      </c>
      <c r="B28" s="18"/>
      <c r="C28" s="18"/>
      <c r="D28" s="18"/>
      <c r="E28" s="18"/>
      <c r="F28" s="19">
        <v>1200</v>
      </c>
      <c r="G28" s="19">
        <f t="shared" si="0"/>
        <v>1200</v>
      </c>
      <c r="H28" s="19">
        <v>1000</v>
      </c>
      <c r="I28" s="19">
        <v>1000</v>
      </c>
      <c r="J28" s="19">
        <v>2000</v>
      </c>
      <c r="K28" s="133">
        <v>1000</v>
      </c>
      <c r="L28" s="19"/>
      <c r="M28" s="16">
        <f t="shared" si="2"/>
        <v>123.93546707863734</v>
      </c>
      <c r="N28" s="19">
        <f t="shared" si="1"/>
        <v>3.2274861218395139</v>
      </c>
      <c r="O28" s="20"/>
      <c r="P28" s="20"/>
      <c r="Q28" s="20"/>
      <c r="R28" s="20"/>
      <c r="S28" s="19"/>
      <c r="T28" s="264"/>
    </row>
    <row r="29" spans="1:20" s="219" customFormat="1" x14ac:dyDescent="0.2">
      <c r="A29" s="18">
        <v>28</v>
      </c>
      <c r="B29" s="18"/>
      <c r="C29" s="18"/>
      <c r="D29" s="18"/>
      <c r="E29" s="18"/>
      <c r="F29" s="19">
        <v>1200</v>
      </c>
      <c r="G29" s="19">
        <f t="shared" si="0"/>
        <v>1200</v>
      </c>
      <c r="H29" s="19">
        <v>1000</v>
      </c>
      <c r="I29" s="19">
        <v>1000</v>
      </c>
      <c r="J29" s="19">
        <v>2000</v>
      </c>
      <c r="K29" s="133">
        <v>1000</v>
      </c>
      <c r="L29" s="19"/>
      <c r="M29" s="16">
        <f t="shared" si="2"/>
        <v>123.93546707863734</v>
      </c>
      <c r="N29" s="19">
        <f t="shared" si="1"/>
        <v>3.2274861218395139</v>
      </c>
      <c r="O29" s="20"/>
      <c r="P29" s="20"/>
      <c r="Q29" s="20"/>
      <c r="R29" s="20"/>
      <c r="S29" s="19"/>
      <c r="T29" s="264"/>
    </row>
    <row r="30" spans="1:20" s="219" customFormat="1" x14ac:dyDescent="0.2">
      <c r="A30" s="18">
        <v>29</v>
      </c>
      <c r="B30" s="18"/>
      <c r="C30" s="18"/>
      <c r="D30" s="18"/>
      <c r="E30" s="18"/>
      <c r="F30" s="19">
        <v>1200</v>
      </c>
      <c r="G30" s="19">
        <f t="shared" si="0"/>
        <v>1200</v>
      </c>
      <c r="H30" s="19">
        <v>1000</v>
      </c>
      <c r="I30" s="19">
        <v>1000</v>
      </c>
      <c r="J30" s="19">
        <v>2000</v>
      </c>
      <c r="K30" s="133">
        <v>1000</v>
      </c>
      <c r="L30" s="19"/>
      <c r="M30" s="16">
        <f t="shared" si="2"/>
        <v>123.93546707863734</v>
      </c>
      <c r="N30" s="19">
        <f t="shared" si="1"/>
        <v>3.2274861218395139</v>
      </c>
      <c r="O30" s="20"/>
      <c r="P30" s="20"/>
      <c r="Q30" s="20"/>
      <c r="R30" s="20"/>
      <c r="S30" s="19"/>
      <c r="T30" s="264"/>
    </row>
    <row r="31" spans="1:20" s="219" customFormat="1" x14ac:dyDescent="0.2">
      <c r="A31" s="43">
        <v>30</v>
      </c>
      <c r="B31" s="43"/>
      <c r="C31" s="43"/>
      <c r="D31" s="43"/>
      <c r="E31" s="43"/>
      <c r="F31" s="44">
        <v>300</v>
      </c>
      <c r="G31" s="44">
        <v>300</v>
      </c>
      <c r="H31" s="44">
        <v>1000</v>
      </c>
      <c r="I31" s="44">
        <v>1000</v>
      </c>
      <c r="J31" s="44">
        <v>20000</v>
      </c>
      <c r="K31" s="133">
        <v>1000</v>
      </c>
      <c r="L31" s="44"/>
      <c r="M31" s="16">
        <f t="shared" si="2"/>
        <v>195.95917942265424</v>
      </c>
      <c r="N31" s="44">
        <f t="shared" ref="N31" si="3">400/M31</f>
        <v>2.0412414523193152</v>
      </c>
      <c r="O31" s="45"/>
      <c r="P31" s="45"/>
      <c r="Q31" s="45"/>
      <c r="R31" s="45"/>
      <c r="S31" s="44"/>
      <c r="T31" s="264"/>
    </row>
    <row r="32" spans="1:20" s="219" customFormat="1" x14ac:dyDescent="0.2">
      <c r="A32" s="14">
        <v>101</v>
      </c>
      <c r="B32" s="14"/>
      <c r="C32" s="14"/>
      <c r="D32" s="14"/>
      <c r="E32" s="14"/>
      <c r="F32" s="15">
        <v>100</v>
      </c>
      <c r="G32" s="15">
        <f t="shared" si="0"/>
        <v>100</v>
      </c>
      <c r="H32" s="15">
        <v>1000</v>
      </c>
      <c r="I32" s="15">
        <v>1000</v>
      </c>
      <c r="J32" s="15">
        <v>100</v>
      </c>
      <c r="K32" s="133">
        <v>1000</v>
      </c>
      <c r="L32" s="15"/>
      <c r="M32" s="16">
        <f t="shared" si="2"/>
        <v>8</v>
      </c>
      <c r="N32" s="15">
        <f t="shared" si="1"/>
        <v>50</v>
      </c>
      <c r="O32" s="17"/>
      <c r="P32" s="17"/>
      <c r="Q32" s="17"/>
      <c r="R32" s="17"/>
      <c r="S32" s="15"/>
      <c r="T32" s="264"/>
    </row>
    <row r="33" spans="1:20" s="219" customFormat="1" x14ac:dyDescent="0.2">
      <c r="A33" s="14">
        <v>102</v>
      </c>
      <c r="B33" s="14"/>
      <c r="C33" s="14"/>
      <c r="D33" s="14"/>
      <c r="E33" s="14"/>
      <c r="F33" s="15">
        <v>200</v>
      </c>
      <c r="G33" s="15">
        <f t="shared" si="0"/>
        <v>200</v>
      </c>
      <c r="H33" s="15">
        <v>1000</v>
      </c>
      <c r="I33" s="15">
        <v>1000</v>
      </c>
      <c r="J33" s="15">
        <v>200</v>
      </c>
      <c r="K33" s="133">
        <v>1000</v>
      </c>
      <c r="L33" s="15"/>
      <c r="M33" s="16">
        <f t="shared" si="2"/>
        <v>16</v>
      </c>
      <c r="N33" s="15">
        <f t="shared" si="1"/>
        <v>25</v>
      </c>
      <c r="O33" s="17"/>
      <c r="P33" s="17"/>
      <c r="Q33" s="17"/>
      <c r="R33" s="17"/>
      <c r="S33" s="15"/>
      <c r="T33" s="264"/>
    </row>
    <row r="34" spans="1:20" s="219" customFormat="1" x14ac:dyDescent="0.2">
      <c r="A34" s="14">
        <v>103</v>
      </c>
      <c r="B34" s="14"/>
      <c r="C34" s="14"/>
      <c r="D34" s="14"/>
      <c r="E34" s="14"/>
      <c r="F34" s="15">
        <v>300</v>
      </c>
      <c r="G34" s="15">
        <f t="shared" si="0"/>
        <v>300</v>
      </c>
      <c r="H34" s="15">
        <v>1000</v>
      </c>
      <c r="I34" s="15">
        <v>1000</v>
      </c>
      <c r="J34" s="15">
        <v>300</v>
      </c>
      <c r="K34" s="133">
        <v>1000</v>
      </c>
      <c r="L34" s="15"/>
      <c r="M34" s="16">
        <f t="shared" si="2"/>
        <v>24</v>
      </c>
      <c r="N34" s="15">
        <f t="shared" si="1"/>
        <v>16.666666666666668</v>
      </c>
      <c r="O34" s="17"/>
      <c r="P34" s="17"/>
      <c r="Q34" s="17"/>
      <c r="R34" s="17"/>
      <c r="S34" s="15"/>
      <c r="T34" s="264"/>
    </row>
    <row r="35" spans="1:20" s="219" customFormat="1" x14ac:dyDescent="0.2">
      <c r="A35" s="14">
        <v>104</v>
      </c>
      <c r="B35" s="14"/>
      <c r="C35" s="14"/>
      <c r="D35" s="14"/>
      <c r="E35" s="14"/>
      <c r="F35" s="15">
        <v>400</v>
      </c>
      <c r="G35" s="15">
        <f t="shared" si="0"/>
        <v>400</v>
      </c>
      <c r="H35" s="15">
        <v>1000</v>
      </c>
      <c r="I35" s="15">
        <v>1000</v>
      </c>
      <c r="J35" s="15">
        <v>400</v>
      </c>
      <c r="K35" s="133">
        <v>1000</v>
      </c>
      <c r="L35" s="15"/>
      <c r="M35" s="16">
        <f t="shared" si="2"/>
        <v>32</v>
      </c>
      <c r="N35" s="15">
        <f t="shared" si="1"/>
        <v>12.5</v>
      </c>
      <c r="O35" s="17"/>
      <c r="P35" s="17"/>
      <c r="Q35" s="17"/>
      <c r="R35" s="17"/>
      <c r="S35" s="15"/>
      <c r="T35" s="264"/>
    </row>
    <row r="36" spans="1:20" s="219" customFormat="1" x14ac:dyDescent="0.2">
      <c r="A36" s="14">
        <v>105</v>
      </c>
      <c r="B36" s="14"/>
      <c r="C36" s="14"/>
      <c r="D36" s="14"/>
      <c r="E36" s="14"/>
      <c r="F36" s="15">
        <v>500</v>
      </c>
      <c r="G36" s="15">
        <f t="shared" si="0"/>
        <v>500</v>
      </c>
      <c r="H36" s="15">
        <v>1000</v>
      </c>
      <c r="I36" s="15">
        <v>1000</v>
      </c>
      <c r="J36" s="15">
        <v>500</v>
      </c>
      <c r="K36" s="133">
        <v>1000</v>
      </c>
      <c r="L36" s="15"/>
      <c r="M36" s="16">
        <f t="shared" si="2"/>
        <v>40</v>
      </c>
      <c r="N36" s="15">
        <f t="shared" si="1"/>
        <v>10</v>
      </c>
      <c r="O36" s="17"/>
      <c r="P36" s="17"/>
      <c r="Q36" s="17"/>
      <c r="R36" s="17"/>
      <c r="S36" s="15"/>
      <c r="T36" s="264"/>
    </row>
    <row r="37" spans="1:20" s="219" customFormat="1" x14ac:dyDescent="0.2">
      <c r="A37" s="14">
        <v>106</v>
      </c>
      <c r="B37" s="14"/>
      <c r="C37" s="14"/>
      <c r="D37" s="14"/>
      <c r="E37" s="14"/>
      <c r="F37" s="15">
        <v>600</v>
      </c>
      <c r="G37" s="15">
        <f t="shared" ref="G37:G68" si="4">F37</f>
        <v>600</v>
      </c>
      <c r="H37" s="15">
        <v>1000</v>
      </c>
      <c r="I37" s="15">
        <v>1000</v>
      </c>
      <c r="J37" s="15">
        <v>600</v>
      </c>
      <c r="K37" s="133">
        <v>1000</v>
      </c>
      <c r="L37" s="15"/>
      <c r="M37" s="16">
        <f t="shared" si="2"/>
        <v>48</v>
      </c>
      <c r="N37" s="15">
        <f t="shared" ref="N37:N68" si="5">400/M37</f>
        <v>8.3333333333333339</v>
      </c>
      <c r="O37" s="17"/>
      <c r="P37" s="17"/>
      <c r="Q37" s="17"/>
      <c r="R37" s="17"/>
      <c r="S37" s="15"/>
      <c r="T37" s="264"/>
    </row>
    <row r="38" spans="1:20" s="219" customFormat="1" x14ac:dyDescent="0.2">
      <c r="A38" s="14">
        <v>107</v>
      </c>
      <c r="B38" s="14"/>
      <c r="C38" s="14"/>
      <c r="D38" s="14"/>
      <c r="E38" s="14"/>
      <c r="F38" s="15">
        <v>700</v>
      </c>
      <c r="G38" s="15">
        <f t="shared" si="4"/>
        <v>700</v>
      </c>
      <c r="H38" s="15">
        <v>1000</v>
      </c>
      <c r="I38" s="15">
        <v>1000</v>
      </c>
      <c r="J38" s="15">
        <v>700</v>
      </c>
      <c r="K38" s="133">
        <v>1000</v>
      </c>
      <c r="L38" s="15"/>
      <c r="M38" s="16">
        <f t="shared" si="2"/>
        <v>56</v>
      </c>
      <c r="N38" s="15">
        <f t="shared" si="5"/>
        <v>7.1428571428571432</v>
      </c>
      <c r="O38" s="17"/>
      <c r="P38" s="17"/>
      <c r="Q38" s="17"/>
      <c r="R38" s="17"/>
      <c r="S38" s="15"/>
      <c r="T38" s="264"/>
    </row>
    <row r="39" spans="1:20" s="219" customFormat="1" x14ac:dyDescent="0.2">
      <c r="A39" s="14">
        <v>108</v>
      </c>
      <c r="B39" s="14"/>
      <c r="C39" s="14"/>
      <c r="D39" s="14"/>
      <c r="E39" s="14"/>
      <c r="F39" s="15">
        <v>800</v>
      </c>
      <c r="G39" s="15">
        <f t="shared" si="4"/>
        <v>800</v>
      </c>
      <c r="H39" s="15">
        <v>1000</v>
      </c>
      <c r="I39" s="15">
        <v>1000</v>
      </c>
      <c r="J39" s="15">
        <v>800</v>
      </c>
      <c r="K39" s="133">
        <v>1000</v>
      </c>
      <c r="L39" s="15"/>
      <c r="M39" s="16">
        <f t="shared" si="2"/>
        <v>64</v>
      </c>
      <c r="N39" s="15">
        <f t="shared" si="5"/>
        <v>6.25</v>
      </c>
      <c r="O39" s="17"/>
      <c r="P39" s="17"/>
      <c r="Q39" s="17"/>
      <c r="R39" s="17"/>
      <c r="S39" s="15"/>
      <c r="T39" s="264"/>
    </row>
    <row r="40" spans="1:20" s="219" customFormat="1" x14ac:dyDescent="0.2">
      <c r="A40" s="14">
        <v>109</v>
      </c>
      <c r="B40" s="14"/>
      <c r="C40" s="14"/>
      <c r="D40" s="14"/>
      <c r="E40" s="14"/>
      <c r="F40" s="15">
        <v>900</v>
      </c>
      <c r="G40" s="15">
        <f t="shared" si="4"/>
        <v>900</v>
      </c>
      <c r="H40" s="15">
        <v>1000</v>
      </c>
      <c r="I40" s="15">
        <v>1000</v>
      </c>
      <c r="J40" s="15">
        <v>900</v>
      </c>
      <c r="K40" s="133">
        <v>1000</v>
      </c>
      <c r="L40" s="15"/>
      <c r="M40" s="16">
        <f t="shared" si="2"/>
        <v>72</v>
      </c>
      <c r="N40" s="15">
        <f t="shared" si="5"/>
        <v>5.5555555555555554</v>
      </c>
      <c r="O40" s="17"/>
      <c r="P40" s="17"/>
      <c r="Q40" s="17"/>
      <c r="R40" s="17"/>
      <c r="S40" s="15"/>
      <c r="T40" s="264"/>
    </row>
    <row r="41" spans="1:20" s="219" customFormat="1" x14ac:dyDescent="0.2">
      <c r="A41" s="14">
        <v>110</v>
      </c>
      <c r="B41" s="14"/>
      <c r="C41" s="14"/>
      <c r="D41" s="14"/>
      <c r="E41" s="14"/>
      <c r="F41" s="15">
        <v>1000</v>
      </c>
      <c r="G41" s="15">
        <f t="shared" si="4"/>
        <v>1000</v>
      </c>
      <c r="H41" s="15">
        <v>1000</v>
      </c>
      <c r="I41" s="15">
        <v>1000</v>
      </c>
      <c r="J41" s="15">
        <v>1000</v>
      </c>
      <c r="K41" s="133">
        <v>1000</v>
      </c>
      <c r="L41" s="15"/>
      <c r="M41" s="16">
        <f t="shared" si="2"/>
        <v>80</v>
      </c>
      <c r="N41" s="15">
        <f t="shared" si="5"/>
        <v>5</v>
      </c>
      <c r="O41" s="17"/>
      <c r="P41" s="17"/>
      <c r="Q41" s="17"/>
      <c r="R41" s="17"/>
      <c r="S41" s="15"/>
      <c r="T41" s="264"/>
    </row>
    <row r="42" spans="1:20" s="219" customFormat="1" x14ac:dyDescent="0.2">
      <c r="A42" s="14">
        <v>111</v>
      </c>
      <c r="B42" s="14"/>
      <c r="C42" s="14"/>
      <c r="D42" s="14"/>
      <c r="E42" s="14"/>
      <c r="F42" s="15">
        <v>1100</v>
      </c>
      <c r="G42" s="15">
        <f t="shared" si="4"/>
        <v>1100</v>
      </c>
      <c r="H42" s="15">
        <v>1000</v>
      </c>
      <c r="I42" s="15">
        <v>1000</v>
      </c>
      <c r="J42" s="15">
        <v>1100</v>
      </c>
      <c r="K42" s="133">
        <v>1000</v>
      </c>
      <c r="L42" s="15"/>
      <c r="M42" s="16">
        <f t="shared" si="2"/>
        <v>88</v>
      </c>
      <c r="N42" s="15">
        <f t="shared" si="5"/>
        <v>4.5454545454545459</v>
      </c>
      <c r="O42" s="17"/>
      <c r="P42" s="17"/>
      <c r="Q42" s="17"/>
      <c r="R42" s="17"/>
      <c r="S42" s="15"/>
      <c r="T42" s="264"/>
    </row>
    <row r="43" spans="1:20" s="219" customFormat="1" x14ac:dyDescent="0.2">
      <c r="A43" s="14">
        <v>112</v>
      </c>
      <c r="B43" s="14"/>
      <c r="C43" s="14"/>
      <c r="D43" s="14"/>
      <c r="E43" s="14"/>
      <c r="F43" s="15">
        <v>1200</v>
      </c>
      <c r="G43" s="15">
        <f t="shared" si="4"/>
        <v>1200</v>
      </c>
      <c r="H43" s="15">
        <v>1000</v>
      </c>
      <c r="I43" s="15">
        <v>1000</v>
      </c>
      <c r="J43" s="15">
        <v>1200</v>
      </c>
      <c r="K43" s="133">
        <v>1000</v>
      </c>
      <c r="L43" s="15"/>
      <c r="M43" s="16">
        <f t="shared" si="2"/>
        <v>96</v>
      </c>
      <c r="N43" s="15">
        <f t="shared" si="5"/>
        <v>4.166666666666667</v>
      </c>
      <c r="O43" s="17"/>
      <c r="P43" s="17"/>
      <c r="Q43" s="17"/>
      <c r="R43" s="17"/>
      <c r="S43" s="15"/>
      <c r="T43" s="264"/>
    </row>
    <row r="44" spans="1:20" s="219" customFormat="1" x14ac:dyDescent="0.2">
      <c r="A44" s="14">
        <v>113</v>
      </c>
      <c r="B44" s="14"/>
      <c r="C44" s="14"/>
      <c r="D44" s="14"/>
      <c r="E44" s="14"/>
      <c r="F44" s="15">
        <v>1300</v>
      </c>
      <c r="G44" s="15">
        <f t="shared" si="4"/>
        <v>1300</v>
      </c>
      <c r="H44" s="15">
        <v>1000</v>
      </c>
      <c r="I44" s="15">
        <v>1000</v>
      </c>
      <c r="J44" s="15">
        <v>1300</v>
      </c>
      <c r="K44" s="133">
        <v>1000</v>
      </c>
      <c r="L44" s="15"/>
      <c r="M44" s="16">
        <f t="shared" si="2"/>
        <v>104</v>
      </c>
      <c r="N44" s="15">
        <f t="shared" si="5"/>
        <v>3.8461538461538463</v>
      </c>
      <c r="O44" s="17"/>
      <c r="P44" s="17"/>
      <c r="Q44" s="17"/>
      <c r="R44" s="17"/>
      <c r="S44" s="15"/>
      <c r="T44" s="264"/>
    </row>
    <row r="45" spans="1:20" s="219" customFormat="1" x14ac:dyDescent="0.2">
      <c r="A45" s="14">
        <v>114</v>
      </c>
      <c r="B45" s="14"/>
      <c r="C45" s="14"/>
      <c r="D45" s="14"/>
      <c r="E45" s="14"/>
      <c r="F45" s="15">
        <v>1400</v>
      </c>
      <c r="G45" s="15">
        <f t="shared" si="4"/>
        <v>1400</v>
      </c>
      <c r="H45" s="15">
        <v>1000</v>
      </c>
      <c r="I45" s="15">
        <v>1000</v>
      </c>
      <c r="J45" s="15">
        <v>1400</v>
      </c>
      <c r="K45" s="133">
        <v>1000</v>
      </c>
      <c r="L45" s="15"/>
      <c r="M45" s="16">
        <f t="shared" si="2"/>
        <v>112</v>
      </c>
      <c r="N45" s="15">
        <f t="shared" si="5"/>
        <v>3.5714285714285716</v>
      </c>
      <c r="O45" s="17"/>
      <c r="P45" s="17"/>
      <c r="Q45" s="17"/>
      <c r="R45" s="17"/>
      <c r="S45" s="15"/>
      <c r="T45" s="264"/>
    </row>
    <row r="46" spans="1:20" s="219" customFormat="1" x14ac:dyDescent="0.2">
      <c r="A46" s="14">
        <v>115</v>
      </c>
      <c r="B46" s="14"/>
      <c r="C46" s="14"/>
      <c r="D46" s="14"/>
      <c r="E46" s="14"/>
      <c r="F46" s="15">
        <v>1500</v>
      </c>
      <c r="G46" s="15">
        <f t="shared" si="4"/>
        <v>1500</v>
      </c>
      <c r="H46" s="15">
        <v>1000</v>
      </c>
      <c r="I46" s="15">
        <v>1000</v>
      </c>
      <c r="J46" s="15">
        <v>1500</v>
      </c>
      <c r="K46" s="133">
        <v>1000</v>
      </c>
      <c r="L46" s="15"/>
      <c r="M46" s="16">
        <f t="shared" si="2"/>
        <v>120</v>
      </c>
      <c r="N46" s="15">
        <f t="shared" si="5"/>
        <v>3.3333333333333335</v>
      </c>
      <c r="O46" s="17"/>
      <c r="P46" s="17"/>
      <c r="Q46" s="17"/>
      <c r="R46" s="17"/>
      <c r="S46" s="15"/>
      <c r="T46" s="264"/>
    </row>
    <row r="47" spans="1:20" s="219" customFormat="1" x14ac:dyDescent="0.2">
      <c r="A47" s="14">
        <v>116</v>
      </c>
      <c r="B47" s="14"/>
      <c r="C47" s="14"/>
      <c r="D47" s="14"/>
      <c r="E47" s="14"/>
      <c r="F47" s="15">
        <v>1600</v>
      </c>
      <c r="G47" s="15">
        <f t="shared" si="4"/>
        <v>1600</v>
      </c>
      <c r="H47" s="15">
        <v>1000</v>
      </c>
      <c r="I47" s="15">
        <v>1000</v>
      </c>
      <c r="J47" s="15">
        <v>1600</v>
      </c>
      <c r="K47" s="133">
        <v>1000</v>
      </c>
      <c r="L47" s="15"/>
      <c r="M47" s="16">
        <f t="shared" si="2"/>
        <v>128</v>
      </c>
      <c r="N47" s="15">
        <f t="shared" si="5"/>
        <v>3.125</v>
      </c>
      <c r="O47" s="17"/>
      <c r="P47" s="17"/>
      <c r="Q47" s="17"/>
      <c r="R47" s="17"/>
      <c r="S47" s="15"/>
      <c r="T47" s="264"/>
    </row>
    <row r="48" spans="1:20" s="219" customFormat="1" x14ac:dyDescent="0.2">
      <c r="A48" s="14">
        <v>117</v>
      </c>
      <c r="B48" s="14"/>
      <c r="C48" s="14"/>
      <c r="D48" s="14"/>
      <c r="E48" s="14"/>
      <c r="F48" s="15">
        <v>1700</v>
      </c>
      <c r="G48" s="15">
        <f t="shared" si="4"/>
        <v>1700</v>
      </c>
      <c r="H48" s="15">
        <v>1000</v>
      </c>
      <c r="I48" s="15">
        <v>1000</v>
      </c>
      <c r="J48" s="15">
        <v>1700</v>
      </c>
      <c r="K48" s="133">
        <v>1000</v>
      </c>
      <c r="L48" s="15"/>
      <c r="M48" s="16">
        <f t="shared" si="2"/>
        <v>136</v>
      </c>
      <c r="N48" s="15">
        <f t="shared" si="5"/>
        <v>2.9411764705882355</v>
      </c>
      <c r="O48" s="17"/>
      <c r="P48" s="17"/>
      <c r="Q48" s="17"/>
      <c r="R48" s="17"/>
      <c r="S48" s="15"/>
      <c r="T48" s="264"/>
    </row>
    <row r="49" spans="1:20" s="219" customFormat="1" x14ac:dyDescent="0.2">
      <c r="A49" s="14">
        <v>118</v>
      </c>
      <c r="B49" s="14"/>
      <c r="C49" s="14"/>
      <c r="D49" s="14"/>
      <c r="E49" s="14"/>
      <c r="F49" s="15">
        <v>1800</v>
      </c>
      <c r="G49" s="15">
        <f t="shared" si="4"/>
        <v>1800</v>
      </c>
      <c r="H49" s="15">
        <v>1000</v>
      </c>
      <c r="I49" s="15">
        <v>1000</v>
      </c>
      <c r="J49" s="15">
        <v>1800</v>
      </c>
      <c r="K49" s="133">
        <v>1000</v>
      </c>
      <c r="L49" s="15"/>
      <c r="M49" s="16">
        <f t="shared" si="2"/>
        <v>144</v>
      </c>
      <c r="N49" s="15">
        <f t="shared" si="5"/>
        <v>2.7777777777777777</v>
      </c>
      <c r="O49" s="17"/>
      <c r="P49" s="17"/>
      <c r="Q49" s="17"/>
      <c r="R49" s="17"/>
      <c r="S49" s="15"/>
      <c r="T49" s="264"/>
    </row>
    <row r="50" spans="1:20" s="219" customFormat="1" x14ac:dyDescent="0.2">
      <c r="A50" s="14">
        <v>119</v>
      </c>
      <c r="B50" s="14"/>
      <c r="C50" s="14"/>
      <c r="D50" s="14"/>
      <c r="E50" s="14"/>
      <c r="F50" s="15">
        <v>1900</v>
      </c>
      <c r="G50" s="15">
        <f t="shared" si="4"/>
        <v>1900</v>
      </c>
      <c r="H50" s="15">
        <v>1000</v>
      </c>
      <c r="I50" s="15">
        <v>1000</v>
      </c>
      <c r="J50" s="15">
        <v>1900</v>
      </c>
      <c r="K50" s="133">
        <v>1000</v>
      </c>
      <c r="L50" s="15"/>
      <c r="M50" s="16">
        <f t="shared" si="2"/>
        <v>152</v>
      </c>
      <c r="N50" s="15">
        <f t="shared" si="5"/>
        <v>2.6315789473684212</v>
      </c>
      <c r="O50" s="17"/>
      <c r="P50" s="17"/>
      <c r="Q50" s="17"/>
      <c r="R50" s="17"/>
      <c r="S50" s="15"/>
      <c r="T50" s="264"/>
    </row>
    <row r="51" spans="1:20" s="219" customFormat="1" x14ac:dyDescent="0.2">
      <c r="A51" s="14">
        <v>120</v>
      </c>
      <c r="B51" s="14"/>
      <c r="C51" s="14"/>
      <c r="D51" s="14"/>
      <c r="E51" s="14"/>
      <c r="F51" s="15">
        <v>2000</v>
      </c>
      <c r="G51" s="15">
        <f t="shared" si="4"/>
        <v>2000</v>
      </c>
      <c r="H51" s="15">
        <v>1000</v>
      </c>
      <c r="I51" s="15">
        <v>1000</v>
      </c>
      <c r="J51" s="15">
        <v>2000</v>
      </c>
      <c r="K51" s="133">
        <v>1000</v>
      </c>
      <c r="L51" s="15"/>
      <c r="M51" s="16">
        <f t="shared" si="2"/>
        <v>160</v>
      </c>
      <c r="N51" s="15">
        <f t="shared" si="5"/>
        <v>2.5</v>
      </c>
      <c r="O51" s="17"/>
      <c r="P51" s="17"/>
      <c r="Q51" s="17"/>
      <c r="R51" s="17"/>
      <c r="S51" s="15"/>
      <c r="T51" s="264"/>
    </row>
    <row r="52" spans="1:20" s="219" customFormat="1" x14ac:dyDescent="0.2">
      <c r="A52" s="14">
        <v>121</v>
      </c>
      <c r="B52" s="14"/>
      <c r="C52" s="14"/>
      <c r="D52" s="14"/>
      <c r="E52" s="14"/>
      <c r="F52" s="15">
        <v>2100</v>
      </c>
      <c r="G52" s="15">
        <f t="shared" si="4"/>
        <v>2100</v>
      </c>
      <c r="H52" s="15">
        <v>1000</v>
      </c>
      <c r="I52" s="15">
        <v>1000</v>
      </c>
      <c r="J52" s="15">
        <v>2100</v>
      </c>
      <c r="K52" s="133">
        <v>1000</v>
      </c>
      <c r="L52" s="15"/>
      <c r="M52" s="16">
        <f t="shared" si="2"/>
        <v>168</v>
      </c>
      <c r="N52" s="15">
        <f t="shared" si="5"/>
        <v>2.3809523809523809</v>
      </c>
      <c r="O52" s="17"/>
      <c r="P52" s="17"/>
      <c r="Q52" s="17"/>
      <c r="R52" s="17"/>
      <c r="S52" s="15"/>
      <c r="T52" s="264"/>
    </row>
    <row r="53" spans="1:20" s="219" customFormat="1" x14ac:dyDescent="0.2">
      <c r="A53" s="14">
        <v>122</v>
      </c>
      <c r="B53" s="14"/>
      <c r="C53" s="14"/>
      <c r="D53" s="14"/>
      <c r="E53" s="14"/>
      <c r="F53" s="15">
        <v>2200</v>
      </c>
      <c r="G53" s="15">
        <f t="shared" si="4"/>
        <v>2200</v>
      </c>
      <c r="H53" s="15">
        <v>1000</v>
      </c>
      <c r="I53" s="15">
        <v>1000</v>
      </c>
      <c r="J53" s="15">
        <v>2200</v>
      </c>
      <c r="K53" s="133">
        <v>1000</v>
      </c>
      <c r="L53" s="15"/>
      <c r="M53" s="16">
        <f t="shared" si="2"/>
        <v>176</v>
      </c>
      <c r="N53" s="15">
        <f t="shared" si="5"/>
        <v>2.2727272727272729</v>
      </c>
      <c r="O53" s="17"/>
      <c r="P53" s="17"/>
      <c r="Q53" s="17"/>
      <c r="R53" s="17"/>
      <c r="S53" s="15"/>
      <c r="T53" s="264"/>
    </row>
    <row r="54" spans="1:20" s="219" customFormat="1" x14ac:dyDescent="0.2">
      <c r="A54" s="14">
        <v>123</v>
      </c>
      <c r="B54" s="14"/>
      <c r="C54" s="14"/>
      <c r="D54" s="14"/>
      <c r="E54" s="14"/>
      <c r="F54" s="15">
        <v>2300</v>
      </c>
      <c r="G54" s="15">
        <f t="shared" si="4"/>
        <v>2300</v>
      </c>
      <c r="H54" s="15">
        <v>1000</v>
      </c>
      <c r="I54" s="15">
        <v>1000</v>
      </c>
      <c r="J54" s="15">
        <v>2300</v>
      </c>
      <c r="K54" s="133">
        <v>1000</v>
      </c>
      <c r="L54" s="15"/>
      <c r="M54" s="16">
        <f t="shared" si="2"/>
        <v>184</v>
      </c>
      <c r="N54" s="15">
        <f t="shared" si="5"/>
        <v>2.1739130434782608</v>
      </c>
      <c r="O54" s="17"/>
      <c r="P54" s="17"/>
      <c r="Q54" s="17"/>
      <c r="R54" s="17"/>
      <c r="S54" s="15"/>
      <c r="T54" s="264"/>
    </row>
    <row r="55" spans="1:20" s="219" customFormat="1" x14ac:dyDescent="0.2">
      <c r="A55" s="14">
        <v>124</v>
      </c>
      <c r="B55" s="14"/>
      <c r="C55" s="14"/>
      <c r="D55" s="14"/>
      <c r="E55" s="14"/>
      <c r="F55" s="15">
        <v>2400</v>
      </c>
      <c r="G55" s="15">
        <f t="shared" si="4"/>
        <v>2400</v>
      </c>
      <c r="H55" s="15">
        <v>1000</v>
      </c>
      <c r="I55" s="15">
        <v>1000</v>
      </c>
      <c r="J55" s="15">
        <v>2400</v>
      </c>
      <c r="K55" s="133">
        <v>1000</v>
      </c>
      <c r="L55" s="15"/>
      <c r="M55" s="16">
        <f t="shared" si="2"/>
        <v>192</v>
      </c>
      <c r="N55" s="15">
        <f t="shared" si="5"/>
        <v>2.0833333333333335</v>
      </c>
      <c r="O55" s="17"/>
      <c r="P55" s="17"/>
      <c r="Q55" s="17"/>
      <c r="R55" s="17"/>
      <c r="S55" s="15"/>
      <c r="T55" s="264"/>
    </row>
    <row r="56" spans="1:20" s="219" customFormat="1" x14ac:dyDescent="0.2">
      <c r="A56" s="14">
        <v>125</v>
      </c>
      <c r="B56" s="14"/>
      <c r="C56" s="14"/>
      <c r="D56" s="14"/>
      <c r="E56" s="14"/>
      <c r="F56" s="15">
        <v>2500</v>
      </c>
      <c r="G56" s="15">
        <f t="shared" si="4"/>
        <v>2500</v>
      </c>
      <c r="H56" s="15">
        <v>1000</v>
      </c>
      <c r="I56" s="15">
        <v>1000</v>
      </c>
      <c r="J56" s="15">
        <v>2500</v>
      </c>
      <c r="K56" s="133">
        <v>1000</v>
      </c>
      <c r="L56" s="15"/>
      <c r="M56" s="16">
        <f t="shared" si="2"/>
        <v>200</v>
      </c>
      <c r="N56" s="15">
        <f t="shared" si="5"/>
        <v>2</v>
      </c>
      <c r="O56" s="17"/>
      <c r="P56" s="17"/>
      <c r="Q56" s="17"/>
      <c r="R56" s="17"/>
      <c r="S56" s="15"/>
      <c r="T56" s="264"/>
    </row>
    <row r="57" spans="1:20" s="219" customFormat="1" x14ac:dyDescent="0.2">
      <c r="A57" s="14">
        <v>126</v>
      </c>
      <c r="B57" s="14"/>
      <c r="C57" s="14"/>
      <c r="D57" s="14"/>
      <c r="E57" s="14"/>
      <c r="F57" s="15">
        <v>2600</v>
      </c>
      <c r="G57" s="15">
        <f t="shared" si="4"/>
        <v>2600</v>
      </c>
      <c r="H57" s="15">
        <v>1000</v>
      </c>
      <c r="I57" s="15">
        <v>1000</v>
      </c>
      <c r="J57" s="15">
        <v>2600</v>
      </c>
      <c r="K57" s="133">
        <v>1000</v>
      </c>
      <c r="L57" s="15"/>
      <c r="M57" s="16">
        <f t="shared" si="2"/>
        <v>208</v>
      </c>
      <c r="N57" s="15">
        <f t="shared" si="5"/>
        <v>1.9230769230769231</v>
      </c>
      <c r="O57" s="17"/>
      <c r="P57" s="17"/>
      <c r="Q57" s="17"/>
      <c r="R57" s="17"/>
      <c r="S57" s="15"/>
      <c r="T57" s="264"/>
    </row>
    <row r="58" spans="1:20" s="219" customFormat="1" x14ac:dyDescent="0.2">
      <c r="A58" s="14">
        <v>127</v>
      </c>
      <c r="B58" s="14"/>
      <c r="C58" s="14"/>
      <c r="D58" s="14"/>
      <c r="E58" s="14"/>
      <c r="F58" s="15">
        <v>2700</v>
      </c>
      <c r="G58" s="15">
        <f t="shared" si="4"/>
        <v>2700</v>
      </c>
      <c r="H58" s="15">
        <v>1000</v>
      </c>
      <c r="I58" s="15">
        <v>1000</v>
      </c>
      <c r="J58" s="15">
        <v>2700</v>
      </c>
      <c r="K58" s="133">
        <v>1000</v>
      </c>
      <c r="L58" s="15"/>
      <c r="M58" s="16">
        <f t="shared" si="2"/>
        <v>216</v>
      </c>
      <c r="N58" s="15">
        <f t="shared" si="5"/>
        <v>1.8518518518518519</v>
      </c>
      <c r="O58" s="17"/>
      <c r="P58" s="17"/>
      <c r="Q58" s="17"/>
      <c r="R58" s="17"/>
      <c r="S58" s="15"/>
      <c r="T58" s="264"/>
    </row>
    <row r="59" spans="1:20" s="219" customFormat="1" x14ac:dyDescent="0.2">
      <c r="A59" s="14">
        <v>128</v>
      </c>
      <c r="B59" s="14"/>
      <c r="C59" s="14"/>
      <c r="D59" s="14"/>
      <c r="E59" s="14"/>
      <c r="F59" s="15">
        <v>2800</v>
      </c>
      <c r="G59" s="15">
        <f t="shared" si="4"/>
        <v>2800</v>
      </c>
      <c r="H59" s="15">
        <v>1000</v>
      </c>
      <c r="I59" s="15">
        <v>1000</v>
      </c>
      <c r="J59" s="15">
        <v>2800</v>
      </c>
      <c r="K59" s="133">
        <v>1000</v>
      </c>
      <c r="L59" s="15"/>
      <c r="M59" s="16">
        <f t="shared" si="2"/>
        <v>224</v>
      </c>
      <c r="N59" s="15">
        <f t="shared" si="5"/>
        <v>1.7857142857142858</v>
      </c>
      <c r="O59" s="17"/>
      <c r="P59" s="17"/>
      <c r="Q59" s="17"/>
      <c r="R59" s="17"/>
      <c r="S59" s="15"/>
      <c r="T59" s="264"/>
    </row>
    <row r="60" spans="1:20" s="219" customFormat="1" x14ac:dyDescent="0.2">
      <c r="A60" s="14">
        <v>129</v>
      </c>
      <c r="B60" s="14"/>
      <c r="C60" s="14"/>
      <c r="D60" s="14"/>
      <c r="E60" s="14"/>
      <c r="F60" s="15">
        <v>2900</v>
      </c>
      <c r="G60" s="15">
        <f t="shared" si="4"/>
        <v>2900</v>
      </c>
      <c r="H60" s="15">
        <v>1000</v>
      </c>
      <c r="I60" s="15">
        <v>1000</v>
      </c>
      <c r="J60" s="15">
        <v>2900</v>
      </c>
      <c r="K60" s="133">
        <v>1000</v>
      </c>
      <c r="L60" s="15"/>
      <c r="M60" s="16">
        <f t="shared" si="2"/>
        <v>232</v>
      </c>
      <c r="N60" s="15">
        <f t="shared" si="5"/>
        <v>1.7241379310344827</v>
      </c>
      <c r="O60" s="17"/>
      <c r="P60" s="17"/>
      <c r="Q60" s="17"/>
      <c r="R60" s="17"/>
      <c r="S60" s="15"/>
      <c r="T60" s="264"/>
    </row>
    <row r="61" spans="1:20" s="219" customFormat="1" x14ac:dyDescent="0.2">
      <c r="A61" s="14">
        <v>130</v>
      </c>
      <c r="B61" s="14"/>
      <c r="C61" s="14"/>
      <c r="D61" s="14"/>
      <c r="E61" s="14"/>
      <c r="F61" s="15">
        <v>3000</v>
      </c>
      <c r="G61" s="15">
        <f t="shared" si="4"/>
        <v>3000</v>
      </c>
      <c r="H61" s="15">
        <v>1000</v>
      </c>
      <c r="I61" s="15">
        <v>1000</v>
      </c>
      <c r="J61" s="15">
        <v>3000</v>
      </c>
      <c r="K61" s="133">
        <v>1000</v>
      </c>
      <c r="L61" s="15"/>
      <c r="M61" s="16">
        <f t="shared" si="2"/>
        <v>240</v>
      </c>
      <c r="N61" s="15">
        <f t="shared" si="5"/>
        <v>1.6666666666666667</v>
      </c>
      <c r="O61" s="17"/>
      <c r="P61" s="17"/>
      <c r="Q61" s="17"/>
      <c r="R61" s="17"/>
      <c r="S61" s="15"/>
      <c r="T61" s="264"/>
    </row>
    <row r="62" spans="1:20" s="219" customFormat="1" x14ac:dyDescent="0.2">
      <c r="A62" s="14">
        <v>131</v>
      </c>
      <c r="B62" s="14"/>
      <c r="C62" s="14"/>
      <c r="D62" s="14"/>
      <c r="E62" s="14"/>
      <c r="F62" s="15">
        <v>3100</v>
      </c>
      <c r="G62" s="15">
        <f t="shared" si="4"/>
        <v>3100</v>
      </c>
      <c r="H62" s="15">
        <v>1000</v>
      </c>
      <c r="I62" s="15">
        <v>1000</v>
      </c>
      <c r="J62" s="15">
        <v>3100</v>
      </c>
      <c r="K62" s="133">
        <v>1000</v>
      </c>
      <c r="L62" s="15"/>
      <c r="M62" s="16">
        <f t="shared" si="2"/>
        <v>248</v>
      </c>
      <c r="N62" s="15">
        <f t="shared" si="5"/>
        <v>1.6129032258064515</v>
      </c>
      <c r="O62" s="17"/>
      <c r="P62" s="17"/>
      <c r="Q62" s="17"/>
      <c r="R62" s="17"/>
      <c r="S62" s="15"/>
      <c r="T62" s="264"/>
    </row>
    <row r="63" spans="1:20" s="219" customFormat="1" x14ac:dyDescent="0.2">
      <c r="A63" s="14">
        <v>132</v>
      </c>
      <c r="B63" s="14"/>
      <c r="C63" s="14"/>
      <c r="D63" s="14"/>
      <c r="E63" s="14"/>
      <c r="F63" s="15">
        <v>3200</v>
      </c>
      <c r="G63" s="15">
        <f t="shared" si="4"/>
        <v>3200</v>
      </c>
      <c r="H63" s="15">
        <v>1000</v>
      </c>
      <c r="I63" s="15">
        <v>1000</v>
      </c>
      <c r="J63" s="15">
        <v>3200</v>
      </c>
      <c r="K63" s="133">
        <v>1000</v>
      </c>
      <c r="L63" s="15"/>
      <c r="M63" s="16">
        <f t="shared" si="2"/>
        <v>256</v>
      </c>
      <c r="N63" s="15">
        <f t="shared" si="5"/>
        <v>1.5625</v>
      </c>
      <c r="O63" s="17"/>
      <c r="P63" s="17"/>
      <c r="Q63" s="17"/>
      <c r="R63" s="17"/>
      <c r="S63" s="15"/>
      <c r="T63" s="264"/>
    </row>
    <row r="64" spans="1:20" s="219" customFormat="1" x14ac:dyDescent="0.2">
      <c r="A64" s="14">
        <v>133</v>
      </c>
      <c r="B64" s="14"/>
      <c r="C64" s="14"/>
      <c r="D64" s="14"/>
      <c r="E64" s="14"/>
      <c r="F64" s="15">
        <v>3300</v>
      </c>
      <c r="G64" s="15">
        <f t="shared" si="4"/>
        <v>3300</v>
      </c>
      <c r="H64" s="15">
        <v>1000</v>
      </c>
      <c r="I64" s="15">
        <v>1000</v>
      </c>
      <c r="J64" s="15">
        <v>3300</v>
      </c>
      <c r="K64" s="133">
        <v>1000</v>
      </c>
      <c r="L64" s="15"/>
      <c r="M64" s="16">
        <f t="shared" si="2"/>
        <v>264</v>
      </c>
      <c r="N64" s="15">
        <f t="shared" si="5"/>
        <v>1.5151515151515151</v>
      </c>
      <c r="O64" s="17"/>
      <c r="P64" s="17"/>
      <c r="Q64" s="17"/>
      <c r="R64" s="17"/>
      <c r="S64" s="15"/>
      <c r="T64" s="264"/>
    </row>
    <row r="65" spans="1:20" s="219" customFormat="1" x14ac:dyDescent="0.2">
      <c r="A65" s="14">
        <v>134</v>
      </c>
      <c r="B65" s="14"/>
      <c r="C65" s="14"/>
      <c r="D65" s="14"/>
      <c r="E65" s="14"/>
      <c r="F65" s="15">
        <v>3400</v>
      </c>
      <c r="G65" s="15">
        <f t="shared" si="4"/>
        <v>3400</v>
      </c>
      <c r="H65" s="15">
        <v>1000</v>
      </c>
      <c r="I65" s="15">
        <v>1000</v>
      </c>
      <c r="J65" s="15">
        <v>3400</v>
      </c>
      <c r="K65" s="133">
        <v>1000</v>
      </c>
      <c r="L65" s="15"/>
      <c r="M65" s="16">
        <f t="shared" si="2"/>
        <v>272</v>
      </c>
      <c r="N65" s="15">
        <f t="shared" si="5"/>
        <v>1.4705882352941178</v>
      </c>
      <c r="O65" s="17"/>
      <c r="P65" s="17"/>
      <c r="Q65" s="17"/>
      <c r="R65" s="17"/>
      <c r="S65" s="15"/>
      <c r="T65" s="264"/>
    </row>
    <row r="66" spans="1:20" s="219" customFormat="1" x14ac:dyDescent="0.2">
      <c r="A66" s="14">
        <v>135</v>
      </c>
      <c r="B66" s="14"/>
      <c r="C66" s="14"/>
      <c r="D66" s="14"/>
      <c r="E66" s="14"/>
      <c r="F66" s="15">
        <v>3500</v>
      </c>
      <c r="G66" s="15">
        <f t="shared" si="4"/>
        <v>3500</v>
      </c>
      <c r="H66" s="15">
        <v>1000</v>
      </c>
      <c r="I66" s="15">
        <v>1000</v>
      </c>
      <c r="J66" s="15">
        <v>3500</v>
      </c>
      <c r="K66" s="133">
        <v>1000</v>
      </c>
      <c r="L66" s="15"/>
      <c r="M66" s="16">
        <f t="shared" si="2"/>
        <v>280</v>
      </c>
      <c r="N66" s="15">
        <f t="shared" si="5"/>
        <v>1.4285714285714286</v>
      </c>
      <c r="O66" s="17"/>
      <c r="P66" s="17"/>
      <c r="Q66" s="17"/>
      <c r="R66" s="17"/>
      <c r="S66" s="15"/>
      <c r="T66" s="264"/>
    </row>
    <row r="67" spans="1:20" s="219" customFormat="1" x14ac:dyDescent="0.2">
      <c r="A67" s="14">
        <v>136</v>
      </c>
      <c r="B67" s="14"/>
      <c r="C67" s="14"/>
      <c r="D67" s="14"/>
      <c r="E67" s="14"/>
      <c r="F67" s="15">
        <v>3600</v>
      </c>
      <c r="G67" s="15">
        <f t="shared" si="4"/>
        <v>3600</v>
      </c>
      <c r="H67" s="15">
        <v>1000</v>
      </c>
      <c r="I67" s="15">
        <v>1000</v>
      </c>
      <c r="J67" s="15">
        <v>3600</v>
      </c>
      <c r="K67" s="133">
        <v>1000</v>
      </c>
      <c r="L67" s="15"/>
      <c r="M67" s="16">
        <f t="shared" si="2"/>
        <v>288</v>
      </c>
      <c r="N67" s="15">
        <f t="shared" si="5"/>
        <v>1.3888888888888888</v>
      </c>
      <c r="O67" s="17"/>
      <c r="P67" s="17"/>
      <c r="Q67" s="17"/>
      <c r="R67" s="17"/>
      <c r="S67" s="15"/>
      <c r="T67" s="264"/>
    </row>
    <row r="68" spans="1:20" s="219" customFormat="1" x14ac:dyDescent="0.2">
      <c r="A68" s="14">
        <v>137</v>
      </c>
      <c r="B68" s="14"/>
      <c r="C68" s="14"/>
      <c r="D68" s="14"/>
      <c r="E68" s="14"/>
      <c r="F68" s="15">
        <v>3700</v>
      </c>
      <c r="G68" s="15">
        <f t="shared" si="4"/>
        <v>3700</v>
      </c>
      <c r="H68" s="15">
        <v>1000</v>
      </c>
      <c r="I68" s="15">
        <v>1000</v>
      </c>
      <c r="J68" s="15">
        <v>3700</v>
      </c>
      <c r="K68" s="133">
        <v>1000</v>
      </c>
      <c r="L68" s="15"/>
      <c r="M68" s="16">
        <f t="shared" si="2"/>
        <v>296</v>
      </c>
      <c r="N68" s="15">
        <f t="shared" si="5"/>
        <v>1.3513513513513513</v>
      </c>
      <c r="O68" s="17"/>
      <c r="P68" s="17"/>
      <c r="Q68" s="17"/>
      <c r="R68" s="17"/>
      <c r="S68" s="15"/>
      <c r="T68" s="264"/>
    </row>
    <row r="69" spans="1:20" s="219" customFormat="1" x14ac:dyDescent="0.2">
      <c r="A69" s="14">
        <v>138</v>
      </c>
      <c r="B69" s="14"/>
      <c r="C69" s="14"/>
      <c r="D69" s="14"/>
      <c r="E69" s="14"/>
      <c r="F69" s="15">
        <v>3800</v>
      </c>
      <c r="G69" s="15">
        <f t="shared" ref="G69:G100" si="6">F69</f>
        <v>3800</v>
      </c>
      <c r="H69" s="15">
        <v>1000</v>
      </c>
      <c r="I69" s="15">
        <v>1000</v>
      </c>
      <c r="J69" s="15">
        <v>3800</v>
      </c>
      <c r="K69" s="133">
        <v>1000</v>
      </c>
      <c r="L69" s="15"/>
      <c r="M69" s="16">
        <f t="shared" ref="M69:M132" si="7">(F69*J69*((H69+I69)/2)/1000)^(1/2)/10*0.8</f>
        <v>304</v>
      </c>
      <c r="N69" s="15">
        <f t="shared" ref="N69:N100" si="8">400/M69</f>
        <v>1.3157894736842106</v>
      </c>
      <c r="O69" s="17"/>
      <c r="P69" s="17"/>
      <c r="Q69" s="17"/>
      <c r="R69" s="17"/>
      <c r="S69" s="15"/>
      <c r="T69" s="264"/>
    </row>
    <row r="70" spans="1:20" s="219" customFormat="1" x14ac:dyDescent="0.2">
      <c r="A70" s="14">
        <v>139</v>
      </c>
      <c r="B70" s="14"/>
      <c r="C70" s="14"/>
      <c r="D70" s="14"/>
      <c r="E70" s="14"/>
      <c r="F70" s="15">
        <v>3900</v>
      </c>
      <c r="G70" s="15">
        <f t="shared" si="6"/>
        <v>3900</v>
      </c>
      <c r="H70" s="15">
        <v>1000</v>
      </c>
      <c r="I70" s="15">
        <v>1000</v>
      </c>
      <c r="J70" s="15">
        <v>3900</v>
      </c>
      <c r="K70" s="133">
        <v>1000</v>
      </c>
      <c r="L70" s="15"/>
      <c r="M70" s="16">
        <f t="shared" si="7"/>
        <v>312</v>
      </c>
      <c r="N70" s="15">
        <f t="shared" si="8"/>
        <v>1.2820512820512822</v>
      </c>
      <c r="O70" s="17"/>
      <c r="P70" s="17"/>
      <c r="Q70" s="17"/>
      <c r="R70" s="17"/>
      <c r="S70" s="15"/>
      <c r="T70" s="264"/>
    </row>
    <row r="71" spans="1:20" s="219" customFormat="1" x14ac:dyDescent="0.2">
      <c r="A71" s="14">
        <v>140</v>
      </c>
      <c r="B71" s="14"/>
      <c r="C71" s="14"/>
      <c r="D71" s="14"/>
      <c r="E71" s="14"/>
      <c r="F71" s="15">
        <v>7000</v>
      </c>
      <c r="G71" s="15">
        <v>7000</v>
      </c>
      <c r="H71" s="15">
        <v>1000</v>
      </c>
      <c r="I71" s="15">
        <v>1000</v>
      </c>
      <c r="J71" s="15">
        <v>7000</v>
      </c>
      <c r="K71" s="133">
        <v>1000</v>
      </c>
      <c r="L71" s="15"/>
      <c r="M71" s="16">
        <f t="shared" si="7"/>
        <v>560</v>
      </c>
      <c r="N71" s="15">
        <f t="shared" si="8"/>
        <v>0.7142857142857143</v>
      </c>
      <c r="O71" s="17"/>
      <c r="P71" s="17"/>
      <c r="Q71" s="17"/>
      <c r="R71" s="17"/>
      <c r="S71" s="15"/>
      <c r="T71" s="264"/>
    </row>
    <row r="72" spans="1:20" s="219" customFormat="1" x14ac:dyDescent="0.2">
      <c r="A72" s="21">
        <v>201</v>
      </c>
      <c r="B72" s="21"/>
      <c r="C72" s="21"/>
      <c r="D72" s="21"/>
      <c r="E72" s="21"/>
      <c r="F72" s="22">
        <f t="shared" ref="F72:F111" si="9">F32*1.25</f>
        <v>125</v>
      </c>
      <c r="G72" s="22">
        <f t="shared" si="6"/>
        <v>125</v>
      </c>
      <c r="H72" s="15">
        <v>1000</v>
      </c>
      <c r="I72" s="15">
        <v>1000</v>
      </c>
      <c r="J72" s="22">
        <f t="shared" ref="J72:J111" si="10">J32*1.8</f>
        <v>180</v>
      </c>
      <c r="K72" s="133">
        <v>1000</v>
      </c>
      <c r="L72" s="22">
        <v>100</v>
      </c>
      <c r="M72" s="16">
        <f t="shared" si="7"/>
        <v>12</v>
      </c>
      <c r="N72" s="22">
        <f t="shared" si="8"/>
        <v>33.333333333333336</v>
      </c>
      <c r="O72" s="23"/>
      <c r="P72" s="23"/>
      <c r="Q72" s="23"/>
      <c r="R72" s="23"/>
      <c r="S72" s="22"/>
      <c r="T72" s="264"/>
    </row>
    <row r="73" spans="1:20" s="219" customFormat="1" x14ac:dyDescent="0.2">
      <c r="A73" s="21">
        <v>202</v>
      </c>
      <c r="B73" s="21"/>
      <c r="C73" s="21"/>
      <c r="D73" s="21"/>
      <c r="E73" s="21"/>
      <c r="F73" s="22">
        <f t="shared" si="9"/>
        <v>250</v>
      </c>
      <c r="G73" s="22">
        <f t="shared" si="6"/>
        <v>250</v>
      </c>
      <c r="H73" s="15">
        <v>1000</v>
      </c>
      <c r="I73" s="15">
        <v>1000</v>
      </c>
      <c r="J73" s="22">
        <f t="shared" si="10"/>
        <v>360</v>
      </c>
      <c r="K73" s="133">
        <v>1000</v>
      </c>
      <c r="L73" s="22">
        <v>100</v>
      </c>
      <c r="M73" s="16">
        <f t="shared" si="7"/>
        <v>24</v>
      </c>
      <c r="N73" s="22">
        <f t="shared" si="8"/>
        <v>16.666666666666668</v>
      </c>
      <c r="O73" s="23"/>
      <c r="P73" s="23"/>
      <c r="Q73" s="23"/>
      <c r="R73" s="23"/>
      <c r="S73" s="22"/>
      <c r="T73" s="264"/>
    </row>
    <row r="74" spans="1:20" s="219" customFormat="1" x14ac:dyDescent="0.2">
      <c r="A74" s="21">
        <v>203</v>
      </c>
      <c r="B74" s="21"/>
      <c r="C74" s="21"/>
      <c r="D74" s="21"/>
      <c r="E74" s="21"/>
      <c r="F74" s="22">
        <f t="shared" si="9"/>
        <v>375</v>
      </c>
      <c r="G74" s="22">
        <f t="shared" si="6"/>
        <v>375</v>
      </c>
      <c r="H74" s="15">
        <v>1000</v>
      </c>
      <c r="I74" s="15">
        <v>1000</v>
      </c>
      <c r="J74" s="22">
        <f t="shared" si="10"/>
        <v>540</v>
      </c>
      <c r="K74" s="133">
        <v>1000</v>
      </c>
      <c r="L74" s="22">
        <v>100</v>
      </c>
      <c r="M74" s="16">
        <f t="shared" si="7"/>
        <v>36</v>
      </c>
      <c r="N74" s="22">
        <f t="shared" si="8"/>
        <v>11.111111111111111</v>
      </c>
      <c r="O74" s="23"/>
      <c r="P74" s="23"/>
      <c r="Q74" s="23"/>
      <c r="R74" s="23"/>
      <c r="S74" s="22"/>
      <c r="T74" s="264"/>
    </row>
    <row r="75" spans="1:20" s="219" customFormat="1" x14ac:dyDescent="0.2">
      <c r="A75" s="21">
        <v>204</v>
      </c>
      <c r="B75" s="21"/>
      <c r="C75" s="21"/>
      <c r="D75" s="21"/>
      <c r="E75" s="21"/>
      <c r="F75" s="22">
        <f t="shared" si="9"/>
        <v>500</v>
      </c>
      <c r="G75" s="22">
        <f t="shared" si="6"/>
        <v>500</v>
      </c>
      <c r="H75" s="15">
        <v>1000</v>
      </c>
      <c r="I75" s="15">
        <v>1000</v>
      </c>
      <c r="J75" s="22">
        <f t="shared" si="10"/>
        <v>720</v>
      </c>
      <c r="K75" s="133">
        <v>1000</v>
      </c>
      <c r="L75" s="22">
        <v>100</v>
      </c>
      <c r="M75" s="16">
        <f t="shared" si="7"/>
        <v>48</v>
      </c>
      <c r="N75" s="22">
        <f t="shared" si="8"/>
        <v>8.3333333333333339</v>
      </c>
      <c r="O75" s="23"/>
      <c r="P75" s="23"/>
      <c r="Q75" s="23"/>
      <c r="R75" s="23"/>
      <c r="S75" s="22"/>
      <c r="T75" s="264"/>
    </row>
    <row r="76" spans="1:20" s="219" customFormat="1" x14ac:dyDescent="0.2">
      <c r="A76" s="21">
        <v>205</v>
      </c>
      <c r="B76" s="21"/>
      <c r="C76" s="21"/>
      <c r="D76" s="21"/>
      <c r="E76" s="21"/>
      <c r="F76" s="22">
        <f t="shared" si="9"/>
        <v>625</v>
      </c>
      <c r="G76" s="22">
        <f t="shared" si="6"/>
        <v>625</v>
      </c>
      <c r="H76" s="15">
        <v>1000</v>
      </c>
      <c r="I76" s="15">
        <v>1000</v>
      </c>
      <c r="J76" s="22">
        <f t="shared" si="10"/>
        <v>900</v>
      </c>
      <c r="K76" s="133">
        <v>1000</v>
      </c>
      <c r="L76" s="22">
        <v>100</v>
      </c>
      <c r="M76" s="16">
        <f t="shared" si="7"/>
        <v>60</v>
      </c>
      <c r="N76" s="22">
        <f t="shared" si="8"/>
        <v>6.666666666666667</v>
      </c>
      <c r="O76" s="23"/>
      <c r="P76" s="23"/>
      <c r="Q76" s="23"/>
      <c r="R76" s="23"/>
      <c r="S76" s="22"/>
      <c r="T76" s="264"/>
    </row>
    <row r="77" spans="1:20" s="219" customFormat="1" x14ac:dyDescent="0.2">
      <c r="A77" s="21">
        <v>206</v>
      </c>
      <c r="B77" s="21"/>
      <c r="C77" s="21"/>
      <c r="D77" s="21"/>
      <c r="E77" s="21"/>
      <c r="F77" s="22">
        <f t="shared" si="9"/>
        <v>750</v>
      </c>
      <c r="G77" s="22">
        <f t="shared" si="6"/>
        <v>750</v>
      </c>
      <c r="H77" s="15">
        <v>1000</v>
      </c>
      <c r="I77" s="15">
        <v>1000</v>
      </c>
      <c r="J77" s="22">
        <f t="shared" si="10"/>
        <v>1080</v>
      </c>
      <c r="K77" s="133">
        <v>1000</v>
      </c>
      <c r="L77" s="22">
        <v>100</v>
      </c>
      <c r="M77" s="16">
        <f t="shared" si="7"/>
        <v>72</v>
      </c>
      <c r="N77" s="22">
        <f t="shared" si="8"/>
        <v>5.5555555555555554</v>
      </c>
      <c r="O77" s="23"/>
      <c r="P77" s="23"/>
      <c r="Q77" s="23"/>
      <c r="R77" s="23"/>
      <c r="S77" s="22"/>
      <c r="T77" s="264"/>
    </row>
    <row r="78" spans="1:20" s="219" customFormat="1" x14ac:dyDescent="0.2">
      <c r="A78" s="21">
        <v>207</v>
      </c>
      <c r="B78" s="21"/>
      <c r="C78" s="21"/>
      <c r="D78" s="21"/>
      <c r="E78" s="21"/>
      <c r="F78" s="22">
        <f t="shared" si="9"/>
        <v>875</v>
      </c>
      <c r="G78" s="22">
        <f t="shared" si="6"/>
        <v>875</v>
      </c>
      <c r="H78" s="15">
        <v>1000</v>
      </c>
      <c r="I78" s="15">
        <v>1000</v>
      </c>
      <c r="J78" s="22">
        <f t="shared" si="10"/>
        <v>1260</v>
      </c>
      <c r="K78" s="133">
        <v>1000</v>
      </c>
      <c r="L78" s="22">
        <v>100</v>
      </c>
      <c r="M78" s="16">
        <f t="shared" si="7"/>
        <v>84</v>
      </c>
      <c r="N78" s="22">
        <f t="shared" si="8"/>
        <v>4.7619047619047619</v>
      </c>
      <c r="O78" s="23"/>
      <c r="P78" s="23"/>
      <c r="Q78" s="23"/>
      <c r="R78" s="23"/>
      <c r="S78" s="22"/>
      <c r="T78" s="264"/>
    </row>
    <row r="79" spans="1:20" s="219" customFormat="1" x14ac:dyDescent="0.2">
      <c r="A79" s="21">
        <v>208</v>
      </c>
      <c r="B79" s="21"/>
      <c r="C79" s="21"/>
      <c r="D79" s="21"/>
      <c r="E79" s="21"/>
      <c r="F79" s="22">
        <f t="shared" si="9"/>
        <v>1000</v>
      </c>
      <c r="G79" s="22">
        <f t="shared" si="6"/>
        <v>1000</v>
      </c>
      <c r="H79" s="15">
        <v>1000</v>
      </c>
      <c r="I79" s="15">
        <v>1000</v>
      </c>
      <c r="J79" s="22">
        <f t="shared" si="10"/>
        <v>1440</v>
      </c>
      <c r="K79" s="133">
        <v>1000</v>
      </c>
      <c r="L79" s="22">
        <v>100</v>
      </c>
      <c r="M79" s="16">
        <f t="shared" si="7"/>
        <v>96</v>
      </c>
      <c r="N79" s="22">
        <f t="shared" si="8"/>
        <v>4.166666666666667</v>
      </c>
      <c r="O79" s="23"/>
      <c r="P79" s="23"/>
      <c r="Q79" s="23"/>
      <c r="R79" s="23"/>
      <c r="S79" s="22"/>
      <c r="T79" s="264"/>
    </row>
    <row r="80" spans="1:20" s="219" customFormat="1" x14ac:dyDescent="0.2">
      <c r="A80" s="21">
        <v>209</v>
      </c>
      <c r="B80" s="21"/>
      <c r="C80" s="21"/>
      <c r="D80" s="21"/>
      <c r="E80" s="21"/>
      <c r="F80" s="22">
        <f t="shared" si="9"/>
        <v>1125</v>
      </c>
      <c r="G80" s="22">
        <f t="shared" si="6"/>
        <v>1125</v>
      </c>
      <c r="H80" s="15">
        <v>1000</v>
      </c>
      <c r="I80" s="15">
        <v>1000</v>
      </c>
      <c r="J80" s="22">
        <f t="shared" si="10"/>
        <v>1620</v>
      </c>
      <c r="K80" s="133">
        <v>1000</v>
      </c>
      <c r="L80" s="22">
        <v>100</v>
      </c>
      <c r="M80" s="16">
        <f t="shared" si="7"/>
        <v>108</v>
      </c>
      <c r="N80" s="22">
        <f t="shared" si="8"/>
        <v>3.7037037037037037</v>
      </c>
      <c r="O80" s="23"/>
      <c r="P80" s="23"/>
      <c r="Q80" s="23"/>
      <c r="R80" s="23"/>
      <c r="S80" s="22"/>
      <c r="T80" s="264"/>
    </row>
    <row r="81" spans="1:20" s="219" customFormat="1" x14ac:dyDescent="0.2">
      <c r="A81" s="21">
        <v>210</v>
      </c>
      <c r="B81" s="21"/>
      <c r="C81" s="21"/>
      <c r="D81" s="21"/>
      <c r="E81" s="21"/>
      <c r="F81" s="22">
        <f t="shared" si="9"/>
        <v>1250</v>
      </c>
      <c r="G81" s="22">
        <f t="shared" si="6"/>
        <v>1250</v>
      </c>
      <c r="H81" s="15">
        <v>1000</v>
      </c>
      <c r="I81" s="15">
        <v>1000</v>
      </c>
      <c r="J81" s="22">
        <f t="shared" si="10"/>
        <v>1800</v>
      </c>
      <c r="K81" s="133">
        <v>1000</v>
      </c>
      <c r="L81" s="22">
        <v>100</v>
      </c>
      <c r="M81" s="16">
        <f t="shared" si="7"/>
        <v>120</v>
      </c>
      <c r="N81" s="22">
        <f t="shared" si="8"/>
        <v>3.3333333333333335</v>
      </c>
      <c r="O81" s="23"/>
      <c r="P81" s="23"/>
      <c r="Q81" s="23"/>
      <c r="R81" s="23"/>
      <c r="S81" s="22"/>
      <c r="T81" s="264"/>
    </row>
    <row r="82" spans="1:20" s="219" customFormat="1" x14ac:dyDescent="0.2">
      <c r="A82" s="21">
        <v>211</v>
      </c>
      <c r="B82" s="21"/>
      <c r="C82" s="21"/>
      <c r="D82" s="21"/>
      <c r="E82" s="21"/>
      <c r="F82" s="22">
        <f t="shared" si="9"/>
        <v>1375</v>
      </c>
      <c r="G82" s="22">
        <f t="shared" si="6"/>
        <v>1375</v>
      </c>
      <c r="H82" s="15">
        <v>1000</v>
      </c>
      <c r="I82" s="15">
        <v>1000</v>
      </c>
      <c r="J82" s="22">
        <f t="shared" si="10"/>
        <v>1980</v>
      </c>
      <c r="K82" s="133">
        <v>1000</v>
      </c>
      <c r="L82" s="22">
        <v>100</v>
      </c>
      <c r="M82" s="16">
        <f t="shared" si="7"/>
        <v>132</v>
      </c>
      <c r="N82" s="22">
        <f t="shared" si="8"/>
        <v>3.0303030303030303</v>
      </c>
      <c r="O82" s="23"/>
      <c r="P82" s="23"/>
      <c r="Q82" s="23"/>
      <c r="R82" s="23"/>
      <c r="S82" s="22"/>
      <c r="T82" s="264"/>
    </row>
    <row r="83" spans="1:20" s="219" customFormat="1" x14ac:dyDescent="0.2">
      <c r="A83" s="21">
        <v>212</v>
      </c>
      <c r="B83" s="21"/>
      <c r="C83" s="21"/>
      <c r="D83" s="21"/>
      <c r="E83" s="21"/>
      <c r="F83" s="22">
        <f t="shared" si="9"/>
        <v>1500</v>
      </c>
      <c r="G83" s="22">
        <f t="shared" si="6"/>
        <v>1500</v>
      </c>
      <c r="H83" s="15">
        <v>1000</v>
      </c>
      <c r="I83" s="15">
        <v>1000</v>
      </c>
      <c r="J83" s="22">
        <f t="shared" si="10"/>
        <v>2160</v>
      </c>
      <c r="K83" s="133">
        <v>1000</v>
      </c>
      <c r="L83" s="22">
        <v>100</v>
      </c>
      <c r="M83" s="16">
        <f t="shared" si="7"/>
        <v>144</v>
      </c>
      <c r="N83" s="22">
        <f t="shared" si="8"/>
        <v>2.7777777777777777</v>
      </c>
      <c r="O83" s="23"/>
      <c r="P83" s="23"/>
      <c r="Q83" s="23"/>
      <c r="R83" s="23"/>
      <c r="S83" s="22"/>
      <c r="T83" s="264"/>
    </row>
    <row r="84" spans="1:20" s="219" customFormat="1" x14ac:dyDescent="0.2">
      <c r="A84" s="21">
        <v>213</v>
      </c>
      <c r="B84" s="21"/>
      <c r="C84" s="21"/>
      <c r="D84" s="21"/>
      <c r="E84" s="21"/>
      <c r="F84" s="22">
        <f t="shared" si="9"/>
        <v>1625</v>
      </c>
      <c r="G84" s="22">
        <f t="shared" si="6"/>
        <v>1625</v>
      </c>
      <c r="H84" s="15">
        <v>1000</v>
      </c>
      <c r="I84" s="15">
        <v>1000</v>
      </c>
      <c r="J84" s="22">
        <f t="shared" si="10"/>
        <v>2340</v>
      </c>
      <c r="K84" s="133">
        <v>1000</v>
      </c>
      <c r="L84" s="22">
        <v>100</v>
      </c>
      <c r="M84" s="16">
        <f t="shared" si="7"/>
        <v>156</v>
      </c>
      <c r="N84" s="22">
        <f t="shared" si="8"/>
        <v>2.5641025641025643</v>
      </c>
      <c r="O84" s="23"/>
      <c r="P84" s="23"/>
      <c r="Q84" s="23"/>
      <c r="R84" s="23"/>
      <c r="S84" s="22"/>
      <c r="T84" s="264"/>
    </row>
    <row r="85" spans="1:20" s="219" customFormat="1" x14ac:dyDescent="0.2">
      <c r="A85" s="21">
        <v>214</v>
      </c>
      <c r="B85" s="21"/>
      <c r="C85" s="21"/>
      <c r="D85" s="21"/>
      <c r="E85" s="21"/>
      <c r="F85" s="22">
        <f t="shared" si="9"/>
        <v>1750</v>
      </c>
      <c r="G85" s="22">
        <f t="shared" si="6"/>
        <v>1750</v>
      </c>
      <c r="H85" s="15">
        <v>1000</v>
      </c>
      <c r="I85" s="15">
        <v>1000</v>
      </c>
      <c r="J85" s="22">
        <f t="shared" si="10"/>
        <v>2520</v>
      </c>
      <c r="K85" s="133">
        <v>1000</v>
      </c>
      <c r="L85" s="22">
        <v>100</v>
      </c>
      <c r="M85" s="16">
        <f t="shared" si="7"/>
        <v>168</v>
      </c>
      <c r="N85" s="22">
        <f t="shared" si="8"/>
        <v>2.3809523809523809</v>
      </c>
      <c r="O85" s="23"/>
      <c r="P85" s="23"/>
      <c r="Q85" s="23"/>
      <c r="R85" s="23"/>
      <c r="S85" s="22"/>
      <c r="T85" s="264"/>
    </row>
    <row r="86" spans="1:20" s="219" customFormat="1" x14ac:dyDescent="0.2">
      <c r="A86" s="21">
        <v>215</v>
      </c>
      <c r="B86" s="21"/>
      <c r="C86" s="21"/>
      <c r="D86" s="21"/>
      <c r="E86" s="21"/>
      <c r="F86" s="22">
        <f t="shared" si="9"/>
        <v>1875</v>
      </c>
      <c r="G86" s="22">
        <f t="shared" si="6"/>
        <v>1875</v>
      </c>
      <c r="H86" s="15">
        <v>1000</v>
      </c>
      <c r="I86" s="15">
        <v>1000</v>
      </c>
      <c r="J86" s="22">
        <f t="shared" si="10"/>
        <v>2700</v>
      </c>
      <c r="K86" s="133">
        <v>1000</v>
      </c>
      <c r="L86" s="22">
        <v>100</v>
      </c>
      <c r="M86" s="16">
        <f t="shared" si="7"/>
        <v>180</v>
      </c>
      <c r="N86" s="22">
        <f t="shared" si="8"/>
        <v>2.2222222222222223</v>
      </c>
      <c r="O86" s="23"/>
      <c r="P86" s="23"/>
      <c r="Q86" s="23"/>
      <c r="R86" s="23"/>
      <c r="S86" s="22"/>
      <c r="T86" s="264"/>
    </row>
    <row r="87" spans="1:20" s="219" customFormat="1" x14ac:dyDescent="0.2">
      <c r="A87" s="21">
        <v>216</v>
      </c>
      <c r="B87" s="21"/>
      <c r="C87" s="21"/>
      <c r="D87" s="21"/>
      <c r="E87" s="21"/>
      <c r="F87" s="22">
        <f t="shared" si="9"/>
        <v>2000</v>
      </c>
      <c r="G87" s="22">
        <f t="shared" si="6"/>
        <v>2000</v>
      </c>
      <c r="H87" s="15">
        <v>1000</v>
      </c>
      <c r="I87" s="15">
        <v>1000</v>
      </c>
      <c r="J87" s="22">
        <f t="shared" si="10"/>
        <v>2880</v>
      </c>
      <c r="K87" s="133">
        <v>1000</v>
      </c>
      <c r="L87" s="22">
        <v>100</v>
      </c>
      <c r="M87" s="16">
        <f t="shared" si="7"/>
        <v>192</v>
      </c>
      <c r="N87" s="22">
        <f t="shared" si="8"/>
        <v>2.0833333333333335</v>
      </c>
      <c r="O87" s="23"/>
      <c r="P87" s="23"/>
      <c r="Q87" s="23"/>
      <c r="R87" s="23"/>
      <c r="S87" s="22"/>
      <c r="T87" s="264"/>
    </row>
    <row r="88" spans="1:20" s="219" customFormat="1" x14ac:dyDescent="0.2">
      <c r="A88" s="21">
        <v>217</v>
      </c>
      <c r="B88" s="21"/>
      <c r="C88" s="21"/>
      <c r="D88" s="21"/>
      <c r="E88" s="21"/>
      <c r="F88" s="22">
        <f t="shared" si="9"/>
        <v>2125</v>
      </c>
      <c r="G88" s="22">
        <f t="shared" si="6"/>
        <v>2125</v>
      </c>
      <c r="H88" s="15">
        <v>1000</v>
      </c>
      <c r="I88" s="15">
        <v>1000</v>
      </c>
      <c r="J88" s="22">
        <f t="shared" si="10"/>
        <v>3060</v>
      </c>
      <c r="K88" s="133">
        <v>1000</v>
      </c>
      <c r="L88" s="22">
        <v>100</v>
      </c>
      <c r="M88" s="16">
        <f t="shared" si="7"/>
        <v>204</v>
      </c>
      <c r="N88" s="22">
        <f t="shared" si="8"/>
        <v>1.9607843137254901</v>
      </c>
      <c r="O88" s="23"/>
      <c r="P88" s="23"/>
      <c r="Q88" s="23"/>
      <c r="R88" s="23"/>
      <c r="S88" s="22"/>
      <c r="T88" s="264"/>
    </row>
    <row r="89" spans="1:20" s="219" customFormat="1" x14ac:dyDescent="0.2">
      <c r="A89" s="21">
        <v>218</v>
      </c>
      <c r="B89" s="21"/>
      <c r="C89" s="21"/>
      <c r="D89" s="21"/>
      <c r="E89" s="21"/>
      <c r="F89" s="22">
        <f t="shared" si="9"/>
        <v>2250</v>
      </c>
      <c r="G89" s="22">
        <f t="shared" si="6"/>
        <v>2250</v>
      </c>
      <c r="H89" s="15">
        <v>1000</v>
      </c>
      <c r="I89" s="15">
        <v>1000</v>
      </c>
      <c r="J89" s="22">
        <f t="shared" si="10"/>
        <v>3240</v>
      </c>
      <c r="K89" s="133">
        <v>1000</v>
      </c>
      <c r="L89" s="22">
        <v>100</v>
      </c>
      <c r="M89" s="16">
        <f t="shared" si="7"/>
        <v>216</v>
      </c>
      <c r="N89" s="22">
        <f t="shared" si="8"/>
        <v>1.8518518518518519</v>
      </c>
      <c r="O89" s="23"/>
      <c r="P89" s="23"/>
      <c r="Q89" s="23"/>
      <c r="R89" s="23"/>
      <c r="S89" s="22"/>
      <c r="T89" s="264"/>
    </row>
    <row r="90" spans="1:20" s="219" customFormat="1" x14ac:dyDescent="0.2">
      <c r="A90" s="21">
        <v>219</v>
      </c>
      <c r="B90" s="21"/>
      <c r="C90" s="21"/>
      <c r="D90" s="21"/>
      <c r="E90" s="21"/>
      <c r="F90" s="22">
        <f t="shared" si="9"/>
        <v>2375</v>
      </c>
      <c r="G90" s="22">
        <f t="shared" si="6"/>
        <v>2375</v>
      </c>
      <c r="H90" s="15">
        <v>1000</v>
      </c>
      <c r="I90" s="15">
        <v>1000</v>
      </c>
      <c r="J90" s="22">
        <f t="shared" si="10"/>
        <v>3420</v>
      </c>
      <c r="K90" s="133">
        <v>1000</v>
      </c>
      <c r="L90" s="22">
        <v>100</v>
      </c>
      <c r="M90" s="16">
        <f t="shared" si="7"/>
        <v>228</v>
      </c>
      <c r="N90" s="22">
        <f t="shared" si="8"/>
        <v>1.7543859649122806</v>
      </c>
      <c r="O90" s="23"/>
      <c r="P90" s="23"/>
      <c r="Q90" s="23"/>
      <c r="R90" s="23"/>
      <c r="S90" s="22"/>
      <c r="T90" s="264"/>
    </row>
    <row r="91" spans="1:20" s="219" customFormat="1" x14ac:dyDescent="0.2">
      <c r="A91" s="21">
        <v>220</v>
      </c>
      <c r="B91" s="21"/>
      <c r="C91" s="21"/>
      <c r="D91" s="21"/>
      <c r="E91" s="21"/>
      <c r="F91" s="22">
        <f t="shared" si="9"/>
        <v>2500</v>
      </c>
      <c r="G91" s="22">
        <f t="shared" si="6"/>
        <v>2500</v>
      </c>
      <c r="H91" s="15">
        <v>1000</v>
      </c>
      <c r="I91" s="15">
        <v>1000</v>
      </c>
      <c r="J91" s="22">
        <f t="shared" si="10"/>
        <v>3600</v>
      </c>
      <c r="K91" s="133">
        <v>1000</v>
      </c>
      <c r="L91" s="22">
        <v>100</v>
      </c>
      <c r="M91" s="16">
        <f t="shared" si="7"/>
        <v>240</v>
      </c>
      <c r="N91" s="22">
        <f t="shared" si="8"/>
        <v>1.6666666666666667</v>
      </c>
      <c r="O91" s="23"/>
      <c r="P91" s="23"/>
      <c r="Q91" s="23"/>
      <c r="R91" s="23"/>
      <c r="S91" s="22"/>
      <c r="T91" s="264"/>
    </row>
    <row r="92" spans="1:20" s="219" customFormat="1" x14ac:dyDescent="0.2">
      <c r="A92" s="21">
        <v>221</v>
      </c>
      <c r="B92" s="21"/>
      <c r="C92" s="21"/>
      <c r="D92" s="21"/>
      <c r="E92" s="21"/>
      <c r="F92" s="22">
        <f t="shared" si="9"/>
        <v>2625</v>
      </c>
      <c r="G92" s="22">
        <f t="shared" si="6"/>
        <v>2625</v>
      </c>
      <c r="H92" s="15">
        <v>1000</v>
      </c>
      <c r="I92" s="15">
        <v>1000</v>
      </c>
      <c r="J92" s="22">
        <f t="shared" si="10"/>
        <v>3780</v>
      </c>
      <c r="K92" s="133">
        <v>1000</v>
      </c>
      <c r="L92" s="22">
        <v>100</v>
      </c>
      <c r="M92" s="16">
        <f t="shared" si="7"/>
        <v>252</v>
      </c>
      <c r="N92" s="22">
        <f t="shared" si="8"/>
        <v>1.5873015873015872</v>
      </c>
      <c r="O92" s="23"/>
      <c r="P92" s="23"/>
      <c r="Q92" s="23"/>
      <c r="R92" s="23"/>
      <c r="S92" s="22"/>
      <c r="T92" s="264"/>
    </row>
    <row r="93" spans="1:20" s="219" customFormat="1" x14ac:dyDescent="0.2">
      <c r="A93" s="21">
        <v>222</v>
      </c>
      <c r="B93" s="21"/>
      <c r="C93" s="21"/>
      <c r="D93" s="21"/>
      <c r="E93" s="21"/>
      <c r="F93" s="22">
        <f t="shared" si="9"/>
        <v>2750</v>
      </c>
      <c r="G93" s="22">
        <f t="shared" si="6"/>
        <v>2750</v>
      </c>
      <c r="H93" s="15">
        <v>1000</v>
      </c>
      <c r="I93" s="15">
        <v>1000</v>
      </c>
      <c r="J93" s="22">
        <f t="shared" si="10"/>
        <v>3960</v>
      </c>
      <c r="K93" s="133">
        <v>1000</v>
      </c>
      <c r="L93" s="22">
        <v>100</v>
      </c>
      <c r="M93" s="16">
        <f t="shared" si="7"/>
        <v>264</v>
      </c>
      <c r="N93" s="22">
        <f t="shared" si="8"/>
        <v>1.5151515151515151</v>
      </c>
      <c r="O93" s="23"/>
      <c r="P93" s="23"/>
      <c r="Q93" s="23"/>
      <c r="R93" s="23"/>
      <c r="S93" s="22"/>
      <c r="T93" s="264"/>
    </row>
    <row r="94" spans="1:20" s="219" customFormat="1" x14ac:dyDescent="0.2">
      <c r="A94" s="21">
        <v>223</v>
      </c>
      <c r="B94" s="21"/>
      <c r="C94" s="21"/>
      <c r="D94" s="21"/>
      <c r="E94" s="21"/>
      <c r="F94" s="22">
        <f t="shared" si="9"/>
        <v>2875</v>
      </c>
      <c r="G94" s="22">
        <f t="shared" si="6"/>
        <v>2875</v>
      </c>
      <c r="H94" s="15">
        <v>1000</v>
      </c>
      <c r="I94" s="15">
        <v>1000</v>
      </c>
      <c r="J94" s="22">
        <f t="shared" si="10"/>
        <v>4140</v>
      </c>
      <c r="K94" s="133">
        <v>1000</v>
      </c>
      <c r="L94" s="22">
        <v>100</v>
      </c>
      <c r="M94" s="16">
        <f t="shared" si="7"/>
        <v>276</v>
      </c>
      <c r="N94" s="22">
        <f t="shared" si="8"/>
        <v>1.4492753623188406</v>
      </c>
      <c r="O94" s="23"/>
      <c r="P94" s="23"/>
      <c r="Q94" s="23"/>
      <c r="R94" s="23"/>
      <c r="S94" s="22"/>
      <c r="T94" s="264"/>
    </row>
    <row r="95" spans="1:20" s="219" customFormat="1" x14ac:dyDescent="0.2">
      <c r="A95" s="21">
        <v>224</v>
      </c>
      <c r="B95" s="21"/>
      <c r="C95" s="21"/>
      <c r="D95" s="21"/>
      <c r="E95" s="21"/>
      <c r="F95" s="22">
        <f t="shared" si="9"/>
        <v>3000</v>
      </c>
      <c r="G95" s="22">
        <f t="shared" si="6"/>
        <v>3000</v>
      </c>
      <c r="H95" s="15">
        <v>1000</v>
      </c>
      <c r="I95" s="15">
        <v>1000</v>
      </c>
      <c r="J95" s="22">
        <f t="shared" si="10"/>
        <v>4320</v>
      </c>
      <c r="K95" s="133">
        <v>1000</v>
      </c>
      <c r="L95" s="22">
        <v>100</v>
      </c>
      <c r="M95" s="16">
        <f t="shared" si="7"/>
        <v>288</v>
      </c>
      <c r="N95" s="22">
        <f t="shared" si="8"/>
        <v>1.3888888888888888</v>
      </c>
      <c r="O95" s="23"/>
      <c r="P95" s="23"/>
      <c r="Q95" s="23"/>
      <c r="R95" s="23"/>
      <c r="S95" s="22"/>
      <c r="T95" s="264"/>
    </row>
    <row r="96" spans="1:20" s="219" customFormat="1" x14ac:dyDescent="0.2">
      <c r="A96" s="21">
        <v>225</v>
      </c>
      <c r="B96" s="21"/>
      <c r="C96" s="21"/>
      <c r="D96" s="21"/>
      <c r="E96" s="21"/>
      <c r="F96" s="22">
        <f t="shared" si="9"/>
        <v>3125</v>
      </c>
      <c r="G96" s="22">
        <f t="shared" si="6"/>
        <v>3125</v>
      </c>
      <c r="H96" s="15">
        <v>1000</v>
      </c>
      <c r="I96" s="15">
        <v>1000</v>
      </c>
      <c r="J96" s="22">
        <f t="shared" si="10"/>
        <v>4500</v>
      </c>
      <c r="K96" s="133">
        <v>1000</v>
      </c>
      <c r="L96" s="22">
        <v>100</v>
      </c>
      <c r="M96" s="16">
        <f t="shared" si="7"/>
        <v>300</v>
      </c>
      <c r="N96" s="22">
        <f t="shared" si="8"/>
        <v>1.3333333333333333</v>
      </c>
      <c r="O96" s="23"/>
      <c r="P96" s="23"/>
      <c r="Q96" s="23"/>
      <c r="R96" s="23"/>
      <c r="S96" s="22"/>
      <c r="T96" s="264"/>
    </row>
    <row r="97" spans="1:20" s="219" customFormat="1" x14ac:dyDescent="0.2">
      <c r="A97" s="21">
        <v>226</v>
      </c>
      <c r="B97" s="21"/>
      <c r="C97" s="21"/>
      <c r="D97" s="21"/>
      <c r="E97" s="21"/>
      <c r="F97" s="22">
        <f t="shared" si="9"/>
        <v>3250</v>
      </c>
      <c r="G97" s="22">
        <f t="shared" si="6"/>
        <v>3250</v>
      </c>
      <c r="H97" s="15">
        <v>1000</v>
      </c>
      <c r="I97" s="15">
        <v>1000</v>
      </c>
      <c r="J97" s="22">
        <f t="shared" si="10"/>
        <v>4680</v>
      </c>
      <c r="K97" s="133">
        <v>1000</v>
      </c>
      <c r="L97" s="22">
        <v>100</v>
      </c>
      <c r="M97" s="16">
        <f t="shared" si="7"/>
        <v>312</v>
      </c>
      <c r="N97" s="22">
        <f t="shared" si="8"/>
        <v>1.2820512820512822</v>
      </c>
      <c r="O97" s="23"/>
      <c r="P97" s="23"/>
      <c r="Q97" s="23"/>
      <c r="R97" s="23"/>
      <c r="S97" s="22"/>
      <c r="T97" s="264"/>
    </row>
    <row r="98" spans="1:20" s="219" customFormat="1" x14ac:dyDescent="0.2">
      <c r="A98" s="21">
        <v>227</v>
      </c>
      <c r="B98" s="21"/>
      <c r="C98" s="21"/>
      <c r="D98" s="21"/>
      <c r="E98" s="21"/>
      <c r="F98" s="22">
        <f t="shared" si="9"/>
        <v>3375</v>
      </c>
      <c r="G98" s="22">
        <f t="shared" si="6"/>
        <v>3375</v>
      </c>
      <c r="H98" s="15">
        <v>1000</v>
      </c>
      <c r="I98" s="15">
        <v>1000</v>
      </c>
      <c r="J98" s="22">
        <f t="shared" si="10"/>
        <v>4860</v>
      </c>
      <c r="K98" s="133">
        <v>1000</v>
      </c>
      <c r="L98" s="22">
        <v>100</v>
      </c>
      <c r="M98" s="16">
        <f t="shared" si="7"/>
        <v>324</v>
      </c>
      <c r="N98" s="22">
        <f t="shared" si="8"/>
        <v>1.2345679012345678</v>
      </c>
      <c r="O98" s="23"/>
      <c r="P98" s="23"/>
      <c r="Q98" s="23"/>
      <c r="R98" s="23"/>
      <c r="S98" s="22"/>
      <c r="T98" s="264"/>
    </row>
    <row r="99" spans="1:20" s="219" customFormat="1" x14ac:dyDescent="0.2">
      <c r="A99" s="21">
        <v>228</v>
      </c>
      <c r="B99" s="21"/>
      <c r="C99" s="21"/>
      <c r="D99" s="21"/>
      <c r="E99" s="21"/>
      <c r="F99" s="22">
        <f t="shared" si="9"/>
        <v>3500</v>
      </c>
      <c r="G99" s="22">
        <f t="shared" si="6"/>
        <v>3500</v>
      </c>
      <c r="H99" s="15">
        <v>1000</v>
      </c>
      <c r="I99" s="15">
        <v>1000</v>
      </c>
      <c r="J99" s="22">
        <f t="shared" si="10"/>
        <v>5040</v>
      </c>
      <c r="K99" s="133">
        <v>1000</v>
      </c>
      <c r="L99" s="22">
        <v>100</v>
      </c>
      <c r="M99" s="16">
        <f t="shared" si="7"/>
        <v>336</v>
      </c>
      <c r="N99" s="22">
        <f t="shared" si="8"/>
        <v>1.1904761904761905</v>
      </c>
      <c r="O99" s="23"/>
      <c r="P99" s="23"/>
      <c r="Q99" s="23"/>
      <c r="R99" s="23"/>
      <c r="S99" s="22"/>
      <c r="T99" s="264"/>
    </row>
    <row r="100" spans="1:20" s="219" customFormat="1" x14ac:dyDescent="0.2">
      <c r="A100" s="21">
        <v>229</v>
      </c>
      <c r="B100" s="21"/>
      <c r="C100" s="21"/>
      <c r="D100" s="21"/>
      <c r="E100" s="21"/>
      <c r="F100" s="22">
        <f t="shared" si="9"/>
        <v>3625</v>
      </c>
      <c r="G100" s="22">
        <f t="shared" si="6"/>
        <v>3625</v>
      </c>
      <c r="H100" s="15">
        <v>1000</v>
      </c>
      <c r="I100" s="15">
        <v>1000</v>
      </c>
      <c r="J100" s="22">
        <f t="shared" si="10"/>
        <v>5220</v>
      </c>
      <c r="K100" s="133">
        <v>1000</v>
      </c>
      <c r="L100" s="22">
        <v>100</v>
      </c>
      <c r="M100" s="16">
        <f t="shared" si="7"/>
        <v>348</v>
      </c>
      <c r="N100" s="22">
        <f t="shared" si="8"/>
        <v>1.1494252873563218</v>
      </c>
      <c r="O100" s="23"/>
      <c r="P100" s="23"/>
      <c r="Q100" s="23"/>
      <c r="R100" s="23"/>
      <c r="S100" s="22"/>
      <c r="T100" s="264"/>
    </row>
    <row r="101" spans="1:20" s="219" customFormat="1" x14ac:dyDescent="0.2">
      <c r="A101" s="21">
        <v>230</v>
      </c>
      <c r="B101" s="21"/>
      <c r="C101" s="21"/>
      <c r="D101" s="21"/>
      <c r="E101" s="21"/>
      <c r="F101" s="22">
        <f t="shared" si="9"/>
        <v>3750</v>
      </c>
      <c r="G101" s="22">
        <f t="shared" ref="G101:G132" si="11">F101</f>
        <v>3750</v>
      </c>
      <c r="H101" s="15">
        <v>1000</v>
      </c>
      <c r="I101" s="15">
        <v>1000</v>
      </c>
      <c r="J101" s="22">
        <f t="shared" si="10"/>
        <v>5400</v>
      </c>
      <c r="K101" s="133">
        <v>1000</v>
      </c>
      <c r="L101" s="22">
        <v>100</v>
      </c>
      <c r="M101" s="16">
        <f t="shared" si="7"/>
        <v>360</v>
      </c>
      <c r="N101" s="22">
        <f t="shared" ref="N101:N132" si="12">400/M101</f>
        <v>1.1111111111111112</v>
      </c>
      <c r="O101" s="23"/>
      <c r="P101" s="23"/>
      <c r="Q101" s="23"/>
      <c r="R101" s="23"/>
      <c r="S101" s="22"/>
      <c r="T101" s="264"/>
    </row>
    <row r="102" spans="1:20" s="219" customFormat="1" x14ac:dyDescent="0.2">
      <c r="A102" s="21">
        <v>231</v>
      </c>
      <c r="B102" s="21"/>
      <c r="C102" s="21"/>
      <c r="D102" s="21"/>
      <c r="E102" s="21"/>
      <c r="F102" s="22">
        <f t="shared" si="9"/>
        <v>3875</v>
      </c>
      <c r="G102" s="22">
        <f t="shared" si="11"/>
        <v>3875</v>
      </c>
      <c r="H102" s="15">
        <v>1000</v>
      </c>
      <c r="I102" s="15">
        <v>1000</v>
      </c>
      <c r="J102" s="22">
        <f t="shared" si="10"/>
        <v>5580</v>
      </c>
      <c r="K102" s="133">
        <v>1000</v>
      </c>
      <c r="L102" s="22">
        <v>100</v>
      </c>
      <c r="M102" s="16">
        <f t="shared" si="7"/>
        <v>372</v>
      </c>
      <c r="N102" s="22">
        <f t="shared" si="12"/>
        <v>1.075268817204301</v>
      </c>
      <c r="O102" s="23"/>
      <c r="P102" s="23"/>
      <c r="Q102" s="23"/>
      <c r="R102" s="23"/>
      <c r="S102" s="22"/>
      <c r="T102" s="264"/>
    </row>
    <row r="103" spans="1:20" s="219" customFormat="1" x14ac:dyDescent="0.2">
      <c r="A103" s="21">
        <v>232</v>
      </c>
      <c r="B103" s="21"/>
      <c r="C103" s="21"/>
      <c r="D103" s="21"/>
      <c r="E103" s="21"/>
      <c r="F103" s="22">
        <f t="shared" si="9"/>
        <v>4000</v>
      </c>
      <c r="G103" s="22">
        <f t="shared" si="11"/>
        <v>4000</v>
      </c>
      <c r="H103" s="15">
        <v>1000</v>
      </c>
      <c r="I103" s="15">
        <v>1000</v>
      </c>
      <c r="J103" s="22">
        <f t="shared" si="10"/>
        <v>5760</v>
      </c>
      <c r="K103" s="133">
        <v>1000</v>
      </c>
      <c r="L103" s="22">
        <v>100</v>
      </c>
      <c r="M103" s="16">
        <f t="shared" si="7"/>
        <v>384</v>
      </c>
      <c r="N103" s="22">
        <f t="shared" si="12"/>
        <v>1.0416666666666667</v>
      </c>
      <c r="O103" s="23"/>
      <c r="P103" s="23"/>
      <c r="Q103" s="23"/>
      <c r="R103" s="23"/>
      <c r="S103" s="22"/>
      <c r="T103" s="264"/>
    </row>
    <row r="104" spans="1:20" s="219" customFormat="1" x14ac:dyDescent="0.2">
      <c r="A104" s="21">
        <v>233</v>
      </c>
      <c r="B104" s="21"/>
      <c r="C104" s="21"/>
      <c r="D104" s="21"/>
      <c r="E104" s="21"/>
      <c r="F104" s="22">
        <f t="shared" si="9"/>
        <v>4125</v>
      </c>
      <c r="G104" s="22">
        <f t="shared" si="11"/>
        <v>4125</v>
      </c>
      <c r="H104" s="15">
        <v>1000</v>
      </c>
      <c r="I104" s="15">
        <v>1000</v>
      </c>
      <c r="J104" s="22">
        <f t="shared" si="10"/>
        <v>5940</v>
      </c>
      <c r="K104" s="133">
        <v>1000</v>
      </c>
      <c r="L104" s="22">
        <v>100</v>
      </c>
      <c r="M104" s="16">
        <f t="shared" si="7"/>
        <v>396</v>
      </c>
      <c r="N104" s="22">
        <f t="shared" si="12"/>
        <v>1.0101010101010102</v>
      </c>
      <c r="O104" s="23"/>
      <c r="P104" s="23"/>
      <c r="Q104" s="23"/>
      <c r="R104" s="23"/>
      <c r="S104" s="22"/>
      <c r="T104" s="264"/>
    </row>
    <row r="105" spans="1:20" s="219" customFormat="1" x14ac:dyDescent="0.2">
      <c r="A105" s="21">
        <v>234</v>
      </c>
      <c r="B105" s="21"/>
      <c r="C105" s="21"/>
      <c r="D105" s="21"/>
      <c r="E105" s="21"/>
      <c r="F105" s="22">
        <f t="shared" si="9"/>
        <v>4250</v>
      </c>
      <c r="G105" s="22">
        <f t="shared" si="11"/>
        <v>4250</v>
      </c>
      <c r="H105" s="15">
        <v>1000</v>
      </c>
      <c r="I105" s="15">
        <v>1000</v>
      </c>
      <c r="J105" s="22">
        <f t="shared" si="10"/>
        <v>6120</v>
      </c>
      <c r="K105" s="133">
        <v>1000</v>
      </c>
      <c r="L105" s="22">
        <v>100</v>
      </c>
      <c r="M105" s="16">
        <f t="shared" si="7"/>
        <v>408</v>
      </c>
      <c r="N105" s="22">
        <f t="shared" si="12"/>
        <v>0.98039215686274506</v>
      </c>
      <c r="O105" s="23"/>
      <c r="P105" s="23"/>
      <c r="Q105" s="23"/>
      <c r="R105" s="23"/>
      <c r="S105" s="22"/>
      <c r="T105" s="264"/>
    </row>
    <row r="106" spans="1:20" s="219" customFormat="1" x14ac:dyDescent="0.2">
      <c r="A106" s="21">
        <v>235</v>
      </c>
      <c r="B106" s="21"/>
      <c r="C106" s="21"/>
      <c r="D106" s="21"/>
      <c r="E106" s="21"/>
      <c r="F106" s="22">
        <f t="shared" si="9"/>
        <v>4375</v>
      </c>
      <c r="G106" s="22">
        <f t="shared" si="11"/>
        <v>4375</v>
      </c>
      <c r="H106" s="15">
        <v>1000</v>
      </c>
      <c r="I106" s="15">
        <v>1000</v>
      </c>
      <c r="J106" s="22">
        <f t="shared" si="10"/>
        <v>6300</v>
      </c>
      <c r="K106" s="133">
        <v>1000</v>
      </c>
      <c r="L106" s="22">
        <v>100</v>
      </c>
      <c r="M106" s="16">
        <f t="shared" si="7"/>
        <v>420</v>
      </c>
      <c r="N106" s="22">
        <f t="shared" si="12"/>
        <v>0.95238095238095233</v>
      </c>
      <c r="O106" s="23"/>
      <c r="P106" s="23"/>
      <c r="Q106" s="23"/>
      <c r="R106" s="23"/>
      <c r="S106" s="22"/>
      <c r="T106" s="264"/>
    </row>
    <row r="107" spans="1:20" s="219" customFormat="1" x14ac:dyDescent="0.2">
      <c r="A107" s="21">
        <v>236</v>
      </c>
      <c r="B107" s="21"/>
      <c r="C107" s="21"/>
      <c r="D107" s="21"/>
      <c r="E107" s="21"/>
      <c r="F107" s="22">
        <f t="shared" si="9"/>
        <v>4500</v>
      </c>
      <c r="G107" s="22">
        <f t="shared" si="11"/>
        <v>4500</v>
      </c>
      <c r="H107" s="15">
        <v>1000</v>
      </c>
      <c r="I107" s="15">
        <v>1000</v>
      </c>
      <c r="J107" s="22">
        <f t="shared" si="10"/>
        <v>6480</v>
      </c>
      <c r="K107" s="133">
        <v>1000</v>
      </c>
      <c r="L107" s="22">
        <v>100</v>
      </c>
      <c r="M107" s="16">
        <f t="shared" si="7"/>
        <v>432</v>
      </c>
      <c r="N107" s="22">
        <f t="shared" si="12"/>
        <v>0.92592592592592593</v>
      </c>
      <c r="O107" s="23"/>
      <c r="P107" s="23"/>
      <c r="Q107" s="23"/>
      <c r="R107" s="23"/>
      <c r="S107" s="22"/>
      <c r="T107" s="264"/>
    </row>
    <row r="108" spans="1:20" s="219" customFormat="1" x14ac:dyDescent="0.2">
      <c r="A108" s="21">
        <v>237</v>
      </c>
      <c r="B108" s="21"/>
      <c r="C108" s="21"/>
      <c r="D108" s="21"/>
      <c r="E108" s="21"/>
      <c r="F108" s="22">
        <f t="shared" si="9"/>
        <v>4625</v>
      </c>
      <c r="G108" s="22">
        <f t="shared" si="11"/>
        <v>4625</v>
      </c>
      <c r="H108" s="15">
        <v>1000</v>
      </c>
      <c r="I108" s="15">
        <v>1000</v>
      </c>
      <c r="J108" s="22">
        <f t="shared" si="10"/>
        <v>6660</v>
      </c>
      <c r="K108" s="133">
        <v>1000</v>
      </c>
      <c r="L108" s="22">
        <v>100</v>
      </c>
      <c r="M108" s="16">
        <f t="shared" si="7"/>
        <v>444</v>
      </c>
      <c r="N108" s="22">
        <f t="shared" si="12"/>
        <v>0.90090090090090091</v>
      </c>
      <c r="O108" s="23"/>
      <c r="P108" s="23"/>
      <c r="Q108" s="23"/>
      <c r="R108" s="23"/>
      <c r="S108" s="22"/>
      <c r="T108" s="264"/>
    </row>
    <row r="109" spans="1:20" s="219" customFormat="1" x14ac:dyDescent="0.2">
      <c r="A109" s="21">
        <v>238</v>
      </c>
      <c r="B109" s="21"/>
      <c r="C109" s="21"/>
      <c r="D109" s="21"/>
      <c r="E109" s="21"/>
      <c r="F109" s="22">
        <f t="shared" si="9"/>
        <v>4750</v>
      </c>
      <c r="G109" s="22">
        <f t="shared" si="11"/>
        <v>4750</v>
      </c>
      <c r="H109" s="15">
        <v>1000</v>
      </c>
      <c r="I109" s="15">
        <v>1000</v>
      </c>
      <c r="J109" s="22">
        <f t="shared" si="10"/>
        <v>6840</v>
      </c>
      <c r="K109" s="133">
        <v>1000</v>
      </c>
      <c r="L109" s="22">
        <v>100</v>
      </c>
      <c r="M109" s="16">
        <f t="shared" si="7"/>
        <v>456</v>
      </c>
      <c r="N109" s="22">
        <f t="shared" si="12"/>
        <v>0.8771929824561403</v>
      </c>
      <c r="O109" s="23"/>
      <c r="P109" s="23"/>
      <c r="Q109" s="23"/>
      <c r="R109" s="23"/>
      <c r="S109" s="22"/>
      <c r="T109" s="264"/>
    </row>
    <row r="110" spans="1:20" s="219" customFormat="1" x14ac:dyDescent="0.2">
      <c r="A110" s="21">
        <v>239</v>
      </c>
      <c r="B110" s="21"/>
      <c r="C110" s="21"/>
      <c r="D110" s="21"/>
      <c r="E110" s="21"/>
      <c r="F110" s="22">
        <f t="shared" si="9"/>
        <v>4875</v>
      </c>
      <c r="G110" s="22">
        <f t="shared" si="11"/>
        <v>4875</v>
      </c>
      <c r="H110" s="15">
        <v>1000</v>
      </c>
      <c r="I110" s="15">
        <v>1000</v>
      </c>
      <c r="J110" s="22">
        <f t="shared" si="10"/>
        <v>7020</v>
      </c>
      <c r="K110" s="133">
        <v>1000</v>
      </c>
      <c r="L110" s="22">
        <v>100</v>
      </c>
      <c r="M110" s="16">
        <f t="shared" si="7"/>
        <v>468</v>
      </c>
      <c r="N110" s="22">
        <f t="shared" si="12"/>
        <v>0.85470085470085466</v>
      </c>
      <c r="O110" s="23"/>
      <c r="P110" s="23"/>
      <c r="Q110" s="23"/>
      <c r="R110" s="23"/>
      <c r="S110" s="22"/>
      <c r="T110" s="264"/>
    </row>
    <row r="111" spans="1:20" s="219" customFormat="1" x14ac:dyDescent="0.2">
      <c r="A111" s="21">
        <v>240</v>
      </c>
      <c r="B111" s="21"/>
      <c r="C111" s="21"/>
      <c r="D111" s="21"/>
      <c r="E111" s="21"/>
      <c r="F111" s="22">
        <f t="shared" si="9"/>
        <v>8750</v>
      </c>
      <c r="G111" s="22">
        <f t="shared" si="11"/>
        <v>8750</v>
      </c>
      <c r="H111" s="15">
        <v>1000</v>
      </c>
      <c r="I111" s="15">
        <v>1000</v>
      </c>
      <c r="J111" s="22">
        <f t="shared" si="10"/>
        <v>12600</v>
      </c>
      <c r="K111" s="133">
        <v>1000</v>
      </c>
      <c r="L111" s="22">
        <v>100</v>
      </c>
      <c r="M111" s="16">
        <f t="shared" si="7"/>
        <v>840</v>
      </c>
      <c r="N111" s="22">
        <f t="shared" si="12"/>
        <v>0.47619047619047616</v>
      </c>
      <c r="O111" s="23"/>
      <c r="P111" s="23"/>
      <c r="Q111" s="23"/>
      <c r="R111" s="23"/>
      <c r="S111" s="22"/>
      <c r="T111" s="264"/>
    </row>
    <row r="112" spans="1:20" s="219" customFormat="1" x14ac:dyDescent="0.2">
      <c r="A112" s="24">
        <v>301</v>
      </c>
      <c r="B112" s="24"/>
      <c r="C112" s="24"/>
      <c r="D112" s="24"/>
      <c r="E112" s="24"/>
      <c r="F112" s="25">
        <v>1000</v>
      </c>
      <c r="G112" s="25">
        <f t="shared" si="11"/>
        <v>1000</v>
      </c>
      <c r="H112" s="15">
        <v>1000</v>
      </c>
      <c r="I112" s="15">
        <v>1000</v>
      </c>
      <c r="J112" s="25">
        <v>4000</v>
      </c>
      <c r="K112" s="133">
        <v>1000</v>
      </c>
      <c r="L112" s="25">
        <v>200</v>
      </c>
      <c r="M112" s="16">
        <f t="shared" si="7"/>
        <v>160</v>
      </c>
      <c r="N112" s="25">
        <f t="shared" si="12"/>
        <v>2.5</v>
      </c>
      <c r="O112" s="26"/>
      <c r="P112" s="26"/>
      <c r="Q112" s="26"/>
      <c r="R112" s="26"/>
      <c r="S112" s="25"/>
      <c r="T112" s="264"/>
    </row>
    <row r="113" spans="1:20" s="219" customFormat="1" x14ac:dyDescent="0.2">
      <c r="A113" s="24">
        <v>302</v>
      </c>
      <c r="B113" s="24"/>
      <c r="C113" s="24"/>
      <c r="D113" s="24"/>
      <c r="E113" s="24"/>
      <c r="F113" s="25">
        <v>1500</v>
      </c>
      <c r="G113" s="25">
        <f t="shared" si="11"/>
        <v>1500</v>
      </c>
      <c r="H113" s="15">
        <v>1000</v>
      </c>
      <c r="I113" s="15">
        <v>1000</v>
      </c>
      <c r="J113" s="25">
        <v>6000</v>
      </c>
      <c r="K113" s="133">
        <v>1000</v>
      </c>
      <c r="L113" s="25">
        <v>200</v>
      </c>
      <c r="M113" s="16">
        <f t="shared" si="7"/>
        <v>240</v>
      </c>
      <c r="N113" s="25">
        <f t="shared" si="12"/>
        <v>1.6666666666666667</v>
      </c>
      <c r="O113" s="26"/>
      <c r="P113" s="26"/>
      <c r="Q113" s="26"/>
      <c r="R113" s="26"/>
      <c r="S113" s="25"/>
      <c r="T113" s="264"/>
    </row>
    <row r="114" spans="1:20" s="219" customFormat="1" x14ac:dyDescent="0.2">
      <c r="A114" s="24">
        <v>303</v>
      </c>
      <c r="B114" s="24"/>
      <c r="C114" s="24"/>
      <c r="D114" s="24"/>
      <c r="E114" s="24"/>
      <c r="F114" s="25">
        <v>2000</v>
      </c>
      <c r="G114" s="25">
        <f t="shared" si="11"/>
        <v>2000</v>
      </c>
      <c r="H114" s="15">
        <v>1000</v>
      </c>
      <c r="I114" s="15">
        <v>1000</v>
      </c>
      <c r="J114" s="25">
        <v>8000</v>
      </c>
      <c r="K114" s="133">
        <v>1000</v>
      </c>
      <c r="L114" s="25">
        <v>200</v>
      </c>
      <c r="M114" s="16">
        <f t="shared" si="7"/>
        <v>320</v>
      </c>
      <c r="N114" s="25">
        <f t="shared" si="12"/>
        <v>1.25</v>
      </c>
      <c r="O114" s="26"/>
      <c r="P114" s="26"/>
      <c r="Q114" s="26"/>
      <c r="R114" s="26"/>
      <c r="S114" s="25"/>
      <c r="T114" s="264"/>
    </row>
    <row r="115" spans="1:20" s="219" customFormat="1" x14ac:dyDescent="0.2">
      <c r="A115" s="24">
        <v>304</v>
      </c>
      <c r="B115" s="24"/>
      <c r="C115" s="24"/>
      <c r="D115" s="24"/>
      <c r="E115" s="24"/>
      <c r="F115" s="25">
        <v>2500</v>
      </c>
      <c r="G115" s="25">
        <f t="shared" si="11"/>
        <v>2500</v>
      </c>
      <c r="H115" s="15">
        <v>1000</v>
      </c>
      <c r="I115" s="15">
        <v>1000</v>
      </c>
      <c r="J115" s="25">
        <v>10000</v>
      </c>
      <c r="K115" s="133">
        <v>1000</v>
      </c>
      <c r="L115" s="25">
        <v>200</v>
      </c>
      <c r="M115" s="16">
        <f t="shared" si="7"/>
        <v>400</v>
      </c>
      <c r="N115" s="25">
        <f t="shared" si="12"/>
        <v>1</v>
      </c>
      <c r="O115" s="26"/>
      <c r="P115" s="26"/>
      <c r="Q115" s="26"/>
      <c r="R115" s="26"/>
      <c r="S115" s="25"/>
      <c r="T115" s="264"/>
    </row>
    <row r="116" spans="1:20" s="219" customFormat="1" x14ac:dyDescent="0.2">
      <c r="A116" s="24">
        <v>305</v>
      </c>
      <c r="B116" s="24"/>
      <c r="C116" s="24"/>
      <c r="D116" s="24"/>
      <c r="E116" s="24"/>
      <c r="F116" s="25">
        <v>3000</v>
      </c>
      <c r="G116" s="25">
        <f t="shared" si="11"/>
        <v>3000</v>
      </c>
      <c r="H116" s="15">
        <v>1000</v>
      </c>
      <c r="I116" s="15">
        <v>1000</v>
      </c>
      <c r="J116" s="25">
        <v>12000</v>
      </c>
      <c r="K116" s="133">
        <v>1000</v>
      </c>
      <c r="L116" s="25">
        <v>200</v>
      </c>
      <c r="M116" s="16">
        <f t="shared" si="7"/>
        <v>480</v>
      </c>
      <c r="N116" s="25">
        <f t="shared" si="12"/>
        <v>0.83333333333333337</v>
      </c>
      <c r="O116" s="26"/>
      <c r="P116" s="26"/>
      <c r="Q116" s="26"/>
      <c r="R116" s="26"/>
      <c r="S116" s="25"/>
      <c r="T116" s="264"/>
    </row>
    <row r="117" spans="1:20" s="219" customFormat="1" x14ac:dyDescent="0.2">
      <c r="A117" s="24">
        <v>306</v>
      </c>
      <c r="B117" s="24"/>
      <c r="C117" s="24"/>
      <c r="D117" s="24"/>
      <c r="E117" s="24"/>
      <c r="F117" s="25">
        <v>3500</v>
      </c>
      <c r="G117" s="25">
        <f t="shared" si="11"/>
        <v>3500</v>
      </c>
      <c r="H117" s="15">
        <v>1000</v>
      </c>
      <c r="I117" s="15">
        <v>1000</v>
      </c>
      <c r="J117" s="25">
        <v>14000</v>
      </c>
      <c r="K117" s="133">
        <v>1000</v>
      </c>
      <c r="L117" s="25">
        <v>200</v>
      </c>
      <c r="M117" s="16">
        <f t="shared" si="7"/>
        <v>560</v>
      </c>
      <c r="N117" s="25">
        <f t="shared" si="12"/>
        <v>0.7142857142857143</v>
      </c>
      <c r="O117" s="26"/>
      <c r="P117" s="26"/>
      <c r="Q117" s="26"/>
      <c r="R117" s="26"/>
      <c r="S117" s="25"/>
      <c r="T117" s="264"/>
    </row>
    <row r="118" spans="1:20" s="219" customFormat="1" x14ac:dyDescent="0.2">
      <c r="A118" s="24">
        <v>307</v>
      </c>
      <c r="B118" s="24"/>
      <c r="C118" s="24"/>
      <c r="D118" s="24"/>
      <c r="E118" s="24"/>
      <c r="F118" s="25">
        <v>4000</v>
      </c>
      <c r="G118" s="25">
        <f t="shared" si="11"/>
        <v>4000</v>
      </c>
      <c r="H118" s="15">
        <v>1000</v>
      </c>
      <c r="I118" s="15">
        <v>1000</v>
      </c>
      <c r="J118" s="25">
        <v>16000</v>
      </c>
      <c r="K118" s="133">
        <v>1000</v>
      </c>
      <c r="L118" s="25">
        <v>200</v>
      </c>
      <c r="M118" s="16">
        <f t="shared" si="7"/>
        <v>640</v>
      </c>
      <c r="N118" s="25">
        <f t="shared" si="12"/>
        <v>0.625</v>
      </c>
      <c r="O118" s="26"/>
      <c r="P118" s="26"/>
      <c r="Q118" s="26"/>
      <c r="R118" s="26"/>
      <c r="S118" s="25"/>
      <c r="T118" s="264"/>
    </row>
    <row r="119" spans="1:20" s="219" customFormat="1" x14ac:dyDescent="0.2">
      <c r="A119" s="27">
        <v>401</v>
      </c>
      <c r="B119" s="27"/>
      <c r="C119" s="27"/>
      <c r="D119" s="27"/>
      <c r="E119" s="27"/>
      <c r="F119" s="28">
        <v>1000</v>
      </c>
      <c r="G119" s="28">
        <f t="shared" si="11"/>
        <v>1000</v>
      </c>
      <c r="H119" s="15">
        <v>1000</v>
      </c>
      <c r="I119" s="15">
        <v>1000</v>
      </c>
      <c r="J119" s="28">
        <v>4000</v>
      </c>
      <c r="K119" s="133">
        <v>1000</v>
      </c>
      <c r="L119" s="28">
        <v>300</v>
      </c>
      <c r="M119" s="16">
        <f t="shared" si="7"/>
        <v>160</v>
      </c>
      <c r="N119" s="28">
        <f t="shared" si="12"/>
        <v>2.5</v>
      </c>
      <c r="O119" s="29"/>
      <c r="P119" s="29"/>
      <c r="Q119" s="29"/>
      <c r="R119" s="29"/>
      <c r="S119" s="28"/>
      <c r="T119" s="264"/>
    </row>
    <row r="120" spans="1:20" s="219" customFormat="1" x14ac:dyDescent="0.2">
      <c r="A120" s="27">
        <v>402</v>
      </c>
      <c r="B120" s="27"/>
      <c r="C120" s="27"/>
      <c r="D120" s="27"/>
      <c r="E120" s="27"/>
      <c r="F120" s="28">
        <v>1500</v>
      </c>
      <c r="G120" s="28">
        <f t="shared" si="11"/>
        <v>1500</v>
      </c>
      <c r="H120" s="15">
        <v>1000</v>
      </c>
      <c r="I120" s="15">
        <v>1000</v>
      </c>
      <c r="J120" s="28">
        <v>6000</v>
      </c>
      <c r="K120" s="133">
        <v>1000</v>
      </c>
      <c r="L120" s="28">
        <v>300</v>
      </c>
      <c r="M120" s="16">
        <f t="shared" si="7"/>
        <v>240</v>
      </c>
      <c r="N120" s="28">
        <f t="shared" si="12"/>
        <v>1.6666666666666667</v>
      </c>
      <c r="O120" s="29"/>
      <c r="P120" s="29"/>
      <c r="Q120" s="29"/>
      <c r="R120" s="29"/>
      <c r="S120" s="28"/>
      <c r="T120" s="264"/>
    </row>
    <row r="121" spans="1:20" s="219" customFormat="1" x14ac:dyDescent="0.2">
      <c r="A121" s="27">
        <v>403</v>
      </c>
      <c r="B121" s="27"/>
      <c r="C121" s="27"/>
      <c r="D121" s="27"/>
      <c r="E121" s="27"/>
      <c r="F121" s="28">
        <v>2000</v>
      </c>
      <c r="G121" s="28">
        <f t="shared" si="11"/>
        <v>2000</v>
      </c>
      <c r="H121" s="15">
        <v>1000</v>
      </c>
      <c r="I121" s="15">
        <v>1000</v>
      </c>
      <c r="J121" s="28">
        <v>8000</v>
      </c>
      <c r="K121" s="133">
        <v>1000</v>
      </c>
      <c r="L121" s="28">
        <v>300</v>
      </c>
      <c r="M121" s="16">
        <f t="shared" si="7"/>
        <v>320</v>
      </c>
      <c r="N121" s="28">
        <f t="shared" si="12"/>
        <v>1.25</v>
      </c>
      <c r="O121" s="29"/>
      <c r="P121" s="29"/>
      <c r="Q121" s="29"/>
      <c r="R121" s="29"/>
      <c r="S121" s="28"/>
      <c r="T121" s="264"/>
    </row>
    <row r="122" spans="1:20" s="219" customFormat="1" x14ac:dyDescent="0.2">
      <c r="A122" s="27">
        <v>404</v>
      </c>
      <c r="B122" s="27"/>
      <c r="C122" s="27"/>
      <c r="D122" s="27"/>
      <c r="E122" s="27"/>
      <c r="F122" s="28">
        <v>2500</v>
      </c>
      <c r="G122" s="28">
        <f t="shared" si="11"/>
        <v>2500</v>
      </c>
      <c r="H122" s="15">
        <v>1000</v>
      </c>
      <c r="I122" s="15">
        <v>1000</v>
      </c>
      <c r="J122" s="28">
        <v>10000</v>
      </c>
      <c r="K122" s="133">
        <v>1000</v>
      </c>
      <c r="L122" s="28">
        <v>300</v>
      </c>
      <c r="M122" s="16">
        <f t="shared" si="7"/>
        <v>400</v>
      </c>
      <c r="N122" s="28">
        <f t="shared" si="12"/>
        <v>1</v>
      </c>
      <c r="O122" s="29"/>
      <c r="P122" s="29"/>
      <c r="Q122" s="29"/>
      <c r="R122" s="29"/>
      <c r="S122" s="28"/>
      <c r="T122" s="264"/>
    </row>
    <row r="123" spans="1:20" s="219" customFormat="1" x14ac:dyDescent="0.2">
      <c r="A123" s="27">
        <v>405</v>
      </c>
      <c r="B123" s="27"/>
      <c r="C123" s="27"/>
      <c r="D123" s="27"/>
      <c r="E123" s="27"/>
      <c r="F123" s="28">
        <v>3000</v>
      </c>
      <c r="G123" s="28">
        <f t="shared" si="11"/>
        <v>3000</v>
      </c>
      <c r="H123" s="15">
        <v>1000</v>
      </c>
      <c r="I123" s="15">
        <v>1000</v>
      </c>
      <c r="J123" s="28">
        <v>12000</v>
      </c>
      <c r="K123" s="133">
        <v>1000</v>
      </c>
      <c r="L123" s="28">
        <v>300</v>
      </c>
      <c r="M123" s="16">
        <f t="shared" si="7"/>
        <v>480</v>
      </c>
      <c r="N123" s="28">
        <f t="shared" si="12"/>
        <v>0.83333333333333337</v>
      </c>
      <c r="O123" s="29"/>
      <c r="P123" s="29"/>
      <c r="Q123" s="29"/>
      <c r="R123" s="29"/>
      <c r="S123" s="28"/>
      <c r="T123" s="264"/>
    </row>
    <row r="124" spans="1:20" s="219" customFormat="1" x14ac:dyDescent="0.2">
      <c r="A124" s="27">
        <v>406</v>
      </c>
      <c r="B124" s="27"/>
      <c r="C124" s="27"/>
      <c r="D124" s="27"/>
      <c r="E124" s="27"/>
      <c r="F124" s="28">
        <v>3500</v>
      </c>
      <c r="G124" s="28">
        <f t="shared" si="11"/>
        <v>3500</v>
      </c>
      <c r="H124" s="15">
        <v>1000</v>
      </c>
      <c r="I124" s="15">
        <v>1000</v>
      </c>
      <c r="J124" s="28">
        <v>14000</v>
      </c>
      <c r="K124" s="133">
        <v>1000</v>
      </c>
      <c r="L124" s="28">
        <v>300</v>
      </c>
      <c r="M124" s="16">
        <f t="shared" si="7"/>
        <v>560</v>
      </c>
      <c r="N124" s="28">
        <f t="shared" si="12"/>
        <v>0.7142857142857143</v>
      </c>
      <c r="O124" s="29"/>
      <c r="P124" s="29"/>
      <c r="Q124" s="29"/>
      <c r="R124" s="29"/>
      <c r="S124" s="28"/>
      <c r="T124" s="264"/>
    </row>
    <row r="125" spans="1:20" s="219" customFormat="1" x14ac:dyDescent="0.2">
      <c r="A125" s="27">
        <v>407</v>
      </c>
      <c r="B125" s="27"/>
      <c r="C125" s="27"/>
      <c r="D125" s="27"/>
      <c r="E125" s="27"/>
      <c r="F125" s="28">
        <v>4000</v>
      </c>
      <c r="G125" s="28">
        <f t="shared" si="11"/>
        <v>4000</v>
      </c>
      <c r="H125" s="15">
        <v>1000</v>
      </c>
      <c r="I125" s="15">
        <v>1000</v>
      </c>
      <c r="J125" s="28">
        <v>16000</v>
      </c>
      <c r="K125" s="133">
        <v>1000</v>
      </c>
      <c r="L125" s="28">
        <v>300</v>
      </c>
      <c r="M125" s="16">
        <f t="shared" si="7"/>
        <v>640</v>
      </c>
      <c r="N125" s="28">
        <f t="shared" si="12"/>
        <v>0.625</v>
      </c>
      <c r="O125" s="29"/>
      <c r="P125" s="29"/>
      <c r="Q125" s="29"/>
      <c r="R125" s="29"/>
      <c r="S125" s="28"/>
      <c r="T125" s="264"/>
    </row>
    <row r="126" spans="1:20" s="219" customFormat="1" x14ac:dyDescent="0.2">
      <c r="A126" s="18">
        <v>501</v>
      </c>
      <c r="B126" s="18"/>
      <c r="C126" s="18"/>
      <c r="D126" s="18"/>
      <c r="E126" s="18"/>
      <c r="F126" s="19">
        <v>1000</v>
      </c>
      <c r="G126" s="19">
        <f t="shared" si="11"/>
        <v>1000</v>
      </c>
      <c r="H126" s="15">
        <v>1000</v>
      </c>
      <c r="I126" s="15">
        <v>1000</v>
      </c>
      <c r="J126" s="19">
        <v>1000</v>
      </c>
      <c r="K126" s="133">
        <v>1000</v>
      </c>
      <c r="L126" s="19">
        <v>300</v>
      </c>
      <c r="M126" s="16">
        <f t="shared" si="7"/>
        <v>80</v>
      </c>
      <c r="N126" s="19">
        <f t="shared" si="12"/>
        <v>5</v>
      </c>
      <c r="O126" s="20"/>
      <c r="P126" s="20"/>
      <c r="Q126" s="20"/>
      <c r="R126" s="20"/>
      <c r="S126" s="19"/>
      <c r="T126" s="264"/>
    </row>
    <row r="127" spans="1:20" s="219" customFormat="1" x14ac:dyDescent="0.2">
      <c r="A127" s="18">
        <v>502</v>
      </c>
      <c r="B127" s="18"/>
      <c r="C127" s="18"/>
      <c r="D127" s="18"/>
      <c r="E127" s="18"/>
      <c r="F127" s="19">
        <v>2000</v>
      </c>
      <c r="G127" s="19">
        <f t="shared" si="11"/>
        <v>2000</v>
      </c>
      <c r="H127" s="15">
        <v>1000</v>
      </c>
      <c r="I127" s="15">
        <v>1000</v>
      </c>
      <c r="J127" s="19">
        <v>1000</v>
      </c>
      <c r="K127" s="133">
        <v>1000</v>
      </c>
      <c r="L127" s="19">
        <v>300</v>
      </c>
      <c r="M127" s="16">
        <f t="shared" si="7"/>
        <v>113.13708498984761</v>
      </c>
      <c r="N127" s="19">
        <f t="shared" si="12"/>
        <v>3.5355339059327373</v>
      </c>
      <c r="O127" s="20"/>
      <c r="P127" s="20"/>
      <c r="Q127" s="20"/>
      <c r="R127" s="20"/>
      <c r="S127" s="19"/>
      <c r="T127" s="264"/>
    </row>
    <row r="128" spans="1:20" s="219" customFormat="1" x14ac:dyDescent="0.2">
      <c r="A128" s="18">
        <v>503</v>
      </c>
      <c r="B128" s="18"/>
      <c r="C128" s="18"/>
      <c r="D128" s="18"/>
      <c r="E128" s="18"/>
      <c r="F128" s="19">
        <v>2000</v>
      </c>
      <c r="G128" s="19">
        <f t="shared" si="11"/>
        <v>2000</v>
      </c>
      <c r="H128" s="15">
        <v>1000</v>
      </c>
      <c r="I128" s="15">
        <v>1000</v>
      </c>
      <c r="J128" s="19">
        <v>4000</v>
      </c>
      <c r="K128" s="133">
        <v>1000</v>
      </c>
      <c r="L128" s="19">
        <v>300</v>
      </c>
      <c r="M128" s="16">
        <f t="shared" si="7"/>
        <v>226.27416997969522</v>
      </c>
      <c r="N128" s="19">
        <f t="shared" si="12"/>
        <v>1.7677669529663687</v>
      </c>
      <c r="O128" s="20"/>
      <c r="P128" s="20"/>
      <c r="Q128" s="20"/>
      <c r="R128" s="20"/>
      <c r="S128" s="19"/>
      <c r="T128" s="264"/>
    </row>
    <row r="129" spans="1:20" s="219" customFormat="1" x14ac:dyDescent="0.2">
      <c r="A129" s="18">
        <v>504</v>
      </c>
      <c r="B129" s="18"/>
      <c r="C129" s="18"/>
      <c r="D129" s="18"/>
      <c r="E129" s="18"/>
      <c r="F129" s="19">
        <v>3000</v>
      </c>
      <c r="G129" s="19">
        <f t="shared" si="11"/>
        <v>3000</v>
      </c>
      <c r="H129" s="15">
        <v>1000</v>
      </c>
      <c r="I129" s="15">
        <v>1000</v>
      </c>
      <c r="J129" s="19">
        <v>6000</v>
      </c>
      <c r="K129" s="133">
        <v>1000</v>
      </c>
      <c r="L129" s="19">
        <v>300</v>
      </c>
      <c r="M129" s="16">
        <f t="shared" si="7"/>
        <v>339.41125496954282</v>
      </c>
      <c r="N129" s="19">
        <f t="shared" si="12"/>
        <v>1.1785113019775793</v>
      </c>
      <c r="O129" s="20"/>
      <c r="P129" s="20"/>
      <c r="Q129" s="20"/>
      <c r="R129" s="20"/>
      <c r="S129" s="19"/>
      <c r="T129" s="264"/>
    </row>
    <row r="130" spans="1:20" s="219" customFormat="1" x14ac:dyDescent="0.2">
      <c r="A130" s="18">
        <v>505</v>
      </c>
      <c r="B130" s="18"/>
      <c r="C130" s="18"/>
      <c r="D130" s="18"/>
      <c r="E130" s="18"/>
      <c r="F130" s="19">
        <v>4000</v>
      </c>
      <c r="G130" s="19">
        <f t="shared" si="11"/>
        <v>4000</v>
      </c>
      <c r="H130" s="15">
        <v>1000</v>
      </c>
      <c r="I130" s="15">
        <v>1000</v>
      </c>
      <c r="J130" s="19">
        <v>8000</v>
      </c>
      <c r="K130" s="133">
        <v>1000</v>
      </c>
      <c r="L130" s="19">
        <v>300</v>
      </c>
      <c r="M130" s="16">
        <f t="shared" si="7"/>
        <v>452.54833995939043</v>
      </c>
      <c r="N130" s="19">
        <f t="shared" si="12"/>
        <v>0.88388347648318433</v>
      </c>
      <c r="O130" s="20"/>
      <c r="P130" s="20"/>
      <c r="Q130" s="20"/>
      <c r="R130" s="20"/>
      <c r="S130" s="19"/>
      <c r="T130" s="264"/>
    </row>
    <row r="131" spans="1:20" s="219" customFormat="1" x14ac:dyDescent="0.2">
      <c r="A131" s="18">
        <v>506</v>
      </c>
      <c r="B131" s="18"/>
      <c r="C131" s="18"/>
      <c r="D131" s="18"/>
      <c r="E131" s="18"/>
      <c r="F131" s="19">
        <v>5000</v>
      </c>
      <c r="G131" s="19">
        <f t="shared" si="11"/>
        <v>5000</v>
      </c>
      <c r="H131" s="15">
        <v>1000</v>
      </c>
      <c r="I131" s="15">
        <v>1000</v>
      </c>
      <c r="J131" s="19">
        <v>10000</v>
      </c>
      <c r="K131" s="133">
        <v>1000</v>
      </c>
      <c r="L131" s="19">
        <v>300</v>
      </c>
      <c r="M131" s="16">
        <f t="shared" si="7"/>
        <v>565.68542494923804</v>
      </c>
      <c r="N131" s="19">
        <f t="shared" si="12"/>
        <v>0.70710678118654746</v>
      </c>
      <c r="O131" s="20"/>
      <c r="P131" s="20"/>
      <c r="Q131" s="20"/>
      <c r="R131" s="20"/>
      <c r="S131" s="19"/>
      <c r="T131" s="264"/>
    </row>
    <row r="132" spans="1:20" s="219" customFormat="1" x14ac:dyDescent="0.2">
      <c r="A132" s="18">
        <v>507</v>
      </c>
      <c r="B132" s="18"/>
      <c r="C132" s="18"/>
      <c r="D132" s="18"/>
      <c r="E132" s="18"/>
      <c r="F132" s="19">
        <v>6000</v>
      </c>
      <c r="G132" s="19">
        <f t="shared" si="11"/>
        <v>6000</v>
      </c>
      <c r="H132" s="15">
        <v>1000</v>
      </c>
      <c r="I132" s="15">
        <v>1000</v>
      </c>
      <c r="J132" s="19">
        <v>12000</v>
      </c>
      <c r="K132" s="133">
        <v>1000</v>
      </c>
      <c r="L132" s="19">
        <v>300</v>
      </c>
      <c r="M132" s="16">
        <f t="shared" si="7"/>
        <v>678.82250993908565</v>
      </c>
      <c r="N132" s="19">
        <f t="shared" si="12"/>
        <v>0.58925565098878963</v>
      </c>
      <c r="O132" s="20"/>
      <c r="P132" s="20"/>
      <c r="Q132" s="20"/>
      <c r="R132" s="20"/>
      <c r="S132" s="19"/>
      <c r="T132" s="264"/>
    </row>
    <row r="133" spans="1:20" s="219" customFormat="1" x14ac:dyDescent="0.2">
      <c r="A133" s="18">
        <v>508</v>
      </c>
      <c r="B133" s="18"/>
      <c r="C133" s="18"/>
      <c r="D133" s="18"/>
      <c r="E133" s="18"/>
      <c r="F133" s="19">
        <v>7000</v>
      </c>
      <c r="G133" s="19">
        <f t="shared" ref="G133:G148" si="13">F133</f>
        <v>7000</v>
      </c>
      <c r="H133" s="15">
        <v>1000</v>
      </c>
      <c r="I133" s="15">
        <v>1000</v>
      </c>
      <c r="J133" s="19">
        <v>14000</v>
      </c>
      <c r="K133" s="133">
        <v>1000</v>
      </c>
      <c r="L133" s="19">
        <v>300</v>
      </c>
      <c r="M133" s="16">
        <f t="shared" ref="M133:M196" si="14">(F133*J133*((H133+I133)/2)/1000)^(1/2)/10*0.8</f>
        <v>791.95959492893326</v>
      </c>
      <c r="N133" s="19">
        <f t="shared" ref="N133:N148" si="15">400/M133</f>
        <v>0.50507627227610541</v>
      </c>
      <c r="O133" s="20"/>
      <c r="P133" s="20"/>
      <c r="Q133" s="20"/>
      <c r="R133" s="20"/>
      <c r="S133" s="19"/>
      <c r="T133" s="264"/>
    </row>
    <row r="134" spans="1:20" s="219" customFormat="1" x14ac:dyDescent="0.2">
      <c r="A134" s="18">
        <v>509</v>
      </c>
      <c r="B134" s="18"/>
      <c r="C134" s="18"/>
      <c r="D134" s="18"/>
      <c r="E134" s="18"/>
      <c r="F134" s="19">
        <v>8000</v>
      </c>
      <c r="G134" s="19">
        <f t="shared" si="13"/>
        <v>8000</v>
      </c>
      <c r="H134" s="15">
        <v>1000</v>
      </c>
      <c r="I134" s="15">
        <v>1000</v>
      </c>
      <c r="J134" s="19">
        <v>16000</v>
      </c>
      <c r="K134" s="133">
        <v>1000</v>
      </c>
      <c r="L134" s="19">
        <v>300</v>
      </c>
      <c r="M134" s="16">
        <f t="shared" si="14"/>
        <v>905.09667991878086</v>
      </c>
      <c r="N134" s="19">
        <f t="shared" si="15"/>
        <v>0.44194173824159216</v>
      </c>
      <c r="O134" s="20"/>
      <c r="P134" s="20"/>
      <c r="Q134" s="20"/>
      <c r="R134" s="20"/>
      <c r="S134" s="19"/>
      <c r="T134" s="264"/>
    </row>
    <row r="135" spans="1:20" s="219" customFormat="1" x14ac:dyDescent="0.2">
      <c r="A135" s="24">
        <v>601</v>
      </c>
      <c r="B135" s="24"/>
      <c r="C135" s="24"/>
      <c r="D135" s="24"/>
      <c r="E135" s="24"/>
      <c r="F135" s="25">
        <v>1600</v>
      </c>
      <c r="G135" s="25">
        <f t="shared" si="13"/>
        <v>1600</v>
      </c>
      <c r="H135" s="15">
        <v>5000</v>
      </c>
      <c r="I135" s="15">
        <v>5000</v>
      </c>
      <c r="J135" s="25">
        <v>2500</v>
      </c>
      <c r="K135" s="133">
        <v>1000</v>
      </c>
      <c r="L135" s="25">
        <v>200</v>
      </c>
      <c r="M135" s="16">
        <f t="shared" si="14"/>
        <v>357.77087639996637</v>
      </c>
      <c r="N135" s="25">
        <f t="shared" si="15"/>
        <v>1.1180339887498949</v>
      </c>
      <c r="O135" s="26"/>
      <c r="P135" s="26"/>
      <c r="Q135" s="26"/>
      <c r="R135" s="26"/>
      <c r="S135" s="25"/>
      <c r="T135" s="264"/>
    </row>
    <row r="136" spans="1:20" s="219" customFormat="1" x14ac:dyDescent="0.2">
      <c r="A136" s="24">
        <v>602</v>
      </c>
      <c r="B136" s="24"/>
      <c r="C136" s="24"/>
      <c r="D136" s="24"/>
      <c r="E136" s="24"/>
      <c r="F136" s="25">
        <v>2000</v>
      </c>
      <c r="G136" s="25">
        <f t="shared" si="13"/>
        <v>2000</v>
      </c>
      <c r="H136" s="15">
        <v>7000</v>
      </c>
      <c r="I136" s="15">
        <v>7000</v>
      </c>
      <c r="J136" s="25">
        <v>4500</v>
      </c>
      <c r="K136" s="133">
        <v>1000</v>
      </c>
      <c r="L136" s="25">
        <v>200</v>
      </c>
      <c r="M136" s="16">
        <f t="shared" si="14"/>
        <v>634.98031465550184</v>
      </c>
      <c r="N136" s="25">
        <f t="shared" si="15"/>
        <v>0.62994078834871192</v>
      </c>
      <c r="O136" s="26"/>
      <c r="P136" s="26"/>
      <c r="Q136" s="26"/>
      <c r="R136" s="26"/>
      <c r="S136" s="25"/>
      <c r="T136" s="264"/>
    </row>
    <row r="137" spans="1:20" s="219" customFormat="1" x14ac:dyDescent="0.2">
      <c r="A137" s="24">
        <v>603</v>
      </c>
      <c r="B137" s="24"/>
      <c r="C137" s="24"/>
      <c r="D137" s="24"/>
      <c r="E137" s="24"/>
      <c r="F137" s="25">
        <v>2500</v>
      </c>
      <c r="G137" s="25">
        <f t="shared" si="13"/>
        <v>2500</v>
      </c>
      <c r="H137" s="15">
        <v>7000</v>
      </c>
      <c r="I137" s="15">
        <v>7000</v>
      </c>
      <c r="J137" s="25">
        <v>6400</v>
      </c>
      <c r="K137" s="133">
        <v>1000</v>
      </c>
      <c r="L137" s="25">
        <v>200</v>
      </c>
      <c r="M137" s="16">
        <f t="shared" si="14"/>
        <v>846.64041954066897</v>
      </c>
      <c r="N137" s="25">
        <f t="shared" si="15"/>
        <v>0.47245559126153402</v>
      </c>
      <c r="O137" s="26"/>
      <c r="P137" s="26"/>
      <c r="Q137" s="26"/>
      <c r="R137" s="26"/>
      <c r="S137" s="25"/>
      <c r="T137" s="264"/>
    </row>
    <row r="138" spans="1:20" s="219" customFormat="1" x14ac:dyDescent="0.2">
      <c r="A138" s="24">
        <v>604</v>
      </c>
      <c r="B138" s="24"/>
      <c r="C138" s="24"/>
      <c r="D138" s="24"/>
      <c r="E138" s="24"/>
      <c r="F138" s="25">
        <v>3125</v>
      </c>
      <c r="G138" s="25">
        <f t="shared" si="13"/>
        <v>3125</v>
      </c>
      <c r="H138" s="15">
        <v>9000</v>
      </c>
      <c r="I138" s="15">
        <v>9000</v>
      </c>
      <c r="J138" s="25">
        <v>8000</v>
      </c>
      <c r="K138" s="133">
        <v>1000</v>
      </c>
      <c r="L138" s="25">
        <v>200</v>
      </c>
      <c r="M138" s="16">
        <f t="shared" si="14"/>
        <v>1200</v>
      </c>
      <c r="N138" s="25">
        <f t="shared" si="15"/>
        <v>0.33333333333333331</v>
      </c>
      <c r="O138" s="26"/>
      <c r="P138" s="26"/>
      <c r="Q138" s="26"/>
      <c r="R138" s="26"/>
      <c r="S138" s="25"/>
      <c r="T138" s="264"/>
    </row>
    <row r="139" spans="1:20" s="219" customFormat="1" x14ac:dyDescent="0.2">
      <c r="A139" s="24">
        <v>605</v>
      </c>
      <c r="B139" s="24"/>
      <c r="C139" s="24"/>
      <c r="D139" s="24"/>
      <c r="E139" s="24"/>
      <c r="F139" s="25">
        <v>3600</v>
      </c>
      <c r="G139" s="25">
        <f t="shared" si="13"/>
        <v>3600</v>
      </c>
      <c r="H139" s="15">
        <v>9000</v>
      </c>
      <c r="I139" s="15">
        <v>9000</v>
      </c>
      <c r="J139" s="25">
        <v>10000</v>
      </c>
      <c r="K139" s="133">
        <v>1000</v>
      </c>
      <c r="L139" s="25">
        <v>200</v>
      </c>
      <c r="M139" s="16">
        <f t="shared" si="14"/>
        <v>1440</v>
      </c>
      <c r="N139" s="25">
        <f t="shared" si="15"/>
        <v>0.27777777777777779</v>
      </c>
      <c r="O139" s="26"/>
      <c r="P139" s="26"/>
      <c r="Q139" s="26"/>
      <c r="R139" s="26"/>
      <c r="S139" s="25"/>
      <c r="T139" s="264"/>
    </row>
    <row r="140" spans="1:20" s="219" customFormat="1" x14ac:dyDescent="0.2">
      <c r="A140" s="24">
        <v>606</v>
      </c>
      <c r="B140" s="24"/>
      <c r="C140" s="24"/>
      <c r="D140" s="24"/>
      <c r="E140" s="24"/>
      <c r="F140" s="25">
        <v>4000</v>
      </c>
      <c r="G140" s="25">
        <f t="shared" si="13"/>
        <v>4000</v>
      </c>
      <c r="H140" s="15">
        <v>9000</v>
      </c>
      <c r="I140" s="15">
        <v>9000</v>
      </c>
      <c r="J140" s="25">
        <v>12250</v>
      </c>
      <c r="K140" s="133">
        <v>1000</v>
      </c>
      <c r="L140" s="25">
        <v>200</v>
      </c>
      <c r="M140" s="16">
        <f t="shared" si="14"/>
        <v>1680</v>
      </c>
      <c r="N140" s="25">
        <f t="shared" si="15"/>
        <v>0.23809523809523808</v>
      </c>
      <c r="O140" s="26"/>
      <c r="P140" s="26"/>
      <c r="Q140" s="26"/>
      <c r="R140" s="26"/>
      <c r="S140" s="25"/>
      <c r="T140" s="264"/>
    </row>
    <row r="141" spans="1:20" s="219" customFormat="1" x14ac:dyDescent="0.2">
      <c r="A141" s="24">
        <v>607</v>
      </c>
      <c r="B141" s="24"/>
      <c r="C141" s="24"/>
      <c r="D141" s="24"/>
      <c r="E141" s="24"/>
      <c r="F141" s="25">
        <v>4000</v>
      </c>
      <c r="G141" s="25">
        <f t="shared" si="13"/>
        <v>4000</v>
      </c>
      <c r="H141" s="15">
        <v>11000</v>
      </c>
      <c r="I141" s="15">
        <v>11000</v>
      </c>
      <c r="J141" s="25">
        <v>12250</v>
      </c>
      <c r="K141" s="133">
        <v>1000</v>
      </c>
      <c r="L141" s="25">
        <v>200</v>
      </c>
      <c r="M141" s="16">
        <f t="shared" si="14"/>
        <v>1857.3098825990241</v>
      </c>
      <c r="N141" s="25">
        <f t="shared" si="15"/>
        <v>0.215365246126974</v>
      </c>
      <c r="O141" s="26"/>
      <c r="P141" s="26"/>
      <c r="Q141" s="26"/>
      <c r="R141" s="26"/>
      <c r="S141" s="25"/>
      <c r="T141" s="264"/>
    </row>
    <row r="142" spans="1:20" s="219" customFormat="1" x14ac:dyDescent="0.2">
      <c r="A142" s="27">
        <v>701</v>
      </c>
      <c r="B142" s="27"/>
      <c r="C142" s="27"/>
      <c r="D142" s="27"/>
      <c r="E142" s="27"/>
      <c r="F142" s="28">
        <v>1600</v>
      </c>
      <c r="G142" s="28">
        <f t="shared" si="13"/>
        <v>1600</v>
      </c>
      <c r="H142" s="15">
        <v>5000</v>
      </c>
      <c r="I142" s="15">
        <v>5000</v>
      </c>
      <c r="J142" s="28">
        <v>2500</v>
      </c>
      <c r="K142" s="133">
        <v>1000</v>
      </c>
      <c r="L142" s="28">
        <v>300</v>
      </c>
      <c r="M142" s="16">
        <f t="shared" si="14"/>
        <v>357.77087639996637</v>
      </c>
      <c r="N142" s="28">
        <f t="shared" si="15"/>
        <v>1.1180339887498949</v>
      </c>
      <c r="O142" s="29"/>
      <c r="P142" s="29"/>
      <c r="Q142" s="29"/>
      <c r="R142" s="29"/>
      <c r="S142" s="28"/>
      <c r="T142" s="264"/>
    </row>
    <row r="143" spans="1:20" s="219" customFormat="1" x14ac:dyDescent="0.2">
      <c r="A143" s="27">
        <v>702</v>
      </c>
      <c r="B143" s="27"/>
      <c r="C143" s="27"/>
      <c r="D143" s="27"/>
      <c r="E143" s="27"/>
      <c r="F143" s="28">
        <v>2000</v>
      </c>
      <c r="G143" s="28">
        <f t="shared" si="13"/>
        <v>2000</v>
      </c>
      <c r="H143" s="15">
        <v>7000</v>
      </c>
      <c r="I143" s="15">
        <v>7000</v>
      </c>
      <c r="J143" s="28">
        <v>4500</v>
      </c>
      <c r="K143" s="133">
        <v>1000</v>
      </c>
      <c r="L143" s="28">
        <v>300</v>
      </c>
      <c r="M143" s="16">
        <f t="shared" si="14"/>
        <v>634.98031465550184</v>
      </c>
      <c r="N143" s="28">
        <f t="shared" si="15"/>
        <v>0.62994078834871192</v>
      </c>
      <c r="O143" s="29"/>
      <c r="P143" s="29"/>
      <c r="Q143" s="29"/>
      <c r="R143" s="29"/>
      <c r="S143" s="28"/>
      <c r="T143" s="264"/>
    </row>
    <row r="144" spans="1:20" s="219" customFormat="1" x14ac:dyDescent="0.2">
      <c r="A144" s="27">
        <v>703</v>
      </c>
      <c r="B144" s="27"/>
      <c r="C144" s="27"/>
      <c r="D144" s="27"/>
      <c r="E144" s="27"/>
      <c r="F144" s="28">
        <v>2500</v>
      </c>
      <c r="G144" s="28">
        <f t="shared" si="13"/>
        <v>2500</v>
      </c>
      <c r="H144" s="15">
        <v>7000</v>
      </c>
      <c r="I144" s="15">
        <v>7000</v>
      </c>
      <c r="J144" s="28">
        <v>6400</v>
      </c>
      <c r="K144" s="133">
        <v>1000</v>
      </c>
      <c r="L144" s="28">
        <v>300</v>
      </c>
      <c r="M144" s="16">
        <f t="shared" si="14"/>
        <v>846.64041954066897</v>
      </c>
      <c r="N144" s="28">
        <f t="shared" si="15"/>
        <v>0.47245559126153402</v>
      </c>
      <c r="O144" s="29"/>
      <c r="P144" s="29"/>
      <c r="Q144" s="29"/>
      <c r="R144" s="29"/>
      <c r="S144" s="28"/>
      <c r="T144" s="264"/>
    </row>
    <row r="145" spans="1:20" s="219" customFormat="1" x14ac:dyDescent="0.2">
      <c r="A145" s="27">
        <v>704</v>
      </c>
      <c r="B145" s="27"/>
      <c r="C145" s="27"/>
      <c r="D145" s="27"/>
      <c r="E145" s="27"/>
      <c r="F145" s="28">
        <v>3125</v>
      </c>
      <c r="G145" s="28">
        <f t="shared" si="13"/>
        <v>3125</v>
      </c>
      <c r="H145" s="15">
        <v>9000</v>
      </c>
      <c r="I145" s="15">
        <v>9000</v>
      </c>
      <c r="J145" s="28">
        <v>8000</v>
      </c>
      <c r="K145" s="133">
        <v>1000</v>
      </c>
      <c r="L145" s="28">
        <v>300</v>
      </c>
      <c r="M145" s="16">
        <f t="shared" si="14"/>
        <v>1200</v>
      </c>
      <c r="N145" s="28">
        <f t="shared" si="15"/>
        <v>0.33333333333333331</v>
      </c>
      <c r="O145" s="29"/>
      <c r="P145" s="29"/>
      <c r="Q145" s="29"/>
      <c r="R145" s="29"/>
      <c r="S145" s="28"/>
      <c r="T145" s="264"/>
    </row>
    <row r="146" spans="1:20" s="219" customFormat="1" x14ac:dyDescent="0.2">
      <c r="A146" s="27">
        <v>705</v>
      </c>
      <c r="B146" s="27"/>
      <c r="C146" s="27"/>
      <c r="D146" s="27"/>
      <c r="E146" s="27"/>
      <c r="F146" s="28">
        <v>3600</v>
      </c>
      <c r="G146" s="28">
        <f t="shared" si="13"/>
        <v>3600</v>
      </c>
      <c r="H146" s="15">
        <v>9000</v>
      </c>
      <c r="I146" s="15">
        <v>9000</v>
      </c>
      <c r="J146" s="28">
        <v>10000</v>
      </c>
      <c r="K146" s="133">
        <v>1000</v>
      </c>
      <c r="L146" s="28">
        <v>300</v>
      </c>
      <c r="M146" s="16">
        <f t="shared" si="14"/>
        <v>1440</v>
      </c>
      <c r="N146" s="28">
        <f t="shared" si="15"/>
        <v>0.27777777777777779</v>
      </c>
      <c r="O146" s="29"/>
      <c r="P146" s="29"/>
      <c r="Q146" s="29"/>
      <c r="R146" s="29"/>
      <c r="S146" s="28"/>
      <c r="T146" s="264"/>
    </row>
    <row r="147" spans="1:20" s="219" customFormat="1" x14ac:dyDescent="0.2">
      <c r="A147" s="27">
        <v>706</v>
      </c>
      <c r="B147" s="27"/>
      <c r="C147" s="27"/>
      <c r="D147" s="27"/>
      <c r="E147" s="27"/>
      <c r="F147" s="28">
        <v>4900</v>
      </c>
      <c r="G147" s="28">
        <f t="shared" si="13"/>
        <v>4900</v>
      </c>
      <c r="H147" s="15">
        <v>9000</v>
      </c>
      <c r="I147" s="15">
        <v>9000</v>
      </c>
      <c r="J147" s="28">
        <v>12100</v>
      </c>
      <c r="K147" s="133">
        <v>1000</v>
      </c>
      <c r="L147" s="28">
        <v>300</v>
      </c>
      <c r="M147" s="16">
        <f t="shared" si="14"/>
        <v>1848</v>
      </c>
      <c r="N147" s="28">
        <f t="shared" si="15"/>
        <v>0.21645021645021645</v>
      </c>
      <c r="O147" s="29"/>
      <c r="P147" s="29"/>
      <c r="Q147" s="29"/>
      <c r="R147" s="29"/>
      <c r="S147" s="28"/>
      <c r="T147" s="264"/>
    </row>
    <row r="148" spans="1:20" s="219" customFormat="1" x14ac:dyDescent="0.2">
      <c r="A148" s="27">
        <v>707</v>
      </c>
      <c r="B148" s="27"/>
      <c r="C148" s="27"/>
      <c r="D148" s="27"/>
      <c r="E148" s="27"/>
      <c r="F148" s="28">
        <v>6400</v>
      </c>
      <c r="G148" s="28">
        <f t="shared" si="13"/>
        <v>6400</v>
      </c>
      <c r="H148" s="15">
        <v>11000</v>
      </c>
      <c r="I148" s="15">
        <v>11000</v>
      </c>
      <c r="J148" s="28">
        <v>14400</v>
      </c>
      <c r="K148" s="133">
        <v>1000</v>
      </c>
      <c r="L148" s="28">
        <v>300</v>
      </c>
      <c r="M148" s="16">
        <f t="shared" si="14"/>
        <v>2547.1678389929475</v>
      </c>
      <c r="N148" s="28">
        <f t="shared" si="15"/>
        <v>0.15703715863425186</v>
      </c>
      <c r="O148" s="29"/>
      <c r="P148" s="29"/>
      <c r="Q148" s="29"/>
      <c r="R148" s="29"/>
      <c r="S148" s="28"/>
      <c r="T148" s="264"/>
    </row>
    <row r="149" spans="1:20" ht="38.25" x14ac:dyDescent="0.2">
      <c r="A149" s="5"/>
      <c r="B149" s="5"/>
      <c r="C149" s="6" t="s">
        <v>13</v>
      </c>
      <c r="D149" s="5"/>
      <c r="E149" s="5"/>
      <c r="F149" s="5"/>
      <c r="G149" s="5"/>
      <c r="H149" s="5"/>
      <c r="I149" s="5"/>
      <c r="J149" s="30"/>
      <c r="K149" s="133"/>
      <c r="L149" s="5"/>
      <c r="M149" s="16">
        <f t="shared" si="14"/>
        <v>0</v>
      </c>
      <c r="N149" s="5"/>
      <c r="O149" s="30"/>
      <c r="P149" s="5"/>
      <c r="Q149" s="5"/>
      <c r="R149" s="5"/>
      <c r="S149" s="30"/>
      <c r="T149" s="266"/>
    </row>
    <row r="150" spans="1:20" x14ac:dyDescent="0.2">
      <c r="A150" s="38"/>
      <c r="B150" s="38"/>
      <c r="C150" s="35" t="s">
        <v>14</v>
      </c>
      <c r="D150" s="38"/>
      <c r="E150" s="38"/>
      <c r="F150" s="38"/>
      <c r="G150" s="38"/>
      <c r="H150" s="35"/>
      <c r="I150" s="35"/>
      <c r="J150" s="39"/>
      <c r="K150" s="133"/>
      <c r="L150" s="38"/>
      <c r="M150" s="16">
        <f t="shared" si="14"/>
        <v>0</v>
      </c>
      <c r="N150" s="38"/>
      <c r="O150" s="40"/>
      <c r="P150" s="38"/>
      <c r="Q150" s="38"/>
      <c r="R150" s="38"/>
      <c r="S150" s="40"/>
      <c r="T150" s="267"/>
    </row>
    <row r="151" spans="1:20" x14ac:dyDescent="0.2">
      <c r="A151" s="8" t="str">
        <f t="shared" ref="A151:A214" si="16">IF(B151="","",CONCATENATE(B151,CONCATENATE(REPT(0,2-LEN(C151)),C151),IF(OR(D151="Easy",D151=""),1,IF(D151="Normal",2,IF(D151="Hard",3,IF(D151="Hell",4,"error")))),E151))</f>
        <v>10000111</v>
      </c>
      <c r="B151" s="4" t="s">
        <v>15</v>
      </c>
      <c r="C151" s="4">
        <v>1</v>
      </c>
      <c r="D151" s="4"/>
      <c r="E151" s="4" t="s">
        <v>87</v>
      </c>
      <c r="F151" s="34">
        <f>ROUNDDOWN($P151/4*$O151*10,0)</f>
        <v>1000</v>
      </c>
      <c r="G151" s="34">
        <f t="shared" ref="G151:J151" si="17">ROUNDDOWN($P151/4*$O151*10,0)</f>
        <v>1000</v>
      </c>
      <c r="H151" s="34">
        <f>ROUNDDOWN($P151/4*$O151*10,0)</f>
        <v>1000</v>
      </c>
      <c r="I151" s="34">
        <f>ROUNDDOWN($P151/4*$O151*10,0)</f>
        <v>1000</v>
      </c>
      <c r="J151" s="34">
        <f t="shared" si="17"/>
        <v>1000</v>
      </c>
      <c r="K151" s="133">
        <v>1000</v>
      </c>
      <c r="L151" s="34"/>
      <c r="M151" s="16">
        <f t="shared" si="14"/>
        <v>80</v>
      </c>
      <c r="O151" s="36">
        <v>1</v>
      </c>
      <c r="P151" s="2" t="s">
        <v>90</v>
      </c>
      <c r="Q151" s="4"/>
      <c r="R151" s="4"/>
      <c r="S151" s="32"/>
      <c r="T151" s="268"/>
    </row>
    <row r="152" spans="1:20" ht="38.25" x14ac:dyDescent="0.2">
      <c r="A152" s="8" t="str">
        <f t="shared" si="16"/>
        <v/>
      </c>
      <c r="B152" s="5"/>
      <c r="C152" s="6" t="s">
        <v>16</v>
      </c>
      <c r="D152" s="5"/>
      <c r="E152" s="5"/>
      <c r="F152" s="5"/>
      <c r="G152" s="5"/>
      <c r="H152" s="5"/>
      <c r="I152" s="5"/>
      <c r="J152" s="5"/>
      <c r="K152" s="133">
        <v>1000</v>
      </c>
      <c r="L152" s="5"/>
      <c r="M152" s="16">
        <f t="shared" si="14"/>
        <v>0</v>
      </c>
      <c r="N152" s="5"/>
      <c r="O152" s="5"/>
      <c r="P152" s="5"/>
      <c r="Q152" s="5"/>
      <c r="R152" s="5"/>
      <c r="S152" s="30"/>
      <c r="T152" s="266"/>
    </row>
    <row r="153" spans="1:20" x14ac:dyDescent="0.2">
      <c r="A153" s="8" t="str">
        <f t="shared" si="16"/>
        <v/>
      </c>
      <c r="B153" s="38"/>
      <c r="C153" s="35" t="s">
        <v>17</v>
      </c>
      <c r="D153" s="38"/>
      <c r="E153" s="38"/>
      <c r="F153" s="38"/>
      <c r="G153" s="40"/>
      <c r="H153" s="38"/>
      <c r="I153" s="38"/>
      <c r="J153" s="38"/>
      <c r="K153" s="133">
        <v>1000</v>
      </c>
      <c r="L153" s="38"/>
      <c r="M153" s="16">
        <f t="shared" si="14"/>
        <v>0</v>
      </c>
      <c r="N153" s="42" t="str">
        <f>IF(A153="","",M153*#REF!)</f>
        <v/>
      </c>
      <c r="O153" s="40"/>
      <c r="P153" s="38"/>
      <c r="Q153" s="38"/>
      <c r="R153" s="38"/>
      <c r="S153" s="40"/>
      <c r="T153" s="267"/>
    </row>
    <row r="154" spans="1:20" x14ac:dyDescent="0.2">
      <c r="A154" s="8" t="str">
        <f t="shared" si="16"/>
        <v>10010111</v>
      </c>
      <c r="B154" s="4">
        <v>1001</v>
      </c>
      <c r="C154" s="4">
        <v>1</v>
      </c>
      <c r="D154" s="4"/>
      <c r="E154" s="4" t="s">
        <v>87</v>
      </c>
      <c r="F154" s="34">
        <f t="shared" ref="F154:J170" si="18">ROUNDDOWN($P154/4*$O154*10,0)</f>
        <v>1000</v>
      </c>
      <c r="G154" s="34">
        <f t="shared" si="18"/>
        <v>1000</v>
      </c>
      <c r="H154" s="34">
        <f>ROUNDDOWN($P154/4*$O154*10,0)</f>
        <v>1000</v>
      </c>
      <c r="I154" s="34">
        <f>ROUNDDOWN($P154/4*$O154*10,0)</f>
        <v>1000</v>
      </c>
      <c r="J154" s="34">
        <f t="shared" si="18"/>
        <v>1000</v>
      </c>
      <c r="K154" s="133">
        <v>1000</v>
      </c>
      <c r="L154" s="34"/>
      <c r="M154" s="16">
        <f t="shared" si="14"/>
        <v>80</v>
      </c>
      <c r="O154" s="36">
        <v>1</v>
      </c>
      <c r="P154" s="2" t="s">
        <v>90</v>
      </c>
      <c r="Q154" s="4"/>
      <c r="R154" s="4"/>
      <c r="S154" s="32"/>
      <c r="T154" s="268"/>
    </row>
    <row r="155" spans="1:20" x14ac:dyDescent="0.2">
      <c r="A155" s="8" t="str">
        <f t="shared" si="16"/>
        <v>10010111</v>
      </c>
      <c r="B155" s="4">
        <v>1001</v>
      </c>
      <c r="C155" s="4">
        <v>1</v>
      </c>
      <c r="D155" s="4"/>
      <c r="E155" s="4" t="s">
        <v>87</v>
      </c>
      <c r="F155" s="34">
        <f t="shared" si="18"/>
        <v>1000</v>
      </c>
      <c r="G155" s="34">
        <f t="shared" si="18"/>
        <v>1000</v>
      </c>
      <c r="H155" s="34">
        <f t="shared" si="18"/>
        <v>1000</v>
      </c>
      <c r="I155" s="34">
        <f t="shared" si="18"/>
        <v>1000</v>
      </c>
      <c r="J155" s="34">
        <f t="shared" si="18"/>
        <v>1000</v>
      </c>
      <c r="K155" s="133">
        <v>1000</v>
      </c>
      <c r="L155" s="34"/>
      <c r="M155" s="16">
        <f t="shared" si="14"/>
        <v>80</v>
      </c>
      <c r="O155" s="36">
        <v>1</v>
      </c>
      <c r="P155" s="2" t="s">
        <v>90</v>
      </c>
      <c r="Q155" s="4"/>
      <c r="R155" s="4"/>
      <c r="S155" s="32"/>
      <c r="T155" s="268"/>
    </row>
    <row r="156" spans="1:20" ht="16.5" x14ac:dyDescent="0.3">
      <c r="A156" s="8" t="str">
        <f t="shared" si="16"/>
        <v>10010111</v>
      </c>
      <c r="B156" s="4">
        <v>1001</v>
      </c>
      <c r="C156" s="4">
        <v>1</v>
      </c>
      <c r="D156" s="4"/>
      <c r="E156" s="4" t="s">
        <v>87</v>
      </c>
      <c r="F156" s="34">
        <f t="shared" si="18"/>
        <v>1000</v>
      </c>
      <c r="G156" s="34">
        <f t="shared" si="18"/>
        <v>1000</v>
      </c>
      <c r="H156" s="34">
        <f t="shared" si="18"/>
        <v>1000</v>
      </c>
      <c r="I156" s="34">
        <f t="shared" si="18"/>
        <v>1000</v>
      </c>
      <c r="J156" s="34">
        <f t="shared" si="18"/>
        <v>1000</v>
      </c>
      <c r="K156" s="133">
        <v>1000</v>
      </c>
      <c r="L156" s="34"/>
      <c r="M156" s="16">
        <f t="shared" si="14"/>
        <v>80</v>
      </c>
      <c r="O156" s="36">
        <v>1</v>
      </c>
      <c r="P156" s="2" t="s">
        <v>90</v>
      </c>
      <c r="Q156" s="31"/>
      <c r="R156" s="4"/>
      <c r="S156" s="32"/>
      <c r="T156" s="268"/>
    </row>
    <row r="157" spans="1:20" x14ac:dyDescent="0.2">
      <c r="A157" s="8" t="str">
        <f t="shared" si="16"/>
        <v>10010111</v>
      </c>
      <c r="B157" s="4">
        <v>1001</v>
      </c>
      <c r="C157" s="4">
        <v>1</v>
      </c>
      <c r="D157" s="4"/>
      <c r="E157" s="4" t="s">
        <v>87</v>
      </c>
      <c r="F157" s="34">
        <f t="shared" si="18"/>
        <v>1000</v>
      </c>
      <c r="G157" s="34">
        <f t="shared" si="18"/>
        <v>1000</v>
      </c>
      <c r="H157" s="34">
        <f t="shared" si="18"/>
        <v>1000</v>
      </c>
      <c r="I157" s="34">
        <f t="shared" si="18"/>
        <v>1000</v>
      </c>
      <c r="J157" s="34">
        <f t="shared" si="18"/>
        <v>1000</v>
      </c>
      <c r="K157" s="133">
        <v>1000</v>
      </c>
      <c r="L157" s="34"/>
      <c r="M157" s="16">
        <f t="shared" si="14"/>
        <v>80</v>
      </c>
      <c r="O157" s="36">
        <v>1</v>
      </c>
      <c r="P157" s="2" t="s">
        <v>90</v>
      </c>
      <c r="Q157" s="4"/>
      <c r="R157" s="4"/>
      <c r="S157" s="32"/>
      <c r="T157" s="268"/>
    </row>
    <row r="158" spans="1:20" x14ac:dyDescent="0.2">
      <c r="A158" s="8" t="str">
        <f t="shared" si="16"/>
        <v/>
      </c>
      <c r="B158" s="38"/>
      <c r="C158" s="35" t="s">
        <v>19</v>
      </c>
      <c r="D158" s="38"/>
      <c r="E158" s="38"/>
      <c r="F158" s="38"/>
      <c r="G158" s="40"/>
      <c r="H158" s="38"/>
      <c r="I158" s="38"/>
      <c r="J158" s="38"/>
      <c r="K158" s="133">
        <v>1000</v>
      </c>
      <c r="L158" s="38"/>
      <c r="M158" s="16">
        <f t="shared" si="14"/>
        <v>0</v>
      </c>
      <c r="N158" s="42" t="str">
        <f>IF(A158="","",M158*#REF!)</f>
        <v/>
      </c>
      <c r="O158" s="40"/>
      <c r="P158" s="38"/>
      <c r="Q158" s="38"/>
      <c r="R158" s="38"/>
      <c r="S158" s="40"/>
      <c r="T158" s="267"/>
    </row>
    <row r="159" spans="1:20" x14ac:dyDescent="0.2">
      <c r="A159" s="8" t="str">
        <f t="shared" si="16"/>
        <v>10010211</v>
      </c>
      <c r="B159" s="3" t="s">
        <v>20</v>
      </c>
      <c r="C159" s="3" t="s">
        <v>21</v>
      </c>
      <c r="D159" s="3"/>
      <c r="E159" s="3" t="s">
        <v>87</v>
      </c>
      <c r="F159" s="34">
        <f t="shared" si="18"/>
        <v>1000</v>
      </c>
      <c r="G159" s="34">
        <f t="shared" si="18"/>
        <v>1000</v>
      </c>
      <c r="H159" s="34">
        <f>ROUNDDOWN($P159/4*$O159*10,0)</f>
        <v>1000</v>
      </c>
      <c r="I159" s="34">
        <f>ROUNDDOWN($P159/4*$O159*10,0)</f>
        <v>1000</v>
      </c>
      <c r="J159" s="34">
        <f t="shared" si="18"/>
        <v>1000</v>
      </c>
      <c r="K159" s="133">
        <v>1000</v>
      </c>
      <c r="L159" s="34"/>
      <c r="M159" s="16">
        <f t="shared" si="14"/>
        <v>80</v>
      </c>
      <c r="O159" s="36">
        <v>1</v>
      </c>
      <c r="P159" s="2" t="s">
        <v>90</v>
      </c>
      <c r="Q159" s="3"/>
      <c r="R159" s="33"/>
      <c r="S159" s="8"/>
      <c r="T159" s="266"/>
    </row>
    <row r="160" spans="1:20" x14ac:dyDescent="0.2">
      <c r="A160" s="8" t="str">
        <f t="shared" si="16"/>
        <v>10010211</v>
      </c>
      <c r="B160" s="3" t="s">
        <v>20</v>
      </c>
      <c r="C160" s="3" t="s">
        <v>21</v>
      </c>
      <c r="D160" s="3"/>
      <c r="E160" s="3" t="s">
        <v>87</v>
      </c>
      <c r="F160" s="34">
        <f t="shared" si="18"/>
        <v>1000</v>
      </c>
      <c r="G160" s="34">
        <f t="shared" si="18"/>
        <v>1000</v>
      </c>
      <c r="H160" s="34">
        <f>ROUNDDOWN($P160/4*$O160*10,0)</f>
        <v>1000</v>
      </c>
      <c r="I160" s="34">
        <f>ROUNDDOWN($P160/4*$O160*10,0)</f>
        <v>1000</v>
      </c>
      <c r="J160" s="34">
        <f t="shared" si="18"/>
        <v>1000</v>
      </c>
      <c r="K160" s="133">
        <v>1000</v>
      </c>
      <c r="L160" s="34"/>
      <c r="M160" s="16">
        <f t="shared" si="14"/>
        <v>80</v>
      </c>
      <c r="O160" s="36">
        <v>1</v>
      </c>
      <c r="P160" s="2" t="s">
        <v>90</v>
      </c>
      <c r="Q160" s="3"/>
      <c r="R160" s="33"/>
      <c r="S160" s="8"/>
      <c r="T160" s="266"/>
    </row>
    <row r="161" spans="1:20" x14ac:dyDescent="0.2">
      <c r="A161" s="8" t="str">
        <f t="shared" si="16"/>
        <v/>
      </c>
      <c r="B161" s="38"/>
      <c r="C161" s="35" t="s">
        <v>22</v>
      </c>
      <c r="D161" s="38"/>
      <c r="E161" s="38"/>
      <c r="F161" s="38"/>
      <c r="G161" s="40"/>
      <c r="H161" s="38"/>
      <c r="I161" s="38"/>
      <c r="J161" s="38"/>
      <c r="K161" s="133">
        <v>1000</v>
      </c>
      <c r="L161" s="38"/>
      <c r="M161" s="16">
        <f t="shared" si="14"/>
        <v>0</v>
      </c>
      <c r="N161" s="42" t="str">
        <f>IF(A161="","",M161*#REF!)</f>
        <v/>
      </c>
      <c r="O161" s="40"/>
      <c r="P161" s="38"/>
      <c r="Q161" s="38"/>
      <c r="R161" s="38"/>
      <c r="S161" s="40"/>
      <c r="T161" s="267"/>
    </row>
    <row r="162" spans="1:20" x14ac:dyDescent="0.2">
      <c r="A162" s="8" t="str">
        <f t="shared" si="16"/>
        <v>10010311</v>
      </c>
      <c r="B162" s="3" t="s">
        <v>20</v>
      </c>
      <c r="C162" s="3" t="s">
        <v>23</v>
      </c>
      <c r="D162" s="3"/>
      <c r="E162" s="3" t="s">
        <v>87</v>
      </c>
      <c r="F162" s="34">
        <f t="shared" si="18"/>
        <v>1000</v>
      </c>
      <c r="G162" s="34">
        <f t="shared" si="18"/>
        <v>1000</v>
      </c>
      <c r="H162" s="34">
        <f>ROUNDDOWN($P162/4*$O162*10,0)</f>
        <v>1000</v>
      </c>
      <c r="I162" s="34">
        <f>ROUNDDOWN($P162/4*$O162*10,0)</f>
        <v>1000</v>
      </c>
      <c r="J162" s="34">
        <f t="shared" si="18"/>
        <v>1000</v>
      </c>
      <c r="K162" s="133">
        <v>1000</v>
      </c>
      <c r="L162" s="34"/>
      <c r="M162" s="16">
        <f t="shared" si="14"/>
        <v>80</v>
      </c>
      <c r="O162" s="36">
        <v>1</v>
      </c>
      <c r="P162" s="2" t="s">
        <v>90</v>
      </c>
      <c r="Q162" s="3"/>
      <c r="R162" s="33"/>
      <c r="S162" s="8"/>
      <c r="T162" s="266"/>
    </row>
    <row r="163" spans="1:20" x14ac:dyDescent="0.2">
      <c r="A163" s="8" t="str">
        <f t="shared" si="16"/>
        <v>10010311</v>
      </c>
      <c r="B163" s="3" t="s">
        <v>20</v>
      </c>
      <c r="C163" s="3" t="s">
        <v>23</v>
      </c>
      <c r="D163" s="3"/>
      <c r="E163" s="3" t="s">
        <v>87</v>
      </c>
      <c r="F163" s="34">
        <f t="shared" si="18"/>
        <v>1000</v>
      </c>
      <c r="G163" s="34">
        <f t="shared" si="18"/>
        <v>1000</v>
      </c>
      <c r="H163" s="34">
        <f>ROUNDDOWN($P163/4*$O163*10,0)</f>
        <v>1000</v>
      </c>
      <c r="I163" s="34">
        <f>ROUNDDOWN($P163/4*$O163*10,0)</f>
        <v>1000</v>
      </c>
      <c r="J163" s="34">
        <f t="shared" si="18"/>
        <v>1000</v>
      </c>
      <c r="K163" s="133">
        <v>1000</v>
      </c>
      <c r="L163" s="34"/>
      <c r="M163" s="16">
        <f t="shared" si="14"/>
        <v>80</v>
      </c>
      <c r="O163" s="36">
        <v>1</v>
      </c>
      <c r="P163" s="2" t="s">
        <v>90</v>
      </c>
      <c r="Q163" s="3"/>
      <c r="R163" s="33"/>
      <c r="S163" s="8"/>
      <c r="T163" s="266"/>
    </row>
    <row r="164" spans="1:20" x14ac:dyDescent="0.2">
      <c r="A164" s="8" t="str">
        <f t="shared" si="16"/>
        <v/>
      </c>
      <c r="B164" s="38"/>
      <c r="C164" s="35" t="s">
        <v>24</v>
      </c>
      <c r="D164" s="38"/>
      <c r="E164" s="38"/>
      <c r="F164" s="38"/>
      <c r="G164" s="40"/>
      <c r="H164" s="38"/>
      <c r="I164" s="38"/>
      <c r="J164" s="38"/>
      <c r="K164" s="133">
        <v>1000</v>
      </c>
      <c r="L164" s="38"/>
      <c r="M164" s="16">
        <f t="shared" si="14"/>
        <v>0</v>
      </c>
      <c r="N164" s="42" t="str">
        <f>IF(A164="","",M164*#REF!)</f>
        <v/>
      </c>
      <c r="O164" s="40"/>
      <c r="P164" s="38"/>
      <c r="Q164" s="38"/>
      <c r="R164" s="38"/>
      <c r="S164" s="40"/>
      <c r="T164" s="267"/>
    </row>
    <row r="165" spans="1:20" x14ac:dyDescent="0.2">
      <c r="A165" s="8" t="str">
        <f t="shared" si="16"/>
        <v>10010411</v>
      </c>
      <c r="B165" s="3" t="s">
        <v>20</v>
      </c>
      <c r="C165" s="3" t="s">
        <v>18</v>
      </c>
      <c r="D165" s="3"/>
      <c r="E165" s="3" t="s">
        <v>87</v>
      </c>
      <c r="F165" s="34">
        <f t="shared" si="18"/>
        <v>1000</v>
      </c>
      <c r="G165" s="34">
        <f t="shared" si="18"/>
        <v>1000</v>
      </c>
      <c r="H165" s="34">
        <f>ROUNDDOWN($P165/4*$O165*10,0)</f>
        <v>1000</v>
      </c>
      <c r="I165" s="34">
        <f>ROUNDDOWN($P165/4*$O165*10,0)</f>
        <v>1000</v>
      </c>
      <c r="J165" s="34">
        <f t="shared" si="18"/>
        <v>1000</v>
      </c>
      <c r="K165" s="133">
        <v>1000</v>
      </c>
      <c r="L165" s="34"/>
      <c r="M165" s="16">
        <f t="shared" si="14"/>
        <v>80</v>
      </c>
      <c r="O165" s="36">
        <v>1</v>
      </c>
      <c r="P165" s="2" t="s">
        <v>90</v>
      </c>
      <c r="Q165" s="3"/>
      <c r="R165" s="33"/>
      <c r="S165" s="8"/>
      <c r="T165" s="266"/>
    </row>
    <row r="166" spans="1:20" x14ac:dyDescent="0.2">
      <c r="A166" s="8" t="str">
        <f t="shared" si="16"/>
        <v>10010411</v>
      </c>
      <c r="B166" s="3" t="s">
        <v>20</v>
      </c>
      <c r="C166" s="3" t="s">
        <v>18</v>
      </c>
      <c r="D166" s="3"/>
      <c r="E166" s="3" t="s">
        <v>87</v>
      </c>
      <c r="F166" s="34">
        <f t="shared" si="18"/>
        <v>1000</v>
      </c>
      <c r="G166" s="34">
        <f t="shared" si="18"/>
        <v>1000</v>
      </c>
      <c r="H166" s="34">
        <f>ROUNDDOWN($P166/4*$O166*10,0)</f>
        <v>1000</v>
      </c>
      <c r="I166" s="34">
        <f>ROUNDDOWN($P166/4*$O166*10,0)</f>
        <v>1000</v>
      </c>
      <c r="J166" s="34">
        <f t="shared" si="18"/>
        <v>1000</v>
      </c>
      <c r="K166" s="133">
        <v>1000</v>
      </c>
      <c r="L166" s="34"/>
      <c r="M166" s="16">
        <f t="shared" si="14"/>
        <v>80</v>
      </c>
      <c r="O166" s="36">
        <v>1</v>
      </c>
      <c r="P166" s="2" t="s">
        <v>90</v>
      </c>
      <c r="Q166" s="3"/>
      <c r="R166" s="33"/>
      <c r="S166" s="8"/>
      <c r="T166" s="266"/>
    </row>
    <row r="167" spans="1:20" x14ac:dyDescent="0.2">
      <c r="A167" s="8" t="str">
        <f t="shared" si="16"/>
        <v/>
      </c>
      <c r="B167" s="38"/>
      <c r="C167" s="35" t="s">
        <v>25</v>
      </c>
      <c r="D167" s="38"/>
      <c r="E167" s="38"/>
      <c r="F167" s="38"/>
      <c r="G167" s="40"/>
      <c r="H167" s="38"/>
      <c r="I167" s="38"/>
      <c r="J167" s="38"/>
      <c r="K167" s="133">
        <v>1000</v>
      </c>
      <c r="L167" s="38"/>
      <c r="M167" s="16">
        <f t="shared" si="14"/>
        <v>0</v>
      </c>
      <c r="N167" s="42" t="str">
        <f>IF(A167="","",M167*#REF!)</f>
        <v/>
      </c>
      <c r="O167" s="40"/>
      <c r="P167" s="38"/>
      <c r="Q167" s="38"/>
      <c r="R167" s="38"/>
      <c r="S167" s="40"/>
      <c r="T167" s="267"/>
    </row>
    <row r="168" spans="1:20" x14ac:dyDescent="0.2">
      <c r="A168" s="8" t="str">
        <f t="shared" si="16"/>
        <v>10010511</v>
      </c>
      <c r="B168" s="3" t="s">
        <v>20</v>
      </c>
      <c r="C168" s="3" t="s">
        <v>26</v>
      </c>
      <c r="D168" s="3"/>
      <c r="E168" s="3" t="s">
        <v>87</v>
      </c>
      <c r="F168" s="34">
        <f t="shared" si="18"/>
        <v>1000</v>
      </c>
      <c r="G168" s="34">
        <f t="shared" si="18"/>
        <v>1000</v>
      </c>
      <c r="H168" s="34">
        <f>ROUNDDOWN($P168/4*$O168*10,0)</f>
        <v>1000</v>
      </c>
      <c r="I168" s="34">
        <f>ROUNDDOWN($P168/4*$O168*10,0)</f>
        <v>1000</v>
      </c>
      <c r="J168" s="34">
        <f t="shared" si="18"/>
        <v>1000</v>
      </c>
      <c r="K168" s="133">
        <v>1000</v>
      </c>
      <c r="L168" s="34"/>
      <c r="M168" s="16">
        <f t="shared" si="14"/>
        <v>80</v>
      </c>
      <c r="O168" s="36">
        <v>1</v>
      </c>
      <c r="P168" s="2" t="s">
        <v>90</v>
      </c>
      <c r="Q168" s="3"/>
      <c r="R168" s="33"/>
      <c r="S168" s="8"/>
      <c r="T168" s="266"/>
    </row>
    <row r="169" spans="1:20" x14ac:dyDescent="0.2">
      <c r="A169" s="8" t="str">
        <f t="shared" si="16"/>
        <v/>
      </c>
      <c r="B169" s="38"/>
      <c r="C169" s="35" t="s">
        <v>27</v>
      </c>
      <c r="D169" s="38"/>
      <c r="E169" s="38"/>
      <c r="F169" s="38"/>
      <c r="G169" s="38"/>
      <c r="H169" s="38"/>
      <c r="I169" s="38"/>
      <c r="J169" s="38"/>
      <c r="K169" s="133">
        <v>1000</v>
      </c>
      <c r="L169" s="38"/>
      <c r="M169" s="16">
        <f t="shared" si="14"/>
        <v>0</v>
      </c>
      <c r="N169" s="42" t="str">
        <f>IF(A169="","",M169*#REF!)</f>
        <v/>
      </c>
      <c r="O169" s="40"/>
      <c r="P169" s="38"/>
      <c r="Q169" s="38"/>
      <c r="R169" s="38"/>
      <c r="S169" s="40"/>
      <c r="T169" s="267"/>
    </row>
    <row r="170" spans="1:20" x14ac:dyDescent="0.2">
      <c r="A170" s="8" t="str">
        <f t="shared" si="16"/>
        <v>10010611</v>
      </c>
      <c r="B170" s="3" t="s">
        <v>20</v>
      </c>
      <c r="C170" s="3" t="s">
        <v>28</v>
      </c>
      <c r="D170" s="3"/>
      <c r="E170" s="3" t="s">
        <v>87</v>
      </c>
      <c r="F170" s="34">
        <f t="shared" si="18"/>
        <v>1000</v>
      </c>
      <c r="G170" s="34">
        <f t="shared" si="18"/>
        <v>1000</v>
      </c>
      <c r="H170" s="34">
        <f>ROUNDDOWN($P170/4*$O170*10,0)</f>
        <v>1000</v>
      </c>
      <c r="I170" s="34">
        <f>ROUNDDOWN($P170/4*$O170*10,0)</f>
        <v>1000</v>
      </c>
      <c r="J170" s="34">
        <f t="shared" si="18"/>
        <v>1000</v>
      </c>
      <c r="K170" s="133">
        <v>1000</v>
      </c>
      <c r="L170" s="34"/>
      <c r="M170" s="16">
        <f t="shared" si="14"/>
        <v>80</v>
      </c>
      <c r="O170" s="36">
        <v>1</v>
      </c>
      <c r="P170" s="2" t="s">
        <v>90</v>
      </c>
      <c r="Q170" s="3"/>
      <c r="R170" s="3"/>
      <c r="S170" s="8"/>
      <c r="T170" s="266"/>
    </row>
    <row r="171" spans="1:20" ht="38.25" x14ac:dyDescent="0.2">
      <c r="A171" s="8" t="str">
        <f t="shared" si="16"/>
        <v/>
      </c>
      <c r="B171" s="5"/>
      <c r="C171" s="6" t="s">
        <v>29</v>
      </c>
      <c r="D171" s="5"/>
      <c r="E171" s="5"/>
      <c r="F171" s="5"/>
      <c r="G171" s="5"/>
      <c r="H171" s="5"/>
      <c r="I171" s="5"/>
      <c r="J171" s="5"/>
      <c r="K171" s="133">
        <v>1000</v>
      </c>
      <c r="L171" s="5"/>
      <c r="M171" s="16">
        <f t="shared" si="14"/>
        <v>0</v>
      </c>
      <c r="N171" s="5"/>
      <c r="O171" s="5"/>
      <c r="P171" s="5"/>
      <c r="Q171" s="5"/>
      <c r="R171" s="5"/>
      <c r="S171" s="30"/>
      <c r="T171" s="266"/>
    </row>
    <row r="172" spans="1:20" x14ac:dyDescent="0.2">
      <c r="A172" s="8" t="str">
        <f t="shared" si="16"/>
        <v/>
      </c>
      <c r="B172" s="38"/>
      <c r="C172" s="35" t="s">
        <v>30</v>
      </c>
      <c r="D172" s="38"/>
      <c r="E172" s="38"/>
      <c r="F172" s="38"/>
      <c r="G172" s="40"/>
      <c r="H172" s="38"/>
      <c r="I172" s="38"/>
      <c r="J172" s="38"/>
      <c r="K172" s="133">
        <v>1000</v>
      </c>
      <c r="L172" s="38"/>
      <c r="M172" s="16">
        <f t="shared" si="14"/>
        <v>0</v>
      </c>
      <c r="N172" s="42" t="str">
        <f>IF(A172="","",M172*#REF!)</f>
        <v/>
      </c>
      <c r="O172" s="40"/>
      <c r="P172" s="38"/>
      <c r="Q172" s="38"/>
      <c r="R172" s="38"/>
      <c r="S172" s="40"/>
      <c r="T172" s="267"/>
    </row>
    <row r="173" spans="1:20" ht="13.5" x14ac:dyDescent="0.25">
      <c r="A173" s="8" t="str">
        <f t="shared" si="16"/>
        <v>100010114</v>
      </c>
      <c r="B173" s="30">
        <v>10001</v>
      </c>
      <c r="C173" s="30">
        <v>1</v>
      </c>
      <c r="D173" s="30" t="s">
        <v>62</v>
      </c>
      <c r="E173" s="30">
        <v>4</v>
      </c>
      <c r="F173" s="48">
        <v>2500</v>
      </c>
      <c r="G173" s="48">
        <v>2500</v>
      </c>
      <c r="H173" s="34">
        <f>ROUNDDOWN($S173/4*10,0)</f>
        <v>250</v>
      </c>
      <c r="I173" s="34">
        <f>ROUNDDOWN($S173/4*10,0)</f>
        <v>250</v>
      </c>
      <c r="J173" s="48">
        <v>2500</v>
      </c>
      <c r="K173" s="133">
        <v>1000</v>
      </c>
      <c r="L173" s="48"/>
      <c r="M173" s="16">
        <f t="shared" si="14"/>
        <v>100</v>
      </c>
      <c r="N173" s="49">
        <v>300</v>
      </c>
      <c r="O173" s="49">
        <v>4</v>
      </c>
      <c r="P173" s="50" t="s">
        <v>122</v>
      </c>
      <c r="Q173" s="50" t="s">
        <v>90</v>
      </c>
      <c r="S173" s="57">
        <f>P173/2</f>
        <v>100</v>
      </c>
    </row>
    <row r="174" spans="1:20" ht="13.5" x14ac:dyDescent="0.25">
      <c r="A174" s="8" t="str">
        <f t="shared" si="16"/>
        <v>100010214</v>
      </c>
      <c r="B174" s="8">
        <v>10001</v>
      </c>
      <c r="C174" s="8">
        <v>2</v>
      </c>
      <c r="D174" s="8" t="s">
        <v>62</v>
      </c>
      <c r="E174" s="8">
        <v>4</v>
      </c>
      <c r="F174" s="34">
        <f t="shared" ref="F174:G189" si="19">ROUNDDOWN($P174/4*$O174*10*$N174/$N174*$Q174/400,0)</f>
        <v>3216</v>
      </c>
      <c r="G174" s="34">
        <f t="shared" si="19"/>
        <v>3216</v>
      </c>
      <c r="H174" s="34">
        <f t="shared" ref="H174:I177" si="20">ROUNDDOWN($S174/4*10,0)</f>
        <v>402</v>
      </c>
      <c r="I174" s="34">
        <f t="shared" si="20"/>
        <v>402</v>
      </c>
      <c r="J174" s="34">
        <f t="shared" ref="J174:J236" si="21">ROUNDDOWN($P174/4*$O174*10*$N174/$Q174*$N174/400,0)</f>
        <v>3216</v>
      </c>
      <c r="K174" s="133">
        <v>1000</v>
      </c>
      <c r="L174" s="34"/>
      <c r="M174" s="16">
        <f t="shared" si="14"/>
        <v>163.12444745285731</v>
      </c>
      <c r="N174" s="36">
        <v>400</v>
      </c>
      <c r="O174" s="36">
        <v>4</v>
      </c>
      <c r="P174" s="57">
        <v>321.60000000000002</v>
      </c>
      <c r="Q174" s="2" t="s">
        <v>123</v>
      </c>
      <c r="S174" s="57">
        <f>P174/2</f>
        <v>160.80000000000001</v>
      </c>
    </row>
    <row r="175" spans="1:20" ht="13.5" x14ac:dyDescent="0.25">
      <c r="A175" s="8" t="str">
        <f t="shared" si="16"/>
        <v>100010314</v>
      </c>
      <c r="B175" s="8">
        <v>10001</v>
      </c>
      <c r="C175" s="8">
        <v>3</v>
      </c>
      <c r="D175" s="8" t="s">
        <v>62</v>
      </c>
      <c r="E175" s="8">
        <v>4</v>
      </c>
      <c r="F175" s="34">
        <f t="shared" si="19"/>
        <v>3288</v>
      </c>
      <c r="G175" s="34">
        <f t="shared" si="19"/>
        <v>3288</v>
      </c>
      <c r="H175" s="34">
        <f t="shared" si="20"/>
        <v>411</v>
      </c>
      <c r="I175" s="34">
        <f t="shared" si="20"/>
        <v>411</v>
      </c>
      <c r="J175" s="34">
        <f t="shared" si="21"/>
        <v>3288</v>
      </c>
      <c r="K175" s="133">
        <v>1000</v>
      </c>
      <c r="L175" s="34"/>
      <c r="M175" s="16">
        <f t="shared" si="14"/>
        <v>168.63305458183459</v>
      </c>
      <c r="N175" s="36">
        <v>400</v>
      </c>
      <c r="O175" s="36">
        <v>4</v>
      </c>
      <c r="P175" s="57">
        <v>328.8</v>
      </c>
      <c r="Q175" s="2" t="s">
        <v>90</v>
      </c>
      <c r="S175" s="57">
        <f t="shared" ref="S175:S238" si="22">P175/2</f>
        <v>164.4</v>
      </c>
    </row>
    <row r="176" spans="1:20" ht="13.5" x14ac:dyDescent="0.25">
      <c r="A176" s="8" t="str">
        <f t="shared" si="16"/>
        <v>100010414</v>
      </c>
      <c r="B176" s="8">
        <v>10001</v>
      </c>
      <c r="C176" s="8">
        <v>4</v>
      </c>
      <c r="D176" s="8" t="s">
        <v>62</v>
      </c>
      <c r="E176" s="8">
        <v>4</v>
      </c>
      <c r="F176" s="34">
        <f t="shared" si="19"/>
        <v>4352</v>
      </c>
      <c r="G176" s="34">
        <f t="shared" si="19"/>
        <v>4352</v>
      </c>
      <c r="H176" s="34">
        <f t="shared" si="20"/>
        <v>544</v>
      </c>
      <c r="I176" s="34">
        <f t="shared" si="20"/>
        <v>544</v>
      </c>
      <c r="J176" s="34">
        <f t="shared" si="21"/>
        <v>4352</v>
      </c>
      <c r="K176" s="133">
        <v>1000</v>
      </c>
      <c r="L176" s="34"/>
      <c r="M176" s="16">
        <f t="shared" si="14"/>
        <v>256.79012786008735</v>
      </c>
      <c r="N176" s="36">
        <v>400</v>
      </c>
      <c r="O176" s="36">
        <v>4</v>
      </c>
      <c r="P176" s="57">
        <v>435.20000000000005</v>
      </c>
      <c r="Q176" s="2" t="s">
        <v>90</v>
      </c>
      <c r="S176" s="57">
        <f t="shared" si="22"/>
        <v>217.60000000000002</v>
      </c>
    </row>
    <row r="177" spans="1:20" ht="13.5" x14ac:dyDescent="0.25">
      <c r="A177" s="8" t="str">
        <f t="shared" si="16"/>
        <v>100010514</v>
      </c>
      <c r="B177" s="8">
        <v>10001</v>
      </c>
      <c r="C177" s="8">
        <v>5</v>
      </c>
      <c r="D177" s="8" t="s">
        <v>62</v>
      </c>
      <c r="E177" s="8">
        <v>4</v>
      </c>
      <c r="F177" s="34">
        <f t="shared" si="19"/>
        <v>6344</v>
      </c>
      <c r="G177" s="34">
        <f t="shared" si="19"/>
        <v>6344</v>
      </c>
      <c r="H177" s="34">
        <f t="shared" si="20"/>
        <v>793</v>
      </c>
      <c r="I177" s="34">
        <f t="shared" si="20"/>
        <v>793</v>
      </c>
      <c r="J177" s="34">
        <f t="shared" si="21"/>
        <v>6344</v>
      </c>
      <c r="K177" s="133">
        <v>1000</v>
      </c>
      <c r="L177" s="34"/>
      <c r="M177" s="16">
        <f t="shared" si="14"/>
        <v>451.94933838562042</v>
      </c>
      <c r="N177" s="36">
        <v>400</v>
      </c>
      <c r="O177" s="36">
        <v>4</v>
      </c>
      <c r="P177" s="57">
        <v>634.40000000000009</v>
      </c>
      <c r="Q177" s="2" t="s">
        <v>90</v>
      </c>
      <c r="S177" s="57">
        <f t="shared" si="22"/>
        <v>317.20000000000005</v>
      </c>
    </row>
    <row r="178" spans="1:20" ht="13.5" x14ac:dyDescent="0.25">
      <c r="A178" s="8" t="str">
        <f t="shared" si="16"/>
        <v/>
      </c>
      <c r="B178" s="38"/>
      <c r="C178" s="35" t="s">
        <v>31</v>
      </c>
      <c r="D178" s="38"/>
      <c r="E178" s="38"/>
      <c r="F178" s="38"/>
      <c r="G178" s="40"/>
      <c r="H178" s="38"/>
      <c r="I178" s="38"/>
      <c r="J178" s="38"/>
      <c r="K178" s="133">
        <v>1000</v>
      </c>
      <c r="L178" s="38"/>
      <c r="M178" s="16">
        <f t="shared" si="14"/>
        <v>0</v>
      </c>
      <c r="N178" s="36">
        <v>400</v>
      </c>
      <c r="O178" s="40"/>
      <c r="P178" s="57">
        <v>0</v>
      </c>
      <c r="Q178" s="38"/>
      <c r="R178" s="38"/>
      <c r="S178" s="57">
        <f t="shared" si="22"/>
        <v>0</v>
      </c>
      <c r="T178" s="267"/>
    </row>
    <row r="179" spans="1:20" ht="13.5" x14ac:dyDescent="0.25">
      <c r="A179" s="8" t="str">
        <f t="shared" si="16"/>
        <v>100020214</v>
      </c>
      <c r="B179" s="8">
        <v>10002</v>
      </c>
      <c r="C179" s="8">
        <v>2</v>
      </c>
      <c r="D179" s="8" t="s">
        <v>62</v>
      </c>
      <c r="E179" s="8">
        <v>4</v>
      </c>
      <c r="F179" s="34">
        <f t="shared" si="19"/>
        <v>3216</v>
      </c>
      <c r="G179" s="34">
        <f t="shared" si="19"/>
        <v>3216</v>
      </c>
      <c r="H179" s="34">
        <f t="shared" ref="H179:I182" si="23">ROUNDDOWN($S179/4*10,0)</f>
        <v>402</v>
      </c>
      <c r="I179" s="34">
        <f t="shared" si="23"/>
        <v>402</v>
      </c>
      <c r="J179" s="34">
        <f t="shared" si="21"/>
        <v>3216</v>
      </c>
      <c r="K179" s="133">
        <v>1000</v>
      </c>
      <c r="L179" s="34"/>
      <c r="M179" s="16">
        <f t="shared" si="14"/>
        <v>163.12444745285731</v>
      </c>
      <c r="N179" s="36">
        <v>400</v>
      </c>
      <c r="O179" s="36">
        <v>4</v>
      </c>
      <c r="P179" s="57">
        <v>321.60000000000002</v>
      </c>
      <c r="Q179" s="2" t="s">
        <v>123</v>
      </c>
      <c r="S179" s="57">
        <f t="shared" si="22"/>
        <v>160.80000000000001</v>
      </c>
    </row>
    <row r="180" spans="1:20" ht="13.5" x14ac:dyDescent="0.25">
      <c r="A180" s="8" t="str">
        <f t="shared" si="16"/>
        <v>100020314</v>
      </c>
      <c r="B180" s="8">
        <v>10002</v>
      </c>
      <c r="C180" s="8">
        <v>3</v>
      </c>
      <c r="D180" s="8" t="s">
        <v>62</v>
      </c>
      <c r="E180" s="8">
        <v>4</v>
      </c>
      <c r="F180" s="34">
        <f t="shared" si="19"/>
        <v>3288</v>
      </c>
      <c r="G180" s="34">
        <f t="shared" si="19"/>
        <v>3288</v>
      </c>
      <c r="H180" s="34">
        <f t="shared" si="23"/>
        <v>411</v>
      </c>
      <c r="I180" s="34">
        <f t="shared" si="23"/>
        <v>411</v>
      </c>
      <c r="J180" s="34">
        <f t="shared" si="21"/>
        <v>3288</v>
      </c>
      <c r="K180" s="133">
        <v>1000</v>
      </c>
      <c r="L180" s="34"/>
      <c r="M180" s="16">
        <f t="shared" si="14"/>
        <v>168.63305458183459</v>
      </c>
      <c r="N180" s="36">
        <v>400</v>
      </c>
      <c r="O180" s="36">
        <v>4</v>
      </c>
      <c r="P180" s="57">
        <v>328.8</v>
      </c>
      <c r="Q180" s="2" t="s">
        <v>90</v>
      </c>
      <c r="S180" s="57">
        <f t="shared" si="22"/>
        <v>164.4</v>
      </c>
    </row>
    <row r="181" spans="1:20" ht="13.5" x14ac:dyDescent="0.25">
      <c r="A181" s="8" t="str">
        <f t="shared" si="16"/>
        <v>100020414</v>
      </c>
      <c r="B181" s="8">
        <v>10002</v>
      </c>
      <c r="C181" s="8">
        <v>4</v>
      </c>
      <c r="D181" s="8" t="s">
        <v>62</v>
      </c>
      <c r="E181" s="8">
        <v>4</v>
      </c>
      <c r="F181" s="34">
        <f t="shared" si="19"/>
        <v>4352</v>
      </c>
      <c r="G181" s="34">
        <f t="shared" si="19"/>
        <v>4352</v>
      </c>
      <c r="H181" s="34">
        <f t="shared" si="23"/>
        <v>544</v>
      </c>
      <c r="I181" s="34">
        <f t="shared" si="23"/>
        <v>544</v>
      </c>
      <c r="J181" s="34">
        <f t="shared" si="21"/>
        <v>4352</v>
      </c>
      <c r="K181" s="133">
        <v>1000</v>
      </c>
      <c r="L181" s="34"/>
      <c r="M181" s="16">
        <f t="shared" si="14"/>
        <v>256.79012786008735</v>
      </c>
      <c r="N181" s="36">
        <v>400</v>
      </c>
      <c r="O181" s="36">
        <v>4</v>
      </c>
      <c r="P181" s="57">
        <v>435.20000000000005</v>
      </c>
      <c r="Q181" s="2" t="s">
        <v>90</v>
      </c>
      <c r="S181" s="57">
        <f t="shared" si="22"/>
        <v>217.60000000000002</v>
      </c>
    </row>
    <row r="182" spans="1:20" ht="13.5" x14ac:dyDescent="0.25">
      <c r="A182" s="8" t="str">
        <f t="shared" si="16"/>
        <v>100020514</v>
      </c>
      <c r="B182" s="8">
        <v>10002</v>
      </c>
      <c r="C182" s="8">
        <v>5</v>
      </c>
      <c r="D182" s="8" t="s">
        <v>62</v>
      </c>
      <c r="E182" s="8">
        <v>4</v>
      </c>
      <c r="F182" s="34">
        <f t="shared" si="19"/>
        <v>6344</v>
      </c>
      <c r="G182" s="34">
        <f t="shared" si="19"/>
        <v>6344</v>
      </c>
      <c r="H182" s="34">
        <f t="shared" si="23"/>
        <v>793</v>
      </c>
      <c r="I182" s="34">
        <f t="shared" si="23"/>
        <v>793</v>
      </c>
      <c r="J182" s="34">
        <f t="shared" si="21"/>
        <v>6344</v>
      </c>
      <c r="K182" s="133">
        <v>1000</v>
      </c>
      <c r="L182" s="34"/>
      <c r="M182" s="16">
        <f t="shared" si="14"/>
        <v>451.94933838562042</v>
      </c>
      <c r="N182" s="36">
        <v>400</v>
      </c>
      <c r="O182" s="36">
        <v>4</v>
      </c>
      <c r="P182" s="57">
        <v>634.40000000000009</v>
      </c>
      <c r="Q182" s="2" t="s">
        <v>90</v>
      </c>
      <c r="S182" s="57">
        <f t="shared" si="22"/>
        <v>317.20000000000005</v>
      </c>
    </row>
    <row r="183" spans="1:20" ht="13.5" x14ac:dyDescent="0.25">
      <c r="A183" s="8" t="str">
        <f t="shared" si="16"/>
        <v/>
      </c>
      <c r="B183" s="38"/>
      <c r="C183" s="35" t="s">
        <v>32</v>
      </c>
      <c r="D183" s="38"/>
      <c r="E183" s="38"/>
      <c r="F183" s="38"/>
      <c r="G183" s="40"/>
      <c r="H183" s="38"/>
      <c r="I183" s="38"/>
      <c r="J183" s="38"/>
      <c r="K183" s="133">
        <v>1000</v>
      </c>
      <c r="L183" s="38"/>
      <c r="M183" s="16">
        <f t="shared" si="14"/>
        <v>0</v>
      </c>
      <c r="N183" s="36">
        <v>400</v>
      </c>
      <c r="O183" s="40"/>
      <c r="P183" s="57">
        <v>0</v>
      </c>
      <c r="Q183" s="38"/>
      <c r="R183" s="38"/>
      <c r="S183" s="57">
        <f t="shared" si="22"/>
        <v>0</v>
      </c>
      <c r="T183" s="267"/>
    </row>
    <row r="184" spans="1:20" ht="13.5" x14ac:dyDescent="0.25">
      <c r="A184" s="8" t="str">
        <f t="shared" si="16"/>
        <v>100030214</v>
      </c>
      <c r="B184" s="8">
        <v>10003</v>
      </c>
      <c r="C184" s="8">
        <v>2</v>
      </c>
      <c r="D184" s="8" t="s">
        <v>62</v>
      </c>
      <c r="E184" s="8">
        <v>4</v>
      </c>
      <c r="F184" s="34">
        <f t="shared" si="19"/>
        <v>3216</v>
      </c>
      <c r="G184" s="34">
        <f t="shared" si="19"/>
        <v>3216</v>
      </c>
      <c r="H184" s="34">
        <f t="shared" ref="H184:I199" si="24">ROUNDDOWN($S184/4*10,0)</f>
        <v>402</v>
      </c>
      <c r="I184" s="34">
        <f t="shared" si="24"/>
        <v>402</v>
      </c>
      <c r="J184" s="34">
        <f t="shared" si="21"/>
        <v>3216</v>
      </c>
      <c r="K184" s="133">
        <v>1000</v>
      </c>
      <c r="L184" s="34"/>
      <c r="M184" s="16">
        <f t="shared" si="14"/>
        <v>163.12444745285731</v>
      </c>
      <c r="N184" s="36">
        <v>400</v>
      </c>
      <c r="O184" s="36">
        <v>4</v>
      </c>
      <c r="P184" s="57">
        <v>321.60000000000002</v>
      </c>
      <c r="Q184" s="2" t="s">
        <v>123</v>
      </c>
      <c r="S184" s="57">
        <f t="shared" si="22"/>
        <v>160.80000000000001</v>
      </c>
    </row>
    <row r="185" spans="1:20" ht="13.5" x14ac:dyDescent="0.25">
      <c r="A185" s="8" t="str">
        <f t="shared" si="16"/>
        <v>100030314</v>
      </c>
      <c r="B185" s="8">
        <v>10003</v>
      </c>
      <c r="C185" s="8">
        <v>3</v>
      </c>
      <c r="D185" s="8" t="s">
        <v>62</v>
      </c>
      <c r="E185" s="8">
        <v>4</v>
      </c>
      <c r="F185" s="34">
        <f t="shared" si="19"/>
        <v>3288</v>
      </c>
      <c r="G185" s="34">
        <f t="shared" si="19"/>
        <v>3288</v>
      </c>
      <c r="H185" s="34">
        <f t="shared" si="24"/>
        <v>411</v>
      </c>
      <c r="I185" s="34">
        <f t="shared" si="24"/>
        <v>411</v>
      </c>
      <c r="J185" s="34">
        <f t="shared" si="21"/>
        <v>3288</v>
      </c>
      <c r="K185" s="133">
        <v>1000</v>
      </c>
      <c r="L185" s="34"/>
      <c r="M185" s="16">
        <f t="shared" si="14"/>
        <v>168.63305458183459</v>
      </c>
      <c r="N185" s="36">
        <v>400</v>
      </c>
      <c r="O185" s="36">
        <v>4</v>
      </c>
      <c r="P185" s="57">
        <v>328.8</v>
      </c>
      <c r="Q185" s="2" t="s">
        <v>90</v>
      </c>
      <c r="S185" s="57">
        <f t="shared" si="22"/>
        <v>164.4</v>
      </c>
    </row>
    <row r="186" spans="1:20" ht="13.5" x14ac:dyDescent="0.25">
      <c r="A186" s="8" t="str">
        <f t="shared" si="16"/>
        <v>100030414</v>
      </c>
      <c r="B186" s="8">
        <v>10003</v>
      </c>
      <c r="C186" s="8">
        <v>4</v>
      </c>
      <c r="D186" s="8" t="s">
        <v>62</v>
      </c>
      <c r="E186" s="8">
        <v>4</v>
      </c>
      <c r="F186" s="34">
        <f t="shared" si="19"/>
        <v>4352</v>
      </c>
      <c r="G186" s="34">
        <f t="shared" si="19"/>
        <v>4352</v>
      </c>
      <c r="H186" s="34">
        <f t="shared" si="24"/>
        <v>544</v>
      </c>
      <c r="I186" s="34">
        <f t="shared" si="24"/>
        <v>544</v>
      </c>
      <c r="J186" s="34">
        <f t="shared" si="21"/>
        <v>4352</v>
      </c>
      <c r="K186" s="133">
        <v>1000</v>
      </c>
      <c r="L186" s="34"/>
      <c r="M186" s="16">
        <f t="shared" si="14"/>
        <v>256.79012786008735</v>
      </c>
      <c r="N186" s="36">
        <v>400</v>
      </c>
      <c r="O186" s="36">
        <v>4</v>
      </c>
      <c r="P186" s="57">
        <v>435.20000000000005</v>
      </c>
      <c r="Q186" s="2" t="s">
        <v>90</v>
      </c>
      <c r="S186" s="57">
        <f t="shared" si="22"/>
        <v>217.60000000000002</v>
      </c>
    </row>
    <row r="187" spans="1:20" ht="13.5" x14ac:dyDescent="0.25">
      <c r="A187" s="8" t="str">
        <f t="shared" si="16"/>
        <v>100030514</v>
      </c>
      <c r="B187" s="8">
        <v>10003</v>
      </c>
      <c r="C187" s="8">
        <v>5</v>
      </c>
      <c r="D187" s="8" t="s">
        <v>62</v>
      </c>
      <c r="E187" s="8">
        <v>4</v>
      </c>
      <c r="F187" s="34">
        <f t="shared" si="19"/>
        <v>6344</v>
      </c>
      <c r="G187" s="34">
        <f t="shared" si="19"/>
        <v>6344</v>
      </c>
      <c r="H187" s="34">
        <f t="shared" si="24"/>
        <v>793</v>
      </c>
      <c r="I187" s="34">
        <f t="shared" si="24"/>
        <v>793</v>
      </c>
      <c r="J187" s="34">
        <f t="shared" si="21"/>
        <v>6344</v>
      </c>
      <c r="K187" s="133">
        <v>1000</v>
      </c>
      <c r="L187" s="34"/>
      <c r="M187" s="16">
        <f t="shared" si="14"/>
        <v>451.94933838562042</v>
      </c>
      <c r="N187" s="36">
        <v>400</v>
      </c>
      <c r="O187" s="36">
        <v>4</v>
      </c>
      <c r="P187" s="57">
        <v>634.40000000000009</v>
      </c>
      <c r="Q187" s="2" t="s">
        <v>90</v>
      </c>
      <c r="S187" s="57">
        <f t="shared" si="22"/>
        <v>317.20000000000005</v>
      </c>
    </row>
    <row r="188" spans="1:20" ht="13.5" x14ac:dyDescent="0.25">
      <c r="A188" s="8" t="str">
        <f t="shared" si="16"/>
        <v/>
      </c>
      <c r="B188" s="38"/>
      <c r="C188" s="35" t="s">
        <v>33</v>
      </c>
      <c r="D188" s="38"/>
      <c r="E188" s="38"/>
      <c r="F188" s="38"/>
      <c r="G188" s="40"/>
      <c r="H188" s="38"/>
      <c r="I188" s="38"/>
      <c r="J188" s="38"/>
      <c r="K188" s="133">
        <v>1000</v>
      </c>
      <c r="L188" s="38"/>
      <c r="M188" s="16">
        <f t="shared" si="14"/>
        <v>0</v>
      </c>
      <c r="N188" s="36">
        <v>400</v>
      </c>
      <c r="O188" s="40"/>
      <c r="P188" s="57">
        <v>0</v>
      </c>
      <c r="Q188" s="38"/>
      <c r="R188" s="38"/>
      <c r="S188" s="57">
        <f t="shared" si="22"/>
        <v>0</v>
      </c>
      <c r="T188" s="267"/>
    </row>
    <row r="189" spans="1:20" ht="13.5" x14ac:dyDescent="0.25">
      <c r="A189" s="8" t="str">
        <f t="shared" si="16"/>
        <v>100040214</v>
      </c>
      <c r="B189" s="8">
        <v>10004</v>
      </c>
      <c r="C189" s="8">
        <v>2</v>
      </c>
      <c r="D189" s="8" t="s">
        <v>62</v>
      </c>
      <c r="E189" s="8">
        <v>4</v>
      </c>
      <c r="F189" s="34">
        <f t="shared" si="19"/>
        <v>3216</v>
      </c>
      <c r="G189" s="34">
        <f t="shared" si="19"/>
        <v>3216</v>
      </c>
      <c r="H189" s="34">
        <f t="shared" si="24"/>
        <v>402</v>
      </c>
      <c r="I189" s="34">
        <f t="shared" si="24"/>
        <v>402</v>
      </c>
      <c r="J189" s="34">
        <f t="shared" si="21"/>
        <v>3216</v>
      </c>
      <c r="K189" s="133">
        <v>1000</v>
      </c>
      <c r="L189" s="34"/>
      <c r="M189" s="16">
        <f t="shared" si="14"/>
        <v>163.12444745285731</v>
      </c>
      <c r="N189" s="36">
        <v>400</v>
      </c>
      <c r="O189" s="36">
        <v>4</v>
      </c>
      <c r="P189" s="57">
        <v>321.60000000000002</v>
      </c>
      <c r="Q189" s="2" t="s">
        <v>123</v>
      </c>
      <c r="S189" s="57">
        <f t="shared" si="22"/>
        <v>160.80000000000001</v>
      </c>
    </row>
    <row r="190" spans="1:20" ht="13.5" x14ac:dyDescent="0.25">
      <c r="A190" s="8" t="str">
        <f t="shared" si="16"/>
        <v>100040314</v>
      </c>
      <c r="B190" s="8">
        <v>10004</v>
      </c>
      <c r="C190" s="8">
        <v>3</v>
      </c>
      <c r="D190" s="8" t="s">
        <v>62</v>
      </c>
      <c r="E190" s="8">
        <v>4</v>
      </c>
      <c r="F190" s="34">
        <f t="shared" ref="F190:G192" si="25">ROUNDDOWN($P190/4*$O190*10*$N190/$N190*$Q190/400,0)</f>
        <v>3288</v>
      </c>
      <c r="G190" s="34">
        <f t="shared" si="25"/>
        <v>3288</v>
      </c>
      <c r="H190" s="34">
        <f t="shared" si="24"/>
        <v>411</v>
      </c>
      <c r="I190" s="34">
        <f t="shared" si="24"/>
        <v>411</v>
      </c>
      <c r="J190" s="34">
        <f t="shared" si="21"/>
        <v>3288</v>
      </c>
      <c r="K190" s="133">
        <v>1000</v>
      </c>
      <c r="L190" s="34"/>
      <c r="M190" s="16">
        <f t="shared" si="14"/>
        <v>168.63305458183459</v>
      </c>
      <c r="N190" s="36">
        <v>400</v>
      </c>
      <c r="O190" s="36">
        <v>4</v>
      </c>
      <c r="P190" s="57">
        <v>328.8</v>
      </c>
      <c r="Q190" s="2" t="s">
        <v>90</v>
      </c>
      <c r="S190" s="57">
        <f t="shared" si="22"/>
        <v>164.4</v>
      </c>
    </row>
    <row r="191" spans="1:20" ht="13.5" x14ac:dyDescent="0.25">
      <c r="A191" s="8" t="str">
        <f t="shared" si="16"/>
        <v>100040414</v>
      </c>
      <c r="B191" s="8">
        <v>10004</v>
      </c>
      <c r="C191" s="8">
        <v>4</v>
      </c>
      <c r="D191" s="8" t="s">
        <v>62</v>
      </c>
      <c r="E191" s="8">
        <v>4</v>
      </c>
      <c r="F191" s="34">
        <f t="shared" si="25"/>
        <v>4352</v>
      </c>
      <c r="G191" s="34">
        <f t="shared" si="25"/>
        <v>4352</v>
      </c>
      <c r="H191" s="34">
        <f t="shared" si="24"/>
        <v>544</v>
      </c>
      <c r="I191" s="34">
        <f t="shared" si="24"/>
        <v>544</v>
      </c>
      <c r="J191" s="34">
        <f t="shared" si="21"/>
        <v>4352</v>
      </c>
      <c r="K191" s="133">
        <v>1000</v>
      </c>
      <c r="L191" s="34"/>
      <c r="M191" s="16">
        <f t="shared" si="14"/>
        <v>256.79012786008735</v>
      </c>
      <c r="N191" s="36">
        <v>400</v>
      </c>
      <c r="O191" s="36">
        <v>4</v>
      </c>
      <c r="P191" s="57">
        <v>435.20000000000005</v>
      </c>
      <c r="Q191" s="2" t="s">
        <v>90</v>
      </c>
      <c r="S191" s="57">
        <f t="shared" si="22"/>
        <v>217.60000000000002</v>
      </c>
    </row>
    <row r="192" spans="1:20" ht="13.5" x14ac:dyDescent="0.25">
      <c r="A192" s="8" t="str">
        <f t="shared" si="16"/>
        <v>100040514</v>
      </c>
      <c r="B192" s="8">
        <v>10004</v>
      </c>
      <c r="C192" s="8">
        <v>5</v>
      </c>
      <c r="D192" s="8" t="s">
        <v>62</v>
      </c>
      <c r="E192" s="8">
        <v>4</v>
      </c>
      <c r="F192" s="34">
        <f t="shared" si="25"/>
        <v>6344</v>
      </c>
      <c r="G192" s="34">
        <f t="shared" si="25"/>
        <v>6344</v>
      </c>
      <c r="H192" s="34">
        <f t="shared" si="24"/>
        <v>793</v>
      </c>
      <c r="I192" s="34">
        <f t="shared" si="24"/>
        <v>793</v>
      </c>
      <c r="J192" s="34">
        <f t="shared" si="21"/>
        <v>6344</v>
      </c>
      <c r="K192" s="133">
        <v>1000</v>
      </c>
      <c r="L192" s="34"/>
      <c r="M192" s="16">
        <f t="shared" si="14"/>
        <v>451.94933838562042</v>
      </c>
      <c r="N192" s="36">
        <v>400</v>
      </c>
      <c r="O192" s="36">
        <v>4</v>
      </c>
      <c r="P192" s="57">
        <v>634.40000000000009</v>
      </c>
      <c r="Q192" s="2" t="s">
        <v>90</v>
      </c>
      <c r="S192" s="57">
        <f t="shared" si="22"/>
        <v>317.20000000000005</v>
      </c>
    </row>
    <row r="193" spans="1:20" ht="13.5" x14ac:dyDescent="0.25">
      <c r="A193" s="8" t="str">
        <f t="shared" si="16"/>
        <v/>
      </c>
      <c r="B193" s="38"/>
      <c r="C193" s="35" t="s">
        <v>34</v>
      </c>
      <c r="D193" s="38"/>
      <c r="E193" s="38"/>
      <c r="F193" s="38"/>
      <c r="G193" s="40"/>
      <c r="H193" s="38"/>
      <c r="I193" s="38"/>
      <c r="J193" s="38"/>
      <c r="K193" s="133">
        <v>1000</v>
      </c>
      <c r="L193" s="38"/>
      <c r="M193" s="16">
        <f t="shared" si="14"/>
        <v>0</v>
      </c>
      <c r="N193" s="36">
        <v>400</v>
      </c>
      <c r="O193" s="40"/>
      <c r="P193" s="57">
        <v>0</v>
      </c>
      <c r="Q193" s="38"/>
      <c r="R193" s="38"/>
      <c r="S193" s="57">
        <f t="shared" si="22"/>
        <v>0</v>
      </c>
      <c r="T193" s="267"/>
    </row>
    <row r="194" spans="1:20" ht="13.5" x14ac:dyDescent="0.25">
      <c r="A194" s="8" t="str">
        <f t="shared" si="16"/>
        <v>100050214</v>
      </c>
      <c r="B194" s="8">
        <v>10005</v>
      </c>
      <c r="C194" s="8">
        <v>2</v>
      </c>
      <c r="D194" s="8" t="s">
        <v>62</v>
      </c>
      <c r="E194" s="8">
        <v>4</v>
      </c>
      <c r="F194" s="34">
        <f t="shared" ref="F194:G197" si="26">ROUNDDOWN($P194/4*$O194*10*$N194/$N194*$Q194/400,0)</f>
        <v>3216</v>
      </c>
      <c r="G194" s="34">
        <f t="shared" si="26"/>
        <v>3216</v>
      </c>
      <c r="H194" s="34">
        <f t="shared" si="24"/>
        <v>402</v>
      </c>
      <c r="I194" s="34">
        <f t="shared" si="24"/>
        <v>402</v>
      </c>
      <c r="J194" s="34">
        <f t="shared" si="21"/>
        <v>3216</v>
      </c>
      <c r="K194" s="133">
        <v>1000</v>
      </c>
      <c r="L194" s="34"/>
      <c r="M194" s="16">
        <f t="shared" si="14"/>
        <v>163.12444745285731</v>
      </c>
      <c r="N194" s="36">
        <v>400</v>
      </c>
      <c r="O194" s="36">
        <v>4</v>
      </c>
      <c r="P194" s="57">
        <v>321.60000000000002</v>
      </c>
      <c r="Q194" s="2" t="s">
        <v>123</v>
      </c>
      <c r="S194" s="57">
        <f t="shared" si="22"/>
        <v>160.80000000000001</v>
      </c>
    </row>
    <row r="195" spans="1:20" ht="13.5" x14ac:dyDescent="0.25">
      <c r="A195" s="8" t="str">
        <f t="shared" si="16"/>
        <v>100050314</v>
      </c>
      <c r="B195" s="8">
        <v>10005</v>
      </c>
      <c r="C195" s="8">
        <v>3</v>
      </c>
      <c r="D195" s="8" t="s">
        <v>62</v>
      </c>
      <c r="E195" s="8">
        <v>4</v>
      </c>
      <c r="F195" s="34">
        <f t="shared" si="26"/>
        <v>3288</v>
      </c>
      <c r="G195" s="34">
        <f t="shared" si="26"/>
        <v>3288</v>
      </c>
      <c r="H195" s="34">
        <f t="shared" si="24"/>
        <v>411</v>
      </c>
      <c r="I195" s="34">
        <f t="shared" si="24"/>
        <v>411</v>
      </c>
      <c r="J195" s="34">
        <f t="shared" si="21"/>
        <v>3288</v>
      </c>
      <c r="K195" s="133">
        <v>1000</v>
      </c>
      <c r="L195" s="34"/>
      <c r="M195" s="16">
        <f t="shared" si="14"/>
        <v>168.63305458183459</v>
      </c>
      <c r="N195" s="36">
        <v>400</v>
      </c>
      <c r="O195" s="36">
        <v>4</v>
      </c>
      <c r="P195" s="57">
        <v>328.8</v>
      </c>
      <c r="Q195" s="2" t="s">
        <v>90</v>
      </c>
      <c r="S195" s="57">
        <f t="shared" si="22"/>
        <v>164.4</v>
      </c>
    </row>
    <row r="196" spans="1:20" ht="13.5" x14ac:dyDescent="0.25">
      <c r="A196" s="8" t="str">
        <f t="shared" si="16"/>
        <v>100050414</v>
      </c>
      <c r="B196" s="8">
        <v>10005</v>
      </c>
      <c r="C196" s="8">
        <v>4</v>
      </c>
      <c r="D196" s="8" t="s">
        <v>62</v>
      </c>
      <c r="E196" s="8">
        <v>4</v>
      </c>
      <c r="F196" s="34">
        <f t="shared" si="26"/>
        <v>4352</v>
      </c>
      <c r="G196" s="34">
        <f t="shared" si="26"/>
        <v>4352</v>
      </c>
      <c r="H196" s="34">
        <f t="shared" si="24"/>
        <v>544</v>
      </c>
      <c r="I196" s="34">
        <f t="shared" si="24"/>
        <v>544</v>
      </c>
      <c r="J196" s="34">
        <f t="shared" si="21"/>
        <v>4352</v>
      </c>
      <c r="K196" s="133">
        <v>1000</v>
      </c>
      <c r="L196" s="34"/>
      <c r="M196" s="16">
        <f t="shared" si="14"/>
        <v>256.79012786008735</v>
      </c>
      <c r="N196" s="36">
        <v>400</v>
      </c>
      <c r="O196" s="36">
        <v>4</v>
      </c>
      <c r="P196" s="57">
        <v>435.20000000000005</v>
      </c>
      <c r="Q196" s="2" t="s">
        <v>90</v>
      </c>
      <c r="S196" s="57">
        <f t="shared" si="22"/>
        <v>217.60000000000002</v>
      </c>
    </row>
    <row r="197" spans="1:20" ht="13.5" x14ac:dyDescent="0.25">
      <c r="A197" s="8" t="str">
        <f t="shared" si="16"/>
        <v>100050514</v>
      </c>
      <c r="B197" s="8">
        <v>10005</v>
      </c>
      <c r="C197" s="8">
        <v>5</v>
      </c>
      <c r="D197" s="8" t="s">
        <v>62</v>
      </c>
      <c r="E197" s="8">
        <v>4</v>
      </c>
      <c r="F197" s="34">
        <f t="shared" si="26"/>
        <v>6344</v>
      </c>
      <c r="G197" s="34">
        <f t="shared" si="26"/>
        <v>6344</v>
      </c>
      <c r="H197" s="34">
        <f t="shared" si="24"/>
        <v>793</v>
      </c>
      <c r="I197" s="34">
        <f t="shared" si="24"/>
        <v>793</v>
      </c>
      <c r="J197" s="34">
        <f t="shared" si="21"/>
        <v>6344</v>
      </c>
      <c r="K197" s="133">
        <v>1000</v>
      </c>
      <c r="L197" s="34"/>
      <c r="M197" s="16">
        <f t="shared" ref="M197:M260" si="27">(F197*J197*((H197+I197)/2)/1000)^(1/2)/10*0.8</f>
        <v>451.94933838562042</v>
      </c>
      <c r="N197" s="36">
        <v>400</v>
      </c>
      <c r="O197" s="36">
        <v>4</v>
      </c>
      <c r="P197" s="57">
        <v>634.40000000000009</v>
      </c>
      <c r="Q197" s="2" t="s">
        <v>90</v>
      </c>
      <c r="S197" s="57">
        <f t="shared" si="22"/>
        <v>317.20000000000005</v>
      </c>
    </row>
    <row r="198" spans="1:20" ht="13.5" x14ac:dyDescent="0.25">
      <c r="A198" s="8" t="str">
        <f t="shared" si="16"/>
        <v/>
      </c>
      <c r="B198" s="38"/>
      <c r="C198" s="35" t="s">
        <v>35</v>
      </c>
      <c r="D198" s="38"/>
      <c r="E198" s="38"/>
      <c r="F198" s="38"/>
      <c r="G198" s="40"/>
      <c r="H198" s="38"/>
      <c r="I198" s="38"/>
      <c r="J198" s="38"/>
      <c r="K198" s="133">
        <v>1000</v>
      </c>
      <c r="L198" s="38"/>
      <c r="M198" s="16">
        <f t="shared" si="27"/>
        <v>0</v>
      </c>
      <c r="N198" s="36">
        <v>400</v>
      </c>
      <c r="O198" s="40"/>
      <c r="P198" s="57">
        <v>0</v>
      </c>
      <c r="Q198" s="38"/>
      <c r="R198" s="38"/>
      <c r="S198" s="57">
        <f t="shared" si="22"/>
        <v>0</v>
      </c>
      <c r="T198" s="267"/>
    </row>
    <row r="199" spans="1:20" ht="13.5" x14ac:dyDescent="0.25">
      <c r="A199" s="8" t="str">
        <f t="shared" si="16"/>
        <v>100060214</v>
      </c>
      <c r="B199" s="8">
        <v>10006</v>
      </c>
      <c r="C199" s="8">
        <v>2</v>
      </c>
      <c r="D199" s="8" t="s">
        <v>62</v>
      </c>
      <c r="E199" s="8">
        <v>4</v>
      </c>
      <c r="F199" s="34">
        <f t="shared" ref="F199:G202" si="28">ROUNDDOWN($P199/4*$O199*10*$N199/$N199*$Q199/400,0)</f>
        <v>3216</v>
      </c>
      <c r="G199" s="34">
        <f t="shared" si="28"/>
        <v>3216</v>
      </c>
      <c r="H199" s="34">
        <f t="shared" si="24"/>
        <v>402</v>
      </c>
      <c r="I199" s="34">
        <f t="shared" si="24"/>
        <v>402</v>
      </c>
      <c r="J199" s="34">
        <f t="shared" si="21"/>
        <v>3216</v>
      </c>
      <c r="K199" s="133">
        <v>1000</v>
      </c>
      <c r="L199" s="34"/>
      <c r="M199" s="16">
        <f t="shared" si="27"/>
        <v>163.12444745285731</v>
      </c>
      <c r="N199" s="36">
        <v>400</v>
      </c>
      <c r="O199" s="36">
        <v>4</v>
      </c>
      <c r="P199" s="57">
        <v>321.60000000000002</v>
      </c>
      <c r="Q199" s="2" t="s">
        <v>123</v>
      </c>
      <c r="S199" s="57">
        <f t="shared" si="22"/>
        <v>160.80000000000001</v>
      </c>
    </row>
    <row r="200" spans="1:20" ht="13.5" x14ac:dyDescent="0.25">
      <c r="A200" s="8" t="str">
        <f t="shared" si="16"/>
        <v>100060314</v>
      </c>
      <c r="B200" s="8">
        <v>10006</v>
      </c>
      <c r="C200" s="8">
        <v>3</v>
      </c>
      <c r="D200" s="8" t="s">
        <v>62</v>
      </c>
      <c r="E200" s="8">
        <v>4</v>
      </c>
      <c r="F200" s="34">
        <f t="shared" si="28"/>
        <v>3288</v>
      </c>
      <c r="G200" s="34">
        <f t="shared" si="28"/>
        <v>3288</v>
      </c>
      <c r="H200" s="34">
        <f t="shared" ref="H200:I202" si="29">ROUNDDOWN($S200/4*10,0)</f>
        <v>411</v>
      </c>
      <c r="I200" s="34">
        <f t="shared" si="29"/>
        <v>411</v>
      </c>
      <c r="J200" s="34">
        <f t="shared" si="21"/>
        <v>3288</v>
      </c>
      <c r="K200" s="133">
        <v>1000</v>
      </c>
      <c r="L200" s="34"/>
      <c r="M200" s="16">
        <f t="shared" si="27"/>
        <v>168.63305458183459</v>
      </c>
      <c r="N200" s="36">
        <v>400</v>
      </c>
      <c r="O200" s="36">
        <v>4</v>
      </c>
      <c r="P200" s="57">
        <v>328.8</v>
      </c>
      <c r="Q200" s="2" t="s">
        <v>90</v>
      </c>
      <c r="S200" s="57">
        <f t="shared" si="22"/>
        <v>164.4</v>
      </c>
    </row>
    <row r="201" spans="1:20" ht="13.5" x14ac:dyDescent="0.25">
      <c r="A201" s="8" t="str">
        <f t="shared" si="16"/>
        <v>100060414</v>
      </c>
      <c r="B201" s="8">
        <v>10006</v>
      </c>
      <c r="C201" s="8">
        <v>4</v>
      </c>
      <c r="D201" s="8" t="s">
        <v>62</v>
      </c>
      <c r="E201" s="8">
        <v>4</v>
      </c>
      <c r="F201" s="34">
        <f t="shared" si="28"/>
        <v>4352</v>
      </c>
      <c r="G201" s="34">
        <f t="shared" si="28"/>
        <v>4352</v>
      </c>
      <c r="H201" s="34">
        <f t="shared" si="29"/>
        <v>544</v>
      </c>
      <c r="I201" s="34">
        <f t="shared" si="29"/>
        <v>544</v>
      </c>
      <c r="J201" s="34">
        <f t="shared" si="21"/>
        <v>4352</v>
      </c>
      <c r="K201" s="133">
        <v>1000</v>
      </c>
      <c r="L201" s="34"/>
      <c r="M201" s="16">
        <f t="shared" si="27"/>
        <v>256.79012786008735</v>
      </c>
      <c r="N201" s="36">
        <v>400</v>
      </c>
      <c r="O201" s="36">
        <v>4</v>
      </c>
      <c r="P201" s="57">
        <v>435.20000000000005</v>
      </c>
      <c r="Q201" s="2" t="s">
        <v>90</v>
      </c>
      <c r="S201" s="57">
        <f t="shared" si="22"/>
        <v>217.60000000000002</v>
      </c>
    </row>
    <row r="202" spans="1:20" ht="13.5" x14ac:dyDescent="0.25">
      <c r="A202" s="8" t="str">
        <f t="shared" si="16"/>
        <v>100060514</v>
      </c>
      <c r="B202" s="8">
        <v>10006</v>
      </c>
      <c r="C202" s="8">
        <v>5</v>
      </c>
      <c r="D202" s="8" t="s">
        <v>62</v>
      </c>
      <c r="E202" s="8">
        <v>4</v>
      </c>
      <c r="F202" s="34">
        <f t="shared" si="28"/>
        <v>6344</v>
      </c>
      <c r="G202" s="34">
        <f t="shared" si="28"/>
        <v>6344</v>
      </c>
      <c r="H202" s="34">
        <f t="shared" si="29"/>
        <v>793</v>
      </c>
      <c r="I202" s="34">
        <f t="shared" si="29"/>
        <v>793</v>
      </c>
      <c r="J202" s="34">
        <f t="shared" si="21"/>
        <v>6344</v>
      </c>
      <c r="K202" s="133">
        <v>1000</v>
      </c>
      <c r="L202" s="34"/>
      <c r="M202" s="16">
        <f t="shared" si="27"/>
        <v>451.94933838562042</v>
      </c>
      <c r="N202" s="36">
        <v>400</v>
      </c>
      <c r="O202" s="36">
        <v>4</v>
      </c>
      <c r="P202" s="57">
        <v>634.40000000000009</v>
      </c>
      <c r="Q202" s="2" t="s">
        <v>90</v>
      </c>
      <c r="S202" s="57">
        <f t="shared" si="22"/>
        <v>317.20000000000005</v>
      </c>
    </row>
    <row r="203" spans="1:20" ht="13.5" x14ac:dyDescent="0.25">
      <c r="A203" s="8" t="str">
        <f t="shared" si="16"/>
        <v/>
      </c>
      <c r="B203" s="38"/>
      <c r="C203" s="35" t="s">
        <v>36</v>
      </c>
      <c r="D203" s="38"/>
      <c r="E203" s="38"/>
      <c r="F203" s="38"/>
      <c r="G203" s="40"/>
      <c r="H203" s="38"/>
      <c r="I203" s="38"/>
      <c r="J203" s="38"/>
      <c r="K203" s="133">
        <v>1000</v>
      </c>
      <c r="L203" s="38"/>
      <c r="M203" s="16">
        <f t="shared" si="27"/>
        <v>0</v>
      </c>
      <c r="N203" s="36">
        <v>400</v>
      </c>
      <c r="O203" s="40"/>
      <c r="P203" s="57">
        <v>0</v>
      </c>
      <c r="Q203" s="38"/>
      <c r="R203" s="38"/>
      <c r="S203" s="57">
        <f t="shared" si="22"/>
        <v>0</v>
      </c>
      <c r="T203" s="267"/>
    </row>
    <row r="204" spans="1:20" ht="13.5" x14ac:dyDescent="0.25">
      <c r="A204" s="8" t="str">
        <f t="shared" si="16"/>
        <v>100070214</v>
      </c>
      <c r="B204" s="8">
        <v>10007</v>
      </c>
      <c r="C204" s="8">
        <v>2</v>
      </c>
      <c r="D204" s="8" t="s">
        <v>62</v>
      </c>
      <c r="E204" s="8">
        <v>4</v>
      </c>
      <c r="F204" s="34">
        <f t="shared" ref="F204:G207" si="30">ROUNDDOWN($P204/4*$O204*10*$N204/$N204*$Q204/400,0)</f>
        <v>3216</v>
      </c>
      <c r="G204" s="34">
        <f t="shared" si="30"/>
        <v>3216</v>
      </c>
      <c r="H204" s="34">
        <f t="shared" ref="H204:I207" si="31">ROUNDDOWN($S204/4*10,0)</f>
        <v>402</v>
      </c>
      <c r="I204" s="34">
        <f t="shared" si="31"/>
        <v>402</v>
      </c>
      <c r="J204" s="34">
        <f t="shared" si="21"/>
        <v>3216</v>
      </c>
      <c r="K204" s="133">
        <v>1000</v>
      </c>
      <c r="L204" s="34"/>
      <c r="M204" s="16">
        <f t="shared" si="27"/>
        <v>163.12444745285731</v>
      </c>
      <c r="N204" s="36">
        <v>400</v>
      </c>
      <c r="O204" s="36">
        <v>4</v>
      </c>
      <c r="P204" s="57">
        <v>321.60000000000002</v>
      </c>
      <c r="Q204" s="2" t="s">
        <v>123</v>
      </c>
      <c r="S204" s="57">
        <f t="shared" si="22"/>
        <v>160.80000000000001</v>
      </c>
    </row>
    <row r="205" spans="1:20" ht="13.5" x14ac:dyDescent="0.25">
      <c r="A205" s="8" t="str">
        <f t="shared" si="16"/>
        <v>100070314</v>
      </c>
      <c r="B205" s="8">
        <v>10007</v>
      </c>
      <c r="C205" s="8">
        <v>3</v>
      </c>
      <c r="D205" s="8" t="s">
        <v>62</v>
      </c>
      <c r="E205" s="8">
        <v>4</v>
      </c>
      <c r="F205" s="34">
        <f t="shared" si="30"/>
        <v>3288</v>
      </c>
      <c r="G205" s="34">
        <f t="shared" si="30"/>
        <v>3288</v>
      </c>
      <c r="H205" s="34">
        <f t="shared" si="31"/>
        <v>411</v>
      </c>
      <c r="I205" s="34">
        <f t="shared" si="31"/>
        <v>411</v>
      </c>
      <c r="J205" s="34">
        <f t="shared" si="21"/>
        <v>3288</v>
      </c>
      <c r="K205" s="133">
        <v>1000</v>
      </c>
      <c r="L205" s="34"/>
      <c r="M205" s="16">
        <f t="shared" si="27"/>
        <v>168.63305458183459</v>
      </c>
      <c r="N205" s="36">
        <v>400</v>
      </c>
      <c r="O205" s="36">
        <v>4</v>
      </c>
      <c r="P205" s="57">
        <v>328.8</v>
      </c>
      <c r="Q205" s="2" t="s">
        <v>90</v>
      </c>
      <c r="S205" s="57">
        <f t="shared" si="22"/>
        <v>164.4</v>
      </c>
    </row>
    <row r="206" spans="1:20" ht="13.5" x14ac:dyDescent="0.25">
      <c r="A206" s="8" t="str">
        <f t="shared" si="16"/>
        <v>100070414</v>
      </c>
      <c r="B206" s="8">
        <v>10007</v>
      </c>
      <c r="C206" s="8">
        <v>4</v>
      </c>
      <c r="D206" s="8" t="s">
        <v>62</v>
      </c>
      <c r="E206" s="8">
        <v>4</v>
      </c>
      <c r="F206" s="34">
        <f t="shared" si="30"/>
        <v>4352</v>
      </c>
      <c r="G206" s="34">
        <f t="shared" si="30"/>
        <v>4352</v>
      </c>
      <c r="H206" s="34">
        <f t="shared" si="31"/>
        <v>544</v>
      </c>
      <c r="I206" s="34">
        <f t="shared" si="31"/>
        <v>544</v>
      </c>
      <c r="J206" s="34">
        <f t="shared" si="21"/>
        <v>4352</v>
      </c>
      <c r="K206" s="133">
        <v>1000</v>
      </c>
      <c r="L206" s="34"/>
      <c r="M206" s="16">
        <f t="shared" si="27"/>
        <v>256.79012786008735</v>
      </c>
      <c r="N206" s="36">
        <v>400</v>
      </c>
      <c r="O206" s="36">
        <v>4</v>
      </c>
      <c r="P206" s="57">
        <v>435.20000000000005</v>
      </c>
      <c r="Q206" s="2" t="s">
        <v>90</v>
      </c>
      <c r="S206" s="57">
        <f t="shared" si="22"/>
        <v>217.60000000000002</v>
      </c>
    </row>
    <row r="207" spans="1:20" ht="13.5" x14ac:dyDescent="0.25">
      <c r="A207" s="8" t="str">
        <f t="shared" si="16"/>
        <v>100070514</v>
      </c>
      <c r="B207" s="8">
        <v>10007</v>
      </c>
      <c r="C207" s="8">
        <v>5</v>
      </c>
      <c r="D207" s="8" t="s">
        <v>62</v>
      </c>
      <c r="E207" s="8">
        <v>4</v>
      </c>
      <c r="F207" s="34">
        <f t="shared" si="30"/>
        <v>6344</v>
      </c>
      <c r="G207" s="34">
        <f t="shared" si="30"/>
        <v>6344</v>
      </c>
      <c r="H207" s="34">
        <f t="shared" si="31"/>
        <v>793</v>
      </c>
      <c r="I207" s="34">
        <f t="shared" si="31"/>
        <v>793</v>
      </c>
      <c r="J207" s="34">
        <f t="shared" si="21"/>
        <v>6344</v>
      </c>
      <c r="K207" s="133">
        <v>1000</v>
      </c>
      <c r="L207" s="34"/>
      <c r="M207" s="16">
        <f t="shared" si="27"/>
        <v>451.94933838562042</v>
      </c>
      <c r="N207" s="36">
        <v>400</v>
      </c>
      <c r="O207" s="36">
        <v>4</v>
      </c>
      <c r="P207" s="57">
        <v>634.40000000000009</v>
      </c>
      <c r="Q207" s="2" t="s">
        <v>90</v>
      </c>
      <c r="S207" s="57">
        <f t="shared" si="22"/>
        <v>317.20000000000005</v>
      </c>
    </row>
    <row r="208" spans="1:20" ht="13.5" x14ac:dyDescent="0.25">
      <c r="A208" s="8" t="str">
        <f t="shared" si="16"/>
        <v/>
      </c>
      <c r="B208" s="38"/>
      <c r="C208" s="35" t="s">
        <v>37</v>
      </c>
      <c r="D208" s="38"/>
      <c r="E208" s="38"/>
      <c r="F208" s="38"/>
      <c r="G208" s="40"/>
      <c r="H208" s="38"/>
      <c r="I208" s="38"/>
      <c r="J208" s="38"/>
      <c r="K208" s="133">
        <v>1000</v>
      </c>
      <c r="L208" s="38"/>
      <c r="M208" s="16">
        <f t="shared" si="27"/>
        <v>0</v>
      </c>
      <c r="N208" s="36">
        <v>400</v>
      </c>
      <c r="O208" s="40"/>
      <c r="P208" s="57">
        <v>0</v>
      </c>
      <c r="Q208" s="38"/>
      <c r="R208" s="38"/>
      <c r="S208" s="57">
        <f t="shared" si="22"/>
        <v>0</v>
      </c>
      <c r="T208" s="267"/>
    </row>
    <row r="209" spans="1:20" ht="13.5" x14ac:dyDescent="0.25">
      <c r="A209" s="8" t="str">
        <f t="shared" si="16"/>
        <v>100080214</v>
      </c>
      <c r="B209" s="8">
        <v>10008</v>
      </c>
      <c r="C209" s="8">
        <v>2</v>
      </c>
      <c r="D209" s="8" t="s">
        <v>62</v>
      </c>
      <c r="E209" s="8">
        <v>4</v>
      </c>
      <c r="F209" s="34">
        <f t="shared" ref="F209:G212" si="32">ROUNDDOWN($P209/4*$O209*10*$N209/$N209*$Q209/400,0)</f>
        <v>3216</v>
      </c>
      <c r="G209" s="34">
        <f t="shared" si="32"/>
        <v>3216</v>
      </c>
      <c r="H209" s="34">
        <f t="shared" ref="H209:I212" si="33">ROUNDDOWN($S209/4*10,0)</f>
        <v>402</v>
      </c>
      <c r="I209" s="34">
        <f t="shared" si="33"/>
        <v>402</v>
      </c>
      <c r="J209" s="34">
        <f t="shared" si="21"/>
        <v>3216</v>
      </c>
      <c r="K209" s="133">
        <v>1000</v>
      </c>
      <c r="L209" s="34"/>
      <c r="M209" s="16">
        <f t="shared" si="27"/>
        <v>163.12444745285731</v>
      </c>
      <c r="N209" s="36">
        <v>400</v>
      </c>
      <c r="O209" s="36">
        <v>4</v>
      </c>
      <c r="P209" s="57">
        <v>321.60000000000002</v>
      </c>
      <c r="Q209" s="2" t="s">
        <v>123</v>
      </c>
      <c r="S209" s="57">
        <f t="shared" si="22"/>
        <v>160.80000000000001</v>
      </c>
    </row>
    <row r="210" spans="1:20" ht="13.5" x14ac:dyDescent="0.25">
      <c r="A210" s="8" t="str">
        <f t="shared" si="16"/>
        <v>100080314</v>
      </c>
      <c r="B210" s="8">
        <v>10008</v>
      </c>
      <c r="C210" s="8">
        <v>3</v>
      </c>
      <c r="D210" s="8" t="s">
        <v>62</v>
      </c>
      <c r="E210" s="8">
        <v>4</v>
      </c>
      <c r="F210" s="34">
        <f t="shared" si="32"/>
        <v>3288</v>
      </c>
      <c r="G210" s="34">
        <f t="shared" si="32"/>
        <v>3288</v>
      </c>
      <c r="H210" s="34">
        <f t="shared" si="33"/>
        <v>411</v>
      </c>
      <c r="I210" s="34">
        <f t="shared" si="33"/>
        <v>411</v>
      </c>
      <c r="J210" s="34">
        <f t="shared" si="21"/>
        <v>3288</v>
      </c>
      <c r="K210" s="133">
        <v>1000</v>
      </c>
      <c r="L210" s="34"/>
      <c r="M210" s="16">
        <f t="shared" si="27"/>
        <v>168.63305458183459</v>
      </c>
      <c r="N210" s="36">
        <v>400</v>
      </c>
      <c r="O210" s="36">
        <v>4</v>
      </c>
      <c r="P210" s="57">
        <v>328.8</v>
      </c>
      <c r="Q210" s="2" t="s">
        <v>90</v>
      </c>
      <c r="S210" s="57">
        <f t="shared" si="22"/>
        <v>164.4</v>
      </c>
    </row>
    <row r="211" spans="1:20" ht="13.5" x14ac:dyDescent="0.25">
      <c r="A211" s="8" t="str">
        <f t="shared" si="16"/>
        <v>100080414</v>
      </c>
      <c r="B211" s="8">
        <v>10008</v>
      </c>
      <c r="C211" s="8">
        <v>4</v>
      </c>
      <c r="D211" s="8" t="s">
        <v>62</v>
      </c>
      <c r="E211" s="8">
        <v>4</v>
      </c>
      <c r="F211" s="34">
        <f t="shared" si="32"/>
        <v>4352</v>
      </c>
      <c r="G211" s="34">
        <f t="shared" si="32"/>
        <v>4352</v>
      </c>
      <c r="H211" s="34">
        <f t="shared" si="33"/>
        <v>544</v>
      </c>
      <c r="I211" s="34">
        <f t="shared" si="33"/>
        <v>544</v>
      </c>
      <c r="J211" s="34">
        <f t="shared" si="21"/>
        <v>4352</v>
      </c>
      <c r="K211" s="133">
        <v>1000</v>
      </c>
      <c r="L211" s="34"/>
      <c r="M211" s="16">
        <f t="shared" si="27"/>
        <v>256.79012786008735</v>
      </c>
      <c r="N211" s="36">
        <v>400</v>
      </c>
      <c r="O211" s="36">
        <v>4</v>
      </c>
      <c r="P211" s="57">
        <v>435.20000000000005</v>
      </c>
      <c r="Q211" s="2" t="s">
        <v>90</v>
      </c>
      <c r="S211" s="57">
        <f t="shared" si="22"/>
        <v>217.60000000000002</v>
      </c>
    </row>
    <row r="212" spans="1:20" ht="13.5" x14ac:dyDescent="0.25">
      <c r="A212" s="8" t="str">
        <f t="shared" si="16"/>
        <v>100080514</v>
      </c>
      <c r="B212" s="8">
        <v>10008</v>
      </c>
      <c r="C212" s="8">
        <v>5</v>
      </c>
      <c r="D212" s="8" t="s">
        <v>62</v>
      </c>
      <c r="E212" s="8">
        <v>4</v>
      </c>
      <c r="F212" s="34">
        <f t="shared" si="32"/>
        <v>6344</v>
      </c>
      <c r="G212" s="34">
        <f t="shared" si="32"/>
        <v>6344</v>
      </c>
      <c r="H212" s="34">
        <f t="shared" si="33"/>
        <v>793</v>
      </c>
      <c r="I212" s="34">
        <f t="shared" si="33"/>
        <v>793</v>
      </c>
      <c r="J212" s="34">
        <f t="shared" si="21"/>
        <v>6344</v>
      </c>
      <c r="K212" s="133">
        <v>1000</v>
      </c>
      <c r="L212" s="34"/>
      <c r="M212" s="16">
        <f t="shared" si="27"/>
        <v>451.94933838562042</v>
      </c>
      <c r="N212" s="36">
        <v>400</v>
      </c>
      <c r="O212" s="36">
        <v>4</v>
      </c>
      <c r="P212" s="57">
        <v>634.40000000000009</v>
      </c>
      <c r="Q212" s="2" t="s">
        <v>90</v>
      </c>
      <c r="S212" s="57">
        <f t="shared" si="22"/>
        <v>317.20000000000005</v>
      </c>
    </row>
    <row r="213" spans="1:20" ht="13.5" x14ac:dyDescent="0.25">
      <c r="A213" s="8" t="str">
        <f t="shared" si="16"/>
        <v/>
      </c>
      <c r="B213" s="38"/>
      <c r="C213" s="35" t="s">
        <v>38</v>
      </c>
      <c r="D213" s="38"/>
      <c r="E213" s="38"/>
      <c r="F213" s="38"/>
      <c r="G213" s="40"/>
      <c r="H213" s="38"/>
      <c r="I213" s="38"/>
      <c r="J213" s="38"/>
      <c r="K213" s="133">
        <v>1000</v>
      </c>
      <c r="L213" s="38"/>
      <c r="M213" s="16">
        <f t="shared" si="27"/>
        <v>0</v>
      </c>
      <c r="N213" s="36">
        <v>400</v>
      </c>
      <c r="O213" s="40"/>
      <c r="P213" s="57">
        <v>0</v>
      </c>
      <c r="Q213" s="38"/>
      <c r="R213" s="38"/>
      <c r="S213" s="57">
        <f t="shared" si="22"/>
        <v>0</v>
      </c>
      <c r="T213" s="267"/>
    </row>
    <row r="214" spans="1:20" ht="13.5" x14ac:dyDescent="0.25">
      <c r="A214" s="8" t="str">
        <f t="shared" si="16"/>
        <v>100090214</v>
      </c>
      <c r="B214" s="8">
        <v>10009</v>
      </c>
      <c r="C214" s="8">
        <v>2</v>
      </c>
      <c r="D214" s="8" t="s">
        <v>62</v>
      </c>
      <c r="E214" s="8">
        <v>4</v>
      </c>
      <c r="F214" s="34">
        <f t="shared" ref="F214:G217" si="34">ROUNDDOWN($P214/4*$O214*10*$N214/$N214*$Q214/400,0)</f>
        <v>3216</v>
      </c>
      <c r="G214" s="34">
        <f t="shared" si="34"/>
        <v>3216</v>
      </c>
      <c r="H214" s="34">
        <f t="shared" ref="H214:I217" si="35">ROUNDDOWN($S214/4*10,0)</f>
        <v>402</v>
      </c>
      <c r="I214" s="34">
        <f t="shared" si="35"/>
        <v>402</v>
      </c>
      <c r="J214" s="34">
        <f t="shared" si="21"/>
        <v>3216</v>
      </c>
      <c r="K214" s="133">
        <v>1000</v>
      </c>
      <c r="L214" s="34"/>
      <c r="M214" s="16">
        <f t="shared" si="27"/>
        <v>163.12444745285731</v>
      </c>
      <c r="N214" s="36">
        <v>400</v>
      </c>
      <c r="O214" s="36">
        <v>4</v>
      </c>
      <c r="P214" s="57">
        <v>321.60000000000002</v>
      </c>
      <c r="Q214" s="2" t="s">
        <v>123</v>
      </c>
      <c r="S214" s="57">
        <f t="shared" si="22"/>
        <v>160.80000000000001</v>
      </c>
    </row>
    <row r="215" spans="1:20" ht="13.5" x14ac:dyDescent="0.25">
      <c r="A215" s="8" t="str">
        <f t="shared" ref="A215:A278" si="36">IF(B215="","",CONCATENATE(B215,CONCATENATE(REPT(0,2-LEN(C215)),C215),IF(OR(D215="Easy",D215=""),1,IF(D215="Normal",2,IF(D215="Hard",3,IF(D215="Hell",4,"error")))),E215))</f>
        <v>100090314</v>
      </c>
      <c r="B215" s="8">
        <v>10009</v>
      </c>
      <c r="C215" s="8">
        <v>3</v>
      </c>
      <c r="D215" s="8" t="s">
        <v>62</v>
      </c>
      <c r="E215" s="8">
        <v>4</v>
      </c>
      <c r="F215" s="34">
        <f t="shared" si="34"/>
        <v>3288</v>
      </c>
      <c r="G215" s="34">
        <f t="shared" si="34"/>
        <v>3288</v>
      </c>
      <c r="H215" s="34">
        <f t="shared" si="35"/>
        <v>411</v>
      </c>
      <c r="I215" s="34">
        <f t="shared" si="35"/>
        <v>411</v>
      </c>
      <c r="J215" s="34">
        <f t="shared" si="21"/>
        <v>3288</v>
      </c>
      <c r="K215" s="133">
        <v>1000</v>
      </c>
      <c r="L215" s="34"/>
      <c r="M215" s="16">
        <f t="shared" si="27"/>
        <v>168.63305458183459</v>
      </c>
      <c r="N215" s="36">
        <v>400</v>
      </c>
      <c r="O215" s="36">
        <v>4</v>
      </c>
      <c r="P215" s="57">
        <v>328.8</v>
      </c>
      <c r="Q215" s="2" t="s">
        <v>90</v>
      </c>
      <c r="S215" s="57">
        <f t="shared" si="22"/>
        <v>164.4</v>
      </c>
    </row>
    <row r="216" spans="1:20" ht="13.5" x14ac:dyDescent="0.25">
      <c r="A216" s="8" t="str">
        <f t="shared" si="36"/>
        <v>100090414</v>
      </c>
      <c r="B216" s="8">
        <v>10009</v>
      </c>
      <c r="C216" s="8">
        <v>4</v>
      </c>
      <c r="D216" s="8" t="s">
        <v>62</v>
      </c>
      <c r="E216" s="8">
        <v>4</v>
      </c>
      <c r="F216" s="34">
        <f t="shared" si="34"/>
        <v>4352</v>
      </c>
      <c r="G216" s="34">
        <f t="shared" si="34"/>
        <v>4352</v>
      </c>
      <c r="H216" s="34">
        <f t="shared" si="35"/>
        <v>544</v>
      </c>
      <c r="I216" s="34">
        <f t="shared" si="35"/>
        <v>544</v>
      </c>
      <c r="J216" s="34">
        <f t="shared" si="21"/>
        <v>4352</v>
      </c>
      <c r="K216" s="133">
        <v>1000</v>
      </c>
      <c r="L216" s="34"/>
      <c r="M216" s="16">
        <f t="shared" si="27"/>
        <v>256.79012786008735</v>
      </c>
      <c r="N216" s="36">
        <v>400</v>
      </c>
      <c r="O216" s="36">
        <v>4</v>
      </c>
      <c r="P216" s="57">
        <v>435.20000000000005</v>
      </c>
      <c r="Q216" s="2" t="s">
        <v>90</v>
      </c>
      <c r="S216" s="57">
        <f t="shared" si="22"/>
        <v>217.60000000000002</v>
      </c>
    </row>
    <row r="217" spans="1:20" ht="13.5" x14ac:dyDescent="0.25">
      <c r="A217" s="8" t="str">
        <f t="shared" si="36"/>
        <v>100090514</v>
      </c>
      <c r="B217" s="8">
        <v>10009</v>
      </c>
      <c r="C217" s="8">
        <v>5</v>
      </c>
      <c r="D217" s="8" t="s">
        <v>62</v>
      </c>
      <c r="E217" s="8">
        <v>4</v>
      </c>
      <c r="F217" s="34">
        <f t="shared" si="34"/>
        <v>6344</v>
      </c>
      <c r="G217" s="34">
        <f t="shared" si="34"/>
        <v>6344</v>
      </c>
      <c r="H217" s="34">
        <f t="shared" si="35"/>
        <v>793</v>
      </c>
      <c r="I217" s="34">
        <f t="shared" si="35"/>
        <v>793</v>
      </c>
      <c r="J217" s="34">
        <f t="shared" si="21"/>
        <v>6344</v>
      </c>
      <c r="K217" s="133">
        <v>1000</v>
      </c>
      <c r="L217" s="34"/>
      <c r="M217" s="16">
        <f t="shared" si="27"/>
        <v>451.94933838562042</v>
      </c>
      <c r="N217" s="36">
        <v>400</v>
      </c>
      <c r="O217" s="36">
        <v>4</v>
      </c>
      <c r="P217" s="57">
        <v>634.40000000000009</v>
      </c>
      <c r="Q217" s="2" t="s">
        <v>90</v>
      </c>
      <c r="S217" s="57">
        <f t="shared" si="22"/>
        <v>317.20000000000005</v>
      </c>
    </row>
    <row r="218" spans="1:20" ht="13.5" x14ac:dyDescent="0.25">
      <c r="A218" s="8" t="str">
        <f t="shared" si="36"/>
        <v/>
      </c>
      <c r="B218" s="38"/>
      <c r="C218" s="35" t="s">
        <v>39</v>
      </c>
      <c r="D218" s="38"/>
      <c r="E218" s="38"/>
      <c r="F218" s="38"/>
      <c r="G218" s="40"/>
      <c r="H218" s="38"/>
      <c r="I218" s="38"/>
      <c r="J218" s="38"/>
      <c r="K218" s="133">
        <v>1000</v>
      </c>
      <c r="L218" s="38"/>
      <c r="M218" s="16">
        <f t="shared" si="27"/>
        <v>0</v>
      </c>
      <c r="N218" s="36">
        <v>400</v>
      </c>
      <c r="O218" s="40"/>
      <c r="P218" s="57">
        <v>0</v>
      </c>
      <c r="Q218" s="38"/>
      <c r="R218" s="38"/>
      <c r="S218" s="57">
        <f t="shared" si="22"/>
        <v>0</v>
      </c>
      <c r="T218" s="267"/>
    </row>
    <row r="219" spans="1:20" ht="13.5" x14ac:dyDescent="0.25">
      <c r="A219" s="8" t="str">
        <f t="shared" si="36"/>
        <v>100100214</v>
      </c>
      <c r="B219" s="8">
        <v>10010</v>
      </c>
      <c r="C219" s="8">
        <v>2</v>
      </c>
      <c r="D219" s="8" t="s">
        <v>62</v>
      </c>
      <c r="E219" s="8">
        <v>4</v>
      </c>
      <c r="F219" s="34">
        <f t="shared" ref="F219:G222" si="37">ROUNDDOWN($P219/4*$O219*10*$N219/$N219*$Q219/400,0)</f>
        <v>3216</v>
      </c>
      <c r="G219" s="34">
        <f t="shared" si="37"/>
        <v>3216</v>
      </c>
      <c r="H219" s="34">
        <f t="shared" ref="H219:I222" si="38">ROUNDDOWN($S219/4*10,0)</f>
        <v>402</v>
      </c>
      <c r="I219" s="34">
        <f t="shared" si="38"/>
        <v>402</v>
      </c>
      <c r="J219" s="34">
        <f t="shared" si="21"/>
        <v>3216</v>
      </c>
      <c r="K219" s="133">
        <v>1000</v>
      </c>
      <c r="L219" s="34"/>
      <c r="M219" s="16">
        <f t="shared" si="27"/>
        <v>163.12444745285731</v>
      </c>
      <c r="N219" s="36">
        <v>400</v>
      </c>
      <c r="O219" s="36">
        <v>4</v>
      </c>
      <c r="P219" s="57">
        <v>321.60000000000002</v>
      </c>
      <c r="Q219" s="2" t="s">
        <v>123</v>
      </c>
      <c r="S219" s="57">
        <f t="shared" si="22"/>
        <v>160.80000000000001</v>
      </c>
    </row>
    <row r="220" spans="1:20" ht="13.5" x14ac:dyDescent="0.25">
      <c r="A220" s="8" t="str">
        <f t="shared" si="36"/>
        <v>100100314</v>
      </c>
      <c r="B220" s="8">
        <v>10010</v>
      </c>
      <c r="C220" s="8">
        <v>3</v>
      </c>
      <c r="D220" s="8" t="s">
        <v>62</v>
      </c>
      <c r="E220" s="8">
        <v>4</v>
      </c>
      <c r="F220" s="34">
        <f t="shared" si="37"/>
        <v>3288</v>
      </c>
      <c r="G220" s="34">
        <f t="shared" si="37"/>
        <v>3288</v>
      </c>
      <c r="H220" s="34">
        <f t="shared" si="38"/>
        <v>411</v>
      </c>
      <c r="I220" s="34">
        <f t="shared" si="38"/>
        <v>411</v>
      </c>
      <c r="J220" s="34">
        <f t="shared" si="21"/>
        <v>3288</v>
      </c>
      <c r="K220" s="133">
        <v>1000</v>
      </c>
      <c r="L220" s="34"/>
      <c r="M220" s="16">
        <f t="shared" si="27"/>
        <v>168.63305458183459</v>
      </c>
      <c r="N220" s="36">
        <v>400</v>
      </c>
      <c r="O220" s="36">
        <v>4</v>
      </c>
      <c r="P220" s="57">
        <v>328.8</v>
      </c>
      <c r="Q220" s="2" t="s">
        <v>90</v>
      </c>
      <c r="S220" s="57">
        <f t="shared" si="22"/>
        <v>164.4</v>
      </c>
    </row>
    <row r="221" spans="1:20" ht="13.5" x14ac:dyDescent="0.25">
      <c r="A221" s="8" t="str">
        <f t="shared" si="36"/>
        <v>100100414</v>
      </c>
      <c r="B221" s="8">
        <v>10010</v>
      </c>
      <c r="C221" s="8">
        <v>4</v>
      </c>
      <c r="D221" s="8" t="s">
        <v>62</v>
      </c>
      <c r="E221" s="8">
        <v>4</v>
      </c>
      <c r="F221" s="34">
        <f t="shared" si="37"/>
        <v>4352</v>
      </c>
      <c r="G221" s="34">
        <f t="shared" si="37"/>
        <v>4352</v>
      </c>
      <c r="H221" s="34">
        <f t="shared" si="38"/>
        <v>544</v>
      </c>
      <c r="I221" s="34">
        <f t="shared" si="38"/>
        <v>544</v>
      </c>
      <c r="J221" s="34">
        <f t="shared" si="21"/>
        <v>4352</v>
      </c>
      <c r="K221" s="133">
        <v>1000</v>
      </c>
      <c r="L221" s="34"/>
      <c r="M221" s="16">
        <f t="shared" si="27"/>
        <v>256.79012786008735</v>
      </c>
      <c r="N221" s="36">
        <v>400</v>
      </c>
      <c r="O221" s="36">
        <v>4</v>
      </c>
      <c r="P221" s="57">
        <v>435.20000000000005</v>
      </c>
      <c r="Q221" s="2" t="s">
        <v>90</v>
      </c>
      <c r="S221" s="57">
        <f t="shared" si="22"/>
        <v>217.60000000000002</v>
      </c>
    </row>
    <row r="222" spans="1:20" ht="13.5" x14ac:dyDescent="0.25">
      <c r="A222" s="8" t="str">
        <f t="shared" si="36"/>
        <v>100100514</v>
      </c>
      <c r="B222" s="8">
        <v>10010</v>
      </c>
      <c r="C222" s="8">
        <v>5</v>
      </c>
      <c r="D222" s="8" t="s">
        <v>62</v>
      </c>
      <c r="E222" s="8">
        <v>4</v>
      </c>
      <c r="F222" s="34">
        <f t="shared" si="37"/>
        <v>6344</v>
      </c>
      <c r="G222" s="34">
        <f t="shared" si="37"/>
        <v>6344</v>
      </c>
      <c r="H222" s="34">
        <f t="shared" si="38"/>
        <v>793</v>
      </c>
      <c r="I222" s="34">
        <f t="shared" si="38"/>
        <v>793</v>
      </c>
      <c r="J222" s="34">
        <f t="shared" si="21"/>
        <v>6344</v>
      </c>
      <c r="K222" s="133">
        <v>1000</v>
      </c>
      <c r="L222" s="34"/>
      <c r="M222" s="16">
        <f t="shared" si="27"/>
        <v>451.94933838562042</v>
      </c>
      <c r="N222" s="36">
        <v>400</v>
      </c>
      <c r="O222" s="36">
        <v>4</v>
      </c>
      <c r="P222" s="57">
        <v>634.40000000000009</v>
      </c>
      <c r="Q222" s="2" t="s">
        <v>90</v>
      </c>
      <c r="S222" s="57">
        <f t="shared" si="22"/>
        <v>317.20000000000005</v>
      </c>
    </row>
    <row r="223" spans="1:20" ht="13.5" x14ac:dyDescent="0.25">
      <c r="A223" s="8" t="str">
        <f t="shared" si="36"/>
        <v/>
      </c>
      <c r="B223" s="38"/>
      <c r="C223" s="35" t="s">
        <v>40</v>
      </c>
      <c r="D223" s="38"/>
      <c r="E223" s="38"/>
      <c r="F223" s="38"/>
      <c r="G223" s="40"/>
      <c r="H223" s="38"/>
      <c r="I223" s="38"/>
      <c r="J223" s="38"/>
      <c r="K223" s="133">
        <v>1000</v>
      </c>
      <c r="L223" s="38"/>
      <c r="M223" s="16">
        <f t="shared" si="27"/>
        <v>0</v>
      </c>
      <c r="N223" s="36">
        <v>400</v>
      </c>
      <c r="O223" s="40"/>
      <c r="P223" s="57">
        <v>0</v>
      </c>
      <c r="Q223" s="38"/>
      <c r="R223" s="38"/>
      <c r="S223" s="57">
        <f t="shared" si="22"/>
        <v>0</v>
      </c>
      <c r="T223" s="267"/>
    </row>
    <row r="224" spans="1:20" ht="13.5" x14ac:dyDescent="0.25">
      <c r="A224" s="8" t="str">
        <f t="shared" si="36"/>
        <v>100110214</v>
      </c>
      <c r="B224" s="8">
        <v>10011</v>
      </c>
      <c r="C224" s="8">
        <v>2</v>
      </c>
      <c r="D224" s="8" t="s">
        <v>62</v>
      </c>
      <c r="E224" s="8">
        <v>4</v>
      </c>
      <c r="F224" s="34">
        <f t="shared" ref="F224:G227" si="39">ROUNDDOWN($P224/4*$O224*10*$N224/$N224*$Q224/400,0)</f>
        <v>3216</v>
      </c>
      <c r="G224" s="34">
        <f t="shared" si="39"/>
        <v>3216</v>
      </c>
      <c r="H224" s="34">
        <f t="shared" ref="H224:I227" si="40">ROUNDDOWN($S224/4*10,0)</f>
        <v>402</v>
      </c>
      <c r="I224" s="34">
        <f t="shared" si="40"/>
        <v>402</v>
      </c>
      <c r="J224" s="34">
        <f t="shared" si="21"/>
        <v>3216</v>
      </c>
      <c r="K224" s="133">
        <v>1000</v>
      </c>
      <c r="L224" s="34"/>
      <c r="M224" s="16">
        <f t="shared" si="27"/>
        <v>163.12444745285731</v>
      </c>
      <c r="N224" s="36">
        <v>400</v>
      </c>
      <c r="O224" s="36">
        <v>4</v>
      </c>
      <c r="P224" s="57">
        <v>321.60000000000002</v>
      </c>
      <c r="Q224" s="2" t="s">
        <v>123</v>
      </c>
      <c r="S224" s="57">
        <f t="shared" si="22"/>
        <v>160.80000000000001</v>
      </c>
    </row>
    <row r="225" spans="1:20" ht="13.5" x14ac:dyDescent="0.25">
      <c r="A225" s="8" t="str">
        <f t="shared" si="36"/>
        <v>100110314</v>
      </c>
      <c r="B225" s="8">
        <v>10011</v>
      </c>
      <c r="C225" s="8">
        <v>3</v>
      </c>
      <c r="D225" s="8" t="s">
        <v>62</v>
      </c>
      <c r="E225" s="8">
        <v>4</v>
      </c>
      <c r="F225" s="34">
        <f t="shared" si="39"/>
        <v>3288</v>
      </c>
      <c r="G225" s="34">
        <f t="shared" si="39"/>
        <v>3288</v>
      </c>
      <c r="H225" s="34">
        <f t="shared" si="40"/>
        <v>411</v>
      </c>
      <c r="I225" s="34">
        <f t="shared" si="40"/>
        <v>411</v>
      </c>
      <c r="J225" s="34">
        <f t="shared" si="21"/>
        <v>3288</v>
      </c>
      <c r="K225" s="133">
        <v>1000</v>
      </c>
      <c r="L225" s="34"/>
      <c r="M225" s="16">
        <f t="shared" si="27"/>
        <v>168.63305458183459</v>
      </c>
      <c r="N225" s="36">
        <v>400</v>
      </c>
      <c r="O225" s="36">
        <v>4</v>
      </c>
      <c r="P225" s="57">
        <v>328.8</v>
      </c>
      <c r="Q225" s="2" t="s">
        <v>90</v>
      </c>
      <c r="S225" s="57">
        <f t="shared" si="22"/>
        <v>164.4</v>
      </c>
    </row>
    <row r="226" spans="1:20" ht="13.5" x14ac:dyDescent="0.25">
      <c r="A226" s="8" t="str">
        <f t="shared" si="36"/>
        <v>100110414</v>
      </c>
      <c r="B226" s="8">
        <v>10011</v>
      </c>
      <c r="C226" s="8">
        <v>4</v>
      </c>
      <c r="D226" s="8" t="s">
        <v>62</v>
      </c>
      <c r="E226" s="8">
        <v>4</v>
      </c>
      <c r="F226" s="34">
        <f t="shared" si="39"/>
        <v>4352</v>
      </c>
      <c r="G226" s="34">
        <f t="shared" si="39"/>
        <v>4352</v>
      </c>
      <c r="H226" s="34">
        <f t="shared" si="40"/>
        <v>544</v>
      </c>
      <c r="I226" s="34">
        <f t="shared" si="40"/>
        <v>544</v>
      </c>
      <c r="J226" s="34">
        <f t="shared" si="21"/>
        <v>4352</v>
      </c>
      <c r="K226" s="133">
        <v>1000</v>
      </c>
      <c r="L226" s="34"/>
      <c r="M226" s="16">
        <f t="shared" si="27"/>
        <v>256.79012786008735</v>
      </c>
      <c r="N226" s="36">
        <v>400</v>
      </c>
      <c r="O226" s="36">
        <v>4</v>
      </c>
      <c r="P226" s="57">
        <v>435.20000000000005</v>
      </c>
      <c r="Q226" s="2" t="s">
        <v>90</v>
      </c>
      <c r="S226" s="57">
        <f t="shared" si="22"/>
        <v>217.60000000000002</v>
      </c>
    </row>
    <row r="227" spans="1:20" ht="13.5" x14ac:dyDescent="0.25">
      <c r="A227" s="8" t="str">
        <f t="shared" si="36"/>
        <v>100110514</v>
      </c>
      <c r="B227" s="8">
        <v>10011</v>
      </c>
      <c r="C227" s="8">
        <v>5</v>
      </c>
      <c r="D227" s="8" t="s">
        <v>62</v>
      </c>
      <c r="E227" s="8">
        <v>4</v>
      </c>
      <c r="F227" s="34">
        <f t="shared" si="39"/>
        <v>6344</v>
      </c>
      <c r="G227" s="34">
        <f t="shared" si="39"/>
        <v>6344</v>
      </c>
      <c r="H227" s="34">
        <f t="shared" si="40"/>
        <v>793</v>
      </c>
      <c r="I227" s="34">
        <f t="shared" si="40"/>
        <v>793</v>
      </c>
      <c r="J227" s="34">
        <f t="shared" si="21"/>
        <v>6344</v>
      </c>
      <c r="K227" s="133">
        <v>1000</v>
      </c>
      <c r="L227" s="34"/>
      <c r="M227" s="16">
        <f t="shared" si="27"/>
        <v>451.94933838562042</v>
      </c>
      <c r="N227" s="36">
        <v>400</v>
      </c>
      <c r="O227" s="36">
        <v>4</v>
      </c>
      <c r="P227" s="57">
        <v>634.40000000000009</v>
      </c>
      <c r="Q227" s="2" t="s">
        <v>90</v>
      </c>
      <c r="S227" s="57">
        <f t="shared" si="22"/>
        <v>317.20000000000005</v>
      </c>
    </row>
    <row r="228" spans="1:20" ht="13.5" x14ac:dyDescent="0.25">
      <c r="A228" s="8" t="str">
        <f t="shared" si="36"/>
        <v/>
      </c>
      <c r="B228" s="38"/>
      <c r="C228" s="35" t="s">
        <v>41</v>
      </c>
      <c r="D228" s="38"/>
      <c r="E228" s="38"/>
      <c r="F228" s="38"/>
      <c r="G228" s="40"/>
      <c r="H228" s="38"/>
      <c r="I228" s="38"/>
      <c r="J228" s="38"/>
      <c r="K228" s="133">
        <v>1000</v>
      </c>
      <c r="L228" s="38"/>
      <c r="M228" s="16">
        <f t="shared" si="27"/>
        <v>0</v>
      </c>
      <c r="N228" s="36">
        <v>400</v>
      </c>
      <c r="O228" s="40"/>
      <c r="P228" s="57">
        <v>0</v>
      </c>
      <c r="Q228" s="38"/>
      <c r="R228" s="38"/>
      <c r="S228" s="57">
        <f t="shared" si="22"/>
        <v>0</v>
      </c>
      <c r="T228" s="267"/>
    </row>
    <row r="229" spans="1:20" ht="13.5" x14ac:dyDescent="0.25">
      <c r="A229" s="8" t="str">
        <f t="shared" si="36"/>
        <v>100120214</v>
      </c>
      <c r="B229" s="8">
        <v>10012</v>
      </c>
      <c r="C229" s="8">
        <v>2</v>
      </c>
      <c r="D229" s="8" t="s">
        <v>62</v>
      </c>
      <c r="E229" s="8">
        <v>4</v>
      </c>
      <c r="F229" s="34">
        <f t="shared" ref="F229:G232" si="41">ROUNDDOWN($P229/4*$O229*10*$N229/$N229*$Q229/400,0)</f>
        <v>3216</v>
      </c>
      <c r="G229" s="34">
        <f t="shared" si="41"/>
        <v>3216</v>
      </c>
      <c r="H229" s="34">
        <f t="shared" ref="H229:I232" si="42">ROUNDDOWN($S229/4*10,0)</f>
        <v>402</v>
      </c>
      <c r="I229" s="34">
        <f t="shared" si="42"/>
        <v>402</v>
      </c>
      <c r="J229" s="34">
        <f t="shared" si="21"/>
        <v>3216</v>
      </c>
      <c r="K229" s="133">
        <v>1000</v>
      </c>
      <c r="L229" s="34"/>
      <c r="M229" s="16">
        <f t="shared" si="27"/>
        <v>163.12444745285731</v>
      </c>
      <c r="N229" s="36">
        <v>400</v>
      </c>
      <c r="O229" s="36">
        <v>4</v>
      </c>
      <c r="P229" s="57">
        <v>321.60000000000002</v>
      </c>
      <c r="Q229" s="2" t="s">
        <v>123</v>
      </c>
      <c r="S229" s="57">
        <f t="shared" si="22"/>
        <v>160.80000000000001</v>
      </c>
    </row>
    <row r="230" spans="1:20" ht="13.5" x14ac:dyDescent="0.25">
      <c r="A230" s="8" t="str">
        <f t="shared" si="36"/>
        <v>100120314</v>
      </c>
      <c r="B230" s="8">
        <v>10012</v>
      </c>
      <c r="C230" s="8">
        <v>3</v>
      </c>
      <c r="D230" s="8" t="s">
        <v>62</v>
      </c>
      <c r="E230" s="8">
        <v>4</v>
      </c>
      <c r="F230" s="34">
        <f t="shared" si="41"/>
        <v>3288</v>
      </c>
      <c r="G230" s="34">
        <f t="shared" si="41"/>
        <v>3288</v>
      </c>
      <c r="H230" s="34">
        <f t="shared" si="42"/>
        <v>411</v>
      </c>
      <c r="I230" s="34">
        <f t="shared" si="42"/>
        <v>411</v>
      </c>
      <c r="J230" s="34">
        <f t="shared" si="21"/>
        <v>3288</v>
      </c>
      <c r="K230" s="133">
        <v>1000</v>
      </c>
      <c r="L230" s="34"/>
      <c r="M230" s="16">
        <f t="shared" si="27"/>
        <v>168.63305458183459</v>
      </c>
      <c r="N230" s="36">
        <v>400</v>
      </c>
      <c r="O230" s="36">
        <v>4</v>
      </c>
      <c r="P230" s="57">
        <v>328.8</v>
      </c>
      <c r="Q230" s="2" t="s">
        <v>90</v>
      </c>
      <c r="S230" s="57">
        <f t="shared" si="22"/>
        <v>164.4</v>
      </c>
    </row>
    <row r="231" spans="1:20" ht="13.5" x14ac:dyDescent="0.25">
      <c r="A231" s="8" t="str">
        <f t="shared" si="36"/>
        <v>100120414</v>
      </c>
      <c r="B231" s="8">
        <v>10012</v>
      </c>
      <c r="C231" s="8">
        <v>4</v>
      </c>
      <c r="D231" s="8" t="s">
        <v>62</v>
      </c>
      <c r="E231" s="8">
        <v>4</v>
      </c>
      <c r="F231" s="34">
        <f t="shared" si="41"/>
        <v>4352</v>
      </c>
      <c r="G231" s="34">
        <f t="shared" si="41"/>
        <v>4352</v>
      </c>
      <c r="H231" s="34">
        <f t="shared" si="42"/>
        <v>544</v>
      </c>
      <c r="I231" s="34">
        <f t="shared" si="42"/>
        <v>544</v>
      </c>
      <c r="J231" s="34">
        <f t="shared" si="21"/>
        <v>4352</v>
      </c>
      <c r="K231" s="133">
        <v>1000</v>
      </c>
      <c r="L231" s="34"/>
      <c r="M231" s="16">
        <f t="shared" si="27"/>
        <v>256.79012786008735</v>
      </c>
      <c r="N231" s="36">
        <v>400</v>
      </c>
      <c r="O231" s="36">
        <v>4</v>
      </c>
      <c r="P231" s="57">
        <v>435.20000000000005</v>
      </c>
      <c r="Q231" s="2" t="s">
        <v>90</v>
      </c>
      <c r="S231" s="57">
        <f t="shared" si="22"/>
        <v>217.60000000000002</v>
      </c>
    </row>
    <row r="232" spans="1:20" ht="13.5" x14ac:dyDescent="0.25">
      <c r="A232" s="8" t="str">
        <f t="shared" si="36"/>
        <v>100120514</v>
      </c>
      <c r="B232" s="8">
        <v>10012</v>
      </c>
      <c r="C232" s="8">
        <v>5</v>
      </c>
      <c r="D232" s="8" t="s">
        <v>62</v>
      </c>
      <c r="E232" s="8">
        <v>4</v>
      </c>
      <c r="F232" s="34">
        <f t="shared" si="41"/>
        <v>6344</v>
      </c>
      <c r="G232" s="34">
        <f t="shared" si="41"/>
        <v>6344</v>
      </c>
      <c r="H232" s="34">
        <f t="shared" si="42"/>
        <v>793</v>
      </c>
      <c r="I232" s="34">
        <f t="shared" si="42"/>
        <v>793</v>
      </c>
      <c r="J232" s="34">
        <f t="shared" si="21"/>
        <v>6344</v>
      </c>
      <c r="K232" s="133">
        <v>1000</v>
      </c>
      <c r="L232" s="34"/>
      <c r="M232" s="16">
        <f t="shared" si="27"/>
        <v>451.94933838562042</v>
      </c>
      <c r="N232" s="36">
        <v>400</v>
      </c>
      <c r="O232" s="36">
        <v>4</v>
      </c>
      <c r="P232" s="57">
        <v>634.40000000000009</v>
      </c>
      <c r="Q232" s="2" t="s">
        <v>90</v>
      </c>
      <c r="S232" s="57">
        <f t="shared" si="22"/>
        <v>317.20000000000005</v>
      </c>
    </row>
    <row r="233" spans="1:20" ht="13.5" x14ac:dyDescent="0.25">
      <c r="A233" s="8" t="str">
        <f t="shared" si="36"/>
        <v/>
      </c>
      <c r="B233" s="38"/>
      <c r="C233" s="35" t="s">
        <v>42</v>
      </c>
      <c r="D233" s="38"/>
      <c r="E233" s="38"/>
      <c r="F233" s="38"/>
      <c r="G233" s="40"/>
      <c r="H233" s="38"/>
      <c r="I233" s="38"/>
      <c r="J233" s="38"/>
      <c r="K233" s="133">
        <v>1000</v>
      </c>
      <c r="L233" s="38"/>
      <c r="M233" s="16">
        <f t="shared" si="27"/>
        <v>0</v>
      </c>
      <c r="N233" s="36">
        <v>400</v>
      </c>
      <c r="O233" s="40"/>
      <c r="P233" s="57">
        <v>0</v>
      </c>
      <c r="Q233" s="38"/>
      <c r="R233" s="38"/>
      <c r="S233" s="57">
        <f t="shared" si="22"/>
        <v>0</v>
      </c>
      <c r="T233" s="267"/>
    </row>
    <row r="234" spans="1:20" ht="13.5" x14ac:dyDescent="0.25">
      <c r="A234" s="8" t="str">
        <f t="shared" si="36"/>
        <v>100130214</v>
      </c>
      <c r="B234" s="8">
        <v>10013</v>
      </c>
      <c r="C234" s="8">
        <v>2</v>
      </c>
      <c r="D234" s="8" t="s">
        <v>62</v>
      </c>
      <c r="E234" s="8">
        <v>4</v>
      </c>
      <c r="F234" s="34">
        <f t="shared" ref="F234:G237" si="43">ROUNDDOWN($P234/4*$O234*10*$N234/$N234*$Q234/400,0)</f>
        <v>3216</v>
      </c>
      <c r="G234" s="34">
        <f t="shared" si="43"/>
        <v>3216</v>
      </c>
      <c r="H234" s="34">
        <f t="shared" ref="H234:I237" si="44">ROUNDDOWN($S234/4*10,0)</f>
        <v>402</v>
      </c>
      <c r="I234" s="34">
        <f t="shared" si="44"/>
        <v>402</v>
      </c>
      <c r="J234" s="34">
        <f t="shared" si="21"/>
        <v>3216</v>
      </c>
      <c r="K234" s="133">
        <v>1000</v>
      </c>
      <c r="L234" s="34"/>
      <c r="M234" s="16">
        <f t="shared" si="27"/>
        <v>163.12444745285731</v>
      </c>
      <c r="N234" s="36">
        <v>400</v>
      </c>
      <c r="O234" s="36">
        <v>4</v>
      </c>
      <c r="P234" s="57">
        <v>321.60000000000002</v>
      </c>
      <c r="Q234" s="2" t="s">
        <v>123</v>
      </c>
      <c r="S234" s="57">
        <f t="shared" si="22"/>
        <v>160.80000000000001</v>
      </c>
    </row>
    <row r="235" spans="1:20" ht="13.5" x14ac:dyDescent="0.25">
      <c r="A235" s="8" t="str">
        <f t="shared" si="36"/>
        <v>100130314</v>
      </c>
      <c r="B235" s="8">
        <v>10013</v>
      </c>
      <c r="C235" s="8">
        <v>3</v>
      </c>
      <c r="D235" s="8" t="s">
        <v>62</v>
      </c>
      <c r="E235" s="8">
        <v>4</v>
      </c>
      <c r="F235" s="34">
        <f t="shared" si="43"/>
        <v>3288</v>
      </c>
      <c r="G235" s="34">
        <f t="shared" si="43"/>
        <v>3288</v>
      </c>
      <c r="H235" s="34">
        <f t="shared" si="44"/>
        <v>411</v>
      </c>
      <c r="I235" s="34">
        <f t="shared" si="44"/>
        <v>411</v>
      </c>
      <c r="J235" s="34">
        <f t="shared" si="21"/>
        <v>3288</v>
      </c>
      <c r="K235" s="133">
        <v>1000</v>
      </c>
      <c r="L235" s="34"/>
      <c r="M235" s="16">
        <f t="shared" si="27"/>
        <v>168.63305458183459</v>
      </c>
      <c r="N235" s="36">
        <v>400</v>
      </c>
      <c r="O235" s="36">
        <v>4</v>
      </c>
      <c r="P235" s="57">
        <v>328.8</v>
      </c>
      <c r="Q235" s="2" t="s">
        <v>90</v>
      </c>
      <c r="S235" s="57">
        <f t="shared" si="22"/>
        <v>164.4</v>
      </c>
    </row>
    <row r="236" spans="1:20" ht="13.5" x14ac:dyDescent="0.25">
      <c r="A236" s="8" t="str">
        <f t="shared" si="36"/>
        <v>100130414</v>
      </c>
      <c r="B236" s="8">
        <v>10013</v>
      </c>
      <c r="C236" s="8">
        <v>4</v>
      </c>
      <c r="D236" s="8" t="s">
        <v>62</v>
      </c>
      <c r="E236" s="8">
        <v>4</v>
      </c>
      <c r="F236" s="34">
        <f t="shared" si="43"/>
        <v>4352</v>
      </c>
      <c r="G236" s="34">
        <f t="shared" si="43"/>
        <v>4352</v>
      </c>
      <c r="H236" s="34">
        <f t="shared" si="44"/>
        <v>544</v>
      </c>
      <c r="I236" s="34">
        <f t="shared" si="44"/>
        <v>544</v>
      </c>
      <c r="J236" s="34">
        <f t="shared" si="21"/>
        <v>4352</v>
      </c>
      <c r="K236" s="133">
        <v>1000</v>
      </c>
      <c r="L236" s="34"/>
      <c r="M236" s="16">
        <f t="shared" si="27"/>
        <v>256.79012786008735</v>
      </c>
      <c r="N236" s="36">
        <v>400</v>
      </c>
      <c r="O236" s="36">
        <v>4</v>
      </c>
      <c r="P236" s="57">
        <v>435.20000000000005</v>
      </c>
      <c r="Q236" s="2" t="s">
        <v>90</v>
      </c>
      <c r="S236" s="57">
        <f t="shared" si="22"/>
        <v>217.60000000000002</v>
      </c>
    </row>
    <row r="237" spans="1:20" ht="13.5" x14ac:dyDescent="0.25">
      <c r="A237" s="8" t="str">
        <f t="shared" si="36"/>
        <v>100130514</v>
      </c>
      <c r="B237" s="8">
        <v>10013</v>
      </c>
      <c r="C237" s="8">
        <v>5</v>
      </c>
      <c r="D237" s="8" t="s">
        <v>62</v>
      </c>
      <c r="E237" s="8">
        <v>4</v>
      </c>
      <c r="F237" s="34">
        <f t="shared" si="43"/>
        <v>6344</v>
      </c>
      <c r="G237" s="34">
        <f t="shared" si="43"/>
        <v>6344</v>
      </c>
      <c r="H237" s="34">
        <f t="shared" si="44"/>
        <v>793</v>
      </c>
      <c r="I237" s="34">
        <f t="shared" si="44"/>
        <v>793</v>
      </c>
      <c r="J237" s="34">
        <f t="shared" ref="J237" si="45">ROUNDDOWN($P237/4*$O237*10*$N237/$Q237*$N237/400,0)</f>
        <v>6344</v>
      </c>
      <c r="K237" s="133">
        <v>1000</v>
      </c>
      <c r="L237" s="34"/>
      <c r="M237" s="16">
        <f t="shared" si="27"/>
        <v>451.94933838562042</v>
      </c>
      <c r="N237" s="36">
        <v>400</v>
      </c>
      <c r="O237" s="36">
        <v>4</v>
      </c>
      <c r="P237" s="57">
        <v>634.40000000000009</v>
      </c>
      <c r="Q237" s="2" t="s">
        <v>90</v>
      </c>
      <c r="S237" s="57">
        <f t="shared" si="22"/>
        <v>317.20000000000005</v>
      </c>
    </row>
    <row r="238" spans="1:20" ht="13.5" x14ac:dyDescent="0.25">
      <c r="A238" s="8" t="str">
        <f t="shared" si="36"/>
        <v/>
      </c>
      <c r="B238" s="38"/>
      <c r="C238" s="35" t="s">
        <v>43</v>
      </c>
      <c r="D238" s="38"/>
      <c r="E238" s="38"/>
      <c r="F238" s="38"/>
      <c r="G238" s="40"/>
      <c r="H238" s="38"/>
      <c r="I238" s="38"/>
      <c r="J238" s="38"/>
      <c r="K238" s="133">
        <v>1000</v>
      </c>
      <c r="L238" s="38"/>
      <c r="M238" s="16">
        <f t="shared" si="27"/>
        <v>0</v>
      </c>
      <c r="N238" s="36">
        <v>400</v>
      </c>
      <c r="O238" s="40"/>
      <c r="P238" s="57">
        <v>0</v>
      </c>
      <c r="Q238" s="38"/>
      <c r="R238" s="38"/>
      <c r="S238" s="57">
        <f t="shared" si="22"/>
        <v>0</v>
      </c>
      <c r="T238" s="267"/>
    </row>
    <row r="239" spans="1:20" ht="13.5" x14ac:dyDescent="0.25">
      <c r="A239" s="8" t="str">
        <f t="shared" si="36"/>
        <v>100140214</v>
      </c>
      <c r="B239" s="8">
        <v>10014</v>
      </c>
      <c r="C239" s="8">
        <v>2</v>
      </c>
      <c r="D239" s="8" t="s">
        <v>62</v>
      </c>
      <c r="E239" s="8">
        <v>4</v>
      </c>
      <c r="F239" s="34">
        <f t="shared" ref="F239:G242" si="46">ROUNDDOWN($P239/4*$O239*10*$N239/$N239*$Q239/400,0)</f>
        <v>3216</v>
      </c>
      <c r="G239" s="34">
        <f t="shared" si="46"/>
        <v>3216</v>
      </c>
      <c r="H239" s="34">
        <f t="shared" ref="H239:I242" si="47">ROUNDDOWN($S239/4*10,0)</f>
        <v>402</v>
      </c>
      <c r="I239" s="34">
        <f t="shared" si="47"/>
        <v>402</v>
      </c>
      <c r="J239" s="34">
        <f t="shared" ref="J239:J242" si="48">ROUNDDOWN($P239/4*$O239*10*$N239/$Q239*$N239/400,0)</f>
        <v>3216</v>
      </c>
      <c r="K239" s="133">
        <v>1000</v>
      </c>
      <c r="L239" s="34"/>
      <c r="M239" s="16">
        <f t="shared" si="27"/>
        <v>163.12444745285731</v>
      </c>
      <c r="N239" s="36">
        <v>400</v>
      </c>
      <c r="O239" s="36">
        <v>4</v>
      </c>
      <c r="P239" s="57">
        <v>321.60000000000002</v>
      </c>
      <c r="Q239" s="2" t="s">
        <v>123</v>
      </c>
      <c r="S239" s="57">
        <f t="shared" ref="S239:S297" si="49">P239/2</f>
        <v>160.80000000000001</v>
      </c>
    </row>
    <row r="240" spans="1:20" ht="13.5" x14ac:dyDescent="0.25">
      <c r="A240" s="8" t="str">
        <f t="shared" si="36"/>
        <v>100140314</v>
      </c>
      <c r="B240" s="8">
        <v>10014</v>
      </c>
      <c r="C240" s="8">
        <v>3</v>
      </c>
      <c r="D240" s="8" t="s">
        <v>62</v>
      </c>
      <c r="E240" s="8">
        <v>4</v>
      </c>
      <c r="F240" s="34">
        <f t="shared" si="46"/>
        <v>3288</v>
      </c>
      <c r="G240" s="34">
        <f t="shared" si="46"/>
        <v>3288</v>
      </c>
      <c r="H240" s="34">
        <f t="shared" si="47"/>
        <v>411</v>
      </c>
      <c r="I240" s="34">
        <f t="shared" si="47"/>
        <v>411</v>
      </c>
      <c r="J240" s="34">
        <f t="shared" si="48"/>
        <v>3288</v>
      </c>
      <c r="K240" s="133">
        <v>1000</v>
      </c>
      <c r="L240" s="34"/>
      <c r="M240" s="16">
        <f t="shared" si="27"/>
        <v>168.63305458183459</v>
      </c>
      <c r="N240" s="36">
        <v>400</v>
      </c>
      <c r="O240" s="36">
        <v>4</v>
      </c>
      <c r="P240" s="57">
        <v>328.8</v>
      </c>
      <c r="Q240" s="2" t="s">
        <v>90</v>
      </c>
      <c r="S240" s="57">
        <f t="shared" si="49"/>
        <v>164.4</v>
      </c>
    </row>
    <row r="241" spans="1:20" ht="13.5" x14ac:dyDescent="0.25">
      <c r="A241" s="8" t="str">
        <f t="shared" si="36"/>
        <v>100140414</v>
      </c>
      <c r="B241" s="8">
        <v>10014</v>
      </c>
      <c r="C241" s="8">
        <v>4</v>
      </c>
      <c r="D241" s="8" t="s">
        <v>62</v>
      </c>
      <c r="E241" s="8">
        <v>4</v>
      </c>
      <c r="F241" s="34">
        <f t="shared" si="46"/>
        <v>4352</v>
      </c>
      <c r="G241" s="34">
        <f t="shared" si="46"/>
        <v>4352</v>
      </c>
      <c r="H241" s="34">
        <f t="shared" si="47"/>
        <v>544</v>
      </c>
      <c r="I241" s="34">
        <f t="shared" si="47"/>
        <v>544</v>
      </c>
      <c r="J241" s="34">
        <f t="shared" si="48"/>
        <v>4352</v>
      </c>
      <c r="K241" s="133">
        <v>1000</v>
      </c>
      <c r="L241" s="34"/>
      <c r="M241" s="16">
        <f t="shared" si="27"/>
        <v>256.79012786008735</v>
      </c>
      <c r="N241" s="36">
        <v>400</v>
      </c>
      <c r="O241" s="36">
        <v>4</v>
      </c>
      <c r="P241" s="57">
        <v>435.20000000000005</v>
      </c>
      <c r="Q241" s="2" t="s">
        <v>90</v>
      </c>
      <c r="S241" s="57">
        <f t="shared" si="49"/>
        <v>217.60000000000002</v>
      </c>
    </row>
    <row r="242" spans="1:20" ht="13.5" x14ac:dyDescent="0.25">
      <c r="A242" s="8" t="str">
        <f t="shared" si="36"/>
        <v>100140514</v>
      </c>
      <c r="B242" s="8">
        <v>10014</v>
      </c>
      <c r="C242" s="8">
        <v>5</v>
      </c>
      <c r="D242" s="8" t="s">
        <v>62</v>
      </c>
      <c r="E242" s="8">
        <v>4</v>
      </c>
      <c r="F242" s="34">
        <f t="shared" si="46"/>
        <v>6344</v>
      </c>
      <c r="G242" s="34">
        <f t="shared" si="46"/>
        <v>6344</v>
      </c>
      <c r="H242" s="34">
        <f t="shared" si="47"/>
        <v>793</v>
      </c>
      <c r="I242" s="34">
        <f t="shared" si="47"/>
        <v>793</v>
      </c>
      <c r="J242" s="34">
        <f t="shared" si="48"/>
        <v>6344</v>
      </c>
      <c r="K242" s="133">
        <v>1000</v>
      </c>
      <c r="L242" s="34"/>
      <c r="M242" s="16">
        <f t="shared" si="27"/>
        <v>451.94933838562042</v>
      </c>
      <c r="N242" s="36">
        <v>400</v>
      </c>
      <c r="O242" s="36">
        <v>4</v>
      </c>
      <c r="P242" s="57">
        <v>634.40000000000009</v>
      </c>
      <c r="Q242" s="2" t="s">
        <v>90</v>
      </c>
      <c r="S242" s="57">
        <f t="shared" si="49"/>
        <v>317.20000000000005</v>
      </c>
    </row>
    <row r="243" spans="1:20" ht="13.5" x14ac:dyDescent="0.25">
      <c r="A243" s="8" t="str">
        <f t="shared" si="36"/>
        <v/>
      </c>
      <c r="B243" s="38"/>
      <c r="C243" s="35" t="s">
        <v>44</v>
      </c>
      <c r="D243" s="38"/>
      <c r="E243" s="38"/>
      <c r="F243" s="38"/>
      <c r="G243" s="40"/>
      <c r="H243" s="38"/>
      <c r="I243" s="38"/>
      <c r="J243" s="38"/>
      <c r="K243" s="133">
        <v>1000</v>
      </c>
      <c r="L243" s="38"/>
      <c r="M243" s="16">
        <f t="shared" si="27"/>
        <v>0</v>
      </c>
      <c r="N243" s="36">
        <v>400</v>
      </c>
      <c r="O243" s="40"/>
      <c r="P243" s="57">
        <v>0</v>
      </c>
      <c r="Q243" s="38"/>
      <c r="R243" s="38"/>
      <c r="S243" s="57">
        <f t="shared" si="49"/>
        <v>0</v>
      </c>
      <c r="T243" s="267"/>
    </row>
    <row r="244" spans="1:20" ht="13.5" x14ac:dyDescent="0.25">
      <c r="A244" s="8" t="str">
        <f t="shared" si="36"/>
        <v>100150214</v>
      </c>
      <c r="B244" s="8">
        <v>10015</v>
      </c>
      <c r="C244" s="8">
        <v>2</v>
      </c>
      <c r="D244" s="8" t="s">
        <v>62</v>
      </c>
      <c r="E244" s="8">
        <v>4</v>
      </c>
      <c r="F244" s="34">
        <f t="shared" ref="F244:G247" si="50">ROUNDDOWN($P244/4*$O244*10*$N244/$N244*$Q244/400,0)</f>
        <v>3216</v>
      </c>
      <c r="G244" s="34">
        <f t="shared" si="50"/>
        <v>3216</v>
      </c>
      <c r="H244" s="34">
        <f t="shared" ref="H244:I247" si="51">ROUNDDOWN($S244/4*10,0)</f>
        <v>402</v>
      </c>
      <c r="I244" s="34">
        <f t="shared" si="51"/>
        <v>402</v>
      </c>
      <c r="J244" s="34">
        <f t="shared" ref="J244:J247" si="52">ROUNDDOWN($P244/4*$O244*10*$N244/$Q244*$N244/400,0)</f>
        <v>3216</v>
      </c>
      <c r="K244" s="133">
        <v>1000</v>
      </c>
      <c r="L244" s="34"/>
      <c r="M244" s="16">
        <f t="shared" si="27"/>
        <v>163.12444745285731</v>
      </c>
      <c r="N244" s="36">
        <v>400</v>
      </c>
      <c r="O244" s="36">
        <v>4</v>
      </c>
      <c r="P244" s="57">
        <v>321.60000000000002</v>
      </c>
      <c r="Q244" s="2" t="s">
        <v>123</v>
      </c>
      <c r="S244" s="57">
        <f t="shared" si="49"/>
        <v>160.80000000000001</v>
      </c>
    </row>
    <row r="245" spans="1:20" ht="13.5" x14ac:dyDescent="0.25">
      <c r="A245" s="8" t="str">
        <f t="shared" si="36"/>
        <v>100150314</v>
      </c>
      <c r="B245" s="8">
        <v>10015</v>
      </c>
      <c r="C245" s="8">
        <v>3</v>
      </c>
      <c r="D245" s="8" t="s">
        <v>62</v>
      </c>
      <c r="E245" s="8">
        <v>4</v>
      </c>
      <c r="F245" s="34">
        <f t="shared" si="50"/>
        <v>3288</v>
      </c>
      <c r="G245" s="34">
        <f t="shared" si="50"/>
        <v>3288</v>
      </c>
      <c r="H245" s="34">
        <f t="shared" si="51"/>
        <v>411</v>
      </c>
      <c r="I245" s="34">
        <f t="shared" si="51"/>
        <v>411</v>
      </c>
      <c r="J245" s="34">
        <f t="shared" si="52"/>
        <v>3288</v>
      </c>
      <c r="K245" s="133">
        <v>1000</v>
      </c>
      <c r="L245" s="34"/>
      <c r="M245" s="16">
        <f t="shared" si="27"/>
        <v>168.63305458183459</v>
      </c>
      <c r="N245" s="36">
        <v>400</v>
      </c>
      <c r="O245" s="36">
        <v>4</v>
      </c>
      <c r="P245" s="57">
        <v>328.8</v>
      </c>
      <c r="Q245" s="2" t="s">
        <v>90</v>
      </c>
      <c r="S245" s="57">
        <f t="shared" si="49"/>
        <v>164.4</v>
      </c>
    </row>
    <row r="246" spans="1:20" ht="13.5" x14ac:dyDescent="0.25">
      <c r="A246" s="8" t="str">
        <f t="shared" si="36"/>
        <v>100150414</v>
      </c>
      <c r="B246" s="8">
        <v>10015</v>
      </c>
      <c r="C246" s="8">
        <v>4</v>
      </c>
      <c r="D246" s="8" t="s">
        <v>62</v>
      </c>
      <c r="E246" s="8">
        <v>4</v>
      </c>
      <c r="F246" s="34">
        <f t="shared" si="50"/>
        <v>4352</v>
      </c>
      <c r="G246" s="34">
        <f t="shared" si="50"/>
        <v>4352</v>
      </c>
      <c r="H246" s="34">
        <f t="shared" si="51"/>
        <v>544</v>
      </c>
      <c r="I246" s="34">
        <f t="shared" si="51"/>
        <v>544</v>
      </c>
      <c r="J246" s="34">
        <f t="shared" si="52"/>
        <v>4352</v>
      </c>
      <c r="K246" s="133">
        <v>1000</v>
      </c>
      <c r="L246" s="34"/>
      <c r="M246" s="16">
        <f t="shared" si="27"/>
        <v>256.79012786008735</v>
      </c>
      <c r="N246" s="36">
        <v>400</v>
      </c>
      <c r="O246" s="36">
        <v>4</v>
      </c>
      <c r="P246" s="57">
        <v>435.20000000000005</v>
      </c>
      <c r="Q246" s="2" t="s">
        <v>90</v>
      </c>
      <c r="S246" s="57">
        <f t="shared" si="49"/>
        <v>217.60000000000002</v>
      </c>
    </row>
    <row r="247" spans="1:20" ht="13.5" x14ac:dyDescent="0.25">
      <c r="A247" s="8" t="str">
        <f t="shared" si="36"/>
        <v>100150514</v>
      </c>
      <c r="B247" s="8">
        <v>10015</v>
      </c>
      <c r="C247" s="8">
        <v>5</v>
      </c>
      <c r="D247" s="8" t="s">
        <v>62</v>
      </c>
      <c r="E247" s="8">
        <v>4</v>
      </c>
      <c r="F247" s="34">
        <f t="shared" si="50"/>
        <v>6344</v>
      </c>
      <c r="G247" s="34">
        <f t="shared" si="50"/>
        <v>6344</v>
      </c>
      <c r="H247" s="34">
        <f t="shared" si="51"/>
        <v>793</v>
      </c>
      <c r="I247" s="34">
        <f t="shared" si="51"/>
        <v>793</v>
      </c>
      <c r="J247" s="34">
        <f t="shared" si="52"/>
        <v>6344</v>
      </c>
      <c r="K247" s="133">
        <v>1000</v>
      </c>
      <c r="L247" s="34"/>
      <c r="M247" s="16">
        <f t="shared" si="27"/>
        <v>451.94933838562042</v>
      </c>
      <c r="N247" s="36">
        <v>400</v>
      </c>
      <c r="O247" s="36">
        <v>4</v>
      </c>
      <c r="P247" s="57">
        <v>634.40000000000009</v>
      </c>
      <c r="Q247" s="2" t="s">
        <v>90</v>
      </c>
      <c r="S247" s="57">
        <f t="shared" si="49"/>
        <v>317.20000000000005</v>
      </c>
    </row>
    <row r="248" spans="1:20" ht="13.5" x14ac:dyDescent="0.25">
      <c r="A248" s="8" t="str">
        <f t="shared" si="36"/>
        <v/>
      </c>
      <c r="B248" s="38"/>
      <c r="C248" s="35" t="s">
        <v>45</v>
      </c>
      <c r="D248" s="38"/>
      <c r="E248" s="38"/>
      <c r="F248" s="38"/>
      <c r="G248" s="40"/>
      <c r="H248" s="38"/>
      <c r="I248" s="38"/>
      <c r="J248" s="38"/>
      <c r="K248" s="133">
        <v>1000</v>
      </c>
      <c r="L248" s="38"/>
      <c r="M248" s="16">
        <f t="shared" si="27"/>
        <v>0</v>
      </c>
      <c r="N248" s="36">
        <v>400</v>
      </c>
      <c r="O248" s="40"/>
      <c r="P248" s="57">
        <v>0</v>
      </c>
      <c r="Q248" s="38"/>
      <c r="R248" s="38"/>
      <c r="S248" s="57">
        <f t="shared" si="49"/>
        <v>0</v>
      </c>
      <c r="T248" s="267"/>
    </row>
    <row r="249" spans="1:20" ht="13.5" x14ac:dyDescent="0.25">
      <c r="A249" s="8" t="str">
        <f t="shared" si="36"/>
        <v>100160214</v>
      </c>
      <c r="B249" s="8" t="s">
        <v>91</v>
      </c>
      <c r="C249" s="8">
        <v>2</v>
      </c>
      <c r="D249" s="8" t="s">
        <v>62</v>
      </c>
      <c r="E249" s="8">
        <v>4</v>
      </c>
      <c r="F249" s="34">
        <f t="shared" ref="F249:G252" si="53">ROUNDDOWN($P249/4*$O249*10*$N249/$N249*$Q249/400,0)</f>
        <v>3216</v>
      </c>
      <c r="G249" s="34">
        <f t="shared" si="53"/>
        <v>3216</v>
      </c>
      <c r="H249" s="34">
        <f t="shared" ref="H249:I252" si="54">ROUNDDOWN($S249/4*10,0)</f>
        <v>402</v>
      </c>
      <c r="I249" s="34">
        <f t="shared" si="54"/>
        <v>402</v>
      </c>
      <c r="J249" s="34">
        <f t="shared" ref="J249:J252" si="55">ROUNDDOWN($P249/4*$O249*10*$N249/$Q249*$N249/400,0)</f>
        <v>3216</v>
      </c>
      <c r="K249" s="133">
        <v>1000</v>
      </c>
      <c r="L249" s="34"/>
      <c r="M249" s="16">
        <f t="shared" si="27"/>
        <v>163.12444745285731</v>
      </c>
      <c r="N249" s="36">
        <v>400</v>
      </c>
      <c r="O249" s="36">
        <v>4</v>
      </c>
      <c r="P249" s="57">
        <v>321.60000000000002</v>
      </c>
      <c r="Q249" s="2" t="s">
        <v>123</v>
      </c>
      <c r="S249" s="57">
        <f t="shared" si="49"/>
        <v>160.80000000000001</v>
      </c>
    </row>
    <row r="250" spans="1:20" ht="13.5" x14ac:dyDescent="0.25">
      <c r="A250" s="8" t="str">
        <f t="shared" si="36"/>
        <v>100160314</v>
      </c>
      <c r="B250" s="8" t="s">
        <v>91</v>
      </c>
      <c r="C250" s="8">
        <v>3</v>
      </c>
      <c r="D250" s="8" t="s">
        <v>62</v>
      </c>
      <c r="E250" s="8">
        <v>4</v>
      </c>
      <c r="F250" s="34">
        <f t="shared" si="53"/>
        <v>3288</v>
      </c>
      <c r="G250" s="34">
        <f t="shared" si="53"/>
        <v>3288</v>
      </c>
      <c r="H250" s="34">
        <f t="shared" si="54"/>
        <v>411</v>
      </c>
      <c r="I250" s="34">
        <f t="shared" si="54"/>
        <v>411</v>
      </c>
      <c r="J250" s="34">
        <f t="shared" si="55"/>
        <v>3288</v>
      </c>
      <c r="K250" s="133">
        <v>1000</v>
      </c>
      <c r="L250" s="34"/>
      <c r="M250" s="16">
        <f t="shared" si="27"/>
        <v>168.63305458183459</v>
      </c>
      <c r="N250" s="36">
        <v>400</v>
      </c>
      <c r="O250" s="36">
        <v>4</v>
      </c>
      <c r="P250" s="57">
        <v>328.8</v>
      </c>
      <c r="Q250" s="2" t="s">
        <v>90</v>
      </c>
      <c r="S250" s="57">
        <f t="shared" si="49"/>
        <v>164.4</v>
      </c>
    </row>
    <row r="251" spans="1:20" ht="13.5" x14ac:dyDescent="0.25">
      <c r="A251" s="8" t="str">
        <f t="shared" si="36"/>
        <v>100160414</v>
      </c>
      <c r="B251" s="8" t="s">
        <v>91</v>
      </c>
      <c r="C251" s="8">
        <v>4</v>
      </c>
      <c r="D251" s="8" t="s">
        <v>62</v>
      </c>
      <c r="E251" s="8">
        <v>4</v>
      </c>
      <c r="F251" s="34">
        <f t="shared" si="53"/>
        <v>4352</v>
      </c>
      <c r="G251" s="34">
        <f t="shared" si="53"/>
        <v>4352</v>
      </c>
      <c r="H251" s="34">
        <f t="shared" si="54"/>
        <v>544</v>
      </c>
      <c r="I251" s="34">
        <f t="shared" si="54"/>
        <v>544</v>
      </c>
      <c r="J251" s="34">
        <f t="shared" si="55"/>
        <v>4352</v>
      </c>
      <c r="K251" s="133">
        <v>1000</v>
      </c>
      <c r="L251" s="34"/>
      <c r="M251" s="16">
        <f t="shared" si="27"/>
        <v>256.79012786008735</v>
      </c>
      <c r="N251" s="36">
        <v>400</v>
      </c>
      <c r="O251" s="36">
        <v>4</v>
      </c>
      <c r="P251" s="57">
        <v>435.20000000000005</v>
      </c>
      <c r="Q251" s="2" t="s">
        <v>90</v>
      </c>
      <c r="S251" s="57">
        <f t="shared" si="49"/>
        <v>217.60000000000002</v>
      </c>
    </row>
    <row r="252" spans="1:20" ht="13.5" x14ac:dyDescent="0.25">
      <c r="A252" s="8" t="str">
        <f t="shared" si="36"/>
        <v>100160514</v>
      </c>
      <c r="B252" s="8" t="s">
        <v>91</v>
      </c>
      <c r="C252" s="8">
        <v>5</v>
      </c>
      <c r="D252" s="8" t="s">
        <v>62</v>
      </c>
      <c r="E252" s="8">
        <v>4</v>
      </c>
      <c r="F252" s="34">
        <f t="shared" si="53"/>
        <v>6344</v>
      </c>
      <c r="G252" s="34">
        <f t="shared" si="53"/>
        <v>6344</v>
      </c>
      <c r="H252" s="34">
        <f t="shared" si="54"/>
        <v>793</v>
      </c>
      <c r="I252" s="34">
        <f t="shared" si="54"/>
        <v>793</v>
      </c>
      <c r="J252" s="34">
        <f t="shared" si="55"/>
        <v>6344</v>
      </c>
      <c r="K252" s="133">
        <v>1000</v>
      </c>
      <c r="L252" s="34"/>
      <c r="M252" s="16">
        <f t="shared" si="27"/>
        <v>451.94933838562042</v>
      </c>
      <c r="N252" s="36">
        <v>400</v>
      </c>
      <c r="O252" s="36">
        <v>4</v>
      </c>
      <c r="P252" s="57">
        <v>634.40000000000009</v>
      </c>
      <c r="Q252" s="2" t="s">
        <v>90</v>
      </c>
      <c r="S252" s="57">
        <f t="shared" si="49"/>
        <v>317.20000000000005</v>
      </c>
    </row>
    <row r="253" spans="1:20" ht="13.5" x14ac:dyDescent="0.25">
      <c r="A253" s="8" t="str">
        <f t="shared" si="36"/>
        <v/>
      </c>
      <c r="B253" s="38"/>
      <c r="C253" s="35" t="s">
        <v>46</v>
      </c>
      <c r="D253" s="38"/>
      <c r="E253" s="38"/>
      <c r="F253" s="38"/>
      <c r="G253" s="40"/>
      <c r="H253" s="38"/>
      <c r="I253" s="38"/>
      <c r="J253" s="38"/>
      <c r="K253" s="133">
        <v>1000</v>
      </c>
      <c r="L253" s="38"/>
      <c r="M253" s="16">
        <f t="shared" si="27"/>
        <v>0</v>
      </c>
      <c r="N253" s="36">
        <v>400</v>
      </c>
      <c r="O253" s="40"/>
      <c r="P253" s="57">
        <v>0</v>
      </c>
      <c r="Q253" s="38"/>
      <c r="R253" s="38"/>
      <c r="S253" s="57">
        <f t="shared" si="49"/>
        <v>0</v>
      </c>
      <c r="T253" s="267"/>
    </row>
    <row r="254" spans="1:20" ht="13.5" x14ac:dyDescent="0.25">
      <c r="A254" s="8" t="str">
        <f t="shared" si="36"/>
        <v>100170214</v>
      </c>
      <c r="B254" s="8" t="s">
        <v>92</v>
      </c>
      <c r="C254" s="8">
        <v>2</v>
      </c>
      <c r="D254" s="8" t="s">
        <v>62</v>
      </c>
      <c r="E254" s="8">
        <v>4</v>
      </c>
      <c r="F254" s="34">
        <f t="shared" ref="F254:G257" si="56">ROUNDDOWN($P254/4*$O254*10*$N254/$N254*$Q254/400,0)</f>
        <v>3216</v>
      </c>
      <c r="G254" s="34">
        <f t="shared" si="56"/>
        <v>3216</v>
      </c>
      <c r="H254" s="34">
        <f t="shared" ref="H254:I257" si="57">ROUNDDOWN($S254/4*10,0)</f>
        <v>402</v>
      </c>
      <c r="I254" s="34">
        <f t="shared" si="57"/>
        <v>402</v>
      </c>
      <c r="J254" s="34">
        <f t="shared" ref="J254:J257" si="58">ROUNDDOWN($P254/4*$O254*10*$N254/$Q254*$N254/400,0)</f>
        <v>3216</v>
      </c>
      <c r="K254" s="133">
        <v>1000</v>
      </c>
      <c r="L254" s="34"/>
      <c r="M254" s="16">
        <f t="shared" si="27"/>
        <v>163.12444745285731</v>
      </c>
      <c r="N254" s="36">
        <v>400</v>
      </c>
      <c r="O254" s="36">
        <v>4</v>
      </c>
      <c r="P254" s="57">
        <v>321.60000000000002</v>
      </c>
      <c r="Q254" s="2" t="s">
        <v>123</v>
      </c>
      <c r="S254" s="57">
        <f t="shared" si="49"/>
        <v>160.80000000000001</v>
      </c>
    </row>
    <row r="255" spans="1:20" ht="13.5" x14ac:dyDescent="0.25">
      <c r="A255" s="8" t="str">
        <f t="shared" si="36"/>
        <v>100170314</v>
      </c>
      <c r="B255" s="8" t="s">
        <v>92</v>
      </c>
      <c r="C255" s="8">
        <v>3</v>
      </c>
      <c r="D255" s="8" t="s">
        <v>62</v>
      </c>
      <c r="E255" s="8">
        <v>4</v>
      </c>
      <c r="F255" s="34">
        <f t="shared" si="56"/>
        <v>3288</v>
      </c>
      <c r="G255" s="34">
        <f t="shared" si="56"/>
        <v>3288</v>
      </c>
      <c r="H255" s="34">
        <f t="shared" si="57"/>
        <v>411</v>
      </c>
      <c r="I255" s="34">
        <f t="shared" si="57"/>
        <v>411</v>
      </c>
      <c r="J255" s="34">
        <f t="shared" si="58"/>
        <v>3288</v>
      </c>
      <c r="K255" s="133">
        <v>1000</v>
      </c>
      <c r="L255" s="34"/>
      <c r="M255" s="16">
        <f t="shared" si="27"/>
        <v>168.63305458183459</v>
      </c>
      <c r="N255" s="36">
        <v>400</v>
      </c>
      <c r="O255" s="36">
        <v>4</v>
      </c>
      <c r="P255" s="57">
        <v>328.8</v>
      </c>
      <c r="Q255" s="2" t="s">
        <v>90</v>
      </c>
      <c r="S255" s="57">
        <f t="shared" si="49"/>
        <v>164.4</v>
      </c>
    </row>
    <row r="256" spans="1:20" ht="13.5" x14ac:dyDescent="0.25">
      <c r="A256" s="8" t="str">
        <f t="shared" si="36"/>
        <v>100170414</v>
      </c>
      <c r="B256" s="8" t="s">
        <v>92</v>
      </c>
      <c r="C256" s="8">
        <v>4</v>
      </c>
      <c r="D256" s="8" t="s">
        <v>62</v>
      </c>
      <c r="E256" s="8">
        <v>4</v>
      </c>
      <c r="F256" s="34">
        <f t="shared" si="56"/>
        <v>4352</v>
      </c>
      <c r="G256" s="34">
        <f t="shared" si="56"/>
        <v>4352</v>
      </c>
      <c r="H256" s="34">
        <f t="shared" si="57"/>
        <v>544</v>
      </c>
      <c r="I256" s="34">
        <f t="shared" si="57"/>
        <v>544</v>
      </c>
      <c r="J256" s="34">
        <f t="shared" si="58"/>
        <v>4352</v>
      </c>
      <c r="K256" s="133">
        <v>1000</v>
      </c>
      <c r="L256" s="34"/>
      <c r="M256" s="16">
        <f t="shared" si="27"/>
        <v>256.79012786008735</v>
      </c>
      <c r="N256" s="36">
        <v>400</v>
      </c>
      <c r="O256" s="36">
        <v>4</v>
      </c>
      <c r="P256" s="57">
        <v>435.20000000000005</v>
      </c>
      <c r="Q256" s="2" t="s">
        <v>90</v>
      </c>
      <c r="S256" s="57">
        <f t="shared" si="49"/>
        <v>217.60000000000002</v>
      </c>
    </row>
    <row r="257" spans="1:20" ht="13.5" x14ac:dyDescent="0.25">
      <c r="A257" s="8" t="str">
        <f t="shared" si="36"/>
        <v>100170514</v>
      </c>
      <c r="B257" s="8" t="s">
        <v>92</v>
      </c>
      <c r="C257" s="8">
        <v>5</v>
      </c>
      <c r="D257" s="8" t="s">
        <v>62</v>
      </c>
      <c r="E257" s="8">
        <v>4</v>
      </c>
      <c r="F257" s="34">
        <f t="shared" si="56"/>
        <v>6344</v>
      </c>
      <c r="G257" s="34">
        <f t="shared" si="56"/>
        <v>6344</v>
      </c>
      <c r="H257" s="34">
        <f t="shared" si="57"/>
        <v>793</v>
      </c>
      <c r="I257" s="34">
        <f t="shared" si="57"/>
        <v>793</v>
      </c>
      <c r="J257" s="34">
        <f t="shared" si="58"/>
        <v>6344</v>
      </c>
      <c r="K257" s="133">
        <v>1000</v>
      </c>
      <c r="L257" s="34"/>
      <c r="M257" s="16">
        <f t="shared" si="27"/>
        <v>451.94933838562042</v>
      </c>
      <c r="N257" s="36">
        <v>400</v>
      </c>
      <c r="O257" s="36">
        <v>4</v>
      </c>
      <c r="P257" s="57">
        <v>634.40000000000009</v>
      </c>
      <c r="Q257" s="2" t="s">
        <v>90</v>
      </c>
      <c r="S257" s="57">
        <f t="shared" si="49"/>
        <v>317.20000000000005</v>
      </c>
    </row>
    <row r="258" spans="1:20" ht="13.5" x14ac:dyDescent="0.25">
      <c r="A258" s="8" t="str">
        <f t="shared" si="36"/>
        <v/>
      </c>
      <c r="B258" s="38"/>
      <c r="C258" s="35" t="s">
        <v>47</v>
      </c>
      <c r="D258" s="38"/>
      <c r="E258" s="38"/>
      <c r="F258" s="38"/>
      <c r="G258" s="40"/>
      <c r="H258" s="38"/>
      <c r="I258" s="38"/>
      <c r="J258" s="38"/>
      <c r="K258" s="133">
        <v>1000</v>
      </c>
      <c r="L258" s="38"/>
      <c r="M258" s="16">
        <f t="shared" si="27"/>
        <v>0</v>
      </c>
      <c r="N258" s="36">
        <v>400</v>
      </c>
      <c r="O258" s="40"/>
      <c r="P258" s="57">
        <v>0</v>
      </c>
      <c r="Q258" s="38"/>
      <c r="R258" s="38"/>
      <c r="S258" s="57">
        <f t="shared" si="49"/>
        <v>0</v>
      </c>
      <c r="T258" s="267"/>
    </row>
    <row r="259" spans="1:20" ht="13.5" x14ac:dyDescent="0.25">
      <c r="A259" s="8" t="str">
        <f t="shared" si="36"/>
        <v>100180214</v>
      </c>
      <c r="B259" s="8" t="s">
        <v>93</v>
      </c>
      <c r="C259" s="8">
        <v>2</v>
      </c>
      <c r="D259" s="8" t="s">
        <v>62</v>
      </c>
      <c r="E259" s="8">
        <v>4</v>
      </c>
      <c r="F259" s="34">
        <f t="shared" ref="F259:G262" si="59">ROUNDDOWN($P259/4*$O259*10*$N259/$N259*$Q259/400,0)</f>
        <v>3216</v>
      </c>
      <c r="G259" s="34">
        <f t="shared" si="59"/>
        <v>3216</v>
      </c>
      <c r="H259" s="34">
        <f t="shared" ref="H259:I262" si="60">ROUNDDOWN($S259/4*10,0)</f>
        <v>402</v>
      </c>
      <c r="I259" s="34">
        <f t="shared" si="60"/>
        <v>402</v>
      </c>
      <c r="J259" s="34">
        <f t="shared" ref="J259:J262" si="61">ROUNDDOWN($P259/4*$O259*10*$N259/$Q259*$N259/400,0)</f>
        <v>3216</v>
      </c>
      <c r="K259" s="133">
        <v>1000</v>
      </c>
      <c r="L259" s="34"/>
      <c r="M259" s="16">
        <f t="shared" si="27"/>
        <v>163.12444745285731</v>
      </c>
      <c r="N259" s="36">
        <v>400</v>
      </c>
      <c r="O259" s="36">
        <v>4</v>
      </c>
      <c r="P259" s="57">
        <v>321.60000000000002</v>
      </c>
      <c r="Q259" s="2" t="s">
        <v>123</v>
      </c>
      <c r="S259" s="57">
        <f t="shared" si="49"/>
        <v>160.80000000000001</v>
      </c>
    </row>
    <row r="260" spans="1:20" ht="13.5" x14ac:dyDescent="0.25">
      <c r="A260" s="8" t="str">
        <f t="shared" si="36"/>
        <v>100180314</v>
      </c>
      <c r="B260" s="8" t="s">
        <v>93</v>
      </c>
      <c r="C260" s="8">
        <v>3</v>
      </c>
      <c r="D260" s="8" t="s">
        <v>62</v>
      </c>
      <c r="E260" s="8">
        <v>4</v>
      </c>
      <c r="F260" s="34">
        <f t="shared" si="59"/>
        <v>3288</v>
      </c>
      <c r="G260" s="34">
        <f t="shared" si="59"/>
        <v>3288</v>
      </c>
      <c r="H260" s="34">
        <f t="shared" si="60"/>
        <v>411</v>
      </c>
      <c r="I260" s="34">
        <f t="shared" si="60"/>
        <v>411</v>
      </c>
      <c r="J260" s="34">
        <f t="shared" si="61"/>
        <v>3288</v>
      </c>
      <c r="K260" s="133">
        <v>1000</v>
      </c>
      <c r="L260" s="34"/>
      <c r="M260" s="16">
        <f t="shared" si="27"/>
        <v>168.63305458183459</v>
      </c>
      <c r="N260" s="36">
        <v>400</v>
      </c>
      <c r="O260" s="36">
        <v>4</v>
      </c>
      <c r="P260" s="57">
        <v>328.8</v>
      </c>
      <c r="Q260" s="2" t="s">
        <v>90</v>
      </c>
      <c r="S260" s="57">
        <f t="shared" si="49"/>
        <v>164.4</v>
      </c>
    </row>
    <row r="261" spans="1:20" ht="13.5" x14ac:dyDescent="0.25">
      <c r="A261" s="8" t="str">
        <f t="shared" si="36"/>
        <v>100180414</v>
      </c>
      <c r="B261" s="8" t="s">
        <v>93</v>
      </c>
      <c r="C261" s="8">
        <v>4</v>
      </c>
      <c r="D261" s="8" t="s">
        <v>62</v>
      </c>
      <c r="E261" s="8">
        <v>4</v>
      </c>
      <c r="F261" s="34">
        <f t="shared" si="59"/>
        <v>4352</v>
      </c>
      <c r="G261" s="34">
        <f t="shared" si="59"/>
        <v>4352</v>
      </c>
      <c r="H261" s="34">
        <f t="shared" si="60"/>
        <v>544</v>
      </c>
      <c r="I261" s="34">
        <f t="shared" si="60"/>
        <v>544</v>
      </c>
      <c r="J261" s="34">
        <f t="shared" si="61"/>
        <v>4352</v>
      </c>
      <c r="K261" s="133">
        <v>1000</v>
      </c>
      <c r="L261" s="34"/>
      <c r="M261" s="16">
        <f t="shared" ref="M261:M311" si="62">(F261*J261*((H261+I261)/2)/1000)^(1/2)/10*0.8</f>
        <v>256.79012786008735</v>
      </c>
      <c r="N261" s="36">
        <v>400</v>
      </c>
      <c r="O261" s="36">
        <v>4</v>
      </c>
      <c r="P261" s="57">
        <v>435.20000000000005</v>
      </c>
      <c r="Q261" s="2" t="s">
        <v>90</v>
      </c>
      <c r="S261" s="57">
        <f t="shared" si="49"/>
        <v>217.60000000000002</v>
      </c>
    </row>
    <row r="262" spans="1:20" ht="13.5" x14ac:dyDescent="0.25">
      <c r="A262" s="8" t="str">
        <f t="shared" si="36"/>
        <v>100180514</v>
      </c>
      <c r="B262" s="8" t="s">
        <v>93</v>
      </c>
      <c r="C262" s="8">
        <v>5</v>
      </c>
      <c r="D262" s="8" t="s">
        <v>62</v>
      </c>
      <c r="E262" s="8">
        <v>4</v>
      </c>
      <c r="F262" s="34">
        <f t="shared" si="59"/>
        <v>6344</v>
      </c>
      <c r="G262" s="34">
        <f t="shared" si="59"/>
        <v>6344</v>
      </c>
      <c r="H262" s="34">
        <f t="shared" si="60"/>
        <v>793</v>
      </c>
      <c r="I262" s="34">
        <f t="shared" si="60"/>
        <v>793</v>
      </c>
      <c r="J262" s="34">
        <f t="shared" si="61"/>
        <v>6344</v>
      </c>
      <c r="K262" s="133">
        <v>1000</v>
      </c>
      <c r="L262" s="34"/>
      <c r="M262" s="16">
        <f t="shared" si="62"/>
        <v>451.94933838562042</v>
      </c>
      <c r="N262" s="36">
        <v>400</v>
      </c>
      <c r="O262" s="36">
        <v>4</v>
      </c>
      <c r="P262" s="57">
        <v>634.40000000000009</v>
      </c>
      <c r="Q262" s="2" t="s">
        <v>90</v>
      </c>
      <c r="S262" s="57">
        <f t="shared" si="49"/>
        <v>317.20000000000005</v>
      </c>
    </row>
    <row r="263" spans="1:20" ht="13.5" x14ac:dyDescent="0.25">
      <c r="A263" s="8" t="str">
        <f t="shared" si="36"/>
        <v/>
      </c>
      <c r="B263" s="38"/>
      <c r="C263" s="35" t="s">
        <v>48</v>
      </c>
      <c r="D263" s="38"/>
      <c r="E263" s="38"/>
      <c r="F263" s="38"/>
      <c r="G263" s="40"/>
      <c r="H263" s="38"/>
      <c r="I263" s="38"/>
      <c r="J263" s="38"/>
      <c r="K263" s="133">
        <v>1000</v>
      </c>
      <c r="L263" s="38"/>
      <c r="M263" s="16">
        <f t="shared" si="62"/>
        <v>0</v>
      </c>
      <c r="N263" s="36">
        <v>400</v>
      </c>
      <c r="O263" s="40"/>
      <c r="P263" s="57">
        <v>0</v>
      </c>
      <c r="Q263" s="38"/>
      <c r="R263" s="38"/>
      <c r="S263" s="57">
        <f t="shared" si="49"/>
        <v>0</v>
      </c>
      <c r="T263" s="267"/>
    </row>
    <row r="264" spans="1:20" ht="13.5" x14ac:dyDescent="0.25">
      <c r="A264" s="8" t="str">
        <f t="shared" si="36"/>
        <v>100190214</v>
      </c>
      <c r="B264" s="8" t="s">
        <v>94</v>
      </c>
      <c r="C264" s="8">
        <v>2</v>
      </c>
      <c r="D264" s="8" t="s">
        <v>62</v>
      </c>
      <c r="E264" s="8">
        <v>4</v>
      </c>
      <c r="F264" s="34">
        <f t="shared" ref="F264:G267" si="63">ROUNDDOWN($P264/4*$O264*10*$N264/$N264*$Q264/400,0)</f>
        <v>3216</v>
      </c>
      <c r="G264" s="34">
        <f t="shared" si="63"/>
        <v>3216</v>
      </c>
      <c r="H264" s="34">
        <f t="shared" ref="H264:I267" si="64">ROUNDDOWN($S264/4*10,0)</f>
        <v>402</v>
      </c>
      <c r="I264" s="34">
        <f t="shared" si="64"/>
        <v>402</v>
      </c>
      <c r="J264" s="34">
        <f t="shared" ref="J264:J267" si="65">ROUNDDOWN($P264/4*$O264*10*$N264/$Q264*$N264/400,0)</f>
        <v>3216</v>
      </c>
      <c r="K264" s="133">
        <v>1000</v>
      </c>
      <c r="L264" s="34"/>
      <c r="M264" s="16">
        <f t="shared" si="62"/>
        <v>163.12444745285731</v>
      </c>
      <c r="N264" s="36">
        <v>400</v>
      </c>
      <c r="O264" s="36">
        <v>4</v>
      </c>
      <c r="P264" s="57">
        <v>321.60000000000002</v>
      </c>
      <c r="Q264" s="2" t="s">
        <v>123</v>
      </c>
      <c r="S264" s="57">
        <f t="shared" si="49"/>
        <v>160.80000000000001</v>
      </c>
    </row>
    <row r="265" spans="1:20" ht="13.5" x14ac:dyDescent="0.25">
      <c r="A265" s="8" t="str">
        <f t="shared" si="36"/>
        <v>100190314</v>
      </c>
      <c r="B265" s="8" t="s">
        <v>94</v>
      </c>
      <c r="C265" s="8">
        <v>3</v>
      </c>
      <c r="D265" s="8" t="s">
        <v>62</v>
      </c>
      <c r="E265" s="8">
        <v>4</v>
      </c>
      <c r="F265" s="34">
        <f t="shared" si="63"/>
        <v>3288</v>
      </c>
      <c r="G265" s="34">
        <f t="shared" si="63"/>
        <v>3288</v>
      </c>
      <c r="H265" s="34">
        <f t="shared" si="64"/>
        <v>411</v>
      </c>
      <c r="I265" s="34">
        <f t="shared" si="64"/>
        <v>411</v>
      </c>
      <c r="J265" s="34">
        <f t="shared" si="65"/>
        <v>3288</v>
      </c>
      <c r="K265" s="133">
        <v>1000</v>
      </c>
      <c r="L265" s="34"/>
      <c r="M265" s="16">
        <f t="shared" si="62"/>
        <v>168.63305458183459</v>
      </c>
      <c r="N265" s="36">
        <v>400</v>
      </c>
      <c r="O265" s="36">
        <v>4</v>
      </c>
      <c r="P265" s="57">
        <v>328.8</v>
      </c>
      <c r="Q265" s="2" t="s">
        <v>90</v>
      </c>
      <c r="S265" s="57">
        <f t="shared" si="49"/>
        <v>164.4</v>
      </c>
    </row>
    <row r="266" spans="1:20" ht="13.5" x14ac:dyDescent="0.25">
      <c r="A266" s="8" t="str">
        <f t="shared" si="36"/>
        <v>100190414</v>
      </c>
      <c r="B266" s="8" t="s">
        <v>94</v>
      </c>
      <c r="C266" s="8">
        <v>4</v>
      </c>
      <c r="D266" s="8" t="s">
        <v>62</v>
      </c>
      <c r="E266" s="8">
        <v>4</v>
      </c>
      <c r="F266" s="34">
        <f t="shared" si="63"/>
        <v>4352</v>
      </c>
      <c r="G266" s="34">
        <f t="shared" si="63"/>
        <v>4352</v>
      </c>
      <c r="H266" s="34">
        <f t="shared" si="64"/>
        <v>544</v>
      </c>
      <c r="I266" s="34">
        <f t="shared" si="64"/>
        <v>544</v>
      </c>
      <c r="J266" s="34">
        <f t="shared" si="65"/>
        <v>4352</v>
      </c>
      <c r="K266" s="133">
        <v>1000</v>
      </c>
      <c r="L266" s="34"/>
      <c r="M266" s="16">
        <f t="shared" si="62"/>
        <v>256.79012786008735</v>
      </c>
      <c r="N266" s="36">
        <v>400</v>
      </c>
      <c r="O266" s="36">
        <v>4</v>
      </c>
      <c r="P266" s="57">
        <v>435.20000000000005</v>
      </c>
      <c r="Q266" s="2" t="s">
        <v>90</v>
      </c>
      <c r="S266" s="57">
        <f t="shared" si="49"/>
        <v>217.60000000000002</v>
      </c>
    </row>
    <row r="267" spans="1:20" ht="13.5" x14ac:dyDescent="0.25">
      <c r="A267" s="8" t="str">
        <f t="shared" si="36"/>
        <v>100190514</v>
      </c>
      <c r="B267" s="8" t="s">
        <v>94</v>
      </c>
      <c r="C267" s="8">
        <v>5</v>
      </c>
      <c r="D267" s="8" t="s">
        <v>62</v>
      </c>
      <c r="E267" s="8">
        <v>4</v>
      </c>
      <c r="F267" s="34">
        <f t="shared" si="63"/>
        <v>6344</v>
      </c>
      <c r="G267" s="34">
        <f t="shared" si="63"/>
        <v>6344</v>
      </c>
      <c r="H267" s="34">
        <f t="shared" si="64"/>
        <v>793</v>
      </c>
      <c r="I267" s="34">
        <f t="shared" si="64"/>
        <v>793</v>
      </c>
      <c r="J267" s="34">
        <f t="shared" si="65"/>
        <v>6344</v>
      </c>
      <c r="K267" s="133">
        <v>1000</v>
      </c>
      <c r="L267" s="34"/>
      <c r="M267" s="16">
        <f t="shared" si="62"/>
        <v>451.94933838562042</v>
      </c>
      <c r="N267" s="36">
        <v>400</v>
      </c>
      <c r="O267" s="36">
        <v>4</v>
      </c>
      <c r="P267" s="57">
        <v>634.40000000000009</v>
      </c>
      <c r="Q267" s="2" t="s">
        <v>90</v>
      </c>
      <c r="S267" s="57">
        <f t="shared" si="49"/>
        <v>317.20000000000005</v>
      </c>
    </row>
    <row r="268" spans="1:20" ht="13.5" x14ac:dyDescent="0.25">
      <c r="A268" s="8" t="str">
        <f t="shared" si="36"/>
        <v/>
      </c>
      <c r="B268" s="38"/>
      <c r="C268" s="35" t="s">
        <v>49</v>
      </c>
      <c r="D268" s="38"/>
      <c r="E268" s="38"/>
      <c r="F268" s="38"/>
      <c r="G268" s="40"/>
      <c r="H268" s="38"/>
      <c r="I268" s="38"/>
      <c r="J268" s="38"/>
      <c r="K268" s="133">
        <v>1000</v>
      </c>
      <c r="L268" s="38"/>
      <c r="M268" s="16">
        <f t="shared" si="62"/>
        <v>0</v>
      </c>
      <c r="N268" s="36">
        <v>400</v>
      </c>
      <c r="O268" s="40"/>
      <c r="P268" s="57">
        <v>0</v>
      </c>
      <c r="Q268" s="38"/>
      <c r="R268" s="38"/>
      <c r="S268" s="57">
        <f t="shared" si="49"/>
        <v>0</v>
      </c>
      <c r="T268" s="267"/>
    </row>
    <row r="269" spans="1:20" ht="13.5" x14ac:dyDescent="0.25">
      <c r="A269" s="8" t="str">
        <f t="shared" si="36"/>
        <v>100200214</v>
      </c>
      <c r="B269" s="8" t="s">
        <v>95</v>
      </c>
      <c r="C269" s="8">
        <v>2</v>
      </c>
      <c r="D269" s="8" t="s">
        <v>62</v>
      </c>
      <c r="E269" s="8">
        <v>4</v>
      </c>
      <c r="F269" s="34">
        <f t="shared" ref="F269:G272" si="66">ROUNDDOWN($P269/4*$O269*10*$N269/$N269*$Q269/400,0)</f>
        <v>3216</v>
      </c>
      <c r="G269" s="34">
        <f t="shared" si="66"/>
        <v>3216</v>
      </c>
      <c r="H269" s="34">
        <f t="shared" ref="H269:I272" si="67">ROUNDDOWN($S269/4*10,0)</f>
        <v>402</v>
      </c>
      <c r="I269" s="34">
        <f t="shared" si="67"/>
        <v>402</v>
      </c>
      <c r="J269" s="34">
        <f t="shared" ref="J269:J272" si="68">ROUNDDOWN($P269/4*$O269*10*$N269/$Q269*$N269/400,0)</f>
        <v>3216</v>
      </c>
      <c r="K269" s="133">
        <v>1000</v>
      </c>
      <c r="L269" s="34"/>
      <c r="M269" s="16">
        <f t="shared" si="62"/>
        <v>163.12444745285731</v>
      </c>
      <c r="N269" s="36">
        <v>400</v>
      </c>
      <c r="O269" s="36">
        <v>4</v>
      </c>
      <c r="P269" s="57">
        <v>321.60000000000002</v>
      </c>
      <c r="Q269" s="2" t="s">
        <v>123</v>
      </c>
      <c r="S269" s="57">
        <f t="shared" si="49"/>
        <v>160.80000000000001</v>
      </c>
    </row>
    <row r="270" spans="1:20" ht="13.5" x14ac:dyDescent="0.25">
      <c r="A270" s="8" t="str">
        <f t="shared" si="36"/>
        <v>100200314</v>
      </c>
      <c r="B270" s="8" t="s">
        <v>95</v>
      </c>
      <c r="C270" s="8">
        <v>3</v>
      </c>
      <c r="D270" s="8" t="s">
        <v>62</v>
      </c>
      <c r="E270" s="8">
        <v>4</v>
      </c>
      <c r="F270" s="34">
        <f t="shared" si="66"/>
        <v>3288</v>
      </c>
      <c r="G270" s="34">
        <f t="shared" si="66"/>
        <v>3288</v>
      </c>
      <c r="H270" s="34">
        <f t="shared" si="67"/>
        <v>411</v>
      </c>
      <c r="I270" s="34">
        <f t="shared" si="67"/>
        <v>411</v>
      </c>
      <c r="J270" s="34">
        <f t="shared" si="68"/>
        <v>3288</v>
      </c>
      <c r="K270" s="133">
        <v>1000</v>
      </c>
      <c r="L270" s="34"/>
      <c r="M270" s="16">
        <f t="shared" si="62"/>
        <v>168.63305458183459</v>
      </c>
      <c r="N270" s="36">
        <v>400</v>
      </c>
      <c r="O270" s="36">
        <v>4</v>
      </c>
      <c r="P270" s="57">
        <v>328.8</v>
      </c>
      <c r="Q270" s="2" t="s">
        <v>90</v>
      </c>
      <c r="S270" s="57">
        <f t="shared" si="49"/>
        <v>164.4</v>
      </c>
    </row>
    <row r="271" spans="1:20" ht="13.5" x14ac:dyDescent="0.25">
      <c r="A271" s="8" t="str">
        <f t="shared" si="36"/>
        <v>100200414</v>
      </c>
      <c r="B271" s="8" t="s">
        <v>95</v>
      </c>
      <c r="C271" s="8">
        <v>4</v>
      </c>
      <c r="D271" s="8" t="s">
        <v>62</v>
      </c>
      <c r="E271" s="8">
        <v>4</v>
      </c>
      <c r="F271" s="34">
        <f t="shared" si="66"/>
        <v>4352</v>
      </c>
      <c r="G271" s="34">
        <f t="shared" si="66"/>
        <v>4352</v>
      </c>
      <c r="H271" s="34">
        <f t="shared" si="67"/>
        <v>544</v>
      </c>
      <c r="I271" s="34">
        <f t="shared" si="67"/>
        <v>544</v>
      </c>
      <c r="J271" s="34">
        <f t="shared" si="68"/>
        <v>4352</v>
      </c>
      <c r="K271" s="133">
        <v>1000</v>
      </c>
      <c r="L271" s="34"/>
      <c r="M271" s="16">
        <f t="shared" si="62"/>
        <v>256.79012786008735</v>
      </c>
      <c r="N271" s="36">
        <v>400</v>
      </c>
      <c r="O271" s="36">
        <v>4</v>
      </c>
      <c r="P271" s="57">
        <v>435.20000000000005</v>
      </c>
      <c r="Q271" s="2" t="s">
        <v>90</v>
      </c>
      <c r="S271" s="57">
        <f t="shared" si="49"/>
        <v>217.60000000000002</v>
      </c>
    </row>
    <row r="272" spans="1:20" ht="13.5" x14ac:dyDescent="0.25">
      <c r="A272" s="8" t="str">
        <f t="shared" si="36"/>
        <v>100200514</v>
      </c>
      <c r="B272" s="8" t="s">
        <v>95</v>
      </c>
      <c r="C272" s="8">
        <v>5</v>
      </c>
      <c r="D272" s="8" t="s">
        <v>62</v>
      </c>
      <c r="E272" s="8">
        <v>4</v>
      </c>
      <c r="F272" s="34">
        <f t="shared" si="66"/>
        <v>6344</v>
      </c>
      <c r="G272" s="34">
        <f t="shared" si="66"/>
        <v>6344</v>
      </c>
      <c r="H272" s="34">
        <f t="shared" si="67"/>
        <v>793</v>
      </c>
      <c r="I272" s="34">
        <f t="shared" si="67"/>
        <v>793</v>
      </c>
      <c r="J272" s="34">
        <f t="shared" si="68"/>
        <v>6344</v>
      </c>
      <c r="K272" s="133">
        <v>1000</v>
      </c>
      <c r="L272" s="34"/>
      <c r="M272" s="16">
        <f t="shared" si="62"/>
        <v>451.94933838562042</v>
      </c>
      <c r="N272" s="36">
        <v>400</v>
      </c>
      <c r="O272" s="36">
        <v>4</v>
      </c>
      <c r="P272" s="57">
        <v>634.40000000000009</v>
      </c>
      <c r="Q272" s="2" t="s">
        <v>90</v>
      </c>
      <c r="S272" s="57">
        <f t="shared" si="49"/>
        <v>317.20000000000005</v>
      </c>
    </row>
    <row r="273" spans="1:20" ht="13.5" x14ac:dyDescent="0.25">
      <c r="A273" s="8" t="str">
        <f t="shared" si="36"/>
        <v/>
      </c>
      <c r="B273" s="38"/>
      <c r="C273" s="35" t="s">
        <v>50</v>
      </c>
      <c r="D273" s="38"/>
      <c r="E273" s="38"/>
      <c r="F273" s="38"/>
      <c r="G273" s="40"/>
      <c r="H273" s="38"/>
      <c r="I273" s="38"/>
      <c r="J273" s="38"/>
      <c r="K273" s="133">
        <v>1000</v>
      </c>
      <c r="L273" s="38"/>
      <c r="M273" s="16">
        <f t="shared" si="62"/>
        <v>0</v>
      </c>
      <c r="N273" s="36">
        <v>400</v>
      </c>
      <c r="O273" s="40"/>
      <c r="P273" s="57">
        <v>0</v>
      </c>
      <c r="Q273" s="38"/>
      <c r="R273" s="38"/>
      <c r="S273" s="57">
        <f t="shared" si="49"/>
        <v>0</v>
      </c>
      <c r="T273" s="267"/>
    </row>
    <row r="274" spans="1:20" ht="13.5" x14ac:dyDescent="0.25">
      <c r="A274" s="8" t="str">
        <f t="shared" si="36"/>
        <v>100210214</v>
      </c>
      <c r="B274" s="8" t="s">
        <v>96</v>
      </c>
      <c r="C274" s="8">
        <v>2</v>
      </c>
      <c r="D274" s="8" t="s">
        <v>62</v>
      </c>
      <c r="E274" s="8">
        <v>4</v>
      </c>
      <c r="F274" s="34">
        <f t="shared" ref="F274:G277" si="69">ROUNDDOWN($P274/4*$O274*10*$N274/$N274*$Q274/400,0)</f>
        <v>3216</v>
      </c>
      <c r="G274" s="34">
        <f t="shared" si="69"/>
        <v>3216</v>
      </c>
      <c r="H274" s="34">
        <f t="shared" ref="H274:I277" si="70">ROUNDDOWN($S274/4*10,0)</f>
        <v>402</v>
      </c>
      <c r="I274" s="34">
        <f t="shared" si="70"/>
        <v>402</v>
      </c>
      <c r="J274" s="34">
        <f t="shared" ref="J274:J277" si="71">ROUNDDOWN($P274/4*$O274*10*$N274/$Q274*$N274/400,0)</f>
        <v>3216</v>
      </c>
      <c r="K274" s="133">
        <v>1000</v>
      </c>
      <c r="L274" s="34"/>
      <c r="M274" s="16">
        <f t="shared" si="62"/>
        <v>163.12444745285731</v>
      </c>
      <c r="N274" s="36">
        <v>400</v>
      </c>
      <c r="O274" s="36">
        <v>4</v>
      </c>
      <c r="P274" s="57">
        <v>321.60000000000002</v>
      </c>
      <c r="Q274" s="2" t="s">
        <v>123</v>
      </c>
      <c r="S274" s="57">
        <f t="shared" si="49"/>
        <v>160.80000000000001</v>
      </c>
    </row>
    <row r="275" spans="1:20" ht="13.5" x14ac:dyDescent="0.25">
      <c r="A275" s="8" t="str">
        <f t="shared" si="36"/>
        <v>100210314</v>
      </c>
      <c r="B275" s="8" t="s">
        <v>96</v>
      </c>
      <c r="C275" s="8">
        <v>3</v>
      </c>
      <c r="D275" s="8" t="s">
        <v>62</v>
      </c>
      <c r="E275" s="8">
        <v>4</v>
      </c>
      <c r="F275" s="34">
        <f t="shared" si="69"/>
        <v>3288</v>
      </c>
      <c r="G275" s="34">
        <f t="shared" si="69"/>
        <v>3288</v>
      </c>
      <c r="H275" s="34">
        <f t="shared" si="70"/>
        <v>411</v>
      </c>
      <c r="I275" s="34">
        <f t="shared" si="70"/>
        <v>411</v>
      </c>
      <c r="J275" s="34">
        <f t="shared" si="71"/>
        <v>3288</v>
      </c>
      <c r="K275" s="133">
        <v>1000</v>
      </c>
      <c r="L275" s="34"/>
      <c r="M275" s="16">
        <f t="shared" si="62"/>
        <v>168.63305458183459</v>
      </c>
      <c r="N275" s="36">
        <v>400</v>
      </c>
      <c r="O275" s="36">
        <v>4</v>
      </c>
      <c r="P275" s="57">
        <v>328.8</v>
      </c>
      <c r="Q275" s="2" t="s">
        <v>90</v>
      </c>
      <c r="S275" s="57">
        <f t="shared" si="49"/>
        <v>164.4</v>
      </c>
    </row>
    <row r="276" spans="1:20" ht="13.5" x14ac:dyDescent="0.25">
      <c r="A276" s="8" t="str">
        <f t="shared" si="36"/>
        <v>100210414</v>
      </c>
      <c r="B276" s="8" t="s">
        <v>96</v>
      </c>
      <c r="C276" s="8">
        <v>4</v>
      </c>
      <c r="D276" s="8" t="s">
        <v>62</v>
      </c>
      <c r="E276" s="8">
        <v>4</v>
      </c>
      <c r="F276" s="34">
        <f t="shared" si="69"/>
        <v>4352</v>
      </c>
      <c r="G276" s="34">
        <f t="shared" si="69"/>
        <v>4352</v>
      </c>
      <c r="H276" s="34">
        <f t="shared" si="70"/>
        <v>544</v>
      </c>
      <c r="I276" s="34">
        <f t="shared" si="70"/>
        <v>544</v>
      </c>
      <c r="J276" s="34">
        <f t="shared" si="71"/>
        <v>4352</v>
      </c>
      <c r="K276" s="133">
        <v>1000</v>
      </c>
      <c r="L276" s="34"/>
      <c r="M276" s="16">
        <f t="shared" si="62"/>
        <v>256.79012786008735</v>
      </c>
      <c r="N276" s="36">
        <v>400</v>
      </c>
      <c r="O276" s="36">
        <v>4</v>
      </c>
      <c r="P276" s="57">
        <v>435.20000000000005</v>
      </c>
      <c r="Q276" s="2" t="s">
        <v>90</v>
      </c>
      <c r="S276" s="57">
        <f t="shared" si="49"/>
        <v>217.60000000000002</v>
      </c>
    </row>
    <row r="277" spans="1:20" ht="13.5" x14ac:dyDescent="0.25">
      <c r="A277" s="8" t="str">
        <f t="shared" si="36"/>
        <v>100210514</v>
      </c>
      <c r="B277" s="8" t="s">
        <v>96</v>
      </c>
      <c r="C277" s="8">
        <v>5</v>
      </c>
      <c r="D277" s="8" t="s">
        <v>62</v>
      </c>
      <c r="E277" s="8">
        <v>4</v>
      </c>
      <c r="F277" s="34">
        <f t="shared" si="69"/>
        <v>6344</v>
      </c>
      <c r="G277" s="34">
        <f t="shared" si="69"/>
        <v>6344</v>
      </c>
      <c r="H277" s="34">
        <f t="shared" si="70"/>
        <v>793</v>
      </c>
      <c r="I277" s="34">
        <f t="shared" si="70"/>
        <v>793</v>
      </c>
      <c r="J277" s="34">
        <f t="shared" si="71"/>
        <v>6344</v>
      </c>
      <c r="K277" s="133">
        <v>1000</v>
      </c>
      <c r="L277" s="34"/>
      <c r="M277" s="16">
        <f t="shared" si="62"/>
        <v>451.94933838562042</v>
      </c>
      <c r="N277" s="36">
        <v>400</v>
      </c>
      <c r="O277" s="36">
        <v>4</v>
      </c>
      <c r="P277" s="57">
        <v>634.40000000000009</v>
      </c>
      <c r="Q277" s="2" t="s">
        <v>90</v>
      </c>
      <c r="S277" s="57">
        <f t="shared" si="49"/>
        <v>317.20000000000005</v>
      </c>
    </row>
    <row r="278" spans="1:20" ht="13.5" x14ac:dyDescent="0.25">
      <c r="A278" s="8" t="str">
        <f t="shared" si="36"/>
        <v/>
      </c>
      <c r="B278" s="38"/>
      <c r="C278" s="35" t="s">
        <v>51</v>
      </c>
      <c r="D278" s="38"/>
      <c r="E278" s="38"/>
      <c r="F278" s="38"/>
      <c r="G278" s="40"/>
      <c r="H278" s="38"/>
      <c r="I278" s="38"/>
      <c r="J278" s="38"/>
      <c r="K278" s="133">
        <v>1000</v>
      </c>
      <c r="L278" s="38"/>
      <c r="M278" s="16">
        <f t="shared" si="62"/>
        <v>0</v>
      </c>
      <c r="N278" s="36">
        <v>400</v>
      </c>
      <c r="O278" s="40"/>
      <c r="P278" s="57">
        <v>0</v>
      </c>
      <c r="Q278" s="38"/>
      <c r="R278" s="38"/>
      <c r="S278" s="57">
        <f t="shared" si="49"/>
        <v>0</v>
      </c>
      <c r="T278" s="267"/>
    </row>
    <row r="279" spans="1:20" ht="13.5" x14ac:dyDescent="0.25">
      <c r="A279" s="8" t="str">
        <f t="shared" ref="A279:A342" si="72">IF(B279="","",CONCATENATE(B279,CONCATENATE(REPT(0,2-LEN(C279)),C279),IF(OR(D279="Easy",D279=""),1,IF(D279="Normal",2,IF(D279="Hard",3,IF(D279="Hell",4,"error")))),E279))</f>
        <v>100220214</v>
      </c>
      <c r="B279" s="8" t="s">
        <v>97</v>
      </c>
      <c r="C279" s="8">
        <v>2</v>
      </c>
      <c r="D279" s="8" t="s">
        <v>62</v>
      </c>
      <c r="E279" s="8">
        <v>4</v>
      </c>
      <c r="F279" s="34">
        <f t="shared" ref="F279:G282" si="73">ROUNDDOWN($P279/4*$O279*10*$N279/$N279*$Q279/400,0)</f>
        <v>3216</v>
      </c>
      <c r="G279" s="34">
        <f t="shared" si="73"/>
        <v>3216</v>
      </c>
      <c r="H279" s="34">
        <f t="shared" ref="H279:I282" si="74">ROUNDDOWN($S279/4*10,0)</f>
        <v>402</v>
      </c>
      <c r="I279" s="34">
        <f t="shared" si="74"/>
        <v>402</v>
      </c>
      <c r="J279" s="34">
        <f t="shared" ref="J279:J282" si="75">ROUNDDOWN($P279/4*$O279*10*$N279/$Q279*$N279/400,0)</f>
        <v>3216</v>
      </c>
      <c r="K279" s="133">
        <v>1000</v>
      </c>
      <c r="L279" s="34"/>
      <c r="M279" s="16">
        <f t="shared" si="62"/>
        <v>163.12444745285731</v>
      </c>
      <c r="N279" s="36">
        <v>400</v>
      </c>
      <c r="O279" s="36">
        <v>4</v>
      </c>
      <c r="P279" s="57">
        <v>321.60000000000002</v>
      </c>
      <c r="Q279" s="2" t="s">
        <v>123</v>
      </c>
      <c r="S279" s="57">
        <f t="shared" si="49"/>
        <v>160.80000000000001</v>
      </c>
    </row>
    <row r="280" spans="1:20" ht="13.5" x14ac:dyDescent="0.25">
      <c r="A280" s="8" t="str">
        <f t="shared" si="72"/>
        <v>100220314</v>
      </c>
      <c r="B280" s="8" t="s">
        <v>97</v>
      </c>
      <c r="C280" s="8">
        <v>3</v>
      </c>
      <c r="D280" s="8" t="s">
        <v>62</v>
      </c>
      <c r="E280" s="8">
        <v>4</v>
      </c>
      <c r="F280" s="34">
        <f t="shared" si="73"/>
        <v>3288</v>
      </c>
      <c r="G280" s="34">
        <f t="shared" si="73"/>
        <v>3288</v>
      </c>
      <c r="H280" s="34">
        <f t="shared" si="74"/>
        <v>411</v>
      </c>
      <c r="I280" s="34">
        <f t="shared" si="74"/>
        <v>411</v>
      </c>
      <c r="J280" s="34">
        <f t="shared" si="75"/>
        <v>3288</v>
      </c>
      <c r="K280" s="133">
        <v>1000</v>
      </c>
      <c r="L280" s="34"/>
      <c r="M280" s="16">
        <f t="shared" si="62"/>
        <v>168.63305458183459</v>
      </c>
      <c r="N280" s="36">
        <v>400</v>
      </c>
      <c r="O280" s="36">
        <v>4</v>
      </c>
      <c r="P280" s="57">
        <v>328.8</v>
      </c>
      <c r="Q280" s="2" t="s">
        <v>90</v>
      </c>
      <c r="S280" s="57">
        <f t="shared" si="49"/>
        <v>164.4</v>
      </c>
    </row>
    <row r="281" spans="1:20" ht="13.5" x14ac:dyDescent="0.25">
      <c r="A281" s="8" t="str">
        <f t="shared" si="72"/>
        <v>100220414</v>
      </c>
      <c r="B281" s="8" t="s">
        <v>97</v>
      </c>
      <c r="C281" s="8">
        <v>4</v>
      </c>
      <c r="D281" s="8" t="s">
        <v>62</v>
      </c>
      <c r="E281" s="8">
        <v>4</v>
      </c>
      <c r="F281" s="34">
        <f t="shared" si="73"/>
        <v>4352</v>
      </c>
      <c r="G281" s="34">
        <f t="shared" si="73"/>
        <v>4352</v>
      </c>
      <c r="H281" s="34">
        <f t="shared" si="74"/>
        <v>544</v>
      </c>
      <c r="I281" s="34">
        <f t="shared" si="74"/>
        <v>544</v>
      </c>
      <c r="J281" s="34">
        <f t="shared" si="75"/>
        <v>4352</v>
      </c>
      <c r="K281" s="133">
        <v>1000</v>
      </c>
      <c r="L281" s="34"/>
      <c r="M281" s="16">
        <f t="shared" si="62"/>
        <v>256.79012786008735</v>
      </c>
      <c r="N281" s="36">
        <v>400</v>
      </c>
      <c r="O281" s="36">
        <v>4</v>
      </c>
      <c r="P281" s="57">
        <v>435.20000000000005</v>
      </c>
      <c r="Q281" s="2" t="s">
        <v>90</v>
      </c>
      <c r="S281" s="57">
        <f t="shared" si="49"/>
        <v>217.60000000000002</v>
      </c>
    </row>
    <row r="282" spans="1:20" ht="13.5" x14ac:dyDescent="0.25">
      <c r="A282" s="8" t="str">
        <f t="shared" si="72"/>
        <v>100220514</v>
      </c>
      <c r="B282" s="8" t="s">
        <v>97</v>
      </c>
      <c r="C282" s="8">
        <v>5</v>
      </c>
      <c r="D282" s="8" t="s">
        <v>62</v>
      </c>
      <c r="E282" s="8">
        <v>4</v>
      </c>
      <c r="F282" s="34">
        <f t="shared" si="73"/>
        <v>6344</v>
      </c>
      <c r="G282" s="34">
        <f t="shared" si="73"/>
        <v>6344</v>
      </c>
      <c r="H282" s="34">
        <f t="shared" si="74"/>
        <v>793</v>
      </c>
      <c r="I282" s="34">
        <f t="shared" si="74"/>
        <v>793</v>
      </c>
      <c r="J282" s="34">
        <f t="shared" si="75"/>
        <v>6344</v>
      </c>
      <c r="K282" s="133">
        <v>1000</v>
      </c>
      <c r="L282" s="34"/>
      <c r="M282" s="16">
        <f t="shared" si="62"/>
        <v>451.94933838562042</v>
      </c>
      <c r="N282" s="36">
        <v>400</v>
      </c>
      <c r="O282" s="36">
        <v>4</v>
      </c>
      <c r="P282" s="57">
        <v>634.40000000000009</v>
      </c>
      <c r="Q282" s="2" t="s">
        <v>90</v>
      </c>
      <c r="S282" s="57">
        <f t="shared" si="49"/>
        <v>317.20000000000005</v>
      </c>
    </row>
    <row r="283" spans="1:20" ht="13.5" x14ac:dyDescent="0.25">
      <c r="A283" s="8" t="str">
        <f t="shared" si="72"/>
        <v/>
      </c>
      <c r="B283" s="38"/>
      <c r="C283" s="35" t="s">
        <v>52</v>
      </c>
      <c r="D283" s="38"/>
      <c r="E283" s="38"/>
      <c r="F283" s="38"/>
      <c r="G283" s="40"/>
      <c r="H283" s="38"/>
      <c r="I283" s="38"/>
      <c r="J283" s="38"/>
      <c r="K283" s="133">
        <v>1000</v>
      </c>
      <c r="L283" s="38"/>
      <c r="M283" s="16">
        <f t="shared" si="62"/>
        <v>0</v>
      </c>
      <c r="N283" s="36">
        <v>400</v>
      </c>
      <c r="O283" s="40"/>
      <c r="P283" s="57">
        <v>0</v>
      </c>
      <c r="Q283" s="38"/>
      <c r="R283" s="38"/>
      <c r="S283" s="57">
        <f t="shared" si="49"/>
        <v>0</v>
      </c>
      <c r="T283" s="267"/>
    </row>
    <row r="284" spans="1:20" ht="13.5" x14ac:dyDescent="0.25">
      <c r="A284" s="8" t="str">
        <f t="shared" si="72"/>
        <v>100230214</v>
      </c>
      <c r="B284" s="8" t="s">
        <v>98</v>
      </c>
      <c r="C284" s="8">
        <v>2</v>
      </c>
      <c r="D284" s="8" t="s">
        <v>62</v>
      </c>
      <c r="E284" s="8">
        <v>4</v>
      </c>
      <c r="F284" s="34">
        <f t="shared" ref="F284:G287" si="76">ROUNDDOWN($P284/4*$O284*10*$N284/$N284*$Q284/400,0)</f>
        <v>3216</v>
      </c>
      <c r="G284" s="34">
        <f t="shared" si="76"/>
        <v>3216</v>
      </c>
      <c r="H284" s="34">
        <f t="shared" ref="H284:I287" si="77">ROUNDDOWN($S284/4*10,0)</f>
        <v>402</v>
      </c>
      <c r="I284" s="34">
        <f t="shared" si="77"/>
        <v>402</v>
      </c>
      <c r="J284" s="34">
        <f t="shared" ref="J284:J287" si="78">ROUNDDOWN($P284/4*$O284*10*$N284/$Q284*$N284/400,0)</f>
        <v>3216</v>
      </c>
      <c r="K284" s="133">
        <v>1000</v>
      </c>
      <c r="L284" s="34"/>
      <c r="M284" s="16">
        <f t="shared" si="62"/>
        <v>163.12444745285731</v>
      </c>
      <c r="N284" s="36">
        <v>400</v>
      </c>
      <c r="O284" s="36">
        <v>4</v>
      </c>
      <c r="P284" s="57">
        <v>321.60000000000002</v>
      </c>
      <c r="Q284" s="2" t="s">
        <v>123</v>
      </c>
      <c r="S284" s="57">
        <f t="shared" si="49"/>
        <v>160.80000000000001</v>
      </c>
    </row>
    <row r="285" spans="1:20" ht="13.5" x14ac:dyDescent="0.25">
      <c r="A285" s="8" t="str">
        <f t="shared" si="72"/>
        <v>100230314</v>
      </c>
      <c r="B285" s="8" t="s">
        <v>98</v>
      </c>
      <c r="C285" s="8">
        <v>3</v>
      </c>
      <c r="D285" s="8" t="s">
        <v>62</v>
      </c>
      <c r="E285" s="8">
        <v>4</v>
      </c>
      <c r="F285" s="34">
        <f t="shared" si="76"/>
        <v>3288</v>
      </c>
      <c r="G285" s="34">
        <f t="shared" si="76"/>
        <v>3288</v>
      </c>
      <c r="H285" s="34">
        <f t="shared" si="77"/>
        <v>411</v>
      </c>
      <c r="I285" s="34">
        <f t="shared" si="77"/>
        <v>411</v>
      </c>
      <c r="J285" s="34">
        <f t="shared" si="78"/>
        <v>3288</v>
      </c>
      <c r="K285" s="133">
        <v>1000</v>
      </c>
      <c r="L285" s="34"/>
      <c r="M285" s="16">
        <f t="shared" si="62"/>
        <v>168.63305458183459</v>
      </c>
      <c r="N285" s="36">
        <v>400</v>
      </c>
      <c r="O285" s="36">
        <v>4</v>
      </c>
      <c r="P285" s="57">
        <v>328.8</v>
      </c>
      <c r="Q285" s="2" t="s">
        <v>90</v>
      </c>
      <c r="S285" s="57">
        <f t="shared" si="49"/>
        <v>164.4</v>
      </c>
    </row>
    <row r="286" spans="1:20" ht="13.5" x14ac:dyDescent="0.25">
      <c r="A286" s="8" t="str">
        <f t="shared" si="72"/>
        <v>100230414</v>
      </c>
      <c r="B286" s="8" t="s">
        <v>98</v>
      </c>
      <c r="C286" s="8">
        <v>4</v>
      </c>
      <c r="D286" s="8" t="s">
        <v>62</v>
      </c>
      <c r="E286" s="8">
        <v>4</v>
      </c>
      <c r="F286" s="34">
        <f t="shared" si="76"/>
        <v>4352</v>
      </c>
      <c r="G286" s="34">
        <f t="shared" si="76"/>
        <v>4352</v>
      </c>
      <c r="H286" s="34">
        <f t="shared" si="77"/>
        <v>544</v>
      </c>
      <c r="I286" s="34">
        <f t="shared" si="77"/>
        <v>544</v>
      </c>
      <c r="J286" s="34">
        <f t="shared" si="78"/>
        <v>4352</v>
      </c>
      <c r="K286" s="133">
        <v>1000</v>
      </c>
      <c r="L286" s="34"/>
      <c r="M286" s="16">
        <f t="shared" si="62"/>
        <v>256.79012786008735</v>
      </c>
      <c r="N286" s="36">
        <v>400</v>
      </c>
      <c r="O286" s="36">
        <v>4</v>
      </c>
      <c r="P286" s="57">
        <v>435.20000000000005</v>
      </c>
      <c r="Q286" s="2" t="s">
        <v>90</v>
      </c>
      <c r="S286" s="57">
        <f t="shared" si="49"/>
        <v>217.60000000000002</v>
      </c>
    </row>
    <row r="287" spans="1:20" ht="13.5" x14ac:dyDescent="0.25">
      <c r="A287" s="8" t="str">
        <f t="shared" si="72"/>
        <v>100230514</v>
      </c>
      <c r="B287" s="8" t="s">
        <v>98</v>
      </c>
      <c r="C287" s="8">
        <v>5</v>
      </c>
      <c r="D287" s="8" t="s">
        <v>62</v>
      </c>
      <c r="E287" s="8">
        <v>4</v>
      </c>
      <c r="F287" s="34">
        <f t="shared" si="76"/>
        <v>6344</v>
      </c>
      <c r="G287" s="34">
        <f t="shared" si="76"/>
        <v>6344</v>
      </c>
      <c r="H287" s="34">
        <f t="shared" si="77"/>
        <v>793</v>
      </c>
      <c r="I287" s="34">
        <f t="shared" si="77"/>
        <v>793</v>
      </c>
      <c r="J287" s="34">
        <f t="shared" si="78"/>
        <v>6344</v>
      </c>
      <c r="K287" s="133">
        <v>1000</v>
      </c>
      <c r="L287" s="34"/>
      <c r="M287" s="16">
        <f t="shared" si="62"/>
        <v>451.94933838562042</v>
      </c>
      <c r="N287" s="36">
        <v>400</v>
      </c>
      <c r="O287" s="36">
        <v>4</v>
      </c>
      <c r="P287" s="57">
        <v>634.40000000000009</v>
      </c>
      <c r="Q287" s="2" t="s">
        <v>90</v>
      </c>
      <c r="S287" s="57">
        <f t="shared" si="49"/>
        <v>317.20000000000005</v>
      </c>
    </row>
    <row r="288" spans="1:20" ht="13.5" x14ac:dyDescent="0.25">
      <c r="A288" s="8" t="str">
        <f t="shared" si="72"/>
        <v/>
      </c>
      <c r="B288" s="38"/>
      <c r="C288" s="35" t="s">
        <v>53</v>
      </c>
      <c r="D288" s="38"/>
      <c r="E288" s="38"/>
      <c r="F288" s="38"/>
      <c r="G288" s="40"/>
      <c r="H288" s="38"/>
      <c r="I288" s="38"/>
      <c r="J288" s="38"/>
      <c r="K288" s="133">
        <v>1000</v>
      </c>
      <c r="L288" s="38"/>
      <c r="M288" s="16">
        <f t="shared" si="62"/>
        <v>0</v>
      </c>
      <c r="N288" s="36">
        <v>400</v>
      </c>
      <c r="O288" s="40"/>
      <c r="P288" s="57">
        <v>0</v>
      </c>
      <c r="Q288" s="38"/>
      <c r="R288" s="38"/>
      <c r="S288" s="57">
        <f t="shared" si="49"/>
        <v>0</v>
      </c>
      <c r="T288" s="267"/>
    </row>
    <row r="289" spans="1:20" ht="13.5" x14ac:dyDescent="0.25">
      <c r="A289" s="8" t="str">
        <f t="shared" si="72"/>
        <v>100240214</v>
      </c>
      <c r="B289" s="8" t="s">
        <v>99</v>
      </c>
      <c r="C289" s="8">
        <v>2</v>
      </c>
      <c r="D289" s="8" t="s">
        <v>62</v>
      </c>
      <c r="E289" s="8">
        <v>4</v>
      </c>
      <c r="F289" s="34">
        <f t="shared" ref="F289:G292" si="79">ROUNDDOWN($P289/4*$O289*10*$N289/$N289*$Q289/400,0)</f>
        <v>3216</v>
      </c>
      <c r="G289" s="34">
        <f t="shared" si="79"/>
        <v>3216</v>
      </c>
      <c r="H289" s="34">
        <f t="shared" ref="H289:I292" si="80">ROUNDDOWN($S289/4*10,0)</f>
        <v>402</v>
      </c>
      <c r="I289" s="34">
        <f t="shared" si="80"/>
        <v>402</v>
      </c>
      <c r="J289" s="34">
        <f t="shared" ref="J289:J292" si="81">ROUNDDOWN($P289/4*$O289*10*$N289/$Q289*$N289/400,0)</f>
        <v>3216</v>
      </c>
      <c r="K289" s="133">
        <v>1000</v>
      </c>
      <c r="L289" s="34"/>
      <c r="M289" s="16">
        <f t="shared" si="62"/>
        <v>163.12444745285731</v>
      </c>
      <c r="N289" s="36">
        <v>400</v>
      </c>
      <c r="O289" s="36">
        <v>4</v>
      </c>
      <c r="P289" s="57">
        <v>321.60000000000002</v>
      </c>
      <c r="Q289" s="2" t="s">
        <v>123</v>
      </c>
      <c r="S289" s="57">
        <f t="shared" si="49"/>
        <v>160.80000000000001</v>
      </c>
    </row>
    <row r="290" spans="1:20" ht="13.5" x14ac:dyDescent="0.25">
      <c r="A290" s="8" t="str">
        <f t="shared" si="72"/>
        <v>100240314</v>
      </c>
      <c r="B290" s="8" t="s">
        <v>99</v>
      </c>
      <c r="C290" s="8">
        <v>3</v>
      </c>
      <c r="D290" s="8" t="s">
        <v>62</v>
      </c>
      <c r="E290" s="8">
        <v>4</v>
      </c>
      <c r="F290" s="34">
        <f t="shared" si="79"/>
        <v>3288</v>
      </c>
      <c r="G290" s="34">
        <f t="shared" si="79"/>
        <v>3288</v>
      </c>
      <c r="H290" s="34">
        <f t="shared" si="80"/>
        <v>411</v>
      </c>
      <c r="I290" s="34">
        <f t="shared" si="80"/>
        <v>411</v>
      </c>
      <c r="J290" s="34">
        <f t="shared" si="81"/>
        <v>3288</v>
      </c>
      <c r="K290" s="133">
        <v>1000</v>
      </c>
      <c r="L290" s="34"/>
      <c r="M290" s="16">
        <f t="shared" si="62"/>
        <v>168.63305458183459</v>
      </c>
      <c r="N290" s="36">
        <v>400</v>
      </c>
      <c r="O290" s="36">
        <v>4</v>
      </c>
      <c r="P290" s="57">
        <v>328.8</v>
      </c>
      <c r="Q290" s="2" t="s">
        <v>90</v>
      </c>
      <c r="S290" s="57">
        <f t="shared" si="49"/>
        <v>164.4</v>
      </c>
    </row>
    <row r="291" spans="1:20" ht="13.5" x14ac:dyDescent="0.25">
      <c r="A291" s="8" t="str">
        <f t="shared" si="72"/>
        <v>100240414</v>
      </c>
      <c r="B291" s="8" t="s">
        <v>99</v>
      </c>
      <c r="C291" s="8">
        <v>4</v>
      </c>
      <c r="D291" s="8" t="s">
        <v>62</v>
      </c>
      <c r="E291" s="8">
        <v>4</v>
      </c>
      <c r="F291" s="34">
        <f t="shared" si="79"/>
        <v>4352</v>
      </c>
      <c r="G291" s="34">
        <f t="shared" si="79"/>
        <v>4352</v>
      </c>
      <c r="H291" s="34">
        <f t="shared" si="80"/>
        <v>544</v>
      </c>
      <c r="I291" s="34">
        <f t="shared" si="80"/>
        <v>544</v>
      </c>
      <c r="J291" s="34">
        <f t="shared" si="81"/>
        <v>4352</v>
      </c>
      <c r="K291" s="133">
        <v>1000</v>
      </c>
      <c r="L291" s="34"/>
      <c r="M291" s="16">
        <f t="shared" si="62"/>
        <v>256.79012786008735</v>
      </c>
      <c r="N291" s="36">
        <v>400</v>
      </c>
      <c r="O291" s="36">
        <v>4</v>
      </c>
      <c r="P291" s="57">
        <v>435.20000000000005</v>
      </c>
      <c r="Q291" s="2" t="s">
        <v>90</v>
      </c>
      <c r="S291" s="57">
        <f t="shared" si="49"/>
        <v>217.60000000000002</v>
      </c>
    </row>
    <row r="292" spans="1:20" ht="13.5" x14ac:dyDescent="0.25">
      <c r="A292" s="8" t="str">
        <f t="shared" si="72"/>
        <v>100240514</v>
      </c>
      <c r="B292" s="8" t="s">
        <v>99</v>
      </c>
      <c r="C292" s="8">
        <v>5</v>
      </c>
      <c r="D292" s="8" t="s">
        <v>62</v>
      </c>
      <c r="E292" s="8">
        <v>4</v>
      </c>
      <c r="F292" s="34">
        <f t="shared" si="79"/>
        <v>6344</v>
      </c>
      <c r="G292" s="34">
        <f t="shared" si="79"/>
        <v>6344</v>
      </c>
      <c r="H292" s="34">
        <f t="shared" si="80"/>
        <v>793</v>
      </c>
      <c r="I292" s="34">
        <f t="shared" si="80"/>
        <v>793</v>
      </c>
      <c r="J292" s="34">
        <f t="shared" si="81"/>
        <v>6344</v>
      </c>
      <c r="K292" s="133">
        <v>1000</v>
      </c>
      <c r="L292" s="34"/>
      <c r="M292" s="16">
        <f t="shared" si="62"/>
        <v>451.94933838562042</v>
      </c>
      <c r="N292" s="36">
        <v>400</v>
      </c>
      <c r="O292" s="36">
        <v>4</v>
      </c>
      <c r="P292" s="57">
        <v>634.40000000000009</v>
      </c>
      <c r="Q292" s="2" t="s">
        <v>90</v>
      </c>
      <c r="S292" s="57">
        <f t="shared" si="49"/>
        <v>317.20000000000005</v>
      </c>
    </row>
    <row r="293" spans="1:20" ht="13.5" x14ac:dyDescent="0.25">
      <c r="A293" s="8" t="str">
        <f t="shared" si="72"/>
        <v/>
      </c>
      <c r="B293" s="38"/>
      <c r="C293" s="35" t="s">
        <v>54</v>
      </c>
      <c r="D293" s="38"/>
      <c r="E293" s="38"/>
      <c r="F293" s="38"/>
      <c r="G293" s="40"/>
      <c r="H293" s="38"/>
      <c r="I293" s="38"/>
      <c r="J293" s="38"/>
      <c r="K293" s="133">
        <v>1000</v>
      </c>
      <c r="L293" s="38"/>
      <c r="M293" s="16">
        <f t="shared" si="62"/>
        <v>0</v>
      </c>
      <c r="N293" s="36">
        <v>400</v>
      </c>
      <c r="O293" s="40"/>
      <c r="P293" s="57">
        <v>0</v>
      </c>
      <c r="Q293" s="38"/>
      <c r="R293" s="38"/>
      <c r="S293" s="57">
        <f t="shared" si="49"/>
        <v>0</v>
      </c>
      <c r="T293" s="267"/>
    </row>
    <row r="294" spans="1:20" ht="13.5" x14ac:dyDescent="0.25">
      <c r="A294" s="8" t="str">
        <f t="shared" si="72"/>
        <v>100250214</v>
      </c>
      <c r="B294" s="8" t="s">
        <v>100</v>
      </c>
      <c r="C294" s="8">
        <v>2</v>
      </c>
      <c r="D294" s="8" t="s">
        <v>62</v>
      </c>
      <c r="E294" s="8">
        <v>4</v>
      </c>
      <c r="F294" s="34">
        <f t="shared" ref="F294:G303" si="82">ROUNDDOWN($P294/4*$O294*10*$N294/$N294*$Q294/400,0)</f>
        <v>3216</v>
      </c>
      <c r="G294" s="34">
        <f t="shared" si="82"/>
        <v>3216</v>
      </c>
      <c r="H294" s="34">
        <f>ROUNDDOWN($S294/4*10,0)</f>
        <v>402</v>
      </c>
      <c r="I294" s="34">
        <f t="shared" ref="H294:I303" si="83">ROUNDDOWN($S294/4*10,0)</f>
        <v>402</v>
      </c>
      <c r="J294" s="34">
        <f t="shared" ref="J294:J303" si="84">ROUNDDOWN($P294/4*$O294*10*$N294/$Q294*$N294/400,0)</f>
        <v>3216</v>
      </c>
      <c r="K294" s="133">
        <v>1000</v>
      </c>
      <c r="L294" s="34"/>
      <c r="M294" s="16">
        <f t="shared" si="62"/>
        <v>163.12444745285731</v>
      </c>
      <c r="N294" s="36">
        <v>400</v>
      </c>
      <c r="O294" s="36">
        <v>4</v>
      </c>
      <c r="P294" s="57">
        <v>321.60000000000002</v>
      </c>
      <c r="Q294" s="2" t="s">
        <v>123</v>
      </c>
      <c r="S294" s="57">
        <f t="shared" si="49"/>
        <v>160.80000000000001</v>
      </c>
    </row>
    <row r="295" spans="1:20" ht="13.5" x14ac:dyDescent="0.25">
      <c r="A295" s="8" t="str">
        <f t="shared" si="72"/>
        <v>100250314</v>
      </c>
      <c r="B295" s="8" t="s">
        <v>100</v>
      </c>
      <c r="C295" s="8">
        <v>3</v>
      </c>
      <c r="D295" s="8" t="s">
        <v>62</v>
      </c>
      <c r="E295" s="8">
        <v>4</v>
      </c>
      <c r="F295" s="34">
        <f t="shared" si="82"/>
        <v>3288</v>
      </c>
      <c r="G295" s="34">
        <f t="shared" si="82"/>
        <v>3288</v>
      </c>
      <c r="H295" s="34">
        <f t="shared" si="83"/>
        <v>411</v>
      </c>
      <c r="I295" s="34">
        <f t="shared" si="83"/>
        <v>411</v>
      </c>
      <c r="J295" s="34">
        <f t="shared" si="84"/>
        <v>3288</v>
      </c>
      <c r="K295" s="133">
        <v>1000</v>
      </c>
      <c r="L295" s="34"/>
      <c r="M295" s="16">
        <f t="shared" si="62"/>
        <v>168.63305458183459</v>
      </c>
      <c r="N295" s="36">
        <v>400</v>
      </c>
      <c r="O295" s="36">
        <v>4</v>
      </c>
      <c r="P295" s="57">
        <v>328.8</v>
      </c>
      <c r="Q295" s="2" t="s">
        <v>90</v>
      </c>
      <c r="S295" s="57">
        <f t="shared" si="49"/>
        <v>164.4</v>
      </c>
    </row>
    <row r="296" spans="1:20" ht="13.5" x14ac:dyDescent="0.25">
      <c r="A296" s="8" t="str">
        <f t="shared" si="72"/>
        <v>100250414</v>
      </c>
      <c r="B296" s="8" t="s">
        <v>100</v>
      </c>
      <c r="C296" s="8">
        <v>4</v>
      </c>
      <c r="D296" s="8" t="s">
        <v>62</v>
      </c>
      <c r="E296" s="8">
        <v>4</v>
      </c>
      <c r="F296" s="34">
        <f t="shared" si="82"/>
        <v>4352</v>
      </c>
      <c r="G296" s="34">
        <f t="shared" si="82"/>
        <v>4352</v>
      </c>
      <c r="H296" s="34">
        <f t="shared" si="83"/>
        <v>544</v>
      </c>
      <c r="I296" s="34">
        <f t="shared" si="83"/>
        <v>544</v>
      </c>
      <c r="J296" s="34">
        <f t="shared" si="84"/>
        <v>4352</v>
      </c>
      <c r="K296" s="133">
        <v>1000</v>
      </c>
      <c r="L296" s="34"/>
      <c r="M296" s="16">
        <f t="shared" si="62"/>
        <v>256.79012786008735</v>
      </c>
      <c r="N296" s="36">
        <v>400</v>
      </c>
      <c r="O296" s="36">
        <v>4</v>
      </c>
      <c r="P296" s="57">
        <v>435.20000000000005</v>
      </c>
      <c r="Q296" s="2" t="s">
        <v>90</v>
      </c>
      <c r="S296" s="57">
        <f t="shared" si="49"/>
        <v>217.60000000000002</v>
      </c>
    </row>
    <row r="297" spans="1:20" ht="13.5" x14ac:dyDescent="0.25">
      <c r="A297" s="8" t="str">
        <f t="shared" si="72"/>
        <v>100250514</v>
      </c>
      <c r="B297" s="8" t="s">
        <v>100</v>
      </c>
      <c r="C297" s="8">
        <v>5</v>
      </c>
      <c r="D297" s="8" t="s">
        <v>62</v>
      </c>
      <c r="E297" s="8">
        <v>4</v>
      </c>
      <c r="F297" s="34">
        <f t="shared" si="82"/>
        <v>6344</v>
      </c>
      <c r="G297" s="34">
        <f t="shared" si="82"/>
        <v>6344</v>
      </c>
      <c r="H297" s="34">
        <f>ROUNDDOWN($S297/4*10,0)</f>
        <v>793</v>
      </c>
      <c r="I297" s="34">
        <f t="shared" si="83"/>
        <v>793</v>
      </c>
      <c r="J297" s="34">
        <f t="shared" si="84"/>
        <v>6344</v>
      </c>
      <c r="K297" s="133">
        <v>1000</v>
      </c>
      <c r="L297" s="34"/>
      <c r="M297" s="16">
        <f t="shared" si="62"/>
        <v>451.94933838562042</v>
      </c>
      <c r="N297" s="36">
        <v>400</v>
      </c>
      <c r="O297" s="36">
        <v>4</v>
      </c>
      <c r="P297" s="57">
        <v>634.40000000000009</v>
      </c>
      <c r="Q297" s="2" t="s">
        <v>90</v>
      </c>
      <c r="S297" s="57">
        <f t="shared" si="49"/>
        <v>317.20000000000005</v>
      </c>
    </row>
    <row r="298" spans="1:20" x14ac:dyDescent="0.2">
      <c r="A298" s="8" t="str">
        <f t="shared" si="72"/>
        <v/>
      </c>
      <c r="B298" s="38"/>
      <c r="C298" s="35" t="s">
        <v>182</v>
      </c>
      <c r="D298" s="38"/>
      <c r="E298" s="38"/>
      <c r="F298" s="38"/>
      <c r="G298" s="40"/>
      <c r="H298" s="38"/>
      <c r="I298" s="38"/>
      <c r="J298" s="38"/>
      <c r="K298" s="133">
        <v>1000</v>
      </c>
      <c r="L298" s="38"/>
      <c r="M298" s="16">
        <f t="shared" si="62"/>
        <v>0</v>
      </c>
      <c r="N298" s="42" t="str">
        <f>IF(A298="","",M298*#REF!)</f>
        <v/>
      </c>
      <c r="O298" s="40"/>
      <c r="P298" s="38"/>
      <c r="Q298" s="38"/>
      <c r="R298" s="38"/>
      <c r="S298" s="40"/>
      <c r="T298" s="267"/>
    </row>
    <row r="299" spans="1:20" x14ac:dyDescent="0.2">
      <c r="A299" s="8" t="str">
        <f t="shared" si="72"/>
        <v>110011014</v>
      </c>
      <c r="B299" s="8">
        <v>11001</v>
      </c>
      <c r="C299" s="8">
        <v>10</v>
      </c>
      <c r="D299" s="8" t="s">
        <v>62</v>
      </c>
      <c r="E299" s="8">
        <v>4</v>
      </c>
      <c r="F299" s="34">
        <f t="shared" si="82"/>
        <v>128243</v>
      </c>
      <c r="G299" s="34">
        <f t="shared" si="82"/>
        <v>128243</v>
      </c>
      <c r="H299" s="34">
        <f>ROUNDDOWN($S299/4*10,0)</f>
        <v>1202</v>
      </c>
      <c r="I299" s="34">
        <f t="shared" si="83"/>
        <v>1202</v>
      </c>
      <c r="J299" s="34">
        <f t="shared" si="84"/>
        <v>162816</v>
      </c>
      <c r="K299" s="133">
        <v>1000</v>
      </c>
      <c r="L299" s="34"/>
      <c r="M299" s="16">
        <f t="shared" si="62"/>
        <v>12673.821780707129</v>
      </c>
      <c r="N299" s="36">
        <v>800</v>
      </c>
      <c r="O299" s="36">
        <v>4</v>
      </c>
      <c r="P299" s="2" t="s">
        <v>189</v>
      </c>
      <c r="Q299" s="2" t="s">
        <v>199</v>
      </c>
      <c r="S299" s="36">
        <f>INT(P299/15)</f>
        <v>481</v>
      </c>
    </row>
    <row r="300" spans="1:20" ht="16.5" x14ac:dyDescent="0.3">
      <c r="A300" s="8" t="str">
        <f t="shared" si="72"/>
        <v>110011114</v>
      </c>
      <c r="B300" s="8">
        <v>11001</v>
      </c>
      <c r="C300" s="8">
        <v>11</v>
      </c>
      <c r="D300" s="8" t="s">
        <v>62</v>
      </c>
      <c r="E300" s="8">
        <v>4</v>
      </c>
      <c r="F300" s="34">
        <f t="shared" si="82"/>
        <v>173506</v>
      </c>
      <c r="G300" s="34">
        <f t="shared" si="82"/>
        <v>173506</v>
      </c>
      <c r="H300" s="34">
        <f t="shared" si="83"/>
        <v>1627</v>
      </c>
      <c r="I300" s="34">
        <f t="shared" si="83"/>
        <v>1627</v>
      </c>
      <c r="J300" s="34">
        <f t="shared" si="84"/>
        <v>220281</v>
      </c>
      <c r="K300" s="133">
        <v>1000</v>
      </c>
      <c r="L300" s="34"/>
      <c r="M300" s="16">
        <f t="shared" si="62"/>
        <v>19949.385927811934</v>
      </c>
      <c r="N300" s="36">
        <v>800</v>
      </c>
      <c r="O300" s="36">
        <v>4</v>
      </c>
      <c r="P300">
        <v>9775</v>
      </c>
      <c r="Q300" s="2" t="s">
        <v>199</v>
      </c>
      <c r="S300" s="36">
        <f>INT(P300/15)</f>
        <v>651</v>
      </c>
    </row>
    <row r="301" spans="1:20" ht="16.5" x14ac:dyDescent="0.3">
      <c r="A301" s="8" t="str">
        <f t="shared" si="72"/>
        <v>110011214</v>
      </c>
      <c r="B301" s="8">
        <v>11001</v>
      </c>
      <c r="C301" s="8">
        <v>12</v>
      </c>
      <c r="D301" s="8" t="s">
        <v>62</v>
      </c>
      <c r="E301" s="8">
        <v>4</v>
      </c>
      <c r="F301" s="34">
        <f>ROUNDDOWN($P301/4*$O301*10*$N301/$N301*$Q301/400,0)</f>
        <v>216727</v>
      </c>
      <c r="G301" s="34">
        <f>ROUNDDOWN($P301/4*$O301*10*$N301/$N301*$Q301/400,0)</f>
        <v>216727</v>
      </c>
      <c r="H301" s="34">
        <f>ROUNDDOWN($S301/4*10,0)</f>
        <v>2035</v>
      </c>
      <c r="I301" s="34">
        <f>ROUNDDOWN($S301/4*10,0)</f>
        <v>2035</v>
      </c>
      <c r="J301" s="34">
        <f>ROUNDDOWN($P301/4*$O301*10*$N301/$Q301*$N301/400,0)</f>
        <v>275154</v>
      </c>
      <c r="K301" s="133">
        <v>1000</v>
      </c>
      <c r="L301" s="34"/>
      <c r="M301" s="16">
        <f t="shared" si="62"/>
        <v>27868.694115027927</v>
      </c>
      <c r="N301" s="36">
        <v>800</v>
      </c>
      <c r="O301" s="36">
        <v>4</v>
      </c>
      <c r="P301">
        <v>12210</v>
      </c>
      <c r="Q301" s="2" t="s">
        <v>199</v>
      </c>
      <c r="S301" s="36">
        <f>INT(P301/15)</f>
        <v>814</v>
      </c>
    </row>
    <row r="302" spans="1:20" ht="16.5" x14ac:dyDescent="0.3">
      <c r="A302" s="8" t="str">
        <f t="shared" si="72"/>
        <v>110011314</v>
      </c>
      <c r="B302" s="8">
        <v>11001</v>
      </c>
      <c r="C302" s="8">
        <v>13</v>
      </c>
      <c r="D302" s="8" t="s">
        <v>62</v>
      </c>
      <c r="E302" s="8">
        <v>4</v>
      </c>
      <c r="F302" s="34">
        <f>ROUNDDOWN($P302/4*$O302*10*$N302/$N302*$Q302/400,0)</f>
        <v>257375</v>
      </c>
      <c r="G302" s="34">
        <f>ROUNDDOWN($P302/4*$O302*10*$N302/$N302*$Q302/400,0)</f>
        <v>257375</v>
      </c>
      <c r="H302" s="34">
        <f>ROUNDDOWN($S302/4*10,0)</f>
        <v>2415</v>
      </c>
      <c r="I302" s="34">
        <f>ROUNDDOWN($S302/4*10,0)</f>
        <v>2415</v>
      </c>
      <c r="J302" s="34">
        <f>ROUNDDOWN($P302/4*$O302*10*$N302/$Q302*$N302/400,0)</f>
        <v>326760</v>
      </c>
      <c r="K302" s="133">
        <v>1000</v>
      </c>
      <c r="L302" s="34"/>
      <c r="M302" s="16">
        <f t="shared" si="62"/>
        <v>36053.395941020593</v>
      </c>
      <c r="N302" s="36">
        <v>800</v>
      </c>
      <c r="O302" s="36">
        <v>4</v>
      </c>
      <c r="P302">
        <v>14500</v>
      </c>
      <c r="Q302" s="2" t="s">
        <v>199</v>
      </c>
      <c r="S302" s="36">
        <f>INT(P302/15)</f>
        <v>966</v>
      </c>
    </row>
    <row r="303" spans="1:20" ht="16.5" x14ac:dyDescent="0.3">
      <c r="A303" s="8" t="str">
        <f t="shared" si="72"/>
        <v>110011414</v>
      </c>
      <c r="B303" s="8">
        <v>11001</v>
      </c>
      <c r="C303" s="8">
        <v>14</v>
      </c>
      <c r="D303" s="8" t="s">
        <v>62</v>
      </c>
      <c r="E303" s="8">
        <v>4</v>
      </c>
      <c r="F303" s="34">
        <f t="shared" si="82"/>
        <v>284000</v>
      </c>
      <c r="G303" s="34">
        <f t="shared" si="82"/>
        <v>284000</v>
      </c>
      <c r="H303" s="34">
        <f>ROUNDDOWN($S303/4*10,0)</f>
        <v>2665</v>
      </c>
      <c r="I303" s="34">
        <f t="shared" si="83"/>
        <v>2665</v>
      </c>
      <c r="J303" s="34">
        <f t="shared" si="84"/>
        <v>360563</v>
      </c>
      <c r="K303" s="133">
        <v>1000</v>
      </c>
      <c r="L303" s="34"/>
      <c r="M303" s="16">
        <f t="shared" si="62"/>
        <v>41791.536917801917</v>
      </c>
      <c r="N303" s="36">
        <v>800</v>
      </c>
      <c r="O303" s="36">
        <v>4</v>
      </c>
      <c r="P303">
        <v>16000</v>
      </c>
      <c r="Q303" s="2" t="s">
        <v>104</v>
      </c>
      <c r="S303" s="36">
        <f>INT(P303/15)</f>
        <v>1066</v>
      </c>
    </row>
    <row r="304" spans="1:20" ht="38.25" x14ac:dyDescent="0.2">
      <c r="A304" s="8" t="str">
        <f t="shared" si="72"/>
        <v/>
      </c>
      <c r="B304" s="5"/>
      <c r="C304" s="6" t="s">
        <v>55</v>
      </c>
      <c r="D304" s="5"/>
      <c r="E304" s="5"/>
      <c r="F304" s="5"/>
      <c r="G304" s="5"/>
      <c r="H304" s="5"/>
      <c r="I304" s="5"/>
      <c r="J304" s="5"/>
      <c r="K304" s="133">
        <v>1000</v>
      </c>
      <c r="L304" s="5"/>
      <c r="M304" s="16">
        <f t="shared" si="62"/>
        <v>0</v>
      </c>
      <c r="N304" s="5"/>
      <c r="O304" s="5"/>
      <c r="P304" s="5"/>
      <c r="Q304" s="5"/>
      <c r="R304" s="5"/>
      <c r="S304" s="30"/>
      <c r="T304" s="266"/>
    </row>
    <row r="305" spans="1:20" x14ac:dyDescent="0.2">
      <c r="A305" s="8" t="str">
        <f t="shared" si="72"/>
        <v/>
      </c>
      <c r="B305" s="38"/>
      <c r="C305" s="35" t="s">
        <v>953</v>
      </c>
      <c r="D305" s="38"/>
      <c r="E305" s="38"/>
      <c r="F305" s="38"/>
      <c r="G305" s="40"/>
      <c r="H305" s="38"/>
      <c r="I305" s="38"/>
      <c r="J305" s="38"/>
      <c r="K305" s="133">
        <v>1000</v>
      </c>
      <c r="L305" s="38"/>
      <c r="M305" s="16">
        <f t="shared" si="62"/>
        <v>0</v>
      </c>
      <c r="N305" s="42" t="str">
        <f>IF(A305="","",M305*#REF!)</f>
        <v/>
      </c>
      <c r="O305" s="40"/>
      <c r="P305" s="38"/>
      <c r="Q305" s="38"/>
      <c r="R305" s="38"/>
      <c r="S305" s="40"/>
      <c r="T305" s="267"/>
    </row>
    <row r="306" spans="1:20" x14ac:dyDescent="0.2">
      <c r="A306" s="14" t="str">
        <f t="shared" si="72"/>
        <v>200010110</v>
      </c>
      <c r="B306" s="14">
        <v>20001</v>
      </c>
      <c r="C306" s="14">
        <v>1</v>
      </c>
      <c r="D306" s="14" t="s">
        <v>62</v>
      </c>
      <c r="E306" s="14">
        <v>0</v>
      </c>
      <c r="F306" s="34">
        <f t="shared" ref="F306:G307" si="85">ROUNDDOWN($P306/4*$O306*10*$N306/$N306*$Q306/400,0)</f>
        <v>2870</v>
      </c>
      <c r="G306" s="34">
        <f t="shared" si="85"/>
        <v>2870</v>
      </c>
      <c r="H306" s="34">
        <f t="shared" ref="H306:I321" si="86">ROUNDDOWN($S306/4*10,0)</f>
        <v>75000</v>
      </c>
      <c r="I306" s="34">
        <f t="shared" si="86"/>
        <v>75000</v>
      </c>
      <c r="J306" s="34">
        <f t="shared" ref="J306:J307" si="87">ROUNDDOWN($P306/4*$O306*10*$N306/$Q306*$N306/400,0)</f>
        <v>1395</v>
      </c>
      <c r="K306" s="133">
        <v>1000</v>
      </c>
      <c r="L306" s="34"/>
      <c r="M306" s="16">
        <f t="shared" si="62"/>
        <v>1386.2727004453345</v>
      </c>
      <c r="N306" s="36">
        <v>495</v>
      </c>
      <c r="O306" s="36">
        <v>0.5</v>
      </c>
      <c r="P306" s="99">
        <v>1293.7320000000002</v>
      </c>
      <c r="Q306" s="2" t="s">
        <v>104</v>
      </c>
      <c r="S306" s="36">
        <v>30000</v>
      </c>
    </row>
    <row r="307" spans="1:20" x14ac:dyDescent="0.2">
      <c r="A307" s="14" t="str">
        <f t="shared" si="72"/>
        <v>200010111</v>
      </c>
      <c r="B307" s="14">
        <v>20001</v>
      </c>
      <c r="C307" s="14">
        <v>1</v>
      </c>
      <c r="D307" s="14" t="s">
        <v>62</v>
      </c>
      <c r="E307" s="14">
        <v>1</v>
      </c>
      <c r="F307" s="34">
        <f t="shared" si="85"/>
        <v>12289</v>
      </c>
      <c r="G307" s="34">
        <f t="shared" si="85"/>
        <v>12289</v>
      </c>
      <c r="H307" s="34">
        <f t="shared" si="86"/>
        <v>75000</v>
      </c>
      <c r="I307" s="34">
        <f t="shared" si="86"/>
        <v>75000</v>
      </c>
      <c r="J307" s="34">
        <f t="shared" si="87"/>
        <v>5973</v>
      </c>
      <c r="K307" s="133">
        <v>1000</v>
      </c>
      <c r="L307" s="34"/>
      <c r="M307" s="16">
        <f t="shared" si="62"/>
        <v>5935.7438084876949</v>
      </c>
      <c r="N307" s="36">
        <v>495</v>
      </c>
      <c r="O307" s="36">
        <v>2</v>
      </c>
      <c r="P307" s="99">
        <v>1384.7724000000003</v>
      </c>
      <c r="Q307" s="2" t="s">
        <v>104</v>
      </c>
      <c r="S307" s="36">
        <v>30000</v>
      </c>
    </row>
    <row r="308" spans="1:20" x14ac:dyDescent="0.2">
      <c r="A308" s="14" t="str">
        <f t="shared" si="72"/>
        <v>200010210</v>
      </c>
      <c r="B308" s="14">
        <v>20001</v>
      </c>
      <c r="C308" s="14">
        <v>2</v>
      </c>
      <c r="D308" s="14" t="s">
        <v>62</v>
      </c>
      <c r="E308" s="14">
        <v>0</v>
      </c>
      <c r="F308" s="34">
        <f>ROUNDDOWN($P308/4*$O308*10*$N308/$N308*$Q308/400,0)</f>
        <v>17731</v>
      </c>
      <c r="G308" s="34">
        <f>ROUNDDOWN($P308/4*$O308*10*$N308/$N308*$Q308/400,0)</f>
        <v>17731</v>
      </c>
      <c r="H308" s="34">
        <f t="shared" si="86"/>
        <v>150000</v>
      </c>
      <c r="I308" s="34">
        <f t="shared" si="86"/>
        <v>150000</v>
      </c>
      <c r="J308" s="34">
        <f>ROUNDDOWN($P308/4*$O308*10*$N308/$Q308*$N308/400,0)</f>
        <v>10848</v>
      </c>
      <c r="K308" s="133">
        <v>1000</v>
      </c>
      <c r="L308" s="34"/>
      <c r="M308" s="16">
        <f t="shared" si="62"/>
        <v>13588.673683623432</v>
      </c>
      <c r="N308" s="36">
        <v>650</v>
      </c>
      <c r="O308" s="36">
        <v>0.5</v>
      </c>
      <c r="P308" s="99">
        <v>6828.0300000000016</v>
      </c>
      <c r="Q308" s="90" t="s">
        <v>375</v>
      </c>
      <c r="S308" s="36">
        <v>60000</v>
      </c>
    </row>
    <row r="309" spans="1:20" x14ac:dyDescent="0.2">
      <c r="A309" s="14" t="str">
        <f t="shared" si="72"/>
        <v>200010211</v>
      </c>
      <c r="B309" s="14">
        <v>20001</v>
      </c>
      <c r="C309" s="14">
        <v>2</v>
      </c>
      <c r="D309" s="14" t="s">
        <v>62</v>
      </c>
      <c r="E309" s="14">
        <v>1</v>
      </c>
      <c r="F309" s="34">
        <f t="shared" ref="F309:G309" si="88">ROUNDDOWN($P309/4*$O309*10*$N309/$N309*$Q309/400,0)</f>
        <v>101268</v>
      </c>
      <c r="G309" s="34">
        <f t="shared" si="88"/>
        <v>101268</v>
      </c>
      <c r="H309" s="34">
        <f t="shared" si="86"/>
        <v>150000</v>
      </c>
      <c r="I309" s="34">
        <f t="shared" si="86"/>
        <v>150000</v>
      </c>
      <c r="J309" s="34">
        <f t="shared" ref="J309" si="89">ROUNDDOWN($P309/4*$O309*10*$N309/$Q309*$N309/400,0)</f>
        <v>68382</v>
      </c>
      <c r="K309" s="133">
        <v>1000</v>
      </c>
      <c r="L309" s="34"/>
      <c r="M309" s="16">
        <f t="shared" si="62"/>
        <v>81534.72904817923</v>
      </c>
      <c r="N309" s="36">
        <v>650</v>
      </c>
      <c r="O309" s="36">
        <v>3</v>
      </c>
      <c r="P309" s="99">
        <v>6828.0300000000016</v>
      </c>
      <c r="Q309" s="90" t="s">
        <v>371</v>
      </c>
      <c r="S309" s="36">
        <v>60000</v>
      </c>
    </row>
    <row r="310" spans="1:20" ht="11.25" customHeight="1" x14ac:dyDescent="0.2">
      <c r="A310" s="8" t="str">
        <f t="shared" si="72"/>
        <v>200010310</v>
      </c>
      <c r="B310" s="8">
        <v>20001</v>
      </c>
      <c r="C310" s="8">
        <v>3</v>
      </c>
      <c r="D310" s="14" t="s">
        <v>62</v>
      </c>
      <c r="E310" s="8">
        <v>0</v>
      </c>
      <c r="F310" s="34">
        <f>ROUNDDOWN($P310/4*$O310*10*$N310/$N310*$Q310/400,0)</f>
        <v>47123</v>
      </c>
      <c r="G310" s="34">
        <f>ROUNDDOWN($P310/4*$O310*10*$N310/$N310*$Q310/400,0)</f>
        <v>47123</v>
      </c>
      <c r="H310" s="34">
        <f t="shared" si="86"/>
        <v>250000</v>
      </c>
      <c r="I310" s="34">
        <f t="shared" si="86"/>
        <v>250000</v>
      </c>
      <c r="J310" s="34">
        <f>ROUNDDOWN($P310/4*$O310*10*$N310/$Q310*$N310/400,0)</f>
        <v>26185</v>
      </c>
      <c r="K310" s="133">
        <v>1000</v>
      </c>
      <c r="L310" s="34"/>
      <c r="M310" s="16">
        <f t="shared" si="62"/>
        <v>44432.704261613428</v>
      </c>
      <c r="N310" s="36">
        <v>612</v>
      </c>
      <c r="O310" s="36">
        <v>0.5</v>
      </c>
      <c r="P310" s="36">
        <v>18367.400700000009</v>
      </c>
      <c r="Q310" s="90" t="s">
        <v>374</v>
      </c>
      <c r="S310" s="36">
        <v>100000</v>
      </c>
    </row>
    <row r="311" spans="1:20" ht="11.25" customHeight="1" x14ac:dyDescent="0.2">
      <c r="A311" s="8" t="str">
        <f t="shared" si="72"/>
        <v>200010311</v>
      </c>
      <c r="B311" s="8">
        <v>20001</v>
      </c>
      <c r="C311" s="8">
        <v>3</v>
      </c>
      <c r="D311" s="14" t="s">
        <v>62</v>
      </c>
      <c r="E311" s="8">
        <v>1</v>
      </c>
      <c r="F311" s="34">
        <f t="shared" ref="F311:G313" si="90">ROUNDDOWN($P311/4*$O311*10*$N311/$N311*$Q311/400,0)</f>
        <v>268967</v>
      </c>
      <c r="G311" s="34">
        <f t="shared" si="90"/>
        <v>268967</v>
      </c>
      <c r="H311" s="34">
        <f t="shared" si="86"/>
        <v>250000</v>
      </c>
      <c r="I311" s="34">
        <f t="shared" si="86"/>
        <v>250000</v>
      </c>
      <c r="J311" s="34">
        <f t="shared" ref="J311:J313" si="91">ROUNDDOWN($P311/4*$O311*10*$N311/$Q311*$N311/400,0)</f>
        <v>165158</v>
      </c>
      <c r="K311" s="133">
        <v>1000</v>
      </c>
      <c r="L311" s="34"/>
      <c r="M311" s="16">
        <f t="shared" si="62"/>
        <v>266599.48022755038</v>
      </c>
      <c r="N311" s="36">
        <v>612</v>
      </c>
      <c r="O311" s="36">
        <v>3</v>
      </c>
      <c r="P311" s="36">
        <v>18367.400700000009</v>
      </c>
      <c r="Q311" s="90" t="s">
        <v>368</v>
      </c>
      <c r="S311" s="36">
        <v>100000</v>
      </c>
    </row>
    <row r="312" spans="1:20" ht="16.5" x14ac:dyDescent="0.2">
      <c r="A312" s="14" t="str">
        <f t="shared" si="72"/>
        <v>200010410</v>
      </c>
      <c r="B312" s="14">
        <v>20001</v>
      </c>
      <c r="C312" s="14">
        <v>4</v>
      </c>
      <c r="D312" s="14" t="s">
        <v>62</v>
      </c>
      <c r="E312" s="14">
        <v>0</v>
      </c>
      <c r="F312" s="34">
        <f t="shared" si="90"/>
        <v>77771</v>
      </c>
      <c r="G312" s="34">
        <f t="shared" si="90"/>
        <v>77771</v>
      </c>
      <c r="H312" s="34">
        <f t="shared" si="86"/>
        <v>500000</v>
      </c>
      <c r="I312" s="34">
        <f t="shared" si="86"/>
        <v>500000</v>
      </c>
      <c r="J312" s="34">
        <f t="shared" si="91"/>
        <v>35093</v>
      </c>
      <c r="K312" s="133">
        <v>1000</v>
      </c>
      <c r="L312" s="34"/>
      <c r="M312" s="16">
        <v>28318</v>
      </c>
      <c r="N312" s="58">
        <v>618</v>
      </c>
      <c r="O312" s="36">
        <v>0.5</v>
      </c>
      <c r="P312" s="200">
        <v>27050.977800000004</v>
      </c>
      <c r="Q312" s="41" t="s">
        <v>273</v>
      </c>
      <c r="S312" s="36">
        <v>200000</v>
      </c>
      <c r="T312" s="253"/>
    </row>
    <row r="313" spans="1:20" ht="16.5" x14ac:dyDescent="0.2">
      <c r="A313" s="14" t="str">
        <f t="shared" si="72"/>
        <v>200010411</v>
      </c>
      <c r="B313" s="14">
        <v>20001</v>
      </c>
      <c r="C313" s="14">
        <v>4</v>
      </c>
      <c r="D313" s="14" t="s">
        <v>62</v>
      </c>
      <c r="E313" s="14">
        <v>1</v>
      </c>
      <c r="F313" s="34">
        <f t="shared" si="90"/>
        <v>407667</v>
      </c>
      <c r="G313" s="34">
        <f t="shared" si="90"/>
        <v>407667</v>
      </c>
      <c r="H313" s="34">
        <f t="shared" si="86"/>
        <v>500000</v>
      </c>
      <c r="I313" s="34">
        <f t="shared" si="86"/>
        <v>500000</v>
      </c>
      <c r="J313" s="34">
        <f t="shared" si="91"/>
        <v>210516</v>
      </c>
      <c r="K313" s="133">
        <v>1000</v>
      </c>
      <c r="L313" s="34"/>
      <c r="M313" s="16">
        <f t="shared" ref="M313:M350" si="92">(F313*J313*((H313+I313)/2)/1000)^(1/2)/10*0.8</f>
        <v>524047.10069840099</v>
      </c>
      <c r="N313" s="58">
        <v>618</v>
      </c>
      <c r="O313" s="36">
        <v>3</v>
      </c>
      <c r="P313" s="200">
        <v>25281.679500000013</v>
      </c>
      <c r="Q313" s="41" t="s">
        <v>274</v>
      </c>
      <c r="S313" s="36">
        <v>200000</v>
      </c>
      <c r="T313" s="253"/>
    </row>
    <row r="314" spans="1:20" ht="16.5" x14ac:dyDescent="0.2">
      <c r="A314" s="14" t="str">
        <f t="shared" si="72"/>
        <v>200010510</v>
      </c>
      <c r="B314" s="14">
        <v>20001</v>
      </c>
      <c r="C314" s="14">
        <v>5</v>
      </c>
      <c r="D314" s="14" t="s">
        <v>62</v>
      </c>
      <c r="E314" s="14">
        <v>0</v>
      </c>
      <c r="F314" s="34">
        <f>ROUNDDOWN($P314/4*$O314*10*$N314/$N314*$Q314/400,0)</f>
        <v>81220</v>
      </c>
      <c r="G314" s="34">
        <f>ROUNDDOWN($P314/4*$O314*10*$N314/$N314*$Q314/400,0)</f>
        <v>81220</v>
      </c>
      <c r="H314" s="34">
        <f t="shared" si="86"/>
        <v>875000</v>
      </c>
      <c r="I314" s="34">
        <f t="shared" ref="I314:I315" si="93">ROUNDDOWN($T314/4*10,0)</f>
        <v>875000</v>
      </c>
      <c r="J314" s="34">
        <f>ROUNDDOWN($P314/4*$O314*10*$N314/$Q314*$N314/400,0)</f>
        <v>55441</v>
      </c>
      <c r="K314" s="133">
        <v>1000</v>
      </c>
      <c r="L314" s="34"/>
      <c r="M314" s="16">
        <f t="shared" si="92"/>
        <v>158796.53935775807</v>
      </c>
      <c r="N314" s="36">
        <v>618</v>
      </c>
      <c r="O314" s="36">
        <v>0.5</v>
      </c>
      <c r="P314" s="200">
        <v>34746.586875000008</v>
      </c>
      <c r="Q314" s="41" t="s">
        <v>537</v>
      </c>
      <c r="S314" s="36">
        <v>350000</v>
      </c>
      <c r="T314" s="114">
        <f t="shared" ref="T314:T317" si="94">S314</f>
        <v>350000</v>
      </c>
    </row>
    <row r="315" spans="1:20" ht="16.5" x14ac:dyDescent="0.2">
      <c r="A315" s="14" t="str">
        <f t="shared" si="72"/>
        <v>200010511</v>
      </c>
      <c r="B315" s="14">
        <v>20001</v>
      </c>
      <c r="C315" s="14">
        <v>5</v>
      </c>
      <c r="D315" s="14" t="s">
        <v>62</v>
      </c>
      <c r="E315" s="14">
        <v>1</v>
      </c>
      <c r="F315" s="34">
        <f t="shared" ref="F315:G317" si="95">ROUNDDOWN($P315/4*$O315*10*$N315/$N315*$Q315/400,0)</f>
        <v>444082</v>
      </c>
      <c r="G315" s="34">
        <f t="shared" si="95"/>
        <v>444082</v>
      </c>
      <c r="H315" s="34">
        <f t="shared" si="86"/>
        <v>875000</v>
      </c>
      <c r="I315" s="34">
        <f t="shared" si="93"/>
        <v>875000</v>
      </c>
      <c r="J315" s="34">
        <f t="shared" ref="J315:J317" si="96">ROUNDDOWN($P315/4*$O315*10*$N315/$Q315*$N315/400,0)</f>
        <v>332693</v>
      </c>
      <c r="K315" s="133">
        <v>1000</v>
      </c>
      <c r="L315" s="34"/>
      <c r="M315" s="16">
        <f t="shared" si="92"/>
        <v>909593.67182583234</v>
      </c>
      <c r="N315" s="36">
        <v>618</v>
      </c>
      <c r="O315" s="36">
        <v>3</v>
      </c>
      <c r="P315" s="200">
        <v>33171.408270000007</v>
      </c>
      <c r="Q315" s="41" t="s">
        <v>539</v>
      </c>
      <c r="S315" s="36">
        <v>350000</v>
      </c>
      <c r="T315" s="114">
        <f t="shared" si="94"/>
        <v>350000</v>
      </c>
    </row>
    <row r="316" spans="1:20" ht="16.5" x14ac:dyDescent="0.2">
      <c r="A316" s="14" t="str">
        <f t="shared" si="72"/>
        <v>200010610</v>
      </c>
      <c r="B316" s="14">
        <v>20001</v>
      </c>
      <c r="C316" s="14">
        <v>6</v>
      </c>
      <c r="D316" s="14" t="s">
        <v>62</v>
      </c>
      <c r="E316" s="14">
        <v>0</v>
      </c>
      <c r="F316" s="34">
        <f t="shared" si="95"/>
        <v>184543</v>
      </c>
      <c r="G316" s="34">
        <f t="shared" si="95"/>
        <v>184543</v>
      </c>
      <c r="H316" s="34">
        <f t="shared" si="86"/>
        <v>1250000</v>
      </c>
      <c r="I316" s="34">
        <f t="shared" si="86"/>
        <v>1250000</v>
      </c>
      <c r="J316" s="34">
        <f t="shared" si="96"/>
        <v>103805</v>
      </c>
      <c r="K316" s="133">
        <v>1000</v>
      </c>
      <c r="L316" s="34">
        <v>900</v>
      </c>
      <c r="M316" s="16">
        <f t="shared" si="92"/>
        <v>391473.99520274653</v>
      </c>
      <c r="N316" s="56">
        <v>412.5</v>
      </c>
      <c r="O316" s="36">
        <v>1</v>
      </c>
      <c r="P316" s="95">
        <v>53685.385875000014</v>
      </c>
      <c r="Q316" s="41" t="s">
        <v>360</v>
      </c>
      <c r="S316" s="36">
        <v>500000</v>
      </c>
      <c r="T316" s="114">
        <f t="shared" si="94"/>
        <v>500000</v>
      </c>
    </row>
    <row r="317" spans="1:20" ht="16.5" x14ac:dyDescent="0.2">
      <c r="A317" s="14" t="str">
        <f t="shared" si="72"/>
        <v>200010611</v>
      </c>
      <c r="B317" s="14">
        <v>20001</v>
      </c>
      <c r="C317" s="14">
        <v>6</v>
      </c>
      <c r="D317" s="14" t="s">
        <v>62</v>
      </c>
      <c r="E317" s="14">
        <v>1</v>
      </c>
      <c r="F317" s="34">
        <f t="shared" si="95"/>
        <v>1107261</v>
      </c>
      <c r="G317" s="34">
        <f t="shared" si="95"/>
        <v>1107261</v>
      </c>
      <c r="H317" s="34">
        <f t="shared" si="86"/>
        <v>1250000</v>
      </c>
      <c r="I317" s="34">
        <f t="shared" si="86"/>
        <v>1250000</v>
      </c>
      <c r="J317" s="34">
        <f t="shared" si="96"/>
        <v>622834</v>
      </c>
      <c r="K317" s="133">
        <v>1000</v>
      </c>
      <c r="L317" s="34">
        <v>1900</v>
      </c>
      <c r="M317" s="16">
        <f t="shared" si="92"/>
        <v>2348854.6956744688</v>
      </c>
      <c r="N317" s="56">
        <v>412.5</v>
      </c>
      <c r="O317" s="36">
        <v>6</v>
      </c>
      <c r="P317" s="95">
        <v>53685.385875000014</v>
      </c>
      <c r="Q317" s="41" t="s">
        <v>360</v>
      </c>
      <c r="S317" s="36">
        <v>500000</v>
      </c>
      <c r="T317" s="114">
        <f t="shared" si="94"/>
        <v>500000</v>
      </c>
    </row>
    <row r="318" spans="1:20" x14ac:dyDescent="0.2">
      <c r="A318" s="8" t="str">
        <f t="shared" si="72"/>
        <v/>
      </c>
      <c r="B318" s="38"/>
      <c r="C318" s="35" t="s">
        <v>954</v>
      </c>
      <c r="D318" s="38"/>
      <c r="E318" s="38"/>
      <c r="F318" s="38"/>
      <c r="G318" s="40"/>
      <c r="H318" s="38"/>
      <c r="I318" s="38"/>
      <c r="J318" s="38"/>
      <c r="K318" s="133">
        <v>1000</v>
      </c>
      <c r="L318" s="38"/>
      <c r="M318" s="16">
        <f t="shared" si="92"/>
        <v>0</v>
      </c>
      <c r="N318" s="42" t="str">
        <f>IF(A318="","",M318*#REF!)</f>
        <v/>
      </c>
      <c r="O318" s="40"/>
      <c r="P318" s="38"/>
      <c r="Q318" s="38"/>
      <c r="R318" s="38"/>
      <c r="S318" s="40"/>
      <c r="T318" s="267"/>
    </row>
    <row r="319" spans="1:20" x14ac:dyDescent="0.2">
      <c r="A319" s="14" t="str">
        <f t="shared" si="72"/>
        <v>200020110</v>
      </c>
      <c r="B319" s="14">
        <v>20002</v>
      </c>
      <c r="C319" s="14">
        <v>1</v>
      </c>
      <c r="D319" s="14" t="s">
        <v>62</v>
      </c>
      <c r="E319" s="14">
        <v>0</v>
      </c>
      <c r="F319" s="34">
        <f t="shared" ref="F319:G320" si="97">ROUNDDOWN($P319/4*$O319*10*$N319/$N319*$Q319/400,0)</f>
        <v>2372</v>
      </c>
      <c r="G319" s="34">
        <f t="shared" si="97"/>
        <v>2372</v>
      </c>
      <c r="H319" s="34">
        <f t="shared" si="86"/>
        <v>1705</v>
      </c>
      <c r="I319" s="34">
        <f t="shared" si="86"/>
        <v>1705</v>
      </c>
      <c r="J319" s="34">
        <f t="shared" ref="J319:J320" si="98">ROUNDDOWN($P319/4*$O319*10*$N319/$Q319*$N319/400,0)</f>
        <v>3400</v>
      </c>
      <c r="K319" s="133">
        <v>1000</v>
      </c>
      <c r="L319" s="34"/>
      <c r="M319" s="16">
        <f t="shared" si="92"/>
        <v>296.65316044161744</v>
      </c>
      <c r="N319" s="36">
        <v>850</v>
      </c>
      <c r="O319" s="36">
        <v>0.5</v>
      </c>
      <c r="P319" s="99">
        <v>1069.2</v>
      </c>
      <c r="Q319" s="2" t="s">
        <v>104</v>
      </c>
      <c r="S319" s="36">
        <v>682</v>
      </c>
    </row>
    <row r="320" spans="1:20" x14ac:dyDescent="0.2">
      <c r="A320" s="14" t="str">
        <f t="shared" si="72"/>
        <v>200020111</v>
      </c>
      <c r="B320" s="14">
        <v>20002</v>
      </c>
      <c r="C320" s="14">
        <v>1</v>
      </c>
      <c r="D320" s="14" t="s">
        <v>62</v>
      </c>
      <c r="E320" s="14">
        <v>1</v>
      </c>
      <c r="F320" s="34">
        <f t="shared" si="97"/>
        <v>6212</v>
      </c>
      <c r="G320" s="34">
        <f t="shared" si="97"/>
        <v>6212</v>
      </c>
      <c r="H320" s="34">
        <f t="shared" si="86"/>
        <v>1705</v>
      </c>
      <c r="I320" s="34">
        <f t="shared" si="86"/>
        <v>1705</v>
      </c>
      <c r="J320" s="34">
        <f t="shared" si="98"/>
        <v>12323</v>
      </c>
      <c r="K320" s="133">
        <v>1000</v>
      </c>
      <c r="L320" s="34"/>
      <c r="M320" s="16">
        <f t="shared" si="92"/>
        <v>913.9577638556392</v>
      </c>
      <c r="N320" s="36">
        <v>1000</v>
      </c>
      <c r="O320" s="36">
        <v>2</v>
      </c>
      <c r="P320" s="99">
        <v>700</v>
      </c>
      <c r="Q320" s="2" t="s">
        <v>104</v>
      </c>
      <c r="S320" s="36">
        <v>682</v>
      </c>
    </row>
    <row r="321" spans="1:20" x14ac:dyDescent="0.2">
      <c r="A321" s="14" t="str">
        <f t="shared" si="72"/>
        <v>200020210</v>
      </c>
      <c r="B321" s="14">
        <v>20002</v>
      </c>
      <c r="C321" s="14">
        <v>2</v>
      </c>
      <c r="D321" s="14" t="s">
        <v>62</v>
      </c>
      <c r="E321" s="14">
        <v>0</v>
      </c>
      <c r="F321" s="34">
        <f>ROUNDDOWN($P321/4*$O321*10*$N321/$N321*$Q321/400,0)</f>
        <v>14654</v>
      </c>
      <c r="G321" s="34">
        <f>ROUNDDOWN($P321/4*$O321*10*$N321/$N321*$Q321/400,0)</f>
        <v>14654</v>
      </c>
      <c r="H321" s="34">
        <f t="shared" si="86"/>
        <v>7052</v>
      </c>
      <c r="I321" s="34">
        <f t="shared" si="86"/>
        <v>7052</v>
      </c>
      <c r="J321" s="34">
        <f>ROUNDDOWN($P321/4*$O321*10*$N321/$Q321*$N321/400,0)</f>
        <v>17188</v>
      </c>
      <c r="K321" s="133">
        <v>1000</v>
      </c>
      <c r="L321" s="34"/>
      <c r="M321" s="16">
        <f t="shared" si="92"/>
        <v>3371.6066745730591</v>
      </c>
      <c r="N321" s="36">
        <v>900</v>
      </c>
      <c r="O321" s="36">
        <v>0.5</v>
      </c>
      <c r="P321" s="99">
        <v>5643.0000000000009</v>
      </c>
      <c r="Q321" s="90" t="s">
        <v>375</v>
      </c>
      <c r="S321" s="36">
        <f t="shared" ref="S321:S326" si="99">ROUNDDOWN(P321*0.5,0)</f>
        <v>2821</v>
      </c>
    </row>
    <row r="322" spans="1:20" x14ac:dyDescent="0.2">
      <c r="A322" s="14" t="str">
        <f t="shared" si="72"/>
        <v>200020211</v>
      </c>
      <c r="B322" s="14">
        <v>20002</v>
      </c>
      <c r="C322" s="14">
        <v>2</v>
      </c>
      <c r="D322" s="14" t="s">
        <v>62</v>
      </c>
      <c r="E322" s="14">
        <v>1</v>
      </c>
      <c r="F322" s="34">
        <f t="shared" ref="F322:G322" si="100">ROUNDDOWN($P322/4*$O322*10*$N322/$N322*$Q322/400,0)</f>
        <v>51909</v>
      </c>
      <c r="G322" s="34">
        <f t="shared" si="100"/>
        <v>51909</v>
      </c>
      <c r="H322" s="34">
        <f t="shared" ref="H322:I330" si="101">ROUNDDOWN($S322/4*10,0)</f>
        <v>4375</v>
      </c>
      <c r="I322" s="34">
        <f t="shared" si="101"/>
        <v>4375</v>
      </c>
      <c r="J322" s="34">
        <f t="shared" ref="J322" si="102">ROUNDDOWN($P322/4*$O322*10*$N322/$Q322*$N322/400,0)</f>
        <v>98570</v>
      </c>
      <c r="K322" s="133">
        <v>1000</v>
      </c>
      <c r="L322" s="34"/>
      <c r="M322" s="16">
        <f t="shared" si="92"/>
        <v>11969.409494206469</v>
      </c>
      <c r="N322" s="36">
        <v>1090</v>
      </c>
      <c r="O322" s="36">
        <v>3</v>
      </c>
      <c r="P322" s="99">
        <v>3500</v>
      </c>
      <c r="Q322" s="90" t="s">
        <v>371</v>
      </c>
      <c r="S322" s="36">
        <f t="shared" si="99"/>
        <v>1750</v>
      </c>
    </row>
    <row r="323" spans="1:20" ht="11.25" customHeight="1" x14ac:dyDescent="0.2">
      <c r="A323" s="8" t="str">
        <f t="shared" si="72"/>
        <v>200020310</v>
      </c>
      <c r="B323" s="8">
        <v>20002</v>
      </c>
      <c r="C323" s="8">
        <v>3</v>
      </c>
      <c r="D323" s="14" t="s">
        <v>62</v>
      </c>
      <c r="E323" s="8">
        <v>0</v>
      </c>
      <c r="F323" s="34">
        <f>ROUNDDOWN($P323/4*$O323*10*$N323/$N323*$Q323/400,0)</f>
        <v>38945</v>
      </c>
      <c r="G323" s="34">
        <f>ROUNDDOWN($P323/4*$O323*10*$N323/$N323*$Q323/400,0)</f>
        <v>38945</v>
      </c>
      <c r="H323" s="34">
        <f t="shared" si="101"/>
        <v>18972</v>
      </c>
      <c r="I323" s="34">
        <f t="shared" si="101"/>
        <v>18972</v>
      </c>
      <c r="J323" s="34">
        <f>ROUNDDOWN($P323/4*$O323*10*$N323/$Q323*$N323/400,0)</f>
        <v>69912</v>
      </c>
      <c r="K323" s="133">
        <v>1000</v>
      </c>
      <c r="L323" s="34"/>
      <c r="M323" s="16">
        <f t="shared" si="92"/>
        <v>18182.276683932407</v>
      </c>
      <c r="N323" s="36">
        <v>1100</v>
      </c>
      <c r="O323" s="36">
        <v>0.5</v>
      </c>
      <c r="P323" s="36">
        <v>15179.670000000004</v>
      </c>
      <c r="Q323" s="90" t="s">
        <v>374</v>
      </c>
      <c r="S323" s="36">
        <f t="shared" si="99"/>
        <v>7589</v>
      </c>
    </row>
    <row r="324" spans="1:20" ht="11.25" customHeight="1" x14ac:dyDescent="0.2">
      <c r="A324" s="8" t="str">
        <f t="shared" si="72"/>
        <v>200020311</v>
      </c>
      <c r="B324" s="8">
        <v>20002</v>
      </c>
      <c r="C324" s="8">
        <v>3</v>
      </c>
      <c r="D324" s="14" t="s">
        <v>62</v>
      </c>
      <c r="E324" s="8">
        <v>1</v>
      </c>
      <c r="F324" s="34">
        <f t="shared" ref="F324:G326" si="103">ROUNDDOWN($P324/4*$O324*10*$N324/$N324*$Q324/400,0)</f>
        <v>124471</v>
      </c>
      <c r="G324" s="34">
        <f t="shared" si="103"/>
        <v>124471</v>
      </c>
      <c r="H324" s="34">
        <f t="shared" si="101"/>
        <v>10625</v>
      </c>
      <c r="I324" s="34">
        <f t="shared" si="101"/>
        <v>10625</v>
      </c>
      <c r="J324" s="34">
        <f t="shared" ref="J324:J326" si="104">ROUNDDOWN($P324/4*$O324*10*$N324/$Q324*$N324/400,0)</f>
        <v>318852</v>
      </c>
      <c r="K324" s="133">
        <v>1000</v>
      </c>
      <c r="L324" s="34"/>
      <c r="M324" s="16">
        <f t="shared" si="92"/>
        <v>51949.708910214307</v>
      </c>
      <c r="N324" s="36">
        <v>1250</v>
      </c>
      <c r="O324" s="36">
        <v>3</v>
      </c>
      <c r="P324" s="36">
        <v>8500</v>
      </c>
      <c r="Q324" s="90" t="s">
        <v>368</v>
      </c>
      <c r="S324" s="36">
        <f t="shared" si="99"/>
        <v>4250</v>
      </c>
    </row>
    <row r="325" spans="1:20" ht="16.5" x14ac:dyDescent="0.2">
      <c r="A325" s="14" t="str">
        <f t="shared" si="72"/>
        <v>200020410</v>
      </c>
      <c r="B325" s="14">
        <v>20002</v>
      </c>
      <c r="C325" s="14">
        <v>4</v>
      </c>
      <c r="D325" s="14" t="s">
        <v>62</v>
      </c>
      <c r="E325" s="14">
        <v>0</v>
      </c>
      <c r="F325" s="34">
        <f t="shared" si="103"/>
        <v>64274</v>
      </c>
      <c r="G325" s="34">
        <f t="shared" si="103"/>
        <v>64274</v>
      </c>
      <c r="H325" s="34">
        <f t="shared" si="101"/>
        <v>27945</v>
      </c>
      <c r="I325" s="34">
        <f t="shared" si="101"/>
        <v>27945</v>
      </c>
      <c r="J325" s="34">
        <f t="shared" si="104"/>
        <v>82134</v>
      </c>
      <c r="K325" s="133">
        <v>1000</v>
      </c>
      <c r="L325" s="34"/>
      <c r="M325" s="16">
        <v>28318</v>
      </c>
      <c r="N325" s="58">
        <v>1040</v>
      </c>
      <c r="O325" s="36">
        <v>0.5</v>
      </c>
      <c r="P325" s="200">
        <v>22356.18</v>
      </c>
      <c r="Q325" s="41" t="s">
        <v>273</v>
      </c>
      <c r="S325" s="36">
        <f t="shared" si="99"/>
        <v>11178</v>
      </c>
      <c r="T325" s="253"/>
    </row>
    <row r="326" spans="1:20" ht="16.5" x14ac:dyDescent="0.2">
      <c r="A326" s="14" t="str">
        <f t="shared" si="72"/>
        <v>200020411</v>
      </c>
      <c r="B326" s="14">
        <v>20002</v>
      </c>
      <c r="C326" s="14">
        <v>4</v>
      </c>
      <c r="D326" s="14" t="s">
        <v>62</v>
      </c>
      <c r="E326" s="14">
        <v>1</v>
      </c>
      <c r="F326" s="34">
        <f t="shared" si="103"/>
        <v>201562</v>
      </c>
      <c r="G326" s="34">
        <f t="shared" si="103"/>
        <v>201562</v>
      </c>
      <c r="H326" s="34">
        <f t="shared" si="101"/>
        <v>15625</v>
      </c>
      <c r="I326" s="34">
        <f t="shared" si="101"/>
        <v>15625</v>
      </c>
      <c r="J326" s="34">
        <f t="shared" si="104"/>
        <v>425826</v>
      </c>
      <c r="K326" s="133">
        <v>1000</v>
      </c>
      <c r="L326" s="34"/>
      <c r="M326" s="16">
        <f t="shared" ref="M326:M330" si="105">(F326*J326*((H326+I326)/2)/1000)^(1/2)/10*0.8</f>
        <v>92644.665368276881</v>
      </c>
      <c r="N326" s="58">
        <v>1250</v>
      </c>
      <c r="O326" s="36">
        <v>3</v>
      </c>
      <c r="P326" s="200">
        <v>12500</v>
      </c>
      <c r="Q326" s="41" t="s">
        <v>274</v>
      </c>
      <c r="S326" s="36">
        <f t="shared" si="99"/>
        <v>6250</v>
      </c>
      <c r="T326" s="253"/>
    </row>
    <row r="327" spans="1:20" ht="16.5" x14ac:dyDescent="0.2">
      <c r="A327" s="14" t="str">
        <f t="shared" si="72"/>
        <v>200020510</v>
      </c>
      <c r="B327" s="14">
        <v>20002</v>
      </c>
      <c r="C327" s="14">
        <v>5</v>
      </c>
      <c r="D327" s="14" t="s">
        <v>62</v>
      </c>
      <c r="E327" s="14">
        <v>0</v>
      </c>
      <c r="F327" s="34">
        <f>ROUNDDOWN($P327/4*$O327*10*$N327/$N327*$Q327/400,0)</f>
        <v>67124</v>
      </c>
      <c r="G327" s="34">
        <f>ROUNDDOWN($P327/4*$O327*10*$N327/$N327*$Q327/400,0)</f>
        <v>67124</v>
      </c>
      <c r="H327" s="34">
        <f t="shared" si="101"/>
        <v>35895</v>
      </c>
      <c r="I327" s="34">
        <f t="shared" ref="I327:I328" si="106">ROUNDDOWN($T327/4*10,0)</f>
        <v>35895</v>
      </c>
      <c r="J327" s="34">
        <f>ROUNDDOWN($P327/4*$O327*10*$N327/$Q327*$N327/400,0)</f>
        <v>117583</v>
      </c>
      <c r="K327" s="133">
        <v>1000</v>
      </c>
      <c r="L327" s="34"/>
      <c r="M327" s="16">
        <f t="shared" si="105"/>
        <v>42581.224720862323</v>
      </c>
      <c r="N327" s="36">
        <v>990</v>
      </c>
      <c r="O327" s="36">
        <v>0.5</v>
      </c>
      <c r="P327" s="200">
        <v>28716.187500000004</v>
      </c>
      <c r="Q327" s="41" t="s">
        <v>537</v>
      </c>
      <c r="S327" s="36">
        <f t="shared" ref="S327:S330" si="107">P327*0.5</f>
        <v>14358.093750000002</v>
      </c>
      <c r="T327" s="114">
        <f t="shared" ref="T327:T330" si="108">S327</f>
        <v>14358.093750000002</v>
      </c>
    </row>
    <row r="328" spans="1:20" ht="16.5" x14ac:dyDescent="0.2">
      <c r="A328" s="14" t="str">
        <f t="shared" si="72"/>
        <v>200020511</v>
      </c>
      <c r="B328" s="14">
        <v>20002</v>
      </c>
      <c r="C328" s="14">
        <v>5</v>
      </c>
      <c r="D328" s="14" t="s">
        <v>62</v>
      </c>
      <c r="E328" s="14">
        <v>1</v>
      </c>
      <c r="F328" s="34">
        <f t="shared" ref="F328:G330" si="109">ROUNDDOWN($P328/4*$O328*10*$N328/$N328*$Q328/400,0)</f>
        <v>214200</v>
      </c>
      <c r="G328" s="34">
        <f t="shared" si="109"/>
        <v>214200</v>
      </c>
      <c r="H328" s="34">
        <f t="shared" si="101"/>
        <v>20000</v>
      </c>
      <c r="I328" s="34">
        <f t="shared" si="106"/>
        <v>20000</v>
      </c>
      <c r="J328" s="34">
        <f t="shared" ref="J328:J330" si="110">ROUNDDOWN($P328/4*$O328*10*$N328/$Q328*$N328/400,0)</f>
        <v>625378</v>
      </c>
      <c r="K328" s="133">
        <v>1000</v>
      </c>
      <c r="L328" s="34"/>
      <c r="M328" s="16">
        <f t="shared" si="105"/>
        <v>130944.12492662664</v>
      </c>
      <c r="N328" s="36">
        <v>1220</v>
      </c>
      <c r="O328" s="36">
        <v>3</v>
      </c>
      <c r="P328" s="200">
        <v>16000</v>
      </c>
      <c r="Q328" s="41" t="s">
        <v>539</v>
      </c>
      <c r="S328" s="36">
        <f t="shared" si="107"/>
        <v>8000</v>
      </c>
      <c r="T328" s="114">
        <f t="shared" si="108"/>
        <v>8000</v>
      </c>
    </row>
    <row r="329" spans="1:20" ht="16.5" x14ac:dyDescent="0.2">
      <c r="A329" s="14" t="str">
        <f t="shared" si="72"/>
        <v>200020610</v>
      </c>
      <c r="B329" s="14">
        <v>20002</v>
      </c>
      <c r="C329" s="14">
        <v>6</v>
      </c>
      <c r="D329" s="14" t="s">
        <v>62</v>
      </c>
      <c r="E329" s="14">
        <v>0</v>
      </c>
      <c r="F329" s="34">
        <f t="shared" si="109"/>
        <v>152515</v>
      </c>
      <c r="G329" s="34">
        <f t="shared" si="109"/>
        <v>152515</v>
      </c>
      <c r="H329" s="34">
        <f t="shared" si="101"/>
        <v>55460</v>
      </c>
      <c r="I329" s="34">
        <f t="shared" si="101"/>
        <v>55460</v>
      </c>
      <c r="J329" s="34">
        <f t="shared" si="110"/>
        <v>476735</v>
      </c>
      <c r="K329" s="133">
        <v>1000</v>
      </c>
      <c r="L329" s="34">
        <v>900</v>
      </c>
      <c r="M329" s="16">
        <f t="shared" si="105"/>
        <v>160647.77607865477</v>
      </c>
      <c r="N329" s="56">
        <v>972.4</v>
      </c>
      <c r="O329" s="36">
        <v>1</v>
      </c>
      <c r="P329" s="95">
        <v>44368.087500000009</v>
      </c>
      <c r="Q329" s="41" t="s">
        <v>360</v>
      </c>
      <c r="S329" s="36">
        <f t="shared" si="107"/>
        <v>22184.043750000004</v>
      </c>
      <c r="T329" s="114">
        <f t="shared" si="108"/>
        <v>22184.043750000004</v>
      </c>
    </row>
    <row r="330" spans="1:20" ht="16.5" x14ac:dyDescent="0.2">
      <c r="A330" s="14" t="str">
        <f t="shared" si="72"/>
        <v>200020611</v>
      </c>
      <c r="B330" s="14">
        <v>20002</v>
      </c>
      <c r="C330" s="14">
        <v>6</v>
      </c>
      <c r="D330" s="14" t="s">
        <v>62</v>
      </c>
      <c r="E330" s="14">
        <v>1</v>
      </c>
      <c r="F330" s="34">
        <f t="shared" si="109"/>
        <v>505312</v>
      </c>
      <c r="G330" s="34">
        <f t="shared" si="109"/>
        <v>505312</v>
      </c>
      <c r="H330" s="34">
        <f t="shared" si="101"/>
        <v>30625</v>
      </c>
      <c r="I330" s="34">
        <f t="shared" si="101"/>
        <v>30625</v>
      </c>
      <c r="J330" s="34">
        <f t="shared" si="110"/>
        <v>2209176</v>
      </c>
      <c r="K330" s="133">
        <v>1000</v>
      </c>
      <c r="L330" s="34">
        <v>1900</v>
      </c>
      <c r="M330" s="16">
        <f t="shared" si="105"/>
        <v>467759.91278726741</v>
      </c>
      <c r="N330" s="56">
        <v>1150</v>
      </c>
      <c r="O330" s="36">
        <v>6</v>
      </c>
      <c r="P330" s="95">
        <v>24500</v>
      </c>
      <c r="Q330" s="41" t="s">
        <v>360</v>
      </c>
      <c r="S330" s="36">
        <f t="shared" si="107"/>
        <v>12250</v>
      </c>
      <c r="T330" s="114">
        <f t="shared" si="108"/>
        <v>12250</v>
      </c>
    </row>
    <row r="331" spans="1:20" x14ac:dyDescent="0.2">
      <c r="A331" s="8" t="str">
        <f t="shared" si="72"/>
        <v/>
      </c>
      <c r="B331" s="38"/>
      <c r="C331" s="35" t="s">
        <v>955</v>
      </c>
      <c r="D331" s="38"/>
      <c r="E331" s="38"/>
      <c r="F331" s="38"/>
      <c r="G331" s="40"/>
      <c r="H331" s="38"/>
      <c r="I331" s="38"/>
      <c r="J331" s="38"/>
      <c r="K331" s="133">
        <v>1000</v>
      </c>
      <c r="L331" s="38"/>
      <c r="M331" s="16">
        <f t="shared" si="92"/>
        <v>0</v>
      </c>
      <c r="N331" s="42" t="str">
        <f>IF(A331="","",M331*#REF!)</f>
        <v/>
      </c>
      <c r="O331" s="40"/>
      <c r="P331" s="38"/>
      <c r="Q331" s="38"/>
      <c r="R331" s="38"/>
      <c r="S331" s="40"/>
      <c r="T331" s="267"/>
    </row>
    <row r="332" spans="1:20" x14ac:dyDescent="0.2">
      <c r="A332" s="14" t="str">
        <f t="shared" si="72"/>
        <v>200030110</v>
      </c>
      <c r="B332" s="14">
        <v>20003</v>
      </c>
      <c r="C332" s="14">
        <v>1</v>
      </c>
      <c r="D332" s="14" t="s">
        <v>62</v>
      </c>
      <c r="E332" s="14">
        <v>0</v>
      </c>
      <c r="F332" s="34">
        <f t="shared" ref="F332:G333" si="111">ROUNDDOWN($P332/4*$O332*10*$N332/$N332*$Q332/400,0)</f>
        <v>2016</v>
      </c>
      <c r="G332" s="34">
        <f t="shared" si="111"/>
        <v>2016</v>
      </c>
      <c r="H332" s="34">
        <f t="shared" ref="H332:I347" si="112">ROUNDDOWN($S332/4*10,0)</f>
        <v>1193</v>
      </c>
      <c r="I332" s="34">
        <f t="shared" si="112"/>
        <v>1193</v>
      </c>
      <c r="J332" s="34">
        <f t="shared" ref="J332:J333" si="113">ROUNDDOWN($P332/4*$O332*10*$N332/$Q332*$N332/400,0)</f>
        <v>2560</v>
      </c>
      <c r="K332" s="133">
        <v>1000</v>
      </c>
      <c r="L332" s="34"/>
      <c r="M332" s="16">
        <f t="shared" si="92"/>
        <v>198.50683059280354</v>
      </c>
      <c r="N332" s="36">
        <v>800</v>
      </c>
      <c r="O332" s="36">
        <v>0.5</v>
      </c>
      <c r="P332" s="99">
        <v>908.81999999999994</v>
      </c>
      <c r="Q332" s="2" t="s">
        <v>104</v>
      </c>
      <c r="S332" s="36">
        <v>477.4</v>
      </c>
    </row>
    <row r="333" spans="1:20" x14ac:dyDescent="0.2">
      <c r="A333" s="14" t="str">
        <f t="shared" si="72"/>
        <v>200030111</v>
      </c>
      <c r="B333" s="14">
        <v>20003</v>
      </c>
      <c r="C333" s="14">
        <v>1</v>
      </c>
      <c r="D333" s="14" t="s">
        <v>62</v>
      </c>
      <c r="E333" s="14">
        <v>1</v>
      </c>
      <c r="F333" s="34">
        <f t="shared" si="111"/>
        <v>8633</v>
      </c>
      <c r="G333" s="34">
        <f t="shared" si="111"/>
        <v>8633</v>
      </c>
      <c r="H333" s="34">
        <f t="shared" si="112"/>
        <v>1193</v>
      </c>
      <c r="I333" s="34">
        <f t="shared" si="112"/>
        <v>1193</v>
      </c>
      <c r="J333" s="34">
        <f t="shared" si="113"/>
        <v>10419</v>
      </c>
      <c r="K333" s="133">
        <v>1000</v>
      </c>
      <c r="L333" s="34"/>
      <c r="M333" s="16">
        <f t="shared" si="92"/>
        <v>828.71289816823776</v>
      </c>
      <c r="N333" s="36">
        <v>780</v>
      </c>
      <c r="O333" s="36">
        <v>2</v>
      </c>
      <c r="P333" s="99">
        <v>972.77400000000011</v>
      </c>
      <c r="Q333" s="2" t="s">
        <v>104</v>
      </c>
      <c r="S333" s="36">
        <v>477.4</v>
      </c>
    </row>
    <row r="334" spans="1:20" x14ac:dyDescent="0.2">
      <c r="A334" s="14" t="str">
        <f t="shared" si="72"/>
        <v>200030210</v>
      </c>
      <c r="B334" s="14">
        <v>20003</v>
      </c>
      <c r="C334" s="14">
        <v>2</v>
      </c>
      <c r="D334" s="14" t="s">
        <v>62</v>
      </c>
      <c r="E334" s="14">
        <v>0</v>
      </c>
      <c r="F334" s="34">
        <f>ROUNDDOWN($P334/4*$O334*10*$N334/$N334*$Q334/400,0)</f>
        <v>12456</v>
      </c>
      <c r="G334" s="34">
        <f>ROUNDDOWN($P334/4*$O334*10*$N334/$N334*$Q334/400,0)</f>
        <v>12456</v>
      </c>
      <c r="H334" s="34">
        <f t="shared" si="112"/>
        <v>3491</v>
      </c>
      <c r="I334" s="34">
        <f t="shared" si="112"/>
        <v>3491</v>
      </c>
      <c r="J334" s="34">
        <f>ROUNDDOWN($P334/4*$O334*10*$N334/$Q334*$N334/400,0)</f>
        <v>14610</v>
      </c>
      <c r="K334" s="133">
        <v>1000</v>
      </c>
      <c r="L334" s="34"/>
      <c r="M334" s="16">
        <f t="shared" si="92"/>
        <v>2016.412212714454</v>
      </c>
      <c r="N334" s="36">
        <v>900</v>
      </c>
      <c r="O334" s="36">
        <v>0.5</v>
      </c>
      <c r="P334" s="99">
        <v>4796.5500000000011</v>
      </c>
      <c r="Q334" s="90" t="s">
        <v>375</v>
      </c>
      <c r="S334" s="36">
        <v>1396.5</v>
      </c>
    </row>
    <row r="335" spans="1:20" x14ac:dyDescent="0.2">
      <c r="A335" s="14" t="str">
        <f t="shared" si="72"/>
        <v>200030211</v>
      </c>
      <c r="B335" s="14">
        <v>20003</v>
      </c>
      <c r="C335" s="14">
        <v>2</v>
      </c>
      <c r="D335" s="14" t="s">
        <v>62</v>
      </c>
      <c r="E335" s="14">
        <v>1</v>
      </c>
      <c r="F335" s="34">
        <f t="shared" ref="F335:G335" si="114">ROUNDDOWN($P335/4*$O335*10*$N335/$N335*$Q335/400,0)</f>
        <v>71138</v>
      </c>
      <c r="G335" s="34">
        <f t="shared" si="114"/>
        <v>71138</v>
      </c>
      <c r="H335" s="34">
        <f t="shared" si="112"/>
        <v>3491</v>
      </c>
      <c r="I335" s="34">
        <f t="shared" si="112"/>
        <v>3491</v>
      </c>
      <c r="J335" s="34">
        <f t="shared" ref="J335" si="115">ROUNDDOWN($P335/4*$O335*10*$N335/$Q335*$N335/400,0)</f>
        <v>84091</v>
      </c>
      <c r="K335" s="133">
        <v>1000</v>
      </c>
      <c r="L335" s="34"/>
      <c r="M335" s="16">
        <f t="shared" si="92"/>
        <v>11560.869410345367</v>
      </c>
      <c r="N335" s="36">
        <v>860</v>
      </c>
      <c r="O335" s="36">
        <v>3</v>
      </c>
      <c r="P335" s="99">
        <v>4796.5500000000011</v>
      </c>
      <c r="Q335" s="90" t="s">
        <v>371</v>
      </c>
      <c r="S335" s="36">
        <v>1396.5</v>
      </c>
    </row>
    <row r="336" spans="1:20" ht="11.25" customHeight="1" x14ac:dyDescent="0.2">
      <c r="A336" s="8" t="str">
        <f t="shared" si="72"/>
        <v>200030310</v>
      </c>
      <c r="B336" s="8">
        <v>20003</v>
      </c>
      <c r="C336" s="8">
        <v>3</v>
      </c>
      <c r="D336" s="14" t="s">
        <v>62</v>
      </c>
      <c r="E336" s="8">
        <v>0</v>
      </c>
      <c r="F336" s="34">
        <f>ROUNDDOWN($P336/4*$O336*10*$N336/$N336*$Q336/400,0)</f>
        <v>33103</v>
      </c>
      <c r="G336" s="34">
        <f>ROUNDDOWN($P336/4*$O336*10*$N336/$N336*$Q336/400,0)</f>
        <v>33103</v>
      </c>
      <c r="H336" s="34">
        <f t="shared" si="112"/>
        <v>9390</v>
      </c>
      <c r="I336" s="34">
        <f t="shared" si="112"/>
        <v>9390</v>
      </c>
      <c r="J336" s="34">
        <f>ROUNDDOWN($P336/4*$O336*10*$N336/$Q336*$N336/400,0)</f>
        <v>54146</v>
      </c>
      <c r="K336" s="133">
        <v>1000</v>
      </c>
      <c r="L336" s="34"/>
      <c r="M336" s="16">
        <f t="shared" si="92"/>
        <v>10378.620920124602</v>
      </c>
      <c r="N336" s="36">
        <v>1050</v>
      </c>
      <c r="O336" s="36">
        <v>0.5</v>
      </c>
      <c r="P336" s="36">
        <v>12902.719500000001</v>
      </c>
      <c r="Q336" s="90" t="s">
        <v>374</v>
      </c>
      <c r="S336" s="36">
        <v>3756.2</v>
      </c>
    </row>
    <row r="337" spans="1:20" ht="11.25" customHeight="1" x14ac:dyDescent="0.2">
      <c r="A337" s="8" t="str">
        <f t="shared" si="72"/>
        <v>200030311</v>
      </c>
      <c r="B337" s="8">
        <v>20003</v>
      </c>
      <c r="C337" s="8">
        <v>3</v>
      </c>
      <c r="D337" s="14" t="s">
        <v>62</v>
      </c>
      <c r="E337" s="8">
        <v>1</v>
      </c>
      <c r="F337" s="34">
        <f t="shared" ref="F337:G339" si="116">ROUNDDOWN($P337/4*$O337*10*$N337/$N337*$Q337/400,0)</f>
        <v>188944</v>
      </c>
      <c r="G337" s="34">
        <f t="shared" si="116"/>
        <v>188944</v>
      </c>
      <c r="H337" s="34">
        <f t="shared" si="112"/>
        <v>9390</v>
      </c>
      <c r="I337" s="34">
        <f t="shared" si="112"/>
        <v>9390</v>
      </c>
      <c r="J337" s="34">
        <f t="shared" ref="J337:J339" si="117">ROUNDDOWN($P337/4*$O337*10*$N337/$Q337*$N337/400,0)</f>
        <v>285478</v>
      </c>
      <c r="K337" s="133">
        <v>1000</v>
      </c>
      <c r="L337" s="34"/>
      <c r="M337" s="16">
        <f t="shared" si="92"/>
        <v>56934.51933600803</v>
      </c>
      <c r="N337" s="36">
        <v>960</v>
      </c>
      <c r="O337" s="36">
        <v>3</v>
      </c>
      <c r="P337" s="36">
        <v>12902.719500000001</v>
      </c>
      <c r="Q337" s="90" t="s">
        <v>368</v>
      </c>
      <c r="S337" s="36">
        <v>3756.2</v>
      </c>
    </row>
    <row r="338" spans="1:20" ht="16.5" x14ac:dyDescent="0.2">
      <c r="A338" s="14" t="str">
        <f t="shared" si="72"/>
        <v>200030410</v>
      </c>
      <c r="B338" s="14">
        <v>20003</v>
      </c>
      <c r="C338" s="14">
        <v>4</v>
      </c>
      <c r="D338" s="14" t="s">
        <v>62</v>
      </c>
      <c r="E338" s="14">
        <v>0</v>
      </c>
      <c r="F338" s="34">
        <f t="shared" si="116"/>
        <v>54632</v>
      </c>
      <c r="G338" s="34">
        <f t="shared" si="116"/>
        <v>54632</v>
      </c>
      <c r="H338" s="34">
        <f t="shared" si="112"/>
        <v>13830</v>
      </c>
      <c r="I338" s="34">
        <f t="shared" si="112"/>
        <v>13830</v>
      </c>
      <c r="J338" s="34">
        <f t="shared" si="117"/>
        <v>64547</v>
      </c>
      <c r="K338" s="133">
        <v>1000</v>
      </c>
      <c r="L338" s="34"/>
      <c r="M338" s="16">
        <v>28318</v>
      </c>
      <c r="N338" s="58">
        <v>1000</v>
      </c>
      <c r="O338" s="36">
        <v>0.5</v>
      </c>
      <c r="P338" s="200">
        <v>19002.753000000001</v>
      </c>
      <c r="Q338" s="41" t="s">
        <v>273</v>
      </c>
      <c r="S338" s="36">
        <v>5532.0999999999995</v>
      </c>
      <c r="T338" s="253"/>
    </row>
    <row r="339" spans="1:20" ht="16.5" x14ac:dyDescent="0.2">
      <c r="A339" s="14" t="str">
        <f t="shared" si="72"/>
        <v>200030411</v>
      </c>
      <c r="B339" s="14">
        <v>20003</v>
      </c>
      <c r="C339" s="14">
        <v>4</v>
      </c>
      <c r="D339" s="14" t="s">
        <v>62</v>
      </c>
      <c r="E339" s="14">
        <v>1</v>
      </c>
      <c r="F339" s="34">
        <f t="shared" si="116"/>
        <v>286377</v>
      </c>
      <c r="G339" s="34">
        <f t="shared" si="116"/>
        <v>286377</v>
      </c>
      <c r="H339" s="34">
        <f t="shared" si="112"/>
        <v>12925</v>
      </c>
      <c r="I339" s="34">
        <f t="shared" si="112"/>
        <v>12925</v>
      </c>
      <c r="J339" s="34">
        <f t="shared" si="117"/>
        <v>410787</v>
      </c>
      <c r="K339" s="133">
        <v>1000</v>
      </c>
      <c r="L339" s="34"/>
      <c r="M339" s="16">
        <f t="shared" ref="M339:M343" si="118">(F339*J339*((H339+I339)/2)/1000)^(1/2)/10*0.8</f>
        <v>98646.726029713114</v>
      </c>
      <c r="N339" s="58">
        <v>1030</v>
      </c>
      <c r="O339" s="36">
        <v>3</v>
      </c>
      <c r="P339" s="200">
        <v>17759.857500000002</v>
      </c>
      <c r="Q339" s="41" t="s">
        <v>274</v>
      </c>
      <c r="S339" s="36">
        <v>5170.2</v>
      </c>
      <c r="T339" s="253"/>
    </row>
    <row r="340" spans="1:20" ht="16.5" x14ac:dyDescent="0.2">
      <c r="A340" s="14" t="str">
        <f t="shared" si="72"/>
        <v>200030510</v>
      </c>
      <c r="B340" s="14">
        <v>20003</v>
      </c>
      <c r="C340" s="14">
        <v>5</v>
      </c>
      <c r="D340" s="14" t="s">
        <v>62</v>
      </c>
      <c r="E340" s="14">
        <v>0</v>
      </c>
      <c r="F340" s="34">
        <f>ROUNDDOWN($P340/4*$O340*10*$N340/$N340*$Q340/400,0)</f>
        <v>57055</v>
      </c>
      <c r="G340" s="34">
        <f>ROUNDDOWN($P340/4*$O340*10*$N340/$N340*$Q340/400,0)</f>
        <v>57055</v>
      </c>
      <c r="H340" s="34">
        <f t="shared" si="112"/>
        <v>17766</v>
      </c>
      <c r="I340" s="34">
        <f t="shared" ref="I340:I341" si="119">ROUNDDOWN($T340/4*10,0)</f>
        <v>17766</v>
      </c>
      <c r="J340" s="34">
        <f>ROUNDDOWN($P340/4*$O340*10*$N340/$Q340*$N340/400,0)</f>
        <v>92032</v>
      </c>
      <c r="K340" s="133">
        <v>1000</v>
      </c>
      <c r="L340" s="34"/>
      <c r="M340" s="16">
        <f t="shared" si="118"/>
        <v>24434.367457289009</v>
      </c>
      <c r="N340" s="36">
        <v>950</v>
      </c>
      <c r="O340" s="36">
        <v>0.5</v>
      </c>
      <c r="P340" s="200">
        <v>24408.759375000005</v>
      </c>
      <c r="Q340" s="41" t="s">
        <v>537</v>
      </c>
      <c r="S340" s="36">
        <v>7106.53125</v>
      </c>
      <c r="T340" s="114">
        <f t="shared" ref="T340:T343" si="120">S340</f>
        <v>7106.53125</v>
      </c>
    </row>
    <row r="341" spans="1:20" ht="16.5" x14ac:dyDescent="0.2">
      <c r="A341" s="14" t="str">
        <f t="shared" si="72"/>
        <v>200030511</v>
      </c>
      <c r="B341" s="14">
        <v>20003</v>
      </c>
      <c r="C341" s="14">
        <v>5</v>
      </c>
      <c r="D341" s="14" t="s">
        <v>62</v>
      </c>
      <c r="E341" s="14">
        <v>1</v>
      </c>
      <c r="F341" s="34">
        <f t="shared" ref="F341:G343" si="121">ROUNDDOWN($P341/4*$O341*10*$N341/$N341*$Q341/400,0)</f>
        <v>311958</v>
      </c>
      <c r="G341" s="34">
        <f t="shared" si="121"/>
        <v>311958</v>
      </c>
      <c r="H341" s="34">
        <f t="shared" si="112"/>
        <v>16960</v>
      </c>
      <c r="I341" s="34">
        <f t="shared" si="119"/>
        <v>16960</v>
      </c>
      <c r="J341" s="34">
        <f t="shared" ref="J341:J343" si="122">ROUNDDOWN($P341/4*$O341*10*$N341/$Q341*$N341/400,0)</f>
        <v>636650</v>
      </c>
      <c r="K341" s="133">
        <v>1000</v>
      </c>
      <c r="L341" s="34"/>
      <c r="M341" s="16">
        <f t="shared" si="118"/>
        <v>146825.45195101836</v>
      </c>
      <c r="N341" s="36">
        <v>1020</v>
      </c>
      <c r="O341" s="36">
        <v>3</v>
      </c>
      <c r="P341" s="200">
        <v>23302.228950000001</v>
      </c>
      <c r="Q341" s="41" t="s">
        <v>539</v>
      </c>
      <c r="S341" s="36">
        <v>6784.3684999999996</v>
      </c>
      <c r="T341" s="114">
        <f t="shared" si="120"/>
        <v>6784.3684999999996</v>
      </c>
    </row>
    <row r="342" spans="1:20" ht="16.5" x14ac:dyDescent="0.2">
      <c r="A342" s="14" t="str">
        <f t="shared" si="72"/>
        <v>200030610</v>
      </c>
      <c r="B342" s="14">
        <v>20003</v>
      </c>
      <c r="C342" s="14">
        <v>6</v>
      </c>
      <c r="D342" s="14" t="s">
        <v>62</v>
      </c>
      <c r="E342" s="14">
        <v>0</v>
      </c>
      <c r="F342" s="34">
        <f t="shared" si="121"/>
        <v>129638</v>
      </c>
      <c r="G342" s="34">
        <f t="shared" si="121"/>
        <v>129638</v>
      </c>
      <c r="H342" s="34">
        <f t="shared" si="112"/>
        <v>27449</v>
      </c>
      <c r="I342" s="34">
        <f t="shared" si="112"/>
        <v>27449</v>
      </c>
      <c r="J342" s="34">
        <f t="shared" si="122"/>
        <v>405225</v>
      </c>
      <c r="K342" s="133">
        <v>1000</v>
      </c>
      <c r="L342" s="34">
        <v>900</v>
      </c>
      <c r="M342" s="16">
        <f t="shared" si="118"/>
        <v>96065.517630881892</v>
      </c>
      <c r="N342" s="56">
        <v>972.4</v>
      </c>
      <c r="O342" s="36">
        <v>1</v>
      </c>
      <c r="P342" s="95">
        <v>37712.874375000007</v>
      </c>
      <c r="Q342" s="41" t="s">
        <v>360</v>
      </c>
      <c r="S342" s="36">
        <v>10979.981249999999</v>
      </c>
      <c r="T342" s="114">
        <f t="shared" si="120"/>
        <v>10979.981249999999</v>
      </c>
    </row>
    <row r="343" spans="1:20" ht="16.5" x14ac:dyDescent="0.2">
      <c r="A343" s="14" t="str">
        <f t="shared" ref="A343:A356" si="123">IF(B343="","",CONCATENATE(B343,CONCATENATE(REPT(0,2-LEN(C343)),C343),IF(OR(D343="Easy",D343=""),1,IF(D343="Normal",2,IF(D343="Hard",3,IF(D343="Hell",4,"error")))),E343))</f>
        <v>200030611</v>
      </c>
      <c r="B343" s="14">
        <v>20003</v>
      </c>
      <c r="C343" s="14">
        <v>6</v>
      </c>
      <c r="D343" s="14" t="s">
        <v>62</v>
      </c>
      <c r="E343" s="14">
        <v>1</v>
      </c>
      <c r="F343" s="34">
        <f t="shared" si="121"/>
        <v>777828</v>
      </c>
      <c r="G343" s="34">
        <f t="shared" si="121"/>
        <v>777828</v>
      </c>
      <c r="H343" s="34">
        <f t="shared" si="112"/>
        <v>27449</v>
      </c>
      <c r="I343" s="34">
        <f t="shared" si="112"/>
        <v>27449</v>
      </c>
      <c r="J343" s="34">
        <f t="shared" si="122"/>
        <v>2111108</v>
      </c>
      <c r="K343" s="133">
        <v>1000</v>
      </c>
      <c r="L343" s="34">
        <v>1900</v>
      </c>
      <c r="M343" s="16">
        <f t="shared" si="118"/>
        <v>537093.95286605344</v>
      </c>
      <c r="N343" s="56">
        <v>906.1</v>
      </c>
      <c r="O343" s="36">
        <v>6</v>
      </c>
      <c r="P343" s="95">
        <v>37712.874375000007</v>
      </c>
      <c r="Q343" s="41" t="s">
        <v>360</v>
      </c>
      <c r="S343" s="36">
        <v>10979.981249999999</v>
      </c>
      <c r="T343" s="114">
        <f t="shared" si="120"/>
        <v>10979.981249999999</v>
      </c>
    </row>
    <row r="344" spans="1:20" x14ac:dyDescent="0.2">
      <c r="A344" s="8" t="str">
        <f t="shared" si="123"/>
        <v/>
      </c>
      <c r="B344" s="38"/>
      <c r="C344" s="35" t="s">
        <v>956</v>
      </c>
      <c r="D344" s="38"/>
      <c r="E344" s="38"/>
      <c r="F344" s="38"/>
      <c r="G344" s="40"/>
      <c r="H344" s="38"/>
      <c r="I344" s="38"/>
      <c r="J344" s="38"/>
      <c r="K344" s="133">
        <v>1000</v>
      </c>
      <c r="L344" s="38"/>
      <c r="M344" s="16">
        <f t="shared" si="92"/>
        <v>0</v>
      </c>
      <c r="N344" s="42" t="str">
        <f>IF(A344="","",M344*#REF!)</f>
        <v/>
      </c>
      <c r="O344" s="40"/>
      <c r="P344" s="38"/>
      <c r="Q344" s="38"/>
      <c r="R344" s="38"/>
      <c r="S344" s="40"/>
      <c r="T344" s="267"/>
    </row>
    <row r="345" spans="1:20" x14ac:dyDescent="0.2">
      <c r="A345" s="14" t="str">
        <f t="shared" si="123"/>
        <v>200040110</v>
      </c>
      <c r="B345" s="14">
        <v>20004</v>
      </c>
      <c r="C345" s="14">
        <v>1</v>
      </c>
      <c r="D345" s="14" t="s">
        <v>62</v>
      </c>
      <c r="E345" s="14">
        <v>0</v>
      </c>
      <c r="F345" s="34">
        <f t="shared" ref="F345:G346" si="124">ROUNDDOWN($P345/4*$O345*10*$N345/$N345*$Q345/400,0)</f>
        <v>2438</v>
      </c>
      <c r="G345" s="34">
        <f t="shared" si="124"/>
        <v>2438</v>
      </c>
      <c r="H345" s="34">
        <f t="shared" si="112"/>
        <v>1705</v>
      </c>
      <c r="I345" s="34">
        <f t="shared" si="112"/>
        <v>1705</v>
      </c>
      <c r="J345" s="34">
        <f t="shared" ref="J345:J346" si="125">ROUNDDOWN($P345/4*$O345*10*$N345/$Q345*$N345/400,0)</f>
        <v>3095</v>
      </c>
      <c r="K345" s="133">
        <v>1000</v>
      </c>
      <c r="L345" s="34"/>
      <c r="M345" s="16">
        <f t="shared" si="92"/>
        <v>286.94545878964527</v>
      </c>
      <c r="N345" s="36">
        <v>800</v>
      </c>
      <c r="O345" s="36">
        <v>0.5</v>
      </c>
      <c r="P345" s="99">
        <v>1098.846</v>
      </c>
      <c r="Q345" s="2" t="s">
        <v>104</v>
      </c>
      <c r="S345" s="36">
        <v>682</v>
      </c>
    </row>
    <row r="346" spans="1:20" x14ac:dyDescent="0.2">
      <c r="A346" s="14" t="str">
        <f t="shared" si="123"/>
        <v>200040111</v>
      </c>
      <c r="B346" s="14">
        <v>20004</v>
      </c>
      <c r="C346" s="14">
        <v>1</v>
      </c>
      <c r="D346" s="14" t="s">
        <v>62</v>
      </c>
      <c r="E346" s="14">
        <v>1</v>
      </c>
      <c r="F346" s="34">
        <f t="shared" si="124"/>
        <v>10438</v>
      </c>
      <c r="G346" s="34">
        <f t="shared" si="124"/>
        <v>10438</v>
      </c>
      <c r="H346" s="34">
        <f t="shared" si="112"/>
        <v>1705</v>
      </c>
      <c r="I346" s="34">
        <f t="shared" si="112"/>
        <v>1705</v>
      </c>
      <c r="J346" s="34">
        <f t="shared" si="125"/>
        <v>12598</v>
      </c>
      <c r="K346" s="133">
        <v>1000</v>
      </c>
      <c r="L346" s="34"/>
      <c r="M346" s="16">
        <f t="shared" si="92"/>
        <v>1197.8753468904852</v>
      </c>
      <c r="N346" s="36">
        <v>780</v>
      </c>
      <c r="O346" s="36">
        <v>2</v>
      </c>
      <c r="P346" s="99">
        <v>1176.1722</v>
      </c>
      <c r="Q346" s="2" t="s">
        <v>104</v>
      </c>
      <c r="S346" s="36">
        <v>682</v>
      </c>
    </row>
    <row r="347" spans="1:20" x14ac:dyDescent="0.2">
      <c r="A347" s="14" t="str">
        <f t="shared" si="123"/>
        <v>200040210</v>
      </c>
      <c r="B347" s="14">
        <v>20004</v>
      </c>
      <c r="C347" s="14">
        <v>2</v>
      </c>
      <c r="D347" s="14" t="s">
        <v>62</v>
      </c>
      <c r="E347" s="14">
        <v>0</v>
      </c>
      <c r="F347" s="34">
        <f>ROUNDDOWN($P347/4*$O347*10*$N347/$N347*$Q347/400,0)</f>
        <v>15060</v>
      </c>
      <c r="G347" s="34">
        <f>ROUNDDOWN($P347/4*$O347*10*$N347/$N347*$Q347/400,0)</f>
        <v>15060</v>
      </c>
      <c r="H347" s="34">
        <f t="shared" si="112"/>
        <v>7247</v>
      </c>
      <c r="I347" s="34">
        <f t="shared" si="112"/>
        <v>7247</v>
      </c>
      <c r="J347" s="34">
        <f>ROUNDDOWN($P347/4*$O347*10*$N347/$Q347*$N347/400,0)</f>
        <v>17665</v>
      </c>
      <c r="K347" s="133">
        <v>1000</v>
      </c>
      <c r="L347" s="34"/>
      <c r="M347" s="16">
        <f t="shared" si="92"/>
        <v>3512.6786772945798</v>
      </c>
      <c r="N347" s="36">
        <v>900</v>
      </c>
      <c r="O347" s="36">
        <v>0.5</v>
      </c>
      <c r="P347" s="99">
        <v>5799.4649999999992</v>
      </c>
      <c r="Q347" s="90" t="s">
        <v>375</v>
      </c>
      <c r="S347" s="36">
        <f t="shared" ref="S347:S352" si="126">ROUNDDOWN(P347*0.5,0)</f>
        <v>2899</v>
      </c>
    </row>
    <row r="348" spans="1:20" x14ac:dyDescent="0.2">
      <c r="A348" s="14" t="str">
        <f t="shared" si="123"/>
        <v>200040211</v>
      </c>
      <c r="B348" s="14">
        <v>20004</v>
      </c>
      <c r="C348" s="14">
        <v>2</v>
      </c>
      <c r="D348" s="14" t="s">
        <v>62</v>
      </c>
      <c r="E348" s="14">
        <v>1</v>
      </c>
      <c r="F348" s="34">
        <f t="shared" ref="F348:G348" si="127">ROUNDDOWN($P348/4*$O348*10*$N348/$N348*$Q348/400,0)</f>
        <v>86013</v>
      </c>
      <c r="G348" s="34">
        <f t="shared" si="127"/>
        <v>86013</v>
      </c>
      <c r="H348" s="34">
        <f t="shared" ref="H348:I356" si="128">ROUNDDOWN($S348/4*10,0)</f>
        <v>7247</v>
      </c>
      <c r="I348" s="34">
        <f t="shared" si="128"/>
        <v>7247</v>
      </c>
      <c r="J348" s="34">
        <f t="shared" ref="J348" si="129">ROUNDDOWN($P348/4*$O348*10*$N348/$Q348*$N348/400,0)</f>
        <v>106457</v>
      </c>
      <c r="K348" s="133">
        <v>1000</v>
      </c>
      <c r="L348" s="34"/>
      <c r="M348" s="16">
        <f t="shared" si="92"/>
        <v>20608.115374588062</v>
      </c>
      <c r="N348" s="36">
        <v>880</v>
      </c>
      <c r="O348" s="36">
        <v>3</v>
      </c>
      <c r="P348" s="99">
        <v>5799.4649999999992</v>
      </c>
      <c r="Q348" s="90" t="s">
        <v>371</v>
      </c>
      <c r="S348" s="36">
        <f t="shared" si="126"/>
        <v>2899</v>
      </c>
    </row>
    <row r="349" spans="1:20" ht="11.25" customHeight="1" x14ac:dyDescent="0.2">
      <c r="A349" s="8" t="str">
        <f t="shared" si="123"/>
        <v>200040310</v>
      </c>
      <c r="B349" s="8">
        <v>20004</v>
      </c>
      <c r="C349" s="8">
        <v>3</v>
      </c>
      <c r="D349" s="14" t="s">
        <v>62</v>
      </c>
      <c r="E349" s="8">
        <v>0</v>
      </c>
      <c r="F349" s="34">
        <f>ROUNDDOWN($P349/4*$O349*10*$N349/$N349*$Q349/400,0)</f>
        <v>40025</v>
      </c>
      <c r="G349" s="34">
        <f>ROUNDDOWN($P349/4*$O349*10*$N349/$N349*$Q349/400,0)</f>
        <v>40025</v>
      </c>
      <c r="H349" s="34">
        <f t="shared" si="128"/>
        <v>19500</v>
      </c>
      <c r="I349" s="34">
        <f t="shared" si="128"/>
        <v>19500</v>
      </c>
      <c r="J349" s="34">
        <f>ROUNDDOWN($P349/4*$O349*10*$N349/$Q349*$N349/400,0)</f>
        <v>51358</v>
      </c>
      <c r="K349" s="133">
        <v>1000</v>
      </c>
      <c r="L349" s="34"/>
      <c r="M349" s="16">
        <f t="shared" si="92"/>
        <v>16016.846536069452</v>
      </c>
      <c r="N349" s="36">
        <v>930</v>
      </c>
      <c r="O349" s="36">
        <v>0.5</v>
      </c>
      <c r="P349" s="36">
        <v>15600.560849999996</v>
      </c>
      <c r="Q349" s="90" t="s">
        <v>374</v>
      </c>
      <c r="S349" s="36">
        <f t="shared" si="126"/>
        <v>7800</v>
      </c>
    </row>
    <row r="350" spans="1:20" ht="11.25" customHeight="1" x14ac:dyDescent="0.2">
      <c r="A350" s="8" t="str">
        <f t="shared" si="123"/>
        <v>200040311</v>
      </c>
      <c r="B350" s="8">
        <v>20004</v>
      </c>
      <c r="C350" s="8">
        <v>3</v>
      </c>
      <c r="D350" s="14" t="s">
        <v>62</v>
      </c>
      <c r="E350" s="8">
        <v>1</v>
      </c>
      <c r="F350" s="34">
        <f t="shared" ref="F350:G352" si="130">ROUNDDOWN($P350/4*$O350*10*$N350/$N350*$Q350/400,0)</f>
        <v>228450</v>
      </c>
      <c r="G350" s="34">
        <f t="shared" si="130"/>
        <v>228450</v>
      </c>
      <c r="H350" s="34">
        <f t="shared" si="128"/>
        <v>19500</v>
      </c>
      <c r="I350" s="34">
        <f t="shared" si="128"/>
        <v>19500</v>
      </c>
      <c r="J350" s="34">
        <f t="shared" ref="J350:J352" si="131">ROUNDDOWN($P350/4*$O350*10*$N350/$Q350*$N350/400,0)</f>
        <v>303371</v>
      </c>
      <c r="K350" s="133">
        <v>1000</v>
      </c>
      <c r="L350" s="34"/>
      <c r="M350" s="16">
        <f t="shared" si="92"/>
        <v>93001.489760971046</v>
      </c>
      <c r="N350" s="36">
        <v>900</v>
      </c>
      <c r="O350" s="36">
        <v>3</v>
      </c>
      <c r="P350" s="36">
        <v>15600.560849999996</v>
      </c>
      <c r="Q350" s="90" t="s">
        <v>368</v>
      </c>
      <c r="S350" s="36">
        <f t="shared" si="126"/>
        <v>7800</v>
      </c>
    </row>
    <row r="351" spans="1:20" ht="16.5" x14ac:dyDescent="0.2">
      <c r="A351" s="14" t="str">
        <f t="shared" si="123"/>
        <v>200040410</v>
      </c>
      <c r="B351" s="14">
        <v>20004</v>
      </c>
      <c r="C351" s="14">
        <v>4</v>
      </c>
      <c r="D351" s="14" t="s">
        <v>62</v>
      </c>
      <c r="E351" s="14">
        <v>0</v>
      </c>
      <c r="F351" s="34">
        <f t="shared" si="130"/>
        <v>66056</v>
      </c>
      <c r="G351" s="34">
        <f t="shared" si="130"/>
        <v>66056</v>
      </c>
      <c r="H351" s="34">
        <f t="shared" si="128"/>
        <v>28720</v>
      </c>
      <c r="I351" s="34">
        <f t="shared" si="128"/>
        <v>28720</v>
      </c>
      <c r="J351" s="34">
        <f t="shared" si="131"/>
        <v>73431</v>
      </c>
      <c r="K351" s="133">
        <v>1000</v>
      </c>
      <c r="L351" s="34"/>
      <c r="M351" s="16">
        <v>28318</v>
      </c>
      <c r="N351" s="58">
        <v>970</v>
      </c>
      <c r="O351" s="36">
        <v>0.5</v>
      </c>
      <c r="P351" s="200">
        <v>22976.055899999999</v>
      </c>
      <c r="Q351" s="41" t="s">
        <v>273</v>
      </c>
      <c r="S351" s="36">
        <f t="shared" si="126"/>
        <v>11488</v>
      </c>
      <c r="T351" s="253"/>
    </row>
    <row r="352" spans="1:20" ht="16.5" x14ac:dyDescent="0.2">
      <c r="A352" s="14" t="str">
        <f t="shared" si="123"/>
        <v>200040411</v>
      </c>
      <c r="B352" s="14">
        <v>20004</v>
      </c>
      <c r="C352" s="14">
        <v>4</v>
      </c>
      <c r="D352" s="14" t="s">
        <v>62</v>
      </c>
      <c r="E352" s="14">
        <v>1</v>
      </c>
      <c r="F352" s="34">
        <f t="shared" si="130"/>
        <v>346256</v>
      </c>
      <c r="G352" s="34">
        <f t="shared" si="130"/>
        <v>346256</v>
      </c>
      <c r="H352" s="34">
        <f t="shared" si="128"/>
        <v>26840</v>
      </c>
      <c r="I352" s="34">
        <f t="shared" si="128"/>
        <v>26840</v>
      </c>
      <c r="J352" s="34">
        <f t="shared" si="131"/>
        <v>404918</v>
      </c>
      <c r="K352" s="133">
        <v>1000</v>
      </c>
      <c r="L352" s="34"/>
      <c r="M352" s="16">
        <f t="shared" ref="M352:M356" si="132">(F352*J352*((H352+I352)/2)/1000)^(1/2)/10*0.8</f>
        <v>155189.8945843002</v>
      </c>
      <c r="N352" s="58">
        <v>930</v>
      </c>
      <c r="O352" s="36">
        <v>3</v>
      </c>
      <c r="P352" s="200">
        <v>21473.28225</v>
      </c>
      <c r="Q352" s="41" t="s">
        <v>274</v>
      </c>
      <c r="S352" s="36">
        <f t="shared" si="126"/>
        <v>10736</v>
      </c>
      <c r="T352" s="253"/>
    </row>
    <row r="353" spans="1:20" ht="16.5" x14ac:dyDescent="0.2">
      <c r="A353" s="14" t="str">
        <f t="shared" si="123"/>
        <v>200040510</v>
      </c>
      <c r="B353" s="14">
        <v>20004</v>
      </c>
      <c r="C353" s="14">
        <v>5</v>
      </c>
      <c r="D353" s="14" t="s">
        <v>62</v>
      </c>
      <c r="E353" s="14">
        <v>0</v>
      </c>
      <c r="F353" s="34">
        <f>ROUNDDOWN($P353/4*$O353*10*$N353/$N353*$Q353/400,0)</f>
        <v>68985</v>
      </c>
      <c r="G353" s="34">
        <f>ROUNDDOWN($P353/4*$O353*10*$N353/$N353*$Q353/400,0)</f>
        <v>68985</v>
      </c>
      <c r="H353" s="34">
        <f t="shared" si="128"/>
        <v>36890</v>
      </c>
      <c r="I353" s="34">
        <f t="shared" ref="I353:I354" si="133">ROUNDDOWN($T353/4*10,0)</f>
        <v>36890</v>
      </c>
      <c r="J353" s="34">
        <f>ROUNDDOWN($P353/4*$O353*10*$N353/$Q353*$N353/400,0)</f>
        <v>135935</v>
      </c>
      <c r="K353" s="133">
        <v>1000</v>
      </c>
      <c r="L353" s="34"/>
      <c r="M353" s="16">
        <f t="shared" si="132"/>
        <v>47052.997436864738</v>
      </c>
      <c r="N353" s="36">
        <v>1050</v>
      </c>
      <c r="O353" s="36">
        <v>0.5</v>
      </c>
      <c r="P353" s="200">
        <v>29512.409062499999</v>
      </c>
      <c r="Q353" s="41" t="s">
        <v>537</v>
      </c>
      <c r="S353" s="36">
        <f t="shared" ref="S353:S356" si="134">P353*0.5</f>
        <v>14756.204531249999</v>
      </c>
      <c r="T353" s="114">
        <f t="shared" ref="T353:T356" si="135">S353</f>
        <v>14756.204531249999</v>
      </c>
    </row>
    <row r="354" spans="1:20" ht="16.5" x14ac:dyDescent="0.2">
      <c r="A354" s="14" t="str">
        <f t="shared" si="123"/>
        <v>200040511</v>
      </c>
      <c r="B354" s="14">
        <v>20004</v>
      </c>
      <c r="C354" s="14">
        <v>5</v>
      </c>
      <c r="D354" s="14" t="s">
        <v>62</v>
      </c>
      <c r="E354" s="14">
        <v>1</v>
      </c>
      <c r="F354" s="34">
        <f t="shared" ref="F354:G356" si="136">ROUNDDOWN($P354/4*$O354*10*$N354/$N354*$Q354/400,0)</f>
        <v>377186</v>
      </c>
      <c r="G354" s="34">
        <f t="shared" si="136"/>
        <v>377186</v>
      </c>
      <c r="H354" s="34">
        <f t="shared" si="128"/>
        <v>35218</v>
      </c>
      <c r="I354" s="34">
        <f t="shared" si="133"/>
        <v>35218</v>
      </c>
      <c r="J354" s="34">
        <f t="shared" ref="J354:J356" si="137">ROUNDDOWN($P354/4*$O354*10*$N354/$Q354*$N354/400,0)</f>
        <v>815714</v>
      </c>
      <c r="K354" s="133">
        <v>1000</v>
      </c>
      <c r="L354" s="34"/>
      <c r="M354" s="16">
        <f t="shared" si="132"/>
        <v>263341.35869038448</v>
      </c>
      <c r="N354" s="36">
        <v>1050</v>
      </c>
      <c r="O354" s="36">
        <v>3</v>
      </c>
      <c r="P354" s="200">
        <v>28174.513185</v>
      </c>
      <c r="Q354" s="41" t="s">
        <v>539</v>
      </c>
      <c r="S354" s="36">
        <f t="shared" si="134"/>
        <v>14087.2565925</v>
      </c>
      <c r="T354" s="114">
        <f t="shared" si="135"/>
        <v>14087.2565925</v>
      </c>
    </row>
    <row r="355" spans="1:20" ht="16.5" x14ac:dyDescent="0.2">
      <c r="A355" s="14" t="str">
        <f t="shared" si="123"/>
        <v>200040610</v>
      </c>
      <c r="B355" s="14">
        <v>20004</v>
      </c>
      <c r="C355" s="14">
        <v>6</v>
      </c>
      <c r="D355" s="14" t="s">
        <v>62</v>
      </c>
      <c r="E355" s="14">
        <v>0</v>
      </c>
      <c r="F355" s="34">
        <f t="shared" si="136"/>
        <v>156744</v>
      </c>
      <c r="G355" s="34">
        <f t="shared" si="136"/>
        <v>156744</v>
      </c>
      <c r="H355" s="34">
        <f t="shared" si="128"/>
        <v>56997</v>
      </c>
      <c r="I355" s="34">
        <f t="shared" si="128"/>
        <v>56997</v>
      </c>
      <c r="J355" s="34">
        <f t="shared" si="137"/>
        <v>489954</v>
      </c>
      <c r="K355" s="133">
        <v>1000</v>
      </c>
      <c r="L355" s="34">
        <v>900</v>
      </c>
      <c r="M355" s="16">
        <f t="shared" si="132"/>
        <v>167374.42662835054</v>
      </c>
      <c r="N355" s="56">
        <v>972.4</v>
      </c>
      <c r="O355" s="36">
        <v>1</v>
      </c>
      <c r="P355" s="95">
        <v>45598.293562499995</v>
      </c>
      <c r="Q355" s="41" t="s">
        <v>360</v>
      </c>
      <c r="S355" s="36">
        <f t="shared" si="134"/>
        <v>22799.146781249998</v>
      </c>
      <c r="T355" s="114">
        <f t="shared" si="135"/>
        <v>22799.146781249998</v>
      </c>
    </row>
    <row r="356" spans="1:20" ht="16.5" x14ac:dyDescent="0.2">
      <c r="A356" s="14" t="str">
        <f t="shared" si="123"/>
        <v>200040611</v>
      </c>
      <c r="B356" s="14">
        <v>20004</v>
      </c>
      <c r="C356" s="14">
        <v>6</v>
      </c>
      <c r="D356" s="14" t="s">
        <v>62</v>
      </c>
      <c r="E356" s="14">
        <v>1</v>
      </c>
      <c r="F356" s="34">
        <f t="shared" si="136"/>
        <v>940464</v>
      </c>
      <c r="G356" s="34">
        <f t="shared" si="136"/>
        <v>940464</v>
      </c>
      <c r="H356" s="34">
        <f t="shared" si="128"/>
        <v>56997</v>
      </c>
      <c r="I356" s="34">
        <f t="shared" si="128"/>
        <v>56997</v>
      </c>
      <c r="J356" s="34">
        <f t="shared" si="137"/>
        <v>2552521</v>
      </c>
      <c r="K356" s="133">
        <v>1000</v>
      </c>
      <c r="L356" s="34">
        <v>1900</v>
      </c>
      <c r="M356" s="16">
        <f t="shared" si="132"/>
        <v>935775.64009526558</v>
      </c>
      <c r="N356" s="56">
        <v>906.1</v>
      </c>
      <c r="O356" s="36">
        <v>6</v>
      </c>
      <c r="P356" s="95">
        <v>45598.293562499995</v>
      </c>
      <c r="Q356" s="41" t="s">
        <v>360</v>
      </c>
      <c r="S356" s="36">
        <f t="shared" si="134"/>
        <v>22799.146781249998</v>
      </c>
      <c r="T356" s="114">
        <f t="shared" si="135"/>
        <v>22799.146781249998</v>
      </c>
    </row>
    <row r="357" spans="1:20" ht="38.25" x14ac:dyDescent="0.2">
      <c r="A357" s="8" t="str">
        <f t="shared" ref="A357" si="138">IF(B357="","",CONCATENATE(B357,CONCATENATE(REPT(0,2-LEN(C357)),C357),IF(OR(D357="Easy",D357=""),1,IF(D357="Normal",2,IF(D357="Hard",3,IF(D357="Hell",4,"error")))),E357))</f>
        <v/>
      </c>
      <c r="B357" s="5"/>
      <c r="C357" s="6" t="s">
        <v>277</v>
      </c>
      <c r="D357" s="5"/>
      <c r="E357" s="5"/>
      <c r="F357" s="5"/>
      <c r="G357" s="5"/>
      <c r="H357" s="5"/>
      <c r="I357" s="5"/>
      <c r="J357" s="5"/>
      <c r="K357" s="133">
        <v>1000</v>
      </c>
      <c r="L357" s="5"/>
      <c r="M357" s="16">
        <f t="shared" ref="M357" si="139">(F357*J357*((H357+I357)/2)/1000)^(1/2)/10*0.8</f>
        <v>0</v>
      </c>
      <c r="N357" s="5"/>
      <c r="O357" s="5"/>
      <c r="P357" s="5"/>
      <c r="Q357" s="5"/>
      <c r="R357" s="5"/>
      <c r="S357" s="30"/>
      <c r="T357" s="266"/>
    </row>
    <row r="358" spans="1:20" x14ac:dyDescent="0.2">
      <c r="A358" s="8">
        <v>910110</v>
      </c>
      <c r="B358" s="8">
        <v>1</v>
      </c>
      <c r="C358" s="8">
        <v>1</v>
      </c>
      <c r="D358" s="8" t="s">
        <v>259</v>
      </c>
      <c r="E358" s="8">
        <v>0</v>
      </c>
      <c r="F358" s="65">
        <v>1402.5</v>
      </c>
      <c r="G358" s="65">
        <v>1402.5</v>
      </c>
      <c r="H358" s="65">
        <v>1650</v>
      </c>
      <c r="I358" s="65">
        <v>1650</v>
      </c>
      <c r="J358" s="65">
        <v>780</v>
      </c>
      <c r="K358" s="133">
        <v>1000</v>
      </c>
      <c r="L358" s="34"/>
      <c r="M358" s="16">
        <f t="shared" ref="M358:M420" si="140">(F358*J358*((H358+I358)/2)/1000)^(1/2)/10*0.8</f>
        <v>107.48075176514165</v>
      </c>
      <c r="O358" s="36">
        <v>0.5</v>
      </c>
      <c r="P358" s="2">
        <v>464</v>
      </c>
      <c r="R358" s="2" t="s">
        <v>260</v>
      </c>
      <c r="S358" s="36">
        <v>10110</v>
      </c>
      <c r="T358" s="114">
        <v>910110</v>
      </c>
    </row>
    <row r="359" spans="1:20" x14ac:dyDescent="0.2">
      <c r="A359" s="8">
        <v>910111</v>
      </c>
      <c r="B359" s="8">
        <v>1</v>
      </c>
      <c r="C359" s="8">
        <v>1</v>
      </c>
      <c r="D359" s="8" t="s">
        <v>259</v>
      </c>
      <c r="E359" s="8">
        <v>1</v>
      </c>
      <c r="F359" s="65">
        <v>2805</v>
      </c>
      <c r="G359" s="65">
        <v>2805</v>
      </c>
      <c r="H359" s="65">
        <v>1650</v>
      </c>
      <c r="I359" s="65">
        <v>1650</v>
      </c>
      <c r="J359" s="65">
        <v>1560</v>
      </c>
      <c r="K359" s="133">
        <v>1000</v>
      </c>
      <c r="L359" s="34"/>
      <c r="M359" s="16">
        <f t="shared" si="140"/>
        <v>214.9615035302833</v>
      </c>
      <c r="O359" s="36">
        <v>1</v>
      </c>
      <c r="P359" s="2">
        <v>464</v>
      </c>
      <c r="T359" s="114"/>
    </row>
    <row r="360" spans="1:20" x14ac:dyDescent="0.2">
      <c r="A360" s="8">
        <v>910112</v>
      </c>
      <c r="B360" s="8">
        <v>1</v>
      </c>
      <c r="C360" s="8">
        <v>1</v>
      </c>
      <c r="D360" s="8" t="s">
        <v>259</v>
      </c>
      <c r="E360" s="8">
        <v>2</v>
      </c>
      <c r="F360" s="65">
        <v>5610</v>
      </c>
      <c r="G360" s="65">
        <v>5610</v>
      </c>
      <c r="H360" s="65">
        <v>1650</v>
      </c>
      <c r="I360" s="65">
        <v>1650</v>
      </c>
      <c r="J360" s="65">
        <v>3120</v>
      </c>
      <c r="K360" s="133">
        <v>1000</v>
      </c>
      <c r="L360" s="34"/>
      <c r="M360" s="16">
        <f t="shared" si="140"/>
        <v>429.92300706056659</v>
      </c>
      <c r="O360" s="36">
        <v>2</v>
      </c>
      <c r="P360" s="2">
        <v>464</v>
      </c>
      <c r="T360" s="114"/>
    </row>
    <row r="361" spans="1:20" x14ac:dyDescent="0.2">
      <c r="A361" s="8">
        <v>910113</v>
      </c>
      <c r="B361" s="8">
        <v>1</v>
      </c>
      <c r="C361" s="8">
        <v>1</v>
      </c>
      <c r="D361" s="8" t="s">
        <v>259</v>
      </c>
      <c r="E361" s="8">
        <v>3</v>
      </c>
      <c r="F361" s="65">
        <v>7293</v>
      </c>
      <c r="G361" s="65">
        <v>7293</v>
      </c>
      <c r="H361" s="65">
        <v>1650</v>
      </c>
      <c r="I361" s="65">
        <v>1650</v>
      </c>
      <c r="J361" s="65">
        <v>4056</v>
      </c>
      <c r="K361" s="133">
        <v>1000</v>
      </c>
      <c r="L361" s="34"/>
      <c r="M361" s="16">
        <f t="shared" si="140"/>
        <v>558.89990917873672</v>
      </c>
      <c r="O361" s="36">
        <v>2.6</v>
      </c>
      <c r="P361" s="2">
        <v>464</v>
      </c>
      <c r="T361" s="114"/>
    </row>
    <row r="362" spans="1:20" x14ac:dyDescent="0.2">
      <c r="A362" s="8">
        <v>910114</v>
      </c>
      <c r="B362" s="8">
        <v>1</v>
      </c>
      <c r="C362" s="8">
        <v>1</v>
      </c>
      <c r="D362" s="8" t="s">
        <v>259</v>
      </c>
      <c r="E362" s="8">
        <v>4</v>
      </c>
      <c r="F362" s="65">
        <v>9817.5</v>
      </c>
      <c r="G362" s="65">
        <v>9817.5</v>
      </c>
      <c r="H362" s="65">
        <v>1650</v>
      </c>
      <c r="I362" s="65">
        <v>1650</v>
      </c>
      <c r="J362" s="65">
        <v>5460</v>
      </c>
      <c r="K362" s="133">
        <v>1000</v>
      </c>
      <c r="L362" s="34"/>
      <c r="M362" s="16">
        <f t="shared" si="140"/>
        <v>752.3652623559916</v>
      </c>
      <c r="O362" s="36">
        <v>3.5</v>
      </c>
      <c r="P362" s="2">
        <v>464</v>
      </c>
      <c r="T362" s="114"/>
    </row>
    <row r="363" spans="1:20" x14ac:dyDescent="0.2">
      <c r="A363" s="8">
        <v>910210</v>
      </c>
      <c r="B363" s="8">
        <v>1</v>
      </c>
      <c r="C363" s="8">
        <v>2</v>
      </c>
      <c r="D363" s="8" t="s">
        <v>259</v>
      </c>
      <c r="E363" s="8">
        <v>0</v>
      </c>
      <c r="F363" s="65">
        <v>1122</v>
      </c>
      <c r="G363" s="65">
        <v>1402.5</v>
      </c>
      <c r="H363" s="65">
        <v>1650</v>
      </c>
      <c r="I363" s="65">
        <v>1650</v>
      </c>
      <c r="J363" s="65">
        <v>780</v>
      </c>
      <c r="K363" s="133">
        <v>1000</v>
      </c>
      <c r="L363" s="34"/>
      <c r="M363" s="16">
        <f t="shared" si="140"/>
        <v>96.133706887854899</v>
      </c>
      <c r="O363" s="36">
        <v>0.5</v>
      </c>
      <c r="P363" s="2">
        <v>464</v>
      </c>
      <c r="T363" s="114"/>
    </row>
    <row r="364" spans="1:20" x14ac:dyDescent="0.2">
      <c r="A364" s="8">
        <v>910211</v>
      </c>
      <c r="B364" s="8">
        <v>1</v>
      </c>
      <c r="C364" s="8">
        <v>2</v>
      </c>
      <c r="D364" s="8" t="s">
        <v>259</v>
      </c>
      <c r="E364" s="8">
        <v>1</v>
      </c>
      <c r="F364" s="65">
        <v>2244</v>
      </c>
      <c r="G364" s="65">
        <v>2805</v>
      </c>
      <c r="H364" s="65">
        <v>1650</v>
      </c>
      <c r="I364" s="65">
        <v>1650</v>
      </c>
      <c r="J364" s="65">
        <v>1560</v>
      </c>
      <c r="K364" s="133">
        <v>1000</v>
      </c>
      <c r="L364" s="34"/>
      <c r="M364" s="16">
        <f t="shared" si="140"/>
        <v>192.2674137757098</v>
      </c>
      <c r="O364" s="36">
        <v>1</v>
      </c>
      <c r="P364" s="2">
        <v>464</v>
      </c>
      <c r="T364" s="114"/>
    </row>
    <row r="365" spans="1:20" x14ac:dyDescent="0.2">
      <c r="A365" s="8">
        <v>910212</v>
      </c>
      <c r="B365" s="8">
        <v>1</v>
      </c>
      <c r="C365" s="8">
        <v>2</v>
      </c>
      <c r="D365" s="8" t="s">
        <v>259</v>
      </c>
      <c r="E365" s="8">
        <v>2</v>
      </c>
      <c r="F365" s="65">
        <v>4488</v>
      </c>
      <c r="G365" s="65">
        <v>5610</v>
      </c>
      <c r="H365" s="65">
        <v>1650</v>
      </c>
      <c r="I365" s="65">
        <v>1650</v>
      </c>
      <c r="J365" s="65">
        <v>3120</v>
      </c>
      <c r="K365" s="133">
        <v>1000</v>
      </c>
      <c r="L365" s="34"/>
      <c r="M365" s="16">
        <f t="shared" si="140"/>
        <v>384.5348275514196</v>
      </c>
      <c r="O365" s="36">
        <v>2</v>
      </c>
      <c r="P365" s="2">
        <v>464</v>
      </c>
      <c r="T365" s="114"/>
    </row>
    <row r="366" spans="1:20" x14ac:dyDescent="0.2">
      <c r="A366" s="8">
        <v>910213</v>
      </c>
      <c r="B366" s="8">
        <v>1</v>
      </c>
      <c r="C366" s="8">
        <v>2</v>
      </c>
      <c r="D366" s="8" t="s">
        <v>259</v>
      </c>
      <c r="E366" s="8">
        <v>3</v>
      </c>
      <c r="F366" s="65">
        <v>5834.4</v>
      </c>
      <c r="G366" s="65">
        <v>7293</v>
      </c>
      <c r="H366" s="65">
        <v>1650</v>
      </c>
      <c r="I366" s="65">
        <v>1650</v>
      </c>
      <c r="J366" s="65">
        <v>4056</v>
      </c>
      <c r="K366" s="133">
        <v>1000</v>
      </c>
      <c r="L366" s="34"/>
      <c r="M366" s="16">
        <f t="shared" si="140"/>
        <v>499.89527581684547</v>
      </c>
      <c r="O366" s="36">
        <v>2.6</v>
      </c>
      <c r="P366" s="2">
        <v>464</v>
      </c>
      <c r="T366" s="114"/>
    </row>
    <row r="367" spans="1:20" x14ac:dyDescent="0.2">
      <c r="A367" s="8">
        <v>910214</v>
      </c>
      <c r="B367" s="8">
        <v>1</v>
      </c>
      <c r="C367" s="8">
        <v>2</v>
      </c>
      <c r="D367" s="8" t="s">
        <v>259</v>
      </c>
      <c r="E367" s="8">
        <v>4</v>
      </c>
      <c r="F367" s="65">
        <v>7854</v>
      </c>
      <c r="G367" s="65">
        <v>9817.5</v>
      </c>
      <c r="H367" s="65">
        <v>1650</v>
      </c>
      <c r="I367" s="65">
        <v>1650</v>
      </c>
      <c r="J367" s="65">
        <v>5460</v>
      </c>
      <c r="K367" s="133">
        <v>1000</v>
      </c>
      <c r="L367" s="34"/>
      <c r="M367" s="16">
        <f t="shared" si="140"/>
        <v>672.93594821498436</v>
      </c>
      <c r="O367" s="36">
        <v>3.5</v>
      </c>
      <c r="P367" s="2">
        <v>464</v>
      </c>
      <c r="T367" s="114"/>
    </row>
    <row r="368" spans="1:20" x14ac:dyDescent="0.2">
      <c r="A368" s="8">
        <v>910310</v>
      </c>
      <c r="B368" s="8">
        <v>1</v>
      </c>
      <c r="C368" s="8">
        <v>3</v>
      </c>
      <c r="D368" s="8" t="s">
        <v>259</v>
      </c>
      <c r="E368" s="8">
        <v>0</v>
      </c>
      <c r="F368" s="65">
        <v>1402.5</v>
      </c>
      <c r="G368" s="65">
        <v>1402.5</v>
      </c>
      <c r="H368" s="65">
        <v>1650</v>
      </c>
      <c r="I368" s="65">
        <v>1650</v>
      </c>
      <c r="J368" s="65">
        <v>975</v>
      </c>
      <c r="K368" s="133">
        <v>1000</v>
      </c>
      <c r="L368" s="34"/>
      <c r="M368" s="16">
        <f t="shared" si="140"/>
        <v>120.16713360981862</v>
      </c>
      <c r="O368" s="36">
        <v>0.5</v>
      </c>
      <c r="P368" s="2">
        <v>464</v>
      </c>
      <c r="T368" s="114"/>
    </row>
    <row r="369" spans="1:20" x14ac:dyDescent="0.2">
      <c r="A369" s="8">
        <v>910311</v>
      </c>
      <c r="B369" s="8">
        <v>1</v>
      </c>
      <c r="C369" s="8">
        <v>3</v>
      </c>
      <c r="D369" s="8" t="s">
        <v>259</v>
      </c>
      <c r="E369" s="8">
        <v>1</v>
      </c>
      <c r="F369" s="65">
        <v>2805</v>
      </c>
      <c r="G369" s="65">
        <v>2805</v>
      </c>
      <c r="H369" s="65">
        <v>1650</v>
      </c>
      <c r="I369" s="65">
        <v>1650</v>
      </c>
      <c r="J369" s="65">
        <v>1950</v>
      </c>
      <c r="K369" s="133">
        <v>1000</v>
      </c>
      <c r="L369" s="34"/>
      <c r="M369" s="16">
        <f t="shared" si="140"/>
        <v>240.33426721963724</v>
      </c>
      <c r="O369" s="36">
        <v>1</v>
      </c>
      <c r="P369" s="2">
        <v>464</v>
      </c>
      <c r="T369" s="114"/>
    </row>
    <row r="370" spans="1:20" x14ac:dyDescent="0.2">
      <c r="A370" s="8">
        <v>910312</v>
      </c>
      <c r="B370" s="8">
        <v>1</v>
      </c>
      <c r="C370" s="8">
        <v>3</v>
      </c>
      <c r="D370" s="8" t="s">
        <v>259</v>
      </c>
      <c r="E370" s="8">
        <v>2</v>
      </c>
      <c r="F370" s="65">
        <v>5610</v>
      </c>
      <c r="G370" s="65">
        <v>5610</v>
      </c>
      <c r="H370" s="65">
        <v>1650</v>
      </c>
      <c r="I370" s="65">
        <v>1650</v>
      </c>
      <c r="J370" s="65">
        <v>3900</v>
      </c>
      <c r="K370" s="133">
        <v>1000</v>
      </c>
      <c r="L370" s="34"/>
      <c r="M370" s="16">
        <f t="shared" si="140"/>
        <v>480.66853443927448</v>
      </c>
      <c r="O370" s="36">
        <v>2</v>
      </c>
      <c r="P370" s="2">
        <v>464</v>
      </c>
      <c r="T370" s="114"/>
    </row>
    <row r="371" spans="1:20" x14ac:dyDescent="0.2">
      <c r="A371" s="8">
        <v>910313</v>
      </c>
      <c r="B371" s="8">
        <v>1</v>
      </c>
      <c r="C371" s="8">
        <v>3</v>
      </c>
      <c r="D371" s="8" t="s">
        <v>259</v>
      </c>
      <c r="E371" s="8">
        <v>3</v>
      </c>
      <c r="F371" s="65">
        <v>7293</v>
      </c>
      <c r="G371" s="65">
        <v>7293</v>
      </c>
      <c r="H371" s="65">
        <v>1650</v>
      </c>
      <c r="I371" s="65">
        <v>1650</v>
      </c>
      <c r="J371" s="65">
        <v>5070</v>
      </c>
      <c r="K371" s="133">
        <v>1000</v>
      </c>
      <c r="L371" s="34"/>
      <c r="M371" s="16">
        <f t="shared" si="140"/>
        <v>624.86909477105689</v>
      </c>
      <c r="O371" s="36">
        <v>2.6</v>
      </c>
      <c r="P371" s="2">
        <v>464</v>
      </c>
      <c r="T371" s="114"/>
    </row>
    <row r="372" spans="1:20" x14ac:dyDescent="0.2">
      <c r="A372" s="8">
        <v>910314</v>
      </c>
      <c r="B372" s="8">
        <v>1</v>
      </c>
      <c r="C372" s="8">
        <v>3</v>
      </c>
      <c r="D372" s="8" t="s">
        <v>259</v>
      </c>
      <c r="E372" s="8">
        <v>4</v>
      </c>
      <c r="F372" s="65">
        <v>9817.5</v>
      </c>
      <c r="G372" s="65">
        <v>9817.5</v>
      </c>
      <c r="H372" s="65">
        <v>1650</v>
      </c>
      <c r="I372" s="65">
        <v>1650</v>
      </c>
      <c r="J372" s="65">
        <v>6825</v>
      </c>
      <c r="K372" s="133">
        <v>1000</v>
      </c>
      <c r="L372" s="34"/>
      <c r="M372" s="16">
        <f t="shared" si="140"/>
        <v>841.16993526873034</v>
      </c>
      <c r="O372" s="36">
        <v>3.5</v>
      </c>
      <c r="P372" s="2">
        <v>464</v>
      </c>
      <c r="T372" s="114"/>
    </row>
    <row r="373" spans="1:20" x14ac:dyDescent="0.2">
      <c r="A373" s="8">
        <v>910410</v>
      </c>
      <c r="B373" s="8">
        <v>1</v>
      </c>
      <c r="C373" s="8">
        <v>4</v>
      </c>
      <c r="D373" s="8" t="s">
        <v>259</v>
      </c>
      <c r="E373" s="8">
        <v>0</v>
      </c>
      <c r="F373" s="65">
        <v>1402.5</v>
      </c>
      <c r="G373" s="65">
        <v>1402.5</v>
      </c>
      <c r="H373" s="65">
        <v>1650</v>
      </c>
      <c r="I373" s="65">
        <v>1650</v>
      </c>
      <c r="J373" s="65">
        <v>975</v>
      </c>
      <c r="K373" s="133">
        <v>1000</v>
      </c>
      <c r="L373" s="34"/>
      <c r="M373" s="16">
        <f t="shared" si="140"/>
        <v>120.16713360981862</v>
      </c>
      <c r="O373" s="36">
        <v>0.5</v>
      </c>
      <c r="P373" s="2">
        <v>464</v>
      </c>
      <c r="T373" s="114"/>
    </row>
    <row r="374" spans="1:20" x14ac:dyDescent="0.2">
      <c r="A374" s="8">
        <v>910411</v>
      </c>
      <c r="B374" s="8">
        <v>1</v>
      </c>
      <c r="C374" s="8">
        <v>4</v>
      </c>
      <c r="D374" s="8" t="s">
        <v>259</v>
      </c>
      <c r="E374" s="8">
        <v>1</v>
      </c>
      <c r="F374" s="65">
        <v>2805</v>
      </c>
      <c r="G374" s="65">
        <v>2805</v>
      </c>
      <c r="H374" s="65">
        <v>1650</v>
      </c>
      <c r="I374" s="65">
        <v>1650</v>
      </c>
      <c r="J374" s="65">
        <v>1950</v>
      </c>
      <c r="K374" s="133">
        <v>1000</v>
      </c>
      <c r="L374" s="34"/>
      <c r="M374" s="16">
        <f t="shared" si="140"/>
        <v>240.33426721963724</v>
      </c>
      <c r="O374" s="36">
        <v>1</v>
      </c>
      <c r="P374" s="2">
        <v>464</v>
      </c>
      <c r="T374" s="114"/>
    </row>
    <row r="375" spans="1:20" x14ac:dyDescent="0.2">
      <c r="A375" s="8">
        <v>910412</v>
      </c>
      <c r="B375" s="8">
        <v>1</v>
      </c>
      <c r="C375" s="8">
        <v>4</v>
      </c>
      <c r="D375" s="8" t="s">
        <v>259</v>
      </c>
      <c r="E375" s="8">
        <v>2</v>
      </c>
      <c r="F375" s="65">
        <v>5610</v>
      </c>
      <c r="G375" s="65">
        <v>5610</v>
      </c>
      <c r="H375" s="65">
        <v>1650</v>
      </c>
      <c r="I375" s="65">
        <v>1650</v>
      </c>
      <c r="J375" s="65">
        <v>3900</v>
      </c>
      <c r="K375" s="133">
        <v>1000</v>
      </c>
      <c r="L375" s="34"/>
      <c r="M375" s="16">
        <f t="shared" si="140"/>
        <v>480.66853443927448</v>
      </c>
      <c r="O375" s="36">
        <v>2</v>
      </c>
      <c r="P375" s="2">
        <v>464</v>
      </c>
      <c r="T375" s="114"/>
    </row>
    <row r="376" spans="1:20" x14ac:dyDescent="0.2">
      <c r="A376" s="8">
        <v>910413</v>
      </c>
      <c r="B376" s="8">
        <v>1</v>
      </c>
      <c r="C376" s="8">
        <v>4</v>
      </c>
      <c r="D376" s="8" t="s">
        <v>259</v>
      </c>
      <c r="E376" s="8">
        <v>3</v>
      </c>
      <c r="F376" s="65">
        <v>7293</v>
      </c>
      <c r="G376" s="65">
        <v>7293</v>
      </c>
      <c r="H376" s="65">
        <v>1650</v>
      </c>
      <c r="I376" s="65">
        <v>1650</v>
      </c>
      <c r="J376" s="65">
        <v>5070</v>
      </c>
      <c r="K376" s="133">
        <v>1000</v>
      </c>
      <c r="L376" s="34"/>
      <c r="M376" s="16">
        <f t="shared" si="140"/>
        <v>624.86909477105689</v>
      </c>
      <c r="O376" s="36">
        <v>2.6</v>
      </c>
      <c r="P376" s="2">
        <v>464</v>
      </c>
      <c r="T376" s="114"/>
    </row>
    <row r="377" spans="1:20" x14ac:dyDescent="0.2">
      <c r="A377" s="8">
        <v>910414</v>
      </c>
      <c r="B377" s="8">
        <v>1</v>
      </c>
      <c r="C377" s="8">
        <v>4</v>
      </c>
      <c r="D377" s="8" t="s">
        <v>259</v>
      </c>
      <c r="E377" s="8">
        <v>4</v>
      </c>
      <c r="F377" s="65">
        <v>9817.5</v>
      </c>
      <c r="G377" s="65">
        <v>9817.5</v>
      </c>
      <c r="H377" s="65">
        <v>1650</v>
      </c>
      <c r="I377" s="65">
        <v>1650</v>
      </c>
      <c r="J377" s="65">
        <v>6825</v>
      </c>
      <c r="K377" s="133">
        <v>1000</v>
      </c>
      <c r="L377" s="34"/>
      <c r="M377" s="16">
        <f t="shared" si="140"/>
        <v>841.16993526873034</v>
      </c>
      <c r="O377" s="36">
        <v>3.5</v>
      </c>
      <c r="P377" s="2">
        <v>464</v>
      </c>
      <c r="T377" s="114"/>
    </row>
    <row r="378" spans="1:20" x14ac:dyDescent="0.2">
      <c r="A378" s="8">
        <v>910510</v>
      </c>
      <c r="B378" s="8">
        <v>1</v>
      </c>
      <c r="C378" s="8">
        <v>5</v>
      </c>
      <c r="D378" s="8" t="s">
        <v>259</v>
      </c>
      <c r="E378" s="8">
        <v>0</v>
      </c>
      <c r="F378" s="65">
        <v>561</v>
      </c>
      <c r="G378" s="65">
        <v>561</v>
      </c>
      <c r="H378" s="65">
        <v>1650</v>
      </c>
      <c r="I378" s="65">
        <v>1650</v>
      </c>
      <c r="J378" s="65">
        <v>390</v>
      </c>
      <c r="K378" s="133">
        <v>1000</v>
      </c>
      <c r="L378" s="34"/>
      <c r="M378" s="16">
        <f t="shared" si="140"/>
        <v>48.06685344392745</v>
      </c>
      <c r="O378" s="36">
        <v>0.2</v>
      </c>
      <c r="P378" s="2">
        <v>464</v>
      </c>
      <c r="T378" s="114"/>
    </row>
    <row r="379" spans="1:20" x14ac:dyDescent="0.2">
      <c r="A379" s="8">
        <v>910511</v>
      </c>
      <c r="B379" s="8">
        <v>1</v>
      </c>
      <c r="C379" s="8">
        <v>5</v>
      </c>
      <c r="D379" s="8" t="s">
        <v>259</v>
      </c>
      <c r="E379" s="8">
        <v>1</v>
      </c>
      <c r="F379" s="65">
        <v>2805</v>
      </c>
      <c r="G379" s="65">
        <v>2805</v>
      </c>
      <c r="H379" s="65">
        <v>1650</v>
      </c>
      <c r="I379" s="65">
        <v>1650</v>
      </c>
      <c r="J379" s="65">
        <v>2340</v>
      </c>
      <c r="K379" s="133">
        <v>1000</v>
      </c>
      <c r="L379" s="34"/>
      <c r="M379" s="16">
        <f t="shared" si="140"/>
        <v>263.27299899533949</v>
      </c>
      <c r="O379" s="36">
        <v>1</v>
      </c>
      <c r="P379" s="2">
        <v>464</v>
      </c>
      <c r="T379" s="114"/>
    </row>
    <row r="380" spans="1:20" x14ac:dyDescent="0.2">
      <c r="A380" s="8">
        <v>910512</v>
      </c>
      <c r="B380" s="8">
        <v>1</v>
      </c>
      <c r="C380" s="8">
        <v>5</v>
      </c>
      <c r="D380" s="8" t="s">
        <v>259</v>
      </c>
      <c r="E380" s="8">
        <v>2</v>
      </c>
      <c r="F380" s="65">
        <v>5610</v>
      </c>
      <c r="G380" s="65">
        <v>5610</v>
      </c>
      <c r="H380" s="65">
        <v>1650</v>
      </c>
      <c r="I380" s="65">
        <v>1650</v>
      </c>
      <c r="J380" s="65">
        <v>4680</v>
      </c>
      <c r="K380" s="133">
        <v>1000</v>
      </c>
      <c r="L380" s="34"/>
      <c r="M380" s="16">
        <f t="shared" si="140"/>
        <v>526.54599799067898</v>
      </c>
      <c r="O380" s="36">
        <v>2</v>
      </c>
      <c r="P380" s="2">
        <v>464</v>
      </c>
      <c r="T380" s="114"/>
    </row>
    <row r="381" spans="1:20" x14ac:dyDescent="0.2">
      <c r="A381" s="8">
        <v>910513</v>
      </c>
      <c r="B381" s="8">
        <v>1</v>
      </c>
      <c r="C381" s="8">
        <v>5</v>
      </c>
      <c r="D381" s="8" t="s">
        <v>259</v>
      </c>
      <c r="E381" s="8">
        <v>3</v>
      </c>
      <c r="F381" s="65">
        <v>7293</v>
      </c>
      <c r="G381" s="65">
        <v>7293</v>
      </c>
      <c r="H381" s="65">
        <v>1650</v>
      </c>
      <c r="I381" s="65">
        <v>1650</v>
      </c>
      <c r="J381" s="65">
        <v>6084</v>
      </c>
      <c r="K381" s="133">
        <v>1000</v>
      </c>
      <c r="L381" s="34"/>
      <c r="M381" s="16">
        <f t="shared" si="140"/>
        <v>684.5097973878826</v>
      </c>
      <c r="O381" s="36">
        <v>2.6</v>
      </c>
      <c r="P381" s="2">
        <v>464</v>
      </c>
      <c r="T381" s="114"/>
    </row>
    <row r="382" spans="1:20" x14ac:dyDescent="0.2">
      <c r="A382" s="8">
        <v>910514</v>
      </c>
      <c r="B382" s="8">
        <v>1</v>
      </c>
      <c r="C382" s="8">
        <v>5</v>
      </c>
      <c r="D382" s="8" t="s">
        <v>259</v>
      </c>
      <c r="E382" s="8">
        <v>4</v>
      </c>
      <c r="F382" s="65">
        <v>9817.5</v>
      </c>
      <c r="G382" s="65">
        <v>9817.5</v>
      </c>
      <c r="H382" s="65">
        <v>1650</v>
      </c>
      <c r="I382" s="65">
        <v>1650</v>
      </c>
      <c r="J382" s="65">
        <v>8190</v>
      </c>
      <c r="K382" s="133">
        <v>1000</v>
      </c>
      <c r="L382" s="34"/>
      <c r="M382" s="16">
        <f t="shared" si="140"/>
        <v>921.45549648368797</v>
      </c>
      <c r="O382" s="36">
        <v>3.5</v>
      </c>
      <c r="P382" s="2">
        <v>464</v>
      </c>
      <c r="T382" s="114"/>
    </row>
    <row r="383" spans="1:20" x14ac:dyDescent="0.2">
      <c r="A383" s="8">
        <v>910610</v>
      </c>
      <c r="B383" s="8">
        <v>1</v>
      </c>
      <c r="C383" s="8">
        <v>6</v>
      </c>
      <c r="D383" s="8" t="s">
        <v>259</v>
      </c>
      <c r="E383" s="8">
        <v>0</v>
      </c>
      <c r="F383" s="65">
        <v>1402.5</v>
      </c>
      <c r="G383" s="65">
        <v>1402.5</v>
      </c>
      <c r="H383" s="65">
        <v>1650</v>
      </c>
      <c r="I383" s="65">
        <v>1650</v>
      </c>
      <c r="J383" s="65">
        <v>1170</v>
      </c>
      <c r="K383" s="133">
        <v>1000</v>
      </c>
      <c r="L383" s="34"/>
      <c r="M383" s="16">
        <f t="shared" si="140"/>
        <v>131.63649949766975</v>
      </c>
      <c r="O383" s="36">
        <v>0.5</v>
      </c>
      <c r="P383" s="2">
        <v>464</v>
      </c>
      <c r="T383" s="114"/>
    </row>
    <row r="384" spans="1:20" x14ac:dyDescent="0.2">
      <c r="A384" s="8">
        <v>910611</v>
      </c>
      <c r="B384" s="8">
        <v>1</v>
      </c>
      <c r="C384" s="8">
        <v>6</v>
      </c>
      <c r="D384" s="8" t="s">
        <v>259</v>
      </c>
      <c r="E384" s="8">
        <v>1</v>
      </c>
      <c r="F384" s="65">
        <v>2805</v>
      </c>
      <c r="G384" s="65">
        <v>2805</v>
      </c>
      <c r="H384" s="65">
        <v>1650</v>
      </c>
      <c r="I384" s="65">
        <v>1650</v>
      </c>
      <c r="J384" s="65">
        <v>2340</v>
      </c>
      <c r="K384" s="133">
        <v>1000</v>
      </c>
      <c r="L384" s="34"/>
      <c r="M384" s="16">
        <f t="shared" si="140"/>
        <v>263.27299899533949</v>
      </c>
      <c r="O384" s="36">
        <v>1</v>
      </c>
      <c r="P384" s="2">
        <v>464</v>
      </c>
      <c r="T384" s="114"/>
    </row>
    <row r="385" spans="1:20" x14ac:dyDescent="0.2">
      <c r="A385" s="8">
        <v>910612</v>
      </c>
      <c r="B385" s="8">
        <v>1</v>
      </c>
      <c r="C385" s="8">
        <v>6</v>
      </c>
      <c r="D385" s="8" t="s">
        <v>259</v>
      </c>
      <c r="E385" s="8">
        <v>2</v>
      </c>
      <c r="F385" s="65">
        <v>5610</v>
      </c>
      <c r="G385" s="65">
        <v>5610</v>
      </c>
      <c r="H385" s="65">
        <v>1650</v>
      </c>
      <c r="I385" s="65">
        <v>1650</v>
      </c>
      <c r="J385" s="65">
        <v>4680</v>
      </c>
      <c r="K385" s="133">
        <v>1000</v>
      </c>
      <c r="L385" s="34"/>
      <c r="M385" s="16">
        <f t="shared" si="140"/>
        <v>526.54599799067898</v>
      </c>
      <c r="O385" s="36">
        <v>2</v>
      </c>
      <c r="P385" s="2">
        <v>464</v>
      </c>
      <c r="T385" s="114"/>
    </row>
    <row r="386" spans="1:20" x14ac:dyDescent="0.2">
      <c r="A386" s="8">
        <v>910613</v>
      </c>
      <c r="B386" s="8">
        <v>1</v>
      </c>
      <c r="C386" s="8">
        <v>6</v>
      </c>
      <c r="D386" s="8" t="s">
        <v>259</v>
      </c>
      <c r="E386" s="8">
        <v>3</v>
      </c>
      <c r="F386" s="65">
        <v>7293</v>
      </c>
      <c r="G386" s="65">
        <v>7293</v>
      </c>
      <c r="H386" s="65">
        <v>1650</v>
      </c>
      <c r="I386" s="65">
        <v>1650</v>
      </c>
      <c r="J386" s="65">
        <v>6084</v>
      </c>
      <c r="K386" s="133">
        <v>1000</v>
      </c>
      <c r="L386" s="34"/>
      <c r="M386" s="16">
        <f t="shared" si="140"/>
        <v>684.5097973878826</v>
      </c>
      <c r="O386" s="36">
        <v>2.6</v>
      </c>
      <c r="P386" s="2">
        <v>464</v>
      </c>
      <c r="T386" s="114"/>
    </row>
    <row r="387" spans="1:20" x14ac:dyDescent="0.2">
      <c r="A387" s="8">
        <v>910614</v>
      </c>
      <c r="B387" s="8">
        <v>1</v>
      </c>
      <c r="C387" s="8">
        <v>6</v>
      </c>
      <c r="D387" s="8" t="s">
        <v>259</v>
      </c>
      <c r="E387" s="8">
        <v>4</v>
      </c>
      <c r="F387" s="65">
        <v>9817.5</v>
      </c>
      <c r="G387" s="65">
        <v>9817.5</v>
      </c>
      <c r="H387" s="65">
        <v>1650</v>
      </c>
      <c r="I387" s="65">
        <v>1650</v>
      </c>
      <c r="J387" s="65">
        <v>8190</v>
      </c>
      <c r="K387" s="133">
        <v>1000</v>
      </c>
      <c r="L387" s="34"/>
      <c r="M387" s="16">
        <f t="shared" si="140"/>
        <v>921.45549648368797</v>
      </c>
      <c r="O387" s="36">
        <v>3.5</v>
      </c>
      <c r="P387" s="2">
        <v>464</v>
      </c>
      <c r="T387" s="114"/>
    </row>
    <row r="388" spans="1:20" x14ac:dyDescent="0.2">
      <c r="A388" s="8">
        <v>910710</v>
      </c>
      <c r="B388" s="8">
        <v>1</v>
      </c>
      <c r="C388" s="8">
        <v>7</v>
      </c>
      <c r="D388" s="8" t="s">
        <v>259</v>
      </c>
      <c r="E388" s="8">
        <v>0</v>
      </c>
      <c r="F388" s="65">
        <v>1402.5</v>
      </c>
      <c r="G388" s="65">
        <v>1402.5</v>
      </c>
      <c r="H388" s="65">
        <v>1650</v>
      </c>
      <c r="I388" s="65">
        <v>1650</v>
      </c>
      <c r="J388" s="65">
        <v>1170</v>
      </c>
      <c r="K388" s="133">
        <v>1000</v>
      </c>
      <c r="L388" s="34"/>
      <c r="M388" s="16">
        <f t="shared" si="140"/>
        <v>131.63649949766975</v>
      </c>
      <c r="O388" s="36">
        <v>0.5</v>
      </c>
      <c r="P388" s="2">
        <v>464</v>
      </c>
      <c r="T388" s="114"/>
    </row>
    <row r="389" spans="1:20" x14ac:dyDescent="0.2">
      <c r="A389" s="8">
        <v>910711</v>
      </c>
      <c r="B389" s="8">
        <v>1</v>
      </c>
      <c r="C389" s="8">
        <v>7</v>
      </c>
      <c r="D389" s="8" t="s">
        <v>259</v>
      </c>
      <c r="E389" s="8">
        <v>1</v>
      </c>
      <c r="F389" s="65">
        <v>2805</v>
      </c>
      <c r="G389" s="65">
        <v>2805</v>
      </c>
      <c r="H389" s="65">
        <v>1650</v>
      </c>
      <c r="I389" s="65">
        <v>1650</v>
      </c>
      <c r="J389" s="65">
        <v>2340</v>
      </c>
      <c r="K389" s="133">
        <v>1000</v>
      </c>
      <c r="L389" s="34"/>
      <c r="M389" s="16">
        <f t="shared" si="140"/>
        <v>263.27299899533949</v>
      </c>
      <c r="O389" s="36">
        <v>1</v>
      </c>
      <c r="P389" s="2">
        <v>464</v>
      </c>
      <c r="T389" s="114"/>
    </row>
    <row r="390" spans="1:20" x14ac:dyDescent="0.2">
      <c r="A390" s="8">
        <v>910712</v>
      </c>
      <c r="B390" s="8">
        <v>1</v>
      </c>
      <c r="C390" s="8">
        <v>7</v>
      </c>
      <c r="D390" s="8" t="s">
        <v>259</v>
      </c>
      <c r="E390" s="8">
        <v>2</v>
      </c>
      <c r="F390" s="65">
        <v>5610</v>
      </c>
      <c r="G390" s="65">
        <v>5610</v>
      </c>
      <c r="H390" s="65">
        <v>1650</v>
      </c>
      <c r="I390" s="65">
        <v>1650</v>
      </c>
      <c r="J390" s="65">
        <v>4680</v>
      </c>
      <c r="K390" s="133">
        <v>1000</v>
      </c>
      <c r="L390" s="34"/>
      <c r="M390" s="16">
        <f t="shared" si="140"/>
        <v>526.54599799067898</v>
      </c>
      <c r="O390" s="36">
        <v>2</v>
      </c>
      <c r="P390" s="2">
        <v>464</v>
      </c>
      <c r="T390" s="114"/>
    </row>
    <row r="391" spans="1:20" x14ac:dyDescent="0.2">
      <c r="A391" s="8">
        <v>910713</v>
      </c>
      <c r="B391" s="8">
        <v>1</v>
      </c>
      <c r="C391" s="8">
        <v>7</v>
      </c>
      <c r="D391" s="8" t="s">
        <v>259</v>
      </c>
      <c r="E391" s="8">
        <v>3</v>
      </c>
      <c r="F391" s="65">
        <v>7293</v>
      </c>
      <c r="G391" s="65">
        <v>7293</v>
      </c>
      <c r="H391" s="65">
        <v>1650</v>
      </c>
      <c r="I391" s="65">
        <v>1650</v>
      </c>
      <c r="J391" s="65">
        <v>6084</v>
      </c>
      <c r="K391" s="133">
        <v>1000</v>
      </c>
      <c r="L391" s="34"/>
      <c r="M391" s="16">
        <f t="shared" si="140"/>
        <v>684.5097973878826</v>
      </c>
      <c r="O391" s="36">
        <v>2.6</v>
      </c>
      <c r="P391" s="2">
        <v>464</v>
      </c>
      <c r="T391" s="114"/>
    </row>
    <row r="392" spans="1:20" x14ac:dyDescent="0.2">
      <c r="A392" s="8">
        <v>910714</v>
      </c>
      <c r="B392" s="8">
        <v>1</v>
      </c>
      <c r="C392" s="8">
        <v>7</v>
      </c>
      <c r="D392" s="8" t="s">
        <v>259</v>
      </c>
      <c r="E392" s="8">
        <v>4</v>
      </c>
      <c r="F392" s="65">
        <v>9817.5</v>
      </c>
      <c r="G392" s="65">
        <v>9817.5</v>
      </c>
      <c r="H392" s="65">
        <v>1650</v>
      </c>
      <c r="I392" s="65">
        <v>1650</v>
      </c>
      <c r="J392" s="65">
        <v>8190</v>
      </c>
      <c r="K392" s="133">
        <v>1000</v>
      </c>
      <c r="L392" s="34"/>
      <c r="M392" s="16">
        <f t="shared" si="140"/>
        <v>921.45549648368797</v>
      </c>
      <c r="O392" s="36">
        <v>3.5</v>
      </c>
      <c r="P392" s="2">
        <v>464</v>
      </c>
      <c r="T392" s="114"/>
    </row>
    <row r="393" spans="1:20" x14ac:dyDescent="0.2">
      <c r="A393" s="8">
        <v>910810</v>
      </c>
      <c r="B393" s="8">
        <v>1</v>
      </c>
      <c r="C393" s="8">
        <v>8</v>
      </c>
      <c r="D393" s="8" t="s">
        <v>259</v>
      </c>
      <c r="E393" s="8">
        <v>0</v>
      </c>
      <c r="F393" s="65">
        <v>1753.125</v>
      </c>
      <c r="G393" s="65">
        <v>1753.125</v>
      </c>
      <c r="H393" s="65">
        <v>1650</v>
      </c>
      <c r="I393" s="65">
        <v>1650</v>
      </c>
      <c r="J393" s="65">
        <v>1583.4</v>
      </c>
      <c r="K393" s="133">
        <v>1000</v>
      </c>
      <c r="L393" s="34"/>
      <c r="M393" s="16">
        <f t="shared" si="140"/>
        <v>171.21181092436353</v>
      </c>
      <c r="O393" s="36">
        <v>0.5</v>
      </c>
      <c r="P393" s="2">
        <v>580</v>
      </c>
      <c r="T393" s="114"/>
    </row>
    <row r="394" spans="1:20" x14ac:dyDescent="0.2">
      <c r="A394" s="8">
        <v>910811</v>
      </c>
      <c r="B394" s="8">
        <v>1</v>
      </c>
      <c r="C394" s="8">
        <v>8</v>
      </c>
      <c r="D394" s="8" t="s">
        <v>259</v>
      </c>
      <c r="E394" s="8">
        <v>1</v>
      </c>
      <c r="F394" s="65">
        <v>3506.25</v>
      </c>
      <c r="G394" s="65">
        <v>3506.25</v>
      </c>
      <c r="H394" s="65">
        <v>1650</v>
      </c>
      <c r="I394" s="65">
        <v>1650</v>
      </c>
      <c r="J394" s="65">
        <v>3168.75</v>
      </c>
      <c r="K394" s="133">
        <v>1000</v>
      </c>
      <c r="L394" s="34"/>
      <c r="M394" s="16">
        <f t="shared" si="140"/>
        <v>342.52903161629962</v>
      </c>
      <c r="O394" s="36">
        <v>1</v>
      </c>
      <c r="P394" s="2">
        <v>580</v>
      </c>
      <c r="T394" s="114"/>
    </row>
    <row r="395" spans="1:20" x14ac:dyDescent="0.2">
      <c r="A395" s="8">
        <v>910812</v>
      </c>
      <c r="B395" s="8">
        <v>1</v>
      </c>
      <c r="C395" s="8">
        <v>8</v>
      </c>
      <c r="D395" s="8" t="s">
        <v>259</v>
      </c>
      <c r="E395" s="8">
        <v>2</v>
      </c>
      <c r="F395" s="65">
        <v>7012.5</v>
      </c>
      <c r="G395" s="65">
        <v>7012.5</v>
      </c>
      <c r="H395" s="65">
        <v>1650</v>
      </c>
      <c r="I395" s="65">
        <v>1650</v>
      </c>
      <c r="J395" s="65">
        <v>6337.5</v>
      </c>
      <c r="K395" s="133">
        <v>1000</v>
      </c>
      <c r="L395" s="34"/>
      <c r="M395" s="16">
        <f t="shared" si="140"/>
        <v>685.05806323259924</v>
      </c>
      <c r="O395" s="36">
        <v>2</v>
      </c>
      <c r="P395" s="2">
        <v>580</v>
      </c>
      <c r="T395" s="114"/>
    </row>
    <row r="396" spans="1:20" x14ac:dyDescent="0.2">
      <c r="A396" s="8">
        <v>910813</v>
      </c>
      <c r="B396" s="8">
        <v>1</v>
      </c>
      <c r="C396" s="8">
        <v>8</v>
      </c>
      <c r="D396" s="8" t="s">
        <v>259</v>
      </c>
      <c r="E396" s="8">
        <v>3</v>
      </c>
      <c r="F396" s="65">
        <v>9116.25</v>
      </c>
      <c r="G396" s="65">
        <v>9116.25</v>
      </c>
      <c r="H396" s="65">
        <v>1650</v>
      </c>
      <c r="I396" s="65">
        <v>1650</v>
      </c>
      <c r="J396" s="65">
        <v>8238.75</v>
      </c>
      <c r="K396" s="133">
        <v>1000</v>
      </c>
      <c r="L396" s="34"/>
      <c r="M396" s="16">
        <f t="shared" si="140"/>
        <v>890.57548220237913</v>
      </c>
      <c r="O396" s="36">
        <v>2.6</v>
      </c>
      <c r="P396" s="2">
        <v>580</v>
      </c>
      <c r="T396" s="114"/>
    </row>
    <row r="397" spans="1:20" x14ac:dyDescent="0.2">
      <c r="A397" s="8">
        <v>910814</v>
      </c>
      <c r="B397" s="8">
        <v>1</v>
      </c>
      <c r="C397" s="8">
        <v>8</v>
      </c>
      <c r="D397" s="8" t="s">
        <v>259</v>
      </c>
      <c r="E397" s="8">
        <v>4</v>
      </c>
      <c r="F397" s="65">
        <v>12271.875</v>
      </c>
      <c r="G397" s="65">
        <v>12271.875</v>
      </c>
      <c r="H397" s="65">
        <v>1650</v>
      </c>
      <c r="I397" s="65">
        <v>1650</v>
      </c>
      <c r="J397" s="65">
        <v>11089.65</v>
      </c>
      <c r="K397" s="133">
        <v>1000</v>
      </c>
      <c r="L397" s="34"/>
      <c r="M397" s="16">
        <f t="shared" si="140"/>
        <v>1198.7989127247322</v>
      </c>
      <c r="O397" s="36">
        <v>3.5</v>
      </c>
      <c r="P397" s="2">
        <v>580</v>
      </c>
      <c r="T397" s="114"/>
    </row>
    <row r="398" spans="1:20" x14ac:dyDescent="0.2">
      <c r="A398" s="8">
        <v>910910</v>
      </c>
      <c r="B398" s="8">
        <v>1</v>
      </c>
      <c r="C398" s="8">
        <v>9</v>
      </c>
      <c r="D398" s="8" t="s">
        <v>259</v>
      </c>
      <c r="E398" s="8">
        <v>0</v>
      </c>
      <c r="F398" s="65">
        <v>1753.125</v>
      </c>
      <c r="G398" s="65">
        <v>1753.125</v>
      </c>
      <c r="H398" s="65">
        <v>1650</v>
      </c>
      <c r="I398" s="65">
        <v>1650</v>
      </c>
      <c r="J398" s="65">
        <v>1583.4</v>
      </c>
      <c r="K398" s="133">
        <v>1000</v>
      </c>
      <c r="L398" s="34"/>
      <c r="M398" s="16">
        <f t="shared" si="140"/>
        <v>171.21181092436353</v>
      </c>
      <c r="O398" s="36">
        <v>0.5</v>
      </c>
      <c r="P398" s="2" t="s">
        <v>728</v>
      </c>
      <c r="T398" s="114"/>
    </row>
    <row r="399" spans="1:20" x14ac:dyDescent="0.2">
      <c r="A399" s="8">
        <v>910911</v>
      </c>
      <c r="B399" s="8">
        <v>1</v>
      </c>
      <c r="C399" s="8">
        <v>9</v>
      </c>
      <c r="D399" s="8" t="s">
        <v>259</v>
      </c>
      <c r="E399" s="8">
        <v>1</v>
      </c>
      <c r="F399" s="65">
        <v>3506.25</v>
      </c>
      <c r="G399" s="65">
        <v>3506.25</v>
      </c>
      <c r="H399" s="65">
        <v>1650</v>
      </c>
      <c r="I399" s="65">
        <v>1650</v>
      </c>
      <c r="J399" s="65">
        <v>3168.75</v>
      </c>
      <c r="K399" s="133">
        <v>1000</v>
      </c>
      <c r="L399" s="34"/>
      <c r="M399" s="16">
        <f t="shared" si="140"/>
        <v>342.52903161629962</v>
      </c>
      <c r="O399" s="36">
        <v>1</v>
      </c>
      <c r="P399" s="2">
        <v>580</v>
      </c>
      <c r="T399" s="114"/>
    </row>
    <row r="400" spans="1:20" x14ac:dyDescent="0.2">
      <c r="A400" s="8">
        <v>910912</v>
      </c>
      <c r="B400" s="8">
        <v>1</v>
      </c>
      <c r="C400" s="8">
        <v>9</v>
      </c>
      <c r="D400" s="8" t="s">
        <v>259</v>
      </c>
      <c r="E400" s="8">
        <v>2</v>
      </c>
      <c r="F400" s="65">
        <v>7012.5</v>
      </c>
      <c r="G400" s="65">
        <v>7012.5</v>
      </c>
      <c r="H400" s="65">
        <v>1650</v>
      </c>
      <c r="I400" s="65">
        <v>1650</v>
      </c>
      <c r="J400" s="65">
        <v>6337.5</v>
      </c>
      <c r="K400" s="133">
        <v>1000</v>
      </c>
      <c r="L400" s="34"/>
      <c r="M400" s="16">
        <f t="shared" si="140"/>
        <v>685.05806323259924</v>
      </c>
      <c r="O400" s="36">
        <v>2</v>
      </c>
      <c r="P400" s="2">
        <v>580</v>
      </c>
      <c r="T400" s="114"/>
    </row>
    <row r="401" spans="1:20" x14ac:dyDescent="0.2">
      <c r="A401" s="8">
        <v>910913</v>
      </c>
      <c r="B401" s="8">
        <v>1</v>
      </c>
      <c r="C401" s="8">
        <v>9</v>
      </c>
      <c r="D401" s="8" t="s">
        <v>259</v>
      </c>
      <c r="E401" s="8">
        <v>3</v>
      </c>
      <c r="F401" s="65">
        <v>9116.25</v>
      </c>
      <c r="G401" s="65">
        <v>9116.25</v>
      </c>
      <c r="H401" s="65">
        <v>1650</v>
      </c>
      <c r="I401" s="65">
        <v>1650</v>
      </c>
      <c r="J401" s="65">
        <v>8238.75</v>
      </c>
      <c r="K401" s="133">
        <v>1000</v>
      </c>
      <c r="L401" s="34"/>
      <c r="M401" s="16">
        <f t="shared" si="140"/>
        <v>890.57548220237913</v>
      </c>
      <c r="O401" s="36">
        <v>2.6</v>
      </c>
      <c r="P401" s="2">
        <v>580</v>
      </c>
      <c r="T401" s="114"/>
    </row>
    <row r="402" spans="1:20" x14ac:dyDescent="0.2">
      <c r="A402" s="8">
        <v>910914</v>
      </c>
      <c r="B402" s="8">
        <v>1</v>
      </c>
      <c r="C402" s="8">
        <v>9</v>
      </c>
      <c r="D402" s="8" t="s">
        <v>259</v>
      </c>
      <c r="E402" s="8">
        <v>4</v>
      </c>
      <c r="F402" s="65">
        <v>12271.875</v>
      </c>
      <c r="G402" s="65">
        <v>12271.875</v>
      </c>
      <c r="H402" s="65">
        <v>1650</v>
      </c>
      <c r="I402" s="65">
        <v>1650</v>
      </c>
      <c r="J402" s="65">
        <v>11089.65</v>
      </c>
      <c r="K402" s="133">
        <v>1000</v>
      </c>
      <c r="L402" s="34"/>
      <c r="M402" s="16">
        <f t="shared" si="140"/>
        <v>1198.7989127247322</v>
      </c>
      <c r="O402" s="36">
        <v>3.5</v>
      </c>
      <c r="P402" s="2">
        <v>580</v>
      </c>
      <c r="T402" s="114"/>
    </row>
    <row r="403" spans="1:20" x14ac:dyDescent="0.2">
      <c r="A403" s="8">
        <v>911010</v>
      </c>
      <c r="B403" s="8">
        <v>1</v>
      </c>
      <c r="C403" s="8">
        <v>10</v>
      </c>
      <c r="D403" s="8" t="s">
        <v>259</v>
      </c>
      <c r="E403" s="8">
        <v>0</v>
      </c>
      <c r="F403" s="65">
        <v>1753.125</v>
      </c>
      <c r="G403" s="65">
        <v>1753.125</v>
      </c>
      <c r="H403" s="65">
        <v>1650</v>
      </c>
      <c r="I403" s="65">
        <v>1650</v>
      </c>
      <c r="J403" s="65">
        <v>1583.4</v>
      </c>
      <c r="K403" s="133">
        <v>1000</v>
      </c>
      <c r="L403" s="34"/>
      <c r="M403" s="16">
        <f t="shared" si="140"/>
        <v>171.21181092436353</v>
      </c>
      <c r="O403" s="36">
        <v>0.5</v>
      </c>
      <c r="P403" s="2">
        <v>580</v>
      </c>
      <c r="T403" s="114"/>
    </row>
    <row r="404" spans="1:20" x14ac:dyDescent="0.2">
      <c r="A404" s="8">
        <v>911011</v>
      </c>
      <c r="B404" s="8">
        <v>1</v>
      </c>
      <c r="C404" s="8">
        <v>10</v>
      </c>
      <c r="D404" s="8" t="s">
        <v>259</v>
      </c>
      <c r="E404" s="8">
        <v>1</v>
      </c>
      <c r="F404" s="65">
        <v>3506.25</v>
      </c>
      <c r="G404" s="65">
        <v>3506.25</v>
      </c>
      <c r="H404" s="65">
        <v>1650</v>
      </c>
      <c r="I404" s="65">
        <v>1650</v>
      </c>
      <c r="J404" s="65">
        <v>3168.75</v>
      </c>
      <c r="K404" s="133">
        <v>1000</v>
      </c>
      <c r="L404" s="34"/>
      <c r="M404" s="16">
        <f t="shared" si="140"/>
        <v>342.52903161629962</v>
      </c>
      <c r="O404" s="36">
        <v>1</v>
      </c>
      <c r="P404" s="2">
        <v>580</v>
      </c>
      <c r="T404" s="114"/>
    </row>
    <row r="405" spans="1:20" x14ac:dyDescent="0.2">
      <c r="A405" s="8">
        <v>911012</v>
      </c>
      <c r="B405" s="8">
        <v>1</v>
      </c>
      <c r="C405" s="8">
        <v>10</v>
      </c>
      <c r="D405" s="8" t="s">
        <v>259</v>
      </c>
      <c r="E405" s="8">
        <v>2</v>
      </c>
      <c r="F405" s="65">
        <v>7012.5</v>
      </c>
      <c r="G405" s="65">
        <v>7012.5</v>
      </c>
      <c r="H405" s="65">
        <v>1650</v>
      </c>
      <c r="I405" s="65">
        <v>1650</v>
      </c>
      <c r="J405" s="65">
        <v>6337.5</v>
      </c>
      <c r="K405" s="133">
        <v>1000</v>
      </c>
      <c r="L405" s="34"/>
      <c r="M405" s="16">
        <f t="shared" si="140"/>
        <v>685.05806323259924</v>
      </c>
      <c r="O405" s="36">
        <v>2</v>
      </c>
      <c r="P405" s="2">
        <v>580</v>
      </c>
      <c r="T405" s="114"/>
    </row>
    <row r="406" spans="1:20" x14ac:dyDescent="0.2">
      <c r="A406" s="8">
        <v>911013</v>
      </c>
      <c r="B406" s="8">
        <v>1</v>
      </c>
      <c r="C406" s="8">
        <v>10</v>
      </c>
      <c r="D406" s="8" t="s">
        <v>259</v>
      </c>
      <c r="E406" s="8">
        <v>3</v>
      </c>
      <c r="F406" s="65">
        <v>3135</v>
      </c>
      <c r="G406" s="65">
        <v>3646.5</v>
      </c>
      <c r="H406" s="65">
        <v>1650</v>
      </c>
      <c r="I406" s="65">
        <v>1650</v>
      </c>
      <c r="J406" s="65">
        <v>4118.4000000000005</v>
      </c>
      <c r="K406" s="133">
        <v>1000</v>
      </c>
      <c r="L406" s="34"/>
      <c r="M406" s="16">
        <f t="shared" si="140"/>
        <v>369.24531552885009</v>
      </c>
      <c r="O406" s="36">
        <v>2.6</v>
      </c>
      <c r="P406" s="51">
        <v>290</v>
      </c>
      <c r="Q406" s="2" t="s">
        <v>261</v>
      </c>
      <c r="T406" s="114"/>
    </row>
    <row r="407" spans="1:20" x14ac:dyDescent="0.2">
      <c r="A407" s="8">
        <v>911014</v>
      </c>
      <c r="B407" s="8">
        <v>1</v>
      </c>
      <c r="C407" s="8">
        <v>10</v>
      </c>
      <c r="D407" s="8" t="s">
        <v>259</v>
      </c>
      <c r="E407" s="8">
        <v>4</v>
      </c>
      <c r="F407" s="65">
        <v>12271.875</v>
      </c>
      <c r="G407" s="65">
        <v>12271.875</v>
      </c>
      <c r="H407" s="65">
        <v>1650</v>
      </c>
      <c r="I407" s="65">
        <v>1650</v>
      </c>
      <c r="J407" s="65">
        <v>11089.65</v>
      </c>
      <c r="K407" s="133">
        <v>1000</v>
      </c>
      <c r="L407" s="34"/>
      <c r="M407" s="16">
        <f t="shared" si="140"/>
        <v>1198.7989127247322</v>
      </c>
      <c r="O407" s="36">
        <v>3.5</v>
      </c>
      <c r="P407" s="2">
        <v>580</v>
      </c>
      <c r="T407" s="114"/>
    </row>
    <row r="408" spans="1:20" x14ac:dyDescent="0.2">
      <c r="A408" s="8">
        <v>911110</v>
      </c>
      <c r="B408" s="8">
        <v>1</v>
      </c>
      <c r="C408" s="8">
        <v>11</v>
      </c>
      <c r="D408" s="8" t="s">
        <v>259</v>
      </c>
      <c r="E408" s="8">
        <v>0</v>
      </c>
      <c r="F408" s="65">
        <v>1753.125</v>
      </c>
      <c r="G408" s="65">
        <v>1753.125</v>
      </c>
      <c r="H408" s="65">
        <v>1650</v>
      </c>
      <c r="I408" s="65">
        <v>1650</v>
      </c>
      <c r="J408" s="65">
        <v>1827.15</v>
      </c>
      <c r="K408" s="133">
        <v>1000</v>
      </c>
      <c r="L408" s="34"/>
      <c r="M408" s="16">
        <f t="shared" si="140"/>
        <v>183.91853617838527</v>
      </c>
      <c r="O408" s="36">
        <v>0.5</v>
      </c>
      <c r="P408" s="2">
        <v>580</v>
      </c>
      <c r="T408" s="114"/>
    </row>
    <row r="409" spans="1:20" x14ac:dyDescent="0.2">
      <c r="A409" s="8">
        <v>911111</v>
      </c>
      <c r="B409" s="8">
        <v>1</v>
      </c>
      <c r="C409" s="8">
        <v>11</v>
      </c>
      <c r="D409" s="8" t="s">
        <v>259</v>
      </c>
      <c r="E409" s="8">
        <v>1</v>
      </c>
      <c r="F409" s="65">
        <v>3506.25</v>
      </c>
      <c r="G409" s="65">
        <v>3506.25</v>
      </c>
      <c r="H409" s="65">
        <v>1650</v>
      </c>
      <c r="I409" s="65">
        <v>1650</v>
      </c>
      <c r="J409" s="65">
        <v>3656.25</v>
      </c>
      <c r="K409" s="133">
        <v>1000</v>
      </c>
      <c r="L409" s="34"/>
      <c r="M409" s="16">
        <f t="shared" si="140"/>
        <v>367.935201496133</v>
      </c>
      <c r="O409" s="36">
        <v>1</v>
      </c>
      <c r="P409" s="2">
        <v>580</v>
      </c>
      <c r="T409" s="114"/>
    </row>
    <row r="410" spans="1:20" x14ac:dyDescent="0.2">
      <c r="A410" s="8">
        <v>911112</v>
      </c>
      <c r="B410" s="8">
        <v>1</v>
      </c>
      <c r="C410" s="8">
        <v>11</v>
      </c>
      <c r="D410" s="8" t="s">
        <v>259</v>
      </c>
      <c r="E410" s="8">
        <v>2</v>
      </c>
      <c r="F410" s="65">
        <v>7012.5</v>
      </c>
      <c r="G410" s="65">
        <v>7012.5</v>
      </c>
      <c r="H410" s="65">
        <v>1650</v>
      </c>
      <c r="I410" s="65">
        <v>1650</v>
      </c>
      <c r="J410" s="65">
        <v>7312.5</v>
      </c>
      <c r="K410" s="133">
        <v>1000</v>
      </c>
      <c r="L410" s="34"/>
      <c r="M410" s="16">
        <f t="shared" si="140"/>
        <v>735.87040299226601</v>
      </c>
      <c r="O410" s="36">
        <v>2</v>
      </c>
      <c r="P410" s="2">
        <v>580</v>
      </c>
      <c r="T410" s="114"/>
    </row>
    <row r="411" spans="1:20" x14ac:dyDescent="0.2">
      <c r="A411" s="8">
        <v>911113</v>
      </c>
      <c r="B411" s="8">
        <v>1</v>
      </c>
      <c r="C411" s="8">
        <v>11</v>
      </c>
      <c r="D411" s="8" t="s">
        <v>259</v>
      </c>
      <c r="E411" s="8">
        <v>3</v>
      </c>
      <c r="F411" s="65">
        <v>10518.75</v>
      </c>
      <c r="G411" s="65">
        <v>10518.75</v>
      </c>
      <c r="H411" s="65">
        <v>1650</v>
      </c>
      <c r="I411" s="65">
        <v>1650</v>
      </c>
      <c r="J411" s="65">
        <v>10968.75</v>
      </c>
      <c r="K411" s="133">
        <v>1000</v>
      </c>
      <c r="L411" s="34"/>
      <c r="M411" s="16">
        <f t="shared" si="140"/>
        <v>1103.805604488399</v>
      </c>
      <c r="O411" s="36">
        <v>3</v>
      </c>
      <c r="P411" s="2">
        <v>580</v>
      </c>
      <c r="T411" s="114"/>
    </row>
    <row r="412" spans="1:20" x14ac:dyDescent="0.2">
      <c r="A412" s="8">
        <v>911114</v>
      </c>
      <c r="B412" s="8">
        <v>1</v>
      </c>
      <c r="C412" s="8">
        <v>11</v>
      </c>
      <c r="D412" s="8" t="s">
        <v>259</v>
      </c>
      <c r="E412" s="8">
        <v>4</v>
      </c>
      <c r="F412" s="65">
        <v>12271.875</v>
      </c>
      <c r="G412" s="65">
        <v>12271.875</v>
      </c>
      <c r="H412" s="65">
        <v>1650</v>
      </c>
      <c r="I412" s="65">
        <v>1650</v>
      </c>
      <c r="J412" s="65">
        <v>12795.9</v>
      </c>
      <c r="K412" s="133">
        <v>1000</v>
      </c>
      <c r="L412" s="34"/>
      <c r="M412" s="16">
        <f t="shared" si="140"/>
        <v>1287.7241462751253</v>
      </c>
      <c r="O412" s="36">
        <v>3.5</v>
      </c>
      <c r="P412" s="2">
        <v>580</v>
      </c>
      <c r="T412" s="114"/>
    </row>
    <row r="413" spans="1:20" ht="38.25" x14ac:dyDescent="0.2">
      <c r="A413" s="8" t="str">
        <f t="shared" ref="A413" si="141">IF(B413="","",CONCATENATE(B413,CONCATENATE(REPT(0,2-LEN(C413)),C413),IF(OR(D413="Easy",D413=""),1,IF(D413="Normal",2,IF(D413="Hard",3,"error"))),E413))</f>
        <v/>
      </c>
      <c r="B413" s="5"/>
      <c r="C413" s="6" t="s">
        <v>65</v>
      </c>
      <c r="D413" s="5"/>
      <c r="E413" s="5"/>
      <c r="F413" s="5"/>
      <c r="G413" s="5"/>
      <c r="H413" s="5"/>
      <c r="I413" s="5"/>
      <c r="J413" s="5"/>
      <c r="K413" s="133">
        <v>1000</v>
      </c>
      <c r="L413" s="5"/>
      <c r="M413" s="16">
        <f t="shared" si="140"/>
        <v>0</v>
      </c>
      <c r="N413" s="5"/>
      <c r="O413" s="5"/>
      <c r="P413" s="5"/>
      <c r="Q413" s="5"/>
      <c r="R413" s="5"/>
      <c r="S413" s="30"/>
      <c r="T413" s="266"/>
    </row>
    <row r="414" spans="1:20" x14ac:dyDescent="0.2">
      <c r="A414" s="8" t="str">
        <f t="shared" ref="A414:A478" si="142">IF(B414="","",CONCATENATE(B414,CONCATENATE(REPT(0,2-LEN(C414)),C414),IF(OR(D414="Easy",D414=""),1,IF(D414="Normal",2,IF(D414="Hard",3,IF(D414="Hell",4,"error")))),E414))</f>
        <v>10110</v>
      </c>
      <c r="B414" s="8">
        <v>1</v>
      </c>
      <c r="C414" s="8">
        <v>1</v>
      </c>
      <c r="D414" s="8" t="s">
        <v>259</v>
      </c>
      <c r="E414" s="8">
        <v>0</v>
      </c>
      <c r="F414" s="34">
        <f t="shared" ref="F414:G429" si="143">ROUNDDOWN($P414/4*$O414*10*$N414/$N414*$Q414/400,0)</f>
        <v>1775</v>
      </c>
      <c r="G414" s="34">
        <f t="shared" si="143"/>
        <v>1775</v>
      </c>
      <c r="H414" s="34">
        <f t="shared" ref="H414:I429" si="144">ROUNDDOWN($S414/4*10,0)</f>
        <v>1000</v>
      </c>
      <c r="I414" s="34">
        <f t="shared" si="144"/>
        <v>1000</v>
      </c>
      <c r="J414" s="34">
        <f t="shared" ref="J414:J429" si="145">ROUNDDOWN($P414/4*$O414*10*$N414/$Q414*$N414/400,0)</f>
        <v>2253</v>
      </c>
      <c r="K414" s="133">
        <v>1000</v>
      </c>
      <c r="L414" s="34"/>
      <c r="M414" s="16">
        <f t="shared" si="140"/>
        <v>159.98149893034508</v>
      </c>
      <c r="N414" s="36">
        <v>800</v>
      </c>
      <c r="O414" s="36">
        <v>0.5</v>
      </c>
      <c r="P414" s="99">
        <v>800</v>
      </c>
      <c r="Q414" s="2" t="s">
        <v>104</v>
      </c>
      <c r="S414" s="36">
        <f>ROUNDDOWN(P414*0.5,0)</f>
        <v>400</v>
      </c>
      <c r="T414" s="116" t="s">
        <v>765</v>
      </c>
    </row>
    <row r="415" spans="1:20" x14ac:dyDescent="0.2">
      <c r="A415" s="8" t="str">
        <f t="shared" si="142"/>
        <v>10111</v>
      </c>
      <c r="B415" s="8">
        <v>1</v>
      </c>
      <c r="C415" s="8">
        <v>1</v>
      </c>
      <c r="D415" s="8" t="s">
        <v>259</v>
      </c>
      <c r="E415" s="8">
        <v>1</v>
      </c>
      <c r="F415" s="34">
        <f t="shared" si="143"/>
        <v>3550</v>
      </c>
      <c r="G415" s="34">
        <f t="shared" si="143"/>
        <v>3550</v>
      </c>
      <c r="H415" s="34">
        <f t="shared" si="144"/>
        <v>1000</v>
      </c>
      <c r="I415" s="34">
        <f t="shared" si="144"/>
        <v>1000</v>
      </c>
      <c r="J415" s="34">
        <f t="shared" si="145"/>
        <v>4395</v>
      </c>
      <c r="K415" s="133">
        <v>1000</v>
      </c>
      <c r="L415" s="34"/>
      <c r="M415" s="16">
        <f t="shared" si="140"/>
        <v>315.99746834428913</v>
      </c>
      <c r="N415" s="36">
        <v>790</v>
      </c>
      <c r="O415" s="36">
        <v>1</v>
      </c>
      <c r="P415" s="99">
        <v>800</v>
      </c>
      <c r="Q415" s="2" t="s">
        <v>104</v>
      </c>
      <c r="S415" s="36">
        <f t="shared" ref="S415:S467" si="146">ROUNDDOWN(P415*0.5,0)</f>
        <v>400</v>
      </c>
      <c r="T415" s="116" t="s">
        <v>765</v>
      </c>
    </row>
    <row r="416" spans="1:20" x14ac:dyDescent="0.2">
      <c r="A416" s="8" t="str">
        <f t="shared" si="142"/>
        <v>10112</v>
      </c>
      <c r="B416" s="8">
        <v>1</v>
      </c>
      <c r="C416" s="8">
        <v>1</v>
      </c>
      <c r="D416" s="8" t="s">
        <v>259</v>
      </c>
      <c r="E416" s="8">
        <v>2</v>
      </c>
      <c r="F416" s="34">
        <f t="shared" si="143"/>
        <v>7100</v>
      </c>
      <c r="G416" s="34">
        <f t="shared" si="143"/>
        <v>7100</v>
      </c>
      <c r="H416" s="34">
        <f t="shared" si="144"/>
        <v>1000</v>
      </c>
      <c r="I416" s="34">
        <f t="shared" si="144"/>
        <v>1000</v>
      </c>
      <c r="J416" s="34">
        <f t="shared" si="145"/>
        <v>8569</v>
      </c>
      <c r="K416" s="133">
        <v>1000</v>
      </c>
      <c r="L416" s="34"/>
      <c r="M416" s="16">
        <f t="shared" si="140"/>
        <v>623.99948717927646</v>
      </c>
      <c r="N416" s="36">
        <v>780</v>
      </c>
      <c r="O416" s="36">
        <v>2</v>
      </c>
      <c r="P416" s="99">
        <v>800</v>
      </c>
      <c r="Q416" s="2" t="s">
        <v>104</v>
      </c>
      <c r="S416" s="36">
        <f t="shared" si="146"/>
        <v>400</v>
      </c>
      <c r="T416" s="116" t="s">
        <v>765</v>
      </c>
    </row>
    <row r="417" spans="1:20" x14ac:dyDescent="0.2">
      <c r="A417" s="8" t="str">
        <f t="shared" si="142"/>
        <v>10113</v>
      </c>
      <c r="B417" s="8">
        <v>1</v>
      </c>
      <c r="C417" s="8">
        <v>1</v>
      </c>
      <c r="D417" s="8" t="s">
        <v>259</v>
      </c>
      <c r="E417" s="8">
        <v>3</v>
      </c>
      <c r="F417" s="34">
        <f t="shared" si="143"/>
        <v>10650</v>
      </c>
      <c r="G417" s="34">
        <f t="shared" si="143"/>
        <v>10650</v>
      </c>
      <c r="H417" s="34">
        <f t="shared" si="144"/>
        <v>1000</v>
      </c>
      <c r="I417" s="34">
        <f t="shared" si="144"/>
        <v>1000</v>
      </c>
      <c r="J417" s="34">
        <f t="shared" si="145"/>
        <v>12526</v>
      </c>
      <c r="K417" s="133">
        <v>1000</v>
      </c>
      <c r="L417" s="34"/>
      <c r="M417" s="16">
        <f t="shared" si="140"/>
        <v>923.99792207558573</v>
      </c>
      <c r="N417" s="36">
        <v>770</v>
      </c>
      <c r="O417" s="36">
        <v>3</v>
      </c>
      <c r="P417" s="99">
        <v>800</v>
      </c>
      <c r="Q417" s="2" t="s">
        <v>104</v>
      </c>
      <c r="S417" s="36">
        <f t="shared" si="146"/>
        <v>400</v>
      </c>
      <c r="T417" s="116" t="s">
        <v>765</v>
      </c>
    </row>
    <row r="418" spans="1:20" x14ac:dyDescent="0.2">
      <c r="A418" s="8" t="str">
        <f t="shared" si="142"/>
        <v>10114</v>
      </c>
      <c r="B418" s="8">
        <v>1</v>
      </c>
      <c r="C418" s="8">
        <v>1</v>
      </c>
      <c r="D418" s="8" t="s">
        <v>259</v>
      </c>
      <c r="E418" s="8">
        <v>4</v>
      </c>
      <c r="F418" s="34">
        <f t="shared" si="143"/>
        <v>14200</v>
      </c>
      <c r="G418" s="34">
        <f t="shared" si="143"/>
        <v>14200</v>
      </c>
      <c r="H418" s="34">
        <f t="shared" si="144"/>
        <v>1000</v>
      </c>
      <c r="I418" s="34">
        <f t="shared" si="144"/>
        <v>1000</v>
      </c>
      <c r="J418" s="34">
        <f t="shared" si="145"/>
        <v>16270</v>
      </c>
      <c r="K418" s="133">
        <v>1000</v>
      </c>
      <c r="L418" s="34"/>
      <c r="M418" s="16">
        <f t="shared" si="140"/>
        <v>1215.9842104238032</v>
      </c>
      <c r="N418" s="36">
        <v>760</v>
      </c>
      <c r="O418" s="36">
        <v>4</v>
      </c>
      <c r="P418" s="99">
        <v>800</v>
      </c>
      <c r="Q418" s="2" t="s">
        <v>104</v>
      </c>
      <c r="S418" s="36">
        <f t="shared" si="146"/>
        <v>400</v>
      </c>
      <c r="T418" s="116" t="s">
        <v>765</v>
      </c>
    </row>
    <row r="419" spans="1:20" x14ac:dyDescent="0.2">
      <c r="A419" s="8" t="str">
        <f t="shared" si="142"/>
        <v>10210</v>
      </c>
      <c r="B419" s="8">
        <v>1</v>
      </c>
      <c r="C419" s="8">
        <v>2</v>
      </c>
      <c r="D419" s="8" t="s">
        <v>259</v>
      </c>
      <c r="E419" s="8">
        <v>0</v>
      </c>
      <c r="F419" s="34">
        <f t="shared" si="143"/>
        <v>1921</v>
      </c>
      <c r="G419" s="34">
        <f t="shared" si="143"/>
        <v>1921</v>
      </c>
      <c r="H419" s="34">
        <f t="shared" si="144"/>
        <v>1082</v>
      </c>
      <c r="I419" s="34">
        <f t="shared" si="144"/>
        <v>1082</v>
      </c>
      <c r="J419" s="34">
        <f t="shared" si="145"/>
        <v>2439</v>
      </c>
      <c r="K419" s="133">
        <v>1000</v>
      </c>
      <c r="L419" s="34"/>
      <c r="M419" s="16">
        <f t="shared" si="140"/>
        <v>180.12467074557003</v>
      </c>
      <c r="N419" s="36">
        <v>800</v>
      </c>
      <c r="O419" s="36">
        <v>0.5</v>
      </c>
      <c r="P419" s="99">
        <v>866</v>
      </c>
      <c r="Q419" s="2" t="s">
        <v>104</v>
      </c>
      <c r="S419" s="36">
        <f t="shared" si="146"/>
        <v>433</v>
      </c>
      <c r="T419" s="116" t="s">
        <v>144</v>
      </c>
    </row>
    <row r="420" spans="1:20" x14ac:dyDescent="0.2">
      <c r="A420" s="8" t="str">
        <f t="shared" si="142"/>
        <v>10211</v>
      </c>
      <c r="B420" s="8">
        <v>1</v>
      </c>
      <c r="C420" s="8">
        <v>2</v>
      </c>
      <c r="D420" s="8" t="s">
        <v>259</v>
      </c>
      <c r="E420" s="8">
        <v>1</v>
      </c>
      <c r="F420" s="34">
        <f t="shared" si="143"/>
        <v>3842</v>
      </c>
      <c r="G420" s="34">
        <f t="shared" si="143"/>
        <v>3842</v>
      </c>
      <c r="H420" s="34">
        <f t="shared" si="144"/>
        <v>1082</v>
      </c>
      <c r="I420" s="34">
        <f t="shared" si="144"/>
        <v>1082</v>
      </c>
      <c r="J420" s="34">
        <f t="shared" si="145"/>
        <v>4757</v>
      </c>
      <c r="K420" s="133">
        <v>1000</v>
      </c>
      <c r="L420" s="34"/>
      <c r="M420" s="16">
        <f t="shared" si="140"/>
        <v>355.75324759051745</v>
      </c>
      <c r="N420" s="36">
        <v>790</v>
      </c>
      <c r="O420" s="36">
        <v>1</v>
      </c>
      <c r="P420" s="99">
        <v>866</v>
      </c>
      <c r="Q420" s="2" t="s">
        <v>104</v>
      </c>
      <c r="S420" s="36">
        <f t="shared" si="146"/>
        <v>433</v>
      </c>
      <c r="T420" s="116" t="s">
        <v>144</v>
      </c>
    </row>
    <row r="421" spans="1:20" x14ac:dyDescent="0.2">
      <c r="A421" s="8" t="str">
        <f t="shared" si="142"/>
        <v>10212</v>
      </c>
      <c r="B421" s="8">
        <v>1</v>
      </c>
      <c r="C421" s="8">
        <v>2</v>
      </c>
      <c r="D421" s="8" t="s">
        <v>259</v>
      </c>
      <c r="E421" s="8">
        <v>2</v>
      </c>
      <c r="F421" s="34">
        <f t="shared" si="143"/>
        <v>7685</v>
      </c>
      <c r="G421" s="34">
        <f t="shared" si="143"/>
        <v>7685</v>
      </c>
      <c r="H421" s="34">
        <f t="shared" si="144"/>
        <v>1082</v>
      </c>
      <c r="I421" s="34">
        <f t="shared" si="144"/>
        <v>1082</v>
      </c>
      <c r="J421" s="34">
        <f t="shared" si="145"/>
        <v>9275</v>
      </c>
      <c r="K421" s="133">
        <v>1000</v>
      </c>
      <c r="L421" s="34"/>
      <c r="M421" s="16">
        <f t="shared" ref="M421:M485" si="147">(F421*J421*((H421+I421)/2)/1000)^(1/2)/10*0.8</f>
        <v>702.55853222347241</v>
      </c>
      <c r="N421" s="36">
        <v>780</v>
      </c>
      <c r="O421" s="36">
        <v>2</v>
      </c>
      <c r="P421" s="99">
        <v>866</v>
      </c>
      <c r="Q421" s="2" t="s">
        <v>104</v>
      </c>
      <c r="S421" s="36">
        <f t="shared" si="146"/>
        <v>433</v>
      </c>
      <c r="T421" s="116" t="s">
        <v>144</v>
      </c>
    </row>
    <row r="422" spans="1:20" x14ac:dyDescent="0.2">
      <c r="A422" s="8" t="str">
        <f t="shared" si="142"/>
        <v>10213</v>
      </c>
      <c r="B422" s="8">
        <v>1</v>
      </c>
      <c r="C422" s="8">
        <v>2</v>
      </c>
      <c r="D422" s="8" t="s">
        <v>259</v>
      </c>
      <c r="E422" s="8">
        <v>3</v>
      </c>
      <c r="F422" s="34">
        <f t="shared" si="143"/>
        <v>11528</v>
      </c>
      <c r="G422" s="34">
        <f t="shared" si="143"/>
        <v>11528</v>
      </c>
      <c r="H422" s="34">
        <f t="shared" si="144"/>
        <v>1082</v>
      </c>
      <c r="I422" s="34">
        <f t="shared" si="144"/>
        <v>1082</v>
      </c>
      <c r="J422" s="34">
        <f t="shared" si="145"/>
        <v>13559</v>
      </c>
      <c r="K422" s="133">
        <v>1000</v>
      </c>
      <c r="L422" s="34"/>
      <c r="M422" s="16">
        <f t="shared" si="147"/>
        <v>1040.38583754759</v>
      </c>
      <c r="N422" s="36">
        <v>770</v>
      </c>
      <c r="O422" s="36">
        <v>3</v>
      </c>
      <c r="P422" s="99">
        <v>866</v>
      </c>
      <c r="Q422" s="2" t="s">
        <v>104</v>
      </c>
      <c r="S422" s="36">
        <f t="shared" si="146"/>
        <v>433</v>
      </c>
      <c r="T422" s="116" t="s">
        <v>144</v>
      </c>
    </row>
    <row r="423" spans="1:20" x14ac:dyDescent="0.2">
      <c r="A423" s="8" t="str">
        <f t="shared" si="142"/>
        <v>10214</v>
      </c>
      <c r="B423" s="8">
        <v>1</v>
      </c>
      <c r="C423" s="8">
        <v>2</v>
      </c>
      <c r="D423" s="8" t="s">
        <v>259</v>
      </c>
      <c r="E423" s="8">
        <v>4</v>
      </c>
      <c r="F423" s="34">
        <f t="shared" si="143"/>
        <v>13450</v>
      </c>
      <c r="G423" s="34">
        <f t="shared" si="143"/>
        <v>13450</v>
      </c>
      <c r="H423" s="34">
        <f t="shared" si="144"/>
        <v>1082</v>
      </c>
      <c r="I423" s="34">
        <f t="shared" si="144"/>
        <v>1082</v>
      </c>
      <c r="J423" s="34">
        <f t="shared" si="145"/>
        <v>15411</v>
      </c>
      <c r="K423" s="133">
        <v>1000</v>
      </c>
      <c r="L423" s="34"/>
      <c r="M423" s="16">
        <f t="shared" si="147"/>
        <v>1198.0644173666121</v>
      </c>
      <c r="N423" s="36">
        <v>760</v>
      </c>
      <c r="O423" s="36">
        <v>3.5</v>
      </c>
      <c r="P423" s="99">
        <v>866</v>
      </c>
      <c r="Q423" s="2" t="s">
        <v>104</v>
      </c>
      <c r="S423" s="36">
        <f t="shared" si="146"/>
        <v>433</v>
      </c>
      <c r="T423" s="116" t="s">
        <v>144</v>
      </c>
    </row>
    <row r="424" spans="1:20" x14ac:dyDescent="0.2">
      <c r="A424" s="8" t="str">
        <f t="shared" ref="A424" si="148">IF(B424="","",CONCATENATE(B424,CONCATENATE(REPT(0,2-LEN(C424)),C424),IF(OR(D424="Easy",D424=""),1,IF(D424="Normal",2,IF(D424="Hard",3,IF(D424="Hell",4,"error")))),E424))</f>
        <v>10215</v>
      </c>
      <c r="B424" s="8">
        <v>1</v>
      </c>
      <c r="C424" s="8">
        <v>2</v>
      </c>
      <c r="D424" s="8" t="s">
        <v>259</v>
      </c>
      <c r="E424" s="8">
        <v>5</v>
      </c>
      <c r="F424" s="34">
        <f t="shared" si="143"/>
        <v>1921</v>
      </c>
      <c r="G424" s="34">
        <f t="shared" si="143"/>
        <v>1921</v>
      </c>
      <c r="H424" s="34">
        <f t="shared" si="144"/>
        <v>1082</v>
      </c>
      <c r="I424" s="34">
        <f t="shared" si="144"/>
        <v>1082</v>
      </c>
      <c r="J424" s="34">
        <f t="shared" si="145"/>
        <v>2201</v>
      </c>
      <c r="K424" s="133">
        <v>1000</v>
      </c>
      <c r="L424" s="34"/>
      <c r="M424" s="16">
        <f t="shared" si="147"/>
        <v>171.11076033026094</v>
      </c>
      <c r="N424" s="36">
        <v>760</v>
      </c>
      <c r="O424" s="36">
        <v>0.5</v>
      </c>
      <c r="P424" s="99">
        <v>866</v>
      </c>
      <c r="Q424" s="2" t="s">
        <v>104</v>
      </c>
      <c r="S424" s="36">
        <f t="shared" si="146"/>
        <v>433</v>
      </c>
      <c r="T424" s="116" t="s">
        <v>439</v>
      </c>
    </row>
    <row r="425" spans="1:20" x14ac:dyDescent="0.2">
      <c r="A425" s="8" t="str">
        <f t="shared" si="142"/>
        <v>10310</v>
      </c>
      <c r="B425" s="8">
        <v>1</v>
      </c>
      <c r="C425" s="8">
        <v>3</v>
      </c>
      <c r="D425" s="8" t="s">
        <v>259</v>
      </c>
      <c r="E425" s="8">
        <v>0</v>
      </c>
      <c r="F425" s="34">
        <f t="shared" si="143"/>
        <v>2074</v>
      </c>
      <c r="G425" s="34">
        <f t="shared" si="143"/>
        <v>2074</v>
      </c>
      <c r="H425" s="34">
        <f t="shared" si="144"/>
        <v>1167</v>
      </c>
      <c r="I425" s="34">
        <f t="shared" si="144"/>
        <v>1167</v>
      </c>
      <c r="J425" s="34">
        <f t="shared" si="145"/>
        <v>2633</v>
      </c>
      <c r="K425" s="133">
        <v>1000</v>
      </c>
      <c r="L425" s="34"/>
      <c r="M425" s="16">
        <f t="shared" si="147"/>
        <v>201.95528398534168</v>
      </c>
      <c r="N425" s="36">
        <v>800</v>
      </c>
      <c r="O425" s="36">
        <v>0.5</v>
      </c>
      <c r="P425" s="99">
        <v>935</v>
      </c>
      <c r="Q425" s="2" t="s">
        <v>104</v>
      </c>
      <c r="R425" s="2" t="s">
        <v>727</v>
      </c>
      <c r="S425" s="36">
        <f t="shared" si="146"/>
        <v>467</v>
      </c>
      <c r="T425" s="116" t="s">
        <v>439</v>
      </c>
    </row>
    <row r="426" spans="1:20" x14ac:dyDescent="0.2">
      <c r="A426" s="8" t="str">
        <f t="shared" si="142"/>
        <v>10311</v>
      </c>
      <c r="B426" s="8">
        <v>1</v>
      </c>
      <c r="C426" s="8">
        <v>3</v>
      </c>
      <c r="D426" s="8" t="s">
        <v>259</v>
      </c>
      <c r="E426" s="8">
        <v>1</v>
      </c>
      <c r="F426" s="34">
        <f t="shared" si="143"/>
        <v>4149</v>
      </c>
      <c r="G426" s="34">
        <f t="shared" si="143"/>
        <v>4149</v>
      </c>
      <c r="H426" s="34">
        <f t="shared" si="144"/>
        <v>1167</v>
      </c>
      <c r="I426" s="34">
        <f t="shared" si="144"/>
        <v>1167</v>
      </c>
      <c r="J426" s="34">
        <f t="shared" si="145"/>
        <v>5136</v>
      </c>
      <c r="K426" s="133">
        <v>1000</v>
      </c>
      <c r="L426" s="34"/>
      <c r="M426" s="16">
        <f t="shared" si="147"/>
        <v>398.94188920593433</v>
      </c>
      <c r="N426" s="36">
        <v>790</v>
      </c>
      <c r="O426" s="36">
        <v>1</v>
      </c>
      <c r="P426" s="99">
        <v>935</v>
      </c>
      <c r="Q426" s="2" t="s">
        <v>104</v>
      </c>
      <c r="S426" s="36">
        <f t="shared" si="146"/>
        <v>467</v>
      </c>
      <c r="T426" s="116" t="s">
        <v>439</v>
      </c>
    </row>
    <row r="427" spans="1:20" x14ac:dyDescent="0.2">
      <c r="A427" s="8" t="str">
        <f t="shared" si="142"/>
        <v>10312</v>
      </c>
      <c r="B427" s="8">
        <v>1</v>
      </c>
      <c r="C427" s="8">
        <v>3</v>
      </c>
      <c r="D427" s="8" t="s">
        <v>259</v>
      </c>
      <c r="E427" s="8">
        <v>2</v>
      </c>
      <c r="F427" s="34">
        <f t="shared" si="143"/>
        <v>8298</v>
      </c>
      <c r="G427" s="34">
        <f t="shared" si="143"/>
        <v>8298</v>
      </c>
      <c r="H427" s="34">
        <f t="shared" si="144"/>
        <v>1167</v>
      </c>
      <c r="I427" s="34">
        <f t="shared" si="144"/>
        <v>1167</v>
      </c>
      <c r="J427" s="34">
        <f t="shared" si="145"/>
        <v>10015</v>
      </c>
      <c r="K427" s="133">
        <v>1000</v>
      </c>
      <c r="L427" s="34"/>
      <c r="M427" s="16">
        <f t="shared" si="147"/>
        <v>787.83923838306009</v>
      </c>
      <c r="N427" s="36">
        <v>780</v>
      </c>
      <c r="O427" s="36">
        <v>2</v>
      </c>
      <c r="P427" s="99">
        <v>935</v>
      </c>
      <c r="Q427" s="2" t="s">
        <v>104</v>
      </c>
      <c r="S427" s="36">
        <f t="shared" si="146"/>
        <v>467</v>
      </c>
      <c r="T427" s="116" t="s">
        <v>439</v>
      </c>
    </row>
    <row r="428" spans="1:20" x14ac:dyDescent="0.2">
      <c r="A428" s="8" t="str">
        <f t="shared" si="142"/>
        <v>10313</v>
      </c>
      <c r="B428" s="8">
        <v>1</v>
      </c>
      <c r="C428" s="8">
        <v>3</v>
      </c>
      <c r="D428" s="8" t="s">
        <v>259</v>
      </c>
      <c r="E428" s="8">
        <v>3</v>
      </c>
      <c r="F428" s="34">
        <f t="shared" si="143"/>
        <v>12447</v>
      </c>
      <c r="G428" s="34">
        <f t="shared" si="143"/>
        <v>12447</v>
      </c>
      <c r="H428" s="34">
        <f t="shared" si="144"/>
        <v>1167</v>
      </c>
      <c r="I428" s="34">
        <f t="shared" si="144"/>
        <v>1167</v>
      </c>
      <c r="J428" s="34">
        <f t="shared" si="145"/>
        <v>14639</v>
      </c>
      <c r="K428" s="133">
        <v>1000</v>
      </c>
      <c r="L428" s="34"/>
      <c r="M428" s="16">
        <f t="shared" si="147"/>
        <v>1166.5771489920417</v>
      </c>
      <c r="N428" s="36">
        <v>770</v>
      </c>
      <c r="O428" s="36">
        <v>3</v>
      </c>
      <c r="P428" s="99">
        <v>935</v>
      </c>
      <c r="Q428" s="2" t="s">
        <v>104</v>
      </c>
      <c r="S428" s="36">
        <f t="shared" si="146"/>
        <v>467</v>
      </c>
      <c r="T428" s="116" t="s">
        <v>439</v>
      </c>
    </row>
    <row r="429" spans="1:20" x14ac:dyDescent="0.2">
      <c r="A429" s="8" t="str">
        <f t="shared" si="142"/>
        <v>10314</v>
      </c>
      <c r="B429" s="8">
        <v>1</v>
      </c>
      <c r="C429" s="8">
        <v>3</v>
      </c>
      <c r="D429" s="8" t="s">
        <v>259</v>
      </c>
      <c r="E429" s="8">
        <v>4</v>
      </c>
      <c r="F429" s="34">
        <f t="shared" si="143"/>
        <v>14521</v>
      </c>
      <c r="G429" s="34">
        <f t="shared" si="143"/>
        <v>14521</v>
      </c>
      <c r="H429" s="34">
        <f t="shared" si="144"/>
        <v>1167</v>
      </c>
      <c r="I429" s="34">
        <f t="shared" si="144"/>
        <v>1167</v>
      </c>
      <c r="J429" s="34">
        <f t="shared" si="145"/>
        <v>16639</v>
      </c>
      <c r="K429" s="133">
        <v>1000</v>
      </c>
      <c r="L429" s="34"/>
      <c r="M429" s="16">
        <f t="shared" si="147"/>
        <v>1343.3441506282743</v>
      </c>
      <c r="N429" s="36">
        <v>760</v>
      </c>
      <c r="O429" s="36">
        <v>3.5</v>
      </c>
      <c r="P429" s="99">
        <v>935</v>
      </c>
      <c r="Q429" s="2" t="s">
        <v>104</v>
      </c>
      <c r="S429" s="36">
        <f t="shared" si="146"/>
        <v>467</v>
      </c>
      <c r="T429" s="116" t="s">
        <v>439</v>
      </c>
    </row>
    <row r="430" spans="1:20" ht="38.25" x14ac:dyDescent="0.2">
      <c r="A430" s="8" t="str">
        <f t="shared" si="142"/>
        <v/>
      </c>
      <c r="B430" s="5"/>
      <c r="C430" s="6" t="s">
        <v>56</v>
      </c>
      <c r="D430" s="5"/>
      <c r="E430" s="5"/>
      <c r="F430" s="5"/>
      <c r="G430" s="5"/>
      <c r="H430" s="5"/>
      <c r="I430" s="5"/>
      <c r="J430" s="5"/>
      <c r="K430" s="133">
        <v>1000</v>
      </c>
      <c r="L430" s="5"/>
      <c r="M430" s="16">
        <f t="shared" si="147"/>
        <v>0</v>
      </c>
      <c r="N430" s="5"/>
      <c r="O430" s="5"/>
      <c r="P430" s="100">
        <v>0</v>
      </c>
      <c r="Q430" s="5"/>
      <c r="R430" s="5"/>
      <c r="S430" s="30"/>
      <c r="T430" s="266"/>
    </row>
    <row r="431" spans="1:20" x14ac:dyDescent="0.2">
      <c r="A431" s="8" t="str">
        <f t="shared" si="142"/>
        <v>10120</v>
      </c>
      <c r="B431" s="8">
        <v>1</v>
      </c>
      <c r="C431" s="8">
        <v>1</v>
      </c>
      <c r="D431" s="8" t="s">
        <v>262</v>
      </c>
      <c r="E431" s="8">
        <v>0</v>
      </c>
      <c r="F431" s="34">
        <f t="shared" ref="F431:G445" si="149">ROUNDDOWN($P431/4*$O431*10*$N431/$N431*$Q431/400,0)</f>
        <v>2232</v>
      </c>
      <c r="G431" s="34">
        <f t="shared" si="149"/>
        <v>2232</v>
      </c>
      <c r="H431" s="34">
        <f t="shared" ref="H431:I445" si="150">ROUNDDOWN($S431/4*10,0)</f>
        <v>1257</v>
      </c>
      <c r="I431" s="34">
        <f t="shared" si="150"/>
        <v>1257</v>
      </c>
      <c r="J431" s="34">
        <f t="shared" ref="J431:J445" si="151">ROUNDDOWN($P431/4*$O431*10*$N431/$Q431*$N431/400,0)</f>
        <v>2833</v>
      </c>
      <c r="K431" s="133">
        <v>1000</v>
      </c>
      <c r="L431" s="34"/>
      <c r="M431" s="16">
        <f t="shared" si="147"/>
        <v>225.54230172807939</v>
      </c>
      <c r="N431" s="36">
        <v>800</v>
      </c>
      <c r="O431" s="36">
        <v>0.5</v>
      </c>
      <c r="P431" s="99">
        <v>1006</v>
      </c>
      <c r="Q431" s="2" t="s">
        <v>764</v>
      </c>
      <c r="S431" s="36">
        <f t="shared" si="146"/>
        <v>503</v>
      </c>
    </row>
    <row r="432" spans="1:20" x14ac:dyDescent="0.2">
      <c r="A432" s="8">
        <v>10121</v>
      </c>
      <c r="B432" s="8">
        <v>1</v>
      </c>
      <c r="C432" s="8">
        <v>1</v>
      </c>
      <c r="D432" s="8" t="s">
        <v>262</v>
      </c>
      <c r="E432" s="8">
        <v>1</v>
      </c>
      <c r="F432" s="34">
        <f t="shared" si="149"/>
        <v>4464</v>
      </c>
      <c r="G432" s="34">
        <f t="shared" si="149"/>
        <v>4464</v>
      </c>
      <c r="H432" s="34">
        <f t="shared" si="150"/>
        <v>1257</v>
      </c>
      <c r="I432" s="34">
        <f t="shared" si="150"/>
        <v>1257</v>
      </c>
      <c r="J432" s="34">
        <f t="shared" si="151"/>
        <v>5526</v>
      </c>
      <c r="K432" s="133">
        <v>1000</v>
      </c>
      <c r="L432" s="34"/>
      <c r="M432" s="16">
        <f t="shared" si="147"/>
        <v>445.47686950861993</v>
      </c>
      <c r="N432" s="36">
        <v>790</v>
      </c>
      <c r="O432" s="36">
        <v>1</v>
      </c>
      <c r="P432" s="99">
        <v>1006</v>
      </c>
      <c r="Q432" s="2" t="s">
        <v>764</v>
      </c>
      <c r="S432" s="36">
        <f t="shared" si="146"/>
        <v>503</v>
      </c>
    </row>
    <row r="433" spans="1:20" x14ac:dyDescent="0.2">
      <c r="A433" s="8">
        <v>10122</v>
      </c>
      <c r="B433" s="8">
        <v>1</v>
      </c>
      <c r="C433" s="8">
        <v>1</v>
      </c>
      <c r="D433" s="8" t="s">
        <v>262</v>
      </c>
      <c r="E433" s="8">
        <v>2</v>
      </c>
      <c r="F433" s="34">
        <f t="shared" si="149"/>
        <v>8928</v>
      </c>
      <c r="G433" s="34">
        <f t="shared" si="149"/>
        <v>8928</v>
      </c>
      <c r="H433" s="34">
        <f t="shared" si="150"/>
        <v>1257</v>
      </c>
      <c r="I433" s="34">
        <f t="shared" si="150"/>
        <v>1257</v>
      </c>
      <c r="J433" s="34">
        <f t="shared" si="151"/>
        <v>10775</v>
      </c>
      <c r="K433" s="133">
        <v>1000</v>
      </c>
      <c r="L433" s="34"/>
      <c r="M433" s="16">
        <f t="shared" si="147"/>
        <v>879.71775255476132</v>
      </c>
      <c r="N433" s="36">
        <v>780</v>
      </c>
      <c r="O433" s="36">
        <v>2</v>
      </c>
      <c r="P433" s="99">
        <v>1006</v>
      </c>
      <c r="Q433" s="2" t="s">
        <v>764</v>
      </c>
      <c r="S433" s="36">
        <f t="shared" si="146"/>
        <v>503</v>
      </c>
    </row>
    <row r="434" spans="1:20" x14ac:dyDescent="0.2">
      <c r="A434" s="8">
        <v>10123</v>
      </c>
      <c r="B434" s="8">
        <v>1</v>
      </c>
      <c r="C434" s="8">
        <v>1</v>
      </c>
      <c r="D434" s="8" t="s">
        <v>262</v>
      </c>
      <c r="E434" s="8">
        <v>3</v>
      </c>
      <c r="F434" s="34">
        <f t="shared" si="149"/>
        <v>13392</v>
      </c>
      <c r="G434" s="34">
        <f t="shared" si="149"/>
        <v>13392</v>
      </c>
      <c r="H434" s="34">
        <f t="shared" si="150"/>
        <v>1257</v>
      </c>
      <c r="I434" s="34">
        <f t="shared" si="150"/>
        <v>1257</v>
      </c>
      <c r="J434" s="34">
        <f t="shared" si="151"/>
        <v>15751</v>
      </c>
      <c r="K434" s="133">
        <v>1000</v>
      </c>
      <c r="L434" s="34"/>
      <c r="M434" s="16">
        <f t="shared" si="147"/>
        <v>1302.6700008680634</v>
      </c>
      <c r="N434" s="36">
        <v>770</v>
      </c>
      <c r="O434" s="36">
        <v>3</v>
      </c>
      <c r="P434" s="99">
        <v>1006</v>
      </c>
      <c r="Q434" s="2" t="s">
        <v>764</v>
      </c>
      <c r="S434" s="36">
        <f t="shared" si="146"/>
        <v>503</v>
      </c>
    </row>
    <row r="435" spans="1:20" x14ac:dyDescent="0.2">
      <c r="A435" s="8">
        <v>10124</v>
      </c>
      <c r="B435" s="8">
        <v>1</v>
      </c>
      <c r="C435" s="8">
        <v>1</v>
      </c>
      <c r="D435" s="8" t="s">
        <v>262</v>
      </c>
      <c r="E435" s="8">
        <v>4</v>
      </c>
      <c r="F435" s="34">
        <f t="shared" si="149"/>
        <v>17856</v>
      </c>
      <c r="G435" s="34">
        <f t="shared" si="149"/>
        <v>17856</v>
      </c>
      <c r="H435" s="34">
        <f t="shared" si="150"/>
        <v>1257</v>
      </c>
      <c r="I435" s="34">
        <f t="shared" si="150"/>
        <v>1257</v>
      </c>
      <c r="J435" s="34">
        <f t="shared" si="151"/>
        <v>20460</v>
      </c>
      <c r="K435" s="133">
        <v>1000</v>
      </c>
      <c r="L435" s="34"/>
      <c r="M435" s="16">
        <f t="shared" si="147"/>
        <v>1714.361989909949</v>
      </c>
      <c r="N435" s="36">
        <v>760</v>
      </c>
      <c r="O435" s="36">
        <v>4</v>
      </c>
      <c r="P435" s="99">
        <v>1006</v>
      </c>
      <c r="Q435" s="2" t="s">
        <v>764</v>
      </c>
      <c r="S435" s="36">
        <f t="shared" si="146"/>
        <v>503</v>
      </c>
    </row>
    <row r="436" spans="1:20" x14ac:dyDescent="0.2">
      <c r="A436" s="8">
        <v>10220</v>
      </c>
      <c r="B436" s="8">
        <v>1</v>
      </c>
      <c r="C436" s="8">
        <v>2</v>
      </c>
      <c r="D436" s="8" t="s">
        <v>262</v>
      </c>
      <c r="E436" s="8">
        <v>0</v>
      </c>
      <c r="F436" s="34">
        <f t="shared" si="149"/>
        <v>2396</v>
      </c>
      <c r="G436" s="34">
        <f t="shared" si="149"/>
        <v>2396</v>
      </c>
      <c r="H436" s="34">
        <f t="shared" si="150"/>
        <v>1350</v>
      </c>
      <c r="I436" s="34">
        <f t="shared" si="150"/>
        <v>1350</v>
      </c>
      <c r="J436" s="34">
        <f t="shared" si="151"/>
        <v>3042</v>
      </c>
      <c r="K436" s="133">
        <v>1000</v>
      </c>
      <c r="L436" s="34"/>
      <c r="M436" s="16">
        <f t="shared" si="147"/>
        <v>250.94577199068328</v>
      </c>
      <c r="N436" s="36">
        <v>800</v>
      </c>
      <c r="O436" s="36">
        <v>0.5</v>
      </c>
      <c r="P436" s="99">
        <v>1080</v>
      </c>
      <c r="Q436" s="2" t="s">
        <v>764</v>
      </c>
      <c r="S436" s="36">
        <f t="shared" si="146"/>
        <v>540</v>
      </c>
    </row>
    <row r="437" spans="1:20" x14ac:dyDescent="0.2">
      <c r="A437" s="8">
        <v>10221</v>
      </c>
      <c r="B437" s="8">
        <v>1</v>
      </c>
      <c r="C437" s="8">
        <v>2</v>
      </c>
      <c r="D437" s="8" t="s">
        <v>262</v>
      </c>
      <c r="E437" s="8">
        <v>1</v>
      </c>
      <c r="F437" s="34">
        <f t="shared" si="149"/>
        <v>4792</v>
      </c>
      <c r="G437" s="34">
        <f t="shared" si="149"/>
        <v>4792</v>
      </c>
      <c r="H437" s="34">
        <f t="shared" si="150"/>
        <v>1350</v>
      </c>
      <c r="I437" s="34">
        <f t="shared" si="150"/>
        <v>1350</v>
      </c>
      <c r="J437" s="34">
        <f t="shared" si="151"/>
        <v>5933</v>
      </c>
      <c r="K437" s="133">
        <v>1000</v>
      </c>
      <c r="L437" s="34"/>
      <c r="M437" s="16">
        <f t="shared" si="147"/>
        <v>495.62413887945371</v>
      </c>
      <c r="N437" s="36">
        <v>790</v>
      </c>
      <c r="O437" s="36">
        <v>1</v>
      </c>
      <c r="P437" s="99">
        <v>1080</v>
      </c>
      <c r="Q437" s="2" t="s">
        <v>764</v>
      </c>
      <c r="S437" s="36">
        <f t="shared" si="146"/>
        <v>540</v>
      </c>
    </row>
    <row r="438" spans="1:20" x14ac:dyDescent="0.2">
      <c r="A438" s="8">
        <v>10222</v>
      </c>
      <c r="B438" s="8">
        <v>1</v>
      </c>
      <c r="C438" s="8">
        <v>2</v>
      </c>
      <c r="D438" s="8" t="s">
        <v>262</v>
      </c>
      <c r="E438" s="8">
        <v>2</v>
      </c>
      <c r="F438" s="34">
        <f t="shared" si="149"/>
        <v>9585</v>
      </c>
      <c r="G438" s="34">
        <f t="shared" si="149"/>
        <v>9585</v>
      </c>
      <c r="H438" s="34">
        <f t="shared" si="150"/>
        <v>1350</v>
      </c>
      <c r="I438" s="34">
        <f t="shared" si="150"/>
        <v>1350</v>
      </c>
      <c r="J438" s="34">
        <f t="shared" si="151"/>
        <v>11568</v>
      </c>
      <c r="K438" s="133">
        <v>1000</v>
      </c>
      <c r="L438" s="34"/>
      <c r="M438" s="16">
        <f t="shared" si="147"/>
        <v>978.77320110432129</v>
      </c>
      <c r="N438" s="36">
        <v>780</v>
      </c>
      <c r="O438" s="36">
        <v>2</v>
      </c>
      <c r="P438" s="99">
        <v>1080</v>
      </c>
      <c r="Q438" s="2" t="s">
        <v>764</v>
      </c>
      <c r="S438" s="36">
        <f t="shared" si="146"/>
        <v>540</v>
      </c>
    </row>
    <row r="439" spans="1:20" x14ac:dyDescent="0.2">
      <c r="A439" s="8">
        <v>10223</v>
      </c>
      <c r="B439" s="8">
        <v>1</v>
      </c>
      <c r="C439" s="8">
        <v>2</v>
      </c>
      <c r="D439" s="8" t="s">
        <v>262</v>
      </c>
      <c r="E439" s="8">
        <v>3</v>
      </c>
      <c r="F439" s="34">
        <f t="shared" si="149"/>
        <v>14377</v>
      </c>
      <c r="G439" s="34">
        <f t="shared" si="149"/>
        <v>14377</v>
      </c>
      <c r="H439" s="34">
        <f t="shared" si="150"/>
        <v>1350</v>
      </c>
      <c r="I439" s="34">
        <f t="shared" si="150"/>
        <v>1350</v>
      </c>
      <c r="J439" s="34">
        <f t="shared" si="151"/>
        <v>16910</v>
      </c>
      <c r="K439" s="133">
        <v>1000</v>
      </c>
      <c r="L439" s="34"/>
      <c r="M439" s="16">
        <f t="shared" si="147"/>
        <v>1449.3150812711501</v>
      </c>
      <c r="N439" s="36">
        <v>770</v>
      </c>
      <c r="O439" s="36">
        <v>3</v>
      </c>
      <c r="P439" s="99">
        <v>1080</v>
      </c>
      <c r="Q439" s="2" t="s">
        <v>764</v>
      </c>
      <c r="S439" s="36">
        <f t="shared" si="146"/>
        <v>540</v>
      </c>
    </row>
    <row r="440" spans="1:20" x14ac:dyDescent="0.2">
      <c r="A440" s="8">
        <v>10224</v>
      </c>
      <c r="B440" s="8">
        <v>1</v>
      </c>
      <c r="C440" s="8">
        <v>2</v>
      </c>
      <c r="D440" s="8" t="s">
        <v>262</v>
      </c>
      <c r="E440" s="8">
        <v>4</v>
      </c>
      <c r="F440" s="34">
        <f t="shared" si="149"/>
        <v>19170</v>
      </c>
      <c r="G440" s="34">
        <f t="shared" si="149"/>
        <v>19170</v>
      </c>
      <c r="H440" s="34">
        <f t="shared" si="150"/>
        <v>1350</v>
      </c>
      <c r="I440" s="34">
        <f t="shared" si="150"/>
        <v>1350</v>
      </c>
      <c r="J440" s="34">
        <f t="shared" si="151"/>
        <v>21965</v>
      </c>
      <c r="K440" s="133">
        <v>1000</v>
      </c>
      <c r="L440" s="34"/>
      <c r="M440" s="16">
        <f t="shared" si="147"/>
        <v>1907.3637807193468</v>
      </c>
      <c r="N440" s="36">
        <v>760</v>
      </c>
      <c r="O440" s="36">
        <v>4</v>
      </c>
      <c r="P440" s="99">
        <v>1080</v>
      </c>
      <c r="Q440" s="2" t="s">
        <v>764</v>
      </c>
      <c r="S440" s="36">
        <f t="shared" si="146"/>
        <v>540</v>
      </c>
    </row>
    <row r="441" spans="1:20" x14ac:dyDescent="0.2">
      <c r="A441" s="8">
        <v>10320</v>
      </c>
      <c r="B441" s="8">
        <v>1</v>
      </c>
      <c r="C441" s="8">
        <v>3</v>
      </c>
      <c r="D441" s="8" t="s">
        <v>262</v>
      </c>
      <c r="E441" s="8">
        <v>0</v>
      </c>
      <c r="F441" s="34">
        <f t="shared" si="149"/>
        <v>2564</v>
      </c>
      <c r="G441" s="34">
        <f t="shared" si="149"/>
        <v>2564</v>
      </c>
      <c r="H441" s="34">
        <f t="shared" si="150"/>
        <v>1445</v>
      </c>
      <c r="I441" s="34">
        <f t="shared" si="150"/>
        <v>1445</v>
      </c>
      <c r="J441" s="34">
        <f t="shared" si="151"/>
        <v>3256</v>
      </c>
      <c r="K441" s="133">
        <v>1000</v>
      </c>
      <c r="L441" s="34"/>
      <c r="M441" s="16">
        <f t="shared" si="147"/>
        <v>277.85941630975907</v>
      </c>
      <c r="N441" s="36">
        <v>800</v>
      </c>
      <c r="O441" s="36">
        <v>0.5</v>
      </c>
      <c r="P441" s="99">
        <v>1156</v>
      </c>
      <c r="Q441" s="2" t="s">
        <v>764</v>
      </c>
      <c r="S441" s="36">
        <f t="shared" si="146"/>
        <v>578</v>
      </c>
    </row>
    <row r="442" spans="1:20" x14ac:dyDescent="0.2">
      <c r="A442" s="8">
        <v>10321</v>
      </c>
      <c r="B442" s="8">
        <v>1</v>
      </c>
      <c r="C442" s="8">
        <v>3</v>
      </c>
      <c r="D442" s="8" t="s">
        <v>262</v>
      </c>
      <c r="E442" s="8">
        <v>1</v>
      </c>
      <c r="F442" s="34">
        <f t="shared" si="149"/>
        <v>5129</v>
      </c>
      <c r="G442" s="34">
        <f t="shared" si="149"/>
        <v>5129</v>
      </c>
      <c r="H442" s="34">
        <f t="shared" si="150"/>
        <v>1445</v>
      </c>
      <c r="I442" s="34">
        <f t="shared" si="150"/>
        <v>1445</v>
      </c>
      <c r="J442" s="34">
        <f t="shared" si="151"/>
        <v>6350</v>
      </c>
      <c r="K442" s="133">
        <v>1000</v>
      </c>
      <c r="L442" s="34"/>
      <c r="M442" s="16">
        <f t="shared" si="147"/>
        <v>548.81645310613646</v>
      </c>
      <c r="N442" s="36">
        <v>790</v>
      </c>
      <c r="O442" s="36">
        <v>1</v>
      </c>
      <c r="P442" s="99">
        <v>1156</v>
      </c>
      <c r="Q442" s="2" t="s">
        <v>764</v>
      </c>
      <c r="S442" s="36">
        <f t="shared" si="146"/>
        <v>578</v>
      </c>
    </row>
    <row r="443" spans="1:20" x14ac:dyDescent="0.2">
      <c r="A443" s="8">
        <v>10322</v>
      </c>
      <c r="B443" s="8">
        <v>1</v>
      </c>
      <c r="C443" s="8">
        <v>3</v>
      </c>
      <c r="D443" s="8" t="s">
        <v>262</v>
      </c>
      <c r="E443" s="8">
        <v>2</v>
      </c>
      <c r="F443" s="34">
        <f t="shared" si="149"/>
        <v>10259</v>
      </c>
      <c r="G443" s="34">
        <f t="shared" si="149"/>
        <v>10259</v>
      </c>
      <c r="H443" s="34">
        <f t="shared" si="150"/>
        <v>1445</v>
      </c>
      <c r="I443" s="34">
        <f t="shared" si="150"/>
        <v>1445</v>
      </c>
      <c r="J443" s="34">
        <f t="shared" si="151"/>
        <v>12382</v>
      </c>
      <c r="K443" s="133">
        <v>1000</v>
      </c>
      <c r="L443" s="34"/>
      <c r="M443" s="16">
        <f t="shared" si="147"/>
        <v>1083.8565968909356</v>
      </c>
      <c r="N443" s="36">
        <v>780</v>
      </c>
      <c r="O443" s="36">
        <v>2</v>
      </c>
      <c r="P443" s="99">
        <v>1156</v>
      </c>
      <c r="Q443" s="2" t="s">
        <v>764</v>
      </c>
      <c r="S443" s="36">
        <f t="shared" si="146"/>
        <v>578</v>
      </c>
    </row>
    <row r="444" spans="1:20" x14ac:dyDescent="0.2">
      <c r="A444" s="8">
        <v>10323</v>
      </c>
      <c r="B444" s="8">
        <v>1</v>
      </c>
      <c r="C444" s="8">
        <v>3</v>
      </c>
      <c r="D444" s="8" t="s">
        <v>262</v>
      </c>
      <c r="E444" s="8">
        <v>3</v>
      </c>
      <c r="F444" s="34">
        <f t="shared" si="149"/>
        <v>15389</v>
      </c>
      <c r="G444" s="34">
        <f t="shared" si="149"/>
        <v>15389</v>
      </c>
      <c r="H444" s="34">
        <f t="shared" si="150"/>
        <v>1445</v>
      </c>
      <c r="I444" s="34">
        <f t="shared" si="150"/>
        <v>1445</v>
      </c>
      <c r="J444" s="34">
        <f t="shared" si="151"/>
        <v>18100</v>
      </c>
      <c r="K444" s="133">
        <v>1000</v>
      </c>
      <c r="L444" s="34"/>
      <c r="M444" s="16">
        <f t="shared" si="147"/>
        <v>1604.975464983811</v>
      </c>
      <c r="N444" s="36">
        <v>770</v>
      </c>
      <c r="O444" s="36">
        <v>3</v>
      </c>
      <c r="P444" s="99">
        <v>1156</v>
      </c>
      <c r="Q444" s="2" t="s">
        <v>764</v>
      </c>
      <c r="S444" s="36">
        <f t="shared" si="146"/>
        <v>578</v>
      </c>
    </row>
    <row r="445" spans="1:20" x14ac:dyDescent="0.2">
      <c r="A445" s="8">
        <v>10324</v>
      </c>
      <c r="B445" s="8">
        <v>1</v>
      </c>
      <c r="C445" s="8">
        <v>3</v>
      </c>
      <c r="D445" s="8" t="s">
        <v>262</v>
      </c>
      <c r="E445" s="8">
        <v>4</v>
      </c>
      <c r="F445" s="34">
        <f t="shared" si="149"/>
        <v>20519</v>
      </c>
      <c r="G445" s="34">
        <f t="shared" si="149"/>
        <v>20519</v>
      </c>
      <c r="H445" s="34">
        <f t="shared" si="150"/>
        <v>1445</v>
      </c>
      <c r="I445" s="34">
        <f t="shared" si="150"/>
        <v>1445</v>
      </c>
      <c r="J445" s="34">
        <f t="shared" si="151"/>
        <v>23510</v>
      </c>
      <c r="K445" s="133">
        <v>1000</v>
      </c>
      <c r="L445" s="34"/>
      <c r="M445" s="16">
        <f t="shared" si="147"/>
        <v>2112.1673298107798</v>
      </c>
      <c r="N445" s="36">
        <v>760</v>
      </c>
      <c r="O445" s="36">
        <v>4</v>
      </c>
      <c r="P445" s="99">
        <v>1156</v>
      </c>
      <c r="Q445" s="2" t="s">
        <v>764</v>
      </c>
      <c r="S445" s="36">
        <f t="shared" si="146"/>
        <v>578</v>
      </c>
    </row>
    <row r="446" spans="1:20" ht="38.25" x14ac:dyDescent="0.2">
      <c r="A446" s="8" t="str">
        <f t="shared" si="142"/>
        <v/>
      </c>
      <c r="B446" s="5"/>
      <c r="C446" s="6" t="s">
        <v>57</v>
      </c>
      <c r="D446" s="5"/>
      <c r="E446" s="5"/>
      <c r="F446" s="5"/>
      <c r="G446" s="5"/>
      <c r="H446" s="5"/>
      <c r="I446" s="5"/>
      <c r="J446" s="5"/>
      <c r="K446" s="133">
        <v>1000</v>
      </c>
      <c r="L446" s="5"/>
      <c r="M446" s="16">
        <f t="shared" si="147"/>
        <v>0</v>
      </c>
      <c r="N446" s="5"/>
      <c r="O446" s="5"/>
      <c r="P446" s="100">
        <v>0</v>
      </c>
      <c r="Q446" s="5"/>
      <c r="R446" s="5"/>
      <c r="S446" s="30"/>
      <c r="T446" s="266"/>
    </row>
    <row r="447" spans="1:20" x14ac:dyDescent="0.2">
      <c r="A447" s="8" t="str">
        <f t="shared" si="142"/>
        <v>10130</v>
      </c>
      <c r="B447" s="8">
        <v>1</v>
      </c>
      <c r="C447" s="8">
        <v>1</v>
      </c>
      <c r="D447" s="8" t="s">
        <v>264</v>
      </c>
      <c r="E447" s="8">
        <v>0</v>
      </c>
      <c r="F447" s="34">
        <f t="shared" ref="F447:G461" si="152">ROUNDDOWN($P447/4*$O447*10*$N447/$N447*$Q447/400,0)</f>
        <v>2740</v>
      </c>
      <c r="G447" s="34">
        <f t="shared" si="152"/>
        <v>2740</v>
      </c>
      <c r="H447" s="34">
        <f t="shared" ref="H447:I461" si="153">ROUNDDOWN($S447/4*10,0)</f>
        <v>1542</v>
      </c>
      <c r="I447" s="34">
        <f t="shared" si="153"/>
        <v>1542</v>
      </c>
      <c r="J447" s="34">
        <f t="shared" ref="J447:J461" si="154">ROUNDDOWN($P447/4*$O447*10*$N447/$Q447*$N447/400,0)</f>
        <v>3478</v>
      </c>
      <c r="K447" s="133">
        <v>1000</v>
      </c>
      <c r="L447" s="34"/>
      <c r="M447" s="16">
        <f t="shared" si="147"/>
        <v>306.6706714637055</v>
      </c>
      <c r="N447" s="36">
        <v>800</v>
      </c>
      <c r="O447" s="36">
        <v>0.5</v>
      </c>
      <c r="P447" s="99">
        <v>1235</v>
      </c>
      <c r="Q447" s="2" t="s">
        <v>764</v>
      </c>
      <c r="S447" s="36">
        <f t="shared" si="146"/>
        <v>617</v>
      </c>
    </row>
    <row r="448" spans="1:20" x14ac:dyDescent="0.2">
      <c r="A448" s="8" t="str">
        <f t="shared" si="142"/>
        <v>10131</v>
      </c>
      <c r="B448" s="8">
        <v>1</v>
      </c>
      <c r="C448" s="8">
        <v>1</v>
      </c>
      <c r="D448" s="8" t="s">
        <v>264</v>
      </c>
      <c r="E448" s="8">
        <v>1</v>
      </c>
      <c r="F448" s="34">
        <f t="shared" si="152"/>
        <v>5480</v>
      </c>
      <c r="G448" s="34">
        <f t="shared" si="152"/>
        <v>5480</v>
      </c>
      <c r="H448" s="34">
        <f t="shared" si="153"/>
        <v>1542</v>
      </c>
      <c r="I448" s="34">
        <f t="shared" si="153"/>
        <v>1542</v>
      </c>
      <c r="J448" s="34">
        <f t="shared" si="154"/>
        <v>6784</v>
      </c>
      <c r="K448" s="133">
        <v>1000</v>
      </c>
      <c r="L448" s="34"/>
      <c r="M448" s="16">
        <f t="shared" si="147"/>
        <v>605.71087724755284</v>
      </c>
      <c r="N448" s="36">
        <v>790</v>
      </c>
      <c r="O448" s="36">
        <v>1</v>
      </c>
      <c r="P448" s="99">
        <v>1235</v>
      </c>
      <c r="Q448" s="2" t="s">
        <v>764</v>
      </c>
      <c r="S448" s="36">
        <f t="shared" si="146"/>
        <v>617</v>
      </c>
    </row>
    <row r="449" spans="1:20" x14ac:dyDescent="0.2">
      <c r="A449" s="8" t="str">
        <f t="shared" si="142"/>
        <v>10132</v>
      </c>
      <c r="B449" s="8">
        <v>1</v>
      </c>
      <c r="C449" s="8">
        <v>1</v>
      </c>
      <c r="D449" s="8" t="s">
        <v>264</v>
      </c>
      <c r="E449" s="8">
        <v>2</v>
      </c>
      <c r="F449" s="34">
        <f t="shared" si="152"/>
        <v>10960</v>
      </c>
      <c r="G449" s="34">
        <f t="shared" si="152"/>
        <v>10960</v>
      </c>
      <c r="H449" s="34">
        <f t="shared" si="153"/>
        <v>1542</v>
      </c>
      <c r="I449" s="34">
        <f t="shared" si="153"/>
        <v>1542</v>
      </c>
      <c r="J449" s="34">
        <f t="shared" si="154"/>
        <v>13228</v>
      </c>
      <c r="K449" s="133">
        <v>1000</v>
      </c>
      <c r="L449" s="34"/>
      <c r="M449" s="16">
        <f t="shared" si="147"/>
        <v>1196.1469687893709</v>
      </c>
      <c r="N449" s="36">
        <v>780</v>
      </c>
      <c r="O449" s="36">
        <v>2</v>
      </c>
      <c r="P449" s="99">
        <v>1235</v>
      </c>
      <c r="Q449" s="2" t="s">
        <v>764</v>
      </c>
      <c r="S449" s="36">
        <f t="shared" si="146"/>
        <v>617</v>
      </c>
    </row>
    <row r="450" spans="1:20" x14ac:dyDescent="0.2">
      <c r="A450" s="8" t="str">
        <f t="shared" si="142"/>
        <v>10133</v>
      </c>
      <c r="B450" s="8">
        <v>1</v>
      </c>
      <c r="C450" s="8">
        <v>1</v>
      </c>
      <c r="D450" s="8" t="s">
        <v>264</v>
      </c>
      <c r="E450" s="8">
        <v>3</v>
      </c>
      <c r="F450" s="34">
        <f t="shared" si="152"/>
        <v>16440</v>
      </c>
      <c r="G450" s="34">
        <f t="shared" si="152"/>
        <v>16440</v>
      </c>
      <c r="H450" s="34">
        <f t="shared" si="153"/>
        <v>1542</v>
      </c>
      <c r="I450" s="34">
        <f t="shared" si="153"/>
        <v>1542</v>
      </c>
      <c r="J450" s="34">
        <f t="shared" si="154"/>
        <v>19337</v>
      </c>
      <c r="K450" s="133">
        <v>1000</v>
      </c>
      <c r="L450" s="34"/>
      <c r="M450" s="16">
        <f t="shared" si="147"/>
        <v>1771.240887983337</v>
      </c>
      <c r="N450" s="36">
        <v>770</v>
      </c>
      <c r="O450" s="36">
        <v>3</v>
      </c>
      <c r="P450" s="99">
        <v>1235</v>
      </c>
      <c r="Q450" s="2" t="s">
        <v>764</v>
      </c>
      <c r="S450" s="36">
        <f t="shared" si="146"/>
        <v>617</v>
      </c>
    </row>
    <row r="451" spans="1:20" x14ac:dyDescent="0.2">
      <c r="A451" s="8" t="str">
        <f t="shared" si="142"/>
        <v>10134</v>
      </c>
      <c r="B451" s="8">
        <v>1</v>
      </c>
      <c r="C451" s="8">
        <v>1</v>
      </c>
      <c r="D451" s="8" t="s">
        <v>264</v>
      </c>
      <c r="E451" s="8">
        <v>4</v>
      </c>
      <c r="F451" s="34">
        <f t="shared" si="152"/>
        <v>21921</v>
      </c>
      <c r="G451" s="34">
        <f t="shared" si="152"/>
        <v>21921</v>
      </c>
      <c r="H451" s="34">
        <f t="shared" si="153"/>
        <v>1542</v>
      </c>
      <c r="I451" s="34">
        <f t="shared" si="153"/>
        <v>1542</v>
      </c>
      <c r="J451" s="34">
        <f t="shared" si="154"/>
        <v>25117</v>
      </c>
      <c r="K451" s="133">
        <v>1000</v>
      </c>
      <c r="L451" s="34"/>
      <c r="M451" s="16">
        <f t="shared" si="147"/>
        <v>2331.0212770117737</v>
      </c>
      <c r="N451" s="36">
        <v>760</v>
      </c>
      <c r="O451" s="36">
        <v>4</v>
      </c>
      <c r="P451" s="99">
        <v>1235</v>
      </c>
      <c r="Q451" s="2" t="s">
        <v>764</v>
      </c>
      <c r="S451" s="36">
        <f t="shared" si="146"/>
        <v>617</v>
      </c>
    </row>
    <row r="452" spans="1:20" x14ac:dyDescent="0.2">
      <c r="A452" s="8" t="str">
        <f t="shared" si="142"/>
        <v>10230</v>
      </c>
      <c r="B452" s="8">
        <v>1</v>
      </c>
      <c r="C452" s="8">
        <v>2</v>
      </c>
      <c r="D452" s="8" t="s">
        <v>264</v>
      </c>
      <c r="E452" s="8">
        <v>0</v>
      </c>
      <c r="F452" s="34">
        <f t="shared" si="152"/>
        <v>3028</v>
      </c>
      <c r="G452" s="34">
        <f t="shared" si="152"/>
        <v>3028</v>
      </c>
      <c r="H452" s="34">
        <f t="shared" si="153"/>
        <v>1705</v>
      </c>
      <c r="I452" s="34">
        <f t="shared" si="153"/>
        <v>1705</v>
      </c>
      <c r="J452" s="34">
        <f t="shared" si="154"/>
        <v>3845</v>
      </c>
      <c r="K452" s="133">
        <v>1000</v>
      </c>
      <c r="L452" s="34"/>
      <c r="M452" s="16">
        <f t="shared" si="147"/>
        <v>356.43331202344149</v>
      </c>
      <c r="N452" s="36">
        <v>800</v>
      </c>
      <c r="O452" s="36">
        <v>0.5</v>
      </c>
      <c r="P452" s="99">
        <v>1365</v>
      </c>
      <c r="Q452" s="2" t="s">
        <v>764</v>
      </c>
      <c r="S452" s="36">
        <f t="shared" si="146"/>
        <v>682</v>
      </c>
    </row>
    <row r="453" spans="1:20" x14ac:dyDescent="0.2">
      <c r="A453" s="8" t="str">
        <f t="shared" si="142"/>
        <v>10231</v>
      </c>
      <c r="B453" s="8">
        <v>1</v>
      </c>
      <c r="C453" s="8">
        <v>2</v>
      </c>
      <c r="D453" s="8" t="s">
        <v>264</v>
      </c>
      <c r="E453" s="8">
        <v>1</v>
      </c>
      <c r="F453" s="34">
        <f t="shared" si="152"/>
        <v>6057</v>
      </c>
      <c r="G453" s="34">
        <f t="shared" si="152"/>
        <v>6057</v>
      </c>
      <c r="H453" s="34">
        <f t="shared" si="153"/>
        <v>1705</v>
      </c>
      <c r="I453" s="34">
        <f t="shared" si="153"/>
        <v>1705</v>
      </c>
      <c r="J453" s="34">
        <f t="shared" si="154"/>
        <v>7499</v>
      </c>
      <c r="K453" s="133">
        <v>1000</v>
      </c>
      <c r="L453" s="34"/>
      <c r="M453" s="16">
        <f t="shared" si="147"/>
        <v>704.01618306399746</v>
      </c>
      <c r="N453" s="36">
        <v>790</v>
      </c>
      <c r="O453" s="36">
        <v>1</v>
      </c>
      <c r="P453" s="99">
        <v>1365</v>
      </c>
      <c r="Q453" s="2" t="s">
        <v>764</v>
      </c>
      <c r="S453" s="36">
        <f t="shared" si="146"/>
        <v>682</v>
      </c>
    </row>
    <row r="454" spans="1:20" x14ac:dyDescent="0.2">
      <c r="A454" s="8" t="str">
        <f t="shared" si="142"/>
        <v>10232</v>
      </c>
      <c r="B454" s="8">
        <v>1</v>
      </c>
      <c r="C454" s="8">
        <v>2</v>
      </c>
      <c r="D454" s="8" t="s">
        <v>264</v>
      </c>
      <c r="E454" s="8">
        <v>2</v>
      </c>
      <c r="F454" s="34">
        <f t="shared" si="152"/>
        <v>12114</v>
      </c>
      <c r="G454" s="34">
        <f t="shared" si="152"/>
        <v>12114</v>
      </c>
      <c r="H454" s="34">
        <f t="shared" si="153"/>
        <v>1705</v>
      </c>
      <c r="I454" s="34">
        <f t="shared" si="153"/>
        <v>1705</v>
      </c>
      <c r="J454" s="34">
        <f t="shared" si="154"/>
        <v>14620</v>
      </c>
      <c r="K454" s="133">
        <v>1000</v>
      </c>
      <c r="L454" s="34"/>
      <c r="M454" s="16">
        <f t="shared" si="147"/>
        <v>1390.1755616324149</v>
      </c>
      <c r="N454" s="36">
        <v>780</v>
      </c>
      <c r="O454" s="36">
        <v>2</v>
      </c>
      <c r="P454" s="99">
        <v>1365</v>
      </c>
      <c r="Q454" s="2" t="s">
        <v>764</v>
      </c>
      <c r="S454" s="36">
        <f t="shared" si="146"/>
        <v>682</v>
      </c>
    </row>
    <row r="455" spans="1:20" x14ac:dyDescent="0.2">
      <c r="A455" s="8" t="str">
        <f t="shared" si="142"/>
        <v>10233</v>
      </c>
      <c r="B455" s="8">
        <v>1</v>
      </c>
      <c r="C455" s="8">
        <v>2</v>
      </c>
      <c r="D455" s="8" t="s">
        <v>264</v>
      </c>
      <c r="E455" s="8">
        <v>3</v>
      </c>
      <c r="F455" s="34">
        <f t="shared" si="152"/>
        <v>18171</v>
      </c>
      <c r="G455" s="34">
        <f t="shared" si="152"/>
        <v>18171</v>
      </c>
      <c r="H455" s="34">
        <f t="shared" si="153"/>
        <v>1705</v>
      </c>
      <c r="I455" s="34">
        <f t="shared" si="153"/>
        <v>1705</v>
      </c>
      <c r="J455" s="34">
        <f t="shared" si="154"/>
        <v>21372</v>
      </c>
      <c r="K455" s="133">
        <v>1000</v>
      </c>
      <c r="L455" s="34"/>
      <c r="M455" s="16">
        <f t="shared" si="147"/>
        <v>2058.5630614931379</v>
      </c>
      <c r="N455" s="36">
        <v>770</v>
      </c>
      <c r="O455" s="36">
        <v>3</v>
      </c>
      <c r="P455" s="99">
        <v>1365</v>
      </c>
      <c r="Q455" s="2" t="s">
        <v>764</v>
      </c>
      <c r="S455" s="36">
        <f t="shared" si="146"/>
        <v>682</v>
      </c>
    </row>
    <row r="456" spans="1:20" x14ac:dyDescent="0.2">
      <c r="A456" s="8" t="str">
        <f t="shared" si="142"/>
        <v>10234</v>
      </c>
      <c r="B456" s="8">
        <v>1</v>
      </c>
      <c r="C456" s="8">
        <v>2</v>
      </c>
      <c r="D456" s="8" t="s">
        <v>264</v>
      </c>
      <c r="E456" s="8">
        <v>4</v>
      </c>
      <c r="F456" s="34">
        <f t="shared" si="152"/>
        <v>24228</v>
      </c>
      <c r="G456" s="34">
        <f t="shared" si="152"/>
        <v>24228</v>
      </c>
      <c r="H456" s="34">
        <f t="shared" si="153"/>
        <v>1705</v>
      </c>
      <c r="I456" s="34">
        <f t="shared" si="153"/>
        <v>1705</v>
      </c>
      <c r="J456" s="34">
        <f t="shared" si="154"/>
        <v>27761</v>
      </c>
      <c r="K456" s="133">
        <v>1000</v>
      </c>
      <c r="L456" s="34"/>
      <c r="M456" s="16">
        <f t="shared" si="147"/>
        <v>2709.1216951801925</v>
      </c>
      <c r="N456" s="36">
        <v>760</v>
      </c>
      <c r="O456" s="36">
        <v>4</v>
      </c>
      <c r="P456" s="99">
        <v>1365</v>
      </c>
      <c r="Q456" s="2" t="s">
        <v>764</v>
      </c>
      <c r="S456" s="36">
        <f t="shared" si="146"/>
        <v>682</v>
      </c>
    </row>
    <row r="457" spans="1:20" x14ac:dyDescent="0.2">
      <c r="A457" s="8" t="str">
        <f t="shared" si="142"/>
        <v>10330</v>
      </c>
      <c r="B457" s="8">
        <v>1</v>
      </c>
      <c r="C457" s="8">
        <v>3</v>
      </c>
      <c r="D457" s="8" t="s">
        <v>264</v>
      </c>
      <c r="E457" s="8">
        <v>0</v>
      </c>
      <c r="F457" s="34">
        <f t="shared" si="152"/>
        <v>3328</v>
      </c>
      <c r="G457" s="34">
        <f t="shared" si="152"/>
        <v>3328</v>
      </c>
      <c r="H457" s="34">
        <f t="shared" si="153"/>
        <v>1875</v>
      </c>
      <c r="I457" s="34">
        <f t="shared" si="153"/>
        <v>1875</v>
      </c>
      <c r="J457" s="34">
        <f t="shared" si="154"/>
        <v>4225</v>
      </c>
      <c r="K457" s="133">
        <v>1000</v>
      </c>
      <c r="L457" s="34"/>
      <c r="M457" s="16">
        <f t="shared" si="147"/>
        <v>410.76708728913519</v>
      </c>
      <c r="N457" s="36">
        <v>800</v>
      </c>
      <c r="O457" s="36">
        <v>0.5</v>
      </c>
      <c r="P457" s="99">
        <v>1500</v>
      </c>
      <c r="Q457" s="2" t="s">
        <v>764</v>
      </c>
      <c r="S457" s="36">
        <f t="shared" si="146"/>
        <v>750</v>
      </c>
    </row>
    <row r="458" spans="1:20" x14ac:dyDescent="0.2">
      <c r="A458" s="8" t="str">
        <f t="shared" si="142"/>
        <v>10331</v>
      </c>
      <c r="B458" s="8">
        <v>1</v>
      </c>
      <c r="C458" s="8">
        <v>3</v>
      </c>
      <c r="D458" s="8" t="s">
        <v>264</v>
      </c>
      <c r="E458" s="8">
        <v>1</v>
      </c>
      <c r="F458" s="34">
        <f t="shared" si="152"/>
        <v>6656</v>
      </c>
      <c r="G458" s="34">
        <f t="shared" si="152"/>
        <v>6656</v>
      </c>
      <c r="H458" s="34">
        <f t="shared" si="153"/>
        <v>1875</v>
      </c>
      <c r="I458" s="34">
        <f t="shared" si="153"/>
        <v>1875</v>
      </c>
      <c r="J458" s="34">
        <f t="shared" si="154"/>
        <v>8240</v>
      </c>
      <c r="K458" s="133">
        <v>1000</v>
      </c>
      <c r="L458" s="34"/>
      <c r="M458" s="16">
        <f t="shared" si="147"/>
        <v>811.26153612753023</v>
      </c>
      <c r="N458" s="36">
        <v>790</v>
      </c>
      <c r="O458" s="36">
        <v>1</v>
      </c>
      <c r="P458" s="99">
        <v>1500</v>
      </c>
      <c r="Q458" s="2" t="s">
        <v>764</v>
      </c>
      <c r="S458" s="36">
        <f t="shared" si="146"/>
        <v>750</v>
      </c>
    </row>
    <row r="459" spans="1:20" x14ac:dyDescent="0.2">
      <c r="A459" s="8" t="str">
        <f t="shared" si="142"/>
        <v>10332</v>
      </c>
      <c r="B459" s="8">
        <v>1</v>
      </c>
      <c r="C459" s="8">
        <v>3</v>
      </c>
      <c r="D459" s="8" t="s">
        <v>264</v>
      </c>
      <c r="E459" s="8">
        <v>2</v>
      </c>
      <c r="F459" s="34">
        <f t="shared" si="152"/>
        <v>13312</v>
      </c>
      <c r="G459" s="34">
        <f t="shared" si="152"/>
        <v>13312</v>
      </c>
      <c r="H459" s="34">
        <f t="shared" si="153"/>
        <v>1875</v>
      </c>
      <c r="I459" s="34">
        <f t="shared" si="153"/>
        <v>1875</v>
      </c>
      <c r="J459" s="34">
        <f t="shared" si="154"/>
        <v>16066</v>
      </c>
      <c r="K459" s="133">
        <v>1000</v>
      </c>
      <c r="L459" s="34"/>
      <c r="M459" s="16">
        <f t="shared" si="147"/>
        <v>1602.013453127033</v>
      </c>
      <c r="N459" s="36">
        <v>780</v>
      </c>
      <c r="O459" s="36">
        <v>2</v>
      </c>
      <c r="P459" s="99">
        <v>1500</v>
      </c>
      <c r="Q459" s="2" t="s">
        <v>764</v>
      </c>
      <c r="S459" s="36">
        <f t="shared" si="146"/>
        <v>750</v>
      </c>
    </row>
    <row r="460" spans="1:20" x14ac:dyDescent="0.2">
      <c r="A460" s="8" t="str">
        <f t="shared" si="142"/>
        <v>10333</v>
      </c>
      <c r="B460" s="8">
        <v>1</v>
      </c>
      <c r="C460" s="8">
        <v>3</v>
      </c>
      <c r="D460" s="8" t="s">
        <v>264</v>
      </c>
      <c r="E460" s="8">
        <v>3</v>
      </c>
      <c r="F460" s="34">
        <f t="shared" si="152"/>
        <v>19968</v>
      </c>
      <c r="G460" s="34">
        <f t="shared" si="152"/>
        <v>19968</v>
      </c>
      <c r="H460" s="34">
        <f t="shared" si="153"/>
        <v>1875</v>
      </c>
      <c r="I460" s="34">
        <f t="shared" si="153"/>
        <v>1875</v>
      </c>
      <c r="J460" s="34">
        <f t="shared" si="154"/>
        <v>23486</v>
      </c>
      <c r="K460" s="133">
        <v>1000</v>
      </c>
      <c r="L460" s="34"/>
      <c r="M460" s="16">
        <f t="shared" si="147"/>
        <v>2372.2608153405054</v>
      </c>
      <c r="N460" s="36">
        <v>770</v>
      </c>
      <c r="O460" s="36">
        <v>3</v>
      </c>
      <c r="P460" s="99">
        <v>1500</v>
      </c>
      <c r="Q460" s="2" t="s">
        <v>764</v>
      </c>
      <c r="S460" s="36">
        <f t="shared" si="146"/>
        <v>750</v>
      </c>
    </row>
    <row r="461" spans="1:20" x14ac:dyDescent="0.2">
      <c r="A461" s="8" t="str">
        <f t="shared" si="142"/>
        <v>10334</v>
      </c>
      <c r="B461" s="8">
        <v>1</v>
      </c>
      <c r="C461" s="8">
        <v>3</v>
      </c>
      <c r="D461" s="8" t="s">
        <v>264</v>
      </c>
      <c r="E461" s="8">
        <v>4</v>
      </c>
      <c r="F461" s="34">
        <f t="shared" si="152"/>
        <v>26625</v>
      </c>
      <c r="G461" s="34">
        <f t="shared" si="152"/>
        <v>26625</v>
      </c>
      <c r="H461" s="34">
        <f t="shared" si="153"/>
        <v>1875</v>
      </c>
      <c r="I461" s="34">
        <f t="shared" si="153"/>
        <v>1875</v>
      </c>
      <c r="J461" s="34">
        <f t="shared" si="154"/>
        <v>30507</v>
      </c>
      <c r="K461" s="133">
        <v>1000</v>
      </c>
      <c r="L461" s="34"/>
      <c r="M461" s="16">
        <f t="shared" si="147"/>
        <v>3122.0164157159716</v>
      </c>
      <c r="N461" s="36">
        <v>760</v>
      </c>
      <c r="O461" s="36">
        <v>4</v>
      </c>
      <c r="P461" s="99">
        <v>1500</v>
      </c>
      <c r="Q461" s="2" t="s">
        <v>764</v>
      </c>
      <c r="S461" s="36">
        <f t="shared" si="146"/>
        <v>750</v>
      </c>
    </row>
    <row r="462" spans="1:20" ht="38.25" x14ac:dyDescent="0.2">
      <c r="A462" s="8" t="str">
        <f t="shared" si="142"/>
        <v/>
      </c>
      <c r="B462" s="5"/>
      <c r="C462" s="6" t="s">
        <v>229</v>
      </c>
      <c r="D462" s="5"/>
      <c r="E462" s="5"/>
      <c r="F462" s="5"/>
      <c r="G462" s="5"/>
      <c r="H462" s="5"/>
      <c r="I462" s="5"/>
      <c r="J462" s="5"/>
      <c r="K462" s="133">
        <v>1000</v>
      </c>
      <c r="L462" s="5"/>
      <c r="M462" s="16">
        <f t="shared" si="147"/>
        <v>0</v>
      </c>
      <c r="N462" s="5"/>
      <c r="O462" s="5"/>
      <c r="P462" s="5"/>
      <c r="Q462" s="5"/>
      <c r="R462" s="5"/>
      <c r="S462" s="30"/>
      <c r="T462" s="266"/>
    </row>
    <row r="463" spans="1:20" x14ac:dyDescent="0.2">
      <c r="A463" s="110" t="str">
        <f t="shared" si="142"/>
        <v>10140</v>
      </c>
      <c r="B463" s="110">
        <v>1</v>
      </c>
      <c r="C463" s="111">
        <v>1</v>
      </c>
      <c r="D463" s="110" t="s">
        <v>230</v>
      </c>
      <c r="E463" s="110">
        <v>0</v>
      </c>
      <c r="F463" s="112">
        <f t="shared" ref="F463:G467" si="155">ROUNDDOWN($P463/4*$O463*10*$N463/$N463*$Q463/400,0)</f>
        <v>4437</v>
      </c>
      <c r="G463" s="112">
        <f t="shared" si="155"/>
        <v>4437</v>
      </c>
      <c r="H463" s="112">
        <f t="shared" ref="H463:I467" si="156">ROUNDDOWN($S463/4*10,0)</f>
        <v>2500</v>
      </c>
      <c r="I463" s="112">
        <f t="shared" si="156"/>
        <v>2500</v>
      </c>
      <c r="J463" s="112">
        <f t="shared" ref="J463:J467" si="157">ROUNDDOWN($P463/4*$O463*10*$N463/$Q463*$N463/400,0)</f>
        <v>5633</v>
      </c>
      <c r="K463" s="133">
        <v>1000</v>
      </c>
      <c r="L463" s="112"/>
      <c r="M463" s="113">
        <f t="shared" si="147"/>
        <v>632.37483820911166</v>
      </c>
      <c r="N463" s="114">
        <v>800</v>
      </c>
      <c r="O463" s="114">
        <v>0.5</v>
      </c>
      <c r="P463" s="115">
        <v>2000</v>
      </c>
      <c r="Q463" s="2" t="s">
        <v>764</v>
      </c>
      <c r="R463" s="116"/>
      <c r="S463" s="36">
        <f t="shared" si="146"/>
        <v>1000</v>
      </c>
    </row>
    <row r="464" spans="1:20" x14ac:dyDescent="0.2">
      <c r="A464" s="110" t="str">
        <f t="shared" si="142"/>
        <v>10141</v>
      </c>
      <c r="B464" s="110">
        <v>1</v>
      </c>
      <c r="C464" s="111">
        <v>1</v>
      </c>
      <c r="D464" s="110" t="s">
        <v>230</v>
      </c>
      <c r="E464" s="110">
        <v>1</v>
      </c>
      <c r="F464" s="112">
        <f t="shared" si="155"/>
        <v>8875</v>
      </c>
      <c r="G464" s="112">
        <f t="shared" si="155"/>
        <v>8875</v>
      </c>
      <c r="H464" s="112">
        <f t="shared" si="156"/>
        <v>2500</v>
      </c>
      <c r="I464" s="112">
        <f t="shared" si="156"/>
        <v>2500</v>
      </c>
      <c r="J464" s="112">
        <f t="shared" si="157"/>
        <v>10987</v>
      </c>
      <c r="K464" s="133">
        <v>1000</v>
      </c>
      <c r="L464" s="112"/>
      <c r="M464" s="113">
        <f t="shared" si="147"/>
        <v>1249.0612474974957</v>
      </c>
      <c r="N464" s="114">
        <v>790</v>
      </c>
      <c r="O464" s="114">
        <v>1</v>
      </c>
      <c r="P464" s="115">
        <v>2000</v>
      </c>
      <c r="Q464" s="2" t="s">
        <v>764</v>
      </c>
      <c r="R464" s="116"/>
      <c r="S464" s="36">
        <f t="shared" si="146"/>
        <v>1000</v>
      </c>
    </row>
    <row r="465" spans="1:20" x14ac:dyDescent="0.2">
      <c r="A465" s="110" t="str">
        <f t="shared" si="142"/>
        <v>10142</v>
      </c>
      <c r="B465" s="110">
        <v>1</v>
      </c>
      <c r="C465" s="111">
        <v>1</v>
      </c>
      <c r="D465" s="110" t="s">
        <v>230</v>
      </c>
      <c r="E465" s="110">
        <v>2</v>
      </c>
      <c r="F465" s="112">
        <f t="shared" si="155"/>
        <v>17750</v>
      </c>
      <c r="G465" s="112">
        <f t="shared" si="155"/>
        <v>17750</v>
      </c>
      <c r="H465" s="112">
        <f t="shared" si="156"/>
        <v>2500</v>
      </c>
      <c r="I465" s="112">
        <f t="shared" si="156"/>
        <v>2500</v>
      </c>
      <c r="J465" s="112">
        <f t="shared" si="157"/>
        <v>21422</v>
      </c>
      <c r="K465" s="133">
        <v>1000</v>
      </c>
      <c r="L465" s="112"/>
      <c r="M465" s="113">
        <f t="shared" si="147"/>
        <v>2466.5457628027093</v>
      </c>
      <c r="N465" s="114">
        <v>780</v>
      </c>
      <c r="O465" s="114">
        <v>2</v>
      </c>
      <c r="P465" s="115">
        <v>2000</v>
      </c>
      <c r="Q465" s="2" t="s">
        <v>764</v>
      </c>
      <c r="R465" s="116"/>
      <c r="S465" s="36">
        <f t="shared" si="146"/>
        <v>1000</v>
      </c>
    </row>
    <row r="466" spans="1:20" x14ac:dyDescent="0.2">
      <c r="A466" s="110" t="str">
        <f t="shared" si="142"/>
        <v>10143</v>
      </c>
      <c r="B466" s="110">
        <v>1</v>
      </c>
      <c r="C466" s="111">
        <v>1</v>
      </c>
      <c r="D466" s="110" t="s">
        <v>230</v>
      </c>
      <c r="E466" s="110">
        <v>3</v>
      </c>
      <c r="F466" s="112">
        <f t="shared" si="155"/>
        <v>26625</v>
      </c>
      <c r="G466" s="112">
        <f t="shared" si="155"/>
        <v>26625</v>
      </c>
      <c r="H466" s="112">
        <f t="shared" si="156"/>
        <v>2500</v>
      </c>
      <c r="I466" s="112">
        <f t="shared" si="156"/>
        <v>2500</v>
      </c>
      <c r="J466" s="112">
        <f t="shared" si="157"/>
        <v>31315</v>
      </c>
      <c r="K466" s="133">
        <v>1000</v>
      </c>
      <c r="L466" s="112"/>
      <c r="M466" s="113">
        <f t="shared" si="147"/>
        <v>3652.4224837770344</v>
      </c>
      <c r="N466" s="114">
        <v>770</v>
      </c>
      <c r="O466" s="114">
        <v>3</v>
      </c>
      <c r="P466" s="115">
        <v>2000</v>
      </c>
      <c r="Q466" s="2" t="s">
        <v>764</v>
      </c>
      <c r="R466" s="116"/>
      <c r="S466" s="36">
        <f t="shared" si="146"/>
        <v>1000</v>
      </c>
    </row>
    <row r="467" spans="1:20" x14ac:dyDescent="0.2">
      <c r="A467" s="110" t="str">
        <f t="shared" si="142"/>
        <v>10144</v>
      </c>
      <c r="B467" s="110">
        <v>1</v>
      </c>
      <c r="C467" s="111">
        <v>1</v>
      </c>
      <c r="D467" s="110" t="s">
        <v>230</v>
      </c>
      <c r="E467" s="110">
        <v>4</v>
      </c>
      <c r="F467" s="112">
        <f t="shared" si="155"/>
        <v>35500</v>
      </c>
      <c r="G467" s="112">
        <f t="shared" si="155"/>
        <v>35500</v>
      </c>
      <c r="H467" s="112">
        <f t="shared" si="156"/>
        <v>2500</v>
      </c>
      <c r="I467" s="112">
        <f t="shared" si="156"/>
        <v>2500</v>
      </c>
      <c r="J467" s="112">
        <f t="shared" si="157"/>
        <v>40676</v>
      </c>
      <c r="K467" s="133">
        <v>1000</v>
      </c>
      <c r="L467" s="112"/>
      <c r="M467" s="113">
        <f t="shared" si="147"/>
        <v>4806.6587147414575</v>
      </c>
      <c r="N467" s="114">
        <v>760</v>
      </c>
      <c r="O467" s="114">
        <v>4</v>
      </c>
      <c r="P467" s="115">
        <v>2000</v>
      </c>
      <c r="Q467" s="2" t="s">
        <v>764</v>
      </c>
      <c r="R467" s="116"/>
      <c r="S467" s="36">
        <f t="shared" si="146"/>
        <v>1000</v>
      </c>
    </row>
    <row r="468" spans="1:20" x14ac:dyDescent="0.2">
      <c r="A468" s="8" t="str">
        <f t="shared" si="142"/>
        <v>10240</v>
      </c>
      <c r="B468" s="18">
        <v>1</v>
      </c>
      <c r="C468" s="62">
        <v>2</v>
      </c>
      <c r="D468" s="18" t="s">
        <v>230</v>
      </c>
      <c r="E468" s="18">
        <v>0</v>
      </c>
      <c r="F468" s="19">
        <f t="shared" ref="F468:G473" si="158">ROUNDDOWN($P468/4*$O468*10*$N468/$N468*$Q468/400,0)</f>
        <v>58311</v>
      </c>
      <c r="G468" s="19">
        <f t="shared" si="158"/>
        <v>58311</v>
      </c>
      <c r="H468" s="19">
        <f t="shared" ref="H468:I472" si="159">ROUNDDOWN($S468/4*10,0)</f>
        <v>70255</v>
      </c>
      <c r="I468" s="19">
        <f t="shared" si="159"/>
        <v>70255</v>
      </c>
      <c r="J468" s="19">
        <f t="shared" ref="J468:J477" si="160">ROUNDDOWN($P468/4*$O468*10*$N468/$Q468*$N468/400,0)</f>
        <v>76391</v>
      </c>
      <c r="K468" s="133">
        <v>1000</v>
      </c>
      <c r="L468" s="19"/>
      <c r="M468" s="16">
        <f t="shared" si="147"/>
        <v>44753.288014947379</v>
      </c>
      <c r="N468" s="58">
        <v>950</v>
      </c>
      <c r="O468" s="58">
        <v>0.5</v>
      </c>
      <c r="P468" s="94">
        <v>22481.599999999999</v>
      </c>
      <c r="Q468" s="41" t="s">
        <v>256</v>
      </c>
      <c r="R468" s="41"/>
      <c r="S468" s="58">
        <v>28102</v>
      </c>
    </row>
    <row r="469" spans="1:20" x14ac:dyDescent="0.2">
      <c r="A469" s="8" t="str">
        <f t="shared" si="142"/>
        <v>10241</v>
      </c>
      <c r="B469" s="18">
        <v>1</v>
      </c>
      <c r="C469" s="62">
        <v>2</v>
      </c>
      <c r="D469" s="18" t="s">
        <v>230</v>
      </c>
      <c r="E469" s="18">
        <v>1</v>
      </c>
      <c r="F469" s="19">
        <f t="shared" si="158"/>
        <v>116623</v>
      </c>
      <c r="G469" s="19">
        <f t="shared" si="158"/>
        <v>116623</v>
      </c>
      <c r="H469" s="19">
        <f t="shared" si="159"/>
        <v>70255</v>
      </c>
      <c r="I469" s="19">
        <f t="shared" si="159"/>
        <v>70255</v>
      </c>
      <c r="J469" s="19">
        <f t="shared" si="160"/>
        <v>146418</v>
      </c>
      <c r="K469" s="133">
        <v>1000</v>
      </c>
      <c r="L469" s="19"/>
      <c r="M469" s="16">
        <f t="shared" si="147"/>
        <v>87622.965176599973</v>
      </c>
      <c r="N469" s="58">
        <v>930</v>
      </c>
      <c r="O469" s="58">
        <v>1</v>
      </c>
      <c r="P469" s="94">
        <v>22481.600000000002</v>
      </c>
      <c r="Q469" s="41" t="s">
        <v>232</v>
      </c>
      <c r="R469" s="41"/>
      <c r="S469" s="58">
        <v>28102</v>
      </c>
    </row>
    <row r="470" spans="1:20" x14ac:dyDescent="0.2">
      <c r="A470" s="8" t="str">
        <f t="shared" si="142"/>
        <v>10242</v>
      </c>
      <c r="B470" s="18">
        <v>1</v>
      </c>
      <c r="C470" s="62">
        <v>2</v>
      </c>
      <c r="D470" s="18" t="s">
        <v>230</v>
      </c>
      <c r="E470" s="18">
        <v>2</v>
      </c>
      <c r="F470" s="19">
        <f t="shared" si="158"/>
        <v>219195</v>
      </c>
      <c r="G470" s="19">
        <f t="shared" si="158"/>
        <v>219195</v>
      </c>
      <c r="H470" s="19">
        <f t="shared" si="159"/>
        <v>70255</v>
      </c>
      <c r="I470" s="19">
        <f t="shared" si="159"/>
        <v>70255</v>
      </c>
      <c r="J470" s="19">
        <f t="shared" si="160"/>
        <v>298349</v>
      </c>
      <c r="K470" s="133">
        <v>1000</v>
      </c>
      <c r="L470" s="19"/>
      <c r="M470" s="16">
        <f t="shared" si="147"/>
        <v>171477.13585961764</v>
      </c>
      <c r="N470" s="58">
        <v>910</v>
      </c>
      <c r="O470" s="58">
        <v>2</v>
      </c>
      <c r="P470" s="94">
        <v>22481.600000000002</v>
      </c>
      <c r="Q470" s="41" t="s">
        <v>233</v>
      </c>
      <c r="R470" s="41"/>
      <c r="S470" s="58">
        <v>28102</v>
      </c>
    </row>
    <row r="471" spans="1:20" x14ac:dyDescent="0.2">
      <c r="A471" s="8" t="str">
        <f t="shared" si="142"/>
        <v>10243</v>
      </c>
      <c r="B471" s="18">
        <v>1</v>
      </c>
      <c r="C471" s="62">
        <v>2</v>
      </c>
      <c r="D471" s="18" t="s">
        <v>230</v>
      </c>
      <c r="E471" s="18">
        <v>3</v>
      </c>
      <c r="F471" s="19">
        <f t="shared" si="158"/>
        <v>273994</v>
      </c>
      <c r="G471" s="19">
        <f t="shared" si="158"/>
        <v>273994</v>
      </c>
      <c r="H471" s="19">
        <f t="shared" si="159"/>
        <v>70255</v>
      </c>
      <c r="I471" s="19">
        <f t="shared" si="159"/>
        <v>70255</v>
      </c>
      <c r="J471" s="19">
        <f t="shared" si="160"/>
        <v>513682</v>
      </c>
      <c r="K471" s="133">
        <v>1000</v>
      </c>
      <c r="L471" s="19"/>
      <c r="M471" s="16">
        <f t="shared" si="147"/>
        <v>251562.7341427698</v>
      </c>
      <c r="N471" s="58">
        <v>890</v>
      </c>
      <c r="O471" s="58">
        <v>3</v>
      </c>
      <c r="P471" s="94">
        <v>22481.600000000002</v>
      </c>
      <c r="Q471" s="41" t="s">
        <v>234</v>
      </c>
      <c r="R471" s="41"/>
      <c r="S471" s="58">
        <v>28102</v>
      </c>
    </row>
    <row r="472" spans="1:20" x14ac:dyDescent="0.2">
      <c r="A472" s="8" t="str">
        <f t="shared" si="142"/>
        <v>10244</v>
      </c>
      <c r="B472" s="18">
        <v>1</v>
      </c>
      <c r="C472" s="62">
        <v>2</v>
      </c>
      <c r="D472" s="18" t="s">
        <v>230</v>
      </c>
      <c r="E472" s="18">
        <v>4</v>
      </c>
      <c r="F472" s="19">
        <f t="shared" si="158"/>
        <v>337224</v>
      </c>
      <c r="G472" s="19">
        <f t="shared" si="158"/>
        <v>337224</v>
      </c>
      <c r="H472" s="19">
        <f t="shared" si="159"/>
        <v>70255</v>
      </c>
      <c r="I472" s="19">
        <f t="shared" si="159"/>
        <v>70255</v>
      </c>
      <c r="J472" s="19">
        <f t="shared" si="160"/>
        <v>709013</v>
      </c>
      <c r="K472" s="133">
        <v>1000</v>
      </c>
      <c r="L472" s="19"/>
      <c r="M472" s="16">
        <f t="shared" si="147"/>
        <v>327880.01244179619</v>
      </c>
      <c r="N472" s="58">
        <v>870</v>
      </c>
      <c r="O472" s="58">
        <v>4</v>
      </c>
      <c r="P472" s="94">
        <v>22481.600000000002</v>
      </c>
      <c r="Q472" s="41" t="s">
        <v>235</v>
      </c>
      <c r="R472" s="41"/>
      <c r="S472" s="58">
        <v>28102</v>
      </c>
    </row>
    <row r="473" spans="1:20" x14ac:dyDescent="0.2">
      <c r="A473" s="8" t="str">
        <f t="shared" si="142"/>
        <v>10340</v>
      </c>
      <c r="B473" s="18">
        <v>1</v>
      </c>
      <c r="C473" s="62">
        <v>3</v>
      </c>
      <c r="D473" s="18" t="s">
        <v>230</v>
      </c>
      <c r="E473" s="18">
        <v>0</v>
      </c>
      <c r="F473" s="19">
        <f t="shared" si="158"/>
        <v>61523</v>
      </c>
      <c r="G473" s="19">
        <f t="shared" si="158"/>
        <v>61523</v>
      </c>
      <c r="H473" s="19">
        <f t="shared" ref="H473:I477" si="161">ROUNDDOWN($S473/4*10,0)</f>
        <v>74125</v>
      </c>
      <c r="I473" s="19">
        <f t="shared" si="161"/>
        <v>74125</v>
      </c>
      <c r="J473" s="19">
        <f t="shared" si="160"/>
        <v>80599</v>
      </c>
      <c r="K473" s="133">
        <v>1000</v>
      </c>
      <c r="L473" s="19"/>
      <c r="M473" s="16">
        <f t="shared" si="147"/>
        <v>48501.583646400664</v>
      </c>
      <c r="N473" s="58">
        <v>950</v>
      </c>
      <c r="O473" s="58">
        <v>0.5</v>
      </c>
      <c r="P473" s="94">
        <v>23720</v>
      </c>
      <c r="Q473" s="41" t="s">
        <v>256</v>
      </c>
      <c r="R473" s="41"/>
      <c r="S473" s="41" t="s">
        <v>255</v>
      </c>
    </row>
    <row r="474" spans="1:20" x14ac:dyDescent="0.2">
      <c r="A474" s="8" t="str">
        <f t="shared" si="142"/>
        <v>10341</v>
      </c>
      <c r="B474" s="18">
        <v>1</v>
      </c>
      <c r="C474" s="62">
        <v>3</v>
      </c>
      <c r="D474" s="18" t="s">
        <v>230</v>
      </c>
      <c r="E474" s="18">
        <v>1</v>
      </c>
      <c r="F474" s="19">
        <f t="shared" ref="F474:G477" si="162">ROUNDDOWN($P474/4*$O474*10*$N474/$N474*$Q474/400,0)</f>
        <v>123047</v>
      </c>
      <c r="G474" s="19">
        <f t="shared" si="162"/>
        <v>123047</v>
      </c>
      <c r="H474" s="19">
        <f t="shared" si="161"/>
        <v>74125</v>
      </c>
      <c r="I474" s="19">
        <f t="shared" si="161"/>
        <v>74125</v>
      </c>
      <c r="J474" s="19">
        <f t="shared" si="160"/>
        <v>154483</v>
      </c>
      <c r="K474" s="133">
        <v>1000</v>
      </c>
      <c r="L474" s="19"/>
      <c r="M474" s="16">
        <f t="shared" si="147"/>
        <v>94961.639129463219</v>
      </c>
      <c r="N474" s="58">
        <v>930</v>
      </c>
      <c r="O474" s="58">
        <v>1</v>
      </c>
      <c r="P474" s="94">
        <v>23720</v>
      </c>
      <c r="Q474" s="41" t="s">
        <v>232</v>
      </c>
      <c r="R474" s="41"/>
      <c r="S474" s="41" t="s">
        <v>255</v>
      </c>
    </row>
    <row r="475" spans="1:20" x14ac:dyDescent="0.2">
      <c r="A475" s="8" t="str">
        <f t="shared" si="142"/>
        <v>10342</v>
      </c>
      <c r="B475" s="18">
        <v>1</v>
      </c>
      <c r="C475" s="62">
        <v>3</v>
      </c>
      <c r="D475" s="18" t="s">
        <v>230</v>
      </c>
      <c r="E475" s="18">
        <v>2</v>
      </c>
      <c r="F475" s="19">
        <f t="shared" si="162"/>
        <v>231270</v>
      </c>
      <c r="G475" s="19">
        <f t="shared" si="162"/>
        <v>231270</v>
      </c>
      <c r="H475" s="19">
        <f t="shared" si="161"/>
        <v>74125</v>
      </c>
      <c r="I475" s="19">
        <f t="shared" si="161"/>
        <v>74125</v>
      </c>
      <c r="J475" s="19">
        <f t="shared" si="160"/>
        <v>314784</v>
      </c>
      <c r="K475" s="133">
        <v>1000</v>
      </c>
      <c r="L475" s="19"/>
      <c r="M475" s="16">
        <f t="shared" si="147"/>
        <v>185839.62276810617</v>
      </c>
      <c r="N475" s="58">
        <v>910</v>
      </c>
      <c r="O475" s="58">
        <v>2</v>
      </c>
      <c r="P475" s="94">
        <v>23720</v>
      </c>
      <c r="Q475" s="41" t="s">
        <v>233</v>
      </c>
      <c r="R475" s="41"/>
      <c r="S475" s="41" t="s">
        <v>255</v>
      </c>
    </row>
    <row r="476" spans="1:20" x14ac:dyDescent="0.2">
      <c r="A476" s="8" t="str">
        <f t="shared" si="142"/>
        <v>10343</v>
      </c>
      <c r="B476" s="18">
        <v>1</v>
      </c>
      <c r="C476" s="62">
        <v>3</v>
      </c>
      <c r="D476" s="18" t="s">
        <v>230</v>
      </c>
      <c r="E476" s="18">
        <v>3</v>
      </c>
      <c r="F476" s="19">
        <f t="shared" si="162"/>
        <v>289087</v>
      </c>
      <c r="G476" s="19">
        <f t="shared" si="162"/>
        <v>289087</v>
      </c>
      <c r="H476" s="19">
        <f t="shared" si="161"/>
        <v>74125</v>
      </c>
      <c r="I476" s="19">
        <f t="shared" si="161"/>
        <v>74125</v>
      </c>
      <c r="J476" s="19">
        <f t="shared" si="160"/>
        <v>541979</v>
      </c>
      <c r="K476" s="133">
        <v>1000</v>
      </c>
      <c r="L476" s="19"/>
      <c r="M476" s="16">
        <f t="shared" si="147"/>
        <v>272632.64121757541</v>
      </c>
      <c r="N476" s="58">
        <v>890</v>
      </c>
      <c r="O476" s="58">
        <v>3</v>
      </c>
      <c r="P476" s="94">
        <v>23720</v>
      </c>
      <c r="Q476" s="41" t="s">
        <v>234</v>
      </c>
      <c r="R476" s="41"/>
      <c r="S476" s="41" t="s">
        <v>255</v>
      </c>
    </row>
    <row r="477" spans="1:20" x14ac:dyDescent="0.2">
      <c r="A477" s="8" t="str">
        <f t="shared" si="142"/>
        <v>10344</v>
      </c>
      <c r="B477" s="18">
        <v>1</v>
      </c>
      <c r="C477" s="62">
        <v>3</v>
      </c>
      <c r="D477" s="18" t="s">
        <v>230</v>
      </c>
      <c r="E477" s="18">
        <v>4</v>
      </c>
      <c r="F477" s="19">
        <f t="shared" si="162"/>
        <v>355800</v>
      </c>
      <c r="G477" s="19">
        <f t="shared" si="162"/>
        <v>355800</v>
      </c>
      <c r="H477" s="19">
        <f t="shared" si="161"/>
        <v>74125</v>
      </c>
      <c r="I477" s="19">
        <f t="shared" si="161"/>
        <v>74125</v>
      </c>
      <c r="J477" s="19">
        <f t="shared" si="160"/>
        <v>748069</v>
      </c>
      <c r="K477" s="133">
        <v>1000</v>
      </c>
      <c r="L477" s="19"/>
      <c r="M477" s="16">
        <f t="shared" si="147"/>
        <v>355341.67159915261</v>
      </c>
      <c r="N477" s="58">
        <v>870</v>
      </c>
      <c r="O477" s="58">
        <v>4</v>
      </c>
      <c r="P477" s="94">
        <v>23720</v>
      </c>
      <c r="Q477" s="41" t="s">
        <v>235</v>
      </c>
      <c r="R477" s="41"/>
      <c r="S477" s="41" t="s">
        <v>255</v>
      </c>
    </row>
    <row r="478" spans="1:20" ht="38.25" x14ac:dyDescent="0.2">
      <c r="A478" s="8" t="str">
        <f t="shared" si="142"/>
        <v/>
      </c>
      <c r="B478" s="5"/>
      <c r="C478" s="6" t="s">
        <v>66</v>
      </c>
      <c r="D478" s="5"/>
      <c r="E478" s="5"/>
      <c r="F478" s="5"/>
      <c r="G478" s="5"/>
      <c r="H478" s="5"/>
      <c r="I478" s="5"/>
      <c r="J478" s="5"/>
      <c r="K478" s="133">
        <v>1000</v>
      </c>
      <c r="L478" s="5"/>
      <c r="M478" s="16">
        <f t="shared" si="147"/>
        <v>0</v>
      </c>
      <c r="N478" s="5"/>
      <c r="O478" s="5"/>
      <c r="P478" s="5"/>
      <c r="Q478" s="5"/>
      <c r="R478" s="5"/>
      <c r="S478" s="30"/>
      <c r="T478" s="266"/>
    </row>
    <row r="479" spans="1:20" x14ac:dyDescent="0.2">
      <c r="A479" s="8" t="str">
        <f t="shared" ref="A479:A542" si="163">IF(B479="","",CONCATENATE(B479,CONCATENATE(REPT(0,2-LEN(C479)),C479),IF(OR(D479="Easy",D479=""),1,IF(D479="Normal",2,IF(D479="Hard",3,IF(D479="Hell",4,"error")))),E479))</f>
        <v>1010130</v>
      </c>
      <c r="B479" s="8">
        <v>101</v>
      </c>
      <c r="C479" s="8">
        <v>1</v>
      </c>
      <c r="D479" s="8" t="s">
        <v>64</v>
      </c>
      <c r="E479" s="8">
        <v>0</v>
      </c>
      <c r="F479" s="34">
        <f>ROUNDDOWN($P479/4*$O479*10*$N479/$N479*$Q479/400,0)</f>
        <v>3328</v>
      </c>
      <c r="G479" s="34">
        <f>ROUNDDOWN($P479/4*$O479*10*$N479/$N479*$Q479/400,0)</f>
        <v>3328</v>
      </c>
      <c r="H479" s="34">
        <f t="shared" ref="H479:I483" si="164">ROUNDDOWN($S479/4*10,0)</f>
        <v>1875</v>
      </c>
      <c r="I479" s="34">
        <f t="shared" si="164"/>
        <v>1875</v>
      </c>
      <c r="J479" s="34">
        <f>ROUNDDOWN($P479/4*$O479*10*$N479/$Q479*$N479/400,0)</f>
        <v>4225</v>
      </c>
      <c r="K479" s="133">
        <v>1000</v>
      </c>
      <c r="L479" s="34"/>
      <c r="M479" s="16">
        <f t="shared" si="147"/>
        <v>410.76708728913519</v>
      </c>
      <c r="N479" s="36">
        <v>800</v>
      </c>
      <c r="O479" s="36">
        <v>0.5</v>
      </c>
      <c r="P479" s="99">
        <v>1500</v>
      </c>
      <c r="Q479" s="2" t="s">
        <v>104</v>
      </c>
      <c r="S479" s="36">
        <f t="shared" ref="S479:S483" si="165">ROUNDDOWN(P479*0.5,0)</f>
        <v>750</v>
      </c>
    </row>
    <row r="480" spans="1:20" x14ac:dyDescent="0.2">
      <c r="A480" s="8" t="str">
        <f t="shared" si="163"/>
        <v>1010131</v>
      </c>
      <c r="B480" s="8">
        <v>101</v>
      </c>
      <c r="C480" s="8">
        <v>1</v>
      </c>
      <c r="D480" s="8" t="s">
        <v>64</v>
      </c>
      <c r="E480" s="8">
        <v>1</v>
      </c>
      <c r="F480" s="34">
        <f t="shared" ref="F480:G483" si="166">ROUNDDOWN($P480/4*$O480*10*$N480/$N480*$Q480/400,0)</f>
        <v>6656</v>
      </c>
      <c r="G480" s="34">
        <f t="shared" si="166"/>
        <v>6656</v>
      </c>
      <c r="H480" s="34">
        <f t="shared" si="164"/>
        <v>1875</v>
      </c>
      <c r="I480" s="34">
        <f t="shared" si="164"/>
        <v>1875</v>
      </c>
      <c r="J480" s="34">
        <f t="shared" ref="J480:J483" si="167">ROUNDDOWN($P480/4*$O480*10*$N480/$Q480*$N480/400,0)</f>
        <v>8240</v>
      </c>
      <c r="K480" s="133">
        <v>1000</v>
      </c>
      <c r="L480" s="34"/>
      <c r="M480" s="16">
        <f t="shared" si="147"/>
        <v>811.26153612753023</v>
      </c>
      <c r="N480" s="36">
        <v>790</v>
      </c>
      <c r="O480" s="36">
        <v>1</v>
      </c>
      <c r="P480" s="99">
        <v>1500</v>
      </c>
      <c r="Q480" s="2" t="s">
        <v>104</v>
      </c>
      <c r="S480" s="36">
        <f t="shared" si="165"/>
        <v>750</v>
      </c>
    </row>
    <row r="481" spans="1:20" x14ac:dyDescent="0.2">
      <c r="A481" s="8" t="str">
        <f t="shared" si="163"/>
        <v>1010132</v>
      </c>
      <c r="B481" s="8">
        <v>101</v>
      </c>
      <c r="C481" s="8">
        <v>1</v>
      </c>
      <c r="D481" s="8" t="s">
        <v>64</v>
      </c>
      <c r="E481" s="8">
        <v>2</v>
      </c>
      <c r="F481" s="34">
        <f t="shared" si="166"/>
        <v>19968</v>
      </c>
      <c r="G481" s="34">
        <f t="shared" si="166"/>
        <v>19968</v>
      </c>
      <c r="H481" s="34">
        <f t="shared" si="164"/>
        <v>1875</v>
      </c>
      <c r="I481" s="34">
        <f t="shared" si="164"/>
        <v>1875</v>
      </c>
      <c r="J481" s="34">
        <f t="shared" si="167"/>
        <v>24100</v>
      </c>
      <c r="K481" s="133">
        <v>1000</v>
      </c>
      <c r="L481" s="34"/>
      <c r="M481" s="16">
        <f t="shared" si="147"/>
        <v>2403.0700364325635</v>
      </c>
      <c r="N481" s="36">
        <v>780</v>
      </c>
      <c r="O481" s="36">
        <v>3</v>
      </c>
      <c r="P481" s="99">
        <v>1500</v>
      </c>
      <c r="Q481" s="2" t="s">
        <v>104</v>
      </c>
      <c r="S481" s="36">
        <f t="shared" si="165"/>
        <v>750</v>
      </c>
    </row>
    <row r="482" spans="1:20" x14ac:dyDescent="0.2">
      <c r="A482" s="8" t="str">
        <f t="shared" si="163"/>
        <v>1010133</v>
      </c>
      <c r="B482" s="8">
        <v>101</v>
      </c>
      <c r="C482" s="8">
        <v>1</v>
      </c>
      <c r="D482" s="8" t="s">
        <v>64</v>
      </c>
      <c r="E482" s="8">
        <v>3</v>
      </c>
      <c r="F482" s="34">
        <f t="shared" si="166"/>
        <v>23296</v>
      </c>
      <c r="G482" s="34">
        <f t="shared" si="166"/>
        <v>23296</v>
      </c>
      <c r="H482" s="34">
        <f t="shared" si="164"/>
        <v>1875</v>
      </c>
      <c r="I482" s="34">
        <f t="shared" si="164"/>
        <v>1875</v>
      </c>
      <c r="J482" s="34">
        <f t="shared" si="167"/>
        <v>27400</v>
      </c>
      <c r="K482" s="133">
        <v>1000</v>
      </c>
      <c r="L482" s="34"/>
      <c r="M482" s="16">
        <f t="shared" si="147"/>
        <v>2767.6207832721593</v>
      </c>
      <c r="N482" s="36">
        <v>770</v>
      </c>
      <c r="O482" s="36">
        <v>3.5</v>
      </c>
      <c r="P482" s="99">
        <v>1500</v>
      </c>
      <c r="Q482" s="2" t="s">
        <v>104</v>
      </c>
      <c r="S482" s="36">
        <f t="shared" si="165"/>
        <v>750</v>
      </c>
    </row>
    <row r="483" spans="1:20" x14ac:dyDescent="0.2">
      <c r="A483" s="8" t="str">
        <f t="shared" si="163"/>
        <v>1010134</v>
      </c>
      <c r="B483" s="8">
        <v>101</v>
      </c>
      <c r="C483" s="8">
        <v>1</v>
      </c>
      <c r="D483" s="8" t="s">
        <v>64</v>
      </c>
      <c r="E483" s="8">
        <v>4</v>
      </c>
      <c r="F483" s="34">
        <f t="shared" si="166"/>
        <v>26625</v>
      </c>
      <c r="G483" s="34">
        <f t="shared" si="166"/>
        <v>26625</v>
      </c>
      <c r="H483" s="34">
        <f t="shared" si="164"/>
        <v>1875</v>
      </c>
      <c r="I483" s="34">
        <f t="shared" si="164"/>
        <v>1875</v>
      </c>
      <c r="J483" s="34">
        <f t="shared" si="167"/>
        <v>30507</v>
      </c>
      <c r="K483" s="133">
        <v>1000</v>
      </c>
      <c r="L483" s="34"/>
      <c r="M483" s="16">
        <f t="shared" si="147"/>
        <v>3122.0164157159716</v>
      </c>
      <c r="N483" s="36">
        <v>760</v>
      </c>
      <c r="O483" s="36">
        <v>4</v>
      </c>
      <c r="P483" s="99">
        <v>1500</v>
      </c>
      <c r="Q483" s="2" t="s">
        <v>104</v>
      </c>
      <c r="S483" s="36">
        <f t="shared" si="165"/>
        <v>750</v>
      </c>
    </row>
    <row r="484" spans="1:20" ht="38.25" x14ac:dyDescent="0.2">
      <c r="A484" s="8" t="str">
        <f t="shared" si="163"/>
        <v/>
      </c>
      <c r="B484" s="5"/>
      <c r="C484" s="6" t="s">
        <v>67</v>
      </c>
      <c r="D484" s="5"/>
      <c r="E484" s="5"/>
      <c r="F484" s="5"/>
      <c r="G484" s="5"/>
      <c r="H484" s="5"/>
      <c r="I484" s="5"/>
      <c r="J484" s="5"/>
      <c r="K484" s="133">
        <v>1000</v>
      </c>
      <c r="L484" s="5"/>
      <c r="M484" s="16">
        <f t="shared" si="147"/>
        <v>0</v>
      </c>
      <c r="N484" s="5"/>
      <c r="O484" s="5"/>
      <c r="P484" s="5"/>
      <c r="Q484" s="5"/>
      <c r="R484" s="5"/>
      <c r="S484" s="30"/>
      <c r="T484" s="266"/>
    </row>
    <row r="485" spans="1:20" ht="16.5" x14ac:dyDescent="0.2">
      <c r="A485" s="8" t="str">
        <f t="shared" si="163"/>
        <v>20110</v>
      </c>
      <c r="B485" s="8">
        <v>2</v>
      </c>
      <c r="C485" s="8">
        <v>1</v>
      </c>
      <c r="D485" s="8" t="s">
        <v>62</v>
      </c>
      <c r="E485" s="8">
        <v>0</v>
      </c>
      <c r="F485" s="34">
        <f>ROUNDDOWN($P485/4*$O485*10*$N485/$N485*$Q485/400,0)</f>
        <v>3834</v>
      </c>
      <c r="G485" s="34">
        <f>ROUNDDOWN($P485/4*$O485*10*$N485/$N485*$Q485/400,0)</f>
        <v>3834</v>
      </c>
      <c r="H485" s="34">
        <f t="shared" ref="H485:I499" si="168">ROUNDDOWN($S485/4*10,0)</f>
        <v>2160</v>
      </c>
      <c r="I485" s="34">
        <f t="shared" si="168"/>
        <v>2160</v>
      </c>
      <c r="J485" s="34">
        <f>ROUNDDOWN($P485/4*$O485*10*$N485/$Q485*$N485/400,0)</f>
        <v>4867</v>
      </c>
      <c r="K485" s="133">
        <v>1000</v>
      </c>
      <c r="L485" s="34"/>
      <c r="M485" s="16">
        <f t="shared" si="147"/>
        <v>507.89459366289776</v>
      </c>
      <c r="N485" s="36">
        <v>800</v>
      </c>
      <c r="O485" s="36">
        <v>0.5</v>
      </c>
      <c r="P485" s="117">
        <v>1728</v>
      </c>
      <c r="Q485" s="2" t="s">
        <v>104</v>
      </c>
      <c r="S485" s="36">
        <f t="shared" ref="S485:S499" si="169">ROUNDDOWN(P485*0.5,0)</f>
        <v>864</v>
      </c>
    </row>
    <row r="486" spans="1:20" ht="16.5" x14ac:dyDescent="0.2">
      <c r="A486" s="8" t="str">
        <f t="shared" si="163"/>
        <v>20111</v>
      </c>
      <c r="B486" s="8">
        <v>2</v>
      </c>
      <c r="C486" s="8">
        <v>1</v>
      </c>
      <c r="D486" s="8" t="s">
        <v>62</v>
      </c>
      <c r="E486" s="8">
        <v>1</v>
      </c>
      <c r="F486" s="34">
        <f t="shared" ref="F486:G489" si="170">ROUNDDOWN($P486/4*$O486*10*$N486/$N486*$Q486/400,0)</f>
        <v>7668</v>
      </c>
      <c r="G486" s="34">
        <f t="shared" si="170"/>
        <v>7668</v>
      </c>
      <c r="H486" s="34">
        <f t="shared" si="168"/>
        <v>2160</v>
      </c>
      <c r="I486" s="34">
        <f t="shared" si="168"/>
        <v>2160</v>
      </c>
      <c r="J486" s="34">
        <f t="shared" ref="J486:J489" si="171">ROUNDDOWN($P486/4*$O486*10*$N486/$Q486*$N486/400,0)</f>
        <v>9493</v>
      </c>
      <c r="K486" s="133">
        <v>1000</v>
      </c>
      <c r="L486" s="34"/>
      <c r="M486" s="16">
        <f t="shared" ref="M486:M549" si="172">(F486*J486*((H486+I486)/2)/1000)^(1/2)/10*0.8</f>
        <v>1003.1356274083779</v>
      </c>
      <c r="N486" s="36">
        <v>790</v>
      </c>
      <c r="O486" s="36">
        <v>1</v>
      </c>
      <c r="P486" s="117">
        <v>1728</v>
      </c>
      <c r="Q486" s="2" t="s">
        <v>104</v>
      </c>
      <c r="S486" s="36">
        <f t="shared" si="169"/>
        <v>864</v>
      </c>
    </row>
    <row r="487" spans="1:20" ht="16.5" x14ac:dyDescent="0.2">
      <c r="A487" s="8" t="str">
        <f t="shared" si="163"/>
        <v>20112</v>
      </c>
      <c r="B487" s="8">
        <v>2</v>
      </c>
      <c r="C487" s="8">
        <v>1</v>
      </c>
      <c r="D487" s="8" t="s">
        <v>62</v>
      </c>
      <c r="E487" s="8">
        <v>2</v>
      </c>
      <c r="F487" s="34">
        <f t="shared" si="170"/>
        <v>15336</v>
      </c>
      <c r="G487" s="34">
        <f t="shared" si="170"/>
        <v>15336</v>
      </c>
      <c r="H487" s="34">
        <f t="shared" si="168"/>
        <v>2160</v>
      </c>
      <c r="I487" s="34">
        <f t="shared" si="168"/>
        <v>2160</v>
      </c>
      <c r="J487" s="34">
        <f t="shared" si="171"/>
        <v>18509</v>
      </c>
      <c r="K487" s="133">
        <v>1000</v>
      </c>
      <c r="L487" s="34"/>
      <c r="M487" s="16">
        <f t="shared" si="172"/>
        <v>1980.9083844983845</v>
      </c>
      <c r="N487" s="36">
        <v>780</v>
      </c>
      <c r="O487" s="36">
        <v>2</v>
      </c>
      <c r="P487" s="117">
        <v>1728</v>
      </c>
      <c r="Q487" s="2" t="s">
        <v>104</v>
      </c>
      <c r="S487" s="36">
        <f t="shared" si="169"/>
        <v>864</v>
      </c>
    </row>
    <row r="488" spans="1:20" ht="16.5" x14ac:dyDescent="0.2">
      <c r="A488" s="8" t="str">
        <f t="shared" si="163"/>
        <v>20113</v>
      </c>
      <c r="B488" s="8">
        <v>2</v>
      </c>
      <c r="C488" s="8">
        <v>1</v>
      </c>
      <c r="D488" s="8" t="s">
        <v>62</v>
      </c>
      <c r="E488" s="8">
        <v>3</v>
      </c>
      <c r="F488" s="34">
        <f t="shared" si="170"/>
        <v>23004</v>
      </c>
      <c r="G488" s="34">
        <f t="shared" si="170"/>
        <v>23004</v>
      </c>
      <c r="H488" s="34">
        <f t="shared" si="168"/>
        <v>2160</v>
      </c>
      <c r="I488" s="34">
        <f t="shared" si="168"/>
        <v>2160</v>
      </c>
      <c r="J488" s="34">
        <f t="shared" si="171"/>
        <v>27056</v>
      </c>
      <c r="K488" s="133">
        <v>1000</v>
      </c>
      <c r="L488" s="34"/>
      <c r="M488" s="16">
        <f t="shared" si="172"/>
        <v>2933.2584953556343</v>
      </c>
      <c r="N488" s="36">
        <v>770</v>
      </c>
      <c r="O488" s="36">
        <v>3</v>
      </c>
      <c r="P488" s="117">
        <v>1728</v>
      </c>
      <c r="Q488" s="2" t="s">
        <v>104</v>
      </c>
      <c r="S488" s="36">
        <f t="shared" si="169"/>
        <v>864</v>
      </c>
    </row>
    <row r="489" spans="1:20" ht="16.5" x14ac:dyDescent="0.2">
      <c r="A489" s="8" t="str">
        <f t="shared" si="163"/>
        <v>20114</v>
      </c>
      <c r="B489" s="8">
        <v>2</v>
      </c>
      <c r="C489" s="8">
        <v>1</v>
      </c>
      <c r="D489" s="8" t="s">
        <v>62</v>
      </c>
      <c r="E489" s="8">
        <v>4</v>
      </c>
      <c r="F489" s="34">
        <f t="shared" si="170"/>
        <v>30672</v>
      </c>
      <c r="G489" s="34">
        <f t="shared" si="170"/>
        <v>30672</v>
      </c>
      <c r="H489" s="34">
        <f t="shared" si="168"/>
        <v>2160</v>
      </c>
      <c r="I489" s="34">
        <f t="shared" si="168"/>
        <v>2160</v>
      </c>
      <c r="J489" s="34">
        <f t="shared" si="171"/>
        <v>35144</v>
      </c>
      <c r="K489" s="133">
        <v>1000</v>
      </c>
      <c r="L489" s="34"/>
      <c r="M489" s="16">
        <f t="shared" si="172"/>
        <v>3860.2328790931774</v>
      </c>
      <c r="N489" s="36">
        <v>760</v>
      </c>
      <c r="O489" s="36">
        <v>4</v>
      </c>
      <c r="P489" s="117">
        <v>1728</v>
      </c>
      <c r="Q489" s="2" t="s">
        <v>104</v>
      </c>
      <c r="S489" s="36">
        <f t="shared" si="169"/>
        <v>864</v>
      </c>
    </row>
    <row r="490" spans="1:20" ht="16.5" x14ac:dyDescent="0.2">
      <c r="A490" s="8" t="str">
        <f t="shared" si="163"/>
        <v>20210</v>
      </c>
      <c r="B490" s="8">
        <v>2</v>
      </c>
      <c r="C490" s="8">
        <v>2</v>
      </c>
      <c r="D490" s="8" t="s">
        <v>62</v>
      </c>
      <c r="E490" s="8">
        <v>0</v>
      </c>
      <c r="F490" s="34">
        <f>ROUNDDOWN($P490/4*$O490*10*$N490/$N490*$Q490/400,0)</f>
        <v>4224</v>
      </c>
      <c r="G490" s="34">
        <f>ROUNDDOWN($P490/4*$O490*10*$N490/$N490*$Q490/400,0)</f>
        <v>4224</v>
      </c>
      <c r="H490" s="34">
        <f t="shared" si="168"/>
        <v>2380</v>
      </c>
      <c r="I490" s="34">
        <f t="shared" si="168"/>
        <v>2380</v>
      </c>
      <c r="J490" s="34">
        <f>ROUNDDOWN($P490/4*$O490*10*$N490/$Q490*$N490/400,0)</f>
        <v>5363</v>
      </c>
      <c r="K490" s="133">
        <v>1000</v>
      </c>
      <c r="L490" s="34"/>
      <c r="M490" s="16">
        <f t="shared" si="172"/>
        <v>587.41403488851029</v>
      </c>
      <c r="N490" s="36">
        <v>800</v>
      </c>
      <c r="O490" s="36">
        <v>0.5</v>
      </c>
      <c r="P490" s="117">
        <v>1904</v>
      </c>
      <c r="Q490" s="2" t="s">
        <v>104</v>
      </c>
      <c r="S490" s="36">
        <f t="shared" si="169"/>
        <v>952</v>
      </c>
    </row>
    <row r="491" spans="1:20" ht="16.5" x14ac:dyDescent="0.2">
      <c r="A491" s="8" t="str">
        <f t="shared" si="163"/>
        <v>20211</v>
      </c>
      <c r="B491" s="8">
        <v>2</v>
      </c>
      <c r="C491" s="8">
        <v>2</v>
      </c>
      <c r="D491" s="8" t="s">
        <v>62</v>
      </c>
      <c r="E491" s="8">
        <v>1</v>
      </c>
      <c r="F491" s="34">
        <f t="shared" ref="F491:G494" si="173">ROUNDDOWN($P491/4*$O491*10*$N491/$N491*$Q491/400,0)</f>
        <v>8449</v>
      </c>
      <c r="G491" s="34">
        <f t="shared" si="173"/>
        <v>8449</v>
      </c>
      <c r="H491" s="34">
        <f t="shared" si="168"/>
        <v>2380</v>
      </c>
      <c r="I491" s="34">
        <f t="shared" si="168"/>
        <v>2380</v>
      </c>
      <c r="J491" s="34">
        <f t="shared" ref="J491:J494" si="174">ROUNDDOWN($P491/4*$O491*10*$N491/$Q491*$N491/400,0)</f>
        <v>10460</v>
      </c>
      <c r="K491" s="133">
        <v>1000</v>
      </c>
      <c r="L491" s="34"/>
      <c r="M491" s="16">
        <f t="shared" si="172"/>
        <v>1160.2376727550266</v>
      </c>
      <c r="N491" s="36">
        <v>790</v>
      </c>
      <c r="O491" s="36">
        <v>1</v>
      </c>
      <c r="P491" s="117">
        <v>1904</v>
      </c>
      <c r="Q491" s="2" t="s">
        <v>104</v>
      </c>
      <c r="S491" s="36">
        <f t="shared" si="169"/>
        <v>952</v>
      </c>
    </row>
    <row r="492" spans="1:20" ht="16.5" x14ac:dyDescent="0.2">
      <c r="A492" s="8" t="str">
        <f t="shared" si="163"/>
        <v>20212</v>
      </c>
      <c r="B492" s="8">
        <v>2</v>
      </c>
      <c r="C492" s="8">
        <v>2</v>
      </c>
      <c r="D492" s="8" t="s">
        <v>62</v>
      </c>
      <c r="E492" s="8">
        <v>2</v>
      </c>
      <c r="F492" s="34">
        <f t="shared" si="173"/>
        <v>16898</v>
      </c>
      <c r="G492" s="34">
        <f t="shared" si="173"/>
        <v>16898</v>
      </c>
      <c r="H492" s="34">
        <f t="shared" si="168"/>
        <v>2380</v>
      </c>
      <c r="I492" s="34">
        <f t="shared" si="168"/>
        <v>2380</v>
      </c>
      <c r="J492" s="34">
        <f t="shared" si="174"/>
        <v>20394</v>
      </c>
      <c r="K492" s="133">
        <v>1000</v>
      </c>
      <c r="L492" s="34"/>
      <c r="M492" s="16">
        <f t="shared" si="172"/>
        <v>2291.1173065524163</v>
      </c>
      <c r="N492" s="36">
        <v>780</v>
      </c>
      <c r="O492" s="36">
        <v>2</v>
      </c>
      <c r="P492" s="117">
        <v>1904</v>
      </c>
      <c r="Q492" s="2" t="s">
        <v>104</v>
      </c>
      <c r="S492" s="36">
        <f t="shared" si="169"/>
        <v>952</v>
      </c>
    </row>
    <row r="493" spans="1:20" ht="16.5" x14ac:dyDescent="0.2">
      <c r="A493" s="8" t="str">
        <f t="shared" si="163"/>
        <v>20213</v>
      </c>
      <c r="B493" s="8">
        <v>2</v>
      </c>
      <c r="C493" s="8">
        <v>2</v>
      </c>
      <c r="D493" s="8" t="s">
        <v>62</v>
      </c>
      <c r="E493" s="8">
        <v>3</v>
      </c>
      <c r="F493" s="34">
        <f t="shared" si="173"/>
        <v>25347</v>
      </c>
      <c r="G493" s="34">
        <f t="shared" si="173"/>
        <v>25347</v>
      </c>
      <c r="H493" s="34">
        <f t="shared" si="168"/>
        <v>2380</v>
      </c>
      <c r="I493" s="34">
        <f t="shared" si="168"/>
        <v>2380</v>
      </c>
      <c r="J493" s="34">
        <f t="shared" si="174"/>
        <v>29812</v>
      </c>
      <c r="K493" s="133">
        <v>1000</v>
      </c>
      <c r="L493" s="34"/>
      <c r="M493" s="16">
        <f t="shared" si="172"/>
        <v>3392.6362972249176</v>
      </c>
      <c r="N493" s="36">
        <v>770</v>
      </c>
      <c r="O493" s="36">
        <v>3</v>
      </c>
      <c r="P493" s="117">
        <v>1904</v>
      </c>
      <c r="Q493" s="2" t="s">
        <v>104</v>
      </c>
      <c r="S493" s="36">
        <f t="shared" si="169"/>
        <v>952</v>
      </c>
    </row>
    <row r="494" spans="1:20" ht="16.5" x14ac:dyDescent="0.2">
      <c r="A494" s="8" t="str">
        <f t="shared" si="163"/>
        <v>20214</v>
      </c>
      <c r="B494" s="8">
        <v>2</v>
      </c>
      <c r="C494" s="8">
        <v>2</v>
      </c>
      <c r="D494" s="8" t="s">
        <v>62</v>
      </c>
      <c r="E494" s="8">
        <v>4</v>
      </c>
      <c r="F494" s="34">
        <f t="shared" si="173"/>
        <v>33796</v>
      </c>
      <c r="G494" s="34">
        <f t="shared" si="173"/>
        <v>33796</v>
      </c>
      <c r="H494" s="34">
        <f t="shared" si="168"/>
        <v>2380</v>
      </c>
      <c r="I494" s="34">
        <f t="shared" si="168"/>
        <v>2380</v>
      </c>
      <c r="J494" s="34">
        <f t="shared" si="174"/>
        <v>38723</v>
      </c>
      <c r="K494" s="133">
        <v>1000</v>
      </c>
      <c r="L494" s="34"/>
      <c r="M494" s="16">
        <f t="shared" si="172"/>
        <v>4464.7342543376535</v>
      </c>
      <c r="N494" s="36">
        <v>760</v>
      </c>
      <c r="O494" s="36">
        <v>4</v>
      </c>
      <c r="P494" s="117">
        <v>1904</v>
      </c>
      <c r="Q494" s="2" t="s">
        <v>104</v>
      </c>
      <c r="S494" s="36">
        <f t="shared" si="169"/>
        <v>952</v>
      </c>
    </row>
    <row r="495" spans="1:20" ht="16.5" x14ac:dyDescent="0.2">
      <c r="A495" s="8" t="str">
        <f t="shared" si="163"/>
        <v>20310</v>
      </c>
      <c r="B495" s="8">
        <v>2</v>
      </c>
      <c r="C495" s="8">
        <v>3</v>
      </c>
      <c r="D495" s="8" t="s">
        <v>62</v>
      </c>
      <c r="E495" s="8">
        <v>0</v>
      </c>
      <c r="F495" s="34">
        <f>ROUNDDOWN($P495/4*$O495*10*$N495/$N495*$Q495/400,0)</f>
        <v>4504</v>
      </c>
      <c r="G495" s="34">
        <f>ROUNDDOWN($P495/4*$O495*10*$N495/$N495*$Q495/400,0)</f>
        <v>4504</v>
      </c>
      <c r="H495" s="34">
        <f t="shared" si="168"/>
        <v>2537</v>
      </c>
      <c r="I495" s="34">
        <f t="shared" si="168"/>
        <v>2537</v>
      </c>
      <c r="J495" s="34">
        <f>ROUNDDOWN($P495/4*$O495*10*$N495/$Q495*$N495/400,0)</f>
        <v>5719</v>
      </c>
      <c r="K495" s="133">
        <v>1000</v>
      </c>
      <c r="L495" s="34"/>
      <c r="M495" s="16">
        <f t="shared" si="172"/>
        <v>646.70982630295646</v>
      </c>
      <c r="N495" s="36">
        <v>800</v>
      </c>
      <c r="O495" s="36">
        <v>0.5</v>
      </c>
      <c r="P495" s="117">
        <v>2030.4</v>
      </c>
      <c r="Q495" s="2" t="s">
        <v>104</v>
      </c>
      <c r="S495" s="36">
        <f t="shared" si="169"/>
        <v>1015</v>
      </c>
    </row>
    <row r="496" spans="1:20" ht="16.5" x14ac:dyDescent="0.2">
      <c r="A496" s="8" t="str">
        <f t="shared" si="163"/>
        <v>20311</v>
      </c>
      <c r="B496" s="8">
        <v>2</v>
      </c>
      <c r="C496" s="8">
        <v>3</v>
      </c>
      <c r="D496" s="8" t="s">
        <v>62</v>
      </c>
      <c r="E496" s="8">
        <v>1</v>
      </c>
      <c r="F496" s="34">
        <f t="shared" ref="F496:G499" si="175">ROUNDDOWN($P496/4*$O496*10*$N496/$N496*$Q496/400,0)</f>
        <v>9009</v>
      </c>
      <c r="G496" s="34">
        <f t="shared" si="175"/>
        <v>9009</v>
      </c>
      <c r="H496" s="34">
        <f t="shared" si="168"/>
        <v>2537</v>
      </c>
      <c r="I496" s="34">
        <f t="shared" si="168"/>
        <v>2537</v>
      </c>
      <c r="J496" s="34">
        <f t="shared" ref="J496:J499" si="176">ROUNDDOWN($P496/4*$O496*10*$N496/$Q496*$N496/400,0)</f>
        <v>11154</v>
      </c>
      <c r="K496" s="133">
        <v>1000</v>
      </c>
      <c r="L496" s="34"/>
      <c r="M496" s="16">
        <f t="shared" si="172"/>
        <v>1277.3321229049243</v>
      </c>
      <c r="N496" s="36">
        <v>790</v>
      </c>
      <c r="O496" s="36">
        <v>1</v>
      </c>
      <c r="P496" s="117">
        <v>2030.4</v>
      </c>
      <c r="Q496" s="2" t="s">
        <v>104</v>
      </c>
      <c r="S496" s="36">
        <f t="shared" si="169"/>
        <v>1015</v>
      </c>
    </row>
    <row r="497" spans="1:20" ht="16.5" x14ac:dyDescent="0.2">
      <c r="A497" s="8" t="str">
        <f t="shared" si="163"/>
        <v>20312</v>
      </c>
      <c r="B497" s="8">
        <v>2</v>
      </c>
      <c r="C497" s="8">
        <v>3</v>
      </c>
      <c r="D497" s="8" t="s">
        <v>62</v>
      </c>
      <c r="E497" s="8">
        <v>2</v>
      </c>
      <c r="F497" s="34">
        <f t="shared" si="175"/>
        <v>18019</v>
      </c>
      <c r="G497" s="34">
        <f t="shared" si="175"/>
        <v>18019</v>
      </c>
      <c r="H497" s="34">
        <f t="shared" si="168"/>
        <v>2537</v>
      </c>
      <c r="I497" s="34">
        <f t="shared" si="168"/>
        <v>2537</v>
      </c>
      <c r="J497" s="34">
        <f t="shared" si="176"/>
        <v>21748</v>
      </c>
      <c r="K497" s="133">
        <v>1000</v>
      </c>
      <c r="L497" s="34"/>
      <c r="M497" s="16">
        <f t="shared" si="172"/>
        <v>2522.4654439261603</v>
      </c>
      <c r="N497" s="36">
        <v>780</v>
      </c>
      <c r="O497" s="36">
        <v>2</v>
      </c>
      <c r="P497" s="117">
        <v>2030.4</v>
      </c>
      <c r="Q497" s="2" t="s">
        <v>104</v>
      </c>
      <c r="S497" s="36">
        <f t="shared" si="169"/>
        <v>1015</v>
      </c>
    </row>
    <row r="498" spans="1:20" ht="16.5" x14ac:dyDescent="0.2">
      <c r="A498" s="8" t="str">
        <f t="shared" si="163"/>
        <v>20313</v>
      </c>
      <c r="B498" s="8">
        <v>2</v>
      </c>
      <c r="C498" s="8">
        <v>3</v>
      </c>
      <c r="D498" s="8" t="s">
        <v>62</v>
      </c>
      <c r="E498" s="8">
        <v>3</v>
      </c>
      <c r="F498" s="34">
        <f t="shared" si="175"/>
        <v>27029</v>
      </c>
      <c r="G498" s="34">
        <f t="shared" si="175"/>
        <v>27029</v>
      </c>
      <c r="H498" s="34">
        <f t="shared" si="168"/>
        <v>2537</v>
      </c>
      <c r="I498" s="34">
        <f t="shared" si="168"/>
        <v>2537</v>
      </c>
      <c r="J498" s="34">
        <f t="shared" si="176"/>
        <v>31791</v>
      </c>
      <c r="K498" s="133">
        <v>1000</v>
      </c>
      <c r="L498" s="34"/>
      <c r="M498" s="16">
        <f t="shared" si="172"/>
        <v>3735.229614997611</v>
      </c>
      <c r="N498" s="36">
        <v>770</v>
      </c>
      <c r="O498" s="36">
        <v>3</v>
      </c>
      <c r="P498" s="117">
        <v>2030.4</v>
      </c>
      <c r="Q498" s="2" t="s">
        <v>104</v>
      </c>
      <c r="S498" s="36">
        <f t="shared" si="169"/>
        <v>1015</v>
      </c>
    </row>
    <row r="499" spans="1:20" ht="16.5" x14ac:dyDescent="0.2">
      <c r="A499" s="8" t="str">
        <f t="shared" si="163"/>
        <v>20314</v>
      </c>
      <c r="B499" s="8">
        <v>2</v>
      </c>
      <c r="C499" s="8">
        <v>3</v>
      </c>
      <c r="D499" s="8" t="s">
        <v>62</v>
      </c>
      <c r="E499" s="8">
        <v>4</v>
      </c>
      <c r="F499" s="34">
        <f t="shared" si="175"/>
        <v>36039</v>
      </c>
      <c r="G499" s="34">
        <f t="shared" si="175"/>
        <v>36039</v>
      </c>
      <c r="H499" s="34">
        <f t="shared" si="168"/>
        <v>2537</v>
      </c>
      <c r="I499" s="34">
        <f t="shared" si="168"/>
        <v>2537</v>
      </c>
      <c r="J499" s="34">
        <f t="shared" si="176"/>
        <v>41294</v>
      </c>
      <c r="K499" s="133">
        <v>1000</v>
      </c>
      <c r="L499" s="34"/>
      <c r="M499" s="16">
        <f t="shared" si="172"/>
        <v>4915.6399283866194</v>
      </c>
      <c r="N499" s="36">
        <v>760</v>
      </c>
      <c r="O499" s="36">
        <v>4</v>
      </c>
      <c r="P499" s="117">
        <v>2030.4</v>
      </c>
      <c r="Q499" s="2" t="s">
        <v>104</v>
      </c>
      <c r="S499" s="36">
        <f t="shared" si="169"/>
        <v>1015</v>
      </c>
    </row>
    <row r="500" spans="1:20" ht="38.25" x14ac:dyDescent="0.2">
      <c r="A500" s="8" t="str">
        <f t="shared" si="163"/>
        <v/>
      </c>
      <c r="B500" s="5"/>
      <c r="C500" s="6" t="s">
        <v>68</v>
      </c>
      <c r="D500" s="5"/>
      <c r="E500" s="5"/>
      <c r="F500" s="5"/>
      <c r="G500" s="5"/>
      <c r="H500" s="5"/>
      <c r="I500" s="5"/>
      <c r="J500" s="5"/>
      <c r="K500" s="133">
        <v>1000</v>
      </c>
      <c r="L500" s="5"/>
      <c r="M500" s="16">
        <f t="shared" si="172"/>
        <v>0</v>
      </c>
      <c r="N500" s="5"/>
      <c r="O500" s="5"/>
      <c r="P500" s="117"/>
      <c r="Q500" s="5"/>
      <c r="R500" s="5"/>
      <c r="S500" s="30"/>
      <c r="T500" s="266"/>
    </row>
    <row r="501" spans="1:20" ht="16.5" x14ac:dyDescent="0.2">
      <c r="A501" s="8" t="str">
        <f t="shared" si="163"/>
        <v>20120</v>
      </c>
      <c r="B501" s="8">
        <v>2</v>
      </c>
      <c r="C501" s="8">
        <v>1</v>
      </c>
      <c r="D501" s="8" t="s">
        <v>63</v>
      </c>
      <c r="E501" s="8">
        <v>0</v>
      </c>
      <c r="F501" s="34">
        <f>ROUNDDOWN($P501/4*$O501*10*$N501/$N501*$Q501/400,0)</f>
        <v>5391</v>
      </c>
      <c r="G501" s="34">
        <f>ROUNDDOWN($P501/4*$O501*10*$N501/$N501*$Q501/400,0)</f>
        <v>5391</v>
      </c>
      <c r="H501" s="34">
        <f t="shared" ref="H501:I515" si="177">ROUNDDOWN($S501/4*10,0)</f>
        <v>3037</v>
      </c>
      <c r="I501" s="34">
        <f t="shared" si="177"/>
        <v>3037</v>
      </c>
      <c r="J501" s="34">
        <f>ROUNDDOWN($P501/4*$O501*10*$N501/$Q501*$N501/400,0)</f>
        <v>6845</v>
      </c>
      <c r="K501" s="133">
        <v>1000</v>
      </c>
      <c r="L501" s="34"/>
      <c r="M501" s="16">
        <f t="shared" si="172"/>
        <v>846.90320245940734</v>
      </c>
      <c r="N501" s="36">
        <v>800</v>
      </c>
      <c r="O501" s="36">
        <v>0.5</v>
      </c>
      <c r="P501" s="117">
        <v>2430</v>
      </c>
      <c r="Q501" s="2" t="s">
        <v>104</v>
      </c>
      <c r="S501" s="36">
        <f t="shared" ref="S501:S515" si="178">ROUNDDOWN(P501*0.5,0)</f>
        <v>1215</v>
      </c>
    </row>
    <row r="502" spans="1:20" ht="16.5" x14ac:dyDescent="0.2">
      <c r="A502" s="8" t="str">
        <f t="shared" si="163"/>
        <v>20121</v>
      </c>
      <c r="B502" s="8">
        <v>2</v>
      </c>
      <c r="C502" s="8">
        <v>1</v>
      </c>
      <c r="D502" s="8" t="s">
        <v>63</v>
      </c>
      <c r="E502" s="8">
        <v>1</v>
      </c>
      <c r="F502" s="34">
        <f t="shared" ref="F502:G505" si="179">ROUNDDOWN($P502/4*$O502*10*$N502/$N502*$Q502/400,0)</f>
        <v>10783</v>
      </c>
      <c r="G502" s="34">
        <f t="shared" si="179"/>
        <v>10783</v>
      </c>
      <c r="H502" s="34">
        <f t="shared" si="177"/>
        <v>3037</v>
      </c>
      <c r="I502" s="34">
        <f t="shared" si="177"/>
        <v>3037</v>
      </c>
      <c r="J502" s="34">
        <f t="shared" ref="J502:J505" si="180">ROUNDDOWN($P502/4*$O502*10*$N502/$Q502*$N502/400,0)</f>
        <v>13350</v>
      </c>
      <c r="K502" s="133">
        <v>1000</v>
      </c>
      <c r="L502" s="34"/>
      <c r="M502" s="16">
        <f t="shared" si="172"/>
        <v>1672.7183391832591</v>
      </c>
      <c r="N502" s="36">
        <v>790</v>
      </c>
      <c r="O502" s="36">
        <v>1</v>
      </c>
      <c r="P502" s="117">
        <v>2430</v>
      </c>
      <c r="Q502" s="2" t="s">
        <v>104</v>
      </c>
      <c r="S502" s="36">
        <f t="shared" si="178"/>
        <v>1215</v>
      </c>
    </row>
    <row r="503" spans="1:20" ht="16.5" x14ac:dyDescent="0.2">
      <c r="A503" s="8" t="str">
        <f t="shared" si="163"/>
        <v>20122</v>
      </c>
      <c r="B503" s="8">
        <v>2</v>
      </c>
      <c r="C503" s="8">
        <v>1</v>
      </c>
      <c r="D503" s="8" t="s">
        <v>63</v>
      </c>
      <c r="E503" s="8">
        <v>2</v>
      </c>
      <c r="F503" s="34">
        <f t="shared" si="179"/>
        <v>26957</v>
      </c>
      <c r="G503" s="34">
        <f t="shared" si="179"/>
        <v>26957</v>
      </c>
      <c r="H503" s="34">
        <f t="shared" si="177"/>
        <v>3037</v>
      </c>
      <c r="I503" s="34">
        <f t="shared" si="177"/>
        <v>3037</v>
      </c>
      <c r="J503" s="34">
        <f t="shared" si="180"/>
        <v>32535</v>
      </c>
      <c r="K503" s="133">
        <v>1000</v>
      </c>
      <c r="L503" s="34"/>
      <c r="M503" s="16">
        <f t="shared" si="172"/>
        <v>4128.7973546319763</v>
      </c>
      <c r="N503" s="36">
        <v>780</v>
      </c>
      <c r="O503" s="36">
        <v>2.5</v>
      </c>
      <c r="P503" s="117">
        <v>2430</v>
      </c>
      <c r="Q503" s="2" t="s">
        <v>104</v>
      </c>
      <c r="S503" s="36">
        <f t="shared" si="178"/>
        <v>1215</v>
      </c>
    </row>
    <row r="504" spans="1:20" ht="16.5" x14ac:dyDescent="0.2">
      <c r="A504" s="8" t="str">
        <f t="shared" si="163"/>
        <v>20123</v>
      </c>
      <c r="B504" s="8">
        <v>2</v>
      </c>
      <c r="C504" s="8">
        <v>1</v>
      </c>
      <c r="D504" s="8" t="s">
        <v>63</v>
      </c>
      <c r="E504" s="8">
        <v>3</v>
      </c>
      <c r="F504" s="34">
        <f t="shared" si="179"/>
        <v>37740</v>
      </c>
      <c r="G504" s="34">
        <f t="shared" si="179"/>
        <v>37740</v>
      </c>
      <c r="H504" s="34">
        <f t="shared" si="177"/>
        <v>3037</v>
      </c>
      <c r="I504" s="34">
        <f t="shared" si="177"/>
        <v>3037</v>
      </c>
      <c r="J504" s="34">
        <f t="shared" si="180"/>
        <v>44389</v>
      </c>
      <c r="K504" s="133">
        <v>1000</v>
      </c>
      <c r="L504" s="34"/>
      <c r="M504" s="16">
        <f t="shared" si="172"/>
        <v>5706.2528464525649</v>
      </c>
      <c r="N504" s="36">
        <v>770</v>
      </c>
      <c r="O504" s="36">
        <v>3.5</v>
      </c>
      <c r="P504" s="117">
        <v>2430</v>
      </c>
      <c r="Q504" s="2" t="s">
        <v>104</v>
      </c>
      <c r="S504" s="36">
        <f t="shared" si="178"/>
        <v>1215</v>
      </c>
    </row>
    <row r="505" spans="1:20" ht="16.5" x14ac:dyDescent="0.2">
      <c r="A505" s="8" t="str">
        <f t="shared" si="163"/>
        <v>20124</v>
      </c>
      <c r="B505" s="8">
        <v>2</v>
      </c>
      <c r="C505" s="8">
        <v>1</v>
      </c>
      <c r="D505" s="8" t="s">
        <v>63</v>
      </c>
      <c r="E505" s="8">
        <v>4</v>
      </c>
      <c r="F505" s="34">
        <f t="shared" si="179"/>
        <v>43132</v>
      </c>
      <c r="G505" s="34">
        <f t="shared" si="179"/>
        <v>43132</v>
      </c>
      <c r="H505" s="34">
        <f t="shared" si="177"/>
        <v>3037</v>
      </c>
      <c r="I505" s="34">
        <f t="shared" si="177"/>
        <v>3037</v>
      </c>
      <c r="J505" s="34">
        <f t="shared" si="180"/>
        <v>49421</v>
      </c>
      <c r="K505" s="133">
        <v>1000</v>
      </c>
      <c r="L505" s="34"/>
      <c r="M505" s="16">
        <f t="shared" si="172"/>
        <v>6436.7693258846557</v>
      </c>
      <c r="N505" s="36">
        <v>760</v>
      </c>
      <c r="O505" s="36">
        <v>4</v>
      </c>
      <c r="P505" s="117">
        <v>2430</v>
      </c>
      <c r="Q505" s="2" t="s">
        <v>104</v>
      </c>
      <c r="S505" s="36">
        <f t="shared" si="178"/>
        <v>1215</v>
      </c>
    </row>
    <row r="506" spans="1:20" ht="16.5" x14ac:dyDescent="0.2">
      <c r="A506" s="8" t="str">
        <f t="shared" si="163"/>
        <v>20220</v>
      </c>
      <c r="B506" s="8">
        <v>2</v>
      </c>
      <c r="C506" s="8">
        <v>2</v>
      </c>
      <c r="D506" s="8" t="s">
        <v>63</v>
      </c>
      <c r="E506" s="8">
        <v>0</v>
      </c>
      <c r="F506" s="34">
        <f>ROUNDDOWN($P506/4*$O506*10*$N506/$N506*$Q506/400,0)</f>
        <v>5880</v>
      </c>
      <c r="G506" s="34">
        <f>ROUNDDOWN($P506/4*$O506*10*$N506/$N506*$Q506/400,0)</f>
        <v>5880</v>
      </c>
      <c r="H506" s="34">
        <f t="shared" si="177"/>
        <v>3312</v>
      </c>
      <c r="I506" s="34">
        <f t="shared" si="177"/>
        <v>3312</v>
      </c>
      <c r="J506" s="34">
        <f>ROUNDDOWN($P506/4*$O506*10*$N506/$Q506*$N506/400,0)</f>
        <v>7466</v>
      </c>
      <c r="K506" s="133">
        <v>1000</v>
      </c>
      <c r="L506" s="34"/>
      <c r="M506" s="16">
        <f t="shared" si="172"/>
        <v>964.64564257762561</v>
      </c>
      <c r="N506" s="36">
        <v>800</v>
      </c>
      <c r="O506" s="36">
        <v>0.5</v>
      </c>
      <c r="P506" s="117">
        <v>2650.5</v>
      </c>
      <c r="Q506" s="2" t="s">
        <v>104</v>
      </c>
      <c r="S506" s="36">
        <f t="shared" si="178"/>
        <v>1325</v>
      </c>
    </row>
    <row r="507" spans="1:20" ht="16.5" x14ac:dyDescent="0.2">
      <c r="A507" s="8" t="str">
        <f t="shared" si="163"/>
        <v>20221</v>
      </c>
      <c r="B507" s="8">
        <v>2</v>
      </c>
      <c r="C507" s="8">
        <v>2</v>
      </c>
      <c r="D507" s="8" t="s">
        <v>63</v>
      </c>
      <c r="E507" s="8">
        <v>1</v>
      </c>
      <c r="F507" s="34">
        <f t="shared" ref="F507:G510" si="181">ROUNDDOWN($P507/4*$O507*10*$N507/$N507*$Q507/400,0)</f>
        <v>11761</v>
      </c>
      <c r="G507" s="34">
        <f t="shared" si="181"/>
        <v>11761</v>
      </c>
      <c r="H507" s="34">
        <f t="shared" si="177"/>
        <v>3312</v>
      </c>
      <c r="I507" s="34">
        <f t="shared" si="177"/>
        <v>3312</v>
      </c>
      <c r="J507" s="34">
        <f t="shared" ref="J507:J510" si="182">ROUNDDOWN($P507/4*$O507*10*$N507/$Q507*$N507/400,0)</f>
        <v>14561</v>
      </c>
      <c r="K507" s="133">
        <v>1000</v>
      </c>
      <c r="L507" s="34"/>
      <c r="M507" s="16">
        <f t="shared" si="172"/>
        <v>1905.2539775717044</v>
      </c>
      <c r="N507" s="36">
        <v>790</v>
      </c>
      <c r="O507" s="36">
        <v>1</v>
      </c>
      <c r="P507" s="117">
        <v>2650.5</v>
      </c>
      <c r="Q507" s="2" t="s">
        <v>104</v>
      </c>
      <c r="S507" s="36">
        <f t="shared" si="178"/>
        <v>1325</v>
      </c>
    </row>
    <row r="508" spans="1:20" ht="16.5" x14ac:dyDescent="0.2">
      <c r="A508" s="8" t="str">
        <f t="shared" si="163"/>
        <v>20222</v>
      </c>
      <c r="B508" s="8">
        <v>2</v>
      </c>
      <c r="C508" s="8">
        <v>2</v>
      </c>
      <c r="D508" s="8" t="s">
        <v>63</v>
      </c>
      <c r="E508" s="8">
        <v>2</v>
      </c>
      <c r="F508" s="34">
        <f t="shared" si="181"/>
        <v>29403</v>
      </c>
      <c r="G508" s="34">
        <f t="shared" si="181"/>
        <v>29403</v>
      </c>
      <c r="H508" s="34">
        <f t="shared" si="177"/>
        <v>3312</v>
      </c>
      <c r="I508" s="34">
        <f t="shared" si="177"/>
        <v>3312</v>
      </c>
      <c r="J508" s="34">
        <f t="shared" si="182"/>
        <v>35487</v>
      </c>
      <c r="K508" s="133">
        <v>1000</v>
      </c>
      <c r="L508" s="34"/>
      <c r="M508" s="16">
        <f t="shared" si="172"/>
        <v>4702.8986142128142</v>
      </c>
      <c r="N508" s="36">
        <v>780</v>
      </c>
      <c r="O508" s="36">
        <v>2.5</v>
      </c>
      <c r="P508" s="117">
        <v>2650.5</v>
      </c>
      <c r="Q508" s="2" t="s">
        <v>104</v>
      </c>
      <c r="S508" s="36">
        <f t="shared" si="178"/>
        <v>1325</v>
      </c>
    </row>
    <row r="509" spans="1:20" ht="16.5" x14ac:dyDescent="0.2">
      <c r="A509" s="8" t="str">
        <f t="shared" si="163"/>
        <v>20223</v>
      </c>
      <c r="B509" s="8">
        <v>2</v>
      </c>
      <c r="C509" s="8">
        <v>2</v>
      </c>
      <c r="D509" s="8" t="s">
        <v>63</v>
      </c>
      <c r="E509" s="8">
        <v>3</v>
      </c>
      <c r="F509" s="34">
        <f t="shared" si="181"/>
        <v>41165</v>
      </c>
      <c r="G509" s="34">
        <f t="shared" si="181"/>
        <v>41165</v>
      </c>
      <c r="H509" s="34">
        <f t="shared" si="177"/>
        <v>3312</v>
      </c>
      <c r="I509" s="34">
        <f t="shared" si="177"/>
        <v>3312</v>
      </c>
      <c r="J509" s="34">
        <f t="shared" si="182"/>
        <v>48417</v>
      </c>
      <c r="K509" s="133">
        <v>1000</v>
      </c>
      <c r="L509" s="34"/>
      <c r="M509" s="16">
        <f t="shared" si="172"/>
        <v>6499.7723953553941</v>
      </c>
      <c r="N509" s="36">
        <v>770</v>
      </c>
      <c r="O509" s="36">
        <v>3.5</v>
      </c>
      <c r="P509" s="117">
        <v>2650.5</v>
      </c>
      <c r="Q509" s="2" t="s">
        <v>104</v>
      </c>
      <c r="S509" s="36">
        <f t="shared" si="178"/>
        <v>1325</v>
      </c>
    </row>
    <row r="510" spans="1:20" ht="16.5" x14ac:dyDescent="0.2">
      <c r="A510" s="8" t="str">
        <f t="shared" si="163"/>
        <v>20224</v>
      </c>
      <c r="B510" s="8">
        <v>2</v>
      </c>
      <c r="C510" s="8">
        <v>2</v>
      </c>
      <c r="D510" s="8" t="s">
        <v>63</v>
      </c>
      <c r="E510" s="8">
        <v>4</v>
      </c>
      <c r="F510" s="34">
        <f t="shared" si="181"/>
        <v>47046</v>
      </c>
      <c r="G510" s="34">
        <f t="shared" si="181"/>
        <v>47046</v>
      </c>
      <c r="H510" s="34">
        <f t="shared" si="177"/>
        <v>3312</v>
      </c>
      <c r="I510" s="34">
        <f t="shared" si="177"/>
        <v>3312</v>
      </c>
      <c r="J510" s="34">
        <f t="shared" si="182"/>
        <v>53905</v>
      </c>
      <c r="K510" s="133">
        <v>1000</v>
      </c>
      <c r="L510" s="34"/>
      <c r="M510" s="16">
        <f t="shared" si="172"/>
        <v>7331.8070698282827</v>
      </c>
      <c r="N510" s="36">
        <v>760</v>
      </c>
      <c r="O510" s="36">
        <v>4</v>
      </c>
      <c r="P510" s="117">
        <v>2650.5</v>
      </c>
      <c r="Q510" s="2" t="s">
        <v>104</v>
      </c>
      <c r="S510" s="36">
        <f t="shared" si="178"/>
        <v>1325</v>
      </c>
    </row>
    <row r="511" spans="1:20" ht="16.5" x14ac:dyDescent="0.2">
      <c r="A511" s="8" t="str">
        <f t="shared" si="163"/>
        <v>20320</v>
      </c>
      <c r="B511" s="8">
        <v>2</v>
      </c>
      <c r="C511" s="8">
        <v>3</v>
      </c>
      <c r="D511" s="8" t="s">
        <v>63</v>
      </c>
      <c r="E511" s="8">
        <v>0</v>
      </c>
      <c r="F511" s="34">
        <f>ROUNDDOWN($P511/4*$O511*10*$N511/$N511*$Q511/400,0)</f>
        <v>6390</v>
      </c>
      <c r="G511" s="34">
        <f>ROUNDDOWN($P511/4*$O511*10*$N511/$N511*$Q511/400,0)</f>
        <v>6390</v>
      </c>
      <c r="H511" s="34">
        <f t="shared" si="177"/>
        <v>3600</v>
      </c>
      <c r="I511" s="34">
        <f t="shared" si="177"/>
        <v>3600</v>
      </c>
      <c r="J511" s="34">
        <f>ROUNDDOWN($P511/4*$O511*10*$N511/$Q511*$N511/400,0)</f>
        <v>8112</v>
      </c>
      <c r="K511" s="133">
        <v>1000</v>
      </c>
      <c r="L511" s="34"/>
      <c r="M511" s="16">
        <f t="shared" si="172"/>
        <v>1092.8376216071626</v>
      </c>
      <c r="N511" s="36">
        <v>800</v>
      </c>
      <c r="O511" s="36">
        <v>0.5</v>
      </c>
      <c r="P511" s="117">
        <v>2880</v>
      </c>
      <c r="Q511" s="2" t="s">
        <v>104</v>
      </c>
      <c r="S511" s="36">
        <f t="shared" si="178"/>
        <v>1440</v>
      </c>
    </row>
    <row r="512" spans="1:20" ht="16.5" x14ac:dyDescent="0.2">
      <c r="A512" s="8" t="str">
        <f t="shared" si="163"/>
        <v>20321</v>
      </c>
      <c r="B512" s="8">
        <v>2</v>
      </c>
      <c r="C512" s="8">
        <v>3</v>
      </c>
      <c r="D512" s="8" t="s">
        <v>63</v>
      </c>
      <c r="E512" s="8">
        <v>1</v>
      </c>
      <c r="F512" s="34">
        <f t="shared" ref="F512:G515" si="183">ROUNDDOWN($P512/4*$O512*10*$N512/$N512*$Q512/400,0)</f>
        <v>12780</v>
      </c>
      <c r="G512" s="34">
        <f t="shared" si="183"/>
        <v>12780</v>
      </c>
      <c r="H512" s="34">
        <f t="shared" si="177"/>
        <v>3600</v>
      </c>
      <c r="I512" s="34">
        <f t="shared" si="177"/>
        <v>3600</v>
      </c>
      <c r="J512" s="34">
        <f t="shared" ref="J512:J515" si="184">ROUNDDOWN($P512/4*$O512*10*$N512/$Q512*$N512/400,0)</f>
        <v>15822</v>
      </c>
      <c r="K512" s="133">
        <v>1000</v>
      </c>
      <c r="L512" s="34"/>
      <c r="M512" s="16">
        <f t="shared" si="172"/>
        <v>2158.4269472002061</v>
      </c>
      <c r="N512" s="36">
        <v>790</v>
      </c>
      <c r="O512" s="36">
        <v>1</v>
      </c>
      <c r="P512" s="117">
        <v>2880</v>
      </c>
      <c r="Q512" s="2" t="s">
        <v>104</v>
      </c>
      <c r="S512" s="36">
        <f t="shared" si="178"/>
        <v>1440</v>
      </c>
    </row>
    <row r="513" spans="1:20" ht="16.5" x14ac:dyDescent="0.2">
      <c r="A513" s="8" t="str">
        <f t="shared" si="163"/>
        <v>20322</v>
      </c>
      <c r="B513" s="8">
        <v>2</v>
      </c>
      <c r="C513" s="8">
        <v>3</v>
      </c>
      <c r="D513" s="8" t="s">
        <v>63</v>
      </c>
      <c r="E513" s="8">
        <v>2</v>
      </c>
      <c r="F513" s="34">
        <f t="shared" si="183"/>
        <v>31950</v>
      </c>
      <c r="G513" s="34">
        <f t="shared" si="183"/>
        <v>31950</v>
      </c>
      <c r="H513" s="34">
        <f t="shared" si="177"/>
        <v>3600</v>
      </c>
      <c r="I513" s="34">
        <f t="shared" si="177"/>
        <v>3600</v>
      </c>
      <c r="J513" s="34">
        <f t="shared" si="184"/>
        <v>38560</v>
      </c>
      <c r="K513" s="133">
        <v>1000</v>
      </c>
      <c r="L513" s="34"/>
      <c r="M513" s="16">
        <f t="shared" si="172"/>
        <v>5327.7664813690926</v>
      </c>
      <c r="N513" s="36">
        <v>780</v>
      </c>
      <c r="O513" s="36">
        <v>2.5</v>
      </c>
      <c r="P513" s="117">
        <v>2880</v>
      </c>
      <c r="Q513" s="2" t="s">
        <v>104</v>
      </c>
      <c r="S513" s="36">
        <f t="shared" si="178"/>
        <v>1440</v>
      </c>
    </row>
    <row r="514" spans="1:20" ht="16.5" x14ac:dyDescent="0.2">
      <c r="A514" s="8" t="str">
        <f t="shared" si="163"/>
        <v>20323</v>
      </c>
      <c r="B514" s="8">
        <v>2</v>
      </c>
      <c r="C514" s="8">
        <v>3</v>
      </c>
      <c r="D514" s="8" t="s">
        <v>63</v>
      </c>
      <c r="E514" s="8">
        <v>3</v>
      </c>
      <c r="F514" s="34">
        <f t="shared" si="183"/>
        <v>44730</v>
      </c>
      <c r="G514" s="34">
        <f t="shared" si="183"/>
        <v>44730</v>
      </c>
      <c r="H514" s="34">
        <f t="shared" si="177"/>
        <v>3600</v>
      </c>
      <c r="I514" s="34">
        <f t="shared" si="177"/>
        <v>3600</v>
      </c>
      <c r="J514" s="34">
        <f t="shared" si="184"/>
        <v>52609</v>
      </c>
      <c r="K514" s="133">
        <v>1000</v>
      </c>
      <c r="L514" s="34"/>
      <c r="M514" s="16">
        <f t="shared" si="172"/>
        <v>7363.2697310909371</v>
      </c>
      <c r="N514" s="36">
        <v>770</v>
      </c>
      <c r="O514" s="36">
        <v>3.5</v>
      </c>
      <c r="P514" s="117">
        <v>2880</v>
      </c>
      <c r="Q514" s="2" t="s">
        <v>104</v>
      </c>
      <c r="S514" s="36">
        <f t="shared" si="178"/>
        <v>1440</v>
      </c>
    </row>
    <row r="515" spans="1:20" ht="16.5" x14ac:dyDescent="0.2">
      <c r="A515" s="8" t="str">
        <f t="shared" si="163"/>
        <v>20324</v>
      </c>
      <c r="B515" s="8">
        <v>2</v>
      </c>
      <c r="C515" s="8">
        <v>3</v>
      </c>
      <c r="D515" s="8" t="s">
        <v>63</v>
      </c>
      <c r="E515" s="8">
        <v>4</v>
      </c>
      <c r="F515" s="34">
        <f t="shared" si="183"/>
        <v>51120</v>
      </c>
      <c r="G515" s="34">
        <f t="shared" si="183"/>
        <v>51120</v>
      </c>
      <c r="H515" s="34">
        <f t="shared" si="177"/>
        <v>3600</v>
      </c>
      <c r="I515" s="34">
        <f t="shared" si="177"/>
        <v>3600</v>
      </c>
      <c r="J515" s="34">
        <f t="shared" si="184"/>
        <v>58573</v>
      </c>
      <c r="K515" s="133">
        <v>1000</v>
      </c>
      <c r="L515" s="34"/>
      <c r="M515" s="16">
        <f t="shared" si="172"/>
        <v>8305.8750622917523</v>
      </c>
      <c r="N515" s="36">
        <v>760</v>
      </c>
      <c r="O515" s="36">
        <v>4</v>
      </c>
      <c r="P515" s="117">
        <v>2880</v>
      </c>
      <c r="Q515" s="2" t="s">
        <v>104</v>
      </c>
      <c r="S515" s="36">
        <f t="shared" si="178"/>
        <v>1440</v>
      </c>
    </row>
    <row r="516" spans="1:20" ht="38.25" x14ac:dyDescent="0.2">
      <c r="A516" s="8" t="str">
        <f t="shared" si="163"/>
        <v/>
      </c>
      <c r="B516" s="5"/>
      <c r="C516" s="6" t="s">
        <v>69</v>
      </c>
      <c r="D516" s="5"/>
      <c r="E516" s="5"/>
      <c r="F516" s="5"/>
      <c r="G516" s="5"/>
      <c r="H516" s="5"/>
      <c r="I516" s="5"/>
      <c r="J516" s="5"/>
      <c r="K516" s="133">
        <v>1000</v>
      </c>
      <c r="L516" s="5"/>
      <c r="M516" s="16">
        <f t="shared" si="172"/>
        <v>0</v>
      </c>
      <c r="N516" s="5"/>
      <c r="O516" s="5"/>
      <c r="P516" s="117"/>
      <c r="Q516" s="5"/>
      <c r="R516" s="5"/>
      <c r="S516" s="30"/>
      <c r="T516" s="266"/>
    </row>
    <row r="517" spans="1:20" ht="16.5" x14ac:dyDescent="0.2">
      <c r="A517" s="8" t="str">
        <f t="shared" si="163"/>
        <v>20130</v>
      </c>
      <c r="B517" s="8">
        <v>2</v>
      </c>
      <c r="C517" s="8">
        <v>1</v>
      </c>
      <c r="D517" s="8" t="s">
        <v>64</v>
      </c>
      <c r="E517" s="8">
        <v>0</v>
      </c>
      <c r="F517" s="34">
        <f>ROUNDDOWN($P517/4*$O517*10*$N517/$N517*$Q517/400,0)</f>
        <v>7389</v>
      </c>
      <c r="G517" s="34">
        <f>ROUNDDOWN($P517/4*$O517*10*$N517/$N517*$Q517/400,0)</f>
        <v>7389</v>
      </c>
      <c r="H517" s="34">
        <f t="shared" ref="H517:I531" si="185">ROUNDDOWN($S517/4*10,0)</f>
        <v>4162</v>
      </c>
      <c r="I517" s="34">
        <f t="shared" si="185"/>
        <v>4162</v>
      </c>
      <c r="J517" s="34">
        <f>ROUNDDOWN($P517/4*$O517*10*$N517/$Q517*$N517/400,0)</f>
        <v>9382</v>
      </c>
      <c r="K517" s="133">
        <v>1000</v>
      </c>
      <c r="L517" s="34"/>
      <c r="M517" s="16">
        <f t="shared" si="172"/>
        <v>1358.8814573782365</v>
      </c>
      <c r="N517" s="36">
        <v>800</v>
      </c>
      <c r="O517" s="36">
        <v>0.5</v>
      </c>
      <c r="P517" s="117">
        <v>3330.7</v>
      </c>
      <c r="Q517" s="2" t="s">
        <v>104</v>
      </c>
      <c r="S517" s="36">
        <f t="shared" ref="S517:S531" si="186">ROUNDDOWN(P517*0.5,0)</f>
        <v>1665</v>
      </c>
    </row>
    <row r="518" spans="1:20" ht="16.5" x14ac:dyDescent="0.2">
      <c r="A518" s="8" t="str">
        <f t="shared" si="163"/>
        <v>20131</v>
      </c>
      <c r="B518" s="8">
        <v>2</v>
      </c>
      <c r="C518" s="8">
        <v>1</v>
      </c>
      <c r="D518" s="8" t="s">
        <v>64</v>
      </c>
      <c r="E518" s="8">
        <v>1</v>
      </c>
      <c r="F518" s="34">
        <f t="shared" ref="F518:G521" si="187">ROUNDDOWN($P518/4*$O518*10*$N518/$N518*$Q518/400,0)</f>
        <v>14779</v>
      </c>
      <c r="G518" s="34">
        <f t="shared" si="187"/>
        <v>14779</v>
      </c>
      <c r="H518" s="34">
        <f t="shared" si="185"/>
        <v>4162</v>
      </c>
      <c r="I518" s="34">
        <f t="shared" si="185"/>
        <v>4162</v>
      </c>
      <c r="J518" s="34">
        <f t="shared" ref="J518:J521" si="188">ROUNDDOWN($P518/4*$O518*10*$N518/$Q518*$N518/400,0)</f>
        <v>18298</v>
      </c>
      <c r="K518" s="133">
        <v>1000</v>
      </c>
      <c r="L518" s="34"/>
      <c r="M518" s="16">
        <f t="shared" si="172"/>
        <v>2683.8940104306657</v>
      </c>
      <c r="N518" s="36">
        <v>790</v>
      </c>
      <c r="O518" s="36">
        <v>1</v>
      </c>
      <c r="P518" s="117">
        <v>3330.7</v>
      </c>
      <c r="Q518" s="2" t="s">
        <v>104</v>
      </c>
      <c r="S518" s="36">
        <f t="shared" si="186"/>
        <v>1665</v>
      </c>
    </row>
    <row r="519" spans="1:20" ht="16.5" x14ac:dyDescent="0.2">
      <c r="A519" s="8" t="str">
        <f t="shared" si="163"/>
        <v>20132</v>
      </c>
      <c r="B519" s="8">
        <v>2</v>
      </c>
      <c r="C519" s="8">
        <v>1</v>
      </c>
      <c r="D519" s="8" t="s">
        <v>64</v>
      </c>
      <c r="E519" s="8">
        <v>2</v>
      </c>
      <c r="F519" s="34">
        <f t="shared" si="187"/>
        <v>44339</v>
      </c>
      <c r="G519" s="34">
        <f t="shared" si="187"/>
        <v>44339</v>
      </c>
      <c r="H519" s="34">
        <f t="shared" si="185"/>
        <v>4162</v>
      </c>
      <c r="I519" s="34">
        <f t="shared" si="185"/>
        <v>4162</v>
      </c>
      <c r="J519" s="34">
        <f t="shared" si="188"/>
        <v>53514</v>
      </c>
      <c r="K519" s="133">
        <v>1000</v>
      </c>
      <c r="L519" s="34"/>
      <c r="M519" s="16">
        <f t="shared" si="172"/>
        <v>7950.0100761101439</v>
      </c>
      <c r="N519" s="36">
        <v>780</v>
      </c>
      <c r="O519" s="36">
        <v>3</v>
      </c>
      <c r="P519" s="117">
        <v>3330.7</v>
      </c>
      <c r="Q519" s="2" t="s">
        <v>104</v>
      </c>
      <c r="S519" s="36">
        <f t="shared" si="186"/>
        <v>1665</v>
      </c>
    </row>
    <row r="520" spans="1:20" ht="16.5" x14ac:dyDescent="0.2">
      <c r="A520" s="8" t="str">
        <f t="shared" si="163"/>
        <v>20133</v>
      </c>
      <c r="B520" s="8">
        <v>2</v>
      </c>
      <c r="C520" s="8">
        <v>1</v>
      </c>
      <c r="D520" s="8" t="s">
        <v>64</v>
      </c>
      <c r="E520" s="8">
        <v>3</v>
      </c>
      <c r="F520" s="34">
        <f t="shared" si="187"/>
        <v>51729</v>
      </c>
      <c r="G520" s="34">
        <f t="shared" si="187"/>
        <v>51729</v>
      </c>
      <c r="H520" s="34">
        <f t="shared" si="185"/>
        <v>4162</v>
      </c>
      <c r="I520" s="34">
        <f t="shared" si="185"/>
        <v>4162</v>
      </c>
      <c r="J520" s="34">
        <f t="shared" si="188"/>
        <v>60842</v>
      </c>
      <c r="K520" s="133">
        <v>1000</v>
      </c>
      <c r="L520" s="34"/>
      <c r="M520" s="16">
        <f t="shared" si="172"/>
        <v>9156.084820757309</v>
      </c>
      <c r="N520" s="36">
        <v>770</v>
      </c>
      <c r="O520" s="36">
        <v>3.5</v>
      </c>
      <c r="P520" s="117">
        <v>3330.7</v>
      </c>
      <c r="Q520" s="2" t="s">
        <v>104</v>
      </c>
      <c r="S520" s="36">
        <f t="shared" si="186"/>
        <v>1665</v>
      </c>
    </row>
    <row r="521" spans="1:20" ht="16.5" x14ac:dyDescent="0.2">
      <c r="A521" s="8" t="str">
        <f t="shared" si="163"/>
        <v>20134</v>
      </c>
      <c r="B521" s="8">
        <v>2</v>
      </c>
      <c r="C521" s="8">
        <v>1</v>
      </c>
      <c r="D521" s="8" t="s">
        <v>64</v>
      </c>
      <c r="E521" s="8">
        <v>4</v>
      </c>
      <c r="F521" s="34">
        <f t="shared" si="187"/>
        <v>59119</v>
      </c>
      <c r="G521" s="34">
        <f t="shared" si="187"/>
        <v>59119</v>
      </c>
      <c r="H521" s="34">
        <f t="shared" si="185"/>
        <v>4162</v>
      </c>
      <c r="I521" s="34">
        <f t="shared" si="185"/>
        <v>4162</v>
      </c>
      <c r="J521" s="34">
        <f t="shared" si="188"/>
        <v>67739</v>
      </c>
      <c r="K521" s="133">
        <v>1000</v>
      </c>
      <c r="L521" s="34"/>
      <c r="M521" s="16">
        <f t="shared" si="172"/>
        <v>10328.183731422907</v>
      </c>
      <c r="N521" s="36">
        <v>760</v>
      </c>
      <c r="O521" s="36">
        <v>4</v>
      </c>
      <c r="P521" s="117">
        <v>3330.7</v>
      </c>
      <c r="Q521" s="2" t="s">
        <v>104</v>
      </c>
      <c r="S521" s="36">
        <f t="shared" si="186"/>
        <v>1665</v>
      </c>
    </row>
    <row r="522" spans="1:20" ht="16.5" x14ac:dyDescent="0.2">
      <c r="A522" s="8" t="str">
        <f t="shared" si="163"/>
        <v>20230</v>
      </c>
      <c r="B522" s="8">
        <v>2</v>
      </c>
      <c r="C522" s="8">
        <v>2</v>
      </c>
      <c r="D522" s="8" t="s">
        <v>64</v>
      </c>
      <c r="E522" s="8">
        <v>0</v>
      </c>
      <c r="F522" s="34">
        <f>ROUNDDOWN($P522/4*$O522*10*$N522/$N522*$Q522/400,0)</f>
        <v>8062</v>
      </c>
      <c r="G522" s="34">
        <f>ROUNDDOWN($P522/4*$O522*10*$N522/$N522*$Q522/400,0)</f>
        <v>8062</v>
      </c>
      <c r="H522" s="34">
        <f t="shared" si="185"/>
        <v>4540</v>
      </c>
      <c r="I522" s="34">
        <f t="shared" si="185"/>
        <v>4540</v>
      </c>
      <c r="J522" s="34">
        <f>ROUNDDOWN($P522/4*$O522*10*$N522/$Q522*$N522/400,0)</f>
        <v>10235</v>
      </c>
      <c r="K522" s="133">
        <v>1000</v>
      </c>
      <c r="L522" s="34"/>
      <c r="M522" s="16">
        <f t="shared" si="172"/>
        <v>1548.4002537845311</v>
      </c>
      <c r="N522" s="36">
        <v>800</v>
      </c>
      <c r="O522" s="36">
        <v>0.5</v>
      </c>
      <c r="P522" s="117">
        <v>3633.75</v>
      </c>
      <c r="Q522" s="2" t="s">
        <v>104</v>
      </c>
      <c r="S522" s="36">
        <f t="shared" si="186"/>
        <v>1816</v>
      </c>
    </row>
    <row r="523" spans="1:20" ht="16.5" x14ac:dyDescent="0.2">
      <c r="A523" s="8" t="str">
        <f t="shared" si="163"/>
        <v>20231</v>
      </c>
      <c r="B523" s="8">
        <v>2</v>
      </c>
      <c r="C523" s="8">
        <v>2</v>
      </c>
      <c r="D523" s="8" t="s">
        <v>64</v>
      </c>
      <c r="E523" s="8">
        <v>1</v>
      </c>
      <c r="F523" s="34">
        <f t="shared" ref="F523:G526" si="189">ROUNDDOWN($P523/4*$O523*10*$N523/$N523*$Q523/400,0)</f>
        <v>16124</v>
      </c>
      <c r="G523" s="34">
        <f t="shared" si="189"/>
        <v>16124</v>
      </c>
      <c r="H523" s="34">
        <f t="shared" si="185"/>
        <v>4540</v>
      </c>
      <c r="I523" s="34">
        <f t="shared" si="185"/>
        <v>4540</v>
      </c>
      <c r="J523" s="34">
        <f t="shared" ref="J523:J526" si="190">ROUNDDOWN($P523/4*$O523*10*$N523/$Q523*$N523/400,0)</f>
        <v>19963</v>
      </c>
      <c r="K523" s="133">
        <v>1000</v>
      </c>
      <c r="L523" s="34"/>
      <c r="M523" s="16">
        <f t="shared" si="172"/>
        <v>3058.2093484704415</v>
      </c>
      <c r="N523" s="36">
        <v>790</v>
      </c>
      <c r="O523" s="36">
        <v>1</v>
      </c>
      <c r="P523" s="117">
        <v>3633.75</v>
      </c>
      <c r="Q523" s="2" t="s">
        <v>104</v>
      </c>
      <c r="S523" s="36">
        <f t="shared" si="186"/>
        <v>1816</v>
      </c>
    </row>
    <row r="524" spans="1:20" ht="16.5" x14ac:dyDescent="0.2">
      <c r="A524" s="8" t="str">
        <f t="shared" si="163"/>
        <v>20232</v>
      </c>
      <c r="B524" s="8">
        <v>2</v>
      </c>
      <c r="C524" s="8">
        <v>2</v>
      </c>
      <c r="D524" s="8" t="s">
        <v>64</v>
      </c>
      <c r="E524" s="8">
        <v>2</v>
      </c>
      <c r="F524" s="34">
        <f t="shared" si="189"/>
        <v>48374</v>
      </c>
      <c r="G524" s="34">
        <f t="shared" si="189"/>
        <v>48374</v>
      </c>
      <c r="H524" s="34">
        <f t="shared" si="185"/>
        <v>4540</v>
      </c>
      <c r="I524" s="34">
        <f t="shared" si="185"/>
        <v>4540</v>
      </c>
      <c r="J524" s="34">
        <f t="shared" si="190"/>
        <v>58383</v>
      </c>
      <c r="K524" s="133">
        <v>1000</v>
      </c>
      <c r="L524" s="34"/>
      <c r="M524" s="16">
        <f t="shared" si="172"/>
        <v>9058.725864907934</v>
      </c>
      <c r="N524" s="36">
        <v>780</v>
      </c>
      <c r="O524" s="36">
        <v>3</v>
      </c>
      <c r="P524" s="117">
        <v>3633.75</v>
      </c>
      <c r="Q524" s="2" t="s">
        <v>104</v>
      </c>
      <c r="S524" s="36">
        <f t="shared" si="186"/>
        <v>1816</v>
      </c>
    </row>
    <row r="525" spans="1:20" ht="16.5" x14ac:dyDescent="0.2">
      <c r="A525" s="8" t="str">
        <f t="shared" si="163"/>
        <v>20233</v>
      </c>
      <c r="B525" s="8">
        <v>2</v>
      </c>
      <c r="C525" s="8">
        <v>2</v>
      </c>
      <c r="D525" s="8" t="s">
        <v>64</v>
      </c>
      <c r="E525" s="8">
        <v>3</v>
      </c>
      <c r="F525" s="34">
        <f t="shared" si="189"/>
        <v>56436</v>
      </c>
      <c r="G525" s="34">
        <f t="shared" si="189"/>
        <v>56436</v>
      </c>
      <c r="H525" s="34">
        <f t="shared" si="185"/>
        <v>4540</v>
      </c>
      <c r="I525" s="34">
        <f t="shared" si="185"/>
        <v>4540</v>
      </c>
      <c r="J525" s="34">
        <f t="shared" si="190"/>
        <v>66378</v>
      </c>
      <c r="K525" s="133">
        <v>1000</v>
      </c>
      <c r="L525" s="34"/>
      <c r="M525" s="16">
        <f t="shared" si="172"/>
        <v>10432.973570619644</v>
      </c>
      <c r="N525" s="36">
        <v>770</v>
      </c>
      <c r="O525" s="36">
        <v>3.5</v>
      </c>
      <c r="P525" s="117">
        <v>3633.75</v>
      </c>
      <c r="Q525" s="2" t="s">
        <v>104</v>
      </c>
      <c r="S525" s="36">
        <f t="shared" si="186"/>
        <v>1816</v>
      </c>
    </row>
    <row r="526" spans="1:20" ht="16.5" x14ac:dyDescent="0.2">
      <c r="A526" s="8" t="str">
        <f t="shared" si="163"/>
        <v>20234</v>
      </c>
      <c r="B526" s="8">
        <v>2</v>
      </c>
      <c r="C526" s="8">
        <v>2</v>
      </c>
      <c r="D526" s="8" t="s">
        <v>64</v>
      </c>
      <c r="E526" s="8">
        <v>4</v>
      </c>
      <c r="F526" s="34">
        <f t="shared" si="189"/>
        <v>64499</v>
      </c>
      <c r="G526" s="34">
        <f t="shared" si="189"/>
        <v>64499</v>
      </c>
      <c r="H526" s="34">
        <f t="shared" si="185"/>
        <v>4540</v>
      </c>
      <c r="I526" s="34">
        <f t="shared" si="185"/>
        <v>4540</v>
      </c>
      <c r="J526" s="34">
        <f t="shared" si="190"/>
        <v>73903</v>
      </c>
      <c r="K526" s="133">
        <v>1000</v>
      </c>
      <c r="L526" s="34"/>
      <c r="M526" s="16">
        <f t="shared" si="172"/>
        <v>11768.617242923317</v>
      </c>
      <c r="N526" s="36">
        <v>760</v>
      </c>
      <c r="O526" s="36">
        <v>4</v>
      </c>
      <c r="P526" s="117">
        <v>3633.75</v>
      </c>
      <c r="Q526" s="2" t="s">
        <v>104</v>
      </c>
      <c r="S526" s="36">
        <f t="shared" si="186"/>
        <v>1816</v>
      </c>
    </row>
    <row r="527" spans="1:20" ht="16.5" x14ac:dyDescent="0.2">
      <c r="A527" s="8" t="str">
        <f t="shared" si="163"/>
        <v>20330</v>
      </c>
      <c r="B527" s="8">
        <v>2</v>
      </c>
      <c r="C527" s="8">
        <v>3</v>
      </c>
      <c r="D527" s="8" t="s">
        <v>64</v>
      </c>
      <c r="E527" s="8">
        <v>0</v>
      </c>
      <c r="F527" s="34">
        <f>ROUNDDOWN($P527/4*$O527*10*$N527/$N527*$Q527/400,0)</f>
        <v>8760</v>
      </c>
      <c r="G527" s="34">
        <f>ROUNDDOWN($P527/4*$O527*10*$N527/$N527*$Q527/400,0)</f>
        <v>8760</v>
      </c>
      <c r="H527" s="34">
        <f t="shared" si="185"/>
        <v>4935</v>
      </c>
      <c r="I527" s="34">
        <f t="shared" si="185"/>
        <v>4935</v>
      </c>
      <c r="J527" s="34">
        <f>ROUNDDOWN($P527/4*$O527*10*$N527/$Q527*$N527/400,0)</f>
        <v>11121</v>
      </c>
      <c r="K527" s="133">
        <v>1000</v>
      </c>
      <c r="L527" s="34"/>
      <c r="M527" s="16">
        <f t="shared" si="172"/>
        <v>1754.1128859454857</v>
      </c>
      <c r="N527" s="36">
        <v>800</v>
      </c>
      <c r="O527" s="36">
        <v>0.5</v>
      </c>
      <c r="P527" s="117">
        <v>3948.2</v>
      </c>
      <c r="Q527" s="2" t="s">
        <v>104</v>
      </c>
      <c r="S527" s="36">
        <f t="shared" si="186"/>
        <v>1974</v>
      </c>
    </row>
    <row r="528" spans="1:20" ht="16.5" x14ac:dyDescent="0.2">
      <c r="A528" s="8" t="str">
        <f t="shared" si="163"/>
        <v>20331</v>
      </c>
      <c r="B528" s="8">
        <v>2</v>
      </c>
      <c r="C528" s="8">
        <v>3</v>
      </c>
      <c r="D528" s="8" t="s">
        <v>64</v>
      </c>
      <c r="E528" s="8">
        <v>1</v>
      </c>
      <c r="F528" s="34">
        <f t="shared" ref="F528:G531" si="191">ROUNDDOWN($P528/4*$O528*10*$N528/$N528*$Q528/400,0)</f>
        <v>17520</v>
      </c>
      <c r="G528" s="34">
        <f t="shared" si="191"/>
        <v>17520</v>
      </c>
      <c r="H528" s="34">
        <f t="shared" si="185"/>
        <v>4935</v>
      </c>
      <c r="I528" s="34">
        <f t="shared" si="185"/>
        <v>4935</v>
      </c>
      <c r="J528" s="34">
        <f t="shared" ref="J528:J531" si="192">ROUNDDOWN($P528/4*$O528*10*$N528/$Q528*$N528/400,0)</f>
        <v>21690</v>
      </c>
      <c r="K528" s="133">
        <v>1000</v>
      </c>
      <c r="L528" s="34"/>
      <c r="M528" s="16">
        <f t="shared" si="172"/>
        <v>3464.4188458094964</v>
      </c>
      <c r="N528" s="36">
        <v>790</v>
      </c>
      <c r="O528" s="36">
        <v>1</v>
      </c>
      <c r="P528" s="117">
        <v>3948.2</v>
      </c>
      <c r="Q528" s="2" t="s">
        <v>104</v>
      </c>
      <c r="S528" s="36">
        <f t="shared" si="186"/>
        <v>1974</v>
      </c>
    </row>
    <row r="529" spans="1:20" ht="16.5" x14ac:dyDescent="0.2">
      <c r="A529" s="8" t="str">
        <f t="shared" si="163"/>
        <v>20332</v>
      </c>
      <c r="B529" s="8">
        <v>2</v>
      </c>
      <c r="C529" s="8">
        <v>3</v>
      </c>
      <c r="D529" s="8" t="s">
        <v>64</v>
      </c>
      <c r="E529" s="8">
        <v>2</v>
      </c>
      <c r="F529" s="34">
        <f t="shared" si="191"/>
        <v>52560</v>
      </c>
      <c r="G529" s="34">
        <f t="shared" si="191"/>
        <v>52560</v>
      </c>
      <c r="H529" s="34">
        <f t="shared" si="185"/>
        <v>4935</v>
      </c>
      <c r="I529" s="34">
        <f t="shared" si="185"/>
        <v>4935</v>
      </c>
      <c r="J529" s="34">
        <f t="shared" si="192"/>
        <v>63435</v>
      </c>
      <c r="K529" s="133">
        <v>1000</v>
      </c>
      <c r="L529" s="34"/>
      <c r="M529" s="16">
        <f t="shared" si="172"/>
        <v>10261.851268772123</v>
      </c>
      <c r="N529" s="36">
        <v>780</v>
      </c>
      <c r="O529" s="36">
        <v>3</v>
      </c>
      <c r="P529" s="117">
        <v>3948.2</v>
      </c>
      <c r="Q529" s="2" t="s">
        <v>104</v>
      </c>
      <c r="S529" s="36">
        <f t="shared" si="186"/>
        <v>1974</v>
      </c>
    </row>
    <row r="530" spans="1:20" ht="16.5" x14ac:dyDescent="0.2">
      <c r="A530" s="8" t="str">
        <f t="shared" si="163"/>
        <v>20333</v>
      </c>
      <c r="B530" s="8">
        <v>2</v>
      </c>
      <c r="C530" s="8">
        <v>3</v>
      </c>
      <c r="D530" s="8" t="s">
        <v>64</v>
      </c>
      <c r="E530" s="8">
        <v>3</v>
      </c>
      <c r="F530" s="34">
        <f t="shared" si="191"/>
        <v>61320</v>
      </c>
      <c r="G530" s="34">
        <f t="shared" si="191"/>
        <v>61320</v>
      </c>
      <c r="H530" s="34">
        <f t="shared" si="185"/>
        <v>4935</v>
      </c>
      <c r="I530" s="34">
        <f t="shared" si="185"/>
        <v>4935</v>
      </c>
      <c r="J530" s="34">
        <f t="shared" si="192"/>
        <v>72122</v>
      </c>
      <c r="K530" s="133">
        <v>1000</v>
      </c>
      <c r="L530" s="34"/>
      <c r="M530" s="16">
        <f t="shared" si="172"/>
        <v>11818.667629109468</v>
      </c>
      <c r="N530" s="36">
        <v>770</v>
      </c>
      <c r="O530" s="36">
        <v>3.5</v>
      </c>
      <c r="P530" s="117">
        <v>3948.2</v>
      </c>
      <c r="Q530" s="2" t="s">
        <v>104</v>
      </c>
      <c r="S530" s="36">
        <f t="shared" si="186"/>
        <v>1974</v>
      </c>
    </row>
    <row r="531" spans="1:20" ht="16.5" x14ac:dyDescent="0.2">
      <c r="A531" s="8" t="str">
        <f t="shared" si="163"/>
        <v>20334</v>
      </c>
      <c r="B531" s="8">
        <v>2</v>
      </c>
      <c r="C531" s="8">
        <v>3</v>
      </c>
      <c r="D531" s="8" t="s">
        <v>64</v>
      </c>
      <c r="E531" s="8">
        <v>4</v>
      </c>
      <c r="F531" s="34">
        <f t="shared" si="191"/>
        <v>70080</v>
      </c>
      <c r="G531" s="34">
        <f t="shared" si="191"/>
        <v>70080</v>
      </c>
      <c r="H531" s="34">
        <f t="shared" si="185"/>
        <v>4935</v>
      </c>
      <c r="I531" s="34">
        <f t="shared" si="185"/>
        <v>4935</v>
      </c>
      <c r="J531" s="34">
        <f t="shared" si="192"/>
        <v>80298</v>
      </c>
      <c r="K531" s="133">
        <v>1000</v>
      </c>
      <c r="L531" s="34"/>
      <c r="M531" s="16">
        <f t="shared" si="172"/>
        <v>13331.621536878401</v>
      </c>
      <c r="N531" s="36">
        <v>760</v>
      </c>
      <c r="O531" s="36">
        <v>4</v>
      </c>
      <c r="P531" s="117">
        <v>3948.2</v>
      </c>
      <c r="Q531" s="2" t="s">
        <v>104</v>
      </c>
      <c r="S531" s="36">
        <f t="shared" si="186"/>
        <v>1974</v>
      </c>
    </row>
    <row r="532" spans="1:20" ht="38.25" x14ac:dyDescent="0.2">
      <c r="A532" s="8" t="str">
        <f t="shared" si="163"/>
        <v/>
      </c>
      <c r="B532" s="5"/>
      <c r="C532" s="6" t="s">
        <v>236</v>
      </c>
      <c r="D532" s="5"/>
      <c r="E532" s="5"/>
      <c r="F532" s="5"/>
      <c r="G532" s="5"/>
      <c r="H532" s="5"/>
      <c r="I532" s="5"/>
      <c r="J532" s="5"/>
      <c r="K532" s="133">
        <v>1000</v>
      </c>
      <c r="L532" s="5"/>
      <c r="M532" s="16">
        <f t="shared" si="172"/>
        <v>0</v>
      </c>
      <c r="N532" s="5"/>
      <c r="O532" s="5"/>
      <c r="P532" s="117">
        <v>0</v>
      </c>
      <c r="Q532" s="5"/>
      <c r="R532" s="5"/>
      <c r="S532" s="30"/>
      <c r="T532" s="266"/>
    </row>
    <row r="533" spans="1:20" ht="16.5" x14ac:dyDescent="0.2">
      <c r="A533" s="18" t="str">
        <f t="shared" si="163"/>
        <v>20140</v>
      </c>
      <c r="B533" s="18">
        <v>2</v>
      </c>
      <c r="C533" s="18">
        <v>1</v>
      </c>
      <c r="D533" s="18" t="s">
        <v>237</v>
      </c>
      <c r="E533" s="18">
        <v>0</v>
      </c>
      <c r="F533" s="19">
        <f t="shared" ref="F533:G547" si="193">ROUNDDOWN($P533/4*$O533*10*$N533/$N533*$Q533/400,0)</f>
        <v>7313</v>
      </c>
      <c r="G533" s="19">
        <f t="shared" si="193"/>
        <v>7313</v>
      </c>
      <c r="H533" s="19">
        <f t="shared" ref="H533:I547" si="194">ROUNDDOWN($S533/4*10,0)</f>
        <v>4120</v>
      </c>
      <c r="I533" s="19">
        <f t="shared" si="194"/>
        <v>4120</v>
      </c>
      <c r="J533" s="19">
        <f t="shared" ref="J533:J547" si="195">ROUNDDOWN($P533/4*$O533*10*$N533/$Q533*$N533/400,0)</f>
        <v>9284</v>
      </c>
      <c r="K533" s="133">
        <v>1000</v>
      </c>
      <c r="L533" s="19"/>
      <c r="M533" s="16">
        <f t="shared" si="172"/>
        <v>1337.9933274332875</v>
      </c>
      <c r="N533" s="114">
        <v>800</v>
      </c>
      <c r="O533" s="36">
        <v>0.5</v>
      </c>
      <c r="P533" s="117">
        <v>3296</v>
      </c>
      <c r="Q533" s="2" t="s">
        <v>104</v>
      </c>
      <c r="R533" s="41"/>
      <c r="S533" s="36">
        <f t="shared" ref="S533:S537" si="196">ROUNDDOWN(P533*0.5,0)</f>
        <v>1648</v>
      </c>
    </row>
    <row r="534" spans="1:20" ht="16.5" x14ac:dyDescent="0.2">
      <c r="A534" s="18" t="str">
        <f t="shared" si="163"/>
        <v>20141</v>
      </c>
      <c r="B534" s="18">
        <v>2</v>
      </c>
      <c r="C534" s="18">
        <v>1</v>
      </c>
      <c r="D534" s="18" t="s">
        <v>237</v>
      </c>
      <c r="E534" s="18">
        <v>1</v>
      </c>
      <c r="F534" s="19">
        <f t="shared" si="193"/>
        <v>14626</v>
      </c>
      <c r="G534" s="19">
        <f t="shared" si="193"/>
        <v>14626</v>
      </c>
      <c r="H534" s="19">
        <f t="shared" si="194"/>
        <v>4120</v>
      </c>
      <c r="I534" s="19">
        <f t="shared" si="194"/>
        <v>4120</v>
      </c>
      <c r="J534" s="19">
        <f t="shared" si="195"/>
        <v>18107</v>
      </c>
      <c r="K534" s="133">
        <v>1000</v>
      </c>
      <c r="L534" s="19"/>
      <c r="M534" s="16">
        <f t="shared" si="172"/>
        <v>2642.5586217482482</v>
      </c>
      <c r="N534" s="114">
        <v>790</v>
      </c>
      <c r="O534" s="36">
        <v>1</v>
      </c>
      <c r="P534" s="117">
        <v>3296</v>
      </c>
      <c r="Q534" s="2" t="s">
        <v>104</v>
      </c>
      <c r="R534" s="41"/>
      <c r="S534" s="36">
        <f t="shared" si="196"/>
        <v>1648</v>
      </c>
    </row>
    <row r="535" spans="1:20" ht="16.5" x14ac:dyDescent="0.2">
      <c r="A535" s="18" t="str">
        <f t="shared" si="163"/>
        <v>20142</v>
      </c>
      <c r="B535" s="18">
        <v>2</v>
      </c>
      <c r="C535" s="18">
        <v>1</v>
      </c>
      <c r="D535" s="18" t="s">
        <v>237</v>
      </c>
      <c r="E535" s="18">
        <v>2</v>
      </c>
      <c r="F535" s="19">
        <f t="shared" si="193"/>
        <v>29252</v>
      </c>
      <c r="G535" s="19">
        <f t="shared" si="193"/>
        <v>29252</v>
      </c>
      <c r="H535" s="19">
        <f t="shared" si="194"/>
        <v>4120</v>
      </c>
      <c r="I535" s="19">
        <f t="shared" si="194"/>
        <v>4120</v>
      </c>
      <c r="J535" s="19">
        <f t="shared" si="195"/>
        <v>35304</v>
      </c>
      <c r="K535" s="133">
        <v>1000</v>
      </c>
      <c r="L535" s="19"/>
      <c r="M535" s="16">
        <f t="shared" si="172"/>
        <v>5218.2914874261296</v>
      </c>
      <c r="N535" s="114">
        <v>780</v>
      </c>
      <c r="O535" s="36">
        <v>2</v>
      </c>
      <c r="P535" s="117">
        <v>3296</v>
      </c>
      <c r="Q535" s="2" t="s">
        <v>104</v>
      </c>
      <c r="R535" s="41"/>
      <c r="S535" s="36">
        <f t="shared" si="196"/>
        <v>1648</v>
      </c>
    </row>
    <row r="536" spans="1:20" ht="16.5" x14ac:dyDescent="0.2">
      <c r="A536" s="18" t="str">
        <f t="shared" si="163"/>
        <v>20143</v>
      </c>
      <c r="B536" s="18">
        <v>2</v>
      </c>
      <c r="C536" s="18">
        <v>1</v>
      </c>
      <c r="D536" s="18" t="s">
        <v>237</v>
      </c>
      <c r="E536" s="18">
        <v>3</v>
      </c>
      <c r="F536" s="19">
        <f t="shared" si="193"/>
        <v>43878</v>
      </c>
      <c r="G536" s="19">
        <f t="shared" si="193"/>
        <v>43878</v>
      </c>
      <c r="H536" s="19">
        <f t="shared" si="194"/>
        <v>4120</v>
      </c>
      <c r="I536" s="19">
        <f t="shared" si="194"/>
        <v>4120</v>
      </c>
      <c r="J536" s="19">
        <f t="shared" si="195"/>
        <v>51607</v>
      </c>
      <c r="K536" s="133">
        <v>1000</v>
      </c>
      <c r="L536" s="19"/>
      <c r="M536" s="16">
        <f t="shared" si="172"/>
        <v>7727.0961034613783</v>
      </c>
      <c r="N536" s="114">
        <v>770</v>
      </c>
      <c r="O536" s="36">
        <v>3</v>
      </c>
      <c r="P536" s="117">
        <v>3296</v>
      </c>
      <c r="Q536" s="2" t="s">
        <v>104</v>
      </c>
      <c r="R536" s="41"/>
      <c r="S536" s="36">
        <f t="shared" si="196"/>
        <v>1648</v>
      </c>
    </row>
    <row r="537" spans="1:20" ht="16.5" x14ac:dyDescent="0.2">
      <c r="A537" s="18" t="str">
        <f t="shared" si="163"/>
        <v>20144</v>
      </c>
      <c r="B537" s="18">
        <v>2</v>
      </c>
      <c r="C537" s="18">
        <v>1</v>
      </c>
      <c r="D537" s="18" t="s">
        <v>237</v>
      </c>
      <c r="E537" s="18">
        <v>4</v>
      </c>
      <c r="F537" s="19">
        <f t="shared" si="193"/>
        <v>58504</v>
      </c>
      <c r="G537" s="19">
        <f t="shared" si="193"/>
        <v>58504</v>
      </c>
      <c r="H537" s="19">
        <f t="shared" si="194"/>
        <v>4120</v>
      </c>
      <c r="I537" s="19">
        <f t="shared" si="194"/>
        <v>4120</v>
      </c>
      <c r="J537" s="19">
        <f t="shared" si="195"/>
        <v>67034</v>
      </c>
      <c r="K537" s="133">
        <v>1000</v>
      </c>
      <c r="L537" s="19"/>
      <c r="M537" s="16">
        <f t="shared" si="172"/>
        <v>10169.016282908</v>
      </c>
      <c r="N537" s="114">
        <v>760</v>
      </c>
      <c r="O537" s="36">
        <v>4</v>
      </c>
      <c r="P537" s="117">
        <v>3296</v>
      </c>
      <c r="Q537" s="2" t="s">
        <v>104</v>
      </c>
      <c r="R537" s="41"/>
      <c r="S537" s="36">
        <f t="shared" si="196"/>
        <v>1648</v>
      </c>
    </row>
    <row r="538" spans="1:20" x14ac:dyDescent="0.2">
      <c r="A538" s="18" t="str">
        <f t="shared" si="163"/>
        <v>20240</v>
      </c>
      <c r="B538" s="18">
        <v>2</v>
      </c>
      <c r="C538" s="18">
        <v>2</v>
      </c>
      <c r="D538" s="18" t="s">
        <v>237</v>
      </c>
      <c r="E538" s="18">
        <v>0</v>
      </c>
      <c r="F538" s="19">
        <f t="shared" si="193"/>
        <v>58311</v>
      </c>
      <c r="G538" s="19">
        <f t="shared" si="193"/>
        <v>58311</v>
      </c>
      <c r="H538" s="19">
        <f t="shared" si="194"/>
        <v>70255</v>
      </c>
      <c r="I538" s="19">
        <f t="shared" si="194"/>
        <v>70255</v>
      </c>
      <c r="J538" s="19">
        <f t="shared" si="195"/>
        <v>76391</v>
      </c>
      <c r="K538" s="133">
        <v>1000</v>
      </c>
      <c r="L538" s="19"/>
      <c r="M538" s="16">
        <f t="shared" si="172"/>
        <v>44753.288014947379</v>
      </c>
      <c r="N538" s="58">
        <v>950</v>
      </c>
      <c r="O538" s="58">
        <v>0.5</v>
      </c>
      <c r="P538" s="94">
        <v>22481.600000000002</v>
      </c>
      <c r="Q538" s="41" t="s">
        <v>256</v>
      </c>
      <c r="R538" s="41"/>
      <c r="S538" s="58">
        <v>28102</v>
      </c>
    </row>
    <row r="539" spans="1:20" x14ac:dyDescent="0.2">
      <c r="A539" s="18" t="str">
        <f t="shared" si="163"/>
        <v>20241</v>
      </c>
      <c r="B539" s="18">
        <v>2</v>
      </c>
      <c r="C539" s="18">
        <v>2</v>
      </c>
      <c r="D539" s="18" t="s">
        <v>237</v>
      </c>
      <c r="E539" s="18">
        <v>1</v>
      </c>
      <c r="F539" s="19">
        <f t="shared" si="193"/>
        <v>116623</v>
      </c>
      <c r="G539" s="19">
        <f t="shared" si="193"/>
        <v>116623</v>
      </c>
      <c r="H539" s="19">
        <f t="shared" si="194"/>
        <v>70255</v>
      </c>
      <c r="I539" s="19">
        <f t="shared" si="194"/>
        <v>70255</v>
      </c>
      <c r="J539" s="19">
        <f t="shared" si="195"/>
        <v>146418</v>
      </c>
      <c r="K539" s="133">
        <v>1000</v>
      </c>
      <c r="L539" s="19"/>
      <c r="M539" s="16">
        <f t="shared" si="172"/>
        <v>87622.965176599973</v>
      </c>
      <c r="N539" s="58">
        <v>930</v>
      </c>
      <c r="O539" s="58">
        <v>1</v>
      </c>
      <c r="P539" s="94">
        <v>22481.600000000002</v>
      </c>
      <c r="Q539" s="41" t="s">
        <v>232</v>
      </c>
      <c r="R539" s="41"/>
      <c r="S539" s="58">
        <v>28102</v>
      </c>
    </row>
    <row r="540" spans="1:20" x14ac:dyDescent="0.2">
      <c r="A540" s="18" t="str">
        <f t="shared" si="163"/>
        <v>20242</v>
      </c>
      <c r="B540" s="18">
        <v>2</v>
      </c>
      <c r="C540" s="18">
        <v>2</v>
      </c>
      <c r="D540" s="18" t="s">
        <v>237</v>
      </c>
      <c r="E540" s="18">
        <v>2</v>
      </c>
      <c r="F540" s="19">
        <f t="shared" si="193"/>
        <v>219195</v>
      </c>
      <c r="G540" s="19">
        <f t="shared" si="193"/>
        <v>219195</v>
      </c>
      <c r="H540" s="19">
        <f t="shared" si="194"/>
        <v>70255</v>
      </c>
      <c r="I540" s="19">
        <f t="shared" si="194"/>
        <v>70255</v>
      </c>
      <c r="J540" s="19">
        <f t="shared" si="195"/>
        <v>298349</v>
      </c>
      <c r="K540" s="133">
        <v>1000</v>
      </c>
      <c r="L540" s="19"/>
      <c r="M540" s="16">
        <f t="shared" si="172"/>
        <v>171477.13585961764</v>
      </c>
      <c r="N540" s="58">
        <v>910</v>
      </c>
      <c r="O540" s="58">
        <v>2</v>
      </c>
      <c r="P540" s="94">
        <v>22481.600000000002</v>
      </c>
      <c r="Q540" s="41" t="s">
        <v>233</v>
      </c>
      <c r="R540" s="41"/>
      <c r="S540" s="58">
        <v>28102</v>
      </c>
    </row>
    <row r="541" spans="1:20" x14ac:dyDescent="0.2">
      <c r="A541" s="18" t="str">
        <f t="shared" si="163"/>
        <v>20243</v>
      </c>
      <c r="B541" s="18">
        <v>2</v>
      </c>
      <c r="C541" s="18">
        <v>2</v>
      </c>
      <c r="D541" s="18" t="s">
        <v>237</v>
      </c>
      <c r="E541" s="18">
        <v>3</v>
      </c>
      <c r="F541" s="19">
        <f t="shared" si="193"/>
        <v>273994</v>
      </c>
      <c r="G541" s="19">
        <f t="shared" si="193"/>
        <v>273994</v>
      </c>
      <c r="H541" s="19">
        <f t="shared" si="194"/>
        <v>70255</v>
      </c>
      <c r="I541" s="19">
        <f t="shared" si="194"/>
        <v>70255</v>
      </c>
      <c r="J541" s="19">
        <f t="shared" si="195"/>
        <v>513682</v>
      </c>
      <c r="K541" s="133">
        <v>1000</v>
      </c>
      <c r="L541" s="19"/>
      <c r="M541" s="16">
        <f t="shared" si="172"/>
        <v>251562.7341427698</v>
      </c>
      <c r="N541" s="58">
        <v>890</v>
      </c>
      <c r="O541" s="58">
        <v>3</v>
      </c>
      <c r="P541" s="94">
        <v>22481.600000000002</v>
      </c>
      <c r="Q541" s="41" t="s">
        <v>234</v>
      </c>
      <c r="R541" s="41"/>
      <c r="S541" s="58">
        <v>28102</v>
      </c>
    </row>
    <row r="542" spans="1:20" x14ac:dyDescent="0.2">
      <c r="A542" s="18" t="str">
        <f t="shared" si="163"/>
        <v>20244</v>
      </c>
      <c r="B542" s="18">
        <v>2</v>
      </c>
      <c r="C542" s="18">
        <v>2</v>
      </c>
      <c r="D542" s="18" t="s">
        <v>237</v>
      </c>
      <c r="E542" s="18">
        <v>4</v>
      </c>
      <c r="F542" s="19">
        <f t="shared" si="193"/>
        <v>337224</v>
      </c>
      <c r="G542" s="19">
        <f t="shared" si="193"/>
        <v>337224</v>
      </c>
      <c r="H542" s="19">
        <f t="shared" si="194"/>
        <v>70255</v>
      </c>
      <c r="I542" s="19">
        <f t="shared" si="194"/>
        <v>70255</v>
      </c>
      <c r="J542" s="19">
        <f t="shared" si="195"/>
        <v>709013</v>
      </c>
      <c r="K542" s="133">
        <v>1000</v>
      </c>
      <c r="L542" s="19"/>
      <c r="M542" s="16">
        <f t="shared" si="172"/>
        <v>327880.01244179619</v>
      </c>
      <c r="N542" s="58">
        <v>870</v>
      </c>
      <c r="O542" s="58">
        <v>4</v>
      </c>
      <c r="P542" s="94">
        <v>22481.600000000002</v>
      </c>
      <c r="Q542" s="41" t="s">
        <v>235</v>
      </c>
      <c r="R542" s="41"/>
      <c r="S542" s="58">
        <v>28102</v>
      </c>
    </row>
    <row r="543" spans="1:20" x14ac:dyDescent="0.2">
      <c r="A543" s="18" t="str">
        <f t="shared" ref="A543:A606" si="197">IF(B543="","",CONCATENATE(B543,CONCATENATE(REPT(0,2-LEN(C543)),C543),IF(OR(D543="Easy",D543=""),1,IF(D543="Normal",2,IF(D543="Hard",3,IF(D543="Hell",4,"error")))),E543))</f>
        <v>20340</v>
      </c>
      <c r="B543" s="18">
        <v>2</v>
      </c>
      <c r="C543" s="18">
        <v>3</v>
      </c>
      <c r="D543" s="18" t="s">
        <v>237</v>
      </c>
      <c r="E543" s="18">
        <v>0</v>
      </c>
      <c r="F543" s="19">
        <f t="shared" si="193"/>
        <v>61523</v>
      </c>
      <c r="G543" s="19">
        <f t="shared" si="193"/>
        <v>61523</v>
      </c>
      <c r="H543" s="19">
        <f t="shared" si="194"/>
        <v>74125</v>
      </c>
      <c r="I543" s="19">
        <f t="shared" si="194"/>
        <v>74125</v>
      </c>
      <c r="J543" s="19">
        <f t="shared" si="195"/>
        <v>80599</v>
      </c>
      <c r="K543" s="133">
        <v>1000</v>
      </c>
      <c r="L543" s="19"/>
      <c r="M543" s="16">
        <f t="shared" si="172"/>
        <v>48501.583646400664</v>
      </c>
      <c r="N543" s="58">
        <v>950</v>
      </c>
      <c r="O543" s="58">
        <v>0.5</v>
      </c>
      <c r="P543" s="94">
        <v>23720</v>
      </c>
      <c r="Q543" s="41" t="s">
        <v>256</v>
      </c>
      <c r="R543" s="41"/>
      <c r="S543" s="41" t="s">
        <v>255</v>
      </c>
    </row>
    <row r="544" spans="1:20" x14ac:dyDescent="0.2">
      <c r="A544" s="18" t="str">
        <f t="shared" si="197"/>
        <v>20341</v>
      </c>
      <c r="B544" s="18">
        <v>2</v>
      </c>
      <c r="C544" s="18">
        <v>3</v>
      </c>
      <c r="D544" s="18" t="s">
        <v>237</v>
      </c>
      <c r="E544" s="18">
        <v>1</v>
      </c>
      <c r="F544" s="19">
        <f t="shared" si="193"/>
        <v>123047</v>
      </c>
      <c r="G544" s="19">
        <f t="shared" si="193"/>
        <v>123047</v>
      </c>
      <c r="H544" s="19">
        <f t="shared" si="194"/>
        <v>74125</v>
      </c>
      <c r="I544" s="19">
        <f t="shared" si="194"/>
        <v>74125</v>
      </c>
      <c r="J544" s="19">
        <f t="shared" si="195"/>
        <v>154483</v>
      </c>
      <c r="K544" s="133">
        <v>1000</v>
      </c>
      <c r="L544" s="19"/>
      <c r="M544" s="16">
        <f t="shared" si="172"/>
        <v>94961.639129463219</v>
      </c>
      <c r="N544" s="58">
        <v>930</v>
      </c>
      <c r="O544" s="58">
        <v>1</v>
      </c>
      <c r="P544" s="94">
        <v>23720</v>
      </c>
      <c r="Q544" s="41" t="s">
        <v>232</v>
      </c>
      <c r="R544" s="41"/>
      <c r="S544" s="41" t="s">
        <v>255</v>
      </c>
    </row>
    <row r="545" spans="1:20" x14ac:dyDescent="0.2">
      <c r="A545" s="18" t="str">
        <f t="shared" si="197"/>
        <v>20342</v>
      </c>
      <c r="B545" s="18">
        <v>2</v>
      </c>
      <c r="C545" s="18">
        <v>3</v>
      </c>
      <c r="D545" s="18" t="s">
        <v>237</v>
      </c>
      <c r="E545" s="18">
        <v>2</v>
      </c>
      <c r="F545" s="19">
        <f t="shared" si="193"/>
        <v>231270</v>
      </c>
      <c r="G545" s="19">
        <f t="shared" si="193"/>
        <v>231270</v>
      </c>
      <c r="H545" s="19">
        <f t="shared" si="194"/>
        <v>74125</v>
      </c>
      <c r="I545" s="19">
        <f t="shared" si="194"/>
        <v>74125</v>
      </c>
      <c r="J545" s="19">
        <f t="shared" si="195"/>
        <v>314784</v>
      </c>
      <c r="K545" s="133">
        <v>1000</v>
      </c>
      <c r="L545" s="19"/>
      <c r="M545" s="16">
        <f t="shared" si="172"/>
        <v>185839.62276810617</v>
      </c>
      <c r="N545" s="58">
        <v>910</v>
      </c>
      <c r="O545" s="58">
        <v>2</v>
      </c>
      <c r="P545" s="94">
        <v>23720</v>
      </c>
      <c r="Q545" s="41" t="s">
        <v>233</v>
      </c>
      <c r="R545" s="41"/>
      <c r="S545" s="41" t="s">
        <v>255</v>
      </c>
    </row>
    <row r="546" spans="1:20" x14ac:dyDescent="0.2">
      <c r="A546" s="18" t="str">
        <f t="shared" si="197"/>
        <v>20343</v>
      </c>
      <c r="B546" s="18">
        <v>2</v>
      </c>
      <c r="C546" s="18">
        <v>3</v>
      </c>
      <c r="D546" s="18" t="s">
        <v>237</v>
      </c>
      <c r="E546" s="18">
        <v>3</v>
      </c>
      <c r="F546" s="19">
        <f t="shared" si="193"/>
        <v>289087</v>
      </c>
      <c r="G546" s="19">
        <f t="shared" si="193"/>
        <v>289087</v>
      </c>
      <c r="H546" s="19">
        <f t="shared" si="194"/>
        <v>74125</v>
      </c>
      <c r="I546" s="19">
        <f t="shared" si="194"/>
        <v>74125</v>
      </c>
      <c r="J546" s="19">
        <f t="shared" si="195"/>
        <v>541979</v>
      </c>
      <c r="K546" s="133">
        <v>1000</v>
      </c>
      <c r="L546" s="19"/>
      <c r="M546" s="16">
        <f t="shared" si="172"/>
        <v>272632.64121757541</v>
      </c>
      <c r="N546" s="58">
        <v>890</v>
      </c>
      <c r="O546" s="58">
        <v>3</v>
      </c>
      <c r="P546" s="94">
        <v>23720</v>
      </c>
      <c r="Q546" s="41" t="s">
        <v>234</v>
      </c>
      <c r="R546" s="41"/>
      <c r="S546" s="41" t="s">
        <v>255</v>
      </c>
    </row>
    <row r="547" spans="1:20" x14ac:dyDescent="0.2">
      <c r="A547" s="18" t="str">
        <f t="shared" si="197"/>
        <v>20344</v>
      </c>
      <c r="B547" s="18">
        <v>2</v>
      </c>
      <c r="C547" s="18">
        <v>3</v>
      </c>
      <c r="D547" s="18" t="s">
        <v>237</v>
      </c>
      <c r="E547" s="18">
        <v>4</v>
      </c>
      <c r="F547" s="19">
        <f t="shared" si="193"/>
        <v>355800</v>
      </c>
      <c r="G547" s="19">
        <f t="shared" si="193"/>
        <v>355800</v>
      </c>
      <c r="H547" s="19">
        <f t="shared" si="194"/>
        <v>74125</v>
      </c>
      <c r="I547" s="19">
        <f t="shared" si="194"/>
        <v>74125</v>
      </c>
      <c r="J547" s="19">
        <f t="shared" si="195"/>
        <v>748069</v>
      </c>
      <c r="K547" s="133">
        <v>1000</v>
      </c>
      <c r="L547" s="19"/>
      <c r="M547" s="16">
        <f t="shared" si="172"/>
        <v>355341.67159915261</v>
      </c>
      <c r="N547" s="58">
        <v>870</v>
      </c>
      <c r="O547" s="58">
        <v>4</v>
      </c>
      <c r="P547" s="94">
        <v>23720</v>
      </c>
      <c r="Q547" s="41" t="s">
        <v>235</v>
      </c>
      <c r="R547" s="41"/>
      <c r="S547" s="41" t="s">
        <v>255</v>
      </c>
    </row>
    <row r="548" spans="1:20" ht="38.25" x14ac:dyDescent="0.2">
      <c r="A548" s="8" t="str">
        <f t="shared" si="197"/>
        <v/>
      </c>
      <c r="B548" s="5"/>
      <c r="C548" s="6" t="s">
        <v>70</v>
      </c>
      <c r="D548" s="5"/>
      <c r="E548" s="5"/>
      <c r="F548" s="5"/>
      <c r="G548" s="5"/>
      <c r="H548" s="5"/>
      <c r="I548" s="5"/>
      <c r="J548" s="5"/>
      <c r="K548" s="133">
        <v>1000</v>
      </c>
      <c r="L548" s="5"/>
      <c r="M548" s="16">
        <f t="shared" si="172"/>
        <v>0</v>
      </c>
      <c r="N548" s="5"/>
      <c r="O548" s="5"/>
      <c r="P548" s="5"/>
      <c r="Q548" s="5"/>
      <c r="R548" s="5"/>
      <c r="S548" s="30"/>
      <c r="T548" s="266"/>
    </row>
    <row r="549" spans="1:20" ht="16.5" x14ac:dyDescent="0.2">
      <c r="A549" s="8" t="str">
        <f t="shared" si="197"/>
        <v>1020130</v>
      </c>
      <c r="B549" s="8">
        <v>102</v>
      </c>
      <c r="C549" s="8">
        <v>1</v>
      </c>
      <c r="D549" s="8" t="s">
        <v>64</v>
      </c>
      <c r="E549" s="8">
        <v>0</v>
      </c>
      <c r="F549" s="34">
        <f>ROUNDDOWN($P549/4*$O549*10*$N549/$N549*$Q549/400,0)</f>
        <v>7778</v>
      </c>
      <c r="G549" s="34">
        <f>ROUNDDOWN($P549/4*$O549*10*$N549/$N549*$Q549/400,0)</f>
        <v>7778</v>
      </c>
      <c r="H549" s="34">
        <f t="shared" ref="H549:I553" si="198">ROUNDDOWN($S549/4*10,0)</f>
        <v>4382</v>
      </c>
      <c r="I549" s="34">
        <f t="shared" si="198"/>
        <v>4382</v>
      </c>
      <c r="J549" s="34">
        <f>ROUNDDOWN($P549/4*$O549*10*$N549/$Q549*$N549/400,0)</f>
        <v>9876</v>
      </c>
      <c r="K549" s="133">
        <v>1000</v>
      </c>
      <c r="L549" s="34"/>
      <c r="M549" s="16">
        <f t="shared" si="172"/>
        <v>1467.7452502578233</v>
      </c>
      <c r="N549" s="36">
        <v>800</v>
      </c>
      <c r="O549" s="36">
        <v>0.5</v>
      </c>
      <c r="P549" s="117">
        <v>3506</v>
      </c>
      <c r="Q549" s="2" t="s">
        <v>104</v>
      </c>
      <c r="S549" s="36">
        <f t="shared" ref="S549:S607" si="199">ROUNDDOWN(P549*0.5,0)</f>
        <v>1753</v>
      </c>
    </row>
    <row r="550" spans="1:20" ht="16.5" x14ac:dyDescent="0.2">
      <c r="A550" s="8" t="str">
        <f t="shared" si="197"/>
        <v>1020131</v>
      </c>
      <c r="B550" s="8">
        <v>102</v>
      </c>
      <c r="C550" s="8">
        <v>1</v>
      </c>
      <c r="D550" s="8" t="s">
        <v>64</v>
      </c>
      <c r="E550" s="8">
        <v>1</v>
      </c>
      <c r="F550" s="34">
        <f t="shared" ref="F550:G553" si="200">ROUNDDOWN($P550/4*$O550*10*$N550/$N550*$Q550/400,0)</f>
        <v>15557</v>
      </c>
      <c r="G550" s="34">
        <f t="shared" si="200"/>
        <v>15557</v>
      </c>
      <c r="H550" s="34">
        <f t="shared" si="198"/>
        <v>4382</v>
      </c>
      <c r="I550" s="34">
        <f t="shared" si="198"/>
        <v>4382</v>
      </c>
      <c r="J550" s="34">
        <f t="shared" ref="J550:J553" si="201">ROUNDDOWN($P550/4*$O550*10*$N550/$Q550*$N550/400,0)</f>
        <v>19261</v>
      </c>
      <c r="K550" s="133">
        <v>1000</v>
      </c>
      <c r="L550" s="34"/>
      <c r="M550" s="16">
        <f t="shared" ref="M550:M613" si="202">(F550*J550*((H550+I550)/2)/1000)^(1/2)/10*0.8</f>
        <v>2898.8684998270619</v>
      </c>
      <c r="N550" s="36">
        <v>790</v>
      </c>
      <c r="O550" s="36">
        <v>1</v>
      </c>
      <c r="P550" s="117">
        <v>3506</v>
      </c>
      <c r="Q550" s="2" t="s">
        <v>104</v>
      </c>
      <c r="S550" s="36">
        <f t="shared" si="199"/>
        <v>1753</v>
      </c>
    </row>
    <row r="551" spans="1:20" ht="16.5" x14ac:dyDescent="0.2">
      <c r="A551" s="8" t="str">
        <f t="shared" si="197"/>
        <v>1020132</v>
      </c>
      <c r="B551" s="8">
        <v>102</v>
      </c>
      <c r="C551" s="8">
        <v>1</v>
      </c>
      <c r="D551" s="8" t="s">
        <v>64</v>
      </c>
      <c r="E551" s="8">
        <v>2</v>
      </c>
      <c r="F551" s="34">
        <f t="shared" si="200"/>
        <v>46673</v>
      </c>
      <c r="G551" s="34">
        <f t="shared" si="200"/>
        <v>46673</v>
      </c>
      <c r="H551" s="34">
        <f t="shared" si="198"/>
        <v>4382</v>
      </c>
      <c r="I551" s="34">
        <f t="shared" si="198"/>
        <v>4382</v>
      </c>
      <c r="J551" s="34">
        <f t="shared" si="201"/>
        <v>56330</v>
      </c>
      <c r="K551" s="133">
        <v>1000</v>
      </c>
      <c r="L551" s="34"/>
      <c r="M551" s="16">
        <f t="shared" si="202"/>
        <v>8586.7517581464981</v>
      </c>
      <c r="N551" s="36">
        <v>780</v>
      </c>
      <c r="O551" s="36">
        <v>3</v>
      </c>
      <c r="P551" s="117">
        <v>3506</v>
      </c>
      <c r="Q551" s="2" t="s">
        <v>104</v>
      </c>
      <c r="S551" s="36">
        <f t="shared" si="199"/>
        <v>1753</v>
      </c>
    </row>
    <row r="552" spans="1:20" ht="16.5" x14ac:dyDescent="0.2">
      <c r="A552" s="8" t="str">
        <f t="shared" si="197"/>
        <v>1020133</v>
      </c>
      <c r="B552" s="8">
        <v>102</v>
      </c>
      <c r="C552" s="8">
        <v>1</v>
      </c>
      <c r="D552" s="8" t="s">
        <v>64</v>
      </c>
      <c r="E552" s="8">
        <v>3</v>
      </c>
      <c r="F552" s="34">
        <f t="shared" si="200"/>
        <v>54452</v>
      </c>
      <c r="G552" s="34">
        <f t="shared" si="200"/>
        <v>54452</v>
      </c>
      <c r="H552" s="34">
        <f t="shared" si="198"/>
        <v>4382</v>
      </c>
      <c r="I552" s="34">
        <f t="shared" si="198"/>
        <v>4382</v>
      </c>
      <c r="J552" s="34">
        <f t="shared" si="201"/>
        <v>64044</v>
      </c>
      <c r="K552" s="133">
        <v>1000</v>
      </c>
      <c r="L552" s="34"/>
      <c r="M552" s="16">
        <f t="shared" si="202"/>
        <v>9889.454028114109</v>
      </c>
      <c r="N552" s="36">
        <v>770</v>
      </c>
      <c r="O552" s="36">
        <v>3.5</v>
      </c>
      <c r="P552" s="117">
        <v>3506</v>
      </c>
      <c r="Q552" s="2" t="s">
        <v>104</v>
      </c>
      <c r="S552" s="36">
        <f t="shared" si="199"/>
        <v>1753</v>
      </c>
    </row>
    <row r="553" spans="1:20" ht="16.5" x14ac:dyDescent="0.2">
      <c r="A553" s="8" t="str">
        <f t="shared" si="197"/>
        <v>1020134</v>
      </c>
      <c r="B553" s="8">
        <v>102</v>
      </c>
      <c r="C553" s="8">
        <v>1</v>
      </c>
      <c r="D553" s="8" t="s">
        <v>64</v>
      </c>
      <c r="E553" s="8">
        <v>4</v>
      </c>
      <c r="F553" s="34">
        <f t="shared" si="200"/>
        <v>62231</v>
      </c>
      <c r="G553" s="34">
        <f t="shared" si="200"/>
        <v>62231</v>
      </c>
      <c r="H553" s="34">
        <f t="shared" si="198"/>
        <v>4382</v>
      </c>
      <c r="I553" s="34">
        <f t="shared" si="198"/>
        <v>4382</v>
      </c>
      <c r="J553" s="34">
        <f t="shared" si="201"/>
        <v>71305</v>
      </c>
      <c r="K553" s="133">
        <v>1000</v>
      </c>
      <c r="L553" s="34"/>
      <c r="M553" s="16">
        <f t="shared" si="202"/>
        <v>11155.513230200753</v>
      </c>
      <c r="N553" s="36">
        <v>760</v>
      </c>
      <c r="O553" s="36">
        <v>4</v>
      </c>
      <c r="P553" s="117">
        <v>3506</v>
      </c>
      <c r="Q553" s="2" t="s">
        <v>104</v>
      </c>
      <c r="S553" s="36">
        <f t="shared" si="199"/>
        <v>1753</v>
      </c>
    </row>
    <row r="554" spans="1:20" ht="38.25" x14ac:dyDescent="0.2">
      <c r="A554" s="8" t="str">
        <f t="shared" si="197"/>
        <v/>
      </c>
      <c r="B554" s="5"/>
      <c r="C554" s="6" t="s">
        <v>71</v>
      </c>
      <c r="D554" s="5"/>
      <c r="E554" s="5"/>
      <c r="F554" s="5"/>
      <c r="G554" s="5"/>
      <c r="H554" s="5"/>
      <c r="I554" s="5"/>
      <c r="J554" s="5"/>
      <c r="K554" s="133">
        <v>1000</v>
      </c>
      <c r="L554" s="5"/>
      <c r="M554" s="16">
        <f t="shared" si="202"/>
        <v>0</v>
      </c>
      <c r="N554" s="5"/>
      <c r="O554" s="5"/>
      <c r="P554" s="5"/>
      <c r="Q554" s="5"/>
      <c r="R554" s="5"/>
      <c r="S554" s="30"/>
      <c r="T554" s="266"/>
    </row>
    <row r="555" spans="1:20" x14ac:dyDescent="0.2">
      <c r="A555" s="8" t="str">
        <f t="shared" si="197"/>
        <v>30110</v>
      </c>
      <c r="B555" s="8">
        <v>3</v>
      </c>
      <c r="C555" s="8">
        <v>1</v>
      </c>
      <c r="D555" s="8" t="s">
        <v>62</v>
      </c>
      <c r="E555" s="8">
        <v>0</v>
      </c>
      <c r="F555" s="34">
        <f>ROUNDDOWN($P555/4*$O555*10*$N555/$N555*$Q555/400,0)</f>
        <v>10517</v>
      </c>
      <c r="G555" s="34">
        <f>ROUNDDOWN($P555/4*$O555*10*$N555/$N555*$Q555/400,0)</f>
        <v>10517</v>
      </c>
      <c r="H555" s="34">
        <f t="shared" ref="H555:I569" si="203">ROUNDDOWN($S555/4*10,0)</f>
        <v>5062</v>
      </c>
      <c r="I555" s="34">
        <f t="shared" si="203"/>
        <v>5062</v>
      </c>
      <c r="J555" s="34">
        <f>ROUNDDOWN($P555/4*$O555*10*$N555/$Q555*$N555/400,0)</f>
        <v>12336</v>
      </c>
      <c r="K555" s="133">
        <v>1000</v>
      </c>
      <c r="L555" s="34"/>
      <c r="M555" s="16">
        <f t="shared" si="202"/>
        <v>2050.1430945476955</v>
      </c>
      <c r="N555" s="36">
        <v>900</v>
      </c>
      <c r="O555" s="36">
        <v>0.5</v>
      </c>
      <c r="P555" s="98">
        <v>4050</v>
      </c>
      <c r="Q555" s="90" t="s">
        <v>375</v>
      </c>
      <c r="S555" s="36">
        <f t="shared" si="199"/>
        <v>2025</v>
      </c>
    </row>
    <row r="556" spans="1:20" x14ac:dyDescent="0.2">
      <c r="A556" s="8" t="str">
        <f t="shared" si="197"/>
        <v>30111</v>
      </c>
      <c r="B556" s="8">
        <v>3</v>
      </c>
      <c r="C556" s="8">
        <v>1</v>
      </c>
      <c r="D556" s="8" t="s">
        <v>62</v>
      </c>
      <c r="E556" s="8">
        <v>1</v>
      </c>
      <c r="F556" s="34">
        <f t="shared" ref="F556:G559" si="204">ROUNDDOWN($P556/4*$O556*10*$N556/$N556*$Q556/400,0)</f>
        <v>20528</v>
      </c>
      <c r="G556" s="34">
        <f t="shared" si="204"/>
        <v>20528</v>
      </c>
      <c r="H556" s="34">
        <f t="shared" si="203"/>
        <v>5062</v>
      </c>
      <c r="I556" s="34">
        <f t="shared" si="203"/>
        <v>5062</v>
      </c>
      <c r="J556" s="34">
        <f t="shared" ref="J556:J559" si="205">ROUNDDOWN($P556/4*$O556*10*$N556/$Q556*$N556/400,0)</f>
        <v>24170</v>
      </c>
      <c r="K556" s="133">
        <v>1000</v>
      </c>
      <c r="L556" s="34"/>
      <c r="M556" s="16">
        <f t="shared" si="202"/>
        <v>4009.2459772840079</v>
      </c>
      <c r="N556" s="36">
        <v>880</v>
      </c>
      <c r="O556" s="36">
        <v>1</v>
      </c>
      <c r="P556" s="98">
        <v>4050</v>
      </c>
      <c r="Q556" s="90" t="s">
        <v>373</v>
      </c>
      <c r="S556" s="36">
        <f t="shared" si="199"/>
        <v>2025</v>
      </c>
    </row>
    <row r="557" spans="1:20" x14ac:dyDescent="0.2">
      <c r="A557" s="8" t="str">
        <f t="shared" si="197"/>
        <v>30112</v>
      </c>
      <c r="B557" s="8">
        <v>3</v>
      </c>
      <c r="C557" s="8">
        <v>1</v>
      </c>
      <c r="D557" s="8" t="s">
        <v>62</v>
      </c>
      <c r="E557" s="8">
        <v>2</v>
      </c>
      <c r="F557" s="34">
        <f t="shared" si="204"/>
        <v>60066</v>
      </c>
      <c r="G557" s="34">
        <f t="shared" si="204"/>
        <v>60066</v>
      </c>
      <c r="H557" s="34">
        <f t="shared" si="203"/>
        <v>5062</v>
      </c>
      <c r="I557" s="34">
        <f t="shared" si="203"/>
        <v>5062</v>
      </c>
      <c r="J557" s="34">
        <f t="shared" si="205"/>
        <v>71003</v>
      </c>
      <c r="K557" s="133">
        <v>1000</v>
      </c>
      <c r="L557" s="34"/>
      <c r="M557" s="16">
        <f t="shared" si="202"/>
        <v>11754.489237877009</v>
      </c>
      <c r="N557" s="36">
        <v>860</v>
      </c>
      <c r="O557" s="36">
        <v>3</v>
      </c>
      <c r="P557" s="98">
        <v>4050</v>
      </c>
      <c r="Q557" s="90" t="s">
        <v>371</v>
      </c>
      <c r="S557" s="36">
        <f t="shared" si="199"/>
        <v>2025</v>
      </c>
    </row>
    <row r="558" spans="1:20" x14ac:dyDescent="0.2">
      <c r="A558" s="8" t="str">
        <f t="shared" si="197"/>
        <v>30113</v>
      </c>
      <c r="B558" s="8">
        <v>3</v>
      </c>
      <c r="C558" s="8">
        <v>1</v>
      </c>
      <c r="D558" s="8" t="s">
        <v>62</v>
      </c>
      <c r="E558" s="8">
        <v>3</v>
      </c>
      <c r="F558" s="34">
        <f t="shared" si="204"/>
        <v>68305</v>
      </c>
      <c r="G558" s="34">
        <f t="shared" si="204"/>
        <v>68305</v>
      </c>
      <c r="H558" s="34">
        <f t="shared" si="203"/>
        <v>5062</v>
      </c>
      <c r="I558" s="34">
        <f t="shared" si="203"/>
        <v>5062</v>
      </c>
      <c r="J558" s="34">
        <f t="shared" si="205"/>
        <v>81078</v>
      </c>
      <c r="K558" s="133">
        <v>1000</v>
      </c>
      <c r="L558" s="34"/>
      <c r="M558" s="16">
        <f t="shared" si="202"/>
        <v>13394.571314195615</v>
      </c>
      <c r="N558" s="36">
        <v>840</v>
      </c>
      <c r="O558" s="36">
        <v>3.5</v>
      </c>
      <c r="P558" s="98">
        <v>4050</v>
      </c>
      <c r="Q558" s="90" t="s">
        <v>366</v>
      </c>
      <c r="S558" s="36">
        <f t="shared" si="199"/>
        <v>2025</v>
      </c>
    </row>
    <row r="559" spans="1:20" x14ac:dyDescent="0.2">
      <c r="A559" s="8" t="str">
        <f t="shared" si="197"/>
        <v>30114</v>
      </c>
      <c r="B559" s="8">
        <v>3</v>
      </c>
      <c r="C559" s="8">
        <v>1</v>
      </c>
      <c r="D559" s="8" t="s">
        <v>62</v>
      </c>
      <c r="E559" s="8">
        <v>4</v>
      </c>
      <c r="F559" s="34">
        <f t="shared" si="204"/>
        <v>76038</v>
      </c>
      <c r="G559" s="34">
        <f t="shared" si="204"/>
        <v>76038</v>
      </c>
      <c r="H559" s="34">
        <f t="shared" si="203"/>
        <v>5062</v>
      </c>
      <c r="I559" s="34">
        <f t="shared" si="203"/>
        <v>5062</v>
      </c>
      <c r="J559" s="34">
        <f t="shared" si="205"/>
        <v>90653</v>
      </c>
      <c r="K559" s="133">
        <v>1000</v>
      </c>
      <c r="L559" s="34"/>
      <c r="M559" s="16">
        <f t="shared" si="202"/>
        <v>14943.677637736811</v>
      </c>
      <c r="N559" s="36">
        <v>820</v>
      </c>
      <c r="O559" s="36">
        <v>4</v>
      </c>
      <c r="P559" s="98">
        <v>4050</v>
      </c>
      <c r="Q559" s="90" t="s">
        <v>367</v>
      </c>
      <c r="S559" s="36">
        <f t="shared" si="199"/>
        <v>2025</v>
      </c>
    </row>
    <row r="560" spans="1:20" x14ac:dyDescent="0.2">
      <c r="A560" s="8" t="str">
        <f t="shared" si="197"/>
        <v>30210</v>
      </c>
      <c r="B560" s="8">
        <v>3</v>
      </c>
      <c r="C560" s="8">
        <v>2</v>
      </c>
      <c r="D560" s="8" t="s">
        <v>62</v>
      </c>
      <c r="E560" s="8">
        <v>0</v>
      </c>
      <c r="F560" s="34">
        <f>ROUNDDOWN($P560/4*$O560*10*$N560/$N560*$Q560/400,0)</f>
        <v>11349</v>
      </c>
      <c r="G560" s="34">
        <f>ROUNDDOWN($P560/4*$O560*10*$N560/$N560*$Q560/400,0)</f>
        <v>11349</v>
      </c>
      <c r="H560" s="34">
        <f t="shared" si="203"/>
        <v>5462</v>
      </c>
      <c r="I560" s="34">
        <f t="shared" si="203"/>
        <v>5462</v>
      </c>
      <c r="J560" s="34">
        <f>ROUNDDOWN($P560/4*$O560*10*$N560/$Q560*$N560/400,0)</f>
        <v>13312</v>
      </c>
      <c r="K560" s="133">
        <v>1000</v>
      </c>
      <c r="L560" s="34"/>
      <c r="M560" s="16">
        <f t="shared" si="202"/>
        <v>2298.0860547939456</v>
      </c>
      <c r="N560" s="36">
        <v>900</v>
      </c>
      <c r="O560" s="36">
        <v>0.5</v>
      </c>
      <c r="P560" s="98">
        <v>4370.4000000000005</v>
      </c>
      <c r="Q560" s="90" t="s">
        <v>375</v>
      </c>
      <c r="S560" s="36">
        <f t="shared" si="199"/>
        <v>2185</v>
      </c>
    </row>
    <row r="561" spans="1:20" x14ac:dyDescent="0.2">
      <c r="A561" s="8" t="str">
        <f t="shared" si="197"/>
        <v>30211</v>
      </c>
      <c r="B561" s="8">
        <v>3</v>
      </c>
      <c r="C561" s="8">
        <v>2</v>
      </c>
      <c r="D561" s="8" t="s">
        <v>62</v>
      </c>
      <c r="E561" s="8">
        <v>1</v>
      </c>
      <c r="F561" s="34">
        <f t="shared" ref="F561:G564" si="206">ROUNDDOWN($P561/4*$O561*10*$N561/$N561*$Q561/400,0)</f>
        <v>22152</v>
      </c>
      <c r="G561" s="34">
        <f t="shared" si="206"/>
        <v>22152</v>
      </c>
      <c r="H561" s="34">
        <f t="shared" si="203"/>
        <v>5462</v>
      </c>
      <c r="I561" s="34">
        <f t="shared" si="203"/>
        <v>5462</v>
      </c>
      <c r="J561" s="34">
        <f t="shared" ref="J561:J564" si="207">ROUNDDOWN($P561/4*$O561*10*$N561/$Q561*$N561/400,0)</f>
        <v>26082</v>
      </c>
      <c r="K561" s="133">
        <v>1000</v>
      </c>
      <c r="L561" s="34"/>
      <c r="M561" s="16">
        <f t="shared" si="202"/>
        <v>4494.1002038623037</v>
      </c>
      <c r="N561" s="36">
        <v>880</v>
      </c>
      <c r="O561" s="36">
        <v>1</v>
      </c>
      <c r="P561" s="98">
        <v>4370.4000000000005</v>
      </c>
      <c r="Q561" s="90" t="s">
        <v>373</v>
      </c>
      <c r="S561" s="36">
        <f t="shared" si="199"/>
        <v>2185</v>
      </c>
    </row>
    <row r="562" spans="1:20" x14ac:dyDescent="0.2">
      <c r="A562" s="8" t="str">
        <f t="shared" si="197"/>
        <v>30212</v>
      </c>
      <c r="B562" s="8">
        <v>3</v>
      </c>
      <c r="C562" s="8">
        <v>2</v>
      </c>
      <c r="D562" s="8" t="s">
        <v>62</v>
      </c>
      <c r="E562" s="8">
        <v>2</v>
      </c>
      <c r="F562" s="34">
        <f t="shared" si="206"/>
        <v>64818</v>
      </c>
      <c r="G562" s="34">
        <f t="shared" si="206"/>
        <v>64818</v>
      </c>
      <c r="H562" s="34">
        <f t="shared" si="203"/>
        <v>5462</v>
      </c>
      <c r="I562" s="34">
        <f t="shared" si="203"/>
        <v>5462</v>
      </c>
      <c r="J562" s="34">
        <f t="shared" si="207"/>
        <v>76620</v>
      </c>
      <c r="K562" s="133">
        <v>1000</v>
      </c>
      <c r="L562" s="34"/>
      <c r="M562" s="16">
        <f t="shared" si="202"/>
        <v>13176.034458709037</v>
      </c>
      <c r="N562" s="36">
        <v>860</v>
      </c>
      <c r="O562" s="36">
        <v>3</v>
      </c>
      <c r="P562" s="98">
        <v>4370.4000000000005</v>
      </c>
      <c r="Q562" s="90" t="s">
        <v>371</v>
      </c>
      <c r="S562" s="36">
        <f t="shared" si="199"/>
        <v>2185</v>
      </c>
    </row>
    <row r="563" spans="1:20" x14ac:dyDescent="0.2">
      <c r="A563" s="8" t="str">
        <f t="shared" si="197"/>
        <v>30213</v>
      </c>
      <c r="B563" s="8">
        <v>3</v>
      </c>
      <c r="C563" s="8">
        <v>2</v>
      </c>
      <c r="D563" s="8" t="s">
        <v>62</v>
      </c>
      <c r="E563" s="8">
        <v>3</v>
      </c>
      <c r="F563" s="34">
        <f t="shared" si="206"/>
        <v>73709</v>
      </c>
      <c r="G563" s="34">
        <f t="shared" si="206"/>
        <v>73709</v>
      </c>
      <c r="H563" s="34">
        <f t="shared" si="203"/>
        <v>5462</v>
      </c>
      <c r="I563" s="34">
        <f t="shared" si="203"/>
        <v>5462</v>
      </c>
      <c r="J563" s="34">
        <f t="shared" si="207"/>
        <v>87493</v>
      </c>
      <c r="K563" s="133">
        <v>1000</v>
      </c>
      <c r="L563" s="34"/>
      <c r="M563" s="16">
        <f t="shared" si="202"/>
        <v>15014.564797708977</v>
      </c>
      <c r="N563" s="36">
        <v>840</v>
      </c>
      <c r="O563" s="36">
        <v>3.5</v>
      </c>
      <c r="P563" s="98">
        <v>4370.4000000000005</v>
      </c>
      <c r="Q563" s="90" t="s">
        <v>366</v>
      </c>
      <c r="S563" s="36">
        <f t="shared" si="199"/>
        <v>2185</v>
      </c>
    </row>
    <row r="564" spans="1:20" x14ac:dyDescent="0.2">
      <c r="A564" s="8" t="str">
        <f t="shared" si="197"/>
        <v>30214</v>
      </c>
      <c r="B564" s="8">
        <v>3</v>
      </c>
      <c r="C564" s="8">
        <v>2</v>
      </c>
      <c r="D564" s="8" t="s">
        <v>62</v>
      </c>
      <c r="E564" s="8">
        <v>4</v>
      </c>
      <c r="F564" s="34">
        <f t="shared" si="206"/>
        <v>82054</v>
      </c>
      <c r="G564" s="34">
        <f t="shared" si="206"/>
        <v>82054</v>
      </c>
      <c r="H564" s="34">
        <f t="shared" si="203"/>
        <v>5462</v>
      </c>
      <c r="I564" s="34">
        <f t="shared" si="203"/>
        <v>5462</v>
      </c>
      <c r="J564" s="34">
        <f t="shared" si="207"/>
        <v>97824</v>
      </c>
      <c r="K564" s="133">
        <v>1000</v>
      </c>
      <c r="L564" s="34"/>
      <c r="M564" s="16">
        <f t="shared" si="202"/>
        <v>16750.910644456701</v>
      </c>
      <c r="N564" s="36">
        <v>820</v>
      </c>
      <c r="O564" s="36">
        <v>4</v>
      </c>
      <c r="P564" s="98">
        <v>4370.4000000000005</v>
      </c>
      <c r="Q564" s="90" t="s">
        <v>367</v>
      </c>
      <c r="S564" s="36">
        <f t="shared" si="199"/>
        <v>2185</v>
      </c>
    </row>
    <row r="565" spans="1:20" x14ac:dyDescent="0.2">
      <c r="A565" s="8" t="str">
        <f t="shared" si="197"/>
        <v>30310</v>
      </c>
      <c r="B565" s="8">
        <v>3</v>
      </c>
      <c r="C565" s="8">
        <v>3</v>
      </c>
      <c r="D565" s="8" t="s">
        <v>62</v>
      </c>
      <c r="E565" s="8">
        <v>0</v>
      </c>
      <c r="F565" s="34">
        <f>ROUNDDOWN($P565/4*$O565*10*$N565/$N565*$Q565/400,0)</f>
        <v>12211</v>
      </c>
      <c r="G565" s="34">
        <f>ROUNDDOWN($P565/4*$O565*10*$N565/$N565*$Q565/400,0)</f>
        <v>12211</v>
      </c>
      <c r="H565" s="34">
        <f t="shared" si="203"/>
        <v>5877</v>
      </c>
      <c r="I565" s="34">
        <f t="shared" si="203"/>
        <v>5877</v>
      </c>
      <c r="J565" s="34">
        <f>ROUNDDOWN($P565/4*$O565*10*$N565/$Q565*$N565/400,0)</f>
        <v>14323</v>
      </c>
      <c r="K565" s="133">
        <v>1000</v>
      </c>
      <c r="L565" s="34"/>
      <c r="M565" s="16">
        <f t="shared" si="202"/>
        <v>2564.8409793120513</v>
      </c>
      <c r="N565" s="36">
        <v>900</v>
      </c>
      <c r="O565" s="36">
        <v>0.5</v>
      </c>
      <c r="P565" s="98">
        <v>4702.5</v>
      </c>
      <c r="Q565" s="90" t="s">
        <v>375</v>
      </c>
      <c r="S565" s="36">
        <f t="shared" si="199"/>
        <v>2351</v>
      </c>
    </row>
    <row r="566" spans="1:20" x14ac:dyDescent="0.2">
      <c r="A566" s="8" t="str">
        <f t="shared" si="197"/>
        <v>30311</v>
      </c>
      <c r="B566" s="8">
        <v>3</v>
      </c>
      <c r="C566" s="8">
        <v>3</v>
      </c>
      <c r="D566" s="8" t="s">
        <v>62</v>
      </c>
      <c r="E566" s="8">
        <v>1</v>
      </c>
      <c r="F566" s="34">
        <f t="shared" ref="F566:G569" si="208">ROUNDDOWN($P566/4*$O566*10*$N566/$N566*$Q566/400,0)</f>
        <v>23835</v>
      </c>
      <c r="G566" s="34">
        <f t="shared" si="208"/>
        <v>23835</v>
      </c>
      <c r="H566" s="34">
        <f t="shared" si="203"/>
        <v>5877</v>
      </c>
      <c r="I566" s="34">
        <f t="shared" si="203"/>
        <v>5877</v>
      </c>
      <c r="J566" s="34">
        <f t="shared" ref="J566:J569" si="209">ROUNDDOWN($P566/4*$O566*10*$N566/$Q566*$N566/400,0)</f>
        <v>28064</v>
      </c>
      <c r="K566" s="133">
        <v>1000</v>
      </c>
      <c r="L566" s="34"/>
      <c r="M566" s="16">
        <f t="shared" si="202"/>
        <v>5015.9153236106376</v>
      </c>
      <c r="N566" s="36">
        <v>880</v>
      </c>
      <c r="O566" s="36">
        <v>1</v>
      </c>
      <c r="P566" s="98">
        <v>4702.5</v>
      </c>
      <c r="Q566" s="90" t="s">
        <v>373</v>
      </c>
      <c r="S566" s="36">
        <f t="shared" si="199"/>
        <v>2351</v>
      </c>
    </row>
    <row r="567" spans="1:20" x14ac:dyDescent="0.2">
      <c r="A567" s="8" t="str">
        <f t="shared" si="197"/>
        <v>30312</v>
      </c>
      <c r="B567" s="8">
        <v>3</v>
      </c>
      <c r="C567" s="8">
        <v>3</v>
      </c>
      <c r="D567" s="8" t="s">
        <v>62</v>
      </c>
      <c r="E567" s="8">
        <v>2</v>
      </c>
      <c r="F567" s="34">
        <f t="shared" si="208"/>
        <v>69743</v>
      </c>
      <c r="G567" s="34">
        <f t="shared" si="208"/>
        <v>69743</v>
      </c>
      <c r="H567" s="34">
        <f t="shared" si="203"/>
        <v>5877</v>
      </c>
      <c r="I567" s="34">
        <f t="shared" si="203"/>
        <v>5877</v>
      </c>
      <c r="J567" s="34">
        <f t="shared" si="209"/>
        <v>82442</v>
      </c>
      <c r="K567" s="133">
        <v>1000</v>
      </c>
      <c r="L567" s="34"/>
      <c r="M567" s="16">
        <f t="shared" si="202"/>
        <v>14705.926944480474</v>
      </c>
      <c r="N567" s="36">
        <v>860</v>
      </c>
      <c r="O567" s="36">
        <v>3</v>
      </c>
      <c r="P567" s="98">
        <v>4702.5</v>
      </c>
      <c r="Q567" s="90" t="s">
        <v>371</v>
      </c>
      <c r="S567" s="36">
        <f t="shared" si="199"/>
        <v>2351</v>
      </c>
    </row>
    <row r="568" spans="1:20" x14ac:dyDescent="0.2">
      <c r="A568" s="8" t="str">
        <f t="shared" si="197"/>
        <v>30313</v>
      </c>
      <c r="B568" s="8">
        <v>3</v>
      </c>
      <c r="C568" s="8">
        <v>3</v>
      </c>
      <c r="D568" s="8" t="s">
        <v>62</v>
      </c>
      <c r="E568" s="8">
        <v>3</v>
      </c>
      <c r="F568" s="34">
        <f t="shared" si="208"/>
        <v>79310</v>
      </c>
      <c r="G568" s="34">
        <f t="shared" si="208"/>
        <v>79310</v>
      </c>
      <c r="H568" s="34">
        <f t="shared" si="203"/>
        <v>5877</v>
      </c>
      <c r="I568" s="34">
        <f t="shared" si="203"/>
        <v>5877</v>
      </c>
      <c r="J568" s="34">
        <f t="shared" si="209"/>
        <v>94141</v>
      </c>
      <c r="K568" s="133">
        <v>1000</v>
      </c>
      <c r="L568" s="34"/>
      <c r="M568" s="16">
        <f t="shared" si="202"/>
        <v>16757.962370965273</v>
      </c>
      <c r="N568" s="36">
        <v>840</v>
      </c>
      <c r="O568" s="36">
        <v>3.5</v>
      </c>
      <c r="P568" s="98">
        <v>4702.5</v>
      </c>
      <c r="Q568" s="90" t="s">
        <v>366</v>
      </c>
      <c r="S568" s="36">
        <f t="shared" si="199"/>
        <v>2351</v>
      </c>
    </row>
    <row r="569" spans="1:20" x14ac:dyDescent="0.2">
      <c r="A569" s="8" t="str">
        <f t="shared" si="197"/>
        <v>30314</v>
      </c>
      <c r="B569" s="8">
        <v>3</v>
      </c>
      <c r="C569" s="8">
        <v>3</v>
      </c>
      <c r="D569" s="8" t="s">
        <v>62</v>
      </c>
      <c r="E569" s="8">
        <v>4</v>
      </c>
      <c r="F569" s="34">
        <f t="shared" si="208"/>
        <v>88289</v>
      </c>
      <c r="G569" s="34">
        <f t="shared" si="208"/>
        <v>88289</v>
      </c>
      <c r="H569" s="34">
        <f t="shared" si="203"/>
        <v>5877</v>
      </c>
      <c r="I569" s="34">
        <f t="shared" si="203"/>
        <v>5877</v>
      </c>
      <c r="J569" s="34">
        <f t="shared" si="209"/>
        <v>105258</v>
      </c>
      <c r="K569" s="133">
        <v>1000</v>
      </c>
      <c r="L569" s="34"/>
      <c r="M569" s="16">
        <f t="shared" si="202"/>
        <v>18695.999516281383</v>
      </c>
      <c r="N569" s="36">
        <v>820</v>
      </c>
      <c r="O569" s="36">
        <v>4</v>
      </c>
      <c r="P569" s="98">
        <v>4702.5</v>
      </c>
      <c r="Q569" s="90" t="s">
        <v>367</v>
      </c>
      <c r="S569" s="36">
        <f t="shared" si="199"/>
        <v>2351</v>
      </c>
    </row>
    <row r="570" spans="1:20" ht="38.25" x14ac:dyDescent="0.2">
      <c r="A570" s="8" t="str">
        <f t="shared" si="197"/>
        <v/>
      </c>
      <c r="B570" s="5"/>
      <c r="C570" s="6" t="s">
        <v>73</v>
      </c>
      <c r="D570" s="5"/>
      <c r="E570" s="5"/>
      <c r="F570" s="5"/>
      <c r="G570" s="5"/>
      <c r="H570" s="5"/>
      <c r="I570" s="5"/>
      <c r="J570" s="5"/>
      <c r="K570" s="133">
        <v>1000</v>
      </c>
      <c r="L570" s="5"/>
      <c r="M570" s="16">
        <f t="shared" si="202"/>
        <v>0</v>
      </c>
      <c r="N570" s="5"/>
      <c r="O570" s="5"/>
      <c r="P570" s="100"/>
      <c r="Q570" s="5"/>
      <c r="R570" s="5"/>
      <c r="S570" s="30"/>
      <c r="T570" s="266"/>
    </row>
    <row r="571" spans="1:20" x14ac:dyDescent="0.2">
      <c r="A571" s="8" t="str">
        <f t="shared" si="197"/>
        <v>30120</v>
      </c>
      <c r="B571" s="8">
        <v>3</v>
      </c>
      <c r="C571" s="8">
        <v>1</v>
      </c>
      <c r="D571" s="8" t="s">
        <v>63</v>
      </c>
      <c r="E571" s="8">
        <v>0</v>
      </c>
      <c r="F571" s="34">
        <f>ROUNDDOWN($P571/4*$O571*10*$N571/$N571*$Q571/400,0)</f>
        <v>13830</v>
      </c>
      <c r="G571" s="34">
        <f>ROUNDDOWN($P571/4*$O571*10*$N571/$N571*$Q571/400,0)</f>
        <v>13830</v>
      </c>
      <c r="H571" s="34">
        <f t="shared" ref="H571:I585" si="210">ROUNDDOWN($S571/4*10,0)</f>
        <v>6655</v>
      </c>
      <c r="I571" s="34">
        <f t="shared" si="210"/>
        <v>6655</v>
      </c>
      <c r="J571" s="34">
        <f>ROUNDDOWN($P571/4*$O571*10*$N571/$Q571*$N571/400,0)</f>
        <v>16222</v>
      </c>
      <c r="K571" s="133">
        <v>1000</v>
      </c>
      <c r="L571" s="34"/>
      <c r="M571" s="16">
        <f t="shared" si="202"/>
        <v>3091.2014288816572</v>
      </c>
      <c r="N571" s="36">
        <v>900</v>
      </c>
      <c r="O571" s="36">
        <v>0.5</v>
      </c>
      <c r="P571" s="98">
        <v>5325.7</v>
      </c>
      <c r="Q571" s="90" t="s">
        <v>375</v>
      </c>
      <c r="S571" s="36">
        <f t="shared" si="199"/>
        <v>2662</v>
      </c>
    </row>
    <row r="572" spans="1:20" x14ac:dyDescent="0.2">
      <c r="A572" s="8" t="str">
        <f t="shared" si="197"/>
        <v>30121</v>
      </c>
      <c r="B572" s="8">
        <v>3</v>
      </c>
      <c r="C572" s="8">
        <v>1</v>
      </c>
      <c r="D572" s="8" t="s">
        <v>63</v>
      </c>
      <c r="E572" s="8">
        <v>1</v>
      </c>
      <c r="F572" s="34">
        <f t="shared" ref="F572:G575" si="211">ROUNDDOWN($P572/4*$O572*10*$N572/$N572*$Q572/400,0)</f>
        <v>26994</v>
      </c>
      <c r="G572" s="34">
        <f t="shared" si="211"/>
        <v>26994</v>
      </c>
      <c r="H572" s="34">
        <f t="shared" si="210"/>
        <v>6655</v>
      </c>
      <c r="I572" s="34">
        <f t="shared" si="210"/>
        <v>6655</v>
      </c>
      <c r="J572" s="34">
        <f t="shared" ref="J572:J575" si="212">ROUNDDOWN($P572/4*$O572*10*$N572/$Q572*$N572/400,0)</f>
        <v>31783</v>
      </c>
      <c r="K572" s="133">
        <v>1000</v>
      </c>
      <c r="L572" s="34"/>
      <c r="M572" s="16">
        <f t="shared" si="202"/>
        <v>6044.9829828365946</v>
      </c>
      <c r="N572" s="36">
        <v>880</v>
      </c>
      <c r="O572" s="36">
        <v>1</v>
      </c>
      <c r="P572" s="98">
        <v>5325.7</v>
      </c>
      <c r="Q572" s="90" t="s">
        <v>373</v>
      </c>
      <c r="S572" s="36">
        <f t="shared" si="199"/>
        <v>2662</v>
      </c>
    </row>
    <row r="573" spans="1:20" x14ac:dyDescent="0.2">
      <c r="A573" s="8" t="str">
        <f t="shared" si="197"/>
        <v>30122</v>
      </c>
      <c r="B573" s="8">
        <v>3</v>
      </c>
      <c r="C573" s="8">
        <v>1</v>
      </c>
      <c r="D573" s="8" t="s">
        <v>63</v>
      </c>
      <c r="E573" s="8">
        <v>2</v>
      </c>
      <c r="F573" s="34">
        <f t="shared" si="211"/>
        <v>78986</v>
      </c>
      <c r="G573" s="34">
        <f t="shared" si="211"/>
        <v>78986</v>
      </c>
      <c r="H573" s="34">
        <f t="shared" si="210"/>
        <v>6655</v>
      </c>
      <c r="I573" s="34">
        <f t="shared" si="210"/>
        <v>6655</v>
      </c>
      <c r="J573" s="34">
        <f t="shared" si="212"/>
        <v>93368</v>
      </c>
      <c r="K573" s="133">
        <v>1000</v>
      </c>
      <c r="L573" s="34"/>
      <c r="M573" s="16">
        <f t="shared" si="202"/>
        <v>17723.03541738875</v>
      </c>
      <c r="N573" s="36">
        <v>860</v>
      </c>
      <c r="O573" s="36">
        <v>3</v>
      </c>
      <c r="P573" s="98">
        <v>5325.7</v>
      </c>
      <c r="Q573" s="90" t="s">
        <v>371</v>
      </c>
      <c r="S573" s="36">
        <f t="shared" si="199"/>
        <v>2662</v>
      </c>
    </row>
    <row r="574" spans="1:20" x14ac:dyDescent="0.2">
      <c r="A574" s="8" t="str">
        <f t="shared" si="197"/>
        <v>30123</v>
      </c>
      <c r="B574" s="8">
        <v>3</v>
      </c>
      <c r="C574" s="8">
        <v>1</v>
      </c>
      <c r="D574" s="8" t="s">
        <v>63</v>
      </c>
      <c r="E574" s="8">
        <v>3</v>
      </c>
      <c r="F574" s="34">
        <f t="shared" si="211"/>
        <v>89821</v>
      </c>
      <c r="G574" s="34">
        <f t="shared" si="211"/>
        <v>89821</v>
      </c>
      <c r="H574" s="34">
        <f t="shared" si="210"/>
        <v>6655</v>
      </c>
      <c r="I574" s="34">
        <f t="shared" si="210"/>
        <v>6655</v>
      </c>
      <c r="J574" s="34">
        <f t="shared" si="212"/>
        <v>106617</v>
      </c>
      <c r="K574" s="133">
        <v>1000</v>
      </c>
      <c r="L574" s="34"/>
      <c r="M574" s="16">
        <f t="shared" si="202"/>
        <v>20196.038452224835</v>
      </c>
      <c r="N574" s="36">
        <v>840</v>
      </c>
      <c r="O574" s="36">
        <v>3.5</v>
      </c>
      <c r="P574" s="98">
        <v>5325.7</v>
      </c>
      <c r="Q574" s="90" t="s">
        <v>366</v>
      </c>
      <c r="S574" s="36">
        <f t="shared" si="199"/>
        <v>2662</v>
      </c>
    </row>
    <row r="575" spans="1:20" x14ac:dyDescent="0.2">
      <c r="A575" s="8" t="str">
        <f t="shared" si="197"/>
        <v>30124</v>
      </c>
      <c r="B575" s="8">
        <v>3</v>
      </c>
      <c r="C575" s="8">
        <v>1</v>
      </c>
      <c r="D575" s="8" t="s">
        <v>63</v>
      </c>
      <c r="E575" s="8">
        <v>4</v>
      </c>
      <c r="F575" s="34">
        <f t="shared" si="211"/>
        <v>99990</v>
      </c>
      <c r="G575" s="34">
        <f t="shared" si="211"/>
        <v>99990</v>
      </c>
      <c r="H575" s="34">
        <f t="shared" si="210"/>
        <v>6655</v>
      </c>
      <c r="I575" s="34">
        <f t="shared" si="210"/>
        <v>6655</v>
      </c>
      <c r="J575" s="34">
        <f t="shared" si="212"/>
        <v>119207</v>
      </c>
      <c r="K575" s="133">
        <v>1000</v>
      </c>
      <c r="L575" s="34"/>
      <c r="M575" s="16">
        <f t="shared" si="202"/>
        <v>22531.659542842379</v>
      </c>
      <c r="N575" s="36">
        <v>820</v>
      </c>
      <c r="O575" s="36">
        <v>4</v>
      </c>
      <c r="P575" s="98">
        <v>5325.7</v>
      </c>
      <c r="Q575" s="90" t="s">
        <v>367</v>
      </c>
      <c r="S575" s="36">
        <f t="shared" si="199"/>
        <v>2662</v>
      </c>
    </row>
    <row r="576" spans="1:20" x14ac:dyDescent="0.2">
      <c r="A576" s="8" t="str">
        <f t="shared" si="197"/>
        <v>30220</v>
      </c>
      <c r="B576" s="8">
        <v>3</v>
      </c>
      <c r="C576" s="8">
        <v>2</v>
      </c>
      <c r="D576" s="8" t="s">
        <v>63</v>
      </c>
      <c r="E576" s="8">
        <v>0</v>
      </c>
      <c r="F576" s="34">
        <f>ROUNDDOWN($P576/4*$O576*10*$N576/$N576*$Q576/400,0)</f>
        <v>14802</v>
      </c>
      <c r="G576" s="34">
        <f>ROUNDDOWN($P576/4*$O576*10*$N576/$N576*$Q576/400,0)</f>
        <v>14802</v>
      </c>
      <c r="H576" s="34">
        <f t="shared" si="210"/>
        <v>7125</v>
      </c>
      <c r="I576" s="34">
        <f t="shared" si="210"/>
        <v>7125</v>
      </c>
      <c r="J576" s="34">
        <f>ROUNDDOWN($P576/4*$O576*10*$N576/$Q576*$N576/400,0)</f>
        <v>17362</v>
      </c>
      <c r="K576" s="133">
        <v>1000</v>
      </c>
      <c r="L576" s="34"/>
      <c r="M576" s="16">
        <f t="shared" si="202"/>
        <v>3423.2805865718929</v>
      </c>
      <c r="N576" s="36">
        <v>900</v>
      </c>
      <c r="O576" s="36">
        <v>0.5</v>
      </c>
      <c r="P576" s="99">
        <v>5700</v>
      </c>
      <c r="Q576" s="90" t="s">
        <v>375</v>
      </c>
      <c r="S576" s="36">
        <f t="shared" si="199"/>
        <v>2850</v>
      </c>
    </row>
    <row r="577" spans="1:20" x14ac:dyDescent="0.2">
      <c r="A577" s="8" t="str">
        <f t="shared" si="197"/>
        <v>30221</v>
      </c>
      <c r="B577" s="8">
        <v>3</v>
      </c>
      <c r="C577" s="8">
        <v>2</v>
      </c>
      <c r="D577" s="8" t="s">
        <v>63</v>
      </c>
      <c r="E577" s="8">
        <v>1</v>
      </c>
      <c r="F577" s="34">
        <f t="shared" ref="F577:G580" si="213">ROUNDDOWN($P577/4*$O577*10*$N577/$N577*$Q577/400,0)</f>
        <v>28891</v>
      </c>
      <c r="G577" s="34">
        <f t="shared" si="213"/>
        <v>28891</v>
      </c>
      <c r="H577" s="34">
        <f t="shared" si="210"/>
        <v>7125</v>
      </c>
      <c r="I577" s="34">
        <f t="shared" si="210"/>
        <v>7125</v>
      </c>
      <c r="J577" s="34">
        <f t="shared" ref="J577:J580" si="214">ROUNDDOWN($P577/4*$O577*10*$N577/$Q577*$N577/400,0)</f>
        <v>34017</v>
      </c>
      <c r="K577" s="133">
        <v>1000</v>
      </c>
      <c r="L577" s="34"/>
      <c r="M577" s="16">
        <f t="shared" si="202"/>
        <v>6694.4008472155292</v>
      </c>
      <c r="N577" s="36">
        <v>880</v>
      </c>
      <c r="O577" s="36">
        <v>1</v>
      </c>
      <c r="P577" s="99">
        <v>5700</v>
      </c>
      <c r="Q577" s="90" t="s">
        <v>373</v>
      </c>
      <c r="S577" s="36">
        <f t="shared" si="199"/>
        <v>2850</v>
      </c>
    </row>
    <row r="578" spans="1:20" x14ac:dyDescent="0.2">
      <c r="A578" s="8" t="str">
        <f t="shared" si="197"/>
        <v>30222</v>
      </c>
      <c r="B578" s="8">
        <v>3</v>
      </c>
      <c r="C578" s="8">
        <v>2</v>
      </c>
      <c r="D578" s="8" t="s">
        <v>63</v>
      </c>
      <c r="E578" s="8">
        <v>2</v>
      </c>
      <c r="F578" s="34">
        <f t="shared" si="213"/>
        <v>84538</v>
      </c>
      <c r="G578" s="34">
        <f t="shared" si="213"/>
        <v>84538</v>
      </c>
      <c r="H578" s="34">
        <f t="shared" si="210"/>
        <v>7125</v>
      </c>
      <c r="I578" s="34">
        <f t="shared" si="210"/>
        <v>7125</v>
      </c>
      <c r="J578" s="34">
        <f t="shared" si="214"/>
        <v>99930</v>
      </c>
      <c r="K578" s="133">
        <v>1000</v>
      </c>
      <c r="L578" s="34"/>
      <c r="M578" s="16">
        <f t="shared" si="202"/>
        <v>19627.109687980043</v>
      </c>
      <c r="N578" s="36">
        <v>860</v>
      </c>
      <c r="O578" s="36">
        <v>3</v>
      </c>
      <c r="P578" s="99">
        <v>5700</v>
      </c>
      <c r="Q578" s="90" t="s">
        <v>371</v>
      </c>
      <c r="S578" s="36">
        <f t="shared" si="199"/>
        <v>2850</v>
      </c>
    </row>
    <row r="579" spans="1:20" x14ac:dyDescent="0.2">
      <c r="A579" s="8" t="str">
        <f t="shared" si="197"/>
        <v>30223</v>
      </c>
      <c r="B579" s="8">
        <v>3</v>
      </c>
      <c r="C579" s="8">
        <v>2</v>
      </c>
      <c r="D579" s="8" t="s">
        <v>63</v>
      </c>
      <c r="E579" s="8">
        <v>3</v>
      </c>
      <c r="F579" s="34">
        <f t="shared" si="213"/>
        <v>96134</v>
      </c>
      <c r="G579" s="34">
        <f t="shared" si="213"/>
        <v>96134</v>
      </c>
      <c r="H579" s="34">
        <f t="shared" si="210"/>
        <v>7125</v>
      </c>
      <c r="I579" s="34">
        <f t="shared" si="210"/>
        <v>7125</v>
      </c>
      <c r="J579" s="34">
        <f t="shared" si="214"/>
        <v>114110</v>
      </c>
      <c r="K579" s="133">
        <v>1000</v>
      </c>
      <c r="L579" s="34"/>
      <c r="M579" s="16">
        <f t="shared" si="202"/>
        <v>22365.714693342579</v>
      </c>
      <c r="N579" s="36">
        <v>840</v>
      </c>
      <c r="O579" s="36">
        <v>3.5</v>
      </c>
      <c r="P579" s="99">
        <v>5700</v>
      </c>
      <c r="Q579" s="90" t="s">
        <v>366</v>
      </c>
      <c r="S579" s="36">
        <f t="shared" si="199"/>
        <v>2850</v>
      </c>
    </row>
    <row r="580" spans="1:20" x14ac:dyDescent="0.2">
      <c r="A580" s="8" t="str">
        <f t="shared" si="197"/>
        <v>30224</v>
      </c>
      <c r="B580" s="8">
        <v>3</v>
      </c>
      <c r="C580" s="8">
        <v>2</v>
      </c>
      <c r="D580" s="8" t="s">
        <v>63</v>
      </c>
      <c r="E580" s="8">
        <v>4</v>
      </c>
      <c r="F580" s="34">
        <f t="shared" si="213"/>
        <v>107017</v>
      </c>
      <c r="G580" s="34">
        <f t="shared" si="213"/>
        <v>107017</v>
      </c>
      <c r="H580" s="34">
        <f t="shared" si="210"/>
        <v>7125</v>
      </c>
      <c r="I580" s="34">
        <f t="shared" si="210"/>
        <v>7125</v>
      </c>
      <c r="J580" s="34">
        <f t="shared" si="214"/>
        <v>127585</v>
      </c>
      <c r="K580" s="133">
        <v>1000</v>
      </c>
      <c r="L580" s="34"/>
      <c r="M580" s="16">
        <f t="shared" si="202"/>
        <v>24952.186996173303</v>
      </c>
      <c r="N580" s="36">
        <v>820</v>
      </c>
      <c r="O580" s="36">
        <v>4</v>
      </c>
      <c r="P580" s="99">
        <v>5700</v>
      </c>
      <c r="Q580" s="90" t="s">
        <v>367</v>
      </c>
      <c r="S580" s="36">
        <f t="shared" si="199"/>
        <v>2850</v>
      </c>
    </row>
    <row r="581" spans="1:20" x14ac:dyDescent="0.2">
      <c r="A581" s="8" t="str">
        <f t="shared" si="197"/>
        <v>30320</v>
      </c>
      <c r="B581" s="8">
        <v>3</v>
      </c>
      <c r="C581" s="8">
        <v>3</v>
      </c>
      <c r="D581" s="8" t="s">
        <v>63</v>
      </c>
      <c r="E581" s="8">
        <v>0</v>
      </c>
      <c r="F581" s="34">
        <f>ROUNDDOWN($P581/4*$O581*10*$N581/$N581*$Q581/400,0)</f>
        <v>15803</v>
      </c>
      <c r="G581" s="34">
        <f>ROUNDDOWN($P581/4*$O581*10*$N581/$N581*$Q581/400,0)</f>
        <v>15803</v>
      </c>
      <c r="H581" s="34">
        <f t="shared" si="210"/>
        <v>7605</v>
      </c>
      <c r="I581" s="34">
        <f t="shared" si="210"/>
        <v>7605</v>
      </c>
      <c r="J581" s="34">
        <f>ROUNDDOWN($P581/4*$O581*10*$N581/$Q581*$N581/400,0)</f>
        <v>18537</v>
      </c>
      <c r="K581" s="133">
        <v>1000</v>
      </c>
      <c r="L581" s="34"/>
      <c r="M581" s="16">
        <f t="shared" si="202"/>
        <v>3775.9748343695305</v>
      </c>
      <c r="N581" s="36">
        <v>900</v>
      </c>
      <c r="O581" s="36">
        <v>0.5</v>
      </c>
      <c r="P581" s="98">
        <v>6085.7</v>
      </c>
      <c r="Q581" s="90" t="s">
        <v>375</v>
      </c>
      <c r="S581" s="36">
        <f t="shared" si="199"/>
        <v>3042</v>
      </c>
    </row>
    <row r="582" spans="1:20" x14ac:dyDescent="0.2">
      <c r="A582" s="8" t="str">
        <f t="shared" si="197"/>
        <v>30321</v>
      </c>
      <c r="B582" s="8">
        <v>3</v>
      </c>
      <c r="C582" s="8">
        <v>3</v>
      </c>
      <c r="D582" s="8" t="s">
        <v>63</v>
      </c>
      <c r="E582" s="8">
        <v>1</v>
      </c>
      <c r="F582" s="34">
        <f t="shared" ref="F582:G585" si="215">ROUNDDOWN($P582/4*$O582*10*$N582/$N582*$Q582/400,0)</f>
        <v>30846</v>
      </c>
      <c r="G582" s="34">
        <f t="shared" si="215"/>
        <v>30846</v>
      </c>
      <c r="H582" s="34">
        <f t="shared" si="210"/>
        <v>7605</v>
      </c>
      <c r="I582" s="34">
        <f t="shared" si="210"/>
        <v>7605</v>
      </c>
      <c r="J582" s="34">
        <f t="shared" ref="J582:J585" si="216">ROUNDDOWN($P582/4*$O582*10*$N582/$Q582*$N582/400,0)</f>
        <v>36319</v>
      </c>
      <c r="K582" s="133">
        <v>1000</v>
      </c>
      <c r="L582" s="34"/>
      <c r="M582" s="16">
        <f t="shared" si="202"/>
        <v>7384.2427356722228</v>
      </c>
      <c r="N582" s="36">
        <v>880</v>
      </c>
      <c r="O582" s="36">
        <v>1</v>
      </c>
      <c r="P582" s="98">
        <v>6085.7</v>
      </c>
      <c r="Q582" s="90" t="s">
        <v>373</v>
      </c>
      <c r="S582" s="36">
        <f t="shared" si="199"/>
        <v>3042</v>
      </c>
    </row>
    <row r="583" spans="1:20" x14ac:dyDescent="0.2">
      <c r="A583" s="8" t="str">
        <f t="shared" si="197"/>
        <v>30322</v>
      </c>
      <c r="B583" s="8">
        <v>3</v>
      </c>
      <c r="C583" s="8">
        <v>3</v>
      </c>
      <c r="D583" s="8" t="s">
        <v>63</v>
      </c>
      <c r="E583" s="8">
        <v>2</v>
      </c>
      <c r="F583" s="34">
        <f t="shared" si="215"/>
        <v>90258</v>
      </c>
      <c r="G583" s="34">
        <f t="shared" si="215"/>
        <v>90258</v>
      </c>
      <c r="H583" s="34">
        <f t="shared" si="210"/>
        <v>7605</v>
      </c>
      <c r="I583" s="34">
        <f t="shared" si="210"/>
        <v>7605</v>
      </c>
      <c r="J583" s="34">
        <f t="shared" si="216"/>
        <v>106692</v>
      </c>
      <c r="K583" s="133">
        <v>1000</v>
      </c>
      <c r="L583" s="34"/>
      <c r="M583" s="16">
        <f t="shared" si="202"/>
        <v>21649.525253921671</v>
      </c>
      <c r="N583" s="36">
        <v>860</v>
      </c>
      <c r="O583" s="36">
        <v>3</v>
      </c>
      <c r="P583" s="98">
        <v>6085.7</v>
      </c>
      <c r="Q583" s="90" t="s">
        <v>371</v>
      </c>
      <c r="S583" s="36">
        <f t="shared" si="199"/>
        <v>3042</v>
      </c>
    </row>
    <row r="584" spans="1:20" x14ac:dyDescent="0.2">
      <c r="A584" s="8" t="str">
        <f t="shared" si="197"/>
        <v>30323</v>
      </c>
      <c r="B584" s="8">
        <v>3</v>
      </c>
      <c r="C584" s="8">
        <v>3</v>
      </c>
      <c r="D584" s="8" t="s">
        <v>63</v>
      </c>
      <c r="E584" s="8">
        <v>3</v>
      </c>
      <c r="F584" s="34">
        <f t="shared" si="215"/>
        <v>102639</v>
      </c>
      <c r="G584" s="34">
        <f t="shared" si="215"/>
        <v>102639</v>
      </c>
      <c r="H584" s="34">
        <f t="shared" si="210"/>
        <v>7605</v>
      </c>
      <c r="I584" s="34">
        <f t="shared" si="210"/>
        <v>7605</v>
      </c>
      <c r="J584" s="34">
        <f t="shared" si="216"/>
        <v>121832</v>
      </c>
      <c r="K584" s="133">
        <v>1000</v>
      </c>
      <c r="L584" s="34"/>
      <c r="M584" s="16">
        <f t="shared" si="202"/>
        <v>24670.416926907739</v>
      </c>
      <c r="N584" s="36">
        <v>840</v>
      </c>
      <c r="O584" s="36">
        <v>3.5</v>
      </c>
      <c r="P584" s="98">
        <v>6085.7</v>
      </c>
      <c r="Q584" s="90" t="s">
        <v>366</v>
      </c>
      <c r="S584" s="36">
        <f t="shared" si="199"/>
        <v>3042</v>
      </c>
    </row>
    <row r="585" spans="1:20" x14ac:dyDescent="0.2">
      <c r="A585" s="8" t="str">
        <f t="shared" si="197"/>
        <v>30324</v>
      </c>
      <c r="B585" s="8">
        <v>3</v>
      </c>
      <c r="C585" s="8">
        <v>3</v>
      </c>
      <c r="D585" s="8" t="s">
        <v>63</v>
      </c>
      <c r="E585" s="8">
        <v>4</v>
      </c>
      <c r="F585" s="34">
        <f t="shared" si="215"/>
        <v>114259</v>
      </c>
      <c r="G585" s="34">
        <f t="shared" si="215"/>
        <v>114259</v>
      </c>
      <c r="H585" s="34">
        <f t="shared" si="210"/>
        <v>7605</v>
      </c>
      <c r="I585" s="34">
        <f t="shared" si="210"/>
        <v>7605</v>
      </c>
      <c r="J585" s="34">
        <f t="shared" si="216"/>
        <v>136219</v>
      </c>
      <c r="K585" s="133">
        <v>1000</v>
      </c>
      <c r="L585" s="34"/>
      <c r="M585" s="16">
        <f t="shared" si="202"/>
        <v>27523.499348820311</v>
      </c>
      <c r="N585" s="36">
        <v>820</v>
      </c>
      <c r="O585" s="36">
        <v>4</v>
      </c>
      <c r="P585" s="98">
        <v>6085.7</v>
      </c>
      <c r="Q585" s="90" t="s">
        <v>367</v>
      </c>
      <c r="S585" s="36">
        <f t="shared" si="199"/>
        <v>3042</v>
      </c>
    </row>
    <row r="586" spans="1:20" ht="38.25" x14ac:dyDescent="0.2">
      <c r="A586" s="8" t="str">
        <f t="shared" si="197"/>
        <v/>
      </c>
      <c r="B586" s="5"/>
      <c r="C586" s="6" t="s">
        <v>74</v>
      </c>
      <c r="D586" s="5"/>
      <c r="E586" s="5"/>
      <c r="F586" s="5"/>
      <c r="G586" s="5"/>
      <c r="H586" s="5"/>
      <c r="I586" s="5"/>
      <c r="J586" s="5"/>
      <c r="K586" s="133">
        <v>1000</v>
      </c>
      <c r="L586" s="5"/>
      <c r="M586" s="16">
        <f t="shared" si="202"/>
        <v>0</v>
      </c>
      <c r="N586" s="5"/>
      <c r="O586" s="5"/>
      <c r="P586" s="100"/>
      <c r="Q586" s="5"/>
      <c r="R586" s="5"/>
      <c r="S586" s="30"/>
      <c r="T586" s="266"/>
    </row>
    <row r="587" spans="1:20" x14ac:dyDescent="0.2">
      <c r="A587" s="8" t="str">
        <f t="shared" si="197"/>
        <v>30130</v>
      </c>
      <c r="B587" s="8">
        <v>3</v>
      </c>
      <c r="C587" s="8">
        <v>1</v>
      </c>
      <c r="D587" s="8" t="s">
        <v>64</v>
      </c>
      <c r="E587" s="8">
        <v>0</v>
      </c>
      <c r="F587" s="34">
        <f>ROUNDDOWN($P587/4*$O587*10*$N587/$N587*$Q587/400,0)</f>
        <v>17723</v>
      </c>
      <c r="G587" s="34">
        <f>ROUNDDOWN($P587/4*$O587*10*$N587/$N587*$Q587/400,0)</f>
        <v>17723</v>
      </c>
      <c r="H587" s="34">
        <f t="shared" ref="H587:I603" si="217">ROUNDDOWN($S587/4*10,0)</f>
        <v>8530</v>
      </c>
      <c r="I587" s="34">
        <f t="shared" si="217"/>
        <v>8530</v>
      </c>
      <c r="J587" s="34">
        <f>ROUNDDOWN($P587/4*$O587*10*$N587/$Q587*$N587/400,0)</f>
        <v>20789</v>
      </c>
      <c r="K587" s="133">
        <v>1000</v>
      </c>
      <c r="L587" s="34"/>
      <c r="M587" s="16">
        <f t="shared" si="202"/>
        <v>4484.8706401215186</v>
      </c>
      <c r="N587" s="36">
        <v>900</v>
      </c>
      <c r="O587" s="36">
        <v>0.5</v>
      </c>
      <c r="P587" s="98">
        <v>6825</v>
      </c>
      <c r="Q587" s="90" t="s">
        <v>375</v>
      </c>
      <c r="S587" s="36">
        <f t="shared" si="199"/>
        <v>3412</v>
      </c>
    </row>
    <row r="588" spans="1:20" x14ac:dyDescent="0.2">
      <c r="A588" s="8" t="str">
        <f t="shared" si="197"/>
        <v>30131</v>
      </c>
      <c r="B588" s="8">
        <v>3</v>
      </c>
      <c r="C588" s="8">
        <v>1</v>
      </c>
      <c r="D588" s="8" t="s">
        <v>64</v>
      </c>
      <c r="E588" s="8">
        <v>1</v>
      </c>
      <c r="F588" s="34">
        <f t="shared" ref="F588:G591" si="218">ROUNDDOWN($P588/4*$O588*10*$N588/$N588*$Q588/400,0)</f>
        <v>34594</v>
      </c>
      <c r="G588" s="34">
        <f t="shared" si="218"/>
        <v>34594</v>
      </c>
      <c r="H588" s="34">
        <f t="shared" si="217"/>
        <v>8530</v>
      </c>
      <c r="I588" s="34">
        <f t="shared" si="217"/>
        <v>8530</v>
      </c>
      <c r="J588" s="34">
        <f t="shared" ref="J588:J591" si="219">ROUNDDOWN($P588/4*$O588*10*$N588/$Q588*$N588/400,0)</f>
        <v>40731</v>
      </c>
      <c r="K588" s="133">
        <v>1000</v>
      </c>
      <c r="L588" s="34"/>
      <c r="M588" s="16">
        <f t="shared" si="202"/>
        <v>8770.5621312825788</v>
      </c>
      <c r="N588" s="36">
        <v>880</v>
      </c>
      <c r="O588" s="36">
        <v>1</v>
      </c>
      <c r="P588" s="98">
        <v>6825</v>
      </c>
      <c r="Q588" s="90" t="s">
        <v>373</v>
      </c>
      <c r="S588" s="36">
        <f t="shared" si="199"/>
        <v>3412</v>
      </c>
    </row>
    <row r="589" spans="1:20" x14ac:dyDescent="0.2">
      <c r="A589" s="8" t="str">
        <f t="shared" si="197"/>
        <v>30132</v>
      </c>
      <c r="B589" s="8">
        <v>3</v>
      </c>
      <c r="C589" s="8">
        <v>1</v>
      </c>
      <c r="D589" s="8" t="s">
        <v>64</v>
      </c>
      <c r="E589" s="8">
        <v>2</v>
      </c>
      <c r="F589" s="34">
        <f t="shared" si="218"/>
        <v>101223</v>
      </c>
      <c r="G589" s="34">
        <f t="shared" si="218"/>
        <v>101223</v>
      </c>
      <c r="H589" s="34">
        <f t="shared" si="217"/>
        <v>8530</v>
      </c>
      <c r="I589" s="34">
        <f t="shared" si="217"/>
        <v>8530</v>
      </c>
      <c r="J589" s="34">
        <f t="shared" si="219"/>
        <v>119653</v>
      </c>
      <c r="K589" s="133">
        <v>1000</v>
      </c>
      <c r="L589" s="34"/>
      <c r="M589" s="16">
        <f t="shared" si="202"/>
        <v>25713.778635440729</v>
      </c>
      <c r="N589" s="36">
        <v>860</v>
      </c>
      <c r="O589" s="36">
        <v>3</v>
      </c>
      <c r="P589" s="98">
        <v>6825</v>
      </c>
      <c r="Q589" s="90" t="s">
        <v>371</v>
      </c>
      <c r="S589" s="36">
        <f t="shared" si="199"/>
        <v>3412</v>
      </c>
    </row>
    <row r="590" spans="1:20" x14ac:dyDescent="0.2">
      <c r="A590" s="8" t="str">
        <f t="shared" si="197"/>
        <v>30133</v>
      </c>
      <c r="B590" s="8">
        <v>3</v>
      </c>
      <c r="C590" s="8">
        <v>1</v>
      </c>
      <c r="D590" s="8" t="s">
        <v>64</v>
      </c>
      <c r="E590" s="8">
        <v>3</v>
      </c>
      <c r="F590" s="34">
        <f t="shared" si="218"/>
        <v>115107</v>
      </c>
      <c r="G590" s="34">
        <f t="shared" si="218"/>
        <v>115107</v>
      </c>
      <c r="H590" s="34">
        <f t="shared" si="217"/>
        <v>8530</v>
      </c>
      <c r="I590" s="34">
        <f t="shared" si="217"/>
        <v>8530</v>
      </c>
      <c r="J590" s="34">
        <f t="shared" si="219"/>
        <v>136632</v>
      </c>
      <c r="K590" s="133">
        <v>1000</v>
      </c>
      <c r="L590" s="34"/>
      <c r="M590" s="16">
        <f t="shared" si="202"/>
        <v>29301.616697264475</v>
      </c>
      <c r="N590" s="36">
        <v>840</v>
      </c>
      <c r="O590" s="36">
        <v>3.5</v>
      </c>
      <c r="P590" s="98">
        <v>6825</v>
      </c>
      <c r="Q590" s="90" t="s">
        <v>366</v>
      </c>
      <c r="S590" s="36">
        <f t="shared" si="199"/>
        <v>3412</v>
      </c>
    </row>
    <row r="591" spans="1:20" x14ac:dyDescent="0.2">
      <c r="A591" s="8" t="str">
        <f t="shared" si="197"/>
        <v>30134</v>
      </c>
      <c r="B591" s="8">
        <v>3</v>
      </c>
      <c r="C591" s="8">
        <v>1</v>
      </c>
      <c r="D591" s="8" t="s">
        <v>64</v>
      </c>
      <c r="E591" s="8">
        <v>4</v>
      </c>
      <c r="F591" s="34">
        <f t="shared" si="218"/>
        <v>128139</v>
      </c>
      <c r="G591" s="34">
        <f t="shared" si="218"/>
        <v>128139</v>
      </c>
      <c r="H591" s="34">
        <f t="shared" si="217"/>
        <v>8530</v>
      </c>
      <c r="I591" s="34">
        <f t="shared" si="217"/>
        <v>8530</v>
      </c>
      <c r="J591" s="34">
        <f t="shared" si="219"/>
        <v>152767</v>
      </c>
      <c r="K591" s="133">
        <v>1000</v>
      </c>
      <c r="L591" s="34"/>
      <c r="M591" s="16">
        <f t="shared" si="202"/>
        <v>32690.378036738828</v>
      </c>
      <c r="N591" s="36">
        <v>820</v>
      </c>
      <c r="O591" s="36">
        <v>4</v>
      </c>
      <c r="P591" s="98">
        <v>6825</v>
      </c>
      <c r="Q591" s="90" t="s">
        <v>367</v>
      </c>
      <c r="S591" s="36">
        <f t="shared" si="199"/>
        <v>3412</v>
      </c>
    </row>
    <row r="592" spans="1:20" x14ac:dyDescent="0.2">
      <c r="A592" s="8" t="str">
        <f t="shared" si="197"/>
        <v>30230</v>
      </c>
      <c r="B592" s="8">
        <v>3</v>
      </c>
      <c r="C592" s="8">
        <v>2</v>
      </c>
      <c r="D592" s="8" t="s">
        <v>64</v>
      </c>
      <c r="E592" s="8">
        <v>0</v>
      </c>
      <c r="F592" s="34">
        <f>ROUNDDOWN($P592/4*$O592*10*$N592/$N592*$Q592/400,0)</f>
        <v>18842</v>
      </c>
      <c r="G592" s="34">
        <f>ROUNDDOWN($P592/4*$O592*10*$N592/$N592*$Q592/400,0)</f>
        <v>18842</v>
      </c>
      <c r="H592" s="34">
        <f t="shared" si="217"/>
        <v>9070</v>
      </c>
      <c r="I592" s="34">
        <f t="shared" si="217"/>
        <v>9070</v>
      </c>
      <c r="J592" s="34">
        <f>ROUNDDOWN($P592/4*$O592*10*$N592/$Q592*$N592/400,0)</f>
        <v>22101</v>
      </c>
      <c r="K592" s="133">
        <v>1000</v>
      </c>
      <c r="L592" s="34"/>
      <c r="M592" s="16">
        <f t="shared" si="202"/>
        <v>4916.579800432004</v>
      </c>
      <c r="N592" s="36">
        <v>900</v>
      </c>
      <c r="O592" s="36">
        <v>0.5</v>
      </c>
      <c r="P592" s="99">
        <v>7256</v>
      </c>
      <c r="Q592" s="90" t="s">
        <v>375</v>
      </c>
      <c r="S592" s="36">
        <f t="shared" si="199"/>
        <v>3628</v>
      </c>
    </row>
    <row r="593" spans="1:20" x14ac:dyDescent="0.2">
      <c r="A593" s="8" t="str">
        <f t="shared" si="197"/>
        <v>30231</v>
      </c>
      <c r="B593" s="8">
        <v>3</v>
      </c>
      <c r="C593" s="8">
        <v>2</v>
      </c>
      <c r="D593" s="8" t="s">
        <v>64</v>
      </c>
      <c r="E593" s="8">
        <v>1</v>
      </c>
      <c r="F593" s="34">
        <f t="shared" ref="F593:G596" si="220">ROUNDDOWN($P593/4*$O593*10*$N593/$N593*$Q593/400,0)</f>
        <v>36778</v>
      </c>
      <c r="G593" s="34">
        <f t="shared" si="220"/>
        <v>36778</v>
      </c>
      <c r="H593" s="34">
        <f t="shared" si="217"/>
        <v>9070</v>
      </c>
      <c r="I593" s="34">
        <f t="shared" si="217"/>
        <v>9070</v>
      </c>
      <c r="J593" s="34">
        <f t="shared" ref="J593:J596" si="221">ROUNDDOWN($P593/4*$O593*10*$N593/$Q593*$N593/400,0)</f>
        <v>43303</v>
      </c>
      <c r="K593" s="133">
        <v>1000</v>
      </c>
      <c r="L593" s="34"/>
      <c r="M593" s="16">
        <f t="shared" si="202"/>
        <v>9614.9421872017519</v>
      </c>
      <c r="N593" s="36">
        <v>880</v>
      </c>
      <c r="O593" s="36">
        <v>1</v>
      </c>
      <c r="P593" s="99">
        <v>7256</v>
      </c>
      <c r="Q593" s="90" t="s">
        <v>373</v>
      </c>
      <c r="S593" s="36">
        <f t="shared" si="199"/>
        <v>3628</v>
      </c>
    </row>
    <row r="594" spans="1:20" x14ac:dyDescent="0.2">
      <c r="A594" s="8" t="str">
        <f t="shared" si="197"/>
        <v>30232</v>
      </c>
      <c r="B594" s="8">
        <v>3</v>
      </c>
      <c r="C594" s="8">
        <v>2</v>
      </c>
      <c r="D594" s="8" t="s">
        <v>64</v>
      </c>
      <c r="E594" s="8">
        <v>2</v>
      </c>
      <c r="F594" s="34">
        <f t="shared" si="220"/>
        <v>107615</v>
      </c>
      <c r="G594" s="34">
        <f t="shared" si="220"/>
        <v>107615</v>
      </c>
      <c r="H594" s="34">
        <f t="shared" si="217"/>
        <v>9070</v>
      </c>
      <c r="I594" s="34">
        <f t="shared" si="217"/>
        <v>9070</v>
      </c>
      <c r="J594" s="34">
        <f t="shared" si="221"/>
        <v>127209</v>
      </c>
      <c r="K594" s="133">
        <v>1000</v>
      </c>
      <c r="L594" s="34"/>
      <c r="M594" s="16">
        <f t="shared" si="202"/>
        <v>28189.602687226365</v>
      </c>
      <c r="N594" s="36">
        <v>860</v>
      </c>
      <c r="O594" s="36">
        <v>3</v>
      </c>
      <c r="P594" s="99">
        <v>7256</v>
      </c>
      <c r="Q594" s="90" t="s">
        <v>371</v>
      </c>
      <c r="S594" s="36">
        <f t="shared" si="199"/>
        <v>3628</v>
      </c>
    </row>
    <row r="595" spans="1:20" x14ac:dyDescent="0.2">
      <c r="A595" s="8" t="str">
        <f t="shared" si="197"/>
        <v>30233</v>
      </c>
      <c r="B595" s="8">
        <v>3</v>
      </c>
      <c r="C595" s="8">
        <v>2</v>
      </c>
      <c r="D595" s="8" t="s">
        <v>64</v>
      </c>
      <c r="E595" s="8">
        <v>3</v>
      </c>
      <c r="F595" s="34">
        <f t="shared" si="220"/>
        <v>122376</v>
      </c>
      <c r="G595" s="34">
        <f t="shared" si="220"/>
        <v>122376</v>
      </c>
      <c r="H595" s="34">
        <f t="shared" si="217"/>
        <v>9070</v>
      </c>
      <c r="I595" s="34">
        <f t="shared" si="217"/>
        <v>9070</v>
      </c>
      <c r="J595" s="34">
        <f t="shared" si="221"/>
        <v>145261</v>
      </c>
      <c r="K595" s="133">
        <v>1000</v>
      </c>
      <c r="L595" s="34"/>
      <c r="M595" s="16">
        <f t="shared" si="202"/>
        <v>32123.012903128001</v>
      </c>
      <c r="N595" s="36">
        <v>840</v>
      </c>
      <c r="O595" s="36">
        <v>3.5</v>
      </c>
      <c r="P595" s="99">
        <v>7256</v>
      </c>
      <c r="Q595" s="90" t="s">
        <v>366</v>
      </c>
      <c r="S595" s="36">
        <f t="shared" si="199"/>
        <v>3628</v>
      </c>
    </row>
    <row r="596" spans="1:20" x14ac:dyDescent="0.2">
      <c r="A596" s="8" t="str">
        <f t="shared" si="197"/>
        <v>30234</v>
      </c>
      <c r="B596" s="8">
        <v>3</v>
      </c>
      <c r="C596" s="8">
        <v>2</v>
      </c>
      <c r="D596" s="8" t="s">
        <v>64</v>
      </c>
      <c r="E596" s="8">
        <v>4</v>
      </c>
      <c r="F596" s="34">
        <f t="shared" si="220"/>
        <v>136231</v>
      </c>
      <c r="G596" s="34">
        <f t="shared" si="220"/>
        <v>136231</v>
      </c>
      <c r="H596" s="34">
        <f t="shared" si="217"/>
        <v>9070</v>
      </c>
      <c r="I596" s="34">
        <f t="shared" si="217"/>
        <v>9070</v>
      </c>
      <c r="J596" s="34">
        <f t="shared" si="221"/>
        <v>162414</v>
      </c>
      <c r="K596" s="133">
        <v>1000</v>
      </c>
      <c r="L596" s="34"/>
      <c r="M596" s="16">
        <f t="shared" si="202"/>
        <v>35837.964426156126</v>
      </c>
      <c r="N596" s="36">
        <v>820</v>
      </c>
      <c r="O596" s="36">
        <v>4</v>
      </c>
      <c r="P596" s="99">
        <v>7256</v>
      </c>
      <c r="Q596" s="90" t="s">
        <v>367</v>
      </c>
      <c r="S596" s="36">
        <f t="shared" si="199"/>
        <v>3628</v>
      </c>
    </row>
    <row r="597" spans="1:20" x14ac:dyDescent="0.2">
      <c r="A597" s="8" t="str">
        <f t="shared" si="197"/>
        <v>30330</v>
      </c>
      <c r="B597" s="8">
        <v>3</v>
      </c>
      <c r="C597" s="8">
        <v>3</v>
      </c>
      <c r="D597" s="8" t="s">
        <v>64</v>
      </c>
      <c r="E597" s="8">
        <v>0</v>
      </c>
      <c r="F597" s="34">
        <f>ROUNDDOWN($P597/4*$O597*10*$N597/$N597*$Q597/400,0)</f>
        <v>19995</v>
      </c>
      <c r="G597" s="34">
        <f>ROUNDDOWN($P597/4*$O597*10*$N597/$N597*$Q597/400,0)</f>
        <v>19995</v>
      </c>
      <c r="H597" s="34">
        <f t="shared" si="217"/>
        <v>9625</v>
      </c>
      <c r="I597" s="34">
        <f t="shared" si="217"/>
        <v>9625</v>
      </c>
      <c r="J597" s="34">
        <f>ROUNDDOWN($P597/4*$O597*10*$N597/$Q597*$N597/400,0)</f>
        <v>23454</v>
      </c>
      <c r="K597" s="133">
        <v>1000</v>
      </c>
      <c r="L597" s="34"/>
      <c r="M597" s="16">
        <f t="shared" si="202"/>
        <v>5374.7654988845788</v>
      </c>
      <c r="N597" s="36">
        <v>900</v>
      </c>
      <c r="O597" s="36">
        <v>0.5</v>
      </c>
      <c r="P597" s="98">
        <v>7700</v>
      </c>
      <c r="Q597" s="90" t="s">
        <v>375</v>
      </c>
      <c r="S597" s="36">
        <f t="shared" si="199"/>
        <v>3850</v>
      </c>
    </row>
    <row r="598" spans="1:20" x14ac:dyDescent="0.2">
      <c r="A598" s="8" t="str">
        <f t="shared" si="197"/>
        <v>30331</v>
      </c>
      <c r="B598" s="8">
        <v>3</v>
      </c>
      <c r="C598" s="8">
        <v>3</v>
      </c>
      <c r="D598" s="8" t="s">
        <v>64</v>
      </c>
      <c r="E598" s="8">
        <v>1</v>
      </c>
      <c r="F598" s="34">
        <f t="shared" ref="F598:G601" si="222">ROUNDDOWN($P598/4*$O598*10*$N598/$N598*$Q598/400,0)</f>
        <v>39029</v>
      </c>
      <c r="G598" s="34">
        <f t="shared" si="222"/>
        <v>39029</v>
      </c>
      <c r="H598" s="34">
        <f t="shared" si="217"/>
        <v>9625</v>
      </c>
      <c r="I598" s="34">
        <f t="shared" si="217"/>
        <v>9625</v>
      </c>
      <c r="J598" s="34">
        <f t="shared" ref="J598:J601" si="223">ROUNDDOWN($P598/4*$O598*10*$N598/$Q598*$N598/400,0)</f>
        <v>45953</v>
      </c>
      <c r="K598" s="133">
        <v>1000</v>
      </c>
      <c r="L598" s="34"/>
      <c r="M598" s="16">
        <f t="shared" si="202"/>
        <v>10510.926583284656</v>
      </c>
      <c r="N598" s="36">
        <v>880</v>
      </c>
      <c r="O598" s="36">
        <v>1</v>
      </c>
      <c r="P598" s="98">
        <v>7700</v>
      </c>
      <c r="Q598" s="90" t="s">
        <v>373</v>
      </c>
      <c r="S598" s="36">
        <f t="shared" si="199"/>
        <v>3850</v>
      </c>
    </row>
    <row r="599" spans="1:20" x14ac:dyDescent="0.2">
      <c r="A599" s="8" t="str">
        <f t="shared" si="197"/>
        <v>30332</v>
      </c>
      <c r="B599" s="8">
        <v>3</v>
      </c>
      <c r="C599" s="8">
        <v>3</v>
      </c>
      <c r="D599" s="8" t="s">
        <v>64</v>
      </c>
      <c r="E599" s="8">
        <v>2</v>
      </c>
      <c r="F599" s="34">
        <f t="shared" si="222"/>
        <v>114200</v>
      </c>
      <c r="G599" s="34">
        <f t="shared" si="222"/>
        <v>114200</v>
      </c>
      <c r="H599" s="34">
        <f t="shared" si="217"/>
        <v>9625</v>
      </c>
      <c r="I599" s="34">
        <f t="shared" si="217"/>
        <v>9625</v>
      </c>
      <c r="J599" s="34">
        <f t="shared" si="223"/>
        <v>134993</v>
      </c>
      <c r="K599" s="133">
        <v>1000</v>
      </c>
      <c r="L599" s="34"/>
      <c r="M599" s="16">
        <f t="shared" si="202"/>
        <v>30816.196341534433</v>
      </c>
      <c r="N599" s="36">
        <v>860</v>
      </c>
      <c r="O599" s="36">
        <v>3</v>
      </c>
      <c r="P599" s="98">
        <v>7700</v>
      </c>
      <c r="Q599" s="90" t="s">
        <v>371</v>
      </c>
      <c r="S599" s="36">
        <f t="shared" si="199"/>
        <v>3850</v>
      </c>
    </row>
    <row r="600" spans="1:20" x14ac:dyDescent="0.2">
      <c r="A600" s="8" t="str">
        <f t="shared" si="197"/>
        <v>30333</v>
      </c>
      <c r="B600" s="8">
        <v>3</v>
      </c>
      <c r="C600" s="8">
        <v>3</v>
      </c>
      <c r="D600" s="8" t="s">
        <v>64</v>
      </c>
      <c r="E600" s="8">
        <v>3</v>
      </c>
      <c r="F600" s="34">
        <f t="shared" si="222"/>
        <v>129865</v>
      </c>
      <c r="G600" s="34">
        <f t="shared" si="222"/>
        <v>129865</v>
      </c>
      <c r="H600" s="34">
        <f t="shared" si="217"/>
        <v>9625</v>
      </c>
      <c r="I600" s="34">
        <f t="shared" si="217"/>
        <v>9625</v>
      </c>
      <c r="J600" s="34">
        <f t="shared" si="223"/>
        <v>154149</v>
      </c>
      <c r="K600" s="133">
        <v>1000</v>
      </c>
      <c r="L600" s="34"/>
      <c r="M600" s="16">
        <f t="shared" si="202"/>
        <v>35116.140005928894</v>
      </c>
      <c r="N600" s="36">
        <v>840</v>
      </c>
      <c r="O600" s="36">
        <v>3.5</v>
      </c>
      <c r="P600" s="98">
        <v>7700</v>
      </c>
      <c r="Q600" s="90" t="s">
        <v>366</v>
      </c>
      <c r="S600" s="36">
        <f t="shared" si="199"/>
        <v>3850</v>
      </c>
    </row>
    <row r="601" spans="1:20" x14ac:dyDescent="0.2">
      <c r="A601" s="8" t="str">
        <f t="shared" si="197"/>
        <v>30334</v>
      </c>
      <c r="B601" s="8">
        <v>3</v>
      </c>
      <c r="C601" s="8">
        <v>3</v>
      </c>
      <c r="D601" s="8" t="s">
        <v>64</v>
      </c>
      <c r="E601" s="8">
        <v>4</v>
      </c>
      <c r="F601" s="34">
        <f t="shared" si="222"/>
        <v>162638</v>
      </c>
      <c r="G601" s="34">
        <f t="shared" si="222"/>
        <v>162638</v>
      </c>
      <c r="H601" s="34">
        <f t="shared" si="217"/>
        <v>9625</v>
      </c>
      <c r="I601" s="34">
        <f t="shared" si="217"/>
        <v>9625</v>
      </c>
      <c r="J601" s="34">
        <f t="shared" si="223"/>
        <v>193896</v>
      </c>
      <c r="K601" s="133">
        <v>1000</v>
      </c>
      <c r="L601" s="34"/>
      <c r="M601" s="16">
        <f t="shared" si="202"/>
        <v>44074.337557322404</v>
      </c>
      <c r="N601" s="36">
        <v>820</v>
      </c>
      <c r="O601" s="36">
        <v>4.5</v>
      </c>
      <c r="P601" s="98">
        <v>7700</v>
      </c>
      <c r="Q601" s="90" t="s">
        <v>367</v>
      </c>
      <c r="S601" s="36">
        <f t="shared" si="199"/>
        <v>3850</v>
      </c>
    </row>
    <row r="602" spans="1:20" ht="38.25" x14ac:dyDescent="0.2">
      <c r="A602" s="8" t="str">
        <f t="shared" si="197"/>
        <v/>
      </c>
      <c r="B602" s="5"/>
      <c r="C602" s="6" t="s">
        <v>238</v>
      </c>
      <c r="D602" s="5"/>
      <c r="E602" s="5"/>
      <c r="F602" s="5"/>
      <c r="G602" s="5"/>
      <c r="H602" s="5"/>
      <c r="I602" s="5"/>
      <c r="J602" s="5"/>
      <c r="K602" s="133">
        <v>1000</v>
      </c>
      <c r="L602" s="5"/>
      <c r="M602" s="16">
        <f t="shared" si="202"/>
        <v>0</v>
      </c>
      <c r="N602" s="5"/>
      <c r="O602" s="5"/>
      <c r="P602" s="5"/>
      <c r="Q602" s="5"/>
      <c r="R602" s="5"/>
      <c r="S602" s="30"/>
      <c r="T602" s="266"/>
    </row>
    <row r="603" spans="1:20" x14ac:dyDescent="0.2">
      <c r="A603" s="18" t="str">
        <f t="shared" si="197"/>
        <v>30140</v>
      </c>
      <c r="B603" s="18">
        <v>3</v>
      </c>
      <c r="C603" s="18">
        <v>1</v>
      </c>
      <c r="D603" s="18" t="s">
        <v>237</v>
      </c>
      <c r="E603" s="18">
        <v>0</v>
      </c>
      <c r="F603" s="34">
        <f>ROUNDDOWN($P603/4*$O603*10*$N603/$N603*$Q603/400,0)</f>
        <v>10257</v>
      </c>
      <c r="G603" s="34">
        <f>ROUNDDOWN($P603/4*$O603*10*$N603/$N603*$Q603/400,0)</f>
        <v>10257</v>
      </c>
      <c r="H603" s="34">
        <f t="shared" si="217"/>
        <v>4937</v>
      </c>
      <c r="I603" s="34">
        <f t="shared" si="217"/>
        <v>4937</v>
      </c>
      <c r="J603" s="34">
        <f>ROUNDDOWN($P603/4*$O603*10*$N603/$Q603*$N603/400,0)</f>
        <v>12031</v>
      </c>
      <c r="K603" s="133">
        <v>1000</v>
      </c>
      <c r="L603" s="19"/>
      <c r="M603" s="16">
        <f t="shared" si="202"/>
        <v>1974.6157274025747</v>
      </c>
      <c r="N603" s="36">
        <v>900</v>
      </c>
      <c r="O603" s="36">
        <v>0.5</v>
      </c>
      <c r="P603" s="98">
        <v>3950</v>
      </c>
      <c r="Q603" s="90" t="s">
        <v>375</v>
      </c>
      <c r="R603" s="41"/>
      <c r="S603" s="36">
        <f t="shared" si="199"/>
        <v>1975</v>
      </c>
    </row>
    <row r="604" spans="1:20" x14ac:dyDescent="0.2">
      <c r="A604" s="18" t="str">
        <f t="shared" si="197"/>
        <v>30141</v>
      </c>
      <c r="B604" s="18">
        <v>3</v>
      </c>
      <c r="C604" s="18">
        <v>1</v>
      </c>
      <c r="D604" s="18" t="s">
        <v>237</v>
      </c>
      <c r="E604" s="18">
        <v>1</v>
      </c>
      <c r="F604" s="34">
        <f t="shared" ref="F604:G607" si="224">ROUNDDOWN($P604/4*$O604*10*$N604/$N604*$Q604/400,0)</f>
        <v>20021</v>
      </c>
      <c r="G604" s="34">
        <f t="shared" si="224"/>
        <v>20021</v>
      </c>
      <c r="H604" s="34">
        <f t="shared" ref="H604:I607" si="225">ROUNDDOWN($S604/4*10,0)</f>
        <v>4937</v>
      </c>
      <c r="I604" s="34">
        <f t="shared" si="225"/>
        <v>4937</v>
      </c>
      <c r="J604" s="34">
        <f t="shared" ref="J604:J607" si="226">ROUNDDOWN($P604/4*$O604*10*$N604/$Q604*$N604/400,0)</f>
        <v>23573</v>
      </c>
      <c r="K604" s="133">
        <v>1000</v>
      </c>
      <c r="L604" s="19"/>
      <c r="M604" s="16">
        <f t="shared" si="202"/>
        <v>3861.6406858606615</v>
      </c>
      <c r="N604" s="36">
        <v>880</v>
      </c>
      <c r="O604" s="36">
        <v>1</v>
      </c>
      <c r="P604" s="98">
        <v>3950</v>
      </c>
      <c r="Q604" s="90" t="s">
        <v>373</v>
      </c>
      <c r="R604" s="41"/>
      <c r="S604" s="36">
        <f t="shared" si="199"/>
        <v>1975</v>
      </c>
    </row>
    <row r="605" spans="1:20" x14ac:dyDescent="0.2">
      <c r="A605" s="18" t="str">
        <f t="shared" si="197"/>
        <v>30142</v>
      </c>
      <c r="B605" s="18">
        <v>3</v>
      </c>
      <c r="C605" s="18">
        <v>1</v>
      </c>
      <c r="D605" s="18" t="s">
        <v>237</v>
      </c>
      <c r="E605" s="18">
        <v>2</v>
      </c>
      <c r="F605" s="34">
        <f t="shared" si="224"/>
        <v>39055</v>
      </c>
      <c r="G605" s="34">
        <f t="shared" si="224"/>
        <v>39055</v>
      </c>
      <c r="H605" s="34">
        <f t="shared" si="225"/>
        <v>4937</v>
      </c>
      <c r="I605" s="34">
        <f t="shared" si="225"/>
        <v>4937</v>
      </c>
      <c r="J605" s="34">
        <f t="shared" si="226"/>
        <v>46166</v>
      </c>
      <c r="K605" s="133">
        <v>1000</v>
      </c>
      <c r="L605" s="19"/>
      <c r="M605" s="16">
        <f t="shared" si="202"/>
        <v>7547.8106273265767</v>
      </c>
      <c r="N605" s="36">
        <v>860</v>
      </c>
      <c r="O605" s="36">
        <v>2</v>
      </c>
      <c r="P605" s="98">
        <v>3950</v>
      </c>
      <c r="Q605" s="90" t="s">
        <v>371</v>
      </c>
      <c r="R605" s="41"/>
      <c r="S605" s="36">
        <f t="shared" si="199"/>
        <v>1975</v>
      </c>
    </row>
    <row r="606" spans="1:20" x14ac:dyDescent="0.2">
      <c r="A606" s="18" t="str">
        <f t="shared" si="197"/>
        <v>30143</v>
      </c>
      <c r="B606" s="18">
        <v>3</v>
      </c>
      <c r="C606" s="18">
        <v>1</v>
      </c>
      <c r="D606" s="18" t="s">
        <v>237</v>
      </c>
      <c r="E606" s="18">
        <v>3</v>
      </c>
      <c r="F606" s="34">
        <f t="shared" si="224"/>
        <v>57102</v>
      </c>
      <c r="G606" s="34">
        <f t="shared" si="224"/>
        <v>57102</v>
      </c>
      <c r="H606" s="34">
        <f t="shared" si="225"/>
        <v>4937</v>
      </c>
      <c r="I606" s="34">
        <f t="shared" si="225"/>
        <v>4937</v>
      </c>
      <c r="J606" s="34">
        <f t="shared" si="226"/>
        <v>67780</v>
      </c>
      <c r="K606" s="133">
        <v>1000</v>
      </c>
      <c r="L606" s="19"/>
      <c r="M606" s="16">
        <f t="shared" si="202"/>
        <v>11058.545080642753</v>
      </c>
      <c r="N606" s="36">
        <v>840</v>
      </c>
      <c r="O606" s="36">
        <v>3</v>
      </c>
      <c r="P606" s="98">
        <v>3950</v>
      </c>
      <c r="Q606" s="90" t="s">
        <v>366</v>
      </c>
      <c r="R606" s="41"/>
      <c r="S606" s="36">
        <f t="shared" si="199"/>
        <v>1975</v>
      </c>
    </row>
    <row r="607" spans="1:20" x14ac:dyDescent="0.2">
      <c r="A607" s="18" t="str">
        <f t="shared" ref="A607:A670" si="227">IF(B607="","",CONCATENATE(B607,CONCATENATE(REPT(0,2-LEN(C607)),C607),IF(OR(D607="Easy",D607=""),1,IF(D607="Normal",2,IF(D607="Hard",3,IF(D607="Hell",4,"error")))),E607))</f>
        <v>30144</v>
      </c>
      <c r="B607" s="18">
        <v>3</v>
      </c>
      <c r="C607" s="18">
        <v>1</v>
      </c>
      <c r="D607" s="18" t="s">
        <v>237</v>
      </c>
      <c r="E607" s="18">
        <v>4</v>
      </c>
      <c r="F607" s="34">
        <f t="shared" si="224"/>
        <v>74161</v>
      </c>
      <c r="G607" s="34">
        <f t="shared" si="224"/>
        <v>74161</v>
      </c>
      <c r="H607" s="34">
        <f t="shared" si="225"/>
        <v>4937</v>
      </c>
      <c r="I607" s="34">
        <f t="shared" si="225"/>
        <v>4937</v>
      </c>
      <c r="J607" s="34">
        <f t="shared" si="226"/>
        <v>88414</v>
      </c>
      <c r="K607" s="133">
        <v>1000</v>
      </c>
      <c r="L607" s="19"/>
      <c r="M607" s="16">
        <f t="shared" si="202"/>
        <v>14393.614232718173</v>
      </c>
      <c r="N607" s="36">
        <v>820</v>
      </c>
      <c r="O607" s="36">
        <v>4</v>
      </c>
      <c r="P607" s="98">
        <v>3950</v>
      </c>
      <c r="Q607" s="90" t="s">
        <v>367</v>
      </c>
      <c r="R607" s="41"/>
      <c r="S607" s="36">
        <f t="shared" si="199"/>
        <v>1975</v>
      </c>
    </row>
    <row r="608" spans="1:20" x14ac:dyDescent="0.2">
      <c r="A608" s="18" t="str">
        <f t="shared" si="227"/>
        <v>30240</v>
      </c>
      <c r="B608" s="18">
        <v>3</v>
      </c>
      <c r="C608" s="18">
        <v>2</v>
      </c>
      <c r="D608" s="18" t="s">
        <v>237</v>
      </c>
      <c r="E608" s="18">
        <v>0</v>
      </c>
      <c r="F608" s="19">
        <f t="shared" ref="F608:G617" si="228">ROUNDDOWN($P608/4*$O608*10*$N608/$N608*$Q608/400,0)</f>
        <v>58381</v>
      </c>
      <c r="G608" s="19">
        <f t="shared" si="228"/>
        <v>58381</v>
      </c>
      <c r="H608" s="19">
        <f t="shared" ref="H608:I617" si="229">ROUNDDOWN($S608/4*10,0)</f>
        <v>70255</v>
      </c>
      <c r="I608" s="19">
        <f t="shared" si="229"/>
        <v>70255</v>
      </c>
      <c r="J608" s="19">
        <f t="shared" ref="J608:J617" si="230">ROUNDDOWN($P608/4*$O608*10*$N608/$Q608*$N608/400,0)</f>
        <v>76299</v>
      </c>
      <c r="K608" s="133">
        <v>1000</v>
      </c>
      <c r="L608" s="19"/>
      <c r="M608" s="16">
        <f t="shared" si="202"/>
        <v>44753.169049395918</v>
      </c>
      <c r="N608" s="58">
        <v>950</v>
      </c>
      <c r="O608" s="58">
        <v>0.5</v>
      </c>
      <c r="P608" s="94">
        <v>22481.600000000002</v>
      </c>
      <c r="Q608" s="90" t="s">
        <v>375</v>
      </c>
      <c r="R608" s="41"/>
      <c r="S608" s="58">
        <v>28102</v>
      </c>
    </row>
    <row r="609" spans="1:20" x14ac:dyDescent="0.2">
      <c r="A609" s="18" t="str">
        <f t="shared" si="227"/>
        <v>30241</v>
      </c>
      <c r="B609" s="18">
        <v>3</v>
      </c>
      <c r="C609" s="18">
        <v>2</v>
      </c>
      <c r="D609" s="18" t="s">
        <v>237</v>
      </c>
      <c r="E609" s="18">
        <v>1</v>
      </c>
      <c r="F609" s="19">
        <f t="shared" si="228"/>
        <v>113953</v>
      </c>
      <c r="G609" s="19">
        <f t="shared" si="228"/>
        <v>113953</v>
      </c>
      <c r="H609" s="19">
        <f t="shared" si="229"/>
        <v>70255</v>
      </c>
      <c r="I609" s="19">
        <f t="shared" si="229"/>
        <v>70255</v>
      </c>
      <c r="J609" s="19">
        <f t="shared" si="230"/>
        <v>149848</v>
      </c>
      <c r="K609" s="133">
        <v>1000</v>
      </c>
      <c r="L609" s="19"/>
      <c r="M609" s="16">
        <f t="shared" si="202"/>
        <v>87622.766923186166</v>
      </c>
      <c r="N609" s="58">
        <v>930</v>
      </c>
      <c r="O609" s="58">
        <v>1</v>
      </c>
      <c r="P609" s="94">
        <v>22481.600000000002</v>
      </c>
      <c r="Q609" s="90" t="s">
        <v>373</v>
      </c>
      <c r="R609" s="41"/>
      <c r="S609" s="58">
        <v>28102</v>
      </c>
    </row>
    <row r="610" spans="1:20" x14ac:dyDescent="0.2">
      <c r="A610" s="18" t="str">
        <f t="shared" si="227"/>
        <v>30242</v>
      </c>
      <c r="B610" s="18">
        <v>3</v>
      </c>
      <c r="C610" s="18">
        <v>2</v>
      </c>
      <c r="D610" s="18" t="s">
        <v>237</v>
      </c>
      <c r="E610" s="18">
        <v>2</v>
      </c>
      <c r="F610" s="19">
        <f t="shared" si="228"/>
        <v>222286</v>
      </c>
      <c r="G610" s="19">
        <f t="shared" si="228"/>
        <v>222286</v>
      </c>
      <c r="H610" s="19">
        <f t="shared" si="229"/>
        <v>70255</v>
      </c>
      <c r="I610" s="19">
        <f t="shared" si="229"/>
        <v>70255</v>
      </c>
      <c r="J610" s="19">
        <f t="shared" si="230"/>
        <v>294200</v>
      </c>
      <c r="K610" s="133">
        <v>1000</v>
      </c>
      <c r="L610" s="19"/>
      <c r="M610" s="16">
        <f t="shared" si="202"/>
        <v>171477.04689794028</v>
      </c>
      <c r="N610" s="58">
        <v>910</v>
      </c>
      <c r="O610" s="58">
        <v>2</v>
      </c>
      <c r="P610" s="94">
        <v>22481.600000000002</v>
      </c>
      <c r="Q610" s="90" t="s">
        <v>371</v>
      </c>
      <c r="R610" s="41"/>
      <c r="S610" s="58">
        <v>28102</v>
      </c>
    </row>
    <row r="611" spans="1:20" x14ac:dyDescent="0.2">
      <c r="A611" s="18" t="str">
        <f t="shared" si="227"/>
        <v>30243</v>
      </c>
      <c r="B611" s="18">
        <v>3</v>
      </c>
      <c r="C611" s="18">
        <v>2</v>
      </c>
      <c r="D611" s="18" t="s">
        <v>237</v>
      </c>
      <c r="E611" s="18">
        <v>3</v>
      </c>
      <c r="F611" s="19">
        <f t="shared" si="228"/>
        <v>324999</v>
      </c>
      <c r="G611" s="19">
        <f t="shared" si="228"/>
        <v>324999</v>
      </c>
      <c r="H611" s="19">
        <f t="shared" si="229"/>
        <v>70255</v>
      </c>
      <c r="I611" s="19">
        <f t="shared" si="229"/>
        <v>70255</v>
      </c>
      <c r="J611" s="19">
        <f t="shared" si="230"/>
        <v>433066</v>
      </c>
      <c r="K611" s="133">
        <v>1000</v>
      </c>
      <c r="L611" s="19"/>
      <c r="M611" s="16">
        <f t="shared" si="202"/>
        <v>251562.94060546416</v>
      </c>
      <c r="N611" s="58">
        <v>890</v>
      </c>
      <c r="O611" s="58">
        <v>3</v>
      </c>
      <c r="P611" s="94">
        <v>22481.600000000002</v>
      </c>
      <c r="Q611" s="90" t="s">
        <v>366</v>
      </c>
      <c r="R611" s="41"/>
      <c r="S611" s="58">
        <v>28102</v>
      </c>
    </row>
    <row r="612" spans="1:20" x14ac:dyDescent="0.2">
      <c r="A612" s="18" t="str">
        <f t="shared" si="227"/>
        <v>30244</v>
      </c>
      <c r="B612" s="18">
        <v>3</v>
      </c>
      <c r="C612" s="18">
        <v>2</v>
      </c>
      <c r="D612" s="18" t="s">
        <v>237</v>
      </c>
      <c r="E612" s="18">
        <v>4</v>
      </c>
      <c r="F612" s="19">
        <f t="shared" si="228"/>
        <v>422092</v>
      </c>
      <c r="G612" s="19">
        <f t="shared" si="228"/>
        <v>422092</v>
      </c>
      <c r="H612" s="19">
        <f t="shared" si="229"/>
        <v>70255</v>
      </c>
      <c r="I612" s="19">
        <f t="shared" si="229"/>
        <v>70255</v>
      </c>
      <c r="J612" s="19">
        <f t="shared" si="230"/>
        <v>566455</v>
      </c>
      <c r="K612" s="133">
        <v>1000</v>
      </c>
      <c r="L612" s="19"/>
      <c r="M612" s="16">
        <f t="shared" si="202"/>
        <v>327879.9602955624</v>
      </c>
      <c r="N612" s="58">
        <v>870</v>
      </c>
      <c r="O612" s="58">
        <v>4</v>
      </c>
      <c r="P612" s="94">
        <v>22481.600000000002</v>
      </c>
      <c r="Q612" s="90" t="s">
        <v>367</v>
      </c>
      <c r="R612" s="41"/>
      <c r="S612" s="58">
        <v>28102</v>
      </c>
    </row>
    <row r="613" spans="1:20" x14ac:dyDescent="0.2">
      <c r="A613" s="18" t="str">
        <f t="shared" si="227"/>
        <v>30340</v>
      </c>
      <c r="B613" s="18">
        <v>3</v>
      </c>
      <c r="C613" s="18">
        <v>3</v>
      </c>
      <c r="D613" s="18" t="s">
        <v>237</v>
      </c>
      <c r="E613" s="18">
        <v>0</v>
      </c>
      <c r="F613" s="19">
        <f t="shared" si="228"/>
        <v>61597</v>
      </c>
      <c r="G613" s="19">
        <f t="shared" si="228"/>
        <v>61597</v>
      </c>
      <c r="H613" s="19">
        <f t="shared" si="229"/>
        <v>74125</v>
      </c>
      <c r="I613" s="19">
        <f t="shared" si="229"/>
        <v>74125</v>
      </c>
      <c r="J613" s="19">
        <f t="shared" si="230"/>
        <v>80502</v>
      </c>
      <c r="K613" s="133">
        <v>1000</v>
      </c>
      <c r="L613" s="19"/>
      <c r="M613" s="16">
        <f t="shared" si="202"/>
        <v>48501.531889555823</v>
      </c>
      <c r="N613" s="58">
        <v>950</v>
      </c>
      <c r="O613" s="58">
        <v>0.5</v>
      </c>
      <c r="P613" s="94">
        <v>23720</v>
      </c>
      <c r="Q613" s="90" t="s">
        <v>375</v>
      </c>
      <c r="R613" s="41"/>
      <c r="S613" s="41" t="s">
        <v>255</v>
      </c>
    </row>
    <row r="614" spans="1:20" x14ac:dyDescent="0.2">
      <c r="A614" s="18" t="str">
        <f t="shared" si="227"/>
        <v>30341</v>
      </c>
      <c r="B614" s="18">
        <v>3</v>
      </c>
      <c r="C614" s="18">
        <v>3</v>
      </c>
      <c r="D614" s="18" t="s">
        <v>237</v>
      </c>
      <c r="E614" s="18">
        <v>1</v>
      </c>
      <c r="F614" s="19">
        <f t="shared" si="228"/>
        <v>120230</v>
      </c>
      <c r="G614" s="19">
        <f t="shared" si="228"/>
        <v>120230</v>
      </c>
      <c r="H614" s="19">
        <f t="shared" si="229"/>
        <v>74125</v>
      </c>
      <c r="I614" s="19">
        <f t="shared" si="229"/>
        <v>74125</v>
      </c>
      <c r="J614" s="19">
        <f t="shared" si="230"/>
        <v>158102</v>
      </c>
      <c r="K614" s="133">
        <v>1000</v>
      </c>
      <c r="L614" s="19"/>
      <c r="M614" s="16">
        <f t="shared" ref="M614:M677" si="231">(F614*J614*((H614+I614)/2)/1000)^(1/2)/10*0.8</f>
        <v>94961.473669188606</v>
      </c>
      <c r="N614" s="58">
        <v>930</v>
      </c>
      <c r="O614" s="58">
        <v>1</v>
      </c>
      <c r="P614" s="94">
        <v>23720</v>
      </c>
      <c r="Q614" s="90" t="s">
        <v>373</v>
      </c>
      <c r="R614" s="41"/>
      <c r="S614" s="41" t="s">
        <v>255</v>
      </c>
    </row>
    <row r="615" spans="1:20" x14ac:dyDescent="0.2">
      <c r="A615" s="18" t="str">
        <f t="shared" si="227"/>
        <v>30342</v>
      </c>
      <c r="B615" s="18">
        <v>3</v>
      </c>
      <c r="C615" s="18">
        <v>3</v>
      </c>
      <c r="D615" s="18" t="s">
        <v>237</v>
      </c>
      <c r="E615" s="18">
        <v>2</v>
      </c>
      <c r="F615" s="19">
        <f t="shared" si="228"/>
        <v>234531</v>
      </c>
      <c r="G615" s="19">
        <f t="shared" si="228"/>
        <v>234531</v>
      </c>
      <c r="H615" s="19">
        <f t="shared" si="229"/>
        <v>74125</v>
      </c>
      <c r="I615" s="19">
        <f t="shared" si="229"/>
        <v>74125</v>
      </c>
      <c r="J615" s="19">
        <f t="shared" si="230"/>
        <v>310406</v>
      </c>
      <c r="K615" s="133">
        <v>1000</v>
      </c>
      <c r="L615" s="19"/>
      <c r="M615" s="16">
        <f t="shared" si="231"/>
        <v>185839.28313356789</v>
      </c>
      <c r="N615" s="58">
        <v>910</v>
      </c>
      <c r="O615" s="58">
        <v>2</v>
      </c>
      <c r="P615" s="94">
        <v>23720</v>
      </c>
      <c r="Q615" s="90" t="s">
        <v>371</v>
      </c>
      <c r="R615" s="41"/>
      <c r="S615" s="41" t="s">
        <v>255</v>
      </c>
    </row>
    <row r="616" spans="1:20" x14ac:dyDescent="0.2">
      <c r="A616" s="18" t="str">
        <f t="shared" si="227"/>
        <v>30343</v>
      </c>
      <c r="B616" s="18">
        <v>3</v>
      </c>
      <c r="C616" s="18">
        <v>3</v>
      </c>
      <c r="D616" s="18" t="s">
        <v>237</v>
      </c>
      <c r="E616" s="18">
        <v>3</v>
      </c>
      <c r="F616" s="19">
        <f t="shared" si="228"/>
        <v>342902</v>
      </c>
      <c r="G616" s="19">
        <f t="shared" si="228"/>
        <v>342902</v>
      </c>
      <c r="H616" s="19">
        <f t="shared" si="229"/>
        <v>74125</v>
      </c>
      <c r="I616" s="19">
        <f t="shared" si="229"/>
        <v>74125</v>
      </c>
      <c r="J616" s="19">
        <f t="shared" si="230"/>
        <v>456921</v>
      </c>
      <c r="K616" s="133">
        <v>1000</v>
      </c>
      <c r="L616" s="19"/>
      <c r="M616" s="16">
        <f t="shared" si="231"/>
        <v>272632.67738406704</v>
      </c>
      <c r="N616" s="58">
        <v>890</v>
      </c>
      <c r="O616" s="58">
        <v>3</v>
      </c>
      <c r="P616" s="94">
        <v>23720</v>
      </c>
      <c r="Q616" s="90" t="s">
        <v>366</v>
      </c>
      <c r="R616" s="41"/>
      <c r="S616" s="41" t="s">
        <v>255</v>
      </c>
    </row>
    <row r="617" spans="1:20" x14ac:dyDescent="0.2">
      <c r="A617" s="18" t="str">
        <f t="shared" si="227"/>
        <v>30344</v>
      </c>
      <c r="B617" s="18">
        <v>3</v>
      </c>
      <c r="C617" s="18">
        <v>3</v>
      </c>
      <c r="D617" s="18" t="s">
        <v>237</v>
      </c>
      <c r="E617" s="18">
        <v>4</v>
      </c>
      <c r="F617" s="19">
        <f t="shared" si="228"/>
        <v>445343</v>
      </c>
      <c r="G617" s="19">
        <f t="shared" si="228"/>
        <v>445343</v>
      </c>
      <c r="H617" s="19">
        <f t="shared" si="229"/>
        <v>74125</v>
      </c>
      <c r="I617" s="19">
        <f t="shared" si="229"/>
        <v>74125</v>
      </c>
      <c r="J617" s="19">
        <f t="shared" si="230"/>
        <v>597658</v>
      </c>
      <c r="K617" s="133">
        <v>1000</v>
      </c>
      <c r="L617" s="19"/>
      <c r="M617" s="16">
        <f t="shared" si="231"/>
        <v>355341.57580507465</v>
      </c>
      <c r="N617" s="58">
        <v>870</v>
      </c>
      <c r="O617" s="58">
        <v>4</v>
      </c>
      <c r="P617" s="94">
        <v>23720</v>
      </c>
      <c r="Q617" s="90" t="s">
        <v>367</v>
      </c>
      <c r="R617" s="41"/>
      <c r="S617" s="41" t="s">
        <v>255</v>
      </c>
    </row>
    <row r="618" spans="1:20" ht="38.25" x14ac:dyDescent="0.2">
      <c r="A618" s="8" t="str">
        <f t="shared" si="227"/>
        <v/>
      </c>
      <c r="B618" s="5"/>
      <c r="C618" s="6" t="s">
        <v>72</v>
      </c>
      <c r="D618" s="5"/>
      <c r="E618" s="5"/>
      <c r="F618" s="5"/>
      <c r="G618" s="5"/>
      <c r="H618" s="5"/>
      <c r="I618" s="5"/>
      <c r="J618" s="5"/>
      <c r="K618" s="133">
        <v>1000</v>
      </c>
      <c r="L618" s="5"/>
      <c r="M618" s="16">
        <f t="shared" si="231"/>
        <v>0</v>
      </c>
      <c r="N618" s="5"/>
      <c r="O618" s="5"/>
      <c r="P618" s="5"/>
      <c r="Q618" s="5"/>
      <c r="R618" s="5"/>
      <c r="S618" s="30"/>
      <c r="T618" s="266"/>
    </row>
    <row r="619" spans="1:20" x14ac:dyDescent="0.2">
      <c r="A619" s="8" t="str">
        <f t="shared" si="227"/>
        <v>1030130</v>
      </c>
      <c r="B619" s="8">
        <v>103</v>
      </c>
      <c r="C619" s="8">
        <v>1</v>
      </c>
      <c r="D619" s="8" t="s">
        <v>64</v>
      </c>
      <c r="E619" s="8">
        <v>0</v>
      </c>
      <c r="F619" s="34">
        <f>ROUNDDOWN($P619/4*$O619*10*$N619/$N619*$Q619/400,0)</f>
        <v>17723</v>
      </c>
      <c r="G619" s="34">
        <f>ROUNDDOWN($P619/4*$O619*10*$N619/$N619*$Q619/400,0)</f>
        <v>17723</v>
      </c>
      <c r="H619" s="34">
        <f t="shared" ref="H619:I623" si="232">ROUNDDOWN($S619/4*10,0)</f>
        <v>8530</v>
      </c>
      <c r="I619" s="34">
        <f t="shared" si="232"/>
        <v>8530</v>
      </c>
      <c r="J619" s="34">
        <f>ROUNDDOWN($P619/4*$O619*10*$N619/$Q619*$N619/400,0)</f>
        <v>20789</v>
      </c>
      <c r="K619" s="133">
        <v>1000</v>
      </c>
      <c r="L619" s="34"/>
      <c r="M619" s="16">
        <f t="shared" si="231"/>
        <v>4484.8706401215186</v>
      </c>
      <c r="N619" s="36">
        <v>900</v>
      </c>
      <c r="O619" s="36">
        <v>0.5</v>
      </c>
      <c r="P619" s="98">
        <v>6825</v>
      </c>
      <c r="Q619" s="90" t="s">
        <v>375</v>
      </c>
      <c r="S619" s="36">
        <f t="shared" ref="S619:S677" si="233">ROUNDDOWN(P619*0.5,0)</f>
        <v>3412</v>
      </c>
    </row>
    <row r="620" spans="1:20" x14ac:dyDescent="0.2">
      <c r="A620" s="8" t="str">
        <f t="shared" si="227"/>
        <v>1030131</v>
      </c>
      <c r="B620" s="8">
        <v>103</v>
      </c>
      <c r="C620" s="8">
        <v>1</v>
      </c>
      <c r="D620" s="8" t="s">
        <v>64</v>
      </c>
      <c r="E620" s="8">
        <v>1</v>
      </c>
      <c r="F620" s="34">
        <f t="shared" ref="F620:G623" si="234">ROUNDDOWN($P620/4*$O620*10*$N620/$N620*$Q620/400,0)</f>
        <v>34594</v>
      </c>
      <c r="G620" s="34">
        <f t="shared" si="234"/>
        <v>34594</v>
      </c>
      <c r="H620" s="34">
        <f t="shared" si="232"/>
        <v>8530</v>
      </c>
      <c r="I620" s="34">
        <f t="shared" si="232"/>
        <v>8530</v>
      </c>
      <c r="J620" s="34">
        <f t="shared" ref="J620:J623" si="235">ROUNDDOWN($P620/4*$O620*10*$N620/$Q620*$N620/400,0)</f>
        <v>40731</v>
      </c>
      <c r="K620" s="133">
        <v>1000</v>
      </c>
      <c r="L620" s="34"/>
      <c r="M620" s="16">
        <f t="shared" si="231"/>
        <v>8770.5621312825788</v>
      </c>
      <c r="N620" s="36">
        <v>880</v>
      </c>
      <c r="O620" s="36">
        <v>1</v>
      </c>
      <c r="P620" s="98">
        <v>6825</v>
      </c>
      <c r="Q620" s="90" t="s">
        <v>373</v>
      </c>
      <c r="S620" s="36">
        <f t="shared" si="233"/>
        <v>3412</v>
      </c>
    </row>
    <row r="621" spans="1:20" x14ac:dyDescent="0.2">
      <c r="A621" s="8" t="str">
        <f t="shared" si="227"/>
        <v>1030132</v>
      </c>
      <c r="B621" s="8">
        <v>103</v>
      </c>
      <c r="C621" s="8">
        <v>1</v>
      </c>
      <c r="D621" s="8" t="s">
        <v>64</v>
      </c>
      <c r="E621" s="8">
        <v>2</v>
      </c>
      <c r="F621" s="34">
        <f t="shared" si="234"/>
        <v>101223</v>
      </c>
      <c r="G621" s="34">
        <f t="shared" si="234"/>
        <v>101223</v>
      </c>
      <c r="H621" s="34">
        <f t="shared" si="232"/>
        <v>8530</v>
      </c>
      <c r="I621" s="34">
        <f t="shared" si="232"/>
        <v>8530</v>
      </c>
      <c r="J621" s="34">
        <f t="shared" si="235"/>
        <v>119653</v>
      </c>
      <c r="K621" s="133">
        <v>1000</v>
      </c>
      <c r="L621" s="34"/>
      <c r="M621" s="16">
        <f t="shared" si="231"/>
        <v>25713.778635440729</v>
      </c>
      <c r="N621" s="36">
        <v>860</v>
      </c>
      <c r="O621" s="36">
        <v>3</v>
      </c>
      <c r="P621" s="98">
        <v>6825</v>
      </c>
      <c r="Q621" s="90" t="s">
        <v>371</v>
      </c>
      <c r="S621" s="36">
        <f t="shared" si="233"/>
        <v>3412</v>
      </c>
    </row>
    <row r="622" spans="1:20" x14ac:dyDescent="0.2">
      <c r="A622" s="8" t="str">
        <f t="shared" si="227"/>
        <v>1030133</v>
      </c>
      <c r="B622" s="8">
        <v>103</v>
      </c>
      <c r="C622" s="8">
        <v>1</v>
      </c>
      <c r="D622" s="8" t="s">
        <v>64</v>
      </c>
      <c r="E622" s="8">
        <v>3</v>
      </c>
      <c r="F622" s="34">
        <f t="shared" si="234"/>
        <v>115107</v>
      </c>
      <c r="G622" s="34">
        <f t="shared" si="234"/>
        <v>115107</v>
      </c>
      <c r="H622" s="34">
        <f t="shared" si="232"/>
        <v>8530</v>
      </c>
      <c r="I622" s="34">
        <f t="shared" si="232"/>
        <v>8530</v>
      </c>
      <c r="J622" s="34">
        <f t="shared" si="235"/>
        <v>136632</v>
      </c>
      <c r="K622" s="133">
        <v>1000</v>
      </c>
      <c r="L622" s="34"/>
      <c r="M622" s="16">
        <f t="shared" si="231"/>
        <v>29301.616697264475</v>
      </c>
      <c r="N622" s="36">
        <v>840</v>
      </c>
      <c r="O622" s="36">
        <v>3.5</v>
      </c>
      <c r="P622" s="98">
        <v>6825</v>
      </c>
      <c r="Q622" s="90" t="s">
        <v>366</v>
      </c>
      <c r="S622" s="36">
        <f t="shared" si="233"/>
        <v>3412</v>
      </c>
    </row>
    <row r="623" spans="1:20" x14ac:dyDescent="0.2">
      <c r="A623" s="8" t="str">
        <f t="shared" si="227"/>
        <v>1030134</v>
      </c>
      <c r="B623" s="8">
        <v>103</v>
      </c>
      <c r="C623" s="8">
        <v>1</v>
      </c>
      <c r="D623" s="8" t="s">
        <v>64</v>
      </c>
      <c r="E623" s="8">
        <v>4</v>
      </c>
      <c r="F623" s="34">
        <f t="shared" si="234"/>
        <v>128139</v>
      </c>
      <c r="G623" s="34">
        <f t="shared" si="234"/>
        <v>128139</v>
      </c>
      <c r="H623" s="34">
        <f t="shared" si="232"/>
        <v>8530</v>
      </c>
      <c r="I623" s="34">
        <f t="shared" si="232"/>
        <v>8530</v>
      </c>
      <c r="J623" s="34">
        <f t="shared" si="235"/>
        <v>152767</v>
      </c>
      <c r="K623" s="133">
        <v>1000</v>
      </c>
      <c r="L623" s="34"/>
      <c r="M623" s="16">
        <f t="shared" si="231"/>
        <v>32690.378036738828</v>
      </c>
      <c r="N623" s="36">
        <v>820</v>
      </c>
      <c r="O623" s="36">
        <v>4</v>
      </c>
      <c r="P623" s="98">
        <v>6825</v>
      </c>
      <c r="Q623" s="90" t="s">
        <v>367</v>
      </c>
      <c r="S623" s="36">
        <f t="shared" si="233"/>
        <v>3412</v>
      </c>
    </row>
    <row r="624" spans="1:20" ht="38.25" x14ac:dyDescent="0.2">
      <c r="A624" s="8" t="str">
        <f t="shared" si="227"/>
        <v/>
      </c>
      <c r="B624" s="5"/>
      <c r="C624" s="6" t="s">
        <v>75</v>
      </c>
      <c r="D624" s="5"/>
      <c r="E624" s="5"/>
      <c r="F624" s="5"/>
      <c r="G624" s="5"/>
      <c r="H624" s="5"/>
      <c r="I624" s="5"/>
      <c r="J624" s="5"/>
      <c r="K624" s="133">
        <v>1000</v>
      </c>
      <c r="L624" s="5"/>
      <c r="M624" s="16">
        <f t="shared" si="231"/>
        <v>0</v>
      </c>
      <c r="N624" s="5"/>
      <c r="O624" s="5"/>
      <c r="P624" s="5"/>
      <c r="Q624" s="5"/>
      <c r="R624" s="5"/>
      <c r="S624" s="30"/>
      <c r="T624" s="266"/>
    </row>
    <row r="625" spans="1:20" x14ac:dyDescent="0.2">
      <c r="A625" s="8" t="str">
        <f t="shared" si="227"/>
        <v>40110</v>
      </c>
      <c r="B625" s="8">
        <v>4</v>
      </c>
      <c r="C625" s="8">
        <v>1</v>
      </c>
      <c r="D625" s="8" t="s">
        <v>62</v>
      </c>
      <c r="E625" s="8">
        <v>0</v>
      </c>
      <c r="F625" s="34">
        <f>ROUNDDOWN($P625/4*$O625*10*$N625/$N625*$Q625/400,0)</f>
        <v>19062</v>
      </c>
      <c r="G625" s="34">
        <f>ROUNDDOWN($P625/4*$O625*10*$N625/$N625*$Q625/400,0)</f>
        <v>19062</v>
      </c>
      <c r="H625" s="34">
        <f t="shared" ref="H625:I639" si="236">ROUNDDOWN($S625/4*10,0)</f>
        <v>9175</v>
      </c>
      <c r="I625" s="34">
        <f t="shared" si="236"/>
        <v>9175</v>
      </c>
      <c r="J625" s="34">
        <f>ROUNDDOWN($P625/4*$O625*10*$N625/$Q625*$N625/400,0)</f>
        <v>22359</v>
      </c>
      <c r="K625" s="133">
        <v>1000</v>
      </c>
      <c r="L625" s="34"/>
      <c r="M625" s="16">
        <f t="shared" si="231"/>
        <v>5002.6882962823111</v>
      </c>
      <c r="N625" s="36">
        <v>900</v>
      </c>
      <c r="O625" s="36">
        <v>0.5</v>
      </c>
      <c r="P625" s="98">
        <v>7340.4000000000005</v>
      </c>
      <c r="Q625" s="90" t="s">
        <v>375</v>
      </c>
      <c r="S625" s="36">
        <f t="shared" si="233"/>
        <v>3670</v>
      </c>
    </row>
    <row r="626" spans="1:20" x14ac:dyDescent="0.2">
      <c r="A626" s="8" t="str">
        <f t="shared" si="227"/>
        <v>40111</v>
      </c>
      <c r="B626" s="8">
        <v>4</v>
      </c>
      <c r="C626" s="8">
        <v>1</v>
      </c>
      <c r="D626" s="8" t="s">
        <v>62</v>
      </c>
      <c r="E626" s="8">
        <v>1</v>
      </c>
      <c r="F626" s="34">
        <f t="shared" ref="F626:G629" si="237">ROUNDDOWN($P626/4*$O626*10*$N626/$N626*$Q626/400,0)</f>
        <v>37206</v>
      </c>
      <c r="G626" s="34">
        <f t="shared" si="237"/>
        <v>37206</v>
      </c>
      <c r="H626" s="34">
        <f t="shared" si="236"/>
        <v>9175</v>
      </c>
      <c r="I626" s="34">
        <f t="shared" si="236"/>
        <v>9175</v>
      </c>
      <c r="J626" s="34">
        <f t="shared" ref="J626:J629" si="238">ROUNDDOWN($P626/4*$O626*10*$N626/$Q626*$N626/400,0)</f>
        <v>43807</v>
      </c>
      <c r="K626" s="133">
        <v>1000</v>
      </c>
      <c r="L626" s="34"/>
      <c r="M626" s="16">
        <f t="shared" si="231"/>
        <v>9782.9823658350724</v>
      </c>
      <c r="N626" s="36">
        <v>880</v>
      </c>
      <c r="O626" s="36">
        <v>1</v>
      </c>
      <c r="P626" s="98">
        <v>7340.4000000000005</v>
      </c>
      <c r="Q626" s="90" t="s">
        <v>373</v>
      </c>
      <c r="S626" s="36">
        <f t="shared" si="233"/>
        <v>3670</v>
      </c>
    </row>
    <row r="627" spans="1:20" x14ac:dyDescent="0.2">
      <c r="A627" s="8" t="str">
        <f t="shared" si="227"/>
        <v>40112</v>
      </c>
      <c r="B627" s="8">
        <v>4</v>
      </c>
      <c r="C627" s="8">
        <v>1</v>
      </c>
      <c r="D627" s="8" t="s">
        <v>62</v>
      </c>
      <c r="E627" s="8">
        <v>2</v>
      </c>
      <c r="F627" s="34">
        <f t="shared" si="237"/>
        <v>108867</v>
      </c>
      <c r="G627" s="34">
        <f t="shared" si="237"/>
        <v>108867</v>
      </c>
      <c r="H627" s="34">
        <f t="shared" si="236"/>
        <v>9175</v>
      </c>
      <c r="I627" s="34">
        <f t="shared" si="236"/>
        <v>9175</v>
      </c>
      <c r="J627" s="34">
        <f t="shared" si="238"/>
        <v>128688</v>
      </c>
      <c r="K627" s="133">
        <v>1000</v>
      </c>
      <c r="L627" s="34"/>
      <c r="M627" s="16">
        <f t="shared" si="231"/>
        <v>28682.049226739713</v>
      </c>
      <c r="N627" s="36">
        <v>860</v>
      </c>
      <c r="O627" s="36">
        <v>3</v>
      </c>
      <c r="P627" s="98">
        <v>7340.4000000000005</v>
      </c>
      <c r="Q627" s="90" t="s">
        <v>371</v>
      </c>
      <c r="S627" s="36">
        <f t="shared" si="233"/>
        <v>3670</v>
      </c>
    </row>
    <row r="628" spans="1:20" x14ac:dyDescent="0.2">
      <c r="A628" s="8" t="str">
        <f t="shared" si="227"/>
        <v>40113</v>
      </c>
      <c r="B628" s="8">
        <v>4</v>
      </c>
      <c r="C628" s="8">
        <v>1</v>
      </c>
      <c r="D628" s="8" t="s">
        <v>62</v>
      </c>
      <c r="E628" s="8">
        <v>3</v>
      </c>
      <c r="F628" s="34">
        <f t="shared" si="237"/>
        <v>123800</v>
      </c>
      <c r="G628" s="34">
        <f t="shared" si="237"/>
        <v>123800</v>
      </c>
      <c r="H628" s="34">
        <f t="shared" si="236"/>
        <v>9175</v>
      </c>
      <c r="I628" s="34">
        <f t="shared" si="236"/>
        <v>9175</v>
      </c>
      <c r="J628" s="34">
        <f t="shared" si="238"/>
        <v>146950</v>
      </c>
      <c r="K628" s="133">
        <v>1000</v>
      </c>
      <c r="L628" s="34"/>
      <c r="M628" s="16">
        <f t="shared" si="231"/>
        <v>32684.221196167429</v>
      </c>
      <c r="N628" s="36">
        <v>840</v>
      </c>
      <c r="O628" s="36">
        <v>3.5</v>
      </c>
      <c r="P628" s="98">
        <v>7340.4000000000005</v>
      </c>
      <c r="Q628" s="90" t="s">
        <v>366</v>
      </c>
      <c r="S628" s="36">
        <f t="shared" si="233"/>
        <v>3670</v>
      </c>
    </row>
    <row r="629" spans="1:20" x14ac:dyDescent="0.2">
      <c r="A629" s="8" t="str">
        <f t="shared" si="227"/>
        <v>40114</v>
      </c>
      <c r="B629" s="8">
        <v>4</v>
      </c>
      <c r="C629" s="8">
        <v>1</v>
      </c>
      <c r="D629" s="8" t="s">
        <v>62</v>
      </c>
      <c r="E629" s="8">
        <v>4</v>
      </c>
      <c r="F629" s="34">
        <f t="shared" si="237"/>
        <v>137816</v>
      </c>
      <c r="G629" s="34">
        <f t="shared" si="237"/>
        <v>137816</v>
      </c>
      <c r="H629" s="34">
        <f t="shared" si="236"/>
        <v>9175</v>
      </c>
      <c r="I629" s="34">
        <f t="shared" si="236"/>
        <v>9175</v>
      </c>
      <c r="J629" s="34">
        <f t="shared" si="238"/>
        <v>164303</v>
      </c>
      <c r="K629" s="133">
        <v>1000</v>
      </c>
      <c r="L629" s="34"/>
      <c r="M629" s="16">
        <f t="shared" si="231"/>
        <v>36464.107689652301</v>
      </c>
      <c r="N629" s="36">
        <v>820</v>
      </c>
      <c r="O629" s="36">
        <v>4</v>
      </c>
      <c r="P629" s="98">
        <v>7340.4000000000005</v>
      </c>
      <c r="Q629" s="90" t="s">
        <v>367</v>
      </c>
      <c r="S629" s="36">
        <f t="shared" si="233"/>
        <v>3670</v>
      </c>
    </row>
    <row r="630" spans="1:20" x14ac:dyDescent="0.2">
      <c r="A630" s="8" t="str">
        <f t="shared" si="227"/>
        <v>40210</v>
      </c>
      <c r="B630" s="8">
        <v>4</v>
      </c>
      <c r="C630" s="8">
        <v>2</v>
      </c>
      <c r="D630" s="8" t="s">
        <v>62</v>
      </c>
      <c r="E630" s="8">
        <v>0</v>
      </c>
      <c r="F630" s="34">
        <f>ROUNDDOWN($P630/4*$O630*10*$N630/$N630*$Q630/400,0)</f>
        <v>20158</v>
      </c>
      <c r="G630" s="34">
        <f>ROUNDDOWN($P630/4*$O630*10*$N630/$N630*$Q630/400,0)</f>
        <v>20158</v>
      </c>
      <c r="H630" s="34">
        <f t="shared" si="236"/>
        <v>9702</v>
      </c>
      <c r="I630" s="34">
        <f t="shared" si="236"/>
        <v>9702</v>
      </c>
      <c r="J630" s="34">
        <f>ROUNDDOWN($P630/4*$O630*10*$N630/$Q630*$N630/400,0)</f>
        <v>23644</v>
      </c>
      <c r="K630" s="133">
        <v>1000</v>
      </c>
      <c r="L630" s="34"/>
      <c r="M630" s="16">
        <f t="shared" si="231"/>
        <v>5440.0741323795955</v>
      </c>
      <c r="N630" s="36">
        <v>900</v>
      </c>
      <c r="O630" s="36">
        <v>0.5</v>
      </c>
      <c r="P630" s="98">
        <v>7762.5</v>
      </c>
      <c r="Q630" s="90" t="s">
        <v>375</v>
      </c>
      <c r="S630" s="36">
        <f t="shared" si="233"/>
        <v>3881</v>
      </c>
    </row>
    <row r="631" spans="1:20" x14ac:dyDescent="0.2">
      <c r="A631" s="8" t="str">
        <f t="shared" si="227"/>
        <v>40211</v>
      </c>
      <c r="B631" s="8">
        <v>4</v>
      </c>
      <c r="C631" s="8">
        <v>2</v>
      </c>
      <c r="D631" s="8" t="s">
        <v>62</v>
      </c>
      <c r="E631" s="8">
        <v>1</v>
      </c>
      <c r="F631" s="34">
        <f t="shared" ref="F631:G634" si="239">ROUNDDOWN($P631/4*$O631*10*$N631/$N631*$Q631/400,0)</f>
        <v>39346</v>
      </c>
      <c r="G631" s="34">
        <f t="shared" si="239"/>
        <v>39346</v>
      </c>
      <c r="H631" s="34">
        <f t="shared" si="236"/>
        <v>9702</v>
      </c>
      <c r="I631" s="34">
        <f t="shared" si="236"/>
        <v>9702</v>
      </c>
      <c r="J631" s="34">
        <f t="shared" ref="J631:J634" si="240">ROUNDDOWN($P631/4*$O631*10*$N631/$Q631*$N631/400,0)</f>
        <v>46326</v>
      </c>
      <c r="K631" s="133">
        <v>1000</v>
      </c>
      <c r="L631" s="34"/>
      <c r="M631" s="16">
        <f t="shared" si="231"/>
        <v>10638.57151517387</v>
      </c>
      <c r="N631" s="36">
        <v>880</v>
      </c>
      <c r="O631" s="36">
        <v>1</v>
      </c>
      <c r="P631" s="98">
        <v>7762.5</v>
      </c>
      <c r="Q631" s="90" t="s">
        <v>373</v>
      </c>
      <c r="S631" s="36">
        <f t="shared" si="233"/>
        <v>3881</v>
      </c>
    </row>
    <row r="632" spans="1:20" x14ac:dyDescent="0.2">
      <c r="A632" s="8" t="str">
        <f t="shared" si="227"/>
        <v>40212</v>
      </c>
      <c r="B632" s="8">
        <v>4</v>
      </c>
      <c r="C632" s="8">
        <v>2</v>
      </c>
      <c r="D632" s="8" t="s">
        <v>62</v>
      </c>
      <c r="E632" s="8">
        <v>2</v>
      </c>
      <c r="F632" s="34">
        <f t="shared" si="239"/>
        <v>115127</v>
      </c>
      <c r="G632" s="34">
        <f t="shared" si="239"/>
        <v>115127</v>
      </c>
      <c r="H632" s="34">
        <f t="shared" si="236"/>
        <v>9702</v>
      </c>
      <c r="I632" s="34">
        <f t="shared" si="236"/>
        <v>9702</v>
      </c>
      <c r="J632" s="34">
        <f t="shared" si="240"/>
        <v>136089</v>
      </c>
      <c r="K632" s="133">
        <v>1000</v>
      </c>
      <c r="L632" s="34"/>
      <c r="M632" s="16">
        <f t="shared" si="231"/>
        <v>31190.384423480878</v>
      </c>
      <c r="N632" s="36">
        <v>860</v>
      </c>
      <c r="O632" s="36">
        <v>3</v>
      </c>
      <c r="P632" s="98">
        <v>7762.5</v>
      </c>
      <c r="Q632" s="90" t="s">
        <v>371</v>
      </c>
      <c r="S632" s="36">
        <f t="shared" si="233"/>
        <v>3881</v>
      </c>
    </row>
    <row r="633" spans="1:20" x14ac:dyDescent="0.2">
      <c r="A633" s="8" t="str">
        <f t="shared" si="227"/>
        <v>40213</v>
      </c>
      <c r="B633" s="8">
        <v>4</v>
      </c>
      <c r="C633" s="8">
        <v>2</v>
      </c>
      <c r="D633" s="8" t="s">
        <v>62</v>
      </c>
      <c r="E633" s="8">
        <v>3</v>
      </c>
      <c r="F633" s="34">
        <f t="shared" si="239"/>
        <v>130919</v>
      </c>
      <c r="G633" s="34">
        <f t="shared" si="239"/>
        <v>130919</v>
      </c>
      <c r="H633" s="34">
        <f t="shared" si="236"/>
        <v>9702</v>
      </c>
      <c r="I633" s="34">
        <f t="shared" si="236"/>
        <v>9702</v>
      </c>
      <c r="J633" s="34">
        <f t="shared" si="240"/>
        <v>155401</v>
      </c>
      <c r="K633" s="133">
        <v>1000</v>
      </c>
      <c r="L633" s="34"/>
      <c r="M633" s="16">
        <f t="shared" si="231"/>
        <v>35542.573189578769</v>
      </c>
      <c r="N633" s="36">
        <v>840</v>
      </c>
      <c r="O633" s="36">
        <v>3.5</v>
      </c>
      <c r="P633" s="98">
        <v>7762.5</v>
      </c>
      <c r="Q633" s="90" t="s">
        <v>366</v>
      </c>
      <c r="S633" s="36">
        <f t="shared" si="233"/>
        <v>3881</v>
      </c>
    </row>
    <row r="634" spans="1:20" x14ac:dyDescent="0.2">
      <c r="A634" s="8" t="str">
        <f t="shared" si="227"/>
        <v>40214</v>
      </c>
      <c r="B634" s="8">
        <v>4</v>
      </c>
      <c r="C634" s="8">
        <v>2</v>
      </c>
      <c r="D634" s="8" t="s">
        <v>62</v>
      </c>
      <c r="E634" s="8">
        <v>4</v>
      </c>
      <c r="F634" s="34">
        <f t="shared" si="239"/>
        <v>145740</v>
      </c>
      <c r="G634" s="34">
        <f t="shared" si="239"/>
        <v>145740</v>
      </c>
      <c r="H634" s="34">
        <f t="shared" si="236"/>
        <v>9702</v>
      </c>
      <c r="I634" s="34">
        <f t="shared" si="236"/>
        <v>9702</v>
      </c>
      <c r="J634" s="34">
        <f t="shared" si="240"/>
        <v>173751</v>
      </c>
      <c r="K634" s="133">
        <v>1000</v>
      </c>
      <c r="L634" s="34"/>
      <c r="M634" s="16">
        <f t="shared" si="231"/>
        <v>39652.781884310112</v>
      </c>
      <c r="N634" s="36">
        <v>820</v>
      </c>
      <c r="O634" s="36">
        <v>4</v>
      </c>
      <c r="P634" s="98">
        <v>7762.5</v>
      </c>
      <c r="Q634" s="90" t="s">
        <v>367</v>
      </c>
      <c r="S634" s="36">
        <f t="shared" si="233"/>
        <v>3881</v>
      </c>
    </row>
    <row r="635" spans="1:20" x14ac:dyDescent="0.2">
      <c r="A635" s="8" t="str">
        <f t="shared" si="227"/>
        <v>40310</v>
      </c>
      <c r="B635" s="8">
        <v>4</v>
      </c>
      <c r="C635" s="8">
        <v>3</v>
      </c>
      <c r="D635" s="8" t="s">
        <v>62</v>
      </c>
      <c r="E635" s="8">
        <v>0</v>
      </c>
      <c r="F635" s="34">
        <f>ROUNDDOWN($P635/4*$O635*10*$N635/$N635*$Q635/400,0)</f>
        <v>21282</v>
      </c>
      <c r="G635" s="34">
        <f>ROUNDDOWN($P635/4*$O635*10*$N635/$N635*$Q635/400,0)</f>
        <v>21282</v>
      </c>
      <c r="H635" s="34">
        <f t="shared" si="236"/>
        <v>10242</v>
      </c>
      <c r="I635" s="34">
        <f t="shared" si="236"/>
        <v>10242</v>
      </c>
      <c r="J635" s="34">
        <f>ROUNDDOWN($P635/4*$O635*10*$N635/$Q635*$N635/400,0)</f>
        <v>24963</v>
      </c>
      <c r="K635" s="133">
        <v>1000</v>
      </c>
      <c r="L635" s="34"/>
      <c r="M635" s="16">
        <f t="shared" si="231"/>
        <v>5901.1544367370025</v>
      </c>
      <c r="N635" s="36">
        <v>900</v>
      </c>
      <c r="O635" s="36">
        <v>0.5</v>
      </c>
      <c r="P635" s="90">
        <v>8195.4</v>
      </c>
      <c r="Q635" s="90" t="s">
        <v>375</v>
      </c>
      <c r="S635" s="36">
        <f t="shared" si="233"/>
        <v>4097</v>
      </c>
    </row>
    <row r="636" spans="1:20" x14ac:dyDescent="0.2">
      <c r="A636" s="8" t="str">
        <f t="shared" si="227"/>
        <v>40311</v>
      </c>
      <c r="B636" s="8">
        <v>4</v>
      </c>
      <c r="C636" s="8">
        <v>3</v>
      </c>
      <c r="D636" s="8" t="s">
        <v>62</v>
      </c>
      <c r="E636" s="8">
        <v>1</v>
      </c>
      <c r="F636" s="34">
        <f t="shared" ref="F636:G639" si="241">ROUNDDOWN($P636/4*$O636*10*$N636/$N636*$Q636/400,0)</f>
        <v>41540</v>
      </c>
      <c r="G636" s="34">
        <f t="shared" si="241"/>
        <v>41540</v>
      </c>
      <c r="H636" s="34">
        <f t="shared" si="236"/>
        <v>10242</v>
      </c>
      <c r="I636" s="34">
        <f t="shared" si="236"/>
        <v>10242</v>
      </c>
      <c r="J636" s="34">
        <f t="shared" ref="J636:J639" si="242">ROUNDDOWN($P636/4*$O636*10*$N636/$Q636*$N636/400,0)</f>
        <v>48909</v>
      </c>
      <c r="K636" s="133">
        <v>1000</v>
      </c>
      <c r="L636" s="34"/>
      <c r="M636" s="16">
        <f t="shared" si="231"/>
        <v>11540.11164621764</v>
      </c>
      <c r="N636" s="36">
        <v>880</v>
      </c>
      <c r="O636" s="36">
        <v>1</v>
      </c>
      <c r="P636" s="90">
        <v>8195.4</v>
      </c>
      <c r="Q636" s="90" t="s">
        <v>373</v>
      </c>
      <c r="S636" s="36">
        <f t="shared" si="233"/>
        <v>4097</v>
      </c>
    </row>
    <row r="637" spans="1:20" x14ac:dyDescent="0.2">
      <c r="A637" s="8" t="str">
        <f t="shared" si="227"/>
        <v>40312</v>
      </c>
      <c r="B637" s="8">
        <v>4</v>
      </c>
      <c r="C637" s="8">
        <v>3</v>
      </c>
      <c r="D637" s="8" t="s">
        <v>62</v>
      </c>
      <c r="E637" s="8">
        <v>2</v>
      </c>
      <c r="F637" s="34">
        <f t="shared" si="241"/>
        <v>121548</v>
      </c>
      <c r="G637" s="34">
        <f t="shared" si="241"/>
        <v>121548</v>
      </c>
      <c r="H637" s="34">
        <f t="shared" si="236"/>
        <v>10242</v>
      </c>
      <c r="I637" s="34">
        <f t="shared" si="236"/>
        <v>10242</v>
      </c>
      <c r="J637" s="34">
        <f t="shared" si="242"/>
        <v>143678</v>
      </c>
      <c r="K637" s="133">
        <v>1000</v>
      </c>
      <c r="L637" s="34"/>
      <c r="M637" s="16">
        <f t="shared" si="231"/>
        <v>33833.849903328286</v>
      </c>
      <c r="N637" s="36">
        <v>860</v>
      </c>
      <c r="O637" s="36">
        <v>3</v>
      </c>
      <c r="P637" s="90">
        <v>8195.4</v>
      </c>
      <c r="Q637" s="90" t="s">
        <v>371</v>
      </c>
      <c r="S637" s="36">
        <f t="shared" si="233"/>
        <v>4097</v>
      </c>
    </row>
    <row r="638" spans="1:20" x14ac:dyDescent="0.2">
      <c r="A638" s="8" t="str">
        <f t="shared" si="227"/>
        <v>40313</v>
      </c>
      <c r="B638" s="8">
        <v>4</v>
      </c>
      <c r="C638" s="8">
        <v>3</v>
      </c>
      <c r="D638" s="8" t="s">
        <v>62</v>
      </c>
      <c r="E638" s="8">
        <v>3</v>
      </c>
      <c r="F638" s="34">
        <f t="shared" si="241"/>
        <v>138220</v>
      </c>
      <c r="G638" s="34">
        <f t="shared" si="241"/>
        <v>138220</v>
      </c>
      <c r="H638" s="34">
        <f t="shared" si="236"/>
        <v>10242</v>
      </c>
      <c r="I638" s="34">
        <f t="shared" si="236"/>
        <v>10242</v>
      </c>
      <c r="J638" s="34">
        <f t="shared" si="242"/>
        <v>164067</v>
      </c>
      <c r="K638" s="133">
        <v>1000</v>
      </c>
      <c r="L638" s="34"/>
      <c r="M638" s="16">
        <f t="shared" si="231"/>
        <v>38554.798309654172</v>
      </c>
      <c r="N638" s="36">
        <v>840</v>
      </c>
      <c r="O638" s="36">
        <v>3.5</v>
      </c>
      <c r="P638" s="90">
        <v>8195.4</v>
      </c>
      <c r="Q638" s="90" t="s">
        <v>366</v>
      </c>
      <c r="S638" s="36">
        <f t="shared" si="233"/>
        <v>4097</v>
      </c>
    </row>
    <row r="639" spans="1:20" x14ac:dyDescent="0.2">
      <c r="A639" s="8" t="str">
        <f t="shared" si="227"/>
        <v>40314</v>
      </c>
      <c r="B639" s="8">
        <v>4</v>
      </c>
      <c r="C639" s="8">
        <v>3</v>
      </c>
      <c r="D639" s="8" t="s">
        <v>62</v>
      </c>
      <c r="E639" s="8">
        <v>4</v>
      </c>
      <c r="F639" s="34">
        <f t="shared" si="241"/>
        <v>153868</v>
      </c>
      <c r="G639" s="34">
        <f t="shared" si="241"/>
        <v>153868</v>
      </c>
      <c r="H639" s="34">
        <f t="shared" si="236"/>
        <v>10242</v>
      </c>
      <c r="I639" s="34">
        <f t="shared" si="236"/>
        <v>10242</v>
      </c>
      <c r="J639" s="34">
        <f t="shared" si="242"/>
        <v>183441</v>
      </c>
      <c r="K639" s="133">
        <v>1000</v>
      </c>
      <c r="L639" s="34"/>
      <c r="M639" s="16">
        <f t="shared" si="231"/>
        <v>43013.49497847919</v>
      </c>
      <c r="N639" s="36">
        <v>820</v>
      </c>
      <c r="O639" s="36">
        <v>4</v>
      </c>
      <c r="P639" s="90">
        <v>8195.4</v>
      </c>
      <c r="Q639" s="90" t="s">
        <v>367</v>
      </c>
      <c r="S639" s="36">
        <f t="shared" si="233"/>
        <v>4097</v>
      </c>
    </row>
    <row r="640" spans="1:20" ht="38.25" x14ac:dyDescent="0.2">
      <c r="A640" s="8" t="str">
        <f t="shared" si="227"/>
        <v/>
      </c>
      <c r="B640" s="5"/>
      <c r="C640" s="6" t="s">
        <v>76</v>
      </c>
      <c r="D640" s="5"/>
      <c r="E640" s="5"/>
      <c r="F640" s="5"/>
      <c r="G640" s="5"/>
      <c r="H640" s="5"/>
      <c r="I640" s="5"/>
      <c r="J640" s="5"/>
      <c r="K640" s="133">
        <v>1000</v>
      </c>
      <c r="L640" s="5"/>
      <c r="M640" s="16">
        <f t="shared" si="231"/>
        <v>0</v>
      </c>
      <c r="N640" s="5"/>
      <c r="O640" s="5"/>
      <c r="P640" s="5"/>
      <c r="Q640" s="5"/>
      <c r="R640" s="5"/>
      <c r="S640" s="30"/>
      <c r="T640" s="266"/>
    </row>
    <row r="641" spans="1:20" x14ac:dyDescent="0.2">
      <c r="A641" s="8" t="str">
        <f t="shared" si="227"/>
        <v>40120</v>
      </c>
      <c r="B641" s="8">
        <v>4</v>
      </c>
      <c r="C641" s="8">
        <v>1</v>
      </c>
      <c r="D641" s="8" t="s">
        <v>63</v>
      </c>
      <c r="E641" s="8">
        <v>0</v>
      </c>
      <c r="F641" s="34">
        <f>ROUNDDOWN($P641/4*$O641*10*$N641/$N641*$Q641/400,0)</f>
        <v>23683</v>
      </c>
      <c r="G641" s="34">
        <f>ROUNDDOWN($P641/4*$O641*10*$N641/$N641*$Q641/400,0)</f>
        <v>23683</v>
      </c>
      <c r="H641" s="34">
        <f t="shared" ref="H641:I655" si="243">ROUNDDOWN($S641/4*10,0)</f>
        <v>11400</v>
      </c>
      <c r="I641" s="34">
        <f t="shared" si="243"/>
        <v>11400</v>
      </c>
      <c r="J641" s="34">
        <f>ROUNDDOWN($P641/4*$O641*10*$N641/$Q641*$N641/400,0)</f>
        <v>27779</v>
      </c>
      <c r="K641" s="133">
        <v>1000</v>
      </c>
      <c r="L641" s="34"/>
      <c r="M641" s="16">
        <f t="shared" si="231"/>
        <v>6928.1785888298227</v>
      </c>
      <c r="N641" s="36">
        <v>900</v>
      </c>
      <c r="O641" s="36">
        <v>0.5</v>
      </c>
      <c r="P641" s="90">
        <v>9120</v>
      </c>
      <c r="Q641" s="90" t="s">
        <v>375</v>
      </c>
      <c r="S641" s="36">
        <f t="shared" si="233"/>
        <v>4560</v>
      </c>
    </row>
    <row r="642" spans="1:20" x14ac:dyDescent="0.2">
      <c r="A642" s="8" t="str">
        <f t="shared" si="227"/>
        <v>40121</v>
      </c>
      <c r="B642" s="8">
        <v>4</v>
      </c>
      <c r="C642" s="8">
        <v>1</v>
      </c>
      <c r="D642" s="8" t="s">
        <v>63</v>
      </c>
      <c r="E642" s="8">
        <v>1</v>
      </c>
      <c r="F642" s="34">
        <f t="shared" ref="F642:G645" si="244">ROUNDDOWN($P642/4*$O642*10*$N642/$N642*$Q642/400,0)</f>
        <v>46227</v>
      </c>
      <c r="G642" s="34">
        <f t="shared" si="244"/>
        <v>46227</v>
      </c>
      <c r="H642" s="34">
        <f t="shared" si="243"/>
        <v>11400</v>
      </c>
      <c r="I642" s="34">
        <f t="shared" si="243"/>
        <v>11400</v>
      </c>
      <c r="J642" s="34">
        <f t="shared" ref="J642:J645" si="245">ROUNDDOWN($P642/4*$O642*10*$N642/$Q642*$N642/400,0)</f>
        <v>54427</v>
      </c>
      <c r="K642" s="133">
        <v>1000</v>
      </c>
      <c r="L642" s="34"/>
      <c r="M642" s="16">
        <f t="shared" si="231"/>
        <v>13548.694990287442</v>
      </c>
      <c r="N642" s="36">
        <v>880</v>
      </c>
      <c r="O642" s="36">
        <v>1</v>
      </c>
      <c r="P642" s="90">
        <v>9120</v>
      </c>
      <c r="Q642" s="90" t="s">
        <v>373</v>
      </c>
      <c r="S642" s="36">
        <f t="shared" si="233"/>
        <v>4560</v>
      </c>
    </row>
    <row r="643" spans="1:20" x14ac:dyDescent="0.2">
      <c r="A643" s="8" t="str">
        <f t="shared" si="227"/>
        <v>40122</v>
      </c>
      <c r="B643" s="8">
        <v>4</v>
      </c>
      <c r="C643" s="8">
        <v>1</v>
      </c>
      <c r="D643" s="8" t="s">
        <v>63</v>
      </c>
      <c r="E643" s="8">
        <v>2</v>
      </c>
      <c r="F643" s="34">
        <f t="shared" si="244"/>
        <v>135261</v>
      </c>
      <c r="G643" s="34">
        <f t="shared" si="244"/>
        <v>135261</v>
      </c>
      <c r="H643" s="34">
        <f t="shared" si="243"/>
        <v>11400</v>
      </c>
      <c r="I643" s="34">
        <f t="shared" si="243"/>
        <v>11400</v>
      </c>
      <c r="J643" s="34">
        <f t="shared" si="245"/>
        <v>159888</v>
      </c>
      <c r="K643" s="133">
        <v>1000</v>
      </c>
      <c r="L643" s="34"/>
      <c r="M643" s="16">
        <f t="shared" si="231"/>
        <v>39722.506487296094</v>
      </c>
      <c r="N643" s="36">
        <v>860</v>
      </c>
      <c r="O643" s="36">
        <v>3</v>
      </c>
      <c r="P643" s="90">
        <v>9120</v>
      </c>
      <c r="Q643" s="90" t="s">
        <v>371</v>
      </c>
      <c r="S643" s="36">
        <f t="shared" si="233"/>
        <v>4560</v>
      </c>
    </row>
    <row r="644" spans="1:20" x14ac:dyDescent="0.2">
      <c r="A644" s="8" t="str">
        <f t="shared" si="227"/>
        <v>40123</v>
      </c>
      <c r="B644" s="8">
        <v>4</v>
      </c>
      <c r="C644" s="8">
        <v>1</v>
      </c>
      <c r="D644" s="8" t="s">
        <v>63</v>
      </c>
      <c r="E644" s="8">
        <v>3</v>
      </c>
      <c r="F644" s="34">
        <f t="shared" si="244"/>
        <v>153814</v>
      </c>
      <c r="G644" s="34">
        <f t="shared" si="244"/>
        <v>153814</v>
      </c>
      <c r="H644" s="34">
        <f t="shared" si="243"/>
        <v>11400</v>
      </c>
      <c r="I644" s="34">
        <f t="shared" si="243"/>
        <v>11400</v>
      </c>
      <c r="J644" s="34">
        <f t="shared" si="245"/>
        <v>182577</v>
      </c>
      <c r="K644" s="133">
        <v>1000</v>
      </c>
      <c r="L644" s="34"/>
      <c r="M644" s="16">
        <f t="shared" si="231"/>
        <v>45265.089059305741</v>
      </c>
      <c r="N644" s="36">
        <v>840</v>
      </c>
      <c r="O644" s="36">
        <v>3.5</v>
      </c>
      <c r="P644" s="90">
        <v>9120</v>
      </c>
      <c r="Q644" s="90" t="s">
        <v>366</v>
      </c>
      <c r="S644" s="36">
        <f t="shared" si="233"/>
        <v>4560</v>
      </c>
    </row>
    <row r="645" spans="1:20" x14ac:dyDescent="0.2">
      <c r="A645" s="8" t="str">
        <f t="shared" si="227"/>
        <v>40124</v>
      </c>
      <c r="B645" s="8">
        <v>4</v>
      </c>
      <c r="C645" s="8">
        <v>1</v>
      </c>
      <c r="D645" s="8" t="s">
        <v>63</v>
      </c>
      <c r="E645" s="8">
        <v>4</v>
      </c>
      <c r="F645" s="34">
        <f t="shared" si="244"/>
        <v>171228</v>
      </c>
      <c r="G645" s="34">
        <f t="shared" si="244"/>
        <v>171228</v>
      </c>
      <c r="H645" s="34">
        <f t="shared" si="243"/>
        <v>11400</v>
      </c>
      <c r="I645" s="34">
        <f t="shared" si="243"/>
        <v>11400</v>
      </c>
      <c r="J645" s="34">
        <f t="shared" si="245"/>
        <v>204137</v>
      </c>
      <c r="K645" s="133">
        <v>1000</v>
      </c>
      <c r="L645" s="34"/>
      <c r="M645" s="16">
        <f t="shared" si="231"/>
        <v>50499.917509027284</v>
      </c>
      <c r="N645" s="36">
        <v>820</v>
      </c>
      <c r="O645" s="36">
        <v>4</v>
      </c>
      <c r="P645" s="90">
        <v>9120</v>
      </c>
      <c r="Q645" s="90" t="s">
        <v>367</v>
      </c>
      <c r="S645" s="36">
        <f t="shared" si="233"/>
        <v>4560</v>
      </c>
    </row>
    <row r="646" spans="1:20" x14ac:dyDescent="0.2">
      <c r="A646" s="8" t="str">
        <f t="shared" si="227"/>
        <v>40220</v>
      </c>
      <c r="B646" s="8">
        <v>4</v>
      </c>
      <c r="C646" s="8">
        <v>2</v>
      </c>
      <c r="D646" s="8" t="s">
        <v>63</v>
      </c>
      <c r="E646" s="8">
        <v>0</v>
      </c>
      <c r="F646" s="34">
        <f>ROUNDDOWN($P646/4*$O646*10*$N646/$N646*$Q646/400,0)</f>
        <v>25689</v>
      </c>
      <c r="G646" s="34">
        <f>ROUNDDOWN($P646/4*$O646*10*$N646/$N646*$Q646/400,0)</f>
        <v>25689</v>
      </c>
      <c r="H646" s="34">
        <f t="shared" si="243"/>
        <v>12365</v>
      </c>
      <c r="I646" s="34">
        <f t="shared" si="243"/>
        <v>12365</v>
      </c>
      <c r="J646" s="34">
        <f>ROUNDDOWN($P646/4*$O646*10*$N646/$Q646*$N646/400,0)</f>
        <v>30132</v>
      </c>
      <c r="K646" s="133">
        <v>1000</v>
      </c>
      <c r="L646" s="34"/>
      <c r="M646" s="16">
        <f t="shared" si="231"/>
        <v>7826.6268073115643</v>
      </c>
      <c r="N646" s="36">
        <v>900</v>
      </c>
      <c r="O646" s="36">
        <v>0.5</v>
      </c>
      <c r="P646" s="36">
        <v>9892.35</v>
      </c>
      <c r="Q646" s="90" t="s">
        <v>375</v>
      </c>
      <c r="S646" s="36">
        <f t="shared" si="233"/>
        <v>4946</v>
      </c>
    </row>
    <row r="647" spans="1:20" x14ac:dyDescent="0.2">
      <c r="A647" s="8" t="str">
        <f t="shared" si="227"/>
        <v>40221</v>
      </c>
      <c r="B647" s="8">
        <v>4</v>
      </c>
      <c r="C647" s="8">
        <v>2</v>
      </c>
      <c r="D647" s="8" t="s">
        <v>63</v>
      </c>
      <c r="E647" s="8">
        <v>1</v>
      </c>
      <c r="F647" s="34">
        <f t="shared" ref="F647:G650" si="246">ROUNDDOWN($P647/4*$O647*10*$N647/$N647*$Q647/400,0)</f>
        <v>50141</v>
      </c>
      <c r="G647" s="34">
        <f t="shared" si="246"/>
        <v>50141</v>
      </c>
      <c r="H647" s="34">
        <f t="shared" si="243"/>
        <v>12365</v>
      </c>
      <c r="I647" s="34">
        <f t="shared" si="243"/>
        <v>12365</v>
      </c>
      <c r="J647" s="34">
        <f t="shared" ref="J647:J650" si="247">ROUNDDOWN($P647/4*$O647*10*$N647/$Q647*$N647/400,0)</f>
        <v>59036</v>
      </c>
      <c r="K647" s="133">
        <v>1000</v>
      </c>
      <c r="L647" s="34"/>
      <c r="M647" s="16">
        <f t="shared" si="231"/>
        <v>15305.305579384423</v>
      </c>
      <c r="N647" s="36">
        <v>880</v>
      </c>
      <c r="O647" s="36">
        <v>1</v>
      </c>
      <c r="P647" s="36">
        <v>9892.35</v>
      </c>
      <c r="Q647" s="90" t="s">
        <v>373</v>
      </c>
      <c r="S647" s="36">
        <f t="shared" si="233"/>
        <v>4946</v>
      </c>
    </row>
    <row r="648" spans="1:20" x14ac:dyDescent="0.2">
      <c r="A648" s="8" t="str">
        <f t="shared" si="227"/>
        <v>40222</v>
      </c>
      <c r="B648" s="8">
        <v>4</v>
      </c>
      <c r="C648" s="8">
        <v>2</v>
      </c>
      <c r="D648" s="8" t="s">
        <v>63</v>
      </c>
      <c r="E648" s="8">
        <v>2</v>
      </c>
      <c r="F648" s="34">
        <f t="shared" si="246"/>
        <v>146715</v>
      </c>
      <c r="G648" s="34">
        <f t="shared" si="246"/>
        <v>146715</v>
      </c>
      <c r="H648" s="34">
        <f t="shared" si="243"/>
        <v>12365</v>
      </c>
      <c r="I648" s="34">
        <f t="shared" si="243"/>
        <v>12365</v>
      </c>
      <c r="J648" s="34">
        <f t="shared" si="247"/>
        <v>173428</v>
      </c>
      <c r="K648" s="133">
        <v>1000</v>
      </c>
      <c r="L648" s="34"/>
      <c r="M648" s="16">
        <f t="shared" si="231"/>
        <v>44872.876920103088</v>
      </c>
      <c r="N648" s="36">
        <v>860</v>
      </c>
      <c r="O648" s="36">
        <v>3</v>
      </c>
      <c r="P648" s="36">
        <v>9892.35</v>
      </c>
      <c r="Q648" s="90" t="s">
        <v>371</v>
      </c>
      <c r="S648" s="36">
        <f t="shared" si="233"/>
        <v>4946</v>
      </c>
    </row>
    <row r="649" spans="1:20" x14ac:dyDescent="0.2">
      <c r="A649" s="8" t="str">
        <f t="shared" si="227"/>
        <v>40223</v>
      </c>
      <c r="B649" s="8">
        <v>4</v>
      </c>
      <c r="C649" s="8">
        <v>2</v>
      </c>
      <c r="D649" s="8" t="s">
        <v>63</v>
      </c>
      <c r="E649" s="8">
        <v>3</v>
      </c>
      <c r="F649" s="34">
        <f t="shared" si="246"/>
        <v>166840</v>
      </c>
      <c r="G649" s="34">
        <f t="shared" si="246"/>
        <v>166840</v>
      </c>
      <c r="H649" s="34">
        <f t="shared" si="243"/>
        <v>12365</v>
      </c>
      <c r="I649" s="34">
        <f t="shared" si="243"/>
        <v>12365</v>
      </c>
      <c r="J649" s="34">
        <f t="shared" si="247"/>
        <v>198039</v>
      </c>
      <c r="K649" s="133">
        <v>1000</v>
      </c>
      <c r="L649" s="34"/>
      <c r="M649" s="16">
        <f t="shared" si="231"/>
        <v>51134.321805215724</v>
      </c>
      <c r="N649" s="36">
        <v>840</v>
      </c>
      <c r="O649" s="36">
        <v>3.5</v>
      </c>
      <c r="P649" s="36">
        <v>9892.35</v>
      </c>
      <c r="Q649" s="90" t="s">
        <v>366</v>
      </c>
      <c r="S649" s="36">
        <f t="shared" si="233"/>
        <v>4946</v>
      </c>
    </row>
    <row r="650" spans="1:20" x14ac:dyDescent="0.2">
      <c r="A650" s="8" t="str">
        <f t="shared" si="227"/>
        <v>40224</v>
      </c>
      <c r="B650" s="8">
        <v>4</v>
      </c>
      <c r="C650" s="8">
        <v>2</v>
      </c>
      <c r="D650" s="8" t="s">
        <v>63</v>
      </c>
      <c r="E650" s="8">
        <v>4</v>
      </c>
      <c r="F650" s="34">
        <f t="shared" si="246"/>
        <v>185728</v>
      </c>
      <c r="G650" s="34">
        <f t="shared" si="246"/>
        <v>185728</v>
      </c>
      <c r="H650" s="34">
        <f t="shared" si="243"/>
        <v>12365</v>
      </c>
      <c r="I650" s="34">
        <f t="shared" si="243"/>
        <v>12365</v>
      </c>
      <c r="J650" s="34">
        <f t="shared" si="247"/>
        <v>221425</v>
      </c>
      <c r="K650" s="133">
        <v>1000</v>
      </c>
      <c r="L650" s="34"/>
      <c r="M650" s="16">
        <f t="shared" si="231"/>
        <v>57047.82156617727</v>
      </c>
      <c r="N650" s="36">
        <v>820</v>
      </c>
      <c r="O650" s="36">
        <v>4</v>
      </c>
      <c r="P650" s="36">
        <v>9892.35</v>
      </c>
      <c r="Q650" s="90" t="s">
        <v>367</v>
      </c>
      <c r="S650" s="36">
        <f t="shared" si="233"/>
        <v>4946</v>
      </c>
    </row>
    <row r="651" spans="1:20" x14ac:dyDescent="0.2">
      <c r="A651" s="8" t="str">
        <f t="shared" si="227"/>
        <v>40320</v>
      </c>
      <c r="B651" s="8">
        <v>4</v>
      </c>
      <c r="C651" s="8">
        <v>3</v>
      </c>
      <c r="D651" s="8" t="s">
        <v>63</v>
      </c>
      <c r="E651" s="8">
        <v>0</v>
      </c>
      <c r="F651" s="34">
        <f>ROUNDDOWN($P651/4*$O651*10*$N651/$N651*$Q651/400,0)</f>
        <v>27420</v>
      </c>
      <c r="G651" s="34">
        <f>ROUNDDOWN($P651/4*$O651*10*$N651/$N651*$Q651/400,0)</f>
        <v>27420</v>
      </c>
      <c r="H651" s="34">
        <f t="shared" si="243"/>
        <v>13357</v>
      </c>
      <c r="I651" s="34">
        <f t="shared" si="243"/>
        <v>13357</v>
      </c>
      <c r="J651" s="34">
        <f>ROUNDDOWN($P651/4*$O651*10*$N651/$Q651*$N651/400,0)</f>
        <v>32950</v>
      </c>
      <c r="K651" s="133">
        <v>1000</v>
      </c>
      <c r="L651" s="34"/>
      <c r="M651" s="16">
        <f t="shared" si="231"/>
        <v>8788.3204576983881</v>
      </c>
      <c r="N651" s="36">
        <v>900</v>
      </c>
      <c r="O651" s="36">
        <v>0.5</v>
      </c>
      <c r="P651" s="90">
        <v>10687.5</v>
      </c>
      <c r="Q651" s="90" t="s">
        <v>374</v>
      </c>
      <c r="S651" s="36">
        <f t="shared" si="233"/>
        <v>5343</v>
      </c>
    </row>
    <row r="652" spans="1:20" x14ac:dyDescent="0.2">
      <c r="A652" s="8" t="str">
        <f t="shared" si="227"/>
        <v>40321</v>
      </c>
      <c r="B652" s="8">
        <v>4</v>
      </c>
      <c r="C652" s="8">
        <v>3</v>
      </c>
      <c r="D652" s="8" t="s">
        <v>63</v>
      </c>
      <c r="E652" s="8">
        <v>1</v>
      </c>
      <c r="F652" s="34">
        <f t="shared" ref="F652:G655" si="248">ROUNDDOWN($P652/4*$O652*10*$N652/$N652*$Q652/400,0)</f>
        <v>53504</v>
      </c>
      <c r="G652" s="34">
        <f t="shared" si="248"/>
        <v>53504</v>
      </c>
      <c r="H652" s="34">
        <f t="shared" si="243"/>
        <v>13357</v>
      </c>
      <c r="I652" s="34">
        <f t="shared" si="243"/>
        <v>13357</v>
      </c>
      <c r="J652" s="34">
        <f t="shared" ref="J652:J655" si="249">ROUNDDOWN($P652/4*$O652*10*$N652/$Q652*$N652/400,0)</f>
        <v>64578</v>
      </c>
      <c r="K652" s="133">
        <v>1000</v>
      </c>
      <c r="L652" s="34"/>
      <c r="M652" s="16">
        <f t="shared" si="231"/>
        <v>17186.200377630237</v>
      </c>
      <c r="N652" s="36">
        <v>880</v>
      </c>
      <c r="O652" s="36">
        <v>1</v>
      </c>
      <c r="P652" s="90">
        <v>10687.5</v>
      </c>
      <c r="Q652" s="90" t="s">
        <v>372</v>
      </c>
      <c r="S652" s="36">
        <f t="shared" si="233"/>
        <v>5343</v>
      </c>
    </row>
    <row r="653" spans="1:20" x14ac:dyDescent="0.2">
      <c r="A653" s="8" t="str">
        <f t="shared" si="227"/>
        <v>40322</v>
      </c>
      <c r="B653" s="8">
        <v>4</v>
      </c>
      <c r="C653" s="8">
        <v>3</v>
      </c>
      <c r="D653" s="8" t="s">
        <v>63</v>
      </c>
      <c r="E653" s="8">
        <v>2</v>
      </c>
      <c r="F653" s="34">
        <f t="shared" si="248"/>
        <v>156505</v>
      </c>
      <c r="G653" s="34">
        <f t="shared" si="248"/>
        <v>156505</v>
      </c>
      <c r="H653" s="34">
        <f t="shared" si="243"/>
        <v>13357</v>
      </c>
      <c r="I653" s="34">
        <f t="shared" si="243"/>
        <v>13357</v>
      </c>
      <c r="J653" s="34">
        <f t="shared" si="249"/>
        <v>189768</v>
      </c>
      <c r="K653" s="133">
        <v>1000</v>
      </c>
      <c r="L653" s="34"/>
      <c r="M653" s="16">
        <f t="shared" si="231"/>
        <v>50387.179493192831</v>
      </c>
      <c r="N653" s="36">
        <v>860</v>
      </c>
      <c r="O653" s="36">
        <v>3</v>
      </c>
      <c r="P653" s="90">
        <v>10687.5</v>
      </c>
      <c r="Q653" s="90" t="s">
        <v>368</v>
      </c>
      <c r="S653" s="36">
        <f t="shared" si="233"/>
        <v>5343</v>
      </c>
    </row>
    <row r="654" spans="1:20" x14ac:dyDescent="0.2">
      <c r="A654" s="8" t="str">
        <f t="shared" si="227"/>
        <v>40323</v>
      </c>
      <c r="B654" s="8">
        <v>4</v>
      </c>
      <c r="C654" s="8">
        <v>3</v>
      </c>
      <c r="D654" s="8" t="s">
        <v>63</v>
      </c>
      <c r="E654" s="8">
        <v>3</v>
      </c>
      <c r="F654" s="34">
        <f t="shared" si="248"/>
        <v>177913</v>
      </c>
      <c r="G654" s="34">
        <f t="shared" si="248"/>
        <v>177913</v>
      </c>
      <c r="H654" s="34">
        <f t="shared" si="243"/>
        <v>13357</v>
      </c>
      <c r="I654" s="34">
        <f t="shared" si="243"/>
        <v>13357</v>
      </c>
      <c r="J654" s="34">
        <f t="shared" si="249"/>
        <v>216769</v>
      </c>
      <c r="K654" s="133">
        <v>1000</v>
      </c>
      <c r="L654" s="34"/>
      <c r="M654" s="16">
        <f t="shared" si="231"/>
        <v>57417.843665906032</v>
      </c>
      <c r="N654" s="36">
        <v>840</v>
      </c>
      <c r="O654" s="36">
        <v>3.5</v>
      </c>
      <c r="P654" s="90">
        <v>10687.5</v>
      </c>
      <c r="Q654" s="90" t="s">
        <v>369</v>
      </c>
      <c r="S654" s="36">
        <f t="shared" si="233"/>
        <v>5343</v>
      </c>
    </row>
    <row r="655" spans="1:20" x14ac:dyDescent="0.2">
      <c r="A655" s="8" t="str">
        <f t="shared" si="227"/>
        <v>40324</v>
      </c>
      <c r="B655" s="8">
        <v>4</v>
      </c>
      <c r="C655" s="8">
        <v>3</v>
      </c>
      <c r="D655" s="8" t="s">
        <v>63</v>
      </c>
      <c r="E655" s="8">
        <v>4</v>
      </c>
      <c r="F655" s="34">
        <f t="shared" si="248"/>
        <v>197985</v>
      </c>
      <c r="G655" s="34">
        <f t="shared" si="248"/>
        <v>197985</v>
      </c>
      <c r="H655" s="34">
        <f t="shared" si="243"/>
        <v>13357</v>
      </c>
      <c r="I655" s="34">
        <f t="shared" si="243"/>
        <v>13357</v>
      </c>
      <c r="J655" s="34">
        <f t="shared" si="249"/>
        <v>242451</v>
      </c>
      <c r="K655" s="133">
        <v>1000</v>
      </c>
      <c r="L655" s="34"/>
      <c r="M655" s="16">
        <f t="shared" si="231"/>
        <v>64057.883280215625</v>
      </c>
      <c r="N655" s="36">
        <v>820</v>
      </c>
      <c r="O655" s="36">
        <v>4</v>
      </c>
      <c r="P655" s="90">
        <v>10687.5</v>
      </c>
      <c r="Q655" s="90" t="s">
        <v>370</v>
      </c>
      <c r="S655" s="36">
        <f t="shared" si="233"/>
        <v>5343</v>
      </c>
    </row>
    <row r="656" spans="1:20" ht="38.25" x14ac:dyDescent="0.2">
      <c r="A656" s="8" t="str">
        <f t="shared" si="227"/>
        <v/>
      </c>
      <c r="B656" s="5"/>
      <c r="C656" s="6" t="s">
        <v>77</v>
      </c>
      <c r="D656" s="5"/>
      <c r="E656" s="5"/>
      <c r="F656" s="5"/>
      <c r="G656" s="5"/>
      <c r="H656" s="5"/>
      <c r="I656" s="5"/>
      <c r="J656" s="5"/>
      <c r="K656" s="133">
        <v>1000</v>
      </c>
      <c r="L656" s="5"/>
      <c r="M656" s="16">
        <f t="shared" si="231"/>
        <v>0</v>
      </c>
      <c r="N656" s="5"/>
      <c r="O656" s="5"/>
      <c r="P656" s="5"/>
      <c r="Q656" s="5"/>
      <c r="R656" s="5"/>
      <c r="S656" s="30"/>
      <c r="T656" s="266"/>
    </row>
    <row r="657" spans="1:20" x14ac:dyDescent="0.2">
      <c r="A657" s="8" t="str">
        <f t="shared" si="227"/>
        <v>40130</v>
      </c>
      <c r="B657" s="8">
        <v>4</v>
      </c>
      <c r="C657" s="8">
        <v>1</v>
      </c>
      <c r="D657" s="8" t="s">
        <v>64</v>
      </c>
      <c r="E657" s="8">
        <v>0</v>
      </c>
      <c r="F657" s="34">
        <f>ROUNDDOWN($P657/4*$O657*10*$N657/$N657*$Q657/400,0)</f>
        <v>30258</v>
      </c>
      <c r="G657" s="34">
        <f>ROUNDDOWN($P657/4*$O657*10*$N657/$N657*$Q657/400,0)</f>
        <v>30258</v>
      </c>
      <c r="H657" s="34">
        <f t="shared" ref="H657:I673" si="250">ROUNDDOWN($S657/4*10,0)</f>
        <v>14742</v>
      </c>
      <c r="I657" s="34">
        <f t="shared" si="250"/>
        <v>14742</v>
      </c>
      <c r="J657" s="34">
        <f>ROUNDDOWN($P657/4*$O657*10*$N657/$Q657*$N657/400,0)</f>
        <v>36362</v>
      </c>
      <c r="K657" s="133">
        <v>1000</v>
      </c>
      <c r="L657" s="34"/>
      <c r="M657" s="16">
        <f t="shared" si="231"/>
        <v>10188.545304552796</v>
      </c>
      <c r="N657" s="36">
        <v>900</v>
      </c>
      <c r="O657" s="36">
        <v>0.5</v>
      </c>
      <c r="P657" s="90" t="s">
        <v>923</v>
      </c>
      <c r="Q657" s="90" t="s">
        <v>374</v>
      </c>
      <c r="S657" s="36">
        <f t="shared" si="233"/>
        <v>5897</v>
      </c>
    </row>
    <row r="658" spans="1:20" x14ac:dyDescent="0.2">
      <c r="A658" s="8" t="str">
        <f t="shared" si="227"/>
        <v>40131</v>
      </c>
      <c r="B658" s="8">
        <v>4</v>
      </c>
      <c r="C658" s="8">
        <v>1</v>
      </c>
      <c r="D658" s="8" t="s">
        <v>64</v>
      </c>
      <c r="E658" s="8">
        <v>1</v>
      </c>
      <c r="F658" s="34">
        <f t="shared" ref="F658:G661" si="251">ROUNDDOWN($P658/4*$O658*10*$N658/$N658*$Q658/400,0)</f>
        <v>59043</v>
      </c>
      <c r="G658" s="34">
        <f t="shared" si="251"/>
        <v>59043</v>
      </c>
      <c r="H658" s="34">
        <f t="shared" si="250"/>
        <v>14742</v>
      </c>
      <c r="I658" s="34">
        <f t="shared" si="250"/>
        <v>14742</v>
      </c>
      <c r="J658" s="34">
        <f t="shared" ref="J658:J661" si="252">ROUNDDOWN($P658/4*$O658*10*$N658/$Q658*$N658/400,0)</f>
        <v>71264</v>
      </c>
      <c r="K658" s="133">
        <v>1000</v>
      </c>
      <c r="L658" s="34"/>
      <c r="M658" s="16">
        <f t="shared" si="231"/>
        <v>19924.502955978038</v>
      </c>
      <c r="N658" s="36">
        <v>880</v>
      </c>
      <c r="O658" s="36">
        <v>1</v>
      </c>
      <c r="P658" s="90" t="s">
        <v>923</v>
      </c>
      <c r="Q658" s="90" t="s">
        <v>372</v>
      </c>
      <c r="S658" s="36">
        <f t="shared" si="233"/>
        <v>5897</v>
      </c>
    </row>
    <row r="659" spans="1:20" x14ac:dyDescent="0.2">
      <c r="A659" s="8" t="str">
        <f t="shared" si="227"/>
        <v>40132</v>
      </c>
      <c r="B659" s="8">
        <v>4</v>
      </c>
      <c r="C659" s="8">
        <v>1</v>
      </c>
      <c r="D659" s="8" t="s">
        <v>64</v>
      </c>
      <c r="E659" s="8">
        <v>2</v>
      </c>
      <c r="F659" s="34">
        <f t="shared" si="251"/>
        <v>172708</v>
      </c>
      <c r="G659" s="34">
        <f t="shared" si="251"/>
        <v>172708</v>
      </c>
      <c r="H659" s="34">
        <f t="shared" si="250"/>
        <v>14742</v>
      </c>
      <c r="I659" s="34">
        <f t="shared" si="250"/>
        <v>14742</v>
      </c>
      <c r="J659" s="34">
        <f t="shared" si="252"/>
        <v>209415</v>
      </c>
      <c r="K659" s="133">
        <v>1000</v>
      </c>
      <c r="L659" s="34"/>
      <c r="M659" s="16">
        <f t="shared" si="231"/>
        <v>58415.528602778359</v>
      </c>
      <c r="N659" s="36">
        <v>860</v>
      </c>
      <c r="O659" s="36">
        <v>3</v>
      </c>
      <c r="P659" s="90" t="s">
        <v>923</v>
      </c>
      <c r="Q659" s="90" t="s">
        <v>368</v>
      </c>
      <c r="S659" s="36">
        <f t="shared" si="233"/>
        <v>5897</v>
      </c>
    </row>
    <row r="660" spans="1:20" x14ac:dyDescent="0.2">
      <c r="A660" s="8" t="str">
        <f t="shared" si="227"/>
        <v>40133</v>
      </c>
      <c r="B660" s="8">
        <v>4</v>
      </c>
      <c r="C660" s="8">
        <v>1</v>
      </c>
      <c r="D660" s="8" t="s">
        <v>64</v>
      </c>
      <c r="E660" s="8">
        <v>3</v>
      </c>
      <c r="F660" s="34">
        <f t="shared" si="251"/>
        <v>196333</v>
      </c>
      <c r="G660" s="34">
        <f t="shared" si="251"/>
        <v>196333</v>
      </c>
      <c r="H660" s="34">
        <f t="shared" si="250"/>
        <v>14742</v>
      </c>
      <c r="I660" s="34">
        <f t="shared" si="250"/>
        <v>14742</v>
      </c>
      <c r="J660" s="34">
        <f t="shared" si="252"/>
        <v>239212</v>
      </c>
      <c r="K660" s="133">
        <v>1000</v>
      </c>
      <c r="L660" s="34"/>
      <c r="M660" s="16">
        <f t="shared" si="231"/>
        <v>66566.59197473673</v>
      </c>
      <c r="N660" s="36">
        <v>840</v>
      </c>
      <c r="O660" s="36">
        <v>3.5</v>
      </c>
      <c r="P660" s="90" t="s">
        <v>923</v>
      </c>
      <c r="Q660" s="90" t="s">
        <v>369</v>
      </c>
      <c r="S660" s="36">
        <f t="shared" si="233"/>
        <v>5897</v>
      </c>
    </row>
    <row r="661" spans="1:20" x14ac:dyDescent="0.2">
      <c r="A661" s="8" t="str">
        <f t="shared" si="227"/>
        <v>40134</v>
      </c>
      <c r="B661" s="8">
        <v>4</v>
      </c>
      <c r="C661" s="8">
        <v>1</v>
      </c>
      <c r="D661" s="8" t="s">
        <v>64</v>
      </c>
      <c r="E661" s="8">
        <v>4</v>
      </c>
      <c r="F661" s="34">
        <f t="shared" si="251"/>
        <v>218483</v>
      </c>
      <c r="G661" s="34">
        <f t="shared" si="251"/>
        <v>218483</v>
      </c>
      <c r="H661" s="34">
        <f t="shared" si="250"/>
        <v>14742</v>
      </c>
      <c r="I661" s="34">
        <f t="shared" si="250"/>
        <v>14742</v>
      </c>
      <c r="J661" s="34">
        <f t="shared" si="252"/>
        <v>267553</v>
      </c>
      <c r="K661" s="133">
        <v>1000</v>
      </c>
      <c r="L661" s="34"/>
      <c r="M661" s="16">
        <f t="shared" si="231"/>
        <v>74264.614010322126</v>
      </c>
      <c r="N661" s="36">
        <v>820</v>
      </c>
      <c r="O661" s="36">
        <v>4</v>
      </c>
      <c r="P661" s="90" t="s">
        <v>923</v>
      </c>
      <c r="Q661" s="90" t="s">
        <v>370</v>
      </c>
      <c r="S661" s="36">
        <f t="shared" si="233"/>
        <v>5897</v>
      </c>
    </row>
    <row r="662" spans="1:20" x14ac:dyDescent="0.2">
      <c r="A662" s="8" t="str">
        <f t="shared" si="227"/>
        <v>40230</v>
      </c>
      <c r="B662" s="8">
        <v>4</v>
      </c>
      <c r="C662" s="8">
        <v>2</v>
      </c>
      <c r="D662" s="8" t="s">
        <v>64</v>
      </c>
      <c r="E662" s="8">
        <v>0</v>
      </c>
      <c r="F662" s="34">
        <f>ROUNDDOWN($P662/4*$O662*10*$N662/$N662*$Q662/400,0)</f>
        <v>31685</v>
      </c>
      <c r="G662" s="34">
        <f>ROUNDDOWN($P662/4*$O662*10*$N662/$N662*$Q662/400,0)</f>
        <v>31685</v>
      </c>
      <c r="H662" s="34">
        <f t="shared" si="250"/>
        <v>15437</v>
      </c>
      <c r="I662" s="34">
        <f t="shared" si="250"/>
        <v>15437</v>
      </c>
      <c r="J662" s="34">
        <f>ROUNDDOWN($P662/4*$O662*10*$N662/$Q662*$N662/400,0)</f>
        <v>38076</v>
      </c>
      <c r="K662" s="133">
        <v>1000</v>
      </c>
      <c r="L662" s="34"/>
      <c r="M662" s="16">
        <f t="shared" si="231"/>
        <v>10917.518936379638</v>
      </c>
      <c r="N662" s="36">
        <v>900</v>
      </c>
      <c r="O662" s="36">
        <v>0.5</v>
      </c>
      <c r="P662" s="36">
        <v>12350</v>
      </c>
      <c r="Q662" s="90" t="s">
        <v>374</v>
      </c>
      <c r="S662" s="36">
        <f t="shared" si="233"/>
        <v>6175</v>
      </c>
    </row>
    <row r="663" spans="1:20" x14ac:dyDescent="0.2">
      <c r="A663" s="8" t="str">
        <f t="shared" si="227"/>
        <v>40231</v>
      </c>
      <c r="B663" s="8">
        <v>4</v>
      </c>
      <c r="C663" s="8">
        <v>2</v>
      </c>
      <c r="D663" s="8" t="s">
        <v>64</v>
      </c>
      <c r="E663" s="8">
        <v>1</v>
      </c>
      <c r="F663" s="34">
        <f t="shared" ref="F663:G666" si="253">ROUNDDOWN($P663/4*$O663*10*$N663/$N663*$Q663/400,0)</f>
        <v>61827</v>
      </c>
      <c r="G663" s="34">
        <f t="shared" si="253"/>
        <v>61827</v>
      </c>
      <c r="H663" s="34">
        <f t="shared" si="250"/>
        <v>15437</v>
      </c>
      <c r="I663" s="34">
        <f t="shared" si="250"/>
        <v>15437</v>
      </c>
      <c r="J663" s="34">
        <f t="shared" ref="J663:J666" si="254">ROUNDDOWN($P663/4*$O663*10*$N663/$Q663*$N663/400,0)</f>
        <v>74624</v>
      </c>
      <c r="K663" s="133">
        <v>1000</v>
      </c>
      <c r="L663" s="34"/>
      <c r="M663" s="16">
        <f t="shared" si="231"/>
        <v>21350.093841776121</v>
      </c>
      <c r="N663" s="36">
        <v>880</v>
      </c>
      <c r="O663" s="36">
        <v>1</v>
      </c>
      <c r="P663" s="36">
        <v>12350</v>
      </c>
      <c r="Q663" s="90" t="s">
        <v>372</v>
      </c>
      <c r="S663" s="36">
        <f t="shared" si="233"/>
        <v>6175</v>
      </c>
    </row>
    <row r="664" spans="1:20" x14ac:dyDescent="0.2">
      <c r="A664" s="8" t="str">
        <f t="shared" si="227"/>
        <v>40232</v>
      </c>
      <c r="B664" s="8">
        <v>4</v>
      </c>
      <c r="C664" s="8">
        <v>2</v>
      </c>
      <c r="D664" s="8" t="s">
        <v>64</v>
      </c>
      <c r="E664" s="8">
        <v>2</v>
      </c>
      <c r="F664" s="34">
        <f t="shared" si="253"/>
        <v>180850</v>
      </c>
      <c r="G664" s="34">
        <f t="shared" si="253"/>
        <v>180850</v>
      </c>
      <c r="H664" s="34">
        <f t="shared" si="250"/>
        <v>15437</v>
      </c>
      <c r="I664" s="34">
        <f t="shared" si="250"/>
        <v>15437</v>
      </c>
      <c r="J664" s="34">
        <f t="shared" si="254"/>
        <v>219287</v>
      </c>
      <c r="K664" s="133">
        <v>1000</v>
      </c>
      <c r="L664" s="34"/>
      <c r="M664" s="16">
        <f t="shared" si="231"/>
        <v>62594.638943661623</v>
      </c>
      <c r="N664" s="36">
        <v>860</v>
      </c>
      <c r="O664" s="36">
        <v>3</v>
      </c>
      <c r="P664" s="36">
        <v>12350</v>
      </c>
      <c r="Q664" s="90" t="s">
        <v>368</v>
      </c>
      <c r="S664" s="36">
        <f t="shared" si="233"/>
        <v>6175</v>
      </c>
    </row>
    <row r="665" spans="1:20" x14ac:dyDescent="0.2">
      <c r="A665" s="8" t="str">
        <f t="shared" si="227"/>
        <v>40233</v>
      </c>
      <c r="B665" s="8">
        <v>4</v>
      </c>
      <c r="C665" s="8">
        <v>2</v>
      </c>
      <c r="D665" s="8" t="s">
        <v>64</v>
      </c>
      <c r="E665" s="8">
        <v>3</v>
      </c>
      <c r="F665" s="34">
        <f t="shared" si="253"/>
        <v>205588</v>
      </c>
      <c r="G665" s="34">
        <f t="shared" si="253"/>
        <v>205588</v>
      </c>
      <c r="H665" s="34">
        <f t="shared" si="250"/>
        <v>15437</v>
      </c>
      <c r="I665" s="34">
        <f t="shared" si="250"/>
        <v>15437</v>
      </c>
      <c r="J665" s="34">
        <f t="shared" si="254"/>
        <v>250489</v>
      </c>
      <c r="K665" s="133">
        <v>1000</v>
      </c>
      <c r="L665" s="34"/>
      <c r="M665" s="16">
        <f t="shared" si="231"/>
        <v>71328.75592674737</v>
      </c>
      <c r="N665" s="36">
        <v>840</v>
      </c>
      <c r="O665" s="36">
        <v>3.5</v>
      </c>
      <c r="P665" s="36">
        <v>12350</v>
      </c>
      <c r="Q665" s="90" t="s">
        <v>369</v>
      </c>
      <c r="S665" s="36">
        <f t="shared" si="233"/>
        <v>6175</v>
      </c>
    </row>
    <row r="666" spans="1:20" x14ac:dyDescent="0.2">
      <c r="A666" s="8" t="str">
        <f t="shared" si="227"/>
        <v>40234</v>
      </c>
      <c r="B666" s="8">
        <v>4</v>
      </c>
      <c r="C666" s="8">
        <v>2</v>
      </c>
      <c r="D666" s="8" t="s">
        <v>64</v>
      </c>
      <c r="E666" s="8">
        <v>4</v>
      </c>
      <c r="F666" s="34">
        <f t="shared" si="253"/>
        <v>228783</v>
      </c>
      <c r="G666" s="34">
        <f t="shared" si="253"/>
        <v>228783</v>
      </c>
      <c r="H666" s="34">
        <f t="shared" si="250"/>
        <v>15437</v>
      </c>
      <c r="I666" s="34">
        <f t="shared" si="250"/>
        <v>15437</v>
      </c>
      <c r="J666" s="34">
        <f t="shared" si="254"/>
        <v>280166</v>
      </c>
      <c r="K666" s="133">
        <v>1000</v>
      </c>
      <c r="L666" s="34"/>
      <c r="M666" s="16">
        <f t="shared" si="231"/>
        <v>79577.635206940351</v>
      </c>
      <c r="N666" s="36">
        <v>820</v>
      </c>
      <c r="O666" s="36">
        <v>4</v>
      </c>
      <c r="P666" s="36">
        <v>12350</v>
      </c>
      <c r="Q666" s="90" t="s">
        <v>370</v>
      </c>
      <c r="S666" s="36">
        <f t="shared" si="233"/>
        <v>6175</v>
      </c>
    </row>
    <row r="667" spans="1:20" x14ac:dyDescent="0.2">
      <c r="A667" s="8" t="str">
        <f t="shared" si="227"/>
        <v>40330</v>
      </c>
      <c r="B667" s="8">
        <v>4</v>
      </c>
      <c r="C667" s="8">
        <v>3</v>
      </c>
      <c r="D667" s="8" t="s">
        <v>64</v>
      </c>
      <c r="E667" s="8">
        <v>0</v>
      </c>
      <c r="F667" s="34">
        <f>ROUNDDOWN($P667/4*$O667*10*$N667/$N667*$Q667/400,0)</f>
        <v>33145</v>
      </c>
      <c r="G667" s="34">
        <f>ROUNDDOWN($P667/4*$O667*10*$N667/$N667*$Q667/400,0)</f>
        <v>33145</v>
      </c>
      <c r="H667" s="34">
        <f t="shared" si="250"/>
        <v>16147</v>
      </c>
      <c r="I667" s="34">
        <f t="shared" si="250"/>
        <v>16147</v>
      </c>
      <c r="J667" s="34">
        <f>ROUNDDOWN($P667/4*$O667*10*$N667/$Q667*$N667/400,0)</f>
        <v>39830</v>
      </c>
      <c r="K667" s="133">
        <v>1000</v>
      </c>
      <c r="L667" s="34"/>
      <c r="M667" s="16">
        <f t="shared" si="231"/>
        <v>11680.194493298475</v>
      </c>
      <c r="N667" s="36">
        <v>900</v>
      </c>
      <c r="O667" s="36">
        <v>0.5</v>
      </c>
      <c r="P667" s="90" t="s">
        <v>924</v>
      </c>
      <c r="Q667" s="90" t="s">
        <v>374</v>
      </c>
      <c r="S667" s="36">
        <f t="shared" si="233"/>
        <v>6459</v>
      </c>
    </row>
    <row r="668" spans="1:20" x14ac:dyDescent="0.2">
      <c r="A668" s="8" t="str">
        <f t="shared" si="227"/>
        <v>40331</v>
      </c>
      <c r="B668" s="8">
        <v>4</v>
      </c>
      <c r="C668" s="8">
        <v>3</v>
      </c>
      <c r="D668" s="8" t="s">
        <v>64</v>
      </c>
      <c r="E668" s="8">
        <v>1</v>
      </c>
      <c r="F668" s="34">
        <f t="shared" ref="F668:G671" si="255">ROUNDDOWN($P668/4*$O668*10*$N668/$N668*$Q668/400,0)</f>
        <v>64675</v>
      </c>
      <c r="G668" s="34">
        <f t="shared" si="255"/>
        <v>64675</v>
      </c>
      <c r="H668" s="34">
        <f t="shared" si="250"/>
        <v>16147</v>
      </c>
      <c r="I668" s="34">
        <f t="shared" si="250"/>
        <v>16147</v>
      </c>
      <c r="J668" s="34">
        <f t="shared" ref="J668:J671" si="256">ROUNDDOWN($P668/4*$O668*10*$N668/$Q668*$N668/400,0)</f>
        <v>78062</v>
      </c>
      <c r="K668" s="133">
        <v>1000</v>
      </c>
      <c r="L668" s="34"/>
      <c r="M668" s="16">
        <f t="shared" si="231"/>
        <v>22841.465535881889</v>
      </c>
      <c r="N668" s="36">
        <v>880</v>
      </c>
      <c r="O668" s="36">
        <v>1</v>
      </c>
      <c r="P668" s="90" t="s">
        <v>924</v>
      </c>
      <c r="Q668" s="90" t="s">
        <v>372</v>
      </c>
      <c r="S668" s="36">
        <f t="shared" si="233"/>
        <v>6459</v>
      </c>
    </row>
    <row r="669" spans="1:20" x14ac:dyDescent="0.2">
      <c r="A669" s="8" t="str">
        <f t="shared" si="227"/>
        <v>40332</v>
      </c>
      <c r="B669" s="8">
        <v>4</v>
      </c>
      <c r="C669" s="8">
        <v>3</v>
      </c>
      <c r="D669" s="8" t="s">
        <v>64</v>
      </c>
      <c r="E669" s="8">
        <v>2</v>
      </c>
      <c r="F669" s="34">
        <f t="shared" si="255"/>
        <v>189182</v>
      </c>
      <c r="G669" s="34">
        <f t="shared" si="255"/>
        <v>189182</v>
      </c>
      <c r="H669" s="34">
        <f t="shared" si="250"/>
        <v>16147</v>
      </c>
      <c r="I669" s="34">
        <f t="shared" si="250"/>
        <v>16147</v>
      </c>
      <c r="J669" s="34">
        <f t="shared" si="256"/>
        <v>229390</v>
      </c>
      <c r="K669" s="133">
        <v>1000</v>
      </c>
      <c r="L669" s="34"/>
      <c r="M669" s="16">
        <f t="shared" si="231"/>
        <v>66967.34120569806</v>
      </c>
      <c r="N669" s="36">
        <v>860</v>
      </c>
      <c r="O669" s="36">
        <v>3</v>
      </c>
      <c r="P669" s="90" t="s">
        <v>924</v>
      </c>
      <c r="Q669" s="90" t="s">
        <v>368</v>
      </c>
      <c r="S669" s="36">
        <f t="shared" si="233"/>
        <v>6459</v>
      </c>
    </row>
    <row r="670" spans="1:20" x14ac:dyDescent="0.2">
      <c r="A670" s="8" t="str">
        <f t="shared" si="227"/>
        <v>40333</v>
      </c>
      <c r="B670" s="8">
        <v>4</v>
      </c>
      <c r="C670" s="8">
        <v>3</v>
      </c>
      <c r="D670" s="8" t="s">
        <v>64</v>
      </c>
      <c r="E670" s="8">
        <v>3</v>
      </c>
      <c r="F670" s="34">
        <f t="shared" si="255"/>
        <v>215060</v>
      </c>
      <c r="G670" s="34">
        <f t="shared" si="255"/>
        <v>215060</v>
      </c>
      <c r="H670" s="34">
        <f t="shared" si="250"/>
        <v>16147</v>
      </c>
      <c r="I670" s="34">
        <f t="shared" si="250"/>
        <v>16147</v>
      </c>
      <c r="J670" s="34">
        <f t="shared" si="256"/>
        <v>262029</v>
      </c>
      <c r="K670" s="133">
        <v>1000</v>
      </c>
      <c r="L670" s="34"/>
      <c r="M670" s="16">
        <f t="shared" si="231"/>
        <v>76311.573768839226</v>
      </c>
      <c r="N670" s="36">
        <v>840</v>
      </c>
      <c r="O670" s="36">
        <v>3.5</v>
      </c>
      <c r="P670" s="90" t="s">
        <v>924</v>
      </c>
      <c r="Q670" s="90" t="s">
        <v>369</v>
      </c>
      <c r="S670" s="36">
        <f t="shared" si="233"/>
        <v>6459</v>
      </c>
    </row>
    <row r="671" spans="1:20" x14ac:dyDescent="0.2">
      <c r="A671" s="8" t="str">
        <f t="shared" ref="A671:A766" si="257">IF(B671="","",CONCATENATE(B671,CONCATENATE(REPT(0,2-LEN(C671)),C671),IF(OR(D671="Easy",D671=""),1,IF(D671="Normal",2,IF(D671="Hard",3,IF(D671="Hell",4,"error")))),E671))</f>
        <v>40334</v>
      </c>
      <c r="B671" s="8">
        <v>4</v>
      </c>
      <c r="C671" s="8">
        <v>3</v>
      </c>
      <c r="D671" s="8" t="s">
        <v>64</v>
      </c>
      <c r="E671" s="8">
        <v>4</v>
      </c>
      <c r="F671" s="34">
        <f t="shared" si="255"/>
        <v>239324</v>
      </c>
      <c r="G671" s="34">
        <f t="shared" si="255"/>
        <v>239324</v>
      </c>
      <c r="H671" s="34">
        <f t="shared" si="250"/>
        <v>16147</v>
      </c>
      <c r="I671" s="34">
        <f t="shared" si="250"/>
        <v>16147</v>
      </c>
      <c r="J671" s="34">
        <f t="shared" si="256"/>
        <v>293074</v>
      </c>
      <c r="K671" s="133">
        <v>1000</v>
      </c>
      <c r="L671" s="34"/>
      <c r="M671" s="16">
        <f t="shared" si="231"/>
        <v>85136.87047051602</v>
      </c>
      <c r="N671" s="36">
        <v>820</v>
      </c>
      <c r="O671" s="36">
        <v>4</v>
      </c>
      <c r="P671" s="90" t="s">
        <v>924</v>
      </c>
      <c r="Q671" s="90" t="s">
        <v>370</v>
      </c>
      <c r="S671" s="36">
        <f t="shared" si="233"/>
        <v>6459</v>
      </c>
    </row>
    <row r="672" spans="1:20" ht="38.25" x14ac:dyDescent="0.2">
      <c r="A672" s="8" t="str">
        <f t="shared" si="257"/>
        <v/>
      </c>
      <c r="B672" s="5"/>
      <c r="C672" s="6" t="s">
        <v>239</v>
      </c>
      <c r="D672" s="5"/>
      <c r="E672" s="5"/>
      <c r="F672" s="5"/>
      <c r="G672" s="5"/>
      <c r="H672" s="5"/>
      <c r="I672" s="5"/>
      <c r="J672" s="5"/>
      <c r="K672" s="133">
        <v>1000</v>
      </c>
      <c r="L672" s="5"/>
      <c r="M672" s="16">
        <f t="shared" si="231"/>
        <v>0</v>
      </c>
      <c r="N672" s="5"/>
      <c r="O672" s="5"/>
      <c r="P672" s="5"/>
      <c r="Q672" s="5"/>
      <c r="R672" s="5"/>
      <c r="S672" s="30"/>
      <c r="T672" s="266"/>
    </row>
    <row r="673" spans="1:20" x14ac:dyDescent="0.2">
      <c r="A673" s="18" t="str">
        <f t="shared" si="257"/>
        <v>40140</v>
      </c>
      <c r="B673" s="18">
        <v>4</v>
      </c>
      <c r="C673" s="18">
        <v>1</v>
      </c>
      <c r="D673" s="18" t="s">
        <v>237</v>
      </c>
      <c r="E673" s="18">
        <v>0</v>
      </c>
      <c r="F673" s="34">
        <f t="shared" ref="F673:G677" si="258">ROUNDDOWN($P673/4*$O673*10*$N673/$N673*$Q673/400,0)</f>
        <v>14367</v>
      </c>
      <c r="G673" s="34">
        <f t="shared" si="258"/>
        <v>14367</v>
      </c>
      <c r="H673" s="34">
        <f t="shared" si="250"/>
        <v>7000</v>
      </c>
      <c r="I673" s="34">
        <f t="shared" si="250"/>
        <v>7000</v>
      </c>
      <c r="J673" s="34">
        <f t="shared" ref="J673:J677" si="259">ROUNDDOWN($P673/4*$O673*10*$N673/$Q673*$N673/400,0)</f>
        <v>17265</v>
      </c>
      <c r="K673" s="133">
        <v>1000</v>
      </c>
      <c r="L673" s="19"/>
      <c r="M673" s="16">
        <f t="shared" si="231"/>
        <v>3333.5374940144293</v>
      </c>
      <c r="N673" s="36">
        <v>900</v>
      </c>
      <c r="O673" s="36">
        <v>0.5</v>
      </c>
      <c r="P673" s="90" t="s">
        <v>604</v>
      </c>
      <c r="Q673" s="90" t="s">
        <v>374</v>
      </c>
      <c r="R673" s="41"/>
      <c r="S673" s="36">
        <f t="shared" si="233"/>
        <v>2800</v>
      </c>
    </row>
    <row r="674" spans="1:20" x14ac:dyDescent="0.2">
      <c r="A674" s="18" t="str">
        <f t="shared" si="257"/>
        <v>40141</v>
      </c>
      <c r="B674" s="18">
        <v>4</v>
      </c>
      <c r="C674" s="18">
        <v>1</v>
      </c>
      <c r="D674" s="18" t="s">
        <v>237</v>
      </c>
      <c r="E674" s="18">
        <v>1</v>
      </c>
      <c r="F674" s="34">
        <f t="shared" si="258"/>
        <v>28035</v>
      </c>
      <c r="G674" s="34">
        <f t="shared" si="258"/>
        <v>28035</v>
      </c>
      <c r="H674" s="34">
        <f t="shared" ref="H674:I677" si="260">ROUNDDOWN($S674/4*10,0)</f>
        <v>7000</v>
      </c>
      <c r="I674" s="34">
        <f t="shared" si="260"/>
        <v>7000</v>
      </c>
      <c r="J674" s="34">
        <f t="shared" si="259"/>
        <v>33837</v>
      </c>
      <c r="K674" s="133">
        <v>1000</v>
      </c>
      <c r="L674" s="19"/>
      <c r="M674" s="16">
        <f t="shared" si="231"/>
        <v>6519.0635229302688</v>
      </c>
      <c r="N674" s="36">
        <v>880</v>
      </c>
      <c r="O674" s="36">
        <v>1</v>
      </c>
      <c r="P674" s="90" t="s">
        <v>604</v>
      </c>
      <c r="Q674" s="90" t="s">
        <v>372</v>
      </c>
      <c r="R674" s="41"/>
      <c r="S674" s="36">
        <f t="shared" si="233"/>
        <v>2800</v>
      </c>
    </row>
    <row r="675" spans="1:20" x14ac:dyDescent="0.2">
      <c r="A675" s="18" t="str">
        <f t="shared" si="257"/>
        <v>40142</v>
      </c>
      <c r="B675" s="18">
        <v>4</v>
      </c>
      <c r="C675" s="18">
        <v>1</v>
      </c>
      <c r="D675" s="18" t="s">
        <v>237</v>
      </c>
      <c r="E675" s="18">
        <v>2</v>
      </c>
      <c r="F675" s="34">
        <f t="shared" si="258"/>
        <v>54670</v>
      </c>
      <c r="G675" s="34">
        <f t="shared" si="258"/>
        <v>54670</v>
      </c>
      <c r="H675" s="34">
        <f t="shared" si="260"/>
        <v>7000</v>
      </c>
      <c r="I675" s="34">
        <f t="shared" si="260"/>
        <v>7000</v>
      </c>
      <c r="J675" s="34">
        <f t="shared" si="259"/>
        <v>66289</v>
      </c>
      <c r="K675" s="133">
        <v>1000</v>
      </c>
      <c r="L675" s="19"/>
      <c r="M675" s="16">
        <f t="shared" si="231"/>
        <v>12741.902504100399</v>
      </c>
      <c r="N675" s="36">
        <v>860</v>
      </c>
      <c r="O675" s="36">
        <v>2</v>
      </c>
      <c r="P675" s="90" t="s">
        <v>604</v>
      </c>
      <c r="Q675" s="90" t="s">
        <v>368</v>
      </c>
      <c r="R675" s="41"/>
      <c r="S675" s="36">
        <f t="shared" si="233"/>
        <v>2800</v>
      </c>
    </row>
    <row r="676" spans="1:20" x14ac:dyDescent="0.2">
      <c r="A676" s="18" t="str">
        <f t="shared" si="257"/>
        <v>40143</v>
      </c>
      <c r="B676" s="18">
        <v>4</v>
      </c>
      <c r="C676" s="18">
        <v>1</v>
      </c>
      <c r="D676" s="18" t="s">
        <v>237</v>
      </c>
      <c r="E676" s="18">
        <v>3</v>
      </c>
      <c r="F676" s="34">
        <f t="shared" si="258"/>
        <v>79905</v>
      </c>
      <c r="G676" s="34">
        <f t="shared" si="258"/>
        <v>79905</v>
      </c>
      <c r="H676" s="34">
        <f t="shared" si="260"/>
        <v>7000</v>
      </c>
      <c r="I676" s="34">
        <f t="shared" si="260"/>
        <v>7000</v>
      </c>
      <c r="J676" s="34">
        <f t="shared" si="259"/>
        <v>97356</v>
      </c>
      <c r="K676" s="133">
        <v>1000</v>
      </c>
      <c r="L676" s="19"/>
      <c r="M676" s="16">
        <f t="shared" si="231"/>
        <v>18668.410667863507</v>
      </c>
      <c r="N676" s="36">
        <v>840</v>
      </c>
      <c r="O676" s="36">
        <v>3</v>
      </c>
      <c r="P676" s="90" t="s">
        <v>604</v>
      </c>
      <c r="Q676" s="90" t="s">
        <v>369</v>
      </c>
      <c r="R676" s="41"/>
      <c r="S676" s="36">
        <f t="shared" si="233"/>
        <v>2800</v>
      </c>
    </row>
    <row r="677" spans="1:20" x14ac:dyDescent="0.2">
      <c r="A677" s="18" t="str">
        <f t="shared" si="257"/>
        <v>40144</v>
      </c>
      <c r="B677" s="18">
        <v>4</v>
      </c>
      <c r="C677" s="18">
        <v>1</v>
      </c>
      <c r="D677" s="18" t="s">
        <v>237</v>
      </c>
      <c r="E677" s="18">
        <v>4</v>
      </c>
      <c r="F677" s="34">
        <f t="shared" si="258"/>
        <v>103740</v>
      </c>
      <c r="G677" s="34">
        <f t="shared" si="258"/>
        <v>103740</v>
      </c>
      <c r="H677" s="34">
        <f t="shared" si="260"/>
        <v>7000</v>
      </c>
      <c r="I677" s="34">
        <f t="shared" si="260"/>
        <v>7000</v>
      </c>
      <c r="J677" s="34">
        <f t="shared" si="259"/>
        <v>127039</v>
      </c>
      <c r="K677" s="133">
        <v>1000</v>
      </c>
      <c r="L677" s="19"/>
      <c r="M677" s="16">
        <f t="shared" si="231"/>
        <v>24298.567005648707</v>
      </c>
      <c r="N677" s="36">
        <v>820</v>
      </c>
      <c r="O677" s="36">
        <v>4</v>
      </c>
      <c r="P677" s="90" t="s">
        <v>604</v>
      </c>
      <c r="Q677" s="90" t="s">
        <v>370</v>
      </c>
      <c r="R677" s="41"/>
      <c r="S677" s="36">
        <f t="shared" si="233"/>
        <v>2800</v>
      </c>
    </row>
    <row r="678" spans="1:20" x14ac:dyDescent="0.2">
      <c r="A678" s="18" t="str">
        <f t="shared" si="257"/>
        <v>40240</v>
      </c>
      <c r="B678" s="18">
        <v>4</v>
      </c>
      <c r="C678" s="18">
        <v>2</v>
      </c>
      <c r="D678" s="18" t="s">
        <v>237</v>
      </c>
      <c r="E678" s="18">
        <v>0</v>
      </c>
      <c r="F678" s="19">
        <f t="shared" ref="F678:G687" si="261">ROUNDDOWN($P678/4*$O678*10*$N678/$N678*$Q678/400,0)</f>
        <v>58311</v>
      </c>
      <c r="G678" s="19">
        <f t="shared" si="261"/>
        <v>58311</v>
      </c>
      <c r="H678" s="19">
        <f t="shared" ref="H678:I687" si="262">ROUNDDOWN($S678/4*10,0)</f>
        <v>70255</v>
      </c>
      <c r="I678" s="19">
        <f t="shared" si="262"/>
        <v>70255</v>
      </c>
      <c r="J678" s="19">
        <f t="shared" ref="J678:J687" si="263">ROUNDDOWN($P678/4*$O678*10*$N678/$Q678*$N678/400,0)</f>
        <v>76391</v>
      </c>
      <c r="K678" s="133">
        <v>1000</v>
      </c>
      <c r="L678" s="19"/>
      <c r="M678" s="16">
        <f t="shared" ref="M678:M741" si="264">(F678*J678*((H678+I678)/2)/1000)^(1/2)/10*0.8</f>
        <v>44753.288014947379</v>
      </c>
      <c r="N678" s="58">
        <v>950</v>
      </c>
      <c r="O678" s="58">
        <v>0.5</v>
      </c>
      <c r="P678" s="94">
        <v>22481.600000000002</v>
      </c>
      <c r="Q678" s="41" t="s">
        <v>256</v>
      </c>
      <c r="R678" s="41"/>
      <c r="S678" s="58">
        <v>28102</v>
      </c>
    </row>
    <row r="679" spans="1:20" x14ac:dyDescent="0.2">
      <c r="A679" s="18" t="str">
        <f t="shared" si="257"/>
        <v>40241</v>
      </c>
      <c r="B679" s="18">
        <v>4</v>
      </c>
      <c r="C679" s="18">
        <v>2</v>
      </c>
      <c r="D679" s="18" t="s">
        <v>237</v>
      </c>
      <c r="E679" s="18">
        <v>1</v>
      </c>
      <c r="F679" s="19">
        <f t="shared" si="261"/>
        <v>116623</v>
      </c>
      <c r="G679" s="19">
        <f t="shared" si="261"/>
        <v>116623</v>
      </c>
      <c r="H679" s="19">
        <f t="shared" si="262"/>
        <v>70255</v>
      </c>
      <c r="I679" s="19">
        <f t="shared" si="262"/>
        <v>70255</v>
      </c>
      <c r="J679" s="19">
        <f t="shared" si="263"/>
        <v>146418</v>
      </c>
      <c r="K679" s="133">
        <v>1000</v>
      </c>
      <c r="L679" s="19"/>
      <c r="M679" s="16">
        <f t="shared" si="264"/>
        <v>87622.965176599973</v>
      </c>
      <c r="N679" s="58">
        <v>930</v>
      </c>
      <c r="O679" s="58">
        <v>1</v>
      </c>
      <c r="P679" s="94">
        <v>22481.600000000002</v>
      </c>
      <c r="Q679" s="41" t="s">
        <v>232</v>
      </c>
      <c r="R679" s="41"/>
      <c r="S679" s="58">
        <v>28102</v>
      </c>
    </row>
    <row r="680" spans="1:20" x14ac:dyDescent="0.2">
      <c r="A680" s="18" t="str">
        <f t="shared" si="257"/>
        <v>40242</v>
      </c>
      <c r="B680" s="18">
        <v>4</v>
      </c>
      <c r="C680" s="18">
        <v>2</v>
      </c>
      <c r="D680" s="18" t="s">
        <v>237</v>
      </c>
      <c r="E680" s="18">
        <v>2</v>
      </c>
      <c r="F680" s="19">
        <f t="shared" si="261"/>
        <v>219195</v>
      </c>
      <c r="G680" s="19">
        <f t="shared" si="261"/>
        <v>219195</v>
      </c>
      <c r="H680" s="19">
        <f t="shared" si="262"/>
        <v>70255</v>
      </c>
      <c r="I680" s="19">
        <f t="shared" si="262"/>
        <v>70255</v>
      </c>
      <c r="J680" s="19">
        <f t="shared" si="263"/>
        <v>298349</v>
      </c>
      <c r="K680" s="133">
        <v>1000</v>
      </c>
      <c r="L680" s="19"/>
      <c r="M680" s="16">
        <f t="shared" si="264"/>
        <v>171477.13585961764</v>
      </c>
      <c r="N680" s="58">
        <v>910</v>
      </c>
      <c r="O680" s="58">
        <v>2</v>
      </c>
      <c r="P680" s="94">
        <v>22481.600000000002</v>
      </c>
      <c r="Q680" s="41" t="s">
        <v>233</v>
      </c>
      <c r="R680" s="41"/>
      <c r="S680" s="58">
        <v>28102</v>
      </c>
    </row>
    <row r="681" spans="1:20" x14ac:dyDescent="0.2">
      <c r="A681" s="18" t="str">
        <f t="shared" si="257"/>
        <v>40243</v>
      </c>
      <c r="B681" s="18">
        <v>4</v>
      </c>
      <c r="C681" s="18">
        <v>2</v>
      </c>
      <c r="D681" s="18" t="s">
        <v>237</v>
      </c>
      <c r="E681" s="18">
        <v>3</v>
      </c>
      <c r="F681" s="19">
        <f t="shared" si="261"/>
        <v>273994</v>
      </c>
      <c r="G681" s="19">
        <f t="shared" si="261"/>
        <v>273994</v>
      </c>
      <c r="H681" s="19">
        <f t="shared" si="262"/>
        <v>70255</v>
      </c>
      <c r="I681" s="19">
        <f t="shared" si="262"/>
        <v>70255</v>
      </c>
      <c r="J681" s="19">
        <f t="shared" si="263"/>
        <v>513682</v>
      </c>
      <c r="K681" s="133">
        <v>1000</v>
      </c>
      <c r="L681" s="19"/>
      <c r="M681" s="16">
        <f t="shared" si="264"/>
        <v>251562.7341427698</v>
      </c>
      <c r="N681" s="58">
        <v>890</v>
      </c>
      <c r="O681" s="58">
        <v>3</v>
      </c>
      <c r="P681" s="94">
        <v>22481.600000000002</v>
      </c>
      <c r="Q681" s="41" t="s">
        <v>234</v>
      </c>
      <c r="R681" s="41"/>
      <c r="S681" s="58">
        <v>28102</v>
      </c>
    </row>
    <row r="682" spans="1:20" x14ac:dyDescent="0.2">
      <c r="A682" s="18" t="str">
        <f t="shared" si="257"/>
        <v>40244</v>
      </c>
      <c r="B682" s="18">
        <v>4</v>
      </c>
      <c r="C682" s="18">
        <v>2</v>
      </c>
      <c r="D682" s="18" t="s">
        <v>237</v>
      </c>
      <c r="E682" s="18">
        <v>4</v>
      </c>
      <c r="F682" s="19">
        <f t="shared" si="261"/>
        <v>337224</v>
      </c>
      <c r="G682" s="19">
        <f t="shared" si="261"/>
        <v>337224</v>
      </c>
      <c r="H682" s="19">
        <f t="shared" si="262"/>
        <v>70255</v>
      </c>
      <c r="I682" s="19">
        <f t="shared" si="262"/>
        <v>70255</v>
      </c>
      <c r="J682" s="19">
        <f t="shared" si="263"/>
        <v>709013</v>
      </c>
      <c r="K682" s="133">
        <v>1000</v>
      </c>
      <c r="L682" s="19"/>
      <c r="M682" s="16">
        <f t="shared" si="264"/>
        <v>327880.01244179619</v>
      </c>
      <c r="N682" s="58">
        <v>870</v>
      </c>
      <c r="O682" s="58">
        <v>4</v>
      </c>
      <c r="P682" s="94">
        <v>22481.600000000002</v>
      </c>
      <c r="Q682" s="41" t="s">
        <v>235</v>
      </c>
      <c r="R682" s="41"/>
      <c r="S682" s="58">
        <v>28102</v>
      </c>
    </row>
    <row r="683" spans="1:20" x14ac:dyDescent="0.2">
      <c r="A683" s="18" t="str">
        <f t="shared" si="257"/>
        <v>40340</v>
      </c>
      <c r="B683" s="18">
        <v>4</v>
      </c>
      <c r="C683" s="18">
        <v>3</v>
      </c>
      <c r="D683" s="18" t="s">
        <v>237</v>
      </c>
      <c r="E683" s="18">
        <v>0</v>
      </c>
      <c r="F683" s="19">
        <f t="shared" si="261"/>
        <v>61523</v>
      </c>
      <c r="G683" s="19">
        <f t="shared" si="261"/>
        <v>61523</v>
      </c>
      <c r="H683" s="19">
        <f t="shared" si="262"/>
        <v>74125</v>
      </c>
      <c r="I683" s="19">
        <f t="shared" si="262"/>
        <v>74125</v>
      </c>
      <c r="J683" s="19">
        <f t="shared" si="263"/>
        <v>80599</v>
      </c>
      <c r="K683" s="133">
        <v>1000</v>
      </c>
      <c r="L683" s="19"/>
      <c r="M683" s="16">
        <f t="shared" si="264"/>
        <v>48501.583646400664</v>
      </c>
      <c r="N683" s="58">
        <v>950</v>
      </c>
      <c r="O683" s="58">
        <v>0.5</v>
      </c>
      <c r="P683" s="94">
        <v>23720</v>
      </c>
      <c r="Q683" s="41" t="s">
        <v>256</v>
      </c>
      <c r="R683" s="41"/>
      <c r="S683" s="41" t="s">
        <v>255</v>
      </c>
    </row>
    <row r="684" spans="1:20" x14ac:dyDescent="0.2">
      <c r="A684" s="18" t="str">
        <f t="shared" si="257"/>
        <v>40341</v>
      </c>
      <c r="B684" s="18">
        <v>4</v>
      </c>
      <c r="C684" s="18">
        <v>3</v>
      </c>
      <c r="D684" s="18" t="s">
        <v>237</v>
      </c>
      <c r="E684" s="18">
        <v>1</v>
      </c>
      <c r="F684" s="19">
        <f t="shared" si="261"/>
        <v>123047</v>
      </c>
      <c r="G684" s="19">
        <f t="shared" si="261"/>
        <v>123047</v>
      </c>
      <c r="H684" s="19">
        <f t="shared" si="262"/>
        <v>74125</v>
      </c>
      <c r="I684" s="19">
        <f t="shared" si="262"/>
        <v>74125</v>
      </c>
      <c r="J684" s="19">
        <f t="shared" si="263"/>
        <v>154483</v>
      </c>
      <c r="K684" s="133">
        <v>1000</v>
      </c>
      <c r="L684" s="19"/>
      <c r="M684" s="16">
        <f t="shared" si="264"/>
        <v>94961.639129463219</v>
      </c>
      <c r="N684" s="58">
        <v>930</v>
      </c>
      <c r="O684" s="58">
        <v>1</v>
      </c>
      <c r="P684" s="94">
        <v>23720</v>
      </c>
      <c r="Q684" s="41" t="s">
        <v>232</v>
      </c>
      <c r="R684" s="41"/>
      <c r="S684" s="41" t="s">
        <v>255</v>
      </c>
    </row>
    <row r="685" spans="1:20" x14ac:dyDescent="0.2">
      <c r="A685" s="18" t="str">
        <f t="shared" si="257"/>
        <v>40342</v>
      </c>
      <c r="B685" s="18">
        <v>4</v>
      </c>
      <c r="C685" s="18">
        <v>3</v>
      </c>
      <c r="D685" s="18" t="s">
        <v>237</v>
      </c>
      <c r="E685" s="18">
        <v>2</v>
      </c>
      <c r="F685" s="19">
        <f t="shared" si="261"/>
        <v>231270</v>
      </c>
      <c r="G685" s="19">
        <f t="shared" si="261"/>
        <v>231270</v>
      </c>
      <c r="H685" s="19">
        <f t="shared" si="262"/>
        <v>74125</v>
      </c>
      <c r="I685" s="19">
        <f t="shared" si="262"/>
        <v>74125</v>
      </c>
      <c r="J685" s="19">
        <f t="shared" si="263"/>
        <v>314784</v>
      </c>
      <c r="K685" s="133">
        <v>1000</v>
      </c>
      <c r="L685" s="19"/>
      <c r="M685" s="16">
        <f t="shared" si="264"/>
        <v>185839.62276810617</v>
      </c>
      <c r="N685" s="58">
        <v>910</v>
      </c>
      <c r="O685" s="58">
        <v>2</v>
      </c>
      <c r="P685" s="94">
        <v>23720</v>
      </c>
      <c r="Q685" s="41" t="s">
        <v>233</v>
      </c>
      <c r="R685" s="41"/>
      <c r="S685" s="41" t="s">
        <v>255</v>
      </c>
    </row>
    <row r="686" spans="1:20" x14ac:dyDescent="0.2">
      <c r="A686" s="18" t="str">
        <f t="shared" si="257"/>
        <v>40343</v>
      </c>
      <c r="B686" s="18">
        <v>4</v>
      </c>
      <c r="C686" s="18">
        <v>3</v>
      </c>
      <c r="D686" s="18" t="s">
        <v>237</v>
      </c>
      <c r="E686" s="18">
        <v>3</v>
      </c>
      <c r="F686" s="19">
        <f t="shared" si="261"/>
        <v>289087</v>
      </c>
      <c r="G686" s="19">
        <f t="shared" si="261"/>
        <v>289087</v>
      </c>
      <c r="H686" s="19">
        <f t="shared" si="262"/>
        <v>74125</v>
      </c>
      <c r="I686" s="19">
        <f t="shared" si="262"/>
        <v>74125</v>
      </c>
      <c r="J686" s="19">
        <f t="shared" si="263"/>
        <v>541979</v>
      </c>
      <c r="K686" s="133">
        <v>1000</v>
      </c>
      <c r="L686" s="19"/>
      <c r="M686" s="16">
        <f t="shared" si="264"/>
        <v>272632.64121757541</v>
      </c>
      <c r="N686" s="58">
        <v>890</v>
      </c>
      <c r="O686" s="58">
        <v>3</v>
      </c>
      <c r="P686" s="94">
        <v>23720</v>
      </c>
      <c r="Q686" s="41" t="s">
        <v>234</v>
      </c>
      <c r="R686" s="41"/>
      <c r="S686" s="41" t="s">
        <v>255</v>
      </c>
    </row>
    <row r="687" spans="1:20" x14ac:dyDescent="0.2">
      <c r="A687" s="18" t="str">
        <f t="shared" ref="A687" si="265">IF(B687="","",CONCATENATE(B687,CONCATENATE(REPT(0,2-LEN(C687)),C687),IF(OR(D687="Easy",D687=""),1,IF(D687="Normal",2,IF(D687="Hard",3,IF(D687="Hell",4,"error")))),E687))</f>
        <v>40344</v>
      </c>
      <c r="B687" s="18">
        <v>4</v>
      </c>
      <c r="C687" s="18">
        <v>3</v>
      </c>
      <c r="D687" s="18" t="s">
        <v>237</v>
      </c>
      <c r="E687" s="18">
        <v>4</v>
      </c>
      <c r="F687" s="19">
        <f t="shared" si="261"/>
        <v>355800</v>
      </c>
      <c r="G687" s="19">
        <f t="shared" si="261"/>
        <v>355800</v>
      </c>
      <c r="H687" s="19">
        <f t="shared" si="262"/>
        <v>74125</v>
      </c>
      <c r="I687" s="19">
        <f t="shared" si="262"/>
        <v>74125</v>
      </c>
      <c r="J687" s="19">
        <f t="shared" si="263"/>
        <v>748069</v>
      </c>
      <c r="K687" s="133">
        <v>1000</v>
      </c>
      <c r="L687" s="19"/>
      <c r="M687" s="16">
        <f t="shared" si="264"/>
        <v>355341.67159915261</v>
      </c>
      <c r="N687" s="58">
        <v>870</v>
      </c>
      <c r="O687" s="58">
        <v>4</v>
      </c>
      <c r="P687" s="94">
        <v>23720</v>
      </c>
      <c r="Q687" s="41" t="s">
        <v>235</v>
      </c>
      <c r="R687" s="41"/>
      <c r="S687" s="41" t="s">
        <v>255</v>
      </c>
    </row>
    <row r="688" spans="1:20" ht="38.25" x14ac:dyDescent="0.2">
      <c r="A688" s="8" t="str">
        <f t="shared" si="257"/>
        <v/>
      </c>
      <c r="B688" s="5"/>
      <c r="C688" s="6" t="s">
        <v>78</v>
      </c>
      <c r="D688" s="5"/>
      <c r="E688" s="5"/>
      <c r="F688" s="5"/>
      <c r="G688" s="5"/>
      <c r="H688" s="5"/>
      <c r="I688" s="5"/>
      <c r="J688" s="5"/>
      <c r="K688" s="133">
        <v>1000</v>
      </c>
      <c r="L688" s="5"/>
      <c r="M688" s="16">
        <f t="shared" si="264"/>
        <v>0</v>
      </c>
      <c r="N688" s="5"/>
      <c r="O688" s="5"/>
      <c r="P688" s="5"/>
      <c r="Q688" s="5"/>
      <c r="R688" s="5"/>
      <c r="S688" s="30"/>
      <c r="T688" s="266"/>
    </row>
    <row r="689" spans="1:20" x14ac:dyDescent="0.2">
      <c r="A689" s="8" t="str">
        <f t="shared" si="257"/>
        <v>1040130</v>
      </c>
      <c r="B689" s="8">
        <v>104</v>
      </c>
      <c r="C689" s="8">
        <v>1</v>
      </c>
      <c r="D689" s="8" t="s">
        <v>64</v>
      </c>
      <c r="E689" s="8">
        <v>0</v>
      </c>
      <c r="F689" s="34">
        <f>ROUNDDOWN($P689/4*$O689*10*$N689/$N689*$Q689/400,0)</f>
        <v>30258</v>
      </c>
      <c r="G689" s="34">
        <f>ROUNDDOWN($P689/4*$O689*10*$N689/$N689*$Q689/400,0)</f>
        <v>30258</v>
      </c>
      <c r="H689" s="34">
        <f t="shared" ref="H689:I693" si="266">ROUNDDOWN($S689/4*10,0)</f>
        <v>14742</v>
      </c>
      <c r="I689" s="34">
        <f t="shared" si="266"/>
        <v>14742</v>
      </c>
      <c r="J689" s="34">
        <f>ROUNDDOWN($P689/4*$O689*10*$N689/$Q689*$N689/400,0)</f>
        <v>36362</v>
      </c>
      <c r="K689" s="133">
        <v>1000</v>
      </c>
      <c r="L689" s="34"/>
      <c r="M689" s="16">
        <f t="shared" si="264"/>
        <v>10188.545304552796</v>
      </c>
      <c r="N689" s="36">
        <v>900</v>
      </c>
      <c r="O689" s="36">
        <v>0.5</v>
      </c>
      <c r="P689" s="90" t="s">
        <v>768</v>
      </c>
      <c r="Q689" s="90" t="s">
        <v>374</v>
      </c>
      <c r="S689" s="36">
        <f t="shared" ref="S689:S693" si="267">ROUNDDOWN(P689*0.5,0)</f>
        <v>5897</v>
      </c>
    </row>
    <row r="690" spans="1:20" x14ac:dyDescent="0.2">
      <c r="A690" s="8" t="str">
        <f t="shared" si="257"/>
        <v>1040131</v>
      </c>
      <c r="B690" s="8">
        <v>104</v>
      </c>
      <c r="C690" s="8">
        <v>1</v>
      </c>
      <c r="D690" s="8" t="s">
        <v>64</v>
      </c>
      <c r="E690" s="8">
        <v>1</v>
      </c>
      <c r="F690" s="34">
        <f t="shared" ref="F690:G693" si="268">ROUNDDOWN($P690/4*$O690*10*$N690/$N690*$Q690/400,0)</f>
        <v>59043</v>
      </c>
      <c r="G690" s="34">
        <f t="shared" si="268"/>
        <v>59043</v>
      </c>
      <c r="H690" s="34">
        <f t="shared" si="266"/>
        <v>14742</v>
      </c>
      <c r="I690" s="34">
        <f t="shared" si="266"/>
        <v>14742</v>
      </c>
      <c r="J690" s="34">
        <f t="shared" ref="J690:J693" si="269">ROUNDDOWN($P690/4*$O690*10*$N690/$Q690*$N690/400,0)</f>
        <v>71264</v>
      </c>
      <c r="K690" s="133">
        <v>1000</v>
      </c>
      <c r="L690" s="34"/>
      <c r="M690" s="16">
        <f t="shared" si="264"/>
        <v>19924.502955978038</v>
      </c>
      <c r="N690" s="36">
        <v>880</v>
      </c>
      <c r="O690" s="36">
        <v>1</v>
      </c>
      <c r="P690" s="90" t="s">
        <v>768</v>
      </c>
      <c r="Q690" s="90" t="s">
        <v>372</v>
      </c>
      <c r="S690" s="36">
        <f t="shared" si="267"/>
        <v>5897</v>
      </c>
    </row>
    <row r="691" spans="1:20" x14ac:dyDescent="0.2">
      <c r="A691" s="8" t="str">
        <f t="shared" si="257"/>
        <v>1040132</v>
      </c>
      <c r="B691" s="8">
        <v>104</v>
      </c>
      <c r="C691" s="8">
        <v>1</v>
      </c>
      <c r="D691" s="8" t="s">
        <v>64</v>
      </c>
      <c r="E691" s="8">
        <v>2</v>
      </c>
      <c r="F691" s="34">
        <f t="shared" si="268"/>
        <v>172708</v>
      </c>
      <c r="G691" s="34">
        <f t="shared" si="268"/>
        <v>172708</v>
      </c>
      <c r="H691" s="34">
        <f t="shared" si="266"/>
        <v>14742</v>
      </c>
      <c r="I691" s="34">
        <f t="shared" si="266"/>
        <v>14742</v>
      </c>
      <c r="J691" s="34">
        <f t="shared" si="269"/>
        <v>209415</v>
      </c>
      <c r="K691" s="133">
        <v>1000</v>
      </c>
      <c r="L691" s="34"/>
      <c r="M691" s="16">
        <f t="shared" si="264"/>
        <v>58415.528602778359</v>
      </c>
      <c r="N691" s="36">
        <v>860</v>
      </c>
      <c r="O691" s="36">
        <v>3</v>
      </c>
      <c r="P691" s="90" t="s">
        <v>768</v>
      </c>
      <c r="Q691" s="90" t="s">
        <v>368</v>
      </c>
      <c r="S691" s="36">
        <f t="shared" si="267"/>
        <v>5897</v>
      </c>
    </row>
    <row r="692" spans="1:20" x14ac:dyDescent="0.2">
      <c r="A692" s="8" t="str">
        <f t="shared" si="257"/>
        <v>1040133</v>
      </c>
      <c r="B692" s="8">
        <v>104</v>
      </c>
      <c r="C692" s="8">
        <v>1</v>
      </c>
      <c r="D692" s="8" t="s">
        <v>64</v>
      </c>
      <c r="E692" s="8">
        <v>3</v>
      </c>
      <c r="F692" s="34">
        <f t="shared" si="268"/>
        <v>196333</v>
      </c>
      <c r="G692" s="34">
        <f t="shared" si="268"/>
        <v>196333</v>
      </c>
      <c r="H692" s="34">
        <f t="shared" si="266"/>
        <v>14742</v>
      </c>
      <c r="I692" s="34">
        <f t="shared" si="266"/>
        <v>14742</v>
      </c>
      <c r="J692" s="34">
        <f t="shared" si="269"/>
        <v>239212</v>
      </c>
      <c r="K692" s="133">
        <v>1000</v>
      </c>
      <c r="L692" s="34"/>
      <c r="M692" s="16">
        <f t="shared" si="264"/>
        <v>66566.59197473673</v>
      </c>
      <c r="N692" s="36">
        <v>840</v>
      </c>
      <c r="O692" s="36">
        <v>3.5</v>
      </c>
      <c r="P692" s="90" t="s">
        <v>768</v>
      </c>
      <c r="Q692" s="90" t="s">
        <v>369</v>
      </c>
      <c r="S692" s="36">
        <f t="shared" si="267"/>
        <v>5897</v>
      </c>
    </row>
    <row r="693" spans="1:20" x14ac:dyDescent="0.2">
      <c r="A693" s="8" t="str">
        <f t="shared" si="257"/>
        <v>1040134</v>
      </c>
      <c r="B693" s="8">
        <v>104</v>
      </c>
      <c r="C693" s="8">
        <v>1</v>
      </c>
      <c r="D693" s="8" t="s">
        <v>64</v>
      </c>
      <c r="E693" s="8">
        <v>4</v>
      </c>
      <c r="F693" s="34">
        <f t="shared" si="268"/>
        <v>218483</v>
      </c>
      <c r="G693" s="34">
        <f t="shared" si="268"/>
        <v>218483</v>
      </c>
      <c r="H693" s="34">
        <f t="shared" si="266"/>
        <v>14742</v>
      </c>
      <c r="I693" s="34">
        <f t="shared" si="266"/>
        <v>14742</v>
      </c>
      <c r="J693" s="34">
        <f t="shared" si="269"/>
        <v>267553</v>
      </c>
      <c r="K693" s="133">
        <v>1000</v>
      </c>
      <c r="L693" s="34"/>
      <c r="M693" s="16">
        <f t="shared" si="264"/>
        <v>74264.614010322126</v>
      </c>
      <c r="N693" s="36">
        <v>820</v>
      </c>
      <c r="O693" s="36">
        <v>4</v>
      </c>
      <c r="P693" s="90" t="s">
        <v>768</v>
      </c>
      <c r="Q693" s="90" t="s">
        <v>370</v>
      </c>
      <c r="S693" s="36">
        <f t="shared" si="267"/>
        <v>5897</v>
      </c>
    </row>
    <row r="694" spans="1:20" ht="38.25" x14ac:dyDescent="0.2">
      <c r="A694" s="8" t="str">
        <f t="shared" si="257"/>
        <v/>
      </c>
      <c r="B694" s="5"/>
      <c r="C694" s="6" t="s">
        <v>79</v>
      </c>
      <c r="D694" s="5"/>
      <c r="E694" s="5"/>
      <c r="F694" s="5"/>
      <c r="G694" s="5"/>
      <c r="H694" s="5"/>
      <c r="I694" s="5"/>
      <c r="J694" s="5"/>
      <c r="K694" s="133">
        <v>1000</v>
      </c>
      <c r="L694" s="5"/>
      <c r="M694" s="16">
        <f t="shared" si="264"/>
        <v>0</v>
      </c>
      <c r="N694" s="5"/>
      <c r="O694" s="5"/>
      <c r="P694" s="5"/>
      <c r="Q694" s="5"/>
      <c r="R694" s="5"/>
      <c r="S694" s="30"/>
      <c r="T694" s="266"/>
    </row>
    <row r="695" spans="1:20" x14ac:dyDescent="0.2">
      <c r="A695" s="8" t="str">
        <f t="shared" si="257"/>
        <v>50110</v>
      </c>
      <c r="B695" s="8">
        <v>5</v>
      </c>
      <c r="C695" s="8">
        <v>1</v>
      </c>
      <c r="D695" s="8" t="s">
        <v>62</v>
      </c>
      <c r="E695" s="8">
        <v>0</v>
      </c>
      <c r="F695" s="34">
        <f>ROUNDDOWN($P695/4*$O695*10*$N695/$N695*$Q695/400,0)</f>
        <v>30825</v>
      </c>
      <c r="G695" s="34">
        <f>ROUNDDOWN($P695/4*$O695*10*$N695/$N695*$Q695/400,0)</f>
        <v>30825</v>
      </c>
      <c r="H695" s="34">
        <f t="shared" ref="H695:I709" si="270">ROUNDDOWN($S695/4*10,0)</f>
        <v>15017</v>
      </c>
      <c r="I695" s="34">
        <f t="shared" si="270"/>
        <v>15017</v>
      </c>
      <c r="J695" s="34">
        <f>ROUNDDOWN($P695/4*$O695*10*$N695/$Q695*$N695/400,0)</f>
        <v>37043</v>
      </c>
      <c r="K695" s="133">
        <v>1000</v>
      </c>
      <c r="L695" s="34"/>
      <c r="M695" s="16">
        <f t="shared" si="264"/>
        <v>10475.775815264473</v>
      </c>
      <c r="N695" s="36">
        <v>900</v>
      </c>
      <c r="O695" s="36">
        <v>0.5</v>
      </c>
      <c r="P695" s="90">
        <v>12015</v>
      </c>
      <c r="Q695" s="90" t="s">
        <v>374</v>
      </c>
      <c r="S695" s="36">
        <f t="shared" ref="S695:S709" si="271">ROUNDDOWN(P695*0.5,0)</f>
        <v>6007</v>
      </c>
    </row>
    <row r="696" spans="1:20" x14ac:dyDescent="0.2">
      <c r="A696" s="8" t="str">
        <f t="shared" si="257"/>
        <v>50111</v>
      </c>
      <c r="B696" s="8">
        <v>5</v>
      </c>
      <c r="C696" s="8">
        <v>1</v>
      </c>
      <c r="D696" s="8" t="s">
        <v>62</v>
      </c>
      <c r="E696" s="8">
        <v>1</v>
      </c>
      <c r="F696" s="34">
        <f t="shared" ref="F696:G699" si="272">ROUNDDOWN($P696/4*$O696*10*$N696/$N696*$Q696/400,0)</f>
        <v>60150</v>
      </c>
      <c r="G696" s="34">
        <f t="shared" si="272"/>
        <v>60150</v>
      </c>
      <c r="H696" s="34">
        <f t="shared" si="270"/>
        <v>15017</v>
      </c>
      <c r="I696" s="34">
        <f t="shared" si="270"/>
        <v>15017</v>
      </c>
      <c r="J696" s="34">
        <f t="shared" ref="J696:J699" si="273">ROUNDDOWN($P696/4*$O696*10*$N696/$Q696*$N696/400,0)</f>
        <v>72600</v>
      </c>
      <c r="K696" s="133">
        <v>1000</v>
      </c>
      <c r="L696" s="34"/>
      <c r="M696" s="16">
        <f t="shared" si="264"/>
        <v>20486.496958533444</v>
      </c>
      <c r="N696" s="36">
        <v>880</v>
      </c>
      <c r="O696" s="36">
        <v>1</v>
      </c>
      <c r="P696" s="90">
        <v>12015</v>
      </c>
      <c r="Q696" s="90" t="s">
        <v>372</v>
      </c>
      <c r="S696" s="36">
        <f t="shared" si="271"/>
        <v>6007</v>
      </c>
    </row>
    <row r="697" spans="1:20" x14ac:dyDescent="0.2">
      <c r="A697" s="8" t="str">
        <f t="shared" si="257"/>
        <v>50112</v>
      </c>
      <c r="B697" s="8">
        <v>5</v>
      </c>
      <c r="C697" s="8">
        <v>1</v>
      </c>
      <c r="D697" s="8" t="s">
        <v>62</v>
      </c>
      <c r="E697" s="8">
        <v>2</v>
      </c>
      <c r="F697" s="34">
        <f t="shared" si="272"/>
        <v>175944</v>
      </c>
      <c r="G697" s="34">
        <f t="shared" si="272"/>
        <v>175944</v>
      </c>
      <c r="H697" s="34">
        <f t="shared" si="270"/>
        <v>15017</v>
      </c>
      <c r="I697" s="34">
        <f t="shared" si="270"/>
        <v>15017</v>
      </c>
      <c r="J697" s="34">
        <f t="shared" si="273"/>
        <v>213339</v>
      </c>
      <c r="K697" s="133">
        <v>1000</v>
      </c>
      <c r="L697" s="34"/>
      <c r="M697" s="16">
        <f t="shared" si="264"/>
        <v>60062.573367674988</v>
      </c>
      <c r="N697" s="36">
        <v>860</v>
      </c>
      <c r="O697" s="36">
        <v>3</v>
      </c>
      <c r="P697" s="90">
        <v>12015</v>
      </c>
      <c r="Q697" s="90" t="s">
        <v>368</v>
      </c>
      <c r="S697" s="36">
        <f t="shared" si="271"/>
        <v>6007</v>
      </c>
    </row>
    <row r="698" spans="1:20" x14ac:dyDescent="0.2">
      <c r="A698" s="8" t="str">
        <f t="shared" si="257"/>
        <v>50113</v>
      </c>
      <c r="B698" s="8">
        <v>5</v>
      </c>
      <c r="C698" s="8">
        <v>1</v>
      </c>
      <c r="D698" s="8" t="s">
        <v>62</v>
      </c>
      <c r="E698" s="8">
        <v>3</v>
      </c>
      <c r="F698" s="34">
        <f t="shared" si="272"/>
        <v>200012</v>
      </c>
      <c r="G698" s="34">
        <f t="shared" si="272"/>
        <v>200012</v>
      </c>
      <c r="H698" s="34">
        <f t="shared" si="270"/>
        <v>15017</v>
      </c>
      <c r="I698" s="34">
        <f t="shared" si="270"/>
        <v>15017</v>
      </c>
      <c r="J698" s="34">
        <f t="shared" si="273"/>
        <v>243694</v>
      </c>
      <c r="K698" s="133">
        <v>1000</v>
      </c>
      <c r="L698" s="34"/>
      <c r="M698" s="16">
        <f t="shared" si="264"/>
        <v>68443.470361276151</v>
      </c>
      <c r="N698" s="36">
        <v>840</v>
      </c>
      <c r="O698" s="36">
        <v>3.5</v>
      </c>
      <c r="P698" s="90">
        <v>12015</v>
      </c>
      <c r="Q698" s="90" t="s">
        <v>369</v>
      </c>
      <c r="S698" s="36">
        <f t="shared" si="271"/>
        <v>6007</v>
      </c>
    </row>
    <row r="699" spans="1:20" x14ac:dyDescent="0.2">
      <c r="A699" s="8" t="str">
        <f t="shared" si="257"/>
        <v>50114</v>
      </c>
      <c r="B699" s="8">
        <v>5</v>
      </c>
      <c r="C699" s="8">
        <v>1</v>
      </c>
      <c r="D699" s="8" t="s">
        <v>62</v>
      </c>
      <c r="E699" s="8">
        <v>4</v>
      </c>
      <c r="F699" s="34">
        <f t="shared" si="272"/>
        <v>222577</v>
      </c>
      <c r="G699" s="34">
        <f t="shared" si="272"/>
        <v>222577</v>
      </c>
      <c r="H699" s="34">
        <f t="shared" si="270"/>
        <v>15017</v>
      </c>
      <c r="I699" s="34">
        <f t="shared" si="270"/>
        <v>15017</v>
      </c>
      <c r="J699" s="34">
        <f t="shared" si="273"/>
        <v>272567</v>
      </c>
      <c r="K699" s="133">
        <v>1000</v>
      </c>
      <c r="L699" s="34"/>
      <c r="M699" s="16">
        <f t="shared" si="264"/>
        <v>76358.670238927691</v>
      </c>
      <c r="N699" s="36">
        <v>820</v>
      </c>
      <c r="O699" s="36">
        <v>4</v>
      </c>
      <c r="P699" s="90">
        <v>12015</v>
      </c>
      <c r="Q699" s="90" t="s">
        <v>370</v>
      </c>
      <c r="S699" s="36">
        <f t="shared" si="271"/>
        <v>6007</v>
      </c>
    </row>
    <row r="700" spans="1:20" x14ac:dyDescent="0.2">
      <c r="A700" s="8" t="str">
        <f t="shared" si="257"/>
        <v>50210</v>
      </c>
      <c r="B700" s="8">
        <v>5</v>
      </c>
      <c r="C700" s="8">
        <v>2</v>
      </c>
      <c r="D700" s="8" t="s">
        <v>62</v>
      </c>
      <c r="E700" s="8">
        <v>0</v>
      </c>
      <c r="F700" s="34">
        <f>ROUNDDOWN($P700/4*$O700*10*$N700/$N700*$Q700/400,0)</f>
        <v>32428</v>
      </c>
      <c r="G700" s="34">
        <f>ROUNDDOWN($P700/4*$O700*10*$N700/$N700*$Q700/400,0)</f>
        <v>32428</v>
      </c>
      <c r="H700" s="34">
        <f t="shared" si="270"/>
        <v>15797</v>
      </c>
      <c r="I700" s="34">
        <f t="shared" si="270"/>
        <v>15797</v>
      </c>
      <c r="J700" s="34">
        <f>ROUNDDOWN($P700/4*$O700*10*$N700/$Q700*$N700/400,0)</f>
        <v>38969</v>
      </c>
      <c r="K700" s="133">
        <v>1000</v>
      </c>
      <c r="L700" s="34"/>
      <c r="M700" s="16">
        <f t="shared" si="264"/>
        <v>11303.085399774063</v>
      </c>
      <c r="N700" s="36">
        <v>900</v>
      </c>
      <c r="O700" s="36">
        <v>0.5</v>
      </c>
      <c r="P700" s="36">
        <v>12639.6</v>
      </c>
      <c r="Q700" s="90" t="s">
        <v>374</v>
      </c>
      <c r="S700" s="36">
        <f t="shared" si="271"/>
        <v>6319</v>
      </c>
    </row>
    <row r="701" spans="1:20" x14ac:dyDescent="0.2">
      <c r="A701" s="8" t="str">
        <f t="shared" si="257"/>
        <v>50211</v>
      </c>
      <c r="B701" s="8">
        <v>5</v>
      </c>
      <c r="C701" s="8">
        <v>2</v>
      </c>
      <c r="D701" s="8" t="s">
        <v>62</v>
      </c>
      <c r="E701" s="8">
        <v>1</v>
      </c>
      <c r="F701" s="34">
        <f t="shared" ref="F701:G704" si="274">ROUNDDOWN($P701/4*$O701*10*$N701/$N701*$Q701/400,0)</f>
        <v>63276</v>
      </c>
      <c r="G701" s="34">
        <f t="shared" si="274"/>
        <v>63276</v>
      </c>
      <c r="H701" s="34">
        <f t="shared" si="270"/>
        <v>15797</v>
      </c>
      <c r="I701" s="34">
        <f t="shared" si="270"/>
        <v>15797</v>
      </c>
      <c r="J701" s="34">
        <f t="shared" ref="J701:J704" si="275">ROUNDDOWN($P701/4*$O701*10*$N701/$Q701*$N701/400,0)</f>
        <v>76374</v>
      </c>
      <c r="K701" s="133">
        <v>1000</v>
      </c>
      <c r="L701" s="34"/>
      <c r="M701" s="16">
        <f t="shared" si="264"/>
        <v>22103.93390008618</v>
      </c>
      <c r="N701" s="36">
        <v>880</v>
      </c>
      <c r="O701" s="36">
        <v>1</v>
      </c>
      <c r="P701" s="36">
        <v>12639.6</v>
      </c>
      <c r="Q701" s="90" t="s">
        <v>372</v>
      </c>
      <c r="S701" s="36">
        <f t="shared" si="271"/>
        <v>6319</v>
      </c>
    </row>
    <row r="702" spans="1:20" x14ac:dyDescent="0.2">
      <c r="A702" s="8" t="str">
        <f t="shared" si="257"/>
        <v>50212</v>
      </c>
      <c r="B702" s="8">
        <v>5</v>
      </c>
      <c r="C702" s="8">
        <v>2</v>
      </c>
      <c r="D702" s="8" t="s">
        <v>62</v>
      </c>
      <c r="E702" s="8">
        <v>2</v>
      </c>
      <c r="F702" s="34">
        <f t="shared" si="274"/>
        <v>185091</v>
      </c>
      <c r="G702" s="34">
        <f t="shared" si="274"/>
        <v>185091</v>
      </c>
      <c r="H702" s="34">
        <f t="shared" si="270"/>
        <v>15797</v>
      </c>
      <c r="I702" s="34">
        <f t="shared" si="270"/>
        <v>15797</v>
      </c>
      <c r="J702" s="34">
        <f t="shared" si="275"/>
        <v>224429</v>
      </c>
      <c r="K702" s="133">
        <v>1000</v>
      </c>
      <c r="L702" s="34"/>
      <c r="M702" s="16">
        <f t="shared" si="264"/>
        <v>64805.137161905091</v>
      </c>
      <c r="N702" s="36">
        <v>860</v>
      </c>
      <c r="O702" s="36">
        <v>3</v>
      </c>
      <c r="P702" s="36">
        <v>12639.6</v>
      </c>
      <c r="Q702" s="90" t="s">
        <v>368</v>
      </c>
      <c r="S702" s="36">
        <f t="shared" si="271"/>
        <v>6319</v>
      </c>
    </row>
    <row r="703" spans="1:20" x14ac:dyDescent="0.2">
      <c r="A703" s="8" t="str">
        <f t="shared" si="257"/>
        <v>50213</v>
      </c>
      <c r="B703" s="8">
        <v>5</v>
      </c>
      <c r="C703" s="8">
        <v>2</v>
      </c>
      <c r="D703" s="8" t="s">
        <v>62</v>
      </c>
      <c r="E703" s="8">
        <v>3</v>
      </c>
      <c r="F703" s="34">
        <f t="shared" si="274"/>
        <v>210409</v>
      </c>
      <c r="G703" s="34">
        <f t="shared" si="274"/>
        <v>210409</v>
      </c>
      <c r="H703" s="34">
        <f t="shared" si="270"/>
        <v>15797</v>
      </c>
      <c r="I703" s="34">
        <f t="shared" si="270"/>
        <v>15797</v>
      </c>
      <c r="J703" s="34">
        <f t="shared" si="275"/>
        <v>256362</v>
      </c>
      <c r="K703" s="133">
        <v>1000</v>
      </c>
      <c r="L703" s="34"/>
      <c r="M703" s="16">
        <f t="shared" si="264"/>
        <v>73847.581664949917</v>
      </c>
      <c r="N703" s="36">
        <v>840</v>
      </c>
      <c r="O703" s="36">
        <v>3.5</v>
      </c>
      <c r="P703" s="36">
        <v>12639.6</v>
      </c>
      <c r="Q703" s="90" t="s">
        <v>369</v>
      </c>
      <c r="S703" s="36">
        <f t="shared" si="271"/>
        <v>6319</v>
      </c>
    </row>
    <row r="704" spans="1:20" x14ac:dyDescent="0.2">
      <c r="A704" s="8" t="str">
        <f t="shared" si="257"/>
        <v>50214</v>
      </c>
      <c r="B704" s="8">
        <v>5</v>
      </c>
      <c r="C704" s="8">
        <v>2</v>
      </c>
      <c r="D704" s="8" t="s">
        <v>62</v>
      </c>
      <c r="E704" s="8">
        <v>4</v>
      </c>
      <c r="F704" s="34">
        <f t="shared" si="274"/>
        <v>234148</v>
      </c>
      <c r="G704" s="34">
        <f t="shared" si="274"/>
        <v>234148</v>
      </c>
      <c r="H704" s="34">
        <f t="shared" si="270"/>
        <v>15797</v>
      </c>
      <c r="I704" s="34">
        <f t="shared" si="270"/>
        <v>15797</v>
      </c>
      <c r="J704" s="34">
        <f t="shared" si="275"/>
        <v>286736</v>
      </c>
      <c r="K704" s="133">
        <v>1000</v>
      </c>
      <c r="L704" s="34"/>
      <c r="M704" s="16">
        <f t="shared" si="264"/>
        <v>82387.938017342938</v>
      </c>
      <c r="N704" s="36">
        <v>820</v>
      </c>
      <c r="O704" s="36">
        <v>4</v>
      </c>
      <c r="P704" s="36">
        <v>12639.6</v>
      </c>
      <c r="Q704" s="90" t="s">
        <v>370</v>
      </c>
      <c r="S704" s="36">
        <f t="shared" si="271"/>
        <v>6319</v>
      </c>
    </row>
    <row r="705" spans="1:20" x14ac:dyDescent="0.2">
      <c r="A705" s="8" t="str">
        <f t="shared" si="257"/>
        <v>50310</v>
      </c>
      <c r="B705" s="8">
        <v>5</v>
      </c>
      <c r="C705" s="8">
        <v>3</v>
      </c>
      <c r="D705" s="8" t="s">
        <v>62</v>
      </c>
      <c r="E705" s="8">
        <v>0</v>
      </c>
      <c r="F705" s="34">
        <f>ROUNDDOWN($P705/4*$O705*10*$N705/$N705*$Q705/400,0)</f>
        <v>33621</v>
      </c>
      <c r="G705" s="34">
        <f>ROUNDDOWN($P705/4*$O705*10*$N705/$N705*$Q705/400,0)</f>
        <v>33621</v>
      </c>
      <c r="H705" s="34">
        <f t="shared" si="270"/>
        <v>16582</v>
      </c>
      <c r="I705" s="34">
        <f t="shared" si="270"/>
        <v>16582</v>
      </c>
      <c r="J705" s="34">
        <f>ROUNDDOWN($P705/4*$O705*10*$N705/$Q705*$N705/400,0)</f>
        <v>41405</v>
      </c>
      <c r="K705" s="133">
        <v>1000</v>
      </c>
      <c r="L705" s="34"/>
      <c r="M705" s="16">
        <f t="shared" si="264"/>
        <v>12154.585422902092</v>
      </c>
      <c r="N705" s="36">
        <v>900</v>
      </c>
      <c r="O705" s="36">
        <v>0.5</v>
      </c>
      <c r="P705" s="90">
        <v>13266</v>
      </c>
      <c r="Q705" s="90" t="s">
        <v>373</v>
      </c>
      <c r="S705" s="36">
        <f t="shared" si="271"/>
        <v>6633</v>
      </c>
    </row>
    <row r="706" spans="1:20" x14ac:dyDescent="0.2">
      <c r="A706" s="8" t="str">
        <f t="shared" si="257"/>
        <v>50311</v>
      </c>
      <c r="B706" s="8">
        <v>5</v>
      </c>
      <c r="C706" s="8">
        <v>3</v>
      </c>
      <c r="D706" s="8" t="s">
        <v>62</v>
      </c>
      <c r="E706" s="8">
        <v>1</v>
      </c>
      <c r="F706" s="34">
        <f t="shared" ref="F706:G709" si="276">ROUNDDOWN($P706/4*$O706*10*$N706/$N706*$Q706/400,0)</f>
        <v>65583</v>
      </c>
      <c r="G706" s="34">
        <f t="shared" si="276"/>
        <v>65583</v>
      </c>
      <c r="H706" s="34">
        <f t="shared" si="270"/>
        <v>16582</v>
      </c>
      <c r="I706" s="34">
        <f t="shared" si="270"/>
        <v>16582</v>
      </c>
      <c r="J706" s="34">
        <f t="shared" ref="J706:J709" si="277">ROUNDDOWN($P706/4*$O706*10*$N706/$Q706*$N706/400,0)</f>
        <v>81172</v>
      </c>
      <c r="K706" s="133">
        <v>1000</v>
      </c>
      <c r="L706" s="34"/>
      <c r="M706" s="16">
        <f t="shared" si="264"/>
        <v>23768.797202737143</v>
      </c>
      <c r="N706" s="36">
        <v>880</v>
      </c>
      <c r="O706" s="36">
        <v>1</v>
      </c>
      <c r="P706" s="90">
        <v>13266</v>
      </c>
      <c r="Q706" s="90" t="s">
        <v>371</v>
      </c>
      <c r="S706" s="36">
        <f t="shared" si="271"/>
        <v>6633</v>
      </c>
    </row>
    <row r="707" spans="1:20" x14ac:dyDescent="0.2">
      <c r="A707" s="8" t="str">
        <f t="shared" si="257"/>
        <v>50312</v>
      </c>
      <c r="B707" s="8">
        <v>5</v>
      </c>
      <c r="C707" s="8">
        <v>3</v>
      </c>
      <c r="D707" s="8" t="s">
        <v>62</v>
      </c>
      <c r="E707" s="8">
        <v>2</v>
      </c>
      <c r="F707" s="34">
        <f t="shared" si="276"/>
        <v>191776</v>
      </c>
      <c r="G707" s="34">
        <f t="shared" si="276"/>
        <v>191776</v>
      </c>
      <c r="H707" s="34">
        <f t="shared" si="270"/>
        <v>16582</v>
      </c>
      <c r="I707" s="34">
        <f t="shared" si="270"/>
        <v>16582</v>
      </c>
      <c r="J707" s="34">
        <f t="shared" si="277"/>
        <v>238607</v>
      </c>
      <c r="K707" s="133">
        <v>1000</v>
      </c>
      <c r="L707" s="34"/>
      <c r="M707" s="16">
        <f t="shared" si="264"/>
        <v>69686.260586838733</v>
      </c>
      <c r="N707" s="36">
        <v>860</v>
      </c>
      <c r="O707" s="36">
        <v>3</v>
      </c>
      <c r="P707" s="90">
        <v>13266</v>
      </c>
      <c r="Q707" s="90" t="s">
        <v>366</v>
      </c>
      <c r="S707" s="36">
        <f t="shared" si="271"/>
        <v>6633</v>
      </c>
    </row>
    <row r="708" spans="1:20" x14ac:dyDescent="0.2">
      <c r="A708" s="8" t="str">
        <f t="shared" si="257"/>
        <v>50313</v>
      </c>
      <c r="B708" s="8">
        <v>5</v>
      </c>
      <c r="C708" s="8">
        <v>3</v>
      </c>
      <c r="D708" s="8" t="s">
        <v>62</v>
      </c>
      <c r="E708" s="8">
        <v>3</v>
      </c>
      <c r="F708" s="34">
        <f t="shared" si="276"/>
        <v>217935</v>
      </c>
      <c r="G708" s="34">
        <f t="shared" si="276"/>
        <v>217935</v>
      </c>
      <c r="H708" s="34">
        <f t="shared" si="270"/>
        <v>16582</v>
      </c>
      <c r="I708" s="34">
        <f t="shared" si="270"/>
        <v>16582</v>
      </c>
      <c r="J708" s="34">
        <f t="shared" si="277"/>
        <v>272650</v>
      </c>
      <c r="K708" s="133">
        <v>1000</v>
      </c>
      <c r="L708" s="34"/>
      <c r="M708" s="16">
        <f t="shared" si="264"/>
        <v>79409.906527606494</v>
      </c>
      <c r="N708" s="36">
        <v>840</v>
      </c>
      <c r="O708" s="36">
        <v>3.5</v>
      </c>
      <c r="P708" s="90">
        <v>13266</v>
      </c>
      <c r="Q708" s="90" t="s">
        <v>367</v>
      </c>
      <c r="S708" s="36">
        <f t="shared" si="271"/>
        <v>6633</v>
      </c>
    </row>
    <row r="709" spans="1:20" x14ac:dyDescent="0.2">
      <c r="A709" s="8" t="str">
        <f t="shared" si="257"/>
        <v>50314</v>
      </c>
      <c r="B709" s="8">
        <v>5</v>
      </c>
      <c r="C709" s="8">
        <v>3</v>
      </c>
      <c r="D709" s="8" t="s">
        <v>62</v>
      </c>
      <c r="E709" s="8">
        <v>4</v>
      </c>
      <c r="F709" s="34">
        <f t="shared" si="276"/>
        <v>242436</v>
      </c>
      <c r="G709" s="34">
        <f t="shared" si="276"/>
        <v>242436</v>
      </c>
      <c r="H709" s="34">
        <f t="shared" si="270"/>
        <v>16582</v>
      </c>
      <c r="I709" s="34">
        <f t="shared" si="270"/>
        <v>16582</v>
      </c>
      <c r="J709" s="34">
        <f t="shared" si="277"/>
        <v>305063</v>
      </c>
      <c r="K709" s="133">
        <v>1000</v>
      </c>
      <c r="L709" s="34"/>
      <c r="M709" s="16">
        <f t="shared" si="264"/>
        <v>88593.480898093214</v>
      </c>
      <c r="N709" s="36">
        <v>820</v>
      </c>
      <c r="O709" s="36">
        <v>4</v>
      </c>
      <c r="P709" s="90">
        <v>13266</v>
      </c>
      <c r="Q709" s="90" t="s">
        <v>102</v>
      </c>
      <c r="S709" s="36">
        <f t="shared" si="271"/>
        <v>6633</v>
      </c>
    </row>
    <row r="710" spans="1:20" ht="38.25" x14ac:dyDescent="0.2">
      <c r="A710" s="8" t="str">
        <f t="shared" si="257"/>
        <v/>
      </c>
      <c r="B710" s="5"/>
      <c r="C710" s="6" t="s">
        <v>80</v>
      </c>
      <c r="D710" s="5"/>
      <c r="E710" s="5"/>
      <c r="F710" s="5"/>
      <c r="G710" s="5"/>
      <c r="H710" s="5"/>
      <c r="I710" s="5"/>
      <c r="J710" s="5"/>
      <c r="K710" s="133">
        <v>1000</v>
      </c>
      <c r="L710" s="5"/>
      <c r="M710" s="16">
        <f t="shared" si="264"/>
        <v>0</v>
      </c>
      <c r="N710" s="5"/>
      <c r="O710" s="5"/>
      <c r="P710" s="5"/>
      <c r="Q710" s="5"/>
      <c r="R710" s="5"/>
      <c r="S710" s="30"/>
      <c r="T710" s="266"/>
    </row>
    <row r="711" spans="1:20" x14ac:dyDescent="0.2">
      <c r="A711" s="8" t="str">
        <f t="shared" si="257"/>
        <v>50120</v>
      </c>
      <c r="B711" s="8">
        <v>5</v>
      </c>
      <c r="C711" s="8">
        <v>1</v>
      </c>
      <c r="D711" s="8" t="s">
        <v>63</v>
      </c>
      <c r="E711" s="8">
        <v>0</v>
      </c>
      <c r="F711" s="34">
        <f>ROUNDDOWN($P711/4*$O711*10*$N711/$N711*$Q711/400,0)</f>
        <v>37630</v>
      </c>
      <c r="G711" s="34">
        <f>ROUNDDOWN($P711/4*$O711*10*$N711/$N711*$Q711/400,0)</f>
        <v>37630</v>
      </c>
      <c r="H711" s="34">
        <f t="shared" ref="H711:I725" si="278">ROUNDDOWN($S711/4*10,0)</f>
        <v>18332</v>
      </c>
      <c r="I711" s="34">
        <f t="shared" si="278"/>
        <v>18332</v>
      </c>
      <c r="J711" s="34">
        <f>ROUNDDOWN($P711/4*$O711*10*$N711/$Q711*$N711/400,0)</f>
        <v>45220</v>
      </c>
      <c r="K711" s="133">
        <v>1000</v>
      </c>
      <c r="L711" s="34"/>
      <c r="M711" s="16">
        <f t="shared" si="264"/>
        <v>14129.516452068699</v>
      </c>
      <c r="N711" s="36">
        <v>900</v>
      </c>
      <c r="O711" s="36">
        <v>0.5</v>
      </c>
      <c r="P711" s="90">
        <v>14667.05</v>
      </c>
      <c r="Q711" s="90" t="s">
        <v>374</v>
      </c>
      <c r="S711" s="36">
        <f t="shared" ref="S711:S747" si="279">ROUNDDOWN(P711*0.5,0)</f>
        <v>7333</v>
      </c>
    </row>
    <row r="712" spans="1:20" x14ac:dyDescent="0.2">
      <c r="A712" s="8" t="str">
        <f t="shared" si="257"/>
        <v>50121</v>
      </c>
      <c r="B712" s="8">
        <v>5</v>
      </c>
      <c r="C712" s="8">
        <v>1</v>
      </c>
      <c r="D712" s="8" t="s">
        <v>63</v>
      </c>
      <c r="E712" s="8">
        <v>1</v>
      </c>
      <c r="F712" s="34">
        <f t="shared" ref="F712:G715" si="280">ROUNDDOWN($P712/4*$O712*10*$N712/$N712*$Q712/400,0)</f>
        <v>73426</v>
      </c>
      <c r="G712" s="34">
        <f t="shared" si="280"/>
        <v>73426</v>
      </c>
      <c r="H712" s="34">
        <f t="shared" si="278"/>
        <v>18332</v>
      </c>
      <c r="I712" s="34">
        <f t="shared" si="278"/>
        <v>18332</v>
      </c>
      <c r="J712" s="34">
        <f t="shared" ref="J712:J715" si="281">ROUNDDOWN($P712/4*$O712*10*$N712/$Q712*$N712/400,0)</f>
        <v>88624</v>
      </c>
      <c r="K712" s="133">
        <v>1000</v>
      </c>
      <c r="L712" s="34"/>
      <c r="M712" s="16">
        <f t="shared" si="264"/>
        <v>27630.931116045209</v>
      </c>
      <c r="N712" s="36">
        <v>880</v>
      </c>
      <c r="O712" s="36">
        <v>1</v>
      </c>
      <c r="P712" s="90">
        <v>14667.05</v>
      </c>
      <c r="Q712" s="90" t="s">
        <v>372</v>
      </c>
      <c r="S712" s="36">
        <f t="shared" si="279"/>
        <v>7333</v>
      </c>
    </row>
    <row r="713" spans="1:20" x14ac:dyDescent="0.2">
      <c r="A713" s="8" t="str">
        <f t="shared" si="257"/>
        <v>50122</v>
      </c>
      <c r="B713" s="8">
        <v>5</v>
      </c>
      <c r="C713" s="8">
        <v>1</v>
      </c>
      <c r="D713" s="8" t="s">
        <v>63</v>
      </c>
      <c r="E713" s="8">
        <v>2</v>
      </c>
      <c r="F713" s="34">
        <f t="shared" si="280"/>
        <v>214780</v>
      </c>
      <c r="G713" s="34">
        <f t="shared" si="280"/>
        <v>214780</v>
      </c>
      <c r="H713" s="34">
        <f t="shared" si="278"/>
        <v>18332</v>
      </c>
      <c r="I713" s="34">
        <f t="shared" si="278"/>
        <v>18332</v>
      </c>
      <c r="J713" s="34">
        <f t="shared" si="281"/>
        <v>260429</v>
      </c>
      <c r="K713" s="133">
        <v>1000</v>
      </c>
      <c r="L713" s="34"/>
      <c r="M713" s="16">
        <f t="shared" si="264"/>
        <v>81009.602648410611</v>
      </c>
      <c r="N713" s="36">
        <v>860</v>
      </c>
      <c r="O713" s="36">
        <v>3</v>
      </c>
      <c r="P713" s="90">
        <v>14667.05</v>
      </c>
      <c r="Q713" s="90" t="s">
        <v>368</v>
      </c>
      <c r="S713" s="36">
        <f t="shared" si="279"/>
        <v>7333</v>
      </c>
    </row>
    <row r="714" spans="1:20" x14ac:dyDescent="0.2">
      <c r="A714" s="8" t="str">
        <f t="shared" si="257"/>
        <v>50123</v>
      </c>
      <c r="B714" s="8">
        <v>5</v>
      </c>
      <c r="C714" s="8">
        <v>1</v>
      </c>
      <c r="D714" s="8" t="s">
        <v>63</v>
      </c>
      <c r="E714" s="8">
        <v>3</v>
      </c>
      <c r="F714" s="34">
        <f t="shared" si="280"/>
        <v>244160</v>
      </c>
      <c r="G714" s="34">
        <f t="shared" si="280"/>
        <v>244160</v>
      </c>
      <c r="H714" s="34">
        <f t="shared" si="278"/>
        <v>18332</v>
      </c>
      <c r="I714" s="34">
        <f t="shared" si="278"/>
        <v>18332</v>
      </c>
      <c r="J714" s="34">
        <f t="shared" si="281"/>
        <v>297484</v>
      </c>
      <c r="K714" s="133">
        <v>1000</v>
      </c>
      <c r="L714" s="34"/>
      <c r="M714" s="16">
        <f t="shared" si="264"/>
        <v>92313.23608296545</v>
      </c>
      <c r="N714" s="36">
        <v>840</v>
      </c>
      <c r="O714" s="36">
        <v>3.5</v>
      </c>
      <c r="P714" s="90">
        <v>14667.05</v>
      </c>
      <c r="Q714" s="90" t="s">
        <v>369</v>
      </c>
      <c r="S714" s="36">
        <f t="shared" si="279"/>
        <v>7333</v>
      </c>
    </row>
    <row r="715" spans="1:20" x14ac:dyDescent="0.2">
      <c r="A715" s="8" t="str">
        <f t="shared" si="257"/>
        <v>50124</v>
      </c>
      <c r="B715" s="8">
        <v>5</v>
      </c>
      <c r="C715" s="8">
        <v>1</v>
      </c>
      <c r="D715" s="8" t="s">
        <v>63</v>
      </c>
      <c r="E715" s="8">
        <v>4</v>
      </c>
      <c r="F715" s="34">
        <f t="shared" si="280"/>
        <v>271707</v>
      </c>
      <c r="G715" s="34">
        <f t="shared" si="280"/>
        <v>271707</v>
      </c>
      <c r="H715" s="34">
        <f t="shared" si="278"/>
        <v>18332</v>
      </c>
      <c r="I715" s="34">
        <f t="shared" si="278"/>
        <v>18332</v>
      </c>
      <c r="J715" s="34">
        <f t="shared" si="281"/>
        <v>332730</v>
      </c>
      <c r="K715" s="133">
        <v>1000</v>
      </c>
      <c r="L715" s="34"/>
      <c r="M715" s="16">
        <f t="shared" si="264"/>
        <v>102989.10995654701</v>
      </c>
      <c r="N715" s="36">
        <v>820</v>
      </c>
      <c r="O715" s="36">
        <v>4</v>
      </c>
      <c r="P715" s="90">
        <v>14667.05</v>
      </c>
      <c r="Q715" s="90" t="s">
        <v>370</v>
      </c>
      <c r="S715" s="36">
        <f t="shared" si="279"/>
        <v>7333</v>
      </c>
    </row>
    <row r="716" spans="1:20" x14ac:dyDescent="0.2">
      <c r="A716" s="8" t="str">
        <f t="shared" si="257"/>
        <v>50220</v>
      </c>
      <c r="B716" s="8">
        <v>5</v>
      </c>
      <c r="C716" s="8">
        <v>2</v>
      </c>
      <c r="D716" s="8" t="s">
        <v>63</v>
      </c>
      <c r="E716" s="8">
        <v>0</v>
      </c>
      <c r="F716" s="34">
        <f>ROUNDDOWN($P716/4*$O716*10*$N716/$N716*$Q716/400,0)</f>
        <v>39338</v>
      </c>
      <c r="G716" s="34">
        <f>ROUNDDOWN($P716/4*$O716*10*$N716/$N716*$Q716/400,0)</f>
        <v>39338</v>
      </c>
      <c r="H716" s="34">
        <f t="shared" si="278"/>
        <v>19165</v>
      </c>
      <c r="I716" s="34">
        <f t="shared" si="278"/>
        <v>19165</v>
      </c>
      <c r="J716" s="34">
        <f>ROUNDDOWN($P716/4*$O716*10*$N716/$Q716*$N716/400,0)</f>
        <v>47273</v>
      </c>
      <c r="K716" s="133">
        <v>1000</v>
      </c>
      <c r="L716" s="34"/>
      <c r="M716" s="16">
        <f t="shared" si="264"/>
        <v>15102.787742921635</v>
      </c>
      <c r="N716" s="36">
        <v>900</v>
      </c>
      <c r="O716" s="36">
        <v>0.5</v>
      </c>
      <c r="P716" s="36">
        <v>15333</v>
      </c>
      <c r="Q716" s="90" t="s">
        <v>374</v>
      </c>
      <c r="S716" s="36">
        <f t="shared" si="279"/>
        <v>7666</v>
      </c>
    </row>
    <row r="717" spans="1:20" x14ac:dyDescent="0.2">
      <c r="A717" s="8" t="str">
        <f t="shared" si="257"/>
        <v>50221</v>
      </c>
      <c r="B717" s="8">
        <v>5</v>
      </c>
      <c r="C717" s="8">
        <v>2</v>
      </c>
      <c r="D717" s="8" t="s">
        <v>63</v>
      </c>
      <c r="E717" s="8">
        <v>1</v>
      </c>
      <c r="F717" s="34">
        <f t="shared" ref="F717:G720" si="282">ROUNDDOWN($P717/4*$O717*10*$N717/$N717*$Q717/400,0)</f>
        <v>76760</v>
      </c>
      <c r="G717" s="34">
        <f t="shared" si="282"/>
        <v>76760</v>
      </c>
      <c r="H717" s="34">
        <f t="shared" si="278"/>
        <v>19165</v>
      </c>
      <c r="I717" s="34">
        <f t="shared" si="278"/>
        <v>19165</v>
      </c>
      <c r="J717" s="34">
        <f t="shared" ref="J717:J720" si="283">ROUNDDOWN($P717/4*$O717*10*$N717/$Q717*$N717/400,0)</f>
        <v>92648</v>
      </c>
      <c r="K717" s="133">
        <v>1000</v>
      </c>
      <c r="L717" s="34"/>
      <c r="M717" s="16">
        <f t="shared" si="264"/>
        <v>29534.519258570639</v>
      </c>
      <c r="N717" s="36">
        <v>880</v>
      </c>
      <c r="O717" s="36">
        <v>1</v>
      </c>
      <c r="P717" s="36">
        <v>15333</v>
      </c>
      <c r="Q717" s="90" t="s">
        <v>372</v>
      </c>
      <c r="S717" s="36">
        <f t="shared" si="279"/>
        <v>7666</v>
      </c>
    </row>
    <row r="718" spans="1:20" x14ac:dyDescent="0.2">
      <c r="A718" s="8" t="str">
        <f t="shared" si="257"/>
        <v>50222</v>
      </c>
      <c r="B718" s="8">
        <v>5</v>
      </c>
      <c r="C718" s="8">
        <v>2</v>
      </c>
      <c r="D718" s="8" t="s">
        <v>63</v>
      </c>
      <c r="E718" s="8">
        <v>2</v>
      </c>
      <c r="F718" s="34">
        <f t="shared" si="282"/>
        <v>224532</v>
      </c>
      <c r="G718" s="34">
        <f t="shared" si="282"/>
        <v>224532</v>
      </c>
      <c r="H718" s="34">
        <f t="shared" si="278"/>
        <v>19165</v>
      </c>
      <c r="I718" s="34">
        <f t="shared" si="278"/>
        <v>19165</v>
      </c>
      <c r="J718" s="34">
        <f t="shared" si="283"/>
        <v>272254</v>
      </c>
      <c r="K718" s="133">
        <v>1000</v>
      </c>
      <c r="L718" s="34"/>
      <c r="M718" s="16">
        <f t="shared" si="264"/>
        <v>86590.581426965655</v>
      </c>
      <c r="N718" s="36">
        <v>860</v>
      </c>
      <c r="O718" s="36">
        <v>3</v>
      </c>
      <c r="P718" s="36">
        <v>15333</v>
      </c>
      <c r="Q718" s="90" t="s">
        <v>368</v>
      </c>
      <c r="S718" s="36">
        <f t="shared" si="279"/>
        <v>7666</v>
      </c>
    </row>
    <row r="719" spans="1:20" x14ac:dyDescent="0.2">
      <c r="A719" s="8" t="str">
        <f t="shared" si="257"/>
        <v>50223</v>
      </c>
      <c r="B719" s="8">
        <v>5</v>
      </c>
      <c r="C719" s="8">
        <v>2</v>
      </c>
      <c r="D719" s="8" t="s">
        <v>63</v>
      </c>
      <c r="E719" s="8">
        <v>3</v>
      </c>
      <c r="F719" s="34">
        <f t="shared" si="282"/>
        <v>255246</v>
      </c>
      <c r="G719" s="34">
        <f t="shared" si="282"/>
        <v>255246</v>
      </c>
      <c r="H719" s="34">
        <f t="shared" si="278"/>
        <v>19165</v>
      </c>
      <c r="I719" s="34">
        <f t="shared" si="278"/>
        <v>19165</v>
      </c>
      <c r="J719" s="34">
        <f t="shared" si="283"/>
        <v>310991</v>
      </c>
      <c r="K719" s="133">
        <v>1000</v>
      </c>
      <c r="L719" s="34"/>
      <c r="M719" s="16">
        <f t="shared" si="264"/>
        <v>98672.87485857305</v>
      </c>
      <c r="N719" s="36">
        <v>840</v>
      </c>
      <c r="O719" s="36">
        <v>3.5</v>
      </c>
      <c r="P719" s="36">
        <v>15333</v>
      </c>
      <c r="Q719" s="90" t="s">
        <v>369</v>
      </c>
      <c r="S719" s="36">
        <f t="shared" si="279"/>
        <v>7666</v>
      </c>
    </row>
    <row r="720" spans="1:20" x14ac:dyDescent="0.2">
      <c r="A720" s="8" t="str">
        <f t="shared" si="257"/>
        <v>50224</v>
      </c>
      <c r="B720" s="8">
        <v>5</v>
      </c>
      <c r="C720" s="8">
        <v>2</v>
      </c>
      <c r="D720" s="8" t="s">
        <v>63</v>
      </c>
      <c r="E720" s="8">
        <v>4</v>
      </c>
      <c r="F720" s="34">
        <f t="shared" si="282"/>
        <v>284043</v>
      </c>
      <c r="G720" s="34">
        <f t="shared" si="282"/>
        <v>284043</v>
      </c>
      <c r="H720" s="34">
        <f t="shared" si="278"/>
        <v>19165</v>
      </c>
      <c r="I720" s="34">
        <f t="shared" si="278"/>
        <v>19165</v>
      </c>
      <c r="J720" s="34">
        <f t="shared" si="283"/>
        <v>347837</v>
      </c>
      <c r="K720" s="133">
        <v>1000</v>
      </c>
      <c r="L720" s="34"/>
      <c r="M720" s="16">
        <f t="shared" si="264"/>
        <v>110084.03319798969</v>
      </c>
      <c r="N720" s="36">
        <v>820</v>
      </c>
      <c r="O720" s="36">
        <v>4</v>
      </c>
      <c r="P720" s="36">
        <v>15333</v>
      </c>
      <c r="Q720" s="90" t="s">
        <v>370</v>
      </c>
      <c r="S720" s="36">
        <f t="shared" si="279"/>
        <v>7666</v>
      </c>
    </row>
    <row r="721" spans="1:20" x14ac:dyDescent="0.2">
      <c r="A721" s="8" t="str">
        <f t="shared" si="257"/>
        <v>50320</v>
      </c>
      <c r="B721" s="8">
        <v>5</v>
      </c>
      <c r="C721" s="8">
        <v>3</v>
      </c>
      <c r="D721" s="8" t="s">
        <v>63</v>
      </c>
      <c r="E721" s="8">
        <v>0</v>
      </c>
      <c r="F721" s="34">
        <f>ROUNDDOWN($P721/4*$O721*10*$N721/$N721*$Q721/400,0)</f>
        <v>39743</v>
      </c>
      <c r="G721" s="34">
        <f>ROUNDDOWN($P721/4*$O721*10*$N721/$N721*$Q721/400,0)</f>
        <v>39743</v>
      </c>
      <c r="H721" s="34">
        <f t="shared" si="278"/>
        <v>19600</v>
      </c>
      <c r="I721" s="34">
        <f t="shared" si="278"/>
        <v>19600</v>
      </c>
      <c r="J721" s="34">
        <f>ROUNDDOWN($P721/4*$O721*10*$N721/$Q721*$N721/400,0)</f>
        <v>48944</v>
      </c>
      <c r="K721" s="133">
        <v>1000</v>
      </c>
      <c r="L721" s="34"/>
      <c r="M721" s="16">
        <f t="shared" si="264"/>
        <v>15620.613106164561</v>
      </c>
      <c r="N721" s="36">
        <v>900</v>
      </c>
      <c r="O721" s="36">
        <v>0.5</v>
      </c>
      <c r="P721" s="90">
        <v>15681.65</v>
      </c>
      <c r="Q721" s="90" t="s">
        <v>373</v>
      </c>
      <c r="S721" s="36">
        <f t="shared" si="279"/>
        <v>7840</v>
      </c>
    </row>
    <row r="722" spans="1:20" x14ac:dyDescent="0.2">
      <c r="A722" s="8" t="str">
        <f t="shared" si="257"/>
        <v>50321</v>
      </c>
      <c r="B722" s="8">
        <v>5</v>
      </c>
      <c r="C722" s="8">
        <v>3</v>
      </c>
      <c r="D722" s="8" t="s">
        <v>63</v>
      </c>
      <c r="E722" s="8">
        <v>1</v>
      </c>
      <c r="F722" s="34">
        <f t="shared" ref="F722:G725" si="284">ROUNDDOWN($P722/4*$O722*10*$N722/$N722*$Q722/400,0)</f>
        <v>77526</v>
      </c>
      <c r="G722" s="34">
        <f t="shared" si="284"/>
        <v>77526</v>
      </c>
      <c r="H722" s="34">
        <f t="shared" si="278"/>
        <v>19600</v>
      </c>
      <c r="I722" s="34">
        <f t="shared" si="278"/>
        <v>19600</v>
      </c>
      <c r="J722" s="34">
        <f t="shared" ref="J722:J725" si="285">ROUNDDOWN($P722/4*$O722*10*$N722/$Q722*$N722/400,0)</f>
        <v>95953</v>
      </c>
      <c r="K722" s="133">
        <v>1000</v>
      </c>
      <c r="L722" s="34"/>
      <c r="M722" s="16">
        <f t="shared" si="264"/>
        <v>30547.170568684756</v>
      </c>
      <c r="N722" s="36">
        <v>880</v>
      </c>
      <c r="O722" s="36">
        <v>1</v>
      </c>
      <c r="P722" s="90">
        <v>15681.65</v>
      </c>
      <c r="Q722" s="90" t="s">
        <v>371</v>
      </c>
      <c r="S722" s="36">
        <f t="shared" si="279"/>
        <v>7840</v>
      </c>
    </row>
    <row r="723" spans="1:20" x14ac:dyDescent="0.2">
      <c r="A723" s="8" t="str">
        <f t="shared" si="257"/>
        <v>50322</v>
      </c>
      <c r="B723" s="8">
        <v>5</v>
      </c>
      <c r="C723" s="8">
        <v>3</v>
      </c>
      <c r="D723" s="8" t="s">
        <v>63</v>
      </c>
      <c r="E723" s="8">
        <v>2</v>
      </c>
      <c r="F723" s="34">
        <f t="shared" si="284"/>
        <v>226697</v>
      </c>
      <c r="G723" s="34">
        <f t="shared" si="284"/>
        <v>226697</v>
      </c>
      <c r="H723" s="34">
        <f t="shared" si="278"/>
        <v>19600</v>
      </c>
      <c r="I723" s="34">
        <f t="shared" si="278"/>
        <v>19600</v>
      </c>
      <c r="J723" s="34">
        <f t="shared" si="285"/>
        <v>282056</v>
      </c>
      <c r="K723" s="133">
        <v>1000</v>
      </c>
      <c r="L723" s="34"/>
      <c r="M723" s="16">
        <f t="shared" si="264"/>
        <v>89558.86487988825</v>
      </c>
      <c r="N723" s="36">
        <v>860</v>
      </c>
      <c r="O723" s="36">
        <v>3</v>
      </c>
      <c r="P723" s="90">
        <v>15681.65</v>
      </c>
      <c r="Q723" s="90" t="s">
        <v>366</v>
      </c>
      <c r="S723" s="36">
        <f t="shared" si="279"/>
        <v>7840</v>
      </c>
    </row>
    <row r="724" spans="1:20" x14ac:dyDescent="0.2">
      <c r="A724" s="8" t="str">
        <f t="shared" si="257"/>
        <v>50323</v>
      </c>
      <c r="B724" s="8">
        <v>5</v>
      </c>
      <c r="C724" s="8">
        <v>3</v>
      </c>
      <c r="D724" s="8" t="s">
        <v>63</v>
      </c>
      <c r="E724" s="8">
        <v>3</v>
      </c>
      <c r="F724" s="34">
        <f t="shared" si="284"/>
        <v>257620</v>
      </c>
      <c r="G724" s="34">
        <f t="shared" si="284"/>
        <v>257620</v>
      </c>
      <c r="H724" s="34">
        <f t="shared" si="278"/>
        <v>19600</v>
      </c>
      <c r="I724" s="34">
        <f t="shared" si="278"/>
        <v>19600</v>
      </c>
      <c r="J724" s="34">
        <f t="shared" si="285"/>
        <v>322298</v>
      </c>
      <c r="K724" s="133">
        <v>1000</v>
      </c>
      <c r="L724" s="34"/>
      <c r="M724" s="16">
        <f t="shared" si="264"/>
        <v>102055.54725606249</v>
      </c>
      <c r="N724" s="36">
        <v>840</v>
      </c>
      <c r="O724" s="36">
        <v>3.5</v>
      </c>
      <c r="P724" s="90">
        <v>15681.65</v>
      </c>
      <c r="Q724" s="90" t="s">
        <v>367</v>
      </c>
      <c r="S724" s="36">
        <f t="shared" si="279"/>
        <v>7840</v>
      </c>
    </row>
    <row r="725" spans="1:20" x14ac:dyDescent="0.2">
      <c r="A725" s="8" t="str">
        <f t="shared" si="257"/>
        <v>50324</v>
      </c>
      <c r="B725" s="8">
        <v>5</v>
      </c>
      <c r="C725" s="8">
        <v>3</v>
      </c>
      <c r="D725" s="8" t="s">
        <v>63</v>
      </c>
      <c r="E725" s="8">
        <v>4</v>
      </c>
      <c r="F725" s="34">
        <f t="shared" si="284"/>
        <v>286582</v>
      </c>
      <c r="G725" s="34">
        <f t="shared" si="284"/>
        <v>286582</v>
      </c>
      <c r="H725" s="34">
        <f t="shared" si="278"/>
        <v>19600</v>
      </c>
      <c r="I725" s="34">
        <f t="shared" si="278"/>
        <v>19600</v>
      </c>
      <c r="J725" s="34">
        <f t="shared" si="285"/>
        <v>360613</v>
      </c>
      <c r="K725" s="133">
        <v>1000</v>
      </c>
      <c r="L725" s="34"/>
      <c r="M725" s="16">
        <f t="shared" si="264"/>
        <v>113857.89929314103</v>
      </c>
      <c r="N725" s="36">
        <v>820</v>
      </c>
      <c r="O725" s="36">
        <v>4</v>
      </c>
      <c r="P725" s="90">
        <v>15681.65</v>
      </c>
      <c r="Q725" s="90" t="s">
        <v>102</v>
      </c>
      <c r="S725" s="36">
        <f t="shared" si="279"/>
        <v>7840</v>
      </c>
    </row>
    <row r="726" spans="1:20" ht="38.25" x14ac:dyDescent="0.2">
      <c r="A726" s="8" t="str">
        <f t="shared" si="257"/>
        <v/>
      </c>
      <c r="B726" s="5"/>
      <c r="C726" s="6" t="s">
        <v>81</v>
      </c>
      <c r="D726" s="5"/>
      <c r="E726" s="5"/>
      <c r="F726" s="5"/>
      <c r="G726" s="5"/>
      <c r="H726" s="5"/>
      <c r="I726" s="5"/>
      <c r="J726" s="5"/>
      <c r="K726" s="133">
        <v>1000</v>
      </c>
      <c r="L726" s="5"/>
      <c r="M726" s="16">
        <f t="shared" si="264"/>
        <v>0</v>
      </c>
      <c r="N726" s="5"/>
      <c r="O726" s="5"/>
      <c r="P726" s="5"/>
      <c r="Q726" s="5"/>
      <c r="R726" s="5"/>
      <c r="S726" s="30"/>
      <c r="T726" s="266"/>
    </row>
    <row r="727" spans="1:20" x14ac:dyDescent="0.2">
      <c r="A727" s="8" t="str">
        <f t="shared" si="257"/>
        <v>50130</v>
      </c>
      <c r="B727" s="8">
        <v>5</v>
      </c>
      <c r="C727" s="8">
        <v>1</v>
      </c>
      <c r="D727" s="8" t="s">
        <v>64</v>
      </c>
      <c r="E727" s="8">
        <v>0</v>
      </c>
      <c r="F727" s="34">
        <f>ROUNDDOWN($P727/4*$O727*10*$N727/$N727*$Q727/400,0)</f>
        <v>43294</v>
      </c>
      <c r="G727" s="34">
        <f>ROUNDDOWN($P727/4*$O727*10*$N727/$N727*$Q727/400,0)</f>
        <v>43294</v>
      </c>
      <c r="H727" s="34">
        <f t="shared" ref="H727:I743" si="286">ROUNDDOWN($S727/4*10,0)</f>
        <v>21092</v>
      </c>
      <c r="I727" s="34">
        <f t="shared" si="286"/>
        <v>21092</v>
      </c>
      <c r="J727" s="34">
        <f>ROUNDDOWN($P727/4*$O727*10*$N727/$Q727*$N727/400,0)</f>
        <v>52027</v>
      </c>
      <c r="K727" s="133">
        <v>1000</v>
      </c>
      <c r="L727" s="34"/>
      <c r="M727" s="16">
        <f t="shared" si="264"/>
        <v>17437.214775080749</v>
      </c>
      <c r="N727" s="36">
        <v>900</v>
      </c>
      <c r="O727" s="36">
        <v>0.5</v>
      </c>
      <c r="P727" s="2" t="s">
        <v>925</v>
      </c>
      <c r="Q727" s="90" t="s">
        <v>374</v>
      </c>
      <c r="S727" s="36">
        <f t="shared" si="279"/>
        <v>8437</v>
      </c>
    </row>
    <row r="728" spans="1:20" x14ac:dyDescent="0.2">
      <c r="A728" s="8" t="str">
        <f t="shared" si="257"/>
        <v>50131</v>
      </c>
      <c r="B728" s="8">
        <v>5</v>
      </c>
      <c r="C728" s="8">
        <v>1</v>
      </c>
      <c r="D728" s="8" t="s">
        <v>64</v>
      </c>
      <c r="E728" s="8">
        <v>1</v>
      </c>
      <c r="F728" s="34">
        <f t="shared" ref="F728:G731" si="287">ROUNDDOWN($P728/4*$O728*10*$N728/$N728*$Q728/400,0)</f>
        <v>84480</v>
      </c>
      <c r="G728" s="34">
        <f t="shared" si="287"/>
        <v>84480</v>
      </c>
      <c r="H728" s="34">
        <f t="shared" si="286"/>
        <v>21092</v>
      </c>
      <c r="I728" s="34">
        <f t="shared" si="286"/>
        <v>21092</v>
      </c>
      <c r="J728" s="34">
        <f t="shared" ref="J728:J731" si="288">ROUNDDOWN($P728/4*$O728*10*$N728/$Q728*$N728/400,0)</f>
        <v>101966</v>
      </c>
      <c r="K728" s="133">
        <v>1000</v>
      </c>
      <c r="L728" s="34"/>
      <c r="M728" s="16">
        <f t="shared" si="264"/>
        <v>34099.931950342427</v>
      </c>
      <c r="N728" s="36">
        <v>880</v>
      </c>
      <c r="O728" s="36">
        <v>1</v>
      </c>
      <c r="P728" s="2" t="s">
        <v>925</v>
      </c>
      <c r="Q728" s="90" t="s">
        <v>372</v>
      </c>
      <c r="S728" s="36">
        <f t="shared" si="279"/>
        <v>8437</v>
      </c>
    </row>
    <row r="729" spans="1:20" x14ac:dyDescent="0.2">
      <c r="A729" s="8" t="str">
        <f t="shared" si="257"/>
        <v>50132</v>
      </c>
      <c r="B729" s="8">
        <v>5</v>
      </c>
      <c r="C729" s="8">
        <v>1</v>
      </c>
      <c r="D729" s="8" t="s">
        <v>64</v>
      </c>
      <c r="E729" s="8">
        <v>2</v>
      </c>
      <c r="F729" s="34">
        <f t="shared" si="287"/>
        <v>247113</v>
      </c>
      <c r="G729" s="34">
        <f t="shared" si="287"/>
        <v>247113</v>
      </c>
      <c r="H729" s="34">
        <f t="shared" si="286"/>
        <v>21092</v>
      </c>
      <c r="I729" s="34">
        <f t="shared" si="286"/>
        <v>21092</v>
      </c>
      <c r="J729" s="34">
        <f t="shared" si="288"/>
        <v>299633</v>
      </c>
      <c r="K729" s="133">
        <v>1000</v>
      </c>
      <c r="L729" s="34"/>
      <c r="M729" s="16">
        <f t="shared" si="264"/>
        <v>99975.016891562846</v>
      </c>
      <c r="N729" s="36">
        <v>860</v>
      </c>
      <c r="O729" s="36">
        <v>3</v>
      </c>
      <c r="P729" s="2" t="s">
        <v>925</v>
      </c>
      <c r="Q729" s="90" t="s">
        <v>368</v>
      </c>
      <c r="S729" s="36">
        <f t="shared" si="279"/>
        <v>8437</v>
      </c>
    </row>
    <row r="730" spans="1:20" x14ac:dyDescent="0.2">
      <c r="A730" s="8" t="str">
        <f t="shared" si="257"/>
        <v>50133</v>
      </c>
      <c r="B730" s="8">
        <v>5</v>
      </c>
      <c r="C730" s="8">
        <v>1</v>
      </c>
      <c r="D730" s="8" t="s">
        <v>64</v>
      </c>
      <c r="E730" s="8">
        <v>3</v>
      </c>
      <c r="F730" s="34">
        <f t="shared" si="287"/>
        <v>280916</v>
      </c>
      <c r="G730" s="34">
        <f t="shared" si="287"/>
        <v>280916</v>
      </c>
      <c r="H730" s="34">
        <f t="shared" si="286"/>
        <v>21092</v>
      </c>
      <c r="I730" s="34">
        <f t="shared" si="286"/>
        <v>21092</v>
      </c>
      <c r="J730" s="34">
        <f t="shared" si="288"/>
        <v>342267</v>
      </c>
      <c r="K730" s="133">
        <v>1000</v>
      </c>
      <c r="L730" s="34"/>
      <c r="M730" s="16">
        <f t="shared" si="264"/>
        <v>113925.15295808206</v>
      </c>
      <c r="N730" s="36">
        <v>840</v>
      </c>
      <c r="O730" s="36">
        <v>3.5</v>
      </c>
      <c r="P730" s="2" t="s">
        <v>925</v>
      </c>
      <c r="Q730" s="90" t="s">
        <v>369</v>
      </c>
      <c r="S730" s="36">
        <f t="shared" si="279"/>
        <v>8437</v>
      </c>
    </row>
    <row r="731" spans="1:20" x14ac:dyDescent="0.2">
      <c r="A731" s="8" t="str">
        <f t="shared" si="257"/>
        <v>50134</v>
      </c>
      <c r="B731" s="8">
        <v>5</v>
      </c>
      <c r="C731" s="8">
        <v>1</v>
      </c>
      <c r="D731" s="8" t="s">
        <v>64</v>
      </c>
      <c r="E731" s="8">
        <v>4</v>
      </c>
      <c r="F731" s="34">
        <f t="shared" si="287"/>
        <v>312609</v>
      </c>
      <c r="G731" s="34">
        <f t="shared" si="287"/>
        <v>312609</v>
      </c>
      <c r="H731" s="34">
        <f t="shared" si="286"/>
        <v>21092</v>
      </c>
      <c r="I731" s="34">
        <f t="shared" si="286"/>
        <v>21092</v>
      </c>
      <c r="J731" s="34">
        <f t="shared" si="288"/>
        <v>382818</v>
      </c>
      <c r="K731" s="133">
        <v>1000</v>
      </c>
      <c r="L731" s="34"/>
      <c r="M731" s="16">
        <f t="shared" si="264"/>
        <v>127100.06770858064</v>
      </c>
      <c r="N731" s="36">
        <v>820</v>
      </c>
      <c r="O731" s="36">
        <v>4</v>
      </c>
      <c r="P731" s="2" t="s">
        <v>925</v>
      </c>
      <c r="Q731" s="90" t="s">
        <v>370</v>
      </c>
      <c r="S731" s="36">
        <f t="shared" si="279"/>
        <v>8437</v>
      </c>
    </row>
    <row r="732" spans="1:20" x14ac:dyDescent="0.2">
      <c r="A732" s="8" t="str">
        <f t="shared" si="257"/>
        <v>50230</v>
      </c>
      <c r="B732" s="8">
        <v>5</v>
      </c>
      <c r="C732" s="8">
        <v>2</v>
      </c>
      <c r="D732" s="8" t="s">
        <v>64</v>
      </c>
      <c r="E732" s="8">
        <v>0</v>
      </c>
      <c r="F732" s="34">
        <f>ROUNDDOWN($P732/4*$O732*10*$N732/$N732*$Q732/400,0)</f>
        <v>45111</v>
      </c>
      <c r="G732" s="34">
        <f>ROUNDDOWN($P732/4*$O732*10*$N732/$N732*$Q732/400,0)</f>
        <v>45111</v>
      </c>
      <c r="H732" s="34">
        <f t="shared" si="286"/>
        <v>21977</v>
      </c>
      <c r="I732" s="34">
        <f t="shared" si="286"/>
        <v>21977</v>
      </c>
      <c r="J732" s="34">
        <f>ROUNDDOWN($P732/4*$O732*10*$N732/$Q732*$N732/400,0)</f>
        <v>54210</v>
      </c>
      <c r="K732" s="133">
        <v>1000</v>
      </c>
      <c r="L732" s="34"/>
      <c r="M732" s="16">
        <f t="shared" si="264"/>
        <v>18546.207818849867</v>
      </c>
      <c r="N732" s="36">
        <v>900</v>
      </c>
      <c r="O732" s="36">
        <v>0.5</v>
      </c>
      <c r="P732" s="36">
        <v>17583</v>
      </c>
      <c r="Q732" s="90" t="s">
        <v>374</v>
      </c>
      <c r="S732" s="36">
        <f t="shared" si="279"/>
        <v>8791</v>
      </c>
    </row>
    <row r="733" spans="1:20" x14ac:dyDescent="0.2">
      <c r="A733" s="8" t="str">
        <f t="shared" si="257"/>
        <v>50231</v>
      </c>
      <c r="B733" s="8">
        <v>5</v>
      </c>
      <c r="C733" s="8">
        <v>2</v>
      </c>
      <c r="D733" s="8" t="s">
        <v>64</v>
      </c>
      <c r="E733" s="8">
        <v>1</v>
      </c>
      <c r="F733" s="34">
        <f t="shared" ref="F733:G736" si="289">ROUNDDOWN($P733/4*$O733*10*$N733/$N733*$Q733/400,0)</f>
        <v>88024</v>
      </c>
      <c r="G733" s="34">
        <f t="shared" si="289"/>
        <v>88024</v>
      </c>
      <c r="H733" s="34">
        <f t="shared" si="286"/>
        <v>21977</v>
      </c>
      <c r="I733" s="34">
        <f t="shared" si="286"/>
        <v>21977</v>
      </c>
      <c r="J733" s="34">
        <f t="shared" ref="J733:J736" si="290">ROUNDDOWN($P733/4*$O733*10*$N733/$Q733*$N733/400,0)</f>
        <v>106244</v>
      </c>
      <c r="K733" s="133">
        <v>1000</v>
      </c>
      <c r="L733" s="34"/>
      <c r="M733" s="16">
        <f t="shared" si="264"/>
        <v>36268.278973609944</v>
      </c>
      <c r="N733" s="36">
        <v>880</v>
      </c>
      <c r="O733" s="36">
        <v>1</v>
      </c>
      <c r="P733" s="36">
        <v>17583</v>
      </c>
      <c r="Q733" s="90" t="s">
        <v>372</v>
      </c>
      <c r="S733" s="36">
        <f t="shared" si="279"/>
        <v>8791</v>
      </c>
    </row>
    <row r="734" spans="1:20" x14ac:dyDescent="0.2">
      <c r="A734" s="8" t="str">
        <f t="shared" si="257"/>
        <v>50232</v>
      </c>
      <c r="B734" s="8">
        <v>5</v>
      </c>
      <c r="C734" s="8">
        <v>2</v>
      </c>
      <c r="D734" s="8" t="s">
        <v>64</v>
      </c>
      <c r="E734" s="8">
        <v>2</v>
      </c>
      <c r="F734" s="34">
        <f t="shared" si="289"/>
        <v>257481</v>
      </c>
      <c r="G734" s="34">
        <f t="shared" si="289"/>
        <v>257481</v>
      </c>
      <c r="H734" s="34">
        <f t="shared" si="286"/>
        <v>21977</v>
      </c>
      <c r="I734" s="34">
        <f t="shared" si="286"/>
        <v>21977</v>
      </c>
      <c r="J734" s="34">
        <f t="shared" si="290"/>
        <v>312205</v>
      </c>
      <c r="K734" s="133">
        <v>1000</v>
      </c>
      <c r="L734" s="34"/>
      <c r="M734" s="16">
        <f t="shared" si="264"/>
        <v>106332.66818828043</v>
      </c>
      <c r="N734" s="36">
        <v>860</v>
      </c>
      <c r="O734" s="36">
        <v>3</v>
      </c>
      <c r="P734" s="36">
        <v>17583</v>
      </c>
      <c r="Q734" s="90" t="s">
        <v>368</v>
      </c>
      <c r="S734" s="36">
        <f t="shared" si="279"/>
        <v>8791</v>
      </c>
    </row>
    <row r="735" spans="1:20" x14ac:dyDescent="0.2">
      <c r="A735" s="8" t="str">
        <f t="shared" si="257"/>
        <v>50233</v>
      </c>
      <c r="B735" s="8">
        <v>5</v>
      </c>
      <c r="C735" s="8">
        <v>2</v>
      </c>
      <c r="D735" s="8" t="s">
        <v>64</v>
      </c>
      <c r="E735" s="8">
        <v>3</v>
      </c>
      <c r="F735" s="34">
        <f t="shared" si="289"/>
        <v>292702</v>
      </c>
      <c r="G735" s="34">
        <f t="shared" si="289"/>
        <v>292702</v>
      </c>
      <c r="H735" s="34">
        <f t="shared" si="286"/>
        <v>21977</v>
      </c>
      <c r="I735" s="34">
        <f t="shared" si="286"/>
        <v>21977</v>
      </c>
      <c r="J735" s="34">
        <f t="shared" si="290"/>
        <v>356627</v>
      </c>
      <c r="K735" s="133">
        <v>1000</v>
      </c>
      <c r="L735" s="34"/>
      <c r="M735" s="16">
        <f t="shared" si="264"/>
        <v>121169.7316753707</v>
      </c>
      <c r="N735" s="36">
        <v>840</v>
      </c>
      <c r="O735" s="36">
        <v>3.5</v>
      </c>
      <c r="P735" s="36">
        <v>17583</v>
      </c>
      <c r="Q735" s="90" t="s">
        <v>369</v>
      </c>
      <c r="S735" s="36">
        <f t="shared" si="279"/>
        <v>8791</v>
      </c>
    </row>
    <row r="736" spans="1:20" x14ac:dyDescent="0.2">
      <c r="A736" s="8" t="str">
        <f t="shared" si="257"/>
        <v>50234</v>
      </c>
      <c r="B736" s="8">
        <v>5</v>
      </c>
      <c r="C736" s="8">
        <v>2</v>
      </c>
      <c r="D736" s="8" t="s">
        <v>64</v>
      </c>
      <c r="E736" s="8">
        <v>4</v>
      </c>
      <c r="F736" s="34">
        <f t="shared" si="289"/>
        <v>325725</v>
      </c>
      <c r="G736" s="34">
        <f t="shared" si="289"/>
        <v>325725</v>
      </c>
      <c r="H736" s="34">
        <f t="shared" si="286"/>
        <v>21977</v>
      </c>
      <c r="I736" s="34">
        <f t="shared" si="286"/>
        <v>21977</v>
      </c>
      <c r="J736" s="34">
        <f t="shared" si="290"/>
        <v>398880</v>
      </c>
      <c r="K736" s="133">
        <v>1000</v>
      </c>
      <c r="L736" s="34"/>
      <c r="M736" s="16">
        <f t="shared" si="264"/>
        <v>135182.62270989714</v>
      </c>
      <c r="N736" s="36">
        <v>820</v>
      </c>
      <c r="O736" s="36">
        <v>4</v>
      </c>
      <c r="P736" s="36">
        <v>17583</v>
      </c>
      <c r="Q736" s="90" t="s">
        <v>370</v>
      </c>
      <c r="S736" s="36">
        <f t="shared" si="279"/>
        <v>8791</v>
      </c>
    </row>
    <row r="737" spans="1:20" x14ac:dyDescent="0.2">
      <c r="A737" s="8" t="str">
        <f t="shared" si="257"/>
        <v>50330</v>
      </c>
      <c r="B737" s="8">
        <v>5</v>
      </c>
      <c r="C737" s="8">
        <v>3</v>
      </c>
      <c r="D737" s="8" t="s">
        <v>64</v>
      </c>
      <c r="E737" s="8">
        <v>0</v>
      </c>
      <c r="F737" s="34">
        <f>ROUNDDOWN($P737/4*$O737*10*$N737/$N737*$Q737/400,0)</f>
        <v>46361</v>
      </c>
      <c r="G737" s="34">
        <f>ROUNDDOWN($P737/4*$O737*10*$N737/$N737*$Q737/400,0)</f>
        <v>46361</v>
      </c>
      <c r="H737" s="34">
        <f t="shared" si="286"/>
        <v>22865</v>
      </c>
      <c r="I737" s="34">
        <f t="shared" si="286"/>
        <v>22865</v>
      </c>
      <c r="J737" s="34">
        <f>ROUNDDOWN($P737/4*$O737*10*$N737/$Q737*$N737/400,0)</f>
        <v>57095</v>
      </c>
      <c r="K737" s="133">
        <v>1000</v>
      </c>
      <c r="L737" s="34"/>
      <c r="M737" s="16">
        <f t="shared" si="264"/>
        <v>19681.175137301128</v>
      </c>
      <c r="N737" s="36">
        <v>900</v>
      </c>
      <c r="O737" s="36">
        <v>0.5</v>
      </c>
      <c r="P737" s="2" t="s">
        <v>926</v>
      </c>
      <c r="Q737" s="90" t="s">
        <v>373</v>
      </c>
      <c r="S737" s="36">
        <f t="shared" si="279"/>
        <v>9146</v>
      </c>
    </row>
    <row r="738" spans="1:20" x14ac:dyDescent="0.2">
      <c r="A738" s="8" t="str">
        <f t="shared" si="257"/>
        <v>50331</v>
      </c>
      <c r="B738" s="8">
        <v>5</v>
      </c>
      <c r="C738" s="8">
        <v>3</v>
      </c>
      <c r="D738" s="8" t="s">
        <v>64</v>
      </c>
      <c r="E738" s="8">
        <v>1</v>
      </c>
      <c r="F738" s="34">
        <f t="shared" ref="F738:G741" si="291">ROUNDDOWN($P738/4*$O738*10*$N738/$N738*$Q738/400,0)</f>
        <v>90436</v>
      </c>
      <c r="G738" s="34">
        <f t="shared" si="291"/>
        <v>90436</v>
      </c>
      <c r="H738" s="34">
        <f t="shared" si="286"/>
        <v>22865</v>
      </c>
      <c r="I738" s="34">
        <f t="shared" si="286"/>
        <v>22865</v>
      </c>
      <c r="J738" s="34">
        <f t="shared" ref="J738:J741" si="292">ROUNDDOWN($P738/4*$O738*10*$N738/$Q738*$N738/400,0)</f>
        <v>111931</v>
      </c>
      <c r="K738" s="133">
        <v>1000</v>
      </c>
      <c r="L738" s="34"/>
      <c r="M738" s="16">
        <f t="shared" si="264"/>
        <v>38487.65530166492</v>
      </c>
      <c r="N738" s="36">
        <v>880</v>
      </c>
      <c r="O738" s="36">
        <v>1</v>
      </c>
      <c r="P738" s="2" t="s">
        <v>926</v>
      </c>
      <c r="Q738" s="90" t="s">
        <v>371</v>
      </c>
      <c r="S738" s="36">
        <f t="shared" si="279"/>
        <v>9146</v>
      </c>
    </row>
    <row r="739" spans="1:20" x14ac:dyDescent="0.2">
      <c r="A739" s="8" t="str">
        <f t="shared" si="257"/>
        <v>50332</v>
      </c>
      <c r="B739" s="8">
        <v>5</v>
      </c>
      <c r="C739" s="8">
        <v>3</v>
      </c>
      <c r="D739" s="8" t="s">
        <v>64</v>
      </c>
      <c r="E739" s="8">
        <v>2</v>
      </c>
      <c r="F739" s="34">
        <f t="shared" si="291"/>
        <v>264448</v>
      </c>
      <c r="G739" s="34">
        <f t="shared" si="291"/>
        <v>264448</v>
      </c>
      <c r="H739" s="34">
        <f t="shared" si="286"/>
        <v>22865</v>
      </c>
      <c r="I739" s="34">
        <f t="shared" si="286"/>
        <v>22865</v>
      </c>
      <c r="J739" s="34">
        <f t="shared" si="292"/>
        <v>329024</v>
      </c>
      <c r="K739" s="133">
        <v>1000</v>
      </c>
      <c r="L739" s="34"/>
      <c r="M739" s="16">
        <f t="shared" si="264"/>
        <v>112839.07625469413</v>
      </c>
      <c r="N739" s="36">
        <v>860</v>
      </c>
      <c r="O739" s="36">
        <v>3</v>
      </c>
      <c r="P739" s="2" t="s">
        <v>926</v>
      </c>
      <c r="Q739" s="90" t="s">
        <v>366</v>
      </c>
      <c r="S739" s="36">
        <f t="shared" si="279"/>
        <v>9146</v>
      </c>
    </row>
    <row r="740" spans="1:20" x14ac:dyDescent="0.2">
      <c r="A740" s="8" t="str">
        <f t="shared" si="257"/>
        <v>50333</v>
      </c>
      <c r="B740" s="8">
        <v>5</v>
      </c>
      <c r="C740" s="8">
        <v>3</v>
      </c>
      <c r="D740" s="8" t="s">
        <v>64</v>
      </c>
      <c r="E740" s="8">
        <v>3</v>
      </c>
      <c r="F740" s="34">
        <f t="shared" si="291"/>
        <v>300519</v>
      </c>
      <c r="G740" s="34">
        <f t="shared" si="291"/>
        <v>300519</v>
      </c>
      <c r="H740" s="34">
        <f t="shared" si="286"/>
        <v>22865</v>
      </c>
      <c r="I740" s="34">
        <f t="shared" si="286"/>
        <v>22865</v>
      </c>
      <c r="J740" s="34">
        <f t="shared" si="292"/>
        <v>375968</v>
      </c>
      <c r="K740" s="133">
        <v>1000</v>
      </c>
      <c r="L740" s="34"/>
      <c r="M740" s="16">
        <f t="shared" si="264"/>
        <v>128584.01975531685</v>
      </c>
      <c r="N740" s="36">
        <v>840</v>
      </c>
      <c r="O740" s="36">
        <v>3.5</v>
      </c>
      <c r="P740" s="2" t="s">
        <v>926</v>
      </c>
      <c r="Q740" s="90" t="s">
        <v>367</v>
      </c>
      <c r="S740" s="36">
        <f t="shared" si="279"/>
        <v>9146</v>
      </c>
    </row>
    <row r="741" spans="1:20" x14ac:dyDescent="0.2">
      <c r="A741" s="8" t="str">
        <f t="shared" si="257"/>
        <v>50334</v>
      </c>
      <c r="B741" s="8">
        <v>5</v>
      </c>
      <c r="C741" s="8">
        <v>3</v>
      </c>
      <c r="D741" s="8" t="s">
        <v>64</v>
      </c>
      <c r="E741" s="8">
        <v>4</v>
      </c>
      <c r="F741" s="34">
        <f t="shared" si="291"/>
        <v>376092</v>
      </c>
      <c r="G741" s="34">
        <f t="shared" si="291"/>
        <v>376092</v>
      </c>
      <c r="H741" s="34">
        <f t="shared" si="286"/>
        <v>22865</v>
      </c>
      <c r="I741" s="34">
        <f t="shared" si="286"/>
        <v>22865</v>
      </c>
      <c r="J741" s="34">
        <f t="shared" si="292"/>
        <v>473246</v>
      </c>
      <c r="K741" s="133">
        <v>1000</v>
      </c>
      <c r="L741" s="34"/>
      <c r="M741" s="16">
        <f t="shared" si="264"/>
        <v>161386.09510087405</v>
      </c>
      <c r="N741" s="36">
        <v>820</v>
      </c>
      <c r="O741" s="36">
        <v>4.5</v>
      </c>
      <c r="P741" s="2" t="s">
        <v>926</v>
      </c>
      <c r="Q741" s="90" t="s">
        <v>102</v>
      </c>
      <c r="S741" s="36">
        <f t="shared" si="279"/>
        <v>9146</v>
      </c>
    </row>
    <row r="742" spans="1:20" ht="38.25" x14ac:dyDescent="0.2">
      <c r="A742" s="8" t="str">
        <f t="shared" ref="A742:A757" si="293">IF(B742="","",CONCATENATE(B742,CONCATENATE(REPT(0,2-LEN(C742)),C742),IF(OR(D742="Easy",D742=""),1,IF(D742="Normal",2,IF(D742="Hard",3,IF(D742="Hell",4,"error")))),E742))</f>
        <v/>
      </c>
      <c r="B742" s="5"/>
      <c r="C742" s="6" t="s">
        <v>240</v>
      </c>
      <c r="D742" s="5"/>
      <c r="E742" s="5"/>
      <c r="F742" s="5"/>
      <c r="G742" s="5"/>
      <c r="H742" s="5"/>
      <c r="I742" s="5"/>
      <c r="J742" s="5"/>
      <c r="K742" s="133">
        <v>1000</v>
      </c>
      <c r="L742" s="5"/>
      <c r="M742" s="16">
        <f t="shared" ref="M742:M805" si="294">(F742*J742*((H742+I742)/2)/1000)^(1/2)/10*0.8</f>
        <v>0</v>
      </c>
      <c r="N742" s="5"/>
      <c r="O742" s="5"/>
      <c r="P742" s="5"/>
      <c r="Q742" s="5"/>
      <c r="R742" s="5"/>
      <c r="S742" s="30"/>
      <c r="T742" s="266"/>
    </row>
    <row r="743" spans="1:20" x14ac:dyDescent="0.2">
      <c r="A743" s="18" t="str">
        <f t="shared" si="293"/>
        <v>50140</v>
      </c>
      <c r="B743" s="18">
        <v>5</v>
      </c>
      <c r="C743" s="18">
        <v>1</v>
      </c>
      <c r="D743" s="18" t="s">
        <v>237</v>
      </c>
      <c r="E743" s="18">
        <v>0</v>
      </c>
      <c r="F743" s="34">
        <f t="shared" ref="F743:G747" si="295">ROUNDDOWN($P743/4*$O743*10*$N743/$N743*$Q743/400,0)</f>
        <v>19755</v>
      </c>
      <c r="G743" s="34">
        <f t="shared" si="295"/>
        <v>19755</v>
      </c>
      <c r="H743" s="34">
        <f t="shared" si="286"/>
        <v>9625</v>
      </c>
      <c r="I743" s="34">
        <f t="shared" si="286"/>
        <v>9625</v>
      </c>
      <c r="J743" s="34">
        <f t="shared" ref="J743:J747" si="296">ROUNDDOWN($P743/4*$O743*10*$N743/$Q743*$N743/400,0)</f>
        <v>23740</v>
      </c>
      <c r="K743" s="133">
        <v>1000</v>
      </c>
      <c r="L743" s="19"/>
      <c r="M743" s="16">
        <f t="shared" si="294"/>
        <v>5374.8856657607148</v>
      </c>
      <c r="N743" s="36">
        <v>900</v>
      </c>
      <c r="O743" s="58">
        <v>0.5</v>
      </c>
      <c r="P743" s="2" t="s">
        <v>766</v>
      </c>
      <c r="Q743" s="90" t="s">
        <v>374</v>
      </c>
      <c r="R743" s="41"/>
      <c r="S743" s="36">
        <f t="shared" si="279"/>
        <v>3850</v>
      </c>
    </row>
    <row r="744" spans="1:20" x14ac:dyDescent="0.2">
      <c r="A744" s="18" t="str">
        <f t="shared" si="293"/>
        <v>50141</v>
      </c>
      <c r="B744" s="18">
        <v>5</v>
      </c>
      <c r="C744" s="18">
        <v>1</v>
      </c>
      <c r="D744" s="18" t="s">
        <v>237</v>
      </c>
      <c r="E744" s="18">
        <v>1</v>
      </c>
      <c r="F744" s="34">
        <f t="shared" si="295"/>
        <v>38548</v>
      </c>
      <c r="G744" s="34">
        <f t="shared" si="295"/>
        <v>38548</v>
      </c>
      <c r="H744" s="34">
        <f t="shared" ref="H744:I747" si="297">ROUNDDOWN($S744/4*10,0)</f>
        <v>9625</v>
      </c>
      <c r="I744" s="34">
        <f t="shared" si="297"/>
        <v>9625</v>
      </c>
      <c r="J744" s="34">
        <f t="shared" si="296"/>
        <v>46526</v>
      </c>
      <c r="K744" s="133">
        <v>1000</v>
      </c>
      <c r="L744" s="19"/>
      <c r="M744" s="16">
        <f t="shared" si="294"/>
        <v>10510.881489047435</v>
      </c>
      <c r="N744" s="36">
        <v>880</v>
      </c>
      <c r="O744" s="58">
        <v>1</v>
      </c>
      <c r="P744" s="2" t="s">
        <v>766</v>
      </c>
      <c r="Q744" s="90" t="s">
        <v>372</v>
      </c>
      <c r="R744" s="41"/>
      <c r="S744" s="36">
        <f t="shared" si="279"/>
        <v>3850</v>
      </c>
    </row>
    <row r="745" spans="1:20" x14ac:dyDescent="0.2">
      <c r="A745" s="18" t="str">
        <f t="shared" si="293"/>
        <v>50142</v>
      </c>
      <c r="B745" s="18">
        <v>5</v>
      </c>
      <c r="C745" s="18">
        <v>1</v>
      </c>
      <c r="D745" s="18" t="s">
        <v>237</v>
      </c>
      <c r="E745" s="18">
        <v>2</v>
      </c>
      <c r="F745" s="34">
        <f t="shared" si="295"/>
        <v>75171</v>
      </c>
      <c r="G745" s="34">
        <f t="shared" si="295"/>
        <v>75171</v>
      </c>
      <c r="H745" s="34">
        <f t="shared" si="297"/>
        <v>9625</v>
      </c>
      <c r="I745" s="34">
        <f t="shared" si="297"/>
        <v>9625</v>
      </c>
      <c r="J745" s="34">
        <f t="shared" si="296"/>
        <v>91147</v>
      </c>
      <c r="K745" s="133">
        <v>1000</v>
      </c>
      <c r="L745" s="19"/>
      <c r="M745" s="16">
        <f t="shared" si="294"/>
        <v>20544.080559596725</v>
      </c>
      <c r="N745" s="36">
        <v>860</v>
      </c>
      <c r="O745" s="58">
        <v>2</v>
      </c>
      <c r="P745" s="2" t="s">
        <v>766</v>
      </c>
      <c r="Q745" s="90" t="s">
        <v>368</v>
      </c>
      <c r="R745" s="41"/>
      <c r="S745" s="36">
        <f t="shared" si="279"/>
        <v>3850</v>
      </c>
    </row>
    <row r="746" spans="1:20" x14ac:dyDescent="0.2">
      <c r="A746" s="18" t="str">
        <f t="shared" si="293"/>
        <v>50143</v>
      </c>
      <c r="B746" s="18">
        <v>5</v>
      </c>
      <c r="C746" s="18">
        <v>1</v>
      </c>
      <c r="D746" s="18" t="s">
        <v>237</v>
      </c>
      <c r="E746" s="18">
        <v>3</v>
      </c>
      <c r="F746" s="34">
        <f t="shared" si="295"/>
        <v>109869</v>
      </c>
      <c r="G746" s="34">
        <f t="shared" si="295"/>
        <v>109869</v>
      </c>
      <c r="H746" s="34">
        <f t="shared" si="297"/>
        <v>9625</v>
      </c>
      <c r="I746" s="34">
        <f t="shared" si="297"/>
        <v>9625</v>
      </c>
      <c r="J746" s="34">
        <f t="shared" si="296"/>
        <v>133864</v>
      </c>
      <c r="K746" s="133">
        <v>1000</v>
      </c>
      <c r="L746" s="19"/>
      <c r="M746" s="16">
        <f t="shared" si="294"/>
        <v>30099.538784931574</v>
      </c>
      <c r="N746" s="36">
        <v>840</v>
      </c>
      <c r="O746" s="58">
        <v>3</v>
      </c>
      <c r="P746" s="2" t="s">
        <v>766</v>
      </c>
      <c r="Q746" s="90" t="s">
        <v>369</v>
      </c>
      <c r="R746" s="41"/>
      <c r="S746" s="36">
        <f t="shared" si="279"/>
        <v>3850</v>
      </c>
    </row>
    <row r="747" spans="1:20" x14ac:dyDescent="0.2">
      <c r="A747" s="18" t="str">
        <f t="shared" si="293"/>
        <v>50144</v>
      </c>
      <c r="B747" s="18">
        <v>5</v>
      </c>
      <c r="C747" s="18">
        <v>1</v>
      </c>
      <c r="D747" s="18" t="s">
        <v>237</v>
      </c>
      <c r="E747" s="18">
        <v>4</v>
      </c>
      <c r="F747" s="34">
        <f t="shared" si="295"/>
        <v>142642</v>
      </c>
      <c r="G747" s="34">
        <f t="shared" si="295"/>
        <v>142642</v>
      </c>
      <c r="H747" s="34">
        <f t="shared" si="297"/>
        <v>9625</v>
      </c>
      <c r="I747" s="34">
        <f t="shared" si="297"/>
        <v>9625</v>
      </c>
      <c r="J747" s="34">
        <f t="shared" si="296"/>
        <v>174678</v>
      </c>
      <c r="K747" s="133">
        <v>1000</v>
      </c>
      <c r="L747" s="19"/>
      <c r="M747" s="16">
        <f t="shared" si="294"/>
        <v>39177.179931710249</v>
      </c>
      <c r="N747" s="36">
        <v>820</v>
      </c>
      <c r="O747" s="58">
        <v>4</v>
      </c>
      <c r="P747" s="2" t="s">
        <v>766</v>
      </c>
      <c r="Q747" s="90" t="s">
        <v>370</v>
      </c>
      <c r="R747" s="41"/>
      <c r="S747" s="36">
        <f t="shared" si="279"/>
        <v>3850</v>
      </c>
    </row>
    <row r="748" spans="1:20" x14ac:dyDescent="0.2">
      <c r="A748" s="18" t="str">
        <f t="shared" si="293"/>
        <v>50240</v>
      </c>
      <c r="B748" s="18">
        <v>5</v>
      </c>
      <c r="C748" s="18">
        <v>2</v>
      </c>
      <c r="D748" s="18" t="s">
        <v>237</v>
      </c>
      <c r="E748" s="18">
        <v>0</v>
      </c>
      <c r="F748" s="19">
        <f t="shared" ref="F748:G757" si="298">ROUNDDOWN($P748/4*$O748*10*$N748/$N748*$Q748/400,0)</f>
        <v>57679</v>
      </c>
      <c r="G748" s="19">
        <f t="shared" si="298"/>
        <v>57679</v>
      </c>
      <c r="H748" s="19">
        <f t="shared" ref="H748:I757" si="299">ROUNDDOWN($S748/4*10,0)</f>
        <v>70255</v>
      </c>
      <c r="I748" s="19">
        <f t="shared" si="299"/>
        <v>70255</v>
      </c>
      <c r="J748" s="19">
        <f t="shared" ref="J748:J757" si="300">ROUNDDOWN($P748/4*$O748*10*$N748/$Q748*$N748/400,0)</f>
        <v>77229</v>
      </c>
      <c r="K748" s="133">
        <v>1000</v>
      </c>
      <c r="L748" s="19"/>
      <c r="M748" s="16">
        <f t="shared" si="294"/>
        <v>44753.568774806248</v>
      </c>
      <c r="N748" s="58">
        <v>950</v>
      </c>
      <c r="O748" s="58">
        <v>0.5</v>
      </c>
      <c r="P748" s="94">
        <v>22481.600000000002</v>
      </c>
      <c r="Q748" s="90" t="s">
        <v>374</v>
      </c>
      <c r="R748" s="41"/>
      <c r="S748" s="58">
        <v>28102</v>
      </c>
    </row>
    <row r="749" spans="1:20" x14ac:dyDescent="0.2">
      <c r="A749" s="18" t="str">
        <f t="shared" si="293"/>
        <v>50241</v>
      </c>
      <c r="B749" s="18">
        <v>5</v>
      </c>
      <c r="C749" s="18">
        <v>2</v>
      </c>
      <c r="D749" s="18" t="s">
        <v>237</v>
      </c>
      <c r="E749" s="18">
        <v>1</v>
      </c>
      <c r="F749" s="19">
        <f t="shared" si="298"/>
        <v>112548</v>
      </c>
      <c r="G749" s="19">
        <f t="shared" si="298"/>
        <v>112548</v>
      </c>
      <c r="H749" s="19">
        <f t="shared" si="299"/>
        <v>70255</v>
      </c>
      <c r="I749" s="19">
        <f t="shared" si="299"/>
        <v>70255</v>
      </c>
      <c r="J749" s="19">
        <f t="shared" si="300"/>
        <v>151719</v>
      </c>
      <c r="K749" s="133">
        <v>1000</v>
      </c>
      <c r="L749" s="19"/>
      <c r="M749" s="16">
        <f t="shared" si="294"/>
        <v>87622.871779208333</v>
      </c>
      <c r="N749" s="58">
        <v>930</v>
      </c>
      <c r="O749" s="58">
        <v>1</v>
      </c>
      <c r="P749" s="94">
        <v>22481.600000000002</v>
      </c>
      <c r="Q749" s="90" t="s">
        <v>372</v>
      </c>
      <c r="R749" s="41"/>
      <c r="S749" s="58">
        <v>28102</v>
      </c>
    </row>
    <row r="750" spans="1:20" x14ac:dyDescent="0.2">
      <c r="A750" s="18" t="str">
        <f t="shared" si="293"/>
        <v>50242</v>
      </c>
      <c r="B750" s="18">
        <v>5</v>
      </c>
      <c r="C750" s="18">
        <v>2</v>
      </c>
      <c r="D750" s="18" t="s">
        <v>237</v>
      </c>
      <c r="E750" s="18">
        <v>2</v>
      </c>
      <c r="F750" s="19">
        <f t="shared" si="298"/>
        <v>219476</v>
      </c>
      <c r="G750" s="19">
        <f t="shared" si="298"/>
        <v>219476</v>
      </c>
      <c r="H750" s="19">
        <f t="shared" si="299"/>
        <v>70255</v>
      </c>
      <c r="I750" s="19">
        <f t="shared" si="299"/>
        <v>70255</v>
      </c>
      <c r="J750" s="19">
        <f t="shared" si="300"/>
        <v>297967</v>
      </c>
      <c r="K750" s="133">
        <v>1000</v>
      </c>
      <c r="L750" s="19"/>
      <c r="M750" s="16">
        <f t="shared" si="294"/>
        <v>171477.13092611663</v>
      </c>
      <c r="N750" s="58">
        <v>910</v>
      </c>
      <c r="O750" s="58">
        <v>2</v>
      </c>
      <c r="P750" s="94">
        <v>22481.600000000002</v>
      </c>
      <c r="Q750" s="90" t="s">
        <v>368</v>
      </c>
      <c r="R750" s="41"/>
      <c r="S750" s="58">
        <v>28102</v>
      </c>
    </row>
    <row r="751" spans="1:20" x14ac:dyDescent="0.2">
      <c r="A751" s="18" t="str">
        <f t="shared" si="293"/>
        <v>50243</v>
      </c>
      <c r="B751" s="18">
        <v>5</v>
      </c>
      <c r="C751" s="18">
        <v>2</v>
      </c>
      <c r="D751" s="18" t="s">
        <v>237</v>
      </c>
      <c r="E751" s="18">
        <v>3</v>
      </c>
      <c r="F751" s="19">
        <f t="shared" si="298"/>
        <v>320784</v>
      </c>
      <c r="G751" s="19">
        <f t="shared" si="298"/>
        <v>320784</v>
      </c>
      <c r="H751" s="19">
        <f t="shared" si="299"/>
        <v>70255</v>
      </c>
      <c r="I751" s="19">
        <f t="shared" si="299"/>
        <v>70255</v>
      </c>
      <c r="J751" s="19">
        <f t="shared" si="300"/>
        <v>438756</v>
      </c>
      <c r="K751" s="133">
        <v>1000</v>
      </c>
      <c r="L751" s="19"/>
      <c r="M751" s="16">
        <f t="shared" si="294"/>
        <v>251562.84030808072</v>
      </c>
      <c r="N751" s="58">
        <v>890</v>
      </c>
      <c r="O751" s="58">
        <v>3</v>
      </c>
      <c r="P751" s="94">
        <v>22481.600000000002</v>
      </c>
      <c r="Q751" s="90" t="s">
        <v>369</v>
      </c>
      <c r="R751" s="41"/>
      <c r="S751" s="58">
        <v>28102</v>
      </c>
    </row>
    <row r="752" spans="1:20" x14ac:dyDescent="0.2">
      <c r="A752" s="18" t="str">
        <f t="shared" si="293"/>
        <v>50244</v>
      </c>
      <c r="B752" s="18">
        <v>5</v>
      </c>
      <c r="C752" s="18">
        <v>2</v>
      </c>
      <c r="D752" s="18" t="s">
        <v>237</v>
      </c>
      <c r="E752" s="18">
        <v>4</v>
      </c>
      <c r="F752" s="19">
        <f t="shared" si="298"/>
        <v>416471</v>
      </c>
      <c r="G752" s="19">
        <f t="shared" si="298"/>
        <v>416471</v>
      </c>
      <c r="H752" s="19">
        <f t="shared" si="299"/>
        <v>70255</v>
      </c>
      <c r="I752" s="19">
        <f t="shared" si="299"/>
        <v>70255</v>
      </c>
      <c r="J752" s="19">
        <f t="shared" si="300"/>
        <v>574099</v>
      </c>
      <c r="K752" s="133">
        <v>1000</v>
      </c>
      <c r="L752" s="19"/>
      <c r="M752" s="16">
        <f t="shared" si="294"/>
        <v>327879.59056322271</v>
      </c>
      <c r="N752" s="58">
        <v>870</v>
      </c>
      <c r="O752" s="58">
        <v>4</v>
      </c>
      <c r="P752" s="94">
        <v>22481.600000000002</v>
      </c>
      <c r="Q752" s="90" t="s">
        <v>370</v>
      </c>
      <c r="R752" s="41"/>
      <c r="S752" s="58">
        <v>28102</v>
      </c>
    </row>
    <row r="753" spans="1:20" x14ac:dyDescent="0.2">
      <c r="A753" s="18" t="str">
        <f t="shared" si="293"/>
        <v>50340</v>
      </c>
      <c r="B753" s="18">
        <v>5</v>
      </c>
      <c r="C753" s="18">
        <v>3</v>
      </c>
      <c r="D753" s="18" t="s">
        <v>237</v>
      </c>
      <c r="E753" s="18">
        <v>0</v>
      </c>
      <c r="F753" s="19">
        <f t="shared" si="298"/>
        <v>60115</v>
      </c>
      <c r="G753" s="19">
        <f t="shared" si="298"/>
        <v>60115</v>
      </c>
      <c r="H753" s="19">
        <f t="shared" si="299"/>
        <v>74125</v>
      </c>
      <c r="I753" s="19">
        <f t="shared" si="299"/>
        <v>74125</v>
      </c>
      <c r="J753" s="19">
        <f t="shared" si="300"/>
        <v>82488</v>
      </c>
      <c r="K753" s="133">
        <v>1000</v>
      </c>
      <c r="L753" s="19"/>
      <c r="M753" s="16">
        <f t="shared" si="294"/>
        <v>48501.944778823046</v>
      </c>
      <c r="N753" s="58">
        <v>950</v>
      </c>
      <c r="O753" s="58">
        <v>0.5</v>
      </c>
      <c r="P753" s="94">
        <v>23720</v>
      </c>
      <c r="Q753" s="90" t="s">
        <v>373</v>
      </c>
      <c r="R753" s="41"/>
      <c r="S753" s="41" t="s">
        <v>255</v>
      </c>
    </row>
    <row r="754" spans="1:20" x14ac:dyDescent="0.2">
      <c r="A754" s="18" t="str">
        <f t="shared" si="293"/>
        <v>50341</v>
      </c>
      <c r="B754" s="18">
        <v>5</v>
      </c>
      <c r="C754" s="18">
        <v>3</v>
      </c>
      <c r="D754" s="18" t="s">
        <v>237</v>
      </c>
      <c r="E754" s="18">
        <v>1</v>
      </c>
      <c r="F754" s="19">
        <f t="shared" si="298"/>
        <v>117265</v>
      </c>
      <c r="G754" s="19">
        <f t="shared" si="298"/>
        <v>117265</v>
      </c>
      <c r="H754" s="19">
        <f t="shared" si="299"/>
        <v>74125</v>
      </c>
      <c r="I754" s="19">
        <f t="shared" si="299"/>
        <v>74125</v>
      </c>
      <c r="J754" s="19">
        <f t="shared" si="300"/>
        <v>162100</v>
      </c>
      <c r="K754" s="133">
        <v>1000</v>
      </c>
      <c r="L754" s="19"/>
      <c r="M754" s="16">
        <f t="shared" si="294"/>
        <v>94961.606155329966</v>
      </c>
      <c r="N754" s="58">
        <v>930</v>
      </c>
      <c r="O754" s="58">
        <v>1</v>
      </c>
      <c r="P754" s="94">
        <v>23720</v>
      </c>
      <c r="Q754" s="90" t="s">
        <v>371</v>
      </c>
      <c r="R754" s="41"/>
      <c r="S754" s="41" t="s">
        <v>255</v>
      </c>
    </row>
    <row r="755" spans="1:20" x14ac:dyDescent="0.2">
      <c r="A755" s="18" t="str">
        <f t="shared" si="293"/>
        <v>50342</v>
      </c>
      <c r="B755" s="18">
        <v>5</v>
      </c>
      <c r="C755" s="18">
        <v>3</v>
      </c>
      <c r="D755" s="18" t="s">
        <v>237</v>
      </c>
      <c r="E755" s="18">
        <v>2</v>
      </c>
      <c r="F755" s="19">
        <f t="shared" si="298"/>
        <v>228601</v>
      </c>
      <c r="G755" s="19">
        <f t="shared" si="298"/>
        <v>228601</v>
      </c>
      <c r="H755" s="19">
        <f t="shared" si="299"/>
        <v>74125</v>
      </c>
      <c r="I755" s="19">
        <f t="shared" si="299"/>
        <v>74125</v>
      </c>
      <c r="J755" s="19">
        <f t="shared" si="300"/>
        <v>318458</v>
      </c>
      <c r="K755" s="133">
        <v>1000</v>
      </c>
      <c r="L755" s="19"/>
      <c r="M755" s="16">
        <f t="shared" si="294"/>
        <v>185839.26739845701</v>
      </c>
      <c r="N755" s="58">
        <v>910</v>
      </c>
      <c r="O755" s="58">
        <v>2</v>
      </c>
      <c r="P755" s="94">
        <v>23720</v>
      </c>
      <c r="Q755" s="90" t="s">
        <v>366</v>
      </c>
      <c r="R755" s="41"/>
      <c r="S755" s="41" t="s">
        <v>255</v>
      </c>
    </row>
    <row r="756" spans="1:20" x14ac:dyDescent="0.2">
      <c r="A756" s="18" t="str">
        <f t="shared" si="293"/>
        <v>50343</v>
      </c>
      <c r="B756" s="18">
        <v>5</v>
      </c>
      <c r="C756" s="18">
        <v>3</v>
      </c>
      <c r="D756" s="18" t="s">
        <v>237</v>
      </c>
      <c r="E756" s="18">
        <v>3</v>
      </c>
      <c r="F756" s="19">
        <f t="shared" si="298"/>
        <v>334007</v>
      </c>
      <c r="G756" s="19">
        <f t="shared" si="298"/>
        <v>334007</v>
      </c>
      <c r="H756" s="19">
        <f t="shared" si="299"/>
        <v>74125</v>
      </c>
      <c r="I756" s="19">
        <f t="shared" si="299"/>
        <v>74125</v>
      </c>
      <c r="J756" s="19">
        <f t="shared" si="300"/>
        <v>469089</v>
      </c>
      <c r="K756" s="133">
        <v>1000</v>
      </c>
      <c r="L756" s="19"/>
      <c r="M756" s="16">
        <f t="shared" si="294"/>
        <v>272632.5772264775</v>
      </c>
      <c r="N756" s="58">
        <v>890</v>
      </c>
      <c r="O756" s="58">
        <v>3</v>
      </c>
      <c r="P756" s="94">
        <v>23720</v>
      </c>
      <c r="Q756" s="90" t="s">
        <v>367</v>
      </c>
      <c r="R756" s="41"/>
      <c r="S756" s="41" t="s">
        <v>255</v>
      </c>
    </row>
    <row r="757" spans="1:20" x14ac:dyDescent="0.2">
      <c r="A757" s="18" t="str">
        <f t="shared" si="293"/>
        <v>50344</v>
      </c>
      <c r="B757" s="18">
        <v>5</v>
      </c>
      <c r="C757" s="18">
        <v>3</v>
      </c>
      <c r="D757" s="18" t="s">
        <v>237</v>
      </c>
      <c r="E757" s="18">
        <v>4</v>
      </c>
      <c r="F757" s="19">
        <f t="shared" si="298"/>
        <v>433483</v>
      </c>
      <c r="G757" s="19">
        <f t="shared" si="298"/>
        <v>433483</v>
      </c>
      <c r="H757" s="19">
        <f t="shared" si="299"/>
        <v>74125</v>
      </c>
      <c r="I757" s="19">
        <f t="shared" si="299"/>
        <v>74125</v>
      </c>
      <c r="J757" s="19">
        <f t="shared" si="300"/>
        <v>614010</v>
      </c>
      <c r="K757" s="133">
        <v>1000</v>
      </c>
      <c r="L757" s="19"/>
      <c r="M757" s="16">
        <f t="shared" si="294"/>
        <v>355341.63597325888</v>
      </c>
      <c r="N757" s="58">
        <v>870</v>
      </c>
      <c r="O757" s="58">
        <v>4</v>
      </c>
      <c r="P757" s="94">
        <v>23720</v>
      </c>
      <c r="Q757" s="90" t="s">
        <v>102</v>
      </c>
      <c r="R757" s="41"/>
      <c r="S757" s="41" t="s">
        <v>255</v>
      </c>
    </row>
    <row r="758" spans="1:20" ht="38.25" x14ac:dyDescent="0.2">
      <c r="A758" s="8" t="str">
        <f t="shared" si="257"/>
        <v/>
      </c>
      <c r="B758" s="5"/>
      <c r="C758" s="6" t="s">
        <v>82</v>
      </c>
      <c r="D758" s="5"/>
      <c r="E758" s="5"/>
      <c r="F758" s="5"/>
      <c r="G758" s="5"/>
      <c r="H758" s="5"/>
      <c r="I758" s="5"/>
      <c r="J758" s="5"/>
      <c r="K758" s="133">
        <v>1000</v>
      </c>
      <c r="L758" s="5"/>
      <c r="M758" s="16">
        <f t="shared" si="294"/>
        <v>0</v>
      </c>
      <c r="N758" s="5"/>
      <c r="O758" s="5"/>
      <c r="P758" s="5"/>
      <c r="Q758" s="5"/>
      <c r="R758" s="5"/>
      <c r="S758" s="30"/>
      <c r="T758" s="266"/>
    </row>
    <row r="759" spans="1:20" x14ac:dyDescent="0.2">
      <c r="A759" s="8" t="str">
        <f t="shared" si="257"/>
        <v>1050130</v>
      </c>
      <c r="B759" s="8">
        <v>105</v>
      </c>
      <c r="C759" s="8">
        <v>1</v>
      </c>
      <c r="D759" s="8" t="s">
        <v>64</v>
      </c>
      <c r="E759" s="8">
        <v>0</v>
      </c>
      <c r="F759" s="34">
        <f>ROUNDDOWN($P759/4*$O759*10*$N759/$N759*$Q759/400,0)</f>
        <v>38548</v>
      </c>
      <c r="G759" s="34">
        <f>ROUNDDOWN($P759/4*$O759*10*$N759/$N759*$Q759/400,0)</f>
        <v>38548</v>
      </c>
      <c r="H759" s="34">
        <f t="shared" ref="H759:I774" si="301">ROUNDDOWN($S759/4*10,0)</f>
        <v>21092</v>
      </c>
      <c r="I759" s="34">
        <f t="shared" si="301"/>
        <v>21092</v>
      </c>
      <c r="J759" s="34">
        <f>ROUNDDOWN($P759/4*$O759*10*$N759/$Q759*$N759/400,0)</f>
        <v>58433</v>
      </c>
      <c r="K759" s="133">
        <v>1000</v>
      </c>
      <c r="L759" s="34"/>
      <c r="M759" s="16">
        <f t="shared" si="294"/>
        <v>17437.28578698013</v>
      </c>
      <c r="N759" s="36">
        <v>900</v>
      </c>
      <c r="O759" s="36">
        <v>0.5</v>
      </c>
      <c r="P759" s="2" t="s">
        <v>769</v>
      </c>
      <c r="Q759" s="2" t="s">
        <v>102</v>
      </c>
      <c r="S759" s="36">
        <f t="shared" ref="S759:S763" si="302">ROUNDDOWN(P759*0.5,0)</f>
        <v>8437</v>
      </c>
    </row>
    <row r="760" spans="1:20" x14ac:dyDescent="0.2">
      <c r="A760" s="8" t="str">
        <f t="shared" si="257"/>
        <v>1050131</v>
      </c>
      <c r="B760" s="8">
        <v>105</v>
      </c>
      <c r="C760" s="8">
        <v>1</v>
      </c>
      <c r="D760" s="8" t="s">
        <v>64</v>
      </c>
      <c r="E760" s="8">
        <v>1</v>
      </c>
      <c r="F760" s="34">
        <f t="shared" ref="F760:G775" si="303">ROUNDDOWN($P760/4*$O760*10*$N760/$N760*$Q760/400,0)</f>
        <v>77097</v>
      </c>
      <c r="G760" s="34">
        <f t="shared" si="303"/>
        <v>77097</v>
      </c>
      <c r="H760" s="34">
        <f t="shared" si="301"/>
        <v>21092</v>
      </c>
      <c r="I760" s="34">
        <f t="shared" si="301"/>
        <v>21092</v>
      </c>
      <c r="J760" s="34">
        <f t="shared" ref="J760:J817" si="304">ROUNDDOWN($P760/4*$O760*10*$N760/$Q760*$N760/400,0)</f>
        <v>111730</v>
      </c>
      <c r="K760" s="133">
        <v>1000</v>
      </c>
      <c r="L760" s="34"/>
      <c r="M760" s="16">
        <f t="shared" si="294"/>
        <v>34099.853035086941</v>
      </c>
      <c r="N760" s="36">
        <v>880</v>
      </c>
      <c r="O760" s="36">
        <v>1</v>
      </c>
      <c r="P760" s="2" t="s">
        <v>769</v>
      </c>
      <c r="Q760" s="2" t="s">
        <v>102</v>
      </c>
      <c r="S760" s="36">
        <f t="shared" si="302"/>
        <v>8437</v>
      </c>
    </row>
    <row r="761" spans="1:20" x14ac:dyDescent="0.2">
      <c r="A761" s="8" t="str">
        <f t="shared" si="257"/>
        <v>1050132</v>
      </c>
      <c r="B761" s="8">
        <v>105</v>
      </c>
      <c r="C761" s="8">
        <v>1</v>
      </c>
      <c r="D761" s="8" t="s">
        <v>64</v>
      </c>
      <c r="E761" s="8">
        <v>2</v>
      </c>
      <c r="F761" s="34">
        <f t="shared" si="303"/>
        <v>231292</v>
      </c>
      <c r="G761" s="34">
        <f t="shared" si="303"/>
        <v>231292</v>
      </c>
      <c r="H761" s="34">
        <f t="shared" si="301"/>
        <v>21092</v>
      </c>
      <c r="I761" s="34">
        <f t="shared" si="301"/>
        <v>21092</v>
      </c>
      <c r="J761" s="34">
        <f t="shared" si="304"/>
        <v>320128</v>
      </c>
      <c r="K761" s="133">
        <v>1000</v>
      </c>
      <c r="L761" s="34"/>
      <c r="M761" s="16">
        <f t="shared" si="294"/>
        <v>99974.906069732271</v>
      </c>
      <c r="N761" s="36">
        <v>860</v>
      </c>
      <c r="O761" s="36">
        <v>3</v>
      </c>
      <c r="P761" s="2" t="s">
        <v>769</v>
      </c>
      <c r="Q761" s="2" t="s">
        <v>102</v>
      </c>
      <c r="S761" s="36">
        <f t="shared" si="302"/>
        <v>8437</v>
      </c>
    </row>
    <row r="762" spans="1:20" x14ac:dyDescent="0.2">
      <c r="A762" s="8" t="str">
        <f t="shared" si="257"/>
        <v>1050133</v>
      </c>
      <c r="B762" s="8">
        <v>105</v>
      </c>
      <c r="C762" s="8">
        <v>1</v>
      </c>
      <c r="D762" s="8" t="s">
        <v>64</v>
      </c>
      <c r="E762" s="8">
        <v>3</v>
      </c>
      <c r="F762" s="34">
        <f t="shared" si="303"/>
        <v>269841</v>
      </c>
      <c r="G762" s="34">
        <f t="shared" si="303"/>
        <v>269841</v>
      </c>
      <c r="H762" s="34">
        <f t="shared" si="301"/>
        <v>21092</v>
      </c>
      <c r="I762" s="34">
        <f t="shared" si="301"/>
        <v>21092</v>
      </c>
      <c r="J762" s="34">
        <f t="shared" si="304"/>
        <v>356314</v>
      </c>
      <c r="K762" s="133">
        <v>1000</v>
      </c>
      <c r="L762" s="34"/>
      <c r="M762" s="16">
        <f t="shared" si="294"/>
        <v>113925.06379624273</v>
      </c>
      <c r="N762" s="36">
        <v>840</v>
      </c>
      <c r="O762" s="36">
        <v>3.5</v>
      </c>
      <c r="P762" s="2" t="s">
        <v>769</v>
      </c>
      <c r="Q762" s="2" t="s">
        <v>102</v>
      </c>
      <c r="S762" s="36">
        <f t="shared" si="302"/>
        <v>8437</v>
      </c>
    </row>
    <row r="763" spans="1:20" x14ac:dyDescent="0.2">
      <c r="A763" s="8" t="str">
        <f t="shared" si="257"/>
        <v>1050134</v>
      </c>
      <c r="B763" s="8">
        <v>105</v>
      </c>
      <c r="C763" s="8">
        <v>1</v>
      </c>
      <c r="D763" s="8" t="s">
        <v>64</v>
      </c>
      <c r="E763" s="8">
        <v>4</v>
      </c>
      <c r="F763" s="34">
        <f t="shared" si="303"/>
        <v>308390</v>
      </c>
      <c r="G763" s="34">
        <f t="shared" si="303"/>
        <v>308390</v>
      </c>
      <c r="H763" s="34">
        <f t="shared" si="301"/>
        <v>21092</v>
      </c>
      <c r="I763" s="34">
        <f t="shared" si="301"/>
        <v>21092</v>
      </c>
      <c r="J763" s="34">
        <f t="shared" si="304"/>
        <v>388055</v>
      </c>
      <c r="K763" s="133">
        <v>1000</v>
      </c>
      <c r="L763" s="34"/>
      <c r="M763" s="16">
        <f t="shared" si="294"/>
        <v>127100.0301581308</v>
      </c>
      <c r="N763" s="36">
        <v>820</v>
      </c>
      <c r="O763" s="36">
        <v>4</v>
      </c>
      <c r="P763" s="2" t="s">
        <v>769</v>
      </c>
      <c r="Q763" s="2" t="s">
        <v>102</v>
      </c>
      <c r="S763" s="36">
        <f t="shared" si="302"/>
        <v>8437</v>
      </c>
    </row>
    <row r="764" spans="1:20" ht="38.25" x14ac:dyDescent="0.2">
      <c r="A764" s="8" t="str">
        <f t="shared" si="257"/>
        <v/>
      </c>
      <c r="B764" s="5"/>
      <c r="C764" s="6" t="s">
        <v>171</v>
      </c>
      <c r="D764" s="5"/>
      <c r="E764" s="5"/>
      <c r="F764" s="5"/>
      <c r="G764" s="5"/>
      <c r="H764" s="5"/>
      <c r="I764" s="5"/>
      <c r="J764" s="5"/>
      <c r="K764" s="133">
        <v>1000</v>
      </c>
      <c r="L764" s="5"/>
      <c r="M764" s="16">
        <f t="shared" si="294"/>
        <v>0</v>
      </c>
      <c r="N764" s="5"/>
      <c r="O764" s="5"/>
      <c r="P764" s="5"/>
      <c r="Q764" s="5"/>
      <c r="R764" s="5"/>
      <c r="S764" s="30"/>
      <c r="T764" s="266"/>
    </row>
    <row r="765" spans="1:20" x14ac:dyDescent="0.2">
      <c r="A765" s="8" t="str">
        <f t="shared" si="257"/>
        <v>60110</v>
      </c>
      <c r="B765" s="8">
        <v>6</v>
      </c>
      <c r="C765" s="8">
        <v>1</v>
      </c>
      <c r="D765" s="8" t="s">
        <v>62</v>
      </c>
      <c r="E765" s="8">
        <v>0</v>
      </c>
      <c r="F765" s="34">
        <f t="shared" si="303"/>
        <v>46198</v>
      </c>
      <c r="G765" s="34">
        <f t="shared" si="303"/>
        <v>46198</v>
      </c>
      <c r="H765" s="34">
        <f t="shared" si="301"/>
        <v>20997</v>
      </c>
      <c r="I765" s="34">
        <f t="shared" si="301"/>
        <v>20997</v>
      </c>
      <c r="J765" s="34">
        <f t="shared" si="304"/>
        <v>48322</v>
      </c>
      <c r="K765" s="133">
        <v>1000</v>
      </c>
      <c r="L765" s="34"/>
      <c r="M765" s="16">
        <f t="shared" si="294"/>
        <v>17320.189881034352</v>
      </c>
      <c r="N765" s="36">
        <v>900</v>
      </c>
      <c r="O765" s="36">
        <v>0.5</v>
      </c>
      <c r="P765" s="56">
        <v>16799.400000000001</v>
      </c>
      <c r="Q765" s="2" t="s">
        <v>188</v>
      </c>
      <c r="S765" s="36">
        <f t="shared" ref="S765:S781" si="305">ROUNDDOWN(P765*0.5,0)</f>
        <v>8399</v>
      </c>
      <c r="T765" s="114"/>
    </row>
    <row r="766" spans="1:20" x14ac:dyDescent="0.2">
      <c r="A766" s="8" t="str">
        <f t="shared" si="257"/>
        <v>60111</v>
      </c>
      <c r="B766" s="8">
        <v>6</v>
      </c>
      <c r="C766" s="8">
        <v>1</v>
      </c>
      <c r="D766" s="8" t="s">
        <v>62</v>
      </c>
      <c r="E766" s="8">
        <v>1</v>
      </c>
      <c r="F766" s="34">
        <f t="shared" si="303"/>
        <v>87146</v>
      </c>
      <c r="G766" s="34">
        <f t="shared" si="303"/>
        <v>87146</v>
      </c>
      <c r="H766" s="34">
        <f t="shared" si="301"/>
        <v>20997</v>
      </c>
      <c r="I766" s="34">
        <f t="shared" si="301"/>
        <v>20997</v>
      </c>
      <c r="J766" s="34">
        <f t="shared" si="304"/>
        <v>97962</v>
      </c>
      <c r="K766" s="133">
        <v>1000</v>
      </c>
      <c r="L766" s="34"/>
      <c r="M766" s="16">
        <f t="shared" si="294"/>
        <v>33870.46519929896</v>
      </c>
      <c r="N766" s="36">
        <v>880</v>
      </c>
      <c r="O766" s="36">
        <v>1</v>
      </c>
      <c r="P766" s="56">
        <v>16799.400000000001</v>
      </c>
      <c r="Q766" s="2" t="s">
        <v>187</v>
      </c>
      <c r="S766" s="36">
        <f t="shared" si="305"/>
        <v>8399</v>
      </c>
      <c r="T766" s="114"/>
    </row>
    <row r="767" spans="1:20" x14ac:dyDescent="0.2">
      <c r="A767" s="8" t="str">
        <f t="shared" ref="A767:A1296" si="306">IF(B767="","",CONCATENATE(B767,CONCATENATE(REPT(0,2-LEN(C767)),C767),IF(OR(D767="Easy",D767=""),1,IF(D767="Normal",2,IF(D767="Hard",3,IF(D767="Hell",4,"error")))),E767))</f>
        <v>60112</v>
      </c>
      <c r="B767" s="8">
        <v>6</v>
      </c>
      <c r="C767" s="8">
        <v>1</v>
      </c>
      <c r="D767" s="8" t="s">
        <v>62</v>
      </c>
      <c r="E767" s="8">
        <v>2</v>
      </c>
      <c r="F767" s="34">
        <f t="shared" si="303"/>
        <v>245691</v>
      </c>
      <c r="G767" s="34">
        <f t="shared" si="303"/>
        <v>245691</v>
      </c>
      <c r="H767" s="34">
        <f t="shared" si="301"/>
        <v>20997</v>
      </c>
      <c r="I767" s="34">
        <f t="shared" si="301"/>
        <v>20997</v>
      </c>
      <c r="J767" s="34">
        <f t="shared" si="304"/>
        <v>298673</v>
      </c>
      <c r="K767" s="133">
        <v>1000</v>
      </c>
      <c r="L767" s="34"/>
      <c r="M767" s="16">
        <f t="shared" si="294"/>
        <v>99302.73664221332</v>
      </c>
      <c r="N767" s="36">
        <v>860</v>
      </c>
      <c r="O767" s="36">
        <v>3</v>
      </c>
      <c r="P767" s="56">
        <v>16799.400000000001</v>
      </c>
      <c r="Q767" s="2" t="s">
        <v>186</v>
      </c>
      <c r="S767" s="36">
        <f t="shared" si="305"/>
        <v>8399</v>
      </c>
      <c r="T767" s="114"/>
    </row>
    <row r="768" spans="1:20" x14ac:dyDescent="0.2">
      <c r="A768" s="8" t="str">
        <f t="shared" si="306"/>
        <v>60113</v>
      </c>
      <c r="B768" s="8">
        <v>6</v>
      </c>
      <c r="C768" s="8">
        <v>1</v>
      </c>
      <c r="D768" s="8" t="s">
        <v>62</v>
      </c>
      <c r="E768" s="8">
        <v>3</v>
      </c>
      <c r="F768" s="34">
        <f t="shared" si="303"/>
        <v>268265</v>
      </c>
      <c r="G768" s="34">
        <f t="shared" si="303"/>
        <v>268265</v>
      </c>
      <c r="H768" s="34">
        <f t="shared" si="301"/>
        <v>20997</v>
      </c>
      <c r="I768" s="34">
        <f t="shared" si="301"/>
        <v>20997</v>
      </c>
      <c r="J768" s="34">
        <f t="shared" si="304"/>
        <v>355203</v>
      </c>
      <c r="K768" s="133">
        <v>1000</v>
      </c>
      <c r="L768" s="34"/>
      <c r="M768" s="16">
        <f t="shared" si="294"/>
        <v>113158.95575613245</v>
      </c>
      <c r="N768" s="36">
        <v>840</v>
      </c>
      <c r="O768" s="36">
        <v>3.5</v>
      </c>
      <c r="P768" s="56">
        <v>16799.400000000001</v>
      </c>
      <c r="Q768" s="2" t="s">
        <v>185</v>
      </c>
      <c r="S768" s="36">
        <f t="shared" si="305"/>
        <v>8399</v>
      </c>
      <c r="T768" s="114"/>
    </row>
    <row r="769" spans="1:20" x14ac:dyDescent="0.2">
      <c r="A769" s="8" t="str">
        <f t="shared" si="306"/>
        <v>60114</v>
      </c>
      <c r="B769" s="8">
        <v>6</v>
      </c>
      <c r="C769" s="8">
        <v>1</v>
      </c>
      <c r="D769" s="8" t="s">
        <v>62</v>
      </c>
      <c r="E769" s="8">
        <v>4</v>
      </c>
      <c r="F769" s="34">
        <f t="shared" si="303"/>
        <v>293989</v>
      </c>
      <c r="G769" s="34">
        <f t="shared" si="303"/>
        <v>293989</v>
      </c>
      <c r="H769" s="34">
        <f t="shared" si="301"/>
        <v>20997</v>
      </c>
      <c r="I769" s="34">
        <f t="shared" si="301"/>
        <v>20997</v>
      </c>
      <c r="J769" s="34">
        <f t="shared" si="304"/>
        <v>403425</v>
      </c>
      <c r="K769" s="133">
        <v>1000</v>
      </c>
      <c r="L769" s="34"/>
      <c r="M769" s="16">
        <f t="shared" si="294"/>
        <v>126245.39788936214</v>
      </c>
      <c r="N769" s="36">
        <v>820</v>
      </c>
      <c r="O769" s="36">
        <v>4</v>
      </c>
      <c r="P769" s="56">
        <v>16799.400000000001</v>
      </c>
      <c r="Q769" s="2" t="s">
        <v>166</v>
      </c>
      <c r="S769" s="36">
        <f t="shared" si="305"/>
        <v>8399</v>
      </c>
      <c r="T769" s="114"/>
    </row>
    <row r="770" spans="1:20" x14ac:dyDescent="0.2">
      <c r="A770" s="8" t="str">
        <f t="shared" si="306"/>
        <v>60210</v>
      </c>
      <c r="B770" s="8">
        <v>6</v>
      </c>
      <c r="C770" s="8">
        <v>2</v>
      </c>
      <c r="D770" s="8" t="s">
        <v>62</v>
      </c>
      <c r="E770" s="8">
        <v>0</v>
      </c>
      <c r="F770" s="34">
        <f t="shared" si="303"/>
        <v>47124</v>
      </c>
      <c r="G770" s="34">
        <f t="shared" si="303"/>
        <v>47124</v>
      </c>
      <c r="H770" s="34">
        <f t="shared" si="301"/>
        <v>21420</v>
      </c>
      <c r="I770" s="34">
        <f t="shared" si="301"/>
        <v>21420</v>
      </c>
      <c r="J770" s="34">
        <f t="shared" si="304"/>
        <v>49290</v>
      </c>
      <c r="K770" s="133">
        <v>1000</v>
      </c>
      <c r="L770" s="34"/>
      <c r="M770" s="16">
        <f t="shared" si="294"/>
        <v>17844.328225306774</v>
      </c>
      <c r="N770" s="36">
        <v>900</v>
      </c>
      <c r="O770" s="36">
        <v>0.5</v>
      </c>
      <c r="P770" s="56">
        <v>17136</v>
      </c>
      <c r="Q770" s="2" t="s">
        <v>188</v>
      </c>
      <c r="S770" s="36">
        <f t="shared" si="305"/>
        <v>8568</v>
      </c>
      <c r="T770" s="114"/>
    </row>
    <row r="771" spans="1:20" x14ac:dyDescent="0.2">
      <c r="A771" s="8" t="str">
        <f t="shared" si="306"/>
        <v>60211</v>
      </c>
      <c r="B771" s="8">
        <v>6</v>
      </c>
      <c r="C771" s="8">
        <v>2</v>
      </c>
      <c r="D771" s="8" t="s">
        <v>62</v>
      </c>
      <c r="E771" s="8">
        <v>1</v>
      </c>
      <c r="F771" s="34">
        <f t="shared" si="303"/>
        <v>88893</v>
      </c>
      <c r="G771" s="34">
        <f t="shared" si="303"/>
        <v>88893</v>
      </c>
      <c r="H771" s="34">
        <f t="shared" si="301"/>
        <v>21420</v>
      </c>
      <c r="I771" s="34">
        <f t="shared" si="301"/>
        <v>21420</v>
      </c>
      <c r="J771" s="34">
        <f t="shared" si="304"/>
        <v>99925</v>
      </c>
      <c r="K771" s="133">
        <v>1000</v>
      </c>
      <c r="L771" s="34"/>
      <c r="M771" s="16">
        <f t="shared" si="294"/>
        <v>34895.592789508533</v>
      </c>
      <c r="N771" s="36">
        <v>880</v>
      </c>
      <c r="O771" s="36">
        <v>1</v>
      </c>
      <c r="P771" s="56">
        <v>17136</v>
      </c>
      <c r="Q771" s="2" t="s">
        <v>187</v>
      </c>
      <c r="S771" s="36">
        <f t="shared" si="305"/>
        <v>8568</v>
      </c>
      <c r="T771" s="114"/>
    </row>
    <row r="772" spans="1:20" x14ac:dyDescent="0.2">
      <c r="A772" s="8" t="str">
        <f t="shared" si="306"/>
        <v>60212</v>
      </c>
      <c r="B772" s="8">
        <v>6</v>
      </c>
      <c r="C772" s="8">
        <v>2</v>
      </c>
      <c r="D772" s="8" t="s">
        <v>62</v>
      </c>
      <c r="E772" s="8">
        <v>2</v>
      </c>
      <c r="F772" s="34">
        <f t="shared" si="303"/>
        <v>250614</v>
      </c>
      <c r="G772" s="34">
        <f t="shared" si="303"/>
        <v>250614</v>
      </c>
      <c r="H772" s="34">
        <f t="shared" si="301"/>
        <v>21420</v>
      </c>
      <c r="I772" s="34">
        <f t="shared" si="301"/>
        <v>21420</v>
      </c>
      <c r="J772" s="34">
        <f t="shared" si="304"/>
        <v>304658</v>
      </c>
      <c r="K772" s="133">
        <v>1000</v>
      </c>
      <c r="L772" s="34"/>
      <c r="M772" s="16">
        <f t="shared" si="294"/>
        <v>102307.7839605817</v>
      </c>
      <c r="N772" s="36">
        <v>860</v>
      </c>
      <c r="O772" s="36">
        <v>3</v>
      </c>
      <c r="P772" s="56">
        <v>17136</v>
      </c>
      <c r="Q772" s="2" t="s">
        <v>186</v>
      </c>
      <c r="S772" s="36">
        <f t="shared" si="305"/>
        <v>8568</v>
      </c>
      <c r="T772" s="114"/>
    </row>
    <row r="773" spans="1:20" x14ac:dyDescent="0.2">
      <c r="A773" s="8" t="str">
        <f t="shared" si="306"/>
        <v>60213</v>
      </c>
      <c r="B773" s="8">
        <v>6</v>
      </c>
      <c r="C773" s="8">
        <v>2</v>
      </c>
      <c r="D773" s="8" t="s">
        <v>62</v>
      </c>
      <c r="E773" s="8">
        <v>3</v>
      </c>
      <c r="F773" s="34">
        <f t="shared" si="303"/>
        <v>273640</v>
      </c>
      <c r="G773" s="34">
        <f t="shared" si="303"/>
        <v>273640</v>
      </c>
      <c r="H773" s="34">
        <f t="shared" si="301"/>
        <v>21420</v>
      </c>
      <c r="I773" s="34">
        <f t="shared" si="301"/>
        <v>21420</v>
      </c>
      <c r="J773" s="34">
        <f t="shared" si="304"/>
        <v>362320</v>
      </c>
      <c r="K773" s="133">
        <v>1000</v>
      </c>
      <c r="L773" s="34"/>
      <c r="M773" s="16">
        <f t="shared" si="294"/>
        <v>116583.11764205999</v>
      </c>
      <c r="N773" s="36">
        <v>840</v>
      </c>
      <c r="O773" s="36">
        <v>3.5</v>
      </c>
      <c r="P773" s="56">
        <v>17136</v>
      </c>
      <c r="Q773" s="2" t="s">
        <v>185</v>
      </c>
      <c r="S773" s="36">
        <f t="shared" si="305"/>
        <v>8568</v>
      </c>
      <c r="T773" s="114"/>
    </row>
    <row r="774" spans="1:20" x14ac:dyDescent="0.2">
      <c r="A774" s="8" t="str">
        <f t="shared" si="306"/>
        <v>60214</v>
      </c>
      <c r="B774" s="8">
        <v>6</v>
      </c>
      <c r="C774" s="8">
        <v>2</v>
      </c>
      <c r="D774" s="8" t="s">
        <v>62</v>
      </c>
      <c r="E774" s="8">
        <v>4</v>
      </c>
      <c r="F774" s="34">
        <f t="shared" si="303"/>
        <v>299880</v>
      </c>
      <c r="G774" s="34">
        <f t="shared" si="303"/>
        <v>299880</v>
      </c>
      <c r="H774" s="34">
        <f t="shared" si="301"/>
        <v>21420</v>
      </c>
      <c r="I774" s="34">
        <f t="shared" si="301"/>
        <v>21420</v>
      </c>
      <c r="J774" s="34">
        <f t="shared" si="304"/>
        <v>411508</v>
      </c>
      <c r="K774" s="133">
        <v>1000</v>
      </c>
      <c r="L774" s="34"/>
      <c r="M774" s="16">
        <f t="shared" si="294"/>
        <v>130065.64909366163</v>
      </c>
      <c r="N774" s="36">
        <v>820</v>
      </c>
      <c r="O774" s="36">
        <v>4</v>
      </c>
      <c r="P774" s="56">
        <v>17136</v>
      </c>
      <c r="Q774" s="2" t="s">
        <v>166</v>
      </c>
      <c r="S774" s="36">
        <f t="shared" si="305"/>
        <v>8568</v>
      </c>
      <c r="T774" s="114"/>
    </row>
    <row r="775" spans="1:20" x14ac:dyDescent="0.2">
      <c r="A775" s="8" t="str">
        <f t="shared" si="306"/>
        <v>60310</v>
      </c>
      <c r="B775" s="8">
        <v>6</v>
      </c>
      <c r="C775" s="8">
        <v>3</v>
      </c>
      <c r="D775" s="8" t="s">
        <v>62</v>
      </c>
      <c r="E775" s="8">
        <v>0</v>
      </c>
      <c r="F775" s="34">
        <f t="shared" si="303"/>
        <v>48054</v>
      </c>
      <c r="G775" s="34">
        <f t="shared" si="303"/>
        <v>48054</v>
      </c>
      <c r="H775" s="34">
        <f t="shared" ref="H775:I779" si="307">ROUNDDOWN($S775/4*10,0)</f>
        <v>21842</v>
      </c>
      <c r="I775" s="34">
        <f t="shared" si="307"/>
        <v>21842</v>
      </c>
      <c r="J775" s="34">
        <f t="shared" si="304"/>
        <v>50263</v>
      </c>
      <c r="K775" s="133">
        <v>1000</v>
      </c>
      <c r="L775" s="34"/>
      <c r="M775" s="16">
        <f t="shared" si="294"/>
        <v>18374.907587570004</v>
      </c>
      <c r="N775" s="36">
        <v>900</v>
      </c>
      <c r="O775" s="36">
        <v>0.5</v>
      </c>
      <c r="P775" s="56">
        <v>17474.400000000001</v>
      </c>
      <c r="Q775" s="2" t="s">
        <v>188</v>
      </c>
      <c r="S775" s="36">
        <f t="shared" si="305"/>
        <v>8737</v>
      </c>
      <c r="T775" s="114"/>
    </row>
    <row r="776" spans="1:20" x14ac:dyDescent="0.2">
      <c r="A776" s="8" t="str">
        <f t="shared" si="306"/>
        <v>60311</v>
      </c>
      <c r="B776" s="8">
        <v>6</v>
      </c>
      <c r="C776" s="8">
        <v>3</v>
      </c>
      <c r="D776" s="8" t="s">
        <v>62</v>
      </c>
      <c r="E776" s="8">
        <v>1</v>
      </c>
      <c r="F776" s="34">
        <f t="shared" ref="F776:G779" si="308">ROUNDDOWN($P776/4*$O776*10*$N776/$N776*$Q776/400,0)</f>
        <v>90648</v>
      </c>
      <c r="G776" s="34">
        <f t="shared" si="308"/>
        <v>90648</v>
      </c>
      <c r="H776" s="34">
        <f t="shared" si="307"/>
        <v>21842</v>
      </c>
      <c r="I776" s="34">
        <f t="shared" si="307"/>
        <v>21842</v>
      </c>
      <c r="J776" s="34">
        <f t="shared" si="304"/>
        <v>101898</v>
      </c>
      <c r="K776" s="133">
        <v>1000</v>
      </c>
      <c r="L776" s="34"/>
      <c r="M776" s="16">
        <f t="shared" si="294"/>
        <v>35933.385087690745</v>
      </c>
      <c r="N776" s="36">
        <v>880</v>
      </c>
      <c r="O776" s="36">
        <v>1</v>
      </c>
      <c r="P776" s="56">
        <v>17474.400000000001</v>
      </c>
      <c r="Q776" s="2" t="s">
        <v>187</v>
      </c>
      <c r="S776" s="36">
        <f t="shared" si="305"/>
        <v>8737</v>
      </c>
      <c r="T776" s="114"/>
    </row>
    <row r="777" spans="1:20" x14ac:dyDescent="0.2">
      <c r="A777" s="8" t="str">
        <f t="shared" si="306"/>
        <v>60312</v>
      </c>
      <c r="B777" s="8">
        <v>6</v>
      </c>
      <c r="C777" s="8">
        <v>3</v>
      </c>
      <c r="D777" s="8" t="s">
        <v>62</v>
      </c>
      <c r="E777" s="8">
        <v>2</v>
      </c>
      <c r="F777" s="34">
        <f t="shared" si="308"/>
        <v>255563</v>
      </c>
      <c r="G777" s="34">
        <f t="shared" si="308"/>
        <v>255563</v>
      </c>
      <c r="H777" s="34">
        <f t="shared" si="307"/>
        <v>21842</v>
      </c>
      <c r="I777" s="34">
        <f t="shared" si="307"/>
        <v>21842</v>
      </c>
      <c r="J777" s="34">
        <f t="shared" si="304"/>
        <v>310674</v>
      </c>
      <c r="K777" s="133">
        <v>1000</v>
      </c>
      <c r="L777" s="34"/>
      <c r="M777" s="16">
        <f t="shared" si="294"/>
        <v>105350.74999665465</v>
      </c>
      <c r="N777" s="36">
        <v>860</v>
      </c>
      <c r="O777" s="36">
        <v>3</v>
      </c>
      <c r="P777" s="56">
        <v>17474.400000000001</v>
      </c>
      <c r="Q777" s="2" t="s">
        <v>186</v>
      </c>
      <c r="S777" s="36">
        <f t="shared" si="305"/>
        <v>8737</v>
      </c>
      <c r="T777" s="114"/>
    </row>
    <row r="778" spans="1:20" x14ac:dyDescent="0.2">
      <c r="A778" s="8" t="str">
        <f t="shared" si="306"/>
        <v>60313</v>
      </c>
      <c r="B778" s="8">
        <v>6</v>
      </c>
      <c r="C778" s="8">
        <v>3</v>
      </c>
      <c r="D778" s="8" t="s">
        <v>62</v>
      </c>
      <c r="E778" s="8">
        <v>3</v>
      </c>
      <c r="F778" s="34">
        <f t="shared" si="308"/>
        <v>279044</v>
      </c>
      <c r="G778" s="34">
        <f t="shared" si="308"/>
        <v>279044</v>
      </c>
      <c r="H778" s="34">
        <f t="shared" si="307"/>
        <v>21842</v>
      </c>
      <c r="I778" s="34">
        <f t="shared" si="307"/>
        <v>21842</v>
      </c>
      <c r="J778" s="34">
        <f t="shared" si="304"/>
        <v>369475</v>
      </c>
      <c r="K778" s="133">
        <v>1000</v>
      </c>
      <c r="L778" s="34"/>
      <c r="M778" s="16">
        <f t="shared" si="294"/>
        <v>120050.80088055524</v>
      </c>
      <c r="N778" s="36">
        <v>840</v>
      </c>
      <c r="O778" s="36">
        <v>3.5</v>
      </c>
      <c r="P778" s="56">
        <v>17474.400000000001</v>
      </c>
      <c r="Q778" s="2" t="s">
        <v>185</v>
      </c>
      <c r="S778" s="36">
        <f t="shared" si="305"/>
        <v>8737</v>
      </c>
      <c r="T778" s="114"/>
    </row>
    <row r="779" spans="1:20" x14ac:dyDescent="0.2">
      <c r="A779" s="8" t="str">
        <f t="shared" si="306"/>
        <v>60314</v>
      </c>
      <c r="B779" s="8">
        <v>6</v>
      </c>
      <c r="C779" s="8">
        <v>3</v>
      </c>
      <c r="D779" s="8" t="s">
        <v>62</v>
      </c>
      <c r="E779" s="8">
        <v>4</v>
      </c>
      <c r="F779" s="34">
        <f t="shared" si="308"/>
        <v>305802</v>
      </c>
      <c r="G779" s="34">
        <f t="shared" si="308"/>
        <v>305802</v>
      </c>
      <c r="H779" s="34">
        <f t="shared" si="307"/>
        <v>21842</v>
      </c>
      <c r="I779" s="34">
        <f t="shared" si="307"/>
        <v>21842</v>
      </c>
      <c r="J779" s="34">
        <f t="shared" si="304"/>
        <v>419635</v>
      </c>
      <c r="K779" s="133">
        <v>1000</v>
      </c>
      <c r="L779" s="34"/>
      <c r="M779" s="16">
        <f t="shared" si="294"/>
        <v>133934.41988845353</v>
      </c>
      <c r="N779" s="36">
        <v>820</v>
      </c>
      <c r="O779" s="36">
        <v>4</v>
      </c>
      <c r="P779" s="56">
        <v>17474.400000000001</v>
      </c>
      <c r="Q779" s="2" t="s">
        <v>166</v>
      </c>
      <c r="S779" s="36">
        <f t="shared" si="305"/>
        <v>8737</v>
      </c>
      <c r="T779" s="114"/>
    </row>
    <row r="780" spans="1:20" ht="38.25" x14ac:dyDescent="0.2">
      <c r="A780" s="8" t="str">
        <f t="shared" si="306"/>
        <v/>
      </c>
      <c r="B780" s="5"/>
      <c r="C780" s="6" t="s">
        <v>172</v>
      </c>
      <c r="D780" s="5"/>
      <c r="E780" s="5"/>
      <c r="F780" s="5"/>
      <c r="G780" s="5"/>
      <c r="H780" s="5"/>
      <c r="I780" s="5"/>
      <c r="J780" s="5"/>
      <c r="K780" s="133">
        <v>1000</v>
      </c>
      <c r="L780" s="5"/>
      <c r="M780" s="16">
        <f t="shared" si="294"/>
        <v>0</v>
      </c>
      <c r="N780" s="5"/>
      <c r="O780" s="5"/>
      <c r="P780" s="67">
        <v>0</v>
      </c>
      <c r="Q780" s="5"/>
      <c r="R780" s="5"/>
      <c r="S780" s="30"/>
      <c r="T780" s="266"/>
    </row>
    <row r="781" spans="1:20" x14ac:dyDescent="0.2">
      <c r="A781" s="8" t="str">
        <f t="shared" si="306"/>
        <v>60120</v>
      </c>
      <c r="B781" s="8">
        <v>6</v>
      </c>
      <c r="C781" s="8">
        <v>1</v>
      </c>
      <c r="D781" s="8" t="s">
        <v>63</v>
      </c>
      <c r="E781" s="8">
        <v>0</v>
      </c>
      <c r="F781" s="34">
        <f t="shared" ref="F781:G795" si="309">ROUNDDOWN($P781/4*$O781*10*$N781/$N781*$Q781/400,0)</f>
        <v>52600</v>
      </c>
      <c r="G781" s="34">
        <f t="shared" si="309"/>
        <v>52600</v>
      </c>
      <c r="H781" s="34">
        <f t="shared" ref="H781:I795" si="310">ROUNDDOWN($S781/4*10,0)</f>
        <v>23907</v>
      </c>
      <c r="I781" s="34">
        <f t="shared" si="310"/>
        <v>23907</v>
      </c>
      <c r="J781" s="34">
        <f t="shared" si="304"/>
        <v>55018</v>
      </c>
      <c r="K781" s="133">
        <v>1000</v>
      </c>
      <c r="L781" s="34"/>
      <c r="M781" s="16">
        <f t="shared" si="294"/>
        <v>21042.522456793056</v>
      </c>
      <c r="N781" s="36">
        <v>900</v>
      </c>
      <c r="O781" s="36">
        <v>0.5</v>
      </c>
      <c r="P781" s="56">
        <v>19127.3</v>
      </c>
      <c r="Q781" s="2" t="s">
        <v>188</v>
      </c>
      <c r="S781" s="36">
        <f t="shared" si="305"/>
        <v>9563</v>
      </c>
      <c r="T781" s="114"/>
    </row>
    <row r="782" spans="1:20" x14ac:dyDescent="0.2">
      <c r="A782" s="8" t="str">
        <f t="shared" si="306"/>
        <v>60121</v>
      </c>
      <c r="B782" s="8">
        <v>6</v>
      </c>
      <c r="C782" s="8">
        <v>1</v>
      </c>
      <c r="D782" s="8" t="s">
        <v>63</v>
      </c>
      <c r="E782" s="8">
        <v>1</v>
      </c>
      <c r="F782" s="34">
        <f t="shared" si="309"/>
        <v>99222</v>
      </c>
      <c r="G782" s="34">
        <f t="shared" si="309"/>
        <v>99222</v>
      </c>
      <c r="H782" s="34">
        <f t="shared" si="310"/>
        <v>23907</v>
      </c>
      <c r="I782" s="34">
        <f t="shared" si="310"/>
        <v>23907</v>
      </c>
      <c r="J782" s="34">
        <f t="shared" si="304"/>
        <v>111537</v>
      </c>
      <c r="K782" s="133">
        <v>1000</v>
      </c>
      <c r="L782" s="34"/>
      <c r="M782" s="16">
        <f t="shared" si="294"/>
        <v>41149.635793992486</v>
      </c>
      <c r="N782" s="36">
        <v>880</v>
      </c>
      <c r="O782" s="36">
        <v>1</v>
      </c>
      <c r="P782" s="56">
        <v>19127.3</v>
      </c>
      <c r="Q782" s="2" t="s">
        <v>187</v>
      </c>
      <c r="S782" s="36">
        <f t="shared" ref="S782:S795" si="311">ROUNDDOWN(P782*0.5,0)</f>
        <v>9563</v>
      </c>
      <c r="T782" s="114"/>
    </row>
    <row r="783" spans="1:20" x14ac:dyDescent="0.2">
      <c r="A783" s="8" t="str">
        <f t="shared" si="306"/>
        <v>60122</v>
      </c>
      <c r="B783" s="8">
        <v>6</v>
      </c>
      <c r="C783" s="8">
        <v>1</v>
      </c>
      <c r="D783" s="8" t="s">
        <v>63</v>
      </c>
      <c r="E783" s="8">
        <v>2</v>
      </c>
      <c r="F783" s="34">
        <f t="shared" si="309"/>
        <v>279736</v>
      </c>
      <c r="G783" s="34">
        <f t="shared" si="309"/>
        <v>279736</v>
      </c>
      <c r="H783" s="34">
        <f t="shared" si="310"/>
        <v>23907</v>
      </c>
      <c r="I783" s="34">
        <f t="shared" si="310"/>
        <v>23907</v>
      </c>
      <c r="J783" s="34">
        <f t="shared" si="304"/>
        <v>340061</v>
      </c>
      <c r="K783" s="133">
        <v>1000</v>
      </c>
      <c r="L783" s="34"/>
      <c r="M783" s="16">
        <f t="shared" si="294"/>
        <v>120643.83161665044</v>
      </c>
      <c r="N783" s="36">
        <v>860</v>
      </c>
      <c r="O783" s="36">
        <v>3</v>
      </c>
      <c r="P783" s="56">
        <v>19127.3</v>
      </c>
      <c r="Q783" s="2" t="s">
        <v>186</v>
      </c>
      <c r="S783" s="36">
        <f t="shared" si="311"/>
        <v>9563</v>
      </c>
      <c r="T783" s="114"/>
    </row>
    <row r="784" spans="1:20" x14ac:dyDescent="0.2">
      <c r="A784" s="8" t="str">
        <f t="shared" si="306"/>
        <v>60123</v>
      </c>
      <c r="B784" s="8">
        <v>6</v>
      </c>
      <c r="C784" s="8">
        <v>1</v>
      </c>
      <c r="D784" s="8" t="s">
        <v>63</v>
      </c>
      <c r="E784" s="8">
        <v>3</v>
      </c>
      <c r="F784" s="34">
        <f t="shared" si="309"/>
        <v>305439</v>
      </c>
      <c r="G784" s="34">
        <f t="shared" si="309"/>
        <v>305439</v>
      </c>
      <c r="H784" s="34">
        <f t="shared" si="310"/>
        <v>23907</v>
      </c>
      <c r="I784" s="34">
        <f t="shared" si="310"/>
        <v>23907</v>
      </c>
      <c r="J784" s="34">
        <f t="shared" si="304"/>
        <v>404424</v>
      </c>
      <c r="K784" s="133">
        <v>1000</v>
      </c>
      <c r="L784" s="34"/>
      <c r="M784" s="16">
        <f t="shared" si="294"/>
        <v>137478.00855317278</v>
      </c>
      <c r="N784" s="36">
        <v>840</v>
      </c>
      <c r="O784" s="36">
        <v>3.5</v>
      </c>
      <c r="P784" s="56">
        <v>19127.3</v>
      </c>
      <c r="Q784" s="2" t="s">
        <v>185</v>
      </c>
      <c r="S784" s="36">
        <f t="shared" si="311"/>
        <v>9563</v>
      </c>
      <c r="T784" s="114"/>
    </row>
    <row r="785" spans="1:20" x14ac:dyDescent="0.2">
      <c r="A785" s="8" t="str">
        <f t="shared" si="306"/>
        <v>60124</v>
      </c>
      <c r="B785" s="8">
        <v>6</v>
      </c>
      <c r="C785" s="8">
        <v>1</v>
      </c>
      <c r="D785" s="8" t="s">
        <v>63</v>
      </c>
      <c r="E785" s="8">
        <v>4</v>
      </c>
      <c r="F785" s="34">
        <f t="shared" si="309"/>
        <v>334727</v>
      </c>
      <c r="G785" s="34">
        <f t="shared" si="309"/>
        <v>334727</v>
      </c>
      <c r="H785" s="34">
        <f t="shared" si="310"/>
        <v>23907</v>
      </c>
      <c r="I785" s="34">
        <f t="shared" si="310"/>
        <v>23907</v>
      </c>
      <c r="J785" s="34">
        <f t="shared" si="304"/>
        <v>459328</v>
      </c>
      <c r="K785" s="133">
        <v>1000</v>
      </c>
      <c r="L785" s="34"/>
      <c r="M785" s="16">
        <f t="shared" si="294"/>
        <v>153376.68977484351</v>
      </c>
      <c r="N785" s="36">
        <v>820</v>
      </c>
      <c r="O785" s="36">
        <v>4</v>
      </c>
      <c r="P785" s="56">
        <v>19127.3</v>
      </c>
      <c r="Q785" s="2" t="s">
        <v>166</v>
      </c>
      <c r="S785" s="36">
        <f t="shared" si="311"/>
        <v>9563</v>
      </c>
      <c r="T785" s="114"/>
    </row>
    <row r="786" spans="1:20" x14ac:dyDescent="0.2">
      <c r="A786" s="8" t="str">
        <f t="shared" si="306"/>
        <v>60220</v>
      </c>
      <c r="B786" s="8">
        <v>6</v>
      </c>
      <c r="C786" s="8">
        <v>2</v>
      </c>
      <c r="D786" s="8" t="s">
        <v>63</v>
      </c>
      <c r="E786" s="8">
        <v>0</v>
      </c>
      <c r="F786" s="34">
        <f t="shared" si="309"/>
        <v>53590</v>
      </c>
      <c r="G786" s="34">
        <f t="shared" si="309"/>
        <v>53590</v>
      </c>
      <c r="H786" s="34">
        <f t="shared" si="310"/>
        <v>24357</v>
      </c>
      <c r="I786" s="34">
        <f t="shared" si="310"/>
        <v>24357</v>
      </c>
      <c r="J786" s="34">
        <f t="shared" si="304"/>
        <v>56053</v>
      </c>
      <c r="K786" s="133">
        <v>1000</v>
      </c>
      <c r="L786" s="34"/>
      <c r="M786" s="16">
        <f t="shared" si="294"/>
        <v>21639.299321209455</v>
      </c>
      <c r="N786" s="36">
        <v>900</v>
      </c>
      <c r="O786" s="36">
        <v>0.5</v>
      </c>
      <c r="P786" s="56">
        <v>19487.349999999999</v>
      </c>
      <c r="Q786" s="2" t="s">
        <v>188</v>
      </c>
      <c r="S786" s="36">
        <f t="shared" si="311"/>
        <v>9743</v>
      </c>
      <c r="T786" s="114"/>
    </row>
    <row r="787" spans="1:20" x14ac:dyDescent="0.2">
      <c r="A787" s="8" t="str">
        <f t="shared" si="306"/>
        <v>60221</v>
      </c>
      <c r="B787" s="8">
        <v>6</v>
      </c>
      <c r="C787" s="8">
        <v>2</v>
      </c>
      <c r="D787" s="8" t="s">
        <v>63</v>
      </c>
      <c r="E787" s="8">
        <v>1</v>
      </c>
      <c r="F787" s="34">
        <f t="shared" si="309"/>
        <v>101090</v>
      </c>
      <c r="G787" s="34">
        <f t="shared" si="309"/>
        <v>101090</v>
      </c>
      <c r="H787" s="34">
        <f t="shared" si="310"/>
        <v>24357</v>
      </c>
      <c r="I787" s="34">
        <f t="shared" si="310"/>
        <v>24357</v>
      </c>
      <c r="J787" s="34">
        <f t="shared" si="304"/>
        <v>113637</v>
      </c>
      <c r="K787" s="133">
        <v>1000</v>
      </c>
      <c r="L787" s="34"/>
      <c r="M787" s="16">
        <f t="shared" si="294"/>
        <v>42317.09664035547</v>
      </c>
      <c r="N787" s="36">
        <v>880</v>
      </c>
      <c r="O787" s="36">
        <v>1</v>
      </c>
      <c r="P787" s="56">
        <v>19487.349999999999</v>
      </c>
      <c r="Q787" s="2" t="s">
        <v>187</v>
      </c>
      <c r="S787" s="36">
        <f t="shared" si="311"/>
        <v>9743</v>
      </c>
      <c r="T787" s="114"/>
    </row>
    <row r="788" spans="1:20" x14ac:dyDescent="0.2">
      <c r="A788" s="8" t="str">
        <f t="shared" si="306"/>
        <v>60222</v>
      </c>
      <c r="B788" s="8">
        <v>6</v>
      </c>
      <c r="C788" s="8">
        <v>2</v>
      </c>
      <c r="D788" s="8" t="s">
        <v>63</v>
      </c>
      <c r="E788" s="8">
        <v>2</v>
      </c>
      <c r="F788" s="34">
        <f t="shared" si="309"/>
        <v>285002</v>
      </c>
      <c r="G788" s="34">
        <f t="shared" si="309"/>
        <v>285002</v>
      </c>
      <c r="H788" s="34">
        <f t="shared" si="310"/>
        <v>24357</v>
      </c>
      <c r="I788" s="34">
        <f t="shared" si="310"/>
        <v>24357</v>
      </c>
      <c r="J788" s="34">
        <f t="shared" si="304"/>
        <v>346462</v>
      </c>
      <c r="K788" s="133">
        <v>1000</v>
      </c>
      <c r="L788" s="34"/>
      <c r="M788" s="16">
        <f t="shared" si="294"/>
        <v>124066.24640060308</v>
      </c>
      <c r="N788" s="36">
        <v>860</v>
      </c>
      <c r="O788" s="36">
        <v>3</v>
      </c>
      <c r="P788" s="56">
        <v>19487.349999999999</v>
      </c>
      <c r="Q788" s="2" t="s">
        <v>186</v>
      </c>
      <c r="S788" s="36">
        <f t="shared" si="311"/>
        <v>9743</v>
      </c>
      <c r="T788" s="114"/>
    </row>
    <row r="789" spans="1:20" x14ac:dyDescent="0.2">
      <c r="A789" s="8" t="str">
        <f t="shared" si="306"/>
        <v>60223</v>
      </c>
      <c r="B789" s="8">
        <v>6</v>
      </c>
      <c r="C789" s="8">
        <v>2</v>
      </c>
      <c r="D789" s="8" t="s">
        <v>63</v>
      </c>
      <c r="E789" s="8">
        <v>3</v>
      </c>
      <c r="F789" s="34">
        <f t="shared" si="309"/>
        <v>311188</v>
      </c>
      <c r="G789" s="34">
        <f t="shared" si="309"/>
        <v>311188</v>
      </c>
      <c r="H789" s="34">
        <f t="shared" si="310"/>
        <v>24357</v>
      </c>
      <c r="I789" s="34">
        <f t="shared" si="310"/>
        <v>24357</v>
      </c>
      <c r="J789" s="34">
        <f t="shared" si="304"/>
        <v>412037</v>
      </c>
      <c r="K789" s="133">
        <v>1000</v>
      </c>
      <c r="L789" s="34"/>
      <c r="M789" s="16">
        <f t="shared" si="294"/>
        <v>141377.86339238923</v>
      </c>
      <c r="N789" s="36">
        <v>840</v>
      </c>
      <c r="O789" s="36">
        <v>3.5</v>
      </c>
      <c r="P789" s="56">
        <v>19487.349999999999</v>
      </c>
      <c r="Q789" s="2" t="s">
        <v>185</v>
      </c>
      <c r="S789" s="36">
        <f t="shared" si="311"/>
        <v>9743</v>
      </c>
      <c r="T789" s="114"/>
    </row>
    <row r="790" spans="1:20" x14ac:dyDescent="0.2">
      <c r="A790" s="8" t="str">
        <f t="shared" si="306"/>
        <v>60224</v>
      </c>
      <c r="B790" s="8">
        <v>6</v>
      </c>
      <c r="C790" s="8">
        <v>2</v>
      </c>
      <c r="D790" s="8" t="s">
        <v>63</v>
      </c>
      <c r="E790" s="8">
        <v>4</v>
      </c>
      <c r="F790" s="34">
        <f t="shared" si="309"/>
        <v>341028</v>
      </c>
      <c r="G790" s="34">
        <f t="shared" si="309"/>
        <v>341028</v>
      </c>
      <c r="H790" s="34">
        <f t="shared" si="310"/>
        <v>24357</v>
      </c>
      <c r="I790" s="34">
        <f t="shared" si="310"/>
        <v>24357</v>
      </c>
      <c r="J790" s="34">
        <f t="shared" si="304"/>
        <v>467974</v>
      </c>
      <c r="K790" s="133">
        <v>1000</v>
      </c>
      <c r="L790" s="34"/>
      <c r="M790" s="16">
        <f t="shared" si="294"/>
        <v>157727.62595277425</v>
      </c>
      <c r="N790" s="36">
        <v>820</v>
      </c>
      <c r="O790" s="36">
        <v>4</v>
      </c>
      <c r="P790" s="56">
        <v>19487.349999999999</v>
      </c>
      <c r="Q790" s="2" t="s">
        <v>166</v>
      </c>
      <c r="S790" s="36">
        <f t="shared" si="311"/>
        <v>9743</v>
      </c>
      <c r="T790" s="114"/>
    </row>
    <row r="791" spans="1:20" x14ac:dyDescent="0.2">
      <c r="A791" s="8" t="str">
        <f t="shared" si="306"/>
        <v>60320</v>
      </c>
      <c r="B791" s="8">
        <v>6</v>
      </c>
      <c r="C791" s="8">
        <v>3</v>
      </c>
      <c r="D791" s="8" t="s">
        <v>63</v>
      </c>
      <c r="E791" s="8">
        <v>0</v>
      </c>
      <c r="F791" s="34">
        <f t="shared" si="309"/>
        <v>54582</v>
      </c>
      <c r="G791" s="34">
        <f t="shared" si="309"/>
        <v>54582</v>
      </c>
      <c r="H791" s="34">
        <f t="shared" si="310"/>
        <v>24810</v>
      </c>
      <c r="I791" s="34">
        <f t="shared" si="310"/>
        <v>24810</v>
      </c>
      <c r="J791" s="34">
        <f t="shared" si="304"/>
        <v>57092</v>
      </c>
      <c r="K791" s="133">
        <v>1000</v>
      </c>
      <c r="L791" s="34"/>
      <c r="M791" s="16">
        <f t="shared" si="294"/>
        <v>22244.145145599461</v>
      </c>
      <c r="N791" s="36">
        <v>900</v>
      </c>
      <c r="O791" s="36">
        <v>0.5</v>
      </c>
      <c r="P791" s="56">
        <v>19848.349999999999</v>
      </c>
      <c r="Q791" s="2" t="s">
        <v>188</v>
      </c>
      <c r="S791" s="36">
        <f t="shared" si="311"/>
        <v>9924</v>
      </c>
      <c r="T791" s="114"/>
    </row>
    <row r="792" spans="1:20" x14ac:dyDescent="0.2">
      <c r="A792" s="8" t="str">
        <f t="shared" si="306"/>
        <v>60321</v>
      </c>
      <c r="B792" s="8">
        <v>6</v>
      </c>
      <c r="C792" s="8">
        <v>3</v>
      </c>
      <c r="D792" s="8" t="s">
        <v>63</v>
      </c>
      <c r="E792" s="8">
        <v>1</v>
      </c>
      <c r="F792" s="34">
        <f t="shared" si="309"/>
        <v>102963</v>
      </c>
      <c r="G792" s="34">
        <f t="shared" si="309"/>
        <v>102963</v>
      </c>
      <c r="H792" s="34">
        <f t="shared" si="310"/>
        <v>24810</v>
      </c>
      <c r="I792" s="34">
        <f t="shared" si="310"/>
        <v>24810</v>
      </c>
      <c r="J792" s="34">
        <f t="shared" si="304"/>
        <v>115742</v>
      </c>
      <c r="K792" s="133">
        <v>1000</v>
      </c>
      <c r="L792" s="34"/>
      <c r="M792" s="16">
        <f t="shared" si="294"/>
        <v>43500.019779398543</v>
      </c>
      <c r="N792" s="36">
        <v>880</v>
      </c>
      <c r="O792" s="36">
        <v>1</v>
      </c>
      <c r="P792" s="56">
        <v>19848.349999999999</v>
      </c>
      <c r="Q792" s="2" t="s">
        <v>187</v>
      </c>
      <c r="S792" s="36">
        <f t="shared" si="311"/>
        <v>9924</v>
      </c>
      <c r="T792" s="114"/>
    </row>
    <row r="793" spans="1:20" x14ac:dyDescent="0.2">
      <c r="A793" s="8" t="str">
        <f t="shared" si="306"/>
        <v>60322</v>
      </c>
      <c r="B793" s="8">
        <v>6</v>
      </c>
      <c r="C793" s="8">
        <v>3</v>
      </c>
      <c r="D793" s="8" t="s">
        <v>63</v>
      </c>
      <c r="E793" s="8">
        <v>2</v>
      </c>
      <c r="F793" s="34">
        <f t="shared" si="309"/>
        <v>290282</v>
      </c>
      <c r="G793" s="34">
        <f t="shared" si="309"/>
        <v>290282</v>
      </c>
      <c r="H793" s="34">
        <f t="shared" si="310"/>
        <v>24810</v>
      </c>
      <c r="I793" s="34">
        <f t="shared" si="310"/>
        <v>24810</v>
      </c>
      <c r="J793" s="34">
        <f t="shared" si="304"/>
        <v>352880</v>
      </c>
      <c r="K793" s="133">
        <v>1000</v>
      </c>
      <c r="L793" s="34"/>
      <c r="M793" s="16">
        <f t="shared" si="294"/>
        <v>127534.28298153184</v>
      </c>
      <c r="N793" s="36">
        <v>860</v>
      </c>
      <c r="O793" s="36">
        <v>3</v>
      </c>
      <c r="P793" s="56">
        <v>19848.349999999999</v>
      </c>
      <c r="Q793" s="2" t="s">
        <v>186</v>
      </c>
      <c r="S793" s="36">
        <f t="shared" si="311"/>
        <v>9924</v>
      </c>
      <c r="T793" s="114"/>
    </row>
    <row r="794" spans="1:20" x14ac:dyDescent="0.2">
      <c r="A794" s="8" t="str">
        <f t="shared" si="306"/>
        <v>60323</v>
      </c>
      <c r="B794" s="8">
        <v>6</v>
      </c>
      <c r="C794" s="8">
        <v>3</v>
      </c>
      <c r="D794" s="8" t="s">
        <v>63</v>
      </c>
      <c r="E794" s="8">
        <v>3</v>
      </c>
      <c r="F794" s="34">
        <f t="shared" si="309"/>
        <v>271674</v>
      </c>
      <c r="G794" s="34">
        <f t="shared" si="309"/>
        <v>271674</v>
      </c>
      <c r="H794" s="34">
        <f t="shared" si="310"/>
        <v>24810</v>
      </c>
      <c r="I794" s="34">
        <f t="shared" si="310"/>
        <v>24810</v>
      </c>
      <c r="J794" s="34">
        <f t="shared" si="304"/>
        <v>359717</v>
      </c>
      <c r="K794" s="133">
        <v>1000</v>
      </c>
      <c r="L794" s="34"/>
      <c r="M794" s="16">
        <f t="shared" si="294"/>
        <v>124568.400815256</v>
      </c>
      <c r="N794" s="36">
        <v>840</v>
      </c>
      <c r="O794" s="36">
        <v>3</v>
      </c>
      <c r="P794" s="56">
        <v>19848.349999999999</v>
      </c>
      <c r="Q794" s="2" t="s">
        <v>185</v>
      </c>
      <c r="S794" s="36">
        <f t="shared" si="311"/>
        <v>9924</v>
      </c>
      <c r="T794" s="114"/>
    </row>
    <row r="795" spans="1:20" x14ac:dyDescent="0.2">
      <c r="A795" s="8" t="str">
        <f t="shared" si="306"/>
        <v>60324</v>
      </c>
      <c r="B795" s="8">
        <v>6</v>
      </c>
      <c r="C795" s="8">
        <v>3</v>
      </c>
      <c r="D795" s="8" t="s">
        <v>63</v>
      </c>
      <c r="E795" s="8">
        <v>4</v>
      </c>
      <c r="F795" s="34">
        <f t="shared" si="309"/>
        <v>347346</v>
      </c>
      <c r="G795" s="34">
        <f t="shared" si="309"/>
        <v>347346</v>
      </c>
      <c r="H795" s="34">
        <f t="shared" si="310"/>
        <v>24810</v>
      </c>
      <c r="I795" s="34">
        <f t="shared" si="310"/>
        <v>24810</v>
      </c>
      <c r="J795" s="34">
        <f t="shared" si="304"/>
        <v>476643</v>
      </c>
      <c r="K795" s="133">
        <v>1000</v>
      </c>
      <c r="L795" s="34"/>
      <c r="M795" s="16">
        <f t="shared" si="294"/>
        <v>162136.62543816175</v>
      </c>
      <c r="N795" s="36">
        <v>820</v>
      </c>
      <c r="O795" s="36">
        <v>4</v>
      </c>
      <c r="P795" s="56">
        <v>19848.349999999999</v>
      </c>
      <c r="Q795" s="2" t="s">
        <v>166</v>
      </c>
      <c r="S795" s="36">
        <f t="shared" si="311"/>
        <v>9924</v>
      </c>
      <c r="T795" s="114"/>
    </row>
    <row r="796" spans="1:20" ht="38.25" x14ac:dyDescent="0.2">
      <c r="A796" s="8" t="str">
        <f t="shared" si="306"/>
        <v/>
      </c>
      <c r="B796" s="5"/>
      <c r="C796" s="6" t="s">
        <v>173</v>
      </c>
      <c r="D796" s="5"/>
      <c r="E796" s="5"/>
      <c r="F796" s="5"/>
      <c r="G796" s="5"/>
      <c r="H796" s="5"/>
      <c r="I796" s="5"/>
      <c r="J796" s="5"/>
      <c r="K796" s="133">
        <v>1000</v>
      </c>
      <c r="L796" s="5"/>
      <c r="M796" s="16">
        <f t="shared" si="294"/>
        <v>0</v>
      </c>
      <c r="N796" s="5"/>
      <c r="O796" s="5"/>
      <c r="P796" s="67">
        <v>0</v>
      </c>
      <c r="Q796" s="5"/>
      <c r="R796" s="5"/>
      <c r="S796" s="30"/>
      <c r="T796" s="266"/>
    </row>
    <row r="797" spans="1:20" x14ac:dyDescent="0.2">
      <c r="A797" s="8" t="str">
        <f t="shared" si="306"/>
        <v>60130</v>
      </c>
      <c r="B797" s="8">
        <v>6</v>
      </c>
      <c r="C797" s="8">
        <v>1</v>
      </c>
      <c r="D797" s="8" t="s">
        <v>64</v>
      </c>
      <c r="E797" s="8">
        <v>0</v>
      </c>
      <c r="F797" s="34">
        <f t="shared" ref="F797:G811" si="312">ROUNDDOWN($P797/4*$O797*10*$N797/$N797*$Q797/400,0)</f>
        <v>58503</v>
      </c>
      <c r="G797" s="34">
        <f t="shared" si="312"/>
        <v>58503</v>
      </c>
      <c r="H797" s="34">
        <f t="shared" ref="H797:I811" si="313">ROUNDDOWN($S797/4*10,0)</f>
        <v>26592</v>
      </c>
      <c r="I797" s="34">
        <f t="shared" si="313"/>
        <v>26592</v>
      </c>
      <c r="J797" s="34">
        <f t="shared" si="304"/>
        <v>61192</v>
      </c>
      <c r="K797" s="133">
        <v>1000</v>
      </c>
      <c r="L797" s="34"/>
      <c r="M797" s="16">
        <f t="shared" si="294"/>
        <v>24683.223776094339</v>
      </c>
      <c r="N797" s="36">
        <v>900</v>
      </c>
      <c r="O797" s="36">
        <v>0.5</v>
      </c>
      <c r="P797" s="56" t="s">
        <v>927</v>
      </c>
      <c r="Q797" s="2" t="s">
        <v>188</v>
      </c>
      <c r="S797" s="36">
        <f t="shared" ref="S797:S817" si="314">ROUNDDOWN(P797*0.5,0)</f>
        <v>10637</v>
      </c>
      <c r="T797" s="114"/>
    </row>
    <row r="798" spans="1:20" x14ac:dyDescent="0.2">
      <c r="A798" s="8" t="str">
        <f t="shared" si="306"/>
        <v>60131</v>
      </c>
      <c r="B798" s="8">
        <v>6</v>
      </c>
      <c r="C798" s="8">
        <v>1</v>
      </c>
      <c r="D798" s="8" t="s">
        <v>64</v>
      </c>
      <c r="E798" s="8">
        <v>1</v>
      </c>
      <c r="F798" s="34">
        <f t="shared" si="312"/>
        <v>110358</v>
      </c>
      <c r="G798" s="34">
        <f t="shared" si="312"/>
        <v>110358</v>
      </c>
      <c r="H798" s="34">
        <f t="shared" si="313"/>
        <v>26592</v>
      </c>
      <c r="I798" s="34">
        <f t="shared" si="313"/>
        <v>26592</v>
      </c>
      <c r="J798" s="34">
        <f t="shared" si="304"/>
        <v>124055</v>
      </c>
      <c r="K798" s="133">
        <v>1000</v>
      </c>
      <c r="L798" s="34"/>
      <c r="M798" s="16">
        <f t="shared" si="294"/>
        <v>48269.692835847556</v>
      </c>
      <c r="N798" s="36">
        <v>880</v>
      </c>
      <c r="O798" s="36">
        <v>1</v>
      </c>
      <c r="P798" s="56" t="s">
        <v>927</v>
      </c>
      <c r="Q798" s="2" t="s">
        <v>187</v>
      </c>
      <c r="S798" s="36">
        <f t="shared" si="314"/>
        <v>10637</v>
      </c>
      <c r="T798" s="114"/>
    </row>
    <row r="799" spans="1:20" x14ac:dyDescent="0.2">
      <c r="A799" s="8" t="str">
        <f t="shared" si="306"/>
        <v>60132</v>
      </c>
      <c r="B799" s="8">
        <v>6</v>
      </c>
      <c r="C799" s="8">
        <v>1</v>
      </c>
      <c r="D799" s="8" t="s">
        <v>64</v>
      </c>
      <c r="E799" s="8">
        <v>2</v>
      </c>
      <c r="F799" s="34">
        <f t="shared" si="312"/>
        <v>311132</v>
      </c>
      <c r="G799" s="34">
        <f t="shared" si="312"/>
        <v>311132</v>
      </c>
      <c r="H799" s="34">
        <f t="shared" si="313"/>
        <v>26592</v>
      </c>
      <c r="I799" s="34">
        <f t="shared" si="313"/>
        <v>26592</v>
      </c>
      <c r="J799" s="34">
        <f t="shared" si="304"/>
        <v>378227</v>
      </c>
      <c r="K799" s="133">
        <v>1000</v>
      </c>
      <c r="L799" s="34"/>
      <c r="M799" s="16">
        <f t="shared" si="294"/>
        <v>141518.78535733555</v>
      </c>
      <c r="N799" s="36">
        <v>860</v>
      </c>
      <c r="O799" s="36">
        <v>3</v>
      </c>
      <c r="P799" s="56" t="s">
        <v>927</v>
      </c>
      <c r="Q799" s="2" t="s">
        <v>186</v>
      </c>
      <c r="S799" s="36">
        <f t="shared" si="314"/>
        <v>10637</v>
      </c>
      <c r="T799" s="114"/>
    </row>
    <row r="800" spans="1:20" x14ac:dyDescent="0.2">
      <c r="A800" s="8" t="str">
        <f t="shared" si="306"/>
        <v>60133</v>
      </c>
      <c r="B800" s="8">
        <v>6</v>
      </c>
      <c r="C800" s="8">
        <v>1</v>
      </c>
      <c r="D800" s="8" t="s">
        <v>64</v>
      </c>
      <c r="E800" s="8">
        <v>3</v>
      </c>
      <c r="F800" s="34">
        <f t="shared" si="312"/>
        <v>302489</v>
      </c>
      <c r="G800" s="34">
        <f t="shared" si="312"/>
        <v>302489</v>
      </c>
      <c r="H800" s="34">
        <f t="shared" si="313"/>
        <v>26592</v>
      </c>
      <c r="I800" s="34">
        <f t="shared" si="313"/>
        <v>26592</v>
      </c>
      <c r="J800" s="34">
        <f t="shared" si="304"/>
        <v>505175</v>
      </c>
      <c r="K800" s="133">
        <v>1000</v>
      </c>
      <c r="L800" s="34"/>
      <c r="M800" s="16">
        <f t="shared" si="294"/>
        <v>161265.40299519475</v>
      </c>
      <c r="N800" s="36">
        <v>840</v>
      </c>
      <c r="O800" s="36">
        <v>3.5</v>
      </c>
      <c r="P800" s="56" t="s">
        <v>927</v>
      </c>
      <c r="Q800" s="2" t="s">
        <v>196</v>
      </c>
      <c r="S800" s="36">
        <f t="shared" si="314"/>
        <v>10637</v>
      </c>
      <c r="T800" s="114"/>
    </row>
    <row r="801" spans="1:20" x14ac:dyDescent="0.2">
      <c r="A801" s="8" t="str">
        <f t="shared" si="306"/>
        <v>60134</v>
      </c>
      <c r="B801" s="8">
        <v>6</v>
      </c>
      <c r="C801" s="8">
        <v>1</v>
      </c>
      <c r="D801" s="8" t="s">
        <v>64</v>
      </c>
      <c r="E801" s="8">
        <v>4</v>
      </c>
      <c r="F801" s="34">
        <f t="shared" si="312"/>
        <v>319110</v>
      </c>
      <c r="G801" s="34">
        <f t="shared" si="312"/>
        <v>319110</v>
      </c>
      <c r="H801" s="34">
        <f t="shared" si="313"/>
        <v>26592</v>
      </c>
      <c r="I801" s="34">
        <f t="shared" si="313"/>
        <v>26592</v>
      </c>
      <c r="J801" s="34">
        <f t="shared" si="304"/>
        <v>596026</v>
      </c>
      <c r="K801" s="133">
        <v>1000</v>
      </c>
      <c r="L801" s="34"/>
      <c r="M801" s="16">
        <f t="shared" si="294"/>
        <v>179915.38294869391</v>
      </c>
      <c r="N801" s="36">
        <v>820</v>
      </c>
      <c r="O801" s="36">
        <v>4</v>
      </c>
      <c r="P801" s="56" t="s">
        <v>927</v>
      </c>
      <c r="Q801" s="2" t="s">
        <v>197</v>
      </c>
      <c r="S801" s="36">
        <f t="shared" si="314"/>
        <v>10637</v>
      </c>
      <c r="T801" s="114"/>
    </row>
    <row r="802" spans="1:20" x14ac:dyDescent="0.2">
      <c r="A802" s="8" t="str">
        <f t="shared" si="306"/>
        <v>60230</v>
      </c>
      <c r="B802" s="8">
        <v>6</v>
      </c>
      <c r="C802" s="8">
        <v>2</v>
      </c>
      <c r="D802" s="8" t="s">
        <v>64</v>
      </c>
      <c r="E802" s="8">
        <v>0</v>
      </c>
      <c r="F802" s="34">
        <f t="shared" si="312"/>
        <v>59554</v>
      </c>
      <c r="G802" s="34">
        <f t="shared" si="312"/>
        <v>59554</v>
      </c>
      <c r="H802" s="34">
        <f t="shared" si="313"/>
        <v>27070</v>
      </c>
      <c r="I802" s="34">
        <f t="shared" si="313"/>
        <v>27070</v>
      </c>
      <c r="J802" s="34">
        <f t="shared" si="304"/>
        <v>62291</v>
      </c>
      <c r="K802" s="133">
        <v>1000</v>
      </c>
      <c r="L802" s="34"/>
      <c r="M802" s="16">
        <f t="shared" si="294"/>
        <v>25351.416749741464</v>
      </c>
      <c r="N802" s="36">
        <v>900</v>
      </c>
      <c r="O802" s="36">
        <v>0.5</v>
      </c>
      <c r="P802" s="56" t="s">
        <v>928</v>
      </c>
      <c r="Q802" s="2" t="s">
        <v>188</v>
      </c>
      <c r="S802" s="36">
        <f t="shared" si="314"/>
        <v>10828</v>
      </c>
      <c r="T802" s="114"/>
    </row>
    <row r="803" spans="1:20" x14ac:dyDescent="0.2">
      <c r="A803" s="8" t="str">
        <f t="shared" si="306"/>
        <v>60231</v>
      </c>
      <c r="B803" s="8">
        <v>6</v>
      </c>
      <c r="C803" s="8">
        <v>2</v>
      </c>
      <c r="D803" s="8" t="s">
        <v>64</v>
      </c>
      <c r="E803" s="8">
        <v>1</v>
      </c>
      <c r="F803" s="34">
        <f t="shared" si="312"/>
        <v>112340</v>
      </c>
      <c r="G803" s="34">
        <f t="shared" si="312"/>
        <v>112340</v>
      </c>
      <c r="H803" s="34">
        <f t="shared" si="313"/>
        <v>27070</v>
      </c>
      <c r="I803" s="34">
        <f t="shared" si="313"/>
        <v>27070</v>
      </c>
      <c r="J803" s="34">
        <f t="shared" si="304"/>
        <v>126283</v>
      </c>
      <c r="K803" s="133">
        <v>1000</v>
      </c>
      <c r="L803" s="34"/>
      <c r="M803" s="16">
        <f t="shared" si="294"/>
        <v>49576.26104145572</v>
      </c>
      <c r="N803" s="36">
        <v>880</v>
      </c>
      <c r="O803" s="36">
        <v>1</v>
      </c>
      <c r="P803" s="56" t="s">
        <v>928</v>
      </c>
      <c r="Q803" s="2" t="s">
        <v>187</v>
      </c>
      <c r="S803" s="36">
        <f t="shared" si="314"/>
        <v>10828</v>
      </c>
      <c r="T803" s="114"/>
    </row>
    <row r="804" spans="1:20" x14ac:dyDescent="0.2">
      <c r="A804" s="8" t="str">
        <f t="shared" si="306"/>
        <v>60232</v>
      </c>
      <c r="B804" s="8">
        <v>6</v>
      </c>
      <c r="C804" s="8">
        <v>2</v>
      </c>
      <c r="D804" s="8" t="s">
        <v>64</v>
      </c>
      <c r="E804" s="8">
        <v>2</v>
      </c>
      <c r="F804" s="34">
        <f t="shared" si="312"/>
        <v>316719</v>
      </c>
      <c r="G804" s="34">
        <f t="shared" si="312"/>
        <v>316719</v>
      </c>
      <c r="H804" s="34">
        <f t="shared" si="313"/>
        <v>27070</v>
      </c>
      <c r="I804" s="34">
        <f t="shared" si="313"/>
        <v>27070</v>
      </c>
      <c r="J804" s="34">
        <f t="shared" si="304"/>
        <v>385018</v>
      </c>
      <c r="K804" s="133">
        <v>1000</v>
      </c>
      <c r="L804" s="34"/>
      <c r="M804" s="16">
        <f t="shared" si="294"/>
        <v>145348.88029124826</v>
      </c>
      <c r="N804" s="36">
        <v>860</v>
      </c>
      <c r="O804" s="36">
        <v>3</v>
      </c>
      <c r="P804" s="56" t="s">
        <v>928</v>
      </c>
      <c r="Q804" s="2" t="s">
        <v>186</v>
      </c>
      <c r="S804" s="36">
        <f t="shared" si="314"/>
        <v>10828</v>
      </c>
      <c r="T804" s="114"/>
    </row>
    <row r="805" spans="1:20" x14ac:dyDescent="0.2">
      <c r="A805" s="8" t="str">
        <f t="shared" si="306"/>
        <v>60233</v>
      </c>
      <c r="B805" s="8">
        <v>6</v>
      </c>
      <c r="C805" s="8">
        <v>2</v>
      </c>
      <c r="D805" s="8" t="s">
        <v>64</v>
      </c>
      <c r="E805" s="8">
        <v>3</v>
      </c>
      <c r="F805" s="34">
        <f t="shared" si="312"/>
        <v>263932</v>
      </c>
      <c r="G805" s="34">
        <f t="shared" si="312"/>
        <v>263932</v>
      </c>
      <c r="H805" s="34">
        <f t="shared" si="313"/>
        <v>27070</v>
      </c>
      <c r="I805" s="34">
        <f t="shared" si="313"/>
        <v>27070</v>
      </c>
      <c r="J805" s="34">
        <f t="shared" si="304"/>
        <v>440782</v>
      </c>
      <c r="K805" s="133">
        <v>1000</v>
      </c>
      <c r="L805" s="34"/>
      <c r="M805" s="16">
        <f t="shared" si="294"/>
        <v>141968.52323775279</v>
      </c>
      <c r="N805" s="36">
        <v>840</v>
      </c>
      <c r="O805" s="36">
        <v>3</v>
      </c>
      <c r="P805" s="56" t="s">
        <v>928</v>
      </c>
      <c r="Q805" s="2" t="s">
        <v>196</v>
      </c>
      <c r="S805" s="36">
        <f t="shared" si="314"/>
        <v>10828</v>
      </c>
      <c r="T805" s="114"/>
    </row>
    <row r="806" spans="1:20" x14ac:dyDescent="0.2">
      <c r="A806" s="8" t="str">
        <f t="shared" si="306"/>
        <v>60234</v>
      </c>
      <c r="B806" s="8">
        <v>6</v>
      </c>
      <c r="C806" s="8">
        <v>2</v>
      </c>
      <c r="D806" s="8" t="s">
        <v>64</v>
      </c>
      <c r="E806" s="8">
        <v>4</v>
      </c>
      <c r="F806" s="34">
        <f t="shared" si="312"/>
        <v>324840</v>
      </c>
      <c r="G806" s="34">
        <f t="shared" si="312"/>
        <v>324840</v>
      </c>
      <c r="H806" s="34">
        <f t="shared" si="313"/>
        <v>27070</v>
      </c>
      <c r="I806" s="34">
        <f t="shared" si="313"/>
        <v>27070</v>
      </c>
      <c r="J806" s="34">
        <f t="shared" si="304"/>
        <v>606728</v>
      </c>
      <c r="K806" s="133">
        <v>1000</v>
      </c>
      <c r="L806" s="34"/>
      <c r="M806" s="16">
        <f t="shared" ref="M806:M869" si="315">(F806*J806*((H806+I806)/2)/1000)^(1/2)/10*0.8</f>
        <v>184784.64701049426</v>
      </c>
      <c r="N806" s="36">
        <v>820</v>
      </c>
      <c r="O806" s="36">
        <v>4</v>
      </c>
      <c r="P806" s="56" t="s">
        <v>928</v>
      </c>
      <c r="Q806" s="2" t="s">
        <v>197</v>
      </c>
      <c r="S806" s="36">
        <f t="shared" si="314"/>
        <v>10828</v>
      </c>
      <c r="T806" s="114"/>
    </row>
    <row r="807" spans="1:20" x14ac:dyDescent="0.2">
      <c r="A807" s="8" t="str">
        <f t="shared" si="306"/>
        <v>60330</v>
      </c>
      <c r="B807" s="8">
        <v>6</v>
      </c>
      <c r="C807" s="8">
        <v>3</v>
      </c>
      <c r="D807" s="8" t="s">
        <v>64</v>
      </c>
      <c r="E807" s="8">
        <v>0</v>
      </c>
      <c r="F807" s="34">
        <f t="shared" si="312"/>
        <v>60610</v>
      </c>
      <c r="G807" s="34">
        <f t="shared" si="312"/>
        <v>60610</v>
      </c>
      <c r="H807" s="34">
        <f t="shared" si="313"/>
        <v>27550</v>
      </c>
      <c r="I807" s="34">
        <f t="shared" si="313"/>
        <v>27550</v>
      </c>
      <c r="J807" s="34">
        <f t="shared" si="304"/>
        <v>63396</v>
      </c>
      <c r="K807" s="133">
        <v>1000</v>
      </c>
      <c r="L807" s="34"/>
      <c r="M807" s="16">
        <f t="shared" si="315"/>
        <v>26028.782773291572</v>
      </c>
      <c r="N807" s="36">
        <v>900</v>
      </c>
      <c r="O807" s="36">
        <v>0.5</v>
      </c>
      <c r="P807" s="56" t="s">
        <v>929</v>
      </c>
      <c r="Q807" s="2" t="s">
        <v>188</v>
      </c>
      <c r="S807" s="36">
        <f t="shared" si="314"/>
        <v>11020</v>
      </c>
      <c r="T807" s="114"/>
    </row>
    <row r="808" spans="1:20" x14ac:dyDescent="0.2">
      <c r="A808" s="8" t="str">
        <f t="shared" si="306"/>
        <v>60331</v>
      </c>
      <c r="B808" s="8">
        <v>6</v>
      </c>
      <c r="C808" s="8">
        <v>3</v>
      </c>
      <c r="D808" s="8" t="s">
        <v>64</v>
      </c>
      <c r="E808" s="8">
        <v>1</v>
      </c>
      <c r="F808" s="34">
        <f t="shared" si="312"/>
        <v>114332</v>
      </c>
      <c r="G808" s="34">
        <f t="shared" si="312"/>
        <v>114332</v>
      </c>
      <c r="H808" s="34">
        <f t="shared" si="313"/>
        <v>27550</v>
      </c>
      <c r="I808" s="34">
        <f t="shared" si="313"/>
        <v>27550</v>
      </c>
      <c r="J808" s="34">
        <f t="shared" si="304"/>
        <v>128522</v>
      </c>
      <c r="K808" s="133">
        <v>1000</v>
      </c>
      <c r="L808" s="34"/>
      <c r="M808" s="16">
        <f t="shared" si="315"/>
        <v>50900.661510841688</v>
      </c>
      <c r="N808" s="36">
        <v>880</v>
      </c>
      <c r="O808" s="36">
        <v>1</v>
      </c>
      <c r="P808" s="56" t="s">
        <v>929</v>
      </c>
      <c r="Q808" s="2" t="s">
        <v>187</v>
      </c>
      <c r="S808" s="36">
        <f t="shared" si="314"/>
        <v>11020</v>
      </c>
      <c r="T808" s="114"/>
    </row>
    <row r="809" spans="1:20" x14ac:dyDescent="0.2">
      <c r="A809" s="8" t="str">
        <f t="shared" si="306"/>
        <v>60332</v>
      </c>
      <c r="B809" s="8">
        <v>6</v>
      </c>
      <c r="C809" s="8">
        <v>3</v>
      </c>
      <c r="D809" s="8" t="s">
        <v>64</v>
      </c>
      <c r="E809" s="8">
        <v>2</v>
      </c>
      <c r="F809" s="34">
        <f t="shared" si="312"/>
        <v>322335</v>
      </c>
      <c r="G809" s="34">
        <f t="shared" si="312"/>
        <v>322335</v>
      </c>
      <c r="H809" s="34">
        <f t="shared" si="313"/>
        <v>27550</v>
      </c>
      <c r="I809" s="34">
        <f t="shared" si="313"/>
        <v>27550</v>
      </c>
      <c r="J809" s="34">
        <f t="shared" si="304"/>
        <v>391845</v>
      </c>
      <c r="K809" s="133">
        <v>1000</v>
      </c>
      <c r="L809" s="34"/>
      <c r="M809" s="16">
        <f t="shared" si="315"/>
        <v>149231.90254025446</v>
      </c>
      <c r="N809" s="36">
        <v>860</v>
      </c>
      <c r="O809" s="36">
        <v>3</v>
      </c>
      <c r="P809" s="56" t="s">
        <v>929</v>
      </c>
      <c r="Q809" s="2" t="s">
        <v>186</v>
      </c>
      <c r="S809" s="36">
        <f t="shared" si="314"/>
        <v>11020</v>
      </c>
      <c r="T809" s="114"/>
    </row>
    <row r="810" spans="1:20" x14ac:dyDescent="0.2">
      <c r="A810" s="8" t="str">
        <f t="shared" si="306"/>
        <v>60333</v>
      </c>
      <c r="B810" s="8">
        <v>6</v>
      </c>
      <c r="C810" s="8">
        <v>3</v>
      </c>
      <c r="D810" s="8" t="s">
        <v>64</v>
      </c>
      <c r="E810" s="8">
        <v>3</v>
      </c>
      <c r="F810" s="34">
        <f t="shared" si="312"/>
        <v>313381</v>
      </c>
      <c r="G810" s="34">
        <f t="shared" si="312"/>
        <v>313381</v>
      </c>
      <c r="H810" s="34">
        <f t="shared" si="313"/>
        <v>27550</v>
      </c>
      <c r="I810" s="34">
        <f t="shared" si="313"/>
        <v>27550</v>
      </c>
      <c r="J810" s="34">
        <f t="shared" si="304"/>
        <v>523365</v>
      </c>
      <c r="K810" s="133">
        <v>1000</v>
      </c>
      <c r="L810" s="34"/>
      <c r="M810" s="16">
        <f t="shared" si="315"/>
        <v>170055.02030372643</v>
      </c>
      <c r="N810" s="36">
        <v>840</v>
      </c>
      <c r="O810" s="36">
        <v>3.5</v>
      </c>
      <c r="P810" s="56" t="s">
        <v>929</v>
      </c>
      <c r="Q810" s="2" t="s">
        <v>196</v>
      </c>
      <c r="S810" s="36">
        <f t="shared" si="314"/>
        <v>11020</v>
      </c>
      <c r="T810" s="114"/>
    </row>
    <row r="811" spans="1:20" x14ac:dyDescent="0.2">
      <c r="A811" s="8" t="str">
        <f t="shared" si="306"/>
        <v>60334</v>
      </c>
      <c r="B811" s="8">
        <v>6</v>
      </c>
      <c r="C811" s="8">
        <v>3</v>
      </c>
      <c r="D811" s="8" t="s">
        <v>64</v>
      </c>
      <c r="E811" s="8">
        <v>4</v>
      </c>
      <c r="F811" s="34">
        <f t="shared" si="312"/>
        <v>371925</v>
      </c>
      <c r="G811" s="34">
        <f t="shared" si="312"/>
        <v>371925</v>
      </c>
      <c r="H811" s="34">
        <f t="shared" si="313"/>
        <v>27550</v>
      </c>
      <c r="I811" s="34">
        <f t="shared" si="313"/>
        <v>27550</v>
      </c>
      <c r="J811" s="34">
        <f t="shared" si="304"/>
        <v>694673</v>
      </c>
      <c r="K811" s="133">
        <v>1000</v>
      </c>
      <c r="L811" s="34"/>
      <c r="M811" s="16">
        <f t="shared" si="315"/>
        <v>213436.49681853384</v>
      </c>
      <c r="N811" s="36">
        <v>820</v>
      </c>
      <c r="O811" s="36">
        <v>4.5</v>
      </c>
      <c r="P811" s="56" t="s">
        <v>929</v>
      </c>
      <c r="Q811" s="2" t="s">
        <v>197</v>
      </c>
      <c r="S811" s="36">
        <f t="shared" si="314"/>
        <v>11020</v>
      </c>
      <c r="T811" s="114"/>
    </row>
    <row r="812" spans="1:20" ht="38.25" x14ac:dyDescent="0.2">
      <c r="A812" s="8" t="str">
        <f t="shared" ref="A812:A827" si="316">IF(B812="","",CONCATENATE(B812,CONCATENATE(REPT(0,2-LEN(C812)),C812),IF(OR(D812="Easy",D812=""),1,IF(D812="Normal",2,IF(D812="Hard",3,IF(D812="Hell",4,"error")))),E812))</f>
        <v/>
      </c>
      <c r="B812" s="5"/>
      <c r="C812" s="6" t="s">
        <v>241</v>
      </c>
      <c r="D812" s="5"/>
      <c r="E812" s="5"/>
      <c r="F812" s="5"/>
      <c r="G812" s="5"/>
      <c r="H812" s="5"/>
      <c r="I812" s="5"/>
      <c r="J812" s="5"/>
      <c r="K812" s="133">
        <v>1000</v>
      </c>
      <c r="L812" s="5"/>
      <c r="M812" s="16">
        <f t="shared" si="315"/>
        <v>0</v>
      </c>
      <c r="N812" s="5"/>
      <c r="O812" s="5"/>
      <c r="P812" s="5" t="s">
        <v>191</v>
      </c>
      <c r="Q812" s="5"/>
      <c r="R812" s="5"/>
      <c r="S812" s="30"/>
      <c r="T812" s="266"/>
    </row>
    <row r="813" spans="1:20" x14ac:dyDescent="0.2">
      <c r="A813" s="18" t="str">
        <f t="shared" si="316"/>
        <v>60140</v>
      </c>
      <c r="B813" s="18">
        <v>6</v>
      </c>
      <c r="C813" s="18">
        <v>1</v>
      </c>
      <c r="D813" s="18" t="s">
        <v>237</v>
      </c>
      <c r="E813" s="18">
        <v>0</v>
      </c>
      <c r="F813" s="34">
        <f t="shared" ref="F813:G817" si="317">ROUNDDOWN($P813/4*$O813*10*$N813/$N813*$Q813/400,0)</f>
        <v>35200</v>
      </c>
      <c r="G813" s="34">
        <f t="shared" si="317"/>
        <v>35200</v>
      </c>
      <c r="H813" s="34">
        <f t="shared" ref="H813:I817" si="318">ROUNDDOWN($S813/4*10,0)</f>
        <v>16000</v>
      </c>
      <c r="I813" s="34">
        <f t="shared" si="318"/>
        <v>16000</v>
      </c>
      <c r="J813" s="34">
        <f t="shared" si="304"/>
        <v>36818</v>
      </c>
      <c r="K813" s="133">
        <v>1000</v>
      </c>
      <c r="L813" s="19"/>
      <c r="M813" s="16">
        <f t="shared" si="315"/>
        <v>11519.971555520438</v>
      </c>
      <c r="N813" s="36">
        <v>900</v>
      </c>
      <c r="O813" s="58">
        <v>0.5</v>
      </c>
      <c r="P813" s="2" t="s">
        <v>767</v>
      </c>
      <c r="Q813" s="2" t="s">
        <v>188</v>
      </c>
      <c r="R813" s="41"/>
      <c r="S813" s="36">
        <f t="shared" si="314"/>
        <v>6400</v>
      </c>
    </row>
    <row r="814" spans="1:20" x14ac:dyDescent="0.2">
      <c r="A814" s="18" t="str">
        <f t="shared" si="316"/>
        <v>60141</v>
      </c>
      <c r="B814" s="18">
        <v>6</v>
      </c>
      <c r="C814" s="18">
        <v>1</v>
      </c>
      <c r="D814" s="18" t="s">
        <v>237</v>
      </c>
      <c r="E814" s="18">
        <v>1</v>
      </c>
      <c r="F814" s="34">
        <f t="shared" si="317"/>
        <v>66400</v>
      </c>
      <c r="G814" s="34">
        <f t="shared" si="317"/>
        <v>66400</v>
      </c>
      <c r="H814" s="34">
        <f t="shared" si="318"/>
        <v>16000</v>
      </c>
      <c r="I814" s="34">
        <f t="shared" si="318"/>
        <v>16000</v>
      </c>
      <c r="J814" s="34">
        <f t="shared" si="304"/>
        <v>74640</v>
      </c>
      <c r="K814" s="133">
        <v>1000</v>
      </c>
      <c r="L814" s="19"/>
      <c r="M814" s="16">
        <f t="shared" si="315"/>
        <v>22527.85454498497</v>
      </c>
      <c r="N814" s="36">
        <v>880</v>
      </c>
      <c r="O814" s="58">
        <v>1</v>
      </c>
      <c r="P814" s="2" t="s">
        <v>767</v>
      </c>
      <c r="Q814" s="2" t="s">
        <v>187</v>
      </c>
      <c r="R814" s="41"/>
      <c r="S814" s="36">
        <f t="shared" si="314"/>
        <v>6400</v>
      </c>
    </row>
    <row r="815" spans="1:20" x14ac:dyDescent="0.2">
      <c r="A815" s="18" t="str">
        <f t="shared" si="316"/>
        <v>60142</v>
      </c>
      <c r="B815" s="18">
        <v>6</v>
      </c>
      <c r="C815" s="18">
        <v>1</v>
      </c>
      <c r="D815" s="18" t="s">
        <v>237</v>
      </c>
      <c r="E815" s="18">
        <v>2</v>
      </c>
      <c r="F815" s="34">
        <f t="shared" si="317"/>
        <v>124800</v>
      </c>
      <c r="G815" s="34">
        <f t="shared" si="317"/>
        <v>124800</v>
      </c>
      <c r="H815" s="34">
        <f t="shared" si="318"/>
        <v>16000</v>
      </c>
      <c r="I815" s="34">
        <f t="shared" si="318"/>
        <v>16000</v>
      </c>
      <c r="J815" s="34">
        <f t="shared" si="304"/>
        <v>151712</v>
      </c>
      <c r="K815" s="133">
        <v>1000</v>
      </c>
      <c r="L815" s="19"/>
      <c r="M815" s="16">
        <f t="shared" si="315"/>
        <v>44031.880930071573</v>
      </c>
      <c r="N815" s="36">
        <v>860</v>
      </c>
      <c r="O815" s="58">
        <v>2</v>
      </c>
      <c r="P815" s="2" t="s">
        <v>767</v>
      </c>
      <c r="Q815" s="2" t="s">
        <v>186</v>
      </c>
      <c r="R815" s="41"/>
      <c r="S815" s="36">
        <f t="shared" si="314"/>
        <v>6400</v>
      </c>
    </row>
    <row r="816" spans="1:20" x14ac:dyDescent="0.2">
      <c r="A816" s="18" t="str">
        <f t="shared" si="316"/>
        <v>60143</v>
      </c>
      <c r="B816" s="18">
        <v>6</v>
      </c>
      <c r="C816" s="18">
        <v>1</v>
      </c>
      <c r="D816" s="18" t="s">
        <v>237</v>
      </c>
      <c r="E816" s="18">
        <v>3</v>
      </c>
      <c r="F816" s="34">
        <f t="shared" si="317"/>
        <v>156000</v>
      </c>
      <c r="G816" s="34">
        <f t="shared" si="317"/>
        <v>156000</v>
      </c>
      <c r="H816" s="34">
        <f t="shared" si="318"/>
        <v>16000</v>
      </c>
      <c r="I816" s="34">
        <f t="shared" si="318"/>
        <v>16000</v>
      </c>
      <c r="J816" s="34">
        <f t="shared" si="304"/>
        <v>260529</v>
      </c>
      <c r="K816" s="133">
        <v>1000</v>
      </c>
      <c r="L816" s="19"/>
      <c r="M816" s="16">
        <f t="shared" si="315"/>
        <v>64511.971428565099</v>
      </c>
      <c r="N816" s="36">
        <v>840</v>
      </c>
      <c r="O816" s="58">
        <v>3</v>
      </c>
      <c r="P816" s="2" t="s">
        <v>767</v>
      </c>
      <c r="Q816" s="2" t="s">
        <v>196</v>
      </c>
      <c r="R816" s="41"/>
      <c r="S816" s="36">
        <f t="shared" si="314"/>
        <v>6400</v>
      </c>
    </row>
    <row r="817" spans="1:20" x14ac:dyDescent="0.2">
      <c r="A817" s="18" t="str">
        <f t="shared" si="316"/>
        <v>60144</v>
      </c>
      <c r="B817" s="18">
        <v>6</v>
      </c>
      <c r="C817" s="18">
        <v>1</v>
      </c>
      <c r="D817" s="18" t="s">
        <v>237</v>
      </c>
      <c r="E817" s="18">
        <v>4</v>
      </c>
      <c r="F817" s="34">
        <f t="shared" si="317"/>
        <v>192000</v>
      </c>
      <c r="G817" s="34">
        <f t="shared" si="317"/>
        <v>192000</v>
      </c>
      <c r="H817" s="34">
        <f t="shared" si="318"/>
        <v>16000</v>
      </c>
      <c r="I817" s="34">
        <f t="shared" si="318"/>
        <v>16000</v>
      </c>
      <c r="J817" s="34">
        <f t="shared" si="304"/>
        <v>358613</v>
      </c>
      <c r="K817" s="133">
        <v>1000</v>
      </c>
      <c r="L817" s="19"/>
      <c r="M817" s="16">
        <f t="shared" si="315"/>
        <v>83967.960975600698</v>
      </c>
      <c r="N817" s="36">
        <v>820</v>
      </c>
      <c r="O817" s="58">
        <v>4</v>
      </c>
      <c r="P817" s="2" t="s">
        <v>767</v>
      </c>
      <c r="Q817" s="2" t="s">
        <v>197</v>
      </c>
      <c r="R817" s="41"/>
      <c r="S817" s="36">
        <f t="shared" si="314"/>
        <v>6400</v>
      </c>
    </row>
    <row r="818" spans="1:20" x14ac:dyDescent="0.2">
      <c r="A818" s="18" t="str">
        <f t="shared" si="316"/>
        <v>60240</v>
      </c>
      <c r="B818" s="18">
        <v>6</v>
      </c>
      <c r="C818" s="18">
        <v>2</v>
      </c>
      <c r="D818" s="18" t="s">
        <v>237</v>
      </c>
      <c r="E818" s="18">
        <v>0</v>
      </c>
      <c r="F818" s="19">
        <f t="shared" ref="F818:G827" si="319">ROUNDDOWN($P818/4*$O818*10*$N818/$N818*$Q818/400,0)</f>
        <v>58311</v>
      </c>
      <c r="G818" s="19">
        <f t="shared" si="319"/>
        <v>58311</v>
      </c>
      <c r="H818" s="19">
        <f t="shared" ref="H818:I827" si="320">ROUNDDOWN($S818/4*10,0)</f>
        <v>70255</v>
      </c>
      <c r="I818" s="19">
        <f t="shared" si="320"/>
        <v>70255</v>
      </c>
      <c r="J818" s="19">
        <f t="shared" ref="J818:J827" si="321">ROUNDDOWN($P818/4*$O818*10*$N818/$Q818*$N818/400,0)</f>
        <v>76391</v>
      </c>
      <c r="K818" s="133">
        <v>1000</v>
      </c>
      <c r="L818" s="19"/>
      <c r="M818" s="16">
        <f t="shared" si="315"/>
        <v>44753.288014947379</v>
      </c>
      <c r="N818" s="58">
        <v>950</v>
      </c>
      <c r="O818" s="58">
        <v>0.5</v>
      </c>
      <c r="P818" s="94">
        <v>22481.600000000002</v>
      </c>
      <c r="Q818" s="41" t="s">
        <v>256</v>
      </c>
      <c r="R818" s="41"/>
      <c r="S818" s="58">
        <v>28102</v>
      </c>
      <c r="T818" s="114"/>
    </row>
    <row r="819" spans="1:20" x14ac:dyDescent="0.2">
      <c r="A819" s="18" t="str">
        <f t="shared" si="316"/>
        <v>60241</v>
      </c>
      <c r="B819" s="18">
        <v>6</v>
      </c>
      <c r="C819" s="18">
        <v>2</v>
      </c>
      <c r="D819" s="18" t="s">
        <v>237</v>
      </c>
      <c r="E819" s="18">
        <v>1</v>
      </c>
      <c r="F819" s="19">
        <f t="shared" si="319"/>
        <v>116623</v>
      </c>
      <c r="G819" s="19">
        <f t="shared" si="319"/>
        <v>116623</v>
      </c>
      <c r="H819" s="19">
        <f t="shared" si="320"/>
        <v>70255</v>
      </c>
      <c r="I819" s="19">
        <f t="shared" si="320"/>
        <v>70255</v>
      </c>
      <c r="J819" s="19">
        <f t="shared" si="321"/>
        <v>146418</v>
      </c>
      <c r="K819" s="133">
        <v>1000</v>
      </c>
      <c r="L819" s="19"/>
      <c r="M819" s="16">
        <f t="shared" si="315"/>
        <v>87622.965176599973</v>
      </c>
      <c r="N819" s="58">
        <v>930</v>
      </c>
      <c r="O819" s="58">
        <v>1</v>
      </c>
      <c r="P819" s="94">
        <v>22481.600000000002</v>
      </c>
      <c r="Q819" s="41" t="s">
        <v>232</v>
      </c>
      <c r="R819" s="41"/>
      <c r="S819" s="58">
        <v>28102</v>
      </c>
      <c r="T819" s="114"/>
    </row>
    <row r="820" spans="1:20" x14ac:dyDescent="0.2">
      <c r="A820" s="18" t="str">
        <f t="shared" si="316"/>
        <v>60242</v>
      </c>
      <c r="B820" s="18">
        <v>6</v>
      </c>
      <c r="C820" s="18">
        <v>2</v>
      </c>
      <c r="D820" s="18" t="s">
        <v>237</v>
      </c>
      <c r="E820" s="18">
        <v>2</v>
      </c>
      <c r="F820" s="19">
        <f t="shared" si="319"/>
        <v>219195</v>
      </c>
      <c r="G820" s="19">
        <f t="shared" si="319"/>
        <v>219195</v>
      </c>
      <c r="H820" s="19">
        <f t="shared" si="320"/>
        <v>70255</v>
      </c>
      <c r="I820" s="19">
        <f t="shared" si="320"/>
        <v>70255</v>
      </c>
      <c r="J820" s="19">
        <f t="shared" si="321"/>
        <v>298349</v>
      </c>
      <c r="K820" s="133">
        <v>1000</v>
      </c>
      <c r="L820" s="19"/>
      <c r="M820" s="16">
        <f t="shared" si="315"/>
        <v>171477.13585961764</v>
      </c>
      <c r="N820" s="58">
        <v>910</v>
      </c>
      <c r="O820" s="58">
        <v>2</v>
      </c>
      <c r="P820" s="94">
        <v>22481.600000000002</v>
      </c>
      <c r="Q820" s="41" t="s">
        <v>233</v>
      </c>
      <c r="R820" s="41"/>
      <c r="S820" s="58">
        <v>28102</v>
      </c>
      <c r="T820" s="114"/>
    </row>
    <row r="821" spans="1:20" x14ac:dyDescent="0.2">
      <c r="A821" s="18" t="str">
        <f t="shared" si="316"/>
        <v>60243</v>
      </c>
      <c r="B821" s="18">
        <v>6</v>
      </c>
      <c r="C821" s="18">
        <v>2</v>
      </c>
      <c r="D821" s="18" t="s">
        <v>237</v>
      </c>
      <c r="E821" s="18">
        <v>3</v>
      </c>
      <c r="F821" s="19">
        <f t="shared" si="319"/>
        <v>273994</v>
      </c>
      <c r="G821" s="19">
        <f t="shared" si="319"/>
        <v>273994</v>
      </c>
      <c r="H821" s="19">
        <f t="shared" si="320"/>
        <v>70255</v>
      </c>
      <c r="I821" s="19">
        <f t="shared" si="320"/>
        <v>70255</v>
      </c>
      <c r="J821" s="19">
        <f t="shared" si="321"/>
        <v>513682</v>
      </c>
      <c r="K821" s="133">
        <v>1000</v>
      </c>
      <c r="L821" s="19"/>
      <c r="M821" s="16">
        <f t="shared" si="315"/>
        <v>251562.7341427698</v>
      </c>
      <c r="N821" s="58">
        <v>890</v>
      </c>
      <c r="O821" s="58">
        <v>3</v>
      </c>
      <c r="P821" s="94">
        <v>22481.600000000002</v>
      </c>
      <c r="Q821" s="41" t="s">
        <v>234</v>
      </c>
      <c r="R821" s="41"/>
      <c r="S821" s="58">
        <v>28102</v>
      </c>
      <c r="T821" s="114"/>
    </row>
    <row r="822" spans="1:20" x14ac:dyDescent="0.2">
      <c r="A822" s="18" t="str">
        <f t="shared" si="316"/>
        <v>60244</v>
      </c>
      <c r="B822" s="18">
        <v>6</v>
      </c>
      <c r="C822" s="18">
        <v>2</v>
      </c>
      <c r="D822" s="18" t="s">
        <v>237</v>
      </c>
      <c r="E822" s="18">
        <v>4</v>
      </c>
      <c r="F822" s="19">
        <f t="shared" si="319"/>
        <v>337224</v>
      </c>
      <c r="G822" s="19">
        <f t="shared" si="319"/>
        <v>337224</v>
      </c>
      <c r="H822" s="19">
        <f t="shared" si="320"/>
        <v>70255</v>
      </c>
      <c r="I822" s="19">
        <f t="shared" si="320"/>
        <v>70255</v>
      </c>
      <c r="J822" s="19">
        <f t="shared" si="321"/>
        <v>709013</v>
      </c>
      <c r="K822" s="133">
        <v>1000</v>
      </c>
      <c r="L822" s="19"/>
      <c r="M822" s="16">
        <f t="shared" si="315"/>
        <v>327880.01244179619</v>
      </c>
      <c r="N822" s="58">
        <v>870</v>
      </c>
      <c r="O822" s="58">
        <v>4</v>
      </c>
      <c r="P822" s="94">
        <v>22481.600000000002</v>
      </c>
      <c r="Q822" s="41" t="s">
        <v>235</v>
      </c>
      <c r="R822" s="41"/>
      <c r="S822" s="58">
        <v>28102</v>
      </c>
      <c r="T822" s="114"/>
    </row>
    <row r="823" spans="1:20" x14ac:dyDescent="0.2">
      <c r="A823" s="18" t="str">
        <f t="shared" si="316"/>
        <v>60340</v>
      </c>
      <c r="B823" s="18">
        <v>6</v>
      </c>
      <c r="C823" s="18">
        <v>3</v>
      </c>
      <c r="D823" s="18" t="s">
        <v>237</v>
      </c>
      <c r="E823" s="18">
        <v>0</v>
      </c>
      <c r="F823" s="19">
        <f t="shared" si="319"/>
        <v>61523</v>
      </c>
      <c r="G823" s="19">
        <f t="shared" si="319"/>
        <v>61523</v>
      </c>
      <c r="H823" s="19">
        <f t="shared" si="320"/>
        <v>74125</v>
      </c>
      <c r="I823" s="19">
        <f t="shared" si="320"/>
        <v>74125</v>
      </c>
      <c r="J823" s="19">
        <f t="shared" si="321"/>
        <v>80599</v>
      </c>
      <c r="K823" s="133">
        <v>1000</v>
      </c>
      <c r="L823" s="19"/>
      <c r="M823" s="16">
        <f t="shared" si="315"/>
        <v>48501.583646400664</v>
      </c>
      <c r="N823" s="58">
        <v>950</v>
      </c>
      <c r="O823" s="58">
        <v>0.5</v>
      </c>
      <c r="P823" s="94">
        <v>23720</v>
      </c>
      <c r="Q823" s="41" t="s">
        <v>256</v>
      </c>
      <c r="R823" s="41"/>
      <c r="S823" s="41" t="s">
        <v>255</v>
      </c>
    </row>
    <row r="824" spans="1:20" x14ac:dyDescent="0.2">
      <c r="A824" s="18" t="str">
        <f t="shared" si="316"/>
        <v>60341</v>
      </c>
      <c r="B824" s="18">
        <v>6</v>
      </c>
      <c r="C824" s="18">
        <v>3</v>
      </c>
      <c r="D824" s="18" t="s">
        <v>237</v>
      </c>
      <c r="E824" s="18">
        <v>1</v>
      </c>
      <c r="F824" s="19">
        <f t="shared" si="319"/>
        <v>123047</v>
      </c>
      <c r="G824" s="19">
        <f t="shared" si="319"/>
        <v>123047</v>
      </c>
      <c r="H824" s="19">
        <f t="shared" si="320"/>
        <v>74125</v>
      </c>
      <c r="I824" s="19">
        <f t="shared" si="320"/>
        <v>74125</v>
      </c>
      <c r="J824" s="19">
        <f t="shared" si="321"/>
        <v>154483</v>
      </c>
      <c r="K824" s="133">
        <v>1000</v>
      </c>
      <c r="L824" s="19"/>
      <c r="M824" s="16">
        <f t="shared" si="315"/>
        <v>94961.639129463219</v>
      </c>
      <c r="N824" s="58">
        <v>930</v>
      </c>
      <c r="O824" s="58">
        <v>1</v>
      </c>
      <c r="P824" s="94">
        <v>23720</v>
      </c>
      <c r="Q824" s="41" t="s">
        <v>232</v>
      </c>
      <c r="R824" s="41"/>
      <c r="S824" s="41" t="s">
        <v>255</v>
      </c>
    </row>
    <row r="825" spans="1:20" x14ac:dyDescent="0.2">
      <c r="A825" s="18" t="str">
        <f t="shared" si="316"/>
        <v>60342</v>
      </c>
      <c r="B825" s="18">
        <v>6</v>
      </c>
      <c r="C825" s="18">
        <v>3</v>
      </c>
      <c r="D825" s="18" t="s">
        <v>237</v>
      </c>
      <c r="E825" s="18">
        <v>2</v>
      </c>
      <c r="F825" s="19">
        <f t="shared" si="319"/>
        <v>231270</v>
      </c>
      <c r="G825" s="19">
        <f t="shared" si="319"/>
        <v>231270</v>
      </c>
      <c r="H825" s="19">
        <f t="shared" si="320"/>
        <v>74125</v>
      </c>
      <c r="I825" s="19">
        <f t="shared" si="320"/>
        <v>74125</v>
      </c>
      <c r="J825" s="19">
        <f t="shared" si="321"/>
        <v>314784</v>
      </c>
      <c r="K825" s="133">
        <v>1000</v>
      </c>
      <c r="L825" s="19"/>
      <c r="M825" s="16">
        <f t="shared" si="315"/>
        <v>185839.62276810617</v>
      </c>
      <c r="N825" s="58">
        <v>910</v>
      </c>
      <c r="O825" s="58">
        <v>2</v>
      </c>
      <c r="P825" s="94">
        <v>23720</v>
      </c>
      <c r="Q825" s="41" t="s">
        <v>233</v>
      </c>
      <c r="R825" s="41"/>
      <c r="S825" s="41" t="s">
        <v>255</v>
      </c>
    </row>
    <row r="826" spans="1:20" x14ac:dyDescent="0.2">
      <c r="A826" s="18" t="str">
        <f t="shared" si="316"/>
        <v>60343</v>
      </c>
      <c r="B826" s="18">
        <v>6</v>
      </c>
      <c r="C826" s="18">
        <v>3</v>
      </c>
      <c r="D826" s="18" t="s">
        <v>237</v>
      </c>
      <c r="E826" s="18">
        <v>3</v>
      </c>
      <c r="F826" s="19">
        <f t="shared" si="319"/>
        <v>289087</v>
      </c>
      <c r="G826" s="19">
        <f t="shared" si="319"/>
        <v>289087</v>
      </c>
      <c r="H826" s="19">
        <f t="shared" si="320"/>
        <v>74125</v>
      </c>
      <c r="I826" s="19">
        <f t="shared" si="320"/>
        <v>74125</v>
      </c>
      <c r="J826" s="19">
        <f t="shared" si="321"/>
        <v>541979</v>
      </c>
      <c r="K826" s="133">
        <v>1000</v>
      </c>
      <c r="L826" s="19"/>
      <c r="M826" s="16">
        <f t="shared" si="315"/>
        <v>272632.64121757541</v>
      </c>
      <c r="N826" s="58">
        <v>890</v>
      </c>
      <c r="O826" s="58">
        <v>3</v>
      </c>
      <c r="P826" s="94">
        <v>23720</v>
      </c>
      <c r="Q826" s="41" t="s">
        <v>234</v>
      </c>
      <c r="R826" s="41"/>
      <c r="S826" s="41" t="s">
        <v>255</v>
      </c>
    </row>
    <row r="827" spans="1:20" x14ac:dyDescent="0.2">
      <c r="A827" s="18" t="str">
        <f t="shared" si="316"/>
        <v>60344</v>
      </c>
      <c r="B827" s="18">
        <v>6</v>
      </c>
      <c r="C827" s="18">
        <v>3</v>
      </c>
      <c r="D827" s="18" t="s">
        <v>237</v>
      </c>
      <c r="E827" s="18">
        <v>4</v>
      </c>
      <c r="F827" s="19">
        <f t="shared" si="319"/>
        <v>355800</v>
      </c>
      <c r="G827" s="19">
        <f t="shared" si="319"/>
        <v>355800</v>
      </c>
      <c r="H827" s="19">
        <f t="shared" si="320"/>
        <v>74125</v>
      </c>
      <c r="I827" s="19">
        <f t="shared" si="320"/>
        <v>74125</v>
      </c>
      <c r="J827" s="19">
        <f t="shared" si="321"/>
        <v>748069</v>
      </c>
      <c r="K827" s="133">
        <v>1000</v>
      </c>
      <c r="L827" s="19"/>
      <c r="M827" s="16">
        <f t="shared" si="315"/>
        <v>355341.67159915261</v>
      </c>
      <c r="N827" s="58">
        <v>870</v>
      </c>
      <c r="O827" s="58">
        <v>4</v>
      </c>
      <c r="P827" s="94">
        <v>23720</v>
      </c>
      <c r="Q827" s="41" t="s">
        <v>235</v>
      </c>
      <c r="R827" s="41"/>
      <c r="S827" s="41" t="s">
        <v>255</v>
      </c>
    </row>
    <row r="828" spans="1:20" ht="38.25" x14ac:dyDescent="0.2">
      <c r="A828" s="8" t="str">
        <f t="shared" si="306"/>
        <v/>
      </c>
      <c r="B828" s="5"/>
      <c r="C828" s="6" t="s">
        <v>174</v>
      </c>
      <c r="D828" s="5"/>
      <c r="E828" s="5"/>
      <c r="F828" s="5"/>
      <c r="G828" s="5"/>
      <c r="H828" s="5"/>
      <c r="I828" s="5"/>
      <c r="J828" s="5"/>
      <c r="K828" s="133">
        <v>1000</v>
      </c>
      <c r="L828" s="5"/>
      <c r="M828" s="16">
        <f t="shared" si="315"/>
        <v>0</v>
      </c>
      <c r="N828" s="5"/>
      <c r="O828" s="5"/>
      <c r="P828" s="5"/>
      <c r="Q828" s="5"/>
      <c r="R828" s="5"/>
      <c r="S828" s="30"/>
      <c r="T828" s="266"/>
    </row>
    <row r="829" spans="1:20" x14ac:dyDescent="0.2">
      <c r="A829" s="8" t="str">
        <f t="shared" si="306"/>
        <v>1060130</v>
      </c>
      <c r="B829" s="8">
        <v>106</v>
      </c>
      <c r="C829" s="8">
        <v>1</v>
      </c>
      <c r="D829" s="8" t="s">
        <v>64</v>
      </c>
      <c r="E829" s="8">
        <v>0</v>
      </c>
      <c r="F829" s="34">
        <f t="shared" ref="F829:G833" si="322">ROUNDDOWN($P829/4*$O829*10*$N829/$N829*$Q829/400,0)</f>
        <v>58503</v>
      </c>
      <c r="G829" s="34">
        <f t="shared" si="322"/>
        <v>58503</v>
      </c>
      <c r="H829" s="34">
        <f t="shared" ref="H829:I833" si="323">ROUNDDOWN($S829/4*10,0)</f>
        <v>26592</v>
      </c>
      <c r="I829" s="34">
        <f t="shared" si="323"/>
        <v>26592</v>
      </c>
      <c r="J829" s="34">
        <f t="shared" ref="J829:J833" si="324">ROUNDDOWN($P829/4*$O829*10*$N829/$Q829*$N829/400,0)</f>
        <v>61192</v>
      </c>
      <c r="K829" s="133">
        <v>1000</v>
      </c>
      <c r="L829" s="34"/>
      <c r="M829" s="16">
        <f t="shared" si="315"/>
        <v>24683.223776094339</v>
      </c>
      <c r="N829" s="36">
        <v>900</v>
      </c>
      <c r="O829" s="36">
        <v>0.5</v>
      </c>
      <c r="P829" s="2" t="s">
        <v>770</v>
      </c>
      <c r="Q829" s="2" t="s">
        <v>188</v>
      </c>
      <c r="S829" s="36">
        <f t="shared" ref="S829:S892" si="325">ROUNDDOWN(P829*0.5,0)</f>
        <v>10637</v>
      </c>
      <c r="T829" s="114"/>
    </row>
    <row r="830" spans="1:20" x14ac:dyDescent="0.2">
      <c r="A830" s="8" t="str">
        <f t="shared" si="306"/>
        <v>1060131</v>
      </c>
      <c r="B830" s="8">
        <v>106</v>
      </c>
      <c r="C830" s="8">
        <v>1</v>
      </c>
      <c r="D830" s="8" t="s">
        <v>64</v>
      </c>
      <c r="E830" s="8">
        <v>1</v>
      </c>
      <c r="F830" s="34">
        <f t="shared" si="322"/>
        <v>110358</v>
      </c>
      <c r="G830" s="34">
        <f t="shared" si="322"/>
        <v>110358</v>
      </c>
      <c r="H830" s="34">
        <f t="shared" si="323"/>
        <v>26592</v>
      </c>
      <c r="I830" s="34">
        <f t="shared" si="323"/>
        <v>26592</v>
      </c>
      <c r="J830" s="34">
        <f t="shared" si="324"/>
        <v>124055</v>
      </c>
      <c r="K830" s="133">
        <v>1000</v>
      </c>
      <c r="L830" s="34"/>
      <c r="M830" s="16">
        <f t="shared" si="315"/>
        <v>48269.692835847556</v>
      </c>
      <c r="N830" s="36">
        <v>880</v>
      </c>
      <c r="O830" s="36">
        <v>1</v>
      </c>
      <c r="P830" s="2" t="s">
        <v>770</v>
      </c>
      <c r="Q830" s="2" t="s">
        <v>187</v>
      </c>
      <c r="S830" s="36">
        <f t="shared" si="325"/>
        <v>10637</v>
      </c>
      <c r="T830" s="114"/>
    </row>
    <row r="831" spans="1:20" x14ac:dyDescent="0.2">
      <c r="A831" s="8" t="str">
        <f t="shared" si="306"/>
        <v>1060132</v>
      </c>
      <c r="B831" s="8">
        <v>106</v>
      </c>
      <c r="C831" s="8">
        <v>1</v>
      </c>
      <c r="D831" s="8" t="s">
        <v>64</v>
      </c>
      <c r="E831" s="8">
        <v>2</v>
      </c>
      <c r="F831" s="34">
        <f t="shared" si="322"/>
        <v>311132</v>
      </c>
      <c r="G831" s="34">
        <f t="shared" si="322"/>
        <v>311132</v>
      </c>
      <c r="H831" s="34">
        <f t="shared" si="323"/>
        <v>26592</v>
      </c>
      <c r="I831" s="34">
        <f t="shared" si="323"/>
        <v>26592</v>
      </c>
      <c r="J831" s="34">
        <f t="shared" si="324"/>
        <v>378227</v>
      </c>
      <c r="K831" s="133">
        <v>1000</v>
      </c>
      <c r="L831" s="34"/>
      <c r="M831" s="16">
        <f t="shared" si="315"/>
        <v>141518.78535733555</v>
      </c>
      <c r="N831" s="36">
        <v>860</v>
      </c>
      <c r="O831" s="36">
        <v>3</v>
      </c>
      <c r="P831" s="2" t="s">
        <v>770</v>
      </c>
      <c r="Q831" s="2" t="s">
        <v>186</v>
      </c>
      <c r="S831" s="36">
        <f t="shared" si="325"/>
        <v>10637</v>
      </c>
      <c r="T831" s="114"/>
    </row>
    <row r="832" spans="1:20" x14ac:dyDescent="0.2">
      <c r="A832" s="8" t="str">
        <f t="shared" si="306"/>
        <v>1060133</v>
      </c>
      <c r="B832" s="8">
        <v>106</v>
      </c>
      <c r="C832" s="8">
        <v>1</v>
      </c>
      <c r="D832" s="8" t="s">
        <v>64</v>
      </c>
      <c r="E832" s="8">
        <v>3</v>
      </c>
      <c r="F832" s="34">
        <f t="shared" si="322"/>
        <v>339719</v>
      </c>
      <c r="G832" s="34">
        <f t="shared" si="322"/>
        <v>339719</v>
      </c>
      <c r="H832" s="34">
        <f t="shared" si="323"/>
        <v>26592</v>
      </c>
      <c r="I832" s="34">
        <f t="shared" si="323"/>
        <v>26592</v>
      </c>
      <c r="J832" s="34">
        <f t="shared" si="324"/>
        <v>449813</v>
      </c>
      <c r="K832" s="133">
        <v>1000</v>
      </c>
      <c r="L832" s="34"/>
      <c r="M832" s="16">
        <f t="shared" si="315"/>
        <v>161265.47790908904</v>
      </c>
      <c r="N832" s="36">
        <v>840</v>
      </c>
      <c r="O832" s="36">
        <v>3.5</v>
      </c>
      <c r="P832" s="2" t="s">
        <v>770</v>
      </c>
      <c r="Q832" s="2" t="s">
        <v>185</v>
      </c>
      <c r="S832" s="36">
        <f t="shared" si="325"/>
        <v>10637</v>
      </c>
      <c r="T832" s="114"/>
    </row>
    <row r="833" spans="1:20" x14ac:dyDescent="0.2">
      <c r="A833" s="8" t="str">
        <f t="shared" si="306"/>
        <v>1060134</v>
      </c>
      <c r="B833" s="8">
        <v>106</v>
      </c>
      <c r="C833" s="8">
        <v>1</v>
      </c>
      <c r="D833" s="8" t="s">
        <v>64</v>
      </c>
      <c r="E833" s="8">
        <v>4</v>
      </c>
      <c r="F833" s="34">
        <f t="shared" si="322"/>
        <v>372295</v>
      </c>
      <c r="G833" s="34">
        <f t="shared" si="322"/>
        <v>372295</v>
      </c>
      <c r="H833" s="34">
        <f t="shared" si="323"/>
        <v>26592</v>
      </c>
      <c r="I833" s="34">
        <f t="shared" si="323"/>
        <v>26592</v>
      </c>
      <c r="J833" s="34">
        <f t="shared" si="324"/>
        <v>510879</v>
      </c>
      <c r="K833" s="133">
        <v>1000</v>
      </c>
      <c r="L833" s="34"/>
      <c r="M833" s="16">
        <f t="shared" si="315"/>
        <v>179915.30748410814</v>
      </c>
      <c r="N833" s="36">
        <v>820</v>
      </c>
      <c r="O833" s="36">
        <v>4</v>
      </c>
      <c r="P833" s="2" t="s">
        <v>770</v>
      </c>
      <c r="Q833" s="2" t="s">
        <v>166</v>
      </c>
      <c r="S833" s="36">
        <f t="shared" si="325"/>
        <v>10637</v>
      </c>
      <c r="T833" s="114"/>
    </row>
    <row r="834" spans="1:20" ht="38.25" x14ac:dyDescent="0.2">
      <c r="A834" s="8" t="str">
        <f t="shared" si="306"/>
        <v/>
      </c>
      <c r="B834" s="5"/>
      <c r="C834" s="6" t="s">
        <v>265</v>
      </c>
      <c r="D834" s="5"/>
      <c r="E834" s="5"/>
      <c r="F834" s="5"/>
      <c r="G834" s="5"/>
      <c r="H834" s="5"/>
      <c r="I834" s="5"/>
      <c r="J834" s="5"/>
      <c r="K834" s="133">
        <v>1000</v>
      </c>
      <c r="L834" s="5"/>
      <c r="M834" s="16">
        <f t="shared" si="315"/>
        <v>0</v>
      </c>
      <c r="N834" s="5"/>
      <c r="O834" s="5"/>
      <c r="P834" s="5"/>
      <c r="Q834" s="5"/>
      <c r="R834" s="5"/>
      <c r="S834" s="30"/>
      <c r="T834" s="266"/>
    </row>
    <row r="835" spans="1:20" x14ac:dyDescent="0.2">
      <c r="A835" s="8" t="str">
        <f t="shared" si="306"/>
        <v>70110</v>
      </c>
      <c r="B835" s="8">
        <v>7</v>
      </c>
      <c r="C835" s="8">
        <v>1</v>
      </c>
      <c r="D835" s="8" t="s">
        <v>62</v>
      </c>
      <c r="E835" s="8">
        <v>0</v>
      </c>
      <c r="F835" s="34">
        <f>ROUNDDOWN($P835/4*$O835*10*$N835/$N835*$Q835/400,0)</f>
        <v>54380</v>
      </c>
      <c r="G835" s="34">
        <f>ROUNDDOWN($P835/4*$O835*10*$N835/$N835*$Q835/400,0)</f>
        <v>54380</v>
      </c>
      <c r="H835" s="34">
        <f t="shared" ref="H835:I844" si="326">ROUNDDOWN($S835/4*10,0)</f>
        <v>23642</v>
      </c>
      <c r="I835" s="34">
        <f t="shared" si="326"/>
        <v>23642</v>
      </c>
      <c r="J835" s="34">
        <f>ROUNDDOWN($P835/4*$O835*10*$N835/$Q835*$N835/400,0)</f>
        <v>57985</v>
      </c>
      <c r="K835" s="133">
        <v>1000</v>
      </c>
      <c r="L835" s="34"/>
      <c r="M835" s="16">
        <f t="shared" si="315"/>
        <v>21842.861189959527</v>
      </c>
      <c r="N835" s="58">
        <v>950</v>
      </c>
      <c r="O835" s="36">
        <v>0.5</v>
      </c>
      <c r="P835" s="99">
        <v>18915.05</v>
      </c>
      <c r="Q835" s="41" t="s">
        <v>273</v>
      </c>
      <c r="R835" s="36"/>
      <c r="S835" s="36">
        <f t="shared" si="325"/>
        <v>9457</v>
      </c>
      <c r="T835" s="114"/>
    </row>
    <row r="836" spans="1:20" x14ac:dyDescent="0.2">
      <c r="A836" s="8" t="str">
        <f t="shared" si="306"/>
        <v>70111</v>
      </c>
      <c r="B836" s="8">
        <v>7</v>
      </c>
      <c r="C836" s="8">
        <v>1</v>
      </c>
      <c r="D836" s="8" t="s">
        <v>62</v>
      </c>
      <c r="E836" s="8">
        <v>1</v>
      </c>
      <c r="F836" s="34">
        <f t="shared" ref="F836:G839" si="327">ROUNDDOWN($P836/4*$O836*10*$N836/$N836*$Q836/400,0)</f>
        <v>108761</v>
      </c>
      <c r="G836" s="34">
        <f t="shared" si="327"/>
        <v>108761</v>
      </c>
      <c r="H836" s="34">
        <f t="shared" si="326"/>
        <v>23642</v>
      </c>
      <c r="I836" s="34">
        <f t="shared" si="326"/>
        <v>23642</v>
      </c>
      <c r="J836" s="34">
        <f t="shared" ref="J836:J839" si="328">ROUNDDOWN($P836/4*$O836*10*$N836/$Q836*$N836/400,0)</f>
        <v>111138</v>
      </c>
      <c r="K836" s="133">
        <v>1000</v>
      </c>
      <c r="L836" s="34"/>
      <c r="M836" s="16">
        <f t="shared" si="315"/>
        <v>42766.132588153894</v>
      </c>
      <c r="N836" s="58">
        <v>930</v>
      </c>
      <c r="O836" s="36">
        <v>1</v>
      </c>
      <c r="P836" s="99">
        <v>18915.05</v>
      </c>
      <c r="Q836" s="41" t="s">
        <v>273</v>
      </c>
      <c r="S836" s="36">
        <f t="shared" si="325"/>
        <v>9457</v>
      </c>
      <c r="T836" s="114"/>
    </row>
    <row r="837" spans="1:20" x14ac:dyDescent="0.2">
      <c r="A837" s="8" t="str">
        <f t="shared" ref="A837:A903" si="329">IF(B837="","",CONCATENATE(B837,CONCATENATE(REPT(0,2-LEN(C837)),C837),IF(OR(D837="Easy",D837=""),1,IF(D837="Normal",2,IF(D837="Hard",3,IF(D837="Hell",4,"error")))),E837))</f>
        <v>70112</v>
      </c>
      <c r="B837" s="8">
        <v>7</v>
      </c>
      <c r="C837" s="8">
        <v>1</v>
      </c>
      <c r="D837" s="8" t="s">
        <v>62</v>
      </c>
      <c r="E837" s="8">
        <v>2</v>
      </c>
      <c r="F837" s="34">
        <f t="shared" si="327"/>
        <v>305005</v>
      </c>
      <c r="G837" s="34">
        <f t="shared" si="327"/>
        <v>305005</v>
      </c>
      <c r="H837" s="34">
        <f t="shared" si="326"/>
        <v>23642</v>
      </c>
      <c r="I837" s="34">
        <f t="shared" si="326"/>
        <v>23642</v>
      </c>
      <c r="J837" s="34">
        <f t="shared" si="328"/>
        <v>341501</v>
      </c>
      <c r="K837" s="133">
        <v>1000</v>
      </c>
      <c r="L837" s="34"/>
      <c r="M837" s="16">
        <f t="shared" si="315"/>
        <v>125539.83768396606</v>
      </c>
      <c r="N837" s="58">
        <v>910</v>
      </c>
      <c r="O837" s="36">
        <v>3</v>
      </c>
      <c r="P837" s="99">
        <v>18915.05</v>
      </c>
      <c r="Q837" s="41" t="s">
        <v>274</v>
      </c>
      <c r="S837" s="36">
        <f t="shared" si="325"/>
        <v>9457</v>
      </c>
      <c r="T837" s="114"/>
    </row>
    <row r="838" spans="1:20" x14ac:dyDescent="0.2">
      <c r="A838" s="8" t="str">
        <f t="shared" si="329"/>
        <v>70113</v>
      </c>
      <c r="B838" s="8">
        <v>7</v>
      </c>
      <c r="C838" s="8">
        <v>1</v>
      </c>
      <c r="D838" s="8" t="s">
        <v>62</v>
      </c>
      <c r="E838" s="8">
        <v>3</v>
      </c>
      <c r="F838" s="34">
        <f t="shared" si="327"/>
        <v>297912</v>
      </c>
      <c r="G838" s="34">
        <f t="shared" si="327"/>
        <v>297912</v>
      </c>
      <c r="H838" s="34">
        <f t="shared" si="326"/>
        <v>23642</v>
      </c>
      <c r="I838" s="34">
        <f t="shared" si="326"/>
        <v>23642</v>
      </c>
      <c r="J838" s="34">
        <f t="shared" si="328"/>
        <v>455200</v>
      </c>
      <c r="K838" s="133">
        <v>1000</v>
      </c>
      <c r="L838" s="34"/>
      <c r="M838" s="16">
        <f t="shared" si="315"/>
        <v>143244.25687996403</v>
      </c>
      <c r="N838" s="58">
        <v>890</v>
      </c>
      <c r="O838" s="36">
        <v>3.5</v>
      </c>
      <c r="P838" s="99">
        <v>18915.05</v>
      </c>
      <c r="Q838" s="41" t="s">
        <v>275</v>
      </c>
      <c r="S838" s="36">
        <f t="shared" si="325"/>
        <v>9457</v>
      </c>
      <c r="T838" s="114"/>
    </row>
    <row r="839" spans="1:20" x14ac:dyDescent="0.2">
      <c r="A839" s="8" t="str">
        <f t="shared" si="329"/>
        <v>70114</v>
      </c>
      <c r="B839" s="8">
        <v>7</v>
      </c>
      <c r="C839" s="8">
        <v>1</v>
      </c>
      <c r="D839" s="8" t="s">
        <v>62</v>
      </c>
      <c r="E839" s="8">
        <v>4</v>
      </c>
      <c r="F839" s="34">
        <f t="shared" si="327"/>
        <v>312098</v>
      </c>
      <c r="G839" s="34">
        <f t="shared" si="327"/>
        <v>312098</v>
      </c>
      <c r="H839" s="34">
        <f t="shared" si="326"/>
        <v>23642</v>
      </c>
      <c r="I839" s="34">
        <f t="shared" si="326"/>
        <v>23642</v>
      </c>
      <c r="J839" s="34">
        <f t="shared" si="328"/>
        <v>542303</v>
      </c>
      <c r="K839" s="133">
        <v>1000</v>
      </c>
      <c r="L839" s="34"/>
      <c r="M839" s="16">
        <f t="shared" si="315"/>
        <v>160028.96255084925</v>
      </c>
      <c r="N839" s="58">
        <v>870</v>
      </c>
      <c r="O839" s="36">
        <v>4</v>
      </c>
      <c r="P839" s="99">
        <v>18915.05</v>
      </c>
      <c r="Q839" s="41" t="s">
        <v>276</v>
      </c>
      <c r="S839" s="36">
        <f t="shared" si="325"/>
        <v>9457</v>
      </c>
      <c r="T839" s="114"/>
    </row>
    <row r="840" spans="1:20" x14ac:dyDescent="0.2">
      <c r="A840" s="8" t="str">
        <f t="shared" si="329"/>
        <v>70210</v>
      </c>
      <c r="B840" s="8">
        <v>7</v>
      </c>
      <c r="C840" s="8">
        <v>2</v>
      </c>
      <c r="D840" s="8" t="s">
        <v>62</v>
      </c>
      <c r="E840" s="8">
        <v>0</v>
      </c>
      <c r="F840" s="34">
        <f>ROUNDDOWN($P840/4*$O840*10*$N840/$N840*$Q840/400,0)</f>
        <v>54901</v>
      </c>
      <c r="G840" s="34">
        <f>ROUNDDOWN($P840/4*$O840*10*$N840/$N840*$Q840/400,0)</f>
        <v>54901</v>
      </c>
      <c r="H840" s="34">
        <f t="shared" si="326"/>
        <v>23870</v>
      </c>
      <c r="I840" s="34">
        <f t="shared" si="326"/>
        <v>23870</v>
      </c>
      <c r="J840" s="34">
        <f>ROUNDDOWN($P840/4*$O840*10*$N840/$Q840*$N840/400,0)</f>
        <v>58540</v>
      </c>
      <c r="K840" s="133">
        <v>1000</v>
      </c>
      <c r="L840" s="34"/>
      <c r="M840" s="16">
        <f t="shared" si="315"/>
        <v>22158.108420321445</v>
      </c>
      <c r="N840" s="58">
        <v>950</v>
      </c>
      <c r="O840" s="36">
        <v>0.5</v>
      </c>
      <c r="P840" s="199">
        <v>19096.099999999999</v>
      </c>
      <c r="Q840" s="41" t="s">
        <v>273</v>
      </c>
      <c r="S840" s="36">
        <f t="shared" si="325"/>
        <v>9548</v>
      </c>
      <c r="T840" s="114"/>
    </row>
    <row r="841" spans="1:20" x14ac:dyDescent="0.2">
      <c r="A841" s="8" t="str">
        <f t="shared" si="329"/>
        <v>70211</v>
      </c>
      <c r="B841" s="8">
        <v>7</v>
      </c>
      <c r="C841" s="8">
        <v>2</v>
      </c>
      <c r="D841" s="8" t="s">
        <v>62</v>
      </c>
      <c r="E841" s="8">
        <v>1</v>
      </c>
      <c r="F841" s="34">
        <f t="shared" ref="F841:G844" si="330">ROUNDDOWN($P841/4*$O841*10*$N841/$N841*$Q841/400,0)</f>
        <v>109802</v>
      </c>
      <c r="G841" s="34">
        <f t="shared" si="330"/>
        <v>109802</v>
      </c>
      <c r="H841" s="34">
        <f t="shared" si="326"/>
        <v>23870</v>
      </c>
      <c r="I841" s="34">
        <f t="shared" si="326"/>
        <v>23870</v>
      </c>
      <c r="J841" s="34">
        <f t="shared" ref="J841:J844" si="331">ROUNDDOWN($P841/4*$O841*10*$N841/$Q841*$N841/400,0)</f>
        <v>112202</v>
      </c>
      <c r="K841" s="133">
        <v>1000</v>
      </c>
      <c r="L841" s="34"/>
      <c r="M841" s="16">
        <f t="shared" si="315"/>
        <v>43383.203796896698</v>
      </c>
      <c r="N841" s="58">
        <v>930</v>
      </c>
      <c r="O841" s="36">
        <v>1</v>
      </c>
      <c r="P841" s="199">
        <v>19096.099999999999</v>
      </c>
      <c r="Q841" s="41" t="s">
        <v>273</v>
      </c>
      <c r="S841" s="36">
        <f t="shared" si="325"/>
        <v>9548</v>
      </c>
      <c r="T841" s="114"/>
    </row>
    <row r="842" spans="1:20" x14ac:dyDescent="0.2">
      <c r="A842" s="8" t="str">
        <f t="shared" si="329"/>
        <v>70212</v>
      </c>
      <c r="B842" s="8">
        <v>7</v>
      </c>
      <c r="C842" s="8">
        <v>2</v>
      </c>
      <c r="D842" s="8" t="s">
        <v>62</v>
      </c>
      <c r="E842" s="8">
        <v>2</v>
      </c>
      <c r="F842" s="34">
        <f t="shared" si="330"/>
        <v>307924</v>
      </c>
      <c r="G842" s="34">
        <f t="shared" si="330"/>
        <v>307924</v>
      </c>
      <c r="H842" s="34">
        <f t="shared" si="326"/>
        <v>23870</v>
      </c>
      <c r="I842" s="34">
        <f t="shared" si="326"/>
        <v>23870</v>
      </c>
      <c r="J842" s="34">
        <f t="shared" si="331"/>
        <v>344770</v>
      </c>
      <c r="K842" s="133">
        <v>1000</v>
      </c>
      <c r="L842" s="34"/>
      <c r="M842" s="16">
        <f t="shared" si="315"/>
        <v>127351.10006711619</v>
      </c>
      <c r="N842" s="58">
        <v>910</v>
      </c>
      <c r="O842" s="36">
        <v>3</v>
      </c>
      <c r="P842" s="199">
        <v>19096.099999999999</v>
      </c>
      <c r="Q842" s="41" t="s">
        <v>274</v>
      </c>
      <c r="S842" s="36">
        <f t="shared" si="325"/>
        <v>9548</v>
      </c>
      <c r="T842" s="114"/>
    </row>
    <row r="843" spans="1:20" x14ac:dyDescent="0.2">
      <c r="A843" s="8" t="str">
        <f t="shared" si="329"/>
        <v>70213</v>
      </c>
      <c r="B843" s="8">
        <v>7</v>
      </c>
      <c r="C843" s="8">
        <v>2</v>
      </c>
      <c r="D843" s="8" t="s">
        <v>62</v>
      </c>
      <c r="E843" s="8">
        <v>3</v>
      </c>
      <c r="F843" s="34">
        <f t="shared" si="330"/>
        <v>300763</v>
      </c>
      <c r="G843" s="34">
        <f t="shared" si="330"/>
        <v>300763</v>
      </c>
      <c r="H843" s="34">
        <f t="shared" si="326"/>
        <v>23870</v>
      </c>
      <c r="I843" s="34">
        <f t="shared" si="326"/>
        <v>23870</v>
      </c>
      <c r="J843" s="34">
        <f t="shared" si="331"/>
        <v>459557</v>
      </c>
      <c r="K843" s="133">
        <v>1000</v>
      </c>
      <c r="L843" s="34"/>
      <c r="M843" s="16">
        <f t="shared" si="315"/>
        <v>145310.86679419779</v>
      </c>
      <c r="N843" s="58">
        <v>890</v>
      </c>
      <c r="O843" s="36">
        <v>3.5</v>
      </c>
      <c r="P843" s="199">
        <v>19096.099999999999</v>
      </c>
      <c r="Q843" s="41" t="s">
        <v>275</v>
      </c>
      <c r="S843" s="36">
        <f t="shared" si="325"/>
        <v>9548</v>
      </c>
      <c r="T843" s="114"/>
    </row>
    <row r="844" spans="1:20" x14ac:dyDescent="0.2">
      <c r="A844" s="8" t="str">
        <f t="shared" si="329"/>
        <v>70214</v>
      </c>
      <c r="B844" s="8">
        <v>7</v>
      </c>
      <c r="C844" s="8">
        <v>2</v>
      </c>
      <c r="D844" s="8" t="s">
        <v>62</v>
      </c>
      <c r="E844" s="8">
        <v>4</v>
      </c>
      <c r="F844" s="34">
        <f t="shared" si="330"/>
        <v>315085</v>
      </c>
      <c r="G844" s="34">
        <f t="shared" si="330"/>
        <v>315085</v>
      </c>
      <c r="H844" s="34">
        <f t="shared" si="326"/>
        <v>23870</v>
      </c>
      <c r="I844" s="34">
        <f t="shared" si="326"/>
        <v>23870</v>
      </c>
      <c r="J844" s="34">
        <f t="shared" si="331"/>
        <v>547493</v>
      </c>
      <c r="K844" s="133">
        <v>1000</v>
      </c>
      <c r="L844" s="34"/>
      <c r="M844" s="16">
        <f t="shared" si="315"/>
        <v>162337.68415393587</v>
      </c>
      <c r="N844" s="58">
        <v>870</v>
      </c>
      <c r="O844" s="36">
        <v>4</v>
      </c>
      <c r="P844" s="199">
        <v>19096.099999999999</v>
      </c>
      <c r="Q844" s="41" t="s">
        <v>276</v>
      </c>
      <c r="S844" s="36">
        <f t="shared" si="325"/>
        <v>9548</v>
      </c>
      <c r="T844" s="114"/>
    </row>
    <row r="845" spans="1:20" x14ac:dyDescent="0.2">
      <c r="A845" s="8" t="str">
        <f t="shared" si="329"/>
        <v>70310</v>
      </c>
      <c r="B845" s="8">
        <v>7</v>
      </c>
      <c r="C845" s="8">
        <v>3</v>
      </c>
      <c r="D845" s="8" t="s">
        <v>62</v>
      </c>
      <c r="E845" s="8">
        <v>0</v>
      </c>
      <c r="F845" s="34">
        <f>ROUNDDOWN($P845/4*$O845*10*$N845/$N845*$Q845/400,0)</f>
        <v>55211</v>
      </c>
      <c r="G845" s="34">
        <f>ROUNDDOWN($P845/4*$O845*10*$N845/$N845*$Q845/400,0)</f>
        <v>55211</v>
      </c>
      <c r="H845" s="34">
        <f t="shared" ref="H845:I860" si="332">ROUNDDOWN($S845/4*10,0)</f>
        <v>24005</v>
      </c>
      <c r="I845" s="34">
        <f t="shared" si="332"/>
        <v>24005</v>
      </c>
      <c r="J845" s="34">
        <f>ROUNDDOWN($P845/4*$O845*10*$N845/$Q845*$N845/400,0)</f>
        <v>58871</v>
      </c>
      <c r="K845" s="133">
        <v>1000</v>
      </c>
      <c r="L845" s="34"/>
      <c r="M845" s="16">
        <f t="shared" si="315"/>
        <v>22346.234672055874</v>
      </c>
      <c r="N845" s="58">
        <v>950</v>
      </c>
      <c r="O845" s="36">
        <v>0.5</v>
      </c>
      <c r="P845" s="199">
        <v>19204.05</v>
      </c>
      <c r="Q845" s="41" t="s">
        <v>273</v>
      </c>
      <c r="S845" s="36">
        <f t="shared" si="325"/>
        <v>9602</v>
      </c>
      <c r="T845" s="114"/>
    </row>
    <row r="846" spans="1:20" x14ac:dyDescent="0.2">
      <c r="A846" s="8" t="str">
        <f t="shared" si="329"/>
        <v>70311</v>
      </c>
      <c r="B846" s="8">
        <v>7</v>
      </c>
      <c r="C846" s="8">
        <v>3</v>
      </c>
      <c r="D846" s="8" t="s">
        <v>62</v>
      </c>
      <c r="E846" s="8">
        <v>1</v>
      </c>
      <c r="F846" s="34">
        <f t="shared" ref="F846:G861" si="333">ROUNDDOWN($P846/4*$O846*10*$N846/$N846*$Q846/400,0)</f>
        <v>110423</v>
      </c>
      <c r="G846" s="34">
        <f t="shared" si="333"/>
        <v>110423</v>
      </c>
      <c r="H846" s="34">
        <f t="shared" si="332"/>
        <v>24005</v>
      </c>
      <c r="I846" s="34">
        <f t="shared" si="332"/>
        <v>24005</v>
      </c>
      <c r="J846" s="34">
        <f t="shared" ref="J846:J887" si="334">ROUNDDOWN($P846/4*$O846*10*$N846/$Q846*$N846/400,0)</f>
        <v>112836</v>
      </c>
      <c r="K846" s="133">
        <v>1000</v>
      </c>
      <c r="L846" s="34"/>
      <c r="M846" s="16">
        <f t="shared" si="315"/>
        <v>43751.651819433013</v>
      </c>
      <c r="N846" s="58">
        <v>930</v>
      </c>
      <c r="O846" s="36">
        <v>1</v>
      </c>
      <c r="P846" s="199">
        <v>19204.05</v>
      </c>
      <c r="Q846" s="41" t="s">
        <v>273</v>
      </c>
      <c r="S846" s="36">
        <f t="shared" si="325"/>
        <v>9602</v>
      </c>
      <c r="T846" s="114"/>
    </row>
    <row r="847" spans="1:20" x14ac:dyDescent="0.2">
      <c r="A847" s="8" t="str">
        <f t="shared" si="329"/>
        <v>70312</v>
      </c>
      <c r="B847" s="8">
        <v>7</v>
      </c>
      <c r="C847" s="8">
        <v>3</v>
      </c>
      <c r="D847" s="8" t="s">
        <v>62</v>
      </c>
      <c r="E847" s="8">
        <v>2</v>
      </c>
      <c r="F847" s="34">
        <f t="shared" si="333"/>
        <v>309665</v>
      </c>
      <c r="G847" s="34">
        <f t="shared" si="333"/>
        <v>309665</v>
      </c>
      <c r="H847" s="34">
        <f t="shared" si="332"/>
        <v>24005</v>
      </c>
      <c r="I847" s="34">
        <f t="shared" si="332"/>
        <v>24005</v>
      </c>
      <c r="J847" s="34">
        <f t="shared" si="334"/>
        <v>346719</v>
      </c>
      <c r="K847" s="133">
        <v>1000</v>
      </c>
      <c r="L847" s="34"/>
      <c r="M847" s="16">
        <f t="shared" si="315"/>
        <v>128432.7328479322</v>
      </c>
      <c r="N847" s="58">
        <v>910</v>
      </c>
      <c r="O847" s="36">
        <v>3</v>
      </c>
      <c r="P847" s="199">
        <v>19204.05</v>
      </c>
      <c r="Q847" s="41" t="s">
        <v>274</v>
      </c>
      <c r="S847" s="36">
        <f t="shared" si="325"/>
        <v>9602</v>
      </c>
      <c r="T847" s="114"/>
    </row>
    <row r="848" spans="1:20" x14ac:dyDescent="0.2">
      <c r="A848" s="8" t="str">
        <f t="shared" si="329"/>
        <v>70313</v>
      </c>
      <c r="B848" s="8">
        <v>7</v>
      </c>
      <c r="C848" s="8">
        <v>3</v>
      </c>
      <c r="D848" s="8" t="s">
        <v>62</v>
      </c>
      <c r="E848" s="8">
        <v>3</v>
      </c>
      <c r="F848" s="34">
        <f t="shared" si="333"/>
        <v>302463</v>
      </c>
      <c r="G848" s="34">
        <f t="shared" si="333"/>
        <v>302463</v>
      </c>
      <c r="H848" s="34">
        <f t="shared" si="332"/>
        <v>24005</v>
      </c>
      <c r="I848" s="34">
        <f t="shared" si="332"/>
        <v>24005</v>
      </c>
      <c r="J848" s="34">
        <f t="shared" si="334"/>
        <v>462155</v>
      </c>
      <c r="K848" s="133">
        <v>1000</v>
      </c>
      <c r="L848" s="34"/>
      <c r="M848" s="16">
        <f t="shared" si="315"/>
        <v>146544.93001776788</v>
      </c>
      <c r="N848" s="58">
        <v>890</v>
      </c>
      <c r="O848" s="36">
        <v>3.5</v>
      </c>
      <c r="P848" s="199">
        <v>19204.05</v>
      </c>
      <c r="Q848" s="41" t="s">
        <v>275</v>
      </c>
      <c r="S848" s="36">
        <f t="shared" si="325"/>
        <v>9602</v>
      </c>
      <c r="T848" s="114"/>
    </row>
    <row r="849" spans="1:20" x14ac:dyDescent="0.2">
      <c r="A849" s="8" t="str">
        <f t="shared" si="329"/>
        <v>70314</v>
      </c>
      <c r="B849" s="8">
        <v>7</v>
      </c>
      <c r="C849" s="8">
        <v>3</v>
      </c>
      <c r="D849" s="8" t="s">
        <v>62</v>
      </c>
      <c r="E849" s="8">
        <v>4</v>
      </c>
      <c r="F849" s="34">
        <f t="shared" si="333"/>
        <v>316866</v>
      </c>
      <c r="G849" s="34">
        <f t="shared" si="333"/>
        <v>316866</v>
      </c>
      <c r="H849" s="34">
        <f t="shared" si="332"/>
        <v>24005</v>
      </c>
      <c r="I849" s="34">
        <f t="shared" si="332"/>
        <v>24005</v>
      </c>
      <c r="J849" s="34">
        <f t="shared" si="334"/>
        <v>550588</v>
      </c>
      <c r="K849" s="133">
        <v>1000</v>
      </c>
      <c r="L849" s="34"/>
      <c r="M849" s="16">
        <f t="shared" si="315"/>
        <v>163716.3425162542</v>
      </c>
      <c r="N849" s="58">
        <v>870</v>
      </c>
      <c r="O849" s="36">
        <v>4</v>
      </c>
      <c r="P849" s="199">
        <v>19204.05</v>
      </c>
      <c r="Q849" s="41" t="s">
        <v>276</v>
      </c>
      <c r="S849" s="36">
        <f t="shared" si="325"/>
        <v>9602</v>
      </c>
      <c r="T849" s="114"/>
    </row>
    <row r="850" spans="1:20" ht="38.25" x14ac:dyDescent="0.2">
      <c r="A850" s="8" t="str">
        <f t="shared" si="329"/>
        <v/>
      </c>
      <c r="B850" s="5"/>
      <c r="C850" s="6" t="s">
        <v>266</v>
      </c>
      <c r="D850" s="5"/>
      <c r="E850" s="5"/>
      <c r="F850" s="5"/>
      <c r="G850" s="5"/>
      <c r="H850" s="5"/>
      <c r="I850" s="5"/>
      <c r="J850" s="5"/>
      <c r="K850" s="133">
        <v>1000</v>
      </c>
      <c r="L850" s="5"/>
      <c r="M850" s="16">
        <f t="shared" si="315"/>
        <v>0</v>
      </c>
      <c r="N850" s="5"/>
      <c r="O850" s="5"/>
      <c r="P850" s="100"/>
      <c r="Q850" s="5"/>
      <c r="R850" s="5"/>
      <c r="S850" s="30"/>
      <c r="T850" s="266"/>
    </row>
    <row r="851" spans="1:20" ht="16.5" x14ac:dyDescent="0.2">
      <c r="A851" s="8" t="str">
        <f t="shared" si="329"/>
        <v>70120</v>
      </c>
      <c r="B851" s="8">
        <v>7</v>
      </c>
      <c r="C851" s="8">
        <v>1</v>
      </c>
      <c r="D851" s="8" t="s">
        <v>63</v>
      </c>
      <c r="E851" s="8">
        <v>0</v>
      </c>
      <c r="F851" s="34">
        <f t="shared" si="333"/>
        <v>58788</v>
      </c>
      <c r="G851" s="34">
        <f t="shared" si="333"/>
        <v>58788</v>
      </c>
      <c r="H851" s="34">
        <f t="shared" si="332"/>
        <v>25560</v>
      </c>
      <c r="I851" s="34">
        <f t="shared" si="332"/>
        <v>25560</v>
      </c>
      <c r="J851" s="34">
        <f t="shared" si="334"/>
        <v>62684</v>
      </c>
      <c r="K851" s="133">
        <v>1000</v>
      </c>
      <c r="L851" s="34"/>
      <c r="M851" s="16">
        <f t="shared" si="315"/>
        <v>24552.35220542684</v>
      </c>
      <c r="N851" s="58">
        <v>950</v>
      </c>
      <c r="O851" s="36">
        <v>0.5</v>
      </c>
      <c r="P851" s="200">
        <v>20448</v>
      </c>
      <c r="Q851" s="41" t="s">
        <v>273</v>
      </c>
      <c r="S851" s="36">
        <f t="shared" si="325"/>
        <v>10224</v>
      </c>
      <c r="T851" s="253"/>
    </row>
    <row r="852" spans="1:20" ht="16.5" x14ac:dyDescent="0.2">
      <c r="A852" s="8" t="str">
        <f t="shared" si="329"/>
        <v>70121</v>
      </c>
      <c r="B852" s="8">
        <v>7</v>
      </c>
      <c r="C852" s="8">
        <v>1</v>
      </c>
      <c r="D852" s="8" t="s">
        <v>63</v>
      </c>
      <c r="E852" s="8">
        <v>1</v>
      </c>
      <c r="F852" s="34">
        <f t="shared" si="333"/>
        <v>117576</v>
      </c>
      <c r="G852" s="34">
        <f t="shared" si="333"/>
        <v>117576</v>
      </c>
      <c r="H852" s="34">
        <f t="shared" si="332"/>
        <v>25560</v>
      </c>
      <c r="I852" s="34">
        <f t="shared" si="332"/>
        <v>25560</v>
      </c>
      <c r="J852" s="34">
        <f t="shared" si="334"/>
        <v>120145</v>
      </c>
      <c r="K852" s="133">
        <v>1000</v>
      </c>
      <c r="L852" s="34"/>
      <c r="M852" s="16">
        <f t="shared" si="315"/>
        <v>48070.938738240598</v>
      </c>
      <c r="N852" s="58">
        <v>930</v>
      </c>
      <c r="O852" s="36">
        <v>1</v>
      </c>
      <c r="P852" s="200">
        <v>20448</v>
      </c>
      <c r="Q852" s="41" t="s">
        <v>273</v>
      </c>
      <c r="S852" s="36">
        <f t="shared" si="325"/>
        <v>10224</v>
      </c>
      <c r="T852" s="253"/>
    </row>
    <row r="853" spans="1:20" ht="16.5" x14ac:dyDescent="0.2">
      <c r="A853" s="8" t="str">
        <f t="shared" si="329"/>
        <v>70122</v>
      </c>
      <c r="B853" s="8">
        <v>7</v>
      </c>
      <c r="C853" s="8">
        <v>1</v>
      </c>
      <c r="D853" s="8" t="s">
        <v>63</v>
      </c>
      <c r="E853" s="8">
        <v>2</v>
      </c>
      <c r="F853" s="34">
        <f t="shared" si="333"/>
        <v>329724</v>
      </c>
      <c r="G853" s="34">
        <f t="shared" si="333"/>
        <v>329724</v>
      </c>
      <c r="H853" s="34">
        <f t="shared" si="332"/>
        <v>25560</v>
      </c>
      <c r="I853" s="34">
        <f t="shared" si="332"/>
        <v>25560</v>
      </c>
      <c r="J853" s="34">
        <f t="shared" si="334"/>
        <v>369178</v>
      </c>
      <c r="K853" s="133">
        <v>1000</v>
      </c>
      <c r="L853" s="34"/>
      <c r="M853" s="16">
        <f t="shared" si="315"/>
        <v>141111.88652522952</v>
      </c>
      <c r="N853" s="58">
        <v>910</v>
      </c>
      <c r="O853" s="36">
        <v>3</v>
      </c>
      <c r="P853" s="200">
        <v>20448</v>
      </c>
      <c r="Q853" s="41" t="s">
        <v>274</v>
      </c>
      <c r="S853" s="36">
        <f t="shared" si="325"/>
        <v>10224</v>
      </c>
      <c r="T853" s="253"/>
    </row>
    <row r="854" spans="1:20" ht="16.5" x14ac:dyDescent="0.2">
      <c r="A854" s="8" t="str">
        <f t="shared" si="329"/>
        <v>70123</v>
      </c>
      <c r="B854" s="8">
        <v>7</v>
      </c>
      <c r="C854" s="8">
        <v>1</v>
      </c>
      <c r="D854" s="8" t="s">
        <v>63</v>
      </c>
      <c r="E854" s="8">
        <v>3</v>
      </c>
      <c r="F854" s="34">
        <f t="shared" si="333"/>
        <v>322056</v>
      </c>
      <c r="G854" s="34">
        <f t="shared" si="333"/>
        <v>322056</v>
      </c>
      <c r="H854" s="34">
        <f t="shared" si="332"/>
        <v>25560</v>
      </c>
      <c r="I854" s="34">
        <f t="shared" si="332"/>
        <v>25560</v>
      </c>
      <c r="J854" s="34">
        <f t="shared" si="334"/>
        <v>492092</v>
      </c>
      <c r="K854" s="133">
        <v>1000</v>
      </c>
      <c r="L854" s="34"/>
      <c r="M854" s="16">
        <f t="shared" si="315"/>
        <v>161012.37697012231</v>
      </c>
      <c r="N854" s="58">
        <v>890</v>
      </c>
      <c r="O854" s="36">
        <v>3.5</v>
      </c>
      <c r="P854" s="200">
        <v>20448</v>
      </c>
      <c r="Q854" s="41" t="s">
        <v>275</v>
      </c>
      <c r="S854" s="36">
        <f t="shared" si="325"/>
        <v>10224</v>
      </c>
      <c r="T854" s="253"/>
    </row>
    <row r="855" spans="1:20" ht="16.5" x14ac:dyDescent="0.2">
      <c r="A855" s="8" t="str">
        <f t="shared" si="329"/>
        <v>70124</v>
      </c>
      <c r="B855" s="8">
        <v>7</v>
      </c>
      <c r="C855" s="8">
        <v>1</v>
      </c>
      <c r="D855" s="8" t="s">
        <v>63</v>
      </c>
      <c r="E855" s="8">
        <v>4</v>
      </c>
      <c r="F855" s="34">
        <f t="shared" si="333"/>
        <v>337392</v>
      </c>
      <c r="G855" s="34">
        <f t="shared" si="333"/>
        <v>337392</v>
      </c>
      <c r="H855" s="34">
        <f t="shared" si="332"/>
        <v>25560</v>
      </c>
      <c r="I855" s="34">
        <f t="shared" si="332"/>
        <v>25560</v>
      </c>
      <c r="J855" s="34">
        <f t="shared" si="334"/>
        <v>586253</v>
      </c>
      <c r="K855" s="133">
        <v>1000</v>
      </c>
      <c r="L855" s="34"/>
      <c r="M855" s="16">
        <f t="shared" si="315"/>
        <v>179878.94889296743</v>
      </c>
      <c r="N855" s="58">
        <v>870</v>
      </c>
      <c r="O855" s="36">
        <v>4</v>
      </c>
      <c r="P855" s="200">
        <v>20448</v>
      </c>
      <c r="Q855" s="41" t="s">
        <v>276</v>
      </c>
      <c r="S855" s="36">
        <f t="shared" si="325"/>
        <v>10224</v>
      </c>
      <c r="T855" s="253"/>
    </row>
    <row r="856" spans="1:20" ht="16.5" x14ac:dyDescent="0.2">
      <c r="A856" s="8" t="str">
        <f t="shared" si="329"/>
        <v>70220</v>
      </c>
      <c r="B856" s="8">
        <v>7</v>
      </c>
      <c r="C856" s="8">
        <v>2</v>
      </c>
      <c r="D856" s="8" t="s">
        <v>63</v>
      </c>
      <c r="E856" s="8">
        <v>0</v>
      </c>
      <c r="F856" s="34">
        <f t="shared" si="333"/>
        <v>59119</v>
      </c>
      <c r="G856" s="34">
        <f t="shared" si="333"/>
        <v>59119</v>
      </c>
      <c r="H856" s="34">
        <f t="shared" si="332"/>
        <v>25702</v>
      </c>
      <c r="I856" s="34">
        <f t="shared" si="332"/>
        <v>25702</v>
      </c>
      <c r="J856" s="34">
        <f t="shared" si="334"/>
        <v>63037</v>
      </c>
      <c r="K856" s="133">
        <v>1000</v>
      </c>
      <c r="L856" s="34"/>
      <c r="M856" s="16">
        <f t="shared" si="315"/>
        <v>24759.094332503329</v>
      </c>
      <c r="N856" s="58">
        <v>950</v>
      </c>
      <c r="O856" s="36">
        <v>0.5</v>
      </c>
      <c r="P856" s="200">
        <v>20563.2</v>
      </c>
      <c r="Q856" s="41" t="s">
        <v>273</v>
      </c>
      <c r="S856" s="36">
        <f t="shared" si="325"/>
        <v>10281</v>
      </c>
      <c r="T856" s="253"/>
    </row>
    <row r="857" spans="1:20" ht="16.5" x14ac:dyDescent="0.2">
      <c r="A857" s="8" t="str">
        <f t="shared" si="329"/>
        <v>70221</v>
      </c>
      <c r="B857" s="8">
        <v>7</v>
      </c>
      <c r="C857" s="8">
        <v>2</v>
      </c>
      <c r="D857" s="8" t="s">
        <v>63</v>
      </c>
      <c r="E857" s="8">
        <v>1</v>
      </c>
      <c r="F857" s="34">
        <f t="shared" si="333"/>
        <v>118238</v>
      </c>
      <c r="G857" s="34">
        <f t="shared" si="333"/>
        <v>118238</v>
      </c>
      <c r="H857" s="34">
        <f t="shared" si="332"/>
        <v>25702</v>
      </c>
      <c r="I857" s="34">
        <f t="shared" si="332"/>
        <v>25702</v>
      </c>
      <c r="J857" s="34">
        <f t="shared" si="334"/>
        <v>120822</v>
      </c>
      <c r="K857" s="133">
        <v>1000</v>
      </c>
      <c r="L857" s="34"/>
      <c r="M857" s="16">
        <f t="shared" si="315"/>
        <v>48475.801042481202</v>
      </c>
      <c r="N857" s="58">
        <v>930</v>
      </c>
      <c r="O857" s="36">
        <v>1</v>
      </c>
      <c r="P857" s="200">
        <v>20563.2</v>
      </c>
      <c r="Q857" s="41" t="s">
        <v>273</v>
      </c>
      <c r="S857" s="36">
        <f t="shared" si="325"/>
        <v>10281</v>
      </c>
      <c r="T857" s="253"/>
    </row>
    <row r="858" spans="1:20" ht="16.5" x14ac:dyDescent="0.2">
      <c r="A858" s="8" t="str">
        <f t="shared" si="329"/>
        <v>70222</v>
      </c>
      <c r="B858" s="8">
        <v>7</v>
      </c>
      <c r="C858" s="8">
        <v>2</v>
      </c>
      <c r="D858" s="8" t="s">
        <v>63</v>
      </c>
      <c r="E858" s="8">
        <v>2</v>
      </c>
      <c r="F858" s="34">
        <f t="shared" si="333"/>
        <v>331581</v>
      </c>
      <c r="G858" s="34">
        <f t="shared" si="333"/>
        <v>331581</v>
      </c>
      <c r="H858" s="34">
        <f t="shared" si="332"/>
        <v>25702</v>
      </c>
      <c r="I858" s="34">
        <f t="shared" si="332"/>
        <v>25702</v>
      </c>
      <c r="J858" s="34">
        <f t="shared" si="334"/>
        <v>371258</v>
      </c>
      <c r="K858" s="133">
        <v>1000</v>
      </c>
      <c r="L858" s="34"/>
      <c r="M858" s="16">
        <f t="shared" si="315"/>
        <v>142300.41789681764</v>
      </c>
      <c r="N858" s="58">
        <v>910</v>
      </c>
      <c r="O858" s="36">
        <v>3</v>
      </c>
      <c r="P858" s="200">
        <v>20563.2</v>
      </c>
      <c r="Q858" s="41" t="s">
        <v>274</v>
      </c>
      <c r="S858" s="36">
        <f t="shared" si="325"/>
        <v>10281</v>
      </c>
      <c r="T858" s="253"/>
    </row>
    <row r="859" spans="1:20" ht="16.5" x14ac:dyDescent="0.2">
      <c r="A859" s="8" t="str">
        <f t="shared" si="329"/>
        <v>70223</v>
      </c>
      <c r="B859" s="8">
        <v>7</v>
      </c>
      <c r="C859" s="8">
        <v>2</v>
      </c>
      <c r="D859" s="8" t="s">
        <v>63</v>
      </c>
      <c r="E859" s="8">
        <v>3</v>
      </c>
      <c r="F859" s="34">
        <f t="shared" si="333"/>
        <v>323870</v>
      </c>
      <c r="G859" s="34">
        <f t="shared" si="333"/>
        <v>323870</v>
      </c>
      <c r="H859" s="34">
        <f t="shared" si="332"/>
        <v>25702</v>
      </c>
      <c r="I859" s="34">
        <f t="shared" si="332"/>
        <v>25702</v>
      </c>
      <c r="J859" s="34">
        <f t="shared" si="334"/>
        <v>494864</v>
      </c>
      <c r="K859" s="133">
        <v>1000</v>
      </c>
      <c r="L859" s="34"/>
      <c r="M859" s="16">
        <f t="shared" si="315"/>
        <v>162368.48478018603</v>
      </c>
      <c r="N859" s="58">
        <v>890</v>
      </c>
      <c r="O859" s="36">
        <v>3.5</v>
      </c>
      <c r="P859" s="200">
        <v>20563.2</v>
      </c>
      <c r="Q859" s="41" t="s">
        <v>275</v>
      </c>
      <c r="S859" s="36">
        <f t="shared" si="325"/>
        <v>10281</v>
      </c>
      <c r="T859" s="253"/>
    </row>
    <row r="860" spans="1:20" ht="16.5" x14ac:dyDescent="0.2">
      <c r="A860" s="8" t="str">
        <f t="shared" si="329"/>
        <v>70224</v>
      </c>
      <c r="B860" s="8">
        <v>7</v>
      </c>
      <c r="C860" s="8">
        <v>2</v>
      </c>
      <c r="D860" s="8" t="s">
        <v>63</v>
      </c>
      <c r="E860" s="8">
        <v>4</v>
      </c>
      <c r="F860" s="34">
        <f t="shared" si="333"/>
        <v>339292</v>
      </c>
      <c r="G860" s="34">
        <f t="shared" si="333"/>
        <v>339292</v>
      </c>
      <c r="H860" s="34">
        <f t="shared" si="332"/>
        <v>25702</v>
      </c>
      <c r="I860" s="34">
        <f t="shared" si="332"/>
        <v>25702</v>
      </c>
      <c r="J860" s="34">
        <f t="shared" si="334"/>
        <v>589556</v>
      </c>
      <c r="K860" s="133">
        <v>1000</v>
      </c>
      <c r="L860" s="34"/>
      <c r="M860" s="16">
        <f t="shared" si="315"/>
        <v>181393.94593849231</v>
      </c>
      <c r="N860" s="58">
        <v>870</v>
      </c>
      <c r="O860" s="36">
        <v>4</v>
      </c>
      <c r="P860" s="200">
        <v>20563.2</v>
      </c>
      <c r="Q860" s="41" t="s">
        <v>276</v>
      </c>
      <c r="S860" s="36">
        <f t="shared" si="325"/>
        <v>10281</v>
      </c>
      <c r="T860" s="253"/>
    </row>
    <row r="861" spans="1:20" ht="16.5" x14ac:dyDescent="0.2">
      <c r="A861" s="8" t="str">
        <f t="shared" si="329"/>
        <v>70320</v>
      </c>
      <c r="B861" s="8">
        <v>7</v>
      </c>
      <c r="C861" s="8">
        <v>3</v>
      </c>
      <c r="D861" s="8" t="s">
        <v>63</v>
      </c>
      <c r="E861" s="8">
        <v>0</v>
      </c>
      <c r="F861" s="34">
        <f t="shared" si="333"/>
        <v>62419</v>
      </c>
      <c r="G861" s="34">
        <f t="shared" si="333"/>
        <v>62419</v>
      </c>
      <c r="H861" s="34">
        <f t="shared" ref="H861:I865" si="335">ROUNDDOWN($S861/4*10,0)</f>
        <v>27137</v>
      </c>
      <c r="I861" s="34">
        <f t="shared" si="335"/>
        <v>27137</v>
      </c>
      <c r="J861" s="34">
        <f t="shared" si="334"/>
        <v>66556</v>
      </c>
      <c r="K861" s="133">
        <v>1000</v>
      </c>
      <c r="L861" s="34"/>
      <c r="M861" s="16">
        <f t="shared" si="315"/>
        <v>26861.04560360291</v>
      </c>
      <c r="N861" s="58">
        <v>950</v>
      </c>
      <c r="O861" s="36">
        <v>0.5</v>
      </c>
      <c r="P861" s="200">
        <v>21711</v>
      </c>
      <c r="Q861" s="41" t="s">
        <v>273</v>
      </c>
      <c r="S861" s="36">
        <f t="shared" si="325"/>
        <v>10855</v>
      </c>
      <c r="T861" s="253"/>
    </row>
    <row r="862" spans="1:20" ht="16.5" x14ac:dyDescent="0.2">
      <c r="A862" s="8" t="str">
        <f t="shared" si="329"/>
        <v>70321</v>
      </c>
      <c r="B862" s="8">
        <v>7</v>
      </c>
      <c r="C862" s="8">
        <v>3</v>
      </c>
      <c r="D862" s="8" t="s">
        <v>63</v>
      </c>
      <c r="E862" s="8">
        <v>1</v>
      </c>
      <c r="F862" s="34">
        <f t="shared" ref="F862:G865" si="336">ROUNDDOWN($P862/4*$O862*10*$N862/$N862*$Q862/400,0)</f>
        <v>118900</v>
      </c>
      <c r="G862" s="34">
        <f t="shared" si="336"/>
        <v>118900</v>
      </c>
      <c r="H862" s="34">
        <f t="shared" si="335"/>
        <v>25847</v>
      </c>
      <c r="I862" s="34">
        <f t="shared" si="335"/>
        <v>25847</v>
      </c>
      <c r="J862" s="34">
        <f t="shared" si="334"/>
        <v>121499</v>
      </c>
      <c r="K862" s="133">
        <v>1000</v>
      </c>
      <c r="L862" s="34"/>
      <c r="M862" s="16">
        <f t="shared" si="315"/>
        <v>48884.630565719533</v>
      </c>
      <c r="N862" s="58">
        <v>930</v>
      </c>
      <c r="O862" s="36">
        <v>1</v>
      </c>
      <c r="P862" s="200">
        <v>20678.400000000001</v>
      </c>
      <c r="Q862" s="41" t="s">
        <v>273</v>
      </c>
      <c r="S862" s="36">
        <f t="shared" si="325"/>
        <v>10339</v>
      </c>
      <c r="T862" s="253"/>
    </row>
    <row r="863" spans="1:20" ht="16.5" x14ac:dyDescent="0.2">
      <c r="A863" s="8" t="str">
        <f t="shared" si="329"/>
        <v>70322</v>
      </c>
      <c r="B863" s="8">
        <v>7</v>
      </c>
      <c r="C863" s="8">
        <v>3</v>
      </c>
      <c r="D863" s="8" t="s">
        <v>63</v>
      </c>
      <c r="E863" s="8">
        <v>2</v>
      </c>
      <c r="F863" s="34">
        <f t="shared" si="336"/>
        <v>333439</v>
      </c>
      <c r="G863" s="34">
        <f t="shared" si="336"/>
        <v>333439</v>
      </c>
      <c r="H863" s="34">
        <f t="shared" si="335"/>
        <v>25847</v>
      </c>
      <c r="I863" s="34">
        <f t="shared" si="335"/>
        <v>25847</v>
      </c>
      <c r="J863" s="34">
        <f t="shared" si="334"/>
        <v>373338</v>
      </c>
      <c r="K863" s="133">
        <v>1000</v>
      </c>
      <c r="L863" s="34"/>
      <c r="M863" s="16">
        <f t="shared" si="315"/>
        <v>143500.81053823337</v>
      </c>
      <c r="N863" s="58">
        <v>910</v>
      </c>
      <c r="O863" s="36">
        <v>3</v>
      </c>
      <c r="P863" s="200">
        <v>20678.400000000001</v>
      </c>
      <c r="Q863" s="41" t="s">
        <v>274</v>
      </c>
      <c r="S863" s="36">
        <f t="shared" si="325"/>
        <v>10339</v>
      </c>
      <c r="T863" s="253"/>
    </row>
    <row r="864" spans="1:20" ht="16.5" x14ac:dyDescent="0.2">
      <c r="A864" s="8" t="str">
        <f t="shared" si="329"/>
        <v>70323</v>
      </c>
      <c r="B864" s="8">
        <v>7</v>
      </c>
      <c r="C864" s="8">
        <v>3</v>
      </c>
      <c r="D864" s="8" t="s">
        <v>63</v>
      </c>
      <c r="E864" s="8">
        <v>3</v>
      </c>
      <c r="F864" s="34">
        <f t="shared" si="336"/>
        <v>325684</v>
      </c>
      <c r="G864" s="34">
        <f t="shared" si="336"/>
        <v>325684</v>
      </c>
      <c r="H864" s="34">
        <f t="shared" si="335"/>
        <v>25847</v>
      </c>
      <c r="I864" s="34">
        <f t="shared" si="335"/>
        <v>25847</v>
      </c>
      <c r="J864" s="34">
        <f t="shared" si="334"/>
        <v>497636</v>
      </c>
      <c r="K864" s="133">
        <v>1000</v>
      </c>
      <c r="L864" s="34"/>
      <c r="M864" s="16">
        <f t="shared" si="315"/>
        <v>163737.88086907839</v>
      </c>
      <c r="N864" s="58">
        <v>890</v>
      </c>
      <c r="O864" s="36">
        <v>3.5</v>
      </c>
      <c r="P864" s="200">
        <v>20678.400000000001</v>
      </c>
      <c r="Q864" s="41" t="s">
        <v>275</v>
      </c>
      <c r="S864" s="36">
        <f t="shared" si="325"/>
        <v>10339</v>
      </c>
      <c r="T864" s="253"/>
    </row>
    <row r="865" spans="1:20" ht="16.5" x14ac:dyDescent="0.2">
      <c r="A865" s="8" t="str">
        <f t="shared" si="329"/>
        <v>70324</v>
      </c>
      <c r="B865" s="8">
        <v>7</v>
      </c>
      <c r="C865" s="8">
        <v>3</v>
      </c>
      <c r="D865" s="8" t="s">
        <v>63</v>
      </c>
      <c r="E865" s="8">
        <v>4</v>
      </c>
      <c r="F865" s="34">
        <f t="shared" si="336"/>
        <v>341193</v>
      </c>
      <c r="G865" s="34">
        <f t="shared" si="336"/>
        <v>341193</v>
      </c>
      <c r="H865" s="34">
        <f t="shared" si="335"/>
        <v>25847</v>
      </c>
      <c r="I865" s="34">
        <f t="shared" si="335"/>
        <v>25847</v>
      </c>
      <c r="J865" s="34">
        <f t="shared" si="334"/>
        <v>592859</v>
      </c>
      <c r="K865" s="133">
        <v>1000</v>
      </c>
      <c r="L865" s="34"/>
      <c r="M865" s="16">
        <f t="shared" si="315"/>
        <v>182924.05630878126</v>
      </c>
      <c r="N865" s="58">
        <v>870</v>
      </c>
      <c r="O865" s="36">
        <v>4</v>
      </c>
      <c r="P865" s="200">
        <v>20678.400000000001</v>
      </c>
      <c r="Q865" s="41" t="s">
        <v>276</v>
      </c>
      <c r="S865" s="36">
        <f t="shared" si="325"/>
        <v>10339</v>
      </c>
      <c r="T865" s="253"/>
    </row>
    <row r="866" spans="1:20" ht="38.25" x14ac:dyDescent="0.2">
      <c r="A866" s="8" t="str">
        <f t="shared" si="329"/>
        <v/>
      </c>
      <c r="B866" s="5"/>
      <c r="C866" s="6" t="s">
        <v>267</v>
      </c>
      <c r="D866" s="5"/>
      <c r="E866" s="5"/>
      <c r="F866" s="5"/>
      <c r="G866" s="5"/>
      <c r="H866" s="5"/>
      <c r="I866" s="5"/>
      <c r="J866" s="5"/>
      <c r="K866" s="133">
        <v>1000</v>
      </c>
      <c r="L866" s="5"/>
      <c r="M866" s="16">
        <f t="shared" si="315"/>
        <v>0</v>
      </c>
      <c r="N866" s="5"/>
      <c r="O866" s="5"/>
      <c r="P866" s="100"/>
      <c r="Q866" s="5"/>
      <c r="R866" s="5"/>
      <c r="S866" s="67"/>
      <c r="T866" s="269"/>
    </row>
    <row r="867" spans="1:20" ht="16.5" x14ac:dyDescent="0.2">
      <c r="A867" s="8" t="str">
        <f t="shared" si="329"/>
        <v>70130</v>
      </c>
      <c r="B867" s="8">
        <v>7</v>
      </c>
      <c r="C867" s="8">
        <v>1</v>
      </c>
      <c r="D867" s="8" t="s">
        <v>64</v>
      </c>
      <c r="E867" s="8">
        <v>0</v>
      </c>
      <c r="F867" s="34">
        <f t="shared" ref="F867:G881" si="337">ROUNDDOWN($P867/4*$O867*10*$N867/$N867*$Q867/400,0)</f>
        <v>68752</v>
      </c>
      <c r="G867" s="34">
        <f t="shared" si="337"/>
        <v>68752</v>
      </c>
      <c r="H867" s="34">
        <f t="shared" ref="H867:I881" si="338">ROUNDDOWN($S867/4*10,0)</f>
        <v>29892</v>
      </c>
      <c r="I867" s="34">
        <f t="shared" si="338"/>
        <v>29892</v>
      </c>
      <c r="J867" s="34">
        <f t="shared" si="334"/>
        <v>73309</v>
      </c>
      <c r="K867" s="133">
        <v>1000</v>
      </c>
      <c r="L867" s="34"/>
      <c r="M867" s="16">
        <v>26436</v>
      </c>
      <c r="N867" s="58">
        <v>950</v>
      </c>
      <c r="O867" s="36">
        <v>0.5</v>
      </c>
      <c r="P867" s="200">
        <v>23914</v>
      </c>
      <c r="Q867" s="41" t="s">
        <v>273</v>
      </c>
      <c r="S867" s="36">
        <f t="shared" si="325"/>
        <v>11957</v>
      </c>
      <c r="T867" s="253"/>
    </row>
    <row r="868" spans="1:20" ht="16.5" x14ac:dyDescent="0.2">
      <c r="A868" s="8" t="str">
        <f t="shared" si="329"/>
        <v>70131</v>
      </c>
      <c r="B868" s="8">
        <v>7</v>
      </c>
      <c r="C868" s="8">
        <v>1</v>
      </c>
      <c r="D868" s="8" t="s">
        <v>64</v>
      </c>
      <c r="E868" s="8">
        <v>1</v>
      </c>
      <c r="F868" s="34">
        <f t="shared" si="337"/>
        <v>119568</v>
      </c>
      <c r="G868" s="34">
        <f t="shared" si="337"/>
        <v>119568</v>
      </c>
      <c r="H868" s="34">
        <f t="shared" si="338"/>
        <v>25992</v>
      </c>
      <c r="I868" s="34">
        <f t="shared" si="338"/>
        <v>25992</v>
      </c>
      <c r="J868" s="34">
        <f t="shared" si="334"/>
        <v>122181</v>
      </c>
      <c r="K868" s="133">
        <v>1000</v>
      </c>
      <c r="L868" s="34"/>
      <c r="M868" s="16">
        <f t="shared" si="315"/>
        <v>49296.848516263504</v>
      </c>
      <c r="N868" s="58">
        <v>930</v>
      </c>
      <c r="O868" s="36">
        <v>1</v>
      </c>
      <c r="P868" s="200">
        <v>20794.5</v>
      </c>
      <c r="Q868" s="41" t="s">
        <v>273</v>
      </c>
      <c r="S868" s="36">
        <f t="shared" si="325"/>
        <v>10397</v>
      </c>
      <c r="T868" s="253"/>
    </row>
    <row r="869" spans="1:20" ht="16.5" x14ac:dyDescent="0.2">
      <c r="A869" s="8" t="str">
        <f t="shared" si="329"/>
        <v>70132</v>
      </c>
      <c r="B869" s="8">
        <v>7</v>
      </c>
      <c r="C869" s="8">
        <v>1</v>
      </c>
      <c r="D869" s="8" t="s">
        <v>64</v>
      </c>
      <c r="E869" s="8">
        <v>2</v>
      </c>
      <c r="F869" s="34">
        <f t="shared" si="337"/>
        <v>335311</v>
      </c>
      <c r="G869" s="34">
        <f t="shared" si="337"/>
        <v>335311</v>
      </c>
      <c r="H869" s="34">
        <f t="shared" si="338"/>
        <v>25992</v>
      </c>
      <c r="I869" s="34">
        <f t="shared" si="338"/>
        <v>25992</v>
      </c>
      <c r="J869" s="34">
        <f t="shared" si="334"/>
        <v>375434</v>
      </c>
      <c r="K869" s="133">
        <v>1000</v>
      </c>
      <c r="L869" s="34"/>
      <c r="M869" s="16">
        <f t="shared" si="315"/>
        <v>144710.66420134675</v>
      </c>
      <c r="N869" s="58">
        <v>910</v>
      </c>
      <c r="O869" s="36">
        <v>3</v>
      </c>
      <c r="P869" s="200">
        <v>20794.5</v>
      </c>
      <c r="Q869" s="41" t="s">
        <v>274</v>
      </c>
      <c r="S869" s="36">
        <f t="shared" si="325"/>
        <v>10397</v>
      </c>
      <c r="T869" s="253"/>
    </row>
    <row r="870" spans="1:20" ht="16.5" x14ac:dyDescent="0.2">
      <c r="A870" s="8" t="str">
        <f t="shared" si="329"/>
        <v>70133</v>
      </c>
      <c r="B870" s="8">
        <v>7</v>
      </c>
      <c r="C870" s="8">
        <v>1</v>
      </c>
      <c r="D870" s="8" t="s">
        <v>64</v>
      </c>
      <c r="E870" s="8">
        <v>3</v>
      </c>
      <c r="F870" s="34">
        <f t="shared" si="337"/>
        <v>327513</v>
      </c>
      <c r="G870" s="34">
        <f t="shared" si="337"/>
        <v>327513</v>
      </c>
      <c r="H870" s="34">
        <f t="shared" si="338"/>
        <v>25992</v>
      </c>
      <c r="I870" s="34">
        <f t="shared" si="338"/>
        <v>25992</v>
      </c>
      <c r="J870" s="34">
        <f t="shared" si="334"/>
        <v>500430</v>
      </c>
      <c r="K870" s="133">
        <v>1000</v>
      </c>
      <c r="L870" s="34"/>
      <c r="M870" s="16">
        <f t="shared" ref="M870:M933" si="339">(F870*J870*((H870+I870)/2)/1000)^(1/2)/10*0.8</f>
        <v>165118.51582075763</v>
      </c>
      <c r="N870" s="58">
        <v>890</v>
      </c>
      <c r="O870" s="36">
        <v>3.5</v>
      </c>
      <c r="P870" s="200">
        <v>20794.5</v>
      </c>
      <c r="Q870" s="41" t="s">
        <v>275</v>
      </c>
      <c r="S870" s="36">
        <f t="shared" si="325"/>
        <v>10397</v>
      </c>
      <c r="T870" s="253"/>
    </row>
    <row r="871" spans="1:20" ht="16.5" x14ac:dyDescent="0.2">
      <c r="A871" s="8" t="str">
        <f t="shared" si="329"/>
        <v>70134</v>
      </c>
      <c r="B871" s="8">
        <v>7</v>
      </c>
      <c r="C871" s="8">
        <v>1</v>
      </c>
      <c r="D871" s="8" t="s">
        <v>64</v>
      </c>
      <c r="E871" s="8">
        <v>4</v>
      </c>
      <c r="F871" s="34">
        <f t="shared" si="337"/>
        <v>343109</v>
      </c>
      <c r="G871" s="34">
        <f t="shared" si="337"/>
        <v>343109</v>
      </c>
      <c r="H871" s="34">
        <f t="shared" si="338"/>
        <v>25992</v>
      </c>
      <c r="I871" s="34">
        <f t="shared" si="338"/>
        <v>25992</v>
      </c>
      <c r="J871" s="34">
        <f t="shared" si="334"/>
        <v>596187</v>
      </c>
      <c r="K871" s="133">
        <v>1000</v>
      </c>
      <c r="L871" s="34"/>
      <c r="M871" s="16">
        <f t="shared" si="339"/>
        <v>184466.34473234299</v>
      </c>
      <c r="N871" s="58">
        <v>870</v>
      </c>
      <c r="O871" s="36">
        <v>4</v>
      </c>
      <c r="P871" s="200">
        <v>20794.5</v>
      </c>
      <c r="Q871" s="41" t="s">
        <v>276</v>
      </c>
      <c r="S871" s="36">
        <f t="shared" si="325"/>
        <v>10397</v>
      </c>
      <c r="T871" s="253"/>
    </row>
    <row r="872" spans="1:20" ht="16.5" x14ac:dyDescent="0.2">
      <c r="A872" s="8" t="str">
        <f t="shared" si="329"/>
        <v>70230</v>
      </c>
      <c r="B872" s="8">
        <v>7</v>
      </c>
      <c r="C872" s="8">
        <v>2</v>
      </c>
      <c r="D872" s="8" t="s">
        <v>64</v>
      </c>
      <c r="E872" s="8">
        <v>0</v>
      </c>
      <c r="F872" s="34">
        <f t="shared" si="337"/>
        <v>66127</v>
      </c>
      <c r="G872" s="34">
        <f t="shared" si="337"/>
        <v>66127</v>
      </c>
      <c r="H872" s="34">
        <f t="shared" si="338"/>
        <v>28750</v>
      </c>
      <c r="I872" s="34">
        <f t="shared" si="338"/>
        <v>28750</v>
      </c>
      <c r="J872" s="34">
        <f t="shared" si="334"/>
        <v>70510</v>
      </c>
      <c r="K872" s="133">
        <v>1000</v>
      </c>
      <c r="L872" s="34"/>
      <c r="M872" s="16">
        <v>27164</v>
      </c>
      <c r="N872" s="58">
        <v>950</v>
      </c>
      <c r="O872" s="36">
        <v>0.5</v>
      </c>
      <c r="P872" s="200">
        <v>23001</v>
      </c>
      <c r="Q872" s="41" t="s">
        <v>273</v>
      </c>
      <c r="S872" s="36">
        <f t="shared" si="325"/>
        <v>11500</v>
      </c>
      <c r="T872" s="253"/>
    </row>
    <row r="873" spans="1:20" ht="16.5" x14ac:dyDescent="0.2">
      <c r="A873" s="8" t="str">
        <f t="shared" si="329"/>
        <v>70231</v>
      </c>
      <c r="B873" s="8">
        <v>7</v>
      </c>
      <c r="C873" s="8">
        <v>2</v>
      </c>
      <c r="D873" s="8" t="s">
        <v>64</v>
      </c>
      <c r="E873" s="8">
        <v>1</v>
      </c>
      <c r="F873" s="34">
        <f t="shared" si="337"/>
        <v>120230</v>
      </c>
      <c r="G873" s="34">
        <f t="shared" si="337"/>
        <v>120230</v>
      </c>
      <c r="H873" s="34">
        <f t="shared" si="338"/>
        <v>26135</v>
      </c>
      <c r="I873" s="34">
        <f t="shared" si="338"/>
        <v>26135</v>
      </c>
      <c r="J873" s="34">
        <f t="shared" si="334"/>
        <v>122858</v>
      </c>
      <c r="K873" s="133">
        <v>1000</v>
      </c>
      <c r="L873" s="34"/>
      <c r="M873" s="16">
        <f t="shared" si="339"/>
        <v>49706.06499369831</v>
      </c>
      <c r="N873" s="58">
        <v>930</v>
      </c>
      <c r="O873" s="36">
        <v>1</v>
      </c>
      <c r="P873" s="200">
        <v>20909.7</v>
      </c>
      <c r="Q873" s="41" t="s">
        <v>273</v>
      </c>
      <c r="S873" s="36">
        <f t="shared" si="325"/>
        <v>10454</v>
      </c>
      <c r="T873" s="253"/>
    </row>
    <row r="874" spans="1:20" ht="16.5" x14ac:dyDescent="0.2">
      <c r="A874" s="8" t="str">
        <f t="shared" si="329"/>
        <v>70232</v>
      </c>
      <c r="B874" s="8">
        <v>7</v>
      </c>
      <c r="C874" s="8">
        <v>2</v>
      </c>
      <c r="D874" s="8" t="s">
        <v>64</v>
      </c>
      <c r="E874" s="8">
        <v>2</v>
      </c>
      <c r="F874" s="34">
        <f t="shared" si="337"/>
        <v>337168</v>
      </c>
      <c r="G874" s="34">
        <f t="shared" si="337"/>
        <v>337168</v>
      </c>
      <c r="H874" s="34">
        <f t="shared" si="338"/>
        <v>26135</v>
      </c>
      <c r="I874" s="34">
        <f t="shared" si="338"/>
        <v>26135</v>
      </c>
      <c r="J874" s="34">
        <f t="shared" si="334"/>
        <v>377514</v>
      </c>
      <c r="K874" s="133">
        <v>1000</v>
      </c>
      <c r="L874" s="34"/>
      <c r="M874" s="16">
        <f t="shared" si="339"/>
        <v>145911.97808211955</v>
      </c>
      <c r="N874" s="58">
        <v>910</v>
      </c>
      <c r="O874" s="36">
        <v>3</v>
      </c>
      <c r="P874" s="200">
        <v>20909.7</v>
      </c>
      <c r="Q874" s="41" t="s">
        <v>274</v>
      </c>
      <c r="S874" s="36">
        <f t="shared" si="325"/>
        <v>10454</v>
      </c>
      <c r="T874" s="253"/>
    </row>
    <row r="875" spans="1:20" ht="16.5" x14ac:dyDescent="0.2">
      <c r="A875" s="8" t="str">
        <f t="shared" si="329"/>
        <v>70233</v>
      </c>
      <c r="B875" s="8">
        <v>7</v>
      </c>
      <c r="C875" s="8">
        <v>2</v>
      </c>
      <c r="D875" s="8" t="s">
        <v>64</v>
      </c>
      <c r="E875" s="8">
        <v>3</v>
      </c>
      <c r="F875" s="34">
        <f t="shared" si="337"/>
        <v>329327</v>
      </c>
      <c r="G875" s="34">
        <f t="shared" si="337"/>
        <v>329327</v>
      </c>
      <c r="H875" s="34">
        <f t="shared" si="338"/>
        <v>26135</v>
      </c>
      <c r="I875" s="34">
        <f t="shared" si="338"/>
        <v>26135</v>
      </c>
      <c r="J875" s="34">
        <f t="shared" si="334"/>
        <v>503203</v>
      </c>
      <c r="K875" s="133">
        <v>1000</v>
      </c>
      <c r="L875" s="34"/>
      <c r="M875" s="16">
        <f t="shared" si="339"/>
        <v>166489.37348042242</v>
      </c>
      <c r="N875" s="58">
        <v>890</v>
      </c>
      <c r="O875" s="36">
        <v>3.5</v>
      </c>
      <c r="P875" s="200">
        <v>20909.7</v>
      </c>
      <c r="Q875" s="41" t="s">
        <v>275</v>
      </c>
      <c r="S875" s="36">
        <f t="shared" si="325"/>
        <v>10454</v>
      </c>
      <c r="T875" s="253"/>
    </row>
    <row r="876" spans="1:20" ht="16.5" x14ac:dyDescent="0.2">
      <c r="A876" s="8" t="str">
        <f t="shared" si="329"/>
        <v>70234</v>
      </c>
      <c r="B876" s="8">
        <v>7</v>
      </c>
      <c r="C876" s="8">
        <v>2</v>
      </c>
      <c r="D876" s="8" t="s">
        <v>64</v>
      </c>
      <c r="E876" s="8">
        <v>4</v>
      </c>
      <c r="F876" s="34">
        <f t="shared" si="337"/>
        <v>345010</v>
      </c>
      <c r="G876" s="34">
        <f t="shared" si="337"/>
        <v>345010</v>
      </c>
      <c r="H876" s="34">
        <f t="shared" si="338"/>
        <v>26135</v>
      </c>
      <c r="I876" s="34">
        <f t="shared" si="338"/>
        <v>26135</v>
      </c>
      <c r="J876" s="34">
        <f t="shared" si="334"/>
        <v>599490</v>
      </c>
      <c r="K876" s="133">
        <v>1000</v>
      </c>
      <c r="L876" s="34"/>
      <c r="M876" s="16">
        <f t="shared" si="339"/>
        <v>185997.90490796827</v>
      </c>
      <c r="N876" s="58">
        <v>870</v>
      </c>
      <c r="O876" s="36">
        <v>4</v>
      </c>
      <c r="P876" s="200">
        <v>20909.7</v>
      </c>
      <c r="Q876" s="41" t="s">
        <v>276</v>
      </c>
      <c r="S876" s="36">
        <f t="shared" si="325"/>
        <v>10454</v>
      </c>
      <c r="T876" s="253"/>
    </row>
    <row r="877" spans="1:20" ht="16.5" x14ac:dyDescent="0.2">
      <c r="A877" s="8" t="str">
        <f t="shared" si="329"/>
        <v>70330</v>
      </c>
      <c r="B877" s="8">
        <v>7</v>
      </c>
      <c r="C877" s="8">
        <v>3</v>
      </c>
      <c r="D877" s="8" t="s">
        <v>64</v>
      </c>
      <c r="E877" s="8">
        <v>0</v>
      </c>
      <c r="F877" s="34">
        <f t="shared" si="337"/>
        <v>64923</v>
      </c>
      <c r="G877" s="34">
        <f t="shared" si="337"/>
        <v>64923</v>
      </c>
      <c r="H877" s="34">
        <f t="shared" si="338"/>
        <v>28227</v>
      </c>
      <c r="I877" s="34">
        <f t="shared" si="338"/>
        <v>28227</v>
      </c>
      <c r="J877" s="34">
        <f t="shared" si="334"/>
        <v>69226</v>
      </c>
      <c r="K877" s="133">
        <v>1000</v>
      </c>
      <c r="L877" s="34"/>
      <c r="M877" s="16">
        <v>28318</v>
      </c>
      <c r="N877" s="58">
        <v>950</v>
      </c>
      <c r="O877" s="36">
        <v>0.5</v>
      </c>
      <c r="P877" s="200">
        <v>22582</v>
      </c>
      <c r="Q877" s="41" t="s">
        <v>273</v>
      </c>
      <c r="S877" s="36">
        <f t="shared" si="325"/>
        <v>11291</v>
      </c>
      <c r="T877" s="253"/>
    </row>
    <row r="878" spans="1:20" ht="16.5" x14ac:dyDescent="0.2">
      <c r="A878" s="8" t="str">
        <f t="shared" si="329"/>
        <v>70331</v>
      </c>
      <c r="B878" s="8">
        <v>7</v>
      </c>
      <c r="C878" s="8">
        <v>3</v>
      </c>
      <c r="D878" s="8" t="s">
        <v>64</v>
      </c>
      <c r="E878" s="8">
        <v>1</v>
      </c>
      <c r="F878" s="34">
        <f t="shared" si="337"/>
        <v>121353</v>
      </c>
      <c r="G878" s="34">
        <f t="shared" si="337"/>
        <v>121353</v>
      </c>
      <c r="H878" s="34">
        <f t="shared" si="338"/>
        <v>26380</v>
      </c>
      <c r="I878" s="34">
        <f t="shared" si="338"/>
        <v>26380</v>
      </c>
      <c r="J878" s="34">
        <f t="shared" si="334"/>
        <v>124006</v>
      </c>
      <c r="K878" s="133">
        <v>1000</v>
      </c>
      <c r="L878" s="34"/>
      <c r="M878" s="16">
        <f t="shared" si="339"/>
        <v>50405.043119931725</v>
      </c>
      <c r="N878" s="58">
        <v>930</v>
      </c>
      <c r="O878" s="36">
        <v>1</v>
      </c>
      <c r="P878" s="200">
        <v>21105</v>
      </c>
      <c r="Q878" s="41" t="s">
        <v>273</v>
      </c>
      <c r="S878" s="36">
        <f t="shared" si="325"/>
        <v>10552</v>
      </c>
      <c r="T878" s="253"/>
    </row>
    <row r="879" spans="1:20" ht="16.5" x14ac:dyDescent="0.2">
      <c r="A879" s="8" t="str">
        <f t="shared" si="329"/>
        <v>70332</v>
      </c>
      <c r="B879" s="8">
        <v>7</v>
      </c>
      <c r="C879" s="8">
        <v>3</v>
      </c>
      <c r="D879" s="8" t="s">
        <v>64</v>
      </c>
      <c r="E879" s="8">
        <v>2</v>
      </c>
      <c r="F879" s="34">
        <f t="shared" si="337"/>
        <v>340318</v>
      </c>
      <c r="G879" s="34">
        <f t="shared" si="337"/>
        <v>340318</v>
      </c>
      <c r="H879" s="34">
        <f t="shared" si="338"/>
        <v>26380</v>
      </c>
      <c r="I879" s="34">
        <f t="shared" si="338"/>
        <v>26380</v>
      </c>
      <c r="J879" s="34">
        <f t="shared" si="334"/>
        <v>381040</v>
      </c>
      <c r="K879" s="133">
        <v>1000</v>
      </c>
      <c r="L879" s="34"/>
      <c r="M879" s="16">
        <f t="shared" si="339"/>
        <v>147963.68098354083</v>
      </c>
      <c r="N879" s="58">
        <v>910</v>
      </c>
      <c r="O879" s="36">
        <v>3</v>
      </c>
      <c r="P879" s="200">
        <v>21105</v>
      </c>
      <c r="Q879" s="41" t="s">
        <v>274</v>
      </c>
      <c r="S879" s="36">
        <f t="shared" si="325"/>
        <v>10552</v>
      </c>
      <c r="T879" s="253"/>
    </row>
    <row r="880" spans="1:20" ht="16.5" x14ac:dyDescent="0.2">
      <c r="A880" s="8" t="str">
        <f t="shared" si="329"/>
        <v>70333</v>
      </c>
      <c r="B880" s="8">
        <v>7</v>
      </c>
      <c r="C880" s="8">
        <v>3</v>
      </c>
      <c r="D880" s="8" t="s">
        <v>64</v>
      </c>
      <c r="E880" s="8">
        <v>3</v>
      </c>
      <c r="F880" s="34">
        <f t="shared" si="337"/>
        <v>332403</v>
      </c>
      <c r="G880" s="34">
        <f t="shared" si="337"/>
        <v>332403</v>
      </c>
      <c r="H880" s="34">
        <f t="shared" si="338"/>
        <v>26380</v>
      </c>
      <c r="I880" s="34">
        <f t="shared" si="338"/>
        <v>26380</v>
      </c>
      <c r="J880" s="34">
        <f t="shared" si="334"/>
        <v>507903</v>
      </c>
      <c r="K880" s="133">
        <v>1000</v>
      </c>
      <c r="L880" s="34"/>
      <c r="M880" s="16">
        <f t="shared" si="339"/>
        <v>168830.24044533106</v>
      </c>
      <c r="N880" s="58">
        <v>890</v>
      </c>
      <c r="O880" s="36">
        <v>3.5</v>
      </c>
      <c r="P880" s="200">
        <v>21105</v>
      </c>
      <c r="Q880" s="41" t="s">
        <v>275</v>
      </c>
      <c r="S880" s="36">
        <f t="shared" si="325"/>
        <v>10552</v>
      </c>
      <c r="T880" s="253"/>
    </row>
    <row r="881" spans="1:20" ht="16.5" x14ac:dyDescent="0.2">
      <c r="A881" s="8" t="str">
        <f t="shared" si="329"/>
        <v>70334</v>
      </c>
      <c r="B881" s="8">
        <v>7</v>
      </c>
      <c r="C881" s="8">
        <v>3</v>
      </c>
      <c r="D881" s="8" t="s">
        <v>64</v>
      </c>
      <c r="E881" s="8">
        <v>4</v>
      </c>
      <c r="F881" s="34">
        <f t="shared" si="337"/>
        <v>348232</v>
      </c>
      <c r="G881" s="34">
        <f t="shared" si="337"/>
        <v>348232</v>
      </c>
      <c r="H881" s="34">
        <f t="shared" si="338"/>
        <v>26380</v>
      </c>
      <c r="I881" s="34">
        <f t="shared" si="338"/>
        <v>26380</v>
      </c>
      <c r="J881" s="34">
        <f t="shared" si="334"/>
        <v>605089</v>
      </c>
      <c r="K881" s="133">
        <v>1000</v>
      </c>
      <c r="L881" s="34"/>
      <c r="M881" s="16">
        <f t="shared" si="339"/>
        <v>188612.88155973636</v>
      </c>
      <c r="N881" s="58">
        <v>870</v>
      </c>
      <c r="O881" s="36">
        <v>4</v>
      </c>
      <c r="P881" s="200">
        <v>21105</v>
      </c>
      <c r="Q881" s="41" t="s">
        <v>276</v>
      </c>
      <c r="S881" s="36">
        <f t="shared" si="325"/>
        <v>10552</v>
      </c>
      <c r="T881" s="253"/>
    </row>
    <row r="882" spans="1:20" ht="38.25" x14ac:dyDescent="0.2">
      <c r="A882" s="8" t="str">
        <f t="shared" si="329"/>
        <v/>
      </c>
      <c r="B882" s="5"/>
      <c r="C882" s="6" t="s">
        <v>268</v>
      </c>
      <c r="D882" s="5"/>
      <c r="E882" s="5"/>
      <c r="F882" s="5"/>
      <c r="G882" s="5"/>
      <c r="H882" s="5"/>
      <c r="I882" s="5"/>
      <c r="J882" s="5"/>
      <c r="K882" s="133">
        <v>1000</v>
      </c>
      <c r="L882" s="5"/>
      <c r="M882" s="16">
        <f t="shared" si="339"/>
        <v>0</v>
      </c>
      <c r="N882" s="5"/>
      <c r="O882" s="5"/>
      <c r="P882" s="67"/>
      <c r="Q882" s="5"/>
      <c r="R882" s="5"/>
      <c r="S882" s="30"/>
      <c r="T882" s="266"/>
    </row>
    <row r="883" spans="1:20" ht="16.5" x14ac:dyDescent="0.2">
      <c r="A883" s="18" t="str">
        <f t="shared" si="329"/>
        <v>70140</v>
      </c>
      <c r="B883" s="8">
        <v>7</v>
      </c>
      <c r="C883" s="18">
        <v>1</v>
      </c>
      <c r="D883" s="18" t="s">
        <v>237</v>
      </c>
      <c r="E883" s="18">
        <v>0</v>
      </c>
      <c r="F883" s="34">
        <f t="shared" ref="F883:G887" si="340">ROUNDDOWN($P883/4*$O883*10*$N883/$N883*$Q883/400,0)</f>
        <v>66125</v>
      </c>
      <c r="G883" s="34">
        <f t="shared" si="340"/>
        <v>66125</v>
      </c>
      <c r="H883" s="34">
        <f t="shared" ref="H883:I887" si="341">ROUNDDOWN($S883/4*10,0)</f>
        <v>28750</v>
      </c>
      <c r="I883" s="34">
        <f t="shared" si="341"/>
        <v>28750</v>
      </c>
      <c r="J883" s="34">
        <f t="shared" si="334"/>
        <v>73507</v>
      </c>
      <c r="K883" s="133">
        <v>1000</v>
      </c>
      <c r="L883" s="19"/>
      <c r="M883" s="16">
        <f t="shared" si="339"/>
        <v>29905.846736048123</v>
      </c>
      <c r="N883" s="58">
        <v>970</v>
      </c>
      <c r="O883" s="58">
        <v>0.5</v>
      </c>
      <c r="P883" s="95">
        <v>23000</v>
      </c>
      <c r="Q883" s="41" t="s">
        <v>327</v>
      </c>
      <c r="R883" s="41"/>
      <c r="S883" s="36">
        <f t="shared" si="325"/>
        <v>11500</v>
      </c>
      <c r="T883" s="253"/>
    </row>
    <row r="884" spans="1:20" ht="16.5" x14ac:dyDescent="0.2">
      <c r="A884" s="18" t="str">
        <f t="shared" si="329"/>
        <v>70141</v>
      </c>
      <c r="B884" s="8">
        <v>7</v>
      </c>
      <c r="C884" s="18">
        <v>1</v>
      </c>
      <c r="D884" s="18" t="s">
        <v>237</v>
      </c>
      <c r="E884" s="18">
        <v>1</v>
      </c>
      <c r="F884" s="34">
        <f t="shared" si="340"/>
        <v>132250</v>
      </c>
      <c r="G884" s="34">
        <f t="shared" si="340"/>
        <v>132250</v>
      </c>
      <c r="H884" s="34">
        <f t="shared" si="341"/>
        <v>28750</v>
      </c>
      <c r="I884" s="34">
        <f t="shared" si="341"/>
        <v>28750</v>
      </c>
      <c r="J884" s="34">
        <f t="shared" si="334"/>
        <v>141015</v>
      </c>
      <c r="K884" s="133">
        <v>1000</v>
      </c>
      <c r="L884" s="19"/>
      <c r="M884" s="16">
        <f t="shared" si="339"/>
        <v>58578.656608017234</v>
      </c>
      <c r="N884" s="58">
        <v>950</v>
      </c>
      <c r="O884" s="58">
        <v>1</v>
      </c>
      <c r="P884" s="95">
        <v>23000</v>
      </c>
      <c r="Q884" s="41" t="s">
        <v>273</v>
      </c>
      <c r="R884" s="41"/>
      <c r="S884" s="36">
        <f t="shared" si="325"/>
        <v>11500</v>
      </c>
      <c r="T884" s="253"/>
    </row>
    <row r="885" spans="1:20" ht="16.5" x14ac:dyDescent="0.2">
      <c r="A885" s="18" t="str">
        <f t="shared" si="329"/>
        <v>70142</v>
      </c>
      <c r="B885" s="8">
        <v>7</v>
      </c>
      <c r="C885" s="18">
        <v>1</v>
      </c>
      <c r="D885" s="18" t="s">
        <v>237</v>
      </c>
      <c r="E885" s="18">
        <v>2</v>
      </c>
      <c r="F885" s="34">
        <f t="shared" si="340"/>
        <v>247250</v>
      </c>
      <c r="G885" s="34">
        <f t="shared" si="340"/>
        <v>247250</v>
      </c>
      <c r="H885" s="34">
        <f t="shared" si="341"/>
        <v>28750</v>
      </c>
      <c r="I885" s="34">
        <f t="shared" si="341"/>
        <v>28750</v>
      </c>
      <c r="J885" s="34">
        <f t="shared" si="334"/>
        <v>289138</v>
      </c>
      <c r="K885" s="133">
        <v>1000</v>
      </c>
      <c r="L885" s="19"/>
      <c r="M885" s="16">
        <f t="shared" si="339"/>
        <v>114691.08148413285</v>
      </c>
      <c r="N885" s="58">
        <v>930</v>
      </c>
      <c r="O885" s="58">
        <v>2</v>
      </c>
      <c r="P885" s="95">
        <v>23000</v>
      </c>
      <c r="Q885" s="41" t="s">
        <v>274</v>
      </c>
      <c r="R885" s="41"/>
      <c r="S885" s="36">
        <f t="shared" si="325"/>
        <v>11500</v>
      </c>
      <c r="T885" s="253"/>
    </row>
    <row r="886" spans="1:20" ht="16.5" x14ac:dyDescent="0.2">
      <c r="A886" s="18" t="str">
        <f t="shared" si="329"/>
        <v>70143</v>
      </c>
      <c r="B886" s="8">
        <v>7</v>
      </c>
      <c r="C886" s="18">
        <v>1</v>
      </c>
      <c r="D886" s="18" t="s">
        <v>237</v>
      </c>
      <c r="E886" s="18">
        <v>3</v>
      </c>
      <c r="F886" s="34">
        <f t="shared" si="340"/>
        <v>310500</v>
      </c>
      <c r="G886" s="34">
        <f t="shared" si="340"/>
        <v>310500</v>
      </c>
      <c r="H886" s="34">
        <f t="shared" si="341"/>
        <v>28750</v>
      </c>
      <c r="I886" s="34">
        <f t="shared" si="341"/>
        <v>28750</v>
      </c>
      <c r="J886" s="34">
        <f t="shared" si="334"/>
        <v>495997</v>
      </c>
      <c r="K886" s="133">
        <v>1000</v>
      </c>
      <c r="L886" s="19"/>
      <c r="M886" s="16">
        <f t="shared" si="339"/>
        <v>168336.86644345024</v>
      </c>
      <c r="N886" s="58">
        <v>910</v>
      </c>
      <c r="O886" s="58">
        <v>3</v>
      </c>
      <c r="P886" s="95">
        <v>23000</v>
      </c>
      <c r="Q886" s="41" t="s">
        <v>275</v>
      </c>
      <c r="R886" s="41"/>
      <c r="S886" s="36">
        <f t="shared" si="325"/>
        <v>11500</v>
      </c>
      <c r="T886" s="253"/>
    </row>
    <row r="887" spans="1:20" ht="16.5" x14ac:dyDescent="0.2">
      <c r="A887" s="18" t="str">
        <f t="shared" si="329"/>
        <v>70144</v>
      </c>
      <c r="B887" s="8">
        <v>7</v>
      </c>
      <c r="C887" s="18">
        <v>1</v>
      </c>
      <c r="D887" s="18" t="s">
        <v>237</v>
      </c>
      <c r="E887" s="18">
        <v>4</v>
      </c>
      <c r="F887" s="34">
        <f t="shared" si="340"/>
        <v>379500</v>
      </c>
      <c r="G887" s="34">
        <f t="shared" si="340"/>
        <v>379500</v>
      </c>
      <c r="H887" s="34">
        <f t="shared" si="341"/>
        <v>28750</v>
      </c>
      <c r="I887" s="34">
        <f t="shared" si="341"/>
        <v>28750</v>
      </c>
      <c r="J887" s="34">
        <f t="shared" si="334"/>
        <v>690087</v>
      </c>
      <c r="K887" s="133">
        <v>1000</v>
      </c>
      <c r="L887" s="19"/>
      <c r="M887" s="16">
        <f t="shared" si="339"/>
        <v>219516.27510505912</v>
      </c>
      <c r="N887" s="58">
        <v>890</v>
      </c>
      <c r="O887" s="58">
        <v>4</v>
      </c>
      <c r="P887" s="95">
        <v>23000</v>
      </c>
      <c r="Q887" s="41" t="s">
        <v>276</v>
      </c>
      <c r="R887" s="41"/>
      <c r="S887" s="36">
        <f t="shared" si="325"/>
        <v>11500</v>
      </c>
      <c r="T887" s="253"/>
    </row>
    <row r="888" spans="1:20" ht="16.5" x14ac:dyDescent="0.2">
      <c r="A888" s="18" t="str">
        <f t="shared" si="329"/>
        <v>70240</v>
      </c>
      <c r="B888" s="8">
        <v>7</v>
      </c>
      <c r="C888" s="18">
        <v>2</v>
      </c>
      <c r="D888" s="18" t="s">
        <v>237</v>
      </c>
      <c r="E888" s="18">
        <v>0</v>
      </c>
      <c r="F888" s="19">
        <f t="shared" ref="F888:G897" si="342">ROUNDDOWN($P888/4*$O888*10*$N888/$N888*$Q888/400,0)</f>
        <v>106924</v>
      </c>
      <c r="G888" s="19">
        <f t="shared" si="342"/>
        <v>106924</v>
      </c>
      <c r="H888" s="19">
        <f t="shared" ref="H888:I897" si="343">ROUNDDOWN($S888/4*10,0)</f>
        <v>46487</v>
      </c>
      <c r="I888" s="19">
        <f t="shared" si="343"/>
        <v>46487</v>
      </c>
      <c r="J888" s="19">
        <f t="shared" ref="J888:J897" si="344">ROUNDDOWN($P888/4*$O888*10*$N888/$Q888*$N888/400,0)</f>
        <v>118862</v>
      </c>
      <c r="K888" s="133">
        <v>1000</v>
      </c>
      <c r="L888" s="19"/>
      <c r="M888" s="16">
        <f t="shared" si="339"/>
        <v>61491.468186637074</v>
      </c>
      <c r="N888" s="58">
        <v>970</v>
      </c>
      <c r="O888" s="58">
        <v>0.5</v>
      </c>
      <c r="P888" s="96">
        <v>37191</v>
      </c>
      <c r="Q888" s="41" t="s">
        <v>273</v>
      </c>
      <c r="R888" s="41"/>
      <c r="S888" s="36">
        <f t="shared" si="325"/>
        <v>18595</v>
      </c>
      <c r="T888" s="253"/>
    </row>
    <row r="889" spans="1:20" ht="16.5" x14ac:dyDescent="0.2">
      <c r="A889" s="18" t="str">
        <f t="shared" si="329"/>
        <v>70241</v>
      </c>
      <c r="B889" s="8">
        <v>7</v>
      </c>
      <c r="C889" s="18">
        <v>2</v>
      </c>
      <c r="D889" s="18" t="s">
        <v>237</v>
      </c>
      <c r="E889" s="18">
        <v>1</v>
      </c>
      <c r="F889" s="19">
        <f t="shared" si="342"/>
        <v>213848</v>
      </c>
      <c r="G889" s="19">
        <f t="shared" si="342"/>
        <v>213848</v>
      </c>
      <c r="H889" s="19">
        <f t="shared" si="343"/>
        <v>46487</v>
      </c>
      <c r="I889" s="19">
        <f t="shared" si="343"/>
        <v>46487</v>
      </c>
      <c r="J889" s="19">
        <f t="shared" si="344"/>
        <v>228022</v>
      </c>
      <c r="K889" s="133">
        <v>1000</v>
      </c>
      <c r="L889" s="19"/>
      <c r="M889" s="16">
        <f t="shared" si="339"/>
        <v>120447.20286323557</v>
      </c>
      <c r="N889" s="58">
        <v>950</v>
      </c>
      <c r="O889" s="58">
        <v>1</v>
      </c>
      <c r="P889" s="96">
        <v>37191</v>
      </c>
      <c r="Q889" s="41" t="s">
        <v>273</v>
      </c>
      <c r="R889" s="41"/>
      <c r="S889" s="36">
        <f t="shared" si="325"/>
        <v>18595</v>
      </c>
      <c r="T889" s="253"/>
    </row>
    <row r="890" spans="1:20" ht="16.5" x14ac:dyDescent="0.2">
      <c r="A890" s="18" t="str">
        <f t="shared" si="329"/>
        <v>70242</v>
      </c>
      <c r="B890" s="8">
        <v>7</v>
      </c>
      <c r="C890" s="18">
        <v>2</v>
      </c>
      <c r="D890" s="18" t="s">
        <v>237</v>
      </c>
      <c r="E890" s="18">
        <v>2</v>
      </c>
      <c r="F890" s="19">
        <f t="shared" si="342"/>
        <v>399803</v>
      </c>
      <c r="G890" s="19">
        <f t="shared" si="342"/>
        <v>399803</v>
      </c>
      <c r="H890" s="19">
        <f t="shared" si="343"/>
        <v>46487</v>
      </c>
      <c r="I890" s="19">
        <f t="shared" si="343"/>
        <v>46487</v>
      </c>
      <c r="J890" s="19">
        <f t="shared" si="344"/>
        <v>467536</v>
      </c>
      <c r="K890" s="133">
        <v>1000</v>
      </c>
      <c r="L890" s="19"/>
      <c r="M890" s="16">
        <f t="shared" si="339"/>
        <v>235823.07600920412</v>
      </c>
      <c r="N890" s="58">
        <v>930</v>
      </c>
      <c r="O890" s="58">
        <v>2</v>
      </c>
      <c r="P890" s="96">
        <v>37191</v>
      </c>
      <c r="Q890" s="41" t="s">
        <v>274</v>
      </c>
      <c r="R890" s="41"/>
      <c r="S890" s="36">
        <f t="shared" si="325"/>
        <v>18595</v>
      </c>
      <c r="T890" s="253"/>
    </row>
    <row r="891" spans="1:20" ht="16.5" x14ac:dyDescent="0.2">
      <c r="A891" s="18" t="str">
        <f t="shared" si="329"/>
        <v>70243</v>
      </c>
      <c r="B891" s="8">
        <v>7</v>
      </c>
      <c r="C891" s="18">
        <v>2</v>
      </c>
      <c r="D891" s="18" t="s">
        <v>237</v>
      </c>
      <c r="E891" s="18">
        <v>3</v>
      </c>
      <c r="F891" s="19">
        <f t="shared" si="342"/>
        <v>502078</v>
      </c>
      <c r="G891" s="19">
        <f t="shared" si="342"/>
        <v>502078</v>
      </c>
      <c r="H891" s="19">
        <f t="shared" si="343"/>
        <v>46487</v>
      </c>
      <c r="I891" s="19">
        <f t="shared" si="343"/>
        <v>46487</v>
      </c>
      <c r="J891" s="19">
        <f t="shared" si="344"/>
        <v>802027</v>
      </c>
      <c r="K891" s="133">
        <v>1000</v>
      </c>
      <c r="L891" s="19"/>
      <c r="M891" s="16">
        <f t="shared" si="339"/>
        <v>346127.28638091858</v>
      </c>
      <c r="N891" s="58">
        <v>910</v>
      </c>
      <c r="O891" s="58">
        <v>3</v>
      </c>
      <c r="P891" s="96">
        <v>37191</v>
      </c>
      <c r="Q891" s="41" t="s">
        <v>275</v>
      </c>
      <c r="R891" s="41"/>
      <c r="S891" s="36">
        <f t="shared" si="325"/>
        <v>18595</v>
      </c>
      <c r="T891" s="253"/>
    </row>
    <row r="892" spans="1:20" ht="16.5" x14ac:dyDescent="0.2">
      <c r="A892" s="18" t="str">
        <f t="shared" si="329"/>
        <v>70244</v>
      </c>
      <c r="B892" s="8">
        <v>7</v>
      </c>
      <c r="C892" s="18">
        <v>2</v>
      </c>
      <c r="D892" s="18" t="s">
        <v>237</v>
      </c>
      <c r="E892" s="18">
        <v>4</v>
      </c>
      <c r="F892" s="19">
        <f t="shared" si="342"/>
        <v>613651</v>
      </c>
      <c r="G892" s="19">
        <f t="shared" si="342"/>
        <v>613651</v>
      </c>
      <c r="H892" s="19">
        <f t="shared" si="343"/>
        <v>46487</v>
      </c>
      <c r="I892" s="19">
        <f t="shared" si="343"/>
        <v>46487</v>
      </c>
      <c r="J892" s="19">
        <f t="shared" si="344"/>
        <v>1115870</v>
      </c>
      <c r="K892" s="133">
        <v>1000</v>
      </c>
      <c r="L892" s="19"/>
      <c r="M892" s="16">
        <f t="shared" si="339"/>
        <v>451360.2102946493</v>
      </c>
      <c r="N892" s="58">
        <v>890</v>
      </c>
      <c r="O892" s="58">
        <v>4</v>
      </c>
      <c r="P892" s="96">
        <v>37191</v>
      </c>
      <c r="Q892" s="41" t="s">
        <v>276</v>
      </c>
      <c r="R892" s="41"/>
      <c r="S892" s="36">
        <f t="shared" si="325"/>
        <v>18595</v>
      </c>
      <c r="T892" s="253"/>
    </row>
    <row r="893" spans="1:20" ht="16.5" x14ac:dyDescent="0.2">
      <c r="A893" s="18" t="str">
        <f t="shared" si="329"/>
        <v>70340</v>
      </c>
      <c r="B893" s="8">
        <v>7</v>
      </c>
      <c r="C893" s="18">
        <v>3</v>
      </c>
      <c r="D893" s="18" t="s">
        <v>237</v>
      </c>
      <c r="E893" s="18">
        <v>0</v>
      </c>
      <c r="F893" s="19">
        <f t="shared" si="342"/>
        <v>112270</v>
      </c>
      <c r="G893" s="19">
        <f t="shared" si="342"/>
        <v>112270</v>
      </c>
      <c r="H893" s="19">
        <f t="shared" si="343"/>
        <v>48812</v>
      </c>
      <c r="I893" s="19">
        <f t="shared" si="343"/>
        <v>48812</v>
      </c>
      <c r="J893" s="19">
        <f t="shared" si="344"/>
        <v>122245</v>
      </c>
      <c r="K893" s="133">
        <v>1000</v>
      </c>
      <c r="L893" s="19"/>
      <c r="M893" s="16">
        <f t="shared" si="339"/>
        <v>65478.798546035658</v>
      </c>
      <c r="N893" s="58">
        <v>960</v>
      </c>
      <c r="O893" s="58">
        <v>0.5</v>
      </c>
      <c r="P893" s="97">
        <v>39050.549999999996</v>
      </c>
      <c r="Q893" s="41" t="s">
        <v>273</v>
      </c>
      <c r="R893" s="41"/>
      <c r="S893" s="36">
        <f t="shared" ref="S893:S903" si="345">ROUNDDOWN(P893*0.5,0)</f>
        <v>19525</v>
      </c>
      <c r="T893" s="253"/>
    </row>
    <row r="894" spans="1:20" ht="16.5" x14ac:dyDescent="0.2">
      <c r="A894" s="18" t="str">
        <f t="shared" si="329"/>
        <v>70341</v>
      </c>
      <c r="B894" s="8">
        <v>7</v>
      </c>
      <c r="C894" s="18">
        <v>3</v>
      </c>
      <c r="D894" s="18" t="s">
        <v>237</v>
      </c>
      <c r="E894" s="18">
        <v>1</v>
      </c>
      <c r="F894" s="19">
        <f t="shared" si="342"/>
        <v>224540</v>
      </c>
      <c r="G894" s="19">
        <f t="shared" si="342"/>
        <v>224540</v>
      </c>
      <c r="H894" s="19">
        <f t="shared" si="343"/>
        <v>48812</v>
      </c>
      <c r="I894" s="19">
        <f t="shared" si="343"/>
        <v>48812</v>
      </c>
      <c r="J894" s="19">
        <f t="shared" si="344"/>
        <v>234409</v>
      </c>
      <c r="K894" s="133">
        <v>1000</v>
      </c>
      <c r="L894" s="19"/>
      <c r="M894" s="16">
        <f t="shared" si="339"/>
        <v>128229.30503451248</v>
      </c>
      <c r="N894" s="58">
        <v>940</v>
      </c>
      <c r="O894" s="58">
        <v>1</v>
      </c>
      <c r="P894" s="97">
        <v>39050.549999999996</v>
      </c>
      <c r="Q894" s="41" t="s">
        <v>273</v>
      </c>
      <c r="R894" s="41"/>
      <c r="S894" s="36">
        <f t="shared" si="345"/>
        <v>19525</v>
      </c>
      <c r="T894" s="253"/>
    </row>
    <row r="895" spans="1:20" ht="16.5" x14ac:dyDescent="0.2">
      <c r="A895" s="18" t="str">
        <f t="shared" si="329"/>
        <v>70342</v>
      </c>
      <c r="B895" s="8">
        <v>7</v>
      </c>
      <c r="C895" s="18">
        <v>3</v>
      </c>
      <c r="D895" s="18" t="s">
        <v>237</v>
      </c>
      <c r="E895" s="18">
        <v>2</v>
      </c>
      <c r="F895" s="19">
        <f t="shared" si="342"/>
        <v>419793</v>
      </c>
      <c r="G895" s="19">
        <f t="shared" si="342"/>
        <v>419793</v>
      </c>
      <c r="H895" s="19">
        <f t="shared" si="343"/>
        <v>48812</v>
      </c>
      <c r="I895" s="19">
        <f t="shared" si="343"/>
        <v>48812</v>
      </c>
      <c r="J895" s="19">
        <f t="shared" si="344"/>
        <v>480412</v>
      </c>
      <c r="K895" s="133">
        <v>1000</v>
      </c>
      <c r="L895" s="19"/>
      <c r="M895" s="16">
        <f t="shared" si="339"/>
        <v>251002.36180915768</v>
      </c>
      <c r="N895" s="58">
        <v>920</v>
      </c>
      <c r="O895" s="58">
        <v>2</v>
      </c>
      <c r="P895" s="97">
        <v>39050.549999999996</v>
      </c>
      <c r="Q895" s="41" t="s">
        <v>274</v>
      </c>
      <c r="R895" s="41"/>
      <c r="S895" s="36">
        <f t="shared" si="345"/>
        <v>19525</v>
      </c>
      <c r="T895" s="253"/>
    </row>
    <row r="896" spans="1:20" ht="16.5" x14ac:dyDescent="0.2">
      <c r="A896" s="18" t="str">
        <f t="shared" si="329"/>
        <v>70343</v>
      </c>
      <c r="B896" s="8">
        <v>7</v>
      </c>
      <c r="C896" s="18">
        <v>3</v>
      </c>
      <c r="D896" s="18" t="s">
        <v>237</v>
      </c>
      <c r="E896" s="18">
        <v>3</v>
      </c>
      <c r="F896" s="19">
        <f t="shared" si="342"/>
        <v>527182</v>
      </c>
      <c r="G896" s="19">
        <f t="shared" si="342"/>
        <v>527182</v>
      </c>
      <c r="H896" s="19">
        <f t="shared" si="343"/>
        <v>48812</v>
      </c>
      <c r="I896" s="19">
        <f t="shared" si="343"/>
        <v>48812</v>
      </c>
      <c r="J896" s="19">
        <f t="shared" si="344"/>
        <v>823722</v>
      </c>
      <c r="K896" s="133">
        <v>1000</v>
      </c>
      <c r="L896" s="19"/>
      <c r="M896" s="16">
        <f t="shared" si="339"/>
        <v>368318.81749116909</v>
      </c>
      <c r="N896" s="58">
        <v>900</v>
      </c>
      <c r="O896" s="58">
        <v>3</v>
      </c>
      <c r="P896" s="97">
        <v>39050.549999999996</v>
      </c>
      <c r="Q896" s="41" t="s">
        <v>275</v>
      </c>
      <c r="R896" s="41"/>
      <c r="S896" s="36">
        <f t="shared" si="345"/>
        <v>19525</v>
      </c>
      <c r="T896" s="253"/>
    </row>
    <row r="897" spans="1:20" ht="16.5" x14ac:dyDescent="0.2">
      <c r="A897" s="18" t="str">
        <f t="shared" si="329"/>
        <v>70344</v>
      </c>
      <c r="B897" s="8">
        <v>7</v>
      </c>
      <c r="C897" s="18">
        <v>3</v>
      </c>
      <c r="D897" s="18" t="s">
        <v>237</v>
      </c>
      <c r="E897" s="18">
        <v>4</v>
      </c>
      <c r="F897" s="19">
        <f t="shared" si="342"/>
        <v>644334</v>
      </c>
      <c r="G897" s="19">
        <f t="shared" si="342"/>
        <v>644334</v>
      </c>
      <c r="H897" s="19">
        <f t="shared" si="343"/>
        <v>48812</v>
      </c>
      <c r="I897" s="19">
        <f t="shared" si="343"/>
        <v>48812</v>
      </c>
      <c r="J897" s="19">
        <f t="shared" si="344"/>
        <v>1145482</v>
      </c>
      <c r="K897" s="133">
        <v>1000</v>
      </c>
      <c r="L897" s="19"/>
      <c r="M897" s="16">
        <f t="shared" si="339"/>
        <v>480178.76155683363</v>
      </c>
      <c r="N897" s="58">
        <v>880</v>
      </c>
      <c r="O897" s="58">
        <v>4</v>
      </c>
      <c r="P897" s="97">
        <v>39050.549999999996</v>
      </c>
      <c r="Q897" s="41" t="s">
        <v>276</v>
      </c>
      <c r="R897" s="41"/>
      <c r="S897" s="36">
        <f t="shared" si="345"/>
        <v>19525</v>
      </c>
      <c r="T897" s="253"/>
    </row>
    <row r="898" spans="1:20" ht="38.25" x14ac:dyDescent="0.2">
      <c r="A898" s="8" t="str">
        <f t="shared" si="329"/>
        <v/>
      </c>
      <c r="B898" s="5"/>
      <c r="C898" s="6" t="s">
        <v>269</v>
      </c>
      <c r="D898" s="5"/>
      <c r="E898" s="5"/>
      <c r="F898" s="5"/>
      <c r="G898" s="5"/>
      <c r="H898" s="5"/>
      <c r="I898" s="5"/>
      <c r="J898" s="5"/>
      <c r="K898" s="133">
        <v>1000</v>
      </c>
      <c r="L898" s="5"/>
      <c r="M898" s="16">
        <f t="shared" si="339"/>
        <v>0</v>
      </c>
      <c r="N898" s="5"/>
      <c r="O898" s="5"/>
      <c r="P898" s="67"/>
      <c r="Q898" s="5"/>
      <c r="R898" s="5"/>
      <c r="S898" s="30"/>
      <c r="T898" s="266"/>
    </row>
    <row r="899" spans="1:20" ht="16.5" x14ac:dyDescent="0.2">
      <c r="A899" s="8" t="str">
        <f t="shared" si="329"/>
        <v>1070130</v>
      </c>
      <c r="B899" s="8">
        <v>107</v>
      </c>
      <c r="C899" s="8">
        <v>1</v>
      </c>
      <c r="D899" s="8" t="s">
        <v>64</v>
      </c>
      <c r="E899" s="8">
        <v>0</v>
      </c>
      <c r="F899" s="34">
        <f t="shared" ref="F899:G903" si="346">ROUNDDOWN($P899/4*$O899*10*$N899/$N899*$Q899/400,0)</f>
        <v>63538</v>
      </c>
      <c r="G899" s="34">
        <f t="shared" si="346"/>
        <v>63538</v>
      </c>
      <c r="H899" s="34">
        <f t="shared" ref="H899:I903" si="347">ROUNDDOWN($S899/4*10,0)</f>
        <v>28880</v>
      </c>
      <c r="I899" s="34">
        <f t="shared" si="347"/>
        <v>28880</v>
      </c>
      <c r="J899" s="34">
        <f t="shared" ref="J899:J903" si="348">ROUNDDOWN($P899/4*$O899*10*$N899/$Q899*$N899/400,0)</f>
        <v>66459</v>
      </c>
      <c r="K899" s="133">
        <v>1000</v>
      </c>
      <c r="L899" s="34"/>
      <c r="M899" s="16">
        <f t="shared" si="339"/>
        <v>27937.159848197596</v>
      </c>
      <c r="N899" s="36">
        <v>900</v>
      </c>
      <c r="O899" s="36">
        <v>0.5</v>
      </c>
      <c r="P899" s="95">
        <v>23105</v>
      </c>
      <c r="Q899" s="2" t="s">
        <v>188</v>
      </c>
      <c r="S899" s="36">
        <f t="shared" si="345"/>
        <v>11552</v>
      </c>
      <c r="T899" s="253"/>
    </row>
    <row r="900" spans="1:20" ht="16.5" x14ac:dyDescent="0.2">
      <c r="A900" s="8" t="str">
        <f t="shared" si="329"/>
        <v>1070131</v>
      </c>
      <c r="B900" s="8">
        <v>107</v>
      </c>
      <c r="C900" s="8">
        <v>1</v>
      </c>
      <c r="D900" s="8" t="s">
        <v>64</v>
      </c>
      <c r="E900" s="8">
        <v>1</v>
      </c>
      <c r="F900" s="34">
        <f t="shared" si="346"/>
        <v>119857</v>
      </c>
      <c r="G900" s="34">
        <f t="shared" si="346"/>
        <v>119857</v>
      </c>
      <c r="H900" s="34">
        <f t="shared" si="347"/>
        <v>28880</v>
      </c>
      <c r="I900" s="34">
        <f t="shared" si="347"/>
        <v>28880</v>
      </c>
      <c r="J900" s="34">
        <f t="shared" si="348"/>
        <v>134732</v>
      </c>
      <c r="K900" s="133">
        <v>1000</v>
      </c>
      <c r="L900" s="34"/>
      <c r="M900" s="16">
        <f t="shared" si="339"/>
        <v>54633.077019526987</v>
      </c>
      <c r="N900" s="36">
        <v>880</v>
      </c>
      <c r="O900" s="36">
        <v>1</v>
      </c>
      <c r="P900" s="95">
        <v>23105</v>
      </c>
      <c r="Q900" s="2" t="s">
        <v>187</v>
      </c>
      <c r="S900" s="36">
        <f t="shared" si="345"/>
        <v>11552</v>
      </c>
      <c r="T900" s="253"/>
    </row>
    <row r="901" spans="1:20" ht="16.5" x14ac:dyDescent="0.2">
      <c r="A901" s="8" t="str">
        <f t="shared" si="329"/>
        <v>1070132</v>
      </c>
      <c r="B901" s="8">
        <v>107</v>
      </c>
      <c r="C901" s="8">
        <v>1</v>
      </c>
      <c r="D901" s="8" t="s">
        <v>64</v>
      </c>
      <c r="E901" s="8">
        <v>2</v>
      </c>
      <c r="F901" s="34">
        <f t="shared" si="346"/>
        <v>337910</v>
      </c>
      <c r="G901" s="34">
        <f t="shared" si="346"/>
        <v>337910</v>
      </c>
      <c r="H901" s="34">
        <f t="shared" si="347"/>
        <v>28880</v>
      </c>
      <c r="I901" s="34">
        <f t="shared" si="347"/>
        <v>28880</v>
      </c>
      <c r="J901" s="34">
        <f t="shared" si="348"/>
        <v>410780</v>
      </c>
      <c r="K901" s="133">
        <v>1000</v>
      </c>
      <c r="L901" s="34"/>
      <c r="M901" s="16">
        <f t="shared" si="339"/>
        <v>160174.63716978917</v>
      </c>
      <c r="N901" s="36">
        <v>860</v>
      </c>
      <c r="O901" s="36">
        <v>3</v>
      </c>
      <c r="P901" s="95">
        <v>23105</v>
      </c>
      <c r="Q901" s="2" t="s">
        <v>186</v>
      </c>
      <c r="S901" s="36">
        <f t="shared" si="345"/>
        <v>11552</v>
      </c>
      <c r="T901" s="253"/>
    </row>
    <row r="902" spans="1:20" ht="16.5" x14ac:dyDescent="0.2">
      <c r="A902" s="8" t="str">
        <f t="shared" si="329"/>
        <v>1070133</v>
      </c>
      <c r="B902" s="8">
        <v>107</v>
      </c>
      <c r="C902" s="8">
        <v>1</v>
      </c>
      <c r="D902" s="8" t="s">
        <v>64</v>
      </c>
      <c r="E902" s="8">
        <v>3</v>
      </c>
      <c r="F902" s="34">
        <f t="shared" si="346"/>
        <v>368957</v>
      </c>
      <c r="G902" s="34">
        <f t="shared" si="346"/>
        <v>368957</v>
      </c>
      <c r="H902" s="34">
        <f t="shared" si="347"/>
        <v>28880</v>
      </c>
      <c r="I902" s="34">
        <f t="shared" si="347"/>
        <v>28880</v>
      </c>
      <c r="J902" s="34">
        <f t="shared" si="348"/>
        <v>488528</v>
      </c>
      <c r="K902" s="133">
        <v>1000</v>
      </c>
      <c r="L902" s="34"/>
      <c r="M902" s="16">
        <f t="shared" si="339"/>
        <v>182524.50898745155</v>
      </c>
      <c r="N902" s="36">
        <v>840</v>
      </c>
      <c r="O902" s="36">
        <v>3.5</v>
      </c>
      <c r="P902" s="95">
        <v>23105</v>
      </c>
      <c r="Q902" s="2" t="s">
        <v>185</v>
      </c>
      <c r="S902" s="36">
        <f t="shared" si="345"/>
        <v>11552</v>
      </c>
      <c r="T902" s="253"/>
    </row>
    <row r="903" spans="1:20" ht="16.5" x14ac:dyDescent="0.2">
      <c r="A903" s="8" t="str">
        <f t="shared" si="329"/>
        <v>1070134</v>
      </c>
      <c r="B903" s="8">
        <v>107</v>
      </c>
      <c r="C903" s="8">
        <v>1</v>
      </c>
      <c r="D903" s="8" t="s">
        <v>64</v>
      </c>
      <c r="E903" s="8">
        <v>4</v>
      </c>
      <c r="F903" s="34">
        <f t="shared" si="346"/>
        <v>404337</v>
      </c>
      <c r="G903" s="34">
        <f t="shared" si="346"/>
        <v>404337</v>
      </c>
      <c r="H903" s="34">
        <f t="shared" si="347"/>
        <v>28880</v>
      </c>
      <c r="I903" s="34">
        <f t="shared" si="347"/>
        <v>28880</v>
      </c>
      <c r="J903" s="34">
        <f t="shared" si="348"/>
        <v>554850</v>
      </c>
      <c r="K903" s="133">
        <v>1000</v>
      </c>
      <c r="L903" s="34"/>
      <c r="M903" s="16">
        <f t="shared" si="339"/>
        <v>203632.98095019485</v>
      </c>
      <c r="N903" s="36">
        <v>820</v>
      </c>
      <c r="O903" s="36">
        <v>4</v>
      </c>
      <c r="P903" s="95">
        <v>23105</v>
      </c>
      <c r="Q903" s="2" t="s">
        <v>166</v>
      </c>
      <c r="S903" s="36">
        <f t="shared" si="345"/>
        <v>11552</v>
      </c>
      <c r="T903" s="253"/>
    </row>
    <row r="904" spans="1:20" ht="38.25" x14ac:dyDescent="0.2">
      <c r="A904" s="8" t="str">
        <f t="shared" ref="A904:A993" si="349">IF(B904="","",CONCATENATE(B904,CONCATENATE(REPT(0,2-LEN(C904)),C904),IF(OR(D904="Easy",D904=""),1,IF(D904="Normal",2,IF(D904="Hard",3,IF(D904="Hell",4,"error")))),E904))</f>
        <v/>
      </c>
      <c r="B904" s="5"/>
      <c r="C904" s="6" t="s">
        <v>429</v>
      </c>
      <c r="D904" s="5"/>
      <c r="E904" s="5"/>
      <c r="F904" s="5"/>
      <c r="G904" s="5"/>
      <c r="H904" s="5"/>
      <c r="I904" s="5"/>
      <c r="J904" s="5"/>
      <c r="K904" s="133">
        <v>1000</v>
      </c>
      <c r="L904" s="5"/>
      <c r="M904" s="16">
        <f t="shared" si="339"/>
        <v>0</v>
      </c>
      <c r="N904" s="5"/>
      <c r="O904" s="5"/>
      <c r="P904" s="5"/>
      <c r="Q904" s="5"/>
      <c r="R904" s="5"/>
      <c r="S904" s="30"/>
      <c r="T904" s="266"/>
    </row>
    <row r="905" spans="1:20" ht="11.25" customHeight="1" x14ac:dyDescent="0.2">
      <c r="A905" s="110" t="str">
        <f t="shared" si="349"/>
        <v>80110</v>
      </c>
      <c r="B905" s="110">
        <v>8</v>
      </c>
      <c r="C905" s="110">
        <v>1</v>
      </c>
      <c r="D905" s="110" t="s">
        <v>62</v>
      </c>
      <c r="E905" s="110">
        <v>0</v>
      </c>
      <c r="F905" s="112">
        <f>ROUNDDOWN($P905/4*$O905*10*$N905/$N905*$Q905/400,0)</f>
        <v>29569</v>
      </c>
      <c r="G905" s="112">
        <f>ROUNDDOWN($P905/4*$O905*10*$N905/$N905*$Q905/400,0)</f>
        <v>29569</v>
      </c>
      <c r="H905" s="112">
        <f>ROUNDDOWN($S905/4*10,0)</f>
        <v>15812</v>
      </c>
      <c r="I905" s="112">
        <f>ROUNDDOWN($S905/4*10,0)</f>
        <v>15812</v>
      </c>
      <c r="J905" s="112">
        <f>ROUNDDOWN($P905/4*$O905*10*$N905/$Q905*$N905/400,0)</f>
        <v>42807</v>
      </c>
      <c r="K905" s="248">
        <v>1000</v>
      </c>
      <c r="L905" s="112"/>
      <c r="M905" s="113">
        <f t="shared" si="339"/>
        <v>11317.724156693977</v>
      </c>
      <c r="N905" s="114">
        <v>900</v>
      </c>
      <c r="O905" s="114">
        <v>0.5</v>
      </c>
      <c r="P905" s="249">
        <v>12650</v>
      </c>
      <c r="Q905" s="116" t="s">
        <v>537</v>
      </c>
      <c r="R905" s="116"/>
      <c r="S905" s="114">
        <f>P905*0.5</f>
        <v>6325</v>
      </c>
      <c r="T905" s="114">
        <f>S905</f>
        <v>6325</v>
      </c>
    </row>
    <row r="906" spans="1:20" x14ac:dyDescent="0.2">
      <c r="A906" s="110" t="str">
        <f t="shared" si="349"/>
        <v>80111</v>
      </c>
      <c r="B906" s="110">
        <v>8</v>
      </c>
      <c r="C906" s="110">
        <v>1</v>
      </c>
      <c r="D906" s="110" t="s">
        <v>62</v>
      </c>
      <c r="E906" s="110">
        <v>1</v>
      </c>
      <c r="F906" s="112">
        <f t="shared" ref="F906:G909" si="350">ROUNDDOWN($P906/4*$O906*10*$N906/$N906*$Q906/400,0)</f>
        <v>99401</v>
      </c>
      <c r="G906" s="112">
        <f t="shared" si="350"/>
        <v>99401</v>
      </c>
      <c r="H906" s="112">
        <f t="shared" ref="H906:I920" si="351">ROUNDDOWN($S906/4*10,0)</f>
        <v>26578</v>
      </c>
      <c r="I906" s="112">
        <f t="shared" si="351"/>
        <v>26578</v>
      </c>
      <c r="J906" s="112">
        <f t="shared" ref="J906:J909" si="352">ROUNDDOWN($P906/4*$O906*10*$N906/$Q906*$N906/400,0)</f>
        <v>137580</v>
      </c>
      <c r="K906" s="248">
        <v>1000</v>
      </c>
      <c r="L906" s="112"/>
      <c r="M906" s="113">
        <f t="shared" si="339"/>
        <v>48230.766602722957</v>
      </c>
      <c r="N906" s="114">
        <v>880</v>
      </c>
      <c r="O906" s="114">
        <v>1</v>
      </c>
      <c r="P906" s="249">
        <v>21262.400000000001</v>
      </c>
      <c r="Q906" s="116" t="s">
        <v>538</v>
      </c>
      <c r="R906" s="116"/>
      <c r="S906" s="114">
        <f t="shared" ref="S906:S924" si="353">P906*0.5</f>
        <v>10631.2</v>
      </c>
      <c r="T906" s="114">
        <f t="shared" ref="T906:T924" si="354">S906</f>
        <v>10631.2</v>
      </c>
    </row>
    <row r="907" spans="1:20" x14ac:dyDescent="0.2">
      <c r="A907" s="250" t="str">
        <f t="shared" si="349"/>
        <v>80112</v>
      </c>
      <c r="B907" s="110">
        <v>8</v>
      </c>
      <c r="C907" s="110">
        <v>1</v>
      </c>
      <c r="D907" s="110" t="s">
        <v>62</v>
      </c>
      <c r="E907" s="110">
        <v>2</v>
      </c>
      <c r="F907" s="112">
        <f t="shared" si="350"/>
        <v>166038</v>
      </c>
      <c r="G907" s="112">
        <f t="shared" si="350"/>
        <v>166038</v>
      </c>
      <c r="H907" s="112">
        <f t="shared" si="351"/>
        <v>18603</v>
      </c>
      <c r="I907" s="112">
        <f t="shared" si="351"/>
        <v>18603</v>
      </c>
      <c r="J907" s="112">
        <f t="shared" si="352"/>
        <v>240884</v>
      </c>
      <c r="K907" s="248">
        <v>1000</v>
      </c>
      <c r="L907" s="112"/>
      <c r="M907" s="113">
        <f t="shared" si="339"/>
        <v>69006.373405544553</v>
      </c>
      <c r="N907" s="114">
        <v>860</v>
      </c>
      <c r="O907" s="114">
        <v>2.5</v>
      </c>
      <c r="P907" s="249">
        <v>14883</v>
      </c>
      <c r="Q907" s="116" t="s">
        <v>539</v>
      </c>
      <c r="R907" s="116"/>
      <c r="S907" s="114">
        <f t="shared" si="353"/>
        <v>7441.5</v>
      </c>
      <c r="T907" s="114">
        <f t="shared" si="354"/>
        <v>7441.5</v>
      </c>
    </row>
    <row r="908" spans="1:20" x14ac:dyDescent="0.2">
      <c r="A908" s="110" t="str">
        <f t="shared" si="349"/>
        <v>80113</v>
      </c>
      <c r="B908" s="110">
        <v>8</v>
      </c>
      <c r="C908" s="110">
        <v>1</v>
      </c>
      <c r="D908" s="110" t="s">
        <v>62</v>
      </c>
      <c r="E908" s="110">
        <v>3</v>
      </c>
      <c r="F908" s="112">
        <f t="shared" si="350"/>
        <v>276743</v>
      </c>
      <c r="G908" s="112">
        <f t="shared" si="350"/>
        <v>276743</v>
      </c>
      <c r="H908" s="112">
        <f t="shared" si="351"/>
        <v>26578</v>
      </c>
      <c r="I908" s="112">
        <f t="shared" si="351"/>
        <v>26578</v>
      </c>
      <c r="J908" s="112">
        <f t="shared" si="352"/>
        <v>551571</v>
      </c>
      <c r="K908" s="248">
        <v>1000</v>
      </c>
      <c r="L908" s="112"/>
      <c r="M908" s="113">
        <f t="shared" si="339"/>
        <v>161135.10629159835</v>
      </c>
      <c r="N908" s="114">
        <v>840</v>
      </c>
      <c r="O908" s="114">
        <v>3.5</v>
      </c>
      <c r="P908" s="249">
        <v>21262.400000000001</v>
      </c>
      <c r="Q908" s="116" t="s">
        <v>540</v>
      </c>
      <c r="R908" s="116"/>
      <c r="S908" s="114">
        <f t="shared" si="353"/>
        <v>10631.2</v>
      </c>
      <c r="T908" s="114">
        <f t="shared" si="354"/>
        <v>10631.2</v>
      </c>
    </row>
    <row r="909" spans="1:20" x14ac:dyDescent="0.2">
      <c r="A909" s="110" t="str">
        <f t="shared" si="349"/>
        <v>80114</v>
      </c>
      <c r="B909" s="110">
        <v>8</v>
      </c>
      <c r="C909" s="110">
        <v>1</v>
      </c>
      <c r="D909" s="110" t="s">
        <v>62</v>
      </c>
      <c r="E909" s="110">
        <v>4</v>
      </c>
      <c r="F909" s="112">
        <f t="shared" si="350"/>
        <v>280132</v>
      </c>
      <c r="G909" s="112">
        <f t="shared" si="350"/>
        <v>280132</v>
      </c>
      <c r="H909" s="112">
        <f t="shared" si="351"/>
        <v>26578</v>
      </c>
      <c r="I909" s="112">
        <f t="shared" si="351"/>
        <v>26578</v>
      </c>
      <c r="J909" s="112">
        <f t="shared" si="352"/>
        <v>678218</v>
      </c>
      <c r="K909" s="248">
        <v>1000</v>
      </c>
      <c r="L909" s="112"/>
      <c r="M909" s="113">
        <f t="shared" si="339"/>
        <v>179769.97267604448</v>
      </c>
      <c r="N909" s="114">
        <v>820</v>
      </c>
      <c r="O909" s="114">
        <v>4</v>
      </c>
      <c r="P909" s="249">
        <v>21262.400000000001</v>
      </c>
      <c r="Q909" s="116" t="s">
        <v>541</v>
      </c>
      <c r="R909" s="116"/>
      <c r="S909" s="114">
        <f t="shared" si="353"/>
        <v>10631.2</v>
      </c>
      <c r="T909" s="114">
        <f t="shared" si="354"/>
        <v>10631.2</v>
      </c>
    </row>
    <row r="910" spans="1:20" x14ac:dyDescent="0.2">
      <c r="A910" s="110" t="str">
        <f t="shared" si="349"/>
        <v>80210</v>
      </c>
      <c r="B910" s="110">
        <v>8</v>
      </c>
      <c r="C910" s="110">
        <v>2</v>
      </c>
      <c r="D910" s="110" t="s">
        <v>62</v>
      </c>
      <c r="E910" s="110">
        <v>0</v>
      </c>
      <c r="F910" s="112">
        <f>ROUNDDOWN($P910/4*$O910*10*$N910/$N910*$Q910/400,0)</f>
        <v>33045</v>
      </c>
      <c r="G910" s="112">
        <f>ROUNDDOWN($P910/4*$O910*10*$N910/$N910*$Q910/400,0)</f>
        <v>33045</v>
      </c>
      <c r="H910" s="112">
        <f t="shared" si="351"/>
        <v>17671</v>
      </c>
      <c r="I910" s="112">
        <f t="shared" si="351"/>
        <v>17671</v>
      </c>
      <c r="J910" s="112">
        <f>ROUNDDOWN($P910/4*$O910*10*$N910/$Q910*$N910/400,0)</f>
        <v>47839</v>
      </c>
      <c r="K910" s="248">
        <v>1000</v>
      </c>
      <c r="L910" s="112"/>
      <c r="M910" s="113">
        <f t="shared" si="339"/>
        <v>13371.018046052888</v>
      </c>
      <c r="N910" s="114">
        <v>900</v>
      </c>
      <c r="O910" s="114">
        <v>0.5</v>
      </c>
      <c r="P910" s="249">
        <v>14137</v>
      </c>
      <c r="Q910" s="116" t="s">
        <v>538</v>
      </c>
      <c r="R910" s="116"/>
      <c r="S910" s="114">
        <f t="shared" si="353"/>
        <v>7068.5</v>
      </c>
      <c r="T910" s="114">
        <f t="shared" si="354"/>
        <v>7068.5</v>
      </c>
    </row>
    <row r="911" spans="1:20" x14ac:dyDescent="0.2">
      <c r="A911" s="110" t="str">
        <f t="shared" si="349"/>
        <v>80211</v>
      </c>
      <c r="B911" s="110">
        <v>8</v>
      </c>
      <c r="C911" s="110">
        <v>2</v>
      </c>
      <c r="D911" s="110" t="s">
        <v>62</v>
      </c>
      <c r="E911" s="110">
        <v>1</v>
      </c>
      <c r="F911" s="112">
        <f t="shared" ref="F911:G914" si="355">ROUNDDOWN($P911/4*$O911*10*$N911/$N911*$Q911/400,0)</f>
        <v>104907</v>
      </c>
      <c r="G911" s="112">
        <f t="shared" si="355"/>
        <v>104907</v>
      </c>
      <c r="H911" s="112">
        <f t="shared" si="351"/>
        <v>28050</v>
      </c>
      <c r="I911" s="112">
        <f t="shared" si="351"/>
        <v>28050</v>
      </c>
      <c r="J911" s="112">
        <f t="shared" ref="J911:J914" si="356">ROUNDDOWN($P911/4*$O911*10*$N911/$Q911*$N911/400,0)</f>
        <v>145200</v>
      </c>
      <c r="K911" s="248">
        <v>1000</v>
      </c>
      <c r="L911" s="112"/>
      <c r="M911" s="113">
        <f t="shared" si="339"/>
        <v>52292.807858519132</v>
      </c>
      <c r="N911" s="114">
        <v>880</v>
      </c>
      <c r="O911" s="114">
        <v>1</v>
      </c>
      <c r="P911" s="249">
        <v>22440</v>
      </c>
      <c r="Q911" s="116" t="s">
        <v>542</v>
      </c>
      <c r="R911" s="116"/>
      <c r="S911" s="114">
        <f t="shared" si="353"/>
        <v>11220</v>
      </c>
      <c r="T911" s="114">
        <f t="shared" si="354"/>
        <v>11220</v>
      </c>
    </row>
    <row r="912" spans="1:20" x14ac:dyDescent="0.2">
      <c r="A912" s="250" t="str">
        <f t="shared" si="349"/>
        <v>80212</v>
      </c>
      <c r="B912" s="110">
        <v>8</v>
      </c>
      <c r="C912" s="110">
        <v>2</v>
      </c>
      <c r="D912" s="110" t="s">
        <v>62</v>
      </c>
      <c r="E912" s="110">
        <v>2</v>
      </c>
      <c r="F912" s="112">
        <f t="shared" si="355"/>
        <v>210290</v>
      </c>
      <c r="G912" s="112">
        <f t="shared" si="355"/>
        <v>210290</v>
      </c>
      <c r="H912" s="112">
        <f t="shared" si="351"/>
        <v>19635</v>
      </c>
      <c r="I912" s="112">
        <f t="shared" si="351"/>
        <v>19635</v>
      </c>
      <c r="J912" s="112">
        <f t="shared" si="356"/>
        <v>305085</v>
      </c>
      <c r="K912" s="248">
        <v>1000</v>
      </c>
      <c r="L912" s="112"/>
      <c r="M912" s="113">
        <f t="shared" si="339"/>
        <v>89789.422432809981</v>
      </c>
      <c r="N912" s="114">
        <v>860</v>
      </c>
      <c r="O912" s="114">
        <v>3</v>
      </c>
      <c r="P912" s="249">
        <v>15708</v>
      </c>
      <c r="Q912" s="116" t="s">
        <v>539</v>
      </c>
      <c r="R912" s="116"/>
      <c r="S912" s="114">
        <f t="shared" si="353"/>
        <v>7854</v>
      </c>
      <c r="T912" s="114">
        <f t="shared" si="354"/>
        <v>7854</v>
      </c>
    </row>
    <row r="913" spans="1:20" x14ac:dyDescent="0.2">
      <c r="A913" s="110" t="str">
        <f t="shared" si="349"/>
        <v>80213</v>
      </c>
      <c r="B913" s="110">
        <v>8</v>
      </c>
      <c r="C913" s="110">
        <v>2</v>
      </c>
      <c r="D913" s="110" t="s">
        <v>62</v>
      </c>
      <c r="E913" s="110">
        <v>3</v>
      </c>
      <c r="F913" s="112">
        <f t="shared" si="355"/>
        <v>292070</v>
      </c>
      <c r="G913" s="112">
        <f t="shared" si="355"/>
        <v>292070</v>
      </c>
      <c r="H913" s="112">
        <f t="shared" si="351"/>
        <v>28050</v>
      </c>
      <c r="I913" s="112">
        <f t="shared" si="351"/>
        <v>28050</v>
      </c>
      <c r="J913" s="112">
        <f t="shared" si="356"/>
        <v>582120</v>
      </c>
      <c r="K913" s="248">
        <v>1000</v>
      </c>
      <c r="L913" s="112"/>
      <c r="M913" s="113">
        <f t="shared" si="339"/>
        <v>174705.33023799819</v>
      </c>
      <c r="N913" s="114">
        <v>840</v>
      </c>
      <c r="O913" s="114">
        <v>3.5</v>
      </c>
      <c r="P913" s="249">
        <v>22440</v>
      </c>
      <c r="Q913" s="116" t="s">
        <v>543</v>
      </c>
      <c r="R913" s="116"/>
      <c r="S913" s="114">
        <f t="shared" si="353"/>
        <v>11220</v>
      </c>
      <c r="T913" s="114">
        <f t="shared" si="354"/>
        <v>11220</v>
      </c>
    </row>
    <row r="914" spans="1:20" x14ac:dyDescent="0.2">
      <c r="A914" s="110" t="str">
        <f t="shared" si="349"/>
        <v>80214</v>
      </c>
      <c r="B914" s="110">
        <v>8</v>
      </c>
      <c r="C914" s="110">
        <v>2</v>
      </c>
      <c r="D914" s="110" t="s">
        <v>62</v>
      </c>
      <c r="E914" s="110">
        <v>4</v>
      </c>
      <c r="F914" s="112">
        <f t="shared" si="355"/>
        <v>295647</v>
      </c>
      <c r="G914" s="112">
        <f t="shared" si="355"/>
        <v>295647</v>
      </c>
      <c r="H914" s="112">
        <f t="shared" si="351"/>
        <v>28050</v>
      </c>
      <c r="I914" s="112">
        <f t="shared" si="351"/>
        <v>28050</v>
      </c>
      <c r="J914" s="112">
        <f t="shared" si="356"/>
        <v>715780</v>
      </c>
      <c r="K914" s="248">
        <v>1000</v>
      </c>
      <c r="L914" s="112"/>
      <c r="M914" s="113">
        <f t="shared" si="339"/>
        <v>194909.46872372107</v>
      </c>
      <c r="N914" s="114">
        <v>820</v>
      </c>
      <c r="O914" s="114">
        <v>4</v>
      </c>
      <c r="P914" s="249">
        <v>22440</v>
      </c>
      <c r="Q914" s="116" t="s">
        <v>541</v>
      </c>
      <c r="R914" s="116"/>
      <c r="S914" s="114">
        <f t="shared" si="353"/>
        <v>11220</v>
      </c>
      <c r="T914" s="114">
        <f t="shared" si="354"/>
        <v>11220</v>
      </c>
    </row>
    <row r="915" spans="1:20" x14ac:dyDescent="0.2">
      <c r="A915" s="110" t="str">
        <f t="shared" si="349"/>
        <v>80310</v>
      </c>
      <c r="B915" s="110">
        <v>8</v>
      </c>
      <c r="C915" s="110">
        <v>3</v>
      </c>
      <c r="D915" s="110" t="s">
        <v>62</v>
      </c>
      <c r="E915" s="110">
        <v>0</v>
      </c>
      <c r="F915" s="112">
        <f>ROUNDDOWN($P915/4*$O915*10*$N915/$N915*$Q915/400,0)</f>
        <v>38666</v>
      </c>
      <c r="G915" s="112">
        <f>ROUNDDOWN($P915/4*$O915*10*$N915/$N915*$Q915/400,0)</f>
        <v>38666</v>
      </c>
      <c r="H915" s="112">
        <f t="shared" si="351"/>
        <v>20677</v>
      </c>
      <c r="I915" s="112">
        <f t="shared" si="351"/>
        <v>20677</v>
      </c>
      <c r="J915" s="112">
        <f>ROUNDDOWN($P915/4*$O915*10*$N915/$Q915*$N915/400,0)</f>
        <v>55978</v>
      </c>
      <c r="K915" s="248">
        <v>1000</v>
      </c>
      <c r="L915" s="112"/>
      <c r="M915" s="113">
        <f t="shared" si="339"/>
        <v>16924.157685031609</v>
      </c>
      <c r="N915" s="114">
        <v>900</v>
      </c>
      <c r="O915" s="114">
        <v>0.5</v>
      </c>
      <c r="P915" s="249">
        <v>16542</v>
      </c>
      <c r="Q915" s="116" t="s">
        <v>542</v>
      </c>
      <c r="R915" s="116"/>
      <c r="S915" s="114">
        <f t="shared" si="353"/>
        <v>8271</v>
      </c>
      <c r="T915" s="114">
        <f t="shared" si="354"/>
        <v>8271</v>
      </c>
    </row>
    <row r="916" spans="1:20" x14ac:dyDescent="0.2">
      <c r="A916" s="110" t="str">
        <f t="shared" si="349"/>
        <v>80311</v>
      </c>
      <c r="B916" s="110">
        <v>8</v>
      </c>
      <c r="C916" s="110">
        <v>3</v>
      </c>
      <c r="D916" s="110" t="s">
        <v>62</v>
      </c>
      <c r="E916" s="110">
        <v>1</v>
      </c>
      <c r="F916" s="112">
        <f t="shared" ref="F916:G924" si="357">ROUNDDOWN($P916/4*$O916*10*$N916/$N916*$Q916/400,0)</f>
        <v>77338</v>
      </c>
      <c r="G916" s="112">
        <f t="shared" si="357"/>
        <v>77338</v>
      </c>
      <c r="H916" s="112">
        <f t="shared" si="351"/>
        <v>20678</v>
      </c>
      <c r="I916" s="112">
        <f t="shared" si="351"/>
        <v>20678</v>
      </c>
      <c r="J916" s="112">
        <f t="shared" ref="J916:J924" si="358">ROUNDDOWN($P916/4*$O916*10*$N916/$Q916*$N916/400,0)</f>
        <v>107042</v>
      </c>
      <c r="K916" s="248">
        <v>1000</v>
      </c>
      <c r="L916" s="112"/>
      <c r="M916" s="113">
        <f t="shared" si="339"/>
        <v>33099.225247236282</v>
      </c>
      <c r="N916" s="114">
        <v>880</v>
      </c>
      <c r="O916" s="114">
        <v>1</v>
      </c>
      <c r="P916" s="249">
        <v>16543</v>
      </c>
      <c r="Q916" s="116" t="s">
        <v>537</v>
      </c>
      <c r="R916" s="116"/>
      <c r="S916" s="114">
        <f t="shared" si="353"/>
        <v>8271.5</v>
      </c>
      <c r="T916" s="114">
        <f t="shared" si="354"/>
        <v>8271.5</v>
      </c>
    </row>
    <row r="917" spans="1:20" x14ac:dyDescent="0.2">
      <c r="A917" s="250" t="str">
        <f t="shared" si="349"/>
        <v>80312</v>
      </c>
      <c r="B917" s="110">
        <v>8</v>
      </c>
      <c r="C917" s="110">
        <v>3</v>
      </c>
      <c r="D917" s="110" t="s">
        <v>62</v>
      </c>
      <c r="E917" s="110">
        <v>2</v>
      </c>
      <c r="F917" s="112">
        <f t="shared" si="357"/>
        <v>221456</v>
      </c>
      <c r="G917" s="112">
        <f t="shared" si="357"/>
        <v>221456</v>
      </c>
      <c r="H917" s="112">
        <f t="shared" si="351"/>
        <v>20677</v>
      </c>
      <c r="I917" s="112">
        <f t="shared" si="351"/>
        <v>20677</v>
      </c>
      <c r="J917" s="112">
        <f t="shared" si="358"/>
        <v>321283</v>
      </c>
      <c r="K917" s="248">
        <v>1000</v>
      </c>
      <c r="L917" s="112"/>
      <c r="M917" s="113">
        <f t="shared" si="339"/>
        <v>97033.422480743087</v>
      </c>
      <c r="N917" s="114">
        <v>860</v>
      </c>
      <c r="O917" s="114">
        <v>3</v>
      </c>
      <c r="P917" s="249">
        <v>16542</v>
      </c>
      <c r="Q917" s="116" t="s">
        <v>544</v>
      </c>
      <c r="R917" s="116"/>
      <c r="S917" s="114">
        <f t="shared" si="353"/>
        <v>8271</v>
      </c>
      <c r="T917" s="114">
        <f t="shared" si="354"/>
        <v>8271</v>
      </c>
    </row>
    <row r="918" spans="1:20" x14ac:dyDescent="0.2">
      <c r="A918" s="110" t="str">
        <f t="shared" si="349"/>
        <v>80313</v>
      </c>
      <c r="B918" s="110">
        <v>8</v>
      </c>
      <c r="C918" s="110">
        <v>3</v>
      </c>
      <c r="D918" s="110" t="s">
        <v>62</v>
      </c>
      <c r="E918" s="110">
        <v>3</v>
      </c>
      <c r="F918" s="112">
        <f t="shared" si="357"/>
        <v>307595</v>
      </c>
      <c r="G918" s="112">
        <f t="shared" si="357"/>
        <v>307595</v>
      </c>
      <c r="H918" s="112">
        <f t="shared" si="351"/>
        <v>29541</v>
      </c>
      <c r="I918" s="112">
        <f t="shared" si="351"/>
        <v>29541</v>
      </c>
      <c r="J918" s="112">
        <f t="shared" si="358"/>
        <v>613062</v>
      </c>
      <c r="K918" s="248">
        <v>1000</v>
      </c>
      <c r="L918" s="112"/>
      <c r="M918" s="113">
        <f t="shared" si="339"/>
        <v>188818.44555312267</v>
      </c>
      <c r="N918" s="114">
        <v>840</v>
      </c>
      <c r="O918" s="114">
        <v>3.5</v>
      </c>
      <c r="P918" s="249">
        <v>23632.800000000003</v>
      </c>
      <c r="Q918" s="116" t="s">
        <v>543</v>
      </c>
      <c r="R918" s="116"/>
      <c r="S918" s="114">
        <f t="shared" si="353"/>
        <v>11816.400000000001</v>
      </c>
      <c r="T918" s="114">
        <f t="shared" si="354"/>
        <v>11816.400000000001</v>
      </c>
    </row>
    <row r="919" spans="1:20" x14ac:dyDescent="0.2">
      <c r="A919" s="110" t="str">
        <f t="shared" si="349"/>
        <v>80314</v>
      </c>
      <c r="B919" s="110">
        <v>8</v>
      </c>
      <c r="C919" s="110">
        <v>3</v>
      </c>
      <c r="D919" s="110" t="s">
        <v>62</v>
      </c>
      <c r="E919" s="110">
        <v>4</v>
      </c>
      <c r="F919" s="112">
        <f t="shared" si="357"/>
        <v>311362</v>
      </c>
      <c r="G919" s="112">
        <f t="shared" si="357"/>
        <v>311362</v>
      </c>
      <c r="H919" s="112">
        <f t="shared" si="351"/>
        <v>29541</v>
      </c>
      <c r="I919" s="112">
        <f t="shared" si="351"/>
        <v>29541</v>
      </c>
      <c r="J919" s="112">
        <f t="shared" si="358"/>
        <v>753828</v>
      </c>
      <c r="K919" s="248">
        <v>1000</v>
      </c>
      <c r="L919" s="112"/>
      <c r="M919" s="113">
        <f t="shared" si="339"/>
        <v>210654.8777784961</v>
      </c>
      <c r="N919" s="114">
        <v>820</v>
      </c>
      <c r="O919" s="114">
        <v>4</v>
      </c>
      <c r="P919" s="249">
        <v>23632.800000000003</v>
      </c>
      <c r="Q919" s="116" t="s">
        <v>545</v>
      </c>
      <c r="R919" s="116"/>
      <c r="S919" s="114">
        <f t="shared" si="353"/>
        <v>11816.400000000001</v>
      </c>
      <c r="T919" s="114">
        <f t="shared" si="354"/>
        <v>11816.400000000001</v>
      </c>
    </row>
    <row r="920" spans="1:20" x14ac:dyDescent="0.2">
      <c r="A920" s="110" t="str">
        <f t="shared" ref="A920:A924" si="359">IF(B920="","",CONCATENATE(B920,CONCATENATE(REPT(0,2-LEN(C920)),C920),IF(OR(D920="Easy",D920=""),1,IF(D920="Normal",2,IF(D920="Hard",3,IF(D920="Hell",4,"error")))),E920))</f>
        <v>80410</v>
      </c>
      <c r="B920" s="110">
        <v>8</v>
      </c>
      <c r="C920" s="110">
        <v>4</v>
      </c>
      <c r="D920" s="110" t="s">
        <v>62</v>
      </c>
      <c r="E920" s="110">
        <v>0</v>
      </c>
      <c r="F920" s="112">
        <f>ROUNDDOWN($P920/4*$O920*10*$N920/$N920*$Q920/400,0)</f>
        <v>40644</v>
      </c>
      <c r="G920" s="112">
        <f>ROUNDDOWN($P920/4*$O920*10*$N920/$N920*$Q920/400,0)</f>
        <v>40644</v>
      </c>
      <c r="H920" s="112">
        <f t="shared" si="351"/>
        <v>21735</v>
      </c>
      <c r="I920" s="112">
        <f t="shared" si="351"/>
        <v>21735</v>
      </c>
      <c r="J920" s="112">
        <f>ROUNDDOWN($P920/4*$O920*10*$N920/$Q920*$N920/400,0)</f>
        <v>58841</v>
      </c>
      <c r="K920" s="248">
        <v>1000</v>
      </c>
      <c r="L920" s="112"/>
      <c r="M920" s="113">
        <f t="shared" si="339"/>
        <v>18239.295229005314</v>
      </c>
      <c r="N920" s="114">
        <v>900</v>
      </c>
      <c r="O920" s="114">
        <v>0.5</v>
      </c>
      <c r="P920" s="249">
        <v>17388</v>
      </c>
      <c r="Q920" s="116" t="s">
        <v>537</v>
      </c>
      <c r="R920" s="116"/>
      <c r="S920" s="114">
        <f t="shared" si="353"/>
        <v>8694</v>
      </c>
      <c r="T920" s="114">
        <f t="shared" si="354"/>
        <v>8694</v>
      </c>
    </row>
    <row r="921" spans="1:20" x14ac:dyDescent="0.2">
      <c r="A921" s="110" t="str">
        <f t="shared" si="359"/>
        <v>80411</v>
      </c>
      <c r="B921" s="110">
        <v>8</v>
      </c>
      <c r="C921" s="110">
        <v>4</v>
      </c>
      <c r="D921" s="110" t="s">
        <v>62</v>
      </c>
      <c r="E921" s="110">
        <v>1</v>
      </c>
      <c r="F921" s="112">
        <f t="shared" si="357"/>
        <v>116127</v>
      </c>
      <c r="G921" s="112">
        <f t="shared" si="357"/>
        <v>116127</v>
      </c>
      <c r="H921" s="112">
        <f t="shared" ref="H921:I924" si="360">ROUNDDOWN($S921/4*10,0)</f>
        <v>31050</v>
      </c>
      <c r="I921" s="112">
        <f t="shared" si="360"/>
        <v>31050</v>
      </c>
      <c r="J921" s="112">
        <f t="shared" si="358"/>
        <v>160729</v>
      </c>
      <c r="K921" s="248">
        <v>1000</v>
      </c>
      <c r="L921" s="112"/>
      <c r="M921" s="113">
        <f t="shared" si="339"/>
        <v>60902.414948618913</v>
      </c>
      <c r="N921" s="114">
        <v>880</v>
      </c>
      <c r="O921" s="114">
        <v>1</v>
      </c>
      <c r="P921" s="249">
        <v>24840</v>
      </c>
      <c r="Q921" s="116" t="s">
        <v>546</v>
      </c>
      <c r="R921" s="116"/>
      <c r="S921" s="114">
        <f t="shared" si="353"/>
        <v>12420</v>
      </c>
      <c r="T921" s="114">
        <f t="shared" si="354"/>
        <v>12420</v>
      </c>
    </row>
    <row r="922" spans="1:20" x14ac:dyDescent="0.2">
      <c r="A922" s="250" t="str">
        <f t="shared" si="359"/>
        <v>80412</v>
      </c>
      <c r="B922" s="110">
        <v>8</v>
      </c>
      <c r="C922" s="110">
        <v>4</v>
      </c>
      <c r="D922" s="110" t="s">
        <v>62</v>
      </c>
      <c r="E922" s="110">
        <v>2</v>
      </c>
      <c r="F922" s="112">
        <f t="shared" si="357"/>
        <v>232781</v>
      </c>
      <c r="G922" s="112">
        <f t="shared" si="357"/>
        <v>232781</v>
      </c>
      <c r="H922" s="112">
        <f t="shared" si="360"/>
        <v>21735</v>
      </c>
      <c r="I922" s="112">
        <f t="shared" si="360"/>
        <v>21735</v>
      </c>
      <c r="J922" s="112">
        <f t="shared" si="358"/>
        <v>337714</v>
      </c>
      <c r="K922" s="248">
        <v>1000</v>
      </c>
      <c r="L922" s="112"/>
      <c r="M922" s="113">
        <f t="shared" si="339"/>
        <v>104572.64824034982</v>
      </c>
      <c r="N922" s="114">
        <v>860</v>
      </c>
      <c r="O922" s="114">
        <v>3</v>
      </c>
      <c r="P922" s="249">
        <v>17388</v>
      </c>
      <c r="Q922" s="116" t="s">
        <v>539</v>
      </c>
      <c r="R922" s="116"/>
      <c r="S922" s="114">
        <f t="shared" si="353"/>
        <v>8694</v>
      </c>
      <c r="T922" s="114">
        <f t="shared" si="354"/>
        <v>8694</v>
      </c>
    </row>
    <row r="923" spans="1:20" x14ac:dyDescent="0.2">
      <c r="A923" s="110" t="str">
        <f t="shared" si="359"/>
        <v>80413</v>
      </c>
      <c r="B923" s="110">
        <v>8</v>
      </c>
      <c r="C923" s="110">
        <v>4</v>
      </c>
      <c r="D923" s="110" t="s">
        <v>62</v>
      </c>
      <c r="E923" s="110">
        <v>3</v>
      </c>
      <c r="F923" s="112">
        <f t="shared" si="357"/>
        <v>323308</v>
      </c>
      <c r="G923" s="112">
        <f t="shared" si="357"/>
        <v>323308</v>
      </c>
      <c r="H923" s="112">
        <f t="shared" si="360"/>
        <v>31050</v>
      </c>
      <c r="I923" s="112">
        <f t="shared" si="360"/>
        <v>31050</v>
      </c>
      <c r="J923" s="112">
        <f t="shared" si="358"/>
        <v>644378</v>
      </c>
      <c r="K923" s="248">
        <v>1000</v>
      </c>
      <c r="L923" s="112"/>
      <c r="M923" s="113">
        <f t="shared" si="339"/>
        <v>203469.52303698284</v>
      </c>
      <c r="N923" s="114">
        <v>840</v>
      </c>
      <c r="O923" s="114">
        <v>3.5</v>
      </c>
      <c r="P923" s="249">
        <v>24840</v>
      </c>
      <c r="Q923" s="116" t="s">
        <v>543</v>
      </c>
      <c r="R923" s="116"/>
      <c r="S923" s="114">
        <f t="shared" si="353"/>
        <v>12420</v>
      </c>
      <c r="T923" s="114">
        <f t="shared" si="354"/>
        <v>12420</v>
      </c>
    </row>
    <row r="924" spans="1:20" x14ac:dyDescent="0.2">
      <c r="A924" s="110" t="str">
        <f t="shared" si="359"/>
        <v>80414</v>
      </c>
      <c r="B924" s="110">
        <v>8</v>
      </c>
      <c r="C924" s="110">
        <v>4</v>
      </c>
      <c r="D924" s="110" t="s">
        <v>62</v>
      </c>
      <c r="E924" s="110">
        <v>4</v>
      </c>
      <c r="F924" s="112">
        <f t="shared" si="357"/>
        <v>327267</v>
      </c>
      <c r="G924" s="112">
        <f t="shared" si="357"/>
        <v>327267</v>
      </c>
      <c r="H924" s="112">
        <f t="shared" si="360"/>
        <v>31050</v>
      </c>
      <c r="I924" s="112">
        <f t="shared" si="360"/>
        <v>31050</v>
      </c>
      <c r="J924" s="112">
        <f t="shared" si="358"/>
        <v>792334</v>
      </c>
      <c r="K924" s="248">
        <v>1000</v>
      </c>
      <c r="L924" s="112"/>
      <c r="M924" s="113">
        <f t="shared" si="339"/>
        <v>227000.09719930115</v>
      </c>
      <c r="N924" s="114">
        <v>820</v>
      </c>
      <c r="O924" s="114">
        <v>4</v>
      </c>
      <c r="P924" s="249">
        <v>24840</v>
      </c>
      <c r="Q924" s="116" t="s">
        <v>547</v>
      </c>
      <c r="R924" s="116"/>
      <c r="S924" s="114">
        <f t="shared" si="353"/>
        <v>12420</v>
      </c>
      <c r="T924" s="114">
        <f t="shared" si="354"/>
        <v>12420</v>
      </c>
    </row>
    <row r="925" spans="1:20" ht="38.25" x14ac:dyDescent="0.2">
      <c r="A925" s="8" t="str">
        <f t="shared" si="349"/>
        <v/>
      </c>
      <c r="B925" s="5"/>
      <c r="C925" s="6" t="s">
        <v>430</v>
      </c>
      <c r="D925" s="5"/>
      <c r="E925" s="5"/>
      <c r="F925" s="5"/>
      <c r="G925" s="5"/>
      <c r="H925" s="5"/>
      <c r="I925" s="5"/>
      <c r="J925" s="5"/>
      <c r="K925" s="133">
        <v>1000</v>
      </c>
      <c r="L925" s="5"/>
      <c r="M925" s="16">
        <f t="shared" si="339"/>
        <v>0</v>
      </c>
      <c r="N925" s="5"/>
      <c r="O925" s="5"/>
      <c r="P925" s="201"/>
      <c r="Q925" s="5"/>
      <c r="R925" s="5"/>
      <c r="S925" s="30"/>
      <c r="T925" s="266"/>
    </row>
    <row r="926" spans="1:20" ht="16.5" x14ac:dyDescent="0.2">
      <c r="A926" s="110" t="str">
        <f t="shared" si="349"/>
        <v>80120</v>
      </c>
      <c r="B926" s="110">
        <v>8</v>
      </c>
      <c r="C926" s="110">
        <v>1</v>
      </c>
      <c r="D926" s="110" t="s">
        <v>63</v>
      </c>
      <c r="E926" s="110">
        <v>0</v>
      </c>
      <c r="F926" s="112">
        <f>ROUNDDOWN($P926/4*$O926*10*$N926/$N926*$Q926/400,0)</f>
        <v>36247</v>
      </c>
      <c r="G926" s="112">
        <f>ROUNDDOWN($P926/4*$O926*10*$N926/$N926*$Q926/400,0)</f>
        <v>36247</v>
      </c>
      <c r="H926" s="112">
        <f t="shared" ref="H926:H945" si="361">ROUNDDOWN($S926/4*10,0)</f>
        <v>24227</v>
      </c>
      <c r="I926" s="112">
        <f t="shared" ref="I926:I945" si="362">ROUNDDOWN($T926/4*10,0)</f>
        <v>24227</v>
      </c>
      <c r="J926" s="112">
        <f>ROUNDDOWN($P926/4*$O926*10*$N926/$Q926*$N926/400,0)</f>
        <v>52476</v>
      </c>
      <c r="K926" s="248">
        <v>1000</v>
      </c>
      <c r="L926" s="112"/>
      <c r="M926" s="113">
        <f t="shared" si="339"/>
        <v>17173.396705713221</v>
      </c>
      <c r="N926" s="114">
        <v>900</v>
      </c>
      <c r="O926" s="114">
        <v>0.5</v>
      </c>
      <c r="P926" s="251">
        <v>15507</v>
      </c>
      <c r="Q926" s="116" t="s">
        <v>546</v>
      </c>
      <c r="R926" s="116"/>
      <c r="S926" s="114">
        <v>9691</v>
      </c>
      <c r="T926" s="114">
        <v>9691</v>
      </c>
    </row>
    <row r="927" spans="1:20" ht="16.5" x14ac:dyDescent="0.2">
      <c r="A927" s="110" t="str">
        <f t="shared" si="349"/>
        <v>80121</v>
      </c>
      <c r="B927" s="110">
        <v>8</v>
      </c>
      <c r="C927" s="110">
        <v>1</v>
      </c>
      <c r="D927" s="110" t="s">
        <v>63</v>
      </c>
      <c r="E927" s="110">
        <v>1</v>
      </c>
      <c r="F927" s="112">
        <f t="shared" ref="F927:G930" si="363">ROUNDDOWN($P927/4*$O927*10*$N927/$N927*$Q927/400,0)</f>
        <v>129456</v>
      </c>
      <c r="G927" s="112">
        <f t="shared" si="363"/>
        <v>129456</v>
      </c>
      <c r="H927" s="112">
        <f t="shared" si="361"/>
        <v>34614</v>
      </c>
      <c r="I927" s="112">
        <f t="shared" si="362"/>
        <v>34614</v>
      </c>
      <c r="J927" s="112">
        <f t="shared" ref="J927:J930" si="364">ROUNDDOWN($P927/4*$O927*10*$N927/$Q927*$N927/400,0)</f>
        <v>179179</v>
      </c>
      <c r="K927" s="248">
        <v>1000</v>
      </c>
      <c r="L927" s="112"/>
      <c r="M927" s="113">
        <f t="shared" si="339"/>
        <v>71683.718847420794</v>
      </c>
      <c r="N927" s="114">
        <v>880</v>
      </c>
      <c r="O927" s="114">
        <v>1</v>
      </c>
      <c r="P927" s="251">
        <v>27691.3</v>
      </c>
      <c r="Q927" s="116" t="s">
        <v>537</v>
      </c>
      <c r="R927" s="116"/>
      <c r="S927" s="114">
        <f t="shared" ref="S927:S945" si="365">P927*0.5</f>
        <v>13845.65</v>
      </c>
      <c r="T927" s="114">
        <f t="shared" ref="T927:T945" si="366">S927</f>
        <v>13845.65</v>
      </c>
    </row>
    <row r="928" spans="1:20" ht="16.5" x14ac:dyDescent="0.2">
      <c r="A928" s="250" t="str">
        <f t="shared" si="349"/>
        <v>80122</v>
      </c>
      <c r="B928" s="110">
        <v>8</v>
      </c>
      <c r="C928" s="110">
        <v>1</v>
      </c>
      <c r="D928" s="110" t="s">
        <v>63</v>
      </c>
      <c r="E928" s="110">
        <v>2</v>
      </c>
      <c r="F928" s="112">
        <f t="shared" si="363"/>
        <v>259489</v>
      </c>
      <c r="G928" s="112">
        <f t="shared" si="363"/>
        <v>259489</v>
      </c>
      <c r="H928" s="112">
        <f t="shared" si="361"/>
        <v>24228</v>
      </c>
      <c r="I928" s="112">
        <f t="shared" si="362"/>
        <v>24228</v>
      </c>
      <c r="J928" s="112">
        <f t="shared" si="364"/>
        <v>376461</v>
      </c>
      <c r="K928" s="248">
        <v>1000</v>
      </c>
      <c r="L928" s="112"/>
      <c r="M928" s="113">
        <f t="shared" si="339"/>
        <v>123074.54572660425</v>
      </c>
      <c r="N928" s="114">
        <v>860</v>
      </c>
      <c r="O928" s="114">
        <v>3</v>
      </c>
      <c r="P928" s="251">
        <v>19383</v>
      </c>
      <c r="Q928" s="116" t="s">
        <v>539</v>
      </c>
      <c r="R928" s="116"/>
      <c r="S928" s="114">
        <f t="shared" si="365"/>
        <v>9691.5</v>
      </c>
      <c r="T928" s="114">
        <f t="shared" si="366"/>
        <v>9691.5</v>
      </c>
    </row>
    <row r="929" spans="1:20" ht="16.5" x14ac:dyDescent="0.2">
      <c r="A929" s="250" t="str">
        <f t="shared" si="349"/>
        <v>80123</v>
      </c>
      <c r="B929" s="110">
        <v>8</v>
      </c>
      <c r="C929" s="110">
        <v>1</v>
      </c>
      <c r="D929" s="110" t="s">
        <v>63</v>
      </c>
      <c r="E929" s="110">
        <v>3</v>
      </c>
      <c r="F929" s="112">
        <f t="shared" si="363"/>
        <v>201833</v>
      </c>
      <c r="G929" s="112">
        <f t="shared" si="363"/>
        <v>201833</v>
      </c>
      <c r="H929" s="112">
        <f t="shared" si="361"/>
        <v>24227</v>
      </c>
      <c r="I929" s="112">
        <f t="shared" si="362"/>
        <v>24227</v>
      </c>
      <c r="J929" s="112">
        <f t="shared" si="364"/>
        <v>402269</v>
      </c>
      <c r="K929" s="248">
        <v>1000</v>
      </c>
      <c r="L929" s="112"/>
      <c r="M929" s="113">
        <f t="shared" si="339"/>
        <v>112200.34113198705</v>
      </c>
      <c r="N929" s="114">
        <v>840</v>
      </c>
      <c r="O929" s="114">
        <v>3.5</v>
      </c>
      <c r="P929" s="251">
        <v>15507</v>
      </c>
      <c r="Q929" s="116" t="s">
        <v>548</v>
      </c>
      <c r="R929" s="116"/>
      <c r="S929" s="114">
        <v>9691</v>
      </c>
      <c r="T929" s="114">
        <v>9691</v>
      </c>
    </row>
    <row r="930" spans="1:20" ht="16.5" x14ac:dyDescent="0.2">
      <c r="A930" s="250" t="str">
        <f t="shared" si="349"/>
        <v>80124</v>
      </c>
      <c r="B930" s="110">
        <v>8</v>
      </c>
      <c r="C930" s="110">
        <v>1</v>
      </c>
      <c r="D930" s="110" t="s">
        <v>63</v>
      </c>
      <c r="E930" s="110">
        <v>4</v>
      </c>
      <c r="F930" s="112">
        <f t="shared" si="363"/>
        <v>255371</v>
      </c>
      <c r="G930" s="112">
        <f t="shared" si="363"/>
        <v>255371</v>
      </c>
      <c r="H930" s="112">
        <f t="shared" si="361"/>
        <v>24228</v>
      </c>
      <c r="I930" s="112">
        <f t="shared" si="362"/>
        <v>24228</v>
      </c>
      <c r="J930" s="112">
        <f t="shared" si="364"/>
        <v>618269</v>
      </c>
      <c r="K930" s="248">
        <v>1000</v>
      </c>
      <c r="L930" s="112"/>
      <c r="M930" s="113">
        <f t="shared" si="339"/>
        <v>156467.19385172951</v>
      </c>
      <c r="N930" s="114">
        <v>820</v>
      </c>
      <c r="O930" s="114">
        <v>4</v>
      </c>
      <c r="P930" s="251">
        <v>19383</v>
      </c>
      <c r="Q930" s="116" t="s">
        <v>541</v>
      </c>
      <c r="R930" s="116"/>
      <c r="S930" s="114">
        <f t="shared" si="365"/>
        <v>9691.5</v>
      </c>
      <c r="T930" s="114">
        <f t="shared" si="366"/>
        <v>9691.5</v>
      </c>
    </row>
    <row r="931" spans="1:20" ht="16.5" x14ac:dyDescent="0.2">
      <c r="A931" s="110" t="str">
        <f t="shared" si="349"/>
        <v>80220</v>
      </c>
      <c r="B931" s="110">
        <v>8</v>
      </c>
      <c r="C931" s="110">
        <v>2</v>
      </c>
      <c r="D931" s="110" t="s">
        <v>63</v>
      </c>
      <c r="E931" s="110">
        <v>0</v>
      </c>
      <c r="F931" s="112">
        <f>ROUNDDOWN($P931/4*$O931*10*$N931/$N931*$Q931/400,0)</f>
        <v>47460</v>
      </c>
      <c r="G931" s="112">
        <f>ROUNDDOWN($P931/4*$O931*10*$N931/$N931*$Q931/400,0)</f>
        <v>47460</v>
      </c>
      <c r="H931" s="112">
        <f t="shared" si="361"/>
        <v>25380</v>
      </c>
      <c r="I931" s="112">
        <f t="shared" si="362"/>
        <v>25380</v>
      </c>
      <c r="J931" s="112">
        <f>ROUNDDOWN($P931/4*$O931*10*$N931/$Q931*$N931/400,0)</f>
        <v>68709</v>
      </c>
      <c r="K931" s="248">
        <v>1000</v>
      </c>
      <c r="L931" s="112"/>
      <c r="M931" s="113">
        <f t="shared" si="339"/>
        <v>23014.761394993431</v>
      </c>
      <c r="N931" s="114">
        <v>900</v>
      </c>
      <c r="O931" s="114">
        <v>0.5</v>
      </c>
      <c r="P931" s="251">
        <v>20304</v>
      </c>
      <c r="Q931" s="116" t="s">
        <v>549</v>
      </c>
      <c r="R931" s="116"/>
      <c r="S931" s="114">
        <f t="shared" si="365"/>
        <v>10152</v>
      </c>
      <c r="T931" s="114">
        <f t="shared" si="366"/>
        <v>10152</v>
      </c>
    </row>
    <row r="932" spans="1:20" ht="16.5" x14ac:dyDescent="0.2">
      <c r="A932" s="110" t="str">
        <f t="shared" si="349"/>
        <v>80221</v>
      </c>
      <c r="B932" s="110">
        <v>8</v>
      </c>
      <c r="C932" s="110">
        <v>2</v>
      </c>
      <c r="D932" s="110" t="s">
        <v>63</v>
      </c>
      <c r="E932" s="110">
        <v>1</v>
      </c>
      <c r="F932" s="112">
        <f t="shared" ref="F932:G935" si="367">ROUNDDOWN($P932/4*$O932*10*$N932/$N932*$Q932/400,0)</f>
        <v>135604</v>
      </c>
      <c r="G932" s="112">
        <f t="shared" si="367"/>
        <v>135604</v>
      </c>
      <c r="H932" s="112">
        <f t="shared" si="361"/>
        <v>36257</v>
      </c>
      <c r="I932" s="112">
        <f t="shared" si="362"/>
        <v>36257</v>
      </c>
      <c r="J932" s="112">
        <f t="shared" ref="J932:J935" si="368">ROUNDDOWN($P932/4*$O932*10*$N932/$Q932*$N932/400,0)</f>
        <v>187687</v>
      </c>
      <c r="K932" s="248">
        <v>1000</v>
      </c>
      <c r="L932" s="112"/>
      <c r="M932" s="113">
        <f t="shared" si="339"/>
        <v>76849.185119766043</v>
      </c>
      <c r="N932" s="114">
        <v>880</v>
      </c>
      <c r="O932" s="114">
        <v>1</v>
      </c>
      <c r="P932" s="251">
        <v>29006.25</v>
      </c>
      <c r="Q932" s="116" t="s">
        <v>546</v>
      </c>
      <c r="R932" s="116"/>
      <c r="S932" s="114">
        <f t="shared" si="365"/>
        <v>14503.125</v>
      </c>
      <c r="T932" s="114">
        <f t="shared" si="366"/>
        <v>14503.125</v>
      </c>
    </row>
    <row r="933" spans="1:20" ht="16.5" x14ac:dyDescent="0.2">
      <c r="A933" s="250" t="str">
        <f t="shared" si="349"/>
        <v>80222</v>
      </c>
      <c r="B933" s="110">
        <v>8</v>
      </c>
      <c r="C933" s="110">
        <v>2</v>
      </c>
      <c r="D933" s="110" t="s">
        <v>63</v>
      </c>
      <c r="E933" s="110">
        <v>2</v>
      </c>
      <c r="F933" s="112">
        <f t="shared" si="367"/>
        <v>271819</v>
      </c>
      <c r="G933" s="112">
        <f t="shared" si="367"/>
        <v>271819</v>
      </c>
      <c r="H933" s="112">
        <f t="shared" si="361"/>
        <v>25380</v>
      </c>
      <c r="I933" s="112">
        <f t="shared" si="362"/>
        <v>25380</v>
      </c>
      <c r="J933" s="112">
        <f t="shared" si="368"/>
        <v>394349</v>
      </c>
      <c r="K933" s="248">
        <v>1000</v>
      </c>
      <c r="L933" s="112"/>
      <c r="M933" s="113">
        <f t="shared" si="339"/>
        <v>131952.0291036898</v>
      </c>
      <c r="N933" s="114">
        <v>860</v>
      </c>
      <c r="O933" s="114">
        <v>3</v>
      </c>
      <c r="P933" s="251">
        <v>20304</v>
      </c>
      <c r="Q933" s="116" t="s">
        <v>539</v>
      </c>
      <c r="R933" s="116"/>
      <c r="S933" s="114">
        <f t="shared" si="365"/>
        <v>10152</v>
      </c>
      <c r="T933" s="114">
        <f t="shared" si="366"/>
        <v>10152</v>
      </c>
    </row>
    <row r="934" spans="1:20" ht="16.5" x14ac:dyDescent="0.2">
      <c r="A934" s="110" t="str">
        <f t="shared" si="349"/>
        <v>80223</v>
      </c>
      <c r="B934" s="110">
        <v>8</v>
      </c>
      <c r="C934" s="110">
        <v>2</v>
      </c>
      <c r="D934" s="110" t="s">
        <v>63</v>
      </c>
      <c r="E934" s="110">
        <v>3</v>
      </c>
      <c r="F934" s="112">
        <f t="shared" si="367"/>
        <v>377534</v>
      </c>
      <c r="G934" s="112">
        <f t="shared" si="367"/>
        <v>377534</v>
      </c>
      <c r="H934" s="112">
        <f t="shared" si="361"/>
        <v>36257</v>
      </c>
      <c r="I934" s="112">
        <f t="shared" si="362"/>
        <v>36257</v>
      </c>
      <c r="J934" s="112">
        <f t="shared" si="368"/>
        <v>752456</v>
      </c>
      <c r="K934" s="248">
        <v>1000</v>
      </c>
      <c r="L934" s="112"/>
      <c r="M934" s="113">
        <f t="shared" ref="M934:M994" si="369">(F934*J934*((H934+I934)/2)/1000)^(1/2)/10*0.8</f>
        <v>256746.48689892716</v>
      </c>
      <c r="N934" s="114">
        <v>840</v>
      </c>
      <c r="O934" s="114">
        <v>3.5</v>
      </c>
      <c r="P934" s="251">
        <v>29006.25</v>
      </c>
      <c r="Q934" s="116" t="s">
        <v>548</v>
      </c>
      <c r="R934" s="116"/>
      <c r="S934" s="114">
        <f t="shared" si="365"/>
        <v>14503.125</v>
      </c>
      <c r="T934" s="114">
        <f t="shared" si="366"/>
        <v>14503.125</v>
      </c>
    </row>
    <row r="935" spans="1:20" ht="16.5" x14ac:dyDescent="0.2">
      <c r="A935" s="250" t="str">
        <f t="shared" si="349"/>
        <v>80224</v>
      </c>
      <c r="B935" s="110">
        <v>8</v>
      </c>
      <c r="C935" s="110">
        <v>2</v>
      </c>
      <c r="D935" s="110" t="s">
        <v>63</v>
      </c>
      <c r="E935" s="110">
        <v>4</v>
      </c>
      <c r="F935" s="112">
        <f t="shared" si="367"/>
        <v>267505</v>
      </c>
      <c r="G935" s="112">
        <f t="shared" si="367"/>
        <v>267505</v>
      </c>
      <c r="H935" s="112">
        <f t="shared" si="361"/>
        <v>25380</v>
      </c>
      <c r="I935" s="112">
        <f t="shared" si="362"/>
        <v>25380</v>
      </c>
      <c r="J935" s="112">
        <f t="shared" si="368"/>
        <v>647647</v>
      </c>
      <c r="K935" s="248">
        <v>1000</v>
      </c>
      <c r="L935" s="112"/>
      <c r="M935" s="113">
        <f t="shared" si="369"/>
        <v>167753.24385926942</v>
      </c>
      <c r="N935" s="114">
        <v>820</v>
      </c>
      <c r="O935" s="114">
        <v>4</v>
      </c>
      <c r="P935" s="251">
        <v>20304</v>
      </c>
      <c r="Q935" s="116" t="s">
        <v>550</v>
      </c>
      <c r="R935" s="116"/>
      <c r="S935" s="114">
        <f t="shared" si="365"/>
        <v>10152</v>
      </c>
      <c r="T935" s="114">
        <f t="shared" si="366"/>
        <v>10152</v>
      </c>
    </row>
    <row r="936" spans="1:20" ht="16.5" x14ac:dyDescent="0.2">
      <c r="A936" s="110" t="str">
        <f t="shared" si="349"/>
        <v>80320</v>
      </c>
      <c r="B936" s="110">
        <v>8</v>
      </c>
      <c r="C936" s="110">
        <v>3</v>
      </c>
      <c r="D936" s="110" t="s">
        <v>63</v>
      </c>
      <c r="E936" s="110">
        <v>0</v>
      </c>
      <c r="F936" s="112">
        <f>ROUNDDOWN($P936/4*$O936*10*$N936/$N936*$Q936/400,0)</f>
        <v>49639</v>
      </c>
      <c r="G936" s="112">
        <f>ROUNDDOWN($P936/4*$O936*10*$N936/$N936*$Q936/400,0)</f>
        <v>49639</v>
      </c>
      <c r="H936" s="112">
        <f t="shared" si="361"/>
        <v>26545</v>
      </c>
      <c r="I936" s="112">
        <f t="shared" si="362"/>
        <v>26545</v>
      </c>
      <c r="J936" s="112">
        <f>ROUNDDOWN($P936/4*$O936*10*$N936/$Q936*$N936/400,0)</f>
        <v>71863</v>
      </c>
      <c r="K936" s="248">
        <v>1000</v>
      </c>
      <c r="L936" s="112"/>
      <c r="M936" s="113">
        <f t="shared" si="369"/>
        <v>24617.590061880877</v>
      </c>
      <c r="N936" s="114">
        <v>900</v>
      </c>
      <c r="O936" s="114">
        <v>0.5</v>
      </c>
      <c r="P936" s="251">
        <v>21236</v>
      </c>
      <c r="Q936" s="116" t="s">
        <v>546</v>
      </c>
      <c r="R936" s="116"/>
      <c r="S936" s="114">
        <f t="shared" si="365"/>
        <v>10618</v>
      </c>
      <c r="T936" s="114">
        <f t="shared" si="366"/>
        <v>10618</v>
      </c>
    </row>
    <row r="937" spans="1:20" ht="16.5" x14ac:dyDescent="0.2">
      <c r="A937" s="110" t="str">
        <f t="shared" si="349"/>
        <v>80321</v>
      </c>
      <c r="B937" s="110">
        <v>8</v>
      </c>
      <c r="C937" s="110">
        <v>3</v>
      </c>
      <c r="D937" s="110" t="s">
        <v>63</v>
      </c>
      <c r="E937" s="110">
        <v>1</v>
      </c>
      <c r="F937" s="112">
        <f t="shared" ref="F937:G945" si="370">ROUNDDOWN($P937/4*$O937*10*$N937/$N937*$Q937/400,0)</f>
        <v>141827</v>
      </c>
      <c r="G937" s="112">
        <f t="shared" si="370"/>
        <v>141827</v>
      </c>
      <c r="H937" s="112">
        <f t="shared" si="361"/>
        <v>37921</v>
      </c>
      <c r="I937" s="112">
        <f t="shared" si="362"/>
        <v>37921</v>
      </c>
      <c r="J937" s="112">
        <f t="shared" ref="J937:J945" si="371">ROUNDDOWN($P937/4*$O937*10*$N937/$Q937*$N937/400,0)</f>
        <v>196300</v>
      </c>
      <c r="K937" s="248">
        <v>1000</v>
      </c>
      <c r="L937" s="112"/>
      <c r="M937" s="113">
        <f t="shared" si="369"/>
        <v>82199.558664785058</v>
      </c>
      <c r="N937" s="114">
        <v>880</v>
      </c>
      <c r="O937" s="114">
        <v>1</v>
      </c>
      <c r="P937" s="251">
        <v>30337.35</v>
      </c>
      <c r="Q937" s="116" t="s">
        <v>537</v>
      </c>
      <c r="R937" s="116"/>
      <c r="S937" s="114">
        <f t="shared" si="365"/>
        <v>15168.674999999999</v>
      </c>
      <c r="T937" s="114">
        <f t="shared" si="366"/>
        <v>15168.674999999999</v>
      </c>
    </row>
    <row r="938" spans="1:20" ht="16.5" x14ac:dyDescent="0.2">
      <c r="A938" s="250" t="str">
        <f t="shared" si="349"/>
        <v>80322</v>
      </c>
      <c r="B938" s="110">
        <v>8</v>
      </c>
      <c r="C938" s="110">
        <v>3</v>
      </c>
      <c r="D938" s="110" t="s">
        <v>63</v>
      </c>
      <c r="E938" s="110">
        <v>2</v>
      </c>
      <c r="F938" s="112">
        <f t="shared" si="370"/>
        <v>284296</v>
      </c>
      <c r="G938" s="112">
        <f t="shared" si="370"/>
        <v>284296</v>
      </c>
      <c r="H938" s="112">
        <f t="shared" si="361"/>
        <v>26545</v>
      </c>
      <c r="I938" s="112">
        <f t="shared" si="362"/>
        <v>26545</v>
      </c>
      <c r="J938" s="112">
        <f t="shared" si="371"/>
        <v>412451</v>
      </c>
      <c r="K938" s="248">
        <v>1000</v>
      </c>
      <c r="L938" s="112"/>
      <c r="M938" s="113">
        <f t="shared" si="369"/>
        <v>141140.90795845282</v>
      </c>
      <c r="N938" s="114">
        <v>860</v>
      </c>
      <c r="O938" s="114">
        <v>3</v>
      </c>
      <c r="P938" s="251">
        <v>21236</v>
      </c>
      <c r="Q938" s="116" t="s">
        <v>539</v>
      </c>
      <c r="R938" s="116"/>
      <c r="S938" s="114">
        <f t="shared" si="365"/>
        <v>10618</v>
      </c>
      <c r="T938" s="114">
        <f t="shared" si="366"/>
        <v>10618</v>
      </c>
    </row>
    <row r="939" spans="1:20" ht="16.5" x14ac:dyDescent="0.2">
      <c r="A939" s="250" t="str">
        <f t="shared" si="349"/>
        <v>80323</v>
      </c>
      <c r="B939" s="110">
        <v>8</v>
      </c>
      <c r="C939" s="110">
        <v>3</v>
      </c>
      <c r="D939" s="110" t="s">
        <v>63</v>
      </c>
      <c r="E939" s="110">
        <v>3</v>
      </c>
      <c r="F939" s="112">
        <f t="shared" si="370"/>
        <v>276399</v>
      </c>
      <c r="G939" s="112">
        <f t="shared" si="370"/>
        <v>276399</v>
      </c>
      <c r="H939" s="112">
        <f t="shared" si="361"/>
        <v>26545</v>
      </c>
      <c r="I939" s="112">
        <f t="shared" si="362"/>
        <v>26545</v>
      </c>
      <c r="J939" s="112">
        <f t="shared" si="371"/>
        <v>550886</v>
      </c>
      <c r="K939" s="248">
        <v>1000</v>
      </c>
      <c r="L939" s="112"/>
      <c r="M939" s="113">
        <f t="shared" si="369"/>
        <v>160834.95923260727</v>
      </c>
      <c r="N939" s="114">
        <v>840</v>
      </c>
      <c r="O939" s="114">
        <v>3.5</v>
      </c>
      <c r="P939" s="251">
        <v>21236</v>
      </c>
      <c r="Q939" s="116" t="s">
        <v>543</v>
      </c>
      <c r="R939" s="116"/>
      <c r="S939" s="114">
        <f t="shared" si="365"/>
        <v>10618</v>
      </c>
      <c r="T939" s="114">
        <f t="shared" si="366"/>
        <v>10618</v>
      </c>
    </row>
    <row r="940" spans="1:20" ht="16.5" x14ac:dyDescent="0.2">
      <c r="A940" s="110" t="str">
        <f t="shared" si="349"/>
        <v>80324</v>
      </c>
      <c r="B940" s="110">
        <v>8</v>
      </c>
      <c r="C940" s="110">
        <v>3</v>
      </c>
      <c r="D940" s="110" t="s">
        <v>63</v>
      </c>
      <c r="E940" s="110">
        <v>4</v>
      </c>
      <c r="F940" s="112">
        <f t="shared" si="370"/>
        <v>399694</v>
      </c>
      <c r="G940" s="112">
        <f t="shared" si="370"/>
        <v>399694</v>
      </c>
      <c r="H940" s="112">
        <f t="shared" si="361"/>
        <v>37921</v>
      </c>
      <c r="I940" s="112">
        <f t="shared" si="362"/>
        <v>37921</v>
      </c>
      <c r="J940" s="112">
        <f t="shared" si="371"/>
        <v>967686</v>
      </c>
      <c r="K940" s="248">
        <v>1000</v>
      </c>
      <c r="L940" s="112"/>
      <c r="M940" s="113">
        <f t="shared" si="369"/>
        <v>306380.35929147538</v>
      </c>
      <c r="N940" s="114">
        <v>820</v>
      </c>
      <c r="O940" s="114">
        <v>4</v>
      </c>
      <c r="P940" s="251">
        <v>30337.35</v>
      </c>
      <c r="Q940" s="116" t="s">
        <v>541</v>
      </c>
      <c r="R940" s="116"/>
      <c r="S940" s="114">
        <f t="shared" si="365"/>
        <v>15168.674999999999</v>
      </c>
      <c r="T940" s="114">
        <f t="shared" si="366"/>
        <v>15168.674999999999</v>
      </c>
    </row>
    <row r="941" spans="1:20" ht="16.5" x14ac:dyDescent="0.2">
      <c r="A941" s="110" t="str">
        <f t="shared" ref="A941:A945" si="372">IF(B941="","",CONCATENATE(B941,CONCATENATE(REPT(0,2-LEN(C941)),C941),IF(OR(D941="Easy",D941=""),1,IF(D941="Normal",2,IF(D941="Hard",3,IF(D941="Hell",4,"error")))),E941))</f>
        <v>80420</v>
      </c>
      <c r="B941" s="110">
        <v>8</v>
      </c>
      <c r="C941" s="110">
        <v>4</v>
      </c>
      <c r="D941" s="110" t="s">
        <v>63</v>
      </c>
      <c r="E941" s="110">
        <v>0</v>
      </c>
      <c r="F941" s="112">
        <f>ROUNDDOWN($P941/4*$O941*10*$N941/$N941*$Q941/400,0)</f>
        <v>51841</v>
      </c>
      <c r="G941" s="112">
        <f>ROUNDDOWN($P941/4*$O941*10*$N941/$N941*$Q941/400,0)</f>
        <v>51841</v>
      </c>
      <c r="H941" s="112">
        <f t="shared" si="361"/>
        <v>27722</v>
      </c>
      <c r="I941" s="112">
        <f t="shared" si="362"/>
        <v>27722</v>
      </c>
      <c r="J941" s="112">
        <f>ROUNDDOWN($P941/4*$O941*10*$N941/$Q941*$N941/400,0)</f>
        <v>75050</v>
      </c>
      <c r="K941" s="248">
        <v>1000</v>
      </c>
      <c r="L941" s="112"/>
      <c r="M941" s="113">
        <f t="shared" si="369"/>
        <v>26273.280353709928</v>
      </c>
      <c r="N941" s="114">
        <v>900</v>
      </c>
      <c r="O941" s="114">
        <v>0.5</v>
      </c>
      <c r="P941" s="251">
        <v>22178</v>
      </c>
      <c r="Q941" s="116" t="s">
        <v>546</v>
      </c>
      <c r="R941" s="116"/>
      <c r="S941" s="114">
        <f t="shared" si="365"/>
        <v>11089</v>
      </c>
      <c r="T941" s="114">
        <f t="shared" si="366"/>
        <v>11089</v>
      </c>
    </row>
    <row r="942" spans="1:20" ht="16.5" x14ac:dyDescent="0.2">
      <c r="A942" s="110" t="str">
        <f t="shared" si="372"/>
        <v>80421</v>
      </c>
      <c r="B942" s="110">
        <v>8</v>
      </c>
      <c r="C942" s="110">
        <v>4</v>
      </c>
      <c r="D942" s="110" t="s">
        <v>63</v>
      </c>
      <c r="E942" s="110">
        <v>1</v>
      </c>
      <c r="F942" s="112">
        <f t="shared" si="370"/>
        <v>148121</v>
      </c>
      <c r="G942" s="112">
        <f t="shared" si="370"/>
        <v>148121</v>
      </c>
      <c r="H942" s="112">
        <f t="shared" si="361"/>
        <v>39604</v>
      </c>
      <c r="I942" s="112">
        <f t="shared" si="362"/>
        <v>39604</v>
      </c>
      <c r="J942" s="112">
        <f t="shared" si="371"/>
        <v>205012</v>
      </c>
      <c r="K942" s="248">
        <v>1000</v>
      </c>
      <c r="L942" s="112"/>
      <c r="M942" s="113">
        <f t="shared" si="369"/>
        <v>87731.887253983383</v>
      </c>
      <c r="N942" s="114">
        <v>880</v>
      </c>
      <c r="O942" s="114">
        <v>1</v>
      </c>
      <c r="P942" s="251">
        <v>31683.75</v>
      </c>
      <c r="Q942" s="116" t="s">
        <v>537</v>
      </c>
      <c r="R942" s="116"/>
      <c r="S942" s="114">
        <f t="shared" si="365"/>
        <v>15841.875</v>
      </c>
      <c r="T942" s="114">
        <f t="shared" si="366"/>
        <v>15841.875</v>
      </c>
    </row>
    <row r="943" spans="1:20" ht="16.5" x14ac:dyDescent="0.2">
      <c r="A943" s="250" t="str">
        <f t="shared" si="372"/>
        <v>80422</v>
      </c>
      <c r="B943" s="110">
        <v>8</v>
      </c>
      <c r="C943" s="110">
        <v>4</v>
      </c>
      <c r="D943" s="110" t="s">
        <v>63</v>
      </c>
      <c r="E943" s="110">
        <v>2</v>
      </c>
      <c r="F943" s="112">
        <f t="shared" si="370"/>
        <v>296907</v>
      </c>
      <c r="G943" s="112">
        <f t="shared" si="370"/>
        <v>296907</v>
      </c>
      <c r="H943" s="112">
        <f t="shared" si="361"/>
        <v>27722</v>
      </c>
      <c r="I943" s="112">
        <f t="shared" si="362"/>
        <v>27722</v>
      </c>
      <c r="J943" s="112">
        <f t="shared" si="371"/>
        <v>430747</v>
      </c>
      <c r="K943" s="248">
        <v>1000</v>
      </c>
      <c r="L943" s="112"/>
      <c r="M943" s="113">
        <f t="shared" si="369"/>
        <v>150634.21054287371</v>
      </c>
      <c r="N943" s="114">
        <v>860</v>
      </c>
      <c r="O943" s="114">
        <v>3</v>
      </c>
      <c r="P943" s="251">
        <v>22178</v>
      </c>
      <c r="Q943" s="116" t="s">
        <v>544</v>
      </c>
      <c r="R943" s="116"/>
      <c r="S943" s="114">
        <f t="shared" si="365"/>
        <v>11089</v>
      </c>
      <c r="T943" s="114">
        <f t="shared" si="366"/>
        <v>11089</v>
      </c>
    </row>
    <row r="944" spans="1:20" ht="16.5" x14ac:dyDescent="0.2">
      <c r="A944" s="110" t="str">
        <f t="shared" si="372"/>
        <v>80423</v>
      </c>
      <c r="B944" s="110">
        <v>8</v>
      </c>
      <c r="C944" s="110">
        <v>4</v>
      </c>
      <c r="D944" s="110" t="s">
        <v>63</v>
      </c>
      <c r="E944" s="110">
        <v>3</v>
      </c>
      <c r="F944" s="112">
        <f t="shared" si="370"/>
        <v>412383</v>
      </c>
      <c r="G944" s="112">
        <f t="shared" si="370"/>
        <v>412383</v>
      </c>
      <c r="H944" s="112">
        <f t="shared" si="361"/>
        <v>39604</v>
      </c>
      <c r="I944" s="112">
        <f t="shared" si="362"/>
        <v>39604</v>
      </c>
      <c r="J944" s="112">
        <f t="shared" si="371"/>
        <v>821913</v>
      </c>
      <c r="K944" s="248">
        <v>1000</v>
      </c>
      <c r="L944" s="112"/>
      <c r="M944" s="113">
        <f t="shared" si="369"/>
        <v>293104.72164858069</v>
      </c>
      <c r="N944" s="114">
        <v>840</v>
      </c>
      <c r="O944" s="114">
        <v>3.5</v>
      </c>
      <c r="P944" s="251">
        <v>31683.75</v>
      </c>
      <c r="Q944" s="116" t="s">
        <v>548</v>
      </c>
      <c r="R944" s="116"/>
      <c r="S944" s="114">
        <f t="shared" si="365"/>
        <v>15841.875</v>
      </c>
      <c r="T944" s="114">
        <f t="shared" si="366"/>
        <v>15841.875</v>
      </c>
    </row>
    <row r="945" spans="1:20" ht="16.5" x14ac:dyDescent="0.2">
      <c r="A945" s="110" t="str">
        <f t="shared" si="372"/>
        <v>80424</v>
      </c>
      <c r="B945" s="110">
        <v>8</v>
      </c>
      <c r="C945" s="110">
        <v>4</v>
      </c>
      <c r="D945" s="110" t="s">
        <v>63</v>
      </c>
      <c r="E945" s="110">
        <v>4</v>
      </c>
      <c r="F945" s="112">
        <f t="shared" si="370"/>
        <v>417433</v>
      </c>
      <c r="G945" s="112">
        <f t="shared" si="370"/>
        <v>417433</v>
      </c>
      <c r="H945" s="112">
        <f t="shared" si="361"/>
        <v>39604</v>
      </c>
      <c r="I945" s="112">
        <f t="shared" si="362"/>
        <v>39604</v>
      </c>
      <c r="J945" s="112">
        <f t="shared" si="371"/>
        <v>1010633</v>
      </c>
      <c r="K945" s="248">
        <v>1000</v>
      </c>
      <c r="L945" s="112"/>
      <c r="M945" s="113">
        <f t="shared" si="369"/>
        <v>327001.42104924016</v>
      </c>
      <c r="N945" s="114">
        <v>820</v>
      </c>
      <c r="O945" s="114">
        <v>4</v>
      </c>
      <c r="P945" s="251">
        <v>31683.75</v>
      </c>
      <c r="Q945" s="116" t="s">
        <v>541</v>
      </c>
      <c r="R945" s="116"/>
      <c r="S945" s="114">
        <f t="shared" si="365"/>
        <v>15841.875</v>
      </c>
      <c r="T945" s="114">
        <f t="shared" si="366"/>
        <v>15841.875</v>
      </c>
    </row>
    <row r="946" spans="1:20" ht="38.25" x14ac:dyDescent="0.2">
      <c r="A946" s="8" t="str">
        <f t="shared" si="349"/>
        <v/>
      </c>
      <c r="B946" s="5"/>
      <c r="C946" s="6" t="s">
        <v>431</v>
      </c>
      <c r="D946" s="5"/>
      <c r="E946" s="5"/>
      <c r="F946" s="5"/>
      <c r="G946" s="5"/>
      <c r="H946" s="5"/>
      <c r="I946" s="5"/>
      <c r="J946" s="5"/>
      <c r="K946" s="133">
        <v>1000</v>
      </c>
      <c r="L946" s="5"/>
      <c r="M946" s="16">
        <f t="shared" si="369"/>
        <v>0</v>
      </c>
      <c r="N946" s="5"/>
      <c r="O946" s="5"/>
      <c r="P946" s="201"/>
      <c r="Q946" s="5"/>
      <c r="R946" s="5"/>
      <c r="S946" s="67"/>
      <c r="T946" s="269"/>
    </row>
    <row r="947" spans="1:20" ht="16.5" x14ac:dyDescent="0.2">
      <c r="A947" s="110" t="str">
        <f t="shared" si="349"/>
        <v>80130</v>
      </c>
      <c r="B947" s="110">
        <v>8</v>
      </c>
      <c r="C947" s="110">
        <v>1</v>
      </c>
      <c r="D947" s="110" t="s">
        <v>64</v>
      </c>
      <c r="E947" s="110">
        <v>0</v>
      </c>
      <c r="F947" s="112">
        <f>ROUNDDOWN($P947/4*$O947*10*$N947/$N947*$Q947/400,0)</f>
        <v>54071</v>
      </c>
      <c r="G947" s="112">
        <f>ROUNDDOWN($P947/4*$O947*10*$N947/$N947*$Q947/400,0)</f>
        <v>54071</v>
      </c>
      <c r="H947" s="112">
        <f t="shared" ref="H947:H972" si="373">ROUNDDOWN($S947/4*10,0)</f>
        <v>28915</v>
      </c>
      <c r="I947" s="112">
        <f t="shared" ref="I947:I972" si="374">ROUNDDOWN($T947/4*10,0)</f>
        <v>28915</v>
      </c>
      <c r="J947" s="112">
        <f>ROUNDDOWN($P947/4*$O947*10*$N947/$Q947*$N947/400,0)</f>
        <v>78279</v>
      </c>
      <c r="K947" s="248">
        <v>1000</v>
      </c>
      <c r="L947" s="112"/>
      <c r="M947" s="113">
        <f t="shared" si="369"/>
        <v>27987.004691433198</v>
      </c>
      <c r="N947" s="114">
        <v>900</v>
      </c>
      <c r="O947" s="114">
        <v>0.5</v>
      </c>
      <c r="P947" s="251">
        <v>23132</v>
      </c>
      <c r="Q947" s="116" t="s">
        <v>551</v>
      </c>
      <c r="R947" s="116"/>
      <c r="S947" s="114">
        <f>P947*0.5</f>
        <v>11566</v>
      </c>
      <c r="T947" s="114">
        <f>S947</f>
        <v>11566</v>
      </c>
    </row>
    <row r="948" spans="1:20" ht="16.5" x14ac:dyDescent="0.2">
      <c r="A948" s="110" t="str">
        <f t="shared" si="349"/>
        <v>80131</v>
      </c>
      <c r="B948" s="110">
        <v>8</v>
      </c>
      <c r="C948" s="110">
        <v>1</v>
      </c>
      <c r="D948" s="110" t="s">
        <v>64</v>
      </c>
      <c r="E948" s="110">
        <v>1</v>
      </c>
      <c r="F948" s="112">
        <f t="shared" ref="F948:G951" si="375">ROUNDDOWN($P948/4*$O948*10*$N948/$N948*$Q948/400,0)</f>
        <v>154491</v>
      </c>
      <c r="G948" s="112">
        <f t="shared" si="375"/>
        <v>154491</v>
      </c>
      <c r="H948" s="112">
        <f t="shared" si="373"/>
        <v>41307</v>
      </c>
      <c r="I948" s="112">
        <f t="shared" si="374"/>
        <v>41307</v>
      </c>
      <c r="J948" s="112">
        <f t="shared" ref="J948:J951" si="376">ROUNDDOWN($P948/4*$O948*10*$N948/$Q948*$N948/400,0)</f>
        <v>213829</v>
      </c>
      <c r="K948" s="248">
        <v>1000</v>
      </c>
      <c r="L948" s="112"/>
      <c r="M948" s="113">
        <f t="shared" si="369"/>
        <v>93451.593013811333</v>
      </c>
      <c r="N948" s="114">
        <v>880</v>
      </c>
      <c r="O948" s="114">
        <v>1</v>
      </c>
      <c r="P948" s="251">
        <v>33046.299999999996</v>
      </c>
      <c r="Q948" s="116" t="s">
        <v>546</v>
      </c>
      <c r="R948" s="116"/>
      <c r="S948" s="114">
        <f t="shared" ref="S948:S965" si="377">P948*0.5</f>
        <v>16523.149999999998</v>
      </c>
      <c r="T948" s="114">
        <f t="shared" ref="T948:T965" si="378">S948</f>
        <v>16523.149999999998</v>
      </c>
    </row>
    <row r="949" spans="1:20" ht="16.5" x14ac:dyDescent="0.2">
      <c r="A949" s="250" t="str">
        <f t="shared" si="349"/>
        <v>80132</v>
      </c>
      <c r="B949" s="110">
        <v>8</v>
      </c>
      <c r="C949" s="110">
        <v>1</v>
      </c>
      <c r="D949" s="110" t="s">
        <v>64</v>
      </c>
      <c r="E949" s="110">
        <v>2</v>
      </c>
      <c r="F949" s="112">
        <f t="shared" si="375"/>
        <v>309679</v>
      </c>
      <c r="G949" s="112">
        <f t="shared" si="375"/>
        <v>309679</v>
      </c>
      <c r="H949" s="112">
        <f t="shared" si="373"/>
        <v>28915</v>
      </c>
      <c r="I949" s="112">
        <f t="shared" si="374"/>
        <v>28915</v>
      </c>
      <c r="J949" s="112">
        <f t="shared" si="376"/>
        <v>449275</v>
      </c>
      <c r="K949" s="248">
        <v>1000</v>
      </c>
      <c r="L949" s="112"/>
      <c r="M949" s="113">
        <f t="shared" si="369"/>
        <v>160458.81836769707</v>
      </c>
      <c r="N949" s="114">
        <v>860</v>
      </c>
      <c r="O949" s="114">
        <v>3</v>
      </c>
      <c r="P949" s="251">
        <v>23132</v>
      </c>
      <c r="Q949" s="116" t="s">
        <v>552</v>
      </c>
      <c r="R949" s="116"/>
      <c r="S949" s="114">
        <f t="shared" si="377"/>
        <v>11566</v>
      </c>
      <c r="T949" s="114">
        <f t="shared" si="378"/>
        <v>11566</v>
      </c>
    </row>
    <row r="950" spans="1:20" ht="16.5" x14ac:dyDescent="0.2">
      <c r="A950" s="110" t="str">
        <f t="shared" si="349"/>
        <v>80133</v>
      </c>
      <c r="B950" s="110">
        <v>8</v>
      </c>
      <c r="C950" s="110">
        <v>1</v>
      </c>
      <c r="D950" s="110" t="s">
        <v>64</v>
      </c>
      <c r="E950" s="110">
        <v>3</v>
      </c>
      <c r="F950" s="112">
        <f t="shared" si="375"/>
        <v>430118</v>
      </c>
      <c r="G950" s="112">
        <f t="shared" si="375"/>
        <v>430118</v>
      </c>
      <c r="H950" s="112">
        <f t="shared" si="373"/>
        <v>41307</v>
      </c>
      <c r="I950" s="112">
        <f t="shared" si="374"/>
        <v>41307</v>
      </c>
      <c r="J950" s="112">
        <f t="shared" si="376"/>
        <v>857259</v>
      </c>
      <c r="K950" s="248">
        <v>1000</v>
      </c>
      <c r="L950" s="112"/>
      <c r="M950" s="113">
        <f t="shared" si="369"/>
        <v>312213.47983400367</v>
      </c>
      <c r="N950" s="114">
        <v>840</v>
      </c>
      <c r="O950" s="114">
        <v>3.5</v>
      </c>
      <c r="P950" s="251">
        <v>33046.299999999996</v>
      </c>
      <c r="Q950" s="116" t="s">
        <v>543</v>
      </c>
      <c r="R950" s="116"/>
      <c r="S950" s="114">
        <f t="shared" si="377"/>
        <v>16523.149999999998</v>
      </c>
      <c r="T950" s="114">
        <f t="shared" si="378"/>
        <v>16523.149999999998</v>
      </c>
    </row>
    <row r="951" spans="1:20" ht="16.5" x14ac:dyDescent="0.2">
      <c r="A951" s="110" t="str">
        <f t="shared" si="349"/>
        <v>80134</v>
      </c>
      <c r="B951" s="110">
        <v>8</v>
      </c>
      <c r="C951" s="110">
        <v>1</v>
      </c>
      <c r="D951" s="110" t="s">
        <v>64</v>
      </c>
      <c r="E951" s="110">
        <v>4</v>
      </c>
      <c r="F951" s="112">
        <f t="shared" si="375"/>
        <v>435385</v>
      </c>
      <c r="G951" s="112">
        <f t="shared" si="375"/>
        <v>435385</v>
      </c>
      <c r="H951" s="112">
        <f t="shared" si="373"/>
        <v>41307</v>
      </c>
      <c r="I951" s="112">
        <f t="shared" si="374"/>
        <v>41307</v>
      </c>
      <c r="J951" s="112">
        <f t="shared" si="376"/>
        <v>1054095</v>
      </c>
      <c r="K951" s="248">
        <v>1000</v>
      </c>
      <c r="L951" s="112"/>
      <c r="M951" s="113">
        <f t="shared" si="369"/>
        <v>348320.00845299504</v>
      </c>
      <c r="N951" s="114">
        <v>820</v>
      </c>
      <c r="O951" s="114">
        <v>4</v>
      </c>
      <c r="P951" s="251">
        <v>33046.299999999996</v>
      </c>
      <c r="Q951" s="116" t="s">
        <v>550</v>
      </c>
      <c r="R951" s="116"/>
      <c r="S951" s="114">
        <f t="shared" si="377"/>
        <v>16523.149999999998</v>
      </c>
      <c r="T951" s="114">
        <f t="shared" si="378"/>
        <v>16523.149999999998</v>
      </c>
    </row>
    <row r="952" spans="1:20" ht="16.5" x14ac:dyDescent="0.2">
      <c r="A952" s="110" t="str">
        <f t="shared" si="349"/>
        <v>80230</v>
      </c>
      <c r="B952" s="110">
        <v>8</v>
      </c>
      <c r="C952" s="110">
        <v>2</v>
      </c>
      <c r="D952" s="110" t="s">
        <v>64</v>
      </c>
      <c r="E952" s="110">
        <v>0</v>
      </c>
      <c r="F952" s="112">
        <f>ROUNDDOWN($P952/4*$O952*10*$N952/$N952*$Q952/400,0)</f>
        <v>56326</v>
      </c>
      <c r="G952" s="112">
        <f>ROUNDDOWN($P952/4*$O952*10*$N952/$N952*$Q952/400,0)</f>
        <v>56326</v>
      </c>
      <c r="H952" s="112">
        <f t="shared" si="373"/>
        <v>30121</v>
      </c>
      <c r="I952" s="112">
        <f t="shared" si="374"/>
        <v>30121</v>
      </c>
      <c r="J952" s="112">
        <f>ROUNDDOWN($P952/4*$O952*10*$N952/$Q952*$N952/400,0)</f>
        <v>81544</v>
      </c>
      <c r="K952" s="248">
        <v>1000</v>
      </c>
      <c r="L952" s="112"/>
      <c r="M952" s="113">
        <f t="shared" si="369"/>
        <v>29756.040494514618</v>
      </c>
      <c r="N952" s="114">
        <v>900</v>
      </c>
      <c r="O952" s="114">
        <v>0.5</v>
      </c>
      <c r="P952" s="251">
        <v>24097</v>
      </c>
      <c r="Q952" s="116" t="s">
        <v>537</v>
      </c>
      <c r="R952" s="116"/>
      <c r="S952" s="114">
        <f t="shared" si="377"/>
        <v>12048.5</v>
      </c>
      <c r="T952" s="114">
        <f t="shared" si="378"/>
        <v>12048.5</v>
      </c>
    </row>
    <row r="953" spans="1:20" ht="16.5" x14ac:dyDescent="0.2">
      <c r="A953" s="110" t="str">
        <f t="shared" si="349"/>
        <v>80231</v>
      </c>
      <c r="B953" s="110">
        <v>8</v>
      </c>
      <c r="C953" s="110">
        <v>2</v>
      </c>
      <c r="D953" s="110" t="s">
        <v>64</v>
      </c>
      <c r="E953" s="110">
        <v>1</v>
      </c>
      <c r="F953" s="112">
        <f t="shared" ref="F953:G956" si="379">ROUNDDOWN($P953/4*$O953*10*$N953/$N953*$Q953/400,0)</f>
        <v>160936</v>
      </c>
      <c r="G953" s="112">
        <f t="shared" si="379"/>
        <v>160936</v>
      </c>
      <c r="H953" s="112">
        <f t="shared" si="373"/>
        <v>43031</v>
      </c>
      <c r="I953" s="112">
        <f t="shared" si="374"/>
        <v>43031</v>
      </c>
      <c r="J953" s="112">
        <f t="shared" ref="J953:J956" si="380">ROUNDDOWN($P953/4*$O953*10*$N953/$Q953*$N953/400,0)</f>
        <v>222750</v>
      </c>
      <c r="K953" s="248">
        <v>1000</v>
      </c>
      <c r="L953" s="112"/>
      <c r="M953" s="113">
        <f t="shared" si="369"/>
        <v>99361.048152732372</v>
      </c>
      <c r="N953" s="114">
        <v>880</v>
      </c>
      <c r="O953" s="114">
        <v>1</v>
      </c>
      <c r="P953" s="251">
        <v>34425</v>
      </c>
      <c r="Q953" s="116" t="s">
        <v>542</v>
      </c>
      <c r="R953" s="116"/>
      <c r="S953" s="114">
        <f t="shared" si="377"/>
        <v>17212.5</v>
      </c>
      <c r="T953" s="114">
        <f t="shared" si="378"/>
        <v>17212.5</v>
      </c>
    </row>
    <row r="954" spans="1:20" ht="16.5" x14ac:dyDescent="0.2">
      <c r="A954" s="250" t="str">
        <f t="shared" si="349"/>
        <v>80232</v>
      </c>
      <c r="B954" s="110">
        <v>8</v>
      </c>
      <c r="C954" s="110">
        <v>2</v>
      </c>
      <c r="D954" s="110" t="s">
        <v>64</v>
      </c>
      <c r="E954" s="110">
        <v>2</v>
      </c>
      <c r="F954" s="112">
        <f t="shared" si="379"/>
        <v>322598</v>
      </c>
      <c r="G954" s="112">
        <f t="shared" si="379"/>
        <v>322598</v>
      </c>
      <c r="H954" s="112">
        <f t="shared" si="373"/>
        <v>30121</v>
      </c>
      <c r="I954" s="112">
        <f t="shared" si="374"/>
        <v>30121</v>
      </c>
      <c r="J954" s="112">
        <f t="shared" si="380"/>
        <v>468018</v>
      </c>
      <c r="K954" s="248">
        <v>1000</v>
      </c>
      <c r="L954" s="112"/>
      <c r="M954" s="113">
        <f t="shared" si="369"/>
        <v>170603.05094730179</v>
      </c>
      <c r="N954" s="114">
        <v>860</v>
      </c>
      <c r="O954" s="114">
        <v>3</v>
      </c>
      <c r="P954" s="251">
        <v>24097</v>
      </c>
      <c r="Q954" s="116" t="s">
        <v>539</v>
      </c>
      <c r="R954" s="116"/>
      <c r="S954" s="114">
        <f t="shared" si="377"/>
        <v>12048.5</v>
      </c>
      <c r="T954" s="114">
        <f t="shared" si="378"/>
        <v>12048.5</v>
      </c>
    </row>
    <row r="955" spans="1:20" ht="16.5" x14ac:dyDescent="0.2">
      <c r="A955" s="250" t="str">
        <f t="shared" si="349"/>
        <v>80233</v>
      </c>
      <c r="B955" s="110">
        <v>8</v>
      </c>
      <c r="C955" s="110">
        <v>2</v>
      </c>
      <c r="D955" s="110" t="s">
        <v>64</v>
      </c>
      <c r="E955" s="110">
        <v>3</v>
      </c>
      <c r="F955" s="112">
        <f t="shared" si="379"/>
        <v>313637</v>
      </c>
      <c r="G955" s="112">
        <f t="shared" si="379"/>
        <v>313637</v>
      </c>
      <c r="H955" s="112">
        <f t="shared" si="373"/>
        <v>30121</v>
      </c>
      <c r="I955" s="112">
        <f t="shared" si="374"/>
        <v>30121</v>
      </c>
      <c r="J955" s="112">
        <f t="shared" si="380"/>
        <v>625104</v>
      </c>
      <c r="K955" s="248">
        <v>1000</v>
      </c>
      <c r="L955" s="112"/>
      <c r="M955" s="113">
        <f t="shared" si="369"/>
        <v>194408.14867486202</v>
      </c>
      <c r="N955" s="114">
        <v>840</v>
      </c>
      <c r="O955" s="114">
        <v>3.5</v>
      </c>
      <c r="P955" s="251">
        <v>24097</v>
      </c>
      <c r="Q955" s="116" t="s">
        <v>548</v>
      </c>
      <c r="R955" s="116"/>
      <c r="S955" s="114">
        <f t="shared" si="377"/>
        <v>12048.5</v>
      </c>
      <c r="T955" s="114">
        <f t="shared" si="378"/>
        <v>12048.5</v>
      </c>
    </row>
    <row r="956" spans="1:20" ht="16.5" x14ac:dyDescent="0.2">
      <c r="A956" s="110" t="str">
        <f t="shared" si="349"/>
        <v>80234</v>
      </c>
      <c r="B956" s="110">
        <v>8</v>
      </c>
      <c r="C956" s="110">
        <v>2</v>
      </c>
      <c r="D956" s="110" t="s">
        <v>64</v>
      </c>
      <c r="E956" s="110">
        <v>4</v>
      </c>
      <c r="F956" s="112">
        <f t="shared" si="379"/>
        <v>453549</v>
      </c>
      <c r="G956" s="112">
        <f t="shared" si="379"/>
        <v>453549</v>
      </c>
      <c r="H956" s="112">
        <f t="shared" si="373"/>
        <v>43031</v>
      </c>
      <c r="I956" s="112">
        <f t="shared" si="374"/>
        <v>43031</v>
      </c>
      <c r="J956" s="112">
        <f t="shared" si="380"/>
        <v>1098072</v>
      </c>
      <c r="K956" s="248">
        <v>1000</v>
      </c>
      <c r="L956" s="112"/>
      <c r="M956" s="113">
        <f t="shared" si="369"/>
        <v>370346.48068542406</v>
      </c>
      <c r="N956" s="114">
        <v>820</v>
      </c>
      <c r="O956" s="114">
        <v>4</v>
      </c>
      <c r="P956" s="251">
        <v>34425</v>
      </c>
      <c r="Q956" s="116" t="s">
        <v>541</v>
      </c>
      <c r="R956" s="116"/>
      <c r="S956" s="114">
        <f t="shared" si="377"/>
        <v>17212.5</v>
      </c>
      <c r="T956" s="114">
        <f t="shared" si="378"/>
        <v>17212.5</v>
      </c>
    </row>
    <row r="957" spans="1:20" ht="16.5" x14ac:dyDescent="0.2">
      <c r="A957" s="110" t="str">
        <f t="shared" si="349"/>
        <v>80330</v>
      </c>
      <c r="B957" s="110">
        <v>8</v>
      </c>
      <c r="C957" s="110">
        <v>3</v>
      </c>
      <c r="D957" s="110" t="s">
        <v>64</v>
      </c>
      <c r="E957" s="110">
        <v>0</v>
      </c>
      <c r="F957" s="112">
        <f>ROUNDDOWN($P957/4*$O957*10*$N957/$N957*$Q957/400,0)</f>
        <v>58608</v>
      </c>
      <c r="G957" s="112">
        <f>ROUNDDOWN($P957/4*$O957*10*$N957/$N957*$Q957/400,0)</f>
        <v>58608</v>
      </c>
      <c r="H957" s="112">
        <f t="shared" si="373"/>
        <v>31341</v>
      </c>
      <c r="I957" s="112">
        <f t="shared" si="374"/>
        <v>31341</v>
      </c>
      <c r="J957" s="112">
        <f>ROUNDDOWN($P957/4*$O957*10*$N957/$Q957*$N957/400,0)</f>
        <v>84847</v>
      </c>
      <c r="K957" s="248">
        <v>1000</v>
      </c>
      <c r="L957" s="112"/>
      <c r="M957" s="113">
        <f t="shared" si="369"/>
        <v>31582.2529791214</v>
      </c>
      <c r="N957" s="114">
        <v>900</v>
      </c>
      <c r="O957" s="114">
        <v>0.5</v>
      </c>
      <c r="P957" s="251">
        <v>25073</v>
      </c>
      <c r="Q957" s="116" t="s">
        <v>546</v>
      </c>
      <c r="R957" s="116"/>
      <c r="S957" s="114">
        <f t="shared" si="377"/>
        <v>12536.5</v>
      </c>
      <c r="T957" s="114">
        <f t="shared" si="378"/>
        <v>12536.5</v>
      </c>
    </row>
    <row r="958" spans="1:20" ht="16.5" x14ac:dyDescent="0.2">
      <c r="A958" s="110" t="str">
        <f t="shared" si="349"/>
        <v>80331</v>
      </c>
      <c r="B958" s="110">
        <v>8</v>
      </c>
      <c r="C958" s="110">
        <v>3</v>
      </c>
      <c r="D958" s="110" t="s">
        <v>64</v>
      </c>
      <c r="E958" s="110">
        <v>1</v>
      </c>
      <c r="F958" s="112">
        <f t="shared" ref="F958:G966" si="381">ROUNDDOWN($P958/4*$O958*10*$N958/$N958*$Q958/400,0)</f>
        <v>167457</v>
      </c>
      <c r="G958" s="112">
        <f t="shared" si="381"/>
        <v>167457</v>
      </c>
      <c r="H958" s="112">
        <f t="shared" si="373"/>
        <v>44774</v>
      </c>
      <c r="I958" s="112">
        <f t="shared" si="374"/>
        <v>44774</v>
      </c>
      <c r="J958" s="112">
        <f t="shared" ref="J958:J966" si="382">ROUNDDOWN($P958/4*$O958*10*$N958/$Q958*$N958/400,0)</f>
        <v>231775</v>
      </c>
      <c r="K958" s="248">
        <v>1000</v>
      </c>
      <c r="L958" s="112"/>
      <c r="M958" s="113">
        <f t="shared" si="369"/>
        <v>105460.0280717414</v>
      </c>
      <c r="N958" s="114">
        <v>880</v>
      </c>
      <c r="O958" s="114">
        <v>1</v>
      </c>
      <c r="P958" s="251">
        <v>35819.85</v>
      </c>
      <c r="Q958" s="116" t="s">
        <v>537</v>
      </c>
      <c r="R958" s="116"/>
      <c r="S958" s="114">
        <f t="shared" si="377"/>
        <v>17909.924999999999</v>
      </c>
      <c r="T958" s="114">
        <f t="shared" si="378"/>
        <v>17909.924999999999</v>
      </c>
    </row>
    <row r="959" spans="1:20" ht="16.5" x14ac:dyDescent="0.2">
      <c r="A959" s="250" t="str">
        <f t="shared" si="349"/>
        <v>80332</v>
      </c>
      <c r="B959" s="110">
        <v>8</v>
      </c>
      <c r="C959" s="110">
        <v>3</v>
      </c>
      <c r="D959" s="110" t="s">
        <v>64</v>
      </c>
      <c r="E959" s="110">
        <v>2</v>
      </c>
      <c r="F959" s="112">
        <f t="shared" si="381"/>
        <v>335664</v>
      </c>
      <c r="G959" s="112">
        <f t="shared" si="381"/>
        <v>335664</v>
      </c>
      <c r="H959" s="112">
        <f t="shared" si="373"/>
        <v>31341</v>
      </c>
      <c r="I959" s="112">
        <f t="shared" si="374"/>
        <v>31341</v>
      </c>
      <c r="J959" s="112">
        <f t="shared" si="382"/>
        <v>486974</v>
      </c>
      <c r="K959" s="248">
        <v>1000</v>
      </c>
      <c r="L959" s="112"/>
      <c r="M959" s="113">
        <f t="shared" si="369"/>
        <v>181072.15976500817</v>
      </c>
      <c r="N959" s="114">
        <v>860</v>
      </c>
      <c r="O959" s="114">
        <v>3</v>
      </c>
      <c r="P959" s="251">
        <v>25073</v>
      </c>
      <c r="Q959" s="116" t="s">
        <v>544</v>
      </c>
      <c r="R959" s="116"/>
      <c r="S959" s="114">
        <f t="shared" si="377"/>
        <v>12536.5</v>
      </c>
      <c r="T959" s="114">
        <f t="shared" si="378"/>
        <v>12536.5</v>
      </c>
    </row>
    <row r="960" spans="1:20" ht="16.5" x14ac:dyDescent="0.2">
      <c r="A960" s="110" t="str">
        <f t="shared" si="349"/>
        <v>80333</v>
      </c>
      <c r="B960" s="110">
        <v>8</v>
      </c>
      <c r="C960" s="110">
        <v>3</v>
      </c>
      <c r="D960" s="110" t="s">
        <v>64</v>
      </c>
      <c r="E960" s="110">
        <v>3</v>
      </c>
      <c r="F960" s="112">
        <f t="shared" si="381"/>
        <v>466217</v>
      </c>
      <c r="G960" s="112">
        <f t="shared" si="381"/>
        <v>466217</v>
      </c>
      <c r="H960" s="112">
        <f t="shared" si="373"/>
        <v>44774</v>
      </c>
      <c r="I960" s="112">
        <f t="shared" si="374"/>
        <v>44774</v>
      </c>
      <c r="J960" s="112">
        <f t="shared" si="382"/>
        <v>929209</v>
      </c>
      <c r="K960" s="248">
        <v>1000</v>
      </c>
      <c r="L960" s="112"/>
      <c r="M960" s="113">
        <f t="shared" si="369"/>
        <v>352333.29957253352</v>
      </c>
      <c r="N960" s="114">
        <v>840</v>
      </c>
      <c r="O960" s="114">
        <v>3.5</v>
      </c>
      <c r="P960" s="251">
        <v>35819.85</v>
      </c>
      <c r="Q960" s="116" t="s">
        <v>548</v>
      </c>
      <c r="R960" s="116"/>
      <c r="S960" s="114">
        <f t="shared" si="377"/>
        <v>17909.924999999999</v>
      </c>
      <c r="T960" s="114">
        <f t="shared" si="378"/>
        <v>17909.924999999999</v>
      </c>
    </row>
    <row r="961" spans="1:20" ht="16.5" x14ac:dyDescent="0.2">
      <c r="A961" s="110" t="str">
        <f t="shared" si="349"/>
        <v>80334</v>
      </c>
      <c r="B961" s="110">
        <v>8</v>
      </c>
      <c r="C961" s="110">
        <v>3</v>
      </c>
      <c r="D961" s="110" t="s">
        <v>64</v>
      </c>
      <c r="E961" s="110">
        <v>4</v>
      </c>
      <c r="F961" s="112">
        <f t="shared" si="381"/>
        <v>471926</v>
      </c>
      <c r="G961" s="112">
        <f t="shared" si="381"/>
        <v>471926</v>
      </c>
      <c r="H961" s="112">
        <f t="shared" si="373"/>
        <v>44774</v>
      </c>
      <c r="I961" s="112">
        <f t="shared" si="374"/>
        <v>44774</v>
      </c>
      <c r="J961" s="112">
        <f t="shared" si="382"/>
        <v>1142564</v>
      </c>
      <c r="K961" s="248">
        <v>1000</v>
      </c>
      <c r="L961" s="112"/>
      <c r="M961" s="113">
        <f t="shared" si="369"/>
        <v>393079.28273558122</v>
      </c>
      <c r="N961" s="114">
        <v>820</v>
      </c>
      <c r="O961" s="114">
        <v>4</v>
      </c>
      <c r="P961" s="251">
        <v>35819.85</v>
      </c>
      <c r="Q961" s="116" t="s">
        <v>550</v>
      </c>
      <c r="R961" s="116"/>
      <c r="S961" s="114">
        <f t="shared" si="377"/>
        <v>17909.924999999999</v>
      </c>
      <c r="T961" s="114">
        <f t="shared" si="378"/>
        <v>17909.924999999999</v>
      </c>
    </row>
    <row r="962" spans="1:20" ht="16.5" x14ac:dyDescent="0.2">
      <c r="A962" s="110" t="str">
        <f t="shared" ref="A962:A966" si="383">IF(B962="","",CONCATENATE(B962,CONCATENATE(REPT(0,2-LEN(C962)),C962),IF(OR(D962="Easy",D962=""),1,IF(D962="Normal",2,IF(D962="Hard",3,IF(D962="Hell",4,"error")))),E962))</f>
        <v>80430</v>
      </c>
      <c r="B962" s="110">
        <v>8</v>
      </c>
      <c r="C962" s="110">
        <v>4</v>
      </c>
      <c r="D962" s="110" t="s">
        <v>64</v>
      </c>
      <c r="E962" s="110">
        <v>0</v>
      </c>
      <c r="F962" s="112">
        <f>ROUNDDOWN($P962/4*$O962*10*$N962/$N962*$Q962/400,0)</f>
        <v>48732</v>
      </c>
      <c r="G962" s="112">
        <f>ROUNDDOWN($P962/4*$O962*10*$N962/$N962*$Q962/400,0)</f>
        <v>48732</v>
      </c>
      <c r="H962" s="112">
        <f t="shared" si="373"/>
        <v>32575</v>
      </c>
      <c r="I962" s="112">
        <f t="shared" si="374"/>
        <v>32575</v>
      </c>
      <c r="J962" s="112">
        <f>ROUNDDOWN($P962/4*$O962*10*$N962/$Q962*$N962/400,0)</f>
        <v>70550</v>
      </c>
      <c r="K962" s="248">
        <v>1000</v>
      </c>
      <c r="L962" s="112"/>
      <c r="M962" s="113">
        <f t="shared" si="369"/>
        <v>26772.432113052411</v>
      </c>
      <c r="N962" s="114">
        <v>900</v>
      </c>
      <c r="O962" s="114">
        <v>0.5</v>
      </c>
      <c r="P962" s="251">
        <v>20848</v>
      </c>
      <c r="Q962" s="116" t="s">
        <v>542</v>
      </c>
      <c r="R962" s="116"/>
      <c r="S962" s="114">
        <v>13030</v>
      </c>
      <c r="T962" s="114">
        <v>13030</v>
      </c>
    </row>
    <row r="963" spans="1:20" ht="16.5" x14ac:dyDescent="0.2">
      <c r="A963" s="110" t="str">
        <f t="shared" si="383"/>
        <v>80431</v>
      </c>
      <c r="B963" s="110">
        <v>8</v>
      </c>
      <c r="C963" s="110">
        <v>4</v>
      </c>
      <c r="D963" s="110" t="s">
        <v>64</v>
      </c>
      <c r="E963" s="110">
        <v>1</v>
      </c>
      <c r="F963" s="112">
        <f t="shared" si="381"/>
        <v>174050</v>
      </c>
      <c r="G963" s="112">
        <f t="shared" si="381"/>
        <v>174050</v>
      </c>
      <c r="H963" s="112">
        <f t="shared" si="373"/>
        <v>46537</v>
      </c>
      <c r="I963" s="112">
        <f t="shared" si="374"/>
        <v>46537</v>
      </c>
      <c r="J963" s="112">
        <f t="shared" si="382"/>
        <v>240900</v>
      </c>
      <c r="K963" s="248">
        <v>1000</v>
      </c>
      <c r="L963" s="112"/>
      <c r="M963" s="113">
        <f t="shared" si="369"/>
        <v>111749.24364458132</v>
      </c>
      <c r="N963" s="114">
        <v>880</v>
      </c>
      <c r="O963" s="114">
        <v>1</v>
      </c>
      <c r="P963" s="251">
        <v>37230</v>
      </c>
      <c r="Q963" s="116" t="s">
        <v>538</v>
      </c>
      <c r="R963" s="116"/>
      <c r="S963" s="114">
        <f t="shared" si="377"/>
        <v>18615</v>
      </c>
      <c r="T963" s="114">
        <f t="shared" si="378"/>
        <v>18615</v>
      </c>
    </row>
    <row r="964" spans="1:20" ht="16.5" x14ac:dyDescent="0.2">
      <c r="A964" s="250" t="str">
        <f t="shared" si="383"/>
        <v>80432</v>
      </c>
      <c r="B964" s="110">
        <v>8</v>
      </c>
      <c r="C964" s="110">
        <v>4</v>
      </c>
      <c r="D964" s="110" t="s">
        <v>64</v>
      </c>
      <c r="E964" s="110">
        <v>2</v>
      </c>
      <c r="F964" s="112">
        <f t="shared" si="381"/>
        <v>348891</v>
      </c>
      <c r="G964" s="112">
        <f t="shared" si="381"/>
        <v>348891</v>
      </c>
      <c r="H964" s="112">
        <f t="shared" si="373"/>
        <v>32576</v>
      </c>
      <c r="I964" s="112">
        <f t="shared" si="374"/>
        <v>32576</v>
      </c>
      <c r="J964" s="112">
        <f t="shared" si="382"/>
        <v>506163</v>
      </c>
      <c r="K964" s="248">
        <v>1000</v>
      </c>
      <c r="L964" s="112"/>
      <c r="M964" s="113">
        <f t="shared" si="369"/>
        <v>191879.66261267333</v>
      </c>
      <c r="N964" s="114">
        <v>860</v>
      </c>
      <c r="O964" s="114">
        <v>3</v>
      </c>
      <c r="P964" s="251">
        <v>26061</v>
      </c>
      <c r="Q964" s="116" t="s">
        <v>544</v>
      </c>
      <c r="R964" s="116"/>
      <c r="S964" s="114">
        <f t="shared" si="377"/>
        <v>13030.5</v>
      </c>
      <c r="T964" s="114">
        <f t="shared" si="378"/>
        <v>13030.5</v>
      </c>
    </row>
    <row r="965" spans="1:20" ht="16.5" x14ac:dyDescent="0.2">
      <c r="A965" s="110" t="str">
        <f t="shared" si="383"/>
        <v>80433</v>
      </c>
      <c r="B965" s="110">
        <v>8</v>
      </c>
      <c r="C965" s="110">
        <v>4</v>
      </c>
      <c r="D965" s="110" t="s">
        <v>64</v>
      </c>
      <c r="E965" s="110">
        <v>3</v>
      </c>
      <c r="F965" s="112">
        <f t="shared" si="381"/>
        <v>484571</v>
      </c>
      <c r="G965" s="112">
        <f t="shared" si="381"/>
        <v>484571</v>
      </c>
      <c r="H965" s="112">
        <f t="shared" si="373"/>
        <v>46537</v>
      </c>
      <c r="I965" s="112">
        <f t="shared" si="374"/>
        <v>46537</v>
      </c>
      <c r="J965" s="112">
        <f t="shared" si="382"/>
        <v>965790</v>
      </c>
      <c r="K965" s="248">
        <v>1000</v>
      </c>
      <c r="L965" s="112"/>
      <c r="M965" s="113">
        <f t="shared" si="369"/>
        <v>373344.05523913476</v>
      </c>
      <c r="N965" s="114">
        <v>840</v>
      </c>
      <c r="O965" s="114">
        <v>3.5</v>
      </c>
      <c r="P965" s="251">
        <v>37230</v>
      </c>
      <c r="Q965" s="116" t="s">
        <v>543</v>
      </c>
      <c r="R965" s="116"/>
      <c r="S965" s="114">
        <f t="shared" si="377"/>
        <v>18615</v>
      </c>
      <c r="T965" s="114">
        <f t="shared" si="378"/>
        <v>18615</v>
      </c>
    </row>
    <row r="966" spans="1:20" ht="16.5" x14ac:dyDescent="0.2">
      <c r="A966" s="250" t="str">
        <f t="shared" si="383"/>
        <v>80434</v>
      </c>
      <c r="B966" s="110">
        <v>8</v>
      </c>
      <c r="C966" s="110">
        <v>4</v>
      </c>
      <c r="D966" s="110" t="s">
        <v>64</v>
      </c>
      <c r="E966" s="110">
        <v>4</v>
      </c>
      <c r="F966" s="112">
        <f t="shared" si="381"/>
        <v>247202</v>
      </c>
      <c r="G966" s="112">
        <f t="shared" si="381"/>
        <v>247202</v>
      </c>
      <c r="H966" s="112">
        <f t="shared" si="373"/>
        <v>29317</v>
      </c>
      <c r="I966" s="112">
        <f t="shared" si="374"/>
        <v>29317</v>
      </c>
      <c r="J966" s="112">
        <f t="shared" si="382"/>
        <v>598493</v>
      </c>
      <c r="K966" s="248">
        <v>1000</v>
      </c>
      <c r="L966" s="112"/>
      <c r="M966" s="113">
        <f t="shared" si="369"/>
        <v>166611.61656118484</v>
      </c>
      <c r="N966" s="114">
        <v>820</v>
      </c>
      <c r="O966" s="114">
        <v>4</v>
      </c>
      <c r="P966" s="251">
        <v>18763</v>
      </c>
      <c r="Q966" s="116" t="s">
        <v>547</v>
      </c>
      <c r="R966" s="116"/>
      <c r="S966" s="114">
        <v>11727</v>
      </c>
      <c r="T966" s="114">
        <v>11727</v>
      </c>
    </row>
    <row r="967" spans="1:20" ht="38.25" x14ac:dyDescent="0.2">
      <c r="A967" s="8" t="str">
        <f t="shared" si="349"/>
        <v/>
      </c>
      <c r="B967" s="5"/>
      <c r="C967" s="6" t="s">
        <v>432</v>
      </c>
      <c r="D967" s="5"/>
      <c r="E967" s="5"/>
      <c r="F967" s="5"/>
      <c r="G967" s="5"/>
      <c r="H967" s="5"/>
      <c r="I967" s="5"/>
      <c r="J967" s="5"/>
      <c r="K967" s="133">
        <v>1000</v>
      </c>
      <c r="L967" s="5"/>
      <c r="M967" s="16">
        <f t="shared" si="369"/>
        <v>0</v>
      </c>
      <c r="N967" s="5"/>
      <c r="O967" s="5"/>
      <c r="P967" s="5"/>
      <c r="Q967" s="5"/>
      <c r="R967" s="5"/>
      <c r="S967" s="30"/>
      <c r="T967" s="266"/>
    </row>
    <row r="968" spans="1:20" ht="16.5" x14ac:dyDescent="0.2">
      <c r="A968" s="18" t="str">
        <f t="shared" si="349"/>
        <v>80140</v>
      </c>
      <c r="B968" s="18">
        <v>8</v>
      </c>
      <c r="C968" s="18">
        <v>1</v>
      </c>
      <c r="D968" s="18" t="s">
        <v>237</v>
      </c>
      <c r="E968" s="18">
        <v>0</v>
      </c>
      <c r="F968" s="34">
        <f t="shared" ref="F968:G972" si="384">ROUNDDOWN($P968/4*$O968*10*$N968/$N968*$Q968/400,0)</f>
        <v>113602</v>
      </c>
      <c r="G968" s="34">
        <f t="shared" si="384"/>
        <v>113602</v>
      </c>
      <c r="H968" s="34">
        <f t="shared" si="373"/>
        <v>60750</v>
      </c>
      <c r="I968" s="34">
        <f t="shared" si="374"/>
        <v>60750</v>
      </c>
      <c r="J968" s="34">
        <f t="shared" ref="J968:J972" si="385">ROUNDDOWN($P968/4*$O968*10*$N968/$Q968*$N968/400,0)</f>
        <v>164463</v>
      </c>
      <c r="K968" s="133">
        <v>1000</v>
      </c>
      <c r="L968" s="19">
        <v>1500</v>
      </c>
      <c r="M968" s="16">
        <f t="shared" si="369"/>
        <v>85229.554981055728</v>
      </c>
      <c r="N968" s="58">
        <v>900</v>
      </c>
      <c r="O968" s="58">
        <v>0.5</v>
      </c>
      <c r="P968" s="68">
        <v>48600</v>
      </c>
      <c r="Q968" s="41" t="s">
        <v>538</v>
      </c>
      <c r="R968" s="41"/>
      <c r="S968" s="36">
        <f>P968*0.5</f>
        <v>24300</v>
      </c>
      <c r="T968" s="114">
        <f>S968</f>
        <v>24300</v>
      </c>
    </row>
    <row r="969" spans="1:20" ht="16.5" x14ac:dyDescent="0.2">
      <c r="A969" s="18" t="str">
        <f t="shared" si="349"/>
        <v>80141</v>
      </c>
      <c r="B969" s="18">
        <v>8</v>
      </c>
      <c r="C969" s="18">
        <v>1</v>
      </c>
      <c r="D969" s="18" t="s">
        <v>237</v>
      </c>
      <c r="E969" s="18">
        <v>1</v>
      </c>
      <c r="F969" s="34">
        <f t="shared" si="384"/>
        <v>227205</v>
      </c>
      <c r="G969" s="34">
        <f t="shared" si="384"/>
        <v>227205</v>
      </c>
      <c r="H969" s="34">
        <f t="shared" si="373"/>
        <v>60750</v>
      </c>
      <c r="I969" s="34">
        <f t="shared" si="374"/>
        <v>60750</v>
      </c>
      <c r="J969" s="34">
        <f t="shared" si="385"/>
        <v>314470</v>
      </c>
      <c r="K969" s="133">
        <v>1000</v>
      </c>
      <c r="L969" s="19">
        <v>1500</v>
      </c>
      <c r="M969" s="16">
        <f t="shared" si="369"/>
        <v>166671.62922609237</v>
      </c>
      <c r="N969" s="58">
        <v>880</v>
      </c>
      <c r="O969" s="58">
        <v>1</v>
      </c>
      <c r="P969" s="68">
        <v>48600</v>
      </c>
      <c r="Q969" s="41" t="s">
        <v>546</v>
      </c>
      <c r="R969" s="41"/>
      <c r="S969" s="36">
        <f t="shared" ref="S969:S987" si="386">P969*0.5</f>
        <v>24300</v>
      </c>
      <c r="T969" s="114">
        <f t="shared" ref="T969:T987" si="387">S969</f>
        <v>24300</v>
      </c>
    </row>
    <row r="970" spans="1:20" ht="16.5" x14ac:dyDescent="0.2">
      <c r="A970" s="18" t="str">
        <f t="shared" si="349"/>
        <v>80142</v>
      </c>
      <c r="B970" s="18">
        <v>8</v>
      </c>
      <c r="C970" s="18">
        <v>1</v>
      </c>
      <c r="D970" s="18" t="s">
        <v>237</v>
      </c>
      <c r="E970" s="18">
        <v>2</v>
      </c>
      <c r="F970" s="34">
        <f t="shared" si="384"/>
        <v>433755</v>
      </c>
      <c r="G970" s="34">
        <f t="shared" si="384"/>
        <v>433755</v>
      </c>
      <c r="H970" s="34">
        <f t="shared" si="373"/>
        <v>60750</v>
      </c>
      <c r="I970" s="34">
        <f t="shared" si="374"/>
        <v>60750</v>
      </c>
      <c r="J970" s="34">
        <f t="shared" si="385"/>
        <v>629281</v>
      </c>
      <c r="K970" s="133">
        <v>1000</v>
      </c>
      <c r="L970" s="19">
        <v>2000</v>
      </c>
      <c r="M970" s="16">
        <f t="shared" si="369"/>
        <v>325767.44730599469</v>
      </c>
      <c r="N970" s="58">
        <v>860</v>
      </c>
      <c r="O970" s="58">
        <v>2</v>
      </c>
      <c r="P970" s="68">
        <v>48600</v>
      </c>
      <c r="Q970" s="41" t="s">
        <v>553</v>
      </c>
      <c r="R970" s="41"/>
      <c r="S970" s="36">
        <f t="shared" si="386"/>
        <v>24300</v>
      </c>
      <c r="T970" s="114">
        <f t="shared" si="387"/>
        <v>24300</v>
      </c>
    </row>
    <row r="971" spans="1:20" ht="16.5" x14ac:dyDescent="0.2">
      <c r="A971" s="18" t="str">
        <f t="shared" si="349"/>
        <v>80143</v>
      </c>
      <c r="B971" s="18">
        <v>8</v>
      </c>
      <c r="C971" s="18">
        <v>1</v>
      </c>
      <c r="D971" s="18" t="s">
        <v>237</v>
      </c>
      <c r="E971" s="18">
        <v>3</v>
      </c>
      <c r="F971" s="34">
        <f t="shared" si="384"/>
        <v>542193</v>
      </c>
      <c r="G971" s="34">
        <f t="shared" si="384"/>
        <v>542193</v>
      </c>
      <c r="H971" s="34">
        <f t="shared" si="373"/>
        <v>60750</v>
      </c>
      <c r="I971" s="34">
        <f t="shared" si="374"/>
        <v>60750</v>
      </c>
      <c r="J971" s="34">
        <f t="shared" si="385"/>
        <v>1080635</v>
      </c>
      <c r="K971" s="133">
        <v>1000</v>
      </c>
      <c r="L971" s="19">
        <v>2000</v>
      </c>
      <c r="M971" s="16">
        <f t="shared" si="369"/>
        <v>477286.98957480921</v>
      </c>
      <c r="N971" s="58">
        <v>840</v>
      </c>
      <c r="O971" s="58">
        <v>3</v>
      </c>
      <c r="P971" s="68">
        <v>48600</v>
      </c>
      <c r="Q971" s="41" t="s">
        <v>548</v>
      </c>
      <c r="R971" s="41"/>
      <c r="S971" s="36">
        <f t="shared" si="386"/>
        <v>24300</v>
      </c>
      <c r="T971" s="114">
        <f t="shared" si="387"/>
        <v>24300</v>
      </c>
    </row>
    <row r="972" spans="1:20" ht="16.5" x14ac:dyDescent="0.2">
      <c r="A972" s="18" t="str">
        <f t="shared" si="349"/>
        <v>80144</v>
      </c>
      <c r="B972" s="18">
        <v>8</v>
      </c>
      <c r="C972" s="18">
        <v>1</v>
      </c>
      <c r="D972" s="18" t="s">
        <v>237</v>
      </c>
      <c r="E972" s="18">
        <v>4</v>
      </c>
      <c r="F972" s="34">
        <f t="shared" si="384"/>
        <v>640305</v>
      </c>
      <c r="G972" s="34">
        <f t="shared" si="384"/>
        <v>640305</v>
      </c>
      <c r="H972" s="34">
        <f t="shared" si="373"/>
        <v>60750</v>
      </c>
      <c r="I972" s="34">
        <f t="shared" si="374"/>
        <v>60750</v>
      </c>
      <c r="J972" s="34">
        <f t="shared" si="385"/>
        <v>1550220</v>
      </c>
      <c r="K972" s="133">
        <v>1000</v>
      </c>
      <c r="L972" s="19">
        <v>2000</v>
      </c>
      <c r="M972" s="16">
        <f t="shared" si="369"/>
        <v>621231.17623673717</v>
      </c>
      <c r="N972" s="58">
        <v>820</v>
      </c>
      <c r="O972" s="58">
        <v>4</v>
      </c>
      <c r="P972" s="68">
        <v>48600</v>
      </c>
      <c r="Q972" s="41" t="s">
        <v>541</v>
      </c>
      <c r="R972" s="41"/>
      <c r="S972" s="36">
        <f t="shared" si="386"/>
        <v>24300</v>
      </c>
      <c r="T972" s="114">
        <f t="shared" si="387"/>
        <v>24300</v>
      </c>
    </row>
    <row r="973" spans="1:20" ht="16.5" x14ac:dyDescent="0.2">
      <c r="A973" s="18" t="str">
        <f t="shared" si="349"/>
        <v>80240</v>
      </c>
      <c r="B973" s="18">
        <v>8</v>
      </c>
      <c r="C973" s="18">
        <v>2</v>
      </c>
      <c r="D973" s="18" t="s">
        <v>237</v>
      </c>
      <c r="E973" s="18">
        <v>0</v>
      </c>
      <c r="F973" s="19">
        <f t="shared" ref="F973:G983" si="388">ROUNDDOWN($P973/4*$O973*10*$N973/$N973*$Q973/400,0)</f>
        <v>177650</v>
      </c>
      <c r="G973" s="19">
        <f t="shared" si="388"/>
        <v>177650</v>
      </c>
      <c r="H973" s="19">
        <f t="shared" ref="H973:I983" si="389">ROUNDDOWN($S973/4*10,0)</f>
        <v>95000</v>
      </c>
      <c r="I973" s="19">
        <f t="shared" si="389"/>
        <v>95000</v>
      </c>
      <c r="J973" s="19">
        <f t="shared" ref="J973:J987" si="390">ROUNDDOWN($P973/4*$O973*10*$N973/$Q973*$N973/400,0)</f>
        <v>257185</v>
      </c>
      <c r="K973" s="133">
        <v>1000</v>
      </c>
      <c r="L973" s="19">
        <v>1500</v>
      </c>
      <c r="M973" s="16">
        <f t="shared" si="369"/>
        <v>166669.91471768383</v>
      </c>
      <c r="N973" s="58">
        <v>900</v>
      </c>
      <c r="O973" s="58">
        <v>0.5</v>
      </c>
      <c r="P973" s="68">
        <v>76000</v>
      </c>
      <c r="Q973" s="41" t="s">
        <v>542</v>
      </c>
      <c r="R973" s="41"/>
      <c r="S973" s="36">
        <f t="shared" si="386"/>
        <v>38000</v>
      </c>
      <c r="T973" s="114">
        <f t="shared" si="387"/>
        <v>38000</v>
      </c>
    </row>
    <row r="974" spans="1:20" ht="16.5" x14ac:dyDescent="0.2">
      <c r="A974" s="18" t="str">
        <f t="shared" si="349"/>
        <v>80241</v>
      </c>
      <c r="B974" s="18">
        <v>8</v>
      </c>
      <c r="C974" s="18">
        <v>2</v>
      </c>
      <c r="D974" s="18" t="s">
        <v>237</v>
      </c>
      <c r="E974" s="18">
        <v>1</v>
      </c>
      <c r="F974" s="19">
        <f t="shared" si="388"/>
        <v>355300</v>
      </c>
      <c r="G974" s="19">
        <f t="shared" si="388"/>
        <v>355300</v>
      </c>
      <c r="H974" s="19">
        <f t="shared" si="389"/>
        <v>95000</v>
      </c>
      <c r="I974" s="19">
        <f t="shared" si="389"/>
        <v>95000</v>
      </c>
      <c r="J974" s="19">
        <f t="shared" si="390"/>
        <v>491764</v>
      </c>
      <c r="K974" s="133">
        <v>1000</v>
      </c>
      <c r="L974" s="19">
        <v>1500</v>
      </c>
      <c r="M974" s="16">
        <f t="shared" si="369"/>
        <v>325932.56896726356</v>
      </c>
      <c r="N974" s="58">
        <v>880</v>
      </c>
      <c r="O974" s="58">
        <v>1</v>
      </c>
      <c r="P974" s="68">
        <v>76000</v>
      </c>
      <c r="Q974" s="41" t="s">
        <v>546</v>
      </c>
      <c r="R974" s="41"/>
      <c r="S974" s="36">
        <f t="shared" si="386"/>
        <v>38000</v>
      </c>
      <c r="T974" s="114">
        <f t="shared" si="387"/>
        <v>38000</v>
      </c>
    </row>
    <row r="975" spans="1:20" ht="16.5" x14ac:dyDescent="0.2">
      <c r="A975" s="18" t="str">
        <f t="shared" si="349"/>
        <v>80242</v>
      </c>
      <c r="B975" s="18">
        <v>8</v>
      </c>
      <c r="C975" s="18">
        <v>2</v>
      </c>
      <c r="D975" s="18" t="s">
        <v>237</v>
      </c>
      <c r="E975" s="18">
        <v>2</v>
      </c>
      <c r="F975" s="19">
        <f t="shared" si="388"/>
        <v>678300</v>
      </c>
      <c r="G975" s="19">
        <f t="shared" si="388"/>
        <v>678300</v>
      </c>
      <c r="H975" s="19">
        <f t="shared" si="389"/>
        <v>95000</v>
      </c>
      <c r="I975" s="19">
        <f t="shared" si="389"/>
        <v>95000</v>
      </c>
      <c r="J975" s="19">
        <f t="shared" si="390"/>
        <v>984061</v>
      </c>
      <c r="K975" s="133">
        <v>1000</v>
      </c>
      <c r="L975" s="19">
        <v>2000</v>
      </c>
      <c r="M975" s="16">
        <f t="shared" si="369"/>
        <v>637050.27618736657</v>
      </c>
      <c r="N975" s="58">
        <v>860</v>
      </c>
      <c r="O975" s="58">
        <v>2</v>
      </c>
      <c r="P975" s="68">
        <v>76000</v>
      </c>
      <c r="Q975" s="41" t="s">
        <v>539</v>
      </c>
      <c r="R975" s="41"/>
      <c r="S975" s="36">
        <f t="shared" si="386"/>
        <v>38000</v>
      </c>
      <c r="T975" s="114">
        <f t="shared" si="387"/>
        <v>38000</v>
      </c>
    </row>
    <row r="976" spans="1:20" ht="16.5" x14ac:dyDescent="0.2">
      <c r="A976" s="18" t="str">
        <f t="shared" si="349"/>
        <v>80243</v>
      </c>
      <c r="B976" s="18">
        <v>8</v>
      </c>
      <c r="C976" s="18">
        <v>2</v>
      </c>
      <c r="D976" s="18" t="s">
        <v>237</v>
      </c>
      <c r="E976" s="18">
        <v>3</v>
      </c>
      <c r="F976" s="19">
        <f t="shared" si="388"/>
        <v>847875</v>
      </c>
      <c r="G976" s="19">
        <f t="shared" si="388"/>
        <v>847875</v>
      </c>
      <c r="H976" s="19">
        <f t="shared" si="389"/>
        <v>95000</v>
      </c>
      <c r="I976" s="19">
        <f t="shared" si="389"/>
        <v>95000</v>
      </c>
      <c r="J976" s="19">
        <f t="shared" si="390"/>
        <v>1689882</v>
      </c>
      <c r="K976" s="133">
        <v>1000</v>
      </c>
      <c r="L976" s="19">
        <v>2000</v>
      </c>
      <c r="M976" s="16">
        <f t="shared" si="369"/>
        <v>933352.92899095791</v>
      </c>
      <c r="N976" s="58">
        <v>840</v>
      </c>
      <c r="O976" s="58">
        <v>3</v>
      </c>
      <c r="P976" s="68">
        <v>76000</v>
      </c>
      <c r="Q976" s="41" t="s">
        <v>554</v>
      </c>
      <c r="R976" s="41"/>
      <c r="S976" s="36">
        <f t="shared" si="386"/>
        <v>38000</v>
      </c>
      <c r="T976" s="114">
        <f t="shared" si="387"/>
        <v>38000</v>
      </c>
    </row>
    <row r="977" spans="1:20" ht="16.5" x14ac:dyDescent="0.2">
      <c r="A977" s="18" t="str">
        <f t="shared" si="349"/>
        <v>80244</v>
      </c>
      <c r="B977" s="18">
        <v>8</v>
      </c>
      <c r="C977" s="18">
        <v>2</v>
      </c>
      <c r="D977" s="18" t="s">
        <v>237</v>
      </c>
      <c r="E977" s="18">
        <v>4</v>
      </c>
      <c r="F977" s="19">
        <f t="shared" si="388"/>
        <v>1001300</v>
      </c>
      <c r="G977" s="19">
        <f t="shared" si="388"/>
        <v>1001300</v>
      </c>
      <c r="H977" s="19">
        <f t="shared" si="389"/>
        <v>95000</v>
      </c>
      <c r="I977" s="19">
        <f t="shared" si="389"/>
        <v>95000</v>
      </c>
      <c r="J977" s="19">
        <f t="shared" si="390"/>
        <v>2424212</v>
      </c>
      <c r="K977" s="133">
        <v>1000</v>
      </c>
      <c r="L977" s="19">
        <v>2000</v>
      </c>
      <c r="M977" s="16">
        <f t="shared" si="369"/>
        <v>1214840.3159118486</v>
      </c>
      <c r="N977" s="58">
        <v>820</v>
      </c>
      <c r="O977" s="58">
        <v>4</v>
      </c>
      <c r="P977" s="68">
        <v>76000</v>
      </c>
      <c r="Q977" s="41" t="s">
        <v>541</v>
      </c>
      <c r="R977" s="41"/>
      <c r="S977" s="36">
        <f t="shared" si="386"/>
        <v>38000</v>
      </c>
      <c r="T977" s="114">
        <f t="shared" si="387"/>
        <v>38000</v>
      </c>
    </row>
    <row r="978" spans="1:20" ht="16.5" x14ac:dyDescent="0.2">
      <c r="A978" s="18" t="str">
        <f t="shared" si="349"/>
        <v>80340</v>
      </c>
      <c r="B978" s="18">
        <v>8</v>
      </c>
      <c r="C978" s="18">
        <v>3</v>
      </c>
      <c r="D978" s="18" t="s">
        <v>237</v>
      </c>
      <c r="E978" s="18">
        <v>0</v>
      </c>
      <c r="F978" s="19">
        <f t="shared" si="388"/>
        <v>187000</v>
      </c>
      <c r="G978" s="19">
        <f t="shared" si="388"/>
        <v>187000</v>
      </c>
      <c r="H978" s="19">
        <f t="shared" si="389"/>
        <v>100000</v>
      </c>
      <c r="I978" s="19">
        <f t="shared" si="389"/>
        <v>100000</v>
      </c>
      <c r="J978" s="19">
        <f t="shared" si="390"/>
        <v>270721</v>
      </c>
      <c r="K978" s="133">
        <v>1000</v>
      </c>
      <c r="L978" s="19">
        <v>1500</v>
      </c>
      <c r="M978" s="16">
        <f t="shared" si="369"/>
        <v>179999.69244418171</v>
      </c>
      <c r="N978" s="58">
        <v>900</v>
      </c>
      <c r="O978" s="58">
        <v>0.5</v>
      </c>
      <c r="P978" s="68">
        <v>80000</v>
      </c>
      <c r="Q978" s="41" t="s">
        <v>542</v>
      </c>
      <c r="R978" s="41"/>
      <c r="S978" s="36">
        <f t="shared" si="386"/>
        <v>40000</v>
      </c>
      <c r="T978" s="114">
        <f t="shared" si="387"/>
        <v>40000</v>
      </c>
    </row>
    <row r="979" spans="1:20" ht="16.5" x14ac:dyDescent="0.2">
      <c r="A979" s="18" t="str">
        <f t="shared" si="349"/>
        <v>80341</v>
      </c>
      <c r="B979" s="18">
        <v>8</v>
      </c>
      <c r="C979" s="18">
        <v>3</v>
      </c>
      <c r="D979" s="18" t="s">
        <v>237</v>
      </c>
      <c r="E979" s="18">
        <v>1</v>
      </c>
      <c r="F979" s="19">
        <f t="shared" si="388"/>
        <v>374000</v>
      </c>
      <c r="G979" s="19">
        <f t="shared" si="388"/>
        <v>374000</v>
      </c>
      <c r="H979" s="19">
        <f t="shared" si="389"/>
        <v>100000</v>
      </c>
      <c r="I979" s="19">
        <f t="shared" si="389"/>
        <v>100000</v>
      </c>
      <c r="J979" s="19">
        <f t="shared" si="390"/>
        <v>517647</v>
      </c>
      <c r="K979" s="133">
        <v>1000</v>
      </c>
      <c r="L979" s="19">
        <v>1500</v>
      </c>
      <c r="M979" s="16">
        <f t="shared" si="369"/>
        <v>351999.97999999946</v>
      </c>
      <c r="N979" s="58">
        <v>880</v>
      </c>
      <c r="O979" s="58">
        <v>1</v>
      </c>
      <c r="P979" s="68">
        <v>80000</v>
      </c>
      <c r="Q979" s="41" t="s">
        <v>537</v>
      </c>
      <c r="R979" s="41"/>
      <c r="S979" s="36">
        <f t="shared" si="386"/>
        <v>40000</v>
      </c>
      <c r="T979" s="114">
        <f t="shared" si="387"/>
        <v>40000</v>
      </c>
    </row>
    <row r="980" spans="1:20" ht="16.5" x14ac:dyDescent="0.2">
      <c r="A980" s="18" t="str">
        <f t="shared" si="349"/>
        <v>80342</v>
      </c>
      <c r="B980" s="18">
        <v>8</v>
      </c>
      <c r="C980" s="18">
        <v>3</v>
      </c>
      <c r="D980" s="18" t="s">
        <v>237</v>
      </c>
      <c r="E980" s="18">
        <v>2</v>
      </c>
      <c r="F980" s="19">
        <f t="shared" si="388"/>
        <v>714000</v>
      </c>
      <c r="G980" s="19">
        <f t="shared" si="388"/>
        <v>714000</v>
      </c>
      <c r="H980" s="19">
        <f t="shared" si="389"/>
        <v>100000</v>
      </c>
      <c r="I980" s="19">
        <f t="shared" si="389"/>
        <v>100000</v>
      </c>
      <c r="J980" s="19">
        <f t="shared" si="390"/>
        <v>1035854</v>
      </c>
      <c r="K980" s="133">
        <v>1000</v>
      </c>
      <c r="L980" s="19">
        <v>2000</v>
      </c>
      <c r="M980" s="16">
        <f t="shared" si="369"/>
        <v>687999.8865116185</v>
      </c>
      <c r="N980" s="58">
        <v>860</v>
      </c>
      <c r="O980" s="58">
        <v>2</v>
      </c>
      <c r="P980" s="68">
        <v>80000</v>
      </c>
      <c r="Q980" s="41" t="s">
        <v>539</v>
      </c>
      <c r="R980" s="41"/>
      <c r="S980" s="36">
        <f t="shared" si="386"/>
        <v>40000</v>
      </c>
      <c r="T980" s="114">
        <f t="shared" si="387"/>
        <v>40000</v>
      </c>
    </row>
    <row r="981" spans="1:20" ht="16.5" x14ac:dyDescent="0.2">
      <c r="A981" s="18" t="str">
        <f t="shared" si="349"/>
        <v>80343</v>
      </c>
      <c r="B981" s="18">
        <v>8</v>
      </c>
      <c r="C981" s="18">
        <v>3</v>
      </c>
      <c r="D981" s="18" t="s">
        <v>237</v>
      </c>
      <c r="E981" s="18">
        <v>3</v>
      </c>
      <c r="F981" s="19">
        <f t="shared" si="388"/>
        <v>892500</v>
      </c>
      <c r="G981" s="19">
        <f t="shared" si="388"/>
        <v>892500</v>
      </c>
      <c r="H981" s="19">
        <f t="shared" si="389"/>
        <v>100000</v>
      </c>
      <c r="I981" s="19">
        <f t="shared" si="389"/>
        <v>100000</v>
      </c>
      <c r="J981" s="19">
        <f t="shared" si="390"/>
        <v>1778823</v>
      </c>
      <c r="K981" s="133">
        <v>1000</v>
      </c>
      <c r="L981" s="19">
        <v>2000</v>
      </c>
      <c r="M981" s="16">
        <f t="shared" si="369"/>
        <v>1007999.8499999889</v>
      </c>
      <c r="N981" s="58">
        <v>840</v>
      </c>
      <c r="O981" s="58">
        <v>3</v>
      </c>
      <c r="P981" s="68">
        <v>80000</v>
      </c>
      <c r="Q981" s="41" t="s">
        <v>548</v>
      </c>
      <c r="R981" s="41"/>
      <c r="S981" s="36">
        <f t="shared" si="386"/>
        <v>40000</v>
      </c>
      <c r="T981" s="114">
        <f t="shared" si="387"/>
        <v>40000</v>
      </c>
    </row>
    <row r="982" spans="1:20" ht="16.5" x14ac:dyDescent="0.2">
      <c r="A982" s="18" t="str">
        <f t="shared" si="349"/>
        <v>80344</v>
      </c>
      <c r="B982" s="18">
        <v>8</v>
      </c>
      <c r="C982" s="18">
        <v>3</v>
      </c>
      <c r="D982" s="18" t="s">
        <v>237</v>
      </c>
      <c r="E982" s="18">
        <v>4</v>
      </c>
      <c r="F982" s="19">
        <f t="shared" si="388"/>
        <v>1054000</v>
      </c>
      <c r="G982" s="19">
        <f t="shared" si="388"/>
        <v>1054000</v>
      </c>
      <c r="H982" s="19">
        <f t="shared" si="389"/>
        <v>100000</v>
      </c>
      <c r="I982" s="19">
        <f t="shared" si="389"/>
        <v>100000</v>
      </c>
      <c r="J982" s="19">
        <f t="shared" si="390"/>
        <v>2551802</v>
      </c>
      <c r="K982" s="133">
        <v>1000</v>
      </c>
      <c r="L982" s="19">
        <v>2000</v>
      </c>
      <c r="M982" s="16">
        <f t="shared" si="369"/>
        <v>1311999.8312195016</v>
      </c>
      <c r="N982" s="58">
        <v>820</v>
      </c>
      <c r="O982" s="58">
        <v>4</v>
      </c>
      <c r="P982" s="68">
        <v>80000</v>
      </c>
      <c r="Q982" s="41" t="s">
        <v>541</v>
      </c>
      <c r="R982" s="41"/>
      <c r="S982" s="36">
        <f t="shared" si="386"/>
        <v>40000</v>
      </c>
      <c r="T982" s="114">
        <f t="shared" si="387"/>
        <v>40000</v>
      </c>
    </row>
    <row r="983" spans="1:20" ht="16.5" x14ac:dyDescent="0.2">
      <c r="A983" s="18" t="str">
        <f t="shared" ref="A983:A987" si="391">IF(B983="","",CONCATENATE(B983,CONCATENATE(REPT(0,2-LEN(C983)),C983),IF(OR(D983="Easy",D983=""),1,IF(D983="Normal",2,IF(D983="Hard",3,IF(D983="Hell",4,"error")))),E983))</f>
        <v>80440</v>
      </c>
      <c r="B983" s="18">
        <v>8</v>
      </c>
      <c r="C983" s="18">
        <v>4</v>
      </c>
      <c r="D983" s="18" t="s">
        <v>237</v>
      </c>
      <c r="E983" s="18">
        <v>0</v>
      </c>
      <c r="F983" s="19">
        <f t="shared" si="388"/>
        <v>196350</v>
      </c>
      <c r="G983" s="19">
        <f t="shared" si="388"/>
        <v>196350</v>
      </c>
      <c r="H983" s="19">
        <f t="shared" si="389"/>
        <v>105000</v>
      </c>
      <c r="I983" s="19">
        <f t="shared" si="389"/>
        <v>105000</v>
      </c>
      <c r="J983" s="19">
        <f t="shared" si="390"/>
        <v>284258</v>
      </c>
      <c r="K983" s="133">
        <v>1000</v>
      </c>
      <c r="L983" s="19">
        <v>1500</v>
      </c>
      <c r="M983" s="16">
        <f t="shared" si="369"/>
        <v>193667.36218991573</v>
      </c>
      <c r="N983" s="58">
        <v>900</v>
      </c>
      <c r="O983" s="58">
        <v>0.5</v>
      </c>
      <c r="P983" s="68">
        <v>84000</v>
      </c>
      <c r="Q983" s="41" t="s">
        <v>537</v>
      </c>
      <c r="R983" s="41"/>
      <c r="S983" s="36">
        <f t="shared" si="386"/>
        <v>42000</v>
      </c>
      <c r="T983" s="114">
        <f t="shared" si="387"/>
        <v>42000</v>
      </c>
    </row>
    <row r="984" spans="1:20" ht="16.5" x14ac:dyDescent="0.2">
      <c r="A984" s="18" t="str">
        <f t="shared" si="391"/>
        <v>80441</v>
      </c>
      <c r="B984" s="18">
        <v>8</v>
      </c>
      <c r="C984" s="18">
        <v>4</v>
      </c>
      <c r="D984" s="18" t="s">
        <v>237</v>
      </c>
      <c r="E984" s="18">
        <v>1</v>
      </c>
      <c r="F984" s="19">
        <f t="shared" ref="F984:G987" si="392">ROUNDDOWN($P984/4*$O984*10*$N984/$N984*$Q984/400,0)</f>
        <v>392700</v>
      </c>
      <c r="G984" s="19">
        <f t="shared" si="392"/>
        <v>392700</v>
      </c>
      <c r="H984" s="19">
        <f t="shared" ref="H984:I987" si="393">ROUNDDOWN($S984/4*10,0)</f>
        <v>105000</v>
      </c>
      <c r="I984" s="19">
        <f t="shared" si="393"/>
        <v>105000</v>
      </c>
      <c r="J984" s="19">
        <f t="shared" si="390"/>
        <v>543529</v>
      </c>
      <c r="K984" s="133">
        <v>1000</v>
      </c>
      <c r="L984" s="19">
        <v>1500</v>
      </c>
      <c r="M984" s="16">
        <f t="shared" si="369"/>
        <v>378727.15685252892</v>
      </c>
      <c r="N984" s="58">
        <v>880</v>
      </c>
      <c r="O984" s="58">
        <v>1</v>
      </c>
      <c r="P984" s="68">
        <v>84000</v>
      </c>
      <c r="Q984" s="41" t="s">
        <v>549</v>
      </c>
      <c r="R984" s="41"/>
      <c r="S984" s="36">
        <f t="shared" si="386"/>
        <v>42000</v>
      </c>
      <c r="T984" s="114">
        <f t="shared" si="387"/>
        <v>42000</v>
      </c>
    </row>
    <row r="985" spans="1:20" ht="16.5" x14ac:dyDescent="0.2">
      <c r="A985" s="18" t="str">
        <f t="shared" si="391"/>
        <v>80442</v>
      </c>
      <c r="B985" s="18">
        <v>8</v>
      </c>
      <c r="C985" s="18">
        <v>4</v>
      </c>
      <c r="D985" s="18" t="s">
        <v>237</v>
      </c>
      <c r="E985" s="18">
        <v>2</v>
      </c>
      <c r="F985" s="19">
        <f t="shared" si="392"/>
        <v>749700</v>
      </c>
      <c r="G985" s="19">
        <f t="shared" si="392"/>
        <v>749700</v>
      </c>
      <c r="H985" s="19">
        <f t="shared" si="393"/>
        <v>105000</v>
      </c>
      <c r="I985" s="19">
        <f t="shared" si="393"/>
        <v>105000</v>
      </c>
      <c r="J985" s="19">
        <f t="shared" si="390"/>
        <v>1087647</v>
      </c>
      <c r="K985" s="133">
        <v>1000</v>
      </c>
      <c r="L985" s="19">
        <v>2000</v>
      </c>
      <c r="M985" s="16">
        <f t="shared" si="369"/>
        <v>740239.70331562194</v>
      </c>
      <c r="N985" s="58">
        <v>860</v>
      </c>
      <c r="O985" s="58">
        <v>2</v>
      </c>
      <c r="P985" s="68">
        <v>84000</v>
      </c>
      <c r="Q985" s="41" t="s">
        <v>544</v>
      </c>
      <c r="R985" s="41"/>
      <c r="S985" s="36">
        <f t="shared" si="386"/>
        <v>42000</v>
      </c>
      <c r="T985" s="114">
        <f t="shared" si="387"/>
        <v>42000</v>
      </c>
    </row>
    <row r="986" spans="1:20" ht="16.5" x14ac:dyDescent="0.2">
      <c r="A986" s="18" t="str">
        <f t="shared" si="391"/>
        <v>80443</v>
      </c>
      <c r="B986" s="18">
        <v>8</v>
      </c>
      <c r="C986" s="18">
        <v>4</v>
      </c>
      <c r="D986" s="18" t="s">
        <v>237</v>
      </c>
      <c r="E986" s="18">
        <v>3</v>
      </c>
      <c r="F986" s="19">
        <f t="shared" si="392"/>
        <v>937125</v>
      </c>
      <c r="G986" s="19">
        <f t="shared" si="392"/>
        <v>937125</v>
      </c>
      <c r="H986" s="19">
        <f t="shared" si="393"/>
        <v>105000</v>
      </c>
      <c r="I986" s="19">
        <f t="shared" si="393"/>
        <v>105000</v>
      </c>
      <c r="J986" s="19">
        <f t="shared" si="390"/>
        <v>1867764</v>
      </c>
      <c r="K986" s="133">
        <v>1000</v>
      </c>
      <c r="L986" s="19">
        <v>2000</v>
      </c>
      <c r="M986" s="16">
        <f t="shared" si="369"/>
        <v>1084537.0641301293</v>
      </c>
      <c r="N986" s="58">
        <v>840</v>
      </c>
      <c r="O986" s="58">
        <v>3</v>
      </c>
      <c r="P986" s="68">
        <v>84000</v>
      </c>
      <c r="Q986" s="41" t="s">
        <v>540</v>
      </c>
      <c r="R986" s="41"/>
      <c r="S986" s="36">
        <f t="shared" si="386"/>
        <v>42000</v>
      </c>
      <c r="T986" s="114">
        <f t="shared" si="387"/>
        <v>42000</v>
      </c>
    </row>
    <row r="987" spans="1:20" ht="16.5" x14ac:dyDescent="0.2">
      <c r="A987" s="18" t="str">
        <f t="shared" si="391"/>
        <v>80444</v>
      </c>
      <c r="B987" s="18">
        <v>8</v>
      </c>
      <c r="C987" s="18">
        <v>4</v>
      </c>
      <c r="D987" s="18" t="s">
        <v>237</v>
      </c>
      <c r="E987" s="18">
        <v>4</v>
      </c>
      <c r="F987" s="19">
        <f t="shared" si="392"/>
        <v>1106700</v>
      </c>
      <c r="G987" s="19">
        <f t="shared" si="392"/>
        <v>1106700</v>
      </c>
      <c r="H987" s="19">
        <f t="shared" si="393"/>
        <v>105000</v>
      </c>
      <c r="I987" s="19">
        <f t="shared" si="393"/>
        <v>105000</v>
      </c>
      <c r="J987" s="19">
        <f t="shared" si="390"/>
        <v>2679392</v>
      </c>
      <c r="K987" s="133">
        <v>1000</v>
      </c>
      <c r="L987" s="19">
        <v>2000</v>
      </c>
      <c r="M987" s="16">
        <f t="shared" si="369"/>
        <v>1411619.7295804562</v>
      </c>
      <c r="N987" s="58">
        <v>820</v>
      </c>
      <c r="O987" s="58">
        <v>4</v>
      </c>
      <c r="P987" s="68">
        <v>84000</v>
      </c>
      <c r="Q987" s="41" t="s">
        <v>541</v>
      </c>
      <c r="R987" s="41"/>
      <c r="S987" s="36">
        <f t="shared" si="386"/>
        <v>42000</v>
      </c>
      <c r="T987" s="114">
        <f t="shared" si="387"/>
        <v>42000</v>
      </c>
    </row>
    <row r="988" spans="1:20" ht="38.25" x14ac:dyDescent="0.2">
      <c r="A988" s="8" t="str">
        <f t="shared" si="349"/>
        <v/>
      </c>
      <c r="B988" s="5"/>
      <c r="C988" s="6" t="s">
        <v>433</v>
      </c>
      <c r="D988" s="5"/>
      <c r="E988" s="5"/>
      <c r="F988" s="5"/>
      <c r="G988" s="5"/>
      <c r="H988" s="5"/>
      <c r="I988" s="5"/>
      <c r="J988" s="5"/>
      <c r="K988" s="133">
        <v>1000</v>
      </c>
      <c r="L988" s="5"/>
      <c r="M988" s="16">
        <f t="shared" si="369"/>
        <v>0</v>
      </c>
      <c r="N988" s="5"/>
      <c r="O988" s="5"/>
      <c r="P988" s="5">
        <v>0</v>
      </c>
      <c r="Q988" s="5"/>
      <c r="R988" s="5"/>
      <c r="S988" s="30"/>
      <c r="T988" s="266"/>
    </row>
    <row r="989" spans="1:20" ht="16.5" x14ac:dyDescent="0.2">
      <c r="A989" s="8" t="str">
        <f t="shared" si="349"/>
        <v>1080130</v>
      </c>
      <c r="B989" s="8">
        <v>108</v>
      </c>
      <c r="C989" s="8">
        <v>1</v>
      </c>
      <c r="D989" s="8" t="s">
        <v>64</v>
      </c>
      <c r="E989" s="8">
        <v>0</v>
      </c>
      <c r="F989" s="34">
        <f>ROUNDDOWN($P989/4*$O989*10*$N989/$N989*$Q989/400,0)</f>
        <v>90877</v>
      </c>
      <c r="G989" s="34">
        <f>ROUNDDOWN($P989/4*$O989*10*$N989/$N989*$Q989/400,0)</f>
        <v>90877</v>
      </c>
      <c r="H989" s="34">
        <f t="shared" ref="H989:H993" si="394">ROUNDDOWN($S989/4*10,0)</f>
        <v>48597</v>
      </c>
      <c r="I989" s="34">
        <f t="shared" ref="I989:I993" si="395">ROUNDDOWN($T989/4*10,0)</f>
        <v>48597</v>
      </c>
      <c r="J989" s="34">
        <f>ROUNDDOWN($P989/4*$O989*10*$N989/$Q989*$N989/400,0)</f>
        <v>131564</v>
      </c>
      <c r="K989" s="133">
        <v>1000</v>
      </c>
      <c r="L989" s="34"/>
      <c r="M989" s="16">
        <f t="shared" si="369"/>
        <v>60980.396309419491</v>
      </c>
      <c r="N989" s="36">
        <v>900</v>
      </c>
      <c r="O989" s="36">
        <v>0.5</v>
      </c>
      <c r="P989" s="68">
        <v>38878</v>
      </c>
      <c r="Q989" s="41" t="s">
        <v>546</v>
      </c>
      <c r="S989" s="56">
        <f>P989*0.5</f>
        <v>19439</v>
      </c>
      <c r="T989" s="253">
        <f t="shared" ref="T989" si="396">S989</f>
        <v>19439</v>
      </c>
    </row>
    <row r="990" spans="1:20" ht="16.5" x14ac:dyDescent="0.2">
      <c r="A990" s="8" t="str">
        <f t="shared" si="349"/>
        <v>1080131</v>
      </c>
      <c r="B990" s="8">
        <v>108</v>
      </c>
      <c r="C990" s="8">
        <v>1</v>
      </c>
      <c r="D990" s="8" t="s">
        <v>64</v>
      </c>
      <c r="E990" s="8">
        <v>1</v>
      </c>
      <c r="F990" s="34">
        <f t="shared" ref="F990:G993" si="397">ROUNDDOWN($P990/4*$O990*10*$N990/$N990*$Q990/400,0)</f>
        <v>181754</v>
      </c>
      <c r="G990" s="34">
        <f t="shared" si="397"/>
        <v>181754</v>
      </c>
      <c r="H990" s="34">
        <f t="shared" si="394"/>
        <v>48597</v>
      </c>
      <c r="I990" s="34">
        <f t="shared" si="395"/>
        <v>48597</v>
      </c>
      <c r="J990" s="34">
        <f t="shared" ref="J990:J993" si="398">ROUNDDOWN($P990/4*$O990*10*$N990/$Q990*$N990/400,0)</f>
        <v>251563</v>
      </c>
      <c r="K990" s="133">
        <v>1000</v>
      </c>
      <c r="L990" s="34"/>
      <c r="M990" s="16">
        <f t="shared" si="369"/>
        <v>119250.46698783716</v>
      </c>
      <c r="N990" s="36">
        <v>880</v>
      </c>
      <c r="O990" s="36">
        <v>1</v>
      </c>
      <c r="P990" s="68">
        <v>38878</v>
      </c>
      <c r="Q990" s="41" t="s">
        <v>546</v>
      </c>
      <c r="S990" s="56">
        <f t="shared" ref="S990:S993" si="399">P990*0.5</f>
        <v>19439</v>
      </c>
      <c r="T990" s="253">
        <f t="shared" ref="T990:T993" si="400">S990</f>
        <v>19439</v>
      </c>
    </row>
    <row r="991" spans="1:20" ht="16.5" x14ac:dyDescent="0.2">
      <c r="A991" s="8" t="str">
        <f t="shared" si="349"/>
        <v>1080132</v>
      </c>
      <c r="B991" s="8">
        <v>108</v>
      </c>
      <c r="C991" s="8">
        <v>1</v>
      </c>
      <c r="D991" s="8" t="s">
        <v>64</v>
      </c>
      <c r="E991" s="8">
        <v>2</v>
      </c>
      <c r="F991" s="34">
        <f t="shared" si="397"/>
        <v>520479</v>
      </c>
      <c r="G991" s="34">
        <f t="shared" si="397"/>
        <v>520479</v>
      </c>
      <c r="H991" s="34">
        <f t="shared" si="394"/>
        <v>48597</v>
      </c>
      <c r="I991" s="34">
        <f t="shared" si="395"/>
        <v>48597</v>
      </c>
      <c r="J991" s="34">
        <f t="shared" si="398"/>
        <v>755098</v>
      </c>
      <c r="K991" s="133">
        <v>1000</v>
      </c>
      <c r="L991" s="34"/>
      <c r="M991" s="16">
        <f t="shared" si="369"/>
        <v>349621.38009155332</v>
      </c>
      <c r="N991" s="36">
        <v>860</v>
      </c>
      <c r="O991" s="36">
        <v>3</v>
      </c>
      <c r="P991" s="68">
        <v>38878</v>
      </c>
      <c r="Q991" s="41" t="s">
        <v>552</v>
      </c>
      <c r="S991" s="56">
        <f t="shared" si="399"/>
        <v>19439</v>
      </c>
      <c r="T991" s="253">
        <f t="shared" si="400"/>
        <v>19439</v>
      </c>
    </row>
    <row r="992" spans="1:20" ht="16.5" x14ac:dyDescent="0.2">
      <c r="A992" s="8" t="str">
        <f t="shared" si="349"/>
        <v>1080133</v>
      </c>
      <c r="B992" s="8">
        <v>108</v>
      </c>
      <c r="C992" s="8">
        <v>1</v>
      </c>
      <c r="D992" s="8" t="s">
        <v>64</v>
      </c>
      <c r="E992" s="8">
        <v>3</v>
      </c>
      <c r="F992" s="34">
        <f t="shared" si="397"/>
        <v>506021</v>
      </c>
      <c r="G992" s="34">
        <f t="shared" si="397"/>
        <v>506021</v>
      </c>
      <c r="H992" s="34">
        <f t="shared" si="394"/>
        <v>48597</v>
      </c>
      <c r="I992" s="34">
        <f t="shared" si="395"/>
        <v>48597</v>
      </c>
      <c r="J992" s="34">
        <f t="shared" si="398"/>
        <v>1008541</v>
      </c>
      <c r="K992" s="133">
        <v>1000</v>
      </c>
      <c r="L992" s="34"/>
      <c r="M992" s="16">
        <f t="shared" si="369"/>
        <v>398405.90472546779</v>
      </c>
      <c r="N992" s="36">
        <v>840</v>
      </c>
      <c r="O992" s="36">
        <v>3.5</v>
      </c>
      <c r="P992" s="68">
        <v>38878</v>
      </c>
      <c r="Q992" s="41" t="s">
        <v>548</v>
      </c>
      <c r="S992" s="56">
        <f t="shared" si="399"/>
        <v>19439</v>
      </c>
      <c r="T992" s="253">
        <f t="shared" si="400"/>
        <v>19439</v>
      </c>
    </row>
    <row r="993" spans="1:20" ht="16.5" x14ac:dyDescent="0.2">
      <c r="A993" s="8" t="str">
        <f t="shared" si="349"/>
        <v>1080134</v>
      </c>
      <c r="B993" s="8">
        <v>108</v>
      </c>
      <c r="C993" s="8">
        <v>1</v>
      </c>
      <c r="D993" s="8" t="s">
        <v>64</v>
      </c>
      <c r="E993" s="8">
        <v>4</v>
      </c>
      <c r="F993" s="34">
        <f t="shared" si="397"/>
        <v>512217</v>
      </c>
      <c r="G993" s="34">
        <f t="shared" si="397"/>
        <v>512217</v>
      </c>
      <c r="H993" s="34">
        <f t="shared" si="394"/>
        <v>48597</v>
      </c>
      <c r="I993" s="34">
        <f t="shared" si="395"/>
        <v>48597</v>
      </c>
      <c r="J993" s="34">
        <f t="shared" si="398"/>
        <v>1240112</v>
      </c>
      <c r="K993" s="133">
        <v>1000</v>
      </c>
      <c r="L993" s="34"/>
      <c r="M993" s="16">
        <f t="shared" si="369"/>
        <v>444479.94073598954</v>
      </c>
      <c r="N993" s="36">
        <v>820</v>
      </c>
      <c r="O993" s="36">
        <v>4</v>
      </c>
      <c r="P993" s="68">
        <v>38878</v>
      </c>
      <c r="Q993" s="41" t="s">
        <v>550</v>
      </c>
      <c r="S993" s="56">
        <f t="shared" si="399"/>
        <v>19439</v>
      </c>
      <c r="T993" s="253">
        <f t="shared" si="400"/>
        <v>19439</v>
      </c>
    </row>
    <row r="994" spans="1:20" ht="38.25" x14ac:dyDescent="0.2">
      <c r="A994" s="8" t="str">
        <f t="shared" ref="A994" si="401">IF(B994="","",CONCATENATE(B994,CONCATENATE(REPT(0,2-LEN(C994)),C994),IF(OR(D994="Easy",D994=""),1,IF(D994="Normal",2,IF(D994="Hard",3,IF(D994="Hell",4,"error")))),E994))</f>
        <v/>
      </c>
      <c r="B994" s="5"/>
      <c r="C994" s="6" t="s">
        <v>711</v>
      </c>
      <c r="D994" s="5"/>
      <c r="E994" s="5"/>
      <c r="F994" s="5"/>
      <c r="G994" s="5"/>
      <c r="H994" s="5"/>
      <c r="I994" s="5"/>
      <c r="J994" s="5"/>
      <c r="K994" s="133">
        <v>1000</v>
      </c>
      <c r="L994" s="5"/>
      <c r="M994" s="16">
        <f t="shared" si="369"/>
        <v>0</v>
      </c>
      <c r="N994" s="5"/>
      <c r="O994" s="5"/>
      <c r="P994" s="5"/>
      <c r="Q994" s="5"/>
      <c r="R994" s="5"/>
      <c r="S994" s="30"/>
      <c r="T994" s="266"/>
    </row>
    <row r="995" spans="1:20" ht="16.5" x14ac:dyDescent="0.2">
      <c r="A995" s="110" t="str">
        <f t="shared" ref="A995:A1004" si="402">IF(B995="","",CONCATENATE(B995,CONCATENATE(REPT(0,2-LEN(C995)),C995),IF(OR(D995="Easy",D995=""),1,IF(D995="Normal",2,IF(D995="Hard",3,IF(D995="Hell",4,"error")))),E995))</f>
        <v>90110</v>
      </c>
      <c r="B995" s="110">
        <v>9</v>
      </c>
      <c r="C995" s="110">
        <v>1</v>
      </c>
      <c r="D995" s="110" t="s">
        <v>62</v>
      </c>
      <c r="E995" s="110">
        <v>0</v>
      </c>
      <c r="F995" s="112">
        <f>ROUNDDOWN($P995/4*$O995*10*$N995/$N995*$Q995/400,0)</f>
        <v>56667</v>
      </c>
      <c r="G995" s="112">
        <f>ROUNDDOWN($P995/4*$O995*10*$N995/$N995*$Q995/400,0)</f>
        <v>56667</v>
      </c>
      <c r="H995" s="112">
        <f>ROUNDDOWN($S995/4*10,0)</f>
        <v>41212</v>
      </c>
      <c r="I995" s="112">
        <f>ROUNDDOWN($S995/4*10,0)</f>
        <v>41212</v>
      </c>
      <c r="J995" s="112">
        <f>ROUNDDOWN($P995/4*$O995*10*$N995/$Q995*$N995/400,0)</f>
        <v>151736</v>
      </c>
      <c r="K995" s="248">
        <v>1000</v>
      </c>
      <c r="L995" s="112">
        <v>700</v>
      </c>
      <c r="M995" s="113">
        <f t="shared" ref="M995:M1004" si="403">(F995*J995*((H995+I995)/2)/1000)^(1/2)/10*0.8</f>
        <v>47622.397840434307</v>
      </c>
      <c r="N995" s="114">
        <v>900</v>
      </c>
      <c r="O995" s="114">
        <v>0.5</v>
      </c>
      <c r="P995" s="252">
        <v>32970</v>
      </c>
      <c r="Q995" s="116" t="s">
        <v>360</v>
      </c>
      <c r="R995" s="116"/>
      <c r="S995" s="114">
        <f>P995*0.5</f>
        <v>16485</v>
      </c>
      <c r="T995" s="114">
        <f>S995</f>
        <v>16485</v>
      </c>
    </row>
    <row r="996" spans="1:20" ht="16.5" x14ac:dyDescent="0.2">
      <c r="A996" s="110" t="str">
        <f t="shared" si="402"/>
        <v>90111</v>
      </c>
      <c r="B996" s="110">
        <v>9</v>
      </c>
      <c r="C996" s="110">
        <v>1</v>
      </c>
      <c r="D996" s="110" t="s">
        <v>62</v>
      </c>
      <c r="E996" s="110">
        <v>1</v>
      </c>
      <c r="F996" s="112">
        <f t="shared" ref="F996:G1004" si="404">ROUNDDOWN($P996/4*$O996*10*$N996/$N996*$Q996/400,0)</f>
        <v>59500</v>
      </c>
      <c r="G996" s="112">
        <f t="shared" si="404"/>
        <v>59500</v>
      </c>
      <c r="H996" s="112">
        <f t="shared" ref="H996:I1004" si="405">ROUNDDOWN($S996/4*10,0)</f>
        <v>28848</v>
      </c>
      <c r="I996" s="112">
        <f t="shared" si="405"/>
        <v>28848</v>
      </c>
      <c r="J996" s="112">
        <f t="shared" ref="J996:J1004" si="406">ROUNDDOWN($P996/4*$O996*10*$N996/$Q996*$N996/400,0)</f>
        <v>185988</v>
      </c>
      <c r="K996" s="248">
        <v>1000</v>
      </c>
      <c r="L996" s="112">
        <v>900</v>
      </c>
      <c r="M996" s="113">
        <f t="shared" si="403"/>
        <v>45201.077405070777</v>
      </c>
      <c r="N996" s="114">
        <v>972.4</v>
      </c>
      <c r="O996" s="114">
        <v>0.75</v>
      </c>
      <c r="P996" s="252">
        <v>23079</v>
      </c>
      <c r="Q996" s="116" t="s">
        <v>360</v>
      </c>
      <c r="R996" s="116"/>
      <c r="S996" s="114">
        <f t="shared" ref="S996:S1004" si="407">P996*0.5</f>
        <v>11539.5</v>
      </c>
      <c r="T996" s="114">
        <f t="shared" ref="T996:T1004" si="408">S996</f>
        <v>11539.5</v>
      </c>
    </row>
    <row r="997" spans="1:20" ht="16.5" x14ac:dyDescent="0.2">
      <c r="A997" s="110" t="str">
        <f t="shared" si="402"/>
        <v>90112</v>
      </c>
      <c r="B997" s="110">
        <v>9</v>
      </c>
      <c r="C997" s="110">
        <v>1</v>
      </c>
      <c r="D997" s="110" t="s">
        <v>62</v>
      </c>
      <c r="E997" s="110">
        <v>2</v>
      </c>
      <c r="F997" s="112">
        <f t="shared" si="404"/>
        <v>113334</v>
      </c>
      <c r="G997" s="112">
        <f t="shared" si="404"/>
        <v>113334</v>
      </c>
      <c r="H997" s="112">
        <f t="shared" si="405"/>
        <v>41212</v>
      </c>
      <c r="I997" s="112">
        <f t="shared" si="405"/>
        <v>41212</v>
      </c>
      <c r="J997" s="112">
        <f t="shared" si="406"/>
        <v>338343</v>
      </c>
      <c r="K997" s="248">
        <v>1000</v>
      </c>
      <c r="L997" s="112">
        <v>1100</v>
      </c>
      <c r="M997" s="113">
        <f t="shared" si="403"/>
        <v>100568.16801644208</v>
      </c>
      <c r="N997" s="114">
        <v>950.3</v>
      </c>
      <c r="O997" s="114">
        <v>1</v>
      </c>
      <c r="P997" s="252">
        <v>32970</v>
      </c>
      <c r="Q997" s="116" t="s">
        <v>360</v>
      </c>
      <c r="R997" s="116"/>
      <c r="S997" s="114">
        <f t="shared" si="407"/>
        <v>16485</v>
      </c>
      <c r="T997" s="114">
        <f t="shared" si="408"/>
        <v>16485</v>
      </c>
    </row>
    <row r="998" spans="1:20" ht="16.5" x14ac:dyDescent="0.2">
      <c r="A998" s="110" t="str">
        <f t="shared" si="402"/>
        <v>90113</v>
      </c>
      <c r="B998" s="110">
        <v>9</v>
      </c>
      <c r="C998" s="110">
        <v>1</v>
      </c>
      <c r="D998" s="110" t="s">
        <v>62</v>
      </c>
      <c r="E998" s="110">
        <v>3</v>
      </c>
      <c r="F998" s="112">
        <f t="shared" si="404"/>
        <v>226668</v>
      </c>
      <c r="G998" s="112">
        <f t="shared" si="404"/>
        <v>226668</v>
      </c>
      <c r="H998" s="112">
        <f t="shared" si="405"/>
        <v>41212</v>
      </c>
      <c r="I998" s="112">
        <f t="shared" si="405"/>
        <v>41212</v>
      </c>
      <c r="J998" s="112">
        <f t="shared" si="406"/>
        <v>645579</v>
      </c>
      <c r="K998" s="248">
        <v>1000</v>
      </c>
      <c r="L998" s="112">
        <v>1300</v>
      </c>
      <c r="M998" s="113">
        <f t="shared" si="403"/>
        <v>196458.86754458363</v>
      </c>
      <c r="N998" s="114">
        <v>928.19999999999993</v>
      </c>
      <c r="O998" s="114">
        <v>2</v>
      </c>
      <c r="P998" s="252">
        <v>32970</v>
      </c>
      <c r="Q998" s="116" t="s">
        <v>360</v>
      </c>
      <c r="R998" s="116"/>
      <c r="S998" s="114">
        <f t="shared" si="407"/>
        <v>16485</v>
      </c>
      <c r="T998" s="114">
        <f t="shared" si="408"/>
        <v>16485</v>
      </c>
    </row>
    <row r="999" spans="1:20" ht="16.5" x14ac:dyDescent="0.2">
      <c r="A999" s="110" t="str">
        <f t="shared" si="402"/>
        <v>90114</v>
      </c>
      <c r="B999" s="110">
        <v>9</v>
      </c>
      <c r="C999" s="110">
        <v>1</v>
      </c>
      <c r="D999" s="110" t="s">
        <v>62</v>
      </c>
      <c r="E999" s="110">
        <v>4</v>
      </c>
      <c r="F999" s="112">
        <f t="shared" si="404"/>
        <v>238002</v>
      </c>
      <c r="G999" s="112">
        <f t="shared" si="404"/>
        <v>238002</v>
      </c>
      <c r="H999" s="112">
        <f t="shared" si="405"/>
        <v>28848</v>
      </c>
      <c r="I999" s="112">
        <f t="shared" si="405"/>
        <v>28848</v>
      </c>
      <c r="J999" s="112">
        <f t="shared" si="406"/>
        <v>645963</v>
      </c>
      <c r="K999" s="248">
        <v>1000</v>
      </c>
      <c r="L999" s="112">
        <v>1500</v>
      </c>
      <c r="M999" s="113">
        <f t="shared" si="403"/>
        <v>168477.52207091838</v>
      </c>
      <c r="N999" s="114">
        <v>906.1</v>
      </c>
      <c r="O999" s="114">
        <v>3</v>
      </c>
      <c r="P999" s="252">
        <v>23079</v>
      </c>
      <c r="Q999" s="116" t="s">
        <v>360</v>
      </c>
      <c r="R999" s="116"/>
      <c r="S999" s="114">
        <f t="shared" si="407"/>
        <v>11539.5</v>
      </c>
      <c r="T999" s="114">
        <f t="shared" si="408"/>
        <v>11539.5</v>
      </c>
    </row>
    <row r="1000" spans="1:20" ht="16.5" x14ac:dyDescent="0.2">
      <c r="A1000" s="110" t="str">
        <f t="shared" si="402"/>
        <v>90115</v>
      </c>
      <c r="B1000" s="110">
        <v>9</v>
      </c>
      <c r="C1000" s="110">
        <v>1</v>
      </c>
      <c r="D1000" s="110" t="s">
        <v>62</v>
      </c>
      <c r="E1000" s="110">
        <v>5</v>
      </c>
      <c r="F1000" s="112">
        <f t="shared" si="404"/>
        <v>453337</v>
      </c>
      <c r="G1000" s="112">
        <f t="shared" si="404"/>
        <v>453337</v>
      </c>
      <c r="H1000" s="112">
        <f t="shared" si="405"/>
        <v>41212</v>
      </c>
      <c r="I1000" s="112">
        <f t="shared" si="405"/>
        <v>41212</v>
      </c>
      <c r="J1000" s="112">
        <f t="shared" si="406"/>
        <v>1230406</v>
      </c>
      <c r="K1000" s="248">
        <v>1000</v>
      </c>
      <c r="L1000" s="112">
        <v>1700</v>
      </c>
      <c r="M1000" s="113">
        <f t="shared" si="403"/>
        <v>383562.93738321913</v>
      </c>
      <c r="N1000" s="114">
        <v>906.1</v>
      </c>
      <c r="O1000" s="114">
        <v>4</v>
      </c>
      <c r="P1000" s="252">
        <v>32970</v>
      </c>
      <c r="Q1000" s="116" t="s">
        <v>360</v>
      </c>
      <c r="R1000" s="116"/>
      <c r="S1000" s="114">
        <f t="shared" si="407"/>
        <v>16485</v>
      </c>
      <c r="T1000" s="114">
        <f t="shared" si="408"/>
        <v>16485</v>
      </c>
    </row>
    <row r="1001" spans="1:20" ht="16.5" x14ac:dyDescent="0.2">
      <c r="A1001" s="110" t="str">
        <f t="shared" si="402"/>
        <v>90116</v>
      </c>
      <c r="B1001" s="110">
        <v>9</v>
      </c>
      <c r="C1001" s="110">
        <v>1</v>
      </c>
      <c r="D1001" s="110" t="s">
        <v>62</v>
      </c>
      <c r="E1001" s="110">
        <v>6</v>
      </c>
      <c r="F1001" s="112">
        <f t="shared" si="404"/>
        <v>566671</v>
      </c>
      <c r="G1001" s="112">
        <f t="shared" si="404"/>
        <v>566671</v>
      </c>
      <c r="H1001" s="112">
        <f t="shared" si="405"/>
        <v>41212</v>
      </c>
      <c r="I1001" s="112">
        <f t="shared" si="405"/>
        <v>41212</v>
      </c>
      <c r="J1001" s="112">
        <f t="shared" si="406"/>
        <v>1538007</v>
      </c>
      <c r="K1001" s="248">
        <v>1000</v>
      </c>
      <c r="L1001" s="112">
        <v>1900</v>
      </c>
      <c r="M1001" s="113">
        <f t="shared" si="403"/>
        <v>479453.48803381715</v>
      </c>
      <c r="N1001" s="114">
        <v>906.1</v>
      </c>
      <c r="O1001" s="114">
        <v>5</v>
      </c>
      <c r="P1001" s="252">
        <v>32970</v>
      </c>
      <c r="Q1001" s="116" t="s">
        <v>360</v>
      </c>
      <c r="R1001" s="116"/>
      <c r="S1001" s="114">
        <f t="shared" si="407"/>
        <v>16485</v>
      </c>
      <c r="T1001" s="114">
        <f t="shared" si="408"/>
        <v>16485</v>
      </c>
    </row>
    <row r="1002" spans="1:20" ht="16.5" x14ac:dyDescent="0.2">
      <c r="A1002" s="110" t="str">
        <f t="shared" si="402"/>
        <v>90117</v>
      </c>
      <c r="B1002" s="110">
        <v>9</v>
      </c>
      <c r="C1002" s="110">
        <v>1</v>
      </c>
      <c r="D1002" s="110" t="s">
        <v>62</v>
      </c>
      <c r="E1002" s="110">
        <v>7</v>
      </c>
      <c r="F1002" s="112">
        <f t="shared" si="404"/>
        <v>680006</v>
      </c>
      <c r="G1002" s="112">
        <f t="shared" si="404"/>
        <v>680006</v>
      </c>
      <c r="H1002" s="112">
        <f t="shared" si="405"/>
        <v>41212</v>
      </c>
      <c r="I1002" s="112">
        <f t="shared" si="405"/>
        <v>41212</v>
      </c>
      <c r="J1002" s="112">
        <f t="shared" si="406"/>
        <v>1845609</v>
      </c>
      <c r="K1002" s="248">
        <v>1000</v>
      </c>
      <c r="L1002" s="112">
        <v>2100</v>
      </c>
      <c r="M1002" s="113">
        <f t="shared" si="403"/>
        <v>575344.61759675771</v>
      </c>
      <c r="N1002" s="114">
        <v>906.1</v>
      </c>
      <c r="O1002" s="114">
        <v>6</v>
      </c>
      <c r="P1002" s="252">
        <v>32970</v>
      </c>
      <c r="Q1002" s="116" t="s">
        <v>360</v>
      </c>
      <c r="R1002" s="116"/>
      <c r="S1002" s="114">
        <f t="shared" si="407"/>
        <v>16485</v>
      </c>
      <c r="T1002" s="114">
        <f t="shared" si="408"/>
        <v>16485</v>
      </c>
    </row>
    <row r="1003" spans="1:20" ht="16.5" x14ac:dyDescent="0.2">
      <c r="A1003" s="110" t="str">
        <f t="shared" si="402"/>
        <v>90118</v>
      </c>
      <c r="B1003" s="110">
        <v>9</v>
      </c>
      <c r="C1003" s="110">
        <v>1</v>
      </c>
      <c r="D1003" s="110" t="s">
        <v>62</v>
      </c>
      <c r="E1003" s="110">
        <v>8</v>
      </c>
      <c r="F1003" s="112">
        <f t="shared" si="404"/>
        <v>793340</v>
      </c>
      <c r="G1003" s="112">
        <f t="shared" si="404"/>
        <v>793340</v>
      </c>
      <c r="H1003" s="112">
        <f t="shared" si="405"/>
        <v>41212</v>
      </c>
      <c r="I1003" s="112">
        <f t="shared" si="405"/>
        <v>41212</v>
      </c>
      <c r="J1003" s="112">
        <f t="shared" si="406"/>
        <v>2153210</v>
      </c>
      <c r="K1003" s="248">
        <v>1000</v>
      </c>
      <c r="L1003" s="112">
        <v>2300</v>
      </c>
      <c r="M1003" s="113">
        <f t="shared" si="403"/>
        <v>671235.16824737028</v>
      </c>
      <c r="N1003" s="114">
        <v>906.1</v>
      </c>
      <c r="O1003" s="114">
        <v>7</v>
      </c>
      <c r="P1003" s="252">
        <v>32970</v>
      </c>
      <c r="Q1003" s="116" t="s">
        <v>360</v>
      </c>
      <c r="R1003" s="116"/>
      <c r="S1003" s="114">
        <f t="shared" si="407"/>
        <v>16485</v>
      </c>
      <c r="T1003" s="114">
        <f t="shared" si="408"/>
        <v>16485</v>
      </c>
    </row>
    <row r="1004" spans="1:20" ht="16.5" x14ac:dyDescent="0.2">
      <c r="A1004" s="110" t="str">
        <f t="shared" si="402"/>
        <v>90119</v>
      </c>
      <c r="B1004" s="110">
        <v>9</v>
      </c>
      <c r="C1004" s="110">
        <v>1</v>
      </c>
      <c r="D1004" s="110" t="s">
        <v>62</v>
      </c>
      <c r="E1004" s="110">
        <v>9</v>
      </c>
      <c r="F1004" s="112">
        <f t="shared" si="404"/>
        <v>906675</v>
      </c>
      <c r="G1004" s="112">
        <f t="shared" si="404"/>
        <v>906675</v>
      </c>
      <c r="H1004" s="112">
        <f t="shared" si="405"/>
        <v>41212</v>
      </c>
      <c r="I1004" s="112">
        <f t="shared" si="405"/>
        <v>41212</v>
      </c>
      <c r="J1004" s="112">
        <f t="shared" si="406"/>
        <v>2460812</v>
      </c>
      <c r="K1004" s="248">
        <v>1000</v>
      </c>
      <c r="L1004" s="112">
        <v>2500</v>
      </c>
      <c r="M1004" s="113">
        <f t="shared" si="403"/>
        <v>767126.29781025741</v>
      </c>
      <c r="N1004" s="114">
        <v>906.1</v>
      </c>
      <c r="O1004" s="114">
        <v>8</v>
      </c>
      <c r="P1004" s="252">
        <v>32970</v>
      </c>
      <c r="Q1004" s="116" t="s">
        <v>360</v>
      </c>
      <c r="R1004" s="116"/>
      <c r="S1004" s="114">
        <f t="shared" si="407"/>
        <v>16485</v>
      </c>
      <c r="T1004" s="114">
        <f t="shared" si="408"/>
        <v>16485</v>
      </c>
    </row>
    <row r="1005" spans="1:20" ht="16.5" x14ac:dyDescent="0.2">
      <c r="A1005" s="110" t="str">
        <f t="shared" ref="A1005:A1023" si="409">IF(B1005="","",CONCATENATE(B1005,CONCATENATE(REPT(0,2-LEN(C1005)),C1005),IF(OR(D1005="Easy",D1005=""),1,IF(D1005="Normal",2,IF(D1005="Hard",3,IF(D1005="Hell",4,"error")))),E1005))</f>
        <v>90210</v>
      </c>
      <c r="B1005" s="110">
        <v>9</v>
      </c>
      <c r="C1005" s="110">
        <v>2</v>
      </c>
      <c r="D1005" s="110" t="s">
        <v>62</v>
      </c>
      <c r="E1005" s="110">
        <v>0</v>
      </c>
      <c r="F1005" s="112">
        <f>ROUNDDOWN($P1005/4*$O1005*10*$N1005/$N1005*$Q1005/400,0)</f>
        <v>58385</v>
      </c>
      <c r="G1005" s="112">
        <f>ROUNDDOWN($P1005/4*$O1005*10*$N1005/$N1005*$Q1005/400,0)</f>
        <v>58385</v>
      </c>
      <c r="H1005" s="112">
        <f>ROUNDDOWN($S1005/4*10,0)</f>
        <v>42462</v>
      </c>
      <c r="I1005" s="112">
        <f>ROUNDDOWN($S1005/4*10,0)</f>
        <v>42462</v>
      </c>
      <c r="J1005" s="112">
        <f>ROUNDDOWN($P1005/4*$O1005*10*$N1005/$Q1005*$N1005/400,0)</f>
        <v>190894</v>
      </c>
      <c r="K1005" s="248">
        <v>1000</v>
      </c>
      <c r="L1005" s="112">
        <v>700</v>
      </c>
      <c r="M1005" s="113">
        <f t="shared" ref="M1005:M1076" si="410">(F1005*J1005*((H1005+I1005)/2)/1000)^(1/2)/10*0.8</f>
        <v>55034.749163474822</v>
      </c>
      <c r="N1005" s="114">
        <v>994.5</v>
      </c>
      <c r="O1005" s="114">
        <v>0.5</v>
      </c>
      <c r="P1005" s="252">
        <v>33970</v>
      </c>
      <c r="Q1005" s="116" t="s">
        <v>360</v>
      </c>
      <c r="R1005" s="116"/>
      <c r="S1005" s="114">
        <f>P1005*0.5</f>
        <v>16985</v>
      </c>
      <c r="T1005" s="114">
        <f>S1005</f>
        <v>16985</v>
      </c>
    </row>
    <row r="1006" spans="1:20" ht="16.5" x14ac:dyDescent="0.2">
      <c r="A1006" s="110" t="str">
        <f t="shared" si="409"/>
        <v>90211</v>
      </c>
      <c r="B1006" s="110">
        <v>9</v>
      </c>
      <c r="C1006" s="110">
        <v>2</v>
      </c>
      <c r="D1006" s="110" t="s">
        <v>62</v>
      </c>
      <c r="E1006" s="110">
        <v>1</v>
      </c>
      <c r="F1006" s="112">
        <f t="shared" ref="F1006:G1021" si="411">ROUNDDOWN($P1006/4*$O1006*10*$N1006/$N1006*$Q1006/400,0)</f>
        <v>61305</v>
      </c>
      <c r="G1006" s="112">
        <f t="shared" si="411"/>
        <v>61305</v>
      </c>
      <c r="H1006" s="112">
        <f t="shared" ref="H1006:I1021" si="412">ROUNDDOWN($S1006/4*10,0)</f>
        <v>29723</v>
      </c>
      <c r="I1006" s="112">
        <f t="shared" si="412"/>
        <v>29723</v>
      </c>
      <c r="J1006" s="112">
        <f t="shared" ref="J1006:J1034" si="413">ROUNDDOWN($P1006/4*$O1006*10*$N1006/$Q1006*$N1006/400,0)</f>
        <v>191629</v>
      </c>
      <c r="K1006" s="248">
        <v>1000</v>
      </c>
      <c r="L1006" s="112">
        <v>900</v>
      </c>
      <c r="M1006" s="113">
        <f t="shared" si="410"/>
        <v>47273.185997032022</v>
      </c>
      <c r="N1006" s="114">
        <v>972.4</v>
      </c>
      <c r="O1006" s="114">
        <v>0.75</v>
      </c>
      <c r="P1006" s="252">
        <v>23779</v>
      </c>
      <c r="Q1006" s="116" t="s">
        <v>360</v>
      </c>
      <c r="R1006" s="116"/>
      <c r="S1006" s="114">
        <f t="shared" ref="S1006:S1014" si="414">P1006*0.5</f>
        <v>11889.5</v>
      </c>
      <c r="T1006" s="114">
        <f t="shared" ref="T1006:T1014" si="415">S1006</f>
        <v>11889.5</v>
      </c>
    </row>
    <row r="1007" spans="1:20" ht="16.5" x14ac:dyDescent="0.2">
      <c r="A1007" s="110" t="str">
        <f t="shared" si="409"/>
        <v>90212</v>
      </c>
      <c r="B1007" s="110">
        <v>9</v>
      </c>
      <c r="C1007" s="110">
        <v>2</v>
      </c>
      <c r="D1007" s="110" t="s">
        <v>62</v>
      </c>
      <c r="E1007" s="110">
        <v>2</v>
      </c>
      <c r="F1007" s="112">
        <f t="shared" si="411"/>
        <v>116771</v>
      </c>
      <c r="G1007" s="112">
        <f t="shared" si="411"/>
        <v>116771</v>
      </c>
      <c r="H1007" s="112">
        <f t="shared" si="412"/>
        <v>42462</v>
      </c>
      <c r="I1007" s="112">
        <f t="shared" si="412"/>
        <v>42462</v>
      </c>
      <c r="J1007" s="112">
        <f t="shared" si="413"/>
        <v>348605</v>
      </c>
      <c r="K1007" s="248">
        <v>1000</v>
      </c>
      <c r="L1007" s="112">
        <v>1100</v>
      </c>
      <c r="M1007" s="113">
        <f t="shared" si="410"/>
        <v>105177.90490609966</v>
      </c>
      <c r="N1007" s="114">
        <v>950.3</v>
      </c>
      <c r="O1007" s="114">
        <v>1</v>
      </c>
      <c r="P1007" s="252">
        <v>33970</v>
      </c>
      <c r="Q1007" s="116" t="s">
        <v>360</v>
      </c>
      <c r="R1007" s="116"/>
      <c r="S1007" s="114">
        <f t="shared" si="414"/>
        <v>16985</v>
      </c>
      <c r="T1007" s="114">
        <f t="shared" si="415"/>
        <v>16985</v>
      </c>
    </row>
    <row r="1008" spans="1:20" ht="16.5" x14ac:dyDescent="0.2">
      <c r="A1008" s="110" t="str">
        <f t="shared" si="409"/>
        <v>90213</v>
      </c>
      <c r="B1008" s="110">
        <v>9</v>
      </c>
      <c r="C1008" s="110">
        <v>2</v>
      </c>
      <c r="D1008" s="110" t="s">
        <v>62</v>
      </c>
      <c r="E1008" s="110">
        <v>3</v>
      </c>
      <c r="F1008" s="112">
        <f t="shared" si="411"/>
        <v>233543</v>
      </c>
      <c r="G1008" s="112">
        <f t="shared" si="411"/>
        <v>233543</v>
      </c>
      <c r="H1008" s="112">
        <f t="shared" si="412"/>
        <v>42462</v>
      </c>
      <c r="I1008" s="112">
        <f t="shared" si="412"/>
        <v>42462</v>
      </c>
      <c r="J1008" s="112">
        <f t="shared" si="413"/>
        <v>665159</v>
      </c>
      <c r="K1008" s="248">
        <v>1000</v>
      </c>
      <c r="L1008" s="112">
        <v>1300</v>
      </c>
      <c r="M1008" s="113">
        <f t="shared" ref="M1008:M1014" si="416">(F1008*J1008*((H1008+I1008)/2)/1000)^(1/2)/10*0.8</f>
        <v>205464.30014611405</v>
      </c>
      <c r="N1008" s="114">
        <v>928.19999999999993</v>
      </c>
      <c r="O1008" s="114">
        <v>2</v>
      </c>
      <c r="P1008" s="252">
        <v>33970</v>
      </c>
      <c r="Q1008" s="116" t="s">
        <v>360</v>
      </c>
      <c r="R1008" s="116"/>
      <c r="S1008" s="114">
        <f t="shared" si="414"/>
        <v>16985</v>
      </c>
      <c r="T1008" s="114">
        <f t="shared" si="415"/>
        <v>16985</v>
      </c>
    </row>
    <row r="1009" spans="1:20" ht="16.5" x14ac:dyDescent="0.2">
      <c r="A1009" s="110" t="str">
        <f t="shared" si="409"/>
        <v>90214</v>
      </c>
      <c r="B1009" s="110">
        <v>9</v>
      </c>
      <c r="C1009" s="110">
        <v>2</v>
      </c>
      <c r="D1009" s="110" t="s">
        <v>62</v>
      </c>
      <c r="E1009" s="110">
        <v>4</v>
      </c>
      <c r="F1009" s="112">
        <f t="shared" si="411"/>
        <v>245220</v>
      </c>
      <c r="G1009" s="112">
        <f t="shared" si="411"/>
        <v>245220</v>
      </c>
      <c r="H1009" s="112">
        <f t="shared" si="412"/>
        <v>29723</v>
      </c>
      <c r="I1009" s="112">
        <f t="shared" si="412"/>
        <v>29723</v>
      </c>
      <c r="J1009" s="112">
        <f t="shared" si="413"/>
        <v>665555</v>
      </c>
      <c r="K1009" s="248">
        <v>1000</v>
      </c>
      <c r="L1009" s="112">
        <v>1500</v>
      </c>
      <c r="M1009" s="113">
        <f t="shared" si="416"/>
        <v>176200.13101476719</v>
      </c>
      <c r="N1009" s="114">
        <v>906.1</v>
      </c>
      <c r="O1009" s="114">
        <v>3</v>
      </c>
      <c r="P1009" s="252">
        <v>23779</v>
      </c>
      <c r="Q1009" s="116" t="s">
        <v>360</v>
      </c>
      <c r="R1009" s="116"/>
      <c r="S1009" s="114">
        <f t="shared" si="414"/>
        <v>11889.5</v>
      </c>
      <c r="T1009" s="114">
        <f t="shared" si="415"/>
        <v>11889.5</v>
      </c>
    </row>
    <row r="1010" spans="1:20" ht="16.5" x14ac:dyDescent="0.2">
      <c r="A1010" s="110" t="str">
        <f t="shared" si="409"/>
        <v>90215</v>
      </c>
      <c r="B1010" s="110">
        <v>9</v>
      </c>
      <c r="C1010" s="110">
        <v>2</v>
      </c>
      <c r="D1010" s="110" t="s">
        <v>62</v>
      </c>
      <c r="E1010" s="110">
        <v>5</v>
      </c>
      <c r="F1010" s="112">
        <f t="shared" si="411"/>
        <v>467087</v>
      </c>
      <c r="G1010" s="112">
        <f t="shared" si="411"/>
        <v>467087</v>
      </c>
      <c r="H1010" s="112">
        <f t="shared" si="412"/>
        <v>42462</v>
      </c>
      <c r="I1010" s="112">
        <f t="shared" si="412"/>
        <v>42462</v>
      </c>
      <c r="J1010" s="112">
        <f t="shared" si="413"/>
        <v>1267725</v>
      </c>
      <c r="K1010" s="248">
        <v>1000</v>
      </c>
      <c r="L1010" s="112">
        <v>1700</v>
      </c>
      <c r="M1010" s="113">
        <f t="shared" si="416"/>
        <v>401145.22546719585</v>
      </c>
      <c r="N1010" s="114">
        <v>906.1</v>
      </c>
      <c r="O1010" s="114">
        <v>4</v>
      </c>
      <c r="P1010" s="252">
        <v>33970</v>
      </c>
      <c r="Q1010" s="116" t="s">
        <v>360</v>
      </c>
      <c r="R1010" s="116"/>
      <c r="S1010" s="114">
        <f t="shared" si="414"/>
        <v>16985</v>
      </c>
      <c r="T1010" s="114">
        <f t="shared" si="415"/>
        <v>16985</v>
      </c>
    </row>
    <row r="1011" spans="1:20" ht="16.5" x14ac:dyDescent="0.2">
      <c r="A1011" s="110" t="str">
        <f t="shared" si="409"/>
        <v>90216</v>
      </c>
      <c r="B1011" s="110">
        <v>9</v>
      </c>
      <c r="C1011" s="110">
        <v>2</v>
      </c>
      <c r="D1011" s="110" t="s">
        <v>62</v>
      </c>
      <c r="E1011" s="110">
        <v>6</v>
      </c>
      <c r="F1011" s="112">
        <f t="shared" si="411"/>
        <v>583859</v>
      </c>
      <c r="G1011" s="112">
        <f t="shared" si="411"/>
        <v>583859</v>
      </c>
      <c r="H1011" s="112">
        <f t="shared" si="412"/>
        <v>42462</v>
      </c>
      <c r="I1011" s="112">
        <f t="shared" si="412"/>
        <v>42462</v>
      </c>
      <c r="J1011" s="112">
        <f t="shared" si="413"/>
        <v>1584656</v>
      </c>
      <c r="K1011" s="248">
        <v>1000</v>
      </c>
      <c r="L1011" s="112">
        <v>1900</v>
      </c>
      <c r="M1011" s="113">
        <f t="shared" si="416"/>
        <v>501431.59963324119</v>
      </c>
      <c r="N1011" s="114">
        <v>906.1</v>
      </c>
      <c r="O1011" s="114">
        <v>5</v>
      </c>
      <c r="P1011" s="252">
        <v>33970</v>
      </c>
      <c r="Q1011" s="116" t="s">
        <v>360</v>
      </c>
      <c r="R1011" s="116"/>
      <c r="S1011" s="114">
        <f t="shared" si="414"/>
        <v>16985</v>
      </c>
      <c r="T1011" s="114">
        <f t="shared" si="415"/>
        <v>16985</v>
      </c>
    </row>
    <row r="1012" spans="1:20" ht="16.5" x14ac:dyDescent="0.2">
      <c r="A1012" s="110" t="str">
        <f t="shared" si="409"/>
        <v>90217</v>
      </c>
      <c r="B1012" s="110">
        <v>9</v>
      </c>
      <c r="C1012" s="110">
        <v>2</v>
      </c>
      <c r="D1012" s="110" t="s">
        <v>62</v>
      </c>
      <c r="E1012" s="110">
        <v>7</v>
      </c>
      <c r="F1012" s="112">
        <f t="shared" si="411"/>
        <v>700631</v>
      </c>
      <c r="G1012" s="112">
        <f t="shared" si="411"/>
        <v>700631</v>
      </c>
      <c r="H1012" s="112">
        <f t="shared" si="412"/>
        <v>42462</v>
      </c>
      <c r="I1012" s="112">
        <f t="shared" si="412"/>
        <v>42462</v>
      </c>
      <c r="J1012" s="112">
        <f t="shared" si="413"/>
        <v>1901587</v>
      </c>
      <c r="K1012" s="248">
        <v>1000</v>
      </c>
      <c r="L1012" s="112">
        <v>2100</v>
      </c>
      <c r="M1012" s="113">
        <f t="shared" si="416"/>
        <v>601717.97379925777</v>
      </c>
      <c r="N1012" s="114">
        <v>906.1</v>
      </c>
      <c r="O1012" s="114">
        <v>6</v>
      </c>
      <c r="P1012" s="252">
        <v>33970</v>
      </c>
      <c r="Q1012" s="116" t="s">
        <v>360</v>
      </c>
      <c r="R1012" s="116"/>
      <c r="S1012" s="114">
        <f t="shared" si="414"/>
        <v>16985</v>
      </c>
      <c r="T1012" s="114">
        <f t="shared" si="415"/>
        <v>16985</v>
      </c>
    </row>
    <row r="1013" spans="1:20" ht="16.5" x14ac:dyDescent="0.2">
      <c r="A1013" s="110" t="str">
        <f t="shared" si="409"/>
        <v>90218</v>
      </c>
      <c r="B1013" s="110">
        <v>9</v>
      </c>
      <c r="C1013" s="110">
        <v>2</v>
      </c>
      <c r="D1013" s="110" t="s">
        <v>62</v>
      </c>
      <c r="E1013" s="110">
        <v>8</v>
      </c>
      <c r="F1013" s="112">
        <f t="shared" si="411"/>
        <v>817403</v>
      </c>
      <c r="G1013" s="112">
        <f t="shared" si="411"/>
        <v>817403</v>
      </c>
      <c r="H1013" s="112">
        <f t="shared" si="412"/>
        <v>42462</v>
      </c>
      <c r="I1013" s="112">
        <f t="shared" si="412"/>
        <v>42462</v>
      </c>
      <c r="J1013" s="112">
        <f t="shared" si="413"/>
        <v>2218519</v>
      </c>
      <c r="K1013" s="248">
        <v>1000</v>
      </c>
      <c r="L1013" s="112">
        <v>2300</v>
      </c>
      <c r="M1013" s="113">
        <f t="shared" si="416"/>
        <v>702004.50617994647</v>
      </c>
      <c r="N1013" s="114">
        <v>906.1</v>
      </c>
      <c r="O1013" s="114">
        <v>7</v>
      </c>
      <c r="P1013" s="252">
        <v>33970</v>
      </c>
      <c r="Q1013" s="116" t="s">
        <v>360</v>
      </c>
      <c r="R1013" s="116"/>
      <c r="S1013" s="114">
        <f t="shared" si="414"/>
        <v>16985</v>
      </c>
      <c r="T1013" s="114">
        <f t="shared" si="415"/>
        <v>16985</v>
      </c>
    </row>
    <row r="1014" spans="1:20" ht="16.5" x14ac:dyDescent="0.2">
      <c r="A1014" s="110" t="str">
        <f t="shared" ref="A1014" si="417">IF(B1014="","",CONCATENATE(B1014,CONCATENATE(REPT(0,2-LEN(C1014)),C1014),IF(OR(D1014="Easy",D1014=""),1,IF(D1014="Normal",2,IF(D1014="Hard",3,IF(D1014="Hell",4,"error")))),E1014))</f>
        <v>90219</v>
      </c>
      <c r="B1014" s="110">
        <v>9</v>
      </c>
      <c r="C1014" s="110">
        <v>2</v>
      </c>
      <c r="D1014" s="110" t="s">
        <v>62</v>
      </c>
      <c r="E1014" s="110">
        <v>9</v>
      </c>
      <c r="F1014" s="112">
        <f t="shared" si="411"/>
        <v>934175</v>
      </c>
      <c r="G1014" s="112">
        <f t="shared" si="411"/>
        <v>934175</v>
      </c>
      <c r="H1014" s="112">
        <f t="shared" si="412"/>
        <v>42462</v>
      </c>
      <c r="I1014" s="112">
        <f t="shared" si="412"/>
        <v>42462</v>
      </c>
      <c r="J1014" s="112">
        <f t="shared" si="413"/>
        <v>2535450</v>
      </c>
      <c r="K1014" s="248">
        <v>1000</v>
      </c>
      <c r="L1014" s="112">
        <v>2500</v>
      </c>
      <c r="M1014" s="113">
        <f t="shared" si="416"/>
        <v>802290.88034595537</v>
      </c>
      <c r="N1014" s="114">
        <v>906.1</v>
      </c>
      <c r="O1014" s="114">
        <v>8</v>
      </c>
      <c r="P1014" s="252">
        <v>33970</v>
      </c>
      <c r="Q1014" s="116" t="s">
        <v>360</v>
      </c>
      <c r="R1014" s="116"/>
      <c r="S1014" s="114">
        <f t="shared" si="414"/>
        <v>16985</v>
      </c>
      <c r="T1014" s="114">
        <f t="shared" si="415"/>
        <v>16985</v>
      </c>
    </row>
    <row r="1015" spans="1:20" ht="16.5" x14ac:dyDescent="0.2">
      <c r="A1015" s="110" t="str">
        <f t="shared" si="409"/>
        <v>90310</v>
      </c>
      <c r="B1015" s="110">
        <v>9</v>
      </c>
      <c r="C1015" s="110">
        <v>3</v>
      </c>
      <c r="D1015" s="110" t="s">
        <v>62</v>
      </c>
      <c r="E1015" s="110">
        <v>0</v>
      </c>
      <c r="F1015" s="112">
        <f>ROUNDDOWN($P1015/4*$O1015*10*$N1015/$N1015*$Q1015/400,0)</f>
        <v>60104</v>
      </c>
      <c r="G1015" s="112">
        <f>ROUNDDOWN($P1015/4*$O1015*10*$N1015/$N1015*$Q1015/400,0)</f>
        <v>60104</v>
      </c>
      <c r="H1015" s="112">
        <f>ROUNDDOWN($S1015/4*10,0)</f>
        <v>43712</v>
      </c>
      <c r="I1015" s="112">
        <f>ROUNDDOWN($S1015/4*10,0)</f>
        <v>43712</v>
      </c>
      <c r="J1015" s="112">
        <f>ROUNDDOWN($P1015/4*$O1015*10*$N1015/$Q1015*$N1015/400,0)</f>
        <v>196513</v>
      </c>
      <c r="K1015" s="248">
        <v>1000</v>
      </c>
      <c r="L1015" s="112">
        <v>700</v>
      </c>
      <c r="M1015" s="113">
        <f t="shared" si="410"/>
        <v>57482.765856385115</v>
      </c>
      <c r="N1015" s="114">
        <v>994.5</v>
      </c>
      <c r="O1015" s="114">
        <v>0.5</v>
      </c>
      <c r="P1015" s="252">
        <v>34970</v>
      </c>
      <c r="Q1015" s="116" t="s">
        <v>360</v>
      </c>
      <c r="R1015" s="116"/>
      <c r="S1015" s="114">
        <f>P1015*0.5</f>
        <v>17485</v>
      </c>
      <c r="T1015" s="114">
        <f>S1015</f>
        <v>17485</v>
      </c>
    </row>
    <row r="1016" spans="1:20" ht="16.5" x14ac:dyDescent="0.2">
      <c r="A1016" s="110" t="str">
        <f t="shared" si="409"/>
        <v>90311</v>
      </c>
      <c r="B1016" s="110">
        <v>9</v>
      </c>
      <c r="C1016" s="110">
        <v>3</v>
      </c>
      <c r="D1016" s="110" t="s">
        <v>62</v>
      </c>
      <c r="E1016" s="110">
        <v>1</v>
      </c>
      <c r="F1016" s="112">
        <f t="shared" si="411"/>
        <v>63109</v>
      </c>
      <c r="G1016" s="112">
        <f t="shared" si="411"/>
        <v>63109</v>
      </c>
      <c r="H1016" s="112">
        <f t="shared" si="412"/>
        <v>30598</v>
      </c>
      <c r="I1016" s="112">
        <f t="shared" si="412"/>
        <v>30598</v>
      </c>
      <c r="J1016" s="112">
        <f t="shared" si="413"/>
        <v>197270</v>
      </c>
      <c r="K1016" s="248">
        <v>1000</v>
      </c>
      <c r="L1016" s="112">
        <v>900</v>
      </c>
      <c r="M1016" s="113">
        <f t="shared" si="410"/>
        <v>49375.633267150064</v>
      </c>
      <c r="N1016" s="114">
        <v>972.4</v>
      </c>
      <c r="O1016" s="114">
        <v>0.75</v>
      </c>
      <c r="P1016" s="252">
        <v>24479</v>
      </c>
      <c r="Q1016" s="116" t="s">
        <v>360</v>
      </c>
      <c r="R1016" s="116"/>
      <c r="S1016" s="114">
        <f t="shared" ref="S1016:S1024" si="418">P1016*0.5</f>
        <v>12239.5</v>
      </c>
      <c r="T1016" s="114">
        <f t="shared" ref="T1016:T1024" si="419">S1016</f>
        <v>12239.5</v>
      </c>
    </row>
    <row r="1017" spans="1:20" ht="16.5" x14ac:dyDescent="0.2">
      <c r="A1017" s="110" t="str">
        <f t="shared" si="409"/>
        <v>90312</v>
      </c>
      <c r="B1017" s="110">
        <v>9</v>
      </c>
      <c r="C1017" s="110">
        <v>3</v>
      </c>
      <c r="D1017" s="110" t="s">
        <v>62</v>
      </c>
      <c r="E1017" s="110">
        <v>2</v>
      </c>
      <c r="F1017" s="112">
        <f t="shared" si="411"/>
        <v>84146</v>
      </c>
      <c r="G1017" s="112">
        <f t="shared" si="411"/>
        <v>84146</v>
      </c>
      <c r="H1017" s="112">
        <f t="shared" si="412"/>
        <v>30598</v>
      </c>
      <c r="I1017" s="112">
        <f t="shared" si="412"/>
        <v>30598</v>
      </c>
      <c r="J1017" s="112">
        <f t="shared" si="413"/>
        <v>251207</v>
      </c>
      <c r="K1017" s="248">
        <v>1000</v>
      </c>
      <c r="L1017" s="112">
        <v>1100</v>
      </c>
      <c r="M1017" s="113">
        <f t="shared" si="410"/>
        <v>64338.23070317087</v>
      </c>
      <c r="N1017" s="114">
        <v>950.3</v>
      </c>
      <c r="O1017" s="114">
        <v>1</v>
      </c>
      <c r="P1017" s="252">
        <v>24479</v>
      </c>
      <c r="Q1017" s="116" t="s">
        <v>360</v>
      </c>
      <c r="R1017" s="116"/>
      <c r="S1017" s="114">
        <f t="shared" si="418"/>
        <v>12239.5</v>
      </c>
      <c r="T1017" s="114">
        <f t="shared" si="419"/>
        <v>12239.5</v>
      </c>
    </row>
    <row r="1018" spans="1:20" ht="16.5" x14ac:dyDescent="0.2">
      <c r="A1018" s="110" t="str">
        <f t="shared" si="409"/>
        <v>90313</v>
      </c>
      <c r="B1018" s="110">
        <v>9</v>
      </c>
      <c r="C1018" s="110">
        <v>3</v>
      </c>
      <c r="D1018" s="110" t="s">
        <v>62</v>
      </c>
      <c r="E1018" s="110">
        <v>3</v>
      </c>
      <c r="F1018" s="112">
        <f t="shared" si="411"/>
        <v>240418</v>
      </c>
      <c r="G1018" s="112">
        <f t="shared" si="411"/>
        <v>240418</v>
      </c>
      <c r="H1018" s="112">
        <f t="shared" si="412"/>
        <v>43712</v>
      </c>
      <c r="I1018" s="112">
        <f t="shared" si="412"/>
        <v>43712</v>
      </c>
      <c r="J1018" s="112">
        <f t="shared" si="413"/>
        <v>684740</v>
      </c>
      <c r="K1018" s="248">
        <v>1000</v>
      </c>
      <c r="L1018" s="112">
        <v>1300</v>
      </c>
      <c r="M1018" s="113">
        <f t="shared" si="410"/>
        <v>214603.43300202579</v>
      </c>
      <c r="N1018" s="114">
        <v>928.19999999999993</v>
      </c>
      <c r="O1018" s="114">
        <v>2</v>
      </c>
      <c r="P1018" s="252">
        <v>34970</v>
      </c>
      <c r="Q1018" s="116" t="s">
        <v>360</v>
      </c>
      <c r="R1018" s="116"/>
      <c r="S1018" s="114">
        <f t="shared" si="418"/>
        <v>17485</v>
      </c>
      <c r="T1018" s="114">
        <f t="shared" si="419"/>
        <v>17485</v>
      </c>
    </row>
    <row r="1019" spans="1:20" ht="16.5" x14ac:dyDescent="0.2">
      <c r="A1019" s="110" t="str">
        <f t="shared" si="409"/>
        <v>90314</v>
      </c>
      <c r="B1019" s="110">
        <v>9</v>
      </c>
      <c r="C1019" s="110">
        <v>3</v>
      </c>
      <c r="D1019" s="110" t="s">
        <v>62</v>
      </c>
      <c r="E1019" s="110">
        <v>4</v>
      </c>
      <c r="F1019" s="112">
        <f t="shared" si="411"/>
        <v>252439</v>
      </c>
      <c r="G1019" s="112">
        <f t="shared" si="411"/>
        <v>252439</v>
      </c>
      <c r="H1019" s="112">
        <f t="shared" si="412"/>
        <v>30598</v>
      </c>
      <c r="I1019" s="112">
        <f t="shared" si="412"/>
        <v>30598</v>
      </c>
      <c r="J1019" s="112">
        <f t="shared" si="413"/>
        <v>685148</v>
      </c>
      <c r="K1019" s="248">
        <v>1000</v>
      </c>
      <c r="L1019" s="112">
        <v>1500</v>
      </c>
      <c r="M1019" s="113">
        <f t="shared" si="410"/>
        <v>184037.75627567308</v>
      </c>
      <c r="N1019" s="114">
        <v>906.1</v>
      </c>
      <c r="O1019" s="114">
        <v>3</v>
      </c>
      <c r="P1019" s="252">
        <v>24479</v>
      </c>
      <c r="Q1019" s="116" t="s">
        <v>360</v>
      </c>
      <c r="R1019" s="116"/>
      <c r="S1019" s="114">
        <f t="shared" si="418"/>
        <v>12239.5</v>
      </c>
      <c r="T1019" s="114">
        <f t="shared" si="419"/>
        <v>12239.5</v>
      </c>
    </row>
    <row r="1020" spans="1:20" ht="16.5" x14ac:dyDescent="0.2">
      <c r="A1020" s="110" t="str">
        <f t="shared" si="409"/>
        <v>90315</v>
      </c>
      <c r="B1020" s="110">
        <v>9</v>
      </c>
      <c r="C1020" s="110">
        <v>3</v>
      </c>
      <c r="D1020" s="110" t="s">
        <v>62</v>
      </c>
      <c r="E1020" s="110">
        <v>5</v>
      </c>
      <c r="F1020" s="112">
        <f t="shared" si="411"/>
        <v>480837</v>
      </c>
      <c r="G1020" s="112">
        <f t="shared" si="411"/>
        <v>480837</v>
      </c>
      <c r="H1020" s="112">
        <f t="shared" si="412"/>
        <v>43712</v>
      </c>
      <c r="I1020" s="112">
        <f t="shared" si="412"/>
        <v>43712</v>
      </c>
      <c r="J1020" s="112">
        <f t="shared" si="413"/>
        <v>1305044</v>
      </c>
      <c r="K1020" s="248">
        <v>1000</v>
      </c>
      <c r="L1020" s="112">
        <v>1700</v>
      </c>
      <c r="M1020" s="113">
        <f t="shared" si="410"/>
        <v>418988.24857361743</v>
      </c>
      <c r="N1020" s="114">
        <v>906.1</v>
      </c>
      <c r="O1020" s="114">
        <v>4</v>
      </c>
      <c r="P1020" s="252">
        <v>34970</v>
      </c>
      <c r="Q1020" s="116" t="s">
        <v>360</v>
      </c>
      <c r="R1020" s="116"/>
      <c r="S1020" s="114">
        <f t="shared" si="418"/>
        <v>17485</v>
      </c>
      <c r="T1020" s="114">
        <f t="shared" si="419"/>
        <v>17485</v>
      </c>
    </row>
    <row r="1021" spans="1:20" ht="16.5" x14ac:dyDescent="0.2">
      <c r="A1021" s="110" t="str">
        <f t="shared" si="409"/>
        <v>90316</v>
      </c>
      <c r="B1021" s="110">
        <v>9</v>
      </c>
      <c r="C1021" s="110">
        <v>3</v>
      </c>
      <c r="D1021" s="110" t="s">
        <v>62</v>
      </c>
      <c r="E1021" s="110">
        <v>6</v>
      </c>
      <c r="F1021" s="112">
        <f t="shared" si="411"/>
        <v>420732</v>
      </c>
      <c r="G1021" s="112">
        <f t="shared" si="411"/>
        <v>420732</v>
      </c>
      <c r="H1021" s="112">
        <f t="shared" si="412"/>
        <v>30598</v>
      </c>
      <c r="I1021" s="112">
        <f t="shared" si="412"/>
        <v>30598</v>
      </c>
      <c r="J1021" s="112">
        <f t="shared" si="413"/>
        <v>1141913</v>
      </c>
      <c r="K1021" s="248">
        <v>1000</v>
      </c>
      <c r="L1021" s="112">
        <v>1900</v>
      </c>
      <c r="M1021" s="113">
        <f t="shared" si="410"/>
        <v>306729.6705307939</v>
      </c>
      <c r="N1021" s="114">
        <v>906.1</v>
      </c>
      <c r="O1021" s="114">
        <v>5</v>
      </c>
      <c r="P1021" s="252">
        <v>24479</v>
      </c>
      <c r="Q1021" s="116" t="s">
        <v>360</v>
      </c>
      <c r="R1021" s="116"/>
      <c r="S1021" s="114">
        <f t="shared" si="418"/>
        <v>12239.5</v>
      </c>
      <c r="T1021" s="114">
        <f t="shared" si="419"/>
        <v>12239.5</v>
      </c>
    </row>
    <row r="1022" spans="1:20" ht="16.5" x14ac:dyDescent="0.2">
      <c r="A1022" s="110" t="str">
        <f t="shared" si="409"/>
        <v>90317</v>
      </c>
      <c r="B1022" s="110">
        <v>9</v>
      </c>
      <c r="C1022" s="110">
        <v>3</v>
      </c>
      <c r="D1022" s="110" t="s">
        <v>62</v>
      </c>
      <c r="E1022" s="110">
        <v>7</v>
      </c>
      <c r="F1022" s="112">
        <f t="shared" ref="F1022:G1024" si="420">ROUNDDOWN($P1022/4*$O1022*10*$N1022/$N1022*$Q1022/400,0)</f>
        <v>721256</v>
      </c>
      <c r="G1022" s="112">
        <f t="shared" si="420"/>
        <v>721256</v>
      </c>
      <c r="H1022" s="112">
        <f t="shared" ref="H1022:I1024" si="421">ROUNDDOWN($S1022/4*10,0)</f>
        <v>43712</v>
      </c>
      <c r="I1022" s="112">
        <f t="shared" si="421"/>
        <v>43712</v>
      </c>
      <c r="J1022" s="112">
        <f t="shared" si="413"/>
        <v>1957566</v>
      </c>
      <c r="K1022" s="248">
        <v>1000</v>
      </c>
      <c r="L1022" s="112">
        <v>2100</v>
      </c>
      <c r="M1022" s="113">
        <f t="shared" si="410"/>
        <v>628482.59070357052</v>
      </c>
      <c r="N1022" s="114">
        <v>906.1</v>
      </c>
      <c r="O1022" s="114">
        <v>6</v>
      </c>
      <c r="P1022" s="252">
        <v>34970</v>
      </c>
      <c r="Q1022" s="116" t="s">
        <v>360</v>
      </c>
      <c r="R1022" s="116"/>
      <c r="S1022" s="114">
        <f t="shared" si="418"/>
        <v>17485</v>
      </c>
      <c r="T1022" s="114">
        <f t="shared" si="419"/>
        <v>17485</v>
      </c>
    </row>
    <row r="1023" spans="1:20" ht="16.5" x14ac:dyDescent="0.2">
      <c r="A1023" s="110" t="str">
        <f t="shared" si="409"/>
        <v>90318</v>
      </c>
      <c r="B1023" s="110">
        <v>9</v>
      </c>
      <c r="C1023" s="110">
        <v>3</v>
      </c>
      <c r="D1023" s="110" t="s">
        <v>62</v>
      </c>
      <c r="E1023" s="110">
        <v>8</v>
      </c>
      <c r="F1023" s="112">
        <f t="shared" si="420"/>
        <v>841465</v>
      </c>
      <c r="G1023" s="112">
        <f t="shared" si="420"/>
        <v>841465</v>
      </c>
      <c r="H1023" s="112">
        <f t="shared" si="421"/>
        <v>43712</v>
      </c>
      <c r="I1023" s="112">
        <f t="shared" si="421"/>
        <v>43712</v>
      </c>
      <c r="J1023" s="112">
        <f t="shared" si="413"/>
        <v>2283827</v>
      </c>
      <c r="K1023" s="248">
        <v>1000</v>
      </c>
      <c r="L1023" s="112">
        <v>2300</v>
      </c>
      <c r="M1023" s="113">
        <f t="shared" si="410"/>
        <v>733229.54392541351</v>
      </c>
      <c r="N1023" s="114">
        <v>906.1</v>
      </c>
      <c r="O1023" s="114">
        <v>7</v>
      </c>
      <c r="P1023" s="252">
        <v>34970</v>
      </c>
      <c r="Q1023" s="116" t="s">
        <v>360</v>
      </c>
      <c r="R1023" s="116"/>
      <c r="S1023" s="114">
        <f t="shared" si="418"/>
        <v>17485</v>
      </c>
      <c r="T1023" s="114">
        <f t="shared" si="419"/>
        <v>17485</v>
      </c>
    </row>
    <row r="1024" spans="1:20" ht="16.5" x14ac:dyDescent="0.2">
      <c r="A1024" s="110" t="str">
        <f t="shared" ref="A1024:A1033" si="422">IF(B1024="","",CONCATENATE(B1024,CONCATENATE(REPT(0,2-LEN(C1024)),C1024),IF(OR(D1024="Easy",D1024=""),1,IF(D1024="Normal",2,IF(D1024="Hard",3,IF(D1024="Hell",4,"error")))),E1024))</f>
        <v>90319</v>
      </c>
      <c r="B1024" s="110">
        <v>9</v>
      </c>
      <c r="C1024" s="110">
        <v>3</v>
      </c>
      <c r="D1024" s="110" t="s">
        <v>62</v>
      </c>
      <c r="E1024" s="110">
        <v>9</v>
      </c>
      <c r="F1024" s="112">
        <f t="shared" si="420"/>
        <v>961675</v>
      </c>
      <c r="G1024" s="112">
        <f t="shared" si="420"/>
        <v>961675</v>
      </c>
      <c r="H1024" s="112">
        <f t="shared" si="421"/>
        <v>43712</v>
      </c>
      <c r="I1024" s="112">
        <f t="shared" si="421"/>
        <v>43712</v>
      </c>
      <c r="J1024" s="112">
        <f t="shared" si="413"/>
        <v>2610088</v>
      </c>
      <c r="K1024" s="248">
        <v>1000</v>
      </c>
      <c r="L1024" s="112">
        <v>2500</v>
      </c>
      <c r="M1024" s="113">
        <f t="shared" si="410"/>
        <v>837976.93283348577</v>
      </c>
      <c r="N1024" s="114">
        <v>906.1</v>
      </c>
      <c r="O1024" s="114">
        <v>8</v>
      </c>
      <c r="P1024" s="252">
        <v>34970</v>
      </c>
      <c r="Q1024" s="116" t="s">
        <v>360</v>
      </c>
      <c r="R1024" s="116"/>
      <c r="S1024" s="114">
        <f t="shared" si="418"/>
        <v>17485</v>
      </c>
      <c r="T1024" s="114">
        <f t="shared" si="419"/>
        <v>17485</v>
      </c>
    </row>
    <row r="1025" spans="1:20" ht="16.5" x14ac:dyDescent="0.2">
      <c r="A1025" s="110" t="str">
        <f t="shared" si="422"/>
        <v>90410</v>
      </c>
      <c r="B1025" s="110">
        <v>9</v>
      </c>
      <c r="C1025" s="110">
        <v>4</v>
      </c>
      <c r="D1025" s="110" t="s">
        <v>62</v>
      </c>
      <c r="E1025" s="110">
        <v>0</v>
      </c>
      <c r="F1025" s="112">
        <f>ROUNDDOWN($P1025/4*$O1025*10*$N1025/$N1025*$Q1025/400,0)</f>
        <v>61823</v>
      </c>
      <c r="G1025" s="112">
        <f>ROUNDDOWN($P1025/4*$O1025*10*$N1025/$N1025*$Q1025/400,0)</f>
        <v>61823</v>
      </c>
      <c r="H1025" s="112">
        <f>ROUNDDOWN($S1025/4*10,0)</f>
        <v>44962</v>
      </c>
      <c r="I1025" s="112">
        <f>ROUNDDOWN($S1025/4*10,0)</f>
        <v>44962</v>
      </c>
      <c r="J1025" s="112">
        <f>ROUNDDOWN($P1025/4*$O1025*10*$N1025/$Q1025*$N1025/400,0)</f>
        <v>202133</v>
      </c>
      <c r="K1025" s="248">
        <v>1000</v>
      </c>
      <c r="L1025" s="112">
        <v>700</v>
      </c>
      <c r="M1025" s="113">
        <f t="shared" si="410"/>
        <v>59966.188598765984</v>
      </c>
      <c r="N1025" s="114">
        <v>994.5</v>
      </c>
      <c r="O1025" s="114">
        <v>0.5</v>
      </c>
      <c r="P1025" s="252">
        <v>35970</v>
      </c>
      <c r="Q1025" s="116" t="s">
        <v>360</v>
      </c>
      <c r="R1025" s="116"/>
      <c r="S1025" s="114">
        <f>P1025*0.5</f>
        <v>17985</v>
      </c>
      <c r="T1025" s="114">
        <f>S1025</f>
        <v>17985</v>
      </c>
    </row>
    <row r="1026" spans="1:20" ht="16.5" x14ac:dyDescent="0.2">
      <c r="A1026" s="110" t="str">
        <f t="shared" si="422"/>
        <v>90411</v>
      </c>
      <c r="B1026" s="110">
        <v>9</v>
      </c>
      <c r="C1026" s="110">
        <v>4</v>
      </c>
      <c r="D1026" s="110" t="s">
        <v>62</v>
      </c>
      <c r="E1026" s="110">
        <v>1</v>
      </c>
      <c r="F1026" s="112">
        <f t="shared" ref="F1026:G1034" si="423">ROUNDDOWN($P1026/4*$O1026*10*$N1026/$N1026*$Q1026/400,0)</f>
        <v>64914</v>
      </c>
      <c r="G1026" s="112">
        <f t="shared" si="423"/>
        <v>64914</v>
      </c>
      <c r="H1026" s="112">
        <f t="shared" ref="H1026:I1034" si="424">ROUNDDOWN($S1026/4*10,0)</f>
        <v>31473</v>
      </c>
      <c r="I1026" s="112">
        <f t="shared" si="424"/>
        <v>31473</v>
      </c>
      <c r="J1026" s="112">
        <f t="shared" si="413"/>
        <v>202911</v>
      </c>
      <c r="K1026" s="248">
        <v>1000</v>
      </c>
      <c r="L1026" s="112">
        <v>900</v>
      </c>
      <c r="M1026" s="113">
        <f t="shared" si="410"/>
        <v>51508.753365949255</v>
      </c>
      <c r="N1026" s="114">
        <v>972.4</v>
      </c>
      <c r="O1026" s="114">
        <v>0.75</v>
      </c>
      <c r="P1026" s="252">
        <v>25179</v>
      </c>
      <c r="Q1026" s="116" t="s">
        <v>360</v>
      </c>
      <c r="R1026" s="116"/>
      <c r="S1026" s="114">
        <f t="shared" ref="S1026:S1034" si="425">P1026*0.5</f>
        <v>12589.5</v>
      </c>
      <c r="T1026" s="114">
        <f t="shared" ref="T1026:T1034" si="426">S1026</f>
        <v>12589.5</v>
      </c>
    </row>
    <row r="1027" spans="1:20" ht="16.5" x14ac:dyDescent="0.2">
      <c r="A1027" s="110" t="str">
        <f t="shared" si="422"/>
        <v>90412</v>
      </c>
      <c r="B1027" s="110">
        <v>9</v>
      </c>
      <c r="C1027" s="110">
        <v>4</v>
      </c>
      <c r="D1027" s="110" t="s">
        <v>62</v>
      </c>
      <c r="E1027" s="110">
        <v>2</v>
      </c>
      <c r="F1027" s="112">
        <f t="shared" si="423"/>
        <v>86552</v>
      </c>
      <c r="G1027" s="112">
        <f t="shared" si="423"/>
        <v>86552</v>
      </c>
      <c r="H1027" s="112">
        <f t="shared" si="424"/>
        <v>31473</v>
      </c>
      <c r="I1027" s="112">
        <f t="shared" si="424"/>
        <v>31473</v>
      </c>
      <c r="J1027" s="112">
        <f t="shared" si="413"/>
        <v>258390</v>
      </c>
      <c r="K1027" s="248">
        <v>1000</v>
      </c>
      <c r="L1027" s="112">
        <v>1100</v>
      </c>
      <c r="M1027" s="113">
        <f t="shared" si="410"/>
        <v>67117.452285160645</v>
      </c>
      <c r="N1027" s="114">
        <v>950.3</v>
      </c>
      <c r="O1027" s="114">
        <v>1</v>
      </c>
      <c r="P1027" s="252">
        <v>25179</v>
      </c>
      <c r="Q1027" s="116" t="s">
        <v>360</v>
      </c>
      <c r="R1027" s="116"/>
      <c r="S1027" s="114">
        <f t="shared" si="425"/>
        <v>12589.5</v>
      </c>
      <c r="T1027" s="114">
        <f t="shared" si="426"/>
        <v>12589.5</v>
      </c>
    </row>
    <row r="1028" spans="1:20" ht="16.5" x14ac:dyDescent="0.2">
      <c r="A1028" s="110" t="str">
        <f t="shared" si="422"/>
        <v>90413</v>
      </c>
      <c r="B1028" s="110">
        <v>9</v>
      </c>
      <c r="C1028" s="110">
        <v>4</v>
      </c>
      <c r="D1028" s="110" t="s">
        <v>62</v>
      </c>
      <c r="E1028" s="110">
        <v>3</v>
      </c>
      <c r="F1028" s="112">
        <f t="shared" si="423"/>
        <v>247293</v>
      </c>
      <c r="G1028" s="112">
        <f t="shared" si="423"/>
        <v>247293</v>
      </c>
      <c r="H1028" s="112">
        <f t="shared" si="424"/>
        <v>44962</v>
      </c>
      <c r="I1028" s="112">
        <f t="shared" si="424"/>
        <v>44962</v>
      </c>
      <c r="J1028" s="112">
        <f t="shared" si="413"/>
        <v>704321</v>
      </c>
      <c r="K1028" s="248">
        <v>1000</v>
      </c>
      <c r="L1028" s="112">
        <v>1300</v>
      </c>
      <c r="M1028" s="113">
        <f t="shared" si="410"/>
        <v>223874.19022040378</v>
      </c>
      <c r="N1028" s="114">
        <v>928.19999999999993</v>
      </c>
      <c r="O1028" s="114">
        <v>2</v>
      </c>
      <c r="P1028" s="252">
        <v>35970</v>
      </c>
      <c r="Q1028" s="116" t="s">
        <v>360</v>
      </c>
      <c r="R1028" s="116"/>
      <c r="S1028" s="114">
        <f t="shared" si="425"/>
        <v>17985</v>
      </c>
      <c r="T1028" s="114">
        <f t="shared" si="426"/>
        <v>17985</v>
      </c>
    </row>
    <row r="1029" spans="1:20" ht="16.5" x14ac:dyDescent="0.2">
      <c r="A1029" s="110" t="str">
        <f t="shared" si="422"/>
        <v>90414</v>
      </c>
      <c r="B1029" s="110">
        <v>9</v>
      </c>
      <c r="C1029" s="110">
        <v>4</v>
      </c>
      <c r="D1029" s="110" t="s">
        <v>62</v>
      </c>
      <c r="E1029" s="110">
        <v>4</v>
      </c>
      <c r="F1029" s="112">
        <f t="shared" si="423"/>
        <v>259658</v>
      </c>
      <c r="G1029" s="112">
        <f t="shared" si="423"/>
        <v>259658</v>
      </c>
      <c r="H1029" s="112">
        <f t="shared" si="424"/>
        <v>31473</v>
      </c>
      <c r="I1029" s="112">
        <f t="shared" si="424"/>
        <v>31473</v>
      </c>
      <c r="J1029" s="112">
        <f t="shared" si="413"/>
        <v>704740</v>
      </c>
      <c r="K1029" s="248">
        <v>1000</v>
      </c>
      <c r="L1029" s="112">
        <v>1500</v>
      </c>
      <c r="M1029" s="113">
        <f t="shared" si="410"/>
        <v>191988.12744540905</v>
      </c>
      <c r="N1029" s="114">
        <v>906.1</v>
      </c>
      <c r="O1029" s="114">
        <v>3</v>
      </c>
      <c r="P1029" s="252">
        <v>25179</v>
      </c>
      <c r="Q1029" s="116" t="s">
        <v>360</v>
      </c>
      <c r="R1029" s="116"/>
      <c r="S1029" s="114">
        <f t="shared" si="425"/>
        <v>12589.5</v>
      </c>
      <c r="T1029" s="114">
        <f t="shared" si="426"/>
        <v>12589.5</v>
      </c>
    </row>
    <row r="1030" spans="1:20" ht="16.5" x14ac:dyDescent="0.2">
      <c r="A1030" s="110" t="str">
        <f t="shared" si="422"/>
        <v>90415</v>
      </c>
      <c r="B1030" s="110">
        <v>9</v>
      </c>
      <c r="C1030" s="110">
        <v>4</v>
      </c>
      <c r="D1030" s="110" t="s">
        <v>62</v>
      </c>
      <c r="E1030" s="110">
        <v>5</v>
      </c>
      <c r="F1030" s="112">
        <f t="shared" si="423"/>
        <v>494587</v>
      </c>
      <c r="G1030" s="112">
        <f t="shared" si="423"/>
        <v>494587</v>
      </c>
      <c r="H1030" s="112">
        <f t="shared" si="424"/>
        <v>44962</v>
      </c>
      <c r="I1030" s="112">
        <f t="shared" si="424"/>
        <v>44962</v>
      </c>
      <c r="J1030" s="112">
        <f t="shared" si="413"/>
        <v>1342363</v>
      </c>
      <c r="K1030" s="248">
        <v>1000</v>
      </c>
      <c r="L1030" s="112">
        <v>1700</v>
      </c>
      <c r="M1030" s="113">
        <f t="shared" si="410"/>
        <v>437088.25087964046</v>
      </c>
      <c r="N1030" s="114">
        <v>906.1</v>
      </c>
      <c r="O1030" s="114">
        <v>4</v>
      </c>
      <c r="P1030" s="252">
        <v>35970</v>
      </c>
      <c r="Q1030" s="116" t="s">
        <v>360</v>
      </c>
      <c r="R1030" s="116"/>
      <c r="S1030" s="114">
        <f t="shared" si="425"/>
        <v>17985</v>
      </c>
      <c r="T1030" s="114">
        <f t="shared" si="426"/>
        <v>17985</v>
      </c>
    </row>
    <row r="1031" spans="1:20" ht="16.5" x14ac:dyDescent="0.2">
      <c r="A1031" s="110" t="str">
        <f t="shared" si="422"/>
        <v>90416</v>
      </c>
      <c r="B1031" s="110">
        <v>9</v>
      </c>
      <c r="C1031" s="110">
        <v>4</v>
      </c>
      <c r="D1031" s="110" t="s">
        <v>62</v>
      </c>
      <c r="E1031" s="110">
        <v>6</v>
      </c>
      <c r="F1031" s="112">
        <f t="shared" si="423"/>
        <v>618234</v>
      </c>
      <c r="G1031" s="112">
        <f t="shared" si="423"/>
        <v>618234</v>
      </c>
      <c r="H1031" s="112">
        <f t="shared" si="424"/>
        <v>44962</v>
      </c>
      <c r="I1031" s="112">
        <f t="shared" si="424"/>
        <v>44962</v>
      </c>
      <c r="J1031" s="112">
        <f t="shared" si="413"/>
        <v>1677953</v>
      </c>
      <c r="K1031" s="248">
        <v>1000</v>
      </c>
      <c r="L1031" s="112">
        <v>1900</v>
      </c>
      <c r="M1031" s="113">
        <f t="shared" si="410"/>
        <v>546360.30196333944</v>
      </c>
      <c r="N1031" s="114">
        <v>906.1</v>
      </c>
      <c r="O1031" s="114">
        <v>5</v>
      </c>
      <c r="P1031" s="252">
        <v>35970</v>
      </c>
      <c r="Q1031" s="116" t="s">
        <v>360</v>
      </c>
      <c r="R1031" s="114">
        <f>F1031/F1114</f>
        <v>0.51946718470487707</v>
      </c>
      <c r="S1031" s="114">
        <f t="shared" si="425"/>
        <v>17985</v>
      </c>
      <c r="T1031" s="114">
        <f t="shared" si="426"/>
        <v>17985</v>
      </c>
    </row>
    <row r="1032" spans="1:20" ht="16.5" x14ac:dyDescent="0.2">
      <c r="A1032" s="110" t="str">
        <f t="shared" si="422"/>
        <v>90417</v>
      </c>
      <c r="B1032" s="110">
        <v>9</v>
      </c>
      <c r="C1032" s="110">
        <v>4</v>
      </c>
      <c r="D1032" s="110" t="s">
        <v>62</v>
      </c>
      <c r="E1032" s="110">
        <v>7</v>
      </c>
      <c r="F1032" s="112">
        <f t="shared" si="423"/>
        <v>741881</v>
      </c>
      <c r="G1032" s="112">
        <f t="shared" si="423"/>
        <v>741881</v>
      </c>
      <c r="H1032" s="112">
        <f t="shared" si="424"/>
        <v>44962</v>
      </c>
      <c r="I1032" s="112">
        <f t="shared" si="424"/>
        <v>44962</v>
      </c>
      <c r="J1032" s="112">
        <f t="shared" si="413"/>
        <v>2013544</v>
      </c>
      <c r="K1032" s="248">
        <v>1000</v>
      </c>
      <c r="L1032" s="112">
        <v>2100</v>
      </c>
      <c r="M1032" s="113">
        <f t="shared" si="410"/>
        <v>655632.5158526022</v>
      </c>
      <c r="N1032" s="114">
        <v>906.1</v>
      </c>
      <c r="O1032" s="114">
        <v>6</v>
      </c>
      <c r="P1032" s="252">
        <v>35970</v>
      </c>
      <c r="Q1032" s="116" t="s">
        <v>360</v>
      </c>
      <c r="R1032" s="116"/>
      <c r="S1032" s="114">
        <f t="shared" si="425"/>
        <v>17985</v>
      </c>
      <c r="T1032" s="114">
        <f t="shared" si="426"/>
        <v>17985</v>
      </c>
    </row>
    <row r="1033" spans="1:20" ht="16.5" x14ac:dyDescent="0.2">
      <c r="A1033" s="110" t="str">
        <f t="shared" si="422"/>
        <v>90418</v>
      </c>
      <c r="B1033" s="110">
        <v>9</v>
      </c>
      <c r="C1033" s="110">
        <v>4</v>
      </c>
      <c r="D1033" s="110" t="s">
        <v>62</v>
      </c>
      <c r="E1033" s="110">
        <v>8</v>
      </c>
      <c r="F1033" s="112">
        <f t="shared" si="423"/>
        <v>865528</v>
      </c>
      <c r="G1033" s="112">
        <f t="shared" si="423"/>
        <v>865528</v>
      </c>
      <c r="H1033" s="112">
        <f t="shared" si="424"/>
        <v>44962</v>
      </c>
      <c r="I1033" s="112">
        <f t="shared" si="424"/>
        <v>44962</v>
      </c>
      <c r="J1033" s="112">
        <f t="shared" si="413"/>
        <v>2349135</v>
      </c>
      <c r="K1033" s="248">
        <v>1000</v>
      </c>
      <c r="L1033" s="112">
        <v>2300</v>
      </c>
      <c r="M1033" s="113">
        <f t="shared" si="410"/>
        <v>764904.72974186426</v>
      </c>
      <c r="N1033" s="114">
        <v>906.1</v>
      </c>
      <c r="O1033" s="114">
        <v>7</v>
      </c>
      <c r="P1033" s="252">
        <v>35970</v>
      </c>
      <c r="Q1033" s="116" t="s">
        <v>360</v>
      </c>
      <c r="R1033" s="116"/>
      <c r="S1033" s="114">
        <f t="shared" si="425"/>
        <v>17985</v>
      </c>
      <c r="T1033" s="114">
        <f t="shared" si="426"/>
        <v>17985</v>
      </c>
    </row>
    <row r="1034" spans="1:20" ht="16.5" x14ac:dyDescent="0.2">
      <c r="A1034" s="110" t="str">
        <f t="shared" ref="A1034:A1074" si="427">IF(B1034="","",CONCATENATE(B1034,CONCATENATE(REPT(0,2-LEN(C1034)),C1034),IF(OR(D1034="Easy",D1034=""),1,IF(D1034="Normal",2,IF(D1034="Hard",3,IF(D1034="Hell",4,"error")))),E1034))</f>
        <v>90419</v>
      </c>
      <c r="B1034" s="110">
        <v>9</v>
      </c>
      <c r="C1034" s="110">
        <v>4</v>
      </c>
      <c r="D1034" s="110" t="s">
        <v>62</v>
      </c>
      <c r="E1034" s="110">
        <v>9</v>
      </c>
      <c r="F1034" s="112">
        <f t="shared" si="423"/>
        <v>989175</v>
      </c>
      <c r="G1034" s="112">
        <f t="shared" si="423"/>
        <v>989175</v>
      </c>
      <c r="H1034" s="112">
        <f t="shared" si="424"/>
        <v>44962</v>
      </c>
      <c r="I1034" s="112">
        <f t="shared" si="424"/>
        <v>44962</v>
      </c>
      <c r="J1034" s="112">
        <f t="shared" si="413"/>
        <v>2684726</v>
      </c>
      <c r="K1034" s="248">
        <v>1000</v>
      </c>
      <c r="L1034" s="112">
        <v>2500</v>
      </c>
      <c r="M1034" s="113">
        <f t="shared" si="410"/>
        <v>874176.94363112585</v>
      </c>
      <c r="N1034" s="114">
        <v>906.1</v>
      </c>
      <c r="O1034" s="114">
        <v>8</v>
      </c>
      <c r="P1034" s="252">
        <v>35970</v>
      </c>
      <c r="Q1034" s="116" t="s">
        <v>360</v>
      </c>
      <c r="R1034" s="116"/>
      <c r="S1034" s="114">
        <f t="shared" si="425"/>
        <v>17985</v>
      </c>
      <c r="T1034" s="114">
        <f t="shared" si="426"/>
        <v>17985</v>
      </c>
    </row>
    <row r="1035" spans="1:20" ht="38.25" x14ac:dyDescent="0.2">
      <c r="A1035" s="8" t="str">
        <f t="shared" si="427"/>
        <v/>
      </c>
      <c r="B1035" s="5"/>
      <c r="C1035" s="6" t="s">
        <v>713</v>
      </c>
      <c r="D1035" s="5"/>
      <c r="E1035" s="5"/>
      <c r="F1035" s="5"/>
      <c r="G1035" s="5"/>
      <c r="H1035" s="5"/>
      <c r="I1035" s="5"/>
      <c r="J1035" s="5"/>
      <c r="K1035" s="133">
        <v>1000</v>
      </c>
      <c r="L1035" s="5"/>
      <c r="M1035" s="16">
        <f t="shared" si="410"/>
        <v>0</v>
      </c>
      <c r="N1035" s="5"/>
      <c r="O1035" s="5"/>
      <c r="P1035" s="67">
        <v>0</v>
      </c>
      <c r="Q1035" s="5"/>
      <c r="R1035" s="5"/>
      <c r="S1035" s="30"/>
      <c r="T1035" s="266"/>
    </row>
    <row r="1036" spans="1:20" ht="16.5" x14ac:dyDescent="0.2">
      <c r="A1036" s="110" t="str">
        <f t="shared" si="427"/>
        <v>90120</v>
      </c>
      <c r="B1036" s="110">
        <v>9</v>
      </c>
      <c r="C1036" s="110">
        <v>1</v>
      </c>
      <c r="D1036" s="110" t="s">
        <v>716</v>
      </c>
      <c r="E1036" s="110">
        <v>0</v>
      </c>
      <c r="F1036" s="112">
        <f>ROUNDDOWN($P1036/4*$O1036*10*$N1036/$N1036*$Q1036/400,0)</f>
        <v>67512</v>
      </c>
      <c r="G1036" s="112">
        <f>ROUNDDOWN($P1036/4*$O1036*10*$N1036/$N1036*$Q1036/400,0)</f>
        <v>67512</v>
      </c>
      <c r="H1036" s="112">
        <f>ROUNDDOWN($S1036/4*10,0)</f>
        <v>49100</v>
      </c>
      <c r="I1036" s="112">
        <f>ROUNDDOWN($S1036/4*10,0)</f>
        <v>49100</v>
      </c>
      <c r="J1036" s="112">
        <f>ROUNDDOWN($P1036/4*$O1036*10*$N1036/$Q1036*$N1036/400,0)</f>
        <v>220733</v>
      </c>
      <c r="K1036" s="248">
        <v>1000</v>
      </c>
      <c r="L1036" s="112">
        <v>700</v>
      </c>
      <c r="M1036" s="113">
        <f t="shared" si="410"/>
        <v>68431.309846115328</v>
      </c>
      <c r="N1036" s="253">
        <v>994.5</v>
      </c>
      <c r="O1036" s="114">
        <v>0.5</v>
      </c>
      <c r="P1036" s="252">
        <v>39280</v>
      </c>
      <c r="Q1036" s="116" t="s">
        <v>360</v>
      </c>
      <c r="R1036" s="116"/>
      <c r="S1036" s="114">
        <f>P1036*0.5</f>
        <v>19640</v>
      </c>
      <c r="T1036" s="114">
        <f>S1036</f>
        <v>19640</v>
      </c>
    </row>
    <row r="1037" spans="1:20" ht="16.5" x14ac:dyDescent="0.2">
      <c r="A1037" s="110" t="str">
        <f t="shared" si="427"/>
        <v>90121</v>
      </c>
      <c r="B1037" s="110">
        <v>9</v>
      </c>
      <c r="C1037" s="110">
        <v>1</v>
      </c>
      <c r="D1037" s="110" t="s">
        <v>716</v>
      </c>
      <c r="E1037" s="110">
        <v>1</v>
      </c>
      <c r="F1037" s="112">
        <f t="shared" ref="F1037:G1062" si="428">ROUNDDOWN($P1037/4*$O1037*10*$N1037/$N1037*$Q1037/400,0)</f>
        <v>75611</v>
      </c>
      <c r="G1037" s="112">
        <f t="shared" si="428"/>
        <v>75611</v>
      </c>
      <c r="H1037" s="112">
        <f t="shared" ref="H1037:I1062" si="429">ROUNDDOWN($S1037/4*10,0)</f>
        <v>34370</v>
      </c>
      <c r="I1037" s="112">
        <f t="shared" si="429"/>
        <v>34370</v>
      </c>
      <c r="J1037" s="112">
        <f t="shared" ref="J1037:J1075" si="430">ROUNDDOWN($P1037/4*$O1037*10*$N1037/$Q1037*$N1037/400,0)</f>
        <v>236347</v>
      </c>
      <c r="K1037" s="248">
        <v>1000</v>
      </c>
      <c r="L1037" s="112">
        <v>900</v>
      </c>
      <c r="M1037" s="113">
        <f t="shared" si="410"/>
        <v>62697.076565685711</v>
      </c>
      <c r="N1037" s="253">
        <v>972.4</v>
      </c>
      <c r="O1037" s="114">
        <v>1</v>
      </c>
      <c r="P1037" s="252">
        <v>21996</v>
      </c>
      <c r="Q1037" s="116" t="s">
        <v>360</v>
      </c>
      <c r="R1037" s="116"/>
      <c r="S1037" s="114">
        <v>13748</v>
      </c>
      <c r="T1037" s="114">
        <v>13748</v>
      </c>
    </row>
    <row r="1038" spans="1:20" ht="16.5" x14ac:dyDescent="0.2">
      <c r="A1038" s="110" t="str">
        <f t="shared" si="427"/>
        <v>90122</v>
      </c>
      <c r="B1038" s="110">
        <v>9</v>
      </c>
      <c r="C1038" s="110">
        <v>1</v>
      </c>
      <c r="D1038" s="110" t="s">
        <v>716</v>
      </c>
      <c r="E1038" s="110">
        <v>2</v>
      </c>
      <c r="F1038" s="112">
        <f t="shared" si="428"/>
        <v>189035</v>
      </c>
      <c r="G1038" s="112">
        <f t="shared" si="428"/>
        <v>189035</v>
      </c>
      <c r="H1038" s="112">
        <f t="shared" si="429"/>
        <v>34370</v>
      </c>
      <c r="I1038" s="112">
        <f t="shared" si="429"/>
        <v>34370</v>
      </c>
      <c r="J1038" s="112">
        <f t="shared" si="430"/>
        <v>564336</v>
      </c>
      <c r="K1038" s="248">
        <v>1000</v>
      </c>
      <c r="L1038" s="112">
        <v>1100</v>
      </c>
      <c r="M1038" s="113">
        <f t="shared" si="410"/>
        <v>153186.23479613202</v>
      </c>
      <c r="N1038" s="253">
        <v>950.3</v>
      </c>
      <c r="O1038" s="114">
        <v>2</v>
      </c>
      <c r="P1038" s="252">
        <v>27496</v>
      </c>
      <c r="Q1038" s="116" t="s">
        <v>360</v>
      </c>
      <c r="R1038" s="116"/>
      <c r="S1038" s="114">
        <f t="shared" ref="S1038:S1045" si="431">P1038*0.5</f>
        <v>13748</v>
      </c>
      <c r="T1038" s="114">
        <f t="shared" ref="T1038:T1045" si="432">S1038</f>
        <v>13748</v>
      </c>
    </row>
    <row r="1039" spans="1:20" ht="16.5" x14ac:dyDescent="0.2">
      <c r="A1039" s="110" t="str">
        <f t="shared" si="427"/>
        <v>90123</v>
      </c>
      <c r="B1039" s="110">
        <v>9</v>
      </c>
      <c r="C1039" s="110">
        <v>1</v>
      </c>
      <c r="D1039" s="110" t="s">
        <v>716</v>
      </c>
      <c r="E1039" s="110">
        <v>3</v>
      </c>
      <c r="F1039" s="112">
        <f t="shared" si="428"/>
        <v>283552</v>
      </c>
      <c r="G1039" s="112">
        <f t="shared" si="428"/>
        <v>283552</v>
      </c>
      <c r="H1039" s="112">
        <f t="shared" si="429"/>
        <v>34370</v>
      </c>
      <c r="I1039" s="112">
        <f t="shared" si="429"/>
        <v>34370</v>
      </c>
      <c r="J1039" s="112">
        <f t="shared" si="430"/>
        <v>807590</v>
      </c>
      <c r="K1039" s="248">
        <v>1000</v>
      </c>
      <c r="L1039" s="112">
        <v>1300</v>
      </c>
      <c r="M1039" s="113">
        <f t="shared" ref="M1039:M1075" si="433">(F1039*J1039*((H1039+I1039)/2)/1000)^(1/2)/10*0.8</f>
        <v>224435.51262955298</v>
      </c>
      <c r="N1039" s="253">
        <v>928.19999999999993</v>
      </c>
      <c r="O1039" s="114">
        <v>3</v>
      </c>
      <c r="P1039" s="252">
        <v>27496</v>
      </c>
      <c r="Q1039" s="116" t="s">
        <v>360</v>
      </c>
      <c r="R1039" s="116"/>
      <c r="S1039" s="114">
        <f t="shared" si="431"/>
        <v>13748</v>
      </c>
      <c r="T1039" s="114">
        <f t="shared" si="432"/>
        <v>13748</v>
      </c>
    </row>
    <row r="1040" spans="1:20" ht="16.5" x14ac:dyDescent="0.2">
      <c r="A1040" s="110" t="str">
        <f t="shared" si="427"/>
        <v>90124</v>
      </c>
      <c r="B1040" s="110">
        <v>9</v>
      </c>
      <c r="C1040" s="110">
        <v>1</v>
      </c>
      <c r="D1040" s="110" t="s">
        <v>716</v>
      </c>
      <c r="E1040" s="110">
        <v>4</v>
      </c>
      <c r="F1040" s="112">
        <f t="shared" si="428"/>
        <v>272195</v>
      </c>
      <c r="G1040" s="112">
        <f t="shared" si="428"/>
        <v>272195</v>
      </c>
      <c r="H1040" s="112">
        <f t="shared" si="429"/>
        <v>30932</v>
      </c>
      <c r="I1040" s="112">
        <f t="shared" si="429"/>
        <v>30932</v>
      </c>
      <c r="J1040" s="112">
        <f t="shared" si="430"/>
        <v>738766</v>
      </c>
      <c r="K1040" s="248">
        <v>1000</v>
      </c>
      <c r="L1040" s="112">
        <v>1500</v>
      </c>
      <c r="M1040" s="113">
        <f t="shared" si="433"/>
        <v>199520.49303061524</v>
      </c>
      <c r="N1040" s="253">
        <v>906.1</v>
      </c>
      <c r="O1040" s="114">
        <v>4</v>
      </c>
      <c r="P1040" s="252">
        <v>19796</v>
      </c>
      <c r="Q1040" s="116" t="s">
        <v>360</v>
      </c>
      <c r="R1040" s="116"/>
      <c r="S1040" s="114">
        <v>12373</v>
      </c>
      <c r="T1040" s="114">
        <v>12373</v>
      </c>
    </row>
    <row r="1041" spans="1:20" ht="16.5" x14ac:dyDescent="0.2">
      <c r="A1041" s="110" t="str">
        <f t="shared" si="427"/>
        <v>90125</v>
      </c>
      <c r="B1041" s="110">
        <v>9</v>
      </c>
      <c r="C1041" s="110">
        <v>1</v>
      </c>
      <c r="D1041" s="110" t="s">
        <v>716</v>
      </c>
      <c r="E1041" s="110">
        <v>5</v>
      </c>
      <c r="F1041" s="112">
        <f t="shared" si="428"/>
        <v>675125</v>
      </c>
      <c r="G1041" s="112">
        <f t="shared" si="428"/>
        <v>675125</v>
      </c>
      <c r="H1041" s="112">
        <f t="shared" si="429"/>
        <v>49100</v>
      </c>
      <c r="I1041" s="112">
        <f t="shared" si="429"/>
        <v>49100</v>
      </c>
      <c r="J1041" s="112">
        <f t="shared" si="430"/>
        <v>1832361</v>
      </c>
      <c r="K1041" s="248">
        <v>1000</v>
      </c>
      <c r="L1041" s="112">
        <v>1700</v>
      </c>
      <c r="M1041" s="113">
        <f t="shared" si="433"/>
        <v>623488.35720651597</v>
      </c>
      <c r="N1041" s="253">
        <v>906.1</v>
      </c>
      <c r="O1041" s="114">
        <v>5</v>
      </c>
      <c r="P1041" s="252">
        <v>39280</v>
      </c>
      <c r="Q1041" s="116" t="s">
        <v>360</v>
      </c>
      <c r="R1041" s="116"/>
      <c r="S1041" s="114">
        <f t="shared" si="431"/>
        <v>19640</v>
      </c>
      <c r="T1041" s="114">
        <f t="shared" si="432"/>
        <v>19640</v>
      </c>
    </row>
    <row r="1042" spans="1:20" ht="16.5" x14ac:dyDescent="0.2">
      <c r="A1042" s="110" t="str">
        <f t="shared" si="427"/>
        <v>90126</v>
      </c>
      <c r="B1042" s="110">
        <v>9</v>
      </c>
      <c r="C1042" s="110">
        <v>1</v>
      </c>
      <c r="D1042" s="110" t="s">
        <v>716</v>
      </c>
      <c r="E1042" s="110">
        <v>6</v>
      </c>
      <c r="F1042" s="112">
        <f t="shared" si="428"/>
        <v>810150</v>
      </c>
      <c r="G1042" s="112">
        <f t="shared" si="428"/>
        <v>810150</v>
      </c>
      <c r="H1042" s="112">
        <f t="shared" si="429"/>
        <v>49100</v>
      </c>
      <c r="I1042" s="112">
        <f t="shared" si="429"/>
        <v>49100</v>
      </c>
      <c r="J1042" s="112">
        <f t="shared" si="430"/>
        <v>2198833</v>
      </c>
      <c r="K1042" s="248">
        <v>1000</v>
      </c>
      <c r="L1042" s="112">
        <v>1900</v>
      </c>
      <c r="M1042" s="113">
        <f t="shared" si="433"/>
        <v>748185.99462131609</v>
      </c>
      <c r="N1042" s="253">
        <v>906.1</v>
      </c>
      <c r="O1042" s="114">
        <v>6</v>
      </c>
      <c r="P1042" s="252">
        <v>39280</v>
      </c>
      <c r="Q1042" s="116" t="s">
        <v>360</v>
      </c>
      <c r="R1042" s="116"/>
      <c r="S1042" s="114">
        <f t="shared" si="431"/>
        <v>19640</v>
      </c>
      <c r="T1042" s="114">
        <f t="shared" si="432"/>
        <v>19640</v>
      </c>
    </row>
    <row r="1043" spans="1:20" ht="16.5" x14ac:dyDescent="0.2">
      <c r="A1043" s="110" t="str">
        <f t="shared" si="427"/>
        <v>90127</v>
      </c>
      <c r="B1043" s="110">
        <v>9</v>
      </c>
      <c r="C1043" s="110">
        <v>1</v>
      </c>
      <c r="D1043" s="110" t="s">
        <v>716</v>
      </c>
      <c r="E1043" s="110">
        <v>7</v>
      </c>
      <c r="F1043" s="112">
        <f t="shared" si="428"/>
        <v>945175</v>
      </c>
      <c r="G1043" s="112">
        <f t="shared" si="428"/>
        <v>945175</v>
      </c>
      <c r="H1043" s="112">
        <f t="shared" si="429"/>
        <v>49100</v>
      </c>
      <c r="I1043" s="112">
        <f t="shared" si="429"/>
        <v>49100</v>
      </c>
      <c r="J1043" s="112">
        <f t="shared" si="430"/>
        <v>2565305</v>
      </c>
      <c r="K1043" s="248">
        <v>1000</v>
      </c>
      <c r="L1043" s="112">
        <v>2100</v>
      </c>
      <c r="M1043" s="113">
        <f t="shared" si="433"/>
        <v>872883.63203611504</v>
      </c>
      <c r="N1043" s="253">
        <v>906.1</v>
      </c>
      <c r="O1043" s="114">
        <v>7</v>
      </c>
      <c r="P1043" s="252">
        <v>39280</v>
      </c>
      <c r="Q1043" s="116" t="s">
        <v>360</v>
      </c>
      <c r="R1043" s="116"/>
      <c r="S1043" s="114">
        <f t="shared" si="431"/>
        <v>19640</v>
      </c>
      <c r="T1043" s="114">
        <f t="shared" si="432"/>
        <v>19640</v>
      </c>
    </row>
    <row r="1044" spans="1:20" ht="16.5" x14ac:dyDescent="0.2">
      <c r="A1044" s="110" t="str">
        <f t="shared" si="427"/>
        <v>90128</v>
      </c>
      <c r="B1044" s="110">
        <v>9</v>
      </c>
      <c r="C1044" s="110">
        <v>1</v>
      </c>
      <c r="D1044" s="110" t="s">
        <v>716</v>
      </c>
      <c r="E1044" s="110">
        <v>8</v>
      </c>
      <c r="F1044" s="112">
        <f t="shared" si="428"/>
        <v>1080200</v>
      </c>
      <c r="G1044" s="112">
        <f t="shared" si="428"/>
        <v>1080200</v>
      </c>
      <c r="H1044" s="112">
        <f t="shared" si="429"/>
        <v>49100</v>
      </c>
      <c r="I1044" s="112">
        <f t="shared" si="429"/>
        <v>49100</v>
      </c>
      <c r="J1044" s="112">
        <f t="shared" si="430"/>
        <v>2931777</v>
      </c>
      <c r="K1044" s="248">
        <v>1000</v>
      </c>
      <c r="L1044" s="112">
        <v>2300</v>
      </c>
      <c r="M1044" s="113">
        <f t="shared" si="433"/>
        <v>997581.26945091365</v>
      </c>
      <c r="N1044" s="253">
        <v>906.1</v>
      </c>
      <c r="O1044" s="114">
        <v>8</v>
      </c>
      <c r="P1044" s="252">
        <v>39280</v>
      </c>
      <c r="Q1044" s="116" t="s">
        <v>360</v>
      </c>
      <c r="R1044" s="116"/>
      <c r="S1044" s="114">
        <f t="shared" si="431"/>
        <v>19640</v>
      </c>
      <c r="T1044" s="114">
        <f t="shared" si="432"/>
        <v>19640</v>
      </c>
    </row>
    <row r="1045" spans="1:20" ht="16.5" x14ac:dyDescent="0.2">
      <c r="A1045" s="110" t="str">
        <f t="shared" si="427"/>
        <v>90129</v>
      </c>
      <c r="B1045" s="110">
        <v>9</v>
      </c>
      <c r="C1045" s="110">
        <v>1</v>
      </c>
      <c r="D1045" s="110" t="s">
        <v>716</v>
      </c>
      <c r="E1045" s="110">
        <v>9</v>
      </c>
      <c r="F1045" s="112">
        <f t="shared" si="428"/>
        <v>1215225</v>
      </c>
      <c r="G1045" s="112">
        <f t="shared" si="428"/>
        <v>1215225</v>
      </c>
      <c r="H1045" s="112">
        <f t="shared" si="429"/>
        <v>49100</v>
      </c>
      <c r="I1045" s="112">
        <f t="shared" si="429"/>
        <v>49100</v>
      </c>
      <c r="J1045" s="112">
        <f t="shared" si="430"/>
        <v>3298250</v>
      </c>
      <c r="K1045" s="248">
        <v>1000</v>
      </c>
      <c r="L1045" s="112">
        <v>2500</v>
      </c>
      <c r="M1045" s="113">
        <f t="shared" si="433"/>
        <v>1122279.0769982305</v>
      </c>
      <c r="N1045" s="253">
        <v>906.1</v>
      </c>
      <c r="O1045" s="114">
        <v>9</v>
      </c>
      <c r="P1045" s="252">
        <v>39280</v>
      </c>
      <c r="Q1045" s="116" t="s">
        <v>360</v>
      </c>
      <c r="R1045" s="116"/>
      <c r="S1045" s="114">
        <f t="shared" si="431"/>
        <v>19640</v>
      </c>
      <c r="T1045" s="114">
        <f t="shared" si="432"/>
        <v>19640</v>
      </c>
    </row>
    <row r="1046" spans="1:20" ht="16.5" x14ac:dyDescent="0.2">
      <c r="A1046" s="110" t="str">
        <f t="shared" si="427"/>
        <v>90220</v>
      </c>
      <c r="B1046" s="110">
        <v>9</v>
      </c>
      <c r="C1046" s="110">
        <v>2</v>
      </c>
      <c r="D1046" s="110" t="s">
        <v>716</v>
      </c>
      <c r="E1046" s="110">
        <v>0</v>
      </c>
      <c r="F1046" s="112">
        <f>ROUNDDOWN($P1046/4*$O1046*10*$N1046/$N1046*$Q1046/400,0)</f>
        <v>48534</v>
      </c>
      <c r="G1046" s="112">
        <f>ROUNDDOWN($P1046/4*$O1046*10*$N1046/$N1046*$Q1046/400,0)</f>
        <v>48534</v>
      </c>
      <c r="H1046" s="112">
        <f>ROUNDDOWN($S1046/4*10,0)</f>
        <v>35297</v>
      </c>
      <c r="I1046" s="112">
        <f>ROUNDDOWN($S1046/4*10,0)</f>
        <v>35297</v>
      </c>
      <c r="J1046" s="112">
        <f>ROUNDDOWN($P1046/4*$O1046*10*$N1046/$Q1046*$N1046/400,0)</f>
        <v>158683</v>
      </c>
      <c r="K1046" s="248">
        <v>1000</v>
      </c>
      <c r="L1046" s="112">
        <v>700</v>
      </c>
      <c r="M1046" s="113">
        <f t="shared" si="433"/>
        <v>41710.666409401543</v>
      </c>
      <c r="N1046" s="253">
        <v>994.5</v>
      </c>
      <c r="O1046" s="114">
        <v>0.5</v>
      </c>
      <c r="P1046" s="252">
        <v>28238</v>
      </c>
      <c r="Q1046" s="116" t="s">
        <v>360</v>
      </c>
      <c r="R1046" s="116"/>
      <c r="S1046" s="114">
        <f>P1046*0.5</f>
        <v>14119</v>
      </c>
      <c r="T1046" s="114">
        <f>S1046</f>
        <v>14119</v>
      </c>
    </row>
    <row r="1047" spans="1:20" ht="16.5" x14ac:dyDescent="0.2">
      <c r="A1047" s="110" t="str">
        <f t="shared" si="427"/>
        <v>90221</v>
      </c>
      <c r="B1047" s="110">
        <v>9</v>
      </c>
      <c r="C1047" s="110">
        <v>2</v>
      </c>
      <c r="D1047" s="110" t="s">
        <v>716</v>
      </c>
      <c r="E1047" s="110">
        <v>1</v>
      </c>
      <c r="F1047" s="112">
        <f t="shared" si="428"/>
        <v>97068</v>
      </c>
      <c r="G1047" s="112">
        <f t="shared" si="428"/>
        <v>97068</v>
      </c>
      <c r="H1047" s="112">
        <f t="shared" si="429"/>
        <v>35297</v>
      </c>
      <c r="I1047" s="112">
        <f t="shared" si="429"/>
        <v>35297</v>
      </c>
      <c r="J1047" s="112">
        <f t="shared" si="430"/>
        <v>303417</v>
      </c>
      <c r="K1047" s="248">
        <v>1000</v>
      </c>
      <c r="L1047" s="112">
        <v>900</v>
      </c>
      <c r="M1047" s="113">
        <f t="shared" si="433"/>
        <v>81567.449022177258</v>
      </c>
      <c r="N1047" s="253">
        <v>972.4</v>
      </c>
      <c r="O1047" s="114">
        <v>1</v>
      </c>
      <c r="P1047" s="252">
        <v>28238</v>
      </c>
      <c r="Q1047" s="116" t="s">
        <v>360</v>
      </c>
      <c r="R1047" s="116"/>
      <c r="S1047" s="114">
        <f t="shared" ref="S1047:S1055" si="434">P1047*0.5</f>
        <v>14119</v>
      </c>
      <c r="T1047" s="114">
        <f t="shared" ref="T1047:T1055" si="435">S1047</f>
        <v>14119</v>
      </c>
    </row>
    <row r="1048" spans="1:20" ht="16.5" x14ac:dyDescent="0.2">
      <c r="A1048" s="110" t="str">
        <f t="shared" si="427"/>
        <v>90222</v>
      </c>
      <c r="B1048" s="110">
        <v>9</v>
      </c>
      <c r="C1048" s="110">
        <v>2</v>
      </c>
      <c r="D1048" s="110" t="s">
        <v>716</v>
      </c>
      <c r="E1048" s="110">
        <v>2</v>
      </c>
      <c r="F1048" s="112">
        <f t="shared" si="428"/>
        <v>194136</v>
      </c>
      <c r="G1048" s="112">
        <f t="shared" si="428"/>
        <v>194136</v>
      </c>
      <c r="H1048" s="112">
        <f t="shared" si="429"/>
        <v>35297</v>
      </c>
      <c r="I1048" s="112">
        <f t="shared" si="429"/>
        <v>35297</v>
      </c>
      <c r="J1048" s="112">
        <f t="shared" si="430"/>
        <v>579565</v>
      </c>
      <c r="K1048" s="248">
        <v>1000</v>
      </c>
      <c r="L1048" s="112">
        <v>1100</v>
      </c>
      <c r="M1048" s="113">
        <f t="shared" si="433"/>
        <v>159427.41275671718</v>
      </c>
      <c r="N1048" s="253">
        <v>950.3</v>
      </c>
      <c r="O1048" s="114">
        <v>2</v>
      </c>
      <c r="P1048" s="252">
        <v>28238</v>
      </c>
      <c r="Q1048" s="116" t="s">
        <v>360</v>
      </c>
      <c r="R1048" s="116"/>
      <c r="S1048" s="114">
        <f t="shared" si="434"/>
        <v>14119</v>
      </c>
      <c r="T1048" s="114">
        <f t="shared" si="435"/>
        <v>14119</v>
      </c>
    </row>
    <row r="1049" spans="1:20" ht="16.5" x14ac:dyDescent="0.2">
      <c r="A1049" s="110" t="str">
        <f t="shared" si="427"/>
        <v>90223</v>
      </c>
      <c r="B1049" s="110">
        <v>9</v>
      </c>
      <c r="C1049" s="110">
        <v>2</v>
      </c>
      <c r="D1049" s="110" t="s">
        <v>716</v>
      </c>
      <c r="E1049" s="110">
        <v>3</v>
      </c>
      <c r="F1049" s="112">
        <f t="shared" si="428"/>
        <v>416006</v>
      </c>
      <c r="G1049" s="112">
        <f t="shared" si="428"/>
        <v>416006</v>
      </c>
      <c r="H1049" s="112">
        <f t="shared" si="429"/>
        <v>50425</v>
      </c>
      <c r="I1049" s="112">
        <f t="shared" si="429"/>
        <v>50425</v>
      </c>
      <c r="J1049" s="112">
        <f t="shared" si="430"/>
        <v>1184834</v>
      </c>
      <c r="K1049" s="248">
        <v>1000</v>
      </c>
      <c r="L1049" s="112">
        <v>1300</v>
      </c>
      <c r="M1049" s="113">
        <f t="shared" si="433"/>
        <v>398833.3733095199</v>
      </c>
      <c r="N1049" s="253">
        <v>928.19999999999993</v>
      </c>
      <c r="O1049" s="114">
        <v>3</v>
      </c>
      <c r="P1049" s="252">
        <v>40340</v>
      </c>
      <c r="Q1049" s="116" t="s">
        <v>360</v>
      </c>
      <c r="R1049" s="116"/>
      <c r="S1049" s="114">
        <f t="shared" si="434"/>
        <v>20170</v>
      </c>
      <c r="T1049" s="114">
        <f t="shared" si="435"/>
        <v>20170</v>
      </c>
    </row>
    <row r="1050" spans="1:20" ht="16.5" x14ac:dyDescent="0.2">
      <c r="A1050" s="110" t="str">
        <f t="shared" si="427"/>
        <v>90224</v>
      </c>
      <c r="B1050" s="110">
        <v>9</v>
      </c>
      <c r="C1050" s="110">
        <v>2</v>
      </c>
      <c r="D1050" s="110" t="s">
        <v>716</v>
      </c>
      <c r="E1050" s="110">
        <v>4</v>
      </c>
      <c r="F1050" s="112">
        <f t="shared" si="428"/>
        <v>388272</v>
      </c>
      <c r="G1050" s="112">
        <f t="shared" si="428"/>
        <v>388272</v>
      </c>
      <c r="H1050" s="112">
        <f t="shared" si="429"/>
        <v>35297</v>
      </c>
      <c r="I1050" s="112">
        <f t="shared" si="429"/>
        <v>35297</v>
      </c>
      <c r="J1050" s="112">
        <f t="shared" si="430"/>
        <v>1053812</v>
      </c>
      <c r="K1050" s="248">
        <v>1000</v>
      </c>
      <c r="L1050" s="112">
        <v>1500</v>
      </c>
      <c r="M1050" s="113">
        <f t="shared" si="433"/>
        <v>304024.435449738</v>
      </c>
      <c r="N1050" s="253">
        <v>906.1</v>
      </c>
      <c r="O1050" s="114">
        <v>4</v>
      </c>
      <c r="P1050" s="252">
        <v>28238</v>
      </c>
      <c r="Q1050" s="116" t="s">
        <v>360</v>
      </c>
      <c r="R1050" s="116"/>
      <c r="S1050" s="114">
        <f t="shared" si="434"/>
        <v>14119</v>
      </c>
      <c r="T1050" s="114">
        <f t="shared" si="435"/>
        <v>14119</v>
      </c>
    </row>
    <row r="1051" spans="1:20" ht="16.5" x14ac:dyDescent="0.2">
      <c r="A1051" s="110" t="str">
        <f t="shared" si="427"/>
        <v>90225</v>
      </c>
      <c r="B1051" s="110">
        <v>9</v>
      </c>
      <c r="C1051" s="110">
        <v>2</v>
      </c>
      <c r="D1051" s="110" t="s">
        <v>716</v>
      </c>
      <c r="E1051" s="110">
        <v>5</v>
      </c>
      <c r="F1051" s="112">
        <f t="shared" si="428"/>
        <v>693343</v>
      </c>
      <c r="G1051" s="112">
        <f t="shared" si="428"/>
        <v>693343</v>
      </c>
      <c r="H1051" s="112">
        <f t="shared" si="429"/>
        <v>50425</v>
      </c>
      <c r="I1051" s="112">
        <f t="shared" si="429"/>
        <v>50425</v>
      </c>
      <c r="J1051" s="112">
        <f t="shared" si="430"/>
        <v>1881808</v>
      </c>
      <c r="K1051" s="248">
        <v>1000</v>
      </c>
      <c r="L1051" s="112">
        <v>1700</v>
      </c>
      <c r="M1051" s="113">
        <f t="shared" si="433"/>
        <v>648895.35195234045</v>
      </c>
      <c r="N1051" s="253">
        <v>906.1</v>
      </c>
      <c r="O1051" s="114">
        <v>5</v>
      </c>
      <c r="P1051" s="252">
        <v>40340</v>
      </c>
      <c r="Q1051" s="116" t="s">
        <v>360</v>
      </c>
      <c r="R1051" s="116"/>
      <c r="S1051" s="114">
        <f t="shared" si="434"/>
        <v>20170</v>
      </c>
      <c r="T1051" s="114">
        <f t="shared" si="435"/>
        <v>20170</v>
      </c>
    </row>
    <row r="1052" spans="1:20" ht="16.5" x14ac:dyDescent="0.2">
      <c r="A1052" s="110" t="str">
        <f t="shared" si="427"/>
        <v>90226</v>
      </c>
      <c r="B1052" s="110">
        <v>9</v>
      </c>
      <c r="C1052" s="110">
        <v>2</v>
      </c>
      <c r="D1052" s="110" t="s">
        <v>716</v>
      </c>
      <c r="E1052" s="110">
        <v>6</v>
      </c>
      <c r="F1052" s="112">
        <f t="shared" si="428"/>
        <v>582408</v>
      </c>
      <c r="G1052" s="112">
        <f t="shared" si="428"/>
        <v>582408</v>
      </c>
      <c r="H1052" s="112">
        <f t="shared" si="429"/>
        <v>35297</v>
      </c>
      <c r="I1052" s="112">
        <f t="shared" si="429"/>
        <v>35297</v>
      </c>
      <c r="J1052" s="112">
        <f t="shared" si="430"/>
        <v>1580719</v>
      </c>
      <c r="K1052" s="248">
        <v>1000</v>
      </c>
      <c r="L1052" s="112">
        <v>1900</v>
      </c>
      <c r="M1052" s="113">
        <f t="shared" si="433"/>
        <v>456036.79742442921</v>
      </c>
      <c r="N1052" s="253">
        <v>906.1</v>
      </c>
      <c r="O1052" s="114">
        <v>6</v>
      </c>
      <c r="P1052" s="252">
        <v>28238</v>
      </c>
      <c r="Q1052" s="116" t="s">
        <v>360</v>
      </c>
      <c r="R1052" s="116"/>
      <c r="S1052" s="114">
        <f t="shared" si="434"/>
        <v>14119</v>
      </c>
      <c r="T1052" s="114">
        <f t="shared" si="435"/>
        <v>14119</v>
      </c>
    </row>
    <row r="1053" spans="1:20" ht="16.5" x14ac:dyDescent="0.2">
      <c r="A1053" s="110" t="str">
        <f t="shared" si="427"/>
        <v>90227</v>
      </c>
      <c r="B1053" s="110">
        <v>9</v>
      </c>
      <c r="C1053" s="110">
        <v>2</v>
      </c>
      <c r="D1053" s="110" t="s">
        <v>716</v>
      </c>
      <c r="E1053" s="110">
        <v>7</v>
      </c>
      <c r="F1053" s="112">
        <f t="shared" si="428"/>
        <v>970681</v>
      </c>
      <c r="G1053" s="112">
        <f t="shared" si="428"/>
        <v>970681</v>
      </c>
      <c r="H1053" s="112">
        <f t="shared" si="429"/>
        <v>50425</v>
      </c>
      <c r="I1053" s="112">
        <f t="shared" si="429"/>
        <v>50425</v>
      </c>
      <c r="J1053" s="112">
        <f t="shared" si="430"/>
        <v>2634532</v>
      </c>
      <c r="K1053" s="248">
        <v>1000</v>
      </c>
      <c r="L1053" s="112">
        <v>2100</v>
      </c>
      <c r="M1053" s="113">
        <f t="shared" si="433"/>
        <v>908454.00502092252</v>
      </c>
      <c r="N1053" s="253">
        <v>906.1</v>
      </c>
      <c r="O1053" s="114">
        <v>7</v>
      </c>
      <c r="P1053" s="252">
        <v>40340</v>
      </c>
      <c r="Q1053" s="116" t="s">
        <v>360</v>
      </c>
      <c r="R1053" s="116"/>
      <c r="S1053" s="114">
        <f t="shared" si="434"/>
        <v>20170</v>
      </c>
      <c r="T1053" s="114">
        <f t="shared" si="435"/>
        <v>20170</v>
      </c>
    </row>
    <row r="1054" spans="1:20" ht="16.5" x14ac:dyDescent="0.2">
      <c r="A1054" s="110" t="str">
        <f t="shared" si="427"/>
        <v>90228</v>
      </c>
      <c r="B1054" s="110">
        <v>9</v>
      </c>
      <c r="C1054" s="110">
        <v>2</v>
      </c>
      <c r="D1054" s="110" t="s">
        <v>716</v>
      </c>
      <c r="E1054" s="110">
        <v>8</v>
      </c>
      <c r="F1054" s="112">
        <f t="shared" si="428"/>
        <v>1109350</v>
      </c>
      <c r="G1054" s="112">
        <f t="shared" si="428"/>
        <v>1109350</v>
      </c>
      <c r="H1054" s="112">
        <f t="shared" si="429"/>
        <v>50425</v>
      </c>
      <c r="I1054" s="112">
        <f t="shared" si="429"/>
        <v>50425</v>
      </c>
      <c r="J1054" s="112">
        <f t="shared" si="430"/>
        <v>3010894</v>
      </c>
      <c r="K1054" s="248">
        <v>1000</v>
      </c>
      <c r="L1054" s="112">
        <v>2300</v>
      </c>
      <c r="M1054" s="113">
        <f t="shared" si="433"/>
        <v>1038233.3315551993</v>
      </c>
      <c r="N1054" s="253">
        <v>906.1</v>
      </c>
      <c r="O1054" s="114">
        <v>8</v>
      </c>
      <c r="P1054" s="252">
        <v>40340</v>
      </c>
      <c r="Q1054" s="116" t="s">
        <v>360</v>
      </c>
      <c r="R1054" s="116"/>
      <c r="S1054" s="114">
        <f t="shared" si="434"/>
        <v>20170</v>
      </c>
      <c r="T1054" s="114">
        <f t="shared" si="435"/>
        <v>20170</v>
      </c>
    </row>
    <row r="1055" spans="1:20" ht="16.5" x14ac:dyDescent="0.2">
      <c r="A1055" s="110" t="str">
        <f t="shared" si="427"/>
        <v>90229</v>
      </c>
      <c r="B1055" s="110">
        <v>9</v>
      </c>
      <c r="C1055" s="110">
        <v>2</v>
      </c>
      <c r="D1055" s="110" t="s">
        <v>716</v>
      </c>
      <c r="E1055" s="110">
        <v>9</v>
      </c>
      <c r="F1055" s="112">
        <f t="shared" si="428"/>
        <v>1248018</v>
      </c>
      <c r="G1055" s="112">
        <f t="shared" si="428"/>
        <v>1248018</v>
      </c>
      <c r="H1055" s="112">
        <f t="shared" si="429"/>
        <v>50425</v>
      </c>
      <c r="I1055" s="112">
        <f t="shared" si="429"/>
        <v>50425</v>
      </c>
      <c r="J1055" s="112">
        <f t="shared" si="430"/>
        <v>3387255</v>
      </c>
      <c r="K1055" s="248">
        <v>1000</v>
      </c>
      <c r="L1055" s="112">
        <v>2500</v>
      </c>
      <c r="M1055" s="113">
        <f t="shared" si="433"/>
        <v>1168012.0177299569</v>
      </c>
      <c r="N1055" s="253">
        <v>906.1</v>
      </c>
      <c r="O1055" s="114">
        <v>9</v>
      </c>
      <c r="P1055" s="252">
        <v>40340</v>
      </c>
      <c r="Q1055" s="116" t="s">
        <v>360</v>
      </c>
      <c r="R1055" s="116"/>
      <c r="S1055" s="114">
        <f t="shared" si="434"/>
        <v>20170</v>
      </c>
      <c r="T1055" s="114">
        <f t="shared" si="435"/>
        <v>20170</v>
      </c>
    </row>
    <row r="1056" spans="1:20" ht="16.5" x14ac:dyDescent="0.2">
      <c r="A1056" s="110" t="str">
        <f t="shared" si="427"/>
        <v>90320</v>
      </c>
      <c r="B1056" s="110">
        <v>9</v>
      </c>
      <c r="C1056" s="110">
        <v>3</v>
      </c>
      <c r="D1056" s="110" t="s">
        <v>716</v>
      </c>
      <c r="E1056" s="110">
        <v>0</v>
      </c>
      <c r="F1056" s="112">
        <f>ROUNDDOWN($P1056/4*$O1056*10*$N1056/$N1056*$Q1056/400,0)</f>
        <v>71156</v>
      </c>
      <c r="G1056" s="112">
        <f>ROUNDDOWN($P1056/4*$O1056*10*$N1056/$N1056*$Q1056/400,0)</f>
        <v>71156</v>
      </c>
      <c r="H1056" s="112">
        <f>ROUNDDOWN($S1056/4*10,0)</f>
        <v>51750</v>
      </c>
      <c r="I1056" s="112">
        <f>ROUNDDOWN($S1056/4*10,0)</f>
        <v>51750</v>
      </c>
      <c r="J1056" s="112">
        <f>ROUNDDOWN($P1056/4*$O1056*10*$N1056/$Q1056*$N1056/400,0)</f>
        <v>232646</v>
      </c>
      <c r="K1056" s="248">
        <v>1000</v>
      </c>
      <c r="L1056" s="112">
        <v>700</v>
      </c>
      <c r="M1056" s="113">
        <f t="shared" si="433"/>
        <v>74045.508888866447</v>
      </c>
      <c r="N1056" s="253">
        <v>994.5</v>
      </c>
      <c r="O1056" s="114">
        <v>0.5</v>
      </c>
      <c r="P1056" s="252">
        <v>41400</v>
      </c>
      <c r="Q1056" s="116" t="s">
        <v>360</v>
      </c>
      <c r="R1056" s="116"/>
      <c r="S1056" s="114">
        <f>P1056*0.5</f>
        <v>20700</v>
      </c>
      <c r="T1056" s="114">
        <f>S1056</f>
        <v>20700</v>
      </c>
    </row>
    <row r="1057" spans="1:20" ht="16.5" x14ac:dyDescent="0.2">
      <c r="A1057" s="110" t="str">
        <f t="shared" si="427"/>
        <v>90321</v>
      </c>
      <c r="B1057" s="110">
        <v>9</v>
      </c>
      <c r="C1057" s="110">
        <v>3</v>
      </c>
      <c r="D1057" s="110" t="s">
        <v>716</v>
      </c>
      <c r="E1057" s="110">
        <v>1</v>
      </c>
      <c r="F1057" s="112">
        <f t="shared" si="428"/>
        <v>97068</v>
      </c>
      <c r="G1057" s="112">
        <f t="shared" si="428"/>
        <v>97068</v>
      </c>
      <c r="H1057" s="112">
        <f t="shared" si="429"/>
        <v>35297</v>
      </c>
      <c r="I1057" s="112">
        <f t="shared" si="429"/>
        <v>35297</v>
      </c>
      <c r="J1057" s="112">
        <f t="shared" si="430"/>
        <v>303417</v>
      </c>
      <c r="K1057" s="248">
        <v>1000</v>
      </c>
      <c r="L1057" s="112">
        <v>900</v>
      </c>
      <c r="M1057" s="113">
        <f t="shared" si="433"/>
        <v>81567.449022177258</v>
      </c>
      <c r="N1057" s="253">
        <v>972.4</v>
      </c>
      <c r="O1057" s="114">
        <v>1</v>
      </c>
      <c r="P1057" s="252">
        <v>28238</v>
      </c>
      <c r="Q1057" s="116" t="s">
        <v>360</v>
      </c>
      <c r="R1057" s="116"/>
      <c r="S1057" s="114">
        <f t="shared" ref="S1057:S1065" si="436">P1057*0.5</f>
        <v>14119</v>
      </c>
      <c r="T1057" s="114">
        <f t="shared" ref="T1057:T1065" si="437">S1057</f>
        <v>14119</v>
      </c>
    </row>
    <row r="1058" spans="1:20" ht="16.5" x14ac:dyDescent="0.2">
      <c r="A1058" s="110" t="str">
        <f t="shared" si="427"/>
        <v>90322</v>
      </c>
      <c r="B1058" s="110">
        <v>9</v>
      </c>
      <c r="C1058" s="110">
        <v>3</v>
      </c>
      <c r="D1058" s="110" t="s">
        <v>716</v>
      </c>
      <c r="E1058" s="110">
        <v>2</v>
      </c>
      <c r="F1058" s="112">
        <f t="shared" si="428"/>
        <v>199237</v>
      </c>
      <c r="G1058" s="112">
        <f t="shared" si="428"/>
        <v>199237</v>
      </c>
      <c r="H1058" s="112">
        <f t="shared" si="429"/>
        <v>36225</v>
      </c>
      <c r="I1058" s="112">
        <f t="shared" si="429"/>
        <v>36225</v>
      </c>
      <c r="J1058" s="112">
        <f t="shared" si="430"/>
        <v>566399</v>
      </c>
      <c r="K1058" s="248">
        <v>1000</v>
      </c>
      <c r="L1058" s="112">
        <v>1100</v>
      </c>
      <c r="M1058" s="113">
        <f t="shared" si="433"/>
        <v>161748.558857895</v>
      </c>
      <c r="N1058" s="253">
        <v>927.33896103896086</v>
      </c>
      <c r="O1058" s="114">
        <v>2</v>
      </c>
      <c r="P1058" s="252">
        <v>28980</v>
      </c>
      <c r="Q1058" s="116" t="s">
        <v>360</v>
      </c>
      <c r="R1058" s="116"/>
      <c r="S1058" s="114">
        <f t="shared" si="436"/>
        <v>14490</v>
      </c>
      <c r="T1058" s="114">
        <f t="shared" si="437"/>
        <v>14490</v>
      </c>
    </row>
    <row r="1059" spans="1:20" ht="16.5" x14ac:dyDescent="0.2">
      <c r="A1059" s="110" t="str">
        <f t="shared" si="427"/>
        <v>90323</v>
      </c>
      <c r="B1059" s="110">
        <v>9</v>
      </c>
      <c r="C1059" s="110">
        <v>3</v>
      </c>
      <c r="D1059" s="110" t="s">
        <v>716</v>
      </c>
      <c r="E1059" s="110">
        <v>3</v>
      </c>
      <c r="F1059" s="112">
        <f t="shared" si="428"/>
        <v>298856</v>
      </c>
      <c r="G1059" s="112">
        <f t="shared" si="428"/>
        <v>298856</v>
      </c>
      <c r="H1059" s="112">
        <f t="shared" si="429"/>
        <v>36225</v>
      </c>
      <c r="I1059" s="112">
        <f t="shared" si="429"/>
        <v>36225</v>
      </c>
      <c r="J1059" s="112">
        <f t="shared" si="430"/>
        <v>848661</v>
      </c>
      <c r="K1059" s="248">
        <v>1000</v>
      </c>
      <c r="L1059" s="112">
        <v>1300</v>
      </c>
      <c r="M1059" s="113">
        <f t="shared" si="433"/>
        <v>242489.14159652891</v>
      </c>
      <c r="N1059" s="253">
        <v>926.82732919254613</v>
      </c>
      <c r="O1059" s="114">
        <v>3</v>
      </c>
      <c r="P1059" s="252">
        <v>28980</v>
      </c>
      <c r="Q1059" s="116" t="s">
        <v>360</v>
      </c>
      <c r="R1059" s="116"/>
      <c r="S1059" s="114">
        <f t="shared" si="436"/>
        <v>14490</v>
      </c>
      <c r="T1059" s="114">
        <f t="shared" si="437"/>
        <v>14490</v>
      </c>
    </row>
    <row r="1060" spans="1:20" ht="16.5" x14ac:dyDescent="0.2">
      <c r="A1060" s="110" t="str">
        <f t="shared" si="427"/>
        <v>90324</v>
      </c>
      <c r="B1060" s="110">
        <v>9</v>
      </c>
      <c r="C1060" s="110">
        <v>3</v>
      </c>
      <c r="D1060" s="110" t="s">
        <v>716</v>
      </c>
      <c r="E1060" s="110">
        <v>4</v>
      </c>
      <c r="F1060" s="112">
        <f t="shared" si="428"/>
        <v>343750</v>
      </c>
      <c r="G1060" s="112">
        <f t="shared" si="428"/>
        <v>343750</v>
      </c>
      <c r="H1060" s="112">
        <f t="shared" si="429"/>
        <v>32500</v>
      </c>
      <c r="I1060" s="112">
        <f t="shared" si="429"/>
        <v>32500</v>
      </c>
      <c r="J1060" s="112">
        <f t="shared" si="430"/>
        <v>975069</v>
      </c>
      <c r="K1060" s="248">
        <v>1000</v>
      </c>
      <c r="L1060" s="112">
        <v>1500</v>
      </c>
      <c r="M1060" s="113">
        <f t="shared" si="433"/>
        <v>264040.59062954696</v>
      </c>
      <c r="N1060" s="253">
        <v>926.31569734613186</v>
      </c>
      <c r="O1060" s="114">
        <v>4</v>
      </c>
      <c r="P1060" s="252">
        <v>25000</v>
      </c>
      <c r="Q1060" s="116" t="s">
        <v>360</v>
      </c>
      <c r="R1060" s="116"/>
      <c r="S1060" s="114">
        <v>13000</v>
      </c>
      <c r="T1060" s="114">
        <v>13000</v>
      </c>
    </row>
    <row r="1061" spans="1:20" ht="16.5" x14ac:dyDescent="0.2">
      <c r="A1061" s="110" t="str">
        <f t="shared" si="427"/>
        <v>90325</v>
      </c>
      <c r="B1061" s="110">
        <v>9</v>
      </c>
      <c r="C1061" s="110">
        <v>3</v>
      </c>
      <c r="D1061" s="110" t="s">
        <v>716</v>
      </c>
      <c r="E1061" s="110">
        <v>5</v>
      </c>
      <c r="F1061" s="112">
        <f t="shared" si="428"/>
        <v>711562</v>
      </c>
      <c r="G1061" s="112">
        <f t="shared" si="428"/>
        <v>711562</v>
      </c>
      <c r="H1061" s="112">
        <f t="shared" si="429"/>
        <v>51750</v>
      </c>
      <c r="I1061" s="112">
        <f t="shared" si="429"/>
        <v>51750</v>
      </c>
      <c r="J1061" s="112">
        <f t="shared" si="430"/>
        <v>1581668</v>
      </c>
      <c r="K1061" s="248">
        <v>1000</v>
      </c>
      <c r="L1061" s="112">
        <v>1700</v>
      </c>
      <c r="M1061" s="113">
        <f t="shared" si="433"/>
        <v>610533.08247938473</v>
      </c>
      <c r="N1061" s="114">
        <v>820</v>
      </c>
      <c r="O1061" s="114">
        <v>5</v>
      </c>
      <c r="P1061" s="252">
        <v>41400</v>
      </c>
      <c r="Q1061" s="116" t="s">
        <v>360</v>
      </c>
      <c r="R1061" s="116"/>
      <c r="S1061" s="114">
        <f t="shared" si="436"/>
        <v>20700</v>
      </c>
      <c r="T1061" s="114">
        <f t="shared" si="437"/>
        <v>20700</v>
      </c>
    </row>
    <row r="1062" spans="1:20" ht="16.5" x14ac:dyDescent="0.2">
      <c r="A1062" s="110" t="str">
        <f t="shared" si="427"/>
        <v>90326</v>
      </c>
      <c r="B1062" s="110">
        <v>9</v>
      </c>
      <c r="C1062" s="110">
        <v>3</v>
      </c>
      <c r="D1062" s="110" t="s">
        <v>716</v>
      </c>
      <c r="E1062" s="110">
        <v>6</v>
      </c>
      <c r="F1062" s="112">
        <f t="shared" si="428"/>
        <v>853875</v>
      </c>
      <c r="G1062" s="112">
        <f t="shared" si="428"/>
        <v>853875</v>
      </c>
      <c r="H1062" s="112">
        <f t="shared" si="429"/>
        <v>51750</v>
      </c>
      <c r="I1062" s="112">
        <f t="shared" si="429"/>
        <v>51750</v>
      </c>
      <c r="J1062" s="112">
        <f t="shared" si="430"/>
        <v>1898001</v>
      </c>
      <c r="K1062" s="248">
        <v>1000</v>
      </c>
      <c r="L1062" s="112">
        <v>1900</v>
      </c>
      <c r="M1062" s="113">
        <f t="shared" si="433"/>
        <v>732639.84057884815</v>
      </c>
      <c r="N1062" s="114">
        <v>820</v>
      </c>
      <c r="O1062" s="114">
        <v>6</v>
      </c>
      <c r="P1062" s="252">
        <v>41400</v>
      </c>
      <c r="Q1062" s="116" t="s">
        <v>360</v>
      </c>
      <c r="R1062" s="116"/>
      <c r="S1062" s="114">
        <f t="shared" si="436"/>
        <v>20700</v>
      </c>
      <c r="T1062" s="114">
        <f t="shared" si="437"/>
        <v>20700</v>
      </c>
    </row>
    <row r="1063" spans="1:20" ht="16.5" x14ac:dyDescent="0.2">
      <c r="A1063" s="110" t="str">
        <f t="shared" si="427"/>
        <v>90327</v>
      </c>
      <c r="B1063" s="110">
        <v>9</v>
      </c>
      <c r="C1063" s="110">
        <v>3</v>
      </c>
      <c r="D1063" s="110" t="s">
        <v>716</v>
      </c>
      <c r="E1063" s="110">
        <v>7</v>
      </c>
      <c r="F1063" s="112">
        <f t="shared" ref="F1063:G1065" si="438">ROUNDDOWN($P1063/4*$O1063*10*$N1063/$N1063*$Q1063/400,0)</f>
        <v>996187</v>
      </c>
      <c r="G1063" s="112">
        <f t="shared" si="438"/>
        <v>996187</v>
      </c>
      <c r="H1063" s="112">
        <f t="shared" ref="H1063:I1065" si="439">ROUNDDOWN($S1063/4*10,0)</f>
        <v>51750</v>
      </c>
      <c r="I1063" s="112">
        <f t="shared" si="439"/>
        <v>51750</v>
      </c>
      <c r="J1063" s="112">
        <f t="shared" si="430"/>
        <v>2214335</v>
      </c>
      <c r="K1063" s="248">
        <v>1000</v>
      </c>
      <c r="L1063" s="112">
        <v>2100</v>
      </c>
      <c r="M1063" s="113">
        <f t="shared" si="433"/>
        <v>854746.36267235689</v>
      </c>
      <c r="N1063" s="114">
        <v>820</v>
      </c>
      <c r="O1063" s="114">
        <v>7</v>
      </c>
      <c r="P1063" s="252">
        <v>41400</v>
      </c>
      <c r="Q1063" s="116" t="s">
        <v>360</v>
      </c>
      <c r="R1063" s="116"/>
      <c r="S1063" s="114">
        <f t="shared" si="436"/>
        <v>20700</v>
      </c>
      <c r="T1063" s="114">
        <f t="shared" si="437"/>
        <v>20700</v>
      </c>
    </row>
    <row r="1064" spans="1:20" ht="16.5" x14ac:dyDescent="0.2">
      <c r="A1064" s="110" t="str">
        <f t="shared" si="427"/>
        <v>90328</v>
      </c>
      <c r="B1064" s="110">
        <v>9</v>
      </c>
      <c r="C1064" s="110">
        <v>3</v>
      </c>
      <c r="D1064" s="110" t="s">
        <v>716</v>
      </c>
      <c r="E1064" s="110">
        <v>8</v>
      </c>
      <c r="F1064" s="112">
        <f t="shared" si="438"/>
        <v>1138500</v>
      </c>
      <c r="G1064" s="112">
        <f t="shared" si="438"/>
        <v>1138500</v>
      </c>
      <c r="H1064" s="112">
        <f t="shared" si="439"/>
        <v>51750</v>
      </c>
      <c r="I1064" s="112">
        <f t="shared" si="439"/>
        <v>51750</v>
      </c>
      <c r="J1064" s="112">
        <f t="shared" si="430"/>
        <v>2530669</v>
      </c>
      <c r="K1064" s="248">
        <v>1000</v>
      </c>
      <c r="L1064" s="112">
        <v>2300</v>
      </c>
      <c r="M1064" s="113">
        <f t="shared" si="433"/>
        <v>976853.31377479609</v>
      </c>
      <c r="N1064" s="114">
        <v>820</v>
      </c>
      <c r="O1064" s="114">
        <v>8</v>
      </c>
      <c r="P1064" s="252">
        <v>41400</v>
      </c>
      <c r="Q1064" s="116" t="s">
        <v>360</v>
      </c>
      <c r="R1064" s="116"/>
      <c r="S1064" s="114">
        <f t="shared" si="436"/>
        <v>20700</v>
      </c>
      <c r="T1064" s="114">
        <f t="shared" si="437"/>
        <v>20700</v>
      </c>
    </row>
    <row r="1065" spans="1:20" ht="16.5" x14ac:dyDescent="0.2">
      <c r="A1065" s="110" t="str">
        <f t="shared" si="427"/>
        <v>90329</v>
      </c>
      <c r="B1065" s="110">
        <v>9</v>
      </c>
      <c r="C1065" s="110">
        <v>3</v>
      </c>
      <c r="D1065" s="110" t="s">
        <v>716</v>
      </c>
      <c r="E1065" s="110">
        <v>9</v>
      </c>
      <c r="F1065" s="112">
        <f t="shared" si="438"/>
        <v>1280812</v>
      </c>
      <c r="G1065" s="112">
        <f t="shared" si="438"/>
        <v>1280812</v>
      </c>
      <c r="H1065" s="112">
        <f t="shared" si="439"/>
        <v>51750</v>
      </c>
      <c r="I1065" s="112">
        <f t="shared" si="439"/>
        <v>51750</v>
      </c>
      <c r="J1065" s="112">
        <f t="shared" si="430"/>
        <v>2847002</v>
      </c>
      <c r="K1065" s="248">
        <v>1000</v>
      </c>
      <c r="L1065" s="112">
        <v>2500</v>
      </c>
      <c r="M1065" s="113">
        <f t="shared" si="433"/>
        <v>1098959.6428653186</v>
      </c>
      <c r="N1065" s="114">
        <v>820</v>
      </c>
      <c r="O1065" s="114">
        <v>9</v>
      </c>
      <c r="P1065" s="252">
        <v>41400</v>
      </c>
      <c r="Q1065" s="116" t="s">
        <v>360</v>
      </c>
      <c r="R1065" s="116"/>
      <c r="S1065" s="114">
        <f t="shared" si="436"/>
        <v>20700</v>
      </c>
      <c r="T1065" s="114">
        <f t="shared" si="437"/>
        <v>20700</v>
      </c>
    </row>
    <row r="1066" spans="1:20" ht="16.5" x14ac:dyDescent="0.2">
      <c r="A1066" s="110" t="str">
        <f t="shared" si="427"/>
        <v>90420</v>
      </c>
      <c r="B1066" s="110">
        <v>9</v>
      </c>
      <c r="C1066" s="110">
        <v>4</v>
      </c>
      <c r="D1066" s="110" t="s">
        <v>716</v>
      </c>
      <c r="E1066" s="110">
        <v>0</v>
      </c>
      <c r="F1066" s="112">
        <f>ROUNDDOWN($P1066/4*$O1066*10*$N1066/$N1066*$Q1066/400,0)</f>
        <v>51084</v>
      </c>
      <c r="G1066" s="112">
        <f>ROUNDDOWN($P1066/4*$O1066*10*$N1066/$N1066*$Q1066/400,0)</f>
        <v>51084</v>
      </c>
      <c r="H1066" s="112">
        <f>ROUNDDOWN($S1066/4*10,0)</f>
        <v>37152</v>
      </c>
      <c r="I1066" s="112">
        <f>ROUNDDOWN($S1066/4*10,0)</f>
        <v>37152</v>
      </c>
      <c r="J1066" s="112">
        <f>ROUNDDOWN($P1066/4*$O1066*10*$N1066/$Q1066*$N1066/400,0)</f>
        <v>136788</v>
      </c>
      <c r="K1066" s="248">
        <v>1000</v>
      </c>
      <c r="L1066" s="112">
        <v>700</v>
      </c>
      <c r="M1066" s="113">
        <f t="shared" si="433"/>
        <v>40761.253773783479</v>
      </c>
      <c r="N1066" s="114">
        <v>900</v>
      </c>
      <c r="O1066" s="114">
        <v>0.5</v>
      </c>
      <c r="P1066" s="252">
        <v>29722</v>
      </c>
      <c r="Q1066" s="116" t="s">
        <v>360</v>
      </c>
      <c r="R1066" s="116"/>
      <c r="S1066" s="114">
        <f>P1066*0.5</f>
        <v>14861</v>
      </c>
      <c r="T1066" s="114">
        <f>S1066</f>
        <v>14861</v>
      </c>
    </row>
    <row r="1067" spans="1:20" ht="16.5" x14ac:dyDescent="0.2">
      <c r="A1067" s="110" t="str">
        <f t="shared" si="427"/>
        <v>90421</v>
      </c>
      <c r="B1067" s="110">
        <v>9</v>
      </c>
      <c r="C1067" s="110">
        <v>4</v>
      </c>
      <c r="D1067" s="110" t="s">
        <v>716</v>
      </c>
      <c r="E1067" s="110">
        <v>1</v>
      </c>
      <c r="F1067" s="112">
        <f t="shared" ref="F1067:G1075" si="440">ROUNDDOWN($P1067/4*$O1067*10*$N1067/$N1067*$Q1067/400,0)</f>
        <v>102169</v>
      </c>
      <c r="G1067" s="112">
        <f t="shared" si="440"/>
        <v>102169</v>
      </c>
      <c r="H1067" s="112">
        <f t="shared" ref="H1067:I1075" si="441">ROUNDDOWN($S1067/4*10,0)</f>
        <v>37152</v>
      </c>
      <c r="I1067" s="112">
        <f t="shared" si="441"/>
        <v>37152</v>
      </c>
      <c r="J1067" s="112">
        <f t="shared" si="430"/>
        <v>261553</v>
      </c>
      <c r="K1067" s="248">
        <v>1000</v>
      </c>
      <c r="L1067" s="112">
        <v>900</v>
      </c>
      <c r="M1067" s="113">
        <f t="shared" si="433"/>
        <v>79711.413462091936</v>
      </c>
      <c r="N1067" s="114">
        <v>880</v>
      </c>
      <c r="O1067" s="114">
        <v>1</v>
      </c>
      <c r="P1067" s="252">
        <v>29722</v>
      </c>
      <c r="Q1067" s="116" t="s">
        <v>360</v>
      </c>
      <c r="R1067" s="116"/>
      <c r="S1067" s="114">
        <f t="shared" ref="S1067:S1075" si="442">P1067*0.5</f>
        <v>14861</v>
      </c>
      <c r="T1067" s="114">
        <f t="shared" ref="T1067:T1075" si="443">S1067</f>
        <v>14861</v>
      </c>
    </row>
    <row r="1068" spans="1:20" ht="16.5" x14ac:dyDescent="0.2">
      <c r="A1068" s="110" t="str">
        <f t="shared" si="427"/>
        <v>90422</v>
      </c>
      <c r="B1068" s="110">
        <v>9</v>
      </c>
      <c r="C1068" s="110">
        <v>4</v>
      </c>
      <c r="D1068" s="110" t="s">
        <v>716</v>
      </c>
      <c r="E1068" s="110">
        <v>2</v>
      </c>
      <c r="F1068" s="112">
        <f t="shared" si="440"/>
        <v>291912</v>
      </c>
      <c r="G1068" s="112">
        <f t="shared" si="440"/>
        <v>291912</v>
      </c>
      <c r="H1068" s="112">
        <f t="shared" si="441"/>
        <v>53075</v>
      </c>
      <c r="I1068" s="112">
        <f t="shared" si="441"/>
        <v>53075</v>
      </c>
      <c r="J1068" s="112">
        <f t="shared" si="430"/>
        <v>713714</v>
      </c>
      <c r="K1068" s="248">
        <v>1000</v>
      </c>
      <c r="L1068" s="112">
        <v>1100</v>
      </c>
      <c r="M1068" s="113">
        <f t="shared" si="433"/>
        <v>266025.37897566514</v>
      </c>
      <c r="N1068" s="114">
        <v>860</v>
      </c>
      <c r="O1068" s="114">
        <v>2</v>
      </c>
      <c r="P1068" s="252">
        <v>42460</v>
      </c>
      <c r="Q1068" s="116" t="s">
        <v>360</v>
      </c>
      <c r="R1068" s="116"/>
      <c r="S1068" s="114">
        <f t="shared" si="442"/>
        <v>21230</v>
      </c>
      <c r="T1068" s="114">
        <f t="shared" si="443"/>
        <v>21230</v>
      </c>
    </row>
    <row r="1069" spans="1:20" ht="16.5" x14ac:dyDescent="0.2">
      <c r="A1069" s="110" t="str">
        <f t="shared" si="427"/>
        <v>90423</v>
      </c>
      <c r="B1069" s="110">
        <v>9</v>
      </c>
      <c r="C1069" s="110">
        <v>4</v>
      </c>
      <c r="D1069" s="110" t="s">
        <v>716</v>
      </c>
      <c r="E1069" s="110">
        <v>3</v>
      </c>
      <c r="F1069" s="112">
        <f t="shared" si="440"/>
        <v>437868</v>
      </c>
      <c r="G1069" s="112">
        <f t="shared" si="440"/>
        <v>437868</v>
      </c>
      <c r="H1069" s="112">
        <f t="shared" si="441"/>
        <v>53075</v>
      </c>
      <c r="I1069" s="112">
        <f t="shared" si="441"/>
        <v>53075</v>
      </c>
      <c r="J1069" s="112">
        <f t="shared" si="430"/>
        <v>1021356</v>
      </c>
      <c r="K1069" s="248">
        <v>1000</v>
      </c>
      <c r="L1069" s="112">
        <v>1300</v>
      </c>
      <c r="M1069" s="113">
        <f t="shared" si="433"/>
        <v>389758.1133829513</v>
      </c>
      <c r="N1069" s="114">
        <v>840</v>
      </c>
      <c r="O1069" s="114">
        <v>3</v>
      </c>
      <c r="P1069" s="252">
        <v>42460</v>
      </c>
      <c r="Q1069" s="116" t="s">
        <v>360</v>
      </c>
      <c r="R1069" s="116"/>
      <c r="S1069" s="114">
        <f t="shared" si="442"/>
        <v>21230</v>
      </c>
      <c r="T1069" s="114">
        <f t="shared" si="443"/>
        <v>21230</v>
      </c>
    </row>
    <row r="1070" spans="1:20" ht="16.5" x14ac:dyDescent="0.2">
      <c r="A1070" s="110" t="str">
        <f t="shared" si="427"/>
        <v>90424</v>
      </c>
      <c r="B1070" s="110">
        <v>9</v>
      </c>
      <c r="C1070" s="110">
        <v>4</v>
      </c>
      <c r="D1070" s="110" t="s">
        <v>716</v>
      </c>
      <c r="E1070" s="110">
        <v>4</v>
      </c>
      <c r="F1070" s="112">
        <f t="shared" si="440"/>
        <v>408677</v>
      </c>
      <c r="G1070" s="112">
        <f t="shared" si="440"/>
        <v>408677</v>
      </c>
      <c r="H1070" s="112">
        <f t="shared" si="441"/>
        <v>37152</v>
      </c>
      <c r="I1070" s="112">
        <f t="shared" si="441"/>
        <v>37152</v>
      </c>
      <c r="J1070" s="112">
        <f t="shared" si="430"/>
        <v>908412</v>
      </c>
      <c r="K1070" s="248">
        <v>1000</v>
      </c>
      <c r="L1070" s="112">
        <v>1500</v>
      </c>
      <c r="M1070" s="113">
        <f t="shared" si="433"/>
        <v>297106.81631503184</v>
      </c>
      <c r="N1070" s="114">
        <v>820</v>
      </c>
      <c r="O1070" s="114">
        <v>4</v>
      </c>
      <c r="P1070" s="252">
        <v>29722</v>
      </c>
      <c r="Q1070" s="116" t="s">
        <v>360</v>
      </c>
      <c r="R1070" s="116"/>
      <c r="S1070" s="114">
        <f t="shared" si="442"/>
        <v>14861</v>
      </c>
      <c r="T1070" s="114">
        <f t="shared" si="443"/>
        <v>14861</v>
      </c>
    </row>
    <row r="1071" spans="1:20" ht="16.5" x14ac:dyDescent="0.2">
      <c r="A1071" s="110" t="str">
        <f t="shared" si="427"/>
        <v>90425</v>
      </c>
      <c r="B1071" s="110">
        <v>9</v>
      </c>
      <c r="C1071" s="110">
        <v>4</v>
      </c>
      <c r="D1071" s="110" t="s">
        <v>716</v>
      </c>
      <c r="E1071" s="110">
        <v>5</v>
      </c>
      <c r="F1071" s="112">
        <f t="shared" si="440"/>
        <v>729781</v>
      </c>
      <c r="G1071" s="112">
        <f t="shared" si="440"/>
        <v>729781</v>
      </c>
      <c r="H1071" s="112">
        <f t="shared" si="441"/>
        <v>53075</v>
      </c>
      <c r="I1071" s="112">
        <f t="shared" si="441"/>
        <v>53075</v>
      </c>
      <c r="J1071" s="112">
        <f t="shared" si="430"/>
        <v>1622165</v>
      </c>
      <c r="K1071" s="248">
        <v>1000</v>
      </c>
      <c r="L1071" s="112">
        <v>1700</v>
      </c>
      <c r="M1071" s="113">
        <f t="shared" si="433"/>
        <v>634130.69830392476</v>
      </c>
      <c r="N1071" s="114">
        <v>820</v>
      </c>
      <c r="O1071" s="114">
        <v>5</v>
      </c>
      <c r="P1071" s="252">
        <v>42460</v>
      </c>
      <c r="Q1071" s="116" t="s">
        <v>360</v>
      </c>
      <c r="R1071" s="116"/>
      <c r="S1071" s="114">
        <f t="shared" si="442"/>
        <v>21230</v>
      </c>
      <c r="T1071" s="114">
        <f t="shared" si="443"/>
        <v>21230</v>
      </c>
    </row>
    <row r="1072" spans="1:20" ht="16.5" x14ac:dyDescent="0.2">
      <c r="A1072" s="110" t="str">
        <f t="shared" si="427"/>
        <v>90426</v>
      </c>
      <c r="B1072" s="110">
        <v>9</v>
      </c>
      <c r="C1072" s="110">
        <v>4</v>
      </c>
      <c r="D1072" s="110" t="s">
        <v>716</v>
      </c>
      <c r="E1072" s="110">
        <v>6</v>
      </c>
      <c r="F1072" s="112">
        <f t="shared" si="440"/>
        <v>613016</v>
      </c>
      <c r="G1072" s="112">
        <f t="shared" si="440"/>
        <v>613016</v>
      </c>
      <c r="H1072" s="112">
        <f t="shared" si="441"/>
        <v>37152</v>
      </c>
      <c r="I1072" s="112">
        <f t="shared" si="441"/>
        <v>37152</v>
      </c>
      <c r="J1072" s="112">
        <f t="shared" si="430"/>
        <v>1362618</v>
      </c>
      <c r="K1072" s="248">
        <v>1000</v>
      </c>
      <c r="L1072" s="112">
        <v>1900</v>
      </c>
      <c r="M1072" s="113">
        <f t="shared" si="433"/>
        <v>445660.40622167708</v>
      </c>
      <c r="N1072" s="114">
        <v>820</v>
      </c>
      <c r="O1072" s="114">
        <v>6</v>
      </c>
      <c r="P1072" s="252">
        <v>29722</v>
      </c>
      <c r="Q1072" s="116" t="s">
        <v>360</v>
      </c>
      <c r="R1072" s="116"/>
      <c r="S1072" s="114">
        <f t="shared" si="442"/>
        <v>14861</v>
      </c>
      <c r="T1072" s="114">
        <f t="shared" si="443"/>
        <v>14861</v>
      </c>
    </row>
    <row r="1073" spans="1:20" ht="16.5" x14ac:dyDescent="0.2">
      <c r="A1073" s="110" t="str">
        <f t="shared" si="427"/>
        <v>90427</v>
      </c>
      <c r="B1073" s="110">
        <v>9</v>
      </c>
      <c r="C1073" s="110">
        <v>4</v>
      </c>
      <c r="D1073" s="110" t="s">
        <v>716</v>
      </c>
      <c r="E1073" s="110">
        <v>7</v>
      </c>
      <c r="F1073" s="112">
        <f t="shared" si="440"/>
        <v>1021693</v>
      </c>
      <c r="G1073" s="112">
        <f t="shared" si="440"/>
        <v>1021693</v>
      </c>
      <c r="H1073" s="112">
        <f t="shared" si="441"/>
        <v>53075</v>
      </c>
      <c r="I1073" s="112">
        <f t="shared" si="441"/>
        <v>53075</v>
      </c>
      <c r="J1073" s="112">
        <f t="shared" si="430"/>
        <v>2271031</v>
      </c>
      <c r="K1073" s="248">
        <v>1000</v>
      </c>
      <c r="L1073" s="112">
        <v>2100</v>
      </c>
      <c r="M1073" s="113">
        <f t="shared" si="433"/>
        <v>887782.8038389039</v>
      </c>
      <c r="N1073" s="114">
        <v>820</v>
      </c>
      <c r="O1073" s="114">
        <v>7</v>
      </c>
      <c r="P1073" s="252">
        <v>42460</v>
      </c>
      <c r="Q1073" s="116" t="s">
        <v>360</v>
      </c>
      <c r="R1073" s="114">
        <f>F1073/F1114</f>
        <v>0.85847104226341475</v>
      </c>
      <c r="S1073" s="114">
        <f t="shared" si="442"/>
        <v>21230</v>
      </c>
      <c r="T1073" s="114">
        <f t="shared" si="443"/>
        <v>21230</v>
      </c>
    </row>
    <row r="1074" spans="1:20" ht="16.5" x14ac:dyDescent="0.2">
      <c r="A1074" s="110" t="str">
        <f t="shared" si="427"/>
        <v>90428</v>
      </c>
      <c r="B1074" s="110">
        <v>9</v>
      </c>
      <c r="C1074" s="110">
        <v>4</v>
      </c>
      <c r="D1074" s="110" t="s">
        <v>716</v>
      </c>
      <c r="E1074" s="110">
        <v>8</v>
      </c>
      <c r="F1074" s="112">
        <f t="shared" si="440"/>
        <v>1167650</v>
      </c>
      <c r="G1074" s="112">
        <f t="shared" si="440"/>
        <v>1167650</v>
      </c>
      <c r="H1074" s="112">
        <f t="shared" si="441"/>
        <v>53075</v>
      </c>
      <c r="I1074" s="112">
        <f t="shared" si="441"/>
        <v>53075</v>
      </c>
      <c r="J1074" s="112">
        <f t="shared" si="430"/>
        <v>2595464</v>
      </c>
      <c r="K1074" s="248">
        <v>1000</v>
      </c>
      <c r="L1074" s="112">
        <v>2300</v>
      </c>
      <c r="M1074" s="113">
        <f t="shared" si="433"/>
        <v>1014609.2910728386</v>
      </c>
      <c r="N1074" s="114">
        <v>820</v>
      </c>
      <c r="O1074" s="114">
        <v>8</v>
      </c>
      <c r="P1074" s="252">
        <v>42460</v>
      </c>
      <c r="Q1074" s="116" t="s">
        <v>360</v>
      </c>
      <c r="R1074" s="116"/>
      <c r="S1074" s="114">
        <f t="shared" si="442"/>
        <v>21230</v>
      </c>
      <c r="T1074" s="114">
        <f t="shared" si="443"/>
        <v>21230</v>
      </c>
    </row>
    <row r="1075" spans="1:20" ht="16.5" x14ac:dyDescent="0.2">
      <c r="A1075" s="110" t="str">
        <f t="shared" ref="A1075" si="444">IF(B1075="","",CONCATENATE(B1075,CONCATENATE(REPT(0,2-LEN(C1075)),C1075),IF(OR(D1075="Easy",D1075=""),1,IF(D1075="Normal",2,IF(D1075="Hard",3,IF(D1075="Hell",4,"error")))),E1075))</f>
        <v>90429</v>
      </c>
      <c r="B1075" s="110">
        <v>9</v>
      </c>
      <c r="C1075" s="110">
        <v>4</v>
      </c>
      <c r="D1075" s="110" t="s">
        <v>716</v>
      </c>
      <c r="E1075" s="110">
        <v>9</v>
      </c>
      <c r="F1075" s="112">
        <f t="shared" si="440"/>
        <v>1313606</v>
      </c>
      <c r="G1075" s="112">
        <f t="shared" si="440"/>
        <v>1313606</v>
      </c>
      <c r="H1075" s="112">
        <f t="shared" si="441"/>
        <v>53075</v>
      </c>
      <c r="I1075" s="112">
        <f t="shared" si="441"/>
        <v>53075</v>
      </c>
      <c r="J1075" s="112">
        <f t="shared" si="430"/>
        <v>2919897</v>
      </c>
      <c r="K1075" s="248">
        <v>1000</v>
      </c>
      <c r="L1075" s="112">
        <v>2500</v>
      </c>
      <c r="M1075" s="113">
        <f t="shared" si="433"/>
        <v>1141435.3438403483</v>
      </c>
      <c r="N1075" s="114">
        <v>820</v>
      </c>
      <c r="O1075" s="114">
        <v>9</v>
      </c>
      <c r="P1075" s="252">
        <v>42460</v>
      </c>
      <c r="Q1075" s="116" t="s">
        <v>360</v>
      </c>
      <c r="R1075" s="116"/>
      <c r="S1075" s="114">
        <f t="shared" si="442"/>
        <v>21230</v>
      </c>
      <c r="T1075" s="114">
        <f t="shared" si="443"/>
        <v>21230</v>
      </c>
    </row>
    <row r="1076" spans="1:20" ht="38.25" x14ac:dyDescent="0.2">
      <c r="A1076" s="8" t="str">
        <f t="shared" ref="A1076:A1116" si="445">IF(B1076="","",CONCATENATE(B1076,CONCATENATE(REPT(0,2-LEN(C1076)),C1076),IF(OR(D1076="Easy",D1076=""),1,IF(D1076="Normal",2,IF(D1076="Hard",3,IF(D1076="Hell",4,"error")))),E1076))</f>
        <v/>
      </c>
      <c r="B1076" s="5"/>
      <c r="C1076" s="6" t="s">
        <v>714</v>
      </c>
      <c r="D1076" s="5"/>
      <c r="E1076" s="5"/>
      <c r="F1076" s="5"/>
      <c r="G1076" s="5"/>
      <c r="H1076" s="5"/>
      <c r="I1076" s="5"/>
      <c r="J1076" s="5"/>
      <c r="K1076" s="133">
        <v>1000</v>
      </c>
      <c r="L1076" s="5"/>
      <c r="M1076" s="16">
        <f t="shared" si="410"/>
        <v>0</v>
      </c>
      <c r="N1076" s="5"/>
      <c r="O1076" s="5"/>
      <c r="P1076" s="67">
        <v>0</v>
      </c>
      <c r="Q1076" s="5"/>
      <c r="R1076" s="5"/>
      <c r="S1076" s="30"/>
      <c r="T1076" s="266"/>
    </row>
    <row r="1077" spans="1:20" x14ac:dyDescent="0.2">
      <c r="A1077" s="110" t="str">
        <f t="shared" si="445"/>
        <v>90130</v>
      </c>
      <c r="B1077" s="110">
        <v>9</v>
      </c>
      <c r="C1077" s="110">
        <v>1</v>
      </c>
      <c r="D1077" s="110" t="s">
        <v>724</v>
      </c>
      <c r="E1077" s="110">
        <v>0</v>
      </c>
      <c r="F1077" s="112">
        <f>ROUNDDOWN($P1077/4*$O1077*10*$N1077/$N1077*$Q1077/400,0)</f>
        <v>79200</v>
      </c>
      <c r="G1077" s="112">
        <f>ROUNDDOWN($P1077/4*$O1077*10*$N1077/$N1077*$Q1077/400,0)</f>
        <v>79200</v>
      </c>
      <c r="H1077" s="112">
        <f>ROUNDDOWN($S1077/4*10,0)</f>
        <v>57600</v>
      </c>
      <c r="I1077" s="112">
        <f>ROUNDDOWN($S1077/4*10,0)</f>
        <v>57600</v>
      </c>
      <c r="J1077" s="112">
        <f>ROUNDDOWN($P1077/4*$O1077*10*$N1077/$Q1077*$N1077/400,0)</f>
        <v>212072</v>
      </c>
      <c r="K1077" s="248">
        <v>1000</v>
      </c>
      <c r="L1077" s="112">
        <v>700</v>
      </c>
      <c r="M1077" s="113">
        <f t="shared" ref="M1077:M1116" si="446">(F1077*J1077*((H1077+I1077)/2)/1000)^(1/2)/10*0.8</f>
        <v>78687.452549539317</v>
      </c>
      <c r="N1077" s="114">
        <v>900</v>
      </c>
      <c r="O1077" s="114">
        <v>0.5</v>
      </c>
      <c r="P1077" s="254">
        <v>46080</v>
      </c>
      <c r="Q1077" s="116" t="s">
        <v>360</v>
      </c>
      <c r="R1077" s="116"/>
      <c r="S1077" s="114">
        <f>P1077*0.5</f>
        <v>23040</v>
      </c>
      <c r="T1077" s="114">
        <f>S1077</f>
        <v>23040</v>
      </c>
    </row>
    <row r="1078" spans="1:20" x14ac:dyDescent="0.2">
      <c r="A1078" s="110" t="str">
        <f t="shared" si="445"/>
        <v>90131</v>
      </c>
      <c r="B1078" s="110">
        <v>9</v>
      </c>
      <c r="C1078" s="110">
        <v>1</v>
      </c>
      <c r="D1078" s="110" t="s">
        <v>724</v>
      </c>
      <c r="E1078" s="110">
        <v>1</v>
      </c>
      <c r="F1078" s="112">
        <f t="shared" ref="F1078:G1103" si="447">ROUNDDOWN($P1078/4*$O1078*10*$N1078/$N1078*$Q1078/400,0)</f>
        <v>110880</v>
      </c>
      <c r="G1078" s="112">
        <f t="shared" si="447"/>
        <v>110880</v>
      </c>
      <c r="H1078" s="112">
        <f t="shared" ref="H1078:I1103" si="448">ROUNDDOWN($S1078/4*10,0)</f>
        <v>40320</v>
      </c>
      <c r="I1078" s="112">
        <f t="shared" si="448"/>
        <v>40320</v>
      </c>
      <c r="J1078" s="112">
        <f t="shared" ref="J1078:J1116" si="449">ROUNDDOWN($P1078/4*$O1078*10*$N1078/$Q1078*$N1078/400,0)</f>
        <v>283852</v>
      </c>
      <c r="K1078" s="248">
        <v>1000</v>
      </c>
      <c r="L1078" s="112">
        <v>900</v>
      </c>
      <c r="M1078" s="113">
        <f t="shared" si="446"/>
        <v>90120.343133770191</v>
      </c>
      <c r="N1078" s="114">
        <v>880</v>
      </c>
      <c r="O1078" s="114">
        <v>1</v>
      </c>
      <c r="P1078" s="254">
        <v>32256</v>
      </c>
      <c r="Q1078" s="116" t="s">
        <v>360</v>
      </c>
      <c r="R1078" s="116"/>
      <c r="S1078" s="114">
        <f t="shared" ref="S1078:S1086" si="450">P1078*0.5</f>
        <v>16128</v>
      </c>
      <c r="T1078" s="114">
        <f t="shared" ref="T1078:T1086" si="451">S1078</f>
        <v>16128</v>
      </c>
    </row>
    <row r="1079" spans="1:20" x14ac:dyDescent="0.2">
      <c r="A1079" s="110" t="str">
        <f t="shared" si="445"/>
        <v>90132</v>
      </c>
      <c r="B1079" s="110">
        <v>9</v>
      </c>
      <c r="C1079" s="110">
        <v>1</v>
      </c>
      <c r="D1079" s="110" t="s">
        <v>724</v>
      </c>
      <c r="E1079" s="110">
        <v>2</v>
      </c>
      <c r="F1079" s="112">
        <f t="shared" si="447"/>
        <v>221760</v>
      </c>
      <c r="G1079" s="112">
        <f t="shared" si="447"/>
        <v>221760</v>
      </c>
      <c r="H1079" s="112">
        <f t="shared" si="448"/>
        <v>40320</v>
      </c>
      <c r="I1079" s="112">
        <f t="shared" si="448"/>
        <v>40320</v>
      </c>
      <c r="J1079" s="112">
        <f t="shared" si="449"/>
        <v>542194</v>
      </c>
      <c r="K1079" s="248">
        <v>1000</v>
      </c>
      <c r="L1079" s="112">
        <v>1100</v>
      </c>
      <c r="M1079" s="113">
        <f t="shared" si="446"/>
        <v>176144.54934714592</v>
      </c>
      <c r="N1079" s="114">
        <v>860</v>
      </c>
      <c r="O1079" s="114">
        <v>2</v>
      </c>
      <c r="P1079" s="254">
        <v>32256</v>
      </c>
      <c r="Q1079" s="116" t="s">
        <v>360</v>
      </c>
      <c r="R1079" s="116"/>
      <c r="S1079" s="114">
        <f t="shared" si="450"/>
        <v>16128</v>
      </c>
      <c r="T1079" s="114">
        <f t="shared" si="451"/>
        <v>16128</v>
      </c>
    </row>
    <row r="1080" spans="1:20" x14ac:dyDescent="0.2">
      <c r="A1080" s="110" t="str">
        <f t="shared" si="445"/>
        <v>90133</v>
      </c>
      <c r="B1080" s="110">
        <v>9</v>
      </c>
      <c r="C1080" s="110">
        <v>1</v>
      </c>
      <c r="D1080" s="110" t="s">
        <v>724</v>
      </c>
      <c r="E1080" s="110">
        <v>3</v>
      </c>
      <c r="F1080" s="112">
        <f t="shared" si="447"/>
        <v>475200</v>
      </c>
      <c r="G1080" s="112">
        <f t="shared" si="447"/>
        <v>475200</v>
      </c>
      <c r="H1080" s="112">
        <f t="shared" si="448"/>
        <v>57600</v>
      </c>
      <c r="I1080" s="112">
        <f t="shared" si="448"/>
        <v>57600</v>
      </c>
      <c r="J1080" s="112">
        <f t="shared" si="449"/>
        <v>1108433</v>
      </c>
      <c r="K1080" s="248">
        <v>1000</v>
      </c>
      <c r="L1080" s="112">
        <v>1300</v>
      </c>
      <c r="M1080" s="113">
        <f t="shared" si="446"/>
        <v>440650.39950081066</v>
      </c>
      <c r="N1080" s="114">
        <v>840</v>
      </c>
      <c r="O1080" s="114">
        <v>3</v>
      </c>
      <c r="P1080" s="254">
        <v>46080</v>
      </c>
      <c r="Q1080" s="116" t="s">
        <v>360</v>
      </c>
      <c r="R1080" s="116"/>
      <c r="S1080" s="114">
        <f t="shared" si="450"/>
        <v>23040</v>
      </c>
      <c r="T1080" s="114">
        <f t="shared" si="451"/>
        <v>23040</v>
      </c>
    </row>
    <row r="1081" spans="1:20" x14ac:dyDescent="0.2">
      <c r="A1081" s="110" t="str">
        <f t="shared" si="445"/>
        <v>90134</v>
      </c>
      <c r="B1081" s="110">
        <v>9</v>
      </c>
      <c r="C1081" s="110">
        <v>1</v>
      </c>
      <c r="D1081" s="110" t="s">
        <v>724</v>
      </c>
      <c r="E1081" s="110">
        <v>4</v>
      </c>
      <c r="F1081" s="112">
        <f t="shared" si="447"/>
        <v>443520</v>
      </c>
      <c r="G1081" s="112">
        <f t="shared" si="447"/>
        <v>443520</v>
      </c>
      <c r="H1081" s="112">
        <f t="shared" si="448"/>
        <v>40320</v>
      </c>
      <c r="I1081" s="112">
        <f t="shared" si="448"/>
        <v>40320</v>
      </c>
      <c r="J1081" s="112">
        <f t="shared" si="449"/>
        <v>985860</v>
      </c>
      <c r="K1081" s="248">
        <v>1000</v>
      </c>
      <c r="L1081" s="112">
        <v>1500</v>
      </c>
      <c r="M1081" s="113">
        <f t="shared" si="446"/>
        <v>335903.45897550037</v>
      </c>
      <c r="N1081" s="114">
        <v>820</v>
      </c>
      <c r="O1081" s="114">
        <v>4</v>
      </c>
      <c r="P1081" s="254">
        <v>32256</v>
      </c>
      <c r="Q1081" s="116" t="s">
        <v>360</v>
      </c>
      <c r="R1081" s="116"/>
      <c r="S1081" s="114">
        <f t="shared" si="450"/>
        <v>16128</v>
      </c>
      <c r="T1081" s="114">
        <f t="shared" si="451"/>
        <v>16128</v>
      </c>
    </row>
    <row r="1082" spans="1:20" x14ac:dyDescent="0.2">
      <c r="A1082" s="110" t="str">
        <f t="shared" si="445"/>
        <v>90135</v>
      </c>
      <c r="B1082" s="110">
        <v>9</v>
      </c>
      <c r="C1082" s="110">
        <v>1</v>
      </c>
      <c r="D1082" s="110" t="s">
        <v>724</v>
      </c>
      <c r="E1082" s="110">
        <v>5</v>
      </c>
      <c r="F1082" s="112">
        <f t="shared" si="447"/>
        <v>792000</v>
      </c>
      <c r="G1082" s="112">
        <f t="shared" si="447"/>
        <v>792000</v>
      </c>
      <c r="H1082" s="112">
        <f t="shared" si="448"/>
        <v>57600</v>
      </c>
      <c r="I1082" s="112">
        <f t="shared" si="448"/>
        <v>57600</v>
      </c>
      <c r="J1082" s="112">
        <f t="shared" si="449"/>
        <v>1760465</v>
      </c>
      <c r="K1082" s="248">
        <v>1000</v>
      </c>
      <c r="L1082" s="112">
        <v>1700</v>
      </c>
      <c r="M1082" s="113">
        <f t="shared" si="446"/>
        <v>716931.25998187589</v>
      </c>
      <c r="N1082" s="114">
        <v>820</v>
      </c>
      <c r="O1082" s="114">
        <v>5</v>
      </c>
      <c r="P1082" s="254">
        <v>46080</v>
      </c>
      <c r="Q1082" s="116" t="s">
        <v>360</v>
      </c>
      <c r="R1082" s="116"/>
      <c r="S1082" s="114">
        <f t="shared" si="450"/>
        <v>23040</v>
      </c>
      <c r="T1082" s="114">
        <f t="shared" si="451"/>
        <v>23040</v>
      </c>
    </row>
    <row r="1083" spans="1:20" x14ac:dyDescent="0.2">
      <c r="A1083" s="110" t="str">
        <f t="shared" si="445"/>
        <v>90136</v>
      </c>
      <c r="B1083" s="110">
        <v>9</v>
      </c>
      <c r="C1083" s="110">
        <v>1</v>
      </c>
      <c r="D1083" s="110" t="s">
        <v>724</v>
      </c>
      <c r="E1083" s="110">
        <v>6</v>
      </c>
      <c r="F1083" s="112">
        <f t="shared" si="447"/>
        <v>950400</v>
      </c>
      <c r="G1083" s="112">
        <f t="shared" si="447"/>
        <v>950400</v>
      </c>
      <c r="H1083" s="112">
        <f t="shared" si="448"/>
        <v>57600</v>
      </c>
      <c r="I1083" s="112">
        <f t="shared" si="448"/>
        <v>57600</v>
      </c>
      <c r="J1083" s="112">
        <f t="shared" si="449"/>
        <v>2112558</v>
      </c>
      <c r="K1083" s="248">
        <v>1000</v>
      </c>
      <c r="L1083" s="112">
        <v>1900</v>
      </c>
      <c r="M1083" s="113">
        <f t="shared" si="446"/>
        <v>860317.51197825116</v>
      </c>
      <c r="N1083" s="114">
        <v>820</v>
      </c>
      <c r="O1083" s="114">
        <v>6</v>
      </c>
      <c r="P1083" s="254">
        <v>46080</v>
      </c>
      <c r="Q1083" s="116" t="s">
        <v>360</v>
      </c>
      <c r="R1083" s="116"/>
      <c r="S1083" s="114">
        <f t="shared" si="450"/>
        <v>23040</v>
      </c>
      <c r="T1083" s="114">
        <f t="shared" si="451"/>
        <v>23040</v>
      </c>
    </row>
    <row r="1084" spans="1:20" x14ac:dyDescent="0.2">
      <c r="A1084" s="110" t="str">
        <f t="shared" si="445"/>
        <v>90137</v>
      </c>
      <c r="B1084" s="110">
        <v>9</v>
      </c>
      <c r="C1084" s="110">
        <v>1</v>
      </c>
      <c r="D1084" s="110" t="s">
        <v>724</v>
      </c>
      <c r="E1084" s="110">
        <v>7</v>
      </c>
      <c r="F1084" s="112">
        <f t="shared" si="447"/>
        <v>1108800</v>
      </c>
      <c r="G1084" s="112">
        <f t="shared" si="447"/>
        <v>1108800</v>
      </c>
      <c r="H1084" s="112">
        <f t="shared" si="448"/>
        <v>57600</v>
      </c>
      <c r="I1084" s="112">
        <f t="shared" si="448"/>
        <v>57600</v>
      </c>
      <c r="J1084" s="112">
        <f t="shared" si="449"/>
        <v>2464651</v>
      </c>
      <c r="K1084" s="248">
        <v>1000</v>
      </c>
      <c r="L1084" s="112">
        <v>2100</v>
      </c>
      <c r="M1084" s="113">
        <f t="shared" si="446"/>
        <v>1003703.7639746261</v>
      </c>
      <c r="N1084" s="114">
        <v>820</v>
      </c>
      <c r="O1084" s="114">
        <v>7</v>
      </c>
      <c r="P1084" s="254">
        <v>46080</v>
      </c>
      <c r="Q1084" s="116" t="s">
        <v>360</v>
      </c>
      <c r="R1084" s="116"/>
      <c r="S1084" s="114">
        <f t="shared" si="450"/>
        <v>23040</v>
      </c>
      <c r="T1084" s="114">
        <f t="shared" si="451"/>
        <v>23040</v>
      </c>
    </row>
    <row r="1085" spans="1:20" x14ac:dyDescent="0.2">
      <c r="A1085" s="110" t="str">
        <f t="shared" si="445"/>
        <v>90138</v>
      </c>
      <c r="B1085" s="110">
        <v>9</v>
      </c>
      <c r="C1085" s="110">
        <v>1</v>
      </c>
      <c r="D1085" s="110" t="s">
        <v>724</v>
      </c>
      <c r="E1085" s="110">
        <v>8</v>
      </c>
      <c r="F1085" s="112">
        <f t="shared" si="447"/>
        <v>1267200</v>
      </c>
      <c r="G1085" s="112">
        <f t="shared" si="447"/>
        <v>1267200</v>
      </c>
      <c r="H1085" s="112">
        <f t="shared" si="448"/>
        <v>57600</v>
      </c>
      <c r="I1085" s="112">
        <f t="shared" si="448"/>
        <v>57600</v>
      </c>
      <c r="J1085" s="112">
        <f t="shared" si="449"/>
        <v>2816744</v>
      </c>
      <c r="K1085" s="248">
        <v>1000</v>
      </c>
      <c r="L1085" s="112">
        <v>2300</v>
      </c>
      <c r="M1085" s="113">
        <f t="shared" si="446"/>
        <v>1147090.0159710012</v>
      </c>
      <c r="N1085" s="114">
        <v>820</v>
      </c>
      <c r="O1085" s="114">
        <v>8</v>
      </c>
      <c r="P1085" s="254">
        <v>46080</v>
      </c>
      <c r="Q1085" s="116" t="s">
        <v>360</v>
      </c>
      <c r="R1085" s="116"/>
      <c r="S1085" s="114">
        <f t="shared" si="450"/>
        <v>23040</v>
      </c>
      <c r="T1085" s="114">
        <f t="shared" si="451"/>
        <v>23040</v>
      </c>
    </row>
    <row r="1086" spans="1:20" x14ac:dyDescent="0.2">
      <c r="A1086" s="110" t="str">
        <f t="shared" si="445"/>
        <v>90139</v>
      </c>
      <c r="B1086" s="110">
        <v>9</v>
      </c>
      <c r="C1086" s="110">
        <v>1</v>
      </c>
      <c r="D1086" s="110" t="s">
        <v>724</v>
      </c>
      <c r="E1086" s="110">
        <v>9</v>
      </c>
      <c r="F1086" s="112">
        <f t="shared" si="447"/>
        <v>1425600</v>
      </c>
      <c r="G1086" s="112">
        <f t="shared" si="447"/>
        <v>1425600</v>
      </c>
      <c r="H1086" s="112">
        <f t="shared" si="448"/>
        <v>57600</v>
      </c>
      <c r="I1086" s="112">
        <f t="shared" si="448"/>
        <v>57600</v>
      </c>
      <c r="J1086" s="112">
        <f t="shared" si="449"/>
        <v>3168837</v>
      </c>
      <c r="K1086" s="248">
        <v>1000</v>
      </c>
      <c r="L1086" s="112">
        <v>2500</v>
      </c>
      <c r="M1086" s="113">
        <f t="shared" si="446"/>
        <v>1290476.2679673766</v>
      </c>
      <c r="N1086" s="114">
        <v>820</v>
      </c>
      <c r="O1086" s="114">
        <v>9</v>
      </c>
      <c r="P1086" s="254">
        <v>46080</v>
      </c>
      <c r="Q1086" s="116" t="s">
        <v>360</v>
      </c>
      <c r="R1086" s="116"/>
      <c r="S1086" s="114">
        <f t="shared" si="450"/>
        <v>23040</v>
      </c>
      <c r="T1086" s="114">
        <f t="shared" si="451"/>
        <v>23040</v>
      </c>
    </row>
    <row r="1087" spans="1:20" x14ac:dyDescent="0.2">
      <c r="A1087" s="110" t="str">
        <f t="shared" si="445"/>
        <v>90230</v>
      </c>
      <c r="B1087" s="110">
        <v>9</v>
      </c>
      <c r="C1087" s="110">
        <v>2</v>
      </c>
      <c r="D1087" s="110" t="s">
        <v>724</v>
      </c>
      <c r="E1087" s="110">
        <v>0</v>
      </c>
      <c r="F1087" s="112">
        <f>ROUNDDOWN($P1087/4*$O1087*10*$N1087/$N1087*$Q1087/400,0)</f>
        <v>81142</v>
      </c>
      <c r="G1087" s="112">
        <f>ROUNDDOWN($P1087/4*$O1087*10*$N1087/$N1087*$Q1087/400,0)</f>
        <v>81142</v>
      </c>
      <c r="H1087" s="112">
        <f>ROUNDDOWN($S1087/4*10,0)</f>
        <v>59012</v>
      </c>
      <c r="I1087" s="112">
        <f>ROUNDDOWN($S1087/4*10,0)</f>
        <v>59012</v>
      </c>
      <c r="J1087" s="112">
        <f>ROUNDDOWN($P1087/4*$O1087*10*$N1087/$Q1087*$N1087/400,0)</f>
        <v>217273</v>
      </c>
      <c r="K1087" s="248">
        <v>1000</v>
      </c>
      <c r="L1087" s="112">
        <v>700</v>
      </c>
      <c r="M1087" s="113">
        <f t="shared" si="446"/>
        <v>81599.197634611759</v>
      </c>
      <c r="N1087" s="114">
        <v>900</v>
      </c>
      <c r="O1087" s="114">
        <v>0.5</v>
      </c>
      <c r="P1087" s="254">
        <v>47210</v>
      </c>
      <c r="Q1087" s="116" t="s">
        <v>360</v>
      </c>
      <c r="R1087" s="116"/>
      <c r="S1087" s="114">
        <f>P1087*0.5</f>
        <v>23605</v>
      </c>
      <c r="T1087" s="114">
        <f>S1087</f>
        <v>23605</v>
      </c>
    </row>
    <row r="1088" spans="1:20" x14ac:dyDescent="0.2">
      <c r="A1088" s="110" t="str">
        <f t="shared" si="445"/>
        <v>90231</v>
      </c>
      <c r="B1088" s="110">
        <v>9</v>
      </c>
      <c r="C1088" s="110">
        <v>2</v>
      </c>
      <c r="D1088" s="110" t="s">
        <v>724</v>
      </c>
      <c r="E1088" s="110">
        <v>1</v>
      </c>
      <c r="F1088" s="112">
        <f t="shared" si="447"/>
        <v>102241</v>
      </c>
      <c r="G1088" s="112">
        <f t="shared" si="447"/>
        <v>102241</v>
      </c>
      <c r="H1088" s="112">
        <f t="shared" si="448"/>
        <v>41307</v>
      </c>
      <c r="I1088" s="112">
        <f t="shared" si="448"/>
        <v>41307</v>
      </c>
      <c r="J1088" s="112">
        <f t="shared" si="449"/>
        <v>244196</v>
      </c>
      <c r="K1088" s="248">
        <v>1000</v>
      </c>
      <c r="L1088" s="112">
        <v>900</v>
      </c>
      <c r="M1088" s="113">
        <f t="shared" si="446"/>
        <v>81242.565928929733</v>
      </c>
      <c r="N1088" s="114">
        <v>850</v>
      </c>
      <c r="O1088" s="114">
        <v>1</v>
      </c>
      <c r="P1088" s="254">
        <v>29743</v>
      </c>
      <c r="Q1088" s="116" t="s">
        <v>360</v>
      </c>
      <c r="R1088" s="116"/>
      <c r="S1088" s="114">
        <v>16523</v>
      </c>
      <c r="T1088" s="114">
        <v>16523</v>
      </c>
    </row>
    <row r="1089" spans="1:20" x14ac:dyDescent="0.2">
      <c r="A1089" s="110" t="str">
        <f t="shared" si="445"/>
        <v>90232</v>
      </c>
      <c r="B1089" s="110">
        <v>9</v>
      </c>
      <c r="C1089" s="110">
        <v>2</v>
      </c>
      <c r="D1089" s="110" t="s">
        <v>724</v>
      </c>
      <c r="E1089" s="110">
        <v>2</v>
      </c>
      <c r="F1089" s="112">
        <f t="shared" si="447"/>
        <v>227198</v>
      </c>
      <c r="G1089" s="112">
        <f t="shared" si="447"/>
        <v>227198</v>
      </c>
      <c r="H1089" s="112">
        <f t="shared" si="448"/>
        <v>41308</v>
      </c>
      <c r="I1089" s="112">
        <f t="shared" si="448"/>
        <v>41308</v>
      </c>
      <c r="J1089" s="112">
        <f t="shared" si="449"/>
        <v>555490</v>
      </c>
      <c r="K1089" s="248">
        <v>1000</v>
      </c>
      <c r="L1089" s="112">
        <v>1100</v>
      </c>
      <c r="M1089" s="113">
        <f t="shared" si="446"/>
        <v>182661.67918049428</v>
      </c>
      <c r="N1089" s="114">
        <v>860</v>
      </c>
      <c r="O1089" s="114">
        <v>2</v>
      </c>
      <c r="P1089" s="254">
        <v>33047</v>
      </c>
      <c r="Q1089" s="116" t="s">
        <v>360</v>
      </c>
      <c r="R1089" s="116"/>
      <c r="S1089" s="114">
        <f t="shared" ref="S1089:S1096" si="452">P1089*0.5</f>
        <v>16523.5</v>
      </c>
      <c r="T1089" s="114">
        <f t="shared" ref="T1089:T1096" si="453">S1089</f>
        <v>16523.5</v>
      </c>
    </row>
    <row r="1090" spans="1:20" x14ac:dyDescent="0.2">
      <c r="A1090" s="110" t="str">
        <f t="shared" si="445"/>
        <v>90233</v>
      </c>
      <c r="B1090" s="110">
        <v>9</v>
      </c>
      <c r="C1090" s="110">
        <v>2</v>
      </c>
      <c r="D1090" s="110" t="s">
        <v>724</v>
      </c>
      <c r="E1090" s="110">
        <v>3</v>
      </c>
      <c r="F1090" s="112">
        <f t="shared" si="447"/>
        <v>340797</v>
      </c>
      <c r="G1090" s="112">
        <f t="shared" si="447"/>
        <v>340797</v>
      </c>
      <c r="H1090" s="112">
        <f t="shared" si="448"/>
        <v>41308</v>
      </c>
      <c r="I1090" s="112">
        <f t="shared" si="448"/>
        <v>41308</v>
      </c>
      <c r="J1090" s="112">
        <f t="shared" si="449"/>
        <v>794930</v>
      </c>
      <c r="K1090" s="248">
        <v>1000</v>
      </c>
      <c r="L1090" s="112">
        <v>1300</v>
      </c>
      <c r="M1090" s="113">
        <f t="shared" si="446"/>
        <v>267620.51142253418</v>
      </c>
      <c r="N1090" s="114">
        <v>840</v>
      </c>
      <c r="O1090" s="114">
        <v>3</v>
      </c>
      <c r="P1090" s="254">
        <v>33047</v>
      </c>
      <c r="Q1090" s="116" t="s">
        <v>360</v>
      </c>
      <c r="R1090" s="116"/>
      <c r="S1090" s="114">
        <f t="shared" si="452"/>
        <v>16523.5</v>
      </c>
      <c r="T1090" s="114">
        <f t="shared" si="453"/>
        <v>16523.5</v>
      </c>
    </row>
    <row r="1091" spans="1:20" x14ac:dyDescent="0.2">
      <c r="A1091" s="110" t="str">
        <f t="shared" si="445"/>
        <v>90234</v>
      </c>
      <c r="B1091" s="110">
        <v>9</v>
      </c>
      <c r="C1091" s="110">
        <v>2</v>
      </c>
      <c r="D1091" s="110" t="s">
        <v>724</v>
      </c>
      <c r="E1091" s="110">
        <v>4</v>
      </c>
      <c r="F1091" s="112">
        <f t="shared" si="447"/>
        <v>408966</v>
      </c>
      <c r="G1091" s="112">
        <f t="shared" si="447"/>
        <v>408966</v>
      </c>
      <c r="H1091" s="112">
        <f t="shared" si="448"/>
        <v>37178</v>
      </c>
      <c r="I1091" s="112">
        <f t="shared" si="448"/>
        <v>37178</v>
      </c>
      <c r="J1091" s="112">
        <f t="shared" si="449"/>
        <v>909054</v>
      </c>
      <c r="K1091" s="248">
        <v>1000</v>
      </c>
      <c r="L1091" s="112">
        <v>1500</v>
      </c>
      <c r="M1091" s="113">
        <f t="shared" si="446"/>
        <v>297420.87124914356</v>
      </c>
      <c r="N1091" s="114">
        <v>820</v>
      </c>
      <c r="O1091" s="114">
        <v>4</v>
      </c>
      <c r="P1091" s="254">
        <v>29743</v>
      </c>
      <c r="Q1091" s="116" t="s">
        <v>360</v>
      </c>
      <c r="R1091" s="116"/>
      <c r="S1091" s="114">
        <f t="shared" si="452"/>
        <v>14871.5</v>
      </c>
      <c r="T1091" s="114">
        <f t="shared" si="453"/>
        <v>14871.5</v>
      </c>
    </row>
    <row r="1092" spans="1:20" x14ac:dyDescent="0.2">
      <c r="A1092" s="110" t="str">
        <f t="shared" si="445"/>
        <v>90235</v>
      </c>
      <c r="B1092" s="110">
        <v>9</v>
      </c>
      <c r="C1092" s="110">
        <v>2</v>
      </c>
      <c r="D1092" s="110" t="s">
        <v>724</v>
      </c>
      <c r="E1092" s="110">
        <v>5</v>
      </c>
      <c r="F1092" s="112">
        <f t="shared" si="447"/>
        <v>811421</v>
      </c>
      <c r="G1092" s="112">
        <f t="shared" si="447"/>
        <v>811421</v>
      </c>
      <c r="H1092" s="112">
        <f t="shared" si="448"/>
        <v>59012</v>
      </c>
      <c r="I1092" s="112">
        <f t="shared" si="448"/>
        <v>59012</v>
      </c>
      <c r="J1092" s="112">
        <f t="shared" si="449"/>
        <v>1803636</v>
      </c>
      <c r="K1092" s="248">
        <v>1000</v>
      </c>
      <c r="L1092" s="112">
        <v>1700</v>
      </c>
      <c r="M1092" s="113">
        <f t="shared" si="446"/>
        <v>743460.19805178593</v>
      </c>
      <c r="N1092" s="114">
        <v>820</v>
      </c>
      <c r="O1092" s="114">
        <v>5</v>
      </c>
      <c r="P1092" s="254">
        <v>47210</v>
      </c>
      <c r="Q1092" s="116" t="s">
        <v>360</v>
      </c>
      <c r="R1092" s="116"/>
      <c r="S1092" s="114">
        <f t="shared" si="452"/>
        <v>23605</v>
      </c>
      <c r="T1092" s="114">
        <f t="shared" si="453"/>
        <v>23605</v>
      </c>
    </row>
    <row r="1093" spans="1:20" x14ac:dyDescent="0.2">
      <c r="A1093" s="110" t="str">
        <f t="shared" si="445"/>
        <v>90236</v>
      </c>
      <c r="B1093" s="110">
        <v>9</v>
      </c>
      <c r="C1093" s="110">
        <v>2</v>
      </c>
      <c r="D1093" s="110" t="s">
        <v>724</v>
      </c>
      <c r="E1093" s="110">
        <v>6</v>
      </c>
      <c r="F1093" s="112">
        <f t="shared" si="447"/>
        <v>613449</v>
      </c>
      <c r="G1093" s="112">
        <f t="shared" si="447"/>
        <v>613449</v>
      </c>
      <c r="H1093" s="112">
        <f t="shared" si="448"/>
        <v>37178</v>
      </c>
      <c r="I1093" s="112">
        <f t="shared" si="448"/>
        <v>37178</v>
      </c>
      <c r="J1093" s="112">
        <f t="shared" si="449"/>
        <v>1363581</v>
      </c>
      <c r="K1093" s="248">
        <v>1000</v>
      </c>
      <c r="L1093" s="112">
        <v>1900</v>
      </c>
      <c r="M1093" s="113">
        <f t="shared" si="446"/>
        <v>446131.30687371531</v>
      </c>
      <c r="N1093" s="114">
        <v>820</v>
      </c>
      <c r="O1093" s="114">
        <v>6</v>
      </c>
      <c r="P1093" s="254">
        <v>29743</v>
      </c>
      <c r="Q1093" s="116" t="s">
        <v>360</v>
      </c>
      <c r="R1093" s="116"/>
      <c r="S1093" s="114">
        <f t="shared" si="452"/>
        <v>14871.5</v>
      </c>
      <c r="T1093" s="114">
        <f t="shared" si="453"/>
        <v>14871.5</v>
      </c>
    </row>
    <row r="1094" spans="1:20" x14ac:dyDescent="0.2">
      <c r="A1094" s="110" t="str">
        <f t="shared" si="445"/>
        <v>90237</v>
      </c>
      <c r="B1094" s="110">
        <v>9</v>
      </c>
      <c r="C1094" s="110">
        <v>2</v>
      </c>
      <c r="D1094" s="110" t="s">
        <v>724</v>
      </c>
      <c r="E1094" s="110">
        <v>7</v>
      </c>
      <c r="F1094" s="112">
        <f t="shared" si="447"/>
        <v>1135990</v>
      </c>
      <c r="G1094" s="112">
        <f t="shared" si="447"/>
        <v>1135990</v>
      </c>
      <c r="H1094" s="112">
        <f t="shared" si="448"/>
        <v>59012</v>
      </c>
      <c r="I1094" s="112">
        <f t="shared" si="448"/>
        <v>59012</v>
      </c>
      <c r="J1094" s="112">
        <f t="shared" si="449"/>
        <v>2525091</v>
      </c>
      <c r="K1094" s="248">
        <v>1000</v>
      </c>
      <c r="L1094" s="112">
        <v>2100</v>
      </c>
      <c r="M1094" s="113">
        <f t="shared" si="446"/>
        <v>1040844.6758061411</v>
      </c>
      <c r="N1094" s="114">
        <v>820</v>
      </c>
      <c r="O1094" s="114">
        <v>7</v>
      </c>
      <c r="P1094" s="254">
        <v>47210</v>
      </c>
      <c r="Q1094" s="116" t="s">
        <v>360</v>
      </c>
      <c r="R1094" s="116"/>
      <c r="S1094" s="114">
        <f t="shared" si="452"/>
        <v>23605</v>
      </c>
      <c r="T1094" s="114">
        <f t="shared" si="453"/>
        <v>23605</v>
      </c>
    </row>
    <row r="1095" spans="1:20" x14ac:dyDescent="0.2">
      <c r="A1095" s="110" t="str">
        <f t="shared" si="445"/>
        <v>90238</v>
      </c>
      <c r="B1095" s="110">
        <v>9</v>
      </c>
      <c r="C1095" s="110">
        <v>2</v>
      </c>
      <c r="D1095" s="110" t="s">
        <v>724</v>
      </c>
      <c r="E1095" s="110">
        <v>8</v>
      </c>
      <c r="F1095" s="112">
        <f t="shared" si="447"/>
        <v>1298275</v>
      </c>
      <c r="G1095" s="112">
        <f t="shared" si="447"/>
        <v>1298275</v>
      </c>
      <c r="H1095" s="112">
        <f t="shared" si="448"/>
        <v>59012</v>
      </c>
      <c r="I1095" s="112">
        <f t="shared" si="448"/>
        <v>59012</v>
      </c>
      <c r="J1095" s="112">
        <f t="shared" si="449"/>
        <v>2885818</v>
      </c>
      <c r="K1095" s="248">
        <v>1000</v>
      </c>
      <c r="L1095" s="112">
        <v>2300</v>
      </c>
      <c r="M1095" s="113">
        <f t="shared" si="446"/>
        <v>1189537.0406941818</v>
      </c>
      <c r="N1095" s="114">
        <v>820</v>
      </c>
      <c r="O1095" s="114">
        <v>8</v>
      </c>
      <c r="P1095" s="254">
        <v>47210</v>
      </c>
      <c r="Q1095" s="116" t="s">
        <v>360</v>
      </c>
      <c r="R1095" s="116"/>
      <c r="S1095" s="114">
        <f t="shared" si="452"/>
        <v>23605</v>
      </c>
      <c r="T1095" s="114">
        <f t="shared" si="453"/>
        <v>23605</v>
      </c>
    </row>
    <row r="1096" spans="1:20" x14ac:dyDescent="0.2">
      <c r="A1096" s="110" t="str">
        <f t="shared" si="445"/>
        <v>90239</v>
      </c>
      <c r="B1096" s="110">
        <v>9</v>
      </c>
      <c r="C1096" s="110">
        <v>2</v>
      </c>
      <c r="D1096" s="110" t="s">
        <v>724</v>
      </c>
      <c r="E1096" s="110">
        <v>9</v>
      </c>
      <c r="F1096" s="112">
        <f t="shared" si="447"/>
        <v>1460559</v>
      </c>
      <c r="G1096" s="112">
        <f t="shared" si="447"/>
        <v>1460559</v>
      </c>
      <c r="H1096" s="112">
        <f t="shared" si="448"/>
        <v>59012</v>
      </c>
      <c r="I1096" s="112">
        <f t="shared" si="448"/>
        <v>59012</v>
      </c>
      <c r="J1096" s="112">
        <f t="shared" si="449"/>
        <v>3246545</v>
      </c>
      <c r="K1096" s="248">
        <v>1000</v>
      </c>
      <c r="L1096" s="112">
        <v>2500</v>
      </c>
      <c r="M1096" s="113">
        <f t="shared" si="446"/>
        <v>1338228.947460023</v>
      </c>
      <c r="N1096" s="114">
        <v>820</v>
      </c>
      <c r="O1096" s="114">
        <v>9</v>
      </c>
      <c r="P1096" s="254">
        <v>47210</v>
      </c>
      <c r="Q1096" s="116" t="s">
        <v>360</v>
      </c>
      <c r="R1096" s="116"/>
      <c r="S1096" s="114">
        <f t="shared" si="452"/>
        <v>23605</v>
      </c>
      <c r="T1096" s="114">
        <f t="shared" si="453"/>
        <v>23605</v>
      </c>
    </row>
    <row r="1097" spans="1:20" x14ac:dyDescent="0.2">
      <c r="A1097" s="110" t="str">
        <f t="shared" si="445"/>
        <v>90330</v>
      </c>
      <c r="B1097" s="110">
        <v>9</v>
      </c>
      <c r="C1097" s="110">
        <v>3</v>
      </c>
      <c r="D1097" s="110" t="s">
        <v>724</v>
      </c>
      <c r="E1097" s="110">
        <v>0</v>
      </c>
      <c r="F1097" s="112">
        <f>ROUNDDOWN($P1097/4*$O1097*10*$N1097/$N1097*$Q1097/400,0)</f>
        <v>83067</v>
      </c>
      <c r="G1097" s="112">
        <f>ROUNDDOWN($P1097/4*$O1097*10*$N1097/$N1097*$Q1097/400,0)</f>
        <v>83067</v>
      </c>
      <c r="H1097" s="112">
        <f>ROUNDDOWN($S1097/4*10,0)</f>
        <v>60412</v>
      </c>
      <c r="I1097" s="112">
        <f>ROUNDDOWN($S1097/4*10,0)</f>
        <v>60412</v>
      </c>
      <c r="J1097" s="112">
        <f>ROUNDDOWN($P1097/4*$O1097*10*$N1097/$Q1097*$N1097/400,0)</f>
        <v>222427</v>
      </c>
      <c r="K1097" s="248">
        <v>1000</v>
      </c>
      <c r="L1097" s="112">
        <v>700</v>
      </c>
      <c r="M1097" s="113">
        <f t="shared" si="446"/>
        <v>84520.023477778406</v>
      </c>
      <c r="N1097" s="114">
        <v>900</v>
      </c>
      <c r="O1097" s="114">
        <v>0.5</v>
      </c>
      <c r="P1097" s="254">
        <v>48330</v>
      </c>
      <c r="Q1097" s="116" t="s">
        <v>360</v>
      </c>
      <c r="R1097" s="116"/>
      <c r="S1097" s="114">
        <f>P1097*0.5</f>
        <v>24165</v>
      </c>
      <c r="T1097" s="114">
        <f>S1097</f>
        <v>24165</v>
      </c>
    </row>
    <row r="1098" spans="1:20" x14ac:dyDescent="0.2">
      <c r="A1098" s="110" t="str">
        <f t="shared" si="445"/>
        <v>90331</v>
      </c>
      <c r="B1098" s="110">
        <v>9</v>
      </c>
      <c r="C1098" s="110">
        <v>3</v>
      </c>
      <c r="D1098" s="110" t="s">
        <v>724</v>
      </c>
      <c r="E1098" s="110">
        <v>1</v>
      </c>
      <c r="F1098" s="112">
        <f t="shared" si="447"/>
        <v>104671</v>
      </c>
      <c r="G1098" s="112">
        <f t="shared" si="447"/>
        <v>104671</v>
      </c>
      <c r="H1098" s="112">
        <f t="shared" si="448"/>
        <v>42287</v>
      </c>
      <c r="I1098" s="112">
        <f t="shared" si="448"/>
        <v>42287</v>
      </c>
      <c r="J1098" s="112">
        <f t="shared" si="449"/>
        <v>250001</v>
      </c>
      <c r="K1098" s="248">
        <v>1000</v>
      </c>
      <c r="L1098" s="112">
        <v>900</v>
      </c>
      <c r="M1098" s="113">
        <f t="shared" si="446"/>
        <v>84154.527216451592</v>
      </c>
      <c r="N1098" s="114">
        <v>850</v>
      </c>
      <c r="O1098" s="114">
        <v>1</v>
      </c>
      <c r="P1098" s="254">
        <v>30450</v>
      </c>
      <c r="Q1098" s="116" t="s">
        <v>360</v>
      </c>
      <c r="R1098" s="116"/>
      <c r="S1098" s="114">
        <v>16915</v>
      </c>
      <c r="T1098" s="114">
        <v>16915</v>
      </c>
    </row>
    <row r="1099" spans="1:20" x14ac:dyDescent="0.2">
      <c r="A1099" s="110" t="str">
        <f t="shared" si="445"/>
        <v>90332</v>
      </c>
      <c r="B1099" s="110">
        <v>9</v>
      </c>
      <c r="C1099" s="110">
        <v>3</v>
      </c>
      <c r="D1099" s="110" t="s">
        <v>724</v>
      </c>
      <c r="E1099" s="110">
        <v>2</v>
      </c>
      <c r="F1099" s="112">
        <f t="shared" si="447"/>
        <v>232588</v>
      </c>
      <c r="G1099" s="112">
        <f t="shared" si="447"/>
        <v>232588</v>
      </c>
      <c r="H1099" s="112">
        <f t="shared" si="448"/>
        <v>42288</v>
      </c>
      <c r="I1099" s="112">
        <f t="shared" si="448"/>
        <v>42288</v>
      </c>
      <c r="J1099" s="112">
        <f t="shared" si="449"/>
        <v>568668</v>
      </c>
      <c r="K1099" s="248">
        <v>1000</v>
      </c>
      <c r="L1099" s="112">
        <v>1100</v>
      </c>
      <c r="M1099" s="113">
        <f t="shared" si="446"/>
        <v>189200.2069940482</v>
      </c>
      <c r="N1099" s="114">
        <v>860</v>
      </c>
      <c r="O1099" s="114">
        <v>2</v>
      </c>
      <c r="P1099" s="254">
        <v>33831</v>
      </c>
      <c r="Q1099" s="116" t="s">
        <v>360</v>
      </c>
      <c r="R1099" s="116"/>
      <c r="S1099" s="114">
        <f t="shared" ref="S1099:S1106" si="454">P1099*0.5</f>
        <v>16915.5</v>
      </c>
      <c r="T1099" s="114">
        <f t="shared" ref="T1099:T1106" si="455">S1099</f>
        <v>16915.5</v>
      </c>
    </row>
    <row r="1100" spans="1:20" x14ac:dyDescent="0.2">
      <c r="A1100" s="110" t="str">
        <f t="shared" si="445"/>
        <v>90333</v>
      </c>
      <c r="B1100" s="110">
        <v>9</v>
      </c>
      <c r="C1100" s="110">
        <v>3</v>
      </c>
      <c r="D1100" s="110" t="s">
        <v>724</v>
      </c>
      <c r="E1100" s="110">
        <v>3</v>
      </c>
      <c r="F1100" s="112">
        <f t="shared" si="447"/>
        <v>348882</v>
      </c>
      <c r="G1100" s="112">
        <f t="shared" si="447"/>
        <v>348882</v>
      </c>
      <c r="H1100" s="112">
        <f t="shared" si="448"/>
        <v>42288</v>
      </c>
      <c r="I1100" s="112">
        <f t="shared" si="448"/>
        <v>42288</v>
      </c>
      <c r="J1100" s="112">
        <f t="shared" si="449"/>
        <v>813789</v>
      </c>
      <c r="K1100" s="248">
        <v>1000</v>
      </c>
      <c r="L1100" s="112">
        <v>1300</v>
      </c>
      <c r="M1100" s="113">
        <f t="shared" si="446"/>
        <v>277200.33394356363</v>
      </c>
      <c r="N1100" s="114">
        <v>840</v>
      </c>
      <c r="O1100" s="114">
        <v>3</v>
      </c>
      <c r="P1100" s="254">
        <v>33831</v>
      </c>
      <c r="Q1100" s="116" t="s">
        <v>360</v>
      </c>
      <c r="R1100" s="116"/>
      <c r="S1100" s="114">
        <f t="shared" si="454"/>
        <v>16915.5</v>
      </c>
      <c r="T1100" s="114">
        <f t="shared" si="455"/>
        <v>16915.5</v>
      </c>
    </row>
    <row r="1101" spans="1:20" x14ac:dyDescent="0.2">
      <c r="A1101" s="110" t="str">
        <f t="shared" si="445"/>
        <v>90334</v>
      </c>
      <c r="B1101" s="110">
        <v>9</v>
      </c>
      <c r="C1101" s="110">
        <v>3</v>
      </c>
      <c r="D1101" s="110" t="s">
        <v>724</v>
      </c>
      <c r="E1101" s="110">
        <v>4</v>
      </c>
      <c r="F1101" s="112">
        <f t="shared" si="447"/>
        <v>465176</v>
      </c>
      <c r="G1101" s="112">
        <f t="shared" si="447"/>
        <v>465176</v>
      </c>
      <c r="H1101" s="112">
        <f t="shared" si="448"/>
        <v>42288</v>
      </c>
      <c r="I1101" s="112">
        <f t="shared" si="448"/>
        <v>42288</v>
      </c>
      <c r="J1101" s="112">
        <f t="shared" si="449"/>
        <v>1033998</v>
      </c>
      <c r="K1101" s="248">
        <v>1000</v>
      </c>
      <c r="L1101" s="112">
        <v>1500</v>
      </c>
      <c r="M1101" s="113">
        <f t="shared" si="446"/>
        <v>360800.44059100928</v>
      </c>
      <c r="N1101" s="114">
        <v>820</v>
      </c>
      <c r="O1101" s="114">
        <v>4</v>
      </c>
      <c r="P1101" s="254">
        <v>33831</v>
      </c>
      <c r="Q1101" s="116" t="s">
        <v>360</v>
      </c>
      <c r="R1101" s="116"/>
      <c r="S1101" s="114">
        <f t="shared" si="454"/>
        <v>16915.5</v>
      </c>
      <c r="T1101" s="114">
        <f t="shared" si="455"/>
        <v>16915.5</v>
      </c>
    </row>
    <row r="1102" spans="1:20" x14ac:dyDescent="0.2">
      <c r="A1102" s="110" t="str">
        <f t="shared" si="445"/>
        <v>90335</v>
      </c>
      <c r="B1102" s="110">
        <v>9</v>
      </c>
      <c r="C1102" s="110">
        <v>3</v>
      </c>
      <c r="D1102" s="110" t="s">
        <v>724</v>
      </c>
      <c r="E1102" s="110">
        <v>5</v>
      </c>
      <c r="F1102" s="112">
        <f t="shared" si="447"/>
        <v>830671</v>
      </c>
      <c r="G1102" s="112">
        <f t="shared" si="447"/>
        <v>830671</v>
      </c>
      <c r="H1102" s="112">
        <f t="shared" si="448"/>
        <v>60412</v>
      </c>
      <c r="I1102" s="112">
        <f t="shared" si="448"/>
        <v>60412</v>
      </c>
      <c r="J1102" s="112">
        <f t="shared" si="449"/>
        <v>1846425</v>
      </c>
      <c r="K1102" s="248">
        <v>1000</v>
      </c>
      <c r="L1102" s="112">
        <v>1700</v>
      </c>
      <c r="M1102" s="113">
        <f t="shared" si="446"/>
        <v>770073.10203178646</v>
      </c>
      <c r="N1102" s="114">
        <v>820</v>
      </c>
      <c r="O1102" s="114">
        <v>5</v>
      </c>
      <c r="P1102" s="254">
        <v>48330</v>
      </c>
      <c r="Q1102" s="116" t="s">
        <v>360</v>
      </c>
      <c r="R1102" s="116"/>
      <c r="S1102" s="114">
        <f t="shared" si="454"/>
        <v>24165</v>
      </c>
      <c r="T1102" s="114">
        <f t="shared" si="455"/>
        <v>24165</v>
      </c>
    </row>
    <row r="1103" spans="1:20" x14ac:dyDescent="0.2">
      <c r="A1103" s="110" t="str">
        <f t="shared" si="445"/>
        <v>90336</v>
      </c>
      <c r="B1103" s="110">
        <v>9</v>
      </c>
      <c r="C1103" s="110">
        <v>3</v>
      </c>
      <c r="D1103" s="110" t="s">
        <v>724</v>
      </c>
      <c r="E1103" s="110">
        <v>6</v>
      </c>
      <c r="F1103" s="112">
        <f t="shared" si="447"/>
        <v>996806</v>
      </c>
      <c r="G1103" s="112">
        <f t="shared" si="447"/>
        <v>996806</v>
      </c>
      <c r="H1103" s="112">
        <f t="shared" si="448"/>
        <v>60412</v>
      </c>
      <c r="I1103" s="112">
        <f t="shared" si="448"/>
        <v>60412</v>
      </c>
      <c r="J1103" s="112">
        <f t="shared" si="449"/>
        <v>2215710</v>
      </c>
      <c r="K1103" s="248">
        <v>1000</v>
      </c>
      <c r="L1103" s="112">
        <v>1900</v>
      </c>
      <c r="M1103" s="113">
        <f t="shared" si="446"/>
        <v>924088.09325785341</v>
      </c>
      <c r="N1103" s="114">
        <v>820</v>
      </c>
      <c r="O1103" s="114">
        <v>6</v>
      </c>
      <c r="P1103" s="254">
        <v>48330</v>
      </c>
      <c r="Q1103" s="116" t="s">
        <v>360</v>
      </c>
      <c r="R1103" s="116"/>
      <c r="S1103" s="114">
        <f t="shared" si="454"/>
        <v>24165</v>
      </c>
      <c r="T1103" s="114">
        <f t="shared" si="455"/>
        <v>24165</v>
      </c>
    </row>
    <row r="1104" spans="1:20" x14ac:dyDescent="0.2">
      <c r="A1104" s="110" t="str">
        <f t="shared" si="445"/>
        <v>90337</v>
      </c>
      <c r="B1104" s="110">
        <v>9</v>
      </c>
      <c r="C1104" s="110">
        <v>3</v>
      </c>
      <c r="D1104" s="110" t="s">
        <v>724</v>
      </c>
      <c r="E1104" s="110">
        <v>7</v>
      </c>
      <c r="F1104" s="112">
        <f t="shared" ref="F1104:G1106" si="456">ROUNDDOWN($P1104/4*$O1104*10*$N1104/$N1104*$Q1104/400,0)</f>
        <v>1162940</v>
      </c>
      <c r="G1104" s="112">
        <f t="shared" si="456"/>
        <v>1162940</v>
      </c>
      <c r="H1104" s="112">
        <f t="shared" ref="H1104:I1106" si="457">ROUNDDOWN($S1104/4*10,0)</f>
        <v>60412</v>
      </c>
      <c r="I1104" s="112">
        <f t="shared" si="457"/>
        <v>60412</v>
      </c>
      <c r="J1104" s="112">
        <f t="shared" si="449"/>
        <v>2584995</v>
      </c>
      <c r="K1104" s="248">
        <v>1000</v>
      </c>
      <c r="L1104" s="112">
        <v>2100</v>
      </c>
      <c r="M1104" s="113">
        <f t="shared" si="446"/>
        <v>1078102.6209593031</v>
      </c>
      <c r="N1104" s="114">
        <v>820</v>
      </c>
      <c r="O1104" s="114">
        <v>7</v>
      </c>
      <c r="P1104" s="254">
        <v>48330</v>
      </c>
      <c r="Q1104" s="116" t="s">
        <v>360</v>
      </c>
      <c r="R1104" s="116"/>
      <c r="S1104" s="114">
        <f t="shared" si="454"/>
        <v>24165</v>
      </c>
      <c r="T1104" s="114">
        <f t="shared" si="455"/>
        <v>24165</v>
      </c>
    </row>
    <row r="1105" spans="1:20" x14ac:dyDescent="0.2">
      <c r="A1105" s="110" t="str">
        <f t="shared" si="445"/>
        <v>90338</v>
      </c>
      <c r="B1105" s="110">
        <v>9</v>
      </c>
      <c r="C1105" s="110">
        <v>3</v>
      </c>
      <c r="D1105" s="110" t="s">
        <v>724</v>
      </c>
      <c r="E1105" s="110">
        <v>8</v>
      </c>
      <c r="F1105" s="112">
        <f t="shared" si="456"/>
        <v>1329075</v>
      </c>
      <c r="G1105" s="112">
        <f t="shared" si="456"/>
        <v>1329075</v>
      </c>
      <c r="H1105" s="112">
        <f t="shared" si="457"/>
        <v>60412</v>
      </c>
      <c r="I1105" s="112">
        <f t="shared" si="457"/>
        <v>60412</v>
      </c>
      <c r="J1105" s="112">
        <f t="shared" si="449"/>
        <v>2954281</v>
      </c>
      <c r="K1105" s="248">
        <v>1000</v>
      </c>
      <c r="L1105" s="112">
        <v>2300</v>
      </c>
      <c r="M1105" s="113">
        <f t="shared" si="446"/>
        <v>1232117.820716239</v>
      </c>
      <c r="N1105" s="114">
        <v>820</v>
      </c>
      <c r="O1105" s="114">
        <v>8</v>
      </c>
      <c r="P1105" s="254">
        <v>48330</v>
      </c>
      <c r="Q1105" s="116" t="s">
        <v>360</v>
      </c>
      <c r="R1105" s="116"/>
      <c r="S1105" s="114">
        <f t="shared" si="454"/>
        <v>24165</v>
      </c>
      <c r="T1105" s="114">
        <f t="shared" si="455"/>
        <v>24165</v>
      </c>
    </row>
    <row r="1106" spans="1:20" x14ac:dyDescent="0.2">
      <c r="A1106" s="110" t="str">
        <f t="shared" si="445"/>
        <v>90339</v>
      </c>
      <c r="B1106" s="110">
        <v>9</v>
      </c>
      <c r="C1106" s="110">
        <v>3</v>
      </c>
      <c r="D1106" s="110" t="s">
        <v>724</v>
      </c>
      <c r="E1106" s="110">
        <v>9</v>
      </c>
      <c r="F1106" s="112">
        <f t="shared" si="456"/>
        <v>1495209</v>
      </c>
      <c r="G1106" s="112">
        <f t="shared" si="456"/>
        <v>1495209</v>
      </c>
      <c r="H1106" s="112">
        <f t="shared" si="457"/>
        <v>60412</v>
      </c>
      <c r="I1106" s="112">
        <f t="shared" si="457"/>
        <v>60412</v>
      </c>
      <c r="J1106" s="112">
        <f t="shared" si="449"/>
        <v>3163418</v>
      </c>
      <c r="K1106" s="248">
        <v>1000</v>
      </c>
      <c r="L1106" s="112">
        <v>2500</v>
      </c>
      <c r="M1106" s="113">
        <f t="shared" si="446"/>
        <v>1352324.2497335903</v>
      </c>
      <c r="N1106" s="114">
        <v>800</v>
      </c>
      <c r="O1106" s="114">
        <v>9</v>
      </c>
      <c r="P1106" s="254">
        <v>48330</v>
      </c>
      <c r="Q1106" s="116" t="s">
        <v>360</v>
      </c>
      <c r="R1106" s="116"/>
      <c r="S1106" s="114">
        <f t="shared" si="454"/>
        <v>24165</v>
      </c>
      <c r="T1106" s="114">
        <f t="shared" si="455"/>
        <v>24165</v>
      </c>
    </row>
    <row r="1107" spans="1:20" x14ac:dyDescent="0.2">
      <c r="A1107" s="110" t="str">
        <f t="shared" si="445"/>
        <v>90430</v>
      </c>
      <c r="B1107" s="110">
        <v>9</v>
      </c>
      <c r="C1107" s="110">
        <v>4</v>
      </c>
      <c r="D1107" s="110" t="s">
        <v>724</v>
      </c>
      <c r="E1107" s="110">
        <v>0</v>
      </c>
      <c r="F1107" s="112">
        <f>ROUNDDOWN($P1107/4*$O1107*10*$N1107/$N1107*$Q1107/400,0)</f>
        <v>85009</v>
      </c>
      <c r="G1107" s="112">
        <f>ROUNDDOWN($P1107/4*$O1107*10*$N1107/$N1107*$Q1107/400,0)</f>
        <v>85009</v>
      </c>
      <c r="H1107" s="112">
        <f>ROUNDDOWN($S1107/4*10,0)</f>
        <v>61825</v>
      </c>
      <c r="I1107" s="112">
        <f>ROUNDDOWN($S1107/4*10,0)</f>
        <v>61825</v>
      </c>
      <c r="J1107" s="112">
        <f>ROUNDDOWN($P1107/4*$O1107*10*$N1107/$Q1107*$N1107/400,0)</f>
        <v>227628</v>
      </c>
      <c r="K1107" s="248">
        <v>1000</v>
      </c>
      <c r="L1107" s="112">
        <v>700</v>
      </c>
      <c r="M1107" s="113">
        <f t="shared" si="446"/>
        <v>87501.872031536332</v>
      </c>
      <c r="N1107" s="114">
        <v>900</v>
      </c>
      <c r="O1107" s="114">
        <v>0.5</v>
      </c>
      <c r="P1107" s="254">
        <v>49460</v>
      </c>
      <c r="Q1107" s="116" t="s">
        <v>360</v>
      </c>
      <c r="R1107" s="116"/>
      <c r="S1107" s="114">
        <f>P1107*0.5</f>
        <v>24730</v>
      </c>
      <c r="T1107" s="114">
        <f>S1107</f>
        <v>24730</v>
      </c>
    </row>
    <row r="1108" spans="1:20" x14ac:dyDescent="0.2">
      <c r="A1108" s="110" t="str">
        <f t="shared" si="445"/>
        <v>90431</v>
      </c>
      <c r="B1108" s="110">
        <v>9</v>
      </c>
      <c r="C1108" s="110">
        <v>4</v>
      </c>
      <c r="D1108" s="110" t="s">
        <v>724</v>
      </c>
      <c r="E1108" s="110">
        <v>1</v>
      </c>
      <c r="F1108" s="112">
        <f t="shared" ref="F1108:G1116" si="458">ROUNDDOWN($P1108/4*$O1108*10*$N1108/$N1108*$Q1108/400,0)</f>
        <v>108281</v>
      </c>
      <c r="G1108" s="112">
        <f t="shared" si="458"/>
        <v>108281</v>
      </c>
      <c r="H1108" s="112">
        <f t="shared" ref="H1108:I1116" si="459">ROUNDDOWN($S1108/4*10,0)</f>
        <v>43277</v>
      </c>
      <c r="I1108" s="112">
        <f t="shared" si="459"/>
        <v>43277</v>
      </c>
      <c r="J1108" s="112">
        <f t="shared" si="449"/>
        <v>258622</v>
      </c>
      <c r="K1108" s="248">
        <v>1000</v>
      </c>
      <c r="L1108" s="112">
        <v>900</v>
      </c>
      <c r="M1108" s="113">
        <f t="shared" si="446"/>
        <v>88069.883660233885</v>
      </c>
      <c r="N1108" s="114">
        <v>850</v>
      </c>
      <c r="O1108" s="114">
        <v>1</v>
      </c>
      <c r="P1108" s="254">
        <v>31500</v>
      </c>
      <c r="Q1108" s="116" t="s">
        <v>360</v>
      </c>
      <c r="R1108" s="116"/>
      <c r="S1108" s="114">
        <v>17311</v>
      </c>
      <c r="T1108" s="114">
        <v>17311</v>
      </c>
    </row>
    <row r="1109" spans="1:20" x14ac:dyDescent="0.2">
      <c r="A1109" s="110" t="str">
        <f t="shared" si="445"/>
        <v>90432</v>
      </c>
      <c r="B1109" s="110">
        <v>9</v>
      </c>
      <c r="C1109" s="110">
        <v>4</v>
      </c>
      <c r="D1109" s="110" t="s">
        <v>724</v>
      </c>
      <c r="E1109" s="110">
        <v>2</v>
      </c>
      <c r="F1109" s="112">
        <f t="shared" si="458"/>
        <v>238026</v>
      </c>
      <c r="G1109" s="112">
        <f t="shared" si="458"/>
        <v>238026</v>
      </c>
      <c r="H1109" s="112">
        <f t="shared" si="459"/>
        <v>43277</v>
      </c>
      <c r="I1109" s="112">
        <f t="shared" si="459"/>
        <v>43277</v>
      </c>
      <c r="J1109" s="112">
        <f t="shared" si="449"/>
        <v>581964</v>
      </c>
      <c r="K1109" s="248">
        <v>1000</v>
      </c>
      <c r="L1109" s="112">
        <v>1100</v>
      </c>
      <c r="M1109" s="113">
        <f t="shared" si="446"/>
        <v>195874.91456287267</v>
      </c>
      <c r="N1109" s="114">
        <v>860</v>
      </c>
      <c r="O1109" s="114">
        <v>2</v>
      </c>
      <c r="P1109" s="254">
        <v>34622</v>
      </c>
      <c r="Q1109" s="116" t="s">
        <v>360</v>
      </c>
      <c r="R1109" s="116"/>
      <c r="S1109" s="114">
        <f t="shared" ref="S1109:S1116" si="460">P1109*0.5</f>
        <v>17311</v>
      </c>
      <c r="T1109" s="114">
        <f t="shared" ref="T1109:T1116" si="461">S1109</f>
        <v>17311</v>
      </c>
    </row>
    <row r="1110" spans="1:20" x14ac:dyDescent="0.2">
      <c r="A1110" s="110" t="str">
        <f t="shared" si="445"/>
        <v>90433</v>
      </c>
      <c r="B1110" s="110">
        <v>9</v>
      </c>
      <c r="C1110" s="110">
        <v>4</v>
      </c>
      <c r="D1110" s="110" t="s">
        <v>724</v>
      </c>
      <c r="E1110" s="110">
        <v>3</v>
      </c>
      <c r="F1110" s="112">
        <f t="shared" si="458"/>
        <v>357039</v>
      </c>
      <c r="G1110" s="112">
        <f t="shared" si="458"/>
        <v>357039</v>
      </c>
      <c r="H1110" s="112">
        <f t="shared" si="459"/>
        <v>43277</v>
      </c>
      <c r="I1110" s="112">
        <f t="shared" si="459"/>
        <v>43277</v>
      </c>
      <c r="J1110" s="112">
        <f t="shared" si="449"/>
        <v>832816</v>
      </c>
      <c r="K1110" s="248">
        <v>1000</v>
      </c>
      <c r="L1110" s="112">
        <v>1300</v>
      </c>
      <c r="M1110" s="113">
        <f t="shared" si="446"/>
        <v>286979.52971476974</v>
      </c>
      <c r="N1110" s="114">
        <v>840</v>
      </c>
      <c r="O1110" s="114">
        <v>3</v>
      </c>
      <c r="P1110" s="254">
        <v>34622</v>
      </c>
      <c r="Q1110" s="116" t="s">
        <v>360</v>
      </c>
      <c r="R1110" s="116"/>
      <c r="S1110" s="114">
        <f t="shared" si="460"/>
        <v>17311</v>
      </c>
      <c r="T1110" s="114">
        <f t="shared" si="461"/>
        <v>17311</v>
      </c>
    </row>
    <row r="1111" spans="1:20" x14ac:dyDescent="0.2">
      <c r="A1111" s="110" t="str">
        <f t="shared" si="445"/>
        <v>90434</v>
      </c>
      <c r="B1111" s="110">
        <v>9</v>
      </c>
      <c r="C1111" s="110">
        <v>4</v>
      </c>
      <c r="D1111" s="110" t="s">
        <v>724</v>
      </c>
      <c r="E1111" s="110">
        <v>4</v>
      </c>
      <c r="F1111" s="112">
        <f t="shared" si="458"/>
        <v>680075</v>
      </c>
      <c r="G1111" s="112">
        <f t="shared" si="458"/>
        <v>680075</v>
      </c>
      <c r="H1111" s="112">
        <f t="shared" si="459"/>
        <v>61825</v>
      </c>
      <c r="I1111" s="112">
        <f t="shared" si="459"/>
        <v>61825</v>
      </c>
      <c r="J1111" s="112">
        <f t="shared" si="449"/>
        <v>1511677</v>
      </c>
      <c r="K1111" s="248">
        <v>1000</v>
      </c>
      <c r="L1111" s="112">
        <v>1500</v>
      </c>
      <c r="M1111" s="113">
        <f t="shared" si="446"/>
        <v>637793.30677849858</v>
      </c>
      <c r="N1111" s="114">
        <v>820</v>
      </c>
      <c r="O1111" s="114">
        <v>4</v>
      </c>
      <c r="P1111" s="254">
        <v>49460</v>
      </c>
      <c r="Q1111" s="116" t="s">
        <v>360</v>
      </c>
      <c r="R1111" s="116"/>
      <c r="S1111" s="114">
        <f t="shared" si="460"/>
        <v>24730</v>
      </c>
      <c r="T1111" s="114">
        <f t="shared" si="461"/>
        <v>24730</v>
      </c>
    </row>
    <row r="1112" spans="1:20" x14ac:dyDescent="0.2">
      <c r="A1112" s="110" t="str">
        <f t="shared" si="445"/>
        <v>90435</v>
      </c>
      <c r="B1112" s="110">
        <v>9</v>
      </c>
      <c r="C1112" s="110">
        <v>4</v>
      </c>
      <c r="D1112" s="110" t="s">
        <v>724</v>
      </c>
      <c r="E1112" s="110">
        <v>5</v>
      </c>
      <c r="F1112" s="112">
        <f t="shared" si="458"/>
        <v>850093</v>
      </c>
      <c r="G1112" s="112">
        <f t="shared" si="458"/>
        <v>850093</v>
      </c>
      <c r="H1112" s="112">
        <f t="shared" si="459"/>
        <v>61825</v>
      </c>
      <c r="I1112" s="112">
        <f t="shared" si="459"/>
        <v>61825</v>
      </c>
      <c r="J1112" s="112">
        <f t="shared" si="449"/>
        <v>1889596</v>
      </c>
      <c r="K1112" s="248">
        <v>1000</v>
      </c>
      <c r="L1112" s="112">
        <v>1700</v>
      </c>
      <c r="M1112" s="113">
        <f t="shared" si="446"/>
        <v>797241.22904871835</v>
      </c>
      <c r="N1112" s="114">
        <v>820</v>
      </c>
      <c r="O1112" s="114">
        <v>5</v>
      </c>
      <c r="P1112" s="254">
        <v>49460</v>
      </c>
      <c r="Q1112" s="116" t="s">
        <v>360</v>
      </c>
      <c r="R1112" s="116"/>
      <c r="S1112" s="114">
        <f t="shared" si="460"/>
        <v>24730</v>
      </c>
      <c r="T1112" s="114">
        <f t="shared" si="461"/>
        <v>24730</v>
      </c>
    </row>
    <row r="1113" spans="1:20" x14ac:dyDescent="0.2">
      <c r="A1113" s="110" t="str">
        <f t="shared" si="445"/>
        <v>90436</v>
      </c>
      <c r="B1113" s="110">
        <v>9</v>
      </c>
      <c r="C1113" s="110">
        <v>4</v>
      </c>
      <c r="D1113" s="110" t="s">
        <v>724</v>
      </c>
      <c r="E1113" s="110">
        <v>6</v>
      </c>
      <c r="F1113" s="112">
        <f t="shared" si="458"/>
        <v>714078</v>
      </c>
      <c r="G1113" s="112">
        <f t="shared" si="458"/>
        <v>714078</v>
      </c>
      <c r="H1113" s="112">
        <f t="shared" si="459"/>
        <v>43277</v>
      </c>
      <c r="I1113" s="112">
        <f t="shared" si="459"/>
        <v>43277</v>
      </c>
      <c r="J1113" s="112">
        <f t="shared" si="449"/>
        <v>1587261</v>
      </c>
      <c r="K1113" s="248">
        <v>1000</v>
      </c>
      <c r="L1113" s="112">
        <v>1900</v>
      </c>
      <c r="M1113" s="113">
        <f t="shared" si="446"/>
        <v>560293.46879399219</v>
      </c>
      <c r="N1113" s="114">
        <v>820</v>
      </c>
      <c r="O1113" s="114">
        <v>6</v>
      </c>
      <c r="P1113" s="254">
        <v>34622</v>
      </c>
      <c r="Q1113" s="116" t="s">
        <v>360</v>
      </c>
      <c r="R1113" s="116"/>
      <c r="S1113" s="114">
        <f t="shared" si="460"/>
        <v>17311</v>
      </c>
      <c r="T1113" s="114">
        <f t="shared" si="461"/>
        <v>17311</v>
      </c>
    </row>
    <row r="1114" spans="1:20" x14ac:dyDescent="0.2">
      <c r="A1114" s="110" t="str">
        <f t="shared" si="445"/>
        <v>90437</v>
      </c>
      <c r="B1114" s="110">
        <v>9</v>
      </c>
      <c r="C1114" s="110">
        <v>4</v>
      </c>
      <c r="D1114" s="110" t="s">
        <v>724</v>
      </c>
      <c r="E1114" s="110">
        <v>7</v>
      </c>
      <c r="F1114" s="112">
        <f t="shared" si="458"/>
        <v>1190131</v>
      </c>
      <c r="G1114" s="112">
        <f t="shared" si="458"/>
        <v>1190131</v>
      </c>
      <c r="H1114" s="112">
        <f t="shared" si="459"/>
        <v>61825</v>
      </c>
      <c r="I1114" s="112">
        <f t="shared" si="459"/>
        <v>61825</v>
      </c>
      <c r="J1114" s="112">
        <f t="shared" si="449"/>
        <v>2645435</v>
      </c>
      <c r="K1114" s="248">
        <v>1000</v>
      </c>
      <c r="L1114" s="112">
        <v>2100</v>
      </c>
      <c r="M1114" s="113">
        <f t="shared" si="446"/>
        <v>1116138.2223727601</v>
      </c>
      <c r="N1114" s="114">
        <v>820</v>
      </c>
      <c r="O1114" s="114">
        <v>7</v>
      </c>
      <c r="P1114" s="254">
        <v>49460</v>
      </c>
      <c r="Q1114" s="116" t="s">
        <v>360</v>
      </c>
      <c r="R1114" s="116"/>
      <c r="S1114" s="114">
        <f t="shared" si="460"/>
        <v>24730</v>
      </c>
      <c r="T1114" s="114">
        <f t="shared" si="461"/>
        <v>24730</v>
      </c>
    </row>
    <row r="1115" spans="1:20" x14ac:dyDescent="0.2">
      <c r="A1115" s="110" t="str">
        <f t="shared" si="445"/>
        <v>90438</v>
      </c>
      <c r="B1115" s="110">
        <v>9</v>
      </c>
      <c r="C1115" s="110">
        <v>4</v>
      </c>
      <c r="D1115" s="110" t="s">
        <v>724</v>
      </c>
      <c r="E1115" s="110">
        <v>8</v>
      </c>
      <c r="F1115" s="112">
        <f t="shared" si="458"/>
        <v>1360150</v>
      </c>
      <c r="G1115" s="112">
        <f t="shared" si="458"/>
        <v>1360150</v>
      </c>
      <c r="H1115" s="112">
        <f t="shared" si="459"/>
        <v>61825</v>
      </c>
      <c r="I1115" s="112">
        <f t="shared" si="459"/>
        <v>61825</v>
      </c>
      <c r="J1115" s="112">
        <f t="shared" si="449"/>
        <v>3023354</v>
      </c>
      <c r="K1115" s="248">
        <v>1000</v>
      </c>
      <c r="L1115" s="112">
        <v>2300</v>
      </c>
      <c r="M1115" s="113">
        <f t="shared" si="446"/>
        <v>1275586.6135569972</v>
      </c>
      <c r="N1115" s="114">
        <v>820</v>
      </c>
      <c r="O1115" s="114">
        <v>8</v>
      </c>
      <c r="P1115" s="254">
        <v>49460</v>
      </c>
      <c r="Q1115" s="116" t="s">
        <v>360</v>
      </c>
      <c r="R1115" s="116"/>
      <c r="S1115" s="114">
        <f t="shared" si="460"/>
        <v>24730</v>
      </c>
      <c r="T1115" s="114">
        <f t="shared" si="461"/>
        <v>24730</v>
      </c>
    </row>
    <row r="1116" spans="1:20" x14ac:dyDescent="0.2">
      <c r="A1116" s="110" t="str">
        <f t="shared" si="445"/>
        <v>90439</v>
      </c>
      <c r="B1116" s="110">
        <v>9</v>
      </c>
      <c r="C1116" s="110">
        <v>4</v>
      </c>
      <c r="D1116" s="110" t="s">
        <v>724</v>
      </c>
      <c r="E1116" s="110">
        <v>9</v>
      </c>
      <c r="F1116" s="112">
        <f t="shared" si="458"/>
        <v>1530168</v>
      </c>
      <c r="G1116" s="112">
        <f t="shared" si="458"/>
        <v>1530168</v>
      </c>
      <c r="H1116" s="112">
        <f t="shared" si="459"/>
        <v>61825</v>
      </c>
      <c r="I1116" s="112">
        <f t="shared" si="459"/>
        <v>61825</v>
      </c>
      <c r="J1116" s="112">
        <f t="shared" si="449"/>
        <v>3401274</v>
      </c>
      <c r="K1116" s="248">
        <v>1000</v>
      </c>
      <c r="L1116" s="112">
        <v>2500</v>
      </c>
      <c r="M1116" s="113">
        <f t="shared" si="446"/>
        <v>1435034.7467827331</v>
      </c>
      <c r="N1116" s="114">
        <v>820</v>
      </c>
      <c r="O1116" s="114">
        <v>9</v>
      </c>
      <c r="P1116" s="254">
        <v>49460</v>
      </c>
      <c r="Q1116" s="116" t="s">
        <v>360</v>
      </c>
      <c r="R1116" s="116"/>
      <c r="S1116" s="114">
        <f t="shared" si="460"/>
        <v>24730</v>
      </c>
      <c r="T1116" s="114">
        <f t="shared" si="461"/>
        <v>24730</v>
      </c>
    </row>
    <row r="1117" spans="1:20" ht="38.25" x14ac:dyDescent="0.2">
      <c r="A1117" s="8" t="str">
        <f t="shared" ref="A1117:A1273" si="462">IF(B1117="","",CONCATENATE(B1117,CONCATENATE(REPT(0,2-LEN(C1117)),C1117),IF(OR(D1117="Easy",D1117=""),1,IF(D1117="Normal",2,IF(D1117="Hard",3,IF(D1117="Hell",4,"error")))),E1117))</f>
        <v/>
      </c>
      <c r="B1117" s="5"/>
      <c r="C1117" s="6" t="s">
        <v>715</v>
      </c>
      <c r="D1117" s="5"/>
      <c r="E1117" s="5"/>
      <c r="F1117" s="5"/>
      <c r="G1117" s="5"/>
      <c r="H1117" s="5"/>
      <c r="I1117" s="5"/>
      <c r="J1117" s="5"/>
      <c r="K1117" s="133">
        <v>1000</v>
      </c>
      <c r="L1117" s="5"/>
      <c r="M1117" s="16">
        <f t="shared" ref="M1117:M1270" si="463">(F1117*J1117*((H1117+I1117)/2)/1000)^(1/2)/10*0.8</f>
        <v>0</v>
      </c>
      <c r="N1117" s="5"/>
      <c r="O1117" s="5"/>
      <c r="P1117" s="5">
        <v>0</v>
      </c>
      <c r="Q1117" s="5"/>
      <c r="R1117" s="5"/>
      <c r="S1117" s="30"/>
      <c r="T1117" s="266"/>
    </row>
    <row r="1118" spans="1:20" x14ac:dyDescent="0.2">
      <c r="A1118" s="8" t="str">
        <f t="shared" si="462"/>
        <v>90140</v>
      </c>
      <c r="B1118" s="8">
        <v>9</v>
      </c>
      <c r="C1118" s="8">
        <v>1</v>
      </c>
      <c r="D1118" s="8" t="s">
        <v>725</v>
      </c>
      <c r="E1118" s="8">
        <v>0</v>
      </c>
      <c r="F1118" s="34">
        <f>ROUNDDOWN($P1118/4*$O1118*10*$N1118/$N1118*$Q1118/400,0)</f>
        <v>357637</v>
      </c>
      <c r="G1118" s="34">
        <f>ROUNDDOWN($P1118/4*$O1118*10*$N1118/$N1118*$Q1118/400,0)</f>
        <v>357637</v>
      </c>
      <c r="H1118" s="34">
        <f>ROUNDDOWN($S1118/4*10,0)</f>
        <v>191250</v>
      </c>
      <c r="I1118" s="34">
        <f>ROUNDDOWN($S1118/4*10,0)</f>
        <v>191250</v>
      </c>
      <c r="J1118" s="34">
        <f>ROUNDDOWN($P1118/4*$O1118*10*$N1118/$Q1118*$N1118/400,0)</f>
        <v>517755</v>
      </c>
      <c r="K1118" s="133">
        <v>1000</v>
      </c>
      <c r="L1118" s="34">
        <v>700</v>
      </c>
      <c r="M1118" s="16">
        <f t="shared" si="463"/>
        <v>476073.58065790631</v>
      </c>
      <c r="N1118" s="36">
        <v>900</v>
      </c>
      <c r="O1118" s="36">
        <v>0.5</v>
      </c>
      <c r="P1118" s="66">
        <v>153000</v>
      </c>
      <c r="Q1118" s="41" t="s">
        <v>717</v>
      </c>
      <c r="S1118" s="36">
        <f>P1118*0.5</f>
        <v>76500</v>
      </c>
      <c r="T1118" s="114">
        <f>S1118</f>
        <v>76500</v>
      </c>
    </row>
    <row r="1119" spans="1:20" x14ac:dyDescent="0.2">
      <c r="A1119" s="8" t="str">
        <f t="shared" si="462"/>
        <v>90141</v>
      </c>
      <c r="B1119" s="8">
        <v>9</v>
      </c>
      <c r="C1119" s="8">
        <v>1</v>
      </c>
      <c r="D1119" s="8" t="s">
        <v>725</v>
      </c>
      <c r="E1119" s="8">
        <v>1</v>
      </c>
      <c r="F1119" s="34">
        <f t="shared" ref="F1119:G1144" si="464">ROUNDDOWN($P1119/4*$O1119*10*$N1119/$N1119*$Q1119/400,0)</f>
        <v>715275</v>
      </c>
      <c r="G1119" s="34">
        <f t="shared" si="464"/>
        <v>715275</v>
      </c>
      <c r="H1119" s="34">
        <f t="shared" ref="H1119:I1144" si="465">ROUNDDOWN($S1119/4*10,0)</f>
        <v>191250</v>
      </c>
      <c r="I1119" s="34">
        <f t="shared" si="465"/>
        <v>191250</v>
      </c>
      <c r="J1119" s="34">
        <f t="shared" ref="J1119:J1157" si="466">ROUNDDOWN($P1119/4*$O1119*10*$N1119/$Q1119*$N1119/400,0)</f>
        <v>990000</v>
      </c>
      <c r="K1119" s="133">
        <v>1000</v>
      </c>
      <c r="L1119" s="34">
        <v>900</v>
      </c>
      <c r="M1119" s="16">
        <f t="shared" si="463"/>
        <v>930989.59929743584</v>
      </c>
      <c r="N1119" s="36">
        <v>880</v>
      </c>
      <c r="O1119" s="36">
        <v>1</v>
      </c>
      <c r="P1119" s="66">
        <v>153000</v>
      </c>
      <c r="Q1119" s="41" t="s">
        <v>717</v>
      </c>
      <c r="S1119" s="36">
        <f t="shared" ref="S1119:S1127" si="467">P1119*0.5</f>
        <v>76500</v>
      </c>
      <c r="T1119" s="114">
        <f t="shared" ref="T1119:T1127" si="468">S1119</f>
        <v>76500</v>
      </c>
    </row>
    <row r="1120" spans="1:20" x14ac:dyDescent="0.2">
      <c r="A1120" s="8" t="str">
        <f t="shared" si="462"/>
        <v>90142</v>
      </c>
      <c r="B1120" s="8">
        <v>9</v>
      </c>
      <c r="C1120" s="8">
        <v>1</v>
      </c>
      <c r="D1120" s="8" t="s">
        <v>725</v>
      </c>
      <c r="E1120" s="8">
        <v>2</v>
      </c>
      <c r="F1120" s="34">
        <f t="shared" si="464"/>
        <v>1365525</v>
      </c>
      <c r="G1120" s="34">
        <f t="shared" si="464"/>
        <v>1365525</v>
      </c>
      <c r="H1120" s="34">
        <f t="shared" si="465"/>
        <v>191250</v>
      </c>
      <c r="I1120" s="34">
        <f t="shared" si="465"/>
        <v>191250</v>
      </c>
      <c r="J1120" s="34">
        <f t="shared" si="466"/>
        <v>1981071</v>
      </c>
      <c r="K1120" s="133">
        <v>1000</v>
      </c>
      <c r="L1120" s="34">
        <v>1100</v>
      </c>
      <c r="M1120" s="16">
        <f t="shared" si="463"/>
        <v>1819661.2927093329</v>
      </c>
      <c r="N1120" s="36">
        <v>860</v>
      </c>
      <c r="O1120" s="36">
        <v>2</v>
      </c>
      <c r="P1120" s="66">
        <v>153000</v>
      </c>
      <c r="Q1120" s="41" t="s">
        <v>718</v>
      </c>
      <c r="S1120" s="36">
        <f t="shared" si="467"/>
        <v>76500</v>
      </c>
      <c r="T1120" s="114">
        <f t="shared" si="468"/>
        <v>76500</v>
      </c>
    </row>
    <row r="1121" spans="1:20" x14ac:dyDescent="0.2">
      <c r="A1121" s="8" t="str">
        <f t="shared" si="462"/>
        <v>90143</v>
      </c>
      <c r="B1121" s="8">
        <v>9</v>
      </c>
      <c r="C1121" s="8">
        <v>1</v>
      </c>
      <c r="D1121" s="8" t="s">
        <v>725</v>
      </c>
      <c r="E1121" s="8">
        <v>3</v>
      </c>
      <c r="F1121" s="34">
        <f t="shared" si="464"/>
        <v>1706906</v>
      </c>
      <c r="G1121" s="34">
        <f t="shared" si="464"/>
        <v>1706906</v>
      </c>
      <c r="H1121" s="34">
        <f t="shared" si="465"/>
        <v>191250</v>
      </c>
      <c r="I1121" s="34">
        <f t="shared" si="465"/>
        <v>191250</v>
      </c>
      <c r="J1121" s="34">
        <f t="shared" si="466"/>
        <v>3402000</v>
      </c>
      <c r="K1121" s="133">
        <v>1000</v>
      </c>
      <c r="L1121" s="34">
        <v>1300</v>
      </c>
      <c r="M1121" s="16">
        <f t="shared" si="463"/>
        <v>2666015.4754779651</v>
      </c>
      <c r="N1121" s="36">
        <v>840</v>
      </c>
      <c r="O1121" s="36">
        <v>3</v>
      </c>
      <c r="P1121" s="66">
        <v>153000</v>
      </c>
      <c r="Q1121" s="41" t="s">
        <v>540</v>
      </c>
      <c r="S1121" s="36">
        <f t="shared" si="467"/>
        <v>76500</v>
      </c>
      <c r="T1121" s="114">
        <f t="shared" si="468"/>
        <v>76500</v>
      </c>
    </row>
    <row r="1122" spans="1:20" x14ac:dyDescent="0.2">
      <c r="A1122" s="8" t="str">
        <f t="shared" si="462"/>
        <v>90144</v>
      </c>
      <c r="B1122" s="8">
        <v>9</v>
      </c>
      <c r="C1122" s="8">
        <v>1</v>
      </c>
      <c r="D1122" s="8" t="s">
        <v>725</v>
      </c>
      <c r="E1122" s="8">
        <v>4</v>
      </c>
      <c r="F1122" s="34">
        <f t="shared" si="464"/>
        <v>2015775</v>
      </c>
      <c r="G1122" s="34">
        <f t="shared" si="464"/>
        <v>2015775</v>
      </c>
      <c r="H1122" s="34">
        <f t="shared" si="465"/>
        <v>191250</v>
      </c>
      <c r="I1122" s="34">
        <f t="shared" si="465"/>
        <v>191250</v>
      </c>
      <c r="J1122" s="34">
        <f t="shared" si="466"/>
        <v>4880322</v>
      </c>
      <c r="K1122" s="133">
        <v>1000</v>
      </c>
      <c r="L1122" s="34">
        <v>1500</v>
      </c>
      <c r="M1122" s="16">
        <f t="shared" si="463"/>
        <v>3470051.9364080415</v>
      </c>
      <c r="N1122" s="36">
        <v>820</v>
      </c>
      <c r="O1122" s="36">
        <v>4</v>
      </c>
      <c r="P1122" s="66">
        <v>153000</v>
      </c>
      <c r="Q1122" s="41" t="s">
        <v>719</v>
      </c>
      <c r="S1122" s="36">
        <f t="shared" si="467"/>
        <v>76500</v>
      </c>
      <c r="T1122" s="114">
        <f t="shared" si="468"/>
        <v>76500</v>
      </c>
    </row>
    <row r="1123" spans="1:20" x14ac:dyDescent="0.2">
      <c r="A1123" s="8" t="str">
        <f t="shared" si="462"/>
        <v>90145</v>
      </c>
      <c r="B1123" s="8">
        <v>9</v>
      </c>
      <c r="C1123" s="8">
        <v>1</v>
      </c>
      <c r="D1123" s="8" t="s">
        <v>725</v>
      </c>
      <c r="E1123" s="8">
        <v>5</v>
      </c>
      <c r="F1123" s="34">
        <f t="shared" si="464"/>
        <v>2342812</v>
      </c>
      <c r="G1123" s="34">
        <f t="shared" si="464"/>
        <v>2342812</v>
      </c>
      <c r="H1123" s="34">
        <f t="shared" si="465"/>
        <v>191250</v>
      </c>
      <c r="I1123" s="34">
        <f t="shared" si="465"/>
        <v>191250</v>
      </c>
      <c r="J1123" s="34">
        <f t="shared" si="466"/>
        <v>6561045</v>
      </c>
      <c r="K1123" s="133">
        <v>1000</v>
      </c>
      <c r="L1123" s="34">
        <v>1700</v>
      </c>
      <c r="M1123" s="16">
        <f t="shared" si="463"/>
        <v>4337564.4121157397</v>
      </c>
      <c r="N1123" s="36">
        <v>820</v>
      </c>
      <c r="O1123" s="36">
        <v>5</v>
      </c>
      <c r="P1123" s="66">
        <v>153000</v>
      </c>
      <c r="Q1123" s="41" t="s">
        <v>722</v>
      </c>
      <c r="S1123" s="36">
        <f t="shared" si="467"/>
        <v>76500</v>
      </c>
      <c r="T1123" s="114">
        <f t="shared" si="468"/>
        <v>76500</v>
      </c>
    </row>
    <row r="1124" spans="1:20" x14ac:dyDescent="0.2">
      <c r="A1124" s="8" t="str">
        <f t="shared" si="462"/>
        <v>90146</v>
      </c>
      <c r="B1124" s="8">
        <v>9</v>
      </c>
      <c r="C1124" s="8">
        <v>1</v>
      </c>
      <c r="D1124" s="8" t="s">
        <v>725</v>
      </c>
      <c r="E1124" s="8">
        <v>6</v>
      </c>
      <c r="F1124" s="34">
        <f t="shared" si="464"/>
        <v>2639250</v>
      </c>
      <c r="G1124" s="34">
        <f t="shared" si="464"/>
        <v>2639250</v>
      </c>
      <c r="H1124" s="34">
        <f t="shared" si="465"/>
        <v>191250</v>
      </c>
      <c r="I1124" s="34">
        <f t="shared" si="465"/>
        <v>191250</v>
      </c>
      <c r="J1124" s="34">
        <f t="shared" si="466"/>
        <v>8386728</v>
      </c>
      <c r="K1124" s="133">
        <v>1000</v>
      </c>
      <c r="L1124" s="34">
        <v>1900</v>
      </c>
      <c r="M1124" s="16">
        <f t="shared" si="463"/>
        <v>5205078.133301747</v>
      </c>
      <c r="N1124" s="36">
        <v>820</v>
      </c>
      <c r="O1124" s="36">
        <v>6</v>
      </c>
      <c r="P1124" s="66">
        <v>153000</v>
      </c>
      <c r="Q1124" s="41" t="s">
        <v>720</v>
      </c>
      <c r="S1124" s="36">
        <f t="shared" si="467"/>
        <v>76500</v>
      </c>
      <c r="T1124" s="114">
        <f t="shared" si="468"/>
        <v>76500</v>
      </c>
    </row>
    <row r="1125" spans="1:20" x14ac:dyDescent="0.2">
      <c r="A1125" s="8" t="str">
        <f t="shared" si="462"/>
        <v>90147</v>
      </c>
      <c r="B1125" s="8">
        <v>9</v>
      </c>
      <c r="C1125" s="8">
        <v>1</v>
      </c>
      <c r="D1125" s="8" t="s">
        <v>725</v>
      </c>
      <c r="E1125" s="8">
        <v>7</v>
      </c>
      <c r="F1125" s="34">
        <f t="shared" si="464"/>
        <v>2878312</v>
      </c>
      <c r="G1125" s="34">
        <f t="shared" si="464"/>
        <v>2878312</v>
      </c>
      <c r="H1125" s="34">
        <f t="shared" si="465"/>
        <v>191250</v>
      </c>
      <c r="I1125" s="34">
        <f t="shared" si="465"/>
        <v>191250</v>
      </c>
      <c r="J1125" s="34">
        <f t="shared" si="466"/>
        <v>10467156</v>
      </c>
      <c r="K1125" s="133">
        <v>1000</v>
      </c>
      <c r="L1125" s="34">
        <v>2100</v>
      </c>
      <c r="M1125" s="16">
        <f t="shared" si="463"/>
        <v>6072590.4391867667</v>
      </c>
      <c r="N1125" s="36">
        <v>820</v>
      </c>
      <c r="O1125" s="36">
        <v>7</v>
      </c>
      <c r="P1125" s="66">
        <v>153000</v>
      </c>
      <c r="Q1125" s="41" t="s">
        <v>721</v>
      </c>
      <c r="S1125" s="36">
        <f t="shared" si="467"/>
        <v>76500</v>
      </c>
      <c r="T1125" s="114">
        <f t="shared" si="468"/>
        <v>76500</v>
      </c>
    </row>
    <row r="1126" spans="1:20" x14ac:dyDescent="0.2">
      <c r="A1126" s="8" t="str">
        <f t="shared" si="462"/>
        <v>90148</v>
      </c>
      <c r="B1126" s="8">
        <v>9</v>
      </c>
      <c r="C1126" s="8">
        <v>1</v>
      </c>
      <c r="D1126" s="8" t="s">
        <v>725</v>
      </c>
      <c r="E1126" s="8">
        <v>8</v>
      </c>
      <c r="F1126" s="34">
        <f t="shared" si="464"/>
        <v>3174750</v>
      </c>
      <c r="G1126" s="34">
        <f t="shared" si="464"/>
        <v>3174750</v>
      </c>
      <c r="H1126" s="34">
        <f t="shared" si="465"/>
        <v>191250</v>
      </c>
      <c r="I1126" s="34">
        <f t="shared" si="465"/>
        <v>191250</v>
      </c>
      <c r="J1126" s="34">
        <f t="shared" si="466"/>
        <v>12394843</v>
      </c>
      <c r="K1126" s="133">
        <v>1000</v>
      </c>
      <c r="L1126" s="34">
        <v>2300</v>
      </c>
      <c r="M1126" s="16">
        <f t="shared" si="463"/>
        <v>6940104.1811086675</v>
      </c>
      <c r="N1126" s="36">
        <v>820</v>
      </c>
      <c r="O1126" s="36">
        <v>8</v>
      </c>
      <c r="P1126" s="66">
        <v>153000</v>
      </c>
      <c r="Q1126" s="41" t="s">
        <v>723</v>
      </c>
      <c r="S1126" s="36">
        <f t="shared" si="467"/>
        <v>76500</v>
      </c>
      <c r="T1126" s="114">
        <f t="shared" si="468"/>
        <v>76500</v>
      </c>
    </row>
    <row r="1127" spans="1:20" x14ac:dyDescent="0.2">
      <c r="A1127" s="8" t="str">
        <f t="shared" si="462"/>
        <v>90149</v>
      </c>
      <c r="B1127" s="8">
        <v>9</v>
      </c>
      <c r="C1127" s="8">
        <v>1</v>
      </c>
      <c r="D1127" s="8" t="s">
        <v>725</v>
      </c>
      <c r="E1127" s="8">
        <v>9</v>
      </c>
      <c r="F1127" s="34">
        <f t="shared" si="464"/>
        <v>3442500</v>
      </c>
      <c r="G1127" s="34">
        <f t="shared" si="464"/>
        <v>3442500</v>
      </c>
      <c r="H1127" s="34">
        <f t="shared" si="465"/>
        <v>191250</v>
      </c>
      <c r="I1127" s="34">
        <f t="shared" si="465"/>
        <v>191250</v>
      </c>
      <c r="J1127" s="34">
        <f t="shared" si="466"/>
        <v>14467106</v>
      </c>
      <c r="K1127" s="133">
        <v>1000</v>
      </c>
      <c r="L1127" s="34">
        <v>2500</v>
      </c>
      <c r="M1127" s="16">
        <f t="shared" si="463"/>
        <v>7807617.2539206864</v>
      </c>
      <c r="N1127" s="36">
        <v>820</v>
      </c>
      <c r="O1127" s="36">
        <v>9</v>
      </c>
      <c r="P1127" s="66">
        <v>153000</v>
      </c>
      <c r="Q1127" s="41" t="s">
        <v>90</v>
      </c>
      <c r="S1127" s="36">
        <f t="shared" si="467"/>
        <v>76500</v>
      </c>
      <c r="T1127" s="114">
        <f t="shared" si="468"/>
        <v>76500</v>
      </c>
    </row>
    <row r="1128" spans="1:20" x14ac:dyDescent="0.2">
      <c r="A1128" s="8" t="str">
        <f t="shared" si="462"/>
        <v>90240</v>
      </c>
      <c r="B1128" s="8">
        <v>9</v>
      </c>
      <c r="C1128" s="8">
        <v>2</v>
      </c>
      <c r="D1128" s="8" t="s">
        <v>725</v>
      </c>
      <c r="E1128" s="8">
        <v>0</v>
      </c>
      <c r="F1128" s="34">
        <f>ROUNDDOWN($P1128/4*$O1128*10*$N1128/$N1128*$Q1128/400,0)</f>
        <v>389193</v>
      </c>
      <c r="G1128" s="34">
        <f>ROUNDDOWN($P1128/4*$O1128*10*$N1128/$N1128*$Q1128/400,0)</f>
        <v>389193</v>
      </c>
      <c r="H1128" s="34">
        <f>ROUNDDOWN($S1128/4*10,0)</f>
        <v>208125</v>
      </c>
      <c r="I1128" s="34">
        <f>ROUNDDOWN($S1128/4*10,0)</f>
        <v>208125</v>
      </c>
      <c r="J1128" s="34">
        <f>ROUNDDOWN($P1128/4*$O1128*10*$N1128/$Q1128*$N1128/400,0)</f>
        <v>563440</v>
      </c>
      <c r="K1128" s="133">
        <v>1000</v>
      </c>
      <c r="L1128" s="34">
        <v>700</v>
      </c>
      <c r="M1128" s="16">
        <f t="shared" si="463"/>
        <v>540453.65760760661</v>
      </c>
      <c r="N1128" s="36">
        <v>900</v>
      </c>
      <c r="O1128" s="36">
        <v>0.5</v>
      </c>
      <c r="P1128" s="66">
        <v>166500</v>
      </c>
      <c r="Q1128" s="41" t="s">
        <v>717</v>
      </c>
      <c r="S1128" s="36">
        <f>P1128*0.5</f>
        <v>83250</v>
      </c>
      <c r="T1128" s="114">
        <f>S1128</f>
        <v>83250</v>
      </c>
    </row>
    <row r="1129" spans="1:20" x14ac:dyDescent="0.2">
      <c r="A1129" s="8" t="str">
        <f t="shared" si="462"/>
        <v>90241</v>
      </c>
      <c r="B1129" s="8">
        <v>9</v>
      </c>
      <c r="C1129" s="8">
        <v>2</v>
      </c>
      <c r="D1129" s="8" t="s">
        <v>725</v>
      </c>
      <c r="E1129" s="8">
        <v>1</v>
      </c>
      <c r="F1129" s="34">
        <f t="shared" si="464"/>
        <v>778387</v>
      </c>
      <c r="G1129" s="34">
        <f t="shared" si="464"/>
        <v>778387</v>
      </c>
      <c r="H1129" s="34">
        <f t="shared" si="465"/>
        <v>208125</v>
      </c>
      <c r="I1129" s="34">
        <f t="shared" si="465"/>
        <v>208125</v>
      </c>
      <c r="J1129" s="34">
        <f t="shared" si="466"/>
        <v>1077352</v>
      </c>
      <c r="K1129" s="133">
        <v>1000</v>
      </c>
      <c r="L1129" s="34">
        <v>900</v>
      </c>
      <c r="M1129" s="16">
        <f t="shared" si="463"/>
        <v>1056887.3761713535</v>
      </c>
      <c r="N1129" s="36">
        <v>880</v>
      </c>
      <c r="O1129" s="36">
        <v>1</v>
      </c>
      <c r="P1129" s="66">
        <v>166500</v>
      </c>
      <c r="Q1129" s="41" t="s">
        <v>717</v>
      </c>
      <c r="S1129" s="36">
        <f t="shared" ref="S1129:S1137" si="469">P1129*0.5</f>
        <v>83250</v>
      </c>
      <c r="T1129" s="114">
        <f t="shared" ref="T1129:T1137" si="470">S1129</f>
        <v>83250</v>
      </c>
    </row>
    <row r="1130" spans="1:20" x14ac:dyDescent="0.2">
      <c r="A1130" s="8" t="str">
        <f t="shared" si="462"/>
        <v>90242</v>
      </c>
      <c r="B1130" s="8">
        <v>9</v>
      </c>
      <c r="C1130" s="8">
        <v>2</v>
      </c>
      <c r="D1130" s="8" t="s">
        <v>725</v>
      </c>
      <c r="E1130" s="8">
        <v>2</v>
      </c>
      <c r="F1130" s="34">
        <f t="shared" si="464"/>
        <v>1486012</v>
      </c>
      <c r="G1130" s="34">
        <f t="shared" si="464"/>
        <v>1486012</v>
      </c>
      <c r="H1130" s="34">
        <f t="shared" si="465"/>
        <v>208125</v>
      </c>
      <c r="I1130" s="34">
        <f t="shared" si="465"/>
        <v>208125</v>
      </c>
      <c r="J1130" s="34">
        <f t="shared" si="466"/>
        <v>2155871</v>
      </c>
      <c r="K1130" s="133">
        <v>1000</v>
      </c>
      <c r="L1130" s="34">
        <v>1100</v>
      </c>
      <c r="M1130" s="16">
        <f t="shared" si="463"/>
        <v>2065735.2286859185</v>
      </c>
      <c r="N1130" s="36">
        <v>860</v>
      </c>
      <c r="O1130" s="36">
        <v>2</v>
      </c>
      <c r="P1130" s="66">
        <v>166500</v>
      </c>
      <c r="Q1130" s="41" t="s">
        <v>718</v>
      </c>
      <c r="S1130" s="36">
        <f t="shared" si="469"/>
        <v>83250</v>
      </c>
      <c r="T1130" s="114">
        <f t="shared" si="470"/>
        <v>83250</v>
      </c>
    </row>
    <row r="1131" spans="1:20" x14ac:dyDescent="0.2">
      <c r="A1131" s="8" t="str">
        <f t="shared" si="462"/>
        <v>90243</v>
      </c>
      <c r="B1131" s="8">
        <v>9</v>
      </c>
      <c r="C1131" s="8">
        <v>2</v>
      </c>
      <c r="D1131" s="8" t="s">
        <v>725</v>
      </c>
      <c r="E1131" s="8">
        <v>3</v>
      </c>
      <c r="F1131" s="34">
        <f t="shared" si="464"/>
        <v>1857515</v>
      </c>
      <c r="G1131" s="34">
        <f t="shared" si="464"/>
        <v>1857515</v>
      </c>
      <c r="H1131" s="34">
        <f t="shared" si="465"/>
        <v>208125</v>
      </c>
      <c r="I1131" s="34">
        <f t="shared" si="465"/>
        <v>208125</v>
      </c>
      <c r="J1131" s="34">
        <f t="shared" si="466"/>
        <v>3702176</v>
      </c>
      <c r="K1131" s="133">
        <v>1000</v>
      </c>
      <c r="L1131" s="34">
        <v>1300</v>
      </c>
      <c r="M1131" s="16">
        <f t="shared" si="463"/>
        <v>3026542.7151977355</v>
      </c>
      <c r="N1131" s="36">
        <v>840</v>
      </c>
      <c r="O1131" s="36">
        <v>3</v>
      </c>
      <c r="P1131" s="66">
        <v>166500</v>
      </c>
      <c r="Q1131" s="41" t="s">
        <v>540</v>
      </c>
      <c r="S1131" s="36">
        <f t="shared" si="469"/>
        <v>83250</v>
      </c>
      <c r="T1131" s="114">
        <f t="shared" si="470"/>
        <v>83250</v>
      </c>
    </row>
    <row r="1132" spans="1:20" x14ac:dyDescent="0.2">
      <c r="A1132" s="8" t="str">
        <f t="shared" si="462"/>
        <v>90244</v>
      </c>
      <c r="B1132" s="8">
        <v>9</v>
      </c>
      <c r="C1132" s="8">
        <v>2</v>
      </c>
      <c r="D1132" s="8" t="s">
        <v>725</v>
      </c>
      <c r="E1132" s="8">
        <v>4</v>
      </c>
      <c r="F1132" s="34">
        <f t="shared" si="464"/>
        <v>2193637</v>
      </c>
      <c r="G1132" s="34">
        <f t="shared" si="464"/>
        <v>2193637</v>
      </c>
      <c r="H1132" s="34">
        <f t="shared" si="465"/>
        <v>208125</v>
      </c>
      <c r="I1132" s="34">
        <f t="shared" si="465"/>
        <v>208125</v>
      </c>
      <c r="J1132" s="34">
        <f t="shared" si="466"/>
        <v>5310939</v>
      </c>
      <c r="K1132" s="133">
        <v>1000</v>
      </c>
      <c r="L1132" s="34">
        <v>1500</v>
      </c>
      <c r="M1132" s="16">
        <f t="shared" si="463"/>
        <v>3939309.9265138404</v>
      </c>
      <c r="N1132" s="36">
        <v>820</v>
      </c>
      <c r="O1132" s="36">
        <v>4</v>
      </c>
      <c r="P1132" s="66">
        <v>166500</v>
      </c>
      <c r="Q1132" s="41" t="s">
        <v>719</v>
      </c>
      <c r="S1132" s="36">
        <f t="shared" si="469"/>
        <v>83250</v>
      </c>
      <c r="T1132" s="114">
        <f t="shared" si="470"/>
        <v>83250</v>
      </c>
    </row>
    <row r="1133" spans="1:20" x14ac:dyDescent="0.2">
      <c r="A1133" s="8" t="str">
        <f t="shared" si="462"/>
        <v>90245</v>
      </c>
      <c r="B1133" s="8">
        <v>9</v>
      </c>
      <c r="C1133" s="8">
        <v>2</v>
      </c>
      <c r="D1133" s="8" t="s">
        <v>725</v>
      </c>
      <c r="E1133" s="8">
        <v>5</v>
      </c>
      <c r="F1133" s="34">
        <f t="shared" si="464"/>
        <v>2549531</v>
      </c>
      <c r="G1133" s="34">
        <f t="shared" si="464"/>
        <v>2549531</v>
      </c>
      <c r="H1133" s="34">
        <f t="shared" si="465"/>
        <v>208125</v>
      </c>
      <c r="I1133" s="34">
        <f t="shared" si="465"/>
        <v>208125</v>
      </c>
      <c r="J1133" s="34">
        <f t="shared" si="466"/>
        <v>7139961</v>
      </c>
      <c r="K1133" s="133">
        <v>1000</v>
      </c>
      <c r="L1133" s="34">
        <v>1700</v>
      </c>
      <c r="M1133" s="16">
        <f t="shared" si="463"/>
        <v>4924137.603869698</v>
      </c>
      <c r="N1133" s="36">
        <v>820</v>
      </c>
      <c r="O1133" s="36">
        <v>5</v>
      </c>
      <c r="P1133" s="66">
        <v>166500</v>
      </c>
      <c r="Q1133" s="41" t="s">
        <v>722</v>
      </c>
      <c r="S1133" s="36">
        <f t="shared" si="469"/>
        <v>83250</v>
      </c>
      <c r="T1133" s="114">
        <f t="shared" si="470"/>
        <v>83250</v>
      </c>
    </row>
    <row r="1134" spans="1:20" x14ac:dyDescent="0.2">
      <c r="A1134" s="8" t="str">
        <f t="shared" si="462"/>
        <v>90246</v>
      </c>
      <c r="B1134" s="8">
        <v>9</v>
      </c>
      <c r="C1134" s="8">
        <v>2</v>
      </c>
      <c r="D1134" s="8" t="s">
        <v>725</v>
      </c>
      <c r="E1134" s="8">
        <v>6</v>
      </c>
      <c r="F1134" s="34">
        <f t="shared" si="464"/>
        <v>2872125</v>
      </c>
      <c r="G1134" s="34">
        <f t="shared" si="464"/>
        <v>2872125</v>
      </c>
      <c r="H1134" s="34">
        <f t="shared" si="465"/>
        <v>208125</v>
      </c>
      <c r="I1134" s="34">
        <f t="shared" si="465"/>
        <v>208125</v>
      </c>
      <c r="J1134" s="34">
        <f t="shared" si="466"/>
        <v>9126733</v>
      </c>
      <c r="K1134" s="133">
        <v>1000</v>
      </c>
      <c r="L1134" s="34">
        <v>1900</v>
      </c>
      <c r="M1134" s="16">
        <f t="shared" si="463"/>
        <v>5908965.4931702306</v>
      </c>
      <c r="N1134" s="36">
        <v>820</v>
      </c>
      <c r="O1134" s="36">
        <v>6</v>
      </c>
      <c r="P1134" s="66">
        <v>166500</v>
      </c>
      <c r="Q1134" s="41" t="s">
        <v>720</v>
      </c>
      <c r="S1134" s="36">
        <f t="shared" si="469"/>
        <v>83250</v>
      </c>
      <c r="T1134" s="114">
        <f t="shared" si="470"/>
        <v>83250</v>
      </c>
    </row>
    <row r="1135" spans="1:20" x14ac:dyDescent="0.2">
      <c r="A1135" s="8" t="str">
        <f t="shared" si="462"/>
        <v>90247</v>
      </c>
      <c r="B1135" s="8">
        <v>9</v>
      </c>
      <c r="C1135" s="8">
        <v>2</v>
      </c>
      <c r="D1135" s="8" t="s">
        <v>725</v>
      </c>
      <c r="E1135" s="8">
        <v>7</v>
      </c>
      <c r="F1135" s="34">
        <f t="shared" si="464"/>
        <v>3132281</v>
      </c>
      <c r="G1135" s="34">
        <f t="shared" si="464"/>
        <v>3132281</v>
      </c>
      <c r="H1135" s="34">
        <f t="shared" si="465"/>
        <v>208125</v>
      </c>
      <c r="I1135" s="34">
        <f t="shared" si="465"/>
        <v>208125</v>
      </c>
      <c r="J1135" s="34">
        <f t="shared" si="466"/>
        <v>11390729</v>
      </c>
      <c r="K1135" s="133">
        <v>1000</v>
      </c>
      <c r="L1135" s="34">
        <v>2100</v>
      </c>
      <c r="M1135" s="16">
        <f t="shared" si="463"/>
        <v>6893792.8659363482</v>
      </c>
      <c r="N1135" s="36">
        <v>820</v>
      </c>
      <c r="O1135" s="36">
        <v>7</v>
      </c>
      <c r="P1135" s="66">
        <v>166500</v>
      </c>
      <c r="Q1135" s="41" t="s">
        <v>721</v>
      </c>
      <c r="S1135" s="36">
        <f t="shared" si="469"/>
        <v>83250</v>
      </c>
      <c r="T1135" s="114">
        <f t="shared" si="470"/>
        <v>83250</v>
      </c>
    </row>
    <row r="1136" spans="1:20" x14ac:dyDescent="0.2">
      <c r="A1136" s="8" t="str">
        <f t="shared" si="462"/>
        <v>90248</v>
      </c>
      <c r="B1136" s="8">
        <v>9</v>
      </c>
      <c r="C1136" s="8">
        <v>2</v>
      </c>
      <c r="D1136" s="8" t="s">
        <v>725</v>
      </c>
      <c r="E1136" s="8">
        <v>8</v>
      </c>
      <c r="F1136" s="34">
        <f t="shared" si="464"/>
        <v>3454875</v>
      </c>
      <c r="G1136" s="34">
        <f t="shared" si="464"/>
        <v>3454875</v>
      </c>
      <c r="H1136" s="34">
        <f t="shared" si="465"/>
        <v>208125</v>
      </c>
      <c r="I1136" s="34">
        <f t="shared" si="465"/>
        <v>208125</v>
      </c>
      <c r="J1136" s="34">
        <f t="shared" si="466"/>
        <v>13488506</v>
      </c>
      <c r="K1136" s="133">
        <v>1000</v>
      </c>
      <c r="L1136" s="34">
        <v>2300</v>
      </c>
      <c r="M1136" s="16">
        <f t="shared" si="463"/>
        <v>7878620.9507826306</v>
      </c>
      <c r="N1136" s="36">
        <v>820</v>
      </c>
      <c r="O1136" s="36">
        <v>8</v>
      </c>
      <c r="P1136" s="66">
        <v>166500</v>
      </c>
      <c r="Q1136" s="41" t="s">
        <v>723</v>
      </c>
      <c r="S1136" s="36">
        <f t="shared" si="469"/>
        <v>83250</v>
      </c>
      <c r="T1136" s="114">
        <f t="shared" si="470"/>
        <v>83250</v>
      </c>
    </row>
    <row r="1137" spans="1:20" x14ac:dyDescent="0.2">
      <c r="A1137" s="8" t="str">
        <f t="shared" si="462"/>
        <v>90249</v>
      </c>
      <c r="B1137" s="8">
        <v>9</v>
      </c>
      <c r="C1137" s="8">
        <v>2</v>
      </c>
      <c r="D1137" s="8" t="s">
        <v>725</v>
      </c>
      <c r="E1137" s="8">
        <v>9</v>
      </c>
      <c r="F1137" s="34">
        <f t="shared" si="464"/>
        <v>3746250</v>
      </c>
      <c r="G1137" s="34">
        <f t="shared" si="464"/>
        <v>3746250</v>
      </c>
      <c r="H1137" s="34">
        <f t="shared" si="465"/>
        <v>208125</v>
      </c>
      <c r="I1137" s="34">
        <f t="shared" si="465"/>
        <v>208125</v>
      </c>
      <c r="J1137" s="34">
        <f t="shared" si="466"/>
        <v>15743615</v>
      </c>
      <c r="K1137" s="133">
        <v>1000</v>
      </c>
      <c r="L1137" s="34">
        <v>2500</v>
      </c>
      <c r="M1137" s="16">
        <f t="shared" si="463"/>
        <v>8863448.4016140681</v>
      </c>
      <c r="N1137" s="36">
        <v>820</v>
      </c>
      <c r="O1137" s="36">
        <v>9</v>
      </c>
      <c r="P1137" s="66">
        <v>166500</v>
      </c>
      <c r="Q1137" s="41" t="s">
        <v>90</v>
      </c>
      <c r="S1137" s="36">
        <f t="shared" si="469"/>
        <v>83250</v>
      </c>
      <c r="T1137" s="114">
        <f t="shared" si="470"/>
        <v>83250</v>
      </c>
    </row>
    <row r="1138" spans="1:20" x14ac:dyDescent="0.2">
      <c r="A1138" s="8" t="str">
        <f t="shared" si="462"/>
        <v>90340</v>
      </c>
      <c r="B1138" s="8">
        <v>9</v>
      </c>
      <c r="C1138" s="8">
        <v>3</v>
      </c>
      <c r="D1138" s="8" t="s">
        <v>725</v>
      </c>
      <c r="E1138" s="8">
        <v>0</v>
      </c>
      <c r="F1138" s="34">
        <f>ROUNDDOWN($P1138/4*$O1138*10*$N1138/$N1138*$Q1138/400,0)</f>
        <v>420750</v>
      </c>
      <c r="G1138" s="34">
        <f>ROUNDDOWN($P1138/4*$O1138*10*$N1138/$N1138*$Q1138/400,0)</f>
        <v>420750</v>
      </c>
      <c r="H1138" s="34">
        <f>ROUNDDOWN($S1138/4*10,0)</f>
        <v>225000</v>
      </c>
      <c r="I1138" s="34">
        <f>ROUNDDOWN($S1138/4*10,0)</f>
        <v>225000</v>
      </c>
      <c r="J1138" s="34">
        <f>ROUNDDOWN($P1138/4*$O1138*10*$N1138/$Q1138*$N1138/400,0)</f>
        <v>609124</v>
      </c>
      <c r="K1138" s="133">
        <v>1000</v>
      </c>
      <c r="L1138" s="34">
        <v>700</v>
      </c>
      <c r="M1138" s="16">
        <f t="shared" si="463"/>
        <v>607499.83466664422</v>
      </c>
      <c r="N1138" s="36">
        <v>900</v>
      </c>
      <c r="O1138" s="36">
        <v>0.5</v>
      </c>
      <c r="P1138" s="66">
        <v>180000</v>
      </c>
      <c r="Q1138" s="41" t="s">
        <v>717</v>
      </c>
      <c r="S1138" s="36">
        <f>P1138*0.5</f>
        <v>90000</v>
      </c>
      <c r="T1138" s="114">
        <f>S1138</f>
        <v>90000</v>
      </c>
    </row>
    <row r="1139" spans="1:20" x14ac:dyDescent="0.2">
      <c r="A1139" s="8" t="str">
        <f t="shared" si="462"/>
        <v>90341</v>
      </c>
      <c r="B1139" s="8">
        <v>9</v>
      </c>
      <c r="C1139" s="8">
        <v>3</v>
      </c>
      <c r="D1139" s="8" t="s">
        <v>725</v>
      </c>
      <c r="E1139" s="8">
        <v>1</v>
      </c>
      <c r="F1139" s="34">
        <f t="shared" si="464"/>
        <v>841500</v>
      </c>
      <c r="G1139" s="34">
        <f t="shared" si="464"/>
        <v>841500</v>
      </c>
      <c r="H1139" s="34">
        <f t="shared" si="465"/>
        <v>225000</v>
      </c>
      <c r="I1139" s="34">
        <f t="shared" si="465"/>
        <v>225000</v>
      </c>
      <c r="J1139" s="34">
        <f t="shared" si="466"/>
        <v>1164705</v>
      </c>
      <c r="K1139" s="133">
        <v>1000</v>
      </c>
      <c r="L1139" s="34">
        <v>900</v>
      </c>
      <c r="M1139" s="16">
        <f t="shared" si="463"/>
        <v>1187999.5499999148</v>
      </c>
      <c r="N1139" s="36">
        <v>880</v>
      </c>
      <c r="O1139" s="36">
        <v>1</v>
      </c>
      <c r="P1139" s="66">
        <v>180000</v>
      </c>
      <c r="Q1139" s="41" t="s">
        <v>717</v>
      </c>
      <c r="S1139" s="36">
        <f t="shared" ref="S1139:S1147" si="471">P1139*0.5</f>
        <v>90000</v>
      </c>
      <c r="T1139" s="114">
        <f t="shared" ref="T1139:T1147" si="472">S1139</f>
        <v>90000</v>
      </c>
    </row>
    <row r="1140" spans="1:20" x14ac:dyDescent="0.2">
      <c r="A1140" s="8" t="str">
        <f t="shared" si="462"/>
        <v>90342</v>
      </c>
      <c r="B1140" s="8">
        <v>9</v>
      </c>
      <c r="C1140" s="8">
        <v>3</v>
      </c>
      <c r="D1140" s="8" t="s">
        <v>725</v>
      </c>
      <c r="E1140" s="8">
        <v>2</v>
      </c>
      <c r="F1140" s="34">
        <f t="shared" si="464"/>
        <v>1606500</v>
      </c>
      <c r="G1140" s="34">
        <f t="shared" si="464"/>
        <v>1606500</v>
      </c>
      <c r="H1140" s="34">
        <f t="shared" si="465"/>
        <v>225000</v>
      </c>
      <c r="I1140" s="34">
        <f t="shared" si="465"/>
        <v>225000</v>
      </c>
      <c r="J1140" s="34">
        <f t="shared" si="466"/>
        <v>2330672</v>
      </c>
      <c r="K1140" s="133">
        <v>1000</v>
      </c>
      <c r="L1140" s="34">
        <v>1100</v>
      </c>
      <c r="M1140" s="16">
        <f t="shared" si="463"/>
        <v>2321999.8660465078</v>
      </c>
      <c r="N1140" s="36">
        <v>860</v>
      </c>
      <c r="O1140" s="36">
        <v>2</v>
      </c>
      <c r="P1140" s="66">
        <v>180000</v>
      </c>
      <c r="Q1140" s="41" t="s">
        <v>718</v>
      </c>
      <c r="S1140" s="36">
        <f t="shared" si="471"/>
        <v>90000</v>
      </c>
      <c r="T1140" s="114">
        <f t="shared" si="472"/>
        <v>90000</v>
      </c>
    </row>
    <row r="1141" spans="1:20" x14ac:dyDescent="0.2">
      <c r="A1141" s="8" t="str">
        <f t="shared" si="462"/>
        <v>90343</v>
      </c>
      <c r="B1141" s="8">
        <v>9</v>
      </c>
      <c r="C1141" s="8">
        <v>3</v>
      </c>
      <c r="D1141" s="8" t="s">
        <v>725</v>
      </c>
      <c r="E1141" s="8">
        <v>3</v>
      </c>
      <c r="F1141" s="34">
        <f t="shared" si="464"/>
        <v>2008125</v>
      </c>
      <c r="G1141" s="34">
        <f t="shared" si="464"/>
        <v>2008125</v>
      </c>
      <c r="H1141" s="34">
        <f t="shared" si="465"/>
        <v>225000</v>
      </c>
      <c r="I1141" s="34">
        <f t="shared" si="465"/>
        <v>225000</v>
      </c>
      <c r="J1141" s="34">
        <f t="shared" si="466"/>
        <v>4002352</v>
      </c>
      <c r="K1141" s="133">
        <v>1000</v>
      </c>
      <c r="L1141" s="34">
        <v>1300</v>
      </c>
      <c r="M1141" s="16">
        <f t="shared" si="463"/>
        <v>3401999.5999999773</v>
      </c>
      <c r="N1141" s="36">
        <v>840</v>
      </c>
      <c r="O1141" s="36">
        <v>3</v>
      </c>
      <c r="P1141" s="66">
        <v>180000</v>
      </c>
      <c r="Q1141" s="41" t="s">
        <v>540</v>
      </c>
      <c r="S1141" s="36">
        <f t="shared" si="471"/>
        <v>90000</v>
      </c>
      <c r="T1141" s="114">
        <f t="shared" si="472"/>
        <v>90000</v>
      </c>
    </row>
    <row r="1142" spans="1:20" x14ac:dyDescent="0.2">
      <c r="A1142" s="8" t="str">
        <f t="shared" si="462"/>
        <v>90344</v>
      </c>
      <c r="B1142" s="8">
        <v>9</v>
      </c>
      <c r="C1142" s="8">
        <v>3</v>
      </c>
      <c r="D1142" s="8" t="s">
        <v>725</v>
      </c>
      <c r="E1142" s="8">
        <v>4</v>
      </c>
      <c r="F1142" s="34">
        <f t="shared" si="464"/>
        <v>2371500</v>
      </c>
      <c r="G1142" s="34">
        <f t="shared" si="464"/>
        <v>2371500</v>
      </c>
      <c r="H1142" s="34">
        <f t="shared" si="465"/>
        <v>225000</v>
      </c>
      <c r="I1142" s="34">
        <f t="shared" si="465"/>
        <v>225000</v>
      </c>
      <c r="J1142" s="34">
        <f t="shared" si="466"/>
        <v>5741555</v>
      </c>
      <c r="K1142" s="133">
        <v>1000</v>
      </c>
      <c r="L1142" s="34">
        <v>1500</v>
      </c>
      <c r="M1142" s="16">
        <f t="shared" si="463"/>
        <v>4427999.6231707158</v>
      </c>
      <c r="N1142" s="36">
        <v>820</v>
      </c>
      <c r="O1142" s="36">
        <v>4</v>
      </c>
      <c r="P1142" s="66">
        <v>180000</v>
      </c>
      <c r="Q1142" s="41" t="s">
        <v>719</v>
      </c>
      <c r="S1142" s="36">
        <f t="shared" si="471"/>
        <v>90000</v>
      </c>
      <c r="T1142" s="114">
        <f t="shared" si="472"/>
        <v>90000</v>
      </c>
    </row>
    <row r="1143" spans="1:20" x14ac:dyDescent="0.2">
      <c r="A1143" s="8" t="str">
        <f t="shared" si="462"/>
        <v>90345</v>
      </c>
      <c r="B1143" s="8">
        <v>9</v>
      </c>
      <c r="C1143" s="8">
        <v>3</v>
      </c>
      <c r="D1143" s="8" t="s">
        <v>725</v>
      </c>
      <c r="E1143" s="8">
        <v>5</v>
      </c>
      <c r="F1143" s="34">
        <f t="shared" si="464"/>
        <v>2756250</v>
      </c>
      <c r="G1143" s="34">
        <f t="shared" si="464"/>
        <v>2756250</v>
      </c>
      <c r="H1143" s="34">
        <f t="shared" si="465"/>
        <v>225000</v>
      </c>
      <c r="I1143" s="34">
        <f t="shared" si="465"/>
        <v>225000</v>
      </c>
      <c r="J1143" s="34">
        <f t="shared" si="466"/>
        <v>7718877</v>
      </c>
      <c r="K1143" s="133">
        <v>1000</v>
      </c>
      <c r="L1143" s="34">
        <v>1700</v>
      </c>
      <c r="M1143" s="16">
        <f t="shared" si="463"/>
        <v>5534999.8024390209</v>
      </c>
      <c r="N1143" s="36">
        <v>820</v>
      </c>
      <c r="O1143" s="36">
        <v>5</v>
      </c>
      <c r="P1143" s="66">
        <v>180000</v>
      </c>
      <c r="Q1143" s="41" t="s">
        <v>722</v>
      </c>
      <c r="S1143" s="36">
        <f t="shared" si="471"/>
        <v>90000</v>
      </c>
      <c r="T1143" s="114">
        <f t="shared" si="472"/>
        <v>90000</v>
      </c>
    </row>
    <row r="1144" spans="1:20" x14ac:dyDescent="0.2">
      <c r="A1144" s="8" t="str">
        <f t="shared" si="462"/>
        <v>90346</v>
      </c>
      <c r="B1144" s="8">
        <v>9</v>
      </c>
      <c r="C1144" s="8">
        <v>3</v>
      </c>
      <c r="D1144" s="8" t="s">
        <v>725</v>
      </c>
      <c r="E1144" s="8">
        <v>6</v>
      </c>
      <c r="F1144" s="34">
        <f t="shared" si="464"/>
        <v>3105000</v>
      </c>
      <c r="G1144" s="34">
        <f t="shared" si="464"/>
        <v>3105000</v>
      </c>
      <c r="H1144" s="34">
        <f t="shared" si="465"/>
        <v>225000</v>
      </c>
      <c r="I1144" s="34">
        <f t="shared" si="465"/>
        <v>225000</v>
      </c>
      <c r="J1144" s="34">
        <f t="shared" si="466"/>
        <v>9866739</v>
      </c>
      <c r="K1144" s="133">
        <v>1000</v>
      </c>
      <c r="L1144" s="34">
        <v>1900</v>
      </c>
      <c r="M1144" s="16">
        <f t="shared" si="463"/>
        <v>6641999.9560975619</v>
      </c>
      <c r="N1144" s="36">
        <v>820</v>
      </c>
      <c r="O1144" s="36">
        <v>6</v>
      </c>
      <c r="P1144" s="66">
        <v>180000</v>
      </c>
      <c r="Q1144" s="41" t="s">
        <v>720</v>
      </c>
      <c r="S1144" s="36">
        <f t="shared" si="471"/>
        <v>90000</v>
      </c>
      <c r="T1144" s="114">
        <f t="shared" si="472"/>
        <v>90000</v>
      </c>
    </row>
    <row r="1145" spans="1:20" x14ac:dyDescent="0.2">
      <c r="A1145" s="8" t="str">
        <f t="shared" si="462"/>
        <v>90347</v>
      </c>
      <c r="B1145" s="8">
        <v>9</v>
      </c>
      <c r="C1145" s="8">
        <v>3</v>
      </c>
      <c r="D1145" s="8" t="s">
        <v>725</v>
      </c>
      <c r="E1145" s="8">
        <v>7</v>
      </c>
      <c r="F1145" s="34">
        <f t="shared" ref="F1145:G1147" si="473">ROUNDDOWN($P1145/4*$O1145*10*$N1145/$N1145*$Q1145/400,0)</f>
        <v>3386250</v>
      </c>
      <c r="G1145" s="34">
        <f t="shared" si="473"/>
        <v>3386250</v>
      </c>
      <c r="H1145" s="34">
        <f t="shared" ref="H1145:I1147" si="474">ROUNDDOWN($S1145/4*10,0)</f>
        <v>225000</v>
      </c>
      <c r="I1145" s="34">
        <f t="shared" si="474"/>
        <v>225000</v>
      </c>
      <c r="J1145" s="34">
        <f t="shared" si="466"/>
        <v>12314302</v>
      </c>
      <c r="K1145" s="133">
        <v>1000</v>
      </c>
      <c r="L1145" s="34">
        <v>2100</v>
      </c>
      <c r="M1145" s="16">
        <f t="shared" si="463"/>
        <v>7748999.8975609755</v>
      </c>
      <c r="N1145" s="36">
        <v>820</v>
      </c>
      <c r="O1145" s="36">
        <v>7</v>
      </c>
      <c r="P1145" s="66">
        <v>180000</v>
      </c>
      <c r="Q1145" s="41" t="s">
        <v>721</v>
      </c>
      <c r="S1145" s="36">
        <f t="shared" si="471"/>
        <v>90000</v>
      </c>
      <c r="T1145" s="114">
        <f t="shared" si="472"/>
        <v>90000</v>
      </c>
    </row>
    <row r="1146" spans="1:20" x14ac:dyDescent="0.2">
      <c r="A1146" s="8" t="str">
        <f t="shared" si="462"/>
        <v>90348</v>
      </c>
      <c r="B1146" s="8">
        <v>9</v>
      </c>
      <c r="C1146" s="8">
        <v>3</v>
      </c>
      <c r="D1146" s="8" t="s">
        <v>725</v>
      </c>
      <c r="E1146" s="8">
        <v>8</v>
      </c>
      <c r="F1146" s="34">
        <f t="shared" si="473"/>
        <v>3735000</v>
      </c>
      <c r="G1146" s="34">
        <f t="shared" si="473"/>
        <v>3735000</v>
      </c>
      <c r="H1146" s="34">
        <f t="shared" si="474"/>
        <v>225000</v>
      </c>
      <c r="I1146" s="34">
        <f t="shared" si="474"/>
        <v>225000</v>
      </c>
      <c r="J1146" s="34">
        <f t="shared" si="466"/>
        <v>14582168</v>
      </c>
      <c r="K1146" s="133">
        <v>1000</v>
      </c>
      <c r="L1146" s="34">
        <v>2300</v>
      </c>
      <c r="M1146" s="16">
        <f t="shared" si="463"/>
        <v>8855999.7951219492</v>
      </c>
      <c r="N1146" s="36">
        <v>820</v>
      </c>
      <c r="O1146" s="36">
        <v>8</v>
      </c>
      <c r="P1146" s="66">
        <v>180000</v>
      </c>
      <c r="Q1146" s="41" t="s">
        <v>723</v>
      </c>
      <c r="S1146" s="36">
        <f t="shared" si="471"/>
        <v>90000</v>
      </c>
      <c r="T1146" s="114">
        <f t="shared" si="472"/>
        <v>90000</v>
      </c>
    </row>
    <row r="1147" spans="1:20" x14ac:dyDescent="0.2">
      <c r="A1147" s="8" t="str">
        <f t="shared" si="462"/>
        <v>90349</v>
      </c>
      <c r="B1147" s="8">
        <v>9</v>
      </c>
      <c r="C1147" s="8">
        <v>3</v>
      </c>
      <c r="D1147" s="8" t="s">
        <v>725</v>
      </c>
      <c r="E1147" s="8">
        <v>9</v>
      </c>
      <c r="F1147" s="34">
        <f t="shared" si="473"/>
        <v>4050000</v>
      </c>
      <c r="G1147" s="34">
        <f t="shared" si="473"/>
        <v>4050000</v>
      </c>
      <c r="H1147" s="34">
        <f t="shared" si="474"/>
        <v>225000</v>
      </c>
      <c r="I1147" s="34">
        <f t="shared" si="474"/>
        <v>225000</v>
      </c>
      <c r="J1147" s="34">
        <f t="shared" si="466"/>
        <v>17020125</v>
      </c>
      <c r="K1147" s="133">
        <v>1000</v>
      </c>
      <c r="L1147" s="34">
        <v>2500</v>
      </c>
      <c r="M1147" s="16">
        <f t="shared" si="463"/>
        <v>9963000</v>
      </c>
      <c r="N1147" s="36">
        <v>820</v>
      </c>
      <c r="O1147" s="36">
        <v>9</v>
      </c>
      <c r="P1147" s="66">
        <v>180000</v>
      </c>
      <c r="Q1147" s="41" t="s">
        <v>90</v>
      </c>
      <c r="S1147" s="36">
        <f t="shared" si="471"/>
        <v>90000</v>
      </c>
      <c r="T1147" s="114">
        <f t="shared" si="472"/>
        <v>90000</v>
      </c>
    </row>
    <row r="1148" spans="1:20" x14ac:dyDescent="0.2">
      <c r="A1148" s="8" t="str">
        <f t="shared" si="462"/>
        <v>90440</v>
      </c>
      <c r="B1148" s="8">
        <v>9</v>
      </c>
      <c r="C1148" s="8">
        <v>4</v>
      </c>
      <c r="D1148" s="8" t="s">
        <v>725</v>
      </c>
      <c r="E1148" s="8">
        <v>0</v>
      </c>
      <c r="F1148" s="34">
        <f>ROUNDDOWN($P1148/4*$O1148*10*$N1148/$N1148*$Q1148/400,0)</f>
        <v>452306</v>
      </c>
      <c r="G1148" s="34">
        <f>ROUNDDOWN($P1148/4*$O1148*10*$N1148/$N1148*$Q1148/400,0)</f>
        <v>452306</v>
      </c>
      <c r="H1148" s="34">
        <f>ROUNDDOWN($S1148/4*10,0)</f>
        <v>241875</v>
      </c>
      <c r="I1148" s="34">
        <f>ROUNDDOWN($S1148/4*10,0)</f>
        <v>241875</v>
      </c>
      <c r="J1148" s="34">
        <f>ROUNDDOWN($P1148/4*$O1148*10*$N1148/$Q1148*$N1148/400,0)</f>
        <v>654808</v>
      </c>
      <c r="K1148" s="133">
        <v>1000</v>
      </c>
      <c r="L1148" s="34">
        <v>700</v>
      </c>
      <c r="M1148" s="16">
        <f t="shared" si="463"/>
        <v>677109.08505196124</v>
      </c>
      <c r="N1148" s="36">
        <v>900</v>
      </c>
      <c r="O1148" s="36">
        <v>0.5</v>
      </c>
      <c r="P1148" s="66">
        <v>193500</v>
      </c>
      <c r="Q1148" s="41" t="s">
        <v>717</v>
      </c>
      <c r="S1148" s="36">
        <f>P1148*0.5</f>
        <v>96750</v>
      </c>
      <c r="T1148" s="114">
        <f>S1148</f>
        <v>96750</v>
      </c>
    </row>
    <row r="1149" spans="1:20" x14ac:dyDescent="0.2">
      <c r="A1149" s="8" t="str">
        <f t="shared" si="462"/>
        <v>90441</v>
      </c>
      <c r="B1149" s="8">
        <v>9</v>
      </c>
      <c r="C1149" s="8">
        <v>4</v>
      </c>
      <c r="D1149" s="8" t="s">
        <v>725</v>
      </c>
      <c r="E1149" s="8">
        <v>1</v>
      </c>
      <c r="F1149" s="34">
        <f t="shared" ref="F1149:G1157" si="475">ROUNDDOWN($P1149/4*$O1149*10*$N1149/$N1149*$Q1149/400,0)</f>
        <v>904612</v>
      </c>
      <c r="G1149" s="34">
        <f t="shared" si="475"/>
        <v>904612</v>
      </c>
      <c r="H1149" s="34">
        <f t="shared" ref="H1149:I1157" si="476">ROUNDDOWN($S1149/4*10,0)</f>
        <v>241875</v>
      </c>
      <c r="I1149" s="34">
        <f t="shared" si="476"/>
        <v>241875</v>
      </c>
      <c r="J1149" s="34">
        <f t="shared" si="466"/>
        <v>1252058</v>
      </c>
      <c r="K1149" s="133">
        <v>1000</v>
      </c>
      <c r="L1149" s="34">
        <v>900</v>
      </c>
      <c r="M1149" s="16">
        <f t="shared" si="463"/>
        <v>1324124.6612142711</v>
      </c>
      <c r="N1149" s="36">
        <v>880</v>
      </c>
      <c r="O1149" s="36">
        <v>1</v>
      </c>
      <c r="P1149" s="66">
        <v>193500</v>
      </c>
      <c r="Q1149" s="41" t="s">
        <v>717</v>
      </c>
      <c r="S1149" s="36">
        <f t="shared" ref="S1149:S1157" si="477">P1149*0.5</f>
        <v>96750</v>
      </c>
      <c r="T1149" s="114">
        <f t="shared" ref="T1149:T1157" si="478">S1149</f>
        <v>96750</v>
      </c>
    </row>
    <row r="1150" spans="1:20" x14ac:dyDescent="0.2">
      <c r="A1150" s="8" t="str">
        <f t="shared" si="462"/>
        <v>90442</v>
      </c>
      <c r="B1150" s="8">
        <v>9</v>
      </c>
      <c r="C1150" s="8">
        <v>4</v>
      </c>
      <c r="D1150" s="8" t="s">
        <v>725</v>
      </c>
      <c r="E1150" s="8">
        <v>2</v>
      </c>
      <c r="F1150" s="34">
        <f t="shared" si="475"/>
        <v>1726987</v>
      </c>
      <c r="G1150" s="34">
        <f t="shared" si="475"/>
        <v>1726987</v>
      </c>
      <c r="H1150" s="34">
        <f t="shared" si="476"/>
        <v>241875</v>
      </c>
      <c r="I1150" s="34">
        <f t="shared" si="476"/>
        <v>241875</v>
      </c>
      <c r="J1150" s="34">
        <f t="shared" si="466"/>
        <v>2505472</v>
      </c>
      <c r="K1150" s="133">
        <v>1000</v>
      </c>
      <c r="L1150" s="34">
        <v>1100</v>
      </c>
      <c r="M1150" s="16">
        <f t="shared" si="463"/>
        <v>2588062.673660256</v>
      </c>
      <c r="N1150" s="36">
        <v>860</v>
      </c>
      <c r="O1150" s="36">
        <v>2</v>
      </c>
      <c r="P1150" s="66">
        <v>193500</v>
      </c>
      <c r="Q1150" s="41" t="s">
        <v>718</v>
      </c>
      <c r="S1150" s="36">
        <f t="shared" si="477"/>
        <v>96750</v>
      </c>
      <c r="T1150" s="114">
        <f t="shared" si="478"/>
        <v>96750</v>
      </c>
    </row>
    <row r="1151" spans="1:20" x14ac:dyDescent="0.2">
      <c r="A1151" s="8" t="str">
        <f t="shared" si="462"/>
        <v>90443</v>
      </c>
      <c r="B1151" s="8">
        <v>9</v>
      </c>
      <c r="C1151" s="8">
        <v>4</v>
      </c>
      <c r="D1151" s="8" t="s">
        <v>725</v>
      </c>
      <c r="E1151" s="8">
        <v>3</v>
      </c>
      <c r="F1151" s="34">
        <f t="shared" si="475"/>
        <v>2158734</v>
      </c>
      <c r="G1151" s="34">
        <f t="shared" si="475"/>
        <v>2158734</v>
      </c>
      <c r="H1151" s="34">
        <f t="shared" si="476"/>
        <v>241875</v>
      </c>
      <c r="I1151" s="34">
        <f t="shared" si="476"/>
        <v>241875</v>
      </c>
      <c r="J1151" s="34">
        <f t="shared" si="466"/>
        <v>4302529</v>
      </c>
      <c r="K1151" s="133">
        <v>1000</v>
      </c>
      <c r="L1151" s="34">
        <v>1300</v>
      </c>
      <c r="M1151" s="16">
        <f t="shared" si="463"/>
        <v>3791813.3139787787</v>
      </c>
      <c r="N1151" s="36">
        <v>840</v>
      </c>
      <c r="O1151" s="36">
        <v>3</v>
      </c>
      <c r="P1151" s="66">
        <v>193500</v>
      </c>
      <c r="Q1151" s="41" t="s">
        <v>540</v>
      </c>
      <c r="S1151" s="36">
        <f t="shared" si="477"/>
        <v>96750</v>
      </c>
      <c r="T1151" s="114">
        <f t="shared" si="478"/>
        <v>96750</v>
      </c>
    </row>
    <row r="1152" spans="1:20" x14ac:dyDescent="0.2">
      <c r="A1152" s="8" t="str">
        <f t="shared" si="462"/>
        <v>90444</v>
      </c>
      <c r="B1152" s="8">
        <v>9</v>
      </c>
      <c r="C1152" s="8">
        <v>4</v>
      </c>
      <c r="D1152" s="8" t="s">
        <v>725</v>
      </c>
      <c r="E1152" s="8">
        <v>4</v>
      </c>
      <c r="F1152" s="34">
        <f t="shared" si="475"/>
        <v>2549362</v>
      </c>
      <c r="G1152" s="34">
        <f t="shared" si="475"/>
        <v>2549362</v>
      </c>
      <c r="H1152" s="34">
        <f t="shared" si="476"/>
        <v>241875</v>
      </c>
      <c r="I1152" s="34">
        <f t="shared" si="476"/>
        <v>241875</v>
      </c>
      <c r="J1152" s="34">
        <f t="shared" si="466"/>
        <v>6172172</v>
      </c>
      <c r="K1152" s="133">
        <v>1000</v>
      </c>
      <c r="L1152" s="34">
        <v>1500</v>
      </c>
      <c r="M1152" s="16">
        <f t="shared" si="463"/>
        <v>4935375.9702377962</v>
      </c>
      <c r="N1152" s="36">
        <v>820</v>
      </c>
      <c r="O1152" s="36">
        <v>4</v>
      </c>
      <c r="P1152" s="66">
        <v>193500</v>
      </c>
      <c r="Q1152" s="41" t="s">
        <v>719</v>
      </c>
      <c r="S1152" s="36">
        <f t="shared" si="477"/>
        <v>96750</v>
      </c>
      <c r="T1152" s="114">
        <f t="shared" si="478"/>
        <v>96750</v>
      </c>
    </row>
    <row r="1153" spans="1:20" x14ac:dyDescent="0.2">
      <c r="A1153" s="8" t="str">
        <f t="shared" si="462"/>
        <v>90445</v>
      </c>
      <c r="B1153" s="8">
        <v>9</v>
      </c>
      <c r="C1153" s="8">
        <v>4</v>
      </c>
      <c r="D1153" s="8" t="s">
        <v>725</v>
      </c>
      <c r="E1153" s="8">
        <v>5</v>
      </c>
      <c r="F1153" s="34">
        <f t="shared" si="475"/>
        <v>2962968</v>
      </c>
      <c r="G1153" s="34">
        <f t="shared" si="475"/>
        <v>2962968</v>
      </c>
      <c r="H1153" s="34">
        <f t="shared" si="476"/>
        <v>241875</v>
      </c>
      <c r="I1153" s="34">
        <f t="shared" si="476"/>
        <v>241875</v>
      </c>
      <c r="J1153" s="34">
        <f t="shared" si="466"/>
        <v>8297793</v>
      </c>
      <c r="K1153" s="133">
        <v>1000</v>
      </c>
      <c r="L1153" s="34">
        <v>1700</v>
      </c>
      <c r="M1153" s="16">
        <f t="shared" si="463"/>
        <v>6169219.988025873</v>
      </c>
      <c r="N1153" s="36">
        <v>820</v>
      </c>
      <c r="O1153" s="36">
        <v>5</v>
      </c>
      <c r="P1153" s="66">
        <v>193500</v>
      </c>
      <c r="Q1153" s="41" t="s">
        <v>722</v>
      </c>
      <c r="S1153" s="36">
        <f t="shared" si="477"/>
        <v>96750</v>
      </c>
      <c r="T1153" s="114">
        <f t="shared" si="478"/>
        <v>96750</v>
      </c>
    </row>
    <row r="1154" spans="1:20" x14ac:dyDescent="0.2">
      <c r="A1154" s="8" t="str">
        <f t="shared" si="462"/>
        <v>90446</v>
      </c>
      <c r="B1154" s="8">
        <v>9</v>
      </c>
      <c r="C1154" s="8">
        <v>4</v>
      </c>
      <c r="D1154" s="8" t="s">
        <v>725</v>
      </c>
      <c r="E1154" s="8">
        <v>6</v>
      </c>
      <c r="F1154" s="34">
        <f t="shared" si="475"/>
        <v>3337875</v>
      </c>
      <c r="G1154" s="34">
        <f t="shared" si="475"/>
        <v>3337875</v>
      </c>
      <c r="H1154" s="34">
        <f t="shared" si="476"/>
        <v>241875</v>
      </c>
      <c r="I1154" s="34">
        <f t="shared" si="476"/>
        <v>241875</v>
      </c>
      <c r="J1154" s="34">
        <f t="shared" si="466"/>
        <v>10606744</v>
      </c>
      <c r="K1154" s="133">
        <v>1000</v>
      </c>
      <c r="L1154" s="34">
        <v>1900</v>
      </c>
      <c r="M1154" s="16">
        <f t="shared" si="463"/>
        <v>7403064.8891990678</v>
      </c>
      <c r="N1154" s="36">
        <v>820</v>
      </c>
      <c r="O1154" s="36">
        <v>6</v>
      </c>
      <c r="P1154" s="66">
        <v>193500</v>
      </c>
      <c r="Q1154" s="41" t="s">
        <v>720</v>
      </c>
      <c r="S1154" s="36">
        <f t="shared" si="477"/>
        <v>96750</v>
      </c>
      <c r="T1154" s="114">
        <f t="shared" si="478"/>
        <v>96750</v>
      </c>
    </row>
    <row r="1155" spans="1:20" x14ac:dyDescent="0.2">
      <c r="A1155" s="8" t="str">
        <f t="shared" si="462"/>
        <v>90447</v>
      </c>
      <c r="B1155" s="8">
        <v>9</v>
      </c>
      <c r="C1155" s="8">
        <v>4</v>
      </c>
      <c r="D1155" s="8" t="s">
        <v>725</v>
      </c>
      <c r="E1155" s="8">
        <v>7</v>
      </c>
      <c r="F1155" s="34">
        <f t="shared" si="475"/>
        <v>3640218</v>
      </c>
      <c r="G1155" s="34">
        <f t="shared" si="475"/>
        <v>3640218</v>
      </c>
      <c r="H1155" s="34">
        <f t="shared" si="476"/>
        <v>241875</v>
      </c>
      <c r="I1155" s="34">
        <f t="shared" si="476"/>
        <v>241875</v>
      </c>
      <c r="J1155" s="34">
        <f t="shared" si="466"/>
        <v>13237875</v>
      </c>
      <c r="K1155" s="133">
        <v>1000</v>
      </c>
      <c r="L1155" s="34">
        <v>2100</v>
      </c>
      <c r="M1155" s="16">
        <f t="shared" si="463"/>
        <v>8636908.3777847867</v>
      </c>
      <c r="N1155" s="36">
        <v>820</v>
      </c>
      <c r="O1155" s="36">
        <v>7</v>
      </c>
      <c r="P1155" s="66">
        <v>193500</v>
      </c>
      <c r="Q1155" s="41" t="s">
        <v>721</v>
      </c>
      <c r="S1155" s="36">
        <f t="shared" si="477"/>
        <v>96750</v>
      </c>
      <c r="T1155" s="114">
        <f t="shared" si="478"/>
        <v>96750</v>
      </c>
    </row>
    <row r="1156" spans="1:20" x14ac:dyDescent="0.2">
      <c r="A1156" s="8" t="str">
        <f t="shared" si="462"/>
        <v>90448</v>
      </c>
      <c r="B1156" s="8">
        <v>9</v>
      </c>
      <c r="C1156" s="8">
        <v>4</v>
      </c>
      <c r="D1156" s="8" t="s">
        <v>725</v>
      </c>
      <c r="E1156" s="8">
        <v>8</v>
      </c>
      <c r="F1156" s="34">
        <f t="shared" si="475"/>
        <v>4015125</v>
      </c>
      <c r="G1156" s="34">
        <f t="shared" si="475"/>
        <v>4015125</v>
      </c>
      <c r="H1156" s="34">
        <f t="shared" si="476"/>
        <v>241875</v>
      </c>
      <c r="I1156" s="34">
        <f t="shared" si="476"/>
        <v>241875</v>
      </c>
      <c r="J1156" s="34">
        <f t="shared" si="466"/>
        <v>15675831</v>
      </c>
      <c r="K1156" s="133">
        <v>1000</v>
      </c>
      <c r="L1156" s="34">
        <v>2300</v>
      </c>
      <c r="M1156" s="16">
        <f t="shared" si="463"/>
        <v>9870753.3461797386</v>
      </c>
      <c r="N1156" s="36">
        <v>820</v>
      </c>
      <c r="O1156" s="36">
        <v>8</v>
      </c>
      <c r="P1156" s="66">
        <v>193500</v>
      </c>
      <c r="Q1156" s="41" t="s">
        <v>723</v>
      </c>
      <c r="S1156" s="36">
        <f t="shared" si="477"/>
        <v>96750</v>
      </c>
      <c r="T1156" s="114">
        <f t="shared" si="478"/>
        <v>96750</v>
      </c>
    </row>
    <row r="1157" spans="1:20" x14ac:dyDescent="0.2">
      <c r="A1157" s="8" t="str">
        <f t="shared" si="462"/>
        <v>90449</v>
      </c>
      <c r="B1157" s="8">
        <v>9</v>
      </c>
      <c r="C1157" s="8">
        <v>4</v>
      </c>
      <c r="D1157" s="8" t="s">
        <v>725</v>
      </c>
      <c r="E1157" s="8">
        <v>9</v>
      </c>
      <c r="F1157" s="34">
        <f t="shared" si="475"/>
        <v>4353750</v>
      </c>
      <c r="G1157" s="34">
        <f t="shared" si="475"/>
        <v>4353750</v>
      </c>
      <c r="H1157" s="34">
        <f t="shared" si="476"/>
        <v>241875</v>
      </c>
      <c r="I1157" s="34">
        <f t="shared" si="476"/>
        <v>241875</v>
      </c>
      <c r="J1157" s="34">
        <f t="shared" si="466"/>
        <v>18296634</v>
      </c>
      <c r="K1157" s="133">
        <v>1000</v>
      </c>
      <c r="L1157" s="34">
        <v>2500</v>
      </c>
      <c r="M1157" s="16">
        <f t="shared" si="463"/>
        <v>11104597.515874676</v>
      </c>
      <c r="N1157" s="36">
        <v>820</v>
      </c>
      <c r="O1157" s="36">
        <v>9</v>
      </c>
      <c r="P1157" s="66">
        <v>193500</v>
      </c>
      <c r="Q1157" s="41" t="s">
        <v>90</v>
      </c>
      <c r="S1157" s="36">
        <f t="shared" si="477"/>
        <v>96750</v>
      </c>
      <c r="T1157" s="114">
        <f t="shared" si="478"/>
        <v>96750</v>
      </c>
    </row>
    <row r="1158" spans="1:20" ht="38.25" x14ac:dyDescent="0.2">
      <c r="A1158" s="8" t="str">
        <f t="shared" si="462"/>
        <v/>
      </c>
      <c r="B1158" s="5"/>
      <c r="C1158" s="6" t="s">
        <v>1016</v>
      </c>
      <c r="D1158" s="5"/>
      <c r="E1158" s="5"/>
      <c r="F1158" s="5"/>
      <c r="G1158" s="5"/>
      <c r="H1158" s="5"/>
      <c r="I1158" s="5"/>
      <c r="J1158" s="5"/>
      <c r="K1158" s="133"/>
      <c r="L1158" s="5"/>
      <c r="M1158" s="16">
        <f t="shared" si="463"/>
        <v>0</v>
      </c>
      <c r="N1158" s="5"/>
      <c r="O1158" s="5"/>
      <c r="P1158" s="5">
        <v>0</v>
      </c>
      <c r="Q1158" s="5"/>
      <c r="R1158" s="5"/>
      <c r="S1158" s="30"/>
      <c r="T1158" s="266"/>
    </row>
    <row r="1159" spans="1:20" x14ac:dyDescent="0.2">
      <c r="A1159" s="110" t="str">
        <f t="shared" si="462"/>
        <v>100121</v>
      </c>
      <c r="B1159" s="110">
        <v>10</v>
      </c>
      <c r="C1159" s="110">
        <v>1</v>
      </c>
      <c r="D1159" s="110" t="s">
        <v>63</v>
      </c>
      <c r="E1159" s="110">
        <v>1</v>
      </c>
      <c r="F1159" s="112">
        <f t="shared" ref="F1159:G1174" si="479">ROUNDDOWN($P1159/4*$O1159*10*$N1159/$N1159*$Q1159/400,0)</f>
        <v>357000</v>
      </c>
      <c r="G1159" s="112">
        <f t="shared" si="479"/>
        <v>357000</v>
      </c>
      <c r="H1159" s="112">
        <f t="shared" ref="H1159:I1174" si="480">ROUNDDOWN($S1159/4*10,0)</f>
        <v>42000</v>
      </c>
      <c r="I1159" s="112">
        <f t="shared" si="480"/>
        <v>42000</v>
      </c>
      <c r="J1159" s="112">
        <f t="shared" ref="J1159:J1228" si="481">ROUNDDOWN($P1159/4*$O1159*10*$N1159/$Q1159*$N1159/400,0)</f>
        <v>772058</v>
      </c>
      <c r="K1159" s="248">
        <v>1000</v>
      </c>
      <c r="L1159" s="112">
        <v>2500</v>
      </c>
      <c r="M1159" s="113">
        <f t="shared" si="463"/>
        <v>272190.96416449983</v>
      </c>
      <c r="N1159" s="114">
        <v>1000</v>
      </c>
      <c r="O1159" s="114">
        <v>1.5</v>
      </c>
      <c r="P1159" s="254">
        <v>56000</v>
      </c>
      <c r="Q1159" s="116" t="s">
        <v>809</v>
      </c>
      <c r="R1159" s="253"/>
      <c r="S1159" s="114">
        <f>P1159*0.3</f>
        <v>16800</v>
      </c>
      <c r="T1159" s="114">
        <f t="shared" ref="T1159" si="482">S1159</f>
        <v>16800</v>
      </c>
    </row>
    <row r="1160" spans="1:20" x14ac:dyDescent="0.2">
      <c r="A1160" s="110" t="str">
        <f t="shared" ref="A1160:A1161" si="483">IF(B1160="","",CONCATENATE(B1160,CONCATENATE(REPT(0,2-LEN(C1160)),C1160),IF(OR(D1160="Easy",D1160=""),1,IF(D1160="Normal",2,IF(D1160="Hard",3,IF(D1160="Hell",4,"error")))),E1160))</f>
        <v>100221</v>
      </c>
      <c r="B1160" s="110">
        <v>10</v>
      </c>
      <c r="C1160" s="110">
        <v>2</v>
      </c>
      <c r="D1160" s="110" t="s">
        <v>63</v>
      </c>
      <c r="E1160" s="110">
        <v>1</v>
      </c>
      <c r="F1160" s="112">
        <f t="shared" si="479"/>
        <v>359231</v>
      </c>
      <c r="G1160" s="112">
        <f t="shared" si="479"/>
        <v>359231</v>
      </c>
      <c r="H1160" s="112">
        <f t="shared" si="480"/>
        <v>42262</v>
      </c>
      <c r="I1160" s="112">
        <f t="shared" si="480"/>
        <v>42262</v>
      </c>
      <c r="J1160" s="112">
        <f t="shared" si="481"/>
        <v>776884</v>
      </c>
      <c r="K1160" s="248">
        <v>1000</v>
      </c>
      <c r="L1160" s="112">
        <v>2500</v>
      </c>
      <c r="M1160" s="113">
        <f t="shared" ref="M1160:M1161" si="484">(F1160*J1160*((H1160+I1160)/2)/1000)^(1/2)/10*0.8</f>
        <v>274745.12936218915</v>
      </c>
      <c r="N1160" s="114">
        <v>1000</v>
      </c>
      <c r="O1160" s="114">
        <v>1.5</v>
      </c>
      <c r="P1160" s="254">
        <v>56350</v>
      </c>
      <c r="Q1160" s="116" t="s">
        <v>809</v>
      </c>
      <c r="R1160" s="253"/>
      <c r="S1160" s="114">
        <f t="shared" ref="S1160:S1234" si="485">P1160*0.3</f>
        <v>16905</v>
      </c>
      <c r="T1160" s="114">
        <f t="shared" ref="T1160:T1161" si="486">S1160</f>
        <v>16905</v>
      </c>
    </row>
    <row r="1161" spans="1:20" x14ac:dyDescent="0.2">
      <c r="A1161" s="110" t="str">
        <f t="shared" si="483"/>
        <v>100321</v>
      </c>
      <c r="B1161" s="110">
        <v>10</v>
      </c>
      <c r="C1161" s="110">
        <v>3</v>
      </c>
      <c r="D1161" s="110" t="s">
        <v>63</v>
      </c>
      <c r="E1161" s="110">
        <v>1</v>
      </c>
      <c r="F1161" s="112">
        <f t="shared" si="479"/>
        <v>361462</v>
      </c>
      <c r="G1161" s="112">
        <f t="shared" si="479"/>
        <v>361462</v>
      </c>
      <c r="H1161" s="112">
        <f t="shared" si="480"/>
        <v>42525</v>
      </c>
      <c r="I1161" s="112">
        <f t="shared" si="480"/>
        <v>42525</v>
      </c>
      <c r="J1161" s="112">
        <f t="shared" si="481"/>
        <v>781709</v>
      </c>
      <c r="K1161" s="248">
        <v>1000</v>
      </c>
      <c r="L1161" s="112">
        <v>2500</v>
      </c>
      <c r="M1161" s="113">
        <f t="shared" si="484"/>
        <v>277310.31734060182</v>
      </c>
      <c r="N1161" s="114">
        <v>1000</v>
      </c>
      <c r="O1161" s="114">
        <v>1.5</v>
      </c>
      <c r="P1161" s="254">
        <v>56700</v>
      </c>
      <c r="Q1161" s="116" t="s">
        <v>809</v>
      </c>
      <c r="R1161" s="253"/>
      <c r="S1161" s="114">
        <f t="shared" si="485"/>
        <v>17010</v>
      </c>
      <c r="T1161" s="114">
        <f t="shared" si="486"/>
        <v>17010</v>
      </c>
    </row>
    <row r="1162" spans="1:20" x14ac:dyDescent="0.2">
      <c r="A1162" s="110" t="str">
        <f t="shared" ref="A1162:A1173" si="487">IF(B1162="","",CONCATENATE(B1162,CONCATENATE(REPT(0,2-LEN(C1162)),C1162),IF(OR(D1162="Easy",D1162=""),1,IF(D1162="Normal",2,IF(D1162="Hard",3,IF(D1162="Hell",4,"error")))),E1162))</f>
        <v>100421</v>
      </c>
      <c r="B1162" s="110">
        <v>10</v>
      </c>
      <c r="C1162" s="110">
        <v>4</v>
      </c>
      <c r="D1162" s="110" t="s">
        <v>63</v>
      </c>
      <c r="E1162" s="110">
        <v>1</v>
      </c>
      <c r="F1162" s="112">
        <f t="shared" si="479"/>
        <v>387940</v>
      </c>
      <c r="G1162" s="112">
        <f t="shared" si="479"/>
        <v>387940</v>
      </c>
      <c r="H1162" s="112">
        <f t="shared" si="480"/>
        <v>42787</v>
      </c>
      <c r="I1162" s="112">
        <f t="shared" si="480"/>
        <v>42787</v>
      </c>
      <c r="J1162" s="112">
        <f t="shared" si="481"/>
        <v>838970</v>
      </c>
      <c r="K1162" s="248">
        <v>1000</v>
      </c>
      <c r="L1162" s="112">
        <v>2500</v>
      </c>
      <c r="M1162" s="113">
        <f t="shared" ref="M1162:M1173" si="488">(F1162*J1162*((H1162+I1162)/2)/1000)^(1/2)/10*0.8</f>
        <v>298539.22567334806</v>
      </c>
      <c r="N1162" s="114">
        <v>1000</v>
      </c>
      <c r="O1162" s="114">
        <v>1.6</v>
      </c>
      <c r="P1162" s="254">
        <v>57050</v>
      </c>
      <c r="Q1162" s="116" t="s">
        <v>809</v>
      </c>
      <c r="R1162" s="253"/>
      <c r="S1162" s="114">
        <f t="shared" si="485"/>
        <v>17115</v>
      </c>
      <c r="T1162" s="114">
        <f t="shared" ref="T1162:T1173" si="489">S1162</f>
        <v>17115</v>
      </c>
    </row>
    <row r="1163" spans="1:20" x14ac:dyDescent="0.2">
      <c r="A1163" s="110" t="str">
        <f t="shared" si="487"/>
        <v>100521</v>
      </c>
      <c r="B1163" s="110">
        <v>10</v>
      </c>
      <c r="C1163" s="110">
        <v>5</v>
      </c>
      <c r="D1163" s="110" t="s">
        <v>63</v>
      </c>
      <c r="E1163" s="110">
        <v>1</v>
      </c>
      <c r="F1163" s="112">
        <f t="shared" si="479"/>
        <v>390320</v>
      </c>
      <c r="G1163" s="112">
        <f t="shared" si="479"/>
        <v>390320</v>
      </c>
      <c r="H1163" s="112">
        <f t="shared" si="480"/>
        <v>43050</v>
      </c>
      <c r="I1163" s="112">
        <f t="shared" si="480"/>
        <v>43050</v>
      </c>
      <c r="J1163" s="112">
        <f t="shared" si="481"/>
        <v>844117</v>
      </c>
      <c r="K1163" s="248">
        <v>1000</v>
      </c>
      <c r="L1163" s="112">
        <v>2500</v>
      </c>
      <c r="M1163" s="113">
        <f t="shared" si="488"/>
        <v>301292.47905427177</v>
      </c>
      <c r="N1163" s="114">
        <v>1000</v>
      </c>
      <c r="O1163" s="114">
        <v>1.6</v>
      </c>
      <c r="P1163" s="254">
        <v>57400</v>
      </c>
      <c r="Q1163" s="116" t="s">
        <v>809</v>
      </c>
      <c r="R1163" s="253"/>
      <c r="S1163" s="114">
        <f t="shared" si="485"/>
        <v>17220</v>
      </c>
      <c r="T1163" s="114">
        <f t="shared" si="489"/>
        <v>17220</v>
      </c>
    </row>
    <row r="1164" spans="1:20" x14ac:dyDescent="0.2">
      <c r="A1164" s="110" t="str">
        <f t="shared" si="487"/>
        <v>100621</v>
      </c>
      <c r="B1164" s="110">
        <v>10</v>
      </c>
      <c r="C1164" s="110">
        <v>6</v>
      </c>
      <c r="D1164" s="110" t="s">
        <v>63</v>
      </c>
      <c r="E1164" s="110">
        <v>1</v>
      </c>
      <c r="F1164" s="112">
        <f t="shared" si="479"/>
        <v>392700</v>
      </c>
      <c r="G1164" s="112">
        <f t="shared" si="479"/>
        <v>392700</v>
      </c>
      <c r="H1164" s="112">
        <f t="shared" si="480"/>
        <v>43312</v>
      </c>
      <c r="I1164" s="112">
        <f t="shared" si="480"/>
        <v>43312</v>
      </c>
      <c r="J1164" s="112">
        <f t="shared" si="481"/>
        <v>849264</v>
      </c>
      <c r="K1164" s="248">
        <v>1000</v>
      </c>
      <c r="L1164" s="112">
        <v>2500</v>
      </c>
      <c r="M1164" s="113">
        <f t="shared" si="488"/>
        <v>304050.63466641057</v>
      </c>
      <c r="N1164" s="114">
        <v>1000</v>
      </c>
      <c r="O1164" s="114">
        <v>1.6</v>
      </c>
      <c r="P1164" s="254">
        <v>57750</v>
      </c>
      <c r="Q1164" s="116" t="s">
        <v>809</v>
      </c>
      <c r="R1164" s="253"/>
      <c r="S1164" s="114">
        <f t="shared" si="485"/>
        <v>17325</v>
      </c>
      <c r="T1164" s="114">
        <f t="shared" si="489"/>
        <v>17325</v>
      </c>
    </row>
    <row r="1165" spans="1:20" x14ac:dyDescent="0.2">
      <c r="A1165" s="110" t="str">
        <f t="shared" si="487"/>
        <v>100721</v>
      </c>
      <c r="B1165" s="110">
        <v>10</v>
      </c>
      <c r="C1165" s="110">
        <v>7</v>
      </c>
      <c r="D1165" s="110" t="s">
        <v>63</v>
      </c>
      <c r="E1165" s="110">
        <v>1</v>
      </c>
      <c r="F1165" s="112">
        <f t="shared" si="479"/>
        <v>419772</v>
      </c>
      <c r="G1165" s="112">
        <f t="shared" si="479"/>
        <v>419772</v>
      </c>
      <c r="H1165" s="112">
        <f t="shared" si="480"/>
        <v>43575</v>
      </c>
      <c r="I1165" s="112">
        <f t="shared" si="480"/>
        <v>43575</v>
      </c>
      <c r="J1165" s="112">
        <f t="shared" si="481"/>
        <v>907812</v>
      </c>
      <c r="K1165" s="248">
        <v>1000</v>
      </c>
      <c r="L1165" s="112">
        <v>2500</v>
      </c>
      <c r="M1165" s="113">
        <f t="shared" si="488"/>
        <v>325996.83056126838</v>
      </c>
      <c r="N1165" s="114">
        <v>1000</v>
      </c>
      <c r="O1165" s="114">
        <v>1.7</v>
      </c>
      <c r="P1165" s="254">
        <v>58100</v>
      </c>
      <c r="Q1165" s="116" t="s">
        <v>809</v>
      </c>
      <c r="R1165" s="253"/>
      <c r="S1165" s="114">
        <f t="shared" si="485"/>
        <v>17430</v>
      </c>
      <c r="T1165" s="114">
        <f t="shared" si="489"/>
        <v>17430</v>
      </c>
    </row>
    <row r="1166" spans="1:20" x14ac:dyDescent="0.2">
      <c r="A1166" s="110" t="str">
        <f t="shared" si="487"/>
        <v>100821</v>
      </c>
      <c r="B1166" s="110">
        <v>10</v>
      </c>
      <c r="C1166" s="110">
        <v>8</v>
      </c>
      <c r="D1166" s="110" t="s">
        <v>63</v>
      </c>
      <c r="E1166" s="110">
        <v>1</v>
      </c>
      <c r="F1166" s="112">
        <f t="shared" si="479"/>
        <v>422301</v>
      </c>
      <c r="G1166" s="112">
        <f t="shared" si="479"/>
        <v>422301</v>
      </c>
      <c r="H1166" s="112">
        <f t="shared" si="480"/>
        <v>43837</v>
      </c>
      <c r="I1166" s="112">
        <f t="shared" si="480"/>
        <v>43837</v>
      </c>
      <c r="J1166" s="112">
        <f t="shared" si="481"/>
        <v>913281</v>
      </c>
      <c r="K1166" s="248">
        <v>1000</v>
      </c>
      <c r="L1166" s="112">
        <v>2500</v>
      </c>
      <c r="M1166" s="113">
        <f t="shared" si="488"/>
        <v>328945.28514163377</v>
      </c>
      <c r="N1166" s="114">
        <v>1000</v>
      </c>
      <c r="O1166" s="114">
        <v>1.7</v>
      </c>
      <c r="P1166" s="254">
        <v>58450</v>
      </c>
      <c r="Q1166" s="116" t="s">
        <v>809</v>
      </c>
      <c r="R1166" s="253"/>
      <c r="S1166" s="114">
        <f t="shared" si="485"/>
        <v>17535</v>
      </c>
      <c r="T1166" s="114">
        <f t="shared" si="489"/>
        <v>17535</v>
      </c>
    </row>
    <row r="1167" spans="1:20" x14ac:dyDescent="0.2">
      <c r="A1167" s="110" t="str">
        <f t="shared" si="487"/>
        <v>100921</v>
      </c>
      <c r="B1167" s="110">
        <v>10</v>
      </c>
      <c r="C1167" s="110">
        <v>9</v>
      </c>
      <c r="D1167" s="110" t="s">
        <v>63</v>
      </c>
      <c r="E1167" s="110">
        <v>1</v>
      </c>
      <c r="F1167" s="112">
        <f t="shared" si="479"/>
        <v>339864</v>
      </c>
      <c r="G1167" s="112">
        <f t="shared" si="479"/>
        <v>339864</v>
      </c>
      <c r="H1167" s="112">
        <f t="shared" si="480"/>
        <v>44100</v>
      </c>
      <c r="I1167" s="112">
        <f t="shared" si="480"/>
        <v>44100</v>
      </c>
      <c r="J1167" s="112">
        <f t="shared" si="481"/>
        <v>735000</v>
      </c>
      <c r="K1167" s="248">
        <v>1000</v>
      </c>
      <c r="L1167" s="112">
        <v>2500</v>
      </c>
      <c r="M1167" s="113">
        <f t="shared" si="488"/>
        <v>265525.07092476217</v>
      </c>
      <c r="N1167" s="114">
        <v>1000</v>
      </c>
      <c r="O1167" s="114">
        <v>1.7</v>
      </c>
      <c r="P1167" s="254">
        <v>47040</v>
      </c>
      <c r="Q1167" s="116" t="s">
        <v>809</v>
      </c>
      <c r="R1167" s="253"/>
      <c r="S1167" s="114">
        <v>17640</v>
      </c>
      <c r="T1167" s="114">
        <v>17640</v>
      </c>
    </row>
    <row r="1168" spans="1:20" x14ac:dyDescent="0.2">
      <c r="A1168" s="110" t="str">
        <f t="shared" ref="A1168:A1169" si="490">IF(B1168="","",CONCATENATE(B1168,CONCATENATE(REPT(0,2-LEN(C1168)),C1168),IF(OR(D1168="Easy",D1168=""),1,IF(D1168="Normal",2,IF(D1168="Hard",3,IF(D1168="Hell",4,"error")))),E1168))</f>
        <v>101021</v>
      </c>
      <c r="B1168" s="110">
        <v>10</v>
      </c>
      <c r="C1168" s="110">
        <v>10</v>
      </c>
      <c r="D1168" s="110" t="s">
        <v>63</v>
      </c>
      <c r="E1168" s="110">
        <v>1</v>
      </c>
      <c r="F1168" s="112">
        <f t="shared" si="479"/>
        <v>452497</v>
      </c>
      <c r="G1168" s="112">
        <f t="shared" si="479"/>
        <v>452497</v>
      </c>
      <c r="H1168" s="112">
        <f t="shared" si="480"/>
        <v>44362</v>
      </c>
      <c r="I1168" s="112">
        <f t="shared" si="480"/>
        <v>44362</v>
      </c>
      <c r="J1168" s="112">
        <f t="shared" si="481"/>
        <v>978584</v>
      </c>
      <c r="K1168" s="248">
        <v>1000</v>
      </c>
      <c r="L1168" s="112">
        <v>2500</v>
      </c>
      <c r="M1168" s="113">
        <f t="shared" ref="M1168:M1169" si="491">(F1168*J1168*((H1168+I1168)/2)/1000)^(1/2)/10*0.8</f>
        <v>354570.38031997904</v>
      </c>
      <c r="N1168" s="114">
        <v>1000</v>
      </c>
      <c r="O1168" s="114">
        <v>1.8</v>
      </c>
      <c r="P1168" s="254">
        <v>59150</v>
      </c>
      <c r="Q1168" s="116" t="s">
        <v>809</v>
      </c>
      <c r="R1168" s="253"/>
      <c r="S1168" s="114">
        <f t="shared" si="485"/>
        <v>17745</v>
      </c>
      <c r="T1168" s="114">
        <f t="shared" ref="T1168:T1169" si="492">S1168</f>
        <v>17745</v>
      </c>
    </row>
    <row r="1169" spans="1:20" x14ac:dyDescent="0.2">
      <c r="A1169" s="110" t="str">
        <f t="shared" si="490"/>
        <v>101121</v>
      </c>
      <c r="B1169" s="110">
        <v>10</v>
      </c>
      <c r="C1169" s="110">
        <v>11</v>
      </c>
      <c r="D1169" s="110" t="s">
        <v>63</v>
      </c>
      <c r="E1169" s="110">
        <v>1</v>
      </c>
      <c r="F1169" s="112">
        <f t="shared" si="479"/>
        <v>452497</v>
      </c>
      <c r="G1169" s="112">
        <f t="shared" si="479"/>
        <v>452497</v>
      </c>
      <c r="H1169" s="112">
        <f t="shared" si="480"/>
        <v>44362</v>
      </c>
      <c r="I1169" s="112">
        <f t="shared" si="480"/>
        <v>44362</v>
      </c>
      <c r="J1169" s="112">
        <f t="shared" si="481"/>
        <v>978584</v>
      </c>
      <c r="K1169" s="248">
        <v>1000</v>
      </c>
      <c r="L1169" s="112">
        <v>2500</v>
      </c>
      <c r="M1169" s="113">
        <f t="shared" si="491"/>
        <v>354570.38031997904</v>
      </c>
      <c r="N1169" s="114">
        <v>1000</v>
      </c>
      <c r="O1169" s="114">
        <v>1.8</v>
      </c>
      <c r="P1169" s="254">
        <v>59150</v>
      </c>
      <c r="Q1169" s="116" t="s">
        <v>809</v>
      </c>
      <c r="R1169" s="253"/>
      <c r="S1169" s="114">
        <f t="shared" si="485"/>
        <v>17745</v>
      </c>
      <c r="T1169" s="114">
        <f t="shared" si="492"/>
        <v>17745</v>
      </c>
    </row>
    <row r="1170" spans="1:20" x14ac:dyDescent="0.2">
      <c r="A1170" s="110" t="str">
        <f t="shared" si="487"/>
        <v>101221</v>
      </c>
      <c r="B1170" s="110">
        <v>10</v>
      </c>
      <c r="C1170" s="110">
        <v>12</v>
      </c>
      <c r="D1170" s="110" t="s">
        <v>63</v>
      </c>
      <c r="E1170" s="110">
        <v>1</v>
      </c>
      <c r="F1170" s="112">
        <f t="shared" si="479"/>
        <v>455175</v>
      </c>
      <c r="G1170" s="112">
        <f t="shared" si="479"/>
        <v>455175</v>
      </c>
      <c r="H1170" s="112">
        <f t="shared" si="480"/>
        <v>44625</v>
      </c>
      <c r="I1170" s="112">
        <f t="shared" si="480"/>
        <v>44625</v>
      </c>
      <c r="J1170" s="112">
        <f t="shared" si="481"/>
        <v>984375</v>
      </c>
      <c r="K1170" s="248">
        <v>1000</v>
      </c>
      <c r="L1170" s="112">
        <v>2500</v>
      </c>
      <c r="M1170" s="113">
        <f t="shared" si="488"/>
        <v>357724.42125538486</v>
      </c>
      <c r="N1170" s="114">
        <v>1000</v>
      </c>
      <c r="O1170" s="114">
        <v>1.8</v>
      </c>
      <c r="P1170" s="254">
        <v>59500</v>
      </c>
      <c r="Q1170" s="116" t="s">
        <v>809</v>
      </c>
      <c r="R1170" s="253"/>
      <c r="S1170" s="114">
        <f t="shared" si="485"/>
        <v>17850</v>
      </c>
      <c r="T1170" s="114">
        <f t="shared" si="489"/>
        <v>17850</v>
      </c>
    </row>
    <row r="1171" spans="1:20" x14ac:dyDescent="0.2">
      <c r="A1171" s="110" t="str">
        <f t="shared" si="487"/>
        <v>101321</v>
      </c>
      <c r="B1171" s="110">
        <v>10</v>
      </c>
      <c r="C1171" s="110">
        <v>13</v>
      </c>
      <c r="D1171" s="110" t="s">
        <v>63</v>
      </c>
      <c r="E1171" s="110">
        <v>1</v>
      </c>
      <c r="F1171" s="112">
        <f t="shared" si="479"/>
        <v>483288</v>
      </c>
      <c r="G1171" s="112">
        <f t="shared" si="479"/>
        <v>483288</v>
      </c>
      <c r="H1171" s="112">
        <f t="shared" si="480"/>
        <v>44887</v>
      </c>
      <c r="I1171" s="112">
        <f t="shared" si="480"/>
        <v>44887</v>
      </c>
      <c r="J1171" s="112">
        <f t="shared" si="481"/>
        <v>1045174</v>
      </c>
      <c r="K1171" s="248">
        <v>1000</v>
      </c>
      <c r="L1171" s="112">
        <v>2500</v>
      </c>
      <c r="M1171" s="113">
        <f t="shared" si="488"/>
        <v>380932.10968172352</v>
      </c>
      <c r="N1171" s="114">
        <v>1000</v>
      </c>
      <c r="O1171" s="114">
        <v>1.9</v>
      </c>
      <c r="P1171" s="254">
        <v>59850</v>
      </c>
      <c r="Q1171" s="116" t="s">
        <v>809</v>
      </c>
      <c r="R1171" s="253"/>
      <c r="S1171" s="114">
        <f t="shared" si="485"/>
        <v>17955</v>
      </c>
      <c r="T1171" s="114">
        <f t="shared" si="489"/>
        <v>17955</v>
      </c>
    </row>
    <row r="1172" spans="1:20" x14ac:dyDescent="0.2">
      <c r="A1172" s="110" t="str">
        <f t="shared" si="487"/>
        <v>101421</v>
      </c>
      <c r="B1172" s="110">
        <v>10</v>
      </c>
      <c r="C1172" s="110">
        <v>14</v>
      </c>
      <c r="D1172" s="110" t="s">
        <v>63</v>
      </c>
      <c r="E1172" s="110">
        <v>1</v>
      </c>
      <c r="F1172" s="112">
        <f t="shared" si="479"/>
        <v>486115</v>
      </c>
      <c r="G1172" s="112">
        <f t="shared" si="479"/>
        <v>486115</v>
      </c>
      <c r="H1172" s="112">
        <f t="shared" si="480"/>
        <v>45150</v>
      </c>
      <c r="I1172" s="112">
        <f t="shared" si="480"/>
        <v>45150</v>
      </c>
      <c r="J1172" s="112">
        <f t="shared" si="481"/>
        <v>1051286</v>
      </c>
      <c r="K1172" s="248">
        <v>1000</v>
      </c>
      <c r="L1172" s="112">
        <v>2500</v>
      </c>
      <c r="M1172" s="113">
        <f t="shared" si="488"/>
        <v>384280.91482462984</v>
      </c>
      <c r="N1172" s="114">
        <v>1000</v>
      </c>
      <c r="O1172" s="114">
        <v>1.9</v>
      </c>
      <c r="P1172" s="254">
        <v>60200</v>
      </c>
      <c r="Q1172" s="116" t="s">
        <v>809</v>
      </c>
      <c r="R1172" s="253"/>
      <c r="S1172" s="114">
        <f t="shared" si="485"/>
        <v>18060</v>
      </c>
      <c r="T1172" s="114">
        <f t="shared" si="489"/>
        <v>18060</v>
      </c>
    </row>
    <row r="1173" spans="1:20" x14ac:dyDescent="0.2">
      <c r="A1173" s="110" t="str">
        <f t="shared" si="487"/>
        <v>101521</v>
      </c>
      <c r="B1173" s="110">
        <v>10</v>
      </c>
      <c r="C1173" s="110">
        <v>15</v>
      </c>
      <c r="D1173" s="110" t="s">
        <v>63</v>
      </c>
      <c r="E1173" s="110">
        <v>1</v>
      </c>
      <c r="F1173" s="112">
        <f t="shared" si="479"/>
        <v>488941</v>
      </c>
      <c r="G1173" s="112">
        <f t="shared" si="479"/>
        <v>488941</v>
      </c>
      <c r="H1173" s="112">
        <f t="shared" si="480"/>
        <v>45412</v>
      </c>
      <c r="I1173" s="112">
        <f t="shared" si="480"/>
        <v>45412</v>
      </c>
      <c r="J1173" s="112">
        <f t="shared" si="481"/>
        <v>1057398</v>
      </c>
      <c r="K1173" s="248">
        <v>1000</v>
      </c>
      <c r="L1173" s="112">
        <v>2500</v>
      </c>
      <c r="M1173" s="113">
        <f t="shared" si="488"/>
        <v>387634.81169033039</v>
      </c>
      <c r="N1173" s="114">
        <v>1000</v>
      </c>
      <c r="O1173" s="114">
        <v>1.9</v>
      </c>
      <c r="P1173" s="254">
        <v>60550</v>
      </c>
      <c r="Q1173" s="116" t="s">
        <v>809</v>
      </c>
      <c r="R1173" s="253"/>
      <c r="S1173" s="114">
        <f t="shared" si="485"/>
        <v>18165</v>
      </c>
      <c r="T1173" s="114">
        <f t="shared" si="489"/>
        <v>18165</v>
      </c>
    </row>
    <row r="1174" spans="1:20" x14ac:dyDescent="0.2">
      <c r="A1174" s="110" t="str">
        <f t="shared" ref="A1174:A1182" si="493">IF(B1174="","",CONCATENATE(B1174,CONCATENATE(REPT(0,2-LEN(C1174)),C1174),IF(OR(D1174="Easy",D1174=""),1,IF(D1174="Normal",2,IF(D1174="Hard",3,IF(D1174="Hell",4,"error")))),E1174))</f>
        <v>101621</v>
      </c>
      <c r="B1174" s="110">
        <v>10</v>
      </c>
      <c r="C1174" s="110">
        <v>16</v>
      </c>
      <c r="D1174" s="110" t="s">
        <v>63</v>
      </c>
      <c r="E1174" s="110">
        <v>1</v>
      </c>
      <c r="F1174" s="112">
        <f t="shared" si="479"/>
        <v>416500</v>
      </c>
      <c r="G1174" s="112">
        <f t="shared" si="479"/>
        <v>416500</v>
      </c>
      <c r="H1174" s="112">
        <f t="shared" si="480"/>
        <v>45750</v>
      </c>
      <c r="I1174" s="112">
        <f t="shared" si="480"/>
        <v>45750</v>
      </c>
      <c r="J1174" s="112">
        <f t="shared" si="481"/>
        <v>900735</v>
      </c>
      <c r="K1174" s="248">
        <v>1000</v>
      </c>
      <c r="L1174" s="112">
        <v>2500</v>
      </c>
      <c r="M1174" s="113">
        <f t="shared" ref="M1174:M1182" si="494">(F1174*J1174*((H1174+I1174)/2)/1000)^(1/2)/10*0.8</f>
        <v>331429.8027214813</v>
      </c>
      <c r="N1174" s="114">
        <v>1000</v>
      </c>
      <c r="O1174" s="114">
        <v>2</v>
      </c>
      <c r="P1174" s="254">
        <v>49000</v>
      </c>
      <c r="Q1174" s="116" t="s">
        <v>809</v>
      </c>
      <c r="R1174" s="253" t="s">
        <v>1027</v>
      </c>
      <c r="S1174" s="114">
        <v>18300</v>
      </c>
      <c r="T1174" s="114">
        <v>18300</v>
      </c>
    </row>
    <row r="1175" spans="1:20" x14ac:dyDescent="0.2">
      <c r="A1175" s="110" t="str">
        <f t="shared" si="493"/>
        <v>101721</v>
      </c>
      <c r="B1175" s="110">
        <v>10</v>
      </c>
      <c r="C1175" s="110">
        <v>17</v>
      </c>
      <c r="D1175" s="110" t="s">
        <v>63</v>
      </c>
      <c r="E1175" s="110">
        <v>1</v>
      </c>
      <c r="F1175" s="112">
        <f t="shared" ref="F1175:G1196" si="495">ROUNDDOWN($P1175/4*$O1175*10*$N1175/$N1175*$Q1175/400,0)</f>
        <v>523600</v>
      </c>
      <c r="G1175" s="112">
        <f t="shared" si="495"/>
        <v>523600</v>
      </c>
      <c r="H1175" s="112">
        <f t="shared" ref="H1175:I1196" si="496">ROUNDDOWN($S1175/4*10,0)</f>
        <v>46200</v>
      </c>
      <c r="I1175" s="112">
        <f t="shared" si="496"/>
        <v>46200</v>
      </c>
      <c r="J1175" s="112">
        <f t="shared" si="481"/>
        <v>1132352</v>
      </c>
      <c r="K1175" s="248">
        <v>1000</v>
      </c>
      <c r="L1175" s="112">
        <v>2500</v>
      </c>
      <c r="M1175" s="113">
        <f t="shared" si="494"/>
        <v>418698.61032596708</v>
      </c>
      <c r="N1175" s="114">
        <v>1000</v>
      </c>
      <c r="O1175" s="114">
        <v>2</v>
      </c>
      <c r="P1175" s="254">
        <v>61600</v>
      </c>
      <c r="Q1175" s="116" t="s">
        <v>809</v>
      </c>
      <c r="R1175" s="253"/>
      <c r="S1175" s="114">
        <f t="shared" si="485"/>
        <v>18480</v>
      </c>
      <c r="T1175" s="114">
        <f t="shared" ref="T1175:T1182" si="497">S1175</f>
        <v>18480</v>
      </c>
    </row>
    <row r="1176" spans="1:20" x14ac:dyDescent="0.2">
      <c r="A1176" s="110" t="str">
        <f t="shared" si="493"/>
        <v>101821</v>
      </c>
      <c r="B1176" s="110">
        <v>10</v>
      </c>
      <c r="C1176" s="110">
        <v>18</v>
      </c>
      <c r="D1176" s="110" t="s">
        <v>63</v>
      </c>
      <c r="E1176" s="110">
        <v>1</v>
      </c>
      <c r="F1176" s="112">
        <f t="shared" si="495"/>
        <v>526575</v>
      </c>
      <c r="G1176" s="112">
        <f t="shared" si="495"/>
        <v>526575</v>
      </c>
      <c r="H1176" s="112">
        <f t="shared" si="496"/>
        <v>46462</v>
      </c>
      <c r="I1176" s="112">
        <f t="shared" si="496"/>
        <v>46462</v>
      </c>
      <c r="J1176" s="112">
        <f t="shared" si="481"/>
        <v>1138786</v>
      </c>
      <c r="K1176" s="248">
        <v>1000</v>
      </c>
      <c r="L1176" s="112">
        <v>2500</v>
      </c>
      <c r="M1176" s="113">
        <f t="shared" si="494"/>
        <v>422269.89001922758</v>
      </c>
      <c r="N1176" s="114">
        <v>1000</v>
      </c>
      <c r="O1176" s="114">
        <v>2</v>
      </c>
      <c r="P1176" s="254">
        <v>61950</v>
      </c>
      <c r="Q1176" s="116" t="s">
        <v>809</v>
      </c>
      <c r="R1176" s="253"/>
      <c r="S1176" s="114">
        <f t="shared" si="485"/>
        <v>18585</v>
      </c>
      <c r="T1176" s="114">
        <f t="shared" si="497"/>
        <v>18585</v>
      </c>
    </row>
    <row r="1177" spans="1:20" x14ac:dyDescent="0.2">
      <c r="A1177" s="110" t="str">
        <f t="shared" si="493"/>
        <v>101921</v>
      </c>
      <c r="B1177" s="110">
        <v>10</v>
      </c>
      <c r="C1177" s="110">
        <v>19</v>
      </c>
      <c r="D1177" s="110" t="s">
        <v>63</v>
      </c>
      <c r="E1177" s="110">
        <v>1</v>
      </c>
      <c r="F1177" s="112">
        <f t="shared" si="495"/>
        <v>556027</v>
      </c>
      <c r="G1177" s="112">
        <f t="shared" si="495"/>
        <v>556027</v>
      </c>
      <c r="H1177" s="112">
        <f t="shared" si="496"/>
        <v>46725</v>
      </c>
      <c r="I1177" s="112">
        <f t="shared" si="496"/>
        <v>46725</v>
      </c>
      <c r="J1177" s="112">
        <f t="shared" si="481"/>
        <v>1202481</v>
      </c>
      <c r="K1177" s="248">
        <v>1000</v>
      </c>
      <c r="L1177" s="112">
        <v>2500</v>
      </c>
      <c r="M1177" s="113">
        <f t="shared" si="494"/>
        <v>447148.41324691346</v>
      </c>
      <c r="N1177" s="114">
        <v>1000</v>
      </c>
      <c r="O1177" s="114">
        <v>2.1</v>
      </c>
      <c r="P1177" s="254">
        <v>62300</v>
      </c>
      <c r="Q1177" s="116" t="s">
        <v>809</v>
      </c>
      <c r="R1177" s="253"/>
      <c r="S1177" s="114">
        <f t="shared" si="485"/>
        <v>18690</v>
      </c>
      <c r="T1177" s="114">
        <f t="shared" si="497"/>
        <v>18690</v>
      </c>
    </row>
    <row r="1178" spans="1:20" x14ac:dyDescent="0.2">
      <c r="A1178" s="110" t="str">
        <f t="shared" si="493"/>
        <v>102021</v>
      </c>
      <c r="B1178" s="110">
        <v>10</v>
      </c>
      <c r="C1178" s="110">
        <v>20</v>
      </c>
      <c r="D1178" s="110" t="s">
        <v>63</v>
      </c>
      <c r="E1178" s="110">
        <v>1</v>
      </c>
      <c r="F1178" s="112">
        <f t="shared" si="495"/>
        <v>559151</v>
      </c>
      <c r="G1178" s="112">
        <f t="shared" si="495"/>
        <v>559151</v>
      </c>
      <c r="H1178" s="112">
        <f t="shared" si="496"/>
        <v>46987</v>
      </c>
      <c r="I1178" s="112">
        <f t="shared" si="496"/>
        <v>46987</v>
      </c>
      <c r="J1178" s="112">
        <f t="shared" si="481"/>
        <v>1209237</v>
      </c>
      <c r="K1178" s="248">
        <v>1000</v>
      </c>
      <c r="L1178" s="112">
        <v>2500</v>
      </c>
      <c r="M1178" s="113">
        <f t="shared" si="494"/>
        <v>450919.59909129888</v>
      </c>
      <c r="N1178" s="114">
        <v>1000</v>
      </c>
      <c r="O1178" s="114">
        <v>2.1</v>
      </c>
      <c r="P1178" s="254">
        <v>62650</v>
      </c>
      <c r="Q1178" s="116" t="s">
        <v>809</v>
      </c>
      <c r="R1178" s="253"/>
      <c r="S1178" s="114">
        <f t="shared" si="485"/>
        <v>18795</v>
      </c>
      <c r="T1178" s="114">
        <f t="shared" si="497"/>
        <v>18795</v>
      </c>
    </row>
    <row r="1179" spans="1:20" x14ac:dyDescent="0.2">
      <c r="A1179" s="110" t="str">
        <f t="shared" si="493"/>
        <v>102121</v>
      </c>
      <c r="B1179" s="110">
        <v>10</v>
      </c>
      <c r="C1179" s="110">
        <v>21</v>
      </c>
      <c r="D1179" s="110" t="s">
        <v>63</v>
      </c>
      <c r="E1179" s="110">
        <v>1</v>
      </c>
      <c r="F1179" s="112">
        <f t="shared" si="495"/>
        <v>562275</v>
      </c>
      <c r="G1179" s="112">
        <f t="shared" si="495"/>
        <v>562275</v>
      </c>
      <c r="H1179" s="112">
        <f t="shared" si="496"/>
        <v>47250</v>
      </c>
      <c r="I1179" s="112">
        <f t="shared" si="496"/>
        <v>47250</v>
      </c>
      <c r="J1179" s="112">
        <f t="shared" si="481"/>
        <v>1215992</v>
      </c>
      <c r="K1179" s="248">
        <v>1000</v>
      </c>
      <c r="L1179" s="112">
        <v>2500</v>
      </c>
      <c r="M1179" s="113">
        <f t="shared" si="494"/>
        <v>454705.95235197881</v>
      </c>
      <c r="N1179" s="114">
        <v>1000</v>
      </c>
      <c r="O1179" s="114">
        <v>2.1</v>
      </c>
      <c r="P1179" s="254">
        <v>63000</v>
      </c>
      <c r="Q1179" s="116" t="s">
        <v>809</v>
      </c>
      <c r="R1179" s="253"/>
      <c r="S1179" s="114">
        <f t="shared" si="485"/>
        <v>18900</v>
      </c>
      <c r="T1179" s="114">
        <f t="shared" si="497"/>
        <v>18900</v>
      </c>
    </row>
    <row r="1180" spans="1:20" x14ac:dyDescent="0.2">
      <c r="A1180" s="110" t="str">
        <f t="shared" si="493"/>
        <v>102221</v>
      </c>
      <c r="B1180" s="110">
        <v>10</v>
      </c>
      <c r="C1180" s="110">
        <v>22</v>
      </c>
      <c r="D1180" s="110" t="s">
        <v>63</v>
      </c>
      <c r="E1180" s="110">
        <v>1</v>
      </c>
      <c r="F1180" s="112">
        <f t="shared" si="495"/>
        <v>473858</v>
      </c>
      <c r="G1180" s="112">
        <f t="shared" si="495"/>
        <v>473858</v>
      </c>
      <c r="H1180" s="112">
        <f t="shared" si="496"/>
        <v>47512</v>
      </c>
      <c r="I1180" s="112">
        <f t="shared" si="496"/>
        <v>47512</v>
      </c>
      <c r="J1180" s="112">
        <f t="shared" si="481"/>
        <v>1024779</v>
      </c>
      <c r="K1180" s="248">
        <v>1000</v>
      </c>
      <c r="L1180" s="112">
        <v>2500</v>
      </c>
      <c r="M1180" s="113">
        <f t="shared" si="494"/>
        <v>384265.02727049071</v>
      </c>
      <c r="N1180" s="114">
        <v>1000</v>
      </c>
      <c r="O1180" s="114">
        <v>2.2000000000000002</v>
      </c>
      <c r="P1180" s="254">
        <v>50680</v>
      </c>
      <c r="Q1180" s="116" t="s">
        <v>809</v>
      </c>
      <c r="R1180" s="253"/>
      <c r="S1180" s="114">
        <v>19005</v>
      </c>
      <c r="T1180" s="114">
        <v>19005</v>
      </c>
    </row>
    <row r="1181" spans="1:20" x14ac:dyDescent="0.2">
      <c r="A1181" s="110" t="str">
        <f t="shared" si="493"/>
        <v>102321</v>
      </c>
      <c r="B1181" s="110">
        <v>10</v>
      </c>
      <c r="C1181" s="110">
        <v>23</v>
      </c>
      <c r="D1181" s="110" t="s">
        <v>63</v>
      </c>
      <c r="E1181" s="110">
        <v>1</v>
      </c>
      <c r="F1181" s="112">
        <f t="shared" si="495"/>
        <v>595595</v>
      </c>
      <c r="G1181" s="112">
        <f t="shared" si="495"/>
        <v>595595</v>
      </c>
      <c r="H1181" s="112">
        <f t="shared" si="496"/>
        <v>47775</v>
      </c>
      <c r="I1181" s="112">
        <f t="shared" si="496"/>
        <v>47775</v>
      </c>
      <c r="J1181" s="112">
        <f t="shared" si="481"/>
        <v>1288051</v>
      </c>
      <c r="K1181" s="248">
        <v>1000</v>
      </c>
      <c r="L1181" s="112">
        <v>2500</v>
      </c>
      <c r="M1181" s="113">
        <f t="shared" si="494"/>
        <v>484319.98038392683</v>
      </c>
      <c r="N1181" s="114">
        <v>1000</v>
      </c>
      <c r="O1181" s="114">
        <v>2.2000000000000002</v>
      </c>
      <c r="P1181" s="254">
        <v>63700</v>
      </c>
      <c r="Q1181" s="116" t="s">
        <v>809</v>
      </c>
      <c r="R1181" s="253"/>
      <c r="S1181" s="114">
        <f t="shared" si="485"/>
        <v>19110</v>
      </c>
      <c r="T1181" s="114">
        <f t="shared" si="497"/>
        <v>19110</v>
      </c>
    </row>
    <row r="1182" spans="1:20" x14ac:dyDescent="0.2">
      <c r="A1182" s="110" t="str">
        <f t="shared" si="493"/>
        <v>102421</v>
      </c>
      <c r="B1182" s="110">
        <v>10</v>
      </c>
      <c r="C1182" s="110">
        <v>24</v>
      </c>
      <c r="D1182" s="110" t="s">
        <v>63</v>
      </c>
      <c r="E1182" s="110">
        <v>1</v>
      </c>
      <c r="F1182" s="112">
        <f t="shared" si="495"/>
        <v>598867</v>
      </c>
      <c r="G1182" s="112">
        <f t="shared" si="495"/>
        <v>598867</v>
      </c>
      <c r="H1182" s="112">
        <f t="shared" si="496"/>
        <v>48037</v>
      </c>
      <c r="I1182" s="112">
        <f t="shared" si="496"/>
        <v>48037</v>
      </c>
      <c r="J1182" s="112">
        <f t="shared" si="481"/>
        <v>1295128</v>
      </c>
      <c r="K1182" s="248">
        <v>1000</v>
      </c>
      <c r="L1182" s="112">
        <v>2500</v>
      </c>
      <c r="M1182" s="113">
        <f t="shared" si="494"/>
        <v>488314.32308225147</v>
      </c>
      <c r="N1182" s="114">
        <v>1000</v>
      </c>
      <c r="O1182" s="114">
        <v>2.2000000000000002</v>
      </c>
      <c r="P1182" s="254">
        <v>64050</v>
      </c>
      <c r="Q1182" s="116" t="s">
        <v>809</v>
      </c>
      <c r="R1182" s="253"/>
      <c r="S1182" s="114">
        <f t="shared" si="485"/>
        <v>19215</v>
      </c>
      <c r="T1182" s="114">
        <f t="shared" si="497"/>
        <v>19215</v>
      </c>
    </row>
    <row r="1183" spans="1:20" x14ac:dyDescent="0.2">
      <c r="A1183" s="110" t="str">
        <f t="shared" ref="A1183:A1187" si="498">IF(B1183="","",CONCATENATE(B1183,CONCATENATE(REPT(0,2-LEN(C1183)),C1183),IF(OR(D1183="Easy",D1183=""),1,IF(D1183="Normal",2,IF(D1183="Hard",3,IF(D1183="Hell",4,"error")))),E1183))</f>
        <v>102521</v>
      </c>
      <c r="B1183" s="110">
        <v>10</v>
      </c>
      <c r="C1183" s="110">
        <v>25</v>
      </c>
      <c r="D1183" s="110" t="s">
        <v>63</v>
      </c>
      <c r="E1183" s="110">
        <v>1</v>
      </c>
      <c r="F1183" s="112">
        <f t="shared" si="495"/>
        <v>629510</v>
      </c>
      <c r="G1183" s="112">
        <f t="shared" si="495"/>
        <v>629510</v>
      </c>
      <c r="H1183" s="112">
        <f t="shared" si="496"/>
        <v>48300</v>
      </c>
      <c r="I1183" s="112">
        <f t="shared" si="496"/>
        <v>48300</v>
      </c>
      <c r="J1183" s="112">
        <f t="shared" si="481"/>
        <v>1361397</v>
      </c>
      <c r="K1183" s="248">
        <v>1000</v>
      </c>
      <c r="L1183" s="112">
        <v>2500</v>
      </c>
      <c r="M1183" s="113">
        <f t="shared" ref="M1183:M1187" si="499">(F1183*J1183*((H1183+I1183)/2)/1000)^(1/2)/10*0.8</f>
        <v>514703.66856404516</v>
      </c>
      <c r="N1183" s="114">
        <v>1000</v>
      </c>
      <c r="O1183" s="114">
        <v>2.3000000000000003</v>
      </c>
      <c r="P1183" s="254">
        <v>64400</v>
      </c>
      <c r="Q1183" s="116" t="s">
        <v>809</v>
      </c>
      <c r="R1183" s="253"/>
      <c r="S1183" s="114">
        <f t="shared" si="485"/>
        <v>19320</v>
      </c>
      <c r="T1183" s="114">
        <f t="shared" ref="T1183:T1187" si="500">S1183</f>
        <v>19320</v>
      </c>
    </row>
    <row r="1184" spans="1:20" x14ac:dyDescent="0.2">
      <c r="A1184" s="110" t="str">
        <f t="shared" si="498"/>
        <v>102621</v>
      </c>
      <c r="B1184" s="110">
        <v>10</v>
      </c>
      <c r="C1184" s="110">
        <v>26</v>
      </c>
      <c r="D1184" s="110" t="s">
        <v>63</v>
      </c>
      <c r="E1184" s="110">
        <v>1</v>
      </c>
      <c r="F1184" s="112">
        <f t="shared" si="495"/>
        <v>632931</v>
      </c>
      <c r="G1184" s="112">
        <f t="shared" si="495"/>
        <v>632931</v>
      </c>
      <c r="H1184" s="112">
        <f t="shared" si="496"/>
        <v>48562</v>
      </c>
      <c r="I1184" s="112">
        <f t="shared" si="496"/>
        <v>48562</v>
      </c>
      <c r="J1184" s="112">
        <f t="shared" si="481"/>
        <v>1368795</v>
      </c>
      <c r="K1184" s="248">
        <v>1000</v>
      </c>
      <c r="L1184" s="112">
        <v>2500</v>
      </c>
      <c r="M1184" s="113">
        <f t="shared" si="499"/>
        <v>518902.37446608767</v>
      </c>
      <c r="N1184" s="114">
        <v>1000</v>
      </c>
      <c r="O1184" s="114">
        <v>2.3000000000000003</v>
      </c>
      <c r="P1184" s="254">
        <v>64750</v>
      </c>
      <c r="Q1184" s="116" t="s">
        <v>809</v>
      </c>
      <c r="R1184" s="253"/>
      <c r="S1184" s="114">
        <f t="shared" si="485"/>
        <v>19425</v>
      </c>
      <c r="T1184" s="114">
        <f t="shared" si="500"/>
        <v>19425</v>
      </c>
    </row>
    <row r="1185" spans="1:20" x14ac:dyDescent="0.2">
      <c r="A1185" s="110" t="str">
        <f t="shared" si="498"/>
        <v>102721</v>
      </c>
      <c r="B1185" s="110">
        <v>10</v>
      </c>
      <c r="C1185" s="110">
        <v>27</v>
      </c>
      <c r="D1185" s="110" t="s">
        <v>63</v>
      </c>
      <c r="E1185" s="110">
        <v>1</v>
      </c>
      <c r="F1185" s="112">
        <f t="shared" si="495"/>
        <v>636352</v>
      </c>
      <c r="G1185" s="112">
        <f t="shared" si="495"/>
        <v>636352</v>
      </c>
      <c r="H1185" s="112">
        <f t="shared" si="496"/>
        <v>48825</v>
      </c>
      <c r="I1185" s="112">
        <f t="shared" si="496"/>
        <v>48825</v>
      </c>
      <c r="J1185" s="112">
        <f t="shared" si="481"/>
        <v>1376194</v>
      </c>
      <c r="K1185" s="248">
        <v>1000</v>
      </c>
      <c r="L1185" s="112">
        <v>2500</v>
      </c>
      <c r="M1185" s="113">
        <f t="shared" si="499"/>
        <v>523117.98283361876</v>
      </c>
      <c r="N1185" s="114">
        <v>1000</v>
      </c>
      <c r="O1185" s="114">
        <v>2.3000000000000003</v>
      </c>
      <c r="P1185" s="254">
        <v>65100</v>
      </c>
      <c r="Q1185" s="116" t="s">
        <v>809</v>
      </c>
      <c r="R1185" s="253"/>
      <c r="S1185" s="114">
        <f t="shared" si="485"/>
        <v>19530</v>
      </c>
      <c r="T1185" s="114">
        <f t="shared" si="500"/>
        <v>19530</v>
      </c>
    </row>
    <row r="1186" spans="1:20" x14ac:dyDescent="0.2">
      <c r="A1186" s="110" t="str">
        <f t="shared" si="498"/>
        <v>102821</v>
      </c>
      <c r="B1186" s="110">
        <v>10</v>
      </c>
      <c r="C1186" s="110">
        <v>28</v>
      </c>
      <c r="D1186" s="110" t="s">
        <v>63</v>
      </c>
      <c r="E1186" s="110">
        <v>1</v>
      </c>
      <c r="F1186" s="112">
        <f t="shared" si="495"/>
        <v>667590</v>
      </c>
      <c r="G1186" s="112">
        <f t="shared" si="495"/>
        <v>667590</v>
      </c>
      <c r="H1186" s="112">
        <f t="shared" si="496"/>
        <v>49087</v>
      </c>
      <c r="I1186" s="112">
        <f t="shared" si="496"/>
        <v>49087</v>
      </c>
      <c r="J1186" s="112">
        <f t="shared" si="481"/>
        <v>1443750</v>
      </c>
      <c r="K1186" s="248">
        <v>1000</v>
      </c>
      <c r="L1186" s="112">
        <v>2500</v>
      </c>
      <c r="M1186" s="113">
        <f t="shared" si="499"/>
        <v>550267.85354879673</v>
      </c>
      <c r="N1186" s="114">
        <v>1000</v>
      </c>
      <c r="O1186" s="114">
        <v>2.4000000000000004</v>
      </c>
      <c r="P1186" s="254">
        <v>65450</v>
      </c>
      <c r="Q1186" s="116" t="s">
        <v>809</v>
      </c>
      <c r="R1186" s="253"/>
      <c r="S1186" s="114">
        <f t="shared" si="485"/>
        <v>19635</v>
      </c>
      <c r="T1186" s="114">
        <f t="shared" si="500"/>
        <v>19635</v>
      </c>
    </row>
    <row r="1187" spans="1:20" x14ac:dyDescent="0.2">
      <c r="A1187" s="110" t="str">
        <f t="shared" si="498"/>
        <v>102921</v>
      </c>
      <c r="B1187" s="110">
        <v>10</v>
      </c>
      <c r="C1187" s="110">
        <v>29</v>
      </c>
      <c r="D1187" s="110" t="s">
        <v>63</v>
      </c>
      <c r="E1187" s="110">
        <v>1</v>
      </c>
      <c r="F1187" s="112">
        <f t="shared" si="495"/>
        <v>671160</v>
      </c>
      <c r="G1187" s="112">
        <f t="shared" si="495"/>
        <v>671160</v>
      </c>
      <c r="H1187" s="112">
        <f t="shared" si="496"/>
        <v>49350</v>
      </c>
      <c r="I1187" s="112">
        <f t="shared" si="496"/>
        <v>49350</v>
      </c>
      <c r="J1187" s="112">
        <f t="shared" si="481"/>
        <v>1451470</v>
      </c>
      <c r="K1187" s="248">
        <v>1000</v>
      </c>
      <c r="L1187" s="112">
        <v>2500</v>
      </c>
      <c r="M1187" s="113">
        <f t="shared" si="499"/>
        <v>554690.37513406342</v>
      </c>
      <c r="N1187" s="114">
        <v>1000</v>
      </c>
      <c r="O1187" s="114">
        <v>2.4000000000000004</v>
      </c>
      <c r="P1187" s="254">
        <v>65800</v>
      </c>
      <c r="Q1187" s="116" t="s">
        <v>809</v>
      </c>
      <c r="R1187" s="253"/>
      <c r="S1187" s="114">
        <f t="shared" si="485"/>
        <v>19740</v>
      </c>
      <c r="T1187" s="114">
        <f t="shared" si="500"/>
        <v>19740</v>
      </c>
    </row>
    <row r="1188" spans="1:20" x14ac:dyDescent="0.2">
      <c r="A1188" s="110" t="str">
        <f t="shared" ref="A1188:A1233" si="501">IF(B1188="","",CONCATENATE(B1188,CONCATENATE(REPT(0,2-LEN(C1188)),C1188),IF(OR(D1188="Easy",D1188=""),1,IF(D1188="Normal",2,IF(D1188="Hard",3,IF(D1188="Hell",4,"error")))),E1188))</f>
        <v>103021</v>
      </c>
      <c r="B1188" s="110">
        <v>10</v>
      </c>
      <c r="C1188" s="110">
        <v>30</v>
      </c>
      <c r="D1188" s="110" t="s">
        <v>63</v>
      </c>
      <c r="E1188" s="110">
        <v>1</v>
      </c>
      <c r="F1188" s="112">
        <f t="shared" si="495"/>
        <v>674730</v>
      </c>
      <c r="G1188" s="112">
        <f t="shared" si="495"/>
        <v>674730</v>
      </c>
      <c r="H1188" s="112">
        <f t="shared" si="496"/>
        <v>49612</v>
      </c>
      <c r="I1188" s="112">
        <f t="shared" si="496"/>
        <v>49612</v>
      </c>
      <c r="J1188" s="112">
        <f t="shared" si="481"/>
        <v>1459191</v>
      </c>
      <c r="K1188" s="248">
        <v>1000</v>
      </c>
      <c r="L1188" s="112">
        <v>2500</v>
      </c>
      <c r="M1188" s="113">
        <f t="shared" ref="M1188:M1199" si="502">(F1188*J1188*((H1188+I1188)/2)/1000)^(1/2)/10*0.8</f>
        <v>559119.23830796115</v>
      </c>
      <c r="N1188" s="114">
        <v>1000</v>
      </c>
      <c r="O1188" s="114">
        <v>2.4000000000000004</v>
      </c>
      <c r="P1188" s="254">
        <v>66150</v>
      </c>
      <c r="Q1188" s="116" t="s">
        <v>809</v>
      </c>
      <c r="R1188" s="253"/>
      <c r="S1188" s="114">
        <f t="shared" si="485"/>
        <v>19845</v>
      </c>
      <c r="T1188" s="114">
        <f t="shared" ref="T1188:T1196" si="503">S1188</f>
        <v>19845</v>
      </c>
    </row>
    <row r="1189" spans="1:20" x14ac:dyDescent="0.2">
      <c r="A1189" s="110" t="str">
        <f t="shared" ref="A1189" si="504">IF(B1189="","",CONCATENATE(B1189,CONCATENATE(REPT(0,2-LEN(C1189)),C1189),IF(OR(D1189="Easy",D1189=""),1,IF(D1189="Normal",2,IF(D1189="Hard",3,IF(D1189="Hell",4,"error")))),E1189))</f>
        <v>103121</v>
      </c>
      <c r="B1189" s="110">
        <v>10</v>
      </c>
      <c r="C1189" s="110">
        <v>31</v>
      </c>
      <c r="D1189" s="110" t="s">
        <v>63</v>
      </c>
      <c r="E1189" s="110">
        <v>1</v>
      </c>
      <c r="F1189" s="112">
        <f t="shared" si="495"/>
        <v>5906250</v>
      </c>
      <c r="G1189" s="112">
        <f t="shared" si="495"/>
        <v>5906250</v>
      </c>
      <c r="H1189" s="112">
        <f t="shared" si="496"/>
        <v>16537</v>
      </c>
      <c r="I1189" s="112">
        <f t="shared" si="496"/>
        <v>16537</v>
      </c>
      <c r="J1189" s="112">
        <f t="shared" si="481"/>
        <v>13289062</v>
      </c>
      <c r="K1189" s="248">
        <v>1000</v>
      </c>
      <c r="L1189" s="112">
        <v>2500</v>
      </c>
      <c r="M1189" s="113">
        <f t="shared" ref="M1189" si="505">(F1189*J1189*((H1189+I1189)/2)/1000)^(1/2)/10*0.8</f>
        <v>2882182.1683427999</v>
      </c>
      <c r="N1189" s="114">
        <v>1500</v>
      </c>
      <c r="O1189" s="114">
        <v>10</v>
      </c>
      <c r="P1189" s="254">
        <v>94500</v>
      </c>
      <c r="Q1189" s="116" t="s">
        <v>408</v>
      </c>
      <c r="R1189" s="253" t="s">
        <v>1051</v>
      </c>
      <c r="S1189" s="114">
        <f>P1189*0.07</f>
        <v>6615.0000000000009</v>
      </c>
      <c r="T1189" s="114">
        <f t="shared" ref="T1189" si="506">S1189</f>
        <v>6615.0000000000009</v>
      </c>
    </row>
    <row r="1190" spans="1:20" x14ac:dyDescent="0.2">
      <c r="A1190" s="110" t="str">
        <f t="shared" ref="A1190" si="507">IF(B1190="","",CONCATENATE(B1190,CONCATENATE(REPT(0,2-LEN(C1190)),C1190),IF(OR(D1190="Easy",D1190=""),1,IF(D1190="Normal",2,IF(D1190="Hard",3,IF(D1190="Hell",4,"error")))),E1190))</f>
        <v>103221</v>
      </c>
      <c r="B1190" s="110">
        <v>10</v>
      </c>
      <c r="C1190" s="110">
        <v>32</v>
      </c>
      <c r="D1190" s="110" t="s">
        <v>63</v>
      </c>
      <c r="E1190" s="110">
        <v>1</v>
      </c>
      <c r="F1190" s="112">
        <f t="shared" si="495"/>
        <v>10631250</v>
      </c>
      <c r="G1190" s="112">
        <f t="shared" si="495"/>
        <v>10631250</v>
      </c>
      <c r="H1190" s="112">
        <f t="shared" si="496"/>
        <v>16537</v>
      </c>
      <c r="I1190" s="112">
        <f t="shared" si="496"/>
        <v>16537</v>
      </c>
      <c r="J1190" s="112">
        <f t="shared" si="481"/>
        <v>30724312</v>
      </c>
      <c r="K1190" s="248">
        <v>1000</v>
      </c>
      <c r="L1190" s="112">
        <v>2500</v>
      </c>
      <c r="M1190" s="113">
        <f t="shared" ref="M1190" si="508">(F1190*J1190*((H1190+I1190)/2)/1000)^(1/2)/10*0.8</f>
        <v>5879651.6861880319</v>
      </c>
      <c r="N1190" s="114">
        <v>1700</v>
      </c>
      <c r="O1190" s="114">
        <v>18</v>
      </c>
      <c r="P1190" s="254">
        <v>94500</v>
      </c>
      <c r="Q1190" s="116" t="s">
        <v>408</v>
      </c>
      <c r="R1190" s="253" t="s">
        <v>1052</v>
      </c>
      <c r="S1190" s="114">
        <f>P1190*0.07</f>
        <v>6615.0000000000009</v>
      </c>
      <c r="T1190" s="114">
        <f t="shared" ref="T1190" si="509">S1190</f>
        <v>6615.0000000000009</v>
      </c>
    </row>
    <row r="1191" spans="1:20" x14ac:dyDescent="0.2">
      <c r="A1191" s="110" t="str">
        <f t="shared" ref="A1191:A1193" si="510">IF(B1191="","",CONCATENATE(B1191,CONCATENATE(REPT(0,2-LEN(C1191)),C1191),IF(OR(D1191="Easy",D1191=""),1,IF(D1191="Normal",2,IF(D1191="Hard",3,IF(D1191="Hell",4,"error")))),E1191))</f>
        <v>103321</v>
      </c>
      <c r="B1191" s="110">
        <v>10</v>
      </c>
      <c r="C1191" s="110">
        <v>33</v>
      </c>
      <c r="D1191" s="110" t="s">
        <v>63</v>
      </c>
      <c r="E1191" s="110">
        <v>1</v>
      </c>
      <c r="F1191" s="112">
        <f t="shared" si="495"/>
        <v>1181250</v>
      </c>
      <c r="G1191" s="112">
        <f t="shared" si="495"/>
        <v>1181250</v>
      </c>
      <c r="H1191" s="112">
        <f t="shared" si="496"/>
        <v>16537</v>
      </c>
      <c r="I1191" s="112">
        <f t="shared" si="496"/>
        <v>16537</v>
      </c>
      <c r="J1191" s="112">
        <f t="shared" si="481"/>
        <v>10631250</v>
      </c>
      <c r="K1191" s="248">
        <v>1000</v>
      </c>
      <c r="L1191" s="112">
        <v>2500</v>
      </c>
      <c r="M1191" s="113">
        <f t="shared" ref="M1191:M1193" si="511">(F1191*J1191*((H1191+I1191)/2)/1000)^(1/2)/10*0.8</f>
        <v>1152872.8890254989</v>
      </c>
      <c r="N1191" s="114">
        <v>3000</v>
      </c>
      <c r="O1191" s="114">
        <v>2</v>
      </c>
      <c r="P1191" s="254">
        <v>94500</v>
      </c>
      <c r="Q1191" s="116" t="s">
        <v>408</v>
      </c>
      <c r="R1191" s="253" t="s">
        <v>1053</v>
      </c>
      <c r="S1191" s="114">
        <f>P1191*0.07</f>
        <v>6615.0000000000009</v>
      </c>
      <c r="T1191" s="114">
        <f t="shared" ref="T1191:T1193" si="512">S1191</f>
        <v>6615.0000000000009</v>
      </c>
    </row>
    <row r="1192" spans="1:20" x14ac:dyDescent="0.2">
      <c r="A1192" s="110" t="str">
        <f t="shared" si="510"/>
        <v>103421</v>
      </c>
      <c r="B1192" s="110">
        <v>10</v>
      </c>
      <c r="C1192" s="110">
        <v>34</v>
      </c>
      <c r="D1192" s="110" t="s">
        <v>63</v>
      </c>
      <c r="E1192" s="110">
        <v>1</v>
      </c>
      <c r="F1192" s="112">
        <f t="shared" si="495"/>
        <v>14062500</v>
      </c>
      <c r="G1192" s="112">
        <f t="shared" si="495"/>
        <v>14062500</v>
      </c>
      <c r="H1192" s="112">
        <f t="shared" si="496"/>
        <v>26250</v>
      </c>
      <c r="I1192" s="112">
        <f t="shared" si="496"/>
        <v>26250</v>
      </c>
      <c r="J1192" s="112">
        <f t="shared" si="481"/>
        <v>31640625</v>
      </c>
      <c r="K1192" s="248">
        <v>1000</v>
      </c>
      <c r="L1192" s="112">
        <v>2500</v>
      </c>
      <c r="M1192" s="113">
        <f t="shared" si="511"/>
        <v>8645864.7087784111</v>
      </c>
      <c r="N1192" s="114">
        <v>1500</v>
      </c>
      <c r="O1192" s="114">
        <v>15</v>
      </c>
      <c r="P1192" s="254">
        <v>150000</v>
      </c>
      <c r="Q1192" s="116" t="s">
        <v>408</v>
      </c>
      <c r="R1192" s="253" t="s">
        <v>1054</v>
      </c>
      <c r="S1192" s="114">
        <f>P1192*0.07</f>
        <v>10500.000000000002</v>
      </c>
      <c r="T1192" s="114">
        <f t="shared" si="512"/>
        <v>10500.000000000002</v>
      </c>
    </row>
    <row r="1193" spans="1:20" x14ac:dyDescent="0.2">
      <c r="A1193" s="110" t="str">
        <f t="shared" si="510"/>
        <v>103521</v>
      </c>
      <c r="B1193" s="110">
        <v>10</v>
      </c>
      <c r="C1193" s="110">
        <v>35</v>
      </c>
      <c r="D1193" s="110" t="s">
        <v>63</v>
      </c>
      <c r="E1193" s="110">
        <v>1</v>
      </c>
      <c r="F1193" s="112">
        <f t="shared" si="495"/>
        <v>88593750</v>
      </c>
      <c r="G1193" s="112">
        <f t="shared" si="495"/>
        <v>88593750</v>
      </c>
      <c r="H1193" s="112">
        <f t="shared" si="496"/>
        <v>16537</v>
      </c>
      <c r="I1193" s="112">
        <f t="shared" si="496"/>
        <v>16537</v>
      </c>
      <c r="J1193" s="112">
        <f t="shared" si="481"/>
        <v>22148437</v>
      </c>
      <c r="K1193" s="248">
        <v>1000</v>
      </c>
      <c r="L1193" s="112">
        <v>2500</v>
      </c>
      <c r="M1193" s="113">
        <f t="shared" si="511"/>
        <v>14410910.950155893</v>
      </c>
      <c r="N1193" s="114">
        <v>500</v>
      </c>
      <c r="O1193" s="114">
        <v>15</v>
      </c>
      <c r="P1193" s="254">
        <v>945000</v>
      </c>
      <c r="Q1193" s="116" t="s">
        <v>408</v>
      </c>
      <c r="R1193" s="253" t="s">
        <v>1055</v>
      </c>
      <c r="S1193" s="114">
        <f>P1193*0.007</f>
        <v>6615</v>
      </c>
      <c r="T1193" s="114">
        <f t="shared" si="512"/>
        <v>6615</v>
      </c>
    </row>
    <row r="1194" spans="1:20" x14ac:dyDescent="0.2">
      <c r="A1194" s="110" t="str">
        <f t="shared" ref="A1194" si="513">IF(B1194="","",CONCATENATE(B1194,CONCATENATE(REPT(0,2-LEN(C1194)),C1194),IF(OR(D1194="Easy",D1194=""),1,IF(D1194="Normal",2,IF(D1194="Hard",3,IF(D1194="Hell",4,"error")))),E1194))</f>
        <v>103621</v>
      </c>
      <c r="B1194" s="110">
        <v>10</v>
      </c>
      <c r="C1194" s="110">
        <v>36</v>
      </c>
      <c r="D1194" s="110" t="s">
        <v>63</v>
      </c>
      <c r="E1194" s="110">
        <v>1</v>
      </c>
      <c r="F1194" s="112">
        <f t="shared" si="495"/>
        <v>118125000</v>
      </c>
      <c r="G1194" s="112">
        <f t="shared" si="495"/>
        <v>118125000</v>
      </c>
      <c r="H1194" s="112">
        <f t="shared" si="496"/>
        <v>16537</v>
      </c>
      <c r="I1194" s="112">
        <f t="shared" si="496"/>
        <v>16537</v>
      </c>
      <c r="J1194" s="112">
        <f t="shared" si="481"/>
        <v>57881250</v>
      </c>
      <c r="K1194" s="248">
        <v>1000</v>
      </c>
      <c r="L1194" s="112">
        <v>2500</v>
      </c>
      <c r="M1194" s="113">
        <f t="shared" ref="M1194" si="514">(F1194*J1194*((H1194+I1194)/2)/1000)^(1/2)/10*0.8</f>
        <v>26900367.410594977</v>
      </c>
      <c r="N1194" s="114">
        <v>700</v>
      </c>
      <c r="O1194" s="114">
        <v>20</v>
      </c>
      <c r="P1194" s="254">
        <v>945000</v>
      </c>
      <c r="Q1194" s="116" t="s">
        <v>408</v>
      </c>
      <c r="R1194" s="253" t="s">
        <v>1056</v>
      </c>
      <c r="S1194" s="114">
        <f>P1194*0.007</f>
        <v>6615</v>
      </c>
      <c r="T1194" s="114">
        <f t="shared" ref="T1194" si="515">S1194</f>
        <v>6615</v>
      </c>
    </row>
    <row r="1195" spans="1:20" x14ac:dyDescent="0.2">
      <c r="A1195" s="110" t="str">
        <f t="shared" si="501"/>
        <v>100129</v>
      </c>
      <c r="B1195" s="110">
        <v>10</v>
      </c>
      <c r="C1195" s="110">
        <v>1</v>
      </c>
      <c r="D1195" s="110" t="s">
        <v>63</v>
      </c>
      <c r="E1195" s="110">
        <v>9</v>
      </c>
      <c r="F1195" s="112">
        <f t="shared" si="495"/>
        <v>840000</v>
      </c>
      <c r="G1195" s="112">
        <f t="shared" si="495"/>
        <v>840000</v>
      </c>
      <c r="H1195" s="112">
        <f t="shared" si="496"/>
        <v>42000</v>
      </c>
      <c r="I1195" s="112">
        <f t="shared" si="496"/>
        <v>42000</v>
      </c>
      <c r="J1195" s="112">
        <f t="shared" si="481"/>
        <v>2333333</v>
      </c>
      <c r="K1195" s="248">
        <v>1000</v>
      </c>
      <c r="L1195" s="112">
        <v>2500</v>
      </c>
      <c r="M1195" s="113">
        <f t="shared" si="502"/>
        <v>725842.90637575288</v>
      </c>
      <c r="N1195" s="114">
        <v>1000</v>
      </c>
      <c r="O1195" s="114">
        <v>4</v>
      </c>
      <c r="P1195" s="254">
        <v>56000</v>
      </c>
      <c r="Q1195" s="116" t="s">
        <v>197</v>
      </c>
      <c r="R1195" s="116"/>
      <c r="S1195" s="114">
        <f t="shared" si="485"/>
        <v>16800</v>
      </c>
      <c r="T1195" s="114">
        <f t="shared" si="503"/>
        <v>16800</v>
      </c>
    </row>
    <row r="1196" spans="1:20" x14ac:dyDescent="0.2">
      <c r="A1196" s="110" t="str">
        <f t="shared" si="501"/>
        <v>100229</v>
      </c>
      <c r="B1196" s="110">
        <v>10</v>
      </c>
      <c r="C1196" s="110">
        <v>2</v>
      </c>
      <c r="D1196" s="110" t="s">
        <v>63</v>
      </c>
      <c r="E1196" s="110">
        <v>9</v>
      </c>
      <c r="F1196" s="112">
        <f t="shared" si="495"/>
        <v>845250</v>
      </c>
      <c r="G1196" s="112">
        <f t="shared" si="495"/>
        <v>845250</v>
      </c>
      <c r="H1196" s="112">
        <f t="shared" si="496"/>
        <v>42262</v>
      </c>
      <c r="I1196" s="112">
        <f t="shared" si="496"/>
        <v>42262</v>
      </c>
      <c r="J1196" s="112">
        <f t="shared" si="481"/>
        <v>2347916</v>
      </c>
      <c r="K1196" s="248">
        <v>1000</v>
      </c>
      <c r="L1196" s="112">
        <v>2500</v>
      </c>
      <c r="M1196" s="113">
        <f t="shared" si="502"/>
        <v>732653.91936870385</v>
      </c>
      <c r="N1196" s="114">
        <v>1000</v>
      </c>
      <c r="O1196" s="114">
        <v>4</v>
      </c>
      <c r="P1196" s="254">
        <v>56350</v>
      </c>
      <c r="Q1196" s="116" t="s">
        <v>197</v>
      </c>
      <c r="R1196" s="116"/>
      <c r="S1196" s="114">
        <f t="shared" si="485"/>
        <v>16905</v>
      </c>
      <c r="T1196" s="114">
        <f t="shared" si="503"/>
        <v>16905</v>
      </c>
    </row>
    <row r="1197" spans="1:20" x14ac:dyDescent="0.2">
      <c r="A1197" s="110" t="str">
        <f t="shared" si="501"/>
        <v>100329</v>
      </c>
      <c r="B1197" s="110">
        <v>10</v>
      </c>
      <c r="C1197" s="110">
        <v>3</v>
      </c>
      <c r="D1197" s="110" t="s">
        <v>63</v>
      </c>
      <c r="E1197" s="110">
        <v>9</v>
      </c>
      <c r="F1197" s="112">
        <f t="shared" ref="F1197:G1212" si="516">ROUNDDOWN($P1197/4*$O1197*10*$N1197/$N1197*$Q1197/400,0)</f>
        <v>850500</v>
      </c>
      <c r="G1197" s="112">
        <f t="shared" si="516"/>
        <v>850500</v>
      </c>
      <c r="H1197" s="112">
        <f t="shared" ref="H1197:I1215" si="517">ROUNDDOWN($S1197/4*10,0)</f>
        <v>42525</v>
      </c>
      <c r="I1197" s="112">
        <f t="shared" si="517"/>
        <v>42525</v>
      </c>
      <c r="J1197" s="112">
        <f t="shared" si="481"/>
        <v>2362500</v>
      </c>
      <c r="K1197" s="248">
        <v>1000</v>
      </c>
      <c r="L1197" s="112">
        <v>2500</v>
      </c>
      <c r="M1197" s="113">
        <f t="shared" si="502"/>
        <v>739494.95535804704</v>
      </c>
      <c r="N1197" s="114">
        <v>1000</v>
      </c>
      <c r="O1197" s="114">
        <v>4</v>
      </c>
      <c r="P1197" s="254">
        <v>56700</v>
      </c>
      <c r="Q1197" s="116" t="s">
        <v>197</v>
      </c>
      <c r="R1197" s="116"/>
      <c r="S1197" s="114">
        <f t="shared" si="485"/>
        <v>17010</v>
      </c>
      <c r="T1197" s="114">
        <f t="shared" ref="T1197:T1234" si="518">S1197</f>
        <v>17010</v>
      </c>
    </row>
    <row r="1198" spans="1:20" x14ac:dyDescent="0.2">
      <c r="A1198" s="110" t="str">
        <f t="shared" si="501"/>
        <v>100429</v>
      </c>
      <c r="B1198" s="110">
        <v>10</v>
      </c>
      <c r="C1198" s="110">
        <v>4</v>
      </c>
      <c r="D1198" s="110" t="s">
        <v>63</v>
      </c>
      <c r="E1198" s="110">
        <v>9</v>
      </c>
      <c r="F1198" s="112">
        <f t="shared" si="516"/>
        <v>855750</v>
      </c>
      <c r="G1198" s="112">
        <f t="shared" si="516"/>
        <v>855750</v>
      </c>
      <c r="H1198" s="112">
        <f t="shared" si="517"/>
        <v>42787</v>
      </c>
      <c r="I1198" s="112">
        <f t="shared" si="517"/>
        <v>42787</v>
      </c>
      <c r="J1198" s="112">
        <f t="shared" si="481"/>
        <v>2377083</v>
      </c>
      <c r="K1198" s="248">
        <v>1000</v>
      </c>
      <c r="L1198" s="112">
        <v>2500</v>
      </c>
      <c r="M1198" s="113">
        <f t="shared" si="502"/>
        <v>746348.27350108675</v>
      </c>
      <c r="N1198" s="114">
        <v>1000</v>
      </c>
      <c r="O1198" s="114">
        <v>4</v>
      </c>
      <c r="P1198" s="254">
        <v>57050</v>
      </c>
      <c r="Q1198" s="116" t="s">
        <v>197</v>
      </c>
      <c r="R1198" s="116"/>
      <c r="S1198" s="114">
        <f t="shared" si="485"/>
        <v>17115</v>
      </c>
      <c r="T1198" s="114">
        <f t="shared" si="518"/>
        <v>17115</v>
      </c>
    </row>
    <row r="1199" spans="1:20" x14ac:dyDescent="0.2">
      <c r="A1199" s="110" t="str">
        <f t="shared" si="501"/>
        <v>100529</v>
      </c>
      <c r="B1199" s="110">
        <v>10</v>
      </c>
      <c r="C1199" s="110">
        <v>5</v>
      </c>
      <c r="D1199" s="110" t="s">
        <v>63</v>
      </c>
      <c r="E1199" s="110">
        <v>9</v>
      </c>
      <c r="F1199" s="112">
        <f t="shared" si="516"/>
        <v>861000</v>
      </c>
      <c r="G1199" s="112">
        <f t="shared" si="516"/>
        <v>861000</v>
      </c>
      <c r="H1199" s="112">
        <f t="shared" si="517"/>
        <v>43050</v>
      </c>
      <c r="I1199" s="112">
        <f t="shared" si="517"/>
        <v>43050</v>
      </c>
      <c r="J1199" s="112">
        <f t="shared" si="481"/>
        <v>2391666</v>
      </c>
      <c r="K1199" s="248">
        <v>1000</v>
      </c>
      <c r="L1199" s="112">
        <v>2500</v>
      </c>
      <c r="M1199" s="113">
        <f t="shared" si="502"/>
        <v>753231.38135072414</v>
      </c>
      <c r="N1199" s="114">
        <v>1000</v>
      </c>
      <c r="O1199" s="114">
        <v>4</v>
      </c>
      <c r="P1199" s="254">
        <v>57400</v>
      </c>
      <c r="Q1199" s="116" t="s">
        <v>197</v>
      </c>
      <c r="R1199" s="116"/>
      <c r="S1199" s="114">
        <f t="shared" si="485"/>
        <v>17220</v>
      </c>
      <c r="T1199" s="114">
        <f t="shared" si="518"/>
        <v>17220</v>
      </c>
    </row>
    <row r="1200" spans="1:20" x14ac:dyDescent="0.2">
      <c r="A1200" s="110" t="str">
        <f t="shared" ref="A1200" si="519">IF(B1200="","",CONCATENATE(B1200,CONCATENATE(REPT(0,2-LEN(C1200)),C1200),IF(OR(D1200="Easy",D1200=""),1,IF(D1200="Normal",2,IF(D1200="Hard",3,IF(D1200="Hell",4,"error")))),E1200))</f>
        <v>100528</v>
      </c>
      <c r="B1200" s="110">
        <v>10</v>
      </c>
      <c r="C1200" s="110">
        <v>5</v>
      </c>
      <c r="D1200" s="110" t="s">
        <v>63</v>
      </c>
      <c r="E1200" s="110">
        <v>8</v>
      </c>
      <c r="F1200" s="112">
        <f t="shared" si="516"/>
        <v>1588125</v>
      </c>
      <c r="G1200" s="112">
        <f t="shared" si="516"/>
        <v>1588125</v>
      </c>
      <c r="H1200" s="112">
        <f t="shared" si="517"/>
        <v>43312</v>
      </c>
      <c r="I1200" s="112">
        <f t="shared" si="517"/>
        <v>43312</v>
      </c>
      <c r="J1200" s="112">
        <f t="shared" si="481"/>
        <v>7560000</v>
      </c>
      <c r="K1200" s="248">
        <v>1000</v>
      </c>
      <c r="L1200" s="112">
        <v>2500</v>
      </c>
      <c r="M1200" s="113">
        <f t="shared" ref="M1200:M1234" si="520">(F1200*J1200*((H1200+I1200)/2)/1000)^(1/2)/10*0.8</f>
        <v>1824304.566151168</v>
      </c>
      <c r="N1200" s="114">
        <v>1200</v>
      </c>
      <c r="O1200" s="114">
        <v>8</v>
      </c>
      <c r="P1200" s="254">
        <v>57750</v>
      </c>
      <c r="Q1200" s="116" t="s">
        <v>360</v>
      </c>
      <c r="R1200" s="116" t="s">
        <v>1017</v>
      </c>
      <c r="S1200" s="114">
        <f t="shared" si="485"/>
        <v>17325</v>
      </c>
      <c r="T1200" s="114">
        <f t="shared" si="518"/>
        <v>17325</v>
      </c>
    </row>
    <row r="1201" spans="1:20" x14ac:dyDescent="0.2">
      <c r="A1201" s="110" t="str">
        <f t="shared" si="501"/>
        <v>100629</v>
      </c>
      <c r="B1201" s="110">
        <v>10</v>
      </c>
      <c r="C1201" s="110">
        <v>6</v>
      </c>
      <c r="D1201" s="110" t="s">
        <v>63</v>
      </c>
      <c r="E1201" s="110">
        <v>9</v>
      </c>
      <c r="F1201" s="112">
        <f t="shared" si="516"/>
        <v>893287</v>
      </c>
      <c r="G1201" s="112">
        <f t="shared" si="516"/>
        <v>893287</v>
      </c>
      <c r="H1201" s="112">
        <f t="shared" si="517"/>
        <v>43575</v>
      </c>
      <c r="I1201" s="112">
        <f t="shared" si="517"/>
        <v>43575</v>
      </c>
      <c r="J1201" s="112">
        <f t="shared" si="481"/>
        <v>2481354</v>
      </c>
      <c r="K1201" s="248">
        <v>1000</v>
      </c>
      <c r="L1201" s="112">
        <v>2500</v>
      </c>
      <c r="M1201" s="113">
        <f t="shared" si="520"/>
        <v>786228.08849873219</v>
      </c>
      <c r="N1201" s="114">
        <v>1000</v>
      </c>
      <c r="O1201" s="114">
        <v>4.0999999999999996</v>
      </c>
      <c r="P1201" s="254">
        <v>58100</v>
      </c>
      <c r="Q1201" s="116" t="s">
        <v>197</v>
      </c>
      <c r="R1201" s="116"/>
      <c r="S1201" s="114">
        <f t="shared" si="485"/>
        <v>17430</v>
      </c>
      <c r="T1201" s="114">
        <f t="shared" si="518"/>
        <v>17430</v>
      </c>
    </row>
    <row r="1202" spans="1:20" x14ac:dyDescent="0.2">
      <c r="A1202" s="110" t="str">
        <f t="shared" si="501"/>
        <v>100729</v>
      </c>
      <c r="B1202" s="110">
        <v>10</v>
      </c>
      <c r="C1202" s="110">
        <v>7</v>
      </c>
      <c r="D1202" s="110" t="s">
        <v>63</v>
      </c>
      <c r="E1202" s="110">
        <v>9</v>
      </c>
      <c r="F1202" s="112">
        <f t="shared" si="516"/>
        <v>898668</v>
      </c>
      <c r="G1202" s="112">
        <f t="shared" si="516"/>
        <v>898668</v>
      </c>
      <c r="H1202" s="112">
        <f t="shared" si="517"/>
        <v>43837</v>
      </c>
      <c r="I1202" s="112">
        <f t="shared" si="517"/>
        <v>43837</v>
      </c>
      <c r="J1202" s="112">
        <f t="shared" si="481"/>
        <v>2496302</v>
      </c>
      <c r="K1202" s="248">
        <v>1000</v>
      </c>
      <c r="L1202" s="112">
        <v>2500</v>
      </c>
      <c r="M1202" s="113">
        <f t="shared" si="520"/>
        <v>793338.62799120648</v>
      </c>
      <c r="N1202" s="114">
        <v>1000</v>
      </c>
      <c r="O1202" s="114">
        <v>4.0999999999999996</v>
      </c>
      <c r="P1202" s="254">
        <v>58450</v>
      </c>
      <c r="Q1202" s="116" t="s">
        <v>197</v>
      </c>
      <c r="R1202" s="116"/>
      <c r="S1202" s="114">
        <f t="shared" si="485"/>
        <v>17535</v>
      </c>
      <c r="T1202" s="114">
        <f t="shared" si="518"/>
        <v>17535</v>
      </c>
    </row>
    <row r="1203" spans="1:20" x14ac:dyDescent="0.2">
      <c r="A1203" s="110" t="str">
        <f t="shared" si="501"/>
        <v>100829</v>
      </c>
      <c r="B1203" s="110">
        <v>10</v>
      </c>
      <c r="C1203" s="110">
        <v>8</v>
      </c>
      <c r="D1203" s="110" t="s">
        <v>63</v>
      </c>
      <c r="E1203" s="110">
        <v>9</v>
      </c>
      <c r="F1203" s="112">
        <f t="shared" si="516"/>
        <v>904050</v>
      </c>
      <c r="G1203" s="112">
        <f t="shared" si="516"/>
        <v>904050</v>
      </c>
      <c r="H1203" s="112">
        <f t="shared" si="517"/>
        <v>44100</v>
      </c>
      <c r="I1203" s="112">
        <f t="shared" si="517"/>
        <v>44100</v>
      </c>
      <c r="J1203" s="112">
        <f t="shared" si="481"/>
        <v>2511250</v>
      </c>
      <c r="K1203" s="248">
        <v>1000</v>
      </c>
      <c r="L1203" s="112">
        <v>2500</v>
      </c>
      <c r="M1203" s="113">
        <f t="shared" si="520"/>
        <v>800479.99322906265</v>
      </c>
      <c r="N1203" s="114">
        <v>1000</v>
      </c>
      <c r="O1203" s="114">
        <v>4.0999999999999996</v>
      </c>
      <c r="P1203" s="254">
        <v>58800</v>
      </c>
      <c r="Q1203" s="116" t="s">
        <v>197</v>
      </c>
      <c r="R1203" s="116"/>
      <c r="S1203" s="114">
        <f t="shared" si="485"/>
        <v>17640</v>
      </c>
      <c r="T1203" s="114">
        <f t="shared" si="518"/>
        <v>17640</v>
      </c>
    </row>
    <row r="1204" spans="1:20" x14ac:dyDescent="0.2">
      <c r="A1204" s="110" t="str">
        <f t="shared" si="501"/>
        <v>100928</v>
      </c>
      <c r="B1204" s="110">
        <v>10</v>
      </c>
      <c r="C1204" s="110">
        <v>9</v>
      </c>
      <c r="D1204" s="110" t="s">
        <v>63</v>
      </c>
      <c r="E1204" s="110">
        <v>8</v>
      </c>
      <c r="F1204" s="112">
        <f t="shared" si="516"/>
        <v>666916</v>
      </c>
      <c r="G1204" s="112">
        <f t="shared" si="516"/>
        <v>666916</v>
      </c>
      <c r="H1204" s="112">
        <f t="shared" si="517"/>
        <v>44275</v>
      </c>
      <c r="I1204" s="112">
        <f t="shared" si="517"/>
        <v>44275</v>
      </c>
      <c r="J1204" s="112">
        <f t="shared" si="481"/>
        <v>3174741</v>
      </c>
      <c r="K1204" s="248">
        <v>1000</v>
      </c>
      <c r="L1204" s="112">
        <v>2500</v>
      </c>
      <c r="M1204" s="113">
        <f t="shared" si="520"/>
        <v>774567.00082220137</v>
      </c>
      <c r="N1204" s="114">
        <v>1200</v>
      </c>
      <c r="O1204" s="114">
        <v>4.0999999999999996</v>
      </c>
      <c r="P1204" s="254">
        <v>47320</v>
      </c>
      <c r="Q1204" s="116" t="s">
        <v>360</v>
      </c>
      <c r="R1204" s="116" t="s">
        <v>1018</v>
      </c>
      <c r="S1204" s="114">
        <v>17710</v>
      </c>
      <c r="T1204" s="114">
        <v>17710</v>
      </c>
    </row>
    <row r="1205" spans="1:20" x14ac:dyDescent="0.2">
      <c r="A1205" s="110" t="str">
        <f t="shared" ref="A1205" si="521">IF(B1205="","",CONCATENATE(B1205,CONCATENATE(REPT(0,2-LEN(C1205)),C1205),IF(OR(D1205="Easy",D1205=""),1,IF(D1205="Normal",2,IF(D1205="Hard",3,IF(D1205="Hell",4,"error")))),E1205))</f>
        <v>100929</v>
      </c>
      <c r="B1205" s="110">
        <v>10</v>
      </c>
      <c r="C1205" s="110">
        <v>9</v>
      </c>
      <c r="D1205" s="110" t="s">
        <v>63</v>
      </c>
      <c r="E1205" s="110">
        <v>9</v>
      </c>
      <c r="F1205" s="112">
        <f t="shared" si="516"/>
        <v>731850</v>
      </c>
      <c r="G1205" s="112">
        <f t="shared" si="516"/>
        <v>731850</v>
      </c>
      <c r="H1205" s="112">
        <f t="shared" si="517"/>
        <v>44537</v>
      </c>
      <c r="I1205" s="112">
        <f t="shared" si="517"/>
        <v>44537</v>
      </c>
      <c r="J1205" s="112">
        <f t="shared" si="481"/>
        <v>2032916</v>
      </c>
      <c r="K1205" s="248">
        <v>1000</v>
      </c>
      <c r="L1205" s="112">
        <v>2500</v>
      </c>
      <c r="M1205" s="113">
        <f t="shared" si="520"/>
        <v>651210.24210107862</v>
      </c>
      <c r="N1205" s="114">
        <v>1000</v>
      </c>
      <c r="O1205" s="114">
        <v>4.0999999999999996</v>
      </c>
      <c r="P1205" s="254">
        <v>47600</v>
      </c>
      <c r="Q1205" s="116" t="s">
        <v>197</v>
      </c>
      <c r="R1205" s="116"/>
      <c r="S1205" s="114">
        <v>17815</v>
      </c>
      <c r="T1205" s="114">
        <v>17815</v>
      </c>
    </row>
    <row r="1206" spans="1:20" x14ac:dyDescent="0.2">
      <c r="A1206" s="110" t="str">
        <f t="shared" si="501"/>
        <v>101029</v>
      </c>
      <c r="B1206" s="110">
        <v>10</v>
      </c>
      <c r="C1206" s="110">
        <v>10</v>
      </c>
      <c r="D1206" s="110" t="s">
        <v>63</v>
      </c>
      <c r="E1206" s="110">
        <v>9</v>
      </c>
      <c r="F1206" s="112">
        <f t="shared" si="516"/>
        <v>920193</v>
      </c>
      <c r="G1206" s="112">
        <f t="shared" si="516"/>
        <v>920193</v>
      </c>
      <c r="H1206" s="112">
        <f t="shared" si="517"/>
        <v>44887</v>
      </c>
      <c r="I1206" s="112">
        <f t="shared" si="517"/>
        <v>44887</v>
      </c>
      <c r="J1206" s="112">
        <f t="shared" si="481"/>
        <v>2556093</v>
      </c>
      <c r="K1206" s="248">
        <v>1000</v>
      </c>
      <c r="L1206" s="112">
        <v>2500</v>
      </c>
      <c r="M1206" s="113">
        <f t="shared" si="520"/>
        <v>822011.82548610203</v>
      </c>
      <c r="N1206" s="114">
        <v>1000</v>
      </c>
      <c r="O1206" s="114">
        <v>4.0999999999999996</v>
      </c>
      <c r="P1206" s="254">
        <v>59850</v>
      </c>
      <c r="Q1206" s="116" t="s">
        <v>197</v>
      </c>
      <c r="R1206" s="116"/>
      <c r="S1206" s="114">
        <f t="shared" si="485"/>
        <v>17955</v>
      </c>
      <c r="T1206" s="114">
        <f t="shared" si="518"/>
        <v>17955</v>
      </c>
    </row>
    <row r="1207" spans="1:20" x14ac:dyDescent="0.2">
      <c r="A1207" s="110" t="str">
        <f t="shared" si="501"/>
        <v>101129</v>
      </c>
      <c r="B1207" s="110">
        <v>10</v>
      </c>
      <c r="C1207" s="110">
        <v>11</v>
      </c>
      <c r="D1207" s="110" t="s">
        <v>63</v>
      </c>
      <c r="E1207" s="110">
        <v>9</v>
      </c>
      <c r="F1207" s="112">
        <f t="shared" si="516"/>
        <v>948150</v>
      </c>
      <c r="G1207" s="112">
        <f t="shared" si="516"/>
        <v>948150</v>
      </c>
      <c r="H1207" s="112">
        <f t="shared" si="517"/>
        <v>45150</v>
      </c>
      <c r="I1207" s="112">
        <f t="shared" si="517"/>
        <v>45150</v>
      </c>
      <c r="J1207" s="112">
        <f t="shared" si="481"/>
        <v>2633750</v>
      </c>
      <c r="K1207" s="248">
        <v>1000</v>
      </c>
      <c r="L1207" s="112">
        <v>2500</v>
      </c>
      <c r="M1207" s="113">
        <f t="shared" si="520"/>
        <v>849463.38382534205</v>
      </c>
      <c r="N1207" s="114">
        <v>1000</v>
      </c>
      <c r="O1207" s="114">
        <v>4.2</v>
      </c>
      <c r="P1207" s="254">
        <v>60200</v>
      </c>
      <c r="Q1207" s="116" t="s">
        <v>197</v>
      </c>
      <c r="R1207" s="116"/>
      <c r="S1207" s="114">
        <f t="shared" si="485"/>
        <v>18060</v>
      </c>
      <c r="T1207" s="114">
        <f t="shared" si="518"/>
        <v>18060</v>
      </c>
    </row>
    <row r="1208" spans="1:20" x14ac:dyDescent="0.2">
      <c r="A1208" s="110" t="str">
        <f t="shared" si="501"/>
        <v>101229</v>
      </c>
      <c r="B1208" s="110">
        <v>10</v>
      </c>
      <c r="C1208" s="110">
        <v>12</v>
      </c>
      <c r="D1208" s="110" t="s">
        <v>63</v>
      </c>
      <c r="E1208" s="110">
        <v>9</v>
      </c>
      <c r="F1208" s="112">
        <f t="shared" si="516"/>
        <v>953662</v>
      </c>
      <c r="G1208" s="112">
        <f t="shared" si="516"/>
        <v>953662</v>
      </c>
      <c r="H1208" s="112">
        <f t="shared" si="517"/>
        <v>45412</v>
      </c>
      <c r="I1208" s="112">
        <f t="shared" si="517"/>
        <v>45412</v>
      </c>
      <c r="J1208" s="112">
        <f t="shared" si="481"/>
        <v>2649062</v>
      </c>
      <c r="K1208" s="248">
        <v>1000</v>
      </c>
      <c r="L1208" s="112">
        <v>2500</v>
      </c>
      <c r="M1208" s="113">
        <f t="shared" si="520"/>
        <v>856877.22919980774</v>
      </c>
      <c r="N1208" s="114">
        <v>1000</v>
      </c>
      <c r="O1208" s="114">
        <v>4.2</v>
      </c>
      <c r="P1208" s="254">
        <v>60550</v>
      </c>
      <c r="Q1208" s="116" t="s">
        <v>197</v>
      </c>
      <c r="R1208" s="116"/>
      <c r="S1208" s="114">
        <f t="shared" si="485"/>
        <v>18165</v>
      </c>
      <c r="T1208" s="114">
        <f t="shared" si="518"/>
        <v>18165</v>
      </c>
    </row>
    <row r="1209" spans="1:20" x14ac:dyDescent="0.2">
      <c r="A1209" s="110" t="str">
        <f t="shared" si="501"/>
        <v>101329</v>
      </c>
      <c r="B1209" s="110">
        <v>10</v>
      </c>
      <c r="C1209" s="110">
        <v>13</v>
      </c>
      <c r="D1209" s="110" t="s">
        <v>63</v>
      </c>
      <c r="E1209" s="110">
        <v>9</v>
      </c>
      <c r="F1209" s="112">
        <f t="shared" si="516"/>
        <v>863257</v>
      </c>
      <c r="G1209" s="112">
        <f t="shared" si="516"/>
        <v>863257</v>
      </c>
      <c r="H1209" s="112">
        <f t="shared" si="517"/>
        <v>41107</v>
      </c>
      <c r="I1209" s="112">
        <f t="shared" si="517"/>
        <v>41107</v>
      </c>
      <c r="J1209" s="112">
        <f t="shared" si="481"/>
        <v>2397937</v>
      </c>
      <c r="K1209" s="248">
        <v>1000</v>
      </c>
      <c r="L1209" s="112">
        <v>2500</v>
      </c>
      <c r="M1209" s="113">
        <f t="shared" si="520"/>
        <v>737966.78851907386</v>
      </c>
      <c r="N1209" s="114">
        <v>1000</v>
      </c>
      <c r="O1209" s="114">
        <v>4.2</v>
      </c>
      <c r="P1209" s="254">
        <v>54810</v>
      </c>
      <c r="Q1209" s="116" t="s">
        <v>197</v>
      </c>
      <c r="R1209" s="116"/>
      <c r="S1209" s="114">
        <f t="shared" si="485"/>
        <v>16443</v>
      </c>
      <c r="T1209" s="114">
        <f t="shared" si="518"/>
        <v>16443</v>
      </c>
    </row>
    <row r="1210" spans="1:20" x14ac:dyDescent="0.2">
      <c r="A1210" s="110" t="str">
        <f t="shared" si="501"/>
        <v>101429</v>
      </c>
      <c r="B1210" s="110">
        <v>10</v>
      </c>
      <c r="C1210" s="110">
        <v>14</v>
      </c>
      <c r="D1210" s="110" t="s">
        <v>63</v>
      </c>
      <c r="E1210" s="110">
        <v>9</v>
      </c>
      <c r="F1210" s="112">
        <f t="shared" si="516"/>
        <v>904050</v>
      </c>
      <c r="G1210" s="112">
        <f t="shared" si="516"/>
        <v>904050</v>
      </c>
      <c r="H1210" s="112">
        <f t="shared" si="517"/>
        <v>43050</v>
      </c>
      <c r="I1210" s="112">
        <f t="shared" si="517"/>
        <v>43050</v>
      </c>
      <c r="J1210" s="112">
        <f t="shared" si="481"/>
        <v>2511250</v>
      </c>
      <c r="K1210" s="248">
        <v>1000</v>
      </c>
      <c r="L1210" s="112">
        <v>2500</v>
      </c>
      <c r="M1210" s="113">
        <f t="shared" si="520"/>
        <v>790893.06064726599</v>
      </c>
      <c r="N1210" s="114">
        <v>1000</v>
      </c>
      <c r="O1210" s="114">
        <v>4.2</v>
      </c>
      <c r="P1210" s="254">
        <v>57400</v>
      </c>
      <c r="Q1210" s="116" t="s">
        <v>197</v>
      </c>
      <c r="R1210" s="116"/>
      <c r="S1210" s="114">
        <f t="shared" si="485"/>
        <v>17220</v>
      </c>
      <c r="T1210" s="114">
        <f t="shared" si="518"/>
        <v>17220</v>
      </c>
    </row>
    <row r="1211" spans="1:20" x14ac:dyDescent="0.2">
      <c r="A1211" s="110" t="str">
        <f t="shared" si="501"/>
        <v>101529</v>
      </c>
      <c r="B1211" s="110">
        <v>10</v>
      </c>
      <c r="C1211" s="110">
        <v>15</v>
      </c>
      <c r="D1211" s="110" t="s">
        <v>63</v>
      </c>
      <c r="E1211" s="110">
        <v>9</v>
      </c>
      <c r="F1211" s="112">
        <f t="shared" si="516"/>
        <v>970200</v>
      </c>
      <c r="G1211" s="112">
        <f t="shared" si="516"/>
        <v>970200</v>
      </c>
      <c r="H1211" s="112">
        <f t="shared" si="517"/>
        <v>46200</v>
      </c>
      <c r="I1211" s="112">
        <f t="shared" si="517"/>
        <v>46200</v>
      </c>
      <c r="J1211" s="112">
        <f t="shared" si="481"/>
        <v>2695000</v>
      </c>
      <c r="K1211" s="248">
        <v>1000</v>
      </c>
      <c r="L1211" s="112">
        <v>2500</v>
      </c>
      <c r="M1211" s="113">
        <f t="shared" si="520"/>
        <v>879267.44709445501</v>
      </c>
      <c r="N1211" s="114">
        <v>1000</v>
      </c>
      <c r="O1211" s="114">
        <v>4.2</v>
      </c>
      <c r="P1211" s="254">
        <v>61600</v>
      </c>
      <c r="Q1211" s="116" t="s">
        <v>197</v>
      </c>
      <c r="R1211" s="116"/>
      <c r="S1211" s="114">
        <f t="shared" si="485"/>
        <v>18480</v>
      </c>
      <c r="T1211" s="114">
        <f t="shared" si="518"/>
        <v>18480</v>
      </c>
    </row>
    <row r="1212" spans="1:20" x14ac:dyDescent="0.2">
      <c r="A1212" s="110" t="str">
        <f t="shared" ref="A1212" si="522">IF(B1212="","",CONCATENATE(B1212,CONCATENATE(REPT(0,2-LEN(C1212)),C1212),IF(OR(D1212="Easy",D1212=""),1,IF(D1212="Normal",2,IF(D1212="Hard",3,IF(D1212="Hell",4,"error")))),E1212))</f>
        <v>101628</v>
      </c>
      <c r="B1212" s="110">
        <v>10</v>
      </c>
      <c r="C1212" s="110">
        <v>16</v>
      </c>
      <c r="D1212" s="110" t="s">
        <v>63</v>
      </c>
      <c r="E1212" s="110">
        <v>8</v>
      </c>
      <c r="F1212" s="112">
        <f t="shared" si="516"/>
        <v>748720</v>
      </c>
      <c r="G1212" s="112">
        <f t="shared" si="516"/>
        <v>748720</v>
      </c>
      <c r="H1212" s="112">
        <f t="shared" si="517"/>
        <v>46462</v>
      </c>
      <c r="I1212" s="112">
        <f t="shared" si="517"/>
        <v>46462</v>
      </c>
      <c r="J1212" s="112">
        <f t="shared" si="481"/>
        <v>10528875</v>
      </c>
      <c r="K1212" s="248">
        <v>1000</v>
      </c>
      <c r="L1212" s="112">
        <v>2500</v>
      </c>
      <c r="M1212" s="113">
        <f t="shared" si="520"/>
        <v>1531050.9356323427</v>
      </c>
      <c r="N1212" s="114">
        <v>1200</v>
      </c>
      <c r="O1212" s="114">
        <v>7</v>
      </c>
      <c r="P1212" s="254">
        <v>53480</v>
      </c>
      <c r="Q1212" s="116" t="s">
        <v>426</v>
      </c>
      <c r="R1212" s="116" t="s">
        <v>1026</v>
      </c>
      <c r="S1212" s="114">
        <v>18585</v>
      </c>
      <c r="T1212" s="114">
        <v>18585</v>
      </c>
    </row>
    <row r="1213" spans="1:20" x14ac:dyDescent="0.2">
      <c r="A1213" s="110" t="str">
        <f t="shared" si="501"/>
        <v>101629</v>
      </c>
      <c r="B1213" s="110">
        <v>10</v>
      </c>
      <c r="C1213" s="110">
        <v>16</v>
      </c>
      <c r="D1213" s="110" t="s">
        <v>63</v>
      </c>
      <c r="E1213" s="110">
        <v>9</v>
      </c>
      <c r="F1213" s="112">
        <f t="shared" ref="F1213:G1234" si="523">ROUNDDOWN($P1213/4*$O1213*10*$N1213/$N1213*$Q1213/400,0)</f>
        <v>723303</v>
      </c>
      <c r="G1213" s="112">
        <f t="shared" si="523"/>
        <v>723303</v>
      </c>
      <c r="H1213" s="112">
        <f t="shared" si="517"/>
        <v>42052</v>
      </c>
      <c r="I1213" s="112">
        <f t="shared" si="517"/>
        <v>42052</v>
      </c>
      <c r="J1213" s="112">
        <f t="shared" si="481"/>
        <v>2009175</v>
      </c>
      <c r="K1213" s="248">
        <v>1000</v>
      </c>
      <c r="L1213" s="112">
        <v>2500</v>
      </c>
      <c r="M1213" s="113">
        <f t="shared" si="520"/>
        <v>625392.01356415823</v>
      </c>
      <c r="N1213" s="114">
        <v>1000</v>
      </c>
      <c r="O1213" s="114">
        <v>4.3</v>
      </c>
      <c r="P1213" s="254">
        <v>44856</v>
      </c>
      <c r="Q1213" s="116" t="s">
        <v>197</v>
      </c>
      <c r="R1213" s="116"/>
      <c r="S1213" s="114">
        <v>16821</v>
      </c>
      <c r="T1213" s="114">
        <v>16821</v>
      </c>
    </row>
    <row r="1214" spans="1:20" x14ac:dyDescent="0.2">
      <c r="A1214" s="110" t="str">
        <f t="shared" si="501"/>
        <v>101729</v>
      </c>
      <c r="B1214" s="110">
        <v>10</v>
      </c>
      <c r="C1214" s="110">
        <v>17</v>
      </c>
      <c r="D1214" s="110" t="s">
        <v>63</v>
      </c>
      <c r="E1214" s="110">
        <v>9</v>
      </c>
      <c r="F1214" s="112">
        <f t="shared" si="523"/>
        <v>1010231</v>
      </c>
      <c r="G1214" s="112">
        <f t="shared" si="523"/>
        <v>1010231</v>
      </c>
      <c r="H1214" s="112">
        <f t="shared" si="517"/>
        <v>46987</v>
      </c>
      <c r="I1214" s="112">
        <f t="shared" si="517"/>
        <v>46987</v>
      </c>
      <c r="J1214" s="112">
        <f t="shared" si="481"/>
        <v>2806197</v>
      </c>
      <c r="K1214" s="248">
        <v>1000</v>
      </c>
      <c r="L1214" s="112">
        <v>2500</v>
      </c>
      <c r="M1214" s="113">
        <f t="shared" si="520"/>
        <v>923311.55193365819</v>
      </c>
      <c r="N1214" s="114">
        <v>1000</v>
      </c>
      <c r="O1214" s="114">
        <v>4.3</v>
      </c>
      <c r="P1214" s="254">
        <v>62650</v>
      </c>
      <c r="Q1214" s="116" t="s">
        <v>197</v>
      </c>
      <c r="R1214" s="116"/>
      <c r="S1214" s="114">
        <f t="shared" si="485"/>
        <v>18795</v>
      </c>
      <c r="T1214" s="114">
        <f t="shared" si="518"/>
        <v>18795</v>
      </c>
    </row>
    <row r="1215" spans="1:20" x14ac:dyDescent="0.2">
      <c r="A1215" s="110" t="str">
        <f t="shared" si="501"/>
        <v>101829</v>
      </c>
      <c r="B1215" s="110">
        <v>10</v>
      </c>
      <c r="C1215" s="110">
        <v>18</v>
      </c>
      <c r="D1215" s="110" t="s">
        <v>63</v>
      </c>
      <c r="E1215" s="110">
        <v>9</v>
      </c>
      <c r="F1215" s="112">
        <f t="shared" si="523"/>
        <v>1015875</v>
      </c>
      <c r="G1215" s="112">
        <f t="shared" si="523"/>
        <v>1015875</v>
      </c>
      <c r="H1215" s="112">
        <f t="shared" si="517"/>
        <v>47250</v>
      </c>
      <c r="I1215" s="112">
        <f t="shared" si="517"/>
        <v>47250</v>
      </c>
      <c r="J1215" s="112">
        <f t="shared" si="481"/>
        <v>2821875</v>
      </c>
      <c r="K1215" s="248">
        <v>1000</v>
      </c>
      <c r="L1215" s="112">
        <v>2500</v>
      </c>
      <c r="M1215" s="113">
        <f t="shared" si="520"/>
        <v>931064.81682265294</v>
      </c>
      <c r="N1215" s="114">
        <v>1000</v>
      </c>
      <c r="O1215" s="114">
        <v>4.3</v>
      </c>
      <c r="P1215" s="254">
        <v>63000</v>
      </c>
      <c r="Q1215" s="116" t="s">
        <v>197</v>
      </c>
      <c r="R1215" s="116"/>
      <c r="S1215" s="114">
        <f t="shared" si="485"/>
        <v>18900</v>
      </c>
      <c r="T1215" s="114">
        <f t="shared" si="518"/>
        <v>18900</v>
      </c>
    </row>
    <row r="1216" spans="1:20" x14ac:dyDescent="0.2">
      <c r="A1216" s="110" t="str">
        <f t="shared" si="501"/>
        <v>101929</v>
      </c>
      <c r="B1216" s="110">
        <v>10</v>
      </c>
      <c r="C1216" s="110">
        <v>19</v>
      </c>
      <c r="D1216" s="110" t="s">
        <v>63</v>
      </c>
      <c r="E1216" s="110">
        <v>9</v>
      </c>
      <c r="F1216" s="112">
        <f t="shared" si="523"/>
        <v>1021518</v>
      </c>
      <c r="G1216" s="112">
        <f t="shared" si="523"/>
        <v>1021518</v>
      </c>
      <c r="H1216" s="112">
        <f t="shared" ref="H1216:I1234" si="524">ROUNDDOWN($S1216/4*10,0)</f>
        <v>47512</v>
      </c>
      <c r="I1216" s="112">
        <f t="shared" si="524"/>
        <v>47512</v>
      </c>
      <c r="J1216" s="112">
        <f t="shared" si="481"/>
        <v>2837552</v>
      </c>
      <c r="K1216" s="248">
        <v>1000</v>
      </c>
      <c r="L1216" s="112">
        <v>2500</v>
      </c>
      <c r="M1216" s="113">
        <f t="shared" si="520"/>
        <v>938829.15817449894</v>
      </c>
      <c r="N1216" s="114">
        <v>1000</v>
      </c>
      <c r="O1216" s="114">
        <v>4.3</v>
      </c>
      <c r="P1216" s="254">
        <v>63350</v>
      </c>
      <c r="Q1216" s="116" t="s">
        <v>197</v>
      </c>
      <c r="R1216" s="116"/>
      <c r="S1216" s="114">
        <f t="shared" si="485"/>
        <v>19005</v>
      </c>
      <c r="T1216" s="114">
        <f t="shared" si="518"/>
        <v>19005</v>
      </c>
    </row>
    <row r="1217" spans="1:20" x14ac:dyDescent="0.2">
      <c r="A1217" s="110" t="str">
        <f t="shared" si="501"/>
        <v>102029</v>
      </c>
      <c r="B1217" s="110">
        <v>10</v>
      </c>
      <c r="C1217" s="110">
        <v>20</v>
      </c>
      <c r="D1217" s="110" t="s">
        <v>63</v>
      </c>
      <c r="E1217" s="110">
        <v>9</v>
      </c>
      <c r="F1217" s="112">
        <f t="shared" si="523"/>
        <v>1051050</v>
      </c>
      <c r="G1217" s="112">
        <f t="shared" si="523"/>
        <v>1051050</v>
      </c>
      <c r="H1217" s="112">
        <f t="shared" si="524"/>
        <v>47775</v>
      </c>
      <c r="I1217" s="112">
        <f t="shared" si="524"/>
        <v>47775</v>
      </c>
      <c r="J1217" s="112">
        <f t="shared" si="481"/>
        <v>2919583</v>
      </c>
      <c r="K1217" s="248">
        <v>1000</v>
      </c>
      <c r="L1217" s="112">
        <v>2500</v>
      </c>
      <c r="M1217" s="113">
        <f t="shared" si="520"/>
        <v>968640.08241812093</v>
      </c>
      <c r="N1217" s="114">
        <v>1000</v>
      </c>
      <c r="O1217" s="114">
        <v>4.4000000000000004</v>
      </c>
      <c r="P1217" s="254">
        <v>63700</v>
      </c>
      <c r="Q1217" s="116" t="s">
        <v>197</v>
      </c>
      <c r="R1217" s="116"/>
      <c r="S1217" s="114">
        <f t="shared" si="485"/>
        <v>19110</v>
      </c>
      <c r="T1217" s="114">
        <f t="shared" si="518"/>
        <v>19110</v>
      </c>
    </row>
    <row r="1218" spans="1:20" x14ac:dyDescent="0.2">
      <c r="A1218" s="110" t="str">
        <f t="shared" si="501"/>
        <v>102129</v>
      </c>
      <c r="B1218" s="110">
        <v>10</v>
      </c>
      <c r="C1218" s="110">
        <v>21</v>
      </c>
      <c r="D1218" s="110" t="s">
        <v>63</v>
      </c>
      <c r="E1218" s="110">
        <v>9</v>
      </c>
      <c r="F1218" s="112">
        <f t="shared" si="523"/>
        <v>1056825</v>
      </c>
      <c r="G1218" s="112">
        <f t="shared" si="523"/>
        <v>1056825</v>
      </c>
      <c r="H1218" s="112">
        <f t="shared" si="524"/>
        <v>48037</v>
      </c>
      <c r="I1218" s="112">
        <f t="shared" si="524"/>
        <v>48037</v>
      </c>
      <c r="J1218" s="112">
        <f t="shared" si="481"/>
        <v>2935625</v>
      </c>
      <c r="K1218" s="248">
        <v>1000</v>
      </c>
      <c r="L1218" s="112">
        <v>2500</v>
      </c>
      <c r="M1218" s="113">
        <f t="shared" si="520"/>
        <v>976629.30891904945</v>
      </c>
      <c r="N1218" s="114">
        <v>1000</v>
      </c>
      <c r="O1218" s="114">
        <v>4.4000000000000004</v>
      </c>
      <c r="P1218" s="254">
        <v>64050</v>
      </c>
      <c r="Q1218" s="116" t="s">
        <v>197</v>
      </c>
      <c r="R1218" s="116"/>
      <c r="S1218" s="114">
        <f t="shared" si="485"/>
        <v>19215</v>
      </c>
      <c r="T1218" s="114">
        <f t="shared" si="518"/>
        <v>19215</v>
      </c>
    </row>
    <row r="1219" spans="1:20" x14ac:dyDescent="0.2">
      <c r="A1219" s="110" t="str">
        <f t="shared" si="501"/>
        <v>102229</v>
      </c>
      <c r="B1219" s="110">
        <v>10</v>
      </c>
      <c r="C1219" s="110">
        <v>22</v>
      </c>
      <c r="D1219" s="110" t="s">
        <v>63</v>
      </c>
      <c r="E1219" s="110">
        <v>9</v>
      </c>
      <c r="F1219" s="112">
        <f t="shared" si="523"/>
        <v>850080</v>
      </c>
      <c r="G1219" s="112">
        <f t="shared" si="523"/>
        <v>850080</v>
      </c>
      <c r="H1219" s="112">
        <f t="shared" si="524"/>
        <v>38640</v>
      </c>
      <c r="I1219" s="112">
        <f t="shared" si="524"/>
        <v>38640</v>
      </c>
      <c r="J1219" s="112">
        <f t="shared" si="481"/>
        <v>2361333</v>
      </c>
      <c r="K1219" s="248">
        <v>1000</v>
      </c>
      <c r="L1219" s="112">
        <v>2500</v>
      </c>
      <c r="M1219" s="113">
        <f t="shared" si="520"/>
        <v>704558.50756998558</v>
      </c>
      <c r="N1219" s="114">
        <v>1000</v>
      </c>
      <c r="O1219" s="114">
        <v>4.4000000000000004</v>
      </c>
      <c r="P1219" s="254">
        <v>51520</v>
      </c>
      <c r="Q1219" s="116" t="s">
        <v>197</v>
      </c>
      <c r="R1219" s="116"/>
      <c r="S1219" s="114">
        <f t="shared" si="485"/>
        <v>15456</v>
      </c>
      <c r="T1219" s="114">
        <f t="shared" si="518"/>
        <v>15456</v>
      </c>
    </row>
    <row r="1220" spans="1:20" x14ac:dyDescent="0.2">
      <c r="A1220" s="110" t="str">
        <f t="shared" si="501"/>
        <v>102329</v>
      </c>
      <c r="B1220" s="110">
        <v>10</v>
      </c>
      <c r="C1220" s="110">
        <v>23</v>
      </c>
      <c r="D1220" s="110" t="s">
        <v>63</v>
      </c>
      <c r="E1220" s="110">
        <v>9</v>
      </c>
      <c r="F1220" s="112">
        <f t="shared" si="523"/>
        <v>1068375</v>
      </c>
      <c r="G1220" s="112">
        <f t="shared" si="523"/>
        <v>1068375</v>
      </c>
      <c r="H1220" s="112">
        <f t="shared" si="524"/>
        <v>48562</v>
      </c>
      <c r="I1220" s="112">
        <f t="shared" si="524"/>
        <v>48562</v>
      </c>
      <c r="J1220" s="112">
        <f t="shared" si="481"/>
        <v>2967708</v>
      </c>
      <c r="K1220" s="248">
        <v>1000</v>
      </c>
      <c r="L1220" s="112">
        <v>2500</v>
      </c>
      <c r="M1220" s="113">
        <f t="shared" si="520"/>
        <v>992683.29024039174</v>
      </c>
      <c r="N1220" s="114">
        <v>1000</v>
      </c>
      <c r="O1220" s="114">
        <v>4.4000000000000004</v>
      </c>
      <c r="P1220" s="254">
        <v>64750</v>
      </c>
      <c r="Q1220" s="116" t="s">
        <v>197</v>
      </c>
      <c r="R1220" s="116"/>
      <c r="S1220" s="114">
        <f t="shared" si="485"/>
        <v>19425</v>
      </c>
      <c r="T1220" s="114">
        <f t="shared" si="518"/>
        <v>19425</v>
      </c>
    </row>
    <row r="1221" spans="1:20" x14ac:dyDescent="0.2">
      <c r="A1221" s="110" t="str">
        <f t="shared" ref="A1221" si="525">IF(B1221="","",CONCATENATE(B1221,CONCATENATE(REPT(0,2-LEN(C1221)),C1221),IF(OR(D1221="Easy",D1221=""),1,IF(D1221="Normal",2,IF(D1221="Hard",3,IF(D1221="Hell",4,"error")))),E1221))</f>
        <v>102328</v>
      </c>
      <c r="B1221" s="110">
        <v>10</v>
      </c>
      <c r="C1221" s="110">
        <v>23</v>
      </c>
      <c r="D1221" s="110" t="s">
        <v>63</v>
      </c>
      <c r="E1221" s="110">
        <v>8</v>
      </c>
      <c r="F1221" s="112">
        <f t="shared" si="523"/>
        <v>578125</v>
      </c>
      <c r="G1221" s="112">
        <f t="shared" si="523"/>
        <v>578125</v>
      </c>
      <c r="H1221" s="112">
        <f t="shared" si="524"/>
        <v>69375</v>
      </c>
      <c r="I1221" s="112">
        <f t="shared" si="524"/>
        <v>69375</v>
      </c>
      <c r="J1221" s="112">
        <f t="shared" si="481"/>
        <v>5203125</v>
      </c>
      <c r="K1221" s="248">
        <v>1000</v>
      </c>
      <c r="L1221" s="112">
        <v>2500</v>
      </c>
      <c r="M1221" s="113">
        <f t="shared" si="520"/>
        <v>1155671.7303964391</v>
      </c>
      <c r="N1221" s="114">
        <v>1500</v>
      </c>
      <c r="O1221" s="114">
        <v>2</v>
      </c>
      <c r="P1221" s="254">
        <v>92500</v>
      </c>
      <c r="Q1221" s="116" t="s">
        <v>200</v>
      </c>
      <c r="R1221" s="116" t="s">
        <v>1019</v>
      </c>
      <c r="S1221" s="114">
        <f t="shared" ref="S1221" si="526">P1221*0.3</f>
        <v>27750</v>
      </c>
      <c r="T1221" s="114">
        <f t="shared" ref="T1221" si="527">S1221</f>
        <v>27750</v>
      </c>
    </row>
    <row r="1222" spans="1:20" x14ac:dyDescent="0.2">
      <c r="A1222" s="110" t="str">
        <f t="shared" si="501"/>
        <v>102429</v>
      </c>
      <c r="B1222" s="110">
        <v>10</v>
      </c>
      <c r="C1222" s="110">
        <v>24</v>
      </c>
      <c r="D1222" s="110" t="s">
        <v>63</v>
      </c>
      <c r="E1222" s="110">
        <v>9</v>
      </c>
      <c r="F1222" s="112">
        <f t="shared" si="523"/>
        <v>1074150</v>
      </c>
      <c r="G1222" s="112">
        <f t="shared" si="523"/>
        <v>1074150</v>
      </c>
      <c r="H1222" s="112">
        <f t="shared" si="524"/>
        <v>48825</v>
      </c>
      <c r="I1222" s="112">
        <f t="shared" si="524"/>
        <v>48825</v>
      </c>
      <c r="J1222" s="112">
        <f t="shared" si="481"/>
        <v>2983750</v>
      </c>
      <c r="K1222" s="248">
        <v>1000</v>
      </c>
      <c r="L1222" s="112">
        <v>2500</v>
      </c>
      <c r="M1222" s="113">
        <f t="shared" si="520"/>
        <v>1000748.14870176</v>
      </c>
      <c r="N1222" s="114">
        <v>1000</v>
      </c>
      <c r="O1222" s="114">
        <v>4.4000000000000004</v>
      </c>
      <c r="P1222" s="254">
        <v>65100</v>
      </c>
      <c r="Q1222" s="116" t="s">
        <v>197</v>
      </c>
      <c r="R1222" s="116"/>
      <c r="S1222" s="114">
        <f t="shared" si="485"/>
        <v>19530</v>
      </c>
      <c r="T1222" s="114">
        <f t="shared" si="518"/>
        <v>19530</v>
      </c>
    </row>
    <row r="1223" spans="1:20" x14ac:dyDescent="0.2">
      <c r="A1223" s="110" t="str">
        <f t="shared" si="501"/>
        <v>102529</v>
      </c>
      <c r="B1223" s="110">
        <v>10</v>
      </c>
      <c r="C1223" s="110">
        <v>25</v>
      </c>
      <c r="D1223" s="110" t="s">
        <v>63</v>
      </c>
      <c r="E1223" s="110">
        <v>9</v>
      </c>
      <c r="F1223" s="112">
        <f t="shared" si="523"/>
        <v>1079925</v>
      </c>
      <c r="G1223" s="112">
        <f t="shared" si="523"/>
        <v>1079925</v>
      </c>
      <c r="H1223" s="112">
        <f t="shared" si="524"/>
        <v>49087</v>
      </c>
      <c r="I1223" s="112">
        <f t="shared" si="524"/>
        <v>49087</v>
      </c>
      <c r="J1223" s="112">
        <f t="shared" si="481"/>
        <v>2999791</v>
      </c>
      <c r="K1223" s="248">
        <v>1000</v>
      </c>
      <c r="L1223" s="112">
        <v>2500</v>
      </c>
      <c r="M1223" s="113">
        <f t="shared" si="520"/>
        <v>1008824.2860734033</v>
      </c>
      <c r="N1223" s="114">
        <v>1000</v>
      </c>
      <c r="O1223" s="114">
        <v>4.4000000000000004</v>
      </c>
      <c r="P1223" s="254">
        <v>65450</v>
      </c>
      <c r="Q1223" s="116" t="s">
        <v>197</v>
      </c>
      <c r="R1223" s="116"/>
      <c r="S1223" s="114">
        <f t="shared" si="485"/>
        <v>19635</v>
      </c>
      <c r="T1223" s="114">
        <f t="shared" si="518"/>
        <v>19635</v>
      </c>
    </row>
    <row r="1224" spans="1:20" x14ac:dyDescent="0.2">
      <c r="A1224" s="110" t="str">
        <f t="shared" si="501"/>
        <v>102629</v>
      </c>
      <c r="B1224" s="110">
        <v>10</v>
      </c>
      <c r="C1224" s="110">
        <v>26</v>
      </c>
      <c r="D1224" s="110" t="s">
        <v>63</v>
      </c>
      <c r="E1224" s="110">
        <v>9</v>
      </c>
      <c r="F1224" s="112">
        <f t="shared" si="523"/>
        <v>1110375</v>
      </c>
      <c r="G1224" s="112">
        <f t="shared" si="523"/>
        <v>1110375</v>
      </c>
      <c r="H1224" s="112">
        <f t="shared" si="524"/>
        <v>49350</v>
      </c>
      <c r="I1224" s="112">
        <f t="shared" si="524"/>
        <v>49350</v>
      </c>
      <c r="J1224" s="112">
        <f t="shared" si="481"/>
        <v>3084375</v>
      </c>
      <c r="K1224" s="248">
        <v>1000</v>
      </c>
      <c r="L1224" s="112">
        <v>2500</v>
      </c>
      <c r="M1224" s="113">
        <f t="shared" si="520"/>
        <v>1040044.6641250557</v>
      </c>
      <c r="N1224" s="114">
        <v>1000</v>
      </c>
      <c r="O1224" s="114">
        <v>4.5</v>
      </c>
      <c r="P1224" s="254">
        <v>65800</v>
      </c>
      <c r="Q1224" s="116" t="s">
        <v>197</v>
      </c>
      <c r="R1224" s="116"/>
      <c r="S1224" s="114">
        <f t="shared" si="485"/>
        <v>19740</v>
      </c>
      <c r="T1224" s="114">
        <f t="shared" si="518"/>
        <v>19740</v>
      </c>
    </row>
    <row r="1225" spans="1:20" x14ac:dyDescent="0.2">
      <c r="A1225" s="110" t="str">
        <f t="shared" si="501"/>
        <v>102728</v>
      </c>
      <c r="B1225" s="110">
        <v>10</v>
      </c>
      <c r="C1225" s="110">
        <v>27</v>
      </c>
      <c r="D1225" s="110" t="s">
        <v>63</v>
      </c>
      <c r="E1225" s="110">
        <v>8</v>
      </c>
      <c r="F1225" s="112">
        <f t="shared" si="523"/>
        <v>186046</v>
      </c>
      <c r="G1225" s="112">
        <f t="shared" si="523"/>
        <v>186046</v>
      </c>
      <c r="H1225" s="112">
        <f t="shared" si="524"/>
        <v>49612</v>
      </c>
      <c r="I1225" s="112">
        <f t="shared" si="524"/>
        <v>49612</v>
      </c>
      <c r="J1225" s="112">
        <f t="shared" si="481"/>
        <v>1674421</v>
      </c>
      <c r="K1225" s="248">
        <v>1000</v>
      </c>
      <c r="L1225" s="112">
        <v>2500</v>
      </c>
      <c r="M1225" s="113">
        <f t="shared" si="520"/>
        <v>314503.76881436311</v>
      </c>
      <c r="N1225" s="114">
        <v>450</v>
      </c>
      <c r="O1225" s="114">
        <v>3</v>
      </c>
      <c r="P1225" s="254">
        <v>66150</v>
      </c>
      <c r="Q1225" s="116" t="s">
        <v>284</v>
      </c>
      <c r="R1225" s="116" t="s">
        <v>1020</v>
      </c>
      <c r="S1225" s="114">
        <f t="shared" si="485"/>
        <v>19845</v>
      </c>
      <c r="T1225" s="114">
        <f t="shared" si="518"/>
        <v>19845</v>
      </c>
    </row>
    <row r="1226" spans="1:20" x14ac:dyDescent="0.2">
      <c r="A1226" s="110" t="str">
        <f t="shared" ref="A1226:A1228" si="528">IF(B1226="","",CONCATENATE(B1226,CONCATENATE(REPT(0,2-LEN(C1226)),C1226),IF(OR(D1226="Easy",D1226=""),1,IF(D1226="Normal",2,IF(D1226="Hard",3,IF(D1226="Hell",4,"error")))),E1226))</f>
        <v>102729</v>
      </c>
      <c r="B1226" s="110">
        <v>10</v>
      </c>
      <c r="C1226" s="110">
        <v>27</v>
      </c>
      <c r="D1226" s="110" t="s">
        <v>63</v>
      </c>
      <c r="E1226" s="110">
        <v>9</v>
      </c>
      <c r="F1226" s="112">
        <f t="shared" si="523"/>
        <v>1116281</v>
      </c>
      <c r="G1226" s="112">
        <f t="shared" si="523"/>
        <v>1116281</v>
      </c>
      <c r="H1226" s="112">
        <f t="shared" si="524"/>
        <v>49612</v>
      </c>
      <c r="I1226" s="112">
        <f t="shared" si="524"/>
        <v>49612</v>
      </c>
      <c r="J1226" s="112">
        <f t="shared" si="481"/>
        <v>3100781</v>
      </c>
      <c r="K1226" s="248">
        <v>1000</v>
      </c>
      <c r="L1226" s="112">
        <v>2500</v>
      </c>
      <c r="M1226" s="113">
        <f t="shared" si="520"/>
        <v>1048348.4755651851</v>
      </c>
      <c r="N1226" s="114">
        <v>1000</v>
      </c>
      <c r="O1226" s="114">
        <v>4.5</v>
      </c>
      <c r="P1226" s="254">
        <v>66150</v>
      </c>
      <c r="Q1226" s="116" t="s">
        <v>197</v>
      </c>
      <c r="R1226" s="116"/>
      <c r="S1226" s="114">
        <f t="shared" ref="S1226:S1228" si="529">P1226*0.3</f>
        <v>19845</v>
      </c>
      <c r="T1226" s="114">
        <f t="shared" ref="T1226:T1228" si="530">S1226</f>
        <v>19845</v>
      </c>
    </row>
    <row r="1227" spans="1:20" x14ac:dyDescent="0.2">
      <c r="A1227" s="110" t="str">
        <f t="shared" ref="A1227" si="531">IF(B1227="","",CONCATENATE(B1227,CONCATENATE(REPT(0,2-LEN(C1227)),C1227),IF(OR(D1227="Easy",D1227=""),1,IF(D1227="Normal",2,IF(D1227="Hard",3,IF(D1227="Hell",4,"error")))),E1227))</f>
        <v>102827</v>
      </c>
      <c r="B1227" s="110">
        <v>10</v>
      </c>
      <c r="C1227" s="110">
        <v>28</v>
      </c>
      <c r="D1227" s="110" t="s">
        <v>63</v>
      </c>
      <c r="E1227" s="110">
        <v>7</v>
      </c>
      <c r="F1227" s="112">
        <f t="shared" si="523"/>
        <v>1484375</v>
      </c>
      <c r="G1227" s="112">
        <f t="shared" si="523"/>
        <v>1484375</v>
      </c>
      <c r="H1227" s="112">
        <f t="shared" si="524"/>
        <v>71250</v>
      </c>
      <c r="I1227" s="112">
        <f t="shared" si="524"/>
        <v>71250</v>
      </c>
      <c r="J1227" s="112">
        <f t="shared" si="481"/>
        <v>8550000</v>
      </c>
      <c r="K1227" s="248">
        <v>1000</v>
      </c>
      <c r="L1227" s="112">
        <v>2500</v>
      </c>
      <c r="M1227" s="113">
        <f t="shared" si="520"/>
        <v>2405676.8797991141</v>
      </c>
      <c r="N1227" s="114">
        <v>1200</v>
      </c>
      <c r="O1227" s="114">
        <v>5</v>
      </c>
      <c r="P1227" s="254">
        <v>95000</v>
      </c>
      <c r="Q1227" s="116" t="s">
        <v>200</v>
      </c>
      <c r="R1227" s="116" t="s">
        <v>1021</v>
      </c>
      <c r="S1227" s="114">
        <f t="shared" ref="S1227" si="532">P1227*0.3</f>
        <v>28500</v>
      </c>
      <c r="T1227" s="114">
        <f t="shared" ref="T1227" si="533">S1227</f>
        <v>28500</v>
      </c>
    </row>
    <row r="1228" spans="1:20" x14ac:dyDescent="0.2">
      <c r="A1228" s="110" t="str">
        <f t="shared" si="528"/>
        <v>102828</v>
      </c>
      <c r="B1228" s="110">
        <v>10</v>
      </c>
      <c r="C1228" s="110">
        <v>28</v>
      </c>
      <c r="D1228" s="110" t="s">
        <v>63</v>
      </c>
      <c r="E1228" s="110">
        <v>8</v>
      </c>
      <c r="F1228" s="112">
        <f t="shared" si="523"/>
        <v>561093</v>
      </c>
      <c r="G1228" s="112">
        <f t="shared" si="523"/>
        <v>561093</v>
      </c>
      <c r="H1228" s="112">
        <f t="shared" si="524"/>
        <v>49875</v>
      </c>
      <c r="I1228" s="112">
        <f t="shared" si="524"/>
        <v>49875</v>
      </c>
      <c r="J1228" s="112">
        <f t="shared" si="481"/>
        <v>6234375</v>
      </c>
      <c r="K1228" s="248">
        <v>1000</v>
      </c>
      <c r="L1228" s="112">
        <v>2500</v>
      </c>
      <c r="M1228" s="113">
        <f t="shared" si="520"/>
        <v>1056684.4768721173</v>
      </c>
      <c r="N1228" s="114">
        <v>1000</v>
      </c>
      <c r="O1228" s="114">
        <v>4.5</v>
      </c>
      <c r="P1228" s="254">
        <v>66500</v>
      </c>
      <c r="Q1228" s="116" t="s">
        <v>283</v>
      </c>
      <c r="R1228" s="116" t="s">
        <v>1022</v>
      </c>
      <c r="S1228" s="114">
        <f t="shared" si="529"/>
        <v>19950</v>
      </c>
      <c r="T1228" s="114">
        <f t="shared" si="530"/>
        <v>19950</v>
      </c>
    </row>
    <row r="1229" spans="1:20" x14ac:dyDescent="0.2">
      <c r="A1229" s="110" t="str">
        <f t="shared" si="501"/>
        <v>102829</v>
      </c>
      <c r="B1229" s="110">
        <v>10</v>
      </c>
      <c r="C1229" s="110">
        <v>28</v>
      </c>
      <c r="D1229" s="110" t="s">
        <v>63</v>
      </c>
      <c r="E1229" s="110">
        <v>9</v>
      </c>
      <c r="F1229" s="112">
        <f t="shared" si="523"/>
        <v>1122187</v>
      </c>
      <c r="G1229" s="112">
        <f t="shared" si="523"/>
        <v>1122187</v>
      </c>
      <c r="H1229" s="112">
        <f t="shared" si="524"/>
        <v>49875</v>
      </c>
      <c r="I1229" s="112">
        <f t="shared" si="524"/>
        <v>49875</v>
      </c>
      <c r="J1229" s="112">
        <f t="shared" ref="J1229:J1234" si="534">ROUNDDOWN($P1229/4*$O1229*10*$N1229/$Q1229*$N1229/400,0)</f>
        <v>3117187</v>
      </c>
      <c r="K1229" s="248">
        <v>1000</v>
      </c>
      <c r="L1229" s="112">
        <v>2500</v>
      </c>
      <c r="M1229" s="113">
        <f t="shared" si="520"/>
        <v>1056684.8629405575</v>
      </c>
      <c r="N1229" s="114">
        <v>1000</v>
      </c>
      <c r="O1229" s="114">
        <v>4.5</v>
      </c>
      <c r="P1229" s="254">
        <v>66500</v>
      </c>
      <c r="Q1229" s="116" t="s">
        <v>197</v>
      </c>
      <c r="R1229" s="116"/>
      <c r="S1229" s="114">
        <f t="shared" si="485"/>
        <v>19950</v>
      </c>
      <c r="T1229" s="114">
        <f t="shared" si="518"/>
        <v>19950</v>
      </c>
    </row>
    <row r="1230" spans="1:20" x14ac:dyDescent="0.2">
      <c r="A1230" s="110" t="str">
        <f t="shared" ref="A1230:A1231" si="535">IF(B1230="","",CONCATENATE(B1230,CONCATENATE(REPT(0,2-LEN(C1230)),C1230),IF(OR(D1230="Easy",D1230=""),1,IF(D1230="Normal",2,IF(D1230="Hard",3,IF(D1230="Hell",4,"error")))),E1230))</f>
        <v>102928</v>
      </c>
      <c r="B1230" s="110">
        <v>10</v>
      </c>
      <c r="C1230" s="110">
        <v>29</v>
      </c>
      <c r="D1230" s="110" t="s">
        <v>63</v>
      </c>
      <c r="E1230" s="110">
        <v>8</v>
      </c>
      <c r="F1230" s="112">
        <f t="shared" si="523"/>
        <v>3223125</v>
      </c>
      <c r="G1230" s="112">
        <f t="shared" si="523"/>
        <v>3223125</v>
      </c>
      <c r="H1230" s="112">
        <f t="shared" si="524"/>
        <v>71625</v>
      </c>
      <c r="I1230" s="112">
        <f t="shared" si="524"/>
        <v>71625</v>
      </c>
      <c r="J1230" s="112">
        <f t="shared" si="534"/>
        <v>8953125</v>
      </c>
      <c r="K1230" s="248">
        <v>1000</v>
      </c>
      <c r="L1230" s="112">
        <v>2500</v>
      </c>
      <c r="M1230" s="113">
        <f t="shared" si="520"/>
        <v>3637041.0502993362</v>
      </c>
      <c r="N1230" s="114">
        <v>1000</v>
      </c>
      <c r="O1230" s="114">
        <v>9</v>
      </c>
      <c r="P1230" s="254">
        <v>95500</v>
      </c>
      <c r="Q1230" s="116" t="s">
        <v>197</v>
      </c>
      <c r="R1230" s="116" t="s">
        <v>1023</v>
      </c>
      <c r="S1230" s="114">
        <f t="shared" ref="S1230:S1231" si="536">P1230*0.3</f>
        <v>28650</v>
      </c>
      <c r="T1230" s="114">
        <f t="shared" ref="T1230:T1231" si="537">S1230</f>
        <v>28650</v>
      </c>
    </row>
    <row r="1231" spans="1:20" x14ac:dyDescent="0.2">
      <c r="A1231" s="110" t="str">
        <f t="shared" si="535"/>
        <v>102927</v>
      </c>
      <c r="B1231" s="110">
        <v>10</v>
      </c>
      <c r="C1231" s="110">
        <v>29</v>
      </c>
      <c r="D1231" s="110" t="s">
        <v>63</v>
      </c>
      <c r="E1231" s="110">
        <v>7</v>
      </c>
      <c r="F1231" s="112">
        <f t="shared" si="523"/>
        <v>1462343</v>
      </c>
      <c r="G1231" s="112">
        <f t="shared" si="523"/>
        <v>1462343</v>
      </c>
      <c r="H1231" s="112">
        <f t="shared" si="524"/>
        <v>50137</v>
      </c>
      <c r="I1231" s="112">
        <f t="shared" si="524"/>
        <v>50137</v>
      </c>
      <c r="J1231" s="112">
        <f t="shared" si="534"/>
        <v>17190000</v>
      </c>
      <c r="K1231" s="248">
        <v>1000</v>
      </c>
      <c r="L1231" s="112">
        <v>2500</v>
      </c>
      <c r="M1231" s="113">
        <f t="shared" si="520"/>
        <v>2840087.5142970253</v>
      </c>
      <c r="N1231" s="114">
        <v>1200</v>
      </c>
      <c r="O1231" s="114">
        <v>10</v>
      </c>
      <c r="P1231" s="254">
        <v>66850</v>
      </c>
      <c r="Q1231" s="116" t="s">
        <v>390</v>
      </c>
      <c r="R1231" s="116" t="s">
        <v>1024</v>
      </c>
      <c r="S1231" s="114">
        <f t="shared" si="536"/>
        <v>20055</v>
      </c>
      <c r="T1231" s="114">
        <f t="shared" si="537"/>
        <v>20055</v>
      </c>
    </row>
    <row r="1232" spans="1:20" x14ac:dyDescent="0.2">
      <c r="A1232" s="110" t="str">
        <f t="shared" ref="A1232" si="538">IF(B1232="","",CONCATENATE(B1232,CONCATENATE(REPT(0,2-LEN(C1232)),C1232),IF(OR(D1232="Easy",D1232=""),1,IF(D1232="Normal",2,IF(D1232="Hard",3,IF(D1232="Hell",4,"error")))),E1232))</f>
        <v>102926</v>
      </c>
      <c r="B1232" s="110">
        <v>10</v>
      </c>
      <c r="C1232" s="110">
        <v>29</v>
      </c>
      <c r="D1232" s="110" t="s">
        <v>63</v>
      </c>
      <c r="E1232" s="110">
        <v>6</v>
      </c>
      <c r="F1232" s="112">
        <f t="shared" si="523"/>
        <v>1253437</v>
      </c>
      <c r="G1232" s="112">
        <f t="shared" si="523"/>
        <v>1253437</v>
      </c>
      <c r="H1232" s="112">
        <f t="shared" si="524"/>
        <v>50137</v>
      </c>
      <c r="I1232" s="112">
        <f t="shared" si="524"/>
        <v>50137</v>
      </c>
      <c r="J1232" s="112">
        <f t="shared" si="534"/>
        <v>5013750</v>
      </c>
      <c r="K1232" s="248">
        <v>1000</v>
      </c>
      <c r="L1232" s="112">
        <v>2500</v>
      </c>
      <c r="M1232" s="113">
        <f t="shared" si="520"/>
        <v>1420043.8380713717</v>
      </c>
      <c r="N1232" s="114">
        <v>1000</v>
      </c>
      <c r="O1232" s="114">
        <v>6</v>
      </c>
      <c r="P1232" s="254">
        <v>66850</v>
      </c>
      <c r="Q1232" s="116" t="s">
        <v>200</v>
      </c>
      <c r="R1232" s="116" t="s">
        <v>1025</v>
      </c>
      <c r="S1232" s="114">
        <f t="shared" ref="S1232" si="539">P1232*0.3</f>
        <v>20055</v>
      </c>
      <c r="T1232" s="114">
        <f t="shared" ref="T1232" si="540">S1232</f>
        <v>20055</v>
      </c>
    </row>
    <row r="1233" spans="1:20" x14ac:dyDescent="0.2">
      <c r="A1233" s="110" t="str">
        <f t="shared" si="501"/>
        <v>102929</v>
      </c>
      <c r="B1233" s="110">
        <v>10</v>
      </c>
      <c r="C1233" s="110">
        <v>29</v>
      </c>
      <c r="D1233" s="110" t="s">
        <v>63</v>
      </c>
      <c r="E1233" s="110">
        <v>9</v>
      </c>
      <c r="F1233" s="112">
        <f t="shared" si="523"/>
        <v>601650</v>
      </c>
      <c r="G1233" s="112">
        <f t="shared" si="523"/>
        <v>601650</v>
      </c>
      <c r="H1233" s="112">
        <f t="shared" si="524"/>
        <v>50137</v>
      </c>
      <c r="I1233" s="112">
        <f t="shared" si="524"/>
        <v>50137</v>
      </c>
      <c r="J1233" s="112">
        <f t="shared" si="534"/>
        <v>3760312</v>
      </c>
      <c r="K1233" s="248">
        <v>1000</v>
      </c>
      <c r="L1233" s="112">
        <v>2500</v>
      </c>
      <c r="M1233" s="113">
        <f t="shared" si="520"/>
        <v>852026.41613481473</v>
      </c>
      <c r="N1233" s="114">
        <v>1000</v>
      </c>
      <c r="O1233" s="114">
        <v>3.6</v>
      </c>
      <c r="P1233" s="254">
        <v>66850</v>
      </c>
      <c r="Q1233" s="116" t="s">
        <v>90</v>
      </c>
      <c r="R1233" s="116" t="s">
        <v>1028</v>
      </c>
      <c r="S1233" s="114">
        <f t="shared" si="485"/>
        <v>20055</v>
      </c>
      <c r="T1233" s="114">
        <f t="shared" si="518"/>
        <v>20055</v>
      </c>
    </row>
    <row r="1234" spans="1:20" x14ac:dyDescent="0.2">
      <c r="A1234" s="110" t="str">
        <f t="shared" ref="A1234:A1262" si="541">IF(B1234="","",CONCATENATE(B1234,CONCATENATE(REPT(0,2-LEN(C1234)),C1234),IF(OR(D1234="Easy",D1234=""),1,IF(D1234="Normal",2,IF(D1234="Hard",3,IF(D1234="Hell",4,"error")))),E1234))</f>
        <v>103029</v>
      </c>
      <c r="B1234" s="110">
        <v>10</v>
      </c>
      <c r="C1234" s="110">
        <v>30</v>
      </c>
      <c r="D1234" s="110" t="s">
        <v>63</v>
      </c>
      <c r="E1234" s="110">
        <v>9</v>
      </c>
      <c r="F1234" s="112">
        <f t="shared" si="523"/>
        <v>1620000</v>
      </c>
      <c r="G1234" s="112">
        <f t="shared" si="523"/>
        <v>1620000</v>
      </c>
      <c r="H1234" s="112">
        <f t="shared" si="524"/>
        <v>72000</v>
      </c>
      <c r="I1234" s="112">
        <f t="shared" si="524"/>
        <v>72000</v>
      </c>
      <c r="J1234" s="112">
        <f t="shared" si="534"/>
        <v>4500000</v>
      </c>
      <c r="K1234" s="248">
        <v>1000</v>
      </c>
      <c r="L1234" s="112">
        <v>2500</v>
      </c>
      <c r="M1234" s="113">
        <f t="shared" si="520"/>
        <v>1832820.7768355315</v>
      </c>
      <c r="N1234" s="114">
        <v>1000</v>
      </c>
      <c r="O1234" s="114">
        <v>4.5</v>
      </c>
      <c r="P1234" s="254">
        <v>96000</v>
      </c>
      <c r="Q1234" s="116" t="s">
        <v>197</v>
      </c>
      <c r="R1234" s="116"/>
      <c r="S1234" s="114">
        <f t="shared" si="485"/>
        <v>28800</v>
      </c>
      <c r="T1234" s="114">
        <f t="shared" si="518"/>
        <v>28800</v>
      </c>
    </row>
    <row r="1235" spans="1:20" ht="38.25" x14ac:dyDescent="0.2">
      <c r="A1235" s="8" t="str">
        <f t="shared" si="541"/>
        <v/>
      </c>
      <c r="B1235" s="5"/>
      <c r="C1235" s="6" t="s">
        <v>1092</v>
      </c>
      <c r="D1235" s="5"/>
      <c r="E1235" s="5"/>
      <c r="F1235" s="5"/>
      <c r="G1235" s="5"/>
      <c r="H1235" s="5"/>
      <c r="I1235" s="5"/>
      <c r="J1235" s="5"/>
      <c r="K1235" s="255"/>
      <c r="L1235" s="5"/>
      <c r="M1235" s="256"/>
      <c r="N1235" s="5"/>
      <c r="O1235" s="5"/>
      <c r="P1235" s="5"/>
      <c r="Q1235" s="5"/>
      <c r="R1235" s="5"/>
      <c r="S1235" s="30"/>
      <c r="T1235" s="266"/>
    </row>
    <row r="1236" spans="1:20" s="223" customFormat="1" x14ac:dyDescent="0.2">
      <c r="A1236" s="8" t="str">
        <f t="shared" si="541"/>
        <v>110121</v>
      </c>
      <c r="B1236" s="8">
        <v>11</v>
      </c>
      <c r="C1236" s="8">
        <v>1</v>
      </c>
      <c r="D1236" s="8" t="s">
        <v>63</v>
      </c>
      <c r="E1236" s="8">
        <v>1</v>
      </c>
      <c r="F1236" s="34">
        <f t="shared" ref="F1236:G1262" si="542">ROUNDDOWN($P1236/4*$O1236*10*$N1236/$N1236*$Q1236/400,0)</f>
        <v>387187</v>
      </c>
      <c r="G1236" s="34">
        <f t="shared" si="542"/>
        <v>387187</v>
      </c>
      <c r="H1236" s="34">
        <f t="shared" ref="H1236:I1262" si="543">ROUNDDOWN($S1236/4*10,0)</f>
        <v>44250</v>
      </c>
      <c r="I1236" s="34">
        <f t="shared" si="543"/>
        <v>44250</v>
      </c>
      <c r="J1236" s="34">
        <f t="shared" ref="J1236:J1257" si="544">ROUNDDOWN($P1236/4*$O1236*10*$N1236/$Q1236*$N1236/400,0)</f>
        <v>790178</v>
      </c>
      <c r="K1236" s="133">
        <v>1000</v>
      </c>
      <c r="L1236" s="34">
        <v>2500</v>
      </c>
      <c r="M1236" s="257">
        <f t="shared" ref="M1236:M1262" si="545">(F1236*J1236*((H1236+I1236)/2)/1000)^(1/2)/10*0.8</f>
        <v>294353.68364910129</v>
      </c>
      <c r="N1236" s="36">
        <v>1000</v>
      </c>
      <c r="O1236" s="36">
        <v>1.5</v>
      </c>
      <c r="P1236" s="258">
        <v>59000</v>
      </c>
      <c r="Q1236" s="2" t="s">
        <v>166</v>
      </c>
      <c r="R1236" s="56"/>
      <c r="S1236" s="36">
        <f>P1236*0.3</f>
        <v>17700</v>
      </c>
      <c r="T1236" s="114">
        <f t="shared" ref="T1236:T1262" si="546">S1236</f>
        <v>17700</v>
      </c>
    </row>
    <row r="1237" spans="1:20" s="223" customFormat="1" x14ac:dyDescent="0.2">
      <c r="A1237" s="8" t="str">
        <f t="shared" si="541"/>
        <v>110221</v>
      </c>
      <c r="B1237" s="8">
        <v>11</v>
      </c>
      <c r="C1237" s="8">
        <v>2</v>
      </c>
      <c r="D1237" s="8" t="s">
        <v>63</v>
      </c>
      <c r="E1237" s="8">
        <v>1</v>
      </c>
      <c r="F1237" s="34">
        <f t="shared" si="542"/>
        <v>393750</v>
      </c>
      <c r="G1237" s="34">
        <f t="shared" si="542"/>
        <v>393750</v>
      </c>
      <c r="H1237" s="34">
        <f t="shared" si="543"/>
        <v>45000</v>
      </c>
      <c r="I1237" s="34">
        <f t="shared" si="543"/>
        <v>45000</v>
      </c>
      <c r="J1237" s="34">
        <f t="shared" si="544"/>
        <v>803571</v>
      </c>
      <c r="K1237" s="133">
        <v>1000</v>
      </c>
      <c r="L1237" s="34">
        <v>2500</v>
      </c>
      <c r="M1237" s="257">
        <f t="shared" si="545"/>
        <v>301869.09646401368</v>
      </c>
      <c r="N1237" s="36">
        <v>1000</v>
      </c>
      <c r="O1237" s="36">
        <v>1.5</v>
      </c>
      <c r="P1237" s="258">
        <v>60000</v>
      </c>
      <c r="Q1237" s="2" t="s">
        <v>166</v>
      </c>
      <c r="R1237" s="56"/>
      <c r="S1237" s="36">
        <f t="shared" ref="S1237:S1257" si="547">P1237*0.3</f>
        <v>18000</v>
      </c>
      <c r="T1237" s="114">
        <f t="shared" si="546"/>
        <v>18000</v>
      </c>
    </row>
    <row r="1238" spans="1:20" s="223" customFormat="1" x14ac:dyDescent="0.2">
      <c r="A1238" s="8" t="str">
        <f t="shared" si="541"/>
        <v>110321</v>
      </c>
      <c r="B1238" s="8">
        <v>11</v>
      </c>
      <c r="C1238" s="8">
        <v>3</v>
      </c>
      <c r="D1238" s="8" t="s">
        <v>63</v>
      </c>
      <c r="E1238" s="8">
        <v>1</v>
      </c>
      <c r="F1238" s="34">
        <f t="shared" si="542"/>
        <v>400312</v>
      </c>
      <c r="G1238" s="34">
        <f t="shared" si="542"/>
        <v>400312</v>
      </c>
      <c r="H1238" s="34">
        <f t="shared" si="543"/>
        <v>45750</v>
      </c>
      <c r="I1238" s="34">
        <f t="shared" si="543"/>
        <v>45750</v>
      </c>
      <c r="J1238" s="34">
        <f t="shared" si="544"/>
        <v>816964</v>
      </c>
      <c r="K1238" s="133">
        <v>1000</v>
      </c>
      <c r="L1238" s="34">
        <v>2500</v>
      </c>
      <c r="M1238" s="257">
        <f t="shared" si="545"/>
        <v>309447.016922882</v>
      </c>
      <c r="N1238" s="36">
        <v>1000</v>
      </c>
      <c r="O1238" s="36">
        <v>1.5</v>
      </c>
      <c r="P1238" s="258">
        <v>61000</v>
      </c>
      <c r="Q1238" s="2" t="s">
        <v>166</v>
      </c>
      <c r="R1238" s="56"/>
      <c r="S1238" s="36">
        <f t="shared" si="547"/>
        <v>18300</v>
      </c>
      <c r="T1238" s="114">
        <f t="shared" si="546"/>
        <v>18300</v>
      </c>
    </row>
    <row r="1239" spans="1:20" s="223" customFormat="1" x14ac:dyDescent="0.2">
      <c r="A1239" s="8" t="str">
        <f t="shared" si="541"/>
        <v>110421</v>
      </c>
      <c r="B1239" s="8">
        <v>11</v>
      </c>
      <c r="C1239" s="8">
        <v>4</v>
      </c>
      <c r="D1239" s="8" t="s">
        <v>63</v>
      </c>
      <c r="E1239" s="8">
        <v>1</v>
      </c>
      <c r="F1239" s="34">
        <f t="shared" si="542"/>
        <v>406875</v>
      </c>
      <c r="G1239" s="34">
        <f t="shared" si="542"/>
        <v>406875</v>
      </c>
      <c r="H1239" s="34">
        <f t="shared" si="543"/>
        <v>46500</v>
      </c>
      <c r="I1239" s="34">
        <f t="shared" si="543"/>
        <v>46500</v>
      </c>
      <c r="J1239" s="34">
        <f t="shared" si="544"/>
        <v>830357</v>
      </c>
      <c r="K1239" s="133">
        <v>1000</v>
      </c>
      <c r="L1239" s="34">
        <v>2500</v>
      </c>
      <c r="M1239" s="257">
        <f t="shared" si="545"/>
        <v>317087.69717855658</v>
      </c>
      <c r="N1239" s="36">
        <v>1000</v>
      </c>
      <c r="O1239" s="36">
        <v>1.5</v>
      </c>
      <c r="P1239" s="258">
        <v>62000</v>
      </c>
      <c r="Q1239" s="2" t="s">
        <v>166</v>
      </c>
      <c r="R1239" s="56"/>
      <c r="S1239" s="36">
        <f t="shared" si="547"/>
        <v>18600</v>
      </c>
      <c r="T1239" s="114">
        <f t="shared" si="546"/>
        <v>18600</v>
      </c>
    </row>
    <row r="1240" spans="1:20" s="223" customFormat="1" x14ac:dyDescent="0.2">
      <c r="A1240" s="8" t="str">
        <f t="shared" si="541"/>
        <v>110521</v>
      </c>
      <c r="B1240" s="8">
        <v>11</v>
      </c>
      <c r="C1240" s="8">
        <v>5</v>
      </c>
      <c r="D1240" s="8" t="s">
        <v>63</v>
      </c>
      <c r="E1240" s="8">
        <v>1</v>
      </c>
      <c r="F1240" s="34">
        <f t="shared" si="542"/>
        <v>413437</v>
      </c>
      <c r="G1240" s="34">
        <f t="shared" si="542"/>
        <v>413437</v>
      </c>
      <c r="H1240" s="34">
        <f t="shared" si="543"/>
        <v>47250</v>
      </c>
      <c r="I1240" s="34">
        <f t="shared" si="543"/>
        <v>47250</v>
      </c>
      <c r="J1240" s="34">
        <f t="shared" si="544"/>
        <v>843750</v>
      </c>
      <c r="K1240" s="133">
        <v>1000</v>
      </c>
      <c r="L1240" s="34">
        <v>2500</v>
      </c>
      <c r="M1240" s="257">
        <f t="shared" si="545"/>
        <v>324789.8559838346</v>
      </c>
      <c r="N1240" s="36">
        <v>1000</v>
      </c>
      <c r="O1240" s="36">
        <v>1.5</v>
      </c>
      <c r="P1240" s="258">
        <v>63000</v>
      </c>
      <c r="Q1240" s="2" t="s">
        <v>166</v>
      </c>
      <c r="R1240" s="56"/>
      <c r="S1240" s="36">
        <f t="shared" si="547"/>
        <v>18900</v>
      </c>
      <c r="T1240" s="114">
        <f t="shared" si="546"/>
        <v>18900</v>
      </c>
    </row>
    <row r="1241" spans="1:20" s="223" customFormat="1" x14ac:dyDescent="0.2">
      <c r="A1241" s="8" t="str">
        <f t="shared" si="541"/>
        <v>110621</v>
      </c>
      <c r="B1241" s="8">
        <v>11</v>
      </c>
      <c r="C1241" s="8">
        <v>6</v>
      </c>
      <c r="D1241" s="8" t="s">
        <v>63</v>
      </c>
      <c r="E1241" s="8">
        <v>1</v>
      </c>
      <c r="F1241" s="34">
        <f t="shared" si="542"/>
        <v>420000</v>
      </c>
      <c r="G1241" s="34">
        <f t="shared" si="542"/>
        <v>420000</v>
      </c>
      <c r="H1241" s="34">
        <f t="shared" si="543"/>
        <v>48000</v>
      </c>
      <c r="I1241" s="34">
        <f t="shared" si="543"/>
        <v>48000</v>
      </c>
      <c r="J1241" s="34">
        <f t="shared" si="544"/>
        <v>857142</v>
      </c>
      <c r="K1241" s="133">
        <v>1000</v>
      </c>
      <c r="L1241" s="34">
        <v>2500</v>
      </c>
      <c r="M1241" s="257">
        <f t="shared" si="545"/>
        <v>332553.58877630538</v>
      </c>
      <c r="N1241" s="36">
        <v>1000</v>
      </c>
      <c r="O1241" s="36">
        <v>1.5</v>
      </c>
      <c r="P1241" s="258">
        <v>64000</v>
      </c>
      <c r="Q1241" s="2" t="s">
        <v>166</v>
      </c>
      <c r="R1241" s="56"/>
      <c r="S1241" s="36">
        <f t="shared" si="547"/>
        <v>19200</v>
      </c>
      <c r="T1241" s="114">
        <f t="shared" si="546"/>
        <v>19200</v>
      </c>
    </row>
    <row r="1242" spans="1:20" s="223" customFormat="1" x14ac:dyDescent="0.2">
      <c r="A1242" s="8" t="str">
        <f t="shared" si="541"/>
        <v>110721</v>
      </c>
      <c r="B1242" s="8">
        <v>11</v>
      </c>
      <c r="C1242" s="8">
        <v>7</v>
      </c>
      <c r="D1242" s="8" t="s">
        <v>63</v>
      </c>
      <c r="E1242" s="8">
        <v>1</v>
      </c>
      <c r="F1242" s="34">
        <f t="shared" si="542"/>
        <v>426562</v>
      </c>
      <c r="G1242" s="34">
        <f t="shared" si="542"/>
        <v>426562</v>
      </c>
      <c r="H1242" s="34">
        <f t="shared" si="543"/>
        <v>48750</v>
      </c>
      <c r="I1242" s="34">
        <f t="shared" si="543"/>
        <v>48750</v>
      </c>
      <c r="J1242" s="34">
        <f t="shared" si="544"/>
        <v>870535</v>
      </c>
      <c r="K1242" s="133">
        <v>1000</v>
      </c>
      <c r="L1242" s="34">
        <v>2500</v>
      </c>
      <c r="M1242" s="257">
        <f t="shared" si="545"/>
        <v>340378.01193531882</v>
      </c>
      <c r="N1242" s="36">
        <v>1000</v>
      </c>
      <c r="O1242" s="36">
        <v>1.5</v>
      </c>
      <c r="P1242" s="258">
        <v>65000</v>
      </c>
      <c r="Q1242" s="2" t="s">
        <v>166</v>
      </c>
      <c r="R1242" s="56"/>
      <c r="S1242" s="36">
        <f t="shared" si="547"/>
        <v>19500</v>
      </c>
      <c r="T1242" s="114">
        <f t="shared" si="546"/>
        <v>19500</v>
      </c>
    </row>
    <row r="1243" spans="1:20" s="223" customFormat="1" x14ac:dyDescent="0.2">
      <c r="A1243" s="8" t="str">
        <f t="shared" si="541"/>
        <v>110821</v>
      </c>
      <c r="B1243" s="8">
        <v>11</v>
      </c>
      <c r="C1243" s="8">
        <v>8</v>
      </c>
      <c r="D1243" s="8" t="s">
        <v>63</v>
      </c>
      <c r="E1243" s="8">
        <v>1</v>
      </c>
      <c r="F1243" s="34">
        <f t="shared" si="542"/>
        <v>433125</v>
      </c>
      <c r="G1243" s="34">
        <f t="shared" si="542"/>
        <v>433125</v>
      </c>
      <c r="H1243" s="34">
        <f t="shared" si="543"/>
        <v>49500</v>
      </c>
      <c r="I1243" s="34">
        <f t="shared" si="543"/>
        <v>49500</v>
      </c>
      <c r="J1243" s="34">
        <f t="shared" si="544"/>
        <v>883928</v>
      </c>
      <c r="K1243" s="133">
        <v>1000</v>
      </c>
      <c r="L1243" s="34">
        <v>2500</v>
      </c>
      <c r="M1243" s="257">
        <f t="shared" si="545"/>
        <v>348263.25759689324</v>
      </c>
      <c r="N1243" s="36">
        <v>1000</v>
      </c>
      <c r="O1243" s="36">
        <v>1.5</v>
      </c>
      <c r="P1243" s="258">
        <v>66000</v>
      </c>
      <c r="Q1243" s="2" t="s">
        <v>166</v>
      </c>
      <c r="R1243" s="56"/>
      <c r="S1243" s="36">
        <f t="shared" si="547"/>
        <v>19800</v>
      </c>
      <c r="T1243" s="114">
        <f t="shared" si="546"/>
        <v>19800</v>
      </c>
    </row>
    <row r="1244" spans="1:20" s="223" customFormat="1" x14ac:dyDescent="0.2">
      <c r="A1244" s="8" t="str">
        <f t="shared" si="541"/>
        <v>110921</v>
      </c>
      <c r="B1244" s="8">
        <v>11</v>
      </c>
      <c r="C1244" s="8">
        <v>9</v>
      </c>
      <c r="D1244" s="8" t="s">
        <v>63</v>
      </c>
      <c r="E1244" s="8">
        <v>1</v>
      </c>
      <c r="F1244" s="34">
        <f t="shared" si="542"/>
        <v>439687</v>
      </c>
      <c r="G1244" s="34">
        <f t="shared" si="542"/>
        <v>439687</v>
      </c>
      <c r="H1244" s="34">
        <f t="shared" si="543"/>
        <v>50250</v>
      </c>
      <c r="I1244" s="34">
        <f t="shared" si="543"/>
        <v>50250</v>
      </c>
      <c r="J1244" s="34">
        <f t="shared" si="544"/>
        <v>897321</v>
      </c>
      <c r="K1244" s="133">
        <v>1000</v>
      </c>
      <c r="L1244" s="34">
        <v>2500</v>
      </c>
      <c r="M1244" s="257">
        <f t="shared" si="545"/>
        <v>356208.0652291344</v>
      </c>
      <c r="N1244" s="36">
        <v>1000</v>
      </c>
      <c r="O1244" s="36">
        <v>1.5</v>
      </c>
      <c r="P1244" s="258">
        <v>67000</v>
      </c>
      <c r="Q1244" s="2" t="s">
        <v>166</v>
      </c>
      <c r="R1244" s="56"/>
      <c r="S1244" s="36">
        <f t="shared" si="547"/>
        <v>20100</v>
      </c>
      <c r="T1244" s="114">
        <f t="shared" si="546"/>
        <v>20100</v>
      </c>
    </row>
    <row r="1245" spans="1:20" s="223" customFormat="1" x14ac:dyDescent="0.2">
      <c r="A1245" s="8" t="str">
        <f t="shared" si="541"/>
        <v>111021</v>
      </c>
      <c r="B1245" s="8">
        <v>11</v>
      </c>
      <c r="C1245" s="8">
        <v>10</v>
      </c>
      <c r="D1245" s="8" t="s">
        <v>63</v>
      </c>
      <c r="E1245" s="8">
        <v>1</v>
      </c>
      <c r="F1245" s="34">
        <f t="shared" si="542"/>
        <v>446250</v>
      </c>
      <c r="G1245" s="34">
        <f t="shared" si="542"/>
        <v>446250</v>
      </c>
      <c r="H1245" s="34">
        <f t="shared" si="543"/>
        <v>51000</v>
      </c>
      <c r="I1245" s="34">
        <f t="shared" si="543"/>
        <v>51000</v>
      </c>
      <c r="J1245" s="34">
        <f t="shared" si="544"/>
        <v>910714</v>
      </c>
      <c r="K1245" s="133">
        <v>1000</v>
      </c>
      <c r="L1245" s="34">
        <v>2500</v>
      </c>
      <c r="M1245" s="257">
        <f t="shared" si="545"/>
        <v>364212.79272425349</v>
      </c>
      <c r="N1245" s="36">
        <v>1000</v>
      </c>
      <c r="O1245" s="36">
        <v>1.5</v>
      </c>
      <c r="P1245" s="258">
        <v>68000</v>
      </c>
      <c r="Q1245" s="2" t="s">
        <v>166</v>
      </c>
      <c r="R1245" s="56"/>
      <c r="S1245" s="36">
        <f t="shared" si="547"/>
        <v>20400</v>
      </c>
      <c r="T1245" s="114">
        <f t="shared" si="546"/>
        <v>20400</v>
      </c>
    </row>
    <row r="1246" spans="1:20" s="223" customFormat="1" x14ac:dyDescent="0.2">
      <c r="A1246" s="8" t="str">
        <f t="shared" si="541"/>
        <v>111121</v>
      </c>
      <c r="B1246" s="8">
        <v>11</v>
      </c>
      <c r="C1246" s="8">
        <v>11</v>
      </c>
      <c r="D1246" s="8" t="s">
        <v>63</v>
      </c>
      <c r="E1246" s="8">
        <v>1</v>
      </c>
      <c r="F1246" s="34">
        <f t="shared" si="542"/>
        <v>452812</v>
      </c>
      <c r="G1246" s="34">
        <f t="shared" si="542"/>
        <v>452812</v>
      </c>
      <c r="H1246" s="34">
        <f t="shared" si="543"/>
        <v>51750</v>
      </c>
      <c r="I1246" s="34">
        <f t="shared" si="543"/>
        <v>51750</v>
      </c>
      <c r="J1246" s="34">
        <f t="shared" si="544"/>
        <v>924107</v>
      </c>
      <c r="K1246" s="133">
        <v>1000</v>
      </c>
      <c r="L1246" s="34">
        <v>2500</v>
      </c>
      <c r="M1246" s="257">
        <f t="shared" si="545"/>
        <v>372276.1876864821</v>
      </c>
      <c r="N1246" s="36">
        <v>1000</v>
      </c>
      <c r="O1246" s="36">
        <v>1.5</v>
      </c>
      <c r="P1246" s="258">
        <v>69000</v>
      </c>
      <c r="Q1246" s="2" t="s">
        <v>166</v>
      </c>
      <c r="R1246" s="56" t="s">
        <v>1093</v>
      </c>
      <c r="S1246" s="36">
        <f t="shared" si="547"/>
        <v>20700</v>
      </c>
      <c r="T1246" s="114">
        <f t="shared" si="546"/>
        <v>20700</v>
      </c>
    </row>
    <row r="1247" spans="1:20" s="223" customFormat="1" x14ac:dyDescent="0.2">
      <c r="A1247" s="8" t="str">
        <f t="shared" si="541"/>
        <v>110129</v>
      </c>
      <c r="B1247" s="8">
        <v>11</v>
      </c>
      <c r="C1247" s="8">
        <v>1</v>
      </c>
      <c r="D1247" s="8" t="s">
        <v>63</v>
      </c>
      <c r="E1247" s="8">
        <v>9</v>
      </c>
      <c r="F1247" s="34">
        <f t="shared" si="542"/>
        <v>1032500</v>
      </c>
      <c r="G1247" s="34">
        <f t="shared" si="542"/>
        <v>1032500</v>
      </c>
      <c r="H1247" s="34">
        <f t="shared" si="543"/>
        <v>45000</v>
      </c>
      <c r="I1247" s="34">
        <f t="shared" si="543"/>
        <v>45000</v>
      </c>
      <c r="J1247" s="34">
        <f t="shared" si="544"/>
        <v>2107142</v>
      </c>
      <c r="K1247" s="133">
        <v>1000</v>
      </c>
      <c r="L1247" s="34">
        <v>2500</v>
      </c>
      <c r="M1247" s="257">
        <f t="shared" si="545"/>
        <v>791567.90303801477</v>
      </c>
      <c r="N1247" s="36">
        <v>1000</v>
      </c>
      <c r="O1247" s="36">
        <v>4</v>
      </c>
      <c r="P1247" s="258">
        <v>59000</v>
      </c>
      <c r="Q1247" s="2" t="s">
        <v>166</v>
      </c>
      <c r="R1247" s="2"/>
      <c r="S1247" s="36">
        <v>18000</v>
      </c>
      <c r="T1247" s="114">
        <f t="shared" si="546"/>
        <v>18000</v>
      </c>
    </row>
    <row r="1248" spans="1:20" s="223" customFormat="1" x14ac:dyDescent="0.2">
      <c r="A1248" s="8" t="str">
        <f t="shared" si="541"/>
        <v>110229</v>
      </c>
      <c r="B1248" s="8">
        <v>11</v>
      </c>
      <c r="C1248" s="8">
        <v>2</v>
      </c>
      <c r="D1248" s="8" t="s">
        <v>63</v>
      </c>
      <c r="E1248" s="8">
        <v>9</v>
      </c>
      <c r="F1248" s="34">
        <f t="shared" si="542"/>
        <v>1050000</v>
      </c>
      <c r="G1248" s="34">
        <f t="shared" si="542"/>
        <v>1050000</v>
      </c>
      <c r="H1248" s="34">
        <f t="shared" si="543"/>
        <v>45000</v>
      </c>
      <c r="I1248" s="34">
        <f t="shared" si="543"/>
        <v>45000</v>
      </c>
      <c r="J1248" s="34">
        <f t="shared" si="544"/>
        <v>2142857</v>
      </c>
      <c r="K1248" s="133">
        <v>1000</v>
      </c>
      <c r="L1248" s="34">
        <v>2500</v>
      </c>
      <c r="M1248" s="257">
        <f t="shared" si="545"/>
        <v>804984.44506710814</v>
      </c>
      <c r="N1248" s="36">
        <v>1000</v>
      </c>
      <c r="O1248" s="36">
        <v>4</v>
      </c>
      <c r="P1248" s="258">
        <v>60000</v>
      </c>
      <c r="Q1248" s="2" t="s">
        <v>166</v>
      </c>
      <c r="R1248" s="2"/>
      <c r="S1248" s="36">
        <f t="shared" si="547"/>
        <v>18000</v>
      </c>
      <c r="T1248" s="114">
        <f t="shared" si="546"/>
        <v>18000</v>
      </c>
    </row>
    <row r="1249" spans="1:20" s="223" customFormat="1" x14ac:dyDescent="0.2">
      <c r="A1249" s="8" t="str">
        <f t="shared" si="541"/>
        <v>110329</v>
      </c>
      <c r="B1249" s="8">
        <v>11</v>
      </c>
      <c r="C1249" s="8">
        <v>3</v>
      </c>
      <c r="D1249" s="8" t="s">
        <v>63</v>
      </c>
      <c r="E1249" s="8">
        <v>9</v>
      </c>
      <c r="F1249" s="34">
        <f t="shared" si="542"/>
        <v>1067500</v>
      </c>
      <c r="G1249" s="34">
        <f t="shared" si="542"/>
        <v>1067500</v>
      </c>
      <c r="H1249" s="34">
        <f t="shared" si="543"/>
        <v>45750</v>
      </c>
      <c r="I1249" s="34">
        <f t="shared" si="543"/>
        <v>45750</v>
      </c>
      <c r="J1249" s="34">
        <f t="shared" si="544"/>
        <v>2178571</v>
      </c>
      <c r="K1249" s="133">
        <v>1000</v>
      </c>
      <c r="L1249" s="34">
        <v>2500</v>
      </c>
      <c r="M1249" s="257">
        <f t="shared" si="545"/>
        <v>825192.62360009016</v>
      </c>
      <c r="N1249" s="36">
        <v>1000</v>
      </c>
      <c r="O1249" s="36">
        <v>4</v>
      </c>
      <c r="P1249" s="258">
        <v>61000</v>
      </c>
      <c r="Q1249" s="2" t="s">
        <v>166</v>
      </c>
      <c r="R1249" s="2"/>
      <c r="S1249" s="36">
        <f t="shared" si="547"/>
        <v>18300</v>
      </c>
      <c r="T1249" s="114">
        <f t="shared" si="546"/>
        <v>18300</v>
      </c>
    </row>
    <row r="1250" spans="1:20" s="223" customFormat="1" x14ac:dyDescent="0.2">
      <c r="A1250" s="8" t="str">
        <f t="shared" si="541"/>
        <v>110429</v>
      </c>
      <c r="B1250" s="8">
        <v>11</v>
      </c>
      <c r="C1250" s="8">
        <v>4</v>
      </c>
      <c r="D1250" s="8" t="s">
        <v>63</v>
      </c>
      <c r="E1250" s="8">
        <v>9</v>
      </c>
      <c r="F1250" s="34">
        <f t="shared" si="542"/>
        <v>1085000</v>
      </c>
      <c r="G1250" s="34">
        <f t="shared" si="542"/>
        <v>1085000</v>
      </c>
      <c r="H1250" s="34">
        <f t="shared" si="543"/>
        <v>46500</v>
      </c>
      <c r="I1250" s="34">
        <f t="shared" si="543"/>
        <v>46500</v>
      </c>
      <c r="J1250" s="34">
        <f t="shared" si="544"/>
        <v>2214285</v>
      </c>
      <c r="K1250" s="133">
        <v>1000</v>
      </c>
      <c r="L1250" s="34">
        <v>2500</v>
      </c>
      <c r="M1250" s="257">
        <f t="shared" si="545"/>
        <v>845567.12883129518</v>
      </c>
      <c r="N1250" s="36">
        <v>1000</v>
      </c>
      <c r="O1250" s="36">
        <v>4</v>
      </c>
      <c r="P1250" s="258">
        <v>62000</v>
      </c>
      <c r="Q1250" s="2" t="s">
        <v>166</v>
      </c>
      <c r="R1250" s="2"/>
      <c r="S1250" s="36">
        <f t="shared" si="547"/>
        <v>18600</v>
      </c>
      <c r="T1250" s="114">
        <f t="shared" si="546"/>
        <v>18600</v>
      </c>
    </row>
    <row r="1251" spans="1:20" s="223" customFormat="1" x14ac:dyDescent="0.2">
      <c r="A1251" s="8" t="str">
        <f t="shared" si="541"/>
        <v>110529</v>
      </c>
      <c r="B1251" s="8">
        <v>11</v>
      </c>
      <c r="C1251" s="8">
        <v>5</v>
      </c>
      <c r="D1251" s="8" t="s">
        <v>63</v>
      </c>
      <c r="E1251" s="8">
        <v>9</v>
      </c>
      <c r="F1251" s="34">
        <f t="shared" si="542"/>
        <v>1137500</v>
      </c>
      <c r="G1251" s="34">
        <f t="shared" si="542"/>
        <v>1137500</v>
      </c>
      <c r="H1251" s="34">
        <f t="shared" si="543"/>
        <v>48750</v>
      </c>
      <c r="I1251" s="34">
        <f t="shared" si="543"/>
        <v>48750</v>
      </c>
      <c r="J1251" s="34">
        <f t="shared" si="544"/>
        <v>2321428</v>
      </c>
      <c r="K1251" s="133">
        <v>1000</v>
      </c>
      <c r="L1251" s="34">
        <v>2500</v>
      </c>
      <c r="M1251" s="257">
        <f t="shared" si="545"/>
        <v>907675.49113105412</v>
      </c>
      <c r="N1251" s="36">
        <v>1000</v>
      </c>
      <c r="O1251" s="36">
        <v>4</v>
      </c>
      <c r="P1251" s="258">
        <v>65000</v>
      </c>
      <c r="Q1251" s="2" t="s">
        <v>166</v>
      </c>
      <c r="R1251" s="2"/>
      <c r="S1251" s="36">
        <f t="shared" si="547"/>
        <v>19500</v>
      </c>
      <c r="T1251" s="114">
        <f t="shared" si="546"/>
        <v>19500</v>
      </c>
    </row>
    <row r="1252" spans="1:20" s="223" customFormat="1" x14ac:dyDescent="0.2">
      <c r="A1252" s="8" t="str">
        <f t="shared" si="541"/>
        <v>110629</v>
      </c>
      <c r="B1252" s="8">
        <v>11</v>
      </c>
      <c r="C1252" s="8">
        <v>6</v>
      </c>
      <c r="D1252" s="8" t="s">
        <v>63</v>
      </c>
      <c r="E1252" s="8">
        <v>9</v>
      </c>
      <c r="F1252" s="34">
        <f t="shared" si="542"/>
        <v>1120000</v>
      </c>
      <c r="G1252" s="34">
        <f t="shared" si="542"/>
        <v>1120000</v>
      </c>
      <c r="H1252" s="34">
        <f t="shared" si="543"/>
        <v>48000</v>
      </c>
      <c r="I1252" s="34">
        <f t="shared" si="543"/>
        <v>48000</v>
      </c>
      <c r="J1252" s="34">
        <f t="shared" si="544"/>
        <v>2285714</v>
      </c>
      <c r="K1252" s="133">
        <v>1000</v>
      </c>
      <c r="L1252" s="34">
        <v>2500</v>
      </c>
      <c r="M1252" s="257">
        <f t="shared" si="545"/>
        <v>886809.9580496375</v>
      </c>
      <c r="N1252" s="36">
        <v>1000</v>
      </c>
      <c r="O1252" s="36">
        <v>4</v>
      </c>
      <c r="P1252" s="258">
        <v>64000</v>
      </c>
      <c r="Q1252" s="2" t="s">
        <v>166</v>
      </c>
      <c r="R1252" s="2"/>
      <c r="S1252" s="36">
        <f t="shared" si="547"/>
        <v>19200</v>
      </c>
      <c r="T1252" s="114">
        <f t="shared" si="546"/>
        <v>19200</v>
      </c>
    </row>
    <row r="1253" spans="1:20" s="223" customFormat="1" x14ac:dyDescent="0.2">
      <c r="A1253" s="8" t="str">
        <f t="shared" si="541"/>
        <v>110729</v>
      </c>
      <c r="B1253" s="8">
        <v>11</v>
      </c>
      <c r="C1253" s="8">
        <v>7</v>
      </c>
      <c r="D1253" s="8" t="s">
        <v>63</v>
      </c>
      <c r="E1253" s="8">
        <v>9</v>
      </c>
      <c r="F1253" s="34">
        <f t="shared" si="542"/>
        <v>1137500</v>
      </c>
      <c r="G1253" s="34">
        <f t="shared" si="542"/>
        <v>1137500</v>
      </c>
      <c r="H1253" s="34">
        <f t="shared" si="543"/>
        <v>48750</v>
      </c>
      <c r="I1253" s="34">
        <f t="shared" si="543"/>
        <v>48750</v>
      </c>
      <c r="J1253" s="34">
        <f t="shared" si="544"/>
        <v>2321428</v>
      </c>
      <c r="K1253" s="133">
        <v>1000</v>
      </c>
      <c r="L1253" s="34">
        <v>2500</v>
      </c>
      <c r="M1253" s="257">
        <f t="shared" si="545"/>
        <v>907675.49113105412</v>
      </c>
      <c r="N1253" s="36">
        <v>1000</v>
      </c>
      <c r="O1253" s="36">
        <v>4</v>
      </c>
      <c r="P1253" s="258">
        <v>65000</v>
      </c>
      <c r="Q1253" s="2" t="s">
        <v>166</v>
      </c>
      <c r="R1253" s="2"/>
      <c r="S1253" s="36">
        <f t="shared" si="547"/>
        <v>19500</v>
      </c>
      <c r="T1253" s="114">
        <f t="shared" si="546"/>
        <v>19500</v>
      </c>
    </row>
    <row r="1254" spans="1:20" s="223" customFormat="1" x14ac:dyDescent="0.2">
      <c r="A1254" s="8" t="str">
        <f t="shared" si="541"/>
        <v>110829</v>
      </c>
      <c r="B1254" s="8">
        <v>11</v>
      </c>
      <c r="C1254" s="8">
        <v>8</v>
      </c>
      <c r="D1254" s="8" t="s">
        <v>63</v>
      </c>
      <c r="E1254" s="8">
        <v>9</v>
      </c>
      <c r="F1254" s="34">
        <f t="shared" si="542"/>
        <v>1155000</v>
      </c>
      <c r="G1254" s="34">
        <f t="shared" si="542"/>
        <v>1155000</v>
      </c>
      <c r="H1254" s="34">
        <f t="shared" si="543"/>
        <v>49500</v>
      </c>
      <c r="I1254" s="34">
        <f t="shared" si="543"/>
        <v>49500</v>
      </c>
      <c r="J1254" s="34">
        <f t="shared" si="544"/>
        <v>2357142</v>
      </c>
      <c r="K1254" s="133">
        <v>1000</v>
      </c>
      <c r="L1254" s="34">
        <v>2500</v>
      </c>
      <c r="M1254" s="257">
        <f t="shared" si="545"/>
        <v>928702.15159005637</v>
      </c>
      <c r="N1254" s="36">
        <v>1000</v>
      </c>
      <c r="O1254" s="36">
        <v>4</v>
      </c>
      <c r="P1254" s="258">
        <v>66000</v>
      </c>
      <c r="Q1254" s="2" t="s">
        <v>166</v>
      </c>
      <c r="R1254" s="2"/>
      <c r="S1254" s="36">
        <f t="shared" si="547"/>
        <v>19800</v>
      </c>
      <c r="T1254" s="114">
        <f t="shared" si="546"/>
        <v>19800</v>
      </c>
    </row>
    <row r="1255" spans="1:20" s="223" customFormat="1" x14ac:dyDescent="0.2">
      <c r="A1255" s="8" t="str">
        <f t="shared" si="541"/>
        <v>110929</v>
      </c>
      <c r="B1255" s="8">
        <v>11</v>
      </c>
      <c r="C1255" s="8">
        <v>9</v>
      </c>
      <c r="D1255" s="8" t="s">
        <v>63</v>
      </c>
      <c r="E1255" s="8">
        <v>9</v>
      </c>
      <c r="F1255" s="34">
        <f t="shared" si="542"/>
        <v>1172500</v>
      </c>
      <c r="G1255" s="34">
        <f t="shared" si="542"/>
        <v>1172500</v>
      </c>
      <c r="H1255" s="34">
        <f t="shared" si="543"/>
        <v>50250</v>
      </c>
      <c r="I1255" s="34">
        <f t="shared" si="543"/>
        <v>50250</v>
      </c>
      <c r="J1255" s="34">
        <f t="shared" si="544"/>
        <v>2392857</v>
      </c>
      <c r="K1255" s="133">
        <v>1000</v>
      </c>
      <c r="L1255" s="34">
        <v>2500</v>
      </c>
      <c r="M1255" s="257">
        <f t="shared" si="545"/>
        <v>949888.91252188012</v>
      </c>
      <c r="N1255" s="36">
        <v>1000</v>
      </c>
      <c r="O1255" s="36">
        <v>4</v>
      </c>
      <c r="P1255" s="258">
        <v>67000</v>
      </c>
      <c r="Q1255" s="2" t="s">
        <v>166</v>
      </c>
      <c r="R1255" s="2"/>
      <c r="S1255" s="36">
        <f t="shared" si="547"/>
        <v>20100</v>
      </c>
      <c r="T1255" s="114">
        <f t="shared" si="546"/>
        <v>20100</v>
      </c>
    </row>
    <row r="1256" spans="1:20" s="223" customFormat="1" x14ac:dyDescent="0.2">
      <c r="A1256" s="8" t="str">
        <f t="shared" si="541"/>
        <v>111029</v>
      </c>
      <c r="B1256" s="8">
        <v>11</v>
      </c>
      <c r="C1256" s="8">
        <v>10</v>
      </c>
      <c r="D1256" s="8" t="s">
        <v>63</v>
      </c>
      <c r="E1256" s="8">
        <v>9</v>
      </c>
      <c r="F1256" s="34">
        <f t="shared" si="542"/>
        <v>1190000</v>
      </c>
      <c r="G1256" s="34">
        <f t="shared" si="542"/>
        <v>1190000</v>
      </c>
      <c r="H1256" s="34">
        <f t="shared" si="543"/>
        <v>51000</v>
      </c>
      <c r="I1256" s="34">
        <f t="shared" si="543"/>
        <v>51000</v>
      </c>
      <c r="J1256" s="34">
        <f t="shared" si="544"/>
        <v>2428571</v>
      </c>
      <c r="K1256" s="133">
        <v>1000</v>
      </c>
      <c r="L1256" s="34">
        <v>2500</v>
      </c>
      <c r="M1256" s="257">
        <f t="shared" si="545"/>
        <v>971234.18058468273</v>
      </c>
      <c r="N1256" s="36">
        <v>1000</v>
      </c>
      <c r="O1256" s="36">
        <v>4</v>
      </c>
      <c r="P1256" s="258">
        <v>68000</v>
      </c>
      <c r="Q1256" s="2" t="s">
        <v>166</v>
      </c>
      <c r="R1256" s="2"/>
      <c r="S1256" s="36">
        <f t="shared" si="547"/>
        <v>20400</v>
      </c>
      <c r="T1256" s="114">
        <f t="shared" si="546"/>
        <v>20400</v>
      </c>
    </row>
    <row r="1257" spans="1:20" s="223" customFormat="1" x14ac:dyDescent="0.2">
      <c r="A1257" s="8" t="str">
        <f t="shared" si="541"/>
        <v>111129</v>
      </c>
      <c r="B1257" s="8">
        <v>11</v>
      </c>
      <c r="C1257" s="8">
        <v>11</v>
      </c>
      <c r="D1257" s="8" t="s">
        <v>63</v>
      </c>
      <c r="E1257" s="8">
        <v>9</v>
      </c>
      <c r="F1257" s="34">
        <f t="shared" si="542"/>
        <v>1207500</v>
      </c>
      <c r="G1257" s="34">
        <f t="shared" si="542"/>
        <v>1207500</v>
      </c>
      <c r="H1257" s="34">
        <f t="shared" si="543"/>
        <v>51750</v>
      </c>
      <c r="I1257" s="34">
        <f t="shared" si="543"/>
        <v>51750</v>
      </c>
      <c r="J1257" s="34">
        <f t="shared" si="544"/>
        <v>2464285</v>
      </c>
      <c r="K1257" s="133">
        <v>1000</v>
      </c>
      <c r="L1257" s="34">
        <v>2500</v>
      </c>
      <c r="M1257" s="257">
        <f t="shared" si="545"/>
        <v>992736.9814507768</v>
      </c>
      <c r="N1257" s="36">
        <v>1000</v>
      </c>
      <c r="O1257" s="36">
        <v>4</v>
      </c>
      <c r="P1257" s="258">
        <v>69000</v>
      </c>
      <c r="Q1257" s="2" t="s">
        <v>166</v>
      </c>
      <c r="R1257" s="56" t="s">
        <v>1093</v>
      </c>
      <c r="S1257" s="36">
        <f t="shared" si="547"/>
        <v>20700</v>
      </c>
      <c r="T1257" s="114">
        <f t="shared" si="546"/>
        <v>20700</v>
      </c>
    </row>
    <row r="1258" spans="1:20" s="223" customFormat="1" x14ac:dyDescent="0.2">
      <c r="A1258" s="8" t="str">
        <f t="shared" si="541"/>
        <v>113129</v>
      </c>
      <c r="B1258" s="8">
        <v>11</v>
      </c>
      <c r="C1258" s="8">
        <v>31</v>
      </c>
      <c r="D1258" s="8" t="s">
        <v>63</v>
      </c>
      <c r="E1258" s="8">
        <v>9</v>
      </c>
      <c r="F1258" s="34">
        <f t="shared" si="542"/>
        <v>61250</v>
      </c>
      <c r="G1258" s="34">
        <f t="shared" si="542"/>
        <v>61250</v>
      </c>
      <c r="H1258" s="34">
        <f t="shared" si="543"/>
        <v>7500</v>
      </c>
      <c r="I1258" s="34">
        <f t="shared" si="543"/>
        <v>7500</v>
      </c>
      <c r="J1258" s="34">
        <v>700000</v>
      </c>
      <c r="K1258" s="133">
        <v>1000</v>
      </c>
      <c r="L1258" s="34">
        <v>2500</v>
      </c>
      <c r="M1258" s="257">
        <f t="shared" si="545"/>
        <v>45365.18488885503</v>
      </c>
      <c r="N1258" s="36">
        <v>1000</v>
      </c>
      <c r="O1258" s="36">
        <v>4</v>
      </c>
      <c r="P1258" s="258">
        <v>3500</v>
      </c>
      <c r="Q1258" s="2" t="s">
        <v>166</v>
      </c>
      <c r="R1258" s="56" t="s">
        <v>1094</v>
      </c>
      <c r="S1258" s="36">
        <v>3000</v>
      </c>
      <c r="T1258" s="114">
        <f t="shared" si="546"/>
        <v>3000</v>
      </c>
    </row>
    <row r="1259" spans="1:20" s="223" customFormat="1" x14ac:dyDescent="0.2">
      <c r="A1259" s="8" t="str">
        <f t="shared" si="541"/>
        <v>113229</v>
      </c>
      <c r="B1259" s="8">
        <v>11</v>
      </c>
      <c r="C1259" s="8">
        <v>32</v>
      </c>
      <c r="D1259" s="8" t="s">
        <v>63</v>
      </c>
      <c r="E1259" s="8">
        <v>9</v>
      </c>
      <c r="F1259" s="34">
        <f t="shared" si="542"/>
        <v>437500</v>
      </c>
      <c r="G1259" s="34">
        <f t="shared" si="542"/>
        <v>437500</v>
      </c>
      <c r="H1259" s="34">
        <f t="shared" si="543"/>
        <v>62500</v>
      </c>
      <c r="I1259" s="34">
        <f t="shared" si="543"/>
        <v>62500</v>
      </c>
      <c r="J1259" s="34">
        <v>8000000</v>
      </c>
      <c r="K1259" s="133">
        <v>1000</v>
      </c>
      <c r="L1259" s="34">
        <v>2500</v>
      </c>
      <c r="M1259" s="257">
        <f t="shared" si="545"/>
        <v>1183215.9566199232</v>
      </c>
      <c r="N1259" s="36">
        <v>1000</v>
      </c>
      <c r="O1259" s="36">
        <v>4</v>
      </c>
      <c r="P1259" s="258">
        <v>25000</v>
      </c>
      <c r="Q1259" s="2" t="s">
        <v>166</v>
      </c>
      <c r="R1259" s="56" t="s">
        <v>1095</v>
      </c>
      <c r="S1259" s="36">
        <v>25000</v>
      </c>
      <c r="T1259" s="114">
        <f t="shared" si="546"/>
        <v>25000</v>
      </c>
    </row>
    <row r="1260" spans="1:20" s="223" customFormat="1" x14ac:dyDescent="0.2">
      <c r="A1260" s="8" t="str">
        <f t="shared" si="541"/>
        <v>113329</v>
      </c>
      <c r="B1260" s="8">
        <v>11</v>
      </c>
      <c r="C1260" s="8">
        <v>33</v>
      </c>
      <c r="D1260" s="8" t="s">
        <v>63</v>
      </c>
      <c r="E1260" s="8">
        <v>9</v>
      </c>
      <c r="F1260" s="34">
        <f t="shared" si="542"/>
        <v>350000</v>
      </c>
      <c r="G1260" s="34">
        <f t="shared" si="542"/>
        <v>350000</v>
      </c>
      <c r="H1260" s="34">
        <f t="shared" si="543"/>
        <v>57500</v>
      </c>
      <c r="I1260" s="34">
        <f t="shared" si="543"/>
        <v>57500</v>
      </c>
      <c r="J1260" s="34">
        <v>6000000</v>
      </c>
      <c r="K1260" s="133">
        <v>1000</v>
      </c>
      <c r="L1260" s="34">
        <v>2500</v>
      </c>
      <c r="M1260" s="257">
        <f t="shared" si="545"/>
        <v>879090.43903343647</v>
      </c>
      <c r="N1260" s="36">
        <v>1000</v>
      </c>
      <c r="O1260" s="36">
        <v>4</v>
      </c>
      <c r="P1260" s="258">
        <v>20000</v>
      </c>
      <c r="Q1260" s="2" t="s">
        <v>166</v>
      </c>
      <c r="R1260" s="56" t="s">
        <v>1097</v>
      </c>
      <c r="S1260" s="36">
        <v>23000</v>
      </c>
      <c r="T1260" s="114">
        <f t="shared" si="546"/>
        <v>23000</v>
      </c>
    </row>
    <row r="1261" spans="1:20" s="223" customFormat="1" x14ac:dyDescent="0.2">
      <c r="A1261" s="8" t="str">
        <f t="shared" si="541"/>
        <v>113429</v>
      </c>
      <c r="B1261" s="8">
        <v>11</v>
      </c>
      <c r="C1261" s="8">
        <v>34</v>
      </c>
      <c r="D1261" s="8" t="s">
        <v>63</v>
      </c>
      <c r="E1261" s="8">
        <v>9</v>
      </c>
      <c r="F1261" s="34">
        <f t="shared" si="542"/>
        <v>350000</v>
      </c>
      <c r="G1261" s="34">
        <f t="shared" si="542"/>
        <v>350000</v>
      </c>
      <c r="H1261" s="34">
        <f t="shared" si="543"/>
        <v>62500</v>
      </c>
      <c r="I1261" s="34">
        <f t="shared" si="543"/>
        <v>62500</v>
      </c>
      <c r="J1261" s="34">
        <v>7000000</v>
      </c>
      <c r="K1261" s="133">
        <v>1000</v>
      </c>
      <c r="L1261" s="34">
        <v>2500</v>
      </c>
      <c r="M1261" s="257">
        <f t="shared" si="545"/>
        <v>989949.49366116663</v>
      </c>
      <c r="N1261" s="36">
        <v>1000</v>
      </c>
      <c r="O1261" s="36">
        <v>4</v>
      </c>
      <c r="P1261" s="258">
        <v>20000</v>
      </c>
      <c r="Q1261" s="2" t="s">
        <v>166</v>
      </c>
      <c r="R1261" s="56" t="s">
        <v>1099</v>
      </c>
      <c r="S1261" s="36">
        <v>25000</v>
      </c>
      <c r="T1261" s="114">
        <f t="shared" si="546"/>
        <v>25000</v>
      </c>
    </row>
    <row r="1262" spans="1:20" s="223" customFormat="1" x14ac:dyDescent="0.2">
      <c r="A1262" s="8" t="str">
        <f t="shared" si="541"/>
        <v>113529</v>
      </c>
      <c r="B1262" s="8">
        <v>11</v>
      </c>
      <c r="C1262" s="8">
        <v>35</v>
      </c>
      <c r="D1262" s="8" t="s">
        <v>63</v>
      </c>
      <c r="E1262" s="8">
        <v>9</v>
      </c>
      <c r="F1262" s="34">
        <f t="shared" si="542"/>
        <v>787500</v>
      </c>
      <c r="G1262" s="34">
        <f>ROUNDDOWN($P1262/4*$O1262*10*$N1262/$N1262*$Q1262/400,0)</f>
        <v>787500</v>
      </c>
      <c r="H1262" s="34">
        <f t="shared" si="543"/>
        <v>125000</v>
      </c>
      <c r="I1262" s="34">
        <f t="shared" si="543"/>
        <v>125000</v>
      </c>
      <c r="J1262" s="34">
        <v>15000000</v>
      </c>
      <c r="K1262" s="133">
        <v>1000</v>
      </c>
      <c r="L1262" s="34">
        <v>2500</v>
      </c>
      <c r="M1262" s="257">
        <f t="shared" si="545"/>
        <v>3074085.2297878796</v>
      </c>
      <c r="N1262" s="36">
        <v>1000</v>
      </c>
      <c r="O1262" s="36">
        <v>4</v>
      </c>
      <c r="P1262" s="258">
        <v>45000</v>
      </c>
      <c r="Q1262" s="2" t="s">
        <v>166</v>
      </c>
      <c r="R1262" s="56" t="s">
        <v>1096</v>
      </c>
      <c r="S1262" s="36">
        <v>50000</v>
      </c>
      <c r="T1262" s="114">
        <f t="shared" si="546"/>
        <v>50000</v>
      </c>
    </row>
    <row r="1263" spans="1:20" ht="38.25" x14ac:dyDescent="0.2">
      <c r="A1263" s="8" t="str">
        <f t="shared" ref="A1263" si="548">IF(B1263="","",CONCATENATE(B1263,CONCATENATE(REPT(0,2-LEN(C1263)),C1263),IF(OR(D1263="Easy",D1263=""),1,IF(D1263="Normal",2,IF(D1263="Hard",3,IF(D1263="Hell",4,"error")))),E1263))</f>
        <v/>
      </c>
      <c r="B1263" s="5"/>
      <c r="C1263" s="6" t="s">
        <v>712</v>
      </c>
      <c r="D1263" s="5"/>
      <c r="E1263" s="5"/>
      <c r="F1263" s="5"/>
      <c r="G1263" s="5"/>
      <c r="H1263" s="5"/>
      <c r="I1263" s="5"/>
      <c r="J1263" s="5"/>
      <c r="K1263" s="133">
        <v>1000</v>
      </c>
      <c r="L1263" s="5"/>
      <c r="M1263" s="16">
        <f t="shared" ref="M1263" si="549">(F1263*J1263*((H1263+I1263)/2)/1000)^(1/2)/10*0.8</f>
        <v>0</v>
      </c>
      <c r="N1263" s="5"/>
      <c r="O1263" s="5"/>
      <c r="P1263" s="5">
        <v>0</v>
      </c>
      <c r="Q1263" s="5"/>
      <c r="R1263" s="5"/>
      <c r="S1263" s="30"/>
      <c r="T1263" s="266"/>
    </row>
    <row r="1264" spans="1:20" x14ac:dyDescent="0.2">
      <c r="A1264" s="8" t="str">
        <f t="shared" si="462"/>
        <v>1090130</v>
      </c>
      <c r="B1264" s="8">
        <v>109</v>
      </c>
      <c r="C1264" s="8">
        <v>1</v>
      </c>
      <c r="D1264" s="8" t="s">
        <v>64</v>
      </c>
      <c r="E1264" s="8">
        <v>0</v>
      </c>
      <c r="F1264" s="34">
        <f>ROUNDDOWN($P1264/4*$O1264*10*$N1264/$N1264*$Q1264/400,0)</f>
        <v>88000</v>
      </c>
      <c r="G1264" s="34">
        <f>ROUNDDOWN($P1264/4*$O1264*10*$N1264/$N1264*$Q1264/400,0)</f>
        <v>88000</v>
      </c>
      <c r="H1264" s="34">
        <f>ROUNDDOWN($S1264/4*10,0)</f>
        <v>64000</v>
      </c>
      <c r="I1264" s="34">
        <f>ROUNDDOWN($S1264/4*10,0)</f>
        <v>64000</v>
      </c>
      <c r="J1264" s="34">
        <f>ROUNDDOWN($P1264/4*$O1264*10*$N1264/$Q1264*$N1264/400,0)</f>
        <v>235636</v>
      </c>
      <c r="K1264" s="133">
        <v>1000</v>
      </c>
      <c r="L1264" s="34">
        <v>700</v>
      </c>
      <c r="M1264" s="16">
        <f t="shared" si="463"/>
        <v>92159.928888861468</v>
      </c>
      <c r="N1264" s="36">
        <v>900</v>
      </c>
      <c r="O1264" s="36">
        <v>0.5</v>
      </c>
      <c r="P1264" s="66">
        <v>51200</v>
      </c>
      <c r="Q1264" s="41" t="s">
        <v>360</v>
      </c>
      <c r="S1264" s="36">
        <f>P1264*0.5</f>
        <v>25600</v>
      </c>
      <c r="T1264" s="114">
        <f>S1264</f>
        <v>25600</v>
      </c>
    </row>
    <row r="1265" spans="1:20" x14ac:dyDescent="0.2">
      <c r="A1265" s="8" t="str">
        <f t="shared" si="462"/>
        <v>1090131</v>
      </c>
      <c r="B1265" s="8">
        <v>109</v>
      </c>
      <c r="C1265" s="8">
        <v>1</v>
      </c>
      <c r="D1265" s="8" t="s">
        <v>64</v>
      </c>
      <c r="E1265" s="8">
        <v>1</v>
      </c>
      <c r="F1265" s="34">
        <f t="shared" ref="F1265:G1273" si="550">ROUNDDOWN($P1265/4*$O1265*10*$N1265/$N1265*$Q1265/400,0)</f>
        <v>176000</v>
      </c>
      <c r="G1265" s="34">
        <f t="shared" si="550"/>
        <v>176000</v>
      </c>
      <c r="H1265" s="34">
        <f t="shared" ref="H1265:I1273" si="551">ROUNDDOWN($S1265/4*10,0)</f>
        <v>64000</v>
      </c>
      <c r="I1265" s="34">
        <f t="shared" si="551"/>
        <v>64000</v>
      </c>
      <c r="J1265" s="34">
        <f t="shared" ref="J1265:J1273" si="552">ROUNDDOWN($P1265/4*$O1265*10*$N1265/$Q1265*$N1265/400,0)</f>
        <v>450560</v>
      </c>
      <c r="K1265" s="133">
        <v>1000</v>
      </c>
      <c r="L1265" s="34">
        <v>900</v>
      </c>
      <c r="M1265" s="16">
        <f t="shared" si="463"/>
        <v>180224</v>
      </c>
      <c r="N1265" s="36">
        <v>880</v>
      </c>
      <c r="O1265" s="36">
        <v>1</v>
      </c>
      <c r="P1265" s="66">
        <v>51200</v>
      </c>
      <c r="Q1265" s="41" t="s">
        <v>360</v>
      </c>
      <c r="S1265" s="36">
        <f t="shared" ref="S1265:S1273" si="553">P1265*0.5</f>
        <v>25600</v>
      </c>
      <c r="T1265" s="114">
        <f t="shared" ref="T1265:T1273" si="554">S1265</f>
        <v>25600</v>
      </c>
    </row>
    <row r="1266" spans="1:20" x14ac:dyDescent="0.2">
      <c r="A1266" s="8" t="str">
        <f t="shared" si="462"/>
        <v>1090132</v>
      </c>
      <c r="B1266" s="8">
        <v>109</v>
      </c>
      <c r="C1266" s="8">
        <v>1</v>
      </c>
      <c r="D1266" s="8" t="s">
        <v>64</v>
      </c>
      <c r="E1266" s="8">
        <v>2</v>
      </c>
      <c r="F1266" s="34">
        <f t="shared" si="550"/>
        <v>352000</v>
      </c>
      <c r="G1266" s="34">
        <f t="shared" si="550"/>
        <v>352000</v>
      </c>
      <c r="H1266" s="34">
        <f t="shared" si="551"/>
        <v>64000</v>
      </c>
      <c r="I1266" s="34">
        <f t="shared" si="551"/>
        <v>64000</v>
      </c>
      <c r="J1266" s="34">
        <f t="shared" si="552"/>
        <v>860625</v>
      </c>
      <c r="K1266" s="133">
        <v>1000</v>
      </c>
      <c r="L1266" s="34">
        <v>1100</v>
      </c>
      <c r="M1266" s="16">
        <f t="shared" si="463"/>
        <v>352255.9069767319</v>
      </c>
      <c r="N1266" s="36">
        <v>860</v>
      </c>
      <c r="O1266" s="36">
        <v>2</v>
      </c>
      <c r="P1266" s="66">
        <v>51200</v>
      </c>
      <c r="Q1266" s="41" t="s">
        <v>360</v>
      </c>
      <c r="S1266" s="36">
        <f t="shared" si="553"/>
        <v>25600</v>
      </c>
      <c r="T1266" s="114">
        <f t="shared" si="554"/>
        <v>25600</v>
      </c>
    </row>
    <row r="1267" spans="1:20" x14ac:dyDescent="0.2">
      <c r="A1267" s="8" t="str">
        <f t="shared" si="462"/>
        <v>1090133</v>
      </c>
      <c r="B1267" s="8">
        <v>109</v>
      </c>
      <c r="C1267" s="8">
        <v>1</v>
      </c>
      <c r="D1267" s="8" t="s">
        <v>64</v>
      </c>
      <c r="E1267" s="8">
        <v>3</v>
      </c>
      <c r="F1267" s="34">
        <f t="shared" si="550"/>
        <v>528000</v>
      </c>
      <c r="G1267" s="34">
        <f t="shared" si="550"/>
        <v>528000</v>
      </c>
      <c r="H1267" s="34">
        <f t="shared" si="551"/>
        <v>64000</v>
      </c>
      <c r="I1267" s="34">
        <f t="shared" si="551"/>
        <v>64000</v>
      </c>
      <c r="J1267" s="34">
        <f t="shared" si="552"/>
        <v>1231592</v>
      </c>
      <c r="K1267" s="133">
        <v>1000</v>
      </c>
      <c r="L1267" s="34">
        <v>1300</v>
      </c>
      <c r="M1267" s="16">
        <f t="shared" si="463"/>
        <v>516095.84761902515</v>
      </c>
      <c r="N1267" s="36">
        <v>840</v>
      </c>
      <c r="O1267" s="36">
        <v>3</v>
      </c>
      <c r="P1267" s="66">
        <v>51200</v>
      </c>
      <c r="Q1267" s="41" t="s">
        <v>360</v>
      </c>
      <c r="S1267" s="36">
        <f t="shared" si="553"/>
        <v>25600</v>
      </c>
      <c r="T1267" s="114">
        <f t="shared" si="554"/>
        <v>25600</v>
      </c>
    </row>
    <row r="1268" spans="1:20" x14ac:dyDescent="0.2">
      <c r="A1268" s="8" t="str">
        <f t="shared" si="462"/>
        <v>1090134</v>
      </c>
      <c r="B1268" s="8">
        <v>109</v>
      </c>
      <c r="C1268" s="8">
        <v>1</v>
      </c>
      <c r="D1268" s="8" t="s">
        <v>64</v>
      </c>
      <c r="E1268" s="8">
        <v>4</v>
      </c>
      <c r="F1268" s="34">
        <f t="shared" si="550"/>
        <v>704000</v>
      </c>
      <c r="G1268" s="34">
        <f t="shared" si="550"/>
        <v>704000</v>
      </c>
      <c r="H1268" s="34">
        <f t="shared" si="551"/>
        <v>64000</v>
      </c>
      <c r="I1268" s="34">
        <f t="shared" si="551"/>
        <v>64000</v>
      </c>
      <c r="J1268" s="34">
        <f t="shared" si="552"/>
        <v>1564858</v>
      </c>
      <c r="K1268" s="133">
        <v>1000</v>
      </c>
      <c r="L1268" s="34">
        <v>1500</v>
      </c>
      <c r="M1268" s="16">
        <f t="shared" si="463"/>
        <v>671743.96097560879</v>
      </c>
      <c r="N1268" s="36">
        <v>820</v>
      </c>
      <c r="O1268" s="36">
        <v>4</v>
      </c>
      <c r="P1268" s="66">
        <v>51200</v>
      </c>
      <c r="Q1268" s="41" t="s">
        <v>360</v>
      </c>
      <c r="S1268" s="36">
        <f t="shared" si="553"/>
        <v>25600</v>
      </c>
      <c r="T1268" s="114">
        <f t="shared" si="554"/>
        <v>25600</v>
      </c>
    </row>
    <row r="1269" spans="1:20" x14ac:dyDescent="0.2">
      <c r="A1269" s="8" t="str">
        <f t="shared" si="462"/>
        <v>1090135</v>
      </c>
      <c r="B1269" s="8">
        <v>109</v>
      </c>
      <c r="C1269" s="8">
        <v>1</v>
      </c>
      <c r="D1269" s="8" t="s">
        <v>64</v>
      </c>
      <c r="E1269" s="8">
        <v>5</v>
      </c>
      <c r="F1269" s="34">
        <f t="shared" si="550"/>
        <v>880000</v>
      </c>
      <c r="G1269" s="34">
        <f t="shared" si="550"/>
        <v>880000</v>
      </c>
      <c r="H1269" s="34">
        <f t="shared" si="551"/>
        <v>64000</v>
      </c>
      <c r="I1269" s="34">
        <f t="shared" si="551"/>
        <v>64000</v>
      </c>
      <c r="J1269" s="34">
        <f t="shared" si="552"/>
        <v>1956072</v>
      </c>
      <c r="K1269" s="133">
        <v>1000</v>
      </c>
      <c r="L1269" s="34">
        <v>1700</v>
      </c>
      <c r="M1269" s="16">
        <f t="shared" si="463"/>
        <v>839679.84390242456</v>
      </c>
      <c r="N1269" s="36">
        <v>820</v>
      </c>
      <c r="O1269" s="36">
        <v>5</v>
      </c>
      <c r="P1269" s="66">
        <v>51200</v>
      </c>
      <c r="Q1269" s="41" t="s">
        <v>360</v>
      </c>
      <c r="S1269" s="36">
        <f t="shared" si="553"/>
        <v>25600</v>
      </c>
      <c r="T1269" s="114">
        <f t="shared" si="554"/>
        <v>25600</v>
      </c>
    </row>
    <row r="1270" spans="1:20" x14ac:dyDescent="0.2">
      <c r="A1270" s="8" t="str">
        <f t="shared" si="462"/>
        <v>1090136</v>
      </c>
      <c r="B1270" s="8">
        <v>109</v>
      </c>
      <c r="C1270" s="8">
        <v>1</v>
      </c>
      <c r="D1270" s="8" t="s">
        <v>64</v>
      </c>
      <c r="E1270" s="8">
        <v>6</v>
      </c>
      <c r="F1270" s="34">
        <f t="shared" si="550"/>
        <v>1056000</v>
      </c>
      <c r="G1270" s="34">
        <f t="shared" si="550"/>
        <v>1056000</v>
      </c>
      <c r="H1270" s="34">
        <f t="shared" si="551"/>
        <v>64000</v>
      </c>
      <c r="I1270" s="34">
        <f t="shared" si="551"/>
        <v>64000</v>
      </c>
      <c r="J1270" s="34">
        <f t="shared" si="552"/>
        <v>2347287</v>
      </c>
      <c r="K1270" s="133">
        <v>1000</v>
      </c>
      <c r="L1270" s="34">
        <v>1900</v>
      </c>
      <c r="M1270" s="16">
        <f t="shared" si="463"/>
        <v>1007615.9414634129</v>
      </c>
      <c r="N1270" s="36">
        <v>820</v>
      </c>
      <c r="O1270" s="36">
        <v>6</v>
      </c>
      <c r="P1270" s="66">
        <v>51200</v>
      </c>
      <c r="Q1270" s="41" t="s">
        <v>360</v>
      </c>
      <c r="S1270" s="36">
        <f t="shared" si="553"/>
        <v>25600</v>
      </c>
      <c r="T1270" s="114">
        <f t="shared" si="554"/>
        <v>25600</v>
      </c>
    </row>
    <row r="1271" spans="1:20" x14ac:dyDescent="0.2">
      <c r="A1271" s="8" t="str">
        <f t="shared" si="462"/>
        <v>1090137</v>
      </c>
      <c r="B1271" s="8">
        <v>109</v>
      </c>
      <c r="C1271" s="8">
        <v>1</v>
      </c>
      <c r="D1271" s="8" t="s">
        <v>64</v>
      </c>
      <c r="E1271" s="8">
        <v>7</v>
      </c>
      <c r="F1271" s="34">
        <f t="shared" si="550"/>
        <v>1232000</v>
      </c>
      <c r="G1271" s="34">
        <f t="shared" si="550"/>
        <v>1232000</v>
      </c>
      <c r="H1271" s="34">
        <f t="shared" si="551"/>
        <v>64000</v>
      </c>
      <c r="I1271" s="34">
        <f t="shared" si="551"/>
        <v>64000</v>
      </c>
      <c r="J1271" s="34">
        <f t="shared" si="552"/>
        <v>2738501</v>
      </c>
      <c r="K1271" s="133">
        <v>1000</v>
      </c>
      <c r="L1271" s="34">
        <v>2100</v>
      </c>
      <c r="M1271" s="16">
        <f t="shared" ref="M1271:M1338" si="555">(F1271*J1271*((H1271+I1271)/2)/1000)^(1/2)/10*0.8</f>
        <v>1175551.8243902307</v>
      </c>
      <c r="N1271" s="36">
        <v>820</v>
      </c>
      <c r="O1271" s="36">
        <v>7</v>
      </c>
      <c r="P1271" s="66">
        <v>51200</v>
      </c>
      <c r="Q1271" s="41" t="s">
        <v>360</v>
      </c>
      <c r="S1271" s="36">
        <f t="shared" si="553"/>
        <v>25600</v>
      </c>
      <c r="T1271" s="114">
        <f t="shared" si="554"/>
        <v>25600</v>
      </c>
    </row>
    <row r="1272" spans="1:20" x14ac:dyDescent="0.2">
      <c r="A1272" s="8" t="str">
        <f t="shared" si="462"/>
        <v>1090138</v>
      </c>
      <c r="B1272" s="8">
        <v>109</v>
      </c>
      <c r="C1272" s="8">
        <v>1</v>
      </c>
      <c r="D1272" s="8" t="s">
        <v>64</v>
      </c>
      <c r="E1272" s="8">
        <v>8</v>
      </c>
      <c r="F1272" s="34">
        <f t="shared" si="550"/>
        <v>1408000</v>
      </c>
      <c r="G1272" s="34">
        <f t="shared" si="550"/>
        <v>1408000</v>
      </c>
      <c r="H1272" s="34">
        <f t="shared" si="551"/>
        <v>64000</v>
      </c>
      <c r="I1272" s="34">
        <f t="shared" si="551"/>
        <v>64000</v>
      </c>
      <c r="J1272" s="34">
        <f t="shared" si="552"/>
        <v>3129716</v>
      </c>
      <c r="K1272" s="133">
        <v>1000</v>
      </c>
      <c r="L1272" s="34">
        <v>2300</v>
      </c>
      <c r="M1272" s="16">
        <f t="shared" si="555"/>
        <v>1343487.9219512176</v>
      </c>
      <c r="N1272" s="36">
        <v>820</v>
      </c>
      <c r="O1272" s="36">
        <v>8</v>
      </c>
      <c r="P1272" s="66">
        <v>51200</v>
      </c>
      <c r="Q1272" s="41" t="s">
        <v>360</v>
      </c>
      <c r="S1272" s="36">
        <f t="shared" si="553"/>
        <v>25600</v>
      </c>
      <c r="T1272" s="114">
        <f t="shared" si="554"/>
        <v>25600</v>
      </c>
    </row>
    <row r="1273" spans="1:20" x14ac:dyDescent="0.2">
      <c r="A1273" s="8" t="str">
        <f t="shared" si="462"/>
        <v>1090139</v>
      </c>
      <c r="B1273" s="8">
        <v>109</v>
      </c>
      <c r="C1273" s="8">
        <v>1</v>
      </c>
      <c r="D1273" s="8" t="s">
        <v>64</v>
      </c>
      <c r="E1273" s="8">
        <v>9</v>
      </c>
      <c r="F1273" s="34">
        <f t="shared" si="550"/>
        <v>1584000</v>
      </c>
      <c r="G1273" s="34">
        <f t="shared" si="550"/>
        <v>1584000</v>
      </c>
      <c r="H1273" s="34">
        <f t="shared" si="551"/>
        <v>64000</v>
      </c>
      <c r="I1273" s="34">
        <f t="shared" si="551"/>
        <v>64000</v>
      </c>
      <c r="J1273" s="34">
        <f t="shared" si="552"/>
        <v>3520930</v>
      </c>
      <c r="K1273" s="133">
        <v>1000</v>
      </c>
      <c r="L1273" s="34">
        <v>2500</v>
      </c>
      <c r="M1273" s="16">
        <f t="shared" si="555"/>
        <v>1511423.8048780363</v>
      </c>
      <c r="N1273" s="36">
        <v>820</v>
      </c>
      <c r="O1273" s="36">
        <v>9</v>
      </c>
      <c r="P1273" s="66">
        <v>51200</v>
      </c>
      <c r="Q1273" s="41" t="s">
        <v>360</v>
      </c>
      <c r="S1273" s="36">
        <f t="shared" si="553"/>
        <v>25600</v>
      </c>
      <c r="T1273" s="114">
        <f t="shared" si="554"/>
        <v>25600</v>
      </c>
    </row>
    <row r="1274" spans="1:20" ht="38.25" x14ac:dyDescent="0.2">
      <c r="A1274" s="8" t="str">
        <f t="shared" si="306"/>
        <v/>
      </c>
      <c r="B1274" s="5"/>
      <c r="C1274" s="6" t="s">
        <v>58</v>
      </c>
      <c r="D1274" s="5"/>
      <c r="E1274" s="5"/>
      <c r="F1274" s="5"/>
      <c r="G1274" s="5"/>
      <c r="H1274" s="5"/>
      <c r="I1274" s="5"/>
      <c r="J1274" s="5"/>
      <c r="K1274" s="133">
        <v>1000</v>
      </c>
      <c r="L1274" s="5"/>
      <c r="M1274" s="16">
        <f t="shared" si="555"/>
        <v>0</v>
      </c>
      <c r="N1274" s="5"/>
      <c r="O1274" s="5"/>
      <c r="P1274" s="5"/>
      <c r="Q1274" s="5"/>
      <c r="R1274" s="5"/>
      <c r="S1274" s="30"/>
      <c r="T1274" s="266"/>
    </row>
    <row r="1275" spans="1:20" x14ac:dyDescent="0.2">
      <c r="A1275" s="8" t="str">
        <f t="shared" si="306"/>
        <v>10020114</v>
      </c>
      <c r="B1275" s="7" t="s">
        <v>59</v>
      </c>
      <c r="C1275" s="3">
        <v>1</v>
      </c>
      <c r="D1275" s="3"/>
      <c r="E1275" s="3" t="s">
        <v>89</v>
      </c>
      <c r="F1275" s="34">
        <f t="shared" ref="F1275:G1277" si="556">ROUNDDOWN($P1275/3.2*$O1275*10,0)</f>
        <v>10000000</v>
      </c>
      <c r="G1275" s="34">
        <f t="shared" si="556"/>
        <v>10000000</v>
      </c>
      <c r="H1275" s="34">
        <v>1000</v>
      </c>
      <c r="I1275" s="34">
        <v>1000</v>
      </c>
      <c r="J1275" s="34">
        <f>ROUNDDOWN($P1275/3.2*$O1275*10,0)</f>
        <v>10000000</v>
      </c>
      <c r="K1275" s="133">
        <v>1000</v>
      </c>
      <c r="L1275" s="34"/>
      <c r="M1275" s="16">
        <f t="shared" si="555"/>
        <v>800000</v>
      </c>
      <c r="O1275" s="36">
        <v>4</v>
      </c>
      <c r="P1275" s="2" t="s">
        <v>752</v>
      </c>
      <c r="Q1275" s="3"/>
      <c r="R1275" s="3"/>
      <c r="S1275" s="8"/>
      <c r="T1275" s="266"/>
    </row>
    <row r="1276" spans="1:20" x14ac:dyDescent="0.2">
      <c r="A1276" s="8" t="str">
        <f t="shared" ref="A1276" si="557">IF(B1276="","",CONCATENATE(B1276,CONCATENATE(REPT(0,2-LEN(C1276)),C1276),IF(OR(D1276="Easy",D1276=""),1,IF(D1276="Normal",2,IF(D1276="Hard",3,IF(D1276="Hell",4,"error")))),E1276))</f>
        <v>10020214</v>
      </c>
      <c r="B1276" s="7" t="s">
        <v>59</v>
      </c>
      <c r="C1276" s="3" t="s">
        <v>353</v>
      </c>
      <c r="D1276" s="3"/>
      <c r="E1276" s="3" t="s">
        <v>89</v>
      </c>
      <c r="F1276" s="34">
        <f t="shared" si="556"/>
        <v>12500000</v>
      </c>
      <c r="G1276" s="34">
        <f t="shared" si="556"/>
        <v>12500000</v>
      </c>
      <c r="H1276" s="34">
        <v>1000</v>
      </c>
      <c r="I1276" s="34">
        <v>1000</v>
      </c>
      <c r="J1276" s="34">
        <f>ROUNDDOWN($P1276/3.2*$O1276*10,0)</f>
        <v>12500000</v>
      </c>
      <c r="K1276" s="133">
        <v>1000</v>
      </c>
      <c r="L1276" s="34"/>
      <c r="M1276" s="16">
        <f t="shared" si="555"/>
        <v>1000000</v>
      </c>
      <c r="O1276" s="36">
        <v>4</v>
      </c>
      <c r="P1276" s="2" t="s">
        <v>354</v>
      </c>
      <c r="Q1276" s="3"/>
      <c r="R1276" s="3"/>
      <c r="S1276" s="8"/>
      <c r="T1276" s="266"/>
    </row>
    <row r="1277" spans="1:20" x14ac:dyDescent="0.2">
      <c r="A1277" s="8" t="str">
        <f t="shared" ref="A1277" si="558">IF(B1277="","",CONCATENATE(B1277,CONCATENATE(REPT(0,2-LEN(C1277)),C1277),IF(OR(D1277="Easy",D1277=""),1,IF(D1277="Normal",2,IF(D1277="Hard",3,IF(D1277="Hell",4,"error")))),E1277))</f>
        <v>10020314</v>
      </c>
      <c r="B1277" s="7" t="s">
        <v>59</v>
      </c>
      <c r="C1277" s="3" t="s">
        <v>356</v>
      </c>
      <c r="D1277" s="3"/>
      <c r="E1277" s="3" t="s">
        <v>89</v>
      </c>
      <c r="F1277" s="34">
        <f t="shared" si="556"/>
        <v>12500000</v>
      </c>
      <c r="G1277" s="34">
        <f t="shared" si="556"/>
        <v>12500000</v>
      </c>
      <c r="H1277" s="34">
        <v>75000</v>
      </c>
      <c r="I1277" s="34">
        <v>75000</v>
      </c>
      <c r="J1277" s="34">
        <f>ROUNDDOWN($P1277/3.2*$O1277*10,0)</f>
        <v>12500000</v>
      </c>
      <c r="K1277" s="133">
        <v>1000</v>
      </c>
      <c r="L1277" s="34"/>
      <c r="M1277" s="16">
        <f t="shared" si="555"/>
        <v>8660254.0378443878</v>
      </c>
      <c r="O1277" s="36">
        <v>4</v>
      </c>
      <c r="P1277" s="2" t="s">
        <v>354</v>
      </c>
      <c r="Q1277" s="3"/>
      <c r="R1277" s="3"/>
      <c r="S1277" s="8"/>
      <c r="T1277" s="110"/>
    </row>
    <row r="1278" spans="1:20" x14ac:dyDescent="0.2">
      <c r="A1278" s="8" t="str">
        <f t="shared" ref="A1278" si="559">IF(B1278="","",CONCATENATE(B1278,CONCATENATE(REPT(0,2-LEN(C1278)),C1278),IF(OR(D1278="Easy",D1278=""),1,IF(D1278="Normal",2,IF(D1278="Hard",3,IF(D1278="Hell",4,"error")))),E1278))</f>
        <v>10020414</v>
      </c>
      <c r="B1278" s="7" t="s">
        <v>59</v>
      </c>
      <c r="C1278" s="3" t="s">
        <v>357</v>
      </c>
      <c r="D1278" s="3"/>
      <c r="E1278" s="3" t="s">
        <v>89</v>
      </c>
      <c r="F1278" s="34">
        <v>1</v>
      </c>
      <c r="G1278" s="34">
        <v>1</v>
      </c>
      <c r="H1278" s="34">
        <v>1000</v>
      </c>
      <c r="I1278" s="34">
        <v>1000</v>
      </c>
      <c r="J1278" s="34">
        <f>ROUNDDOWN($P1278/3.2*$O1278*10,0)</f>
        <v>12500000</v>
      </c>
      <c r="K1278" s="133">
        <v>1000</v>
      </c>
      <c r="L1278" s="34"/>
      <c r="M1278" s="16">
        <f t="shared" si="555"/>
        <v>282.84271247461902</v>
      </c>
      <c r="O1278" s="36">
        <v>4</v>
      </c>
      <c r="P1278" s="2" t="s">
        <v>354</v>
      </c>
      <c r="Q1278" s="3"/>
      <c r="R1278" s="3"/>
      <c r="S1278" s="8"/>
      <c r="T1278" s="266"/>
    </row>
    <row r="1279" spans="1:20" x14ac:dyDescent="0.2">
      <c r="A1279" s="8" t="str">
        <f t="shared" ref="A1279" si="560">IF(B1279="","",CONCATENATE(B1279,CONCATENATE(REPT(0,2-LEN(C1279)),C1279),IF(OR(D1279="Easy",D1279=""),1,IF(D1279="Normal",2,IF(D1279="Hard",3,IF(D1279="Hell",4,"error")))),E1279))</f>
        <v>10020514</v>
      </c>
      <c r="B1279" s="7" t="s">
        <v>59</v>
      </c>
      <c r="C1279" s="3" t="s">
        <v>887</v>
      </c>
      <c r="D1279" s="3"/>
      <c r="E1279" s="3" t="s">
        <v>89</v>
      </c>
      <c r="F1279" s="34">
        <v>1</v>
      </c>
      <c r="G1279" s="34">
        <v>1</v>
      </c>
      <c r="H1279" s="34">
        <v>0</v>
      </c>
      <c r="I1279" s="34">
        <v>0</v>
      </c>
      <c r="J1279" s="34">
        <f>ROUNDDOWN($P1279/3.2*$O1279*10,0)</f>
        <v>12500000</v>
      </c>
      <c r="K1279" s="133">
        <v>1000</v>
      </c>
      <c r="L1279" s="34"/>
      <c r="M1279" s="16">
        <f t="shared" ref="M1279" si="561">(F1279*J1279*((H1279+I1279)/2)/1000)^(1/2)/10*0.8</f>
        <v>0</v>
      </c>
      <c r="O1279" s="36">
        <v>4</v>
      </c>
      <c r="P1279" s="2" t="s">
        <v>354</v>
      </c>
      <c r="Q1279" s="3"/>
      <c r="R1279" s="3"/>
      <c r="S1279" s="8"/>
      <c r="T1279" s="266"/>
    </row>
    <row r="1280" spans="1:20" s="221" customFormat="1" ht="38.25" x14ac:dyDescent="0.3">
      <c r="A1280" s="91"/>
      <c r="B1280" s="6"/>
      <c r="C1280" s="6" t="s">
        <v>561</v>
      </c>
      <c r="D1280" s="91"/>
      <c r="E1280" s="91"/>
      <c r="F1280" s="91"/>
      <c r="G1280" s="91"/>
      <c r="H1280" s="91"/>
      <c r="I1280" s="91"/>
      <c r="J1280" s="92"/>
      <c r="K1280" s="133">
        <v>1000</v>
      </c>
      <c r="L1280" s="92"/>
      <c r="M1280" s="16">
        <f t="shared" si="555"/>
        <v>0</v>
      </c>
      <c r="N1280" s="91"/>
      <c r="O1280" s="91"/>
      <c r="P1280" s="91"/>
      <c r="Q1280" s="91"/>
      <c r="R1280" s="91"/>
      <c r="S1280" s="92"/>
      <c r="T1280" s="270"/>
    </row>
    <row r="1281" spans="1:20" x14ac:dyDescent="0.2">
      <c r="A1281" s="8" t="str">
        <f t="shared" ref="A1281" si="562">IF(B1281="","",CONCATENATE(B1281,CONCATENATE(REPT(0,2-LEN(C1281)),C1281),IF(OR(D1281="Easy",D1281=""),1,IF(D1281="Normal",2,IF(D1281="Hard",3,IF(D1281="Hell",4,"error")))),E1281))</f>
        <v>9990414</v>
      </c>
      <c r="B1281" s="7" t="s">
        <v>577</v>
      </c>
      <c r="C1281" s="3" t="s">
        <v>89</v>
      </c>
      <c r="D1281" s="3" t="s">
        <v>578</v>
      </c>
      <c r="E1281" s="3" t="s">
        <v>579</v>
      </c>
      <c r="F1281" s="34">
        <v>2000000</v>
      </c>
      <c r="G1281" s="34">
        <v>2000000</v>
      </c>
      <c r="H1281" s="34">
        <v>1000000</v>
      </c>
      <c r="I1281" s="34">
        <v>1000000</v>
      </c>
      <c r="J1281" s="34">
        <f>ROUNDDOWN($P1281/3.2*$O1281*10,0)</f>
        <v>12500000</v>
      </c>
      <c r="K1281" s="133">
        <v>1000</v>
      </c>
      <c r="L1281" s="34"/>
      <c r="M1281" s="16">
        <f t="shared" si="555"/>
        <v>12649110.640673518</v>
      </c>
      <c r="O1281" s="36">
        <v>4</v>
      </c>
      <c r="P1281" s="2" t="s">
        <v>354</v>
      </c>
      <c r="Q1281" s="3"/>
      <c r="R1281" s="3"/>
      <c r="S1281" s="8"/>
      <c r="T1281" s="266"/>
    </row>
    <row r="1282" spans="1:20" x14ac:dyDescent="0.2">
      <c r="A1282" s="8" t="str">
        <f>IF(B1282="","",CONCATENATE(B1282,CONCATENATE(REPT(0,2-LEN(C1282)),C1282),IF(OR(D1282="Easy",D1282=""),1,IF(D1282="Normal",2,IF(D1282="Hard",3,IF(D1282="Hell",4,"error")))),E1282))</f>
        <v>9990514</v>
      </c>
      <c r="B1282" s="7" t="s">
        <v>577</v>
      </c>
      <c r="C1282" s="3" t="s">
        <v>887</v>
      </c>
      <c r="D1282" s="3" t="s">
        <v>62</v>
      </c>
      <c r="E1282" s="3" t="s">
        <v>89</v>
      </c>
      <c r="F1282" s="34">
        <v>500</v>
      </c>
      <c r="G1282" s="34">
        <v>500</v>
      </c>
      <c r="H1282" s="34">
        <v>700</v>
      </c>
      <c r="I1282" s="34">
        <v>700</v>
      </c>
      <c r="J1282" s="34">
        <f>ROUNDDOWN($P1282/3.2*$O1282*10,0)</f>
        <v>12500000</v>
      </c>
      <c r="K1282" s="133">
        <v>1000</v>
      </c>
      <c r="L1282" s="34"/>
      <c r="M1282" s="16">
        <f t="shared" ref="M1282" si="563">(F1282*J1282*((H1282+I1282)/2)/1000)^(1/2)/10*0.8</f>
        <v>5291.5026221291819</v>
      </c>
      <c r="O1282" s="36">
        <v>4</v>
      </c>
      <c r="P1282" s="2" t="s">
        <v>354</v>
      </c>
      <c r="Q1282" s="3"/>
      <c r="R1282" s="3"/>
      <c r="S1282" s="8"/>
      <c r="T1282" s="266"/>
    </row>
    <row r="1283" spans="1:20" x14ac:dyDescent="0.2">
      <c r="A1283" s="8" t="str">
        <f t="shared" ref="A1283" si="564">IF(B1283="","",CONCATENATE(B1283,CONCATENATE(REPT(0,2-LEN(C1283)),C1283),IF(OR(D1283="Easy",D1283=""),1,IF(D1283="Normal",2,IF(D1283="Hard",3,IF(D1283="Hell",4,"error")))),E1283))</f>
        <v>9990415</v>
      </c>
      <c r="B1283" s="7" t="s">
        <v>577</v>
      </c>
      <c r="C1283" s="3" t="s">
        <v>89</v>
      </c>
      <c r="D1283" s="3" t="s">
        <v>62</v>
      </c>
      <c r="E1283" s="3" t="s">
        <v>887</v>
      </c>
      <c r="F1283" s="34">
        <v>500</v>
      </c>
      <c r="G1283" s="34">
        <v>500</v>
      </c>
      <c r="H1283" s="34">
        <v>0</v>
      </c>
      <c r="I1283" s="34">
        <v>0</v>
      </c>
      <c r="J1283" s="34">
        <f>ROUNDDOWN($P1283/3.2*$O1283*10,0)</f>
        <v>12500000</v>
      </c>
      <c r="K1283" s="133">
        <v>1000</v>
      </c>
      <c r="L1283" s="34"/>
      <c r="M1283" s="16">
        <f t="shared" ref="M1283" si="565">(F1283*J1283*((H1283+I1283)/2)/1000)^(1/2)/10*0.8</f>
        <v>0</v>
      </c>
      <c r="O1283" s="36">
        <v>4</v>
      </c>
      <c r="P1283" s="2" t="s">
        <v>354</v>
      </c>
      <c r="Q1283" s="3"/>
      <c r="R1283" s="3"/>
      <c r="S1283" s="8"/>
      <c r="T1283" s="266"/>
    </row>
    <row r="1284" spans="1:20" ht="13.5" x14ac:dyDescent="0.25">
      <c r="A1284" s="8" t="str">
        <f t="shared" ref="A1284:A1285" si="566">IF(B1284="","",CONCATENATE(B1284,CONCATENATE(REPT(0,2-LEN(C1284)),C1284),IF(OR(D1284="Easy",D1284=""),1,IF(D1284="Normal",2,IF(D1284="Hard",3,IF(D1284="Hell",4,"error")))),E1284))</f>
        <v>9990630</v>
      </c>
      <c r="B1284" s="8">
        <v>999</v>
      </c>
      <c r="C1284" s="8">
        <v>6</v>
      </c>
      <c r="D1284" s="8" t="s">
        <v>64</v>
      </c>
      <c r="E1284" s="8">
        <v>0</v>
      </c>
      <c r="F1284" s="34">
        <v>2598</v>
      </c>
      <c r="G1284" s="34">
        <v>2598</v>
      </c>
      <c r="H1284" s="34">
        <f t="shared" ref="H1284" si="567">ROUNDDOWN($S1284/4*10,0)</f>
        <v>0</v>
      </c>
      <c r="I1284" s="34">
        <f t="shared" ref="I1284" si="568">ROUNDDOWN($T1284/4*10,0)</f>
        <v>0</v>
      </c>
      <c r="J1284" s="34">
        <f>ROUNDDOWN($P1284/4*$O1284*10*$N1284/$Q1284*$N1284/400,0)</f>
        <v>5410546</v>
      </c>
      <c r="K1284" s="133">
        <v>1000</v>
      </c>
      <c r="L1284" s="34"/>
      <c r="M1284" s="16">
        <f t="shared" si="555"/>
        <v>0</v>
      </c>
      <c r="N1284" s="36">
        <v>9000</v>
      </c>
      <c r="O1284" s="36">
        <v>0.5</v>
      </c>
      <c r="P1284" s="53">
        <v>18810</v>
      </c>
      <c r="Q1284" s="2" t="s">
        <v>188</v>
      </c>
      <c r="S1284" s="36">
        <v>0</v>
      </c>
      <c r="T1284" s="114">
        <v>0</v>
      </c>
    </row>
    <row r="1285" spans="1:20" x14ac:dyDescent="0.2">
      <c r="A1285" s="8" t="str">
        <f t="shared" si="566"/>
        <v>9992215</v>
      </c>
      <c r="B1285" s="7" t="s">
        <v>577</v>
      </c>
      <c r="C1285" s="3" t="s">
        <v>1176</v>
      </c>
      <c r="D1285" s="3" t="s">
        <v>62</v>
      </c>
      <c r="E1285" s="3" t="s">
        <v>887</v>
      </c>
      <c r="F1285" s="34">
        <v>500</v>
      </c>
      <c r="G1285" s="34">
        <v>500</v>
      </c>
      <c r="H1285" s="34">
        <v>1000</v>
      </c>
      <c r="I1285" s="34">
        <v>1000</v>
      </c>
      <c r="J1285" s="34">
        <f>ROUNDDOWN($P1285/3.2*$O1285*10,0)</f>
        <v>12500000</v>
      </c>
      <c r="K1285" s="133">
        <v>1000</v>
      </c>
      <c r="L1285" s="34"/>
      <c r="M1285" s="16">
        <f t="shared" si="555"/>
        <v>6324.555320336759</v>
      </c>
      <c r="O1285" s="36">
        <v>4</v>
      </c>
      <c r="P1285" s="2" t="s">
        <v>354</v>
      </c>
      <c r="Q1285" s="3"/>
      <c r="R1285" s="3"/>
      <c r="S1285" s="8"/>
      <c r="T1285" s="266"/>
    </row>
    <row r="1286" spans="1:20" ht="38.25" x14ac:dyDescent="0.2">
      <c r="A1286" s="8" t="str">
        <f t="shared" si="306"/>
        <v/>
      </c>
      <c r="B1286" s="5"/>
      <c r="C1286" s="6" t="s">
        <v>60</v>
      </c>
      <c r="D1286" s="5"/>
      <c r="E1286" s="5"/>
      <c r="F1286" s="5"/>
      <c r="G1286" s="5"/>
      <c r="H1286" s="5"/>
      <c r="I1286" s="5"/>
      <c r="J1286" s="5"/>
      <c r="K1286" s="133">
        <v>1000</v>
      </c>
      <c r="L1286" s="5"/>
      <c r="M1286" s="16">
        <f t="shared" si="555"/>
        <v>0</v>
      </c>
      <c r="N1286" s="5"/>
      <c r="O1286" s="5"/>
      <c r="P1286" s="5"/>
      <c r="Q1286" s="5"/>
      <c r="R1286" s="5"/>
      <c r="S1286" s="30"/>
      <c r="T1286" s="266"/>
    </row>
    <row r="1287" spans="1:20" x14ac:dyDescent="0.2">
      <c r="A1287" s="8" t="str">
        <f t="shared" si="306"/>
        <v>20010110</v>
      </c>
      <c r="B1287" s="8">
        <v>2001</v>
      </c>
      <c r="C1287" s="8">
        <v>1</v>
      </c>
      <c r="D1287" s="8" t="s">
        <v>62</v>
      </c>
      <c r="E1287" s="8">
        <v>0</v>
      </c>
      <c r="F1287" s="34">
        <f>ROUNDDOWN($P1287/4*$O1287*10*$N1287/$N1287*$Q1287/400,0)</f>
        <v>13312</v>
      </c>
      <c r="G1287" s="34">
        <f>ROUNDDOWN($P1287/4*$O1287*10*$N1287/$N1287*$Q1287/400,0)</f>
        <v>13312</v>
      </c>
      <c r="H1287" s="34">
        <f t="shared" ref="H1287:I1350" si="569">ROUNDDOWN($S1287/4*10,0)</f>
        <v>5000</v>
      </c>
      <c r="I1287" s="34">
        <f t="shared" si="569"/>
        <v>5000</v>
      </c>
      <c r="J1287" s="34">
        <f>ROUNDDOWN($P1287/4*$O1287*10*$N1287/$Q1287*$N1287/400,0)</f>
        <v>9507</v>
      </c>
      <c r="K1287" s="133">
        <v>1000</v>
      </c>
      <c r="L1287" s="34"/>
      <c r="M1287" s="16">
        <f t="shared" si="555"/>
        <v>2012.4189146397923</v>
      </c>
      <c r="N1287" s="36">
        <v>600</v>
      </c>
      <c r="O1287" s="36">
        <v>0.5</v>
      </c>
      <c r="P1287" s="46" t="s">
        <v>181</v>
      </c>
      <c r="Q1287" s="2" t="s">
        <v>104</v>
      </c>
      <c r="S1287" s="55">
        <v>2000</v>
      </c>
      <c r="T1287" s="271">
        <v>2000</v>
      </c>
    </row>
    <row r="1288" spans="1:20" x14ac:dyDescent="0.2">
      <c r="A1288" s="8" t="str">
        <f t="shared" si="306"/>
        <v>20010111</v>
      </c>
      <c r="B1288" s="8">
        <v>2001</v>
      </c>
      <c r="C1288" s="8">
        <v>1</v>
      </c>
      <c r="D1288" s="8" t="s">
        <v>62</v>
      </c>
      <c r="E1288" s="8">
        <v>1</v>
      </c>
      <c r="F1288" s="34">
        <f t="shared" ref="F1288:G1291" si="570">ROUNDDOWN($P1288/4*$O1288*10*$N1288/$N1288*$Q1288/400,0)</f>
        <v>26625</v>
      </c>
      <c r="G1288" s="34">
        <f t="shared" si="570"/>
        <v>26625</v>
      </c>
      <c r="H1288" s="34">
        <f t="shared" si="569"/>
        <v>5000</v>
      </c>
      <c r="I1288" s="34">
        <f t="shared" si="569"/>
        <v>5000</v>
      </c>
      <c r="J1288" s="34">
        <f t="shared" ref="J1288:J1291" si="571">ROUNDDOWN($P1288/4*$O1288*10*$N1288/$Q1288*$N1288/400,0)</f>
        <v>19014</v>
      </c>
      <c r="K1288" s="133">
        <v>1000</v>
      </c>
      <c r="L1288" s="34"/>
      <c r="M1288" s="16">
        <f t="shared" si="555"/>
        <v>4024.9134152177739</v>
      </c>
      <c r="N1288" s="36">
        <v>600</v>
      </c>
      <c r="O1288" s="36">
        <v>1</v>
      </c>
      <c r="P1288" s="2" t="str">
        <f>P1287</f>
        <v>6000</v>
      </c>
      <c r="Q1288" s="2" t="s">
        <v>104</v>
      </c>
      <c r="S1288" s="55">
        <v>2000</v>
      </c>
      <c r="T1288" s="271">
        <v>2000</v>
      </c>
    </row>
    <row r="1289" spans="1:20" x14ac:dyDescent="0.2">
      <c r="A1289" s="8" t="str">
        <f t="shared" si="306"/>
        <v>20010112</v>
      </c>
      <c r="B1289" s="8">
        <v>2001</v>
      </c>
      <c r="C1289" s="8">
        <v>1</v>
      </c>
      <c r="D1289" s="8" t="s">
        <v>62</v>
      </c>
      <c r="E1289" s="8">
        <v>2</v>
      </c>
      <c r="F1289" s="34">
        <f t="shared" si="570"/>
        <v>53250</v>
      </c>
      <c r="G1289" s="34">
        <f t="shared" si="570"/>
        <v>53250</v>
      </c>
      <c r="H1289" s="34">
        <f t="shared" si="569"/>
        <v>5000</v>
      </c>
      <c r="I1289" s="34">
        <f t="shared" si="569"/>
        <v>5000</v>
      </c>
      <c r="J1289" s="34">
        <f t="shared" si="571"/>
        <v>38028</v>
      </c>
      <c r="K1289" s="133">
        <v>1000</v>
      </c>
      <c r="L1289" s="34"/>
      <c r="M1289" s="16">
        <f t="shared" si="555"/>
        <v>8049.8268304355479</v>
      </c>
      <c r="N1289" s="36">
        <v>600</v>
      </c>
      <c r="O1289" s="36">
        <v>2</v>
      </c>
      <c r="P1289" s="2" t="str">
        <f t="shared" ref="P1289:P1291" si="572">P1288</f>
        <v>6000</v>
      </c>
      <c r="Q1289" s="2" t="s">
        <v>104</v>
      </c>
      <c r="S1289" s="55">
        <v>2000</v>
      </c>
      <c r="T1289" s="271">
        <v>2000</v>
      </c>
    </row>
    <row r="1290" spans="1:20" x14ac:dyDescent="0.2">
      <c r="A1290" s="8" t="str">
        <f t="shared" si="306"/>
        <v>20010113</v>
      </c>
      <c r="B1290" s="8">
        <v>2001</v>
      </c>
      <c r="C1290" s="8">
        <v>1</v>
      </c>
      <c r="D1290" s="8" t="s">
        <v>62</v>
      </c>
      <c r="E1290" s="8">
        <v>3</v>
      </c>
      <c r="F1290" s="34">
        <f t="shared" si="570"/>
        <v>79875</v>
      </c>
      <c r="G1290" s="34">
        <f t="shared" si="570"/>
        <v>79875</v>
      </c>
      <c r="H1290" s="34">
        <f t="shared" si="569"/>
        <v>5000</v>
      </c>
      <c r="I1290" s="34">
        <f t="shared" si="569"/>
        <v>5000</v>
      </c>
      <c r="J1290" s="34">
        <f t="shared" si="571"/>
        <v>57042</v>
      </c>
      <c r="K1290" s="133">
        <v>1000</v>
      </c>
      <c r="L1290" s="34"/>
      <c r="M1290" s="16">
        <f t="shared" si="555"/>
        <v>12074.740245653322</v>
      </c>
      <c r="N1290" s="36">
        <v>600</v>
      </c>
      <c r="O1290" s="36">
        <v>3</v>
      </c>
      <c r="P1290" s="2" t="str">
        <f t="shared" si="572"/>
        <v>6000</v>
      </c>
      <c r="Q1290" s="2" t="s">
        <v>104</v>
      </c>
      <c r="S1290" s="55">
        <v>2000</v>
      </c>
      <c r="T1290" s="271">
        <v>2000</v>
      </c>
    </row>
    <row r="1291" spans="1:20" x14ac:dyDescent="0.2">
      <c r="A1291" s="8" t="str">
        <f t="shared" si="306"/>
        <v>20010114</v>
      </c>
      <c r="B1291" s="8">
        <v>2001</v>
      </c>
      <c r="C1291" s="8">
        <v>1</v>
      </c>
      <c r="D1291" s="8" t="s">
        <v>62</v>
      </c>
      <c r="E1291" s="8">
        <v>4</v>
      </c>
      <c r="F1291" s="34">
        <f t="shared" si="570"/>
        <v>106500</v>
      </c>
      <c r="G1291" s="34">
        <f t="shared" si="570"/>
        <v>106500</v>
      </c>
      <c r="H1291" s="34">
        <f t="shared" si="569"/>
        <v>5000</v>
      </c>
      <c r="I1291" s="34">
        <f t="shared" si="569"/>
        <v>5000</v>
      </c>
      <c r="J1291" s="34">
        <f t="shared" si="571"/>
        <v>76056</v>
      </c>
      <c r="K1291" s="133">
        <v>1000</v>
      </c>
      <c r="L1291" s="34"/>
      <c r="M1291" s="16">
        <f t="shared" si="555"/>
        <v>16099.653660871096</v>
      </c>
      <c r="N1291" s="36">
        <v>600</v>
      </c>
      <c r="O1291" s="36">
        <v>4</v>
      </c>
      <c r="P1291" s="2" t="str">
        <f t="shared" si="572"/>
        <v>6000</v>
      </c>
      <c r="Q1291" s="2" t="s">
        <v>104</v>
      </c>
      <c r="S1291" s="55">
        <v>2000</v>
      </c>
      <c r="T1291" s="271">
        <v>2000</v>
      </c>
    </row>
    <row r="1292" spans="1:20" x14ac:dyDescent="0.2">
      <c r="A1292" s="8" t="str">
        <f t="shared" si="306"/>
        <v>20010210</v>
      </c>
      <c r="B1292" s="8">
        <v>2001</v>
      </c>
      <c r="C1292" s="8">
        <v>2</v>
      </c>
      <c r="D1292" s="8" t="s">
        <v>62</v>
      </c>
      <c r="E1292" s="8">
        <v>0</v>
      </c>
      <c r="F1292" s="34">
        <f>ROUNDDOWN($P1292/4*$O1292*10*$N1292/$N1292*$Q1292/400,0)</f>
        <v>14643</v>
      </c>
      <c r="G1292" s="34">
        <f>ROUNDDOWN($P1292/4*$O1292*10*$N1292/$N1292*$Q1292/400,0)</f>
        <v>14643</v>
      </c>
      <c r="H1292" s="34">
        <f t="shared" si="569"/>
        <v>5500</v>
      </c>
      <c r="I1292" s="34">
        <f t="shared" si="569"/>
        <v>5500</v>
      </c>
      <c r="J1292" s="34">
        <f>ROUNDDOWN($P1292/4*$O1292*10*$N1292/$Q1292*$N1292/400,0)</f>
        <v>10457</v>
      </c>
      <c r="K1292" s="133">
        <v>1000</v>
      </c>
      <c r="L1292" s="34"/>
      <c r="M1292" s="16">
        <f t="shared" si="555"/>
        <v>2321.6134810084127</v>
      </c>
      <c r="N1292" s="36">
        <v>600</v>
      </c>
      <c r="O1292" s="36">
        <v>0.5</v>
      </c>
      <c r="P1292" s="47">
        <v>6600</v>
      </c>
      <c r="Q1292" s="2" t="s">
        <v>104</v>
      </c>
      <c r="S1292" s="55">
        <v>2200</v>
      </c>
      <c r="T1292" s="271">
        <v>2200</v>
      </c>
    </row>
    <row r="1293" spans="1:20" x14ac:dyDescent="0.2">
      <c r="A1293" s="8" t="str">
        <f t="shared" si="306"/>
        <v>20010211</v>
      </c>
      <c r="B1293" s="8">
        <v>2001</v>
      </c>
      <c r="C1293" s="8">
        <v>2</v>
      </c>
      <c r="D1293" s="8" t="s">
        <v>62</v>
      </c>
      <c r="E1293" s="8">
        <v>1</v>
      </c>
      <c r="F1293" s="34">
        <f t="shared" ref="F1293:G1296" si="573">ROUNDDOWN($P1293/4*$O1293*10*$N1293/$N1293*$Q1293/400,0)</f>
        <v>29287</v>
      </c>
      <c r="G1293" s="34">
        <f t="shared" si="573"/>
        <v>29287</v>
      </c>
      <c r="H1293" s="34">
        <f t="shared" si="569"/>
        <v>5500</v>
      </c>
      <c r="I1293" s="34">
        <f t="shared" si="569"/>
        <v>5500</v>
      </c>
      <c r="J1293" s="34">
        <f t="shared" ref="J1293:J1296" si="574">ROUNDDOWN($P1293/4*$O1293*10*$N1293/$Q1293*$N1293/400,0)</f>
        <v>20915</v>
      </c>
      <c r="K1293" s="133">
        <v>1000</v>
      </c>
      <c r="L1293" s="34"/>
      <c r="M1293" s="16">
        <f t="shared" si="555"/>
        <v>4643.4172433672165</v>
      </c>
      <c r="N1293" s="36">
        <v>600</v>
      </c>
      <c r="O1293" s="36">
        <v>1</v>
      </c>
      <c r="P1293" s="2">
        <f>P1292</f>
        <v>6600</v>
      </c>
      <c r="Q1293" s="2" t="s">
        <v>104</v>
      </c>
      <c r="S1293" s="55">
        <v>2200</v>
      </c>
      <c r="T1293" s="271">
        <v>2200</v>
      </c>
    </row>
    <row r="1294" spans="1:20" x14ac:dyDescent="0.2">
      <c r="A1294" s="8" t="str">
        <f t="shared" si="306"/>
        <v>20010212</v>
      </c>
      <c r="B1294" s="8">
        <v>2001</v>
      </c>
      <c r="C1294" s="8">
        <v>2</v>
      </c>
      <c r="D1294" s="8" t="s">
        <v>62</v>
      </c>
      <c r="E1294" s="8">
        <v>2</v>
      </c>
      <c r="F1294" s="34">
        <f t="shared" si="573"/>
        <v>58575</v>
      </c>
      <c r="G1294" s="34">
        <f t="shared" si="573"/>
        <v>58575</v>
      </c>
      <c r="H1294" s="34">
        <f t="shared" si="569"/>
        <v>5500</v>
      </c>
      <c r="I1294" s="34">
        <f t="shared" si="569"/>
        <v>5500</v>
      </c>
      <c r="J1294" s="34">
        <f t="shared" si="574"/>
        <v>41830</v>
      </c>
      <c r="K1294" s="133">
        <v>1000</v>
      </c>
      <c r="L1294" s="34"/>
      <c r="M1294" s="16">
        <f t="shared" si="555"/>
        <v>9286.9137607711218</v>
      </c>
      <c r="N1294" s="36">
        <v>600</v>
      </c>
      <c r="O1294" s="36">
        <v>2</v>
      </c>
      <c r="P1294" s="2">
        <f t="shared" ref="P1294:P1296" si="575">P1293</f>
        <v>6600</v>
      </c>
      <c r="Q1294" s="2" t="s">
        <v>104</v>
      </c>
      <c r="S1294" s="55">
        <v>2200</v>
      </c>
      <c r="T1294" s="271">
        <v>2200</v>
      </c>
    </row>
    <row r="1295" spans="1:20" x14ac:dyDescent="0.2">
      <c r="A1295" s="8" t="str">
        <f t="shared" si="306"/>
        <v>20010213</v>
      </c>
      <c r="B1295" s="8">
        <v>2001</v>
      </c>
      <c r="C1295" s="8">
        <v>2</v>
      </c>
      <c r="D1295" s="8" t="s">
        <v>62</v>
      </c>
      <c r="E1295" s="8">
        <v>3</v>
      </c>
      <c r="F1295" s="34">
        <f t="shared" si="573"/>
        <v>87862</v>
      </c>
      <c r="G1295" s="34">
        <f t="shared" si="573"/>
        <v>87862</v>
      </c>
      <c r="H1295" s="34">
        <f t="shared" si="569"/>
        <v>5500</v>
      </c>
      <c r="I1295" s="34">
        <f t="shared" si="569"/>
        <v>5500</v>
      </c>
      <c r="J1295" s="34">
        <f t="shared" si="574"/>
        <v>62746</v>
      </c>
      <c r="K1295" s="133">
        <v>1000</v>
      </c>
      <c r="L1295" s="34"/>
      <c r="M1295" s="16">
        <f t="shared" si="555"/>
        <v>13930.442011307467</v>
      </c>
      <c r="N1295" s="36">
        <v>600</v>
      </c>
      <c r="O1295" s="36">
        <v>3</v>
      </c>
      <c r="P1295" s="2">
        <f t="shared" si="575"/>
        <v>6600</v>
      </c>
      <c r="Q1295" s="2" t="s">
        <v>104</v>
      </c>
      <c r="S1295" s="55">
        <v>2200</v>
      </c>
      <c r="T1295" s="271">
        <v>2200</v>
      </c>
    </row>
    <row r="1296" spans="1:20" x14ac:dyDescent="0.2">
      <c r="A1296" s="8" t="str">
        <f t="shared" si="306"/>
        <v>20010214</v>
      </c>
      <c r="B1296" s="8">
        <v>2001</v>
      </c>
      <c r="C1296" s="8">
        <v>2</v>
      </c>
      <c r="D1296" s="8" t="s">
        <v>62</v>
      </c>
      <c r="E1296" s="8">
        <v>4</v>
      </c>
      <c r="F1296" s="34">
        <f t="shared" si="573"/>
        <v>117150</v>
      </c>
      <c r="G1296" s="34">
        <f t="shared" si="573"/>
        <v>117150</v>
      </c>
      <c r="H1296" s="34">
        <f t="shared" si="569"/>
        <v>5500</v>
      </c>
      <c r="I1296" s="34">
        <f t="shared" si="569"/>
        <v>5500</v>
      </c>
      <c r="J1296" s="34">
        <f t="shared" si="574"/>
        <v>83661</v>
      </c>
      <c r="K1296" s="133">
        <v>1000</v>
      </c>
      <c r="L1296" s="34"/>
      <c r="M1296" s="16">
        <f t="shared" si="555"/>
        <v>18573.938529025017</v>
      </c>
      <c r="N1296" s="36">
        <v>600</v>
      </c>
      <c r="O1296" s="36">
        <v>4</v>
      </c>
      <c r="P1296" s="2">
        <f t="shared" si="575"/>
        <v>6600</v>
      </c>
      <c r="Q1296" s="2" t="s">
        <v>104</v>
      </c>
      <c r="S1296" s="55">
        <v>2200</v>
      </c>
      <c r="T1296" s="271">
        <v>2200</v>
      </c>
    </row>
    <row r="1297" spans="1:20" x14ac:dyDescent="0.2">
      <c r="A1297" s="8" t="str">
        <f t="shared" ref="A1297:A1360" si="576">IF(B1297="","",CONCATENATE(B1297,CONCATENATE(REPT(0,2-LEN(C1297)),C1297),IF(OR(D1297="Easy",D1297=""),1,IF(D1297="Normal",2,IF(D1297="Hard",3,IF(D1297="Hell",4,"error")))),E1297))</f>
        <v>20010310</v>
      </c>
      <c r="B1297" s="8">
        <v>2001</v>
      </c>
      <c r="C1297" s="8">
        <v>3</v>
      </c>
      <c r="D1297" s="8" t="s">
        <v>62</v>
      </c>
      <c r="E1297" s="8">
        <v>0</v>
      </c>
      <c r="F1297" s="34">
        <f>ROUNDDOWN($P1297/4*$O1297*10*$N1297/$N1297*$Q1297/400,0)</f>
        <v>16862</v>
      </c>
      <c r="G1297" s="34">
        <f>ROUNDDOWN($P1297/4*$O1297*10*$N1297/$N1297*$Q1297/400,0)</f>
        <v>16862</v>
      </c>
      <c r="H1297" s="34">
        <f t="shared" si="569"/>
        <v>6333</v>
      </c>
      <c r="I1297" s="34">
        <f t="shared" si="569"/>
        <v>6333</v>
      </c>
      <c r="J1297" s="34">
        <f>ROUNDDOWN($P1297/4*$O1297*10*$N1297/$Q1297*$N1297/400,0)</f>
        <v>12042</v>
      </c>
      <c r="K1297" s="133">
        <v>1000</v>
      </c>
      <c r="L1297" s="34"/>
      <c r="M1297" s="16">
        <f t="shared" si="555"/>
        <v>2868.7888543364079</v>
      </c>
      <c r="N1297" s="36">
        <v>600</v>
      </c>
      <c r="O1297" s="36">
        <v>0.5</v>
      </c>
      <c r="P1297" s="36">
        <v>7600</v>
      </c>
      <c r="Q1297" s="2" t="s">
        <v>104</v>
      </c>
      <c r="S1297" s="55">
        <v>2533.3333333333335</v>
      </c>
      <c r="T1297" s="271">
        <v>2533.3333333333335</v>
      </c>
    </row>
    <row r="1298" spans="1:20" x14ac:dyDescent="0.2">
      <c r="A1298" s="8" t="str">
        <f t="shared" si="576"/>
        <v>20010311</v>
      </c>
      <c r="B1298" s="8">
        <v>2001</v>
      </c>
      <c r="C1298" s="8">
        <v>3</v>
      </c>
      <c r="D1298" s="8" t="s">
        <v>62</v>
      </c>
      <c r="E1298" s="8">
        <v>1</v>
      </c>
      <c r="F1298" s="34">
        <f t="shared" ref="F1298:G1301" si="577">ROUNDDOWN($P1298/4*$O1298*10*$N1298/$N1298*$Q1298/400,0)</f>
        <v>31950</v>
      </c>
      <c r="G1298" s="34">
        <f t="shared" si="577"/>
        <v>31950</v>
      </c>
      <c r="H1298" s="34">
        <f t="shared" si="569"/>
        <v>6000</v>
      </c>
      <c r="I1298" s="34">
        <f t="shared" si="569"/>
        <v>6000</v>
      </c>
      <c r="J1298" s="34">
        <f t="shared" ref="J1298:J1301" si="578">ROUNDDOWN($P1298/4*$O1298*10*$N1298/$Q1298*$N1298/400,0)</f>
        <v>22816</v>
      </c>
      <c r="K1298" s="133">
        <v>1000</v>
      </c>
      <c r="L1298" s="34"/>
      <c r="M1298" s="16">
        <f t="shared" si="555"/>
        <v>5290.7933318170735</v>
      </c>
      <c r="N1298" s="36">
        <v>600</v>
      </c>
      <c r="O1298" s="36">
        <v>1</v>
      </c>
      <c r="P1298" s="46" t="s">
        <v>193</v>
      </c>
      <c r="Q1298" s="2" t="s">
        <v>104</v>
      </c>
      <c r="S1298" s="55">
        <v>2400</v>
      </c>
      <c r="T1298" s="271">
        <v>2400</v>
      </c>
    </row>
    <row r="1299" spans="1:20" x14ac:dyDescent="0.2">
      <c r="A1299" s="8" t="str">
        <f t="shared" si="576"/>
        <v>20010312</v>
      </c>
      <c r="B1299" s="8">
        <v>2001</v>
      </c>
      <c r="C1299" s="8">
        <v>3</v>
      </c>
      <c r="D1299" s="8" t="s">
        <v>62</v>
      </c>
      <c r="E1299" s="8">
        <v>2</v>
      </c>
      <c r="F1299" s="34">
        <f t="shared" si="577"/>
        <v>63900</v>
      </c>
      <c r="G1299" s="34">
        <f t="shared" si="577"/>
        <v>63900</v>
      </c>
      <c r="H1299" s="34">
        <f t="shared" si="569"/>
        <v>6000</v>
      </c>
      <c r="I1299" s="34">
        <f t="shared" si="569"/>
        <v>6000</v>
      </c>
      <c r="J1299" s="34">
        <f t="shared" si="578"/>
        <v>45633</v>
      </c>
      <c r="K1299" s="133">
        <v>1000</v>
      </c>
      <c r="L1299" s="34"/>
      <c r="M1299" s="16">
        <f t="shared" si="555"/>
        <v>10581.702607803718</v>
      </c>
      <c r="N1299" s="36">
        <v>600</v>
      </c>
      <c r="O1299" s="36">
        <v>2</v>
      </c>
      <c r="P1299" s="2" t="str">
        <f t="shared" ref="P1299:P1301" si="579">P1298</f>
        <v>7200</v>
      </c>
      <c r="Q1299" s="2" t="s">
        <v>104</v>
      </c>
      <c r="S1299" s="55">
        <v>2400</v>
      </c>
      <c r="T1299" s="271">
        <v>2400</v>
      </c>
    </row>
    <row r="1300" spans="1:20" x14ac:dyDescent="0.2">
      <c r="A1300" s="8" t="str">
        <f t="shared" si="576"/>
        <v>20010313</v>
      </c>
      <c r="B1300" s="8">
        <v>2001</v>
      </c>
      <c r="C1300" s="8">
        <v>3</v>
      </c>
      <c r="D1300" s="8" t="s">
        <v>62</v>
      </c>
      <c r="E1300" s="8">
        <v>3</v>
      </c>
      <c r="F1300" s="34">
        <f t="shared" si="577"/>
        <v>95850</v>
      </c>
      <c r="G1300" s="34">
        <f t="shared" si="577"/>
        <v>95850</v>
      </c>
      <c r="H1300" s="34">
        <f t="shared" si="569"/>
        <v>6000</v>
      </c>
      <c r="I1300" s="34">
        <f t="shared" si="569"/>
        <v>6000</v>
      </c>
      <c r="J1300" s="34">
        <f t="shared" si="578"/>
        <v>68450</v>
      </c>
      <c r="K1300" s="133">
        <v>1000</v>
      </c>
      <c r="L1300" s="34"/>
      <c r="M1300" s="16">
        <f t="shared" si="555"/>
        <v>15872.611883366895</v>
      </c>
      <c r="N1300" s="36">
        <v>600</v>
      </c>
      <c r="O1300" s="36">
        <v>3</v>
      </c>
      <c r="P1300" s="2" t="str">
        <f t="shared" si="579"/>
        <v>7200</v>
      </c>
      <c r="Q1300" s="2" t="s">
        <v>104</v>
      </c>
      <c r="S1300" s="55">
        <v>2400</v>
      </c>
      <c r="T1300" s="271">
        <v>2400</v>
      </c>
    </row>
    <row r="1301" spans="1:20" x14ac:dyDescent="0.2">
      <c r="A1301" s="8" t="str">
        <f t="shared" si="576"/>
        <v>20010314</v>
      </c>
      <c r="B1301" s="8">
        <v>2001</v>
      </c>
      <c r="C1301" s="8">
        <v>3</v>
      </c>
      <c r="D1301" s="8" t="s">
        <v>62</v>
      </c>
      <c r="E1301" s="8">
        <v>4</v>
      </c>
      <c r="F1301" s="34">
        <f t="shared" si="577"/>
        <v>127800</v>
      </c>
      <c r="G1301" s="34">
        <f t="shared" si="577"/>
        <v>127800</v>
      </c>
      <c r="H1301" s="34">
        <f t="shared" si="569"/>
        <v>6000</v>
      </c>
      <c r="I1301" s="34">
        <f t="shared" si="569"/>
        <v>6000</v>
      </c>
      <c r="J1301" s="34">
        <f t="shared" si="578"/>
        <v>91267</v>
      </c>
      <c r="K1301" s="133">
        <v>1000</v>
      </c>
      <c r="L1301" s="34"/>
      <c r="M1301" s="16">
        <f t="shared" si="555"/>
        <v>21163.521158824209</v>
      </c>
      <c r="N1301" s="36">
        <v>600</v>
      </c>
      <c r="O1301" s="36">
        <v>4</v>
      </c>
      <c r="P1301" s="2" t="str">
        <f t="shared" si="579"/>
        <v>7200</v>
      </c>
      <c r="Q1301" s="2" t="s">
        <v>104</v>
      </c>
      <c r="S1301" s="55">
        <v>2400</v>
      </c>
      <c r="T1301" s="271">
        <v>2400</v>
      </c>
    </row>
    <row r="1302" spans="1:20" x14ac:dyDescent="0.2">
      <c r="A1302" s="8" t="str">
        <f t="shared" si="576"/>
        <v>20010410</v>
      </c>
      <c r="B1302" s="8">
        <v>2001</v>
      </c>
      <c r="C1302" s="8">
        <v>4</v>
      </c>
      <c r="D1302" s="8" t="s">
        <v>62</v>
      </c>
      <c r="E1302" s="8">
        <v>0</v>
      </c>
      <c r="F1302" s="34">
        <f>ROUNDDOWN($P1302/4*$O1302*10*$N1302/$N1302*$Q1302/400,0)</f>
        <v>17306</v>
      </c>
      <c r="G1302" s="34">
        <f>ROUNDDOWN($P1302/4*$O1302*10*$N1302/$N1302*$Q1302/400,0)</f>
        <v>17306</v>
      </c>
      <c r="H1302" s="34">
        <f t="shared" si="569"/>
        <v>6500</v>
      </c>
      <c r="I1302" s="34">
        <f t="shared" si="569"/>
        <v>6500</v>
      </c>
      <c r="J1302" s="34">
        <f>ROUNDDOWN($P1302/4*$O1302*10*$N1302/$Q1302*$N1302/400,0)</f>
        <v>12359</v>
      </c>
      <c r="K1302" s="133">
        <v>1000</v>
      </c>
      <c r="L1302" s="34"/>
      <c r="M1302" s="16">
        <f t="shared" si="555"/>
        <v>2982.8861738926616</v>
      </c>
      <c r="N1302" s="36">
        <v>600</v>
      </c>
      <c r="O1302" s="36">
        <v>0.5</v>
      </c>
      <c r="P1302" s="47">
        <v>7800</v>
      </c>
      <c r="Q1302" s="2" t="s">
        <v>104</v>
      </c>
      <c r="S1302" s="55">
        <v>2600</v>
      </c>
      <c r="T1302" s="271">
        <v>2600</v>
      </c>
    </row>
    <row r="1303" spans="1:20" x14ac:dyDescent="0.2">
      <c r="A1303" s="8" t="str">
        <f t="shared" si="576"/>
        <v>20010411</v>
      </c>
      <c r="B1303" s="8">
        <v>2001</v>
      </c>
      <c r="C1303" s="8">
        <v>4</v>
      </c>
      <c r="D1303" s="8" t="s">
        <v>62</v>
      </c>
      <c r="E1303" s="8">
        <v>1</v>
      </c>
      <c r="F1303" s="34">
        <f t="shared" ref="F1303:G1306" si="580">ROUNDDOWN($P1303/4*$O1303*10*$N1303/$N1303*$Q1303/400,0)</f>
        <v>34612</v>
      </c>
      <c r="G1303" s="34">
        <f t="shared" si="580"/>
        <v>34612</v>
      </c>
      <c r="H1303" s="34">
        <f t="shared" si="569"/>
        <v>6500</v>
      </c>
      <c r="I1303" s="34">
        <f t="shared" si="569"/>
        <v>6500</v>
      </c>
      <c r="J1303" s="34">
        <f t="shared" ref="J1303:J1306" si="581">ROUNDDOWN($P1303/4*$O1303*10*$N1303/$Q1303*$N1303/400,0)</f>
        <v>24718</v>
      </c>
      <c r="K1303" s="133">
        <v>1000</v>
      </c>
      <c r="L1303" s="34"/>
      <c r="M1303" s="16">
        <f t="shared" si="555"/>
        <v>5965.7723477853233</v>
      </c>
      <c r="N1303" s="36">
        <v>600</v>
      </c>
      <c r="O1303" s="36">
        <v>1</v>
      </c>
      <c r="P1303" s="2">
        <f>P1302</f>
        <v>7800</v>
      </c>
      <c r="Q1303" s="2" t="s">
        <v>104</v>
      </c>
      <c r="S1303" s="55">
        <v>2600</v>
      </c>
      <c r="T1303" s="271">
        <v>2600</v>
      </c>
    </row>
    <row r="1304" spans="1:20" x14ac:dyDescent="0.2">
      <c r="A1304" s="8" t="str">
        <f t="shared" si="576"/>
        <v>20010412</v>
      </c>
      <c r="B1304" s="8">
        <v>2001</v>
      </c>
      <c r="C1304" s="8">
        <v>4</v>
      </c>
      <c r="D1304" s="8" t="s">
        <v>62</v>
      </c>
      <c r="E1304" s="8">
        <v>2</v>
      </c>
      <c r="F1304" s="34">
        <f t="shared" si="580"/>
        <v>69225</v>
      </c>
      <c r="G1304" s="34">
        <f t="shared" si="580"/>
        <v>69225</v>
      </c>
      <c r="H1304" s="34">
        <f t="shared" si="569"/>
        <v>6500</v>
      </c>
      <c r="I1304" s="34">
        <f t="shared" si="569"/>
        <v>6500</v>
      </c>
      <c r="J1304" s="34">
        <f t="shared" si="581"/>
        <v>49436</v>
      </c>
      <c r="K1304" s="133">
        <v>1000</v>
      </c>
      <c r="L1304" s="34"/>
      <c r="M1304" s="16">
        <f t="shared" si="555"/>
        <v>11931.630875953213</v>
      </c>
      <c r="N1304" s="36">
        <v>600</v>
      </c>
      <c r="O1304" s="36">
        <v>2</v>
      </c>
      <c r="P1304" s="2">
        <f t="shared" ref="P1304:P1306" si="582">P1303</f>
        <v>7800</v>
      </c>
      <c r="Q1304" s="2" t="s">
        <v>104</v>
      </c>
      <c r="S1304" s="55">
        <v>2600</v>
      </c>
      <c r="T1304" s="271">
        <v>2600</v>
      </c>
    </row>
    <row r="1305" spans="1:20" x14ac:dyDescent="0.2">
      <c r="A1305" s="8" t="str">
        <f t="shared" si="576"/>
        <v>20010413</v>
      </c>
      <c r="B1305" s="8">
        <v>2001</v>
      </c>
      <c r="C1305" s="8">
        <v>4</v>
      </c>
      <c r="D1305" s="8" t="s">
        <v>62</v>
      </c>
      <c r="E1305" s="8">
        <v>3</v>
      </c>
      <c r="F1305" s="34">
        <f t="shared" si="580"/>
        <v>103837</v>
      </c>
      <c r="G1305" s="34">
        <f t="shared" si="580"/>
        <v>103837</v>
      </c>
      <c r="H1305" s="34">
        <f t="shared" si="569"/>
        <v>6500</v>
      </c>
      <c r="I1305" s="34">
        <f t="shared" si="569"/>
        <v>6500</v>
      </c>
      <c r="J1305" s="34">
        <f t="shared" si="581"/>
        <v>74154</v>
      </c>
      <c r="K1305" s="133">
        <v>1000</v>
      </c>
      <c r="L1305" s="34"/>
      <c r="M1305" s="16">
        <f t="shared" si="555"/>
        <v>17897.403223842281</v>
      </c>
      <c r="N1305" s="36">
        <v>600</v>
      </c>
      <c r="O1305" s="36">
        <v>3</v>
      </c>
      <c r="P1305" s="2">
        <f t="shared" si="582"/>
        <v>7800</v>
      </c>
      <c r="Q1305" s="2" t="s">
        <v>104</v>
      </c>
      <c r="S1305" s="55">
        <v>2600</v>
      </c>
      <c r="T1305" s="271">
        <v>2600</v>
      </c>
    </row>
    <row r="1306" spans="1:20" x14ac:dyDescent="0.2">
      <c r="A1306" s="8" t="str">
        <f t="shared" si="576"/>
        <v>20010414</v>
      </c>
      <c r="B1306" s="8">
        <v>2001</v>
      </c>
      <c r="C1306" s="8">
        <v>4</v>
      </c>
      <c r="D1306" s="8" t="s">
        <v>62</v>
      </c>
      <c r="E1306" s="8">
        <v>4</v>
      </c>
      <c r="F1306" s="34">
        <f t="shared" si="580"/>
        <v>138450</v>
      </c>
      <c r="G1306" s="34">
        <f t="shared" si="580"/>
        <v>138450</v>
      </c>
      <c r="H1306" s="34">
        <f t="shared" si="569"/>
        <v>6500</v>
      </c>
      <c r="I1306" s="34">
        <f t="shared" si="569"/>
        <v>6500</v>
      </c>
      <c r="J1306" s="34">
        <f t="shared" si="581"/>
        <v>98873</v>
      </c>
      <c r="K1306" s="133">
        <v>1000</v>
      </c>
      <c r="L1306" s="34"/>
      <c r="M1306" s="16">
        <f t="shared" si="555"/>
        <v>23863.382429152829</v>
      </c>
      <c r="N1306" s="36">
        <v>600</v>
      </c>
      <c r="O1306" s="36">
        <v>4</v>
      </c>
      <c r="P1306" s="2">
        <f t="shared" si="582"/>
        <v>7800</v>
      </c>
      <c r="Q1306" s="2" t="s">
        <v>104</v>
      </c>
      <c r="S1306" s="55">
        <v>2600</v>
      </c>
      <c r="T1306" s="271">
        <v>2600</v>
      </c>
    </row>
    <row r="1307" spans="1:20" x14ac:dyDescent="0.2">
      <c r="A1307" s="8" t="str">
        <f t="shared" si="576"/>
        <v>20010510</v>
      </c>
      <c r="B1307" s="8">
        <v>2001</v>
      </c>
      <c r="C1307" s="8">
        <v>5</v>
      </c>
      <c r="D1307" s="8" t="s">
        <v>62</v>
      </c>
      <c r="E1307" s="8">
        <v>0</v>
      </c>
      <c r="F1307" s="34">
        <f>ROUNDDOWN($P1307/4*$O1307*10*$N1307/$N1307*$Q1307/400,0)</f>
        <v>18637</v>
      </c>
      <c r="G1307" s="34">
        <f>ROUNDDOWN($P1307/4*$O1307*10*$N1307/$N1307*$Q1307/400,0)</f>
        <v>18637</v>
      </c>
      <c r="H1307" s="34">
        <f t="shared" si="569"/>
        <v>7000</v>
      </c>
      <c r="I1307" s="34">
        <f t="shared" si="569"/>
        <v>7000</v>
      </c>
      <c r="J1307" s="34">
        <f>ROUNDDOWN($P1307/4*$O1307*10*$N1307/$Q1307*$N1307/400,0)</f>
        <v>13309</v>
      </c>
      <c r="K1307" s="133">
        <v>1000</v>
      </c>
      <c r="L1307" s="34"/>
      <c r="M1307" s="16">
        <f t="shared" si="555"/>
        <v>3333.4943405381691</v>
      </c>
      <c r="N1307" s="36">
        <v>600</v>
      </c>
      <c r="O1307" s="36">
        <v>0.5</v>
      </c>
      <c r="P1307" s="47">
        <v>8400</v>
      </c>
      <c r="Q1307" s="2" t="s">
        <v>104</v>
      </c>
      <c r="S1307" s="55">
        <v>2800</v>
      </c>
      <c r="T1307" s="271">
        <v>2800</v>
      </c>
    </row>
    <row r="1308" spans="1:20" x14ac:dyDescent="0.2">
      <c r="A1308" s="8" t="str">
        <f t="shared" si="576"/>
        <v>20010511</v>
      </c>
      <c r="B1308" s="8">
        <v>2001</v>
      </c>
      <c r="C1308" s="8">
        <v>5</v>
      </c>
      <c r="D1308" s="8" t="s">
        <v>62</v>
      </c>
      <c r="E1308" s="8">
        <v>1</v>
      </c>
      <c r="F1308" s="34">
        <f t="shared" ref="F1308:G1311" si="583">ROUNDDOWN($P1308/4*$O1308*10*$N1308/$N1308*$Q1308/400,0)</f>
        <v>37275</v>
      </c>
      <c r="G1308" s="34">
        <f t="shared" si="583"/>
        <v>37275</v>
      </c>
      <c r="H1308" s="34">
        <f t="shared" si="569"/>
        <v>7000</v>
      </c>
      <c r="I1308" s="34">
        <f t="shared" si="569"/>
        <v>7000</v>
      </c>
      <c r="J1308" s="34">
        <f t="shared" ref="J1308:J1311" si="584">ROUNDDOWN($P1308/4*$O1308*10*$N1308/$Q1308*$N1308/400,0)</f>
        <v>26619</v>
      </c>
      <c r="K1308" s="133">
        <v>1000</v>
      </c>
      <c r="L1308" s="34"/>
      <c r="M1308" s="16">
        <f t="shared" si="555"/>
        <v>6667.2033477313416</v>
      </c>
      <c r="N1308" s="36">
        <v>600</v>
      </c>
      <c r="O1308" s="36">
        <v>1</v>
      </c>
      <c r="P1308" s="2">
        <f>P1307</f>
        <v>8400</v>
      </c>
      <c r="Q1308" s="2" t="s">
        <v>104</v>
      </c>
      <c r="S1308" s="55">
        <v>2800</v>
      </c>
      <c r="T1308" s="271">
        <v>2800</v>
      </c>
    </row>
    <row r="1309" spans="1:20" x14ac:dyDescent="0.2">
      <c r="A1309" s="8" t="str">
        <f t="shared" si="576"/>
        <v>20010512</v>
      </c>
      <c r="B1309" s="8">
        <v>2001</v>
      </c>
      <c r="C1309" s="8">
        <v>5</v>
      </c>
      <c r="D1309" s="8" t="s">
        <v>62</v>
      </c>
      <c r="E1309" s="8">
        <v>2</v>
      </c>
      <c r="F1309" s="34">
        <f t="shared" si="583"/>
        <v>74550</v>
      </c>
      <c r="G1309" s="34">
        <f t="shared" si="583"/>
        <v>74550</v>
      </c>
      <c r="H1309" s="34">
        <f t="shared" si="569"/>
        <v>7000</v>
      </c>
      <c r="I1309" s="34">
        <f t="shared" si="569"/>
        <v>7000</v>
      </c>
      <c r="J1309" s="34">
        <f t="shared" si="584"/>
        <v>53239</v>
      </c>
      <c r="K1309" s="133">
        <v>1000</v>
      </c>
      <c r="L1309" s="34"/>
      <c r="M1309" s="16">
        <f t="shared" si="555"/>
        <v>13334.531928793001</v>
      </c>
      <c r="N1309" s="36">
        <v>600</v>
      </c>
      <c r="O1309" s="36">
        <v>2</v>
      </c>
      <c r="P1309" s="2">
        <f t="shared" ref="P1309:P1311" si="585">P1308</f>
        <v>8400</v>
      </c>
      <c r="Q1309" s="2" t="s">
        <v>104</v>
      </c>
      <c r="S1309" s="55">
        <v>2800</v>
      </c>
      <c r="T1309" s="271">
        <v>2800</v>
      </c>
    </row>
    <row r="1310" spans="1:20" x14ac:dyDescent="0.2">
      <c r="A1310" s="8" t="str">
        <f t="shared" si="576"/>
        <v>20010513</v>
      </c>
      <c r="B1310" s="8">
        <v>2001</v>
      </c>
      <c r="C1310" s="8">
        <v>5</v>
      </c>
      <c r="D1310" s="8" t="s">
        <v>62</v>
      </c>
      <c r="E1310" s="8">
        <v>3</v>
      </c>
      <c r="F1310" s="34">
        <f t="shared" si="583"/>
        <v>111825</v>
      </c>
      <c r="G1310" s="34">
        <f t="shared" si="583"/>
        <v>111825</v>
      </c>
      <c r="H1310" s="34">
        <f t="shared" si="569"/>
        <v>7000</v>
      </c>
      <c r="I1310" s="34">
        <f t="shared" si="569"/>
        <v>7000</v>
      </c>
      <c r="J1310" s="34">
        <f t="shared" si="584"/>
        <v>79859</v>
      </c>
      <c r="K1310" s="133">
        <v>1000</v>
      </c>
      <c r="L1310" s="34"/>
      <c r="M1310" s="16">
        <f t="shared" si="555"/>
        <v>20001.860509462615</v>
      </c>
      <c r="N1310" s="36">
        <v>600</v>
      </c>
      <c r="O1310" s="36">
        <v>3</v>
      </c>
      <c r="P1310" s="2">
        <f t="shared" si="585"/>
        <v>8400</v>
      </c>
      <c r="Q1310" s="2" t="s">
        <v>104</v>
      </c>
      <c r="S1310" s="55">
        <v>2800</v>
      </c>
      <c r="T1310" s="271">
        <v>2800</v>
      </c>
    </row>
    <row r="1311" spans="1:20" x14ac:dyDescent="0.2">
      <c r="A1311" s="8" t="str">
        <f t="shared" si="576"/>
        <v>20010514</v>
      </c>
      <c r="B1311" s="8">
        <v>2001</v>
      </c>
      <c r="C1311" s="8">
        <v>5</v>
      </c>
      <c r="D1311" s="8" t="s">
        <v>62</v>
      </c>
      <c r="E1311" s="8">
        <v>4</v>
      </c>
      <c r="F1311" s="34">
        <f t="shared" si="583"/>
        <v>149100</v>
      </c>
      <c r="G1311" s="34">
        <f t="shared" si="583"/>
        <v>149100</v>
      </c>
      <c r="H1311" s="34">
        <f t="shared" si="569"/>
        <v>7000</v>
      </c>
      <c r="I1311" s="34">
        <f t="shared" si="569"/>
        <v>7000</v>
      </c>
      <c r="J1311" s="34">
        <f t="shared" si="584"/>
        <v>106478</v>
      </c>
      <c r="K1311" s="133">
        <v>1000</v>
      </c>
      <c r="L1311" s="34"/>
      <c r="M1311" s="16">
        <f t="shared" si="555"/>
        <v>26669.063857586003</v>
      </c>
      <c r="N1311" s="36">
        <v>600</v>
      </c>
      <c r="O1311" s="36">
        <v>4</v>
      </c>
      <c r="P1311" s="2">
        <f t="shared" si="585"/>
        <v>8400</v>
      </c>
      <c r="Q1311" s="2" t="s">
        <v>104</v>
      </c>
      <c r="S1311" s="55">
        <v>2800</v>
      </c>
      <c r="T1311" s="271">
        <v>2800</v>
      </c>
    </row>
    <row r="1312" spans="1:20" x14ac:dyDescent="0.2">
      <c r="A1312" s="8" t="str">
        <f t="shared" si="576"/>
        <v>20010610</v>
      </c>
      <c r="B1312" s="8">
        <v>2001</v>
      </c>
      <c r="C1312" s="8">
        <v>6</v>
      </c>
      <c r="D1312" s="8" t="s">
        <v>62</v>
      </c>
      <c r="E1312" s="8">
        <v>0</v>
      </c>
      <c r="F1312" s="34">
        <f>ROUNDDOWN($P1312/4*$O1312*10*$N1312/$N1312*$Q1312/400,0)</f>
        <v>19968</v>
      </c>
      <c r="G1312" s="34">
        <f>ROUNDDOWN($P1312/4*$O1312*10*$N1312/$N1312*$Q1312/400,0)</f>
        <v>19968</v>
      </c>
      <c r="H1312" s="34">
        <f t="shared" si="569"/>
        <v>7500</v>
      </c>
      <c r="I1312" s="34">
        <f t="shared" si="569"/>
        <v>7500</v>
      </c>
      <c r="J1312" s="34">
        <f>ROUNDDOWN($P1312/4*$O1312*10*$N1312/$Q1312*$N1312/400,0)</f>
        <v>14260</v>
      </c>
      <c r="K1312" s="133">
        <v>1000</v>
      </c>
      <c r="L1312" s="34"/>
      <c r="M1312" s="16">
        <f t="shared" si="555"/>
        <v>3696.9848038638193</v>
      </c>
      <c r="N1312" s="36">
        <v>600</v>
      </c>
      <c r="O1312" s="36">
        <v>0.5</v>
      </c>
      <c r="P1312" s="47">
        <v>9000</v>
      </c>
      <c r="Q1312" s="2" t="s">
        <v>104</v>
      </c>
      <c r="S1312" s="55">
        <v>3000</v>
      </c>
      <c r="T1312" s="271">
        <v>3000</v>
      </c>
    </row>
    <row r="1313" spans="1:20" x14ac:dyDescent="0.2">
      <c r="A1313" s="8" t="str">
        <f t="shared" si="576"/>
        <v>20010611</v>
      </c>
      <c r="B1313" s="8">
        <v>2001</v>
      </c>
      <c r="C1313" s="8">
        <v>6</v>
      </c>
      <c r="D1313" s="8" t="s">
        <v>62</v>
      </c>
      <c r="E1313" s="8">
        <v>1</v>
      </c>
      <c r="F1313" s="34">
        <f t="shared" ref="F1313:G1316" si="586">ROUNDDOWN($P1313/4*$O1313*10*$N1313/$N1313*$Q1313/400,0)</f>
        <v>39937</v>
      </c>
      <c r="G1313" s="34">
        <f t="shared" si="586"/>
        <v>39937</v>
      </c>
      <c r="H1313" s="34">
        <f t="shared" si="569"/>
        <v>7500</v>
      </c>
      <c r="I1313" s="34">
        <f t="shared" si="569"/>
        <v>7500</v>
      </c>
      <c r="J1313" s="34">
        <f t="shared" ref="J1313:J1316" si="587">ROUNDDOWN($P1313/4*$O1313*10*$N1313/$Q1313*$N1313/400,0)</f>
        <v>28521</v>
      </c>
      <c r="K1313" s="133">
        <v>1000</v>
      </c>
      <c r="L1313" s="34"/>
      <c r="M1313" s="16">
        <f t="shared" si="555"/>
        <v>7394.1918081694375</v>
      </c>
      <c r="N1313" s="36">
        <v>600</v>
      </c>
      <c r="O1313" s="36">
        <v>1</v>
      </c>
      <c r="P1313" s="2">
        <f>P1312</f>
        <v>9000</v>
      </c>
      <c r="Q1313" s="2" t="s">
        <v>104</v>
      </c>
      <c r="S1313" s="55">
        <v>3000</v>
      </c>
      <c r="T1313" s="271">
        <v>3000</v>
      </c>
    </row>
    <row r="1314" spans="1:20" x14ac:dyDescent="0.2">
      <c r="A1314" s="8" t="str">
        <f t="shared" si="576"/>
        <v>20010612</v>
      </c>
      <c r="B1314" s="8">
        <v>2001</v>
      </c>
      <c r="C1314" s="8">
        <v>6</v>
      </c>
      <c r="D1314" s="8" t="s">
        <v>62</v>
      </c>
      <c r="E1314" s="8">
        <v>2</v>
      </c>
      <c r="F1314" s="34">
        <f t="shared" si="586"/>
        <v>79875</v>
      </c>
      <c r="G1314" s="34">
        <f t="shared" si="586"/>
        <v>79875</v>
      </c>
      <c r="H1314" s="34">
        <f t="shared" si="569"/>
        <v>7500</v>
      </c>
      <c r="I1314" s="34">
        <f t="shared" si="569"/>
        <v>7500</v>
      </c>
      <c r="J1314" s="34">
        <f t="shared" si="587"/>
        <v>57042</v>
      </c>
      <c r="K1314" s="133">
        <v>1000</v>
      </c>
      <c r="L1314" s="34"/>
      <c r="M1314" s="16">
        <f t="shared" si="555"/>
        <v>14788.476189249519</v>
      </c>
      <c r="N1314" s="36">
        <v>600</v>
      </c>
      <c r="O1314" s="36">
        <v>2</v>
      </c>
      <c r="P1314" s="2">
        <f t="shared" ref="P1314:P1316" si="588">P1313</f>
        <v>9000</v>
      </c>
      <c r="Q1314" s="2" t="s">
        <v>104</v>
      </c>
      <c r="S1314" s="55">
        <v>3000</v>
      </c>
      <c r="T1314" s="271">
        <v>3000</v>
      </c>
    </row>
    <row r="1315" spans="1:20" x14ac:dyDescent="0.2">
      <c r="A1315" s="8" t="str">
        <f t="shared" si="576"/>
        <v>20010613</v>
      </c>
      <c r="B1315" s="8">
        <v>2001</v>
      </c>
      <c r="C1315" s="8">
        <v>6</v>
      </c>
      <c r="D1315" s="8" t="s">
        <v>62</v>
      </c>
      <c r="E1315" s="8">
        <v>3</v>
      </c>
      <c r="F1315" s="34">
        <f t="shared" si="586"/>
        <v>119812</v>
      </c>
      <c r="G1315" s="34">
        <f t="shared" si="586"/>
        <v>119812</v>
      </c>
      <c r="H1315" s="34">
        <f t="shared" si="569"/>
        <v>7500</v>
      </c>
      <c r="I1315" s="34">
        <f t="shared" si="569"/>
        <v>7500</v>
      </c>
      <c r="J1315" s="34">
        <f t="shared" si="587"/>
        <v>85563</v>
      </c>
      <c r="K1315" s="133">
        <v>1000</v>
      </c>
      <c r="L1315" s="34"/>
      <c r="M1315" s="16">
        <f t="shared" si="555"/>
        <v>22182.667997515538</v>
      </c>
      <c r="N1315" s="36">
        <v>600</v>
      </c>
      <c r="O1315" s="36">
        <v>3</v>
      </c>
      <c r="P1315" s="2">
        <f t="shared" si="588"/>
        <v>9000</v>
      </c>
      <c r="Q1315" s="2" t="s">
        <v>104</v>
      </c>
      <c r="S1315" s="55">
        <v>3000</v>
      </c>
      <c r="T1315" s="271">
        <v>3000</v>
      </c>
    </row>
    <row r="1316" spans="1:20" x14ac:dyDescent="0.2">
      <c r="A1316" s="8" t="str">
        <f t="shared" si="576"/>
        <v>20010614</v>
      </c>
      <c r="B1316" s="8">
        <v>2001</v>
      </c>
      <c r="C1316" s="8">
        <v>6</v>
      </c>
      <c r="D1316" s="8" t="s">
        <v>62</v>
      </c>
      <c r="E1316" s="8">
        <v>4</v>
      </c>
      <c r="F1316" s="34">
        <f t="shared" si="586"/>
        <v>159750</v>
      </c>
      <c r="G1316" s="34">
        <f t="shared" si="586"/>
        <v>159750</v>
      </c>
      <c r="H1316" s="34">
        <f t="shared" si="569"/>
        <v>7500</v>
      </c>
      <c r="I1316" s="34">
        <f t="shared" si="569"/>
        <v>7500</v>
      </c>
      <c r="J1316" s="34">
        <f t="shared" si="587"/>
        <v>114084</v>
      </c>
      <c r="K1316" s="133">
        <v>1000</v>
      </c>
      <c r="L1316" s="34"/>
      <c r="M1316" s="16">
        <f t="shared" si="555"/>
        <v>29576.952378499038</v>
      </c>
      <c r="N1316" s="36">
        <v>600</v>
      </c>
      <c r="O1316" s="36">
        <v>4</v>
      </c>
      <c r="P1316" s="2">
        <f t="shared" si="588"/>
        <v>9000</v>
      </c>
      <c r="Q1316" s="2" t="s">
        <v>104</v>
      </c>
      <c r="S1316" s="55">
        <v>3000</v>
      </c>
      <c r="T1316" s="271">
        <v>3000</v>
      </c>
    </row>
    <row r="1317" spans="1:20" x14ac:dyDescent="0.2">
      <c r="A1317" s="8" t="str">
        <f t="shared" si="576"/>
        <v>20010710</v>
      </c>
      <c r="B1317" s="8">
        <v>2001</v>
      </c>
      <c r="C1317" s="8">
        <v>7</v>
      </c>
      <c r="D1317" s="8" t="s">
        <v>62</v>
      </c>
      <c r="E1317" s="8">
        <v>0</v>
      </c>
      <c r="F1317" s="34">
        <f>ROUNDDOWN($P1317/4*$O1317*10*$N1317/$N1317*$Q1317/400,0)</f>
        <v>21300</v>
      </c>
      <c r="G1317" s="34">
        <f>ROUNDDOWN($P1317/4*$O1317*10*$N1317/$N1317*$Q1317/400,0)</f>
        <v>21300</v>
      </c>
      <c r="H1317" s="34">
        <f t="shared" si="569"/>
        <v>8000</v>
      </c>
      <c r="I1317" s="34">
        <f t="shared" si="569"/>
        <v>8000</v>
      </c>
      <c r="J1317" s="34">
        <f>ROUNDDOWN($P1317/4*$O1317*10*$N1317/$Q1317*$N1317/400,0)</f>
        <v>15211</v>
      </c>
      <c r="K1317" s="133">
        <v>1000</v>
      </c>
      <c r="L1317" s="34"/>
      <c r="M1317" s="16">
        <f t="shared" si="555"/>
        <v>4072.8992327333613</v>
      </c>
      <c r="N1317" s="36">
        <v>600</v>
      </c>
      <c r="O1317" s="36">
        <v>0.5</v>
      </c>
      <c r="P1317" s="47">
        <v>9600</v>
      </c>
      <c r="Q1317" s="2" t="s">
        <v>104</v>
      </c>
      <c r="S1317" s="55">
        <v>3200</v>
      </c>
      <c r="T1317" s="271">
        <v>3200</v>
      </c>
    </row>
    <row r="1318" spans="1:20" x14ac:dyDescent="0.2">
      <c r="A1318" s="8" t="str">
        <f t="shared" si="576"/>
        <v>20010711</v>
      </c>
      <c r="B1318" s="8">
        <v>2001</v>
      </c>
      <c r="C1318" s="8">
        <v>7</v>
      </c>
      <c r="D1318" s="8" t="s">
        <v>62</v>
      </c>
      <c r="E1318" s="8">
        <v>1</v>
      </c>
      <c r="F1318" s="34">
        <f t="shared" ref="F1318:G1321" si="589">ROUNDDOWN($P1318/4*$O1318*10*$N1318/$N1318*$Q1318/400,0)</f>
        <v>42600</v>
      </c>
      <c r="G1318" s="34">
        <f t="shared" si="589"/>
        <v>42600</v>
      </c>
      <c r="H1318" s="34">
        <f t="shared" si="569"/>
        <v>8000</v>
      </c>
      <c r="I1318" s="34">
        <f t="shared" si="569"/>
        <v>8000</v>
      </c>
      <c r="J1318" s="34">
        <f t="shared" ref="J1318:J1321" si="590">ROUNDDOWN($P1318/4*$O1318*10*$N1318/$Q1318*$N1318/400,0)</f>
        <v>30422</v>
      </c>
      <c r="K1318" s="133">
        <v>1000</v>
      </c>
      <c r="L1318" s="34"/>
      <c r="M1318" s="16">
        <f t="shared" si="555"/>
        <v>8145.7984654667225</v>
      </c>
      <c r="N1318" s="36">
        <v>600</v>
      </c>
      <c r="O1318" s="36">
        <v>1</v>
      </c>
      <c r="P1318" s="2">
        <f>P1317</f>
        <v>9600</v>
      </c>
      <c r="Q1318" s="2" t="s">
        <v>104</v>
      </c>
      <c r="S1318" s="55">
        <v>3200</v>
      </c>
      <c r="T1318" s="271">
        <v>3200</v>
      </c>
    </row>
    <row r="1319" spans="1:20" x14ac:dyDescent="0.2">
      <c r="A1319" s="8" t="str">
        <f t="shared" si="576"/>
        <v>20010712</v>
      </c>
      <c r="B1319" s="8">
        <v>2001</v>
      </c>
      <c r="C1319" s="8">
        <v>7</v>
      </c>
      <c r="D1319" s="8" t="s">
        <v>62</v>
      </c>
      <c r="E1319" s="8">
        <v>2</v>
      </c>
      <c r="F1319" s="34">
        <f t="shared" si="589"/>
        <v>85200</v>
      </c>
      <c r="G1319" s="34">
        <f t="shared" si="589"/>
        <v>85200</v>
      </c>
      <c r="H1319" s="34">
        <f t="shared" si="569"/>
        <v>8000</v>
      </c>
      <c r="I1319" s="34">
        <f t="shared" si="569"/>
        <v>8000</v>
      </c>
      <c r="J1319" s="34">
        <f t="shared" si="590"/>
        <v>60845</v>
      </c>
      <c r="K1319" s="133">
        <v>1000</v>
      </c>
      <c r="L1319" s="34"/>
      <c r="M1319" s="16">
        <f t="shared" si="555"/>
        <v>16291.730810444913</v>
      </c>
      <c r="N1319" s="36">
        <v>600</v>
      </c>
      <c r="O1319" s="36">
        <v>2</v>
      </c>
      <c r="P1319" s="2">
        <f t="shared" ref="P1319:P1321" si="591">P1318</f>
        <v>9600</v>
      </c>
      <c r="Q1319" s="2" t="s">
        <v>104</v>
      </c>
      <c r="S1319" s="55">
        <v>3200</v>
      </c>
      <c r="T1319" s="271">
        <v>3200</v>
      </c>
    </row>
    <row r="1320" spans="1:20" x14ac:dyDescent="0.2">
      <c r="A1320" s="8" t="str">
        <f t="shared" si="576"/>
        <v>20010713</v>
      </c>
      <c r="B1320" s="8">
        <v>2001</v>
      </c>
      <c r="C1320" s="8">
        <v>7</v>
      </c>
      <c r="D1320" s="8" t="s">
        <v>62</v>
      </c>
      <c r="E1320" s="8">
        <v>3</v>
      </c>
      <c r="F1320" s="34">
        <f t="shared" si="589"/>
        <v>127800</v>
      </c>
      <c r="G1320" s="34">
        <f t="shared" si="589"/>
        <v>127800</v>
      </c>
      <c r="H1320" s="34">
        <f t="shared" si="569"/>
        <v>8000</v>
      </c>
      <c r="I1320" s="34">
        <f t="shared" si="569"/>
        <v>8000</v>
      </c>
      <c r="J1320" s="34">
        <f t="shared" si="590"/>
        <v>91267</v>
      </c>
      <c r="K1320" s="133">
        <v>1000</v>
      </c>
      <c r="L1320" s="34"/>
      <c r="M1320" s="16">
        <f t="shared" si="555"/>
        <v>24437.529276094996</v>
      </c>
      <c r="N1320" s="36">
        <v>600</v>
      </c>
      <c r="O1320" s="36">
        <v>3</v>
      </c>
      <c r="P1320" s="2">
        <f t="shared" si="591"/>
        <v>9600</v>
      </c>
      <c r="Q1320" s="2" t="s">
        <v>104</v>
      </c>
      <c r="S1320" s="55">
        <v>3200</v>
      </c>
      <c r="T1320" s="271">
        <v>3200</v>
      </c>
    </row>
    <row r="1321" spans="1:20" x14ac:dyDescent="0.2">
      <c r="A1321" s="8" t="str">
        <f t="shared" si="576"/>
        <v>20010714</v>
      </c>
      <c r="B1321" s="8">
        <v>2001</v>
      </c>
      <c r="C1321" s="8">
        <v>7</v>
      </c>
      <c r="D1321" s="8" t="s">
        <v>62</v>
      </c>
      <c r="E1321" s="8">
        <v>4</v>
      </c>
      <c r="F1321" s="34">
        <f t="shared" si="589"/>
        <v>170400</v>
      </c>
      <c r="G1321" s="34">
        <f t="shared" si="589"/>
        <v>170400</v>
      </c>
      <c r="H1321" s="34">
        <f t="shared" si="569"/>
        <v>8000</v>
      </c>
      <c r="I1321" s="34">
        <f t="shared" si="569"/>
        <v>8000</v>
      </c>
      <c r="J1321" s="34">
        <f t="shared" si="590"/>
        <v>121690</v>
      </c>
      <c r="K1321" s="133">
        <v>1000</v>
      </c>
      <c r="L1321" s="34"/>
      <c r="M1321" s="16">
        <f t="shared" si="555"/>
        <v>32583.461620889826</v>
      </c>
      <c r="N1321" s="36">
        <v>600</v>
      </c>
      <c r="O1321" s="36">
        <v>4</v>
      </c>
      <c r="P1321" s="2">
        <f t="shared" si="591"/>
        <v>9600</v>
      </c>
      <c r="Q1321" s="2" t="s">
        <v>104</v>
      </c>
      <c r="S1321" s="55">
        <v>3200</v>
      </c>
      <c r="T1321" s="271">
        <v>3200</v>
      </c>
    </row>
    <row r="1322" spans="1:20" x14ac:dyDescent="0.2">
      <c r="A1322" s="8" t="str">
        <f t="shared" si="576"/>
        <v>20010810</v>
      </c>
      <c r="B1322" s="8">
        <v>2001</v>
      </c>
      <c r="C1322" s="8">
        <v>8</v>
      </c>
      <c r="D1322" s="8" t="s">
        <v>62</v>
      </c>
      <c r="E1322" s="8">
        <v>0</v>
      </c>
      <c r="F1322" s="34">
        <f>ROUNDDOWN($P1322/4*$O1322*10*$N1322/$N1322*$Q1322/400,0)</f>
        <v>24850</v>
      </c>
      <c r="G1322" s="34">
        <f>ROUNDDOWN($P1322/4*$O1322*10*$N1322/$N1322*$Q1322/400,0)</f>
        <v>24850</v>
      </c>
      <c r="H1322" s="34">
        <f t="shared" si="569"/>
        <v>9333</v>
      </c>
      <c r="I1322" s="34">
        <f t="shared" si="569"/>
        <v>9333</v>
      </c>
      <c r="J1322" s="34">
        <f>ROUNDDOWN($P1322/4*$O1322*10*$N1322/$Q1322*$N1322/400,0)</f>
        <v>17746</v>
      </c>
      <c r="K1322" s="133">
        <v>1000</v>
      </c>
      <c r="L1322" s="34"/>
      <c r="M1322" s="16">
        <f t="shared" si="555"/>
        <v>5132.3238789772422</v>
      </c>
      <c r="N1322" s="36">
        <v>600</v>
      </c>
      <c r="O1322" s="36">
        <v>0.5</v>
      </c>
      <c r="P1322" s="47">
        <v>11200</v>
      </c>
      <c r="Q1322" s="2" t="s">
        <v>104</v>
      </c>
      <c r="S1322" s="55">
        <v>3733.3333333333335</v>
      </c>
      <c r="T1322" s="271">
        <v>3733.3333333333335</v>
      </c>
    </row>
    <row r="1323" spans="1:20" x14ac:dyDescent="0.2">
      <c r="A1323" s="8" t="str">
        <f t="shared" si="576"/>
        <v>20010811</v>
      </c>
      <c r="B1323" s="8">
        <v>2001</v>
      </c>
      <c r="C1323" s="8">
        <v>8</v>
      </c>
      <c r="D1323" s="8" t="s">
        <v>62</v>
      </c>
      <c r="E1323" s="8">
        <v>1</v>
      </c>
      <c r="F1323" s="34">
        <f t="shared" ref="F1323:G1326" si="592">ROUNDDOWN($P1323/4*$O1323*10*$N1323/$N1323*$Q1323/400,0)</f>
        <v>49700</v>
      </c>
      <c r="G1323" s="34">
        <f t="shared" si="592"/>
        <v>49700</v>
      </c>
      <c r="H1323" s="34">
        <f t="shared" si="569"/>
        <v>9333</v>
      </c>
      <c r="I1323" s="34">
        <f t="shared" si="569"/>
        <v>9333</v>
      </c>
      <c r="J1323" s="34">
        <f t="shared" ref="J1323:J1326" si="593">ROUNDDOWN($P1323/4*$O1323*10*$N1323/$Q1323*$N1323/400,0)</f>
        <v>35492</v>
      </c>
      <c r="K1323" s="133">
        <v>1000</v>
      </c>
      <c r="L1323" s="34"/>
      <c r="M1323" s="16">
        <f t="shared" si="555"/>
        <v>10264.647757954484</v>
      </c>
      <c r="N1323" s="36">
        <v>600</v>
      </c>
      <c r="O1323" s="36">
        <v>1</v>
      </c>
      <c r="P1323" s="2">
        <f>P1322</f>
        <v>11200</v>
      </c>
      <c r="Q1323" s="2" t="s">
        <v>104</v>
      </c>
      <c r="S1323" s="55">
        <v>3733.3333333333335</v>
      </c>
      <c r="T1323" s="271">
        <v>3733.3333333333335</v>
      </c>
    </row>
    <row r="1324" spans="1:20" x14ac:dyDescent="0.2">
      <c r="A1324" s="8" t="str">
        <f t="shared" si="576"/>
        <v>20010812</v>
      </c>
      <c r="B1324" s="8">
        <v>2001</v>
      </c>
      <c r="C1324" s="8">
        <v>8</v>
      </c>
      <c r="D1324" s="8" t="s">
        <v>62</v>
      </c>
      <c r="E1324" s="8">
        <v>2</v>
      </c>
      <c r="F1324" s="34">
        <f t="shared" si="592"/>
        <v>99400</v>
      </c>
      <c r="G1324" s="34">
        <f t="shared" si="592"/>
        <v>99400</v>
      </c>
      <c r="H1324" s="34">
        <f t="shared" si="569"/>
        <v>9333</v>
      </c>
      <c r="I1324" s="34">
        <f t="shared" si="569"/>
        <v>9333</v>
      </c>
      <c r="J1324" s="34">
        <f t="shared" si="593"/>
        <v>70985</v>
      </c>
      <c r="K1324" s="133">
        <v>1000</v>
      </c>
      <c r="L1324" s="34"/>
      <c r="M1324" s="16">
        <f t="shared" si="555"/>
        <v>20529.440120490381</v>
      </c>
      <c r="N1324" s="36">
        <v>600</v>
      </c>
      <c r="O1324" s="36">
        <v>2</v>
      </c>
      <c r="P1324" s="2">
        <f t="shared" ref="P1324:P1326" si="594">P1323</f>
        <v>11200</v>
      </c>
      <c r="Q1324" s="2" t="s">
        <v>104</v>
      </c>
      <c r="S1324" s="55">
        <v>3733.3333333333335</v>
      </c>
      <c r="T1324" s="271">
        <v>3733.3333333333335</v>
      </c>
    </row>
    <row r="1325" spans="1:20" x14ac:dyDescent="0.2">
      <c r="A1325" s="8" t="str">
        <f t="shared" si="576"/>
        <v>20010813</v>
      </c>
      <c r="B1325" s="8">
        <v>2001</v>
      </c>
      <c r="C1325" s="8">
        <v>8</v>
      </c>
      <c r="D1325" s="8" t="s">
        <v>62</v>
      </c>
      <c r="E1325" s="8">
        <v>3</v>
      </c>
      <c r="F1325" s="34">
        <f t="shared" si="592"/>
        <v>149100</v>
      </c>
      <c r="G1325" s="34">
        <f t="shared" si="592"/>
        <v>149100</v>
      </c>
      <c r="H1325" s="34">
        <f t="shared" si="569"/>
        <v>9333</v>
      </c>
      <c r="I1325" s="34">
        <f t="shared" si="569"/>
        <v>9333</v>
      </c>
      <c r="J1325" s="34">
        <f t="shared" si="593"/>
        <v>106478</v>
      </c>
      <c r="K1325" s="133">
        <v>1000</v>
      </c>
      <c r="L1325" s="34"/>
      <c r="M1325" s="16">
        <f t="shared" si="555"/>
        <v>30794.232482686755</v>
      </c>
      <c r="N1325" s="36">
        <v>600</v>
      </c>
      <c r="O1325" s="36">
        <v>3</v>
      </c>
      <c r="P1325" s="2">
        <f t="shared" si="594"/>
        <v>11200</v>
      </c>
      <c r="Q1325" s="2" t="s">
        <v>104</v>
      </c>
      <c r="S1325" s="55">
        <v>3733.3333333333335</v>
      </c>
      <c r="T1325" s="271">
        <v>3733.3333333333335</v>
      </c>
    </row>
    <row r="1326" spans="1:20" x14ac:dyDescent="0.2">
      <c r="A1326" s="8" t="str">
        <f t="shared" si="576"/>
        <v>20010814</v>
      </c>
      <c r="B1326" s="8">
        <v>2001</v>
      </c>
      <c r="C1326" s="8">
        <v>8</v>
      </c>
      <c r="D1326" s="8" t="s">
        <v>62</v>
      </c>
      <c r="E1326" s="8">
        <v>4</v>
      </c>
      <c r="F1326" s="34">
        <f t="shared" si="592"/>
        <v>198800</v>
      </c>
      <c r="G1326" s="34">
        <f t="shared" si="592"/>
        <v>198800</v>
      </c>
      <c r="H1326" s="34">
        <f t="shared" si="569"/>
        <v>9333</v>
      </c>
      <c r="I1326" s="34">
        <f t="shared" si="569"/>
        <v>9333</v>
      </c>
      <c r="J1326" s="34">
        <f t="shared" si="593"/>
        <v>141971</v>
      </c>
      <c r="K1326" s="133">
        <v>1000</v>
      </c>
      <c r="L1326" s="34"/>
      <c r="M1326" s="16">
        <f t="shared" si="555"/>
        <v>41059.024844798252</v>
      </c>
      <c r="N1326" s="36">
        <v>600</v>
      </c>
      <c r="O1326" s="36">
        <v>4</v>
      </c>
      <c r="P1326" s="2">
        <f t="shared" si="594"/>
        <v>11200</v>
      </c>
      <c r="Q1326" s="2" t="s">
        <v>104</v>
      </c>
      <c r="S1326" s="55">
        <v>3733.3333333333335</v>
      </c>
      <c r="T1326" s="271">
        <v>3733.3333333333335</v>
      </c>
    </row>
    <row r="1327" spans="1:20" x14ac:dyDescent="0.2">
      <c r="A1327" s="8" t="str">
        <f t="shared" si="576"/>
        <v>20010910</v>
      </c>
      <c r="B1327" s="8">
        <v>2001</v>
      </c>
      <c r="C1327" s="8">
        <v>9</v>
      </c>
      <c r="D1327" s="8" t="s">
        <v>62</v>
      </c>
      <c r="E1327" s="8">
        <v>0</v>
      </c>
      <c r="F1327" s="34">
        <f>ROUNDDOWN($P1327/4*$O1327*10*$N1327/$N1327*$Q1327/400,0)</f>
        <v>26181</v>
      </c>
      <c r="G1327" s="34">
        <f>ROUNDDOWN($P1327/4*$O1327*10*$N1327/$N1327*$Q1327/400,0)</f>
        <v>26181</v>
      </c>
      <c r="H1327" s="34">
        <f t="shared" si="569"/>
        <v>9833</v>
      </c>
      <c r="I1327" s="34">
        <f t="shared" si="569"/>
        <v>9833</v>
      </c>
      <c r="J1327" s="34">
        <f>ROUNDDOWN($P1327/4*$O1327*10*$N1327/$Q1327*$N1327/400,0)</f>
        <v>18697</v>
      </c>
      <c r="K1327" s="133">
        <v>1000</v>
      </c>
      <c r="L1327" s="34"/>
      <c r="M1327" s="16">
        <f t="shared" si="555"/>
        <v>5550.244126828873</v>
      </c>
      <c r="N1327" s="36">
        <v>600</v>
      </c>
      <c r="O1327" s="36">
        <v>0.5</v>
      </c>
      <c r="P1327" s="47">
        <v>11800</v>
      </c>
      <c r="Q1327" s="2" t="s">
        <v>104</v>
      </c>
      <c r="S1327" s="55">
        <v>3933.3333333333335</v>
      </c>
      <c r="T1327" s="271">
        <v>3933.3333333333335</v>
      </c>
    </row>
    <row r="1328" spans="1:20" x14ac:dyDescent="0.2">
      <c r="A1328" s="8" t="str">
        <f t="shared" si="576"/>
        <v>20010911</v>
      </c>
      <c r="B1328" s="8">
        <v>2001</v>
      </c>
      <c r="C1328" s="8">
        <v>9</v>
      </c>
      <c r="D1328" s="8" t="s">
        <v>62</v>
      </c>
      <c r="E1328" s="8">
        <v>1</v>
      </c>
      <c r="F1328" s="34">
        <f t="shared" ref="F1328:G1331" si="595">ROUNDDOWN($P1328/4*$O1328*10*$N1328/$N1328*$Q1328/400,0)</f>
        <v>52362</v>
      </c>
      <c r="G1328" s="34">
        <f t="shared" si="595"/>
        <v>52362</v>
      </c>
      <c r="H1328" s="34">
        <f t="shared" si="569"/>
        <v>9833</v>
      </c>
      <c r="I1328" s="34">
        <f t="shared" si="569"/>
        <v>9833</v>
      </c>
      <c r="J1328" s="34">
        <f t="shared" ref="J1328:J1331" si="596">ROUNDDOWN($P1328/4*$O1328*10*$N1328/$Q1328*$N1328/400,0)</f>
        <v>37394</v>
      </c>
      <c r="K1328" s="133">
        <v>1000</v>
      </c>
      <c r="L1328" s="34"/>
      <c r="M1328" s="16">
        <f t="shared" si="555"/>
        <v>11100.488253657746</v>
      </c>
      <c r="N1328" s="36">
        <v>600</v>
      </c>
      <c r="O1328" s="36">
        <v>1</v>
      </c>
      <c r="P1328" s="2">
        <f>P1327</f>
        <v>11800</v>
      </c>
      <c r="Q1328" s="2" t="s">
        <v>104</v>
      </c>
      <c r="S1328" s="55">
        <v>3933.3333333333335</v>
      </c>
      <c r="T1328" s="271">
        <v>3933.3333333333335</v>
      </c>
    </row>
    <row r="1329" spans="1:20" x14ac:dyDescent="0.2">
      <c r="A1329" s="8" t="str">
        <f t="shared" si="576"/>
        <v>20010912</v>
      </c>
      <c r="B1329" s="8">
        <v>2001</v>
      </c>
      <c r="C1329" s="8">
        <v>9</v>
      </c>
      <c r="D1329" s="8" t="s">
        <v>62</v>
      </c>
      <c r="E1329" s="8">
        <v>2</v>
      </c>
      <c r="F1329" s="34">
        <f t="shared" si="595"/>
        <v>104725</v>
      </c>
      <c r="G1329" s="34">
        <f t="shared" si="595"/>
        <v>104725</v>
      </c>
      <c r="H1329" s="34">
        <f t="shared" si="569"/>
        <v>9833</v>
      </c>
      <c r="I1329" s="34">
        <f t="shared" si="569"/>
        <v>9833</v>
      </c>
      <c r="J1329" s="34">
        <f t="shared" si="596"/>
        <v>74788</v>
      </c>
      <c r="K1329" s="133">
        <v>1000</v>
      </c>
      <c r="L1329" s="34"/>
      <c r="M1329" s="16">
        <f t="shared" si="555"/>
        <v>22201.082504620354</v>
      </c>
      <c r="N1329" s="36">
        <v>600</v>
      </c>
      <c r="O1329" s="36">
        <v>2</v>
      </c>
      <c r="P1329" s="2">
        <f t="shared" ref="P1329:P1331" si="597">P1328</f>
        <v>11800</v>
      </c>
      <c r="Q1329" s="2" t="s">
        <v>104</v>
      </c>
      <c r="S1329" s="55">
        <v>3933.3333333333335</v>
      </c>
      <c r="T1329" s="271">
        <v>3933.3333333333335</v>
      </c>
    </row>
    <row r="1330" spans="1:20" x14ac:dyDescent="0.2">
      <c r="A1330" s="8" t="str">
        <f t="shared" si="576"/>
        <v>20010913</v>
      </c>
      <c r="B1330" s="8">
        <v>2001</v>
      </c>
      <c r="C1330" s="8">
        <v>9</v>
      </c>
      <c r="D1330" s="8" t="s">
        <v>62</v>
      </c>
      <c r="E1330" s="8">
        <v>3</v>
      </c>
      <c r="F1330" s="34">
        <f t="shared" si="595"/>
        <v>157087</v>
      </c>
      <c r="G1330" s="34">
        <f t="shared" si="595"/>
        <v>157087</v>
      </c>
      <c r="H1330" s="34">
        <f t="shared" si="569"/>
        <v>9833</v>
      </c>
      <c r="I1330" s="34">
        <f t="shared" si="569"/>
        <v>9833</v>
      </c>
      <c r="J1330" s="34">
        <f t="shared" si="596"/>
        <v>112183</v>
      </c>
      <c r="K1330" s="133">
        <v>1000</v>
      </c>
      <c r="L1330" s="34"/>
      <c r="M1330" s="16">
        <f t="shared" si="555"/>
        <v>33301.719184565161</v>
      </c>
      <c r="N1330" s="36">
        <v>600</v>
      </c>
      <c r="O1330" s="36">
        <v>3</v>
      </c>
      <c r="P1330" s="2">
        <f t="shared" si="597"/>
        <v>11800</v>
      </c>
      <c r="Q1330" s="2" t="s">
        <v>104</v>
      </c>
      <c r="S1330" s="55">
        <v>3933.3333333333335</v>
      </c>
      <c r="T1330" s="271">
        <v>3933.3333333333335</v>
      </c>
    </row>
    <row r="1331" spans="1:20" x14ac:dyDescent="0.2">
      <c r="A1331" s="8" t="str">
        <f t="shared" si="576"/>
        <v>20010914</v>
      </c>
      <c r="B1331" s="8">
        <v>2001</v>
      </c>
      <c r="C1331" s="8">
        <v>9</v>
      </c>
      <c r="D1331" s="8" t="s">
        <v>62</v>
      </c>
      <c r="E1331" s="8">
        <v>4</v>
      </c>
      <c r="F1331" s="34">
        <f t="shared" si="595"/>
        <v>209450</v>
      </c>
      <c r="G1331" s="34">
        <f t="shared" si="595"/>
        <v>209450</v>
      </c>
      <c r="H1331" s="34">
        <f t="shared" si="569"/>
        <v>9833</v>
      </c>
      <c r="I1331" s="34">
        <f t="shared" si="569"/>
        <v>9833</v>
      </c>
      <c r="J1331" s="34">
        <f t="shared" si="596"/>
        <v>149577</v>
      </c>
      <c r="K1331" s="133">
        <v>1000</v>
      </c>
      <c r="L1331" s="34"/>
      <c r="M1331" s="16">
        <f t="shared" si="555"/>
        <v>44402.313435762335</v>
      </c>
      <c r="N1331" s="36">
        <v>600</v>
      </c>
      <c r="O1331" s="36">
        <v>4</v>
      </c>
      <c r="P1331" s="2">
        <f t="shared" si="597"/>
        <v>11800</v>
      </c>
      <c r="Q1331" s="2" t="s">
        <v>104</v>
      </c>
      <c r="S1331" s="55">
        <v>3933.3333333333335</v>
      </c>
      <c r="T1331" s="271">
        <v>3933.3333333333335</v>
      </c>
    </row>
    <row r="1332" spans="1:20" x14ac:dyDescent="0.2">
      <c r="A1332" s="8" t="str">
        <f t="shared" si="576"/>
        <v>20011010</v>
      </c>
      <c r="B1332" s="8">
        <v>2001</v>
      </c>
      <c r="C1332" s="8">
        <v>10</v>
      </c>
      <c r="D1332" s="8" t="s">
        <v>62</v>
      </c>
      <c r="E1332" s="8">
        <v>0</v>
      </c>
      <c r="F1332" s="34">
        <f>ROUNDDOWN($P1332/4*$O1332*10*$N1332/$N1332*$Q1332/400,0)</f>
        <v>27512</v>
      </c>
      <c r="G1332" s="34">
        <f>ROUNDDOWN($P1332/4*$O1332*10*$N1332/$N1332*$Q1332/400,0)</f>
        <v>27512</v>
      </c>
      <c r="H1332" s="34">
        <f t="shared" si="569"/>
        <v>10333</v>
      </c>
      <c r="I1332" s="34">
        <f t="shared" si="569"/>
        <v>10333</v>
      </c>
      <c r="J1332" s="34">
        <f>ROUNDDOWN($P1332/4*$O1332*10*$N1332/$Q1332*$N1332/400,0)</f>
        <v>19647</v>
      </c>
      <c r="K1332" s="133">
        <v>1000</v>
      </c>
      <c r="L1332" s="34"/>
      <c r="M1332" s="16">
        <f t="shared" si="555"/>
        <v>5978.7776955023837</v>
      </c>
      <c r="N1332" s="36">
        <v>600</v>
      </c>
      <c r="O1332" s="36">
        <v>0.5</v>
      </c>
      <c r="P1332" s="47">
        <v>12400</v>
      </c>
      <c r="Q1332" s="2" t="s">
        <v>104</v>
      </c>
      <c r="S1332" s="55">
        <v>4133.333333333333</v>
      </c>
      <c r="T1332" s="271">
        <v>4133.333333333333</v>
      </c>
    </row>
    <row r="1333" spans="1:20" x14ac:dyDescent="0.2">
      <c r="A1333" s="8" t="str">
        <f t="shared" si="576"/>
        <v>20011011</v>
      </c>
      <c r="B1333" s="8">
        <v>2001</v>
      </c>
      <c r="C1333" s="8">
        <v>10</v>
      </c>
      <c r="D1333" s="8" t="s">
        <v>62</v>
      </c>
      <c r="E1333" s="8">
        <v>1</v>
      </c>
      <c r="F1333" s="34">
        <f t="shared" ref="F1333:G1336" si="598">ROUNDDOWN($P1333/4*$O1333*10*$N1333/$N1333*$Q1333/400,0)</f>
        <v>55025</v>
      </c>
      <c r="G1333" s="34">
        <f t="shared" si="598"/>
        <v>55025</v>
      </c>
      <c r="H1333" s="34">
        <f t="shared" si="569"/>
        <v>10333</v>
      </c>
      <c r="I1333" s="34">
        <f t="shared" si="569"/>
        <v>10333</v>
      </c>
      <c r="J1333" s="34">
        <f t="shared" ref="J1333:J1336" si="599">ROUNDDOWN($P1333/4*$O1333*10*$N1333/$Q1333*$N1333/400,0)</f>
        <v>39295</v>
      </c>
      <c r="K1333" s="133">
        <v>1000</v>
      </c>
      <c r="L1333" s="34"/>
      <c r="M1333" s="16">
        <f t="shared" si="555"/>
        <v>11957.81620353817</v>
      </c>
      <c r="N1333" s="36">
        <v>600</v>
      </c>
      <c r="O1333" s="36">
        <v>1</v>
      </c>
      <c r="P1333" s="2">
        <f>P1332</f>
        <v>12400</v>
      </c>
      <c r="Q1333" s="2" t="s">
        <v>104</v>
      </c>
      <c r="S1333" s="55">
        <v>4133.333333333333</v>
      </c>
      <c r="T1333" s="271">
        <v>4133.333333333333</v>
      </c>
    </row>
    <row r="1334" spans="1:20" x14ac:dyDescent="0.2">
      <c r="A1334" s="8" t="str">
        <f t="shared" si="576"/>
        <v>20011012</v>
      </c>
      <c r="B1334" s="8">
        <v>2001</v>
      </c>
      <c r="C1334" s="8">
        <v>10</v>
      </c>
      <c r="D1334" s="8" t="s">
        <v>62</v>
      </c>
      <c r="E1334" s="8">
        <v>2</v>
      </c>
      <c r="F1334" s="34">
        <f t="shared" si="598"/>
        <v>110050</v>
      </c>
      <c r="G1334" s="34">
        <f t="shared" si="598"/>
        <v>110050</v>
      </c>
      <c r="H1334" s="34">
        <f t="shared" si="569"/>
        <v>10333</v>
      </c>
      <c r="I1334" s="34">
        <f t="shared" si="569"/>
        <v>10333</v>
      </c>
      <c r="J1334" s="34">
        <f t="shared" si="599"/>
        <v>78591</v>
      </c>
      <c r="K1334" s="133">
        <v>1000</v>
      </c>
      <c r="L1334" s="34"/>
      <c r="M1334" s="16">
        <f t="shared" si="555"/>
        <v>23915.784561016604</v>
      </c>
      <c r="N1334" s="36">
        <v>600</v>
      </c>
      <c r="O1334" s="36">
        <v>2</v>
      </c>
      <c r="P1334" s="2">
        <f t="shared" ref="P1334:P1336" si="600">P1333</f>
        <v>12400</v>
      </c>
      <c r="Q1334" s="2" t="s">
        <v>104</v>
      </c>
      <c r="S1334" s="55">
        <v>4133.333333333333</v>
      </c>
      <c r="T1334" s="271">
        <v>4133.333333333333</v>
      </c>
    </row>
    <row r="1335" spans="1:20" x14ac:dyDescent="0.2">
      <c r="A1335" s="8" t="str">
        <f t="shared" si="576"/>
        <v>20011013</v>
      </c>
      <c r="B1335" s="8">
        <v>2001</v>
      </c>
      <c r="C1335" s="8">
        <v>10</v>
      </c>
      <c r="D1335" s="8" t="s">
        <v>62</v>
      </c>
      <c r="E1335" s="8">
        <v>3</v>
      </c>
      <c r="F1335" s="34">
        <f t="shared" si="598"/>
        <v>165075</v>
      </c>
      <c r="G1335" s="34">
        <f t="shared" si="598"/>
        <v>165075</v>
      </c>
      <c r="H1335" s="34">
        <f t="shared" si="569"/>
        <v>10333</v>
      </c>
      <c r="I1335" s="34">
        <f t="shared" si="569"/>
        <v>10333</v>
      </c>
      <c r="J1335" s="34">
        <f t="shared" si="599"/>
        <v>117887</v>
      </c>
      <c r="K1335" s="133">
        <v>1000</v>
      </c>
      <c r="L1335" s="34"/>
      <c r="M1335" s="16">
        <f t="shared" si="555"/>
        <v>35873.752918172358</v>
      </c>
      <c r="N1335" s="36">
        <v>600</v>
      </c>
      <c r="O1335" s="36">
        <v>3</v>
      </c>
      <c r="P1335" s="2">
        <f t="shared" si="600"/>
        <v>12400</v>
      </c>
      <c r="Q1335" s="2" t="s">
        <v>104</v>
      </c>
      <c r="S1335" s="55">
        <v>4133.333333333333</v>
      </c>
      <c r="T1335" s="271">
        <v>4133.333333333333</v>
      </c>
    </row>
    <row r="1336" spans="1:20" x14ac:dyDescent="0.2">
      <c r="A1336" s="8" t="str">
        <f t="shared" si="576"/>
        <v>20011014</v>
      </c>
      <c r="B1336" s="8">
        <v>2001</v>
      </c>
      <c r="C1336" s="8">
        <v>10</v>
      </c>
      <c r="D1336" s="8" t="s">
        <v>62</v>
      </c>
      <c r="E1336" s="8">
        <v>4</v>
      </c>
      <c r="F1336" s="34">
        <f t="shared" si="598"/>
        <v>220100</v>
      </c>
      <c r="G1336" s="34">
        <f t="shared" si="598"/>
        <v>220100</v>
      </c>
      <c r="H1336" s="34">
        <f t="shared" si="569"/>
        <v>10333</v>
      </c>
      <c r="I1336" s="34">
        <f t="shared" si="569"/>
        <v>10333</v>
      </c>
      <c r="J1336" s="34">
        <f t="shared" si="599"/>
        <v>157183</v>
      </c>
      <c r="K1336" s="133">
        <v>1000</v>
      </c>
      <c r="L1336" s="34"/>
      <c r="M1336" s="16">
        <f t="shared" si="555"/>
        <v>47831.721275247459</v>
      </c>
      <c r="N1336" s="36">
        <v>600</v>
      </c>
      <c r="O1336" s="36">
        <v>4</v>
      </c>
      <c r="P1336" s="2">
        <f t="shared" si="600"/>
        <v>12400</v>
      </c>
      <c r="Q1336" s="2" t="s">
        <v>104</v>
      </c>
      <c r="S1336" s="55">
        <v>4133.333333333333</v>
      </c>
      <c r="T1336" s="271">
        <v>4133.333333333333</v>
      </c>
    </row>
    <row r="1337" spans="1:20" x14ac:dyDescent="0.2">
      <c r="A1337" s="8" t="str">
        <f t="shared" si="576"/>
        <v>20011110</v>
      </c>
      <c r="B1337" s="8">
        <v>2001</v>
      </c>
      <c r="C1337" s="8">
        <v>11</v>
      </c>
      <c r="D1337" s="8" t="s">
        <v>62</v>
      </c>
      <c r="E1337" s="8">
        <v>0</v>
      </c>
      <c r="F1337" s="34">
        <f>ROUNDDOWN($P1337/4*$O1337*10*$N1337/$N1337*$Q1337/400,0)</f>
        <v>29287</v>
      </c>
      <c r="G1337" s="34">
        <f>ROUNDDOWN($P1337/4*$O1337*10*$N1337/$N1337*$Q1337/400,0)</f>
        <v>29287</v>
      </c>
      <c r="H1337" s="34">
        <f t="shared" si="569"/>
        <v>11000</v>
      </c>
      <c r="I1337" s="34">
        <f t="shared" si="569"/>
        <v>11000</v>
      </c>
      <c r="J1337" s="34">
        <f>ROUNDDOWN($P1337/4*$O1337*10*$N1337/$Q1337*$N1337/400,0)</f>
        <v>20915</v>
      </c>
      <c r="K1337" s="133">
        <v>1000</v>
      </c>
      <c r="L1337" s="34"/>
      <c r="M1337" s="16">
        <f t="shared" si="555"/>
        <v>6566.7836413270088</v>
      </c>
      <c r="N1337" s="36">
        <v>600</v>
      </c>
      <c r="O1337" s="36">
        <v>0.5</v>
      </c>
      <c r="P1337" s="47">
        <v>13200</v>
      </c>
      <c r="Q1337" s="2" t="s">
        <v>104</v>
      </c>
      <c r="S1337" s="55">
        <v>4400</v>
      </c>
      <c r="T1337" s="271">
        <v>4400</v>
      </c>
    </row>
    <row r="1338" spans="1:20" x14ac:dyDescent="0.2">
      <c r="A1338" s="8" t="str">
        <f t="shared" si="576"/>
        <v>20011111</v>
      </c>
      <c r="B1338" s="8">
        <v>2001</v>
      </c>
      <c r="C1338" s="8">
        <v>11</v>
      </c>
      <c r="D1338" s="8" t="s">
        <v>62</v>
      </c>
      <c r="E1338" s="8">
        <v>1</v>
      </c>
      <c r="F1338" s="34">
        <f t="shared" ref="F1338:G1341" si="601">ROUNDDOWN($P1338/4*$O1338*10*$N1338/$N1338*$Q1338/400,0)</f>
        <v>58575</v>
      </c>
      <c r="G1338" s="34">
        <f t="shared" si="601"/>
        <v>58575</v>
      </c>
      <c r="H1338" s="34">
        <f t="shared" si="569"/>
        <v>11000</v>
      </c>
      <c r="I1338" s="34">
        <f t="shared" si="569"/>
        <v>11000</v>
      </c>
      <c r="J1338" s="34">
        <f t="shared" ref="J1338:J1341" si="602">ROUNDDOWN($P1338/4*$O1338*10*$N1338/$Q1338*$N1338/400,0)</f>
        <v>41830</v>
      </c>
      <c r="K1338" s="133">
        <v>1000</v>
      </c>
      <c r="L1338" s="34"/>
      <c r="M1338" s="16">
        <f t="shared" si="555"/>
        <v>13133.679393071845</v>
      </c>
      <c r="N1338" s="36">
        <v>600</v>
      </c>
      <c r="O1338" s="36">
        <v>1</v>
      </c>
      <c r="P1338" s="2">
        <f>P1337</f>
        <v>13200</v>
      </c>
      <c r="Q1338" s="2" t="s">
        <v>104</v>
      </c>
      <c r="S1338" s="55">
        <v>4400</v>
      </c>
      <c r="T1338" s="271">
        <v>4400</v>
      </c>
    </row>
    <row r="1339" spans="1:20" x14ac:dyDescent="0.2">
      <c r="A1339" s="8" t="str">
        <f t="shared" si="576"/>
        <v>20011112</v>
      </c>
      <c r="B1339" s="8">
        <v>2001</v>
      </c>
      <c r="C1339" s="8">
        <v>11</v>
      </c>
      <c r="D1339" s="8" t="s">
        <v>62</v>
      </c>
      <c r="E1339" s="8">
        <v>2</v>
      </c>
      <c r="F1339" s="34">
        <f t="shared" si="601"/>
        <v>117150</v>
      </c>
      <c r="G1339" s="34">
        <f t="shared" si="601"/>
        <v>117150</v>
      </c>
      <c r="H1339" s="34">
        <f t="shared" si="569"/>
        <v>11000</v>
      </c>
      <c r="I1339" s="34">
        <f t="shared" si="569"/>
        <v>11000</v>
      </c>
      <c r="J1339" s="34">
        <f t="shared" si="602"/>
        <v>83661</v>
      </c>
      <c r="K1339" s="133">
        <v>1000</v>
      </c>
      <c r="L1339" s="34"/>
      <c r="M1339" s="16">
        <f t="shared" ref="M1339:M1413" si="603">(F1339*J1339*((H1339+I1339)/2)/1000)^(1/2)/10*0.8</f>
        <v>26267.515774431355</v>
      </c>
      <c r="N1339" s="36">
        <v>600</v>
      </c>
      <c r="O1339" s="36">
        <v>2</v>
      </c>
      <c r="P1339" s="2">
        <f t="shared" ref="P1339:P1341" si="604">P1338</f>
        <v>13200</v>
      </c>
      <c r="Q1339" s="2" t="s">
        <v>104</v>
      </c>
      <c r="S1339" s="55">
        <v>4400</v>
      </c>
      <c r="T1339" s="271">
        <v>4400</v>
      </c>
    </row>
    <row r="1340" spans="1:20" x14ac:dyDescent="0.2">
      <c r="A1340" s="8" t="str">
        <f t="shared" si="576"/>
        <v>20011113</v>
      </c>
      <c r="B1340" s="8">
        <v>2001</v>
      </c>
      <c r="C1340" s="8">
        <v>11</v>
      </c>
      <c r="D1340" s="8" t="s">
        <v>62</v>
      </c>
      <c r="E1340" s="8">
        <v>3</v>
      </c>
      <c r="F1340" s="34">
        <f t="shared" si="601"/>
        <v>175725</v>
      </c>
      <c r="G1340" s="34">
        <f t="shared" si="601"/>
        <v>175725</v>
      </c>
      <c r="H1340" s="34">
        <f t="shared" si="569"/>
        <v>11000</v>
      </c>
      <c r="I1340" s="34">
        <f t="shared" si="569"/>
        <v>11000</v>
      </c>
      <c r="J1340" s="34">
        <f t="shared" si="602"/>
        <v>125492</v>
      </c>
      <c r="K1340" s="133">
        <v>1000</v>
      </c>
      <c r="L1340" s="34"/>
      <c r="M1340" s="16">
        <f t="shared" si="603"/>
        <v>39401.352155478118</v>
      </c>
      <c r="N1340" s="36">
        <v>600</v>
      </c>
      <c r="O1340" s="36">
        <v>3</v>
      </c>
      <c r="P1340" s="2">
        <f t="shared" si="604"/>
        <v>13200</v>
      </c>
      <c r="Q1340" s="2" t="s">
        <v>104</v>
      </c>
      <c r="S1340" s="55">
        <v>4400</v>
      </c>
      <c r="T1340" s="271">
        <v>4400</v>
      </c>
    </row>
    <row r="1341" spans="1:20" x14ac:dyDescent="0.2">
      <c r="A1341" s="8" t="str">
        <f t="shared" si="576"/>
        <v>20011114</v>
      </c>
      <c r="B1341" s="8">
        <v>2001</v>
      </c>
      <c r="C1341" s="8">
        <v>11</v>
      </c>
      <c r="D1341" s="8" t="s">
        <v>62</v>
      </c>
      <c r="E1341" s="8">
        <v>4</v>
      </c>
      <c r="F1341" s="34">
        <f t="shared" si="601"/>
        <v>234300</v>
      </c>
      <c r="G1341" s="34">
        <f t="shared" si="601"/>
        <v>234300</v>
      </c>
      <c r="H1341" s="34">
        <f t="shared" si="569"/>
        <v>11000</v>
      </c>
      <c r="I1341" s="34">
        <f t="shared" si="569"/>
        <v>11000</v>
      </c>
      <c r="J1341" s="34">
        <f t="shared" si="602"/>
        <v>167323</v>
      </c>
      <c r="K1341" s="133">
        <v>1000</v>
      </c>
      <c r="L1341" s="34"/>
      <c r="M1341" s="16">
        <f t="shared" si="603"/>
        <v>52535.188536446694</v>
      </c>
      <c r="N1341" s="36">
        <v>600</v>
      </c>
      <c r="O1341" s="36">
        <v>4</v>
      </c>
      <c r="P1341" s="2">
        <f t="shared" si="604"/>
        <v>13200</v>
      </c>
      <c r="Q1341" s="2" t="s">
        <v>104</v>
      </c>
      <c r="S1341" s="55">
        <v>4400</v>
      </c>
      <c r="T1341" s="271">
        <v>4400</v>
      </c>
    </row>
    <row r="1342" spans="1:20" x14ac:dyDescent="0.2">
      <c r="A1342" s="8" t="str">
        <f t="shared" si="576"/>
        <v>20011210</v>
      </c>
      <c r="B1342" s="8">
        <v>2001</v>
      </c>
      <c r="C1342" s="8">
        <v>12</v>
      </c>
      <c r="D1342" s="8" t="s">
        <v>62</v>
      </c>
      <c r="E1342" s="8">
        <v>0</v>
      </c>
      <c r="F1342" s="34">
        <f>ROUNDDOWN($P1342/4*$O1342*10*$N1342/$N1342*$Q1342/400,0)</f>
        <v>31062</v>
      </c>
      <c r="G1342" s="34">
        <f>ROUNDDOWN($P1342/4*$O1342*10*$N1342/$N1342*$Q1342/400,0)</f>
        <v>31062</v>
      </c>
      <c r="H1342" s="34">
        <f t="shared" si="569"/>
        <v>11666</v>
      </c>
      <c r="I1342" s="34">
        <f t="shared" si="569"/>
        <v>11666</v>
      </c>
      <c r="J1342" s="34">
        <f>ROUNDDOWN($P1342/4*$O1342*10*$N1342/$Q1342*$N1342/400,0)</f>
        <v>22183</v>
      </c>
      <c r="K1342" s="133">
        <v>1000</v>
      </c>
      <c r="L1342" s="34"/>
      <c r="M1342" s="16">
        <f t="shared" si="603"/>
        <v>7172.586927210461</v>
      </c>
      <c r="N1342" s="36">
        <v>600</v>
      </c>
      <c r="O1342" s="36">
        <v>0.5</v>
      </c>
      <c r="P1342" s="47">
        <v>14000</v>
      </c>
      <c r="Q1342" s="2" t="s">
        <v>104</v>
      </c>
      <c r="S1342" s="55">
        <v>4666.666666666667</v>
      </c>
      <c r="T1342" s="271">
        <v>4666.666666666667</v>
      </c>
    </row>
    <row r="1343" spans="1:20" x14ac:dyDescent="0.2">
      <c r="A1343" s="8" t="str">
        <f t="shared" si="576"/>
        <v>20011211</v>
      </c>
      <c r="B1343" s="8">
        <v>2001</v>
      </c>
      <c r="C1343" s="8">
        <v>12</v>
      </c>
      <c r="D1343" s="8" t="s">
        <v>62</v>
      </c>
      <c r="E1343" s="8">
        <v>1</v>
      </c>
      <c r="F1343" s="34">
        <f t="shared" ref="F1343:G1346" si="605">ROUNDDOWN($P1343/4*$O1343*10*$N1343/$N1343*$Q1343/400,0)</f>
        <v>62125</v>
      </c>
      <c r="G1343" s="34">
        <f t="shared" si="605"/>
        <v>62125</v>
      </c>
      <c r="H1343" s="34">
        <f t="shared" si="569"/>
        <v>11666</v>
      </c>
      <c r="I1343" s="34">
        <f t="shared" si="569"/>
        <v>11666</v>
      </c>
      <c r="J1343" s="34">
        <f t="shared" ref="J1343:J1346" si="606">ROUNDDOWN($P1343/4*$O1343*10*$N1343/$Q1343*$N1343/400,0)</f>
        <v>44366</v>
      </c>
      <c r="K1343" s="133">
        <v>1000</v>
      </c>
      <c r="L1343" s="34"/>
      <c r="M1343" s="16">
        <f t="shared" si="603"/>
        <v>14345.289309930284</v>
      </c>
      <c r="N1343" s="36">
        <v>600</v>
      </c>
      <c r="O1343" s="36">
        <v>1</v>
      </c>
      <c r="P1343" s="2">
        <f>P1342</f>
        <v>14000</v>
      </c>
      <c r="Q1343" s="2" t="s">
        <v>104</v>
      </c>
      <c r="S1343" s="55">
        <v>4666.666666666667</v>
      </c>
      <c r="T1343" s="271">
        <v>4666.666666666667</v>
      </c>
    </row>
    <row r="1344" spans="1:20" x14ac:dyDescent="0.2">
      <c r="A1344" s="8" t="str">
        <f t="shared" si="576"/>
        <v>20011212</v>
      </c>
      <c r="B1344" s="8">
        <v>2001</v>
      </c>
      <c r="C1344" s="8">
        <v>12</v>
      </c>
      <c r="D1344" s="8" t="s">
        <v>62</v>
      </c>
      <c r="E1344" s="8">
        <v>2</v>
      </c>
      <c r="F1344" s="34">
        <f t="shared" si="605"/>
        <v>124250</v>
      </c>
      <c r="G1344" s="34">
        <f t="shared" si="605"/>
        <v>124250</v>
      </c>
      <c r="H1344" s="34">
        <f t="shared" si="569"/>
        <v>11666</v>
      </c>
      <c r="I1344" s="34">
        <f t="shared" si="569"/>
        <v>11666</v>
      </c>
      <c r="J1344" s="34">
        <f t="shared" si="606"/>
        <v>88732</v>
      </c>
      <c r="K1344" s="133">
        <v>1000</v>
      </c>
      <c r="L1344" s="34"/>
      <c r="M1344" s="16">
        <f t="shared" si="603"/>
        <v>28690.578619860567</v>
      </c>
      <c r="N1344" s="36">
        <v>600</v>
      </c>
      <c r="O1344" s="36">
        <v>2</v>
      </c>
      <c r="P1344" s="2">
        <f t="shared" ref="P1344:P1346" si="607">P1343</f>
        <v>14000</v>
      </c>
      <c r="Q1344" s="2" t="s">
        <v>104</v>
      </c>
      <c r="S1344" s="55">
        <v>4666.666666666667</v>
      </c>
      <c r="T1344" s="271">
        <v>4666.666666666667</v>
      </c>
    </row>
    <row r="1345" spans="1:20" x14ac:dyDescent="0.2">
      <c r="A1345" s="8" t="str">
        <f t="shared" si="576"/>
        <v>20011213</v>
      </c>
      <c r="B1345" s="8">
        <v>2001</v>
      </c>
      <c r="C1345" s="8">
        <v>12</v>
      </c>
      <c r="D1345" s="8" t="s">
        <v>62</v>
      </c>
      <c r="E1345" s="8">
        <v>3</v>
      </c>
      <c r="F1345" s="34">
        <f t="shared" si="605"/>
        <v>186375</v>
      </c>
      <c r="G1345" s="34">
        <f t="shared" si="605"/>
        <v>186375</v>
      </c>
      <c r="H1345" s="34">
        <f t="shared" si="569"/>
        <v>11666</v>
      </c>
      <c r="I1345" s="34">
        <f t="shared" si="569"/>
        <v>11666</v>
      </c>
      <c r="J1345" s="34">
        <f t="shared" si="606"/>
        <v>133098</v>
      </c>
      <c r="K1345" s="133">
        <v>1000</v>
      </c>
      <c r="L1345" s="34"/>
      <c r="M1345" s="16">
        <f t="shared" si="603"/>
        <v>43035.867929790838</v>
      </c>
      <c r="N1345" s="36">
        <v>600</v>
      </c>
      <c r="O1345" s="36">
        <v>3</v>
      </c>
      <c r="P1345" s="2">
        <f t="shared" si="607"/>
        <v>14000</v>
      </c>
      <c r="Q1345" s="2" t="s">
        <v>104</v>
      </c>
      <c r="S1345" s="55">
        <v>4666.666666666667</v>
      </c>
      <c r="T1345" s="271">
        <v>4666.666666666667</v>
      </c>
    </row>
    <row r="1346" spans="1:20" x14ac:dyDescent="0.2">
      <c r="A1346" s="8" t="str">
        <f t="shared" si="576"/>
        <v>20011214</v>
      </c>
      <c r="B1346" s="8">
        <v>2001</v>
      </c>
      <c r="C1346" s="8">
        <v>12</v>
      </c>
      <c r="D1346" s="8" t="s">
        <v>62</v>
      </c>
      <c r="E1346" s="8">
        <v>4</v>
      </c>
      <c r="F1346" s="34">
        <f t="shared" si="605"/>
        <v>248500</v>
      </c>
      <c r="G1346" s="34">
        <f t="shared" si="605"/>
        <v>248500</v>
      </c>
      <c r="H1346" s="34">
        <f t="shared" si="569"/>
        <v>11666</v>
      </c>
      <c r="I1346" s="34">
        <f t="shared" si="569"/>
        <v>11666</v>
      </c>
      <c r="J1346" s="34">
        <f t="shared" si="606"/>
        <v>177464</v>
      </c>
      <c r="K1346" s="133">
        <v>1000</v>
      </c>
      <c r="L1346" s="34"/>
      <c r="M1346" s="16">
        <f t="shared" si="603"/>
        <v>57381.157239721135</v>
      </c>
      <c r="N1346" s="36">
        <v>600</v>
      </c>
      <c r="O1346" s="36">
        <v>4</v>
      </c>
      <c r="P1346" s="2">
        <f t="shared" si="607"/>
        <v>14000</v>
      </c>
      <c r="Q1346" s="2" t="s">
        <v>104</v>
      </c>
      <c r="S1346" s="55">
        <v>4666.666666666667</v>
      </c>
      <c r="T1346" s="271">
        <v>4666.666666666667</v>
      </c>
    </row>
    <row r="1347" spans="1:20" x14ac:dyDescent="0.2">
      <c r="A1347" s="8" t="str">
        <f t="shared" si="576"/>
        <v>20011310</v>
      </c>
      <c r="B1347" s="8">
        <v>2001</v>
      </c>
      <c r="C1347" s="8">
        <v>13</v>
      </c>
      <c r="D1347" s="8" t="s">
        <v>62</v>
      </c>
      <c r="E1347" s="8">
        <v>0</v>
      </c>
      <c r="F1347" s="34">
        <f>ROUNDDOWN($P1347/4*$O1347*10*$N1347/$N1347*$Q1347/400,0)</f>
        <v>32837</v>
      </c>
      <c r="G1347" s="34">
        <f>ROUNDDOWN($P1347/4*$O1347*10*$N1347/$N1347*$Q1347/400,0)</f>
        <v>32837</v>
      </c>
      <c r="H1347" s="34">
        <f t="shared" si="569"/>
        <v>12333</v>
      </c>
      <c r="I1347" s="34">
        <f t="shared" si="569"/>
        <v>12333</v>
      </c>
      <c r="J1347" s="34">
        <f>ROUNDDOWN($P1347/4*$O1347*10*$N1347/$Q1347*$N1347/400,0)</f>
        <v>23450</v>
      </c>
      <c r="K1347" s="133">
        <v>1000</v>
      </c>
      <c r="L1347" s="34"/>
      <c r="M1347" s="16">
        <f t="shared" si="603"/>
        <v>7796.1020034168359</v>
      </c>
      <c r="N1347" s="36">
        <v>600</v>
      </c>
      <c r="O1347" s="36">
        <v>0.5</v>
      </c>
      <c r="P1347" s="47">
        <v>14800</v>
      </c>
      <c r="Q1347" s="2" t="s">
        <v>104</v>
      </c>
      <c r="S1347" s="55">
        <v>4933.333333333333</v>
      </c>
      <c r="T1347" s="271">
        <v>4933.333333333333</v>
      </c>
    </row>
    <row r="1348" spans="1:20" x14ac:dyDescent="0.2">
      <c r="A1348" s="8" t="str">
        <f t="shared" si="576"/>
        <v>20011311</v>
      </c>
      <c r="B1348" s="8">
        <v>2001</v>
      </c>
      <c r="C1348" s="8">
        <v>13</v>
      </c>
      <c r="D1348" s="8" t="s">
        <v>62</v>
      </c>
      <c r="E1348" s="8">
        <v>1</v>
      </c>
      <c r="F1348" s="34">
        <f t="shared" ref="F1348:G1351" si="608">ROUNDDOWN($P1348/4*$O1348*10*$N1348/$N1348*$Q1348/400,0)</f>
        <v>65675</v>
      </c>
      <c r="G1348" s="34">
        <f t="shared" si="608"/>
        <v>65675</v>
      </c>
      <c r="H1348" s="34">
        <f t="shared" si="569"/>
        <v>12333</v>
      </c>
      <c r="I1348" s="34">
        <f t="shared" si="569"/>
        <v>12333</v>
      </c>
      <c r="J1348" s="34">
        <f t="shared" ref="J1348:J1351" si="609">ROUNDDOWN($P1348/4*$O1348*10*$N1348/$Q1348*$N1348/400,0)</f>
        <v>46901</v>
      </c>
      <c r="K1348" s="133">
        <v>1000</v>
      </c>
      <c r="L1348" s="34"/>
      <c r="M1348" s="16">
        <f t="shared" si="603"/>
        <v>15592.48894405765</v>
      </c>
      <c r="N1348" s="36">
        <v>600</v>
      </c>
      <c r="O1348" s="36">
        <v>1</v>
      </c>
      <c r="P1348" s="2">
        <f>P1347</f>
        <v>14800</v>
      </c>
      <c r="Q1348" s="2" t="s">
        <v>104</v>
      </c>
      <c r="S1348" s="55">
        <v>4933.333333333333</v>
      </c>
      <c r="T1348" s="271">
        <v>4933.333333333333</v>
      </c>
    </row>
    <row r="1349" spans="1:20" x14ac:dyDescent="0.2">
      <c r="A1349" s="8" t="str">
        <f t="shared" si="576"/>
        <v>20011312</v>
      </c>
      <c r="B1349" s="8">
        <v>2001</v>
      </c>
      <c r="C1349" s="8">
        <v>13</v>
      </c>
      <c r="D1349" s="8" t="s">
        <v>62</v>
      </c>
      <c r="E1349" s="8">
        <v>2</v>
      </c>
      <c r="F1349" s="34">
        <f t="shared" si="608"/>
        <v>131350</v>
      </c>
      <c r="G1349" s="34">
        <f t="shared" si="608"/>
        <v>131350</v>
      </c>
      <c r="H1349" s="34">
        <f t="shared" si="569"/>
        <v>12333</v>
      </c>
      <c r="I1349" s="34">
        <f t="shared" si="569"/>
        <v>12333</v>
      </c>
      <c r="J1349" s="34">
        <f t="shared" si="609"/>
        <v>93802</v>
      </c>
      <c r="K1349" s="133">
        <v>1000</v>
      </c>
      <c r="L1349" s="34"/>
      <c r="M1349" s="16">
        <f t="shared" si="603"/>
        <v>31184.9778881153</v>
      </c>
      <c r="N1349" s="36">
        <v>600</v>
      </c>
      <c r="O1349" s="36">
        <v>2</v>
      </c>
      <c r="P1349" s="2">
        <f t="shared" ref="P1349:P1351" si="610">P1348</f>
        <v>14800</v>
      </c>
      <c r="Q1349" s="2" t="s">
        <v>104</v>
      </c>
      <c r="S1349" s="55">
        <v>4933.333333333333</v>
      </c>
      <c r="T1349" s="271">
        <v>4933.333333333333</v>
      </c>
    </row>
    <row r="1350" spans="1:20" x14ac:dyDescent="0.2">
      <c r="A1350" s="8" t="str">
        <f t="shared" si="576"/>
        <v>20011313</v>
      </c>
      <c r="B1350" s="8">
        <v>2001</v>
      </c>
      <c r="C1350" s="8">
        <v>13</v>
      </c>
      <c r="D1350" s="8" t="s">
        <v>62</v>
      </c>
      <c r="E1350" s="8">
        <v>3</v>
      </c>
      <c r="F1350" s="34">
        <f t="shared" si="608"/>
        <v>197025</v>
      </c>
      <c r="G1350" s="34">
        <f t="shared" si="608"/>
        <v>197025</v>
      </c>
      <c r="H1350" s="34">
        <f t="shared" si="569"/>
        <v>12333</v>
      </c>
      <c r="I1350" s="34">
        <f t="shared" si="569"/>
        <v>12333</v>
      </c>
      <c r="J1350" s="34">
        <f t="shared" si="609"/>
        <v>140704</v>
      </c>
      <c r="K1350" s="133">
        <v>1000</v>
      </c>
      <c r="L1350" s="34"/>
      <c r="M1350" s="16">
        <f t="shared" si="603"/>
        <v>46777.633059558713</v>
      </c>
      <c r="N1350" s="36">
        <v>600</v>
      </c>
      <c r="O1350" s="36">
        <v>3</v>
      </c>
      <c r="P1350" s="2">
        <f t="shared" si="610"/>
        <v>14800</v>
      </c>
      <c r="Q1350" s="2" t="s">
        <v>104</v>
      </c>
      <c r="S1350" s="55">
        <v>4933.333333333333</v>
      </c>
      <c r="T1350" s="271">
        <v>4933.333333333333</v>
      </c>
    </row>
    <row r="1351" spans="1:20" x14ac:dyDescent="0.2">
      <c r="A1351" s="8" t="str">
        <f t="shared" si="576"/>
        <v>20011314</v>
      </c>
      <c r="B1351" s="8">
        <v>2001</v>
      </c>
      <c r="C1351" s="8">
        <v>13</v>
      </c>
      <c r="D1351" s="8" t="s">
        <v>62</v>
      </c>
      <c r="E1351" s="8">
        <v>4</v>
      </c>
      <c r="F1351" s="34">
        <f t="shared" si="608"/>
        <v>262700</v>
      </c>
      <c r="G1351" s="34">
        <f t="shared" si="608"/>
        <v>262700</v>
      </c>
      <c r="H1351" s="34">
        <f t="shared" ref="H1351:I1392" si="611">ROUNDDOWN($S1351/4*10,0)</f>
        <v>12333</v>
      </c>
      <c r="I1351" s="34">
        <f t="shared" si="611"/>
        <v>12333</v>
      </c>
      <c r="J1351" s="34">
        <f t="shared" si="609"/>
        <v>187605</v>
      </c>
      <c r="K1351" s="133">
        <v>1000</v>
      </c>
      <c r="L1351" s="34"/>
      <c r="M1351" s="16">
        <f t="shared" si="603"/>
        <v>62370.122003690201</v>
      </c>
      <c r="N1351" s="36">
        <v>600</v>
      </c>
      <c r="O1351" s="36">
        <v>4</v>
      </c>
      <c r="P1351" s="2">
        <f t="shared" si="610"/>
        <v>14800</v>
      </c>
      <c r="Q1351" s="2" t="s">
        <v>104</v>
      </c>
      <c r="S1351" s="55">
        <v>4933.333333333333</v>
      </c>
      <c r="T1351" s="271">
        <v>4933.333333333333</v>
      </c>
    </row>
    <row r="1352" spans="1:20" x14ac:dyDescent="0.2">
      <c r="A1352" s="8" t="str">
        <f t="shared" si="576"/>
        <v>20011410</v>
      </c>
      <c r="B1352" s="8">
        <v>2001</v>
      </c>
      <c r="C1352" s="8">
        <v>14</v>
      </c>
      <c r="D1352" s="8" t="s">
        <v>62</v>
      </c>
      <c r="E1352" s="8">
        <v>0</v>
      </c>
      <c r="F1352" s="34">
        <f>ROUNDDOWN($P1352/4*$O1352*10*$N1352/$N1352*$Q1352/400,0)</f>
        <v>34612</v>
      </c>
      <c r="G1352" s="34">
        <f>ROUNDDOWN($P1352/4*$O1352*10*$N1352/$N1352*$Q1352/400,0)</f>
        <v>34612</v>
      </c>
      <c r="H1352" s="34">
        <f t="shared" si="611"/>
        <v>13000</v>
      </c>
      <c r="I1352" s="34">
        <f t="shared" si="611"/>
        <v>13000</v>
      </c>
      <c r="J1352" s="34">
        <f>ROUNDDOWN($P1352/4*$O1352*10*$N1352/$Q1352*$N1352/400,0)</f>
        <v>24718</v>
      </c>
      <c r="K1352" s="133">
        <v>1000</v>
      </c>
      <c r="L1352" s="34"/>
      <c r="M1352" s="16">
        <f t="shared" si="603"/>
        <v>8436.8761642683858</v>
      </c>
      <c r="N1352" s="36">
        <v>600</v>
      </c>
      <c r="O1352" s="36">
        <v>0.5</v>
      </c>
      <c r="P1352" s="47">
        <v>15600</v>
      </c>
      <c r="Q1352" s="2" t="s">
        <v>104</v>
      </c>
      <c r="S1352" s="55">
        <v>5200</v>
      </c>
      <c r="T1352" s="271">
        <v>5200</v>
      </c>
    </row>
    <row r="1353" spans="1:20" x14ac:dyDescent="0.2">
      <c r="A1353" s="8" t="str">
        <f t="shared" si="576"/>
        <v>20011411</v>
      </c>
      <c r="B1353" s="8">
        <v>2001</v>
      </c>
      <c r="C1353" s="8">
        <v>14</v>
      </c>
      <c r="D1353" s="8" t="s">
        <v>62</v>
      </c>
      <c r="E1353" s="8">
        <v>1</v>
      </c>
      <c r="F1353" s="34">
        <f t="shared" ref="F1353:G1356" si="612">ROUNDDOWN($P1353/4*$O1353*10*$N1353/$N1353*$Q1353/400,0)</f>
        <v>69225</v>
      </c>
      <c r="G1353" s="34">
        <f t="shared" si="612"/>
        <v>69225</v>
      </c>
      <c r="H1353" s="34">
        <f t="shared" si="611"/>
        <v>13000</v>
      </c>
      <c r="I1353" s="34">
        <f t="shared" si="611"/>
        <v>13000</v>
      </c>
      <c r="J1353" s="34">
        <f t="shared" ref="J1353:J1356" si="613">ROUNDDOWN($P1353/4*$O1353*10*$N1353/$Q1353*$N1353/400,0)</f>
        <v>49436</v>
      </c>
      <c r="K1353" s="133">
        <v>1000</v>
      </c>
      <c r="L1353" s="34"/>
      <c r="M1353" s="16">
        <f t="shared" si="603"/>
        <v>16873.874206002605</v>
      </c>
      <c r="N1353" s="36">
        <v>600</v>
      </c>
      <c r="O1353" s="36">
        <v>1</v>
      </c>
      <c r="P1353" s="2">
        <f>P1352</f>
        <v>15600</v>
      </c>
      <c r="Q1353" s="2" t="s">
        <v>104</v>
      </c>
      <c r="S1353" s="55">
        <v>5200</v>
      </c>
      <c r="T1353" s="271">
        <v>5200</v>
      </c>
    </row>
    <row r="1354" spans="1:20" x14ac:dyDescent="0.2">
      <c r="A1354" s="8" t="str">
        <f t="shared" si="576"/>
        <v>20011412</v>
      </c>
      <c r="B1354" s="8">
        <v>2001</v>
      </c>
      <c r="C1354" s="8">
        <v>14</v>
      </c>
      <c r="D1354" s="8" t="s">
        <v>62</v>
      </c>
      <c r="E1354" s="8">
        <v>2</v>
      </c>
      <c r="F1354" s="34">
        <f t="shared" si="612"/>
        <v>138450</v>
      </c>
      <c r="G1354" s="34">
        <f t="shared" si="612"/>
        <v>138450</v>
      </c>
      <c r="H1354" s="34">
        <f t="shared" si="611"/>
        <v>13000</v>
      </c>
      <c r="I1354" s="34">
        <f t="shared" si="611"/>
        <v>13000</v>
      </c>
      <c r="J1354" s="34">
        <f t="shared" si="613"/>
        <v>98873</v>
      </c>
      <c r="K1354" s="133">
        <v>1000</v>
      </c>
      <c r="L1354" s="34"/>
      <c r="M1354" s="16">
        <f t="shared" si="603"/>
        <v>33747.919075403748</v>
      </c>
      <c r="N1354" s="36">
        <v>600</v>
      </c>
      <c r="O1354" s="36">
        <v>2</v>
      </c>
      <c r="P1354" s="2">
        <f t="shared" ref="P1354:P1356" si="614">P1353</f>
        <v>15600</v>
      </c>
      <c r="Q1354" s="2" t="s">
        <v>104</v>
      </c>
      <c r="S1354" s="55">
        <v>5200</v>
      </c>
      <c r="T1354" s="271">
        <v>5200</v>
      </c>
    </row>
    <row r="1355" spans="1:20" x14ac:dyDescent="0.2">
      <c r="A1355" s="8" t="str">
        <f t="shared" si="576"/>
        <v>20011413</v>
      </c>
      <c r="B1355" s="8">
        <v>2001</v>
      </c>
      <c r="C1355" s="8">
        <v>14</v>
      </c>
      <c r="D1355" s="8" t="s">
        <v>62</v>
      </c>
      <c r="E1355" s="8">
        <v>3</v>
      </c>
      <c r="F1355" s="34">
        <f t="shared" si="612"/>
        <v>207675</v>
      </c>
      <c r="G1355" s="34">
        <f t="shared" si="612"/>
        <v>207675</v>
      </c>
      <c r="H1355" s="34">
        <f t="shared" si="611"/>
        <v>13000</v>
      </c>
      <c r="I1355" s="34">
        <f t="shared" si="611"/>
        <v>13000</v>
      </c>
      <c r="J1355" s="34">
        <f t="shared" si="613"/>
        <v>148309</v>
      </c>
      <c r="K1355" s="133">
        <v>1000</v>
      </c>
      <c r="L1355" s="34"/>
      <c r="M1355" s="16">
        <f t="shared" si="603"/>
        <v>50621.793281550199</v>
      </c>
      <c r="N1355" s="36">
        <v>600</v>
      </c>
      <c r="O1355" s="36">
        <v>3</v>
      </c>
      <c r="P1355" s="2">
        <f t="shared" si="614"/>
        <v>15600</v>
      </c>
      <c r="Q1355" s="2" t="s">
        <v>104</v>
      </c>
      <c r="S1355" s="55">
        <v>5200</v>
      </c>
      <c r="T1355" s="271">
        <v>5200</v>
      </c>
    </row>
    <row r="1356" spans="1:20" x14ac:dyDescent="0.2">
      <c r="A1356" s="8" t="str">
        <f t="shared" si="576"/>
        <v>20011414</v>
      </c>
      <c r="B1356" s="8">
        <v>2001</v>
      </c>
      <c r="C1356" s="8">
        <v>14</v>
      </c>
      <c r="D1356" s="8" t="s">
        <v>62</v>
      </c>
      <c r="E1356" s="8">
        <v>4</v>
      </c>
      <c r="F1356" s="34">
        <f t="shared" si="612"/>
        <v>276900</v>
      </c>
      <c r="G1356" s="34">
        <f t="shared" si="612"/>
        <v>276900</v>
      </c>
      <c r="H1356" s="34">
        <f t="shared" si="611"/>
        <v>13000</v>
      </c>
      <c r="I1356" s="34">
        <f t="shared" si="611"/>
        <v>13000</v>
      </c>
      <c r="J1356" s="34">
        <f t="shared" si="613"/>
        <v>197746</v>
      </c>
      <c r="K1356" s="133">
        <v>1000</v>
      </c>
      <c r="L1356" s="34"/>
      <c r="M1356" s="16">
        <f t="shared" si="603"/>
        <v>67495.838150807496</v>
      </c>
      <c r="N1356" s="36">
        <v>600</v>
      </c>
      <c r="O1356" s="36">
        <v>4</v>
      </c>
      <c r="P1356" s="2">
        <f t="shared" si="614"/>
        <v>15600</v>
      </c>
      <c r="Q1356" s="2" t="s">
        <v>104</v>
      </c>
      <c r="S1356" s="55">
        <v>5200</v>
      </c>
      <c r="T1356" s="271">
        <v>5200</v>
      </c>
    </row>
    <row r="1357" spans="1:20" x14ac:dyDescent="0.2">
      <c r="A1357" s="8" t="str">
        <f t="shared" si="576"/>
        <v>20011510</v>
      </c>
      <c r="B1357" s="8">
        <v>2001</v>
      </c>
      <c r="C1357" s="8">
        <v>15</v>
      </c>
      <c r="D1357" s="8" t="s">
        <v>62</v>
      </c>
      <c r="E1357" s="8">
        <v>0</v>
      </c>
      <c r="F1357" s="34">
        <f>ROUNDDOWN($P1357/4*$O1357*10*$N1357/$N1357*$Q1357/400,0)</f>
        <v>36387</v>
      </c>
      <c r="G1357" s="34">
        <f>ROUNDDOWN($P1357/4*$O1357*10*$N1357/$N1357*$Q1357/400,0)</f>
        <v>36387</v>
      </c>
      <c r="H1357" s="34">
        <f t="shared" si="611"/>
        <v>13666</v>
      </c>
      <c r="I1357" s="34">
        <f t="shared" si="611"/>
        <v>13666</v>
      </c>
      <c r="J1357" s="34">
        <f>ROUNDDOWN($P1357/4*$O1357*10*$N1357/$Q1357*$N1357/400,0)</f>
        <v>25985</v>
      </c>
      <c r="K1357" s="133">
        <v>1000</v>
      </c>
      <c r="L1357" s="34"/>
      <c r="M1357" s="16">
        <f t="shared" si="603"/>
        <v>9093.7954481925753</v>
      </c>
      <c r="N1357" s="36">
        <v>600</v>
      </c>
      <c r="O1357" s="36">
        <v>0.5</v>
      </c>
      <c r="P1357" s="47">
        <v>16400</v>
      </c>
      <c r="Q1357" s="2" t="s">
        <v>104</v>
      </c>
      <c r="S1357" s="55">
        <v>5466.666666666667</v>
      </c>
      <c r="T1357" s="271">
        <v>5466.666666666667</v>
      </c>
    </row>
    <row r="1358" spans="1:20" x14ac:dyDescent="0.2">
      <c r="A1358" s="8" t="str">
        <f t="shared" si="576"/>
        <v>20011511</v>
      </c>
      <c r="B1358" s="8">
        <v>2001</v>
      </c>
      <c r="C1358" s="8">
        <v>15</v>
      </c>
      <c r="D1358" s="8" t="s">
        <v>62</v>
      </c>
      <c r="E1358" s="8">
        <v>1</v>
      </c>
      <c r="F1358" s="34">
        <f t="shared" ref="F1358:G1361" si="615">ROUNDDOWN($P1358/4*$O1358*10*$N1358/$N1358*$Q1358/400,0)</f>
        <v>72775</v>
      </c>
      <c r="G1358" s="34">
        <f t="shared" si="615"/>
        <v>72775</v>
      </c>
      <c r="H1358" s="34">
        <f t="shared" si="611"/>
        <v>13666</v>
      </c>
      <c r="I1358" s="34">
        <f t="shared" si="611"/>
        <v>13666</v>
      </c>
      <c r="J1358" s="34">
        <f t="shared" ref="J1358:J1361" si="616">ROUNDDOWN($P1358/4*$O1358*10*$N1358/$Q1358*$N1358/400,0)</f>
        <v>51971</v>
      </c>
      <c r="K1358" s="133">
        <v>1000</v>
      </c>
      <c r="L1358" s="34"/>
      <c r="M1358" s="16">
        <f t="shared" si="603"/>
        <v>18187.890837349998</v>
      </c>
      <c r="N1358" s="36">
        <v>600</v>
      </c>
      <c r="O1358" s="36">
        <v>1</v>
      </c>
      <c r="P1358" s="2">
        <f>P1357</f>
        <v>16400</v>
      </c>
      <c r="Q1358" s="2" t="s">
        <v>104</v>
      </c>
      <c r="S1358" s="55">
        <v>5466.666666666667</v>
      </c>
      <c r="T1358" s="271">
        <v>5466.666666666667</v>
      </c>
    </row>
    <row r="1359" spans="1:20" x14ac:dyDescent="0.2">
      <c r="A1359" s="8" t="str">
        <f t="shared" si="576"/>
        <v>20011512</v>
      </c>
      <c r="B1359" s="8">
        <v>2001</v>
      </c>
      <c r="C1359" s="8">
        <v>15</v>
      </c>
      <c r="D1359" s="8" t="s">
        <v>62</v>
      </c>
      <c r="E1359" s="8">
        <v>2</v>
      </c>
      <c r="F1359" s="34">
        <f t="shared" si="615"/>
        <v>145550</v>
      </c>
      <c r="G1359" s="34">
        <f t="shared" si="615"/>
        <v>145550</v>
      </c>
      <c r="H1359" s="34">
        <f t="shared" si="611"/>
        <v>13666</v>
      </c>
      <c r="I1359" s="34">
        <f t="shared" si="611"/>
        <v>13666</v>
      </c>
      <c r="J1359" s="34">
        <f t="shared" si="616"/>
        <v>103943</v>
      </c>
      <c r="K1359" s="133">
        <v>1000</v>
      </c>
      <c r="L1359" s="34"/>
      <c r="M1359" s="16">
        <f t="shared" si="603"/>
        <v>36375.95665543052</v>
      </c>
      <c r="N1359" s="36">
        <v>600</v>
      </c>
      <c r="O1359" s="36">
        <v>2</v>
      </c>
      <c r="P1359" s="2">
        <f t="shared" ref="P1359:P1361" si="617">P1358</f>
        <v>16400</v>
      </c>
      <c r="Q1359" s="2" t="s">
        <v>104</v>
      </c>
      <c r="S1359" s="55">
        <v>5466.666666666667</v>
      </c>
      <c r="T1359" s="271">
        <v>5466.666666666667</v>
      </c>
    </row>
    <row r="1360" spans="1:20" x14ac:dyDescent="0.2">
      <c r="A1360" s="8" t="str">
        <f t="shared" si="576"/>
        <v>20011513</v>
      </c>
      <c r="B1360" s="8">
        <v>2001</v>
      </c>
      <c r="C1360" s="8">
        <v>15</v>
      </c>
      <c r="D1360" s="8" t="s">
        <v>62</v>
      </c>
      <c r="E1360" s="8">
        <v>3</v>
      </c>
      <c r="F1360" s="34">
        <f t="shared" si="615"/>
        <v>218325</v>
      </c>
      <c r="G1360" s="34">
        <f t="shared" si="615"/>
        <v>218325</v>
      </c>
      <c r="H1360" s="34">
        <f t="shared" si="611"/>
        <v>13666</v>
      </c>
      <c r="I1360" s="34">
        <f t="shared" si="611"/>
        <v>13666</v>
      </c>
      <c r="J1360" s="34">
        <f t="shared" si="616"/>
        <v>155915</v>
      </c>
      <c r="K1360" s="133">
        <v>1000</v>
      </c>
      <c r="L1360" s="34"/>
      <c r="M1360" s="16">
        <f t="shared" si="603"/>
        <v>54564.02247323047</v>
      </c>
      <c r="N1360" s="36">
        <v>600</v>
      </c>
      <c r="O1360" s="36">
        <v>3</v>
      </c>
      <c r="P1360" s="2">
        <f t="shared" si="617"/>
        <v>16400</v>
      </c>
      <c r="Q1360" s="2" t="s">
        <v>104</v>
      </c>
      <c r="S1360" s="55">
        <v>5466.666666666667</v>
      </c>
      <c r="T1360" s="271">
        <v>5466.666666666667</v>
      </c>
    </row>
    <row r="1361" spans="1:20" x14ac:dyDescent="0.2">
      <c r="A1361" s="8" t="str">
        <f t="shared" ref="A1361:A1441" si="618">IF(B1361="","",CONCATENATE(B1361,CONCATENATE(REPT(0,2-LEN(C1361)),C1361),IF(OR(D1361="Easy",D1361=""),1,IF(D1361="Normal",2,IF(D1361="Hard",3,IF(D1361="Hell",4,"error")))),E1361))</f>
        <v>20011514</v>
      </c>
      <c r="B1361" s="8">
        <v>2001</v>
      </c>
      <c r="C1361" s="8">
        <v>15</v>
      </c>
      <c r="D1361" s="8" t="s">
        <v>62</v>
      </c>
      <c r="E1361" s="8">
        <v>4</v>
      </c>
      <c r="F1361" s="34">
        <f t="shared" si="615"/>
        <v>291100</v>
      </c>
      <c r="G1361" s="34">
        <f t="shared" si="615"/>
        <v>291100</v>
      </c>
      <c r="H1361" s="34">
        <f t="shared" si="611"/>
        <v>13666</v>
      </c>
      <c r="I1361" s="34">
        <f t="shared" si="611"/>
        <v>13666</v>
      </c>
      <c r="J1361" s="34">
        <f t="shared" si="616"/>
        <v>207887</v>
      </c>
      <c r="K1361" s="133">
        <v>1000</v>
      </c>
      <c r="L1361" s="34"/>
      <c r="M1361" s="16">
        <f t="shared" si="603"/>
        <v>72752.088290960281</v>
      </c>
      <c r="N1361" s="36">
        <v>600</v>
      </c>
      <c r="O1361" s="36">
        <v>4</v>
      </c>
      <c r="P1361" s="2">
        <f t="shared" si="617"/>
        <v>16400</v>
      </c>
      <c r="Q1361" s="2" t="s">
        <v>104</v>
      </c>
      <c r="S1361" s="55">
        <v>5466.666666666667</v>
      </c>
      <c r="T1361" s="271">
        <v>5466.666666666667</v>
      </c>
    </row>
    <row r="1362" spans="1:20" x14ac:dyDescent="0.2">
      <c r="A1362" s="8" t="str">
        <f t="shared" si="618"/>
        <v>20011610</v>
      </c>
      <c r="B1362" s="8">
        <v>2001</v>
      </c>
      <c r="C1362" s="8">
        <v>16</v>
      </c>
      <c r="D1362" s="8" t="s">
        <v>62</v>
      </c>
      <c r="E1362" s="8">
        <v>0</v>
      </c>
      <c r="F1362" s="34">
        <f>ROUNDDOWN($P1362/4*$O1362*10*$N1362/$N1362*$Q1362/400,0)</f>
        <v>38606</v>
      </c>
      <c r="G1362" s="34">
        <f>ROUNDDOWN($P1362/4*$O1362*10*$N1362/$N1362*$Q1362/400,0)</f>
        <v>38606</v>
      </c>
      <c r="H1362" s="34">
        <f t="shared" si="611"/>
        <v>14500</v>
      </c>
      <c r="I1362" s="34">
        <f t="shared" si="611"/>
        <v>14500</v>
      </c>
      <c r="J1362" s="34">
        <f>ROUNDDOWN($P1362/4*$O1362*10*$N1362/$Q1362*$N1362/400,0)</f>
        <v>27570</v>
      </c>
      <c r="K1362" s="133">
        <v>1000</v>
      </c>
      <c r="L1362" s="34"/>
      <c r="M1362" s="16">
        <f t="shared" si="603"/>
        <v>9938.475566001056</v>
      </c>
      <c r="N1362" s="36">
        <v>600</v>
      </c>
      <c r="O1362" s="36">
        <v>0.5</v>
      </c>
      <c r="P1362" s="47">
        <v>17400</v>
      </c>
      <c r="Q1362" s="2" t="s">
        <v>104</v>
      </c>
      <c r="S1362" s="55">
        <v>5800</v>
      </c>
      <c r="T1362" s="271">
        <v>5800</v>
      </c>
    </row>
    <row r="1363" spans="1:20" x14ac:dyDescent="0.2">
      <c r="A1363" s="8" t="str">
        <f t="shared" si="618"/>
        <v>20011611</v>
      </c>
      <c r="B1363" s="8">
        <v>2001</v>
      </c>
      <c r="C1363" s="8">
        <v>16</v>
      </c>
      <c r="D1363" s="8" t="s">
        <v>62</v>
      </c>
      <c r="E1363" s="8">
        <v>1</v>
      </c>
      <c r="F1363" s="34">
        <f t="shared" ref="F1363:G1366" si="619">ROUNDDOWN($P1363/4*$O1363*10*$N1363/$N1363*$Q1363/400,0)</f>
        <v>77212</v>
      </c>
      <c r="G1363" s="34">
        <f t="shared" si="619"/>
        <v>77212</v>
      </c>
      <c r="H1363" s="34">
        <f t="shared" si="611"/>
        <v>14500</v>
      </c>
      <c r="I1363" s="34">
        <f t="shared" si="611"/>
        <v>14500</v>
      </c>
      <c r="J1363" s="34">
        <f t="shared" ref="J1363:J1366" si="620">ROUNDDOWN($P1363/4*$O1363*10*$N1363/$Q1363*$N1363/400,0)</f>
        <v>55140</v>
      </c>
      <c r="K1363" s="133">
        <v>1000</v>
      </c>
      <c r="L1363" s="34"/>
      <c r="M1363" s="16">
        <f t="shared" si="603"/>
        <v>19876.951132002112</v>
      </c>
      <c r="N1363" s="36">
        <v>600</v>
      </c>
      <c r="O1363" s="36">
        <v>1</v>
      </c>
      <c r="P1363" s="2">
        <f>P1362</f>
        <v>17400</v>
      </c>
      <c r="Q1363" s="2" t="s">
        <v>104</v>
      </c>
      <c r="S1363" s="55">
        <v>5800</v>
      </c>
      <c r="T1363" s="271">
        <v>5800</v>
      </c>
    </row>
    <row r="1364" spans="1:20" x14ac:dyDescent="0.2">
      <c r="A1364" s="8" t="str">
        <f t="shared" si="618"/>
        <v>20011612</v>
      </c>
      <c r="B1364" s="8">
        <v>2001</v>
      </c>
      <c r="C1364" s="8">
        <v>16</v>
      </c>
      <c r="D1364" s="8" t="s">
        <v>62</v>
      </c>
      <c r="E1364" s="8">
        <v>2</v>
      </c>
      <c r="F1364" s="34">
        <f t="shared" si="619"/>
        <v>154425</v>
      </c>
      <c r="G1364" s="34">
        <f t="shared" si="619"/>
        <v>154425</v>
      </c>
      <c r="H1364" s="34">
        <f t="shared" si="611"/>
        <v>14500</v>
      </c>
      <c r="I1364" s="34">
        <f t="shared" si="611"/>
        <v>14500</v>
      </c>
      <c r="J1364" s="34">
        <f t="shared" si="620"/>
        <v>110281</v>
      </c>
      <c r="K1364" s="133">
        <v>1000</v>
      </c>
      <c r="L1364" s="34"/>
      <c r="M1364" s="16">
        <f t="shared" si="603"/>
        <v>39754.211221454265</v>
      </c>
      <c r="N1364" s="36">
        <v>600</v>
      </c>
      <c r="O1364" s="36">
        <v>2</v>
      </c>
      <c r="P1364" s="2">
        <f t="shared" ref="P1364:P1366" si="621">P1363</f>
        <v>17400</v>
      </c>
      <c r="Q1364" s="2" t="s">
        <v>104</v>
      </c>
      <c r="S1364" s="55">
        <v>5800</v>
      </c>
      <c r="T1364" s="271">
        <v>5800</v>
      </c>
    </row>
    <row r="1365" spans="1:20" x14ac:dyDescent="0.2">
      <c r="A1365" s="8" t="str">
        <f t="shared" si="618"/>
        <v>20011613</v>
      </c>
      <c r="B1365" s="8">
        <v>2001</v>
      </c>
      <c r="C1365" s="8">
        <v>16</v>
      </c>
      <c r="D1365" s="8" t="s">
        <v>62</v>
      </c>
      <c r="E1365" s="8">
        <v>3</v>
      </c>
      <c r="F1365" s="34">
        <f t="shared" si="619"/>
        <v>231637</v>
      </c>
      <c r="G1365" s="34">
        <f t="shared" si="619"/>
        <v>231637</v>
      </c>
      <c r="H1365" s="34">
        <f t="shared" si="611"/>
        <v>14500</v>
      </c>
      <c r="I1365" s="34">
        <f t="shared" si="611"/>
        <v>14500</v>
      </c>
      <c r="J1365" s="34">
        <f t="shared" si="620"/>
        <v>165422</v>
      </c>
      <c r="K1365" s="133">
        <v>1000</v>
      </c>
      <c r="L1365" s="34"/>
      <c r="M1365" s="16">
        <f t="shared" si="603"/>
        <v>59631.342593800451</v>
      </c>
      <c r="N1365" s="36">
        <v>600</v>
      </c>
      <c r="O1365" s="36">
        <v>3</v>
      </c>
      <c r="P1365" s="2">
        <f t="shared" si="621"/>
        <v>17400</v>
      </c>
      <c r="Q1365" s="2" t="s">
        <v>104</v>
      </c>
      <c r="S1365" s="55">
        <v>5800</v>
      </c>
      <c r="T1365" s="271">
        <v>5800</v>
      </c>
    </row>
    <row r="1366" spans="1:20" x14ac:dyDescent="0.2">
      <c r="A1366" s="8" t="str">
        <f t="shared" si="618"/>
        <v>20011614</v>
      </c>
      <c r="B1366" s="8">
        <v>2001</v>
      </c>
      <c r="C1366" s="8">
        <v>16</v>
      </c>
      <c r="D1366" s="8" t="s">
        <v>62</v>
      </c>
      <c r="E1366" s="8">
        <v>4</v>
      </c>
      <c r="F1366" s="34">
        <f t="shared" si="619"/>
        <v>308850</v>
      </c>
      <c r="G1366" s="34">
        <f t="shared" si="619"/>
        <v>308850</v>
      </c>
      <c r="H1366" s="34">
        <f t="shared" si="611"/>
        <v>14500</v>
      </c>
      <c r="I1366" s="34">
        <f t="shared" si="611"/>
        <v>14500</v>
      </c>
      <c r="J1366" s="34">
        <f t="shared" si="620"/>
        <v>220563</v>
      </c>
      <c r="K1366" s="133">
        <v>1000</v>
      </c>
      <c r="L1366" s="34"/>
      <c r="M1366" s="16">
        <f t="shared" si="603"/>
        <v>79508.602683231715</v>
      </c>
      <c r="N1366" s="36">
        <v>600</v>
      </c>
      <c r="O1366" s="36">
        <v>4</v>
      </c>
      <c r="P1366" s="2">
        <f t="shared" si="621"/>
        <v>17400</v>
      </c>
      <c r="Q1366" s="2" t="s">
        <v>104</v>
      </c>
      <c r="S1366" s="55">
        <v>5800</v>
      </c>
      <c r="T1366" s="271">
        <v>5800</v>
      </c>
    </row>
    <row r="1367" spans="1:20" x14ac:dyDescent="0.2">
      <c r="A1367" s="8" t="str">
        <f t="shared" si="618"/>
        <v>20011710</v>
      </c>
      <c r="B1367" s="8">
        <v>2001</v>
      </c>
      <c r="C1367" s="8">
        <v>17</v>
      </c>
      <c r="D1367" s="8" t="s">
        <v>62</v>
      </c>
      <c r="E1367" s="8">
        <v>0</v>
      </c>
      <c r="F1367" s="34">
        <f>ROUNDDOWN($P1367/4*$O1367*10*$N1367/$N1367*$Q1367/400,0)</f>
        <v>40825</v>
      </c>
      <c r="G1367" s="34">
        <f>ROUNDDOWN($P1367/4*$O1367*10*$N1367/$N1367*$Q1367/400,0)</f>
        <v>40825</v>
      </c>
      <c r="H1367" s="34">
        <f t="shared" si="611"/>
        <v>15333</v>
      </c>
      <c r="I1367" s="34">
        <f t="shared" si="611"/>
        <v>15333</v>
      </c>
      <c r="J1367" s="34">
        <f>ROUNDDOWN($P1367/4*$O1367*10*$N1367/$Q1367*$N1367/400,0)</f>
        <v>29154</v>
      </c>
      <c r="K1367" s="133">
        <v>1000</v>
      </c>
      <c r="L1367" s="34"/>
      <c r="M1367" s="16">
        <f t="shared" si="603"/>
        <v>10807.263146650963</v>
      </c>
      <c r="N1367" s="36">
        <v>600</v>
      </c>
      <c r="O1367" s="36">
        <v>0.5</v>
      </c>
      <c r="P1367" s="47">
        <v>18400</v>
      </c>
      <c r="Q1367" s="2" t="s">
        <v>104</v>
      </c>
      <c r="S1367" s="55">
        <v>6133.333333333333</v>
      </c>
      <c r="T1367" s="271">
        <v>6133.333333333333</v>
      </c>
    </row>
    <row r="1368" spans="1:20" x14ac:dyDescent="0.2">
      <c r="A1368" s="8" t="str">
        <f t="shared" si="618"/>
        <v>20011711</v>
      </c>
      <c r="B1368" s="8">
        <v>2001</v>
      </c>
      <c r="C1368" s="8">
        <v>17</v>
      </c>
      <c r="D1368" s="8" t="s">
        <v>62</v>
      </c>
      <c r="E1368" s="8">
        <v>1</v>
      </c>
      <c r="F1368" s="34">
        <f t="shared" ref="F1368:G1371" si="622">ROUNDDOWN($P1368/4*$O1368*10*$N1368/$N1368*$Q1368/400,0)</f>
        <v>81650</v>
      </c>
      <c r="G1368" s="34">
        <f t="shared" si="622"/>
        <v>81650</v>
      </c>
      <c r="H1368" s="34">
        <f t="shared" si="611"/>
        <v>15333</v>
      </c>
      <c r="I1368" s="34">
        <f t="shared" si="611"/>
        <v>15333</v>
      </c>
      <c r="J1368" s="34">
        <f t="shared" ref="J1368:J1371" si="623">ROUNDDOWN($P1368/4*$O1368*10*$N1368/$Q1368*$N1368/400,0)</f>
        <v>58309</v>
      </c>
      <c r="K1368" s="133">
        <v>1000</v>
      </c>
      <c r="L1368" s="34"/>
      <c r="M1368" s="16">
        <f t="shared" si="603"/>
        <v>21614.711640369391</v>
      </c>
      <c r="N1368" s="36">
        <v>600</v>
      </c>
      <c r="O1368" s="36">
        <v>1</v>
      </c>
      <c r="P1368" s="2">
        <f>P1367</f>
        <v>18400</v>
      </c>
      <c r="Q1368" s="2" t="s">
        <v>104</v>
      </c>
      <c r="S1368" s="55">
        <v>6133.333333333333</v>
      </c>
      <c r="T1368" s="271">
        <v>6133.333333333333</v>
      </c>
    </row>
    <row r="1369" spans="1:20" x14ac:dyDescent="0.2">
      <c r="A1369" s="8" t="str">
        <f t="shared" si="618"/>
        <v>20011712</v>
      </c>
      <c r="B1369" s="8">
        <v>2001</v>
      </c>
      <c r="C1369" s="8">
        <v>17</v>
      </c>
      <c r="D1369" s="8" t="s">
        <v>62</v>
      </c>
      <c r="E1369" s="8">
        <v>2</v>
      </c>
      <c r="F1369" s="34">
        <f t="shared" si="622"/>
        <v>163300</v>
      </c>
      <c r="G1369" s="34">
        <f t="shared" si="622"/>
        <v>163300</v>
      </c>
      <c r="H1369" s="34">
        <f t="shared" si="611"/>
        <v>15333</v>
      </c>
      <c r="I1369" s="34">
        <f t="shared" si="611"/>
        <v>15333</v>
      </c>
      <c r="J1369" s="34">
        <f t="shared" si="623"/>
        <v>116619</v>
      </c>
      <c r="K1369" s="133">
        <v>1000</v>
      </c>
      <c r="L1369" s="34"/>
      <c r="M1369" s="16">
        <f t="shared" si="603"/>
        <v>43229.608626614237</v>
      </c>
      <c r="N1369" s="36">
        <v>600</v>
      </c>
      <c r="O1369" s="36">
        <v>2</v>
      </c>
      <c r="P1369" s="2">
        <f t="shared" ref="P1369:P1371" si="624">P1368</f>
        <v>18400</v>
      </c>
      <c r="Q1369" s="2" t="s">
        <v>104</v>
      </c>
      <c r="S1369" s="55">
        <v>6133.333333333333</v>
      </c>
      <c r="T1369" s="271">
        <v>6133.333333333333</v>
      </c>
    </row>
    <row r="1370" spans="1:20" x14ac:dyDescent="0.2">
      <c r="A1370" s="8" t="str">
        <f t="shared" si="618"/>
        <v>20011713</v>
      </c>
      <c r="B1370" s="8">
        <v>2001</v>
      </c>
      <c r="C1370" s="8">
        <v>17</v>
      </c>
      <c r="D1370" s="8" t="s">
        <v>62</v>
      </c>
      <c r="E1370" s="8">
        <v>3</v>
      </c>
      <c r="F1370" s="34">
        <f t="shared" si="622"/>
        <v>244950</v>
      </c>
      <c r="G1370" s="34">
        <f t="shared" si="622"/>
        <v>244950</v>
      </c>
      <c r="H1370" s="34">
        <f t="shared" si="611"/>
        <v>15333</v>
      </c>
      <c r="I1370" s="34">
        <f t="shared" si="611"/>
        <v>15333</v>
      </c>
      <c r="J1370" s="34">
        <f t="shared" si="623"/>
        <v>174929</v>
      </c>
      <c r="K1370" s="133">
        <v>1000</v>
      </c>
      <c r="L1370" s="34"/>
      <c r="M1370" s="16">
        <f t="shared" si="603"/>
        <v>64844.505612594192</v>
      </c>
      <c r="N1370" s="36">
        <v>600</v>
      </c>
      <c r="O1370" s="36">
        <v>3</v>
      </c>
      <c r="P1370" s="2">
        <f t="shared" si="624"/>
        <v>18400</v>
      </c>
      <c r="Q1370" s="2" t="s">
        <v>104</v>
      </c>
      <c r="S1370" s="55">
        <v>6133.333333333333</v>
      </c>
      <c r="T1370" s="271">
        <v>6133.333333333333</v>
      </c>
    </row>
    <row r="1371" spans="1:20" x14ac:dyDescent="0.2">
      <c r="A1371" s="8" t="str">
        <f t="shared" si="618"/>
        <v>20011714</v>
      </c>
      <c r="B1371" s="8">
        <v>2001</v>
      </c>
      <c r="C1371" s="8">
        <v>17</v>
      </c>
      <c r="D1371" s="8" t="s">
        <v>62</v>
      </c>
      <c r="E1371" s="8">
        <v>4</v>
      </c>
      <c r="F1371" s="34">
        <f t="shared" si="622"/>
        <v>326600</v>
      </c>
      <c r="G1371" s="34">
        <f t="shared" si="622"/>
        <v>326600</v>
      </c>
      <c r="H1371" s="34">
        <f t="shared" si="611"/>
        <v>15333</v>
      </c>
      <c r="I1371" s="34">
        <f t="shared" si="611"/>
        <v>15333</v>
      </c>
      <c r="J1371" s="34">
        <f t="shared" si="623"/>
        <v>233239</v>
      </c>
      <c r="K1371" s="133">
        <v>1000</v>
      </c>
      <c r="L1371" s="34"/>
      <c r="M1371" s="16">
        <f t="shared" si="603"/>
        <v>86459.402598507935</v>
      </c>
      <c r="N1371" s="36">
        <v>600</v>
      </c>
      <c r="O1371" s="36">
        <v>4</v>
      </c>
      <c r="P1371" s="2">
        <f t="shared" si="624"/>
        <v>18400</v>
      </c>
      <c r="Q1371" s="2" t="s">
        <v>104</v>
      </c>
      <c r="S1371" s="55">
        <v>6133.333333333333</v>
      </c>
      <c r="T1371" s="271">
        <v>6133.333333333333</v>
      </c>
    </row>
    <row r="1372" spans="1:20" x14ac:dyDescent="0.2">
      <c r="A1372" s="8" t="str">
        <f t="shared" si="618"/>
        <v>20011810</v>
      </c>
      <c r="B1372" s="8">
        <v>2001</v>
      </c>
      <c r="C1372" s="8">
        <v>18</v>
      </c>
      <c r="D1372" s="8" t="s">
        <v>62</v>
      </c>
      <c r="E1372" s="8">
        <v>0</v>
      </c>
      <c r="F1372" s="34">
        <f>ROUNDDOWN($P1372/4*$O1372*10*$N1372/$N1372*$Q1372/400,0)</f>
        <v>43043</v>
      </c>
      <c r="G1372" s="34">
        <f>ROUNDDOWN($P1372/4*$O1372*10*$N1372/$N1372*$Q1372/400,0)</f>
        <v>43043</v>
      </c>
      <c r="H1372" s="34">
        <f t="shared" si="611"/>
        <v>16166</v>
      </c>
      <c r="I1372" s="34">
        <f t="shared" si="611"/>
        <v>16166</v>
      </c>
      <c r="J1372" s="34">
        <f>ROUNDDOWN($P1372/4*$O1372*10*$N1372/$Q1372*$N1372/400,0)</f>
        <v>30739</v>
      </c>
      <c r="K1372" s="133">
        <v>1000</v>
      </c>
      <c r="L1372" s="34"/>
      <c r="M1372" s="16">
        <f t="shared" si="603"/>
        <v>11700.041662553376</v>
      </c>
      <c r="N1372" s="36">
        <v>600</v>
      </c>
      <c r="O1372" s="36">
        <v>0.5</v>
      </c>
      <c r="P1372" s="47">
        <v>19400</v>
      </c>
      <c r="Q1372" s="2" t="s">
        <v>104</v>
      </c>
      <c r="S1372" s="55">
        <v>6466.666666666667</v>
      </c>
      <c r="T1372" s="271">
        <v>6466.666666666667</v>
      </c>
    </row>
    <row r="1373" spans="1:20" x14ac:dyDescent="0.2">
      <c r="A1373" s="8" t="str">
        <f t="shared" si="618"/>
        <v>20011811</v>
      </c>
      <c r="B1373" s="8">
        <v>2001</v>
      </c>
      <c r="C1373" s="8">
        <v>18</v>
      </c>
      <c r="D1373" s="8" t="s">
        <v>62</v>
      </c>
      <c r="E1373" s="8">
        <v>1</v>
      </c>
      <c r="F1373" s="34">
        <f t="shared" ref="F1373:G1376" si="625">ROUNDDOWN($P1373/4*$O1373*10*$N1373/$N1373*$Q1373/400,0)</f>
        <v>86087</v>
      </c>
      <c r="G1373" s="34">
        <f t="shared" si="625"/>
        <v>86087</v>
      </c>
      <c r="H1373" s="34">
        <f t="shared" si="611"/>
        <v>16166</v>
      </c>
      <c r="I1373" s="34">
        <f t="shared" si="611"/>
        <v>16166</v>
      </c>
      <c r="J1373" s="34">
        <f t="shared" ref="J1373:J1376" si="626">ROUNDDOWN($P1373/4*$O1373*10*$N1373/$Q1373*$N1373/400,0)</f>
        <v>61478</v>
      </c>
      <c r="K1373" s="133">
        <v>1000</v>
      </c>
      <c r="L1373" s="34"/>
      <c r="M1373" s="16">
        <f t="shared" si="603"/>
        <v>23400.219235797056</v>
      </c>
      <c r="N1373" s="36">
        <v>600</v>
      </c>
      <c r="O1373" s="36">
        <v>1</v>
      </c>
      <c r="P1373" s="2">
        <f>P1372</f>
        <v>19400</v>
      </c>
      <c r="Q1373" s="2" t="s">
        <v>104</v>
      </c>
      <c r="S1373" s="55">
        <v>6466.666666666667</v>
      </c>
      <c r="T1373" s="271">
        <v>6466.666666666667</v>
      </c>
    </row>
    <row r="1374" spans="1:20" x14ac:dyDescent="0.2">
      <c r="A1374" s="8" t="str">
        <f t="shared" si="618"/>
        <v>20011812</v>
      </c>
      <c r="B1374" s="8">
        <v>2001</v>
      </c>
      <c r="C1374" s="8">
        <v>18</v>
      </c>
      <c r="D1374" s="8" t="s">
        <v>62</v>
      </c>
      <c r="E1374" s="8">
        <v>2</v>
      </c>
      <c r="F1374" s="34">
        <f t="shared" si="625"/>
        <v>172175</v>
      </c>
      <c r="G1374" s="34">
        <f t="shared" si="625"/>
        <v>172175</v>
      </c>
      <c r="H1374" s="34">
        <f t="shared" si="611"/>
        <v>16166</v>
      </c>
      <c r="I1374" s="34">
        <f t="shared" si="611"/>
        <v>16166</v>
      </c>
      <c r="J1374" s="34">
        <f t="shared" si="626"/>
        <v>122957</v>
      </c>
      <c r="K1374" s="133">
        <v>1000</v>
      </c>
      <c r="L1374" s="34"/>
      <c r="M1374" s="16">
        <f t="shared" si="603"/>
        <v>46800.764695622653</v>
      </c>
      <c r="N1374" s="36">
        <v>600</v>
      </c>
      <c r="O1374" s="36">
        <v>2</v>
      </c>
      <c r="P1374" s="2">
        <f t="shared" ref="P1374:P1376" si="627">P1373</f>
        <v>19400</v>
      </c>
      <c r="Q1374" s="2" t="s">
        <v>104</v>
      </c>
      <c r="S1374" s="55">
        <v>6466.666666666667</v>
      </c>
      <c r="T1374" s="271">
        <v>6466.666666666667</v>
      </c>
    </row>
    <row r="1375" spans="1:20" x14ac:dyDescent="0.2">
      <c r="A1375" s="8" t="str">
        <f t="shared" si="618"/>
        <v>20011813</v>
      </c>
      <c r="B1375" s="8">
        <v>2001</v>
      </c>
      <c r="C1375" s="8">
        <v>18</v>
      </c>
      <c r="D1375" s="8" t="s">
        <v>62</v>
      </c>
      <c r="E1375" s="8">
        <v>3</v>
      </c>
      <c r="F1375" s="34">
        <f t="shared" si="625"/>
        <v>258262</v>
      </c>
      <c r="G1375" s="34">
        <f t="shared" si="625"/>
        <v>258262</v>
      </c>
      <c r="H1375" s="34">
        <f t="shared" si="611"/>
        <v>16166</v>
      </c>
      <c r="I1375" s="34">
        <f t="shared" si="611"/>
        <v>16166</v>
      </c>
      <c r="J1375" s="34">
        <f t="shared" si="626"/>
        <v>184436</v>
      </c>
      <c r="K1375" s="133">
        <v>1000</v>
      </c>
      <c r="L1375" s="34"/>
      <c r="M1375" s="16">
        <f t="shared" si="603"/>
        <v>70201.174244789363</v>
      </c>
      <c r="N1375" s="36">
        <v>600</v>
      </c>
      <c r="O1375" s="36">
        <v>3</v>
      </c>
      <c r="P1375" s="2">
        <f t="shared" si="627"/>
        <v>19400</v>
      </c>
      <c r="Q1375" s="2" t="s">
        <v>104</v>
      </c>
      <c r="S1375" s="55">
        <v>6466.666666666667</v>
      </c>
      <c r="T1375" s="271">
        <v>6466.666666666667</v>
      </c>
    </row>
    <row r="1376" spans="1:20" x14ac:dyDescent="0.2">
      <c r="A1376" s="8" t="str">
        <f t="shared" si="618"/>
        <v>20011814</v>
      </c>
      <c r="B1376" s="8">
        <v>2001</v>
      </c>
      <c r="C1376" s="8">
        <v>18</v>
      </c>
      <c r="D1376" s="8" t="s">
        <v>62</v>
      </c>
      <c r="E1376" s="8">
        <v>4</v>
      </c>
      <c r="F1376" s="34">
        <f t="shared" si="625"/>
        <v>344350</v>
      </c>
      <c r="G1376" s="34">
        <f t="shared" si="625"/>
        <v>344350</v>
      </c>
      <c r="H1376" s="34">
        <f t="shared" si="611"/>
        <v>16166</v>
      </c>
      <c r="I1376" s="34">
        <f t="shared" si="611"/>
        <v>16166</v>
      </c>
      <c r="J1376" s="34">
        <f t="shared" si="626"/>
        <v>245915</v>
      </c>
      <c r="K1376" s="133">
        <v>1000</v>
      </c>
      <c r="L1376" s="34"/>
      <c r="M1376" s="16">
        <f t="shared" si="603"/>
        <v>93601.719704595176</v>
      </c>
      <c r="N1376" s="36">
        <v>600</v>
      </c>
      <c r="O1376" s="36">
        <v>4</v>
      </c>
      <c r="P1376" s="2">
        <f t="shared" si="627"/>
        <v>19400</v>
      </c>
      <c r="Q1376" s="2" t="s">
        <v>104</v>
      </c>
      <c r="S1376" s="55">
        <v>6466.666666666667</v>
      </c>
      <c r="T1376" s="271">
        <v>6466.666666666667</v>
      </c>
    </row>
    <row r="1377" spans="1:20" x14ac:dyDescent="0.2">
      <c r="A1377" s="8" t="str">
        <f t="shared" si="618"/>
        <v>20011910</v>
      </c>
      <c r="B1377" s="8">
        <v>2001</v>
      </c>
      <c r="C1377" s="8">
        <v>19</v>
      </c>
      <c r="D1377" s="8" t="s">
        <v>62</v>
      </c>
      <c r="E1377" s="8">
        <v>0</v>
      </c>
      <c r="F1377" s="34">
        <f>ROUNDDOWN($P1377/4*$O1377*10*$N1377/$N1377*$Q1377/400,0)</f>
        <v>45262</v>
      </c>
      <c r="G1377" s="34">
        <f>ROUNDDOWN($P1377/4*$O1377*10*$N1377/$N1377*$Q1377/400,0)</f>
        <v>45262</v>
      </c>
      <c r="H1377" s="34">
        <f t="shared" si="611"/>
        <v>17000</v>
      </c>
      <c r="I1377" s="34">
        <f t="shared" si="611"/>
        <v>17000</v>
      </c>
      <c r="J1377" s="34">
        <f>ROUNDDOWN($P1377/4*$O1377*10*$N1377/$Q1377*$N1377/400,0)</f>
        <v>32323</v>
      </c>
      <c r="K1377" s="133">
        <v>1000</v>
      </c>
      <c r="L1377" s="34"/>
      <c r="M1377" s="16">
        <f t="shared" si="603"/>
        <v>12616.449362193787</v>
      </c>
      <c r="N1377" s="36">
        <v>600</v>
      </c>
      <c r="O1377" s="36">
        <v>0.5</v>
      </c>
      <c r="P1377" s="47">
        <v>20400</v>
      </c>
      <c r="Q1377" s="2" t="s">
        <v>104</v>
      </c>
      <c r="S1377" s="55">
        <v>6800</v>
      </c>
      <c r="T1377" s="271">
        <v>6800</v>
      </c>
    </row>
    <row r="1378" spans="1:20" x14ac:dyDescent="0.2">
      <c r="A1378" s="8" t="str">
        <f t="shared" si="618"/>
        <v>20011911</v>
      </c>
      <c r="B1378" s="8">
        <v>2001</v>
      </c>
      <c r="C1378" s="8">
        <v>19</v>
      </c>
      <c r="D1378" s="8" t="s">
        <v>62</v>
      </c>
      <c r="E1378" s="8">
        <v>1</v>
      </c>
      <c r="F1378" s="34">
        <f t="shared" ref="F1378:G1381" si="628">ROUNDDOWN($P1378/4*$O1378*10*$N1378/$N1378*$Q1378/400,0)</f>
        <v>90525</v>
      </c>
      <c r="G1378" s="34">
        <f t="shared" si="628"/>
        <v>90525</v>
      </c>
      <c r="H1378" s="34">
        <f t="shared" si="611"/>
        <v>17000</v>
      </c>
      <c r="I1378" s="34">
        <f t="shared" si="611"/>
        <v>17000</v>
      </c>
      <c r="J1378" s="34">
        <f t="shared" ref="J1378:J1381" si="629">ROUNDDOWN($P1378/4*$O1378*10*$N1378/$Q1378*$N1378/400,0)</f>
        <v>64647</v>
      </c>
      <c r="K1378" s="133">
        <v>1000</v>
      </c>
      <c r="L1378" s="34"/>
      <c r="M1378" s="16">
        <f t="shared" si="603"/>
        <v>25233.233257749591</v>
      </c>
      <c r="N1378" s="36">
        <v>600</v>
      </c>
      <c r="O1378" s="36">
        <v>1</v>
      </c>
      <c r="P1378" s="2">
        <f>P1377</f>
        <v>20400</v>
      </c>
      <c r="Q1378" s="2" t="s">
        <v>104</v>
      </c>
      <c r="S1378" s="55">
        <v>6800</v>
      </c>
      <c r="T1378" s="271">
        <v>6800</v>
      </c>
    </row>
    <row r="1379" spans="1:20" x14ac:dyDescent="0.2">
      <c r="A1379" s="8" t="str">
        <f t="shared" si="618"/>
        <v>20011912</v>
      </c>
      <c r="B1379" s="8">
        <v>2001</v>
      </c>
      <c r="C1379" s="8">
        <v>19</v>
      </c>
      <c r="D1379" s="8" t="s">
        <v>62</v>
      </c>
      <c r="E1379" s="8">
        <v>2</v>
      </c>
      <c r="F1379" s="34">
        <f t="shared" si="628"/>
        <v>181050</v>
      </c>
      <c r="G1379" s="34">
        <f t="shared" si="628"/>
        <v>181050</v>
      </c>
      <c r="H1379" s="34">
        <f t="shared" si="611"/>
        <v>17000</v>
      </c>
      <c r="I1379" s="34">
        <f t="shared" si="611"/>
        <v>17000</v>
      </c>
      <c r="J1379" s="34">
        <f t="shared" si="629"/>
        <v>129295</v>
      </c>
      <c r="K1379" s="133">
        <v>1000</v>
      </c>
      <c r="L1379" s="34"/>
      <c r="M1379" s="16">
        <f t="shared" si="603"/>
        <v>50466.661676794116</v>
      </c>
      <c r="N1379" s="36">
        <v>600</v>
      </c>
      <c r="O1379" s="36">
        <v>2</v>
      </c>
      <c r="P1379" s="2">
        <f t="shared" ref="P1379:P1381" si="630">P1378</f>
        <v>20400</v>
      </c>
      <c r="Q1379" s="2" t="s">
        <v>104</v>
      </c>
      <c r="S1379" s="55">
        <v>6800</v>
      </c>
      <c r="T1379" s="271">
        <v>6800</v>
      </c>
    </row>
    <row r="1380" spans="1:20" x14ac:dyDescent="0.2">
      <c r="A1380" s="8" t="str">
        <f t="shared" si="618"/>
        <v>20011913</v>
      </c>
      <c r="B1380" s="8">
        <v>2001</v>
      </c>
      <c r="C1380" s="8">
        <v>19</v>
      </c>
      <c r="D1380" s="8" t="s">
        <v>62</v>
      </c>
      <c r="E1380" s="8">
        <v>3</v>
      </c>
      <c r="F1380" s="34">
        <f t="shared" si="628"/>
        <v>271575</v>
      </c>
      <c r="G1380" s="34">
        <f t="shared" si="628"/>
        <v>271575</v>
      </c>
      <c r="H1380" s="34">
        <f t="shared" si="611"/>
        <v>17000</v>
      </c>
      <c r="I1380" s="34">
        <f t="shared" si="611"/>
        <v>17000</v>
      </c>
      <c r="J1380" s="34">
        <f t="shared" si="629"/>
        <v>193943</v>
      </c>
      <c r="K1380" s="133">
        <v>1000</v>
      </c>
      <c r="L1380" s="34"/>
      <c r="M1380" s="16">
        <f t="shared" si="603"/>
        <v>75700.090095587075</v>
      </c>
      <c r="N1380" s="36">
        <v>600</v>
      </c>
      <c r="O1380" s="36">
        <v>3</v>
      </c>
      <c r="P1380" s="2">
        <f t="shared" si="630"/>
        <v>20400</v>
      </c>
      <c r="Q1380" s="2" t="s">
        <v>104</v>
      </c>
      <c r="S1380" s="55">
        <v>6800</v>
      </c>
      <c r="T1380" s="271">
        <v>6800</v>
      </c>
    </row>
    <row r="1381" spans="1:20" x14ac:dyDescent="0.2">
      <c r="A1381" s="8" t="str">
        <f t="shared" si="618"/>
        <v>20011914</v>
      </c>
      <c r="B1381" s="8">
        <v>2001</v>
      </c>
      <c r="C1381" s="8">
        <v>19</v>
      </c>
      <c r="D1381" s="8" t="s">
        <v>62</v>
      </c>
      <c r="E1381" s="8">
        <v>4</v>
      </c>
      <c r="F1381" s="34">
        <f t="shared" si="628"/>
        <v>362100</v>
      </c>
      <c r="G1381" s="34">
        <f t="shared" si="628"/>
        <v>362100</v>
      </c>
      <c r="H1381" s="34">
        <f t="shared" si="611"/>
        <v>17000</v>
      </c>
      <c r="I1381" s="34">
        <f t="shared" si="611"/>
        <v>17000</v>
      </c>
      <c r="J1381" s="34">
        <f t="shared" si="629"/>
        <v>258591</v>
      </c>
      <c r="K1381" s="133">
        <v>1000</v>
      </c>
      <c r="L1381" s="34"/>
      <c r="M1381" s="16">
        <f t="shared" si="603"/>
        <v>100933.51851431715</v>
      </c>
      <c r="N1381" s="36">
        <v>600</v>
      </c>
      <c r="O1381" s="36">
        <v>4</v>
      </c>
      <c r="P1381" s="2">
        <f t="shared" si="630"/>
        <v>20400</v>
      </c>
      <c r="Q1381" s="2" t="s">
        <v>104</v>
      </c>
      <c r="S1381" s="55">
        <v>6800</v>
      </c>
      <c r="T1381" s="271">
        <v>6800</v>
      </c>
    </row>
    <row r="1382" spans="1:20" x14ac:dyDescent="0.2">
      <c r="A1382" s="8" t="str">
        <f t="shared" si="618"/>
        <v>20012010</v>
      </c>
      <c r="B1382" s="8">
        <v>2001</v>
      </c>
      <c r="C1382" s="8">
        <v>20</v>
      </c>
      <c r="D1382" s="8" t="s">
        <v>62</v>
      </c>
      <c r="E1382" s="8">
        <v>0</v>
      </c>
      <c r="F1382" s="34">
        <f>ROUNDDOWN($P1382/4*$O1382*10*$N1382/$N1382*$Q1382/400,0)</f>
        <v>47481</v>
      </c>
      <c r="G1382" s="34">
        <f>ROUNDDOWN($P1382/4*$O1382*10*$N1382/$N1382*$Q1382/400,0)</f>
        <v>47481</v>
      </c>
      <c r="H1382" s="34">
        <f t="shared" si="611"/>
        <v>17833</v>
      </c>
      <c r="I1382" s="34">
        <f t="shared" si="611"/>
        <v>17833</v>
      </c>
      <c r="J1382" s="34">
        <f>ROUNDDOWN($P1382/4*$O1382*10*$N1382/$Q1382*$N1382/400,0)</f>
        <v>33908</v>
      </c>
      <c r="K1382" s="133">
        <v>1000</v>
      </c>
      <c r="L1382" s="34"/>
      <c r="M1382" s="16">
        <f t="shared" si="603"/>
        <v>13555.427156756719</v>
      </c>
      <c r="N1382" s="36">
        <v>600</v>
      </c>
      <c r="O1382" s="36">
        <v>0.5</v>
      </c>
      <c r="P1382" s="47">
        <v>21400</v>
      </c>
      <c r="Q1382" s="2" t="s">
        <v>104</v>
      </c>
      <c r="S1382" s="55">
        <v>7133.333333333333</v>
      </c>
      <c r="T1382" s="271">
        <v>7133.333333333333</v>
      </c>
    </row>
    <row r="1383" spans="1:20" x14ac:dyDescent="0.2">
      <c r="A1383" s="8" t="str">
        <f t="shared" si="618"/>
        <v>20012011</v>
      </c>
      <c r="B1383" s="8">
        <v>2001</v>
      </c>
      <c r="C1383" s="8">
        <v>20</v>
      </c>
      <c r="D1383" s="8" t="s">
        <v>62</v>
      </c>
      <c r="E1383" s="8">
        <v>1</v>
      </c>
      <c r="F1383" s="34">
        <f t="shared" ref="F1383:G1392" si="631">ROUNDDOWN($P1383/4*$O1383*10*$N1383/$N1383*$Q1383/400,0)</f>
        <v>94962</v>
      </c>
      <c r="G1383" s="34">
        <f t="shared" si="631"/>
        <v>94962</v>
      </c>
      <c r="H1383" s="34">
        <f t="shared" si="611"/>
        <v>17833</v>
      </c>
      <c r="I1383" s="34">
        <f t="shared" si="611"/>
        <v>17833</v>
      </c>
      <c r="J1383" s="34">
        <f t="shared" ref="J1383:J1392" si="632">ROUNDDOWN($P1383/4*$O1383*10*$N1383/$Q1383*$N1383/400,0)</f>
        <v>67816</v>
      </c>
      <c r="K1383" s="133">
        <v>1000</v>
      </c>
      <c r="L1383" s="34"/>
      <c r="M1383" s="16">
        <f t="shared" si="603"/>
        <v>27110.854313513439</v>
      </c>
      <c r="N1383" s="36">
        <v>600</v>
      </c>
      <c r="O1383" s="36">
        <v>1</v>
      </c>
      <c r="P1383" s="2">
        <f>P1382</f>
        <v>21400</v>
      </c>
      <c r="Q1383" s="2" t="s">
        <v>104</v>
      </c>
      <c r="S1383" s="55">
        <v>7133.333333333333</v>
      </c>
      <c r="T1383" s="271">
        <v>7133.333333333333</v>
      </c>
    </row>
    <row r="1384" spans="1:20" x14ac:dyDescent="0.2">
      <c r="A1384" s="8" t="str">
        <f t="shared" si="618"/>
        <v>20012012</v>
      </c>
      <c r="B1384" s="8">
        <v>2001</v>
      </c>
      <c r="C1384" s="8">
        <v>20</v>
      </c>
      <c r="D1384" s="8" t="s">
        <v>62</v>
      </c>
      <c r="E1384" s="8">
        <v>2</v>
      </c>
      <c r="F1384" s="34">
        <f t="shared" si="631"/>
        <v>189925</v>
      </c>
      <c r="G1384" s="34">
        <f t="shared" si="631"/>
        <v>189925</v>
      </c>
      <c r="H1384" s="34">
        <f t="shared" si="611"/>
        <v>17833</v>
      </c>
      <c r="I1384" s="34">
        <f t="shared" si="611"/>
        <v>17833</v>
      </c>
      <c r="J1384" s="34">
        <f t="shared" si="632"/>
        <v>135633</v>
      </c>
      <c r="K1384" s="133">
        <v>1000</v>
      </c>
      <c r="L1384" s="34"/>
      <c r="M1384" s="16">
        <f t="shared" si="603"/>
        <v>54222.051258185355</v>
      </c>
      <c r="N1384" s="36">
        <v>600</v>
      </c>
      <c r="O1384" s="36">
        <v>2</v>
      </c>
      <c r="P1384" s="2">
        <f t="shared" ref="P1384:P1386" si="633">P1383</f>
        <v>21400</v>
      </c>
      <c r="Q1384" s="2" t="s">
        <v>104</v>
      </c>
      <c r="S1384" s="55">
        <v>7133.333333333333</v>
      </c>
      <c r="T1384" s="271">
        <v>7133.333333333333</v>
      </c>
    </row>
    <row r="1385" spans="1:20" x14ac:dyDescent="0.2">
      <c r="A1385" s="8" t="str">
        <f t="shared" si="618"/>
        <v>20012013</v>
      </c>
      <c r="B1385" s="8">
        <v>2001</v>
      </c>
      <c r="C1385" s="8">
        <v>20</v>
      </c>
      <c r="D1385" s="8" t="s">
        <v>62</v>
      </c>
      <c r="E1385" s="8">
        <v>3</v>
      </c>
      <c r="F1385" s="34">
        <f t="shared" si="631"/>
        <v>284887</v>
      </c>
      <c r="G1385" s="34">
        <f t="shared" si="631"/>
        <v>284887</v>
      </c>
      <c r="H1385" s="34">
        <f t="shared" si="611"/>
        <v>17833</v>
      </c>
      <c r="I1385" s="34">
        <f t="shared" si="611"/>
        <v>17833</v>
      </c>
      <c r="J1385" s="34">
        <f t="shared" si="632"/>
        <v>203450</v>
      </c>
      <c r="K1385" s="133">
        <v>1000</v>
      </c>
      <c r="L1385" s="34"/>
      <c r="M1385" s="16">
        <f t="shared" si="603"/>
        <v>81333.105456706136</v>
      </c>
      <c r="N1385" s="36">
        <v>600</v>
      </c>
      <c r="O1385" s="36">
        <v>3</v>
      </c>
      <c r="P1385" s="2">
        <f t="shared" si="633"/>
        <v>21400</v>
      </c>
      <c r="Q1385" s="2" t="s">
        <v>104</v>
      </c>
      <c r="S1385" s="55">
        <v>7133.333333333333</v>
      </c>
      <c r="T1385" s="271">
        <v>7133.333333333333</v>
      </c>
    </row>
    <row r="1386" spans="1:20" x14ac:dyDescent="0.2">
      <c r="A1386" s="8" t="str">
        <f t="shared" si="618"/>
        <v>20012014</v>
      </c>
      <c r="B1386" s="8">
        <v>2001</v>
      </c>
      <c r="C1386" s="8">
        <v>20</v>
      </c>
      <c r="D1386" s="8" t="s">
        <v>62</v>
      </c>
      <c r="E1386" s="8">
        <v>4</v>
      </c>
      <c r="F1386" s="34">
        <f t="shared" si="631"/>
        <v>379850</v>
      </c>
      <c r="G1386" s="34">
        <f t="shared" si="631"/>
        <v>379850</v>
      </c>
      <c r="H1386" s="34">
        <f t="shared" si="611"/>
        <v>17833</v>
      </c>
      <c r="I1386" s="34">
        <f t="shared" si="611"/>
        <v>17833</v>
      </c>
      <c r="J1386" s="34">
        <f t="shared" si="632"/>
        <v>271267</v>
      </c>
      <c r="K1386" s="133">
        <v>1000</v>
      </c>
      <c r="L1386" s="34"/>
      <c r="M1386" s="16">
        <f t="shared" si="603"/>
        <v>108444.30240135919</v>
      </c>
      <c r="N1386" s="36">
        <v>600</v>
      </c>
      <c r="O1386" s="36">
        <v>4</v>
      </c>
      <c r="P1386" s="2">
        <f t="shared" si="633"/>
        <v>21400</v>
      </c>
      <c r="Q1386" s="2" t="s">
        <v>104</v>
      </c>
      <c r="S1386" s="55">
        <v>7133.333333333333</v>
      </c>
      <c r="T1386" s="271">
        <v>7133.333333333333</v>
      </c>
    </row>
    <row r="1387" spans="1:20" x14ac:dyDescent="0.2">
      <c r="A1387" s="8" t="str">
        <f t="shared" ref="A1387:A1390" si="634">IF(B1387="","",CONCATENATE(B1387,CONCATENATE(REPT(0,2-LEN(C1387)),C1387),IF(OR(D1387="Easy",D1387=""),1,IF(D1387="Normal",2,IF(D1387="Hard",3,IF(D1387="Hell",4,"error")))),E1387))</f>
        <v>20012111</v>
      </c>
      <c r="B1387" s="8">
        <v>2001</v>
      </c>
      <c r="C1387" s="8">
        <v>21</v>
      </c>
      <c r="D1387" s="8" t="s">
        <v>62</v>
      </c>
      <c r="E1387" s="8">
        <v>1</v>
      </c>
      <c r="F1387" s="34">
        <f t="shared" si="631"/>
        <v>177500</v>
      </c>
      <c r="G1387" s="34">
        <f t="shared" si="631"/>
        <v>177500</v>
      </c>
      <c r="H1387" s="34">
        <f t="shared" si="611"/>
        <v>25000</v>
      </c>
      <c r="I1387" s="34">
        <f t="shared" si="611"/>
        <v>25000</v>
      </c>
      <c r="J1387" s="34">
        <f t="shared" si="632"/>
        <v>126760</v>
      </c>
      <c r="K1387" s="133">
        <v>1000</v>
      </c>
      <c r="L1387" s="34"/>
      <c r="M1387" s="16">
        <f t="shared" si="603"/>
        <v>59999.866666518516</v>
      </c>
      <c r="N1387" s="36">
        <v>600</v>
      </c>
      <c r="O1387" s="36">
        <v>1</v>
      </c>
      <c r="P1387" s="2" t="s">
        <v>289</v>
      </c>
      <c r="Q1387" s="2" t="s">
        <v>104</v>
      </c>
      <c r="S1387" s="56">
        <v>10000</v>
      </c>
      <c r="T1387" s="253">
        <v>10000</v>
      </c>
    </row>
    <row r="1388" spans="1:20" x14ac:dyDescent="0.2">
      <c r="A1388" s="8" t="str">
        <f t="shared" si="634"/>
        <v>20012211</v>
      </c>
      <c r="B1388" s="8">
        <v>2001</v>
      </c>
      <c r="C1388" s="8">
        <v>22</v>
      </c>
      <c r="D1388" s="8" t="s">
        <v>62</v>
      </c>
      <c r="E1388" s="8">
        <v>1</v>
      </c>
      <c r="F1388" s="34">
        <f t="shared" si="631"/>
        <v>213000</v>
      </c>
      <c r="G1388" s="34">
        <f t="shared" si="631"/>
        <v>213000</v>
      </c>
      <c r="H1388" s="34">
        <f t="shared" si="611"/>
        <v>27500</v>
      </c>
      <c r="I1388" s="34">
        <f t="shared" si="611"/>
        <v>27500</v>
      </c>
      <c r="J1388" s="34">
        <f t="shared" si="632"/>
        <v>152112</v>
      </c>
      <c r="K1388" s="133">
        <v>1000</v>
      </c>
      <c r="L1388" s="34"/>
      <c r="M1388" s="16">
        <f t="shared" si="603"/>
        <v>75514.069258648757</v>
      </c>
      <c r="N1388" s="36">
        <v>600</v>
      </c>
      <c r="O1388" s="36">
        <v>1</v>
      </c>
      <c r="P1388" s="2" t="s">
        <v>290</v>
      </c>
      <c r="Q1388" s="2" t="s">
        <v>104</v>
      </c>
      <c r="S1388" s="56">
        <v>11000</v>
      </c>
      <c r="T1388" s="253">
        <v>11000</v>
      </c>
    </row>
    <row r="1389" spans="1:20" x14ac:dyDescent="0.2">
      <c r="A1389" s="8" t="str">
        <f t="shared" si="634"/>
        <v>20012311</v>
      </c>
      <c r="B1389" s="8">
        <v>2001</v>
      </c>
      <c r="C1389" s="8">
        <v>23</v>
      </c>
      <c r="D1389" s="8" t="s">
        <v>62</v>
      </c>
      <c r="E1389" s="8">
        <v>1</v>
      </c>
      <c r="F1389" s="34">
        <f t="shared" si="631"/>
        <v>252937</v>
      </c>
      <c r="G1389" s="34">
        <f t="shared" si="631"/>
        <v>252937</v>
      </c>
      <c r="H1389" s="34">
        <f t="shared" si="611"/>
        <v>30000</v>
      </c>
      <c r="I1389" s="34">
        <f t="shared" si="611"/>
        <v>30000</v>
      </c>
      <c r="J1389" s="34">
        <f t="shared" si="632"/>
        <v>180633</v>
      </c>
      <c r="K1389" s="133">
        <v>1000</v>
      </c>
      <c r="L1389" s="34"/>
      <c r="M1389" s="16">
        <f t="shared" si="603"/>
        <v>93660.256625913651</v>
      </c>
      <c r="N1389" s="36">
        <v>600</v>
      </c>
      <c r="O1389" s="36">
        <v>1</v>
      </c>
      <c r="P1389" s="2" t="s">
        <v>291</v>
      </c>
      <c r="Q1389" s="2" t="s">
        <v>104</v>
      </c>
      <c r="S1389" s="56">
        <v>12000</v>
      </c>
      <c r="T1389" s="253">
        <v>12000</v>
      </c>
    </row>
    <row r="1390" spans="1:20" x14ac:dyDescent="0.2">
      <c r="A1390" s="8" t="str">
        <f t="shared" si="634"/>
        <v>20012411</v>
      </c>
      <c r="B1390" s="8">
        <v>2001</v>
      </c>
      <c r="C1390" s="8">
        <v>24</v>
      </c>
      <c r="D1390" s="8" t="s">
        <v>62</v>
      </c>
      <c r="E1390" s="8">
        <v>1</v>
      </c>
      <c r="F1390" s="34">
        <f t="shared" si="631"/>
        <v>292875</v>
      </c>
      <c r="G1390" s="34">
        <f t="shared" si="631"/>
        <v>292875</v>
      </c>
      <c r="H1390" s="34">
        <f t="shared" si="611"/>
        <v>32500</v>
      </c>
      <c r="I1390" s="34">
        <f t="shared" si="611"/>
        <v>32500</v>
      </c>
      <c r="J1390" s="34">
        <f t="shared" si="632"/>
        <v>209154</v>
      </c>
      <c r="K1390" s="133">
        <v>1000</v>
      </c>
      <c r="L1390" s="34"/>
      <c r="M1390" s="16">
        <f t="shared" si="603"/>
        <v>112877.11624594242</v>
      </c>
      <c r="N1390" s="36">
        <v>600</v>
      </c>
      <c r="O1390" s="36">
        <v>1</v>
      </c>
      <c r="P1390" s="2" t="s">
        <v>293</v>
      </c>
      <c r="Q1390" s="2" t="s">
        <v>104</v>
      </c>
      <c r="S1390" s="56">
        <v>13000</v>
      </c>
      <c r="T1390" s="253">
        <v>13000</v>
      </c>
    </row>
    <row r="1391" spans="1:20" x14ac:dyDescent="0.2">
      <c r="A1391" s="8" t="str">
        <f t="shared" ref="A1391" si="635">IF(B1391="","",CONCATENATE(B1391,CONCATENATE(REPT(0,2-LEN(C1391)),C1391),IF(OR(D1391="Easy",D1391=""),1,IF(D1391="Normal",2,IF(D1391="Hard",3,IF(D1391="Hell",4,"error")))),E1391))</f>
        <v>20012511</v>
      </c>
      <c r="B1391" s="8">
        <v>2001</v>
      </c>
      <c r="C1391" s="8">
        <v>25</v>
      </c>
      <c r="D1391" s="8" t="s">
        <v>62</v>
      </c>
      <c r="E1391" s="8">
        <v>1</v>
      </c>
      <c r="F1391" s="34">
        <f t="shared" si="631"/>
        <v>363875</v>
      </c>
      <c r="G1391" s="34">
        <f t="shared" si="631"/>
        <v>363875</v>
      </c>
      <c r="H1391" s="34">
        <f t="shared" si="611"/>
        <v>35000</v>
      </c>
      <c r="I1391" s="34">
        <f t="shared" si="611"/>
        <v>35000</v>
      </c>
      <c r="J1391" s="34">
        <f t="shared" si="632"/>
        <v>259859</v>
      </c>
      <c r="K1391" s="133">
        <v>1000</v>
      </c>
      <c r="L1391" s="34"/>
      <c r="M1391" s="16">
        <f t="shared" si="603"/>
        <v>145535.51927965903</v>
      </c>
      <c r="N1391" s="36">
        <v>600</v>
      </c>
      <c r="O1391" s="36">
        <v>1</v>
      </c>
      <c r="P1391" s="2" t="s">
        <v>292</v>
      </c>
      <c r="Q1391" s="2" t="s">
        <v>104</v>
      </c>
      <c r="S1391" s="56">
        <v>14000</v>
      </c>
      <c r="T1391" s="253">
        <v>14000</v>
      </c>
    </row>
    <row r="1392" spans="1:20" x14ac:dyDescent="0.2">
      <c r="A1392" s="8" t="str">
        <f t="shared" ref="A1392:A1402" si="636">IF(B1392="","",CONCATENATE(B1392,CONCATENATE(REPT(0,2-LEN(C1392)),C1392),IF(OR(D1392="Easy",D1392=""),1,IF(D1392="Normal",2,IF(D1392="Hard",3,IF(D1392="Hell",4,"error")))),E1392))</f>
        <v>20012512</v>
      </c>
      <c r="B1392" s="8">
        <v>2001</v>
      </c>
      <c r="C1392" s="8">
        <v>25</v>
      </c>
      <c r="D1392" s="8" t="s">
        <v>62</v>
      </c>
      <c r="E1392" s="8">
        <v>2</v>
      </c>
      <c r="F1392" s="34">
        <f t="shared" si="631"/>
        <v>615000</v>
      </c>
      <c r="G1392" s="34">
        <f t="shared" si="631"/>
        <v>615000</v>
      </c>
      <c r="H1392" s="34">
        <f t="shared" si="611"/>
        <v>37500</v>
      </c>
      <c r="I1392" s="34">
        <f t="shared" si="611"/>
        <v>37500</v>
      </c>
      <c r="J1392" s="34">
        <f t="shared" si="632"/>
        <v>615000</v>
      </c>
      <c r="K1392" s="133">
        <v>1000</v>
      </c>
      <c r="L1392" s="34"/>
      <c r="M1392" s="16">
        <f t="shared" si="603"/>
        <v>301287.23836233089</v>
      </c>
      <c r="N1392" s="36">
        <v>600</v>
      </c>
      <c r="O1392" s="36">
        <v>2</v>
      </c>
      <c r="P1392" s="2" t="s">
        <v>292</v>
      </c>
      <c r="Q1392" s="2" t="s">
        <v>288</v>
      </c>
      <c r="S1392" s="56">
        <v>15000</v>
      </c>
      <c r="T1392" s="253">
        <v>15000</v>
      </c>
    </row>
    <row r="1393" spans="1:20" ht="20.25" x14ac:dyDescent="0.2">
      <c r="A1393" s="8" t="str">
        <f t="shared" si="636"/>
        <v/>
      </c>
      <c r="B1393" s="5"/>
      <c r="C1393" s="79" t="s">
        <v>773</v>
      </c>
      <c r="D1393" s="5"/>
      <c r="E1393" s="5"/>
      <c r="F1393" s="5"/>
      <c r="G1393" s="5"/>
      <c r="H1393" s="5"/>
      <c r="I1393" s="5"/>
      <c r="J1393" s="5"/>
      <c r="K1393" s="133">
        <v>1000</v>
      </c>
      <c r="L1393" s="5"/>
      <c r="M1393" s="16">
        <f t="shared" si="603"/>
        <v>0</v>
      </c>
      <c r="N1393" s="5"/>
      <c r="O1393" s="5"/>
      <c r="P1393" s="5"/>
      <c r="Q1393" s="5"/>
      <c r="R1393" s="5"/>
      <c r="S1393" s="30"/>
    </row>
    <row r="1394" spans="1:20" ht="10.5" customHeight="1" x14ac:dyDescent="0.2">
      <c r="A1394" s="8" t="str">
        <f t="shared" si="636"/>
        <v>20000111</v>
      </c>
      <c r="B1394" s="8">
        <v>2000</v>
      </c>
      <c r="C1394" s="8">
        <v>1</v>
      </c>
      <c r="D1394" s="8" t="s">
        <v>259</v>
      </c>
      <c r="E1394" s="8">
        <v>1</v>
      </c>
      <c r="F1394" s="34">
        <f t="shared" ref="F1394:G1403" si="637">ROUNDDOWN($P1394/4*MIN($O1394,4)*10*$N1394/$N1394*$Q1394/400,0)</f>
        <v>219300</v>
      </c>
      <c r="G1394" s="34">
        <f t="shared" si="637"/>
        <v>219300</v>
      </c>
      <c r="H1394" s="34">
        <f t="shared" ref="H1394:I1403" si="638">ROUNDDOWN($S1394/4*10,0)</f>
        <v>9000</v>
      </c>
      <c r="I1394" s="34">
        <f t="shared" si="638"/>
        <v>9000</v>
      </c>
      <c r="J1394" s="34">
        <f t="shared" ref="J1394:J1403" si="639">ROUNDDOWN($P1394/4*$O1394*10*$N1394/$Q1394*$N1394/400*0.8,0)</f>
        <v>315800</v>
      </c>
      <c r="K1394" s="133">
        <v>1000</v>
      </c>
      <c r="L1394" s="34"/>
      <c r="M1394" s="16">
        <f t="shared" si="603"/>
        <v>63159.199994933442</v>
      </c>
      <c r="N1394" s="36">
        <v>450</v>
      </c>
      <c r="O1394" s="2" t="s">
        <v>228</v>
      </c>
      <c r="P1394" s="2" t="s">
        <v>748</v>
      </c>
      <c r="Q1394" s="2" t="s">
        <v>102</v>
      </c>
      <c r="R1394" s="2" t="s">
        <v>777</v>
      </c>
      <c r="S1394" s="2">
        <f>P1394*0.3</f>
        <v>3600</v>
      </c>
    </row>
    <row r="1395" spans="1:20" ht="10.5" customHeight="1" x14ac:dyDescent="0.2">
      <c r="A1395" s="8" t="str">
        <f t="shared" ref="A1395" si="640">IF(B1395="","",CONCATENATE(B1395,CONCATENATE(REPT(0,2-LEN(C1395)),C1395),IF(OR(D1395="Easy",D1395=""),1,IF(D1395="Normal",2,IF(D1395="Hard",3,IF(D1395="Hell",4,"error")))),E1395))</f>
        <v>20000112</v>
      </c>
      <c r="B1395" s="8">
        <v>2000</v>
      </c>
      <c r="C1395" s="8">
        <v>1</v>
      </c>
      <c r="D1395" s="8" t="s">
        <v>259</v>
      </c>
      <c r="E1395" s="8">
        <v>2</v>
      </c>
      <c r="F1395" s="34">
        <f t="shared" si="637"/>
        <v>675000</v>
      </c>
      <c r="G1395" s="34">
        <f t="shared" si="637"/>
        <v>675000</v>
      </c>
      <c r="H1395" s="34">
        <f t="shared" si="638"/>
        <v>13500</v>
      </c>
      <c r="I1395" s="34">
        <f t="shared" si="638"/>
        <v>13500</v>
      </c>
      <c r="J1395" s="34">
        <f t="shared" si="639"/>
        <v>230850</v>
      </c>
      <c r="K1395" s="133">
        <v>1000</v>
      </c>
      <c r="L1395" s="34"/>
      <c r="M1395" s="16">
        <f t="shared" ref="M1395" si="641">(F1395*J1395*((H1395+I1395)/2)/1000)^(1/2)/10*0.8</f>
        <v>116030.9096749655</v>
      </c>
      <c r="N1395" s="36">
        <v>450</v>
      </c>
      <c r="O1395" s="2" t="s">
        <v>228</v>
      </c>
      <c r="P1395" s="2" t="s">
        <v>522</v>
      </c>
      <c r="Q1395" s="2" t="s">
        <v>788</v>
      </c>
      <c r="R1395" s="2" t="s">
        <v>782</v>
      </c>
      <c r="S1395" s="2">
        <f>P1395*0.3</f>
        <v>5400</v>
      </c>
    </row>
    <row r="1396" spans="1:20" x14ac:dyDescent="0.2">
      <c r="A1396" s="8" t="str">
        <f t="shared" si="636"/>
        <v>20000211</v>
      </c>
      <c r="B1396" s="8">
        <v>2000</v>
      </c>
      <c r="C1396" s="8">
        <v>2</v>
      </c>
      <c r="D1396" s="8" t="s">
        <v>259</v>
      </c>
      <c r="E1396" s="8">
        <v>1</v>
      </c>
      <c r="F1396" s="34">
        <f t="shared" si="637"/>
        <v>375000</v>
      </c>
      <c r="G1396" s="34">
        <f t="shared" si="637"/>
        <v>375000</v>
      </c>
      <c r="H1396" s="34">
        <f t="shared" si="638"/>
        <v>7500</v>
      </c>
      <c r="I1396" s="34">
        <f t="shared" si="638"/>
        <v>7500</v>
      </c>
      <c r="J1396" s="34">
        <f t="shared" si="639"/>
        <v>158333</v>
      </c>
      <c r="K1396" s="133">
        <v>1000</v>
      </c>
      <c r="L1396" s="34"/>
      <c r="M1396" s="16">
        <f t="shared" ref="M1396:M1402" si="642">(F1396*J1396*((H1396+I1396)/2)/1000)^(1/2)/10*0.8</f>
        <v>53385.335064978281</v>
      </c>
      <c r="N1396" s="36">
        <v>500</v>
      </c>
      <c r="O1396" s="2" t="s">
        <v>228</v>
      </c>
      <c r="P1396" s="2" t="s">
        <v>399</v>
      </c>
      <c r="Q1396" s="2" t="s">
        <v>787</v>
      </c>
      <c r="R1396" s="2" t="s">
        <v>778</v>
      </c>
      <c r="S1396" s="2">
        <f t="shared" ref="S1396:S1402" si="643">P1396*0.3</f>
        <v>3000</v>
      </c>
      <c r="T1396" s="114"/>
    </row>
    <row r="1397" spans="1:20" x14ac:dyDescent="0.2">
      <c r="A1397" s="8" t="str">
        <f t="shared" ref="A1397" si="644">IF(B1397="","",CONCATENATE(B1397,CONCATENATE(REPT(0,2-LEN(C1397)),C1397),IF(OR(D1397="Easy",D1397=""),1,IF(D1397="Normal",2,IF(D1397="Hard",3,IF(D1397="Hell",4,"error")))),E1397))</f>
        <v>20000212</v>
      </c>
      <c r="B1397" s="8">
        <v>2000</v>
      </c>
      <c r="C1397" s="8">
        <v>2</v>
      </c>
      <c r="D1397" s="8" t="s">
        <v>259</v>
      </c>
      <c r="E1397" s="8">
        <v>2</v>
      </c>
      <c r="F1397" s="34">
        <f t="shared" si="637"/>
        <v>913750</v>
      </c>
      <c r="G1397" s="34">
        <f t="shared" si="637"/>
        <v>913750</v>
      </c>
      <c r="H1397" s="34">
        <f t="shared" si="638"/>
        <v>37500</v>
      </c>
      <c r="I1397" s="34">
        <f t="shared" si="638"/>
        <v>37500</v>
      </c>
      <c r="J1397" s="34">
        <f t="shared" si="639"/>
        <v>259917</v>
      </c>
      <c r="K1397" s="133">
        <v>1000</v>
      </c>
      <c r="L1397" s="34"/>
      <c r="M1397" s="16">
        <f t="shared" ref="M1397" si="645">(F1397*J1397*((H1397+I1397)/2)/1000)^(1/2)/10*0.8</f>
        <v>238746.30489287165</v>
      </c>
      <c r="N1397" s="36">
        <v>200</v>
      </c>
      <c r="O1397" s="2" t="s">
        <v>228</v>
      </c>
      <c r="P1397" s="2" t="s">
        <v>786</v>
      </c>
      <c r="Q1397" s="2" t="s">
        <v>102</v>
      </c>
      <c r="R1397" s="2" t="s">
        <v>783</v>
      </c>
      <c r="S1397" s="2">
        <f t="shared" ref="S1397" si="646">P1397*0.3</f>
        <v>15000</v>
      </c>
      <c r="T1397" s="114"/>
    </row>
    <row r="1398" spans="1:20" ht="10.5" customHeight="1" x14ac:dyDescent="0.2">
      <c r="A1398" s="8" t="str">
        <f t="shared" si="636"/>
        <v>20000311</v>
      </c>
      <c r="B1398" s="8">
        <v>2000</v>
      </c>
      <c r="C1398" s="8">
        <v>3</v>
      </c>
      <c r="D1398" s="8" t="s">
        <v>259</v>
      </c>
      <c r="E1398" s="8">
        <v>1</v>
      </c>
      <c r="F1398" s="34">
        <f t="shared" si="637"/>
        <v>219300</v>
      </c>
      <c r="G1398" s="34">
        <f t="shared" si="637"/>
        <v>219300</v>
      </c>
      <c r="H1398" s="34">
        <f t="shared" si="638"/>
        <v>9000</v>
      </c>
      <c r="I1398" s="34">
        <f t="shared" si="638"/>
        <v>9000</v>
      </c>
      <c r="J1398" s="34">
        <f t="shared" si="639"/>
        <v>140355</v>
      </c>
      <c r="K1398" s="133">
        <v>1000</v>
      </c>
      <c r="L1398" s="34"/>
      <c r="M1398" s="16">
        <f t="shared" si="642"/>
        <v>42106.049997595357</v>
      </c>
      <c r="N1398" s="36">
        <v>300</v>
      </c>
      <c r="O1398" s="2" t="s">
        <v>228</v>
      </c>
      <c r="P1398" s="2" t="s">
        <v>748</v>
      </c>
      <c r="Q1398" s="2" t="s">
        <v>102</v>
      </c>
      <c r="R1398" s="2" t="s">
        <v>779</v>
      </c>
      <c r="S1398" s="2">
        <f t="shared" si="643"/>
        <v>3600</v>
      </c>
    </row>
    <row r="1399" spans="1:20" ht="10.5" customHeight="1" x14ac:dyDescent="0.2">
      <c r="A1399" s="8" t="str">
        <f t="shared" ref="A1399" si="647">IF(B1399="","",CONCATENATE(B1399,CONCATENATE(REPT(0,2-LEN(C1399)),C1399),IF(OR(D1399="Easy",D1399=""),1,IF(D1399="Normal",2,IF(D1399="Hard",3,IF(D1399="Hell",4,"error")))),E1399))</f>
        <v>20000312</v>
      </c>
      <c r="B1399" s="8">
        <v>2000</v>
      </c>
      <c r="C1399" s="8">
        <v>3</v>
      </c>
      <c r="D1399" s="8" t="s">
        <v>259</v>
      </c>
      <c r="E1399" s="8">
        <v>2</v>
      </c>
      <c r="F1399" s="34">
        <f t="shared" si="637"/>
        <v>913750</v>
      </c>
      <c r="G1399" s="34">
        <f t="shared" si="637"/>
        <v>913750</v>
      </c>
      <c r="H1399" s="34">
        <f t="shared" si="638"/>
        <v>37500</v>
      </c>
      <c r="I1399" s="34">
        <f t="shared" si="638"/>
        <v>37500</v>
      </c>
      <c r="J1399" s="34">
        <f t="shared" si="639"/>
        <v>406121</v>
      </c>
      <c r="K1399" s="133">
        <v>1000</v>
      </c>
      <c r="L1399" s="34"/>
      <c r="M1399" s="16">
        <f t="shared" ref="M1399" si="648">(F1399*J1399*((H1399+I1399)/2)/1000)^(1/2)/10*0.8</f>
        <v>298433.13371675072</v>
      </c>
      <c r="N1399" s="36">
        <v>250</v>
      </c>
      <c r="O1399" s="2" t="s">
        <v>228</v>
      </c>
      <c r="P1399" s="2" t="s">
        <v>786</v>
      </c>
      <c r="Q1399" s="2" t="s">
        <v>102</v>
      </c>
      <c r="R1399" s="2" t="s">
        <v>784</v>
      </c>
      <c r="S1399" s="2">
        <f t="shared" ref="S1399" si="649">P1399*0.3</f>
        <v>15000</v>
      </c>
    </row>
    <row r="1400" spans="1:20" ht="12" customHeight="1" x14ac:dyDescent="0.2">
      <c r="A1400" s="8" t="str">
        <f t="shared" si="636"/>
        <v>20000411</v>
      </c>
      <c r="B1400" s="8">
        <v>2000</v>
      </c>
      <c r="C1400" s="8">
        <v>4</v>
      </c>
      <c r="D1400" s="8" t="s">
        <v>259</v>
      </c>
      <c r="E1400" s="8">
        <v>1</v>
      </c>
      <c r="F1400" s="34">
        <f t="shared" si="637"/>
        <v>375000</v>
      </c>
      <c r="G1400" s="34">
        <f t="shared" si="637"/>
        <v>375000</v>
      </c>
      <c r="H1400" s="34">
        <f t="shared" si="638"/>
        <v>11250</v>
      </c>
      <c r="I1400" s="34">
        <f t="shared" si="638"/>
        <v>11250</v>
      </c>
      <c r="J1400" s="34">
        <f t="shared" si="639"/>
        <v>698250</v>
      </c>
      <c r="K1400" s="133">
        <v>1000</v>
      </c>
      <c r="L1400" s="34"/>
      <c r="M1400" s="16">
        <f t="shared" si="642"/>
        <v>137305.31672153121</v>
      </c>
      <c r="N1400" s="36">
        <v>700</v>
      </c>
      <c r="O1400" s="2" t="s">
        <v>228</v>
      </c>
      <c r="P1400" s="2" t="s">
        <v>287</v>
      </c>
      <c r="Q1400" s="2" t="s">
        <v>789</v>
      </c>
      <c r="R1400" s="2" t="s">
        <v>780</v>
      </c>
      <c r="S1400" s="2">
        <f t="shared" si="643"/>
        <v>4500</v>
      </c>
    </row>
    <row r="1401" spans="1:20" ht="12" customHeight="1" x14ac:dyDescent="0.2">
      <c r="A1401" s="8" t="str">
        <f t="shared" ref="A1401" si="650">IF(B1401="","",CONCATENATE(B1401,CONCATENATE(REPT(0,2-LEN(C1401)),C1401),IF(OR(D1401="Easy",D1401=""),1,IF(D1401="Normal",2,IF(D1401="Hard",3,IF(D1401="Hell",4,"error")))),E1401))</f>
        <v>20000412</v>
      </c>
      <c r="B1401" s="8">
        <v>2000</v>
      </c>
      <c r="C1401" s="8">
        <v>4</v>
      </c>
      <c r="D1401" s="8" t="s">
        <v>259</v>
      </c>
      <c r="E1401" s="8">
        <v>2</v>
      </c>
      <c r="F1401" s="34">
        <f t="shared" si="637"/>
        <v>219300</v>
      </c>
      <c r="G1401" s="34">
        <f t="shared" si="637"/>
        <v>219300</v>
      </c>
      <c r="H1401" s="34">
        <f t="shared" si="638"/>
        <v>9000</v>
      </c>
      <c r="I1401" s="34">
        <f t="shared" si="638"/>
        <v>9000</v>
      </c>
      <c r="J1401" s="34">
        <f t="shared" si="639"/>
        <v>764158</v>
      </c>
      <c r="K1401" s="133">
        <v>1000</v>
      </c>
      <c r="L1401" s="34"/>
      <c r="M1401" s="16">
        <f t="shared" ref="M1401" si="651">(F1401*J1401*((H1401+I1401)/2)/1000)^(1/2)/10*0.8</f>
        <v>98247.642849281649</v>
      </c>
      <c r="N1401" s="36">
        <v>700</v>
      </c>
      <c r="O1401" s="2" t="s">
        <v>228</v>
      </c>
      <c r="P1401" s="2" t="s">
        <v>748</v>
      </c>
      <c r="Q1401" s="2" t="s">
        <v>102</v>
      </c>
      <c r="R1401" s="2" t="s">
        <v>785</v>
      </c>
      <c r="S1401" s="2">
        <f t="shared" ref="S1401" si="652">P1401*0.3</f>
        <v>3600</v>
      </c>
    </row>
    <row r="1402" spans="1:20" ht="10.5" customHeight="1" x14ac:dyDescent="0.2">
      <c r="A1402" s="8" t="str">
        <f t="shared" si="636"/>
        <v>20000511</v>
      </c>
      <c r="B1402" s="8">
        <v>2000</v>
      </c>
      <c r="C1402" s="8">
        <v>5</v>
      </c>
      <c r="D1402" s="8" t="s">
        <v>259</v>
      </c>
      <c r="E1402" s="8">
        <v>1</v>
      </c>
      <c r="F1402" s="34">
        <f t="shared" si="637"/>
        <v>219300</v>
      </c>
      <c r="G1402" s="34">
        <f t="shared" si="637"/>
        <v>219300</v>
      </c>
      <c r="H1402" s="34">
        <f t="shared" si="638"/>
        <v>9000</v>
      </c>
      <c r="I1402" s="34">
        <f t="shared" si="638"/>
        <v>9000</v>
      </c>
      <c r="J1402" s="34">
        <f t="shared" si="639"/>
        <v>764158</v>
      </c>
      <c r="K1402" s="133">
        <v>1000</v>
      </c>
      <c r="L1402" s="34"/>
      <c r="M1402" s="16">
        <f t="shared" si="642"/>
        <v>98247.642849281649</v>
      </c>
      <c r="N1402" s="36">
        <v>700</v>
      </c>
      <c r="O1402" s="2" t="s">
        <v>228</v>
      </c>
      <c r="P1402" s="2" t="s">
        <v>748</v>
      </c>
      <c r="Q1402" s="2" t="s">
        <v>102</v>
      </c>
      <c r="R1402" s="2" t="s">
        <v>781</v>
      </c>
      <c r="S1402" s="2">
        <f t="shared" si="643"/>
        <v>3600</v>
      </c>
    </row>
    <row r="1403" spans="1:20" ht="10.5" customHeight="1" x14ac:dyDescent="0.2">
      <c r="A1403" s="8" t="str">
        <f t="shared" ref="A1403" si="653">IF(B1403="","",CONCATENATE(B1403,CONCATENATE(REPT(0,2-LEN(C1403)),C1403),IF(OR(D1403="Easy",D1403=""),1,IF(D1403="Normal",2,IF(D1403="Hard",3,IF(D1403="Hell",4,"error")))),E1403))</f>
        <v>20000512</v>
      </c>
      <c r="B1403" s="8">
        <v>2000</v>
      </c>
      <c r="C1403" s="8">
        <v>5</v>
      </c>
      <c r="D1403" s="8" t="s">
        <v>259</v>
      </c>
      <c r="E1403" s="8">
        <v>2</v>
      </c>
      <c r="F1403" s="34">
        <f t="shared" si="637"/>
        <v>1500</v>
      </c>
      <c r="G1403" s="34">
        <f t="shared" si="637"/>
        <v>1500</v>
      </c>
      <c r="H1403" s="34">
        <f t="shared" si="638"/>
        <v>200</v>
      </c>
      <c r="I1403" s="34">
        <f t="shared" si="638"/>
        <v>200</v>
      </c>
      <c r="J1403" s="34">
        <f t="shared" si="639"/>
        <v>12825</v>
      </c>
      <c r="K1403" s="133">
        <v>1000</v>
      </c>
      <c r="L1403" s="34"/>
      <c r="M1403" s="16">
        <f t="shared" ref="M1403" si="654">(F1403*J1403*((H1403+I1403)/2)/1000)^(1/2)/10*0.8</f>
        <v>156.92036196746426</v>
      </c>
      <c r="N1403" s="36">
        <v>450</v>
      </c>
      <c r="O1403" s="2" t="s">
        <v>228</v>
      </c>
      <c r="P1403" s="2" t="s">
        <v>122</v>
      </c>
      <c r="Q1403" s="2" t="s">
        <v>283</v>
      </c>
      <c r="R1403" s="2" t="s">
        <v>790</v>
      </c>
      <c r="S1403" s="2" t="s">
        <v>435</v>
      </c>
    </row>
    <row r="1404" spans="1:20" ht="38.25" x14ac:dyDescent="0.2">
      <c r="A1404" s="8" t="str">
        <f t="shared" si="618"/>
        <v/>
      </c>
      <c r="B1404" s="5"/>
      <c r="C1404" s="6" t="s">
        <v>203</v>
      </c>
      <c r="D1404" s="5"/>
      <c r="E1404" s="5"/>
      <c r="F1404" s="5"/>
      <c r="G1404" s="5"/>
      <c r="H1404" s="5"/>
      <c r="I1404" s="5"/>
      <c r="J1404" s="5"/>
      <c r="K1404" s="133">
        <v>1000</v>
      </c>
      <c r="L1404" s="5"/>
      <c r="M1404" s="16">
        <f t="shared" si="603"/>
        <v>0</v>
      </c>
      <c r="N1404" s="5"/>
      <c r="O1404" s="5"/>
      <c r="P1404" s="5"/>
      <c r="Q1404" s="5"/>
      <c r="R1404" s="5"/>
      <c r="S1404" s="30"/>
      <c r="T1404" s="266"/>
    </row>
    <row r="1405" spans="1:20" x14ac:dyDescent="0.2">
      <c r="A1405" s="8" t="str">
        <f t="shared" si="618"/>
        <v>21010110</v>
      </c>
      <c r="B1405" s="8">
        <v>2101</v>
      </c>
      <c r="C1405" s="8">
        <v>1</v>
      </c>
      <c r="D1405" s="8" t="s">
        <v>62</v>
      </c>
      <c r="E1405" s="8">
        <v>0</v>
      </c>
      <c r="F1405" s="34">
        <f>ROUNDDOWN($P1405/4*$O1405*10*$N1405/$N1405*$Q1405/400,0)</f>
        <v>13312</v>
      </c>
      <c r="G1405" s="34">
        <f>ROUNDDOWN($P1405/4*$O1405*10*$N1405/$N1405*$Q1405/400,0)</f>
        <v>13312</v>
      </c>
      <c r="H1405" s="34">
        <f t="shared" ref="H1405:I1468" si="655">ROUNDDOWN($S1405/4*10,0)</f>
        <v>6000</v>
      </c>
      <c r="I1405" s="34">
        <f t="shared" si="655"/>
        <v>6000</v>
      </c>
      <c r="J1405" s="34">
        <f>ROUNDDOWN($P1405/4*$O1405*10*$N1405/$Q1405*$N1405/400,0)</f>
        <v>9507</v>
      </c>
      <c r="K1405" s="133">
        <v>1000</v>
      </c>
      <c r="L1405" s="34"/>
      <c r="M1405" s="16">
        <f t="shared" si="603"/>
        <v>2204.4944693965554</v>
      </c>
      <c r="N1405" s="36">
        <v>600</v>
      </c>
      <c r="O1405" s="36">
        <v>0.5</v>
      </c>
      <c r="P1405" s="46" t="s">
        <v>204</v>
      </c>
      <c r="Q1405" s="2" t="s">
        <v>104</v>
      </c>
      <c r="S1405" s="61">
        <f>P1405*0.4</f>
        <v>2400</v>
      </c>
      <c r="T1405" s="272">
        <v>2400</v>
      </c>
    </row>
    <row r="1406" spans="1:20" x14ac:dyDescent="0.2">
      <c r="A1406" s="8" t="str">
        <f t="shared" si="618"/>
        <v>21010111</v>
      </c>
      <c r="B1406" s="8">
        <v>2101</v>
      </c>
      <c r="C1406" s="8">
        <v>1</v>
      </c>
      <c r="D1406" s="8" t="s">
        <v>62</v>
      </c>
      <c r="E1406" s="8">
        <v>1</v>
      </c>
      <c r="F1406" s="34">
        <f t="shared" ref="F1406:G1409" si="656">ROUNDDOWN($P1406/4*$O1406*10*$N1406/$N1406*$Q1406/400,0)</f>
        <v>26625</v>
      </c>
      <c r="G1406" s="34">
        <f t="shared" si="656"/>
        <v>26625</v>
      </c>
      <c r="H1406" s="34">
        <f t="shared" si="655"/>
        <v>6000</v>
      </c>
      <c r="I1406" s="34">
        <f t="shared" si="655"/>
        <v>6000</v>
      </c>
      <c r="J1406" s="34">
        <f t="shared" ref="J1406:J1409" si="657">ROUNDDOWN($P1406/4*$O1406*10*$N1406/$Q1406*$N1406/400,0)</f>
        <v>19014</v>
      </c>
      <c r="K1406" s="133">
        <v>1000</v>
      </c>
      <c r="L1406" s="34"/>
      <c r="M1406" s="16">
        <f t="shared" si="603"/>
        <v>4409.0717390398631</v>
      </c>
      <c r="N1406" s="36">
        <v>600</v>
      </c>
      <c r="O1406" s="36">
        <v>1</v>
      </c>
      <c r="P1406" s="2" t="s">
        <v>204</v>
      </c>
      <c r="Q1406" s="2" t="s">
        <v>104</v>
      </c>
      <c r="S1406" s="61">
        <f t="shared" ref="S1406:S1469" si="658">P1406*0.4</f>
        <v>2400</v>
      </c>
      <c r="T1406" s="272">
        <v>2400</v>
      </c>
    </row>
    <row r="1407" spans="1:20" x14ac:dyDescent="0.2">
      <c r="A1407" s="8" t="str">
        <f t="shared" si="618"/>
        <v>21010112</v>
      </c>
      <c r="B1407" s="8">
        <v>2101</v>
      </c>
      <c r="C1407" s="8">
        <v>1</v>
      </c>
      <c r="D1407" s="8" t="s">
        <v>62</v>
      </c>
      <c r="E1407" s="8">
        <v>2</v>
      </c>
      <c r="F1407" s="34">
        <f t="shared" si="656"/>
        <v>53250</v>
      </c>
      <c r="G1407" s="34">
        <f t="shared" si="656"/>
        <v>53250</v>
      </c>
      <c r="H1407" s="34">
        <f t="shared" si="655"/>
        <v>6000</v>
      </c>
      <c r="I1407" s="34">
        <f t="shared" si="655"/>
        <v>6000</v>
      </c>
      <c r="J1407" s="34">
        <f t="shared" si="657"/>
        <v>38028</v>
      </c>
      <c r="K1407" s="133">
        <v>1000</v>
      </c>
      <c r="L1407" s="34"/>
      <c r="M1407" s="16">
        <f t="shared" si="603"/>
        <v>8818.1434780797263</v>
      </c>
      <c r="N1407" s="36">
        <v>600</v>
      </c>
      <c r="O1407" s="36">
        <v>2</v>
      </c>
      <c r="P1407" s="2" t="s">
        <v>204</v>
      </c>
      <c r="Q1407" s="2" t="s">
        <v>104</v>
      </c>
      <c r="S1407" s="61">
        <f t="shared" si="658"/>
        <v>2400</v>
      </c>
      <c r="T1407" s="272">
        <v>2400</v>
      </c>
    </row>
    <row r="1408" spans="1:20" x14ac:dyDescent="0.2">
      <c r="A1408" s="8" t="str">
        <f t="shared" si="618"/>
        <v>21010113</v>
      </c>
      <c r="B1408" s="8">
        <v>2101</v>
      </c>
      <c r="C1408" s="8">
        <v>1</v>
      </c>
      <c r="D1408" s="8" t="s">
        <v>62</v>
      </c>
      <c r="E1408" s="8">
        <v>3</v>
      </c>
      <c r="F1408" s="34">
        <f t="shared" si="656"/>
        <v>79875</v>
      </c>
      <c r="G1408" s="34">
        <f t="shared" si="656"/>
        <v>79875</v>
      </c>
      <c r="H1408" s="34">
        <f t="shared" si="655"/>
        <v>6000</v>
      </c>
      <c r="I1408" s="34">
        <f t="shared" si="655"/>
        <v>6000</v>
      </c>
      <c r="J1408" s="34">
        <f t="shared" si="657"/>
        <v>57042</v>
      </c>
      <c r="K1408" s="133">
        <v>1000</v>
      </c>
      <c r="L1408" s="34"/>
      <c r="M1408" s="16">
        <f t="shared" si="603"/>
        <v>13227.21521711959</v>
      </c>
      <c r="N1408" s="36">
        <v>600</v>
      </c>
      <c r="O1408" s="36">
        <v>3</v>
      </c>
      <c r="P1408" s="2" t="s">
        <v>204</v>
      </c>
      <c r="Q1408" s="2" t="s">
        <v>104</v>
      </c>
      <c r="S1408" s="61">
        <f t="shared" si="658"/>
        <v>2400</v>
      </c>
      <c r="T1408" s="272">
        <v>2400</v>
      </c>
    </row>
    <row r="1409" spans="1:20" x14ac:dyDescent="0.2">
      <c r="A1409" s="8" t="str">
        <f t="shared" si="618"/>
        <v>21010114</v>
      </c>
      <c r="B1409" s="8">
        <v>2101</v>
      </c>
      <c r="C1409" s="8">
        <v>1</v>
      </c>
      <c r="D1409" s="8" t="s">
        <v>62</v>
      </c>
      <c r="E1409" s="8">
        <v>4</v>
      </c>
      <c r="F1409" s="34">
        <f t="shared" si="656"/>
        <v>106500</v>
      </c>
      <c r="G1409" s="34">
        <f t="shared" si="656"/>
        <v>106500</v>
      </c>
      <c r="H1409" s="34">
        <f t="shared" si="655"/>
        <v>6000</v>
      </c>
      <c r="I1409" s="34">
        <f t="shared" si="655"/>
        <v>6000</v>
      </c>
      <c r="J1409" s="34">
        <f t="shared" si="657"/>
        <v>76056</v>
      </c>
      <c r="K1409" s="133">
        <v>1000</v>
      </c>
      <c r="L1409" s="34"/>
      <c r="M1409" s="16">
        <f t="shared" si="603"/>
        <v>17636.286956159453</v>
      </c>
      <c r="N1409" s="36">
        <v>600</v>
      </c>
      <c r="O1409" s="36">
        <v>4</v>
      </c>
      <c r="P1409" s="2" t="s">
        <v>204</v>
      </c>
      <c r="Q1409" s="2" t="s">
        <v>104</v>
      </c>
      <c r="S1409" s="61">
        <f t="shared" si="658"/>
        <v>2400</v>
      </c>
      <c r="T1409" s="272">
        <v>2400</v>
      </c>
    </row>
    <row r="1410" spans="1:20" x14ac:dyDescent="0.2">
      <c r="A1410" s="8" t="str">
        <f t="shared" si="618"/>
        <v>21010210</v>
      </c>
      <c r="B1410" s="8">
        <v>2101</v>
      </c>
      <c r="C1410" s="8">
        <v>2</v>
      </c>
      <c r="D1410" s="8" t="s">
        <v>62</v>
      </c>
      <c r="E1410" s="8">
        <v>0</v>
      </c>
      <c r="F1410" s="34">
        <f>ROUNDDOWN($P1410/4*$O1410*10*$N1410/$N1410*$Q1410/400,0)</f>
        <v>15087</v>
      </c>
      <c r="G1410" s="34">
        <f>ROUNDDOWN($P1410/4*$O1410*10*$N1410/$N1410*$Q1410/400,0)</f>
        <v>15087</v>
      </c>
      <c r="H1410" s="34">
        <f t="shared" si="655"/>
        <v>6800</v>
      </c>
      <c r="I1410" s="34">
        <f t="shared" si="655"/>
        <v>6800</v>
      </c>
      <c r="J1410" s="34">
        <f>ROUNDDOWN($P1410/4*$O1410*10*$N1410/$Q1410*$N1410/400,0)</f>
        <v>10774</v>
      </c>
      <c r="K1410" s="133">
        <v>1000</v>
      </c>
      <c r="L1410" s="34"/>
      <c r="M1410" s="16">
        <f t="shared" si="603"/>
        <v>2659.7105387165725</v>
      </c>
      <c r="N1410" s="36">
        <v>600</v>
      </c>
      <c r="O1410" s="36">
        <v>0.5</v>
      </c>
      <c r="P1410" s="47">
        <v>6800</v>
      </c>
      <c r="Q1410" s="2" t="s">
        <v>104</v>
      </c>
      <c r="S1410" s="61">
        <f t="shared" si="658"/>
        <v>2720</v>
      </c>
      <c r="T1410" s="272">
        <v>2720</v>
      </c>
    </row>
    <row r="1411" spans="1:20" x14ac:dyDescent="0.2">
      <c r="A1411" s="8" t="str">
        <f t="shared" si="618"/>
        <v>21010211</v>
      </c>
      <c r="B1411" s="8">
        <v>2101</v>
      </c>
      <c r="C1411" s="8">
        <v>2</v>
      </c>
      <c r="D1411" s="8" t="s">
        <v>62</v>
      </c>
      <c r="E1411" s="8">
        <v>1</v>
      </c>
      <c r="F1411" s="34">
        <f t="shared" ref="F1411:G1414" si="659">ROUNDDOWN($P1411/4*$O1411*10*$N1411/$N1411*$Q1411/400,0)</f>
        <v>30175</v>
      </c>
      <c r="G1411" s="34">
        <f t="shared" si="659"/>
        <v>30175</v>
      </c>
      <c r="H1411" s="34">
        <f t="shared" si="655"/>
        <v>6800</v>
      </c>
      <c r="I1411" s="34">
        <f t="shared" si="655"/>
        <v>6800</v>
      </c>
      <c r="J1411" s="34">
        <f t="shared" ref="J1411:J1414" si="660">ROUNDDOWN($P1411/4*$O1411*10*$N1411/$Q1411*$N1411/400,0)</f>
        <v>21549</v>
      </c>
      <c r="K1411" s="133">
        <v>1000</v>
      </c>
      <c r="L1411" s="34"/>
      <c r="M1411" s="16">
        <f t="shared" si="603"/>
        <v>5319.6326549866208</v>
      </c>
      <c r="N1411" s="36">
        <v>600</v>
      </c>
      <c r="O1411" s="36">
        <v>1</v>
      </c>
      <c r="P1411" s="2" t="s">
        <v>205</v>
      </c>
      <c r="Q1411" s="2" t="s">
        <v>104</v>
      </c>
      <c r="S1411" s="61">
        <f t="shared" si="658"/>
        <v>2720</v>
      </c>
      <c r="T1411" s="272">
        <v>2720</v>
      </c>
    </row>
    <row r="1412" spans="1:20" x14ac:dyDescent="0.2">
      <c r="A1412" s="8" t="str">
        <f t="shared" si="618"/>
        <v>21010212</v>
      </c>
      <c r="B1412" s="8">
        <v>2101</v>
      </c>
      <c r="C1412" s="8">
        <v>2</v>
      </c>
      <c r="D1412" s="8" t="s">
        <v>62</v>
      </c>
      <c r="E1412" s="8">
        <v>2</v>
      </c>
      <c r="F1412" s="34">
        <f t="shared" si="659"/>
        <v>60350</v>
      </c>
      <c r="G1412" s="34">
        <f t="shared" si="659"/>
        <v>60350</v>
      </c>
      <c r="H1412" s="34">
        <f t="shared" si="655"/>
        <v>6800</v>
      </c>
      <c r="I1412" s="34">
        <f t="shared" si="655"/>
        <v>6800</v>
      </c>
      <c r="J1412" s="34">
        <f t="shared" si="660"/>
        <v>43098</v>
      </c>
      <c r="K1412" s="133">
        <v>1000</v>
      </c>
      <c r="L1412" s="34"/>
      <c r="M1412" s="16">
        <f t="shared" si="603"/>
        <v>10639.265309973242</v>
      </c>
      <c r="N1412" s="36">
        <v>600</v>
      </c>
      <c r="O1412" s="36">
        <v>2</v>
      </c>
      <c r="P1412" s="2" t="s">
        <v>205</v>
      </c>
      <c r="Q1412" s="2" t="s">
        <v>104</v>
      </c>
      <c r="S1412" s="61">
        <f t="shared" si="658"/>
        <v>2720</v>
      </c>
      <c r="T1412" s="272">
        <v>2720</v>
      </c>
    </row>
    <row r="1413" spans="1:20" x14ac:dyDescent="0.2">
      <c r="A1413" s="8" t="str">
        <f t="shared" si="618"/>
        <v>21010213</v>
      </c>
      <c r="B1413" s="8">
        <v>2101</v>
      </c>
      <c r="C1413" s="8">
        <v>2</v>
      </c>
      <c r="D1413" s="8" t="s">
        <v>62</v>
      </c>
      <c r="E1413" s="8">
        <v>3</v>
      </c>
      <c r="F1413" s="34">
        <f t="shared" si="659"/>
        <v>90525</v>
      </c>
      <c r="G1413" s="34">
        <f t="shared" si="659"/>
        <v>90525</v>
      </c>
      <c r="H1413" s="34">
        <f t="shared" si="655"/>
        <v>6800</v>
      </c>
      <c r="I1413" s="34">
        <f t="shared" si="655"/>
        <v>6800</v>
      </c>
      <c r="J1413" s="34">
        <f t="shared" si="660"/>
        <v>64647</v>
      </c>
      <c r="K1413" s="133">
        <v>1000</v>
      </c>
      <c r="L1413" s="34"/>
      <c r="M1413" s="16">
        <f t="shared" si="603"/>
        <v>15958.897964959862</v>
      </c>
      <c r="N1413" s="36">
        <v>600</v>
      </c>
      <c r="O1413" s="36">
        <v>3</v>
      </c>
      <c r="P1413" s="2" t="s">
        <v>205</v>
      </c>
      <c r="Q1413" s="2" t="s">
        <v>104</v>
      </c>
      <c r="S1413" s="61">
        <f t="shared" si="658"/>
        <v>2720</v>
      </c>
      <c r="T1413" s="272">
        <v>2720</v>
      </c>
    </row>
    <row r="1414" spans="1:20" x14ac:dyDescent="0.2">
      <c r="A1414" s="8" t="str">
        <f t="shared" si="618"/>
        <v>21010214</v>
      </c>
      <c r="B1414" s="8">
        <v>2101</v>
      </c>
      <c r="C1414" s="8">
        <v>2</v>
      </c>
      <c r="D1414" s="8" t="s">
        <v>62</v>
      </c>
      <c r="E1414" s="8">
        <v>4</v>
      </c>
      <c r="F1414" s="34">
        <f t="shared" si="659"/>
        <v>120700</v>
      </c>
      <c r="G1414" s="34">
        <f t="shared" si="659"/>
        <v>120700</v>
      </c>
      <c r="H1414" s="34">
        <f t="shared" si="655"/>
        <v>6800</v>
      </c>
      <c r="I1414" s="34">
        <f t="shared" si="655"/>
        <v>6800</v>
      </c>
      <c r="J1414" s="34">
        <f t="shared" si="660"/>
        <v>86197</v>
      </c>
      <c r="K1414" s="133">
        <v>1000</v>
      </c>
      <c r="L1414" s="34"/>
      <c r="M1414" s="16">
        <f t="shared" ref="M1414:M1477" si="661">(F1414*J1414*((H1414+I1414)/2)/1000)^(1/2)/10*0.8</f>
        <v>21278.65405066777</v>
      </c>
      <c r="N1414" s="36">
        <v>600</v>
      </c>
      <c r="O1414" s="36">
        <v>4</v>
      </c>
      <c r="P1414" s="2" t="s">
        <v>205</v>
      </c>
      <c r="Q1414" s="2" t="s">
        <v>104</v>
      </c>
      <c r="S1414" s="61">
        <f t="shared" si="658"/>
        <v>2720</v>
      </c>
      <c r="T1414" s="272">
        <v>2720</v>
      </c>
    </row>
    <row r="1415" spans="1:20" x14ac:dyDescent="0.2">
      <c r="A1415" s="8" t="str">
        <f t="shared" si="618"/>
        <v>21010310</v>
      </c>
      <c r="B1415" s="8">
        <v>2101</v>
      </c>
      <c r="C1415" s="8">
        <v>3</v>
      </c>
      <c r="D1415" s="8" t="s">
        <v>62</v>
      </c>
      <c r="E1415" s="8">
        <v>0</v>
      </c>
      <c r="F1415" s="34">
        <f>ROUNDDOWN($P1415/4*$O1415*10*$N1415/$N1415*$Q1415/400,0)</f>
        <v>16862</v>
      </c>
      <c r="G1415" s="34">
        <f>ROUNDDOWN($P1415/4*$O1415*10*$N1415/$N1415*$Q1415/400,0)</f>
        <v>16862</v>
      </c>
      <c r="H1415" s="34">
        <f t="shared" si="655"/>
        <v>7600</v>
      </c>
      <c r="I1415" s="34">
        <f t="shared" si="655"/>
        <v>7600</v>
      </c>
      <c r="J1415" s="34">
        <f>ROUNDDOWN($P1415/4*$O1415*10*$N1415/$Q1415*$N1415/400,0)</f>
        <v>12042</v>
      </c>
      <c r="K1415" s="133">
        <v>1000</v>
      </c>
      <c r="L1415" s="34"/>
      <c r="M1415" s="16">
        <f t="shared" si="661"/>
        <v>3142.6834397629045</v>
      </c>
      <c r="N1415" s="36">
        <v>600</v>
      </c>
      <c r="O1415" s="36">
        <v>0.5</v>
      </c>
      <c r="P1415" s="36">
        <v>7600</v>
      </c>
      <c r="Q1415" s="2" t="s">
        <v>104</v>
      </c>
      <c r="S1415" s="61">
        <f t="shared" si="658"/>
        <v>3040</v>
      </c>
      <c r="T1415" s="272">
        <v>3040</v>
      </c>
    </row>
    <row r="1416" spans="1:20" x14ac:dyDescent="0.2">
      <c r="A1416" s="8" t="str">
        <f t="shared" si="618"/>
        <v>21010311</v>
      </c>
      <c r="B1416" s="8">
        <v>2101</v>
      </c>
      <c r="C1416" s="8">
        <v>3</v>
      </c>
      <c r="D1416" s="8" t="s">
        <v>62</v>
      </c>
      <c r="E1416" s="8">
        <v>1</v>
      </c>
      <c r="F1416" s="34">
        <f t="shared" ref="F1416:G1419" si="662">ROUNDDOWN($P1416/4*$O1416*10*$N1416/$N1416*$Q1416/400,0)</f>
        <v>33725</v>
      </c>
      <c r="G1416" s="34">
        <f t="shared" si="662"/>
        <v>33725</v>
      </c>
      <c r="H1416" s="34">
        <f t="shared" si="655"/>
        <v>7600</v>
      </c>
      <c r="I1416" s="34">
        <f t="shared" si="655"/>
        <v>7600</v>
      </c>
      <c r="J1416" s="34">
        <f t="shared" ref="J1416:J1419" si="663">ROUNDDOWN($P1416/4*$O1416*10*$N1416/$Q1416*$N1416/400,0)</f>
        <v>24084</v>
      </c>
      <c r="K1416" s="133">
        <v>1000</v>
      </c>
      <c r="L1416" s="34"/>
      <c r="M1416" s="16">
        <f t="shared" si="661"/>
        <v>6285.4600671708995</v>
      </c>
      <c r="N1416" s="36">
        <v>600</v>
      </c>
      <c r="O1416" s="36">
        <v>1</v>
      </c>
      <c r="P1416" s="46" t="s">
        <v>206</v>
      </c>
      <c r="Q1416" s="2" t="s">
        <v>104</v>
      </c>
      <c r="S1416" s="61">
        <f t="shared" si="658"/>
        <v>3040</v>
      </c>
      <c r="T1416" s="272">
        <v>3040</v>
      </c>
    </row>
    <row r="1417" spans="1:20" x14ac:dyDescent="0.2">
      <c r="A1417" s="8" t="str">
        <f t="shared" si="618"/>
        <v>21010312</v>
      </c>
      <c r="B1417" s="8">
        <v>2101</v>
      </c>
      <c r="C1417" s="8">
        <v>3</v>
      </c>
      <c r="D1417" s="8" t="s">
        <v>62</v>
      </c>
      <c r="E1417" s="8">
        <v>2</v>
      </c>
      <c r="F1417" s="34">
        <f t="shared" si="662"/>
        <v>67450</v>
      </c>
      <c r="G1417" s="34">
        <f t="shared" si="662"/>
        <v>67450</v>
      </c>
      <c r="H1417" s="34">
        <f t="shared" si="655"/>
        <v>7600</v>
      </c>
      <c r="I1417" s="34">
        <f t="shared" si="655"/>
        <v>7600</v>
      </c>
      <c r="J1417" s="34">
        <f t="shared" si="663"/>
        <v>48169</v>
      </c>
      <c r="K1417" s="133">
        <v>1000</v>
      </c>
      <c r="L1417" s="34"/>
      <c r="M1417" s="16">
        <f t="shared" si="661"/>
        <v>12571.05062403298</v>
      </c>
      <c r="N1417" s="36">
        <v>600</v>
      </c>
      <c r="O1417" s="36">
        <v>2</v>
      </c>
      <c r="P1417" s="2" t="s">
        <v>206</v>
      </c>
      <c r="Q1417" s="2" t="s">
        <v>104</v>
      </c>
      <c r="S1417" s="61">
        <f t="shared" si="658"/>
        <v>3040</v>
      </c>
      <c r="T1417" s="272">
        <v>3040</v>
      </c>
    </row>
    <row r="1418" spans="1:20" x14ac:dyDescent="0.2">
      <c r="A1418" s="8" t="str">
        <f t="shared" si="618"/>
        <v>21010313</v>
      </c>
      <c r="B1418" s="8">
        <v>2101</v>
      </c>
      <c r="C1418" s="8">
        <v>3</v>
      </c>
      <c r="D1418" s="8" t="s">
        <v>62</v>
      </c>
      <c r="E1418" s="8">
        <v>3</v>
      </c>
      <c r="F1418" s="34">
        <f t="shared" si="662"/>
        <v>101175</v>
      </c>
      <c r="G1418" s="34">
        <f t="shared" si="662"/>
        <v>101175</v>
      </c>
      <c r="H1418" s="34">
        <f t="shared" si="655"/>
        <v>7600</v>
      </c>
      <c r="I1418" s="34">
        <f t="shared" si="655"/>
        <v>7600</v>
      </c>
      <c r="J1418" s="34">
        <f t="shared" si="663"/>
        <v>72253</v>
      </c>
      <c r="K1418" s="133">
        <v>1000</v>
      </c>
      <c r="L1418" s="34"/>
      <c r="M1418" s="16">
        <f t="shared" si="661"/>
        <v>18856.51069142963</v>
      </c>
      <c r="N1418" s="36">
        <v>600</v>
      </c>
      <c r="O1418" s="36">
        <v>3</v>
      </c>
      <c r="P1418" s="2" t="s">
        <v>206</v>
      </c>
      <c r="Q1418" s="2" t="s">
        <v>104</v>
      </c>
      <c r="S1418" s="61">
        <f t="shared" si="658"/>
        <v>3040</v>
      </c>
      <c r="T1418" s="272">
        <v>3040</v>
      </c>
    </row>
    <row r="1419" spans="1:20" x14ac:dyDescent="0.2">
      <c r="A1419" s="8" t="str">
        <f t="shared" si="618"/>
        <v>21010314</v>
      </c>
      <c r="B1419" s="8">
        <v>2101</v>
      </c>
      <c r="C1419" s="8">
        <v>3</v>
      </c>
      <c r="D1419" s="8" t="s">
        <v>62</v>
      </c>
      <c r="E1419" s="8">
        <v>4</v>
      </c>
      <c r="F1419" s="34">
        <f t="shared" si="662"/>
        <v>134900</v>
      </c>
      <c r="G1419" s="34">
        <f t="shared" si="662"/>
        <v>134900</v>
      </c>
      <c r="H1419" s="34">
        <f t="shared" si="655"/>
        <v>7600</v>
      </c>
      <c r="I1419" s="34">
        <f t="shared" si="655"/>
        <v>7600</v>
      </c>
      <c r="J1419" s="34">
        <f t="shared" si="663"/>
        <v>96338</v>
      </c>
      <c r="K1419" s="133">
        <v>1000</v>
      </c>
      <c r="L1419" s="34"/>
      <c r="M1419" s="16">
        <f t="shared" si="661"/>
        <v>25142.101248065959</v>
      </c>
      <c r="N1419" s="36">
        <v>600</v>
      </c>
      <c r="O1419" s="36">
        <v>4</v>
      </c>
      <c r="P1419" s="2" t="s">
        <v>206</v>
      </c>
      <c r="Q1419" s="2" t="s">
        <v>104</v>
      </c>
      <c r="S1419" s="61">
        <f t="shared" si="658"/>
        <v>3040</v>
      </c>
      <c r="T1419" s="272">
        <v>3040</v>
      </c>
    </row>
    <row r="1420" spans="1:20" x14ac:dyDescent="0.2">
      <c r="A1420" s="8" t="str">
        <f t="shared" si="618"/>
        <v>21010410</v>
      </c>
      <c r="B1420" s="8">
        <v>2101</v>
      </c>
      <c r="C1420" s="8">
        <v>4</v>
      </c>
      <c r="D1420" s="8" t="s">
        <v>62</v>
      </c>
      <c r="E1420" s="8">
        <v>0</v>
      </c>
      <c r="F1420" s="34">
        <f>ROUNDDOWN($P1420/4*$O1420*10*$N1420/$N1420*$Q1420/400,0)</f>
        <v>18637</v>
      </c>
      <c r="G1420" s="34">
        <f>ROUNDDOWN($P1420/4*$O1420*10*$N1420/$N1420*$Q1420/400,0)</f>
        <v>18637</v>
      </c>
      <c r="H1420" s="34">
        <f t="shared" si="655"/>
        <v>8400</v>
      </c>
      <c r="I1420" s="34">
        <f t="shared" si="655"/>
        <v>8400</v>
      </c>
      <c r="J1420" s="34">
        <f>ROUNDDOWN($P1420/4*$O1420*10*$N1420/$Q1420*$N1420/400,0)</f>
        <v>13309</v>
      </c>
      <c r="K1420" s="133">
        <v>1000</v>
      </c>
      <c r="L1420" s="34"/>
      <c r="M1420" s="16">
        <f t="shared" si="661"/>
        <v>3651.6600912571262</v>
      </c>
      <c r="N1420" s="36">
        <v>600</v>
      </c>
      <c r="O1420" s="36">
        <v>0.5</v>
      </c>
      <c r="P1420" s="47">
        <v>8400</v>
      </c>
      <c r="Q1420" s="2" t="s">
        <v>104</v>
      </c>
      <c r="S1420" s="61">
        <f t="shared" si="658"/>
        <v>3360</v>
      </c>
      <c r="T1420" s="272">
        <v>3360</v>
      </c>
    </row>
    <row r="1421" spans="1:20" x14ac:dyDescent="0.2">
      <c r="A1421" s="8" t="str">
        <f t="shared" si="618"/>
        <v>21010411</v>
      </c>
      <c r="B1421" s="8">
        <v>2101</v>
      </c>
      <c r="C1421" s="8">
        <v>4</v>
      </c>
      <c r="D1421" s="8" t="s">
        <v>62</v>
      </c>
      <c r="E1421" s="8">
        <v>1</v>
      </c>
      <c r="F1421" s="34">
        <f t="shared" ref="F1421:G1424" si="664">ROUNDDOWN($P1421/4*$O1421*10*$N1421/$N1421*$Q1421/400,0)</f>
        <v>37275</v>
      </c>
      <c r="G1421" s="34">
        <f t="shared" si="664"/>
        <v>37275</v>
      </c>
      <c r="H1421" s="34">
        <f t="shared" si="655"/>
        <v>8400</v>
      </c>
      <c r="I1421" s="34">
        <f t="shared" si="655"/>
        <v>8400</v>
      </c>
      <c r="J1421" s="34">
        <f t="shared" ref="J1421:J1424" si="665">ROUNDDOWN($P1421/4*$O1421*10*$N1421/$Q1421*$N1421/400,0)</f>
        <v>26619</v>
      </c>
      <c r="K1421" s="133">
        <v>1000</v>
      </c>
      <c r="L1421" s="34"/>
      <c r="M1421" s="16">
        <f t="shared" si="661"/>
        <v>7303.5553380528327</v>
      </c>
      <c r="N1421" s="36">
        <v>600</v>
      </c>
      <c r="O1421" s="36">
        <v>1</v>
      </c>
      <c r="P1421" s="2" t="s">
        <v>207</v>
      </c>
      <c r="Q1421" s="2" t="s">
        <v>104</v>
      </c>
      <c r="S1421" s="61">
        <f t="shared" si="658"/>
        <v>3360</v>
      </c>
      <c r="T1421" s="272">
        <v>3360</v>
      </c>
    </row>
    <row r="1422" spans="1:20" x14ac:dyDescent="0.2">
      <c r="A1422" s="8" t="str">
        <f t="shared" si="618"/>
        <v>21010412</v>
      </c>
      <c r="B1422" s="8">
        <v>2101</v>
      </c>
      <c r="C1422" s="8">
        <v>4</v>
      </c>
      <c r="D1422" s="8" t="s">
        <v>62</v>
      </c>
      <c r="E1422" s="8">
        <v>2</v>
      </c>
      <c r="F1422" s="34">
        <f t="shared" si="664"/>
        <v>74550</v>
      </c>
      <c r="G1422" s="34">
        <f t="shared" si="664"/>
        <v>74550</v>
      </c>
      <c r="H1422" s="34">
        <f t="shared" si="655"/>
        <v>8400</v>
      </c>
      <c r="I1422" s="34">
        <f t="shared" si="655"/>
        <v>8400</v>
      </c>
      <c r="J1422" s="34">
        <f t="shared" si="665"/>
        <v>53239</v>
      </c>
      <c r="K1422" s="133">
        <v>1000</v>
      </c>
      <c r="L1422" s="34"/>
      <c r="M1422" s="16">
        <f t="shared" si="661"/>
        <v>14607.247862345597</v>
      </c>
      <c r="N1422" s="36">
        <v>600</v>
      </c>
      <c r="O1422" s="36">
        <v>2</v>
      </c>
      <c r="P1422" s="2" t="s">
        <v>207</v>
      </c>
      <c r="Q1422" s="2" t="s">
        <v>104</v>
      </c>
      <c r="S1422" s="61">
        <f t="shared" si="658"/>
        <v>3360</v>
      </c>
      <c r="T1422" s="272">
        <v>3360</v>
      </c>
    </row>
    <row r="1423" spans="1:20" x14ac:dyDescent="0.2">
      <c r="A1423" s="8" t="str">
        <f t="shared" si="618"/>
        <v>21010413</v>
      </c>
      <c r="B1423" s="8">
        <v>2101</v>
      </c>
      <c r="C1423" s="8">
        <v>4</v>
      </c>
      <c r="D1423" s="8" t="s">
        <v>62</v>
      </c>
      <c r="E1423" s="8">
        <v>3</v>
      </c>
      <c r="F1423" s="34">
        <f t="shared" si="664"/>
        <v>111825</v>
      </c>
      <c r="G1423" s="34">
        <f t="shared" si="664"/>
        <v>111825</v>
      </c>
      <c r="H1423" s="34">
        <f t="shared" si="655"/>
        <v>8400</v>
      </c>
      <c r="I1423" s="34">
        <f t="shared" si="655"/>
        <v>8400</v>
      </c>
      <c r="J1423" s="34">
        <f t="shared" si="665"/>
        <v>79859</v>
      </c>
      <c r="K1423" s="133">
        <v>1000</v>
      </c>
      <c r="L1423" s="34"/>
      <c r="M1423" s="16">
        <f t="shared" si="661"/>
        <v>21910.940386208898</v>
      </c>
      <c r="N1423" s="36">
        <v>600</v>
      </c>
      <c r="O1423" s="36">
        <v>3</v>
      </c>
      <c r="P1423" s="2" t="s">
        <v>207</v>
      </c>
      <c r="Q1423" s="2" t="s">
        <v>104</v>
      </c>
      <c r="S1423" s="61">
        <f t="shared" si="658"/>
        <v>3360</v>
      </c>
      <c r="T1423" s="272">
        <v>3360</v>
      </c>
    </row>
    <row r="1424" spans="1:20" x14ac:dyDescent="0.2">
      <c r="A1424" s="8" t="str">
        <f t="shared" si="618"/>
        <v>21010414</v>
      </c>
      <c r="B1424" s="8">
        <v>2101</v>
      </c>
      <c r="C1424" s="8">
        <v>4</v>
      </c>
      <c r="D1424" s="8" t="s">
        <v>62</v>
      </c>
      <c r="E1424" s="8">
        <v>4</v>
      </c>
      <c r="F1424" s="34">
        <f t="shared" si="664"/>
        <v>149100</v>
      </c>
      <c r="G1424" s="34">
        <f t="shared" si="664"/>
        <v>149100</v>
      </c>
      <c r="H1424" s="34">
        <f t="shared" si="655"/>
        <v>8400</v>
      </c>
      <c r="I1424" s="34">
        <f t="shared" si="655"/>
        <v>8400</v>
      </c>
      <c r="J1424" s="34">
        <f t="shared" si="665"/>
        <v>106478</v>
      </c>
      <c r="K1424" s="133">
        <v>1000</v>
      </c>
      <c r="L1424" s="34"/>
      <c r="M1424" s="16">
        <f t="shared" si="661"/>
        <v>29214.495724691194</v>
      </c>
      <c r="N1424" s="36">
        <v>600</v>
      </c>
      <c r="O1424" s="36">
        <v>4</v>
      </c>
      <c r="P1424" s="2" t="s">
        <v>207</v>
      </c>
      <c r="Q1424" s="2" t="s">
        <v>104</v>
      </c>
      <c r="S1424" s="61">
        <f t="shared" si="658"/>
        <v>3360</v>
      </c>
      <c r="T1424" s="272">
        <v>3360</v>
      </c>
    </row>
    <row r="1425" spans="1:20" x14ac:dyDescent="0.2">
      <c r="A1425" s="8" t="str">
        <f t="shared" si="618"/>
        <v>21010510</v>
      </c>
      <c r="B1425" s="8">
        <v>2101</v>
      </c>
      <c r="C1425" s="8">
        <v>5</v>
      </c>
      <c r="D1425" s="8" t="s">
        <v>62</v>
      </c>
      <c r="E1425" s="8">
        <v>0</v>
      </c>
      <c r="F1425" s="34">
        <f>ROUNDDOWN($P1425/4*$O1425*10*$N1425/$N1425*$Q1425/400,0)</f>
        <v>20412</v>
      </c>
      <c r="G1425" s="34">
        <f>ROUNDDOWN($P1425/4*$O1425*10*$N1425/$N1425*$Q1425/400,0)</f>
        <v>20412</v>
      </c>
      <c r="H1425" s="34">
        <f t="shared" si="655"/>
        <v>9200</v>
      </c>
      <c r="I1425" s="34">
        <f t="shared" si="655"/>
        <v>9200</v>
      </c>
      <c r="J1425" s="34">
        <f>ROUNDDOWN($P1425/4*$O1425*10*$N1425/$Q1425*$N1425/400,0)</f>
        <v>14577</v>
      </c>
      <c r="K1425" s="133">
        <v>1000</v>
      </c>
      <c r="L1425" s="34"/>
      <c r="M1425" s="16">
        <f t="shared" si="661"/>
        <v>4185.6292512739356</v>
      </c>
      <c r="N1425" s="36">
        <v>600</v>
      </c>
      <c r="O1425" s="36">
        <v>0.5</v>
      </c>
      <c r="P1425" s="47">
        <v>9200</v>
      </c>
      <c r="Q1425" s="2" t="s">
        <v>104</v>
      </c>
      <c r="S1425" s="61">
        <f t="shared" si="658"/>
        <v>3680</v>
      </c>
      <c r="T1425" s="272">
        <v>3680</v>
      </c>
    </row>
    <row r="1426" spans="1:20" x14ac:dyDescent="0.2">
      <c r="A1426" s="8" t="str">
        <f t="shared" si="618"/>
        <v>21010511</v>
      </c>
      <c r="B1426" s="8">
        <v>2101</v>
      </c>
      <c r="C1426" s="8">
        <v>5</v>
      </c>
      <c r="D1426" s="8" t="s">
        <v>62</v>
      </c>
      <c r="E1426" s="8">
        <v>1</v>
      </c>
      <c r="F1426" s="34">
        <f t="shared" ref="F1426:G1429" si="666">ROUNDDOWN($P1426/4*$O1426*10*$N1426/$N1426*$Q1426/400,0)</f>
        <v>40825</v>
      </c>
      <c r="G1426" s="34">
        <f t="shared" si="666"/>
        <v>40825</v>
      </c>
      <c r="H1426" s="34">
        <f t="shared" si="655"/>
        <v>9200</v>
      </c>
      <c r="I1426" s="34">
        <f t="shared" si="655"/>
        <v>9200</v>
      </c>
      <c r="J1426" s="34">
        <f t="shared" ref="J1426:J1429" si="667">ROUNDDOWN($P1426/4*$O1426*10*$N1426/$Q1426*$N1426/400,0)</f>
        <v>29154</v>
      </c>
      <c r="K1426" s="133">
        <v>1000</v>
      </c>
      <c r="L1426" s="34"/>
      <c r="M1426" s="16">
        <f t="shared" si="661"/>
        <v>8371.3610305612801</v>
      </c>
      <c r="N1426" s="36">
        <v>600</v>
      </c>
      <c r="O1426" s="36">
        <v>1</v>
      </c>
      <c r="P1426" s="2" t="s">
        <v>208</v>
      </c>
      <c r="Q1426" s="2" t="s">
        <v>104</v>
      </c>
      <c r="S1426" s="61">
        <f t="shared" si="658"/>
        <v>3680</v>
      </c>
      <c r="T1426" s="272">
        <v>3680</v>
      </c>
    </row>
    <row r="1427" spans="1:20" x14ac:dyDescent="0.2">
      <c r="A1427" s="8" t="str">
        <f t="shared" si="618"/>
        <v>21010512</v>
      </c>
      <c r="B1427" s="8">
        <v>2101</v>
      </c>
      <c r="C1427" s="8">
        <v>5</v>
      </c>
      <c r="D1427" s="8" t="s">
        <v>62</v>
      </c>
      <c r="E1427" s="8">
        <v>2</v>
      </c>
      <c r="F1427" s="34">
        <f t="shared" si="666"/>
        <v>81650</v>
      </c>
      <c r="G1427" s="34">
        <f t="shared" si="666"/>
        <v>81650</v>
      </c>
      <c r="H1427" s="34">
        <f t="shared" si="655"/>
        <v>9200</v>
      </c>
      <c r="I1427" s="34">
        <f t="shared" si="655"/>
        <v>9200</v>
      </c>
      <c r="J1427" s="34">
        <f t="shared" si="667"/>
        <v>58309</v>
      </c>
      <c r="K1427" s="133">
        <v>1000</v>
      </c>
      <c r="L1427" s="34"/>
      <c r="M1427" s="16">
        <f t="shared" si="661"/>
        <v>16742.865631904235</v>
      </c>
      <c r="N1427" s="36">
        <v>600</v>
      </c>
      <c r="O1427" s="36">
        <v>2</v>
      </c>
      <c r="P1427" s="2" t="s">
        <v>208</v>
      </c>
      <c r="Q1427" s="2" t="s">
        <v>104</v>
      </c>
      <c r="S1427" s="61">
        <f t="shared" si="658"/>
        <v>3680</v>
      </c>
      <c r="T1427" s="272">
        <v>3680</v>
      </c>
    </row>
    <row r="1428" spans="1:20" x14ac:dyDescent="0.2">
      <c r="A1428" s="8" t="str">
        <f t="shared" si="618"/>
        <v>21010513</v>
      </c>
      <c r="B1428" s="8">
        <v>2101</v>
      </c>
      <c r="C1428" s="8">
        <v>5</v>
      </c>
      <c r="D1428" s="8" t="s">
        <v>62</v>
      </c>
      <c r="E1428" s="8">
        <v>3</v>
      </c>
      <c r="F1428" s="34">
        <f t="shared" si="666"/>
        <v>122475</v>
      </c>
      <c r="G1428" s="34">
        <f t="shared" si="666"/>
        <v>122475</v>
      </c>
      <c r="H1428" s="34">
        <f t="shared" si="655"/>
        <v>9200</v>
      </c>
      <c r="I1428" s="34">
        <f t="shared" si="655"/>
        <v>9200</v>
      </c>
      <c r="J1428" s="34">
        <f t="shared" si="667"/>
        <v>87464</v>
      </c>
      <c r="K1428" s="133">
        <v>1000</v>
      </c>
      <c r="L1428" s="34"/>
      <c r="M1428" s="16">
        <f t="shared" si="661"/>
        <v>25114.37023283682</v>
      </c>
      <c r="N1428" s="36">
        <v>600</v>
      </c>
      <c r="O1428" s="36">
        <v>3</v>
      </c>
      <c r="P1428" s="2" t="s">
        <v>208</v>
      </c>
      <c r="Q1428" s="2" t="s">
        <v>104</v>
      </c>
      <c r="S1428" s="61">
        <f t="shared" si="658"/>
        <v>3680</v>
      </c>
      <c r="T1428" s="272">
        <v>3680</v>
      </c>
    </row>
    <row r="1429" spans="1:20" x14ac:dyDescent="0.2">
      <c r="A1429" s="8" t="str">
        <f t="shared" si="618"/>
        <v>21010514</v>
      </c>
      <c r="B1429" s="8">
        <v>2101</v>
      </c>
      <c r="C1429" s="8">
        <v>5</v>
      </c>
      <c r="D1429" s="8" t="s">
        <v>62</v>
      </c>
      <c r="E1429" s="8">
        <v>4</v>
      </c>
      <c r="F1429" s="34">
        <f t="shared" si="666"/>
        <v>163300</v>
      </c>
      <c r="G1429" s="34">
        <f t="shared" si="666"/>
        <v>163300</v>
      </c>
      <c r="H1429" s="34">
        <f t="shared" si="655"/>
        <v>9200</v>
      </c>
      <c r="I1429" s="34">
        <f t="shared" si="655"/>
        <v>9200</v>
      </c>
      <c r="J1429" s="34">
        <f t="shared" si="667"/>
        <v>116619</v>
      </c>
      <c r="K1429" s="133">
        <v>1000</v>
      </c>
      <c r="L1429" s="34"/>
      <c r="M1429" s="16">
        <f t="shared" si="661"/>
        <v>33485.874833666807</v>
      </c>
      <c r="N1429" s="36">
        <v>600</v>
      </c>
      <c r="O1429" s="36">
        <v>4</v>
      </c>
      <c r="P1429" s="2" t="s">
        <v>208</v>
      </c>
      <c r="Q1429" s="2" t="s">
        <v>104</v>
      </c>
      <c r="S1429" s="61">
        <f t="shared" si="658"/>
        <v>3680</v>
      </c>
      <c r="T1429" s="272">
        <v>3680</v>
      </c>
    </row>
    <row r="1430" spans="1:20" x14ac:dyDescent="0.2">
      <c r="A1430" s="8" t="str">
        <f t="shared" si="618"/>
        <v>21010610</v>
      </c>
      <c r="B1430" s="8">
        <v>2101</v>
      </c>
      <c r="C1430" s="8">
        <v>6</v>
      </c>
      <c r="D1430" s="8" t="s">
        <v>62</v>
      </c>
      <c r="E1430" s="8">
        <v>0</v>
      </c>
      <c r="F1430" s="34">
        <f>ROUNDDOWN($P1430/4*$O1430*10*$N1430/$N1430*$Q1430/400,0)</f>
        <v>22187</v>
      </c>
      <c r="G1430" s="34">
        <f>ROUNDDOWN($P1430/4*$O1430*10*$N1430/$N1430*$Q1430/400,0)</f>
        <v>22187</v>
      </c>
      <c r="H1430" s="34">
        <f t="shared" si="655"/>
        <v>10000</v>
      </c>
      <c r="I1430" s="34">
        <f t="shared" si="655"/>
        <v>10000</v>
      </c>
      <c r="J1430" s="34">
        <f>ROUNDDOWN($P1430/4*$O1430*10*$N1430/$Q1430*$N1430/400,0)</f>
        <v>15845</v>
      </c>
      <c r="K1430" s="133">
        <v>1000</v>
      </c>
      <c r="L1430" s="34"/>
      <c r="M1430" s="16">
        <f t="shared" si="661"/>
        <v>4743.3525021866126</v>
      </c>
      <c r="N1430" s="36">
        <v>600</v>
      </c>
      <c r="O1430" s="36">
        <v>0.5</v>
      </c>
      <c r="P1430" s="47">
        <v>10000</v>
      </c>
      <c r="Q1430" s="2" t="s">
        <v>104</v>
      </c>
      <c r="S1430" s="61">
        <f t="shared" si="658"/>
        <v>4000</v>
      </c>
      <c r="T1430" s="272">
        <v>4000</v>
      </c>
    </row>
    <row r="1431" spans="1:20" x14ac:dyDescent="0.2">
      <c r="A1431" s="8" t="str">
        <f t="shared" si="618"/>
        <v>21010611</v>
      </c>
      <c r="B1431" s="8">
        <v>2101</v>
      </c>
      <c r="C1431" s="8">
        <v>6</v>
      </c>
      <c r="D1431" s="8" t="s">
        <v>62</v>
      </c>
      <c r="E1431" s="8">
        <v>1</v>
      </c>
      <c r="F1431" s="34">
        <f t="shared" ref="F1431:G1434" si="668">ROUNDDOWN($P1431/4*$O1431*10*$N1431/$N1431*$Q1431/400,0)</f>
        <v>44375</v>
      </c>
      <c r="G1431" s="34">
        <f t="shared" si="668"/>
        <v>44375</v>
      </c>
      <c r="H1431" s="34">
        <f t="shared" si="655"/>
        <v>10000</v>
      </c>
      <c r="I1431" s="34">
        <f t="shared" si="655"/>
        <v>10000</v>
      </c>
      <c r="J1431" s="34">
        <f t="shared" ref="J1431:J1434" si="669">ROUNDDOWN($P1431/4*$O1431*10*$N1431/$Q1431*$N1431/400,0)</f>
        <v>31690</v>
      </c>
      <c r="K1431" s="133">
        <v>1000</v>
      </c>
      <c r="L1431" s="34"/>
      <c r="M1431" s="16">
        <f t="shared" si="661"/>
        <v>9486.8118986306454</v>
      </c>
      <c r="N1431" s="36">
        <v>600</v>
      </c>
      <c r="O1431" s="36">
        <v>1</v>
      </c>
      <c r="P1431" s="2" t="s">
        <v>209</v>
      </c>
      <c r="Q1431" s="2" t="s">
        <v>104</v>
      </c>
      <c r="S1431" s="61">
        <f t="shared" si="658"/>
        <v>4000</v>
      </c>
      <c r="T1431" s="272">
        <v>4000</v>
      </c>
    </row>
    <row r="1432" spans="1:20" x14ac:dyDescent="0.2">
      <c r="A1432" s="8" t="str">
        <f t="shared" si="618"/>
        <v>21010612</v>
      </c>
      <c r="B1432" s="8">
        <v>2101</v>
      </c>
      <c r="C1432" s="8">
        <v>6</v>
      </c>
      <c r="D1432" s="8" t="s">
        <v>62</v>
      </c>
      <c r="E1432" s="8">
        <v>2</v>
      </c>
      <c r="F1432" s="34">
        <f t="shared" si="668"/>
        <v>88750</v>
      </c>
      <c r="G1432" s="34">
        <f t="shared" si="668"/>
        <v>88750</v>
      </c>
      <c r="H1432" s="34">
        <f t="shared" si="655"/>
        <v>10000</v>
      </c>
      <c r="I1432" s="34">
        <f t="shared" si="655"/>
        <v>10000</v>
      </c>
      <c r="J1432" s="34">
        <f t="shared" si="669"/>
        <v>63380</v>
      </c>
      <c r="K1432" s="133">
        <v>1000</v>
      </c>
      <c r="L1432" s="34"/>
      <c r="M1432" s="16">
        <f t="shared" si="661"/>
        <v>18973.623797261291</v>
      </c>
      <c r="N1432" s="36">
        <v>600</v>
      </c>
      <c r="O1432" s="36">
        <v>2</v>
      </c>
      <c r="P1432" s="2" t="s">
        <v>209</v>
      </c>
      <c r="Q1432" s="2" t="s">
        <v>104</v>
      </c>
      <c r="S1432" s="61">
        <f t="shared" si="658"/>
        <v>4000</v>
      </c>
      <c r="T1432" s="272">
        <v>4000</v>
      </c>
    </row>
    <row r="1433" spans="1:20" x14ac:dyDescent="0.2">
      <c r="A1433" s="8" t="str">
        <f t="shared" si="618"/>
        <v>21010613</v>
      </c>
      <c r="B1433" s="8">
        <v>2101</v>
      </c>
      <c r="C1433" s="8">
        <v>6</v>
      </c>
      <c r="D1433" s="8" t="s">
        <v>62</v>
      </c>
      <c r="E1433" s="8">
        <v>3</v>
      </c>
      <c r="F1433" s="34">
        <f t="shared" si="668"/>
        <v>133125</v>
      </c>
      <c r="G1433" s="34">
        <f t="shared" si="668"/>
        <v>133125</v>
      </c>
      <c r="H1433" s="34">
        <f t="shared" si="655"/>
        <v>10000</v>
      </c>
      <c r="I1433" s="34">
        <f t="shared" si="655"/>
        <v>10000</v>
      </c>
      <c r="J1433" s="34">
        <f t="shared" si="669"/>
        <v>95070</v>
      </c>
      <c r="K1433" s="133">
        <v>1000</v>
      </c>
      <c r="L1433" s="34"/>
      <c r="M1433" s="16">
        <f t="shared" si="661"/>
        <v>28460.435695891938</v>
      </c>
      <c r="N1433" s="36">
        <v>600</v>
      </c>
      <c r="O1433" s="36">
        <v>3</v>
      </c>
      <c r="P1433" s="2" t="s">
        <v>209</v>
      </c>
      <c r="Q1433" s="2" t="s">
        <v>104</v>
      </c>
      <c r="S1433" s="61">
        <f t="shared" si="658"/>
        <v>4000</v>
      </c>
      <c r="T1433" s="272">
        <v>4000</v>
      </c>
    </row>
    <row r="1434" spans="1:20" x14ac:dyDescent="0.2">
      <c r="A1434" s="8" t="str">
        <f t="shared" si="618"/>
        <v>21010614</v>
      </c>
      <c r="B1434" s="8">
        <v>2101</v>
      </c>
      <c r="C1434" s="8">
        <v>6</v>
      </c>
      <c r="D1434" s="8" t="s">
        <v>62</v>
      </c>
      <c r="E1434" s="8">
        <v>4</v>
      </c>
      <c r="F1434" s="34">
        <f t="shared" si="668"/>
        <v>177500</v>
      </c>
      <c r="G1434" s="34">
        <f t="shared" si="668"/>
        <v>177500</v>
      </c>
      <c r="H1434" s="34">
        <f t="shared" si="655"/>
        <v>10000</v>
      </c>
      <c r="I1434" s="34">
        <f t="shared" si="655"/>
        <v>10000</v>
      </c>
      <c r="J1434" s="34">
        <f t="shared" si="669"/>
        <v>126760</v>
      </c>
      <c r="K1434" s="133">
        <v>1000</v>
      </c>
      <c r="L1434" s="34"/>
      <c r="M1434" s="16">
        <f t="shared" si="661"/>
        <v>37947.247594522581</v>
      </c>
      <c r="N1434" s="36">
        <v>600</v>
      </c>
      <c r="O1434" s="36">
        <v>4</v>
      </c>
      <c r="P1434" s="2" t="s">
        <v>209</v>
      </c>
      <c r="Q1434" s="2" t="s">
        <v>104</v>
      </c>
      <c r="S1434" s="61">
        <f t="shared" si="658"/>
        <v>4000</v>
      </c>
      <c r="T1434" s="272">
        <v>4000</v>
      </c>
    </row>
    <row r="1435" spans="1:20" x14ac:dyDescent="0.2">
      <c r="A1435" s="8" t="str">
        <f t="shared" si="618"/>
        <v>21010710</v>
      </c>
      <c r="B1435" s="8">
        <v>2101</v>
      </c>
      <c r="C1435" s="8">
        <v>7</v>
      </c>
      <c r="D1435" s="8" t="s">
        <v>62</v>
      </c>
      <c r="E1435" s="8">
        <v>0</v>
      </c>
      <c r="F1435" s="34">
        <f>ROUNDDOWN($P1435/4*$O1435*10*$N1435/$N1435*$Q1435/400,0)</f>
        <v>23962</v>
      </c>
      <c r="G1435" s="34">
        <f>ROUNDDOWN($P1435/4*$O1435*10*$N1435/$N1435*$Q1435/400,0)</f>
        <v>23962</v>
      </c>
      <c r="H1435" s="34">
        <f t="shared" si="655"/>
        <v>10800</v>
      </c>
      <c r="I1435" s="34">
        <f t="shared" si="655"/>
        <v>10800</v>
      </c>
      <c r="J1435" s="34">
        <f>ROUNDDOWN($P1435/4*$O1435*10*$N1435/$Q1435*$N1435/400,0)</f>
        <v>17112</v>
      </c>
      <c r="K1435" s="133">
        <v>1000</v>
      </c>
      <c r="L1435" s="34"/>
      <c r="M1435" s="16">
        <f t="shared" si="661"/>
        <v>5323.7025522919666</v>
      </c>
      <c r="N1435" s="36">
        <v>600</v>
      </c>
      <c r="O1435" s="36">
        <v>0.5</v>
      </c>
      <c r="P1435" s="47">
        <v>10800</v>
      </c>
      <c r="Q1435" s="2" t="s">
        <v>104</v>
      </c>
      <c r="S1435" s="61">
        <f t="shared" si="658"/>
        <v>4320</v>
      </c>
      <c r="T1435" s="272">
        <v>4320</v>
      </c>
    </row>
    <row r="1436" spans="1:20" x14ac:dyDescent="0.2">
      <c r="A1436" s="8" t="str">
        <f t="shared" si="618"/>
        <v>21010711</v>
      </c>
      <c r="B1436" s="8">
        <v>2101</v>
      </c>
      <c r="C1436" s="8">
        <v>7</v>
      </c>
      <c r="D1436" s="8" t="s">
        <v>62</v>
      </c>
      <c r="E1436" s="8">
        <v>1</v>
      </c>
      <c r="F1436" s="34">
        <f t="shared" ref="F1436:G1439" si="670">ROUNDDOWN($P1436/4*$O1436*10*$N1436/$N1436*$Q1436/400,0)</f>
        <v>47925</v>
      </c>
      <c r="G1436" s="34">
        <f t="shared" si="670"/>
        <v>47925</v>
      </c>
      <c r="H1436" s="34">
        <f t="shared" si="655"/>
        <v>10800</v>
      </c>
      <c r="I1436" s="34">
        <f t="shared" si="655"/>
        <v>10800</v>
      </c>
      <c r="J1436" s="34">
        <f t="shared" ref="J1436:J1439" si="671">ROUNDDOWN($P1436/4*$O1436*10*$N1436/$Q1436*$N1436/400,0)</f>
        <v>34225</v>
      </c>
      <c r="K1436" s="133">
        <v>1000</v>
      </c>
      <c r="L1436" s="34"/>
      <c r="M1436" s="16">
        <f t="shared" si="661"/>
        <v>10647.671745503803</v>
      </c>
      <c r="N1436" s="36">
        <v>600</v>
      </c>
      <c r="O1436" s="36">
        <v>1</v>
      </c>
      <c r="P1436" s="2" t="s">
        <v>210</v>
      </c>
      <c r="Q1436" s="2" t="s">
        <v>104</v>
      </c>
      <c r="S1436" s="61">
        <f t="shared" si="658"/>
        <v>4320</v>
      </c>
      <c r="T1436" s="272">
        <v>4320</v>
      </c>
    </row>
    <row r="1437" spans="1:20" x14ac:dyDescent="0.2">
      <c r="A1437" s="8" t="str">
        <f t="shared" si="618"/>
        <v>21010712</v>
      </c>
      <c r="B1437" s="8">
        <v>2101</v>
      </c>
      <c r="C1437" s="8">
        <v>7</v>
      </c>
      <c r="D1437" s="8" t="s">
        <v>62</v>
      </c>
      <c r="E1437" s="8">
        <v>2</v>
      </c>
      <c r="F1437" s="34">
        <f t="shared" si="670"/>
        <v>95850</v>
      </c>
      <c r="G1437" s="34">
        <f t="shared" si="670"/>
        <v>95850</v>
      </c>
      <c r="H1437" s="34">
        <f t="shared" si="655"/>
        <v>10800</v>
      </c>
      <c r="I1437" s="34">
        <f t="shared" si="655"/>
        <v>10800</v>
      </c>
      <c r="J1437" s="34">
        <f t="shared" si="671"/>
        <v>68450</v>
      </c>
      <c r="K1437" s="133">
        <v>1000</v>
      </c>
      <c r="L1437" s="34"/>
      <c r="M1437" s="16">
        <f t="shared" si="661"/>
        <v>21295.343491007607</v>
      </c>
      <c r="N1437" s="36">
        <v>600</v>
      </c>
      <c r="O1437" s="36">
        <v>2</v>
      </c>
      <c r="P1437" s="2" t="s">
        <v>210</v>
      </c>
      <c r="Q1437" s="2" t="s">
        <v>104</v>
      </c>
      <c r="S1437" s="61">
        <f t="shared" si="658"/>
        <v>4320</v>
      </c>
      <c r="T1437" s="272">
        <v>4320</v>
      </c>
    </row>
    <row r="1438" spans="1:20" x14ac:dyDescent="0.2">
      <c r="A1438" s="8" t="str">
        <f t="shared" si="618"/>
        <v>21010713</v>
      </c>
      <c r="B1438" s="8">
        <v>2101</v>
      </c>
      <c r="C1438" s="8">
        <v>7</v>
      </c>
      <c r="D1438" s="8" t="s">
        <v>62</v>
      </c>
      <c r="E1438" s="8">
        <v>3</v>
      </c>
      <c r="F1438" s="34">
        <f t="shared" si="670"/>
        <v>143775</v>
      </c>
      <c r="G1438" s="34">
        <f t="shared" si="670"/>
        <v>143775</v>
      </c>
      <c r="H1438" s="34">
        <f t="shared" si="655"/>
        <v>10800</v>
      </c>
      <c r="I1438" s="34">
        <f t="shared" si="655"/>
        <v>10800</v>
      </c>
      <c r="J1438" s="34">
        <f t="shared" si="671"/>
        <v>102676</v>
      </c>
      <c r="K1438" s="133">
        <v>1000</v>
      </c>
      <c r="L1438" s="34"/>
      <c r="M1438" s="16">
        <f t="shared" si="661"/>
        <v>31943.170790139167</v>
      </c>
      <c r="N1438" s="36">
        <v>600</v>
      </c>
      <c r="O1438" s="36">
        <v>3</v>
      </c>
      <c r="P1438" s="2" t="s">
        <v>210</v>
      </c>
      <c r="Q1438" s="2" t="s">
        <v>104</v>
      </c>
      <c r="S1438" s="61">
        <f t="shared" si="658"/>
        <v>4320</v>
      </c>
      <c r="T1438" s="272">
        <v>4320</v>
      </c>
    </row>
    <row r="1439" spans="1:20" x14ac:dyDescent="0.2">
      <c r="A1439" s="8" t="str">
        <f t="shared" si="618"/>
        <v>21010714</v>
      </c>
      <c r="B1439" s="8">
        <v>2101</v>
      </c>
      <c r="C1439" s="8">
        <v>7</v>
      </c>
      <c r="D1439" s="8" t="s">
        <v>62</v>
      </c>
      <c r="E1439" s="8">
        <v>4</v>
      </c>
      <c r="F1439" s="34">
        <f t="shared" si="670"/>
        <v>191700</v>
      </c>
      <c r="G1439" s="34">
        <f t="shared" si="670"/>
        <v>191700</v>
      </c>
      <c r="H1439" s="34">
        <f t="shared" si="655"/>
        <v>10800</v>
      </c>
      <c r="I1439" s="34">
        <f t="shared" si="655"/>
        <v>10800</v>
      </c>
      <c r="J1439" s="34">
        <f t="shared" si="671"/>
        <v>136901</v>
      </c>
      <c r="K1439" s="133">
        <v>1000</v>
      </c>
      <c r="L1439" s="34"/>
      <c r="M1439" s="16">
        <f t="shared" si="661"/>
        <v>42590.842535737662</v>
      </c>
      <c r="N1439" s="36">
        <v>600</v>
      </c>
      <c r="O1439" s="36">
        <v>4</v>
      </c>
      <c r="P1439" s="2" t="s">
        <v>210</v>
      </c>
      <c r="Q1439" s="2" t="s">
        <v>104</v>
      </c>
      <c r="S1439" s="61">
        <f t="shared" si="658"/>
        <v>4320</v>
      </c>
      <c r="T1439" s="272">
        <v>4320</v>
      </c>
    </row>
    <row r="1440" spans="1:20" x14ac:dyDescent="0.2">
      <c r="A1440" s="8" t="str">
        <f t="shared" si="618"/>
        <v>21010810</v>
      </c>
      <c r="B1440" s="8">
        <v>2101</v>
      </c>
      <c r="C1440" s="8">
        <v>8</v>
      </c>
      <c r="D1440" s="8" t="s">
        <v>62</v>
      </c>
      <c r="E1440" s="8">
        <v>0</v>
      </c>
      <c r="F1440" s="34">
        <f>ROUNDDOWN($P1440/4*$O1440*10*$N1440/$N1440*$Q1440/400,0)</f>
        <v>25737</v>
      </c>
      <c r="G1440" s="34">
        <f>ROUNDDOWN($P1440/4*$O1440*10*$N1440/$N1440*$Q1440/400,0)</f>
        <v>25737</v>
      </c>
      <c r="H1440" s="34">
        <f t="shared" si="655"/>
        <v>11600</v>
      </c>
      <c r="I1440" s="34">
        <f t="shared" si="655"/>
        <v>11600</v>
      </c>
      <c r="J1440" s="34">
        <f>ROUNDDOWN($P1440/4*$O1440*10*$N1440/$Q1440*$N1440/400,0)</f>
        <v>18380</v>
      </c>
      <c r="K1440" s="133">
        <v>1000</v>
      </c>
      <c r="L1440" s="34"/>
      <c r="M1440" s="16">
        <f t="shared" si="661"/>
        <v>5926.1234795100245</v>
      </c>
      <c r="N1440" s="36">
        <v>600</v>
      </c>
      <c r="O1440" s="36">
        <v>0.5</v>
      </c>
      <c r="P1440" s="47">
        <v>11600</v>
      </c>
      <c r="Q1440" s="2" t="s">
        <v>104</v>
      </c>
      <c r="S1440" s="61">
        <f t="shared" si="658"/>
        <v>4640</v>
      </c>
      <c r="T1440" s="272">
        <v>4640</v>
      </c>
    </row>
    <row r="1441" spans="1:20" x14ac:dyDescent="0.2">
      <c r="A1441" s="8" t="str">
        <f t="shared" si="618"/>
        <v>21010811</v>
      </c>
      <c r="B1441" s="8">
        <v>2101</v>
      </c>
      <c r="C1441" s="8">
        <v>8</v>
      </c>
      <c r="D1441" s="8" t="s">
        <v>62</v>
      </c>
      <c r="E1441" s="8">
        <v>1</v>
      </c>
      <c r="F1441" s="34">
        <f t="shared" ref="F1441:G1444" si="672">ROUNDDOWN($P1441/4*$O1441*10*$N1441/$N1441*$Q1441/400,0)</f>
        <v>51475</v>
      </c>
      <c r="G1441" s="34">
        <f t="shared" si="672"/>
        <v>51475</v>
      </c>
      <c r="H1441" s="34">
        <f t="shared" si="655"/>
        <v>11600</v>
      </c>
      <c r="I1441" s="34">
        <f t="shared" si="655"/>
        <v>11600</v>
      </c>
      <c r="J1441" s="34">
        <f t="shared" ref="J1441:J1444" si="673">ROUNDDOWN($P1441/4*$O1441*10*$N1441/$Q1441*$N1441/400,0)</f>
        <v>36760</v>
      </c>
      <c r="K1441" s="133">
        <v>1000</v>
      </c>
      <c r="L1441" s="34"/>
      <c r="M1441" s="16">
        <f t="shared" si="661"/>
        <v>11852.36208694284</v>
      </c>
      <c r="N1441" s="36">
        <v>600</v>
      </c>
      <c r="O1441" s="36">
        <v>1</v>
      </c>
      <c r="P1441" s="2" t="s">
        <v>211</v>
      </c>
      <c r="Q1441" s="2" t="s">
        <v>104</v>
      </c>
      <c r="S1441" s="61">
        <f t="shared" si="658"/>
        <v>4640</v>
      </c>
      <c r="T1441" s="272">
        <v>4640</v>
      </c>
    </row>
    <row r="1442" spans="1:20" x14ac:dyDescent="0.2">
      <c r="A1442" s="8" t="str">
        <f t="shared" ref="A1442:A1505" si="674">IF(B1442="","",CONCATENATE(B1442,CONCATENATE(REPT(0,2-LEN(C1442)),C1442),IF(OR(D1442="Easy",D1442=""),1,IF(D1442="Normal",2,IF(D1442="Hard",3,IF(D1442="Hell",4,"error")))),E1442))</f>
        <v>21010812</v>
      </c>
      <c r="B1442" s="8">
        <v>2101</v>
      </c>
      <c r="C1442" s="8">
        <v>8</v>
      </c>
      <c r="D1442" s="8" t="s">
        <v>62</v>
      </c>
      <c r="E1442" s="8">
        <v>2</v>
      </c>
      <c r="F1442" s="34">
        <f t="shared" si="672"/>
        <v>102950</v>
      </c>
      <c r="G1442" s="34">
        <f t="shared" si="672"/>
        <v>102950</v>
      </c>
      <c r="H1442" s="34">
        <f t="shared" si="655"/>
        <v>11600</v>
      </c>
      <c r="I1442" s="34">
        <f t="shared" si="655"/>
        <v>11600</v>
      </c>
      <c r="J1442" s="34">
        <f t="shared" si="673"/>
        <v>73521</v>
      </c>
      <c r="K1442" s="133">
        <v>1000</v>
      </c>
      <c r="L1442" s="34"/>
      <c r="M1442" s="16">
        <f t="shared" si="661"/>
        <v>23704.885386097107</v>
      </c>
      <c r="N1442" s="36">
        <v>600</v>
      </c>
      <c r="O1442" s="36">
        <v>2</v>
      </c>
      <c r="P1442" s="2" t="s">
        <v>211</v>
      </c>
      <c r="Q1442" s="2" t="s">
        <v>104</v>
      </c>
      <c r="S1442" s="61">
        <f t="shared" si="658"/>
        <v>4640</v>
      </c>
      <c r="T1442" s="272">
        <v>4640</v>
      </c>
    </row>
    <row r="1443" spans="1:20" x14ac:dyDescent="0.2">
      <c r="A1443" s="8" t="str">
        <f t="shared" si="674"/>
        <v>21010813</v>
      </c>
      <c r="B1443" s="8">
        <v>2101</v>
      </c>
      <c r="C1443" s="8">
        <v>8</v>
      </c>
      <c r="D1443" s="8" t="s">
        <v>62</v>
      </c>
      <c r="E1443" s="8">
        <v>3</v>
      </c>
      <c r="F1443" s="34">
        <f t="shared" si="672"/>
        <v>154425</v>
      </c>
      <c r="G1443" s="34">
        <f t="shared" si="672"/>
        <v>154425</v>
      </c>
      <c r="H1443" s="34">
        <f t="shared" si="655"/>
        <v>11600</v>
      </c>
      <c r="I1443" s="34">
        <f t="shared" si="655"/>
        <v>11600</v>
      </c>
      <c r="J1443" s="34">
        <f t="shared" si="673"/>
        <v>110281</v>
      </c>
      <c r="K1443" s="133">
        <v>1000</v>
      </c>
      <c r="L1443" s="34"/>
      <c r="M1443" s="16">
        <f t="shared" si="661"/>
        <v>35557.247473222669</v>
      </c>
      <c r="N1443" s="36">
        <v>600</v>
      </c>
      <c r="O1443" s="36">
        <v>3</v>
      </c>
      <c r="P1443" s="2" t="s">
        <v>211</v>
      </c>
      <c r="Q1443" s="2" t="s">
        <v>104</v>
      </c>
      <c r="S1443" s="61">
        <f t="shared" si="658"/>
        <v>4640</v>
      </c>
      <c r="T1443" s="272">
        <v>4640</v>
      </c>
    </row>
    <row r="1444" spans="1:20" x14ac:dyDescent="0.2">
      <c r="A1444" s="8" t="str">
        <f t="shared" si="674"/>
        <v>21010814</v>
      </c>
      <c r="B1444" s="8">
        <v>2101</v>
      </c>
      <c r="C1444" s="8">
        <v>8</v>
      </c>
      <c r="D1444" s="8" t="s">
        <v>62</v>
      </c>
      <c r="E1444" s="8">
        <v>4</v>
      </c>
      <c r="F1444" s="34">
        <f t="shared" si="672"/>
        <v>205900</v>
      </c>
      <c r="G1444" s="34">
        <f t="shared" si="672"/>
        <v>205900</v>
      </c>
      <c r="H1444" s="34">
        <f t="shared" si="655"/>
        <v>11600</v>
      </c>
      <c r="I1444" s="34">
        <f t="shared" si="655"/>
        <v>11600</v>
      </c>
      <c r="J1444" s="34">
        <f t="shared" si="673"/>
        <v>147042</v>
      </c>
      <c r="K1444" s="133">
        <v>1000</v>
      </c>
      <c r="L1444" s="34"/>
      <c r="M1444" s="16">
        <f t="shared" si="661"/>
        <v>47409.770772194213</v>
      </c>
      <c r="N1444" s="36">
        <v>600</v>
      </c>
      <c r="O1444" s="36">
        <v>4</v>
      </c>
      <c r="P1444" s="2" t="s">
        <v>211</v>
      </c>
      <c r="Q1444" s="2" t="s">
        <v>104</v>
      </c>
      <c r="S1444" s="61">
        <f t="shared" si="658"/>
        <v>4640</v>
      </c>
      <c r="T1444" s="272">
        <v>4640</v>
      </c>
    </row>
    <row r="1445" spans="1:20" x14ac:dyDescent="0.2">
      <c r="A1445" s="8" t="str">
        <f t="shared" si="674"/>
        <v>21010910</v>
      </c>
      <c r="B1445" s="8">
        <v>2101</v>
      </c>
      <c r="C1445" s="8">
        <v>9</v>
      </c>
      <c r="D1445" s="8" t="s">
        <v>62</v>
      </c>
      <c r="E1445" s="8">
        <v>0</v>
      </c>
      <c r="F1445" s="34">
        <f>ROUNDDOWN($P1445/4*$O1445*10*$N1445/$N1445*$Q1445/400,0)</f>
        <v>27512</v>
      </c>
      <c r="G1445" s="34">
        <f>ROUNDDOWN($P1445/4*$O1445*10*$N1445/$N1445*$Q1445/400,0)</f>
        <v>27512</v>
      </c>
      <c r="H1445" s="34">
        <f t="shared" si="655"/>
        <v>12400</v>
      </c>
      <c r="I1445" s="34">
        <f t="shared" si="655"/>
        <v>12400</v>
      </c>
      <c r="J1445" s="34">
        <f>ROUNDDOWN($P1445/4*$O1445*10*$N1445/$Q1445*$N1445/400,0)</f>
        <v>19647</v>
      </c>
      <c r="K1445" s="133">
        <v>1000</v>
      </c>
      <c r="L1445" s="34"/>
      <c r="M1445" s="16">
        <f t="shared" si="661"/>
        <v>6549.5284586785328</v>
      </c>
      <c r="N1445" s="36">
        <v>600</v>
      </c>
      <c r="O1445" s="36">
        <v>0.5</v>
      </c>
      <c r="P1445" s="47">
        <v>12400</v>
      </c>
      <c r="Q1445" s="2" t="s">
        <v>104</v>
      </c>
      <c r="S1445" s="61">
        <f t="shared" si="658"/>
        <v>4960</v>
      </c>
      <c r="T1445" s="272">
        <v>4960</v>
      </c>
    </row>
    <row r="1446" spans="1:20" x14ac:dyDescent="0.2">
      <c r="A1446" s="8" t="str">
        <f t="shared" si="674"/>
        <v>21010911</v>
      </c>
      <c r="B1446" s="8">
        <v>2101</v>
      </c>
      <c r="C1446" s="8">
        <v>9</v>
      </c>
      <c r="D1446" s="8" t="s">
        <v>62</v>
      </c>
      <c r="E1446" s="8">
        <v>1</v>
      </c>
      <c r="F1446" s="34">
        <f t="shared" ref="F1446:G1449" si="675">ROUNDDOWN($P1446/4*$O1446*10*$N1446/$N1446*$Q1446/400,0)</f>
        <v>55025</v>
      </c>
      <c r="G1446" s="34">
        <f t="shared" si="675"/>
        <v>55025</v>
      </c>
      <c r="H1446" s="34">
        <f t="shared" si="655"/>
        <v>12400</v>
      </c>
      <c r="I1446" s="34">
        <f t="shared" si="655"/>
        <v>12400</v>
      </c>
      <c r="J1446" s="34">
        <f t="shared" ref="J1446:J1449" si="676">ROUNDDOWN($P1446/4*$O1446*10*$N1446/$Q1446*$N1446/400,0)</f>
        <v>39295</v>
      </c>
      <c r="K1446" s="133">
        <v>1000</v>
      </c>
      <c r="L1446" s="34"/>
      <c r="M1446" s="16">
        <f t="shared" si="661"/>
        <v>13099.342627780983</v>
      </c>
      <c r="N1446" s="36">
        <v>600</v>
      </c>
      <c r="O1446" s="36">
        <v>1</v>
      </c>
      <c r="P1446" s="2" t="s">
        <v>212</v>
      </c>
      <c r="Q1446" s="2" t="s">
        <v>104</v>
      </c>
      <c r="S1446" s="61">
        <f t="shared" si="658"/>
        <v>4960</v>
      </c>
      <c r="T1446" s="272">
        <v>4960</v>
      </c>
    </row>
    <row r="1447" spans="1:20" x14ac:dyDescent="0.2">
      <c r="A1447" s="8" t="str">
        <f t="shared" si="674"/>
        <v>21010912</v>
      </c>
      <c r="B1447" s="8">
        <v>2101</v>
      </c>
      <c r="C1447" s="8">
        <v>9</v>
      </c>
      <c r="D1447" s="8" t="s">
        <v>62</v>
      </c>
      <c r="E1447" s="8">
        <v>2</v>
      </c>
      <c r="F1447" s="34">
        <f t="shared" si="675"/>
        <v>110050</v>
      </c>
      <c r="G1447" s="34">
        <f t="shared" si="675"/>
        <v>110050</v>
      </c>
      <c r="H1447" s="34">
        <f t="shared" si="655"/>
        <v>12400</v>
      </c>
      <c r="I1447" s="34">
        <f t="shared" si="655"/>
        <v>12400</v>
      </c>
      <c r="J1447" s="34">
        <f t="shared" si="676"/>
        <v>78591</v>
      </c>
      <c r="K1447" s="133">
        <v>1000</v>
      </c>
      <c r="L1447" s="34"/>
      <c r="M1447" s="16">
        <f t="shared" si="661"/>
        <v>26198.851934540948</v>
      </c>
      <c r="N1447" s="36">
        <v>600</v>
      </c>
      <c r="O1447" s="36">
        <v>2</v>
      </c>
      <c r="P1447" s="2" t="s">
        <v>212</v>
      </c>
      <c r="Q1447" s="2" t="s">
        <v>104</v>
      </c>
      <c r="S1447" s="61">
        <f t="shared" si="658"/>
        <v>4960</v>
      </c>
      <c r="T1447" s="272">
        <v>4960</v>
      </c>
    </row>
    <row r="1448" spans="1:20" x14ac:dyDescent="0.2">
      <c r="A1448" s="8" t="str">
        <f t="shared" si="674"/>
        <v>21010913</v>
      </c>
      <c r="B1448" s="8">
        <v>2101</v>
      </c>
      <c r="C1448" s="8">
        <v>9</v>
      </c>
      <c r="D1448" s="8" t="s">
        <v>62</v>
      </c>
      <c r="E1448" s="8">
        <v>3</v>
      </c>
      <c r="F1448" s="34">
        <f t="shared" si="675"/>
        <v>165075</v>
      </c>
      <c r="G1448" s="34">
        <f t="shared" si="675"/>
        <v>165075</v>
      </c>
      <c r="H1448" s="34">
        <f t="shared" si="655"/>
        <v>12400</v>
      </c>
      <c r="I1448" s="34">
        <f t="shared" si="655"/>
        <v>12400</v>
      </c>
      <c r="J1448" s="34">
        <f t="shared" si="676"/>
        <v>117887</v>
      </c>
      <c r="K1448" s="133">
        <v>1000</v>
      </c>
      <c r="L1448" s="34"/>
      <c r="M1448" s="16">
        <f t="shared" si="661"/>
        <v>39298.361240947444</v>
      </c>
      <c r="N1448" s="36">
        <v>600</v>
      </c>
      <c r="O1448" s="36">
        <v>3</v>
      </c>
      <c r="P1448" s="2" t="s">
        <v>212</v>
      </c>
      <c r="Q1448" s="2" t="s">
        <v>104</v>
      </c>
      <c r="S1448" s="61">
        <f t="shared" si="658"/>
        <v>4960</v>
      </c>
      <c r="T1448" s="272">
        <v>4960</v>
      </c>
    </row>
    <row r="1449" spans="1:20" x14ac:dyDescent="0.2">
      <c r="A1449" s="8" t="str">
        <f t="shared" si="674"/>
        <v>21010914</v>
      </c>
      <c r="B1449" s="8">
        <v>2101</v>
      </c>
      <c r="C1449" s="8">
        <v>9</v>
      </c>
      <c r="D1449" s="8" t="s">
        <v>62</v>
      </c>
      <c r="E1449" s="8">
        <v>4</v>
      </c>
      <c r="F1449" s="34">
        <f t="shared" si="675"/>
        <v>220100</v>
      </c>
      <c r="G1449" s="34">
        <f t="shared" si="675"/>
        <v>220100</v>
      </c>
      <c r="H1449" s="34">
        <f t="shared" si="655"/>
        <v>12400</v>
      </c>
      <c r="I1449" s="34">
        <f t="shared" si="655"/>
        <v>12400</v>
      </c>
      <c r="J1449" s="34">
        <f t="shared" si="676"/>
        <v>157183</v>
      </c>
      <c r="K1449" s="133">
        <v>1000</v>
      </c>
      <c r="L1449" s="34"/>
      <c r="M1449" s="16">
        <f t="shared" si="661"/>
        <v>52397.870547265564</v>
      </c>
      <c r="N1449" s="36">
        <v>600</v>
      </c>
      <c r="O1449" s="36">
        <v>4</v>
      </c>
      <c r="P1449" s="2" t="s">
        <v>212</v>
      </c>
      <c r="Q1449" s="2" t="s">
        <v>104</v>
      </c>
      <c r="S1449" s="61">
        <f t="shared" si="658"/>
        <v>4960</v>
      </c>
      <c r="T1449" s="272">
        <v>4960</v>
      </c>
    </row>
    <row r="1450" spans="1:20" x14ac:dyDescent="0.2">
      <c r="A1450" s="8" t="str">
        <f t="shared" si="674"/>
        <v>21011010</v>
      </c>
      <c r="B1450" s="8">
        <v>2101</v>
      </c>
      <c r="C1450" s="8">
        <v>10</v>
      </c>
      <c r="D1450" s="8" t="s">
        <v>62</v>
      </c>
      <c r="E1450" s="8">
        <v>0</v>
      </c>
      <c r="F1450" s="34">
        <f>ROUNDDOWN($P1450/4*$O1450*10*$N1450/$N1450*$Q1450/400,0)</f>
        <v>29731</v>
      </c>
      <c r="G1450" s="34">
        <f>ROUNDDOWN($P1450/4*$O1450*10*$N1450/$N1450*$Q1450/400,0)</f>
        <v>29731</v>
      </c>
      <c r="H1450" s="34">
        <f t="shared" si="655"/>
        <v>13400</v>
      </c>
      <c r="I1450" s="34">
        <f t="shared" si="655"/>
        <v>13400</v>
      </c>
      <c r="J1450" s="34">
        <f>ROUNDDOWN($P1450/4*$O1450*10*$N1450/$Q1450*$N1450/400,0)</f>
        <v>21232</v>
      </c>
      <c r="K1450" s="133">
        <v>1000</v>
      </c>
      <c r="L1450" s="34"/>
      <c r="M1450" s="16">
        <f t="shared" si="661"/>
        <v>7357.7088315534756</v>
      </c>
      <c r="N1450" s="36">
        <v>600</v>
      </c>
      <c r="O1450" s="36">
        <v>0.5</v>
      </c>
      <c r="P1450" s="47">
        <v>13400</v>
      </c>
      <c r="Q1450" s="2" t="s">
        <v>104</v>
      </c>
      <c r="S1450" s="61">
        <f t="shared" si="658"/>
        <v>5360</v>
      </c>
      <c r="T1450" s="272">
        <v>5360</v>
      </c>
    </row>
    <row r="1451" spans="1:20" x14ac:dyDescent="0.2">
      <c r="A1451" s="8" t="str">
        <f t="shared" si="674"/>
        <v>21011011</v>
      </c>
      <c r="B1451" s="8">
        <v>2101</v>
      </c>
      <c r="C1451" s="8">
        <v>10</v>
      </c>
      <c r="D1451" s="8" t="s">
        <v>62</v>
      </c>
      <c r="E1451" s="8">
        <v>1</v>
      </c>
      <c r="F1451" s="34">
        <f t="shared" ref="F1451:G1454" si="677">ROUNDDOWN($P1451/4*$O1451*10*$N1451/$N1451*$Q1451/400,0)</f>
        <v>59462</v>
      </c>
      <c r="G1451" s="34">
        <f t="shared" si="677"/>
        <v>59462</v>
      </c>
      <c r="H1451" s="34">
        <f t="shared" si="655"/>
        <v>13400</v>
      </c>
      <c r="I1451" s="34">
        <f t="shared" si="655"/>
        <v>13400</v>
      </c>
      <c r="J1451" s="34">
        <f t="shared" ref="J1451:J1454" si="678">ROUNDDOWN($P1451/4*$O1451*10*$N1451/$Q1451*$N1451/400,0)</f>
        <v>42464</v>
      </c>
      <c r="K1451" s="133">
        <v>1000</v>
      </c>
      <c r="L1451" s="34"/>
      <c r="M1451" s="16">
        <f t="shared" si="661"/>
        <v>14715.417663106951</v>
      </c>
      <c r="N1451" s="36">
        <v>600</v>
      </c>
      <c r="O1451" s="36">
        <v>1</v>
      </c>
      <c r="P1451" s="2" t="s">
        <v>213</v>
      </c>
      <c r="Q1451" s="2" t="s">
        <v>104</v>
      </c>
      <c r="S1451" s="61">
        <f t="shared" si="658"/>
        <v>5360</v>
      </c>
      <c r="T1451" s="272">
        <v>5360</v>
      </c>
    </row>
    <row r="1452" spans="1:20" x14ac:dyDescent="0.2">
      <c r="A1452" s="8" t="str">
        <f t="shared" si="674"/>
        <v>21011012</v>
      </c>
      <c r="B1452" s="8">
        <v>2101</v>
      </c>
      <c r="C1452" s="8">
        <v>10</v>
      </c>
      <c r="D1452" s="8" t="s">
        <v>62</v>
      </c>
      <c r="E1452" s="8">
        <v>2</v>
      </c>
      <c r="F1452" s="34">
        <f t="shared" si="677"/>
        <v>118925</v>
      </c>
      <c r="G1452" s="34">
        <f t="shared" si="677"/>
        <v>118925</v>
      </c>
      <c r="H1452" s="34">
        <f t="shared" si="655"/>
        <v>13400</v>
      </c>
      <c r="I1452" s="34">
        <f t="shared" si="655"/>
        <v>13400</v>
      </c>
      <c r="J1452" s="34">
        <f t="shared" si="678"/>
        <v>84929</v>
      </c>
      <c r="K1452" s="133">
        <v>1000</v>
      </c>
      <c r="L1452" s="34"/>
      <c r="M1452" s="16">
        <f t="shared" si="661"/>
        <v>29431.132333500183</v>
      </c>
      <c r="N1452" s="36">
        <v>600</v>
      </c>
      <c r="O1452" s="36">
        <v>2</v>
      </c>
      <c r="P1452" s="2" t="s">
        <v>213</v>
      </c>
      <c r="Q1452" s="2" t="s">
        <v>104</v>
      </c>
      <c r="S1452" s="61">
        <f t="shared" si="658"/>
        <v>5360</v>
      </c>
      <c r="T1452" s="272">
        <v>5360</v>
      </c>
    </row>
    <row r="1453" spans="1:20" x14ac:dyDescent="0.2">
      <c r="A1453" s="8" t="str">
        <f t="shared" si="674"/>
        <v>21011013</v>
      </c>
      <c r="B1453" s="8">
        <v>2101</v>
      </c>
      <c r="C1453" s="8">
        <v>10</v>
      </c>
      <c r="D1453" s="8" t="s">
        <v>62</v>
      </c>
      <c r="E1453" s="8">
        <v>3</v>
      </c>
      <c r="F1453" s="34">
        <f t="shared" si="677"/>
        <v>178387</v>
      </c>
      <c r="G1453" s="34">
        <f t="shared" si="677"/>
        <v>178387</v>
      </c>
      <c r="H1453" s="34">
        <f t="shared" si="655"/>
        <v>13400</v>
      </c>
      <c r="I1453" s="34">
        <f t="shared" si="655"/>
        <v>13400</v>
      </c>
      <c r="J1453" s="34">
        <f t="shared" si="678"/>
        <v>127394</v>
      </c>
      <c r="K1453" s="133">
        <v>1000</v>
      </c>
      <c r="L1453" s="34"/>
      <c r="M1453" s="16">
        <f t="shared" si="661"/>
        <v>44146.723265416658</v>
      </c>
      <c r="N1453" s="36">
        <v>600</v>
      </c>
      <c r="O1453" s="36">
        <v>3</v>
      </c>
      <c r="P1453" s="2" t="s">
        <v>213</v>
      </c>
      <c r="Q1453" s="2" t="s">
        <v>104</v>
      </c>
      <c r="S1453" s="61">
        <f t="shared" si="658"/>
        <v>5360</v>
      </c>
      <c r="T1453" s="272">
        <v>5360</v>
      </c>
    </row>
    <row r="1454" spans="1:20" x14ac:dyDescent="0.2">
      <c r="A1454" s="8" t="str">
        <f t="shared" si="674"/>
        <v>21011014</v>
      </c>
      <c r="B1454" s="8">
        <v>2101</v>
      </c>
      <c r="C1454" s="8">
        <v>10</v>
      </c>
      <c r="D1454" s="8" t="s">
        <v>62</v>
      </c>
      <c r="E1454" s="8">
        <v>4</v>
      </c>
      <c r="F1454" s="34">
        <f t="shared" si="677"/>
        <v>237850</v>
      </c>
      <c r="G1454" s="34">
        <f t="shared" si="677"/>
        <v>237850</v>
      </c>
      <c r="H1454" s="34">
        <f t="shared" si="655"/>
        <v>13400</v>
      </c>
      <c r="I1454" s="34">
        <f t="shared" si="655"/>
        <v>13400</v>
      </c>
      <c r="J1454" s="34">
        <f t="shared" si="678"/>
        <v>169859</v>
      </c>
      <c r="K1454" s="133">
        <v>1000</v>
      </c>
      <c r="L1454" s="34"/>
      <c r="M1454" s="16">
        <f t="shared" si="661"/>
        <v>58862.437935783797</v>
      </c>
      <c r="N1454" s="36">
        <v>600</v>
      </c>
      <c r="O1454" s="36">
        <v>4</v>
      </c>
      <c r="P1454" s="2" t="s">
        <v>213</v>
      </c>
      <c r="Q1454" s="2" t="s">
        <v>104</v>
      </c>
      <c r="S1454" s="61">
        <f t="shared" si="658"/>
        <v>5360</v>
      </c>
      <c r="T1454" s="272">
        <v>5360</v>
      </c>
    </row>
    <row r="1455" spans="1:20" x14ac:dyDescent="0.2">
      <c r="A1455" s="8" t="str">
        <f t="shared" si="674"/>
        <v>21011110</v>
      </c>
      <c r="B1455" s="8">
        <v>2101</v>
      </c>
      <c r="C1455" s="8">
        <v>11</v>
      </c>
      <c r="D1455" s="8" t="s">
        <v>62</v>
      </c>
      <c r="E1455" s="8">
        <v>0</v>
      </c>
      <c r="F1455" s="34">
        <f>ROUNDDOWN($P1455/4*$O1455*10*$N1455/$N1455*$Q1455/400,0)</f>
        <v>31950</v>
      </c>
      <c r="G1455" s="34">
        <f>ROUNDDOWN($P1455/4*$O1455*10*$N1455/$N1455*$Q1455/400,0)</f>
        <v>31950</v>
      </c>
      <c r="H1455" s="34">
        <f t="shared" si="655"/>
        <v>14400</v>
      </c>
      <c r="I1455" s="34">
        <f t="shared" si="655"/>
        <v>14400</v>
      </c>
      <c r="J1455" s="34">
        <f>ROUNDDOWN($P1455/4*$O1455*10*$N1455/$Q1455*$N1455/400,0)</f>
        <v>22816</v>
      </c>
      <c r="K1455" s="133">
        <v>1000</v>
      </c>
      <c r="L1455" s="34"/>
      <c r="M1455" s="16">
        <f t="shared" si="661"/>
        <v>8196.4617849411097</v>
      </c>
      <c r="N1455" s="36">
        <v>600</v>
      </c>
      <c r="O1455" s="36">
        <v>0.5</v>
      </c>
      <c r="P1455" s="47">
        <v>14400</v>
      </c>
      <c r="Q1455" s="2" t="s">
        <v>104</v>
      </c>
      <c r="S1455" s="61">
        <f t="shared" si="658"/>
        <v>5760</v>
      </c>
      <c r="T1455" s="272">
        <v>5760</v>
      </c>
    </row>
    <row r="1456" spans="1:20" x14ac:dyDescent="0.2">
      <c r="A1456" s="8" t="str">
        <f t="shared" si="674"/>
        <v>21011111</v>
      </c>
      <c r="B1456" s="8">
        <v>2101</v>
      </c>
      <c r="C1456" s="8">
        <v>11</v>
      </c>
      <c r="D1456" s="8" t="s">
        <v>62</v>
      </c>
      <c r="E1456" s="8">
        <v>1</v>
      </c>
      <c r="F1456" s="34">
        <f t="shared" ref="F1456:G1459" si="679">ROUNDDOWN($P1456/4*$O1456*10*$N1456/$N1456*$Q1456/400,0)</f>
        <v>63900</v>
      </c>
      <c r="G1456" s="34">
        <f t="shared" si="679"/>
        <v>63900</v>
      </c>
      <c r="H1456" s="34">
        <f t="shared" si="655"/>
        <v>14400</v>
      </c>
      <c r="I1456" s="34">
        <f t="shared" si="655"/>
        <v>14400</v>
      </c>
      <c r="J1456" s="34">
        <f t="shared" ref="J1456:J1459" si="680">ROUNDDOWN($P1456/4*$O1456*10*$N1456/$Q1456*$N1456/400,0)</f>
        <v>45633</v>
      </c>
      <c r="K1456" s="133">
        <v>1000</v>
      </c>
      <c r="L1456" s="34"/>
      <c r="M1456" s="16">
        <f t="shared" si="661"/>
        <v>16393.103189817357</v>
      </c>
      <c r="N1456" s="36">
        <v>600</v>
      </c>
      <c r="O1456" s="36">
        <v>1</v>
      </c>
      <c r="P1456" s="2" t="s">
        <v>192</v>
      </c>
      <c r="Q1456" s="2" t="s">
        <v>104</v>
      </c>
      <c r="S1456" s="61">
        <f t="shared" si="658"/>
        <v>5760</v>
      </c>
      <c r="T1456" s="272">
        <v>5760</v>
      </c>
    </row>
    <row r="1457" spans="1:20" x14ac:dyDescent="0.2">
      <c r="A1457" s="8" t="str">
        <f t="shared" si="674"/>
        <v>21011112</v>
      </c>
      <c r="B1457" s="8">
        <v>2101</v>
      </c>
      <c r="C1457" s="8">
        <v>11</v>
      </c>
      <c r="D1457" s="8" t="s">
        <v>62</v>
      </c>
      <c r="E1457" s="8">
        <v>2</v>
      </c>
      <c r="F1457" s="34">
        <f t="shared" si="679"/>
        <v>127800</v>
      </c>
      <c r="G1457" s="34">
        <f t="shared" si="679"/>
        <v>127800</v>
      </c>
      <c r="H1457" s="34">
        <f t="shared" si="655"/>
        <v>14400</v>
      </c>
      <c r="I1457" s="34">
        <f t="shared" si="655"/>
        <v>14400</v>
      </c>
      <c r="J1457" s="34">
        <f t="shared" si="680"/>
        <v>91267</v>
      </c>
      <c r="K1457" s="133">
        <v>1000</v>
      </c>
      <c r="L1457" s="34"/>
      <c r="M1457" s="16">
        <f t="shared" si="661"/>
        <v>32786.385998093785</v>
      </c>
      <c r="N1457" s="36">
        <v>600</v>
      </c>
      <c r="O1457" s="36">
        <v>2</v>
      </c>
      <c r="P1457" s="2" t="s">
        <v>192</v>
      </c>
      <c r="Q1457" s="2" t="s">
        <v>104</v>
      </c>
      <c r="S1457" s="61">
        <f t="shared" si="658"/>
        <v>5760</v>
      </c>
      <c r="T1457" s="272">
        <v>5760</v>
      </c>
    </row>
    <row r="1458" spans="1:20" x14ac:dyDescent="0.2">
      <c r="A1458" s="8" t="str">
        <f t="shared" si="674"/>
        <v>21011113</v>
      </c>
      <c r="B1458" s="8">
        <v>2101</v>
      </c>
      <c r="C1458" s="8">
        <v>11</v>
      </c>
      <c r="D1458" s="8" t="s">
        <v>62</v>
      </c>
      <c r="E1458" s="8">
        <v>3</v>
      </c>
      <c r="F1458" s="34">
        <f t="shared" si="679"/>
        <v>191700</v>
      </c>
      <c r="G1458" s="34">
        <f t="shared" si="679"/>
        <v>191700</v>
      </c>
      <c r="H1458" s="34">
        <f t="shared" si="655"/>
        <v>14400</v>
      </c>
      <c r="I1458" s="34">
        <f t="shared" si="655"/>
        <v>14400</v>
      </c>
      <c r="J1458" s="34">
        <f t="shared" si="680"/>
        <v>136901</v>
      </c>
      <c r="K1458" s="133">
        <v>1000</v>
      </c>
      <c r="L1458" s="34"/>
      <c r="M1458" s="16">
        <f t="shared" si="661"/>
        <v>49179.668806042202</v>
      </c>
      <c r="N1458" s="36">
        <v>600</v>
      </c>
      <c r="O1458" s="36">
        <v>3</v>
      </c>
      <c r="P1458" s="2" t="s">
        <v>192</v>
      </c>
      <c r="Q1458" s="2" t="s">
        <v>104</v>
      </c>
      <c r="S1458" s="61">
        <f t="shared" si="658"/>
        <v>5760</v>
      </c>
      <c r="T1458" s="272">
        <v>5760</v>
      </c>
    </row>
    <row r="1459" spans="1:20" x14ac:dyDescent="0.2">
      <c r="A1459" s="8" t="str">
        <f t="shared" si="674"/>
        <v>21011114</v>
      </c>
      <c r="B1459" s="8">
        <v>2101</v>
      </c>
      <c r="C1459" s="8">
        <v>11</v>
      </c>
      <c r="D1459" s="8" t="s">
        <v>62</v>
      </c>
      <c r="E1459" s="8">
        <v>4</v>
      </c>
      <c r="F1459" s="34">
        <f t="shared" si="679"/>
        <v>255600</v>
      </c>
      <c r="G1459" s="34">
        <f t="shared" si="679"/>
        <v>255600</v>
      </c>
      <c r="H1459" s="34">
        <f t="shared" si="655"/>
        <v>14400</v>
      </c>
      <c r="I1459" s="34">
        <f t="shared" si="655"/>
        <v>14400</v>
      </c>
      <c r="J1459" s="34">
        <f t="shared" si="680"/>
        <v>182535</v>
      </c>
      <c r="K1459" s="133">
        <v>1000</v>
      </c>
      <c r="L1459" s="34"/>
      <c r="M1459" s="16">
        <f t="shared" si="661"/>
        <v>65572.951613908619</v>
      </c>
      <c r="N1459" s="36">
        <v>600</v>
      </c>
      <c r="O1459" s="36">
        <v>4</v>
      </c>
      <c r="P1459" s="2" t="s">
        <v>192</v>
      </c>
      <c r="Q1459" s="2" t="s">
        <v>104</v>
      </c>
      <c r="S1459" s="61">
        <f t="shared" si="658"/>
        <v>5760</v>
      </c>
      <c r="T1459" s="272">
        <v>5760</v>
      </c>
    </row>
    <row r="1460" spans="1:20" x14ac:dyDescent="0.2">
      <c r="A1460" s="8" t="str">
        <f t="shared" si="674"/>
        <v>21011210</v>
      </c>
      <c r="B1460" s="8">
        <v>2101</v>
      </c>
      <c r="C1460" s="8">
        <v>12</v>
      </c>
      <c r="D1460" s="8" t="s">
        <v>62</v>
      </c>
      <c r="E1460" s="8">
        <v>0</v>
      </c>
      <c r="F1460" s="34">
        <f>ROUNDDOWN($P1460/4*$O1460*10*$N1460/$N1460*$Q1460/400,0)</f>
        <v>34168</v>
      </c>
      <c r="G1460" s="34">
        <f>ROUNDDOWN($P1460/4*$O1460*10*$N1460/$N1460*$Q1460/400,0)</f>
        <v>34168</v>
      </c>
      <c r="H1460" s="34">
        <f t="shared" si="655"/>
        <v>15400</v>
      </c>
      <c r="I1460" s="34">
        <f t="shared" si="655"/>
        <v>15400</v>
      </c>
      <c r="J1460" s="34">
        <f>ROUNDDOWN($P1460/4*$O1460*10*$N1460/$Q1460*$N1460/400,0)</f>
        <v>24401</v>
      </c>
      <c r="K1460" s="133">
        <v>1000</v>
      </c>
      <c r="L1460" s="34"/>
      <c r="M1460" s="16">
        <f t="shared" si="661"/>
        <v>9064.9192357174379</v>
      </c>
      <c r="N1460" s="36">
        <v>600</v>
      </c>
      <c r="O1460" s="36">
        <v>0.5</v>
      </c>
      <c r="P1460" s="47">
        <v>15400</v>
      </c>
      <c r="Q1460" s="2" t="s">
        <v>104</v>
      </c>
      <c r="S1460" s="61">
        <f t="shared" si="658"/>
        <v>6160</v>
      </c>
      <c r="T1460" s="272">
        <v>6160</v>
      </c>
    </row>
    <row r="1461" spans="1:20" x14ac:dyDescent="0.2">
      <c r="A1461" s="8" t="str">
        <f t="shared" si="674"/>
        <v>21011211</v>
      </c>
      <c r="B1461" s="8">
        <v>2101</v>
      </c>
      <c r="C1461" s="8">
        <v>12</v>
      </c>
      <c r="D1461" s="8" t="s">
        <v>62</v>
      </c>
      <c r="E1461" s="8">
        <v>1</v>
      </c>
      <c r="F1461" s="34">
        <f t="shared" ref="F1461:G1464" si="681">ROUNDDOWN($P1461/4*$O1461*10*$N1461/$N1461*$Q1461/400,0)</f>
        <v>68337</v>
      </c>
      <c r="G1461" s="34">
        <f t="shared" si="681"/>
        <v>68337</v>
      </c>
      <c r="H1461" s="34">
        <f t="shared" si="655"/>
        <v>15400</v>
      </c>
      <c r="I1461" s="34">
        <f t="shared" si="655"/>
        <v>15400</v>
      </c>
      <c r="J1461" s="34">
        <f t="shared" ref="J1461:J1464" si="682">ROUNDDOWN($P1461/4*$O1461*10*$N1461/$Q1461*$N1461/400,0)</f>
        <v>48802</v>
      </c>
      <c r="K1461" s="133">
        <v>1000</v>
      </c>
      <c r="L1461" s="34"/>
      <c r="M1461" s="16">
        <f t="shared" si="661"/>
        <v>18129.971123127583</v>
      </c>
      <c r="N1461" s="36">
        <v>600</v>
      </c>
      <c r="O1461" s="36">
        <v>1</v>
      </c>
      <c r="P1461" s="2" t="s">
        <v>214</v>
      </c>
      <c r="Q1461" s="2" t="s">
        <v>104</v>
      </c>
      <c r="S1461" s="61">
        <f t="shared" si="658"/>
        <v>6160</v>
      </c>
      <c r="T1461" s="272">
        <v>6160</v>
      </c>
    </row>
    <row r="1462" spans="1:20" x14ac:dyDescent="0.2">
      <c r="A1462" s="8" t="str">
        <f t="shared" si="674"/>
        <v>21011212</v>
      </c>
      <c r="B1462" s="8">
        <v>2101</v>
      </c>
      <c r="C1462" s="8">
        <v>12</v>
      </c>
      <c r="D1462" s="8" t="s">
        <v>62</v>
      </c>
      <c r="E1462" s="8">
        <v>2</v>
      </c>
      <c r="F1462" s="34">
        <f t="shared" si="681"/>
        <v>136675</v>
      </c>
      <c r="G1462" s="34">
        <f t="shared" si="681"/>
        <v>136675</v>
      </c>
      <c r="H1462" s="34">
        <f t="shared" si="655"/>
        <v>15400</v>
      </c>
      <c r="I1462" s="34">
        <f t="shared" si="655"/>
        <v>15400</v>
      </c>
      <c r="J1462" s="34">
        <f t="shared" si="682"/>
        <v>97605</v>
      </c>
      <c r="K1462" s="133">
        <v>1000</v>
      </c>
      <c r="L1462" s="34"/>
      <c r="M1462" s="16">
        <f t="shared" si="661"/>
        <v>36260.260647711846</v>
      </c>
      <c r="N1462" s="36">
        <v>600</v>
      </c>
      <c r="O1462" s="36">
        <v>2</v>
      </c>
      <c r="P1462" s="2" t="s">
        <v>214</v>
      </c>
      <c r="Q1462" s="2" t="s">
        <v>104</v>
      </c>
      <c r="S1462" s="61">
        <f t="shared" si="658"/>
        <v>6160</v>
      </c>
      <c r="T1462" s="272">
        <v>6160</v>
      </c>
    </row>
    <row r="1463" spans="1:20" x14ac:dyDescent="0.2">
      <c r="A1463" s="8" t="str">
        <f t="shared" si="674"/>
        <v>21011213</v>
      </c>
      <c r="B1463" s="8">
        <v>2101</v>
      </c>
      <c r="C1463" s="8">
        <v>12</v>
      </c>
      <c r="D1463" s="8" t="s">
        <v>62</v>
      </c>
      <c r="E1463" s="8">
        <v>3</v>
      </c>
      <c r="F1463" s="34">
        <f t="shared" si="681"/>
        <v>205012</v>
      </c>
      <c r="G1463" s="34">
        <f t="shared" si="681"/>
        <v>205012</v>
      </c>
      <c r="H1463" s="34">
        <f t="shared" si="655"/>
        <v>15400</v>
      </c>
      <c r="I1463" s="34">
        <f t="shared" si="655"/>
        <v>15400</v>
      </c>
      <c r="J1463" s="34">
        <f t="shared" si="682"/>
        <v>146408</v>
      </c>
      <c r="K1463" s="133">
        <v>1000</v>
      </c>
      <c r="L1463" s="34"/>
      <c r="M1463" s="16">
        <f t="shared" si="661"/>
        <v>54390.417520642004</v>
      </c>
      <c r="N1463" s="36">
        <v>600</v>
      </c>
      <c r="O1463" s="36">
        <v>3</v>
      </c>
      <c r="P1463" s="2" t="s">
        <v>214</v>
      </c>
      <c r="Q1463" s="2" t="s">
        <v>104</v>
      </c>
      <c r="S1463" s="61">
        <f t="shared" si="658"/>
        <v>6160</v>
      </c>
      <c r="T1463" s="272">
        <v>6160</v>
      </c>
    </row>
    <row r="1464" spans="1:20" x14ac:dyDescent="0.2">
      <c r="A1464" s="8" t="str">
        <f t="shared" si="674"/>
        <v>21011214</v>
      </c>
      <c r="B1464" s="8">
        <v>2101</v>
      </c>
      <c r="C1464" s="8">
        <v>12</v>
      </c>
      <c r="D1464" s="8" t="s">
        <v>62</v>
      </c>
      <c r="E1464" s="8">
        <v>4</v>
      </c>
      <c r="F1464" s="34">
        <f t="shared" si="681"/>
        <v>273350</v>
      </c>
      <c r="G1464" s="34">
        <f t="shared" si="681"/>
        <v>273350</v>
      </c>
      <c r="H1464" s="34">
        <f t="shared" si="655"/>
        <v>15400</v>
      </c>
      <c r="I1464" s="34">
        <f t="shared" si="655"/>
        <v>15400</v>
      </c>
      <c r="J1464" s="34">
        <f t="shared" si="682"/>
        <v>195211</v>
      </c>
      <c r="K1464" s="133">
        <v>1000</v>
      </c>
      <c r="L1464" s="34"/>
      <c r="M1464" s="16">
        <f t="shared" si="661"/>
        <v>72520.707045201925</v>
      </c>
      <c r="N1464" s="36">
        <v>600</v>
      </c>
      <c r="O1464" s="36">
        <v>4</v>
      </c>
      <c r="P1464" s="2" t="s">
        <v>214</v>
      </c>
      <c r="Q1464" s="2" t="s">
        <v>104</v>
      </c>
      <c r="S1464" s="61">
        <f t="shared" si="658"/>
        <v>6160</v>
      </c>
      <c r="T1464" s="272">
        <v>6160</v>
      </c>
    </row>
    <row r="1465" spans="1:20" x14ac:dyDescent="0.2">
      <c r="A1465" s="8" t="str">
        <f t="shared" si="674"/>
        <v>21011310</v>
      </c>
      <c r="B1465" s="8">
        <v>2101</v>
      </c>
      <c r="C1465" s="8">
        <v>13</v>
      </c>
      <c r="D1465" s="8" t="s">
        <v>62</v>
      </c>
      <c r="E1465" s="8">
        <v>0</v>
      </c>
      <c r="F1465" s="34">
        <f>ROUNDDOWN($P1465/4*$O1465*10*$N1465/$N1465*$Q1465/400,0)</f>
        <v>36387</v>
      </c>
      <c r="G1465" s="34">
        <f>ROUNDDOWN($P1465/4*$O1465*10*$N1465/$N1465*$Q1465/400,0)</f>
        <v>36387</v>
      </c>
      <c r="H1465" s="34">
        <f t="shared" si="655"/>
        <v>16400</v>
      </c>
      <c r="I1465" s="34">
        <f t="shared" si="655"/>
        <v>16400</v>
      </c>
      <c r="J1465" s="34">
        <f>ROUNDDOWN($P1465/4*$O1465*10*$N1465/$Q1465*$N1465/400,0)</f>
        <v>25985</v>
      </c>
      <c r="K1465" s="133">
        <v>1000</v>
      </c>
      <c r="L1465" s="34"/>
      <c r="M1465" s="16">
        <f t="shared" si="661"/>
        <v>9961.9967791201398</v>
      </c>
      <c r="N1465" s="36">
        <v>600</v>
      </c>
      <c r="O1465" s="36">
        <v>0.5</v>
      </c>
      <c r="P1465" s="47">
        <v>16400</v>
      </c>
      <c r="Q1465" s="2" t="s">
        <v>104</v>
      </c>
      <c r="S1465" s="61">
        <f t="shared" si="658"/>
        <v>6560</v>
      </c>
      <c r="T1465" s="272">
        <v>6560</v>
      </c>
    </row>
    <row r="1466" spans="1:20" x14ac:dyDescent="0.2">
      <c r="A1466" s="8" t="str">
        <f t="shared" si="674"/>
        <v>21011311</v>
      </c>
      <c r="B1466" s="8">
        <v>2101</v>
      </c>
      <c r="C1466" s="8">
        <v>13</v>
      </c>
      <c r="D1466" s="8" t="s">
        <v>62</v>
      </c>
      <c r="E1466" s="8">
        <v>1</v>
      </c>
      <c r="F1466" s="34">
        <f t="shared" ref="F1466:G1469" si="683">ROUNDDOWN($P1466/4*$O1466*10*$N1466/$N1466*$Q1466/400,0)</f>
        <v>72775</v>
      </c>
      <c r="G1466" s="34">
        <f t="shared" si="683"/>
        <v>72775</v>
      </c>
      <c r="H1466" s="34">
        <f t="shared" si="655"/>
        <v>16400</v>
      </c>
      <c r="I1466" s="34">
        <f t="shared" si="655"/>
        <v>16400</v>
      </c>
      <c r="J1466" s="34">
        <f t="shared" ref="J1466:J1469" si="684">ROUNDDOWN($P1466/4*$O1466*10*$N1466/$Q1466*$N1466/400,0)</f>
        <v>51971</v>
      </c>
      <c r="K1466" s="133">
        <v>1000</v>
      </c>
      <c r="L1466" s="34"/>
      <c r="M1466" s="16">
        <f t="shared" si="661"/>
        <v>19924.322135119179</v>
      </c>
      <c r="N1466" s="36">
        <v>600</v>
      </c>
      <c r="O1466" s="36">
        <v>1</v>
      </c>
      <c r="P1466" s="2" t="s">
        <v>215</v>
      </c>
      <c r="Q1466" s="2" t="s">
        <v>104</v>
      </c>
      <c r="S1466" s="61">
        <f t="shared" si="658"/>
        <v>6560</v>
      </c>
      <c r="T1466" s="272">
        <v>6560</v>
      </c>
    </row>
    <row r="1467" spans="1:20" x14ac:dyDescent="0.2">
      <c r="A1467" s="8" t="str">
        <f t="shared" si="674"/>
        <v>21011312</v>
      </c>
      <c r="B1467" s="8">
        <v>2101</v>
      </c>
      <c r="C1467" s="8">
        <v>13</v>
      </c>
      <c r="D1467" s="8" t="s">
        <v>62</v>
      </c>
      <c r="E1467" s="8">
        <v>2</v>
      </c>
      <c r="F1467" s="34">
        <f t="shared" si="683"/>
        <v>145550</v>
      </c>
      <c r="G1467" s="34">
        <f t="shared" si="683"/>
        <v>145550</v>
      </c>
      <c r="H1467" s="34">
        <f t="shared" si="655"/>
        <v>16400</v>
      </c>
      <c r="I1467" s="34">
        <f t="shared" si="655"/>
        <v>16400</v>
      </c>
      <c r="J1467" s="34">
        <f t="shared" si="684"/>
        <v>103943</v>
      </c>
      <c r="K1467" s="133">
        <v>1000</v>
      </c>
      <c r="L1467" s="34"/>
      <c r="M1467" s="16">
        <f t="shared" si="661"/>
        <v>39848.835956700168</v>
      </c>
      <c r="N1467" s="36">
        <v>600</v>
      </c>
      <c r="O1467" s="36">
        <v>2</v>
      </c>
      <c r="P1467" s="2" t="s">
        <v>215</v>
      </c>
      <c r="Q1467" s="2" t="s">
        <v>104</v>
      </c>
      <c r="S1467" s="61">
        <f t="shared" si="658"/>
        <v>6560</v>
      </c>
      <c r="T1467" s="272">
        <v>6560</v>
      </c>
    </row>
    <row r="1468" spans="1:20" x14ac:dyDescent="0.2">
      <c r="A1468" s="8" t="str">
        <f t="shared" si="674"/>
        <v>21011313</v>
      </c>
      <c r="B1468" s="8">
        <v>2101</v>
      </c>
      <c r="C1468" s="8">
        <v>13</v>
      </c>
      <c r="D1468" s="8" t="s">
        <v>62</v>
      </c>
      <c r="E1468" s="8">
        <v>3</v>
      </c>
      <c r="F1468" s="34">
        <f t="shared" si="683"/>
        <v>218325</v>
      </c>
      <c r="G1468" s="34">
        <f t="shared" si="683"/>
        <v>218325</v>
      </c>
      <c r="H1468" s="34">
        <f t="shared" si="655"/>
        <v>16400</v>
      </c>
      <c r="I1468" s="34">
        <f t="shared" si="655"/>
        <v>16400</v>
      </c>
      <c r="J1468" s="34">
        <f t="shared" si="684"/>
        <v>155915</v>
      </c>
      <c r="K1468" s="133">
        <v>1000</v>
      </c>
      <c r="L1468" s="34"/>
      <c r="M1468" s="16">
        <f t="shared" si="661"/>
        <v>59773.349777973795</v>
      </c>
      <c r="N1468" s="36">
        <v>600</v>
      </c>
      <c r="O1468" s="36">
        <v>3</v>
      </c>
      <c r="P1468" s="2" t="s">
        <v>215</v>
      </c>
      <c r="Q1468" s="2" t="s">
        <v>104</v>
      </c>
      <c r="S1468" s="61">
        <f t="shared" si="658"/>
        <v>6560</v>
      </c>
      <c r="T1468" s="272">
        <v>6560</v>
      </c>
    </row>
    <row r="1469" spans="1:20" x14ac:dyDescent="0.2">
      <c r="A1469" s="8" t="str">
        <f t="shared" si="674"/>
        <v>21011314</v>
      </c>
      <c r="B1469" s="8">
        <v>2101</v>
      </c>
      <c r="C1469" s="8">
        <v>13</v>
      </c>
      <c r="D1469" s="8" t="s">
        <v>62</v>
      </c>
      <c r="E1469" s="8">
        <v>4</v>
      </c>
      <c r="F1469" s="34">
        <f t="shared" si="683"/>
        <v>291100</v>
      </c>
      <c r="G1469" s="34">
        <f t="shared" si="683"/>
        <v>291100</v>
      </c>
      <c r="H1469" s="34">
        <f t="shared" ref="H1469:I1504" si="685">ROUNDDOWN($S1469/4*10,0)</f>
        <v>16400</v>
      </c>
      <c r="I1469" s="34">
        <f t="shared" si="685"/>
        <v>16400</v>
      </c>
      <c r="J1469" s="34">
        <f t="shared" si="684"/>
        <v>207887</v>
      </c>
      <c r="K1469" s="133">
        <v>1000</v>
      </c>
      <c r="L1469" s="34"/>
      <c r="M1469" s="16">
        <f t="shared" si="661"/>
        <v>79697.863599170581</v>
      </c>
      <c r="N1469" s="36">
        <v>600</v>
      </c>
      <c r="O1469" s="36">
        <v>4</v>
      </c>
      <c r="P1469" s="2" t="s">
        <v>215</v>
      </c>
      <c r="Q1469" s="2" t="s">
        <v>104</v>
      </c>
      <c r="S1469" s="61">
        <f t="shared" si="658"/>
        <v>6560</v>
      </c>
      <c r="T1469" s="272">
        <v>6560</v>
      </c>
    </row>
    <row r="1470" spans="1:20" x14ac:dyDescent="0.2">
      <c r="A1470" s="8" t="str">
        <f t="shared" si="674"/>
        <v>21011410</v>
      </c>
      <c r="B1470" s="8">
        <v>2101</v>
      </c>
      <c r="C1470" s="8">
        <v>14</v>
      </c>
      <c r="D1470" s="8" t="s">
        <v>62</v>
      </c>
      <c r="E1470" s="8">
        <v>0</v>
      </c>
      <c r="F1470" s="34">
        <f>ROUNDDOWN($P1470/4*$O1470*10*$N1470/$N1470*$Q1470/400,0)</f>
        <v>38606</v>
      </c>
      <c r="G1470" s="34">
        <f>ROUNDDOWN($P1470/4*$O1470*10*$N1470/$N1470*$Q1470/400,0)</f>
        <v>38606</v>
      </c>
      <c r="H1470" s="34">
        <f t="shared" si="685"/>
        <v>17400</v>
      </c>
      <c r="I1470" s="34">
        <f t="shared" si="685"/>
        <v>17400</v>
      </c>
      <c r="J1470" s="34">
        <f>ROUNDDOWN($P1470/4*$O1470*10*$N1470/$Q1470*$N1470/400,0)</f>
        <v>27570</v>
      </c>
      <c r="K1470" s="133">
        <v>1000</v>
      </c>
      <c r="L1470" s="34"/>
      <c r="M1470" s="16">
        <f t="shared" si="661"/>
        <v>10887.054509425405</v>
      </c>
      <c r="N1470" s="36">
        <v>600</v>
      </c>
      <c r="O1470" s="36">
        <v>0.5</v>
      </c>
      <c r="P1470" s="47">
        <v>17400</v>
      </c>
      <c r="Q1470" s="2" t="s">
        <v>104</v>
      </c>
      <c r="S1470" s="61">
        <f t="shared" ref="S1470:S1504" si="686">P1470*0.4</f>
        <v>6960</v>
      </c>
      <c r="T1470" s="272">
        <v>6960</v>
      </c>
    </row>
    <row r="1471" spans="1:20" x14ac:dyDescent="0.2">
      <c r="A1471" s="8" t="str">
        <f t="shared" si="674"/>
        <v>21011411</v>
      </c>
      <c r="B1471" s="8">
        <v>2101</v>
      </c>
      <c r="C1471" s="8">
        <v>14</v>
      </c>
      <c r="D1471" s="8" t="s">
        <v>62</v>
      </c>
      <c r="E1471" s="8">
        <v>1</v>
      </c>
      <c r="F1471" s="34">
        <f t="shared" ref="F1471:G1474" si="687">ROUNDDOWN($P1471/4*$O1471*10*$N1471/$N1471*$Q1471/400,0)</f>
        <v>77212</v>
      </c>
      <c r="G1471" s="34">
        <f t="shared" si="687"/>
        <v>77212</v>
      </c>
      <c r="H1471" s="34">
        <f t="shared" si="685"/>
        <v>17400</v>
      </c>
      <c r="I1471" s="34">
        <f t="shared" si="685"/>
        <v>17400</v>
      </c>
      <c r="J1471" s="34">
        <f t="shared" ref="J1471:J1474" si="688">ROUNDDOWN($P1471/4*$O1471*10*$N1471/$Q1471*$N1471/400,0)</f>
        <v>55140</v>
      </c>
      <c r="K1471" s="133">
        <v>1000</v>
      </c>
      <c r="L1471" s="34"/>
      <c r="M1471" s="16">
        <f t="shared" si="661"/>
        <v>21774.10901885081</v>
      </c>
      <c r="N1471" s="36">
        <v>600</v>
      </c>
      <c r="O1471" s="36">
        <v>1</v>
      </c>
      <c r="P1471" s="2" t="s">
        <v>216</v>
      </c>
      <c r="Q1471" s="2" t="s">
        <v>104</v>
      </c>
      <c r="S1471" s="61">
        <f t="shared" si="686"/>
        <v>6960</v>
      </c>
      <c r="T1471" s="272">
        <v>6960</v>
      </c>
    </row>
    <row r="1472" spans="1:20" x14ac:dyDescent="0.2">
      <c r="A1472" s="8" t="str">
        <f t="shared" si="674"/>
        <v>21011412</v>
      </c>
      <c r="B1472" s="8">
        <v>2101</v>
      </c>
      <c r="C1472" s="8">
        <v>14</v>
      </c>
      <c r="D1472" s="8" t="s">
        <v>62</v>
      </c>
      <c r="E1472" s="8">
        <v>2</v>
      </c>
      <c r="F1472" s="34">
        <f t="shared" si="687"/>
        <v>154425</v>
      </c>
      <c r="G1472" s="34">
        <f t="shared" si="687"/>
        <v>154425</v>
      </c>
      <c r="H1472" s="34">
        <f t="shared" si="685"/>
        <v>17400</v>
      </c>
      <c r="I1472" s="34">
        <f t="shared" si="685"/>
        <v>17400</v>
      </c>
      <c r="J1472" s="34">
        <f t="shared" si="688"/>
        <v>110281</v>
      </c>
      <c r="K1472" s="133">
        <v>1000</v>
      </c>
      <c r="L1472" s="34"/>
      <c r="M1472" s="16">
        <f t="shared" si="661"/>
        <v>43548.556483631008</v>
      </c>
      <c r="N1472" s="36">
        <v>600</v>
      </c>
      <c r="O1472" s="36">
        <v>2</v>
      </c>
      <c r="P1472" s="2" t="s">
        <v>216</v>
      </c>
      <c r="Q1472" s="2" t="s">
        <v>104</v>
      </c>
      <c r="S1472" s="61">
        <f t="shared" si="686"/>
        <v>6960</v>
      </c>
      <c r="T1472" s="272">
        <v>6960</v>
      </c>
    </row>
    <row r="1473" spans="1:20" x14ac:dyDescent="0.2">
      <c r="A1473" s="8" t="str">
        <f t="shared" si="674"/>
        <v>21011413</v>
      </c>
      <c r="B1473" s="8">
        <v>2101</v>
      </c>
      <c r="C1473" s="8">
        <v>14</v>
      </c>
      <c r="D1473" s="8" t="s">
        <v>62</v>
      </c>
      <c r="E1473" s="8">
        <v>3</v>
      </c>
      <c r="F1473" s="34">
        <f t="shared" si="687"/>
        <v>231637</v>
      </c>
      <c r="G1473" s="34">
        <f t="shared" si="687"/>
        <v>231637</v>
      </c>
      <c r="H1473" s="34">
        <f t="shared" si="685"/>
        <v>17400</v>
      </c>
      <c r="I1473" s="34">
        <f t="shared" si="685"/>
        <v>17400</v>
      </c>
      <c r="J1473" s="34">
        <f t="shared" si="688"/>
        <v>165422</v>
      </c>
      <c r="K1473" s="133">
        <v>1000</v>
      </c>
      <c r="L1473" s="34"/>
      <c r="M1473" s="16">
        <f t="shared" si="661"/>
        <v>65322.862945886263</v>
      </c>
      <c r="N1473" s="36">
        <v>600</v>
      </c>
      <c r="O1473" s="36">
        <v>3</v>
      </c>
      <c r="P1473" s="2" t="s">
        <v>216</v>
      </c>
      <c r="Q1473" s="2" t="s">
        <v>104</v>
      </c>
      <c r="S1473" s="61">
        <f t="shared" si="686"/>
        <v>6960</v>
      </c>
      <c r="T1473" s="272">
        <v>6960</v>
      </c>
    </row>
    <row r="1474" spans="1:20" x14ac:dyDescent="0.2">
      <c r="A1474" s="8" t="str">
        <f t="shared" si="674"/>
        <v>21011414</v>
      </c>
      <c r="B1474" s="8">
        <v>2101</v>
      </c>
      <c r="C1474" s="8">
        <v>14</v>
      </c>
      <c r="D1474" s="8" t="s">
        <v>62</v>
      </c>
      <c r="E1474" s="8">
        <v>4</v>
      </c>
      <c r="F1474" s="34">
        <f t="shared" si="687"/>
        <v>308850</v>
      </c>
      <c r="G1474" s="34">
        <f t="shared" si="687"/>
        <v>308850</v>
      </c>
      <c r="H1474" s="34">
        <f t="shared" si="685"/>
        <v>17400</v>
      </c>
      <c r="I1474" s="34">
        <f t="shared" si="685"/>
        <v>17400</v>
      </c>
      <c r="J1474" s="34">
        <f t="shared" si="688"/>
        <v>220563</v>
      </c>
      <c r="K1474" s="133">
        <v>1000</v>
      </c>
      <c r="L1474" s="34"/>
      <c r="M1474" s="16">
        <f t="shared" si="661"/>
        <v>87097.310410643579</v>
      </c>
      <c r="N1474" s="36">
        <v>600</v>
      </c>
      <c r="O1474" s="36">
        <v>4</v>
      </c>
      <c r="P1474" s="2" t="s">
        <v>216</v>
      </c>
      <c r="Q1474" s="2" t="s">
        <v>104</v>
      </c>
      <c r="S1474" s="61">
        <f t="shared" si="686"/>
        <v>6960</v>
      </c>
      <c r="T1474" s="272">
        <v>6960</v>
      </c>
    </row>
    <row r="1475" spans="1:20" x14ac:dyDescent="0.2">
      <c r="A1475" s="8" t="str">
        <f t="shared" si="674"/>
        <v>21011510</v>
      </c>
      <c r="B1475" s="8">
        <v>2101</v>
      </c>
      <c r="C1475" s="8">
        <v>15</v>
      </c>
      <c r="D1475" s="8" t="s">
        <v>62</v>
      </c>
      <c r="E1475" s="8">
        <v>0</v>
      </c>
      <c r="F1475" s="34">
        <f>ROUNDDOWN($P1475/4*$O1475*10*$N1475/$N1475*$Q1475/400,0)</f>
        <v>40825</v>
      </c>
      <c r="G1475" s="34">
        <f>ROUNDDOWN($P1475/4*$O1475*10*$N1475/$N1475*$Q1475/400,0)</f>
        <v>40825</v>
      </c>
      <c r="H1475" s="34">
        <f t="shared" si="685"/>
        <v>18400</v>
      </c>
      <c r="I1475" s="34">
        <f t="shared" si="685"/>
        <v>18400</v>
      </c>
      <c r="J1475" s="34">
        <f>ROUNDDOWN($P1475/4*$O1475*10*$N1475/$Q1475*$N1475/400,0)</f>
        <v>29154</v>
      </c>
      <c r="K1475" s="133">
        <v>1000</v>
      </c>
      <c r="L1475" s="34"/>
      <c r="M1475" s="16">
        <f t="shared" si="661"/>
        <v>11838.892304941372</v>
      </c>
      <c r="N1475" s="36">
        <v>600</v>
      </c>
      <c r="O1475" s="36">
        <v>0.5</v>
      </c>
      <c r="P1475" s="47">
        <v>18400</v>
      </c>
      <c r="Q1475" s="2" t="s">
        <v>104</v>
      </c>
      <c r="S1475" s="61">
        <f t="shared" si="686"/>
        <v>7360</v>
      </c>
      <c r="T1475" s="272">
        <v>7360</v>
      </c>
    </row>
    <row r="1476" spans="1:20" x14ac:dyDescent="0.2">
      <c r="A1476" s="8" t="str">
        <f t="shared" si="674"/>
        <v>21011511</v>
      </c>
      <c r="B1476" s="8">
        <v>2101</v>
      </c>
      <c r="C1476" s="8">
        <v>15</v>
      </c>
      <c r="D1476" s="8" t="s">
        <v>62</v>
      </c>
      <c r="E1476" s="8">
        <v>1</v>
      </c>
      <c r="F1476" s="34">
        <f t="shared" ref="F1476:G1479" si="689">ROUNDDOWN($P1476/4*$O1476*10*$N1476/$N1476*$Q1476/400,0)</f>
        <v>81650</v>
      </c>
      <c r="G1476" s="34">
        <f t="shared" si="689"/>
        <v>81650</v>
      </c>
      <c r="H1476" s="34">
        <f t="shared" si="685"/>
        <v>18400</v>
      </c>
      <c r="I1476" s="34">
        <f t="shared" si="685"/>
        <v>18400</v>
      </c>
      <c r="J1476" s="34">
        <f t="shared" ref="J1476:J1479" si="690">ROUNDDOWN($P1476/4*$O1476*10*$N1476/$Q1476*$N1476/400,0)</f>
        <v>58309</v>
      </c>
      <c r="K1476" s="133">
        <v>1000</v>
      </c>
      <c r="L1476" s="34"/>
      <c r="M1476" s="16">
        <f t="shared" si="661"/>
        <v>23677.987649629351</v>
      </c>
      <c r="N1476" s="36">
        <v>600</v>
      </c>
      <c r="O1476" s="36">
        <v>1</v>
      </c>
      <c r="P1476" s="2" t="s">
        <v>217</v>
      </c>
      <c r="Q1476" s="2" t="s">
        <v>104</v>
      </c>
      <c r="S1476" s="61">
        <f t="shared" si="686"/>
        <v>7360</v>
      </c>
      <c r="T1476" s="272">
        <v>7360</v>
      </c>
    </row>
    <row r="1477" spans="1:20" x14ac:dyDescent="0.2">
      <c r="A1477" s="8" t="str">
        <f t="shared" si="674"/>
        <v>21011512</v>
      </c>
      <c r="B1477" s="8">
        <v>2101</v>
      </c>
      <c r="C1477" s="8">
        <v>15</v>
      </c>
      <c r="D1477" s="8" t="s">
        <v>62</v>
      </c>
      <c r="E1477" s="8">
        <v>2</v>
      </c>
      <c r="F1477" s="34">
        <f t="shared" si="689"/>
        <v>163300</v>
      </c>
      <c r="G1477" s="34">
        <f t="shared" si="689"/>
        <v>163300</v>
      </c>
      <c r="H1477" s="34">
        <f t="shared" si="685"/>
        <v>18400</v>
      </c>
      <c r="I1477" s="34">
        <f t="shared" si="685"/>
        <v>18400</v>
      </c>
      <c r="J1477" s="34">
        <f t="shared" si="690"/>
        <v>116619</v>
      </c>
      <c r="K1477" s="133">
        <v>1000</v>
      </c>
      <c r="L1477" s="34"/>
      <c r="M1477" s="16">
        <f t="shared" si="661"/>
        <v>47356.178337699515</v>
      </c>
      <c r="N1477" s="36">
        <v>600</v>
      </c>
      <c r="O1477" s="36">
        <v>2</v>
      </c>
      <c r="P1477" s="2" t="s">
        <v>217</v>
      </c>
      <c r="Q1477" s="2" t="s">
        <v>104</v>
      </c>
      <c r="S1477" s="61">
        <f t="shared" si="686"/>
        <v>7360</v>
      </c>
      <c r="T1477" s="272">
        <v>7360</v>
      </c>
    </row>
    <row r="1478" spans="1:20" x14ac:dyDescent="0.2">
      <c r="A1478" s="8" t="str">
        <f t="shared" si="674"/>
        <v>21011513</v>
      </c>
      <c r="B1478" s="8">
        <v>2101</v>
      </c>
      <c r="C1478" s="8">
        <v>15</v>
      </c>
      <c r="D1478" s="8" t="s">
        <v>62</v>
      </c>
      <c r="E1478" s="8">
        <v>3</v>
      </c>
      <c r="F1478" s="34">
        <f t="shared" si="689"/>
        <v>244950</v>
      </c>
      <c r="G1478" s="34">
        <f t="shared" si="689"/>
        <v>244950</v>
      </c>
      <c r="H1478" s="34">
        <f t="shared" si="685"/>
        <v>18400</v>
      </c>
      <c r="I1478" s="34">
        <f t="shared" si="685"/>
        <v>18400</v>
      </c>
      <c r="J1478" s="34">
        <f t="shared" si="690"/>
        <v>174929</v>
      </c>
      <c r="K1478" s="133">
        <v>1000</v>
      </c>
      <c r="L1478" s="34"/>
      <c r="M1478" s="16">
        <f t="shared" ref="M1478:M1541" si="691">(F1478*J1478*((H1478+I1478)/2)/1000)^(1/2)/10*0.8</f>
        <v>71034.369025479493</v>
      </c>
      <c r="N1478" s="36">
        <v>600</v>
      </c>
      <c r="O1478" s="36">
        <v>3</v>
      </c>
      <c r="P1478" s="2" t="s">
        <v>217</v>
      </c>
      <c r="Q1478" s="2" t="s">
        <v>104</v>
      </c>
      <c r="S1478" s="61">
        <f t="shared" si="686"/>
        <v>7360</v>
      </c>
      <c r="T1478" s="272">
        <v>7360</v>
      </c>
    </row>
    <row r="1479" spans="1:20" x14ac:dyDescent="0.2">
      <c r="A1479" s="8" t="str">
        <f t="shared" si="674"/>
        <v>21011514</v>
      </c>
      <c r="B1479" s="8">
        <v>2101</v>
      </c>
      <c r="C1479" s="8">
        <v>15</v>
      </c>
      <c r="D1479" s="8" t="s">
        <v>62</v>
      </c>
      <c r="E1479" s="8">
        <v>4</v>
      </c>
      <c r="F1479" s="34">
        <f t="shared" si="689"/>
        <v>326600</v>
      </c>
      <c r="G1479" s="34">
        <f t="shared" si="689"/>
        <v>326600</v>
      </c>
      <c r="H1479" s="34">
        <f t="shared" si="685"/>
        <v>18400</v>
      </c>
      <c r="I1479" s="34">
        <f t="shared" si="685"/>
        <v>18400</v>
      </c>
      <c r="J1479" s="34">
        <f t="shared" si="690"/>
        <v>233239</v>
      </c>
      <c r="K1479" s="133">
        <v>1000</v>
      </c>
      <c r="L1479" s="34"/>
      <c r="M1479" s="16">
        <f t="shared" si="691"/>
        <v>94712.559713186944</v>
      </c>
      <c r="N1479" s="36">
        <v>600</v>
      </c>
      <c r="O1479" s="36">
        <v>4</v>
      </c>
      <c r="P1479" s="2" t="s">
        <v>217</v>
      </c>
      <c r="Q1479" s="2" t="s">
        <v>104</v>
      </c>
      <c r="S1479" s="61">
        <f t="shared" si="686"/>
        <v>7360</v>
      </c>
      <c r="T1479" s="272">
        <v>7360</v>
      </c>
    </row>
    <row r="1480" spans="1:20" x14ac:dyDescent="0.2">
      <c r="A1480" s="8" t="str">
        <f t="shared" si="674"/>
        <v>21011610</v>
      </c>
      <c r="B1480" s="8">
        <v>2101</v>
      </c>
      <c r="C1480" s="8">
        <v>16</v>
      </c>
      <c r="D1480" s="8" t="s">
        <v>62</v>
      </c>
      <c r="E1480" s="8">
        <v>0</v>
      </c>
      <c r="F1480" s="34">
        <f>ROUNDDOWN($P1480/4*$O1480*10*$N1480/$N1480*$Q1480/400,0)</f>
        <v>43709</v>
      </c>
      <c r="G1480" s="34">
        <f>ROUNDDOWN($P1480/4*$O1480*10*$N1480/$N1480*$Q1480/400,0)</f>
        <v>43709</v>
      </c>
      <c r="H1480" s="34">
        <f t="shared" si="685"/>
        <v>19700</v>
      </c>
      <c r="I1480" s="34">
        <f t="shared" si="685"/>
        <v>19700</v>
      </c>
      <c r="J1480" s="34">
        <f>ROUNDDOWN($P1480/4*$O1480*10*$N1480/$Q1480*$N1480/400,0)</f>
        <v>31214</v>
      </c>
      <c r="K1480" s="133">
        <v>1000</v>
      </c>
      <c r="L1480" s="34"/>
      <c r="M1480" s="16">
        <f t="shared" si="691"/>
        <v>13115.451577970161</v>
      </c>
      <c r="N1480" s="36">
        <v>600</v>
      </c>
      <c r="O1480" s="36">
        <v>0.5</v>
      </c>
      <c r="P1480" s="47">
        <v>19700</v>
      </c>
      <c r="Q1480" s="2" t="s">
        <v>104</v>
      </c>
      <c r="S1480" s="61">
        <f t="shared" si="686"/>
        <v>7880</v>
      </c>
      <c r="T1480" s="272">
        <v>7880</v>
      </c>
    </row>
    <row r="1481" spans="1:20" x14ac:dyDescent="0.2">
      <c r="A1481" s="8" t="str">
        <f t="shared" si="674"/>
        <v>21011611</v>
      </c>
      <c r="B1481" s="8">
        <v>2101</v>
      </c>
      <c r="C1481" s="8">
        <v>16</v>
      </c>
      <c r="D1481" s="8" t="s">
        <v>62</v>
      </c>
      <c r="E1481" s="8">
        <v>1</v>
      </c>
      <c r="F1481" s="34">
        <f t="shared" ref="F1481:G1484" si="692">ROUNDDOWN($P1481/4*$O1481*10*$N1481/$N1481*$Q1481/400,0)</f>
        <v>87418</v>
      </c>
      <c r="G1481" s="34">
        <f t="shared" si="692"/>
        <v>87418</v>
      </c>
      <c r="H1481" s="34">
        <f t="shared" si="685"/>
        <v>19700</v>
      </c>
      <c r="I1481" s="34">
        <f t="shared" si="685"/>
        <v>19700</v>
      </c>
      <c r="J1481" s="34">
        <f t="shared" ref="J1481:J1484" si="693">ROUNDDOWN($P1481/4*$O1481*10*$N1481/$Q1481*$N1481/400,0)</f>
        <v>62429</v>
      </c>
      <c r="K1481" s="133">
        <v>1000</v>
      </c>
      <c r="L1481" s="34"/>
      <c r="M1481" s="16">
        <f t="shared" si="691"/>
        <v>26231.113244347067</v>
      </c>
      <c r="N1481" s="36">
        <v>600</v>
      </c>
      <c r="O1481" s="36">
        <v>1</v>
      </c>
      <c r="P1481" s="2" t="s">
        <v>218</v>
      </c>
      <c r="Q1481" s="2" t="s">
        <v>104</v>
      </c>
      <c r="S1481" s="61">
        <f t="shared" si="686"/>
        <v>7880</v>
      </c>
      <c r="T1481" s="272">
        <v>7880</v>
      </c>
    </row>
    <row r="1482" spans="1:20" x14ac:dyDescent="0.2">
      <c r="A1482" s="8" t="str">
        <f t="shared" si="674"/>
        <v>21011612</v>
      </c>
      <c r="B1482" s="8">
        <v>2101</v>
      </c>
      <c r="C1482" s="8">
        <v>16</v>
      </c>
      <c r="D1482" s="8" t="s">
        <v>62</v>
      </c>
      <c r="E1482" s="8">
        <v>2</v>
      </c>
      <c r="F1482" s="34">
        <f t="shared" si="692"/>
        <v>174837</v>
      </c>
      <c r="G1482" s="34">
        <f t="shared" si="692"/>
        <v>174837</v>
      </c>
      <c r="H1482" s="34">
        <f t="shared" si="685"/>
        <v>19700</v>
      </c>
      <c r="I1482" s="34">
        <f t="shared" si="685"/>
        <v>19700</v>
      </c>
      <c r="J1482" s="34">
        <f t="shared" si="693"/>
        <v>124859</v>
      </c>
      <c r="K1482" s="133">
        <v>1000</v>
      </c>
      <c r="L1482" s="34"/>
      <c r="M1482" s="16">
        <f t="shared" si="691"/>
        <v>52462.586608902915</v>
      </c>
      <c r="N1482" s="36">
        <v>600</v>
      </c>
      <c r="O1482" s="36">
        <v>2</v>
      </c>
      <c r="P1482" s="2" t="s">
        <v>218</v>
      </c>
      <c r="Q1482" s="2" t="s">
        <v>104</v>
      </c>
      <c r="S1482" s="61">
        <f t="shared" si="686"/>
        <v>7880</v>
      </c>
      <c r="T1482" s="272">
        <v>7880</v>
      </c>
    </row>
    <row r="1483" spans="1:20" x14ac:dyDescent="0.2">
      <c r="A1483" s="8" t="str">
        <f t="shared" si="674"/>
        <v>21011613</v>
      </c>
      <c r="B1483" s="8">
        <v>2101</v>
      </c>
      <c r="C1483" s="8">
        <v>16</v>
      </c>
      <c r="D1483" s="8" t="s">
        <v>62</v>
      </c>
      <c r="E1483" s="8">
        <v>3</v>
      </c>
      <c r="F1483" s="34">
        <f t="shared" si="692"/>
        <v>262256</v>
      </c>
      <c r="G1483" s="34">
        <f t="shared" si="692"/>
        <v>262256</v>
      </c>
      <c r="H1483" s="34">
        <f t="shared" si="685"/>
        <v>19700</v>
      </c>
      <c r="I1483" s="34">
        <f t="shared" si="685"/>
        <v>19700</v>
      </c>
      <c r="J1483" s="34">
        <f t="shared" si="693"/>
        <v>187288</v>
      </c>
      <c r="K1483" s="133">
        <v>1000</v>
      </c>
      <c r="L1483" s="34"/>
      <c r="M1483" s="16">
        <f t="shared" si="691"/>
        <v>78693.849885910648</v>
      </c>
      <c r="N1483" s="36">
        <v>600</v>
      </c>
      <c r="O1483" s="36">
        <v>3</v>
      </c>
      <c r="P1483" s="2" t="s">
        <v>218</v>
      </c>
      <c r="Q1483" s="2" t="s">
        <v>104</v>
      </c>
      <c r="S1483" s="61">
        <f t="shared" si="686"/>
        <v>7880</v>
      </c>
      <c r="T1483" s="272">
        <v>7880</v>
      </c>
    </row>
    <row r="1484" spans="1:20" x14ac:dyDescent="0.2">
      <c r="A1484" s="8" t="str">
        <f t="shared" si="674"/>
        <v>21011614</v>
      </c>
      <c r="B1484" s="8">
        <v>2101</v>
      </c>
      <c r="C1484" s="8">
        <v>16</v>
      </c>
      <c r="D1484" s="8" t="s">
        <v>62</v>
      </c>
      <c r="E1484" s="8">
        <v>4</v>
      </c>
      <c r="F1484" s="34">
        <f t="shared" si="692"/>
        <v>349675</v>
      </c>
      <c r="G1484" s="34">
        <f t="shared" si="692"/>
        <v>349675</v>
      </c>
      <c r="H1484" s="34">
        <f t="shared" si="685"/>
        <v>19700</v>
      </c>
      <c r="I1484" s="34">
        <f t="shared" si="685"/>
        <v>19700</v>
      </c>
      <c r="J1484" s="34">
        <f t="shared" si="693"/>
        <v>249718</v>
      </c>
      <c r="K1484" s="133">
        <v>1000</v>
      </c>
      <c r="L1484" s="34"/>
      <c r="M1484" s="16">
        <f t="shared" si="691"/>
        <v>104925.32325054806</v>
      </c>
      <c r="N1484" s="36">
        <v>600</v>
      </c>
      <c r="O1484" s="36">
        <v>4</v>
      </c>
      <c r="P1484" s="2" t="s">
        <v>218</v>
      </c>
      <c r="Q1484" s="2" t="s">
        <v>104</v>
      </c>
      <c r="S1484" s="61">
        <f t="shared" si="686"/>
        <v>7880</v>
      </c>
      <c r="T1484" s="272">
        <v>7880</v>
      </c>
    </row>
    <row r="1485" spans="1:20" x14ac:dyDescent="0.2">
      <c r="A1485" s="8" t="str">
        <f t="shared" si="674"/>
        <v>21011710</v>
      </c>
      <c r="B1485" s="8">
        <v>2101</v>
      </c>
      <c r="C1485" s="8">
        <v>17</v>
      </c>
      <c r="D1485" s="8" t="s">
        <v>62</v>
      </c>
      <c r="E1485" s="8">
        <v>0</v>
      </c>
      <c r="F1485" s="34">
        <f>ROUNDDOWN($P1485/4*$O1485*10*$N1485/$N1485*$Q1485/400,0)</f>
        <v>46593</v>
      </c>
      <c r="G1485" s="34">
        <f>ROUNDDOWN($P1485/4*$O1485*10*$N1485/$N1485*$Q1485/400,0)</f>
        <v>46593</v>
      </c>
      <c r="H1485" s="34">
        <f t="shared" si="685"/>
        <v>21000</v>
      </c>
      <c r="I1485" s="34">
        <f t="shared" si="685"/>
        <v>21000</v>
      </c>
      <c r="J1485" s="34">
        <f>ROUNDDOWN($P1485/4*$O1485*10*$N1485/$Q1485*$N1485/400,0)</f>
        <v>33274</v>
      </c>
      <c r="K1485" s="133">
        <v>1000</v>
      </c>
      <c r="L1485" s="34"/>
      <c r="M1485" s="16">
        <f t="shared" si="691"/>
        <v>14434.856728793675</v>
      </c>
      <c r="N1485" s="36">
        <v>600</v>
      </c>
      <c r="O1485" s="36">
        <v>0.5</v>
      </c>
      <c r="P1485" s="47">
        <v>21000</v>
      </c>
      <c r="Q1485" s="2" t="s">
        <v>104</v>
      </c>
      <c r="S1485" s="61">
        <f t="shared" si="686"/>
        <v>8400</v>
      </c>
      <c r="T1485" s="272">
        <v>8400</v>
      </c>
    </row>
    <row r="1486" spans="1:20" x14ac:dyDescent="0.2">
      <c r="A1486" s="8" t="str">
        <f t="shared" si="674"/>
        <v>21011711</v>
      </c>
      <c r="B1486" s="8">
        <v>2101</v>
      </c>
      <c r="C1486" s="8">
        <v>17</v>
      </c>
      <c r="D1486" s="8" t="s">
        <v>62</v>
      </c>
      <c r="E1486" s="8">
        <v>1</v>
      </c>
      <c r="F1486" s="34">
        <f t="shared" ref="F1486:G1489" si="694">ROUNDDOWN($P1486/4*$O1486*10*$N1486/$N1486*$Q1486/400,0)</f>
        <v>93187</v>
      </c>
      <c r="G1486" s="34">
        <f t="shared" si="694"/>
        <v>93187</v>
      </c>
      <c r="H1486" s="34">
        <f t="shared" si="685"/>
        <v>21000</v>
      </c>
      <c r="I1486" s="34">
        <f t="shared" si="685"/>
        <v>21000</v>
      </c>
      <c r="J1486" s="34">
        <f t="shared" ref="J1486:J1489" si="695">ROUNDDOWN($P1486/4*$O1486*10*$N1486/$Q1486*$N1486/400,0)</f>
        <v>66549</v>
      </c>
      <c r="K1486" s="133">
        <v>1000</v>
      </c>
      <c r="L1486" s="34"/>
      <c r="M1486" s="16">
        <f t="shared" si="691"/>
        <v>28870.085270175427</v>
      </c>
      <c r="N1486" s="36">
        <v>600</v>
      </c>
      <c r="O1486" s="36">
        <v>1</v>
      </c>
      <c r="P1486" s="2" t="s">
        <v>219</v>
      </c>
      <c r="Q1486" s="2" t="s">
        <v>104</v>
      </c>
      <c r="S1486" s="61">
        <f t="shared" si="686"/>
        <v>8400</v>
      </c>
      <c r="T1486" s="272">
        <v>8400</v>
      </c>
    </row>
    <row r="1487" spans="1:20" x14ac:dyDescent="0.2">
      <c r="A1487" s="8" t="str">
        <f t="shared" si="674"/>
        <v>21011712</v>
      </c>
      <c r="B1487" s="8">
        <v>2101</v>
      </c>
      <c r="C1487" s="8">
        <v>17</v>
      </c>
      <c r="D1487" s="8" t="s">
        <v>62</v>
      </c>
      <c r="E1487" s="8">
        <v>2</v>
      </c>
      <c r="F1487" s="34">
        <f t="shared" si="694"/>
        <v>186375</v>
      </c>
      <c r="G1487" s="34">
        <f t="shared" si="694"/>
        <v>186375</v>
      </c>
      <c r="H1487" s="34">
        <f t="shared" si="685"/>
        <v>21000</v>
      </c>
      <c r="I1487" s="34">
        <f t="shared" si="685"/>
        <v>21000</v>
      </c>
      <c r="J1487" s="34">
        <f t="shared" si="695"/>
        <v>133098</v>
      </c>
      <c r="K1487" s="133">
        <v>1000</v>
      </c>
      <c r="L1487" s="34"/>
      <c r="M1487" s="16">
        <f t="shared" si="691"/>
        <v>57740.325444181559</v>
      </c>
      <c r="N1487" s="36">
        <v>600</v>
      </c>
      <c r="O1487" s="36">
        <v>2</v>
      </c>
      <c r="P1487" s="2" t="s">
        <v>219</v>
      </c>
      <c r="Q1487" s="2" t="s">
        <v>104</v>
      </c>
      <c r="S1487" s="61">
        <f t="shared" si="686"/>
        <v>8400</v>
      </c>
      <c r="T1487" s="272">
        <v>8400</v>
      </c>
    </row>
    <row r="1488" spans="1:20" x14ac:dyDescent="0.2">
      <c r="A1488" s="8" t="str">
        <f t="shared" si="674"/>
        <v>21011713</v>
      </c>
      <c r="B1488" s="8">
        <v>2101</v>
      </c>
      <c r="C1488" s="8">
        <v>17</v>
      </c>
      <c r="D1488" s="8" t="s">
        <v>62</v>
      </c>
      <c r="E1488" s="8">
        <v>3</v>
      </c>
      <c r="F1488" s="34">
        <f t="shared" si="694"/>
        <v>279562</v>
      </c>
      <c r="G1488" s="34">
        <f t="shared" si="694"/>
        <v>279562</v>
      </c>
      <c r="H1488" s="34">
        <f t="shared" si="685"/>
        <v>21000</v>
      </c>
      <c r="I1488" s="34">
        <f t="shared" si="685"/>
        <v>21000</v>
      </c>
      <c r="J1488" s="34">
        <f t="shared" si="695"/>
        <v>199647</v>
      </c>
      <c r="K1488" s="133">
        <v>1000</v>
      </c>
      <c r="L1488" s="34"/>
      <c r="M1488" s="16">
        <f t="shared" si="691"/>
        <v>86610.410714426253</v>
      </c>
      <c r="N1488" s="36">
        <v>600</v>
      </c>
      <c r="O1488" s="36">
        <v>3</v>
      </c>
      <c r="P1488" s="2" t="s">
        <v>219</v>
      </c>
      <c r="Q1488" s="2" t="s">
        <v>104</v>
      </c>
      <c r="S1488" s="61">
        <f t="shared" si="686"/>
        <v>8400</v>
      </c>
      <c r="T1488" s="272">
        <v>8400</v>
      </c>
    </row>
    <row r="1489" spans="1:20" x14ac:dyDescent="0.2">
      <c r="A1489" s="8" t="str">
        <f t="shared" si="674"/>
        <v>21011714</v>
      </c>
      <c r="B1489" s="8">
        <v>2101</v>
      </c>
      <c r="C1489" s="8">
        <v>17</v>
      </c>
      <c r="D1489" s="8" t="s">
        <v>62</v>
      </c>
      <c r="E1489" s="8">
        <v>4</v>
      </c>
      <c r="F1489" s="34">
        <f t="shared" si="694"/>
        <v>372750</v>
      </c>
      <c r="G1489" s="34">
        <f t="shared" si="694"/>
        <v>372750</v>
      </c>
      <c r="H1489" s="34">
        <f t="shared" si="685"/>
        <v>21000</v>
      </c>
      <c r="I1489" s="34">
        <f t="shared" si="685"/>
        <v>21000</v>
      </c>
      <c r="J1489" s="34">
        <f t="shared" si="695"/>
        <v>266197</v>
      </c>
      <c r="K1489" s="133">
        <v>1000</v>
      </c>
      <c r="L1489" s="34"/>
      <c r="M1489" s="16">
        <f t="shared" si="691"/>
        <v>115480.86779722432</v>
      </c>
      <c r="N1489" s="36">
        <v>600</v>
      </c>
      <c r="O1489" s="36">
        <v>4</v>
      </c>
      <c r="P1489" s="2" t="s">
        <v>219</v>
      </c>
      <c r="Q1489" s="2" t="s">
        <v>104</v>
      </c>
      <c r="S1489" s="61">
        <f t="shared" si="686"/>
        <v>8400</v>
      </c>
      <c r="T1489" s="272">
        <v>8400</v>
      </c>
    </row>
    <row r="1490" spans="1:20" x14ac:dyDescent="0.2">
      <c r="A1490" s="8" t="str">
        <f t="shared" si="674"/>
        <v>21011810</v>
      </c>
      <c r="B1490" s="8">
        <v>2101</v>
      </c>
      <c r="C1490" s="8">
        <v>18</v>
      </c>
      <c r="D1490" s="8" t="s">
        <v>62</v>
      </c>
      <c r="E1490" s="8">
        <v>0</v>
      </c>
      <c r="F1490" s="34">
        <f>ROUNDDOWN($P1490/4*$O1490*10*$N1490/$N1490*$Q1490/400,0)</f>
        <v>49478</v>
      </c>
      <c r="G1490" s="34">
        <f>ROUNDDOWN($P1490/4*$O1490*10*$N1490/$N1490*$Q1490/400,0)</f>
        <v>49478</v>
      </c>
      <c r="H1490" s="34">
        <f t="shared" si="685"/>
        <v>22300</v>
      </c>
      <c r="I1490" s="34">
        <f t="shared" si="685"/>
        <v>22300</v>
      </c>
      <c r="J1490" s="34">
        <f>ROUNDDOWN($P1490/4*$O1490*10*$N1490/$Q1490*$N1490/400,0)</f>
        <v>35334</v>
      </c>
      <c r="K1490" s="133">
        <v>1000</v>
      </c>
      <c r="L1490" s="34"/>
      <c r="M1490" s="16">
        <f t="shared" si="691"/>
        <v>15795.918670765561</v>
      </c>
      <c r="N1490" s="36">
        <v>600</v>
      </c>
      <c r="O1490" s="36">
        <v>0.5</v>
      </c>
      <c r="P1490" s="47">
        <v>22300</v>
      </c>
      <c r="Q1490" s="2" t="s">
        <v>104</v>
      </c>
      <c r="S1490" s="61">
        <f t="shared" si="686"/>
        <v>8920</v>
      </c>
      <c r="T1490" s="272">
        <v>8920</v>
      </c>
    </row>
    <row r="1491" spans="1:20" x14ac:dyDescent="0.2">
      <c r="A1491" s="8" t="str">
        <f t="shared" si="674"/>
        <v>21011811</v>
      </c>
      <c r="B1491" s="8">
        <v>2101</v>
      </c>
      <c r="C1491" s="8">
        <v>18</v>
      </c>
      <c r="D1491" s="8" t="s">
        <v>62</v>
      </c>
      <c r="E1491" s="8">
        <v>1</v>
      </c>
      <c r="F1491" s="34">
        <f t="shared" ref="F1491:G1494" si="696">ROUNDDOWN($P1491/4*$O1491*10*$N1491/$N1491*$Q1491/400,0)</f>
        <v>98956</v>
      </c>
      <c r="G1491" s="34">
        <f t="shared" si="696"/>
        <v>98956</v>
      </c>
      <c r="H1491" s="34">
        <f t="shared" si="685"/>
        <v>22300</v>
      </c>
      <c r="I1491" s="34">
        <f t="shared" si="685"/>
        <v>22300</v>
      </c>
      <c r="J1491" s="34">
        <f t="shared" ref="J1491:J1494" si="697">ROUNDDOWN($P1491/4*$O1491*10*$N1491/$Q1491*$N1491/400,0)</f>
        <v>70669</v>
      </c>
      <c r="K1491" s="133">
        <v>1000</v>
      </c>
      <c r="L1491" s="34"/>
      <c r="M1491" s="16">
        <f t="shared" si="691"/>
        <v>31592.060863673963</v>
      </c>
      <c r="N1491" s="36">
        <v>600</v>
      </c>
      <c r="O1491" s="36">
        <v>1</v>
      </c>
      <c r="P1491" s="2" t="s">
        <v>220</v>
      </c>
      <c r="Q1491" s="2" t="s">
        <v>104</v>
      </c>
      <c r="S1491" s="61">
        <f t="shared" si="686"/>
        <v>8920</v>
      </c>
      <c r="T1491" s="272">
        <v>8920</v>
      </c>
    </row>
    <row r="1492" spans="1:20" x14ac:dyDescent="0.2">
      <c r="A1492" s="8" t="str">
        <f t="shared" si="674"/>
        <v>21011812</v>
      </c>
      <c r="B1492" s="8">
        <v>2101</v>
      </c>
      <c r="C1492" s="8">
        <v>18</v>
      </c>
      <c r="D1492" s="8" t="s">
        <v>62</v>
      </c>
      <c r="E1492" s="8">
        <v>2</v>
      </c>
      <c r="F1492" s="34">
        <f t="shared" si="696"/>
        <v>197912</v>
      </c>
      <c r="G1492" s="34">
        <f t="shared" si="696"/>
        <v>197912</v>
      </c>
      <c r="H1492" s="34">
        <f t="shared" si="685"/>
        <v>22300</v>
      </c>
      <c r="I1492" s="34">
        <f t="shared" si="685"/>
        <v>22300</v>
      </c>
      <c r="J1492" s="34">
        <f t="shared" si="697"/>
        <v>141338</v>
      </c>
      <c r="K1492" s="133">
        <v>1000</v>
      </c>
      <c r="L1492" s="34"/>
      <c r="M1492" s="16">
        <f t="shared" si="691"/>
        <v>63184.121727347927</v>
      </c>
      <c r="N1492" s="36">
        <v>600</v>
      </c>
      <c r="O1492" s="36">
        <v>2</v>
      </c>
      <c r="P1492" s="2" t="s">
        <v>220</v>
      </c>
      <c r="Q1492" s="2" t="s">
        <v>104</v>
      </c>
      <c r="S1492" s="61">
        <f t="shared" si="686"/>
        <v>8920</v>
      </c>
      <c r="T1492" s="272">
        <v>8920</v>
      </c>
    </row>
    <row r="1493" spans="1:20" x14ac:dyDescent="0.2">
      <c r="A1493" s="8" t="str">
        <f t="shared" si="674"/>
        <v>21011813</v>
      </c>
      <c r="B1493" s="8">
        <v>2101</v>
      </c>
      <c r="C1493" s="8">
        <v>18</v>
      </c>
      <c r="D1493" s="8" t="s">
        <v>62</v>
      </c>
      <c r="E1493" s="8">
        <v>3</v>
      </c>
      <c r="F1493" s="34">
        <f t="shared" si="696"/>
        <v>296868</v>
      </c>
      <c r="G1493" s="34">
        <f t="shared" si="696"/>
        <v>296868</v>
      </c>
      <c r="H1493" s="34">
        <f t="shared" si="685"/>
        <v>22300</v>
      </c>
      <c r="I1493" s="34">
        <f t="shared" si="685"/>
        <v>22300</v>
      </c>
      <c r="J1493" s="34">
        <f t="shared" si="697"/>
        <v>212007</v>
      </c>
      <c r="K1493" s="133">
        <v>1000</v>
      </c>
      <c r="L1493" s="34"/>
      <c r="M1493" s="16">
        <f t="shared" si="691"/>
        <v>94776.182591021876</v>
      </c>
      <c r="N1493" s="36">
        <v>600</v>
      </c>
      <c r="O1493" s="36">
        <v>3</v>
      </c>
      <c r="P1493" s="2" t="s">
        <v>220</v>
      </c>
      <c r="Q1493" s="2" t="s">
        <v>104</v>
      </c>
      <c r="S1493" s="61">
        <f t="shared" si="686"/>
        <v>8920</v>
      </c>
      <c r="T1493" s="272">
        <v>8920</v>
      </c>
    </row>
    <row r="1494" spans="1:20" x14ac:dyDescent="0.2">
      <c r="A1494" s="8" t="str">
        <f t="shared" si="674"/>
        <v>21011814</v>
      </c>
      <c r="B1494" s="8">
        <v>2101</v>
      </c>
      <c r="C1494" s="8">
        <v>18</v>
      </c>
      <c r="D1494" s="8" t="s">
        <v>62</v>
      </c>
      <c r="E1494" s="8">
        <v>4</v>
      </c>
      <c r="F1494" s="34">
        <f t="shared" si="696"/>
        <v>395825</v>
      </c>
      <c r="G1494" s="34">
        <f t="shared" si="696"/>
        <v>395825</v>
      </c>
      <c r="H1494" s="34">
        <f t="shared" si="685"/>
        <v>22300</v>
      </c>
      <c r="I1494" s="34">
        <f t="shared" si="685"/>
        <v>22300</v>
      </c>
      <c r="J1494" s="34">
        <f t="shared" si="697"/>
        <v>282676</v>
      </c>
      <c r="K1494" s="133">
        <v>1000</v>
      </c>
      <c r="L1494" s="34"/>
      <c r="M1494" s="16">
        <f t="shared" si="691"/>
        <v>126368.40308140323</v>
      </c>
      <c r="N1494" s="36">
        <v>600</v>
      </c>
      <c r="O1494" s="36">
        <v>4</v>
      </c>
      <c r="P1494" s="2" t="s">
        <v>220</v>
      </c>
      <c r="Q1494" s="2" t="s">
        <v>104</v>
      </c>
      <c r="S1494" s="61">
        <f t="shared" si="686"/>
        <v>8920</v>
      </c>
      <c r="T1494" s="272">
        <v>8920</v>
      </c>
    </row>
    <row r="1495" spans="1:20" x14ac:dyDescent="0.2">
      <c r="A1495" s="8" t="str">
        <f t="shared" si="674"/>
        <v>21011910</v>
      </c>
      <c r="B1495" s="8">
        <v>2101</v>
      </c>
      <c r="C1495" s="8">
        <v>19</v>
      </c>
      <c r="D1495" s="8" t="s">
        <v>62</v>
      </c>
      <c r="E1495" s="8">
        <v>0</v>
      </c>
      <c r="F1495" s="34">
        <f>ROUNDDOWN($P1495/4*$O1495*10*$N1495/$N1495*$Q1495/400,0)</f>
        <v>52362</v>
      </c>
      <c r="G1495" s="34">
        <f>ROUNDDOWN($P1495/4*$O1495*10*$N1495/$N1495*$Q1495/400,0)</f>
        <v>52362</v>
      </c>
      <c r="H1495" s="34">
        <f t="shared" si="685"/>
        <v>23600</v>
      </c>
      <c r="I1495" s="34">
        <f t="shared" si="685"/>
        <v>23600</v>
      </c>
      <c r="J1495" s="34">
        <f>ROUNDDOWN($P1495/4*$O1495*10*$N1495/$Q1495*$N1495/400,0)</f>
        <v>37394</v>
      </c>
      <c r="K1495" s="133">
        <v>1000</v>
      </c>
      <c r="L1495" s="34"/>
      <c r="M1495" s="16">
        <f t="shared" si="691"/>
        <v>17197.093935113571</v>
      </c>
      <c r="N1495" s="36">
        <v>600</v>
      </c>
      <c r="O1495" s="36">
        <v>0.5</v>
      </c>
      <c r="P1495" s="47">
        <v>23600</v>
      </c>
      <c r="Q1495" s="2" t="s">
        <v>104</v>
      </c>
      <c r="S1495" s="61">
        <f t="shared" si="686"/>
        <v>9440</v>
      </c>
      <c r="T1495" s="272">
        <v>9440</v>
      </c>
    </row>
    <row r="1496" spans="1:20" x14ac:dyDescent="0.2">
      <c r="A1496" s="8" t="str">
        <f t="shared" si="674"/>
        <v>21011911</v>
      </c>
      <c r="B1496" s="8">
        <v>2101</v>
      </c>
      <c r="C1496" s="8">
        <v>19</v>
      </c>
      <c r="D1496" s="8" t="s">
        <v>62</v>
      </c>
      <c r="E1496" s="8">
        <v>1</v>
      </c>
      <c r="F1496" s="34">
        <f t="shared" ref="F1496:G1499" si="698">ROUNDDOWN($P1496/4*$O1496*10*$N1496/$N1496*$Q1496/400,0)</f>
        <v>104725</v>
      </c>
      <c r="G1496" s="34">
        <f t="shared" si="698"/>
        <v>104725</v>
      </c>
      <c r="H1496" s="34">
        <f t="shared" si="685"/>
        <v>23600</v>
      </c>
      <c r="I1496" s="34">
        <f t="shared" si="685"/>
        <v>23600</v>
      </c>
      <c r="J1496" s="34">
        <f t="shared" ref="J1496:J1499" si="699">ROUNDDOWN($P1496/4*$O1496*10*$N1496/$Q1496*$N1496/400,0)</f>
        <v>74788</v>
      </c>
      <c r="K1496" s="133">
        <v>1000</v>
      </c>
      <c r="L1496" s="34"/>
      <c r="M1496" s="16">
        <f t="shared" si="691"/>
        <v>34394.352083329031</v>
      </c>
      <c r="N1496" s="36">
        <v>600</v>
      </c>
      <c r="O1496" s="36">
        <v>1</v>
      </c>
      <c r="P1496" s="2" t="s">
        <v>221</v>
      </c>
      <c r="Q1496" s="2" t="s">
        <v>104</v>
      </c>
      <c r="S1496" s="61">
        <f t="shared" si="686"/>
        <v>9440</v>
      </c>
      <c r="T1496" s="272">
        <v>9440</v>
      </c>
    </row>
    <row r="1497" spans="1:20" x14ac:dyDescent="0.2">
      <c r="A1497" s="8" t="str">
        <f t="shared" si="674"/>
        <v>21011912</v>
      </c>
      <c r="B1497" s="8">
        <v>2101</v>
      </c>
      <c r="C1497" s="8">
        <v>19</v>
      </c>
      <c r="D1497" s="8" t="s">
        <v>62</v>
      </c>
      <c r="E1497" s="8">
        <v>2</v>
      </c>
      <c r="F1497" s="34">
        <f t="shared" si="698"/>
        <v>209450</v>
      </c>
      <c r="G1497" s="34">
        <f t="shared" si="698"/>
        <v>209450</v>
      </c>
      <c r="H1497" s="34">
        <f t="shared" si="685"/>
        <v>23600</v>
      </c>
      <c r="I1497" s="34">
        <f t="shared" si="685"/>
        <v>23600</v>
      </c>
      <c r="J1497" s="34">
        <f t="shared" si="699"/>
        <v>149577</v>
      </c>
      <c r="K1497" s="133">
        <v>1000</v>
      </c>
      <c r="L1497" s="34"/>
      <c r="M1497" s="16">
        <f t="shared" si="691"/>
        <v>68788.934111934024</v>
      </c>
      <c r="N1497" s="36">
        <v>600</v>
      </c>
      <c r="O1497" s="36">
        <v>2</v>
      </c>
      <c r="P1497" s="2" t="s">
        <v>221</v>
      </c>
      <c r="Q1497" s="2" t="s">
        <v>104</v>
      </c>
      <c r="S1497" s="61">
        <f t="shared" si="686"/>
        <v>9440</v>
      </c>
      <c r="T1497" s="272">
        <v>9440</v>
      </c>
    </row>
    <row r="1498" spans="1:20" x14ac:dyDescent="0.2">
      <c r="A1498" s="8" t="str">
        <f t="shared" si="674"/>
        <v>21011913</v>
      </c>
      <c r="B1498" s="8">
        <v>2101</v>
      </c>
      <c r="C1498" s="8">
        <v>19</v>
      </c>
      <c r="D1498" s="8" t="s">
        <v>62</v>
      </c>
      <c r="E1498" s="8">
        <v>3</v>
      </c>
      <c r="F1498" s="34">
        <f t="shared" si="698"/>
        <v>314175</v>
      </c>
      <c r="G1498" s="34">
        <f t="shared" si="698"/>
        <v>314175</v>
      </c>
      <c r="H1498" s="34">
        <f t="shared" si="685"/>
        <v>23600</v>
      </c>
      <c r="I1498" s="34">
        <f t="shared" si="685"/>
        <v>23600</v>
      </c>
      <c r="J1498" s="34">
        <f t="shared" si="699"/>
        <v>224366</v>
      </c>
      <c r="K1498" s="133">
        <v>1000</v>
      </c>
      <c r="L1498" s="34"/>
      <c r="M1498" s="16">
        <f t="shared" si="691"/>
        <v>103183.51614028279</v>
      </c>
      <c r="N1498" s="36">
        <v>600</v>
      </c>
      <c r="O1498" s="36">
        <v>3</v>
      </c>
      <c r="P1498" s="2" t="s">
        <v>221</v>
      </c>
      <c r="Q1498" s="2" t="s">
        <v>104</v>
      </c>
      <c r="S1498" s="61">
        <f t="shared" si="686"/>
        <v>9440</v>
      </c>
      <c r="T1498" s="272">
        <v>9440</v>
      </c>
    </row>
    <row r="1499" spans="1:20" x14ac:dyDescent="0.2">
      <c r="A1499" s="8" t="str">
        <f t="shared" si="674"/>
        <v>21011914</v>
      </c>
      <c r="B1499" s="8">
        <v>2101</v>
      </c>
      <c r="C1499" s="8">
        <v>19</v>
      </c>
      <c r="D1499" s="8" t="s">
        <v>62</v>
      </c>
      <c r="E1499" s="8">
        <v>4</v>
      </c>
      <c r="F1499" s="34">
        <f t="shared" si="698"/>
        <v>418900</v>
      </c>
      <c r="G1499" s="34">
        <f t="shared" si="698"/>
        <v>418900</v>
      </c>
      <c r="H1499" s="34">
        <f t="shared" si="685"/>
        <v>23600</v>
      </c>
      <c r="I1499" s="34">
        <f t="shared" si="685"/>
        <v>23600</v>
      </c>
      <c r="J1499" s="34">
        <f t="shared" si="699"/>
        <v>299154</v>
      </c>
      <c r="K1499" s="133">
        <v>1000</v>
      </c>
      <c r="L1499" s="34"/>
      <c r="M1499" s="16">
        <f t="shared" si="691"/>
        <v>137577.86822386805</v>
      </c>
      <c r="N1499" s="36">
        <v>600</v>
      </c>
      <c r="O1499" s="36">
        <v>4</v>
      </c>
      <c r="P1499" s="2" t="s">
        <v>221</v>
      </c>
      <c r="Q1499" s="2" t="s">
        <v>104</v>
      </c>
      <c r="S1499" s="61">
        <f t="shared" si="686"/>
        <v>9440</v>
      </c>
      <c r="T1499" s="272">
        <v>9440</v>
      </c>
    </row>
    <row r="1500" spans="1:20" x14ac:dyDescent="0.2">
      <c r="A1500" s="8" t="str">
        <f t="shared" si="674"/>
        <v>21012010</v>
      </c>
      <c r="B1500" s="8">
        <v>2101</v>
      </c>
      <c r="C1500" s="8">
        <v>20</v>
      </c>
      <c r="D1500" s="8" t="s">
        <v>62</v>
      </c>
      <c r="E1500" s="8">
        <v>0</v>
      </c>
      <c r="F1500" s="34">
        <f>ROUNDDOWN($P1500/4*$O1500*10*$N1500/$N1500*$Q1500/400,0)</f>
        <v>55246</v>
      </c>
      <c r="G1500" s="34">
        <f>ROUNDDOWN($P1500/4*$O1500*10*$N1500/$N1500*$Q1500/400,0)</f>
        <v>55246</v>
      </c>
      <c r="H1500" s="34">
        <f t="shared" si="685"/>
        <v>24900</v>
      </c>
      <c r="I1500" s="34">
        <f t="shared" si="685"/>
        <v>24900</v>
      </c>
      <c r="J1500" s="34">
        <f>ROUNDDOWN($P1500/4*$O1500*10*$N1500/$Q1500*$N1500/400,0)</f>
        <v>39454</v>
      </c>
      <c r="K1500" s="133">
        <v>1000</v>
      </c>
      <c r="L1500" s="34"/>
      <c r="M1500" s="16">
        <f t="shared" si="691"/>
        <v>18637.41175706112</v>
      </c>
      <c r="N1500" s="36">
        <v>600</v>
      </c>
      <c r="O1500" s="36">
        <v>0.5</v>
      </c>
      <c r="P1500" s="47">
        <v>24900</v>
      </c>
      <c r="Q1500" s="2" t="s">
        <v>104</v>
      </c>
      <c r="S1500" s="61">
        <f t="shared" si="686"/>
        <v>9960</v>
      </c>
      <c r="T1500" s="272">
        <v>9960</v>
      </c>
    </row>
    <row r="1501" spans="1:20" x14ac:dyDescent="0.2">
      <c r="A1501" s="8" t="str">
        <f t="shared" si="674"/>
        <v>21012011</v>
      </c>
      <c r="B1501" s="8">
        <v>2101</v>
      </c>
      <c r="C1501" s="8">
        <v>20</v>
      </c>
      <c r="D1501" s="8" t="s">
        <v>62</v>
      </c>
      <c r="E1501" s="8">
        <v>1</v>
      </c>
      <c r="F1501" s="34">
        <f t="shared" ref="F1501:G1504" si="700">ROUNDDOWN($P1501/4*$O1501*10*$N1501/$N1501*$Q1501/400,0)</f>
        <v>110493</v>
      </c>
      <c r="G1501" s="34">
        <f t="shared" si="700"/>
        <v>110493</v>
      </c>
      <c r="H1501" s="34">
        <f t="shared" si="685"/>
        <v>24900</v>
      </c>
      <c r="I1501" s="34">
        <f t="shared" si="685"/>
        <v>24900</v>
      </c>
      <c r="J1501" s="34">
        <f t="shared" ref="J1501:J1504" si="701">ROUNDDOWN($P1501/4*$O1501*10*$N1501/$Q1501*$N1501/400,0)</f>
        <v>78908</v>
      </c>
      <c r="K1501" s="133">
        <v>1000</v>
      </c>
      <c r="L1501" s="34"/>
      <c r="M1501" s="16">
        <f t="shared" si="691"/>
        <v>37274.992190312259</v>
      </c>
      <c r="N1501" s="36">
        <v>600</v>
      </c>
      <c r="O1501" s="36">
        <v>1</v>
      </c>
      <c r="P1501" s="2" t="s">
        <v>222</v>
      </c>
      <c r="Q1501" s="2" t="s">
        <v>104</v>
      </c>
      <c r="S1501" s="61">
        <f t="shared" si="686"/>
        <v>9960</v>
      </c>
      <c r="T1501" s="272">
        <v>9960</v>
      </c>
    </row>
    <row r="1502" spans="1:20" x14ac:dyDescent="0.2">
      <c r="A1502" s="8" t="str">
        <f t="shared" si="674"/>
        <v>21012012</v>
      </c>
      <c r="B1502" s="8">
        <v>2101</v>
      </c>
      <c r="C1502" s="8">
        <v>20</v>
      </c>
      <c r="D1502" s="8" t="s">
        <v>62</v>
      </c>
      <c r="E1502" s="8">
        <v>2</v>
      </c>
      <c r="F1502" s="34">
        <f t="shared" si="700"/>
        <v>220987</v>
      </c>
      <c r="G1502" s="34">
        <f t="shared" si="700"/>
        <v>220987</v>
      </c>
      <c r="H1502" s="34">
        <f t="shared" si="685"/>
        <v>24900</v>
      </c>
      <c r="I1502" s="34">
        <f t="shared" si="685"/>
        <v>24900</v>
      </c>
      <c r="J1502" s="34">
        <f t="shared" si="701"/>
        <v>157816</v>
      </c>
      <c r="K1502" s="133">
        <v>1000</v>
      </c>
      <c r="L1502" s="34"/>
      <c r="M1502" s="16">
        <f t="shared" si="691"/>
        <v>74550.153056242081</v>
      </c>
      <c r="N1502" s="36">
        <v>600</v>
      </c>
      <c r="O1502" s="36">
        <v>2</v>
      </c>
      <c r="P1502" s="2" t="s">
        <v>222</v>
      </c>
      <c r="Q1502" s="2" t="s">
        <v>104</v>
      </c>
      <c r="S1502" s="61">
        <f t="shared" si="686"/>
        <v>9960</v>
      </c>
      <c r="T1502" s="272">
        <v>9960</v>
      </c>
    </row>
    <row r="1503" spans="1:20" x14ac:dyDescent="0.2">
      <c r="A1503" s="8" t="str">
        <f t="shared" si="674"/>
        <v>21012013</v>
      </c>
      <c r="B1503" s="8">
        <v>2101</v>
      </c>
      <c r="C1503" s="8">
        <v>20</v>
      </c>
      <c r="D1503" s="8" t="s">
        <v>62</v>
      </c>
      <c r="E1503" s="8">
        <v>3</v>
      </c>
      <c r="F1503" s="34">
        <f t="shared" si="700"/>
        <v>331481</v>
      </c>
      <c r="G1503" s="34">
        <f t="shared" si="700"/>
        <v>331481</v>
      </c>
      <c r="H1503" s="34">
        <f t="shared" si="685"/>
        <v>24900</v>
      </c>
      <c r="I1503" s="34">
        <f t="shared" si="685"/>
        <v>24900</v>
      </c>
      <c r="J1503" s="34">
        <f t="shared" si="701"/>
        <v>236725</v>
      </c>
      <c r="K1503" s="133">
        <v>1000</v>
      </c>
      <c r="L1503" s="34"/>
      <c r="M1503" s="16">
        <f t="shared" si="691"/>
        <v>111825.55011523976</v>
      </c>
      <c r="N1503" s="36">
        <v>600</v>
      </c>
      <c r="O1503" s="36">
        <v>3</v>
      </c>
      <c r="P1503" s="2" t="s">
        <v>222</v>
      </c>
      <c r="Q1503" s="2" t="s">
        <v>104</v>
      </c>
      <c r="S1503" s="61">
        <f t="shared" si="686"/>
        <v>9960</v>
      </c>
      <c r="T1503" s="272">
        <v>9960</v>
      </c>
    </row>
    <row r="1504" spans="1:20" x14ac:dyDescent="0.2">
      <c r="A1504" s="8" t="str">
        <f t="shared" si="674"/>
        <v>21012014</v>
      </c>
      <c r="B1504" s="8">
        <v>2101</v>
      </c>
      <c r="C1504" s="8">
        <v>20</v>
      </c>
      <c r="D1504" s="8" t="s">
        <v>62</v>
      </c>
      <c r="E1504" s="8">
        <v>4</v>
      </c>
      <c r="F1504" s="34">
        <f t="shared" si="700"/>
        <v>441975</v>
      </c>
      <c r="G1504" s="34">
        <f t="shared" si="700"/>
        <v>441975</v>
      </c>
      <c r="H1504" s="34">
        <f t="shared" si="685"/>
        <v>24900</v>
      </c>
      <c r="I1504" s="34">
        <f t="shared" si="685"/>
        <v>24900</v>
      </c>
      <c r="J1504" s="34">
        <f t="shared" si="701"/>
        <v>315633</v>
      </c>
      <c r="K1504" s="133">
        <v>1000</v>
      </c>
      <c r="L1504" s="34"/>
      <c r="M1504" s="16">
        <f t="shared" si="691"/>
        <v>149100.710981162</v>
      </c>
      <c r="N1504" s="36">
        <v>600</v>
      </c>
      <c r="O1504" s="36">
        <v>4</v>
      </c>
      <c r="P1504" s="2" t="s">
        <v>222</v>
      </c>
      <c r="Q1504" s="2" t="s">
        <v>104</v>
      </c>
      <c r="S1504" s="61">
        <f t="shared" si="686"/>
        <v>9960</v>
      </c>
      <c r="T1504" s="272">
        <v>9960</v>
      </c>
    </row>
    <row r="1505" spans="1:20" ht="38.25" x14ac:dyDescent="0.2">
      <c r="A1505" s="8" t="str">
        <f t="shared" si="674"/>
        <v/>
      </c>
      <c r="B1505" s="5"/>
      <c r="C1505" s="6" t="s">
        <v>84</v>
      </c>
      <c r="D1505" s="5"/>
      <c r="E1505" s="5"/>
      <c r="F1505" s="5"/>
      <c r="G1505" s="5"/>
      <c r="H1505" s="5"/>
      <c r="I1505" s="5"/>
      <c r="J1505" s="5"/>
      <c r="K1505" s="133">
        <v>1000</v>
      </c>
      <c r="L1505" s="5"/>
      <c r="M1505" s="16">
        <f t="shared" si="691"/>
        <v>0</v>
      </c>
      <c r="N1505" s="5"/>
      <c r="O1505" s="5"/>
      <c r="P1505" s="5"/>
      <c r="Q1505" s="5"/>
      <c r="R1505" s="5"/>
      <c r="S1505" s="30"/>
      <c r="T1505" s="266"/>
    </row>
    <row r="1506" spans="1:20" x14ac:dyDescent="0.2">
      <c r="A1506" s="8" t="str">
        <f t="shared" ref="A1506:A2084" si="702">IF(B1506="","",CONCATENATE(B1506,CONCATENATE(REPT(0,2-LEN(C1506)),C1506),IF(OR(D1506="Easy",D1506=""),1,IF(D1506="Normal",2,IF(D1506="Hard",3,IF(D1506="Hell",4,"error")))),E1506))</f>
        <v>22614</v>
      </c>
      <c r="B1506" s="8">
        <v>2</v>
      </c>
      <c r="C1506" s="8">
        <v>26</v>
      </c>
      <c r="D1506" s="8" t="s">
        <v>62</v>
      </c>
      <c r="E1506" s="8">
        <v>4</v>
      </c>
      <c r="F1506" s="34">
        <f t="shared" ref="F1506:G1508" si="703">ROUNDDOWN($P1506/4*$O1506*10*$N1506/$N1506*$Q1506/400,0)</f>
        <v>23146</v>
      </c>
      <c r="G1506" s="34">
        <f t="shared" si="703"/>
        <v>23146</v>
      </c>
      <c r="H1506" s="34">
        <f t="shared" ref="H1506:I1508" si="704">ROUNDDOWN($S1506/4*10,0)</f>
        <v>2390</v>
      </c>
      <c r="I1506" s="34">
        <f t="shared" si="704"/>
        <v>2390</v>
      </c>
      <c r="J1506" s="34">
        <f t="shared" ref="J1506:J1508" si="705">ROUNDDOWN($P1506/4*$O1506*10*$N1506/$Q1506*$N1506/400,0)</f>
        <v>26520</v>
      </c>
      <c r="K1506" s="133">
        <v>1000</v>
      </c>
      <c r="L1506" s="34"/>
      <c r="M1506" s="16">
        <f t="shared" si="691"/>
        <v>3064.1757534971784</v>
      </c>
      <c r="N1506" s="36">
        <v>760</v>
      </c>
      <c r="O1506" s="36">
        <v>4</v>
      </c>
      <c r="P1506" s="2" t="s">
        <v>108</v>
      </c>
      <c r="Q1506" s="2" t="s">
        <v>104</v>
      </c>
      <c r="S1506" s="36" t="s">
        <v>129</v>
      </c>
    </row>
    <row r="1507" spans="1:20" x14ac:dyDescent="0.2">
      <c r="A1507" s="8" t="str">
        <f t="shared" si="702"/>
        <v>22624</v>
      </c>
      <c r="B1507" s="8">
        <v>2</v>
      </c>
      <c r="C1507" s="8">
        <v>26</v>
      </c>
      <c r="D1507" s="8" t="s">
        <v>63</v>
      </c>
      <c r="E1507" s="8">
        <v>4</v>
      </c>
      <c r="F1507" s="34">
        <f t="shared" si="703"/>
        <v>29039</v>
      </c>
      <c r="G1507" s="34">
        <f t="shared" si="703"/>
        <v>29039</v>
      </c>
      <c r="H1507" s="34">
        <f t="shared" si="704"/>
        <v>2830</v>
      </c>
      <c r="I1507" s="34">
        <f t="shared" si="704"/>
        <v>2830</v>
      </c>
      <c r="J1507" s="34">
        <f t="shared" si="705"/>
        <v>33273</v>
      </c>
      <c r="K1507" s="133">
        <v>1000</v>
      </c>
      <c r="L1507" s="34"/>
      <c r="M1507" s="16">
        <f t="shared" si="691"/>
        <v>4183.3096570136904</v>
      </c>
      <c r="N1507" s="36">
        <v>760</v>
      </c>
      <c r="O1507" s="36">
        <v>4</v>
      </c>
      <c r="P1507" s="2" t="s">
        <v>109</v>
      </c>
      <c r="Q1507" s="2" t="s">
        <v>104</v>
      </c>
      <c r="S1507" s="36" t="s">
        <v>132</v>
      </c>
    </row>
    <row r="1508" spans="1:20" x14ac:dyDescent="0.2">
      <c r="A1508" s="8" t="str">
        <f t="shared" si="702"/>
        <v>22634</v>
      </c>
      <c r="B1508" s="8">
        <v>2</v>
      </c>
      <c r="C1508" s="8">
        <v>26</v>
      </c>
      <c r="D1508" s="8" t="s">
        <v>64</v>
      </c>
      <c r="E1508" s="8">
        <v>4</v>
      </c>
      <c r="F1508" s="34">
        <f t="shared" si="703"/>
        <v>33991</v>
      </c>
      <c r="G1508" s="34">
        <f t="shared" si="703"/>
        <v>33991</v>
      </c>
      <c r="H1508" s="34">
        <f t="shared" si="704"/>
        <v>3110</v>
      </c>
      <c r="I1508" s="34">
        <f t="shared" si="704"/>
        <v>3110</v>
      </c>
      <c r="J1508" s="34">
        <f t="shared" si="705"/>
        <v>42772</v>
      </c>
      <c r="K1508" s="133">
        <v>1000</v>
      </c>
      <c r="L1508" s="34"/>
      <c r="M1508" s="16">
        <f t="shared" si="691"/>
        <v>5379.376375288125</v>
      </c>
      <c r="N1508" s="36">
        <v>820</v>
      </c>
      <c r="O1508" s="36">
        <v>4</v>
      </c>
      <c r="P1508" s="2" t="s">
        <v>110</v>
      </c>
      <c r="Q1508" s="2" t="s">
        <v>103</v>
      </c>
      <c r="S1508" s="36" t="s">
        <v>138</v>
      </c>
    </row>
    <row r="1509" spans="1:20" ht="38.25" x14ac:dyDescent="0.2">
      <c r="A1509" s="8" t="str">
        <f t="shared" si="702"/>
        <v/>
      </c>
      <c r="B1509" s="5"/>
      <c r="C1509" s="6" t="s">
        <v>106</v>
      </c>
      <c r="D1509" s="5"/>
      <c r="E1509" s="5"/>
      <c r="F1509" s="5"/>
      <c r="G1509" s="5"/>
      <c r="H1509" s="5"/>
      <c r="I1509" s="5"/>
      <c r="J1509" s="5"/>
      <c r="K1509" s="133">
        <v>1000</v>
      </c>
      <c r="L1509" s="5"/>
      <c r="M1509" s="16">
        <f t="shared" si="691"/>
        <v>0</v>
      </c>
      <c r="N1509" s="5"/>
      <c r="O1509" s="5"/>
      <c r="P1509" s="5"/>
      <c r="Q1509" s="5"/>
      <c r="R1509" s="5"/>
      <c r="S1509" s="30"/>
      <c r="T1509" s="266"/>
    </row>
    <row r="1510" spans="1:20" x14ac:dyDescent="0.2">
      <c r="A1510" s="8" t="str">
        <f t="shared" si="702"/>
        <v>32614</v>
      </c>
      <c r="B1510" s="8">
        <v>3</v>
      </c>
      <c r="C1510" s="8">
        <v>26</v>
      </c>
      <c r="D1510" s="8" t="s">
        <v>62</v>
      </c>
      <c r="E1510" s="8">
        <v>4</v>
      </c>
      <c r="F1510" s="34">
        <f t="shared" ref="F1510:G1512" si="706">ROUNDDOWN($P1510/4*$O1510*10*$N1510/$N1510*$Q1510/400,0)</f>
        <v>40351</v>
      </c>
      <c r="G1510" s="34">
        <f t="shared" si="706"/>
        <v>40351</v>
      </c>
      <c r="H1510" s="34">
        <f t="shared" ref="H1510:I1512" si="707">ROUNDDOWN($S1510/4*10,0)</f>
        <v>3110</v>
      </c>
      <c r="I1510" s="34">
        <f t="shared" si="707"/>
        <v>3110</v>
      </c>
      <c r="J1510" s="34">
        <f t="shared" ref="J1510:J1512" si="708">ROUNDDOWN($P1510/4*$O1510*10*$N1510/$Q1510*$N1510/400,0)</f>
        <v>50774</v>
      </c>
      <c r="K1510" s="133">
        <v>1000</v>
      </c>
      <c r="L1510" s="34"/>
      <c r="M1510" s="16">
        <f t="shared" si="691"/>
        <v>6385.8398382120431</v>
      </c>
      <c r="N1510" s="36">
        <v>820</v>
      </c>
      <c r="O1510" s="36">
        <v>4</v>
      </c>
      <c r="P1510" s="2" t="s">
        <v>111</v>
      </c>
      <c r="Q1510" s="2" t="s">
        <v>103</v>
      </c>
      <c r="S1510" s="36" t="s">
        <v>138</v>
      </c>
    </row>
    <row r="1511" spans="1:20" x14ac:dyDescent="0.2">
      <c r="A1511" s="8" t="str">
        <f t="shared" si="702"/>
        <v>32624</v>
      </c>
      <c r="B1511" s="8">
        <v>3</v>
      </c>
      <c r="C1511" s="8">
        <v>26</v>
      </c>
      <c r="D1511" s="8" t="s">
        <v>63</v>
      </c>
      <c r="E1511" s="8">
        <v>4</v>
      </c>
      <c r="F1511" s="34">
        <f t="shared" si="706"/>
        <v>48611</v>
      </c>
      <c r="G1511" s="34">
        <f t="shared" si="706"/>
        <v>48611</v>
      </c>
      <c r="H1511" s="34">
        <f t="shared" si="707"/>
        <v>3640</v>
      </c>
      <c r="I1511" s="34">
        <f t="shared" si="707"/>
        <v>3640</v>
      </c>
      <c r="J1511" s="34">
        <f t="shared" si="708"/>
        <v>61169</v>
      </c>
      <c r="K1511" s="133">
        <v>1000</v>
      </c>
      <c r="L1511" s="34"/>
      <c r="M1511" s="16">
        <f t="shared" si="691"/>
        <v>8322.8802640470567</v>
      </c>
      <c r="N1511" s="36">
        <v>820</v>
      </c>
      <c r="O1511" s="36">
        <v>4</v>
      </c>
      <c r="P1511" s="2" t="s">
        <v>112</v>
      </c>
      <c r="Q1511" s="2" t="s">
        <v>103</v>
      </c>
      <c r="S1511" s="36" t="s">
        <v>139</v>
      </c>
    </row>
    <row r="1512" spans="1:20" x14ac:dyDescent="0.2">
      <c r="A1512" s="8" t="str">
        <f t="shared" si="702"/>
        <v>32634</v>
      </c>
      <c r="B1512" s="8">
        <v>3</v>
      </c>
      <c r="C1512" s="8">
        <v>26</v>
      </c>
      <c r="D1512" s="8" t="s">
        <v>64</v>
      </c>
      <c r="E1512" s="8">
        <v>4</v>
      </c>
      <c r="F1512" s="34">
        <f t="shared" si="706"/>
        <v>61257</v>
      </c>
      <c r="G1512" s="34">
        <f t="shared" si="706"/>
        <v>61257</v>
      </c>
      <c r="H1512" s="34">
        <f t="shared" si="707"/>
        <v>3930</v>
      </c>
      <c r="I1512" s="34">
        <f t="shared" si="707"/>
        <v>3930</v>
      </c>
      <c r="J1512" s="34">
        <f t="shared" si="708"/>
        <v>77082</v>
      </c>
      <c r="K1512" s="133">
        <v>1000</v>
      </c>
      <c r="L1512" s="34"/>
      <c r="M1512" s="16">
        <f t="shared" si="691"/>
        <v>10897.844616494034</v>
      </c>
      <c r="N1512" s="36">
        <v>820</v>
      </c>
      <c r="O1512" s="36">
        <v>4</v>
      </c>
      <c r="P1512" s="2" t="s">
        <v>113</v>
      </c>
      <c r="Q1512" s="2" t="s">
        <v>103</v>
      </c>
      <c r="S1512" s="36" t="s">
        <v>133</v>
      </c>
    </row>
    <row r="1513" spans="1:20" ht="38.25" x14ac:dyDescent="0.2">
      <c r="A1513" s="8" t="str">
        <f t="shared" si="702"/>
        <v/>
      </c>
      <c r="B1513" s="5"/>
      <c r="C1513" s="6" t="s">
        <v>86</v>
      </c>
      <c r="D1513" s="5"/>
      <c r="E1513" s="5"/>
      <c r="F1513" s="5"/>
      <c r="G1513" s="5"/>
      <c r="H1513" s="5"/>
      <c r="I1513" s="5"/>
      <c r="J1513" s="5"/>
      <c r="K1513" s="133">
        <v>1000</v>
      </c>
      <c r="L1513" s="5"/>
      <c r="M1513" s="16">
        <f t="shared" si="691"/>
        <v>0</v>
      </c>
      <c r="N1513" s="5"/>
      <c r="O1513" s="5"/>
      <c r="P1513" s="5"/>
      <c r="Q1513" s="5"/>
      <c r="R1513" s="5"/>
      <c r="S1513" s="30"/>
      <c r="T1513" s="266"/>
    </row>
    <row r="1514" spans="1:20" x14ac:dyDescent="0.2">
      <c r="A1514" s="8" t="str">
        <f t="shared" si="702"/>
        <v>42614</v>
      </c>
      <c r="B1514" s="8">
        <v>4</v>
      </c>
      <c r="C1514" s="8">
        <v>26</v>
      </c>
      <c r="D1514" s="8" t="s">
        <v>62</v>
      </c>
      <c r="E1514" s="8">
        <v>4</v>
      </c>
      <c r="F1514" s="34">
        <f t="shared" ref="F1514:G1516" si="709">ROUNDDOWN($P1514/4*$O1514*10*$N1514/$N1514*$Q1514/400,0)</f>
        <v>71272</v>
      </c>
      <c r="G1514" s="34">
        <f t="shared" si="709"/>
        <v>71272</v>
      </c>
      <c r="H1514" s="34">
        <f t="shared" ref="H1514:I1516" si="710">ROUNDDOWN($S1514/4*10,0)</f>
        <v>3930</v>
      </c>
      <c r="I1514" s="34">
        <f t="shared" si="710"/>
        <v>3930</v>
      </c>
      <c r="J1514" s="34">
        <f t="shared" ref="J1514:J1516" si="711">ROUNDDOWN($P1514/4*$O1514*10*$N1514/$Q1514*$N1514/400,0)</f>
        <v>89683</v>
      </c>
      <c r="K1514" s="133">
        <v>1000</v>
      </c>
      <c r="L1514" s="34"/>
      <c r="M1514" s="16">
        <f t="shared" si="691"/>
        <v>12679.461194780795</v>
      </c>
      <c r="N1514" s="36">
        <v>820</v>
      </c>
      <c r="O1514" s="36">
        <v>4</v>
      </c>
      <c r="P1514" s="2" t="s">
        <v>114</v>
      </c>
      <c r="Q1514" s="2" t="s">
        <v>103</v>
      </c>
      <c r="S1514" s="36" t="s">
        <v>133</v>
      </c>
    </row>
    <row r="1515" spans="1:20" x14ac:dyDescent="0.2">
      <c r="A1515" s="8" t="str">
        <f t="shared" si="702"/>
        <v>42624</v>
      </c>
      <c r="B1515" s="8">
        <v>4</v>
      </c>
      <c r="C1515" s="8">
        <v>26</v>
      </c>
      <c r="D1515" s="8" t="s">
        <v>63</v>
      </c>
      <c r="E1515" s="8">
        <v>4</v>
      </c>
      <c r="F1515" s="34">
        <f t="shared" si="709"/>
        <v>85746</v>
      </c>
      <c r="G1515" s="34">
        <f t="shared" si="709"/>
        <v>85746</v>
      </c>
      <c r="H1515" s="34">
        <f t="shared" si="710"/>
        <v>4690</v>
      </c>
      <c r="I1515" s="34">
        <f t="shared" si="710"/>
        <v>4690</v>
      </c>
      <c r="J1515" s="34">
        <f t="shared" si="711"/>
        <v>107896</v>
      </c>
      <c r="K1515" s="133">
        <v>1000</v>
      </c>
      <c r="L1515" s="34"/>
      <c r="M1515" s="16">
        <f t="shared" si="691"/>
        <v>16664.259326074352</v>
      </c>
      <c r="N1515" s="36">
        <v>820</v>
      </c>
      <c r="O1515" s="36">
        <v>4</v>
      </c>
      <c r="P1515" s="2" t="s">
        <v>117</v>
      </c>
      <c r="Q1515" s="2" t="s">
        <v>103</v>
      </c>
      <c r="S1515" s="36" t="s">
        <v>134</v>
      </c>
    </row>
    <row r="1516" spans="1:20" x14ac:dyDescent="0.2">
      <c r="A1516" s="8" t="str">
        <f t="shared" si="702"/>
        <v>42634</v>
      </c>
      <c r="B1516" s="8">
        <v>4</v>
      </c>
      <c r="C1516" s="8">
        <v>26</v>
      </c>
      <c r="D1516" s="8" t="s">
        <v>64</v>
      </c>
      <c r="E1516" s="8">
        <v>4</v>
      </c>
      <c r="F1516" s="34">
        <f t="shared" si="709"/>
        <v>95614</v>
      </c>
      <c r="G1516" s="34">
        <f t="shared" si="709"/>
        <v>95614</v>
      </c>
      <c r="H1516" s="34">
        <f t="shared" si="710"/>
        <v>4990</v>
      </c>
      <c r="I1516" s="34">
        <f t="shared" si="710"/>
        <v>4990</v>
      </c>
      <c r="J1516" s="34">
        <f t="shared" si="711"/>
        <v>120314</v>
      </c>
      <c r="K1516" s="133">
        <v>1000</v>
      </c>
      <c r="L1516" s="34"/>
      <c r="M1516" s="16">
        <f t="shared" si="691"/>
        <v>19167.218173043682</v>
      </c>
      <c r="N1516" s="36">
        <v>820</v>
      </c>
      <c r="O1516" s="36">
        <v>4</v>
      </c>
      <c r="P1516" s="2" t="s">
        <v>115</v>
      </c>
      <c r="Q1516" s="2" t="s">
        <v>103</v>
      </c>
      <c r="S1516" s="36" t="s">
        <v>135</v>
      </c>
    </row>
    <row r="1517" spans="1:20" ht="38.25" x14ac:dyDescent="0.2">
      <c r="A1517" s="8" t="str">
        <f t="shared" si="702"/>
        <v/>
      </c>
      <c r="B1517" s="5"/>
      <c r="C1517" s="6" t="s">
        <v>107</v>
      </c>
      <c r="D1517" s="5"/>
      <c r="E1517" s="5"/>
      <c r="F1517" s="5"/>
      <c r="G1517" s="5"/>
      <c r="H1517" s="5"/>
      <c r="I1517" s="5"/>
      <c r="J1517" s="5"/>
      <c r="K1517" s="133">
        <v>1000</v>
      </c>
      <c r="L1517" s="5"/>
      <c r="M1517" s="16">
        <f t="shared" si="691"/>
        <v>0</v>
      </c>
      <c r="N1517" s="5"/>
      <c r="O1517" s="5"/>
      <c r="P1517" s="5"/>
      <c r="Q1517" s="5"/>
      <c r="R1517" s="5"/>
      <c r="S1517" s="30"/>
      <c r="T1517" s="266"/>
    </row>
    <row r="1518" spans="1:20" x14ac:dyDescent="0.2">
      <c r="A1518" s="8" t="str">
        <f t="shared" si="702"/>
        <v>52614</v>
      </c>
      <c r="B1518" s="8">
        <v>5</v>
      </c>
      <c r="C1518" s="8">
        <v>26</v>
      </c>
      <c r="D1518" s="8" t="s">
        <v>62</v>
      </c>
      <c r="E1518" s="8">
        <v>4</v>
      </c>
      <c r="F1518" s="34">
        <f t="shared" ref="F1518:G1524" si="712">ROUNDDOWN($P1518/4*$O1518*10*$N1518/$N1518*$Q1518/400,0)</f>
        <v>109284</v>
      </c>
      <c r="G1518" s="34">
        <f t="shared" si="712"/>
        <v>109284</v>
      </c>
      <c r="H1518" s="34">
        <f t="shared" ref="H1518:I1524" si="713">ROUNDDOWN($S1518/4*10,0)</f>
        <v>4990</v>
      </c>
      <c r="I1518" s="34">
        <f t="shared" si="713"/>
        <v>4990</v>
      </c>
      <c r="J1518" s="34">
        <f t="shared" ref="J1518:J1524" si="714">ROUNDDOWN($P1518/4*$O1518*10*$N1518/$Q1518*$N1518/400,0)</f>
        <v>137515</v>
      </c>
      <c r="K1518" s="133">
        <v>1000</v>
      </c>
      <c r="L1518" s="34"/>
      <c r="M1518" s="16">
        <f t="shared" si="691"/>
        <v>21907.538707197575</v>
      </c>
      <c r="N1518" s="36">
        <v>820</v>
      </c>
      <c r="O1518" s="36">
        <v>4</v>
      </c>
      <c r="P1518" s="2" t="s">
        <v>118</v>
      </c>
      <c r="Q1518" s="2" t="s">
        <v>103</v>
      </c>
      <c r="S1518" s="36" t="s">
        <v>135</v>
      </c>
      <c r="T1518" s="116" t="s">
        <v>135</v>
      </c>
    </row>
    <row r="1519" spans="1:20" x14ac:dyDescent="0.2">
      <c r="A1519" s="8" t="str">
        <f t="shared" si="702"/>
        <v>52624</v>
      </c>
      <c r="B1519" s="8">
        <v>5</v>
      </c>
      <c r="C1519" s="8">
        <v>26</v>
      </c>
      <c r="D1519" s="8" t="s">
        <v>63</v>
      </c>
      <c r="E1519" s="8">
        <v>4</v>
      </c>
      <c r="F1519" s="34">
        <f t="shared" si="712"/>
        <v>125732</v>
      </c>
      <c r="G1519" s="34">
        <f t="shared" si="712"/>
        <v>125732</v>
      </c>
      <c r="H1519" s="34">
        <f t="shared" si="713"/>
        <v>5810</v>
      </c>
      <c r="I1519" s="34">
        <f t="shared" si="713"/>
        <v>5810</v>
      </c>
      <c r="J1519" s="34">
        <f t="shared" si="714"/>
        <v>158211</v>
      </c>
      <c r="K1519" s="133">
        <v>1000</v>
      </c>
      <c r="L1519" s="34"/>
      <c r="M1519" s="16">
        <f t="shared" si="691"/>
        <v>27196.893643340372</v>
      </c>
      <c r="N1519" s="36">
        <v>820</v>
      </c>
      <c r="O1519" s="36">
        <v>4</v>
      </c>
      <c r="P1519" s="2" t="s">
        <v>116</v>
      </c>
      <c r="Q1519" s="2" t="s">
        <v>103</v>
      </c>
      <c r="S1519" s="36" t="s">
        <v>136</v>
      </c>
      <c r="T1519" s="116" t="s">
        <v>136</v>
      </c>
    </row>
    <row r="1520" spans="1:20" x14ac:dyDescent="0.2">
      <c r="A1520" s="8" t="str">
        <f t="shared" si="702"/>
        <v>52634</v>
      </c>
      <c r="B1520" s="8">
        <v>5</v>
      </c>
      <c r="C1520" s="8">
        <v>26</v>
      </c>
      <c r="D1520" s="8" t="s">
        <v>64</v>
      </c>
      <c r="E1520" s="8">
        <v>4</v>
      </c>
      <c r="F1520" s="34">
        <f t="shared" si="712"/>
        <v>158407</v>
      </c>
      <c r="G1520" s="34">
        <f t="shared" si="712"/>
        <v>158407</v>
      </c>
      <c r="H1520" s="34">
        <f t="shared" si="713"/>
        <v>6050</v>
      </c>
      <c r="I1520" s="34">
        <f t="shared" si="713"/>
        <v>6050</v>
      </c>
      <c r="J1520" s="34">
        <f t="shared" si="714"/>
        <v>199328</v>
      </c>
      <c r="K1520" s="133">
        <v>1000</v>
      </c>
      <c r="L1520" s="34"/>
      <c r="M1520" s="16">
        <f t="shared" si="691"/>
        <v>34965.441269989999</v>
      </c>
      <c r="N1520" s="36">
        <v>820</v>
      </c>
      <c r="O1520" s="36">
        <v>4</v>
      </c>
      <c r="P1520" s="2" t="s">
        <v>119</v>
      </c>
      <c r="Q1520" s="2" t="s">
        <v>103</v>
      </c>
      <c r="S1520" s="36" t="s">
        <v>137</v>
      </c>
      <c r="T1520" s="116" t="s">
        <v>137</v>
      </c>
    </row>
    <row r="1521" spans="1:20" ht="38.25" x14ac:dyDescent="0.2">
      <c r="A1521" s="8" t="str">
        <f t="shared" si="702"/>
        <v/>
      </c>
      <c r="B1521" s="5"/>
      <c r="C1521" s="6" t="s">
        <v>175</v>
      </c>
      <c r="D1521" s="5"/>
      <c r="E1521" s="5"/>
      <c r="F1521" s="5"/>
      <c r="G1521" s="5"/>
      <c r="H1521" s="5"/>
      <c r="I1521" s="5"/>
      <c r="J1521" s="5"/>
      <c r="K1521" s="133">
        <v>1000</v>
      </c>
      <c r="L1521" s="5"/>
      <c r="M1521" s="16">
        <f t="shared" si="691"/>
        <v>0</v>
      </c>
      <c r="N1521" s="5"/>
      <c r="O1521" s="5"/>
      <c r="P1521" s="5"/>
      <c r="Q1521" s="5"/>
      <c r="R1521" s="5"/>
      <c r="S1521" s="30"/>
      <c r="T1521" s="266"/>
    </row>
    <row r="1522" spans="1:20" x14ac:dyDescent="0.2">
      <c r="A1522" s="8" t="str">
        <f t="shared" si="702"/>
        <v>62614</v>
      </c>
      <c r="B1522" s="8">
        <v>6</v>
      </c>
      <c r="C1522" s="8">
        <v>26</v>
      </c>
      <c r="D1522" s="8" t="s">
        <v>62</v>
      </c>
      <c r="E1522" s="8">
        <v>4</v>
      </c>
      <c r="F1522" s="34">
        <f t="shared" si="712"/>
        <v>212175</v>
      </c>
      <c r="G1522" s="34">
        <f t="shared" si="712"/>
        <v>212175</v>
      </c>
      <c r="H1522" s="34">
        <f t="shared" si="713"/>
        <v>10350</v>
      </c>
      <c r="I1522" s="34">
        <f t="shared" si="713"/>
        <v>10350</v>
      </c>
      <c r="J1522" s="34">
        <f t="shared" si="714"/>
        <v>212175</v>
      </c>
      <c r="K1522" s="133">
        <v>1000</v>
      </c>
      <c r="L1522" s="34"/>
      <c r="M1522" s="16">
        <f t="shared" si="691"/>
        <v>54607.761321995247</v>
      </c>
      <c r="N1522" s="36">
        <v>820</v>
      </c>
      <c r="O1522" s="36">
        <v>4</v>
      </c>
      <c r="P1522" s="52" t="s">
        <v>194</v>
      </c>
      <c r="Q1522" s="2" t="s">
        <v>183</v>
      </c>
      <c r="S1522" s="36">
        <f>INT($P1522/2.5)</f>
        <v>4140</v>
      </c>
      <c r="T1522" s="114">
        <f t="shared" ref="T1522:T1524" si="715">INT($P1522/2.5)</f>
        <v>4140</v>
      </c>
    </row>
    <row r="1523" spans="1:20" x14ac:dyDescent="0.2">
      <c r="A1523" s="8" t="str">
        <f t="shared" si="702"/>
        <v>62624</v>
      </c>
      <c r="B1523" s="8">
        <v>6</v>
      </c>
      <c r="C1523" s="8">
        <v>26</v>
      </c>
      <c r="D1523" s="8" t="s">
        <v>63</v>
      </c>
      <c r="E1523" s="8">
        <v>4</v>
      </c>
      <c r="F1523" s="34">
        <f t="shared" si="712"/>
        <v>285975</v>
      </c>
      <c r="G1523" s="34">
        <f t="shared" si="712"/>
        <v>285975</v>
      </c>
      <c r="H1523" s="34">
        <f t="shared" si="713"/>
        <v>13950</v>
      </c>
      <c r="I1523" s="34">
        <f t="shared" si="713"/>
        <v>13950</v>
      </c>
      <c r="J1523" s="34">
        <f t="shared" si="714"/>
        <v>285975</v>
      </c>
      <c r="K1523" s="133">
        <v>1000</v>
      </c>
      <c r="L1523" s="34"/>
      <c r="M1523" s="16">
        <f t="shared" si="691"/>
        <v>85448.640900835861</v>
      </c>
      <c r="N1523" s="36">
        <v>820</v>
      </c>
      <c r="O1523" s="36">
        <v>4</v>
      </c>
      <c r="P1523" s="52" t="s">
        <v>195</v>
      </c>
      <c r="Q1523" s="2" t="s">
        <v>183</v>
      </c>
      <c r="S1523" s="36">
        <f t="shared" ref="S1523:S1524" si="716">INT($P1523/2.5)</f>
        <v>5580</v>
      </c>
      <c r="T1523" s="114">
        <f t="shared" si="715"/>
        <v>5580</v>
      </c>
    </row>
    <row r="1524" spans="1:20" ht="13.5" x14ac:dyDescent="0.25">
      <c r="A1524" s="8" t="str">
        <f t="shared" si="702"/>
        <v>62634</v>
      </c>
      <c r="B1524" s="8">
        <v>6</v>
      </c>
      <c r="C1524" s="8">
        <v>26</v>
      </c>
      <c r="D1524" s="8" t="s">
        <v>64</v>
      </c>
      <c r="E1524" s="8">
        <v>4</v>
      </c>
      <c r="F1524" s="34">
        <f t="shared" si="712"/>
        <v>341776</v>
      </c>
      <c r="G1524" s="34">
        <f t="shared" si="712"/>
        <v>341776</v>
      </c>
      <c r="H1524" s="34">
        <f t="shared" si="713"/>
        <v>16670</v>
      </c>
      <c r="I1524" s="34">
        <f t="shared" si="713"/>
        <v>16670</v>
      </c>
      <c r="J1524" s="34">
        <f t="shared" si="714"/>
        <v>341776</v>
      </c>
      <c r="K1524" s="133">
        <v>1000</v>
      </c>
      <c r="L1524" s="34"/>
      <c r="M1524" s="16">
        <f t="shared" si="691"/>
        <v>111634.73597661746</v>
      </c>
      <c r="N1524" s="36">
        <v>820</v>
      </c>
      <c r="O1524" s="36">
        <v>4</v>
      </c>
      <c r="P1524" s="53" t="s">
        <v>198</v>
      </c>
      <c r="Q1524" s="2" t="s">
        <v>183</v>
      </c>
      <c r="S1524" s="36">
        <f t="shared" si="716"/>
        <v>6668</v>
      </c>
      <c r="T1524" s="114">
        <f t="shared" si="715"/>
        <v>6668</v>
      </c>
    </row>
    <row r="1525" spans="1:20" ht="38.25" x14ac:dyDescent="0.2">
      <c r="A1525" s="8" t="str">
        <f t="shared" ref="A1525" si="717">IF(B1525="","",CONCATENATE(B1525,CONCATENATE(REPT(0,2-LEN(C1525)),C1525),IF(OR(D1525="Easy",D1525=""),1,IF(D1525="Normal",2,IF(D1525="Hard",3,IF(D1525="Hell",4,"error")))),E1525))</f>
        <v/>
      </c>
      <c r="B1525" s="5"/>
      <c r="C1525" s="6" t="s">
        <v>304</v>
      </c>
      <c r="D1525" s="5"/>
      <c r="E1525" s="5"/>
      <c r="F1525" s="5"/>
      <c r="G1525" s="5"/>
      <c r="H1525" s="5"/>
      <c r="I1525" s="5"/>
      <c r="J1525" s="5"/>
      <c r="K1525" s="133">
        <v>1000</v>
      </c>
      <c r="L1525" s="5"/>
      <c r="M1525" s="16">
        <f t="shared" si="691"/>
        <v>0</v>
      </c>
      <c r="N1525" s="5"/>
      <c r="O1525" s="5"/>
      <c r="P1525" s="5"/>
      <c r="Q1525" s="5"/>
      <c r="R1525" s="5"/>
      <c r="S1525" s="30"/>
      <c r="T1525" s="266"/>
    </row>
    <row r="1526" spans="1:20" x14ac:dyDescent="0.2">
      <c r="A1526" s="8" t="str">
        <f t="shared" si="702"/>
        <v/>
      </c>
      <c r="B1526" s="38"/>
      <c r="C1526" s="35" t="s">
        <v>309</v>
      </c>
      <c r="D1526" s="38"/>
      <c r="E1526" s="38"/>
      <c r="F1526" s="38"/>
      <c r="G1526" s="40"/>
      <c r="H1526" s="38"/>
      <c r="I1526" s="38"/>
      <c r="J1526" s="38"/>
      <c r="K1526" s="133">
        <v>1000</v>
      </c>
      <c r="L1526" s="38"/>
      <c r="M1526" s="16">
        <f t="shared" si="691"/>
        <v>0</v>
      </c>
      <c r="N1526" s="42" t="str">
        <f>IF(A1526="","",M1526*#REF!)</f>
        <v/>
      </c>
      <c r="O1526" s="40"/>
      <c r="P1526" s="38"/>
      <c r="Q1526" s="38"/>
      <c r="R1526" s="38"/>
      <c r="S1526" s="40"/>
      <c r="T1526" s="267"/>
    </row>
    <row r="1527" spans="1:20" x14ac:dyDescent="0.2">
      <c r="A1527" s="8" t="str">
        <f t="shared" si="702"/>
        <v>300010110</v>
      </c>
      <c r="B1527" s="8">
        <v>30001</v>
      </c>
      <c r="C1527" s="8">
        <v>1</v>
      </c>
      <c r="D1527" s="8" t="s">
        <v>259</v>
      </c>
      <c r="E1527" s="8">
        <v>0</v>
      </c>
      <c r="F1527" s="34">
        <f>ROUNDDOWN($P1527/4*$O1527*10*$N1527/$N1527*$Q1527/400,0)</f>
        <v>2893</v>
      </c>
      <c r="G1527" s="34">
        <f>ROUNDDOWN($P1527/4*$O1527*10*$N1527/$N1527*$Q1527/400,0)</f>
        <v>2893</v>
      </c>
      <c r="H1527" s="34">
        <f t="shared" ref="H1527:I1534" si="718">ROUNDDOWN($S1527/4*10,0)</f>
        <v>2750</v>
      </c>
      <c r="I1527" s="34">
        <f t="shared" si="718"/>
        <v>2750</v>
      </c>
      <c r="J1527" s="34">
        <f>ROUNDDOWN($P1527/4*$O1527*10*$N1527/$Q1527*$N1527/400,0)</f>
        <v>14692</v>
      </c>
      <c r="K1527" s="133">
        <v>1000</v>
      </c>
      <c r="L1527" s="34"/>
      <c r="M1527" s="16">
        <f t="shared" si="691"/>
        <v>864.91018354508924</v>
      </c>
      <c r="N1527" s="36">
        <v>1600</v>
      </c>
      <c r="O1527" s="36">
        <v>0.5</v>
      </c>
      <c r="P1527" s="2" t="s">
        <v>306</v>
      </c>
      <c r="Q1527" s="2" t="s">
        <v>263</v>
      </c>
      <c r="S1527" s="36">
        <v>1100</v>
      </c>
    </row>
    <row r="1528" spans="1:20" x14ac:dyDescent="0.2">
      <c r="A1528" s="8" t="str">
        <f t="shared" si="702"/>
        <v>300010111</v>
      </c>
      <c r="B1528" s="8">
        <v>30001</v>
      </c>
      <c r="C1528" s="8">
        <v>1</v>
      </c>
      <c r="D1528" s="8" t="s">
        <v>259</v>
      </c>
      <c r="E1528" s="8">
        <v>1</v>
      </c>
      <c r="F1528" s="34">
        <f t="shared" ref="F1528:G1530" si="719">ROUNDDOWN($P1528/4*$O1528*10*$N1528/$N1528*$Q1528/400,0)</f>
        <v>3629</v>
      </c>
      <c r="G1528" s="34">
        <f t="shared" si="719"/>
        <v>3629</v>
      </c>
      <c r="H1528" s="34">
        <f t="shared" si="718"/>
        <v>2830</v>
      </c>
      <c r="I1528" s="34">
        <f t="shared" si="718"/>
        <v>2830</v>
      </c>
      <c r="J1528" s="34">
        <f t="shared" ref="J1528:J1530" si="720">ROUNDDOWN($P1528/4*$O1528*10*$N1528/$Q1528*$N1528/400,0)</f>
        <v>18433</v>
      </c>
      <c r="K1528" s="133">
        <v>1000</v>
      </c>
      <c r="L1528" s="34"/>
      <c r="M1528" s="16">
        <f t="shared" si="691"/>
        <v>1100.7145324669789</v>
      </c>
      <c r="N1528" s="36">
        <v>1600</v>
      </c>
      <c r="O1528" s="36">
        <v>0.5</v>
      </c>
      <c r="P1528" s="2" t="s">
        <v>307</v>
      </c>
      <c r="Q1528" s="2" t="s">
        <v>263</v>
      </c>
      <c r="S1528" s="36">
        <v>1132</v>
      </c>
    </row>
    <row r="1529" spans="1:20" x14ac:dyDescent="0.2">
      <c r="A1529" s="8" t="str">
        <f t="shared" si="702"/>
        <v>300010112</v>
      </c>
      <c r="B1529" s="8">
        <v>30001</v>
      </c>
      <c r="C1529" s="8">
        <v>1</v>
      </c>
      <c r="D1529" s="8" t="s">
        <v>259</v>
      </c>
      <c r="E1529" s="8">
        <v>2</v>
      </c>
      <c r="F1529" s="34">
        <f t="shared" si="719"/>
        <v>4126</v>
      </c>
      <c r="G1529" s="34">
        <f t="shared" si="719"/>
        <v>4126</v>
      </c>
      <c r="H1529" s="34">
        <f t="shared" si="718"/>
        <v>3110</v>
      </c>
      <c r="I1529" s="34">
        <f t="shared" si="718"/>
        <v>3110</v>
      </c>
      <c r="J1529" s="34">
        <f t="shared" si="720"/>
        <v>20957</v>
      </c>
      <c r="K1529" s="133">
        <v>1000</v>
      </c>
      <c r="L1529" s="34"/>
      <c r="M1529" s="16">
        <f t="shared" si="691"/>
        <v>1311.8958251812528</v>
      </c>
      <c r="N1529" s="36">
        <v>1600</v>
      </c>
      <c r="O1529" s="36">
        <v>0.5</v>
      </c>
      <c r="P1529" s="2" t="s">
        <v>308</v>
      </c>
      <c r="Q1529" s="2" t="s">
        <v>263</v>
      </c>
      <c r="S1529" s="36">
        <v>1244</v>
      </c>
    </row>
    <row r="1530" spans="1:20" x14ac:dyDescent="0.2">
      <c r="A1530" s="8" t="str">
        <f t="shared" si="702"/>
        <v>300010113</v>
      </c>
      <c r="B1530" s="8">
        <v>30001</v>
      </c>
      <c r="C1530" s="8">
        <v>1</v>
      </c>
      <c r="D1530" s="8" t="s">
        <v>259</v>
      </c>
      <c r="E1530" s="8">
        <v>3</v>
      </c>
      <c r="F1530" s="34">
        <f t="shared" si="719"/>
        <v>4126</v>
      </c>
      <c r="G1530" s="34">
        <f t="shared" si="719"/>
        <v>4126</v>
      </c>
      <c r="H1530" s="34">
        <f>ROUNDDOWN($S1530/4*10,0)</f>
        <v>3110</v>
      </c>
      <c r="I1530" s="34">
        <f t="shared" si="718"/>
        <v>3110</v>
      </c>
      <c r="J1530" s="34">
        <f t="shared" si="720"/>
        <v>20957</v>
      </c>
      <c r="K1530" s="133">
        <v>1000</v>
      </c>
      <c r="L1530" s="34"/>
      <c r="M1530" s="16">
        <f t="shared" si="691"/>
        <v>1311.8958251812528</v>
      </c>
      <c r="N1530" s="36">
        <v>1600</v>
      </c>
      <c r="O1530" s="36">
        <v>0.5</v>
      </c>
      <c r="P1530" s="2" t="s">
        <v>308</v>
      </c>
      <c r="Q1530" s="2" t="s">
        <v>263</v>
      </c>
      <c r="S1530" s="36">
        <v>1244</v>
      </c>
    </row>
    <row r="1531" spans="1:20" x14ac:dyDescent="0.2">
      <c r="A1531" s="8" t="str">
        <f t="shared" si="702"/>
        <v>300010210</v>
      </c>
      <c r="B1531" s="8">
        <v>30001</v>
      </c>
      <c r="C1531" s="8">
        <v>2</v>
      </c>
      <c r="D1531" s="8" t="s">
        <v>259</v>
      </c>
      <c r="E1531" s="8">
        <v>0</v>
      </c>
      <c r="F1531" s="34">
        <f>ROUNDDOWN($P1531/4*$O1531*10*$N1531/$N1531*$Q1531/400,0)</f>
        <v>4111</v>
      </c>
      <c r="G1531" s="34">
        <f>ROUNDDOWN($P1531/4*$O1531*10*$N1531/$N1531*$Q1531/400,0)</f>
        <v>4111</v>
      </c>
      <c r="H1531" s="34">
        <f t="shared" si="718"/>
        <v>2650</v>
      </c>
      <c r="I1531" s="34">
        <f t="shared" si="718"/>
        <v>2650</v>
      </c>
      <c r="J1531" s="34">
        <f>ROUNDDOWN($P1531/4*$O1531*10*$N1531/$Q1531*$N1531/400,0)</f>
        <v>13004</v>
      </c>
      <c r="K1531" s="133">
        <v>1000</v>
      </c>
      <c r="L1531" s="34"/>
      <c r="M1531" s="16">
        <f t="shared" si="691"/>
        <v>952.19334708870974</v>
      </c>
      <c r="N1531" s="36">
        <v>1300</v>
      </c>
      <c r="O1531" s="36">
        <v>0.5</v>
      </c>
      <c r="P1531" s="2" t="s">
        <v>310</v>
      </c>
      <c r="Q1531" s="2" t="s">
        <v>102</v>
      </c>
      <c r="S1531" s="36">
        <v>1060</v>
      </c>
    </row>
    <row r="1532" spans="1:20" x14ac:dyDescent="0.2">
      <c r="A1532" s="8" t="str">
        <f t="shared" si="702"/>
        <v>300010211</v>
      </c>
      <c r="B1532" s="8">
        <v>30001</v>
      </c>
      <c r="C1532" s="8">
        <v>2</v>
      </c>
      <c r="D1532" s="8" t="s">
        <v>259</v>
      </c>
      <c r="E1532" s="8">
        <v>1</v>
      </c>
      <c r="F1532" s="34">
        <f t="shared" ref="F1532:G1534" si="721">ROUNDDOWN($P1532/4*$O1532*10*$N1532/$N1532*$Q1532/400,0)</f>
        <v>6076</v>
      </c>
      <c r="G1532" s="34">
        <f t="shared" si="721"/>
        <v>6076</v>
      </c>
      <c r="H1532" s="34">
        <f t="shared" si="718"/>
        <v>3640</v>
      </c>
      <c r="I1532" s="34">
        <f t="shared" si="718"/>
        <v>3640</v>
      </c>
      <c r="J1532" s="34">
        <f t="shared" ref="J1532:J1534" si="722">ROUNDDOWN($P1532/4*$O1532*10*$N1532/$Q1532*$N1532/400,0)</f>
        <v>19217</v>
      </c>
      <c r="K1532" s="133">
        <v>1000</v>
      </c>
      <c r="L1532" s="34"/>
      <c r="M1532" s="16">
        <f t="shared" si="691"/>
        <v>1649.272267890296</v>
      </c>
      <c r="N1532" s="36">
        <v>1300</v>
      </c>
      <c r="O1532" s="36">
        <v>0.5</v>
      </c>
      <c r="P1532" s="2" t="s">
        <v>311</v>
      </c>
      <c r="Q1532" s="2" t="s">
        <v>102</v>
      </c>
      <c r="S1532" s="36">
        <v>1456</v>
      </c>
    </row>
    <row r="1533" spans="1:20" x14ac:dyDescent="0.2">
      <c r="A1533" s="8" t="str">
        <f t="shared" si="702"/>
        <v>300010212</v>
      </c>
      <c r="B1533" s="8">
        <v>30001</v>
      </c>
      <c r="C1533" s="8">
        <v>2</v>
      </c>
      <c r="D1533" s="8" t="s">
        <v>259</v>
      </c>
      <c r="E1533" s="8">
        <v>2</v>
      </c>
      <c r="F1533" s="34">
        <f t="shared" si="721"/>
        <v>7657</v>
      </c>
      <c r="G1533" s="34">
        <f t="shared" si="721"/>
        <v>7657</v>
      </c>
      <c r="H1533" s="34">
        <f t="shared" si="718"/>
        <v>3930</v>
      </c>
      <c r="I1533" s="34">
        <f t="shared" si="718"/>
        <v>3930</v>
      </c>
      <c r="J1533" s="34">
        <f t="shared" si="722"/>
        <v>24217</v>
      </c>
      <c r="K1533" s="133">
        <v>1000</v>
      </c>
      <c r="L1533" s="34"/>
      <c r="M1533" s="16">
        <f t="shared" si="691"/>
        <v>2159.6121224627354</v>
      </c>
      <c r="N1533" s="36">
        <v>1300</v>
      </c>
      <c r="O1533" s="36">
        <v>0.5</v>
      </c>
      <c r="P1533" s="2" t="s">
        <v>312</v>
      </c>
      <c r="Q1533" s="2" t="s">
        <v>102</v>
      </c>
      <c r="S1533" s="36">
        <v>1572</v>
      </c>
    </row>
    <row r="1534" spans="1:20" x14ac:dyDescent="0.2">
      <c r="A1534" s="8" t="str">
        <f t="shared" si="702"/>
        <v>300010213</v>
      </c>
      <c r="B1534" s="8">
        <v>30001</v>
      </c>
      <c r="C1534" s="8">
        <v>2</v>
      </c>
      <c r="D1534" s="8" t="s">
        <v>259</v>
      </c>
      <c r="E1534" s="8">
        <v>3</v>
      </c>
      <c r="F1534" s="34">
        <f t="shared" si="721"/>
        <v>15314</v>
      </c>
      <c r="G1534" s="34">
        <f t="shared" si="721"/>
        <v>15314</v>
      </c>
      <c r="H1534" s="34">
        <f t="shared" si="718"/>
        <v>3930</v>
      </c>
      <c r="I1534" s="34">
        <f t="shared" si="718"/>
        <v>3930</v>
      </c>
      <c r="J1534" s="34">
        <f t="shared" si="722"/>
        <v>48434</v>
      </c>
      <c r="K1534" s="133">
        <v>1000</v>
      </c>
      <c r="L1534" s="34"/>
      <c r="M1534" s="16">
        <f t="shared" si="691"/>
        <v>4319.2242449254709</v>
      </c>
      <c r="N1534" s="36">
        <v>1300</v>
      </c>
      <c r="O1534" s="36">
        <v>1</v>
      </c>
      <c r="P1534" s="2" t="s">
        <v>312</v>
      </c>
      <c r="Q1534" s="2" t="s">
        <v>102</v>
      </c>
      <c r="S1534" s="36">
        <v>1572</v>
      </c>
    </row>
    <row r="1535" spans="1:20" x14ac:dyDescent="0.2">
      <c r="A1535" s="8" t="str">
        <f t="shared" si="702"/>
        <v>300010310</v>
      </c>
      <c r="B1535" s="8">
        <v>30001</v>
      </c>
      <c r="C1535" s="8">
        <v>3</v>
      </c>
      <c r="D1535" s="8" t="s">
        <v>259</v>
      </c>
      <c r="E1535" s="8">
        <v>0</v>
      </c>
      <c r="F1535" s="34">
        <f>ROUNDDOWN($P1535/4*$O1535*10*$N1535/$N1535*$Q1535/400,0)</f>
        <v>8909</v>
      </c>
      <c r="G1535" s="34">
        <f>ROUNDDOWN($P1535/4*$O1535*10*$N1535/$N1535*$Q1535/400,0)</f>
        <v>8909</v>
      </c>
      <c r="H1535" s="34">
        <f t="shared" ref="H1535:I1547" si="723">ROUNDDOWN($S1535/4*10,0)</f>
        <v>3930</v>
      </c>
      <c r="I1535" s="34">
        <f t="shared" si="723"/>
        <v>3930</v>
      </c>
      <c r="J1535" s="34">
        <f>ROUNDDOWN($P1535/4*$O1535*10*$N1535/$Q1535*$N1535/400,0)</f>
        <v>20173</v>
      </c>
      <c r="K1535" s="133">
        <v>1000</v>
      </c>
      <c r="L1535" s="34"/>
      <c r="M1535" s="16">
        <f t="shared" si="691"/>
        <v>2126.1112520430347</v>
      </c>
      <c r="N1535" s="36">
        <v>1100</v>
      </c>
      <c r="O1535" s="36">
        <v>0.5</v>
      </c>
      <c r="P1535" s="2" t="s">
        <v>313</v>
      </c>
      <c r="Q1535" s="2" t="s">
        <v>102</v>
      </c>
      <c r="S1535" s="36">
        <v>1572</v>
      </c>
    </row>
    <row r="1536" spans="1:20" x14ac:dyDescent="0.2">
      <c r="A1536" s="8" t="str">
        <f t="shared" si="702"/>
        <v>300010311</v>
      </c>
      <c r="B1536" s="8">
        <v>30001</v>
      </c>
      <c r="C1536" s="8">
        <v>3</v>
      </c>
      <c r="D1536" s="8" t="s">
        <v>259</v>
      </c>
      <c r="E1536" s="8">
        <v>1</v>
      </c>
      <c r="F1536" s="34">
        <f t="shared" ref="F1536:G1548" si="724">ROUNDDOWN($P1536/4*$O1536*10*$N1536/$N1536*$Q1536/400,0)</f>
        <v>10718</v>
      </c>
      <c r="G1536" s="34">
        <f t="shared" si="724"/>
        <v>10718</v>
      </c>
      <c r="H1536" s="34">
        <f t="shared" si="723"/>
        <v>4690</v>
      </c>
      <c r="I1536" s="34">
        <f t="shared" si="723"/>
        <v>4690</v>
      </c>
      <c r="J1536" s="34">
        <f t="shared" ref="J1536:J1599" si="725">ROUNDDOWN($P1536/4*$O1536*10*$N1536/$Q1536*$N1536/400,0)</f>
        <v>24270</v>
      </c>
      <c r="K1536" s="133">
        <v>1000</v>
      </c>
      <c r="L1536" s="34"/>
      <c r="M1536" s="16">
        <f t="shared" si="691"/>
        <v>2794.268744011571</v>
      </c>
      <c r="N1536" s="36">
        <v>1100</v>
      </c>
      <c r="O1536" s="36">
        <v>0.5</v>
      </c>
      <c r="P1536" s="2" t="s">
        <v>314</v>
      </c>
      <c r="Q1536" s="2" t="s">
        <v>102</v>
      </c>
      <c r="S1536" s="36">
        <v>1876</v>
      </c>
    </row>
    <row r="1537" spans="1:20" x14ac:dyDescent="0.2">
      <c r="A1537" s="8" t="str">
        <f t="shared" si="702"/>
        <v>300010312</v>
      </c>
      <c r="B1537" s="8">
        <v>30001</v>
      </c>
      <c r="C1537" s="8">
        <v>3</v>
      </c>
      <c r="D1537" s="8" t="s">
        <v>259</v>
      </c>
      <c r="E1537" s="8">
        <v>2</v>
      </c>
      <c r="F1537" s="34">
        <f t="shared" si="724"/>
        <v>11951</v>
      </c>
      <c r="G1537" s="34">
        <f t="shared" si="724"/>
        <v>11951</v>
      </c>
      <c r="H1537" s="34">
        <f t="shared" si="723"/>
        <v>4990</v>
      </c>
      <c r="I1537" s="34">
        <f t="shared" si="723"/>
        <v>4990</v>
      </c>
      <c r="J1537" s="34">
        <f t="shared" si="725"/>
        <v>27063</v>
      </c>
      <c r="K1537" s="133">
        <v>1000</v>
      </c>
      <c r="L1537" s="34"/>
      <c r="M1537" s="16">
        <f t="shared" si="691"/>
        <v>3213.8851413154143</v>
      </c>
      <c r="N1537" s="36">
        <v>1100</v>
      </c>
      <c r="O1537" s="36">
        <v>0.5</v>
      </c>
      <c r="P1537" s="2" t="s">
        <v>315</v>
      </c>
      <c r="Q1537" s="2" t="s">
        <v>102</v>
      </c>
      <c r="S1537" s="36">
        <v>1996</v>
      </c>
    </row>
    <row r="1538" spans="1:20" x14ac:dyDescent="0.2">
      <c r="A1538" s="8" t="str">
        <f t="shared" si="702"/>
        <v>300010313</v>
      </c>
      <c r="B1538" s="8">
        <v>30001</v>
      </c>
      <c r="C1538" s="8">
        <v>3</v>
      </c>
      <c r="D1538" s="8" t="s">
        <v>259</v>
      </c>
      <c r="E1538" s="8">
        <v>3</v>
      </c>
      <c r="F1538" s="34">
        <f t="shared" si="724"/>
        <v>11951</v>
      </c>
      <c r="G1538" s="34">
        <f t="shared" si="724"/>
        <v>11951</v>
      </c>
      <c r="H1538" s="34">
        <f t="shared" si="723"/>
        <v>4990</v>
      </c>
      <c r="I1538" s="34">
        <f t="shared" si="723"/>
        <v>4990</v>
      </c>
      <c r="J1538" s="34">
        <f t="shared" si="725"/>
        <v>50324</v>
      </c>
      <c r="K1538" s="133">
        <v>1000</v>
      </c>
      <c r="L1538" s="34"/>
      <c r="M1538" s="16">
        <f t="shared" si="691"/>
        <v>4382.5810833416426</v>
      </c>
      <c r="N1538" s="36">
        <v>1500</v>
      </c>
      <c r="O1538" s="36">
        <v>0.5</v>
      </c>
      <c r="P1538" s="2" t="s">
        <v>115</v>
      </c>
      <c r="Q1538" s="2" t="s">
        <v>102</v>
      </c>
      <c r="R1538" s="2" t="s">
        <v>323</v>
      </c>
      <c r="S1538" s="36">
        <v>1996</v>
      </c>
    </row>
    <row r="1539" spans="1:20" x14ac:dyDescent="0.2">
      <c r="A1539" s="8" t="str">
        <f t="shared" si="702"/>
        <v>300010410</v>
      </c>
      <c r="B1539" s="8">
        <v>30001</v>
      </c>
      <c r="C1539" s="8">
        <v>4</v>
      </c>
      <c r="D1539" s="8" t="s">
        <v>259</v>
      </c>
      <c r="E1539" s="8">
        <v>0</v>
      </c>
      <c r="F1539" s="34">
        <f t="shared" si="724"/>
        <v>13660</v>
      </c>
      <c r="G1539" s="34">
        <f t="shared" si="724"/>
        <v>13660</v>
      </c>
      <c r="H1539" s="34">
        <f t="shared" si="723"/>
        <v>4990</v>
      </c>
      <c r="I1539" s="34">
        <f t="shared" si="723"/>
        <v>4990</v>
      </c>
      <c r="J1539" s="34">
        <f t="shared" si="725"/>
        <v>25564</v>
      </c>
      <c r="K1539" s="133">
        <v>1000</v>
      </c>
      <c r="L1539" s="34"/>
      <c r="M1539" s="16">
        <f t="shared" si="691"/>
        <v>3339.4889741755396</v>
      </c>
      <c r="N1539" s="36">
        <v>1000</v>
      </c>
      <c r="O1539" s="36">
        <v>0.5</v>
      </c>
      <c r="P1539" s="2" t="s">
        <v>316</v>
      </c>
      <c r="Q1539" s="2" t="s">
        <v>102</v>
      </c>
      <c r="S1539" s="36">
        <v>1996</v>
      </c>
    </row>
    <row r="1540" spans="1:20" x14ac:dyDescent="0.2">
      <c r="A1540" s="8" t="str">
        <f t="shared" si="702"/>
        <v>300010411</v>
      </c>
      <c r="B1540" s="8">
        <v>30001</v>
      </c>
      <c r="C1540" s="8">
        <v>4</v>
      </c>
      <c r="D1540" s="8" t="s">
        <v>259</v>
      </c>
      <c r="E1540" s="8">
        <v>1</v>
      </c>
      <c r="F1540" s="34">
        <f t="shared" si="724"/>
        <v>15716</v>
      </c>
      <c r="G1540" s="34">
        <f t="shared" si="724"/>
        <v>15716</v>
      </c>
      <c r="H1540" s="34">
        <f t="shared" si="723"/>
        <v>5810</v>
      </c>
      <c r="I1540" s="34">
        <f t="shared" si="723"/>
        <v>5810</v>
      </c>
      <c r="J1540" s="34">
        <f t="shared" si="725"/>
        <v>29411</v>
      </c>
      <c r="K1540" s="133">
        <v>1000</v>
      </c>
      <c r="L1540" s="34"/>
      <c r="M1540" s="16">
        <f t="shared" si="691"/>
        <v>4145.7581085712181</v>
      </c>
      <c r="N1540" s="36">
        <v>1000</v>
      </c>
      <c r="O1540" s="36">
        <v>0.5</v>
      </c>
      <c r="P1540" s="2" t="s">
        <v>317</v>
      </c>
      <c r="Q1540" s="2" t="s">
        <v>102</v>
      </c>
      <c r="S1540" s="36">
        <v>2324</v>
      </c>
    </row>
    <row r="1541" spans="1:20" x14ac:dyDescent="0.2">
      <c r="A1541" s="8" t="str">
        <f t="shared" si="702"/>
        <v>300010412</v>
      </c>
      <c r="B1541" s="8">
        <v>30001</v>
      </c>
      <c r="C1541" s="8">
        <v>4</v>
      </c>
      <c r="D1541" s="8" t="s">
        <v>259</v>
      </c>
      <c r="E1541" s="8">
        <v>2</v>
      </c>
      <c r="F1541" s="34">
        <f t="shared" si="724"/>
        <v>19800</v>
      </c>
      <c r="G1541" s="34">
        <f t="shared" si="724"/>
        <v>19800</v>
      </c>
      <c r="H1541" s="34">
        <f t="shared" si="723"/>
        <v>6050</v>
      </c>
      <c r="I1541" s="34">
        <f t="shared" si="723"/>
        <v>6050</v>
      </c>
      <c r="J1541" s="34">
        <f t="shared" si="725"/>
        <v>37055</v>
      </c>
      <c r="K1541" s="133">
        <v>1000</v>
      </c>
      <c r="L1541" s="34"/>
      <c r="M1541" s="16">
        <f t="shared" si="691"/>
        <v>5329.9566677413059</v>
      </c>
      <c r="N1541" s="36">
        <v>1000</v>
      </c>
      <c r="O1541" s="36">
        <v>0.5</v>
      </c>
      <c r="P1541" s="2" t="s">
        <v>318</v>
      </c>
      <c r="Q1541" s="2" t="s">
        <v>102</v>
      </c>
      <c r="S1541" s="36">
        <v>2420</v>
      </c>
    </row>
    <row r="1542" spans="1:20" x14ac:dyDescent="0.2">
      <c r="A1542" s="8" t="str">
        <f t="shared" si="702"/>
        <v>300010413</v>
      </c>
      <c r="B1542" s="8">
        <v>30001</v>
      </c>
      <c r="C1542" s="8">
        <v>4</v>
      </c>
      <c r="D1542" s="8" t="s">
        <v>259</v>
      </c>
      <c r="E1542" s="8">
        <v>3</v>
      </c>
      <c r="F1542" s="34">
        <f t="shared" si="724"/>
        <v>19800</v>
      </c>
      <c r="G1542" s="34">
        <f t="shared" si="724"/>
        <v>19800</v>
      </c>
      <c r="H1542" s="34">
        <f t="shared" si="723"/>
        <v>6050</v>
      </c>
      <c r="I1542" s="34">
        <f t="shared" si="723"/>
        <v>6050</v>
      </c>
      <c r="J1542" s="34">
        <f t="shared" si="725"/>
        <v>72628</v>
      </c>
      <c r="K1542" s="133">
        <v>1000</v>
      </c>
      <c r="L1542" s="34"/>
      <c r="M1542" s="16">
        <f t="shared" ref="M1542:M1605" si="726">(F1542*J1542*((H1542+I1542)/2)/1000)^(1/2)/10*0.8</f>
        <v>7461.9496090499033</v>
      </c>
      <c r="N1542" s="36">
        <v>1400</v>
      </c>
      <c r="O1542" s="36">
        <v>0.5</v>
      </c>
      <c r="P1542" s="2" t="s">
        <v>318</v>
      </c>
      <c r="Q1542" s="2" t="s">
        <v>102</v>
      </c>
      <c r="R1542" s="2" t="s">
        <v>324</v>
      </c>
      <c r="S1542" s="36">
        <v>2420</v>
      </c>
    </row>
    <row r="1543" spans="1:20" x14ac:dyDescent="0.2">
      <c r="A1543" s="8" t="str">
        <f t="shared" si="702"/>
        <v>300010510</v>
      </c>
      <c r="B1543" s="8">
        <v>30001</v>
      </c>
      <c r="C1543" s="8">
        <v>5</v>
      </c>
      <c r="D1543" s="8" t="s">
        <v>259</v>
      </c>
      <c r="E1543" s="8">
        <v>0</v>
      </c>
      <c r="F1543" s="34">
        <f>ROUNDDOWN($P1543/4*$O1543*10*$N1543/$N1543*$Q1543/400,0)</f>
        <v>28462</v>
      </c>
      <c r="G1543" s="34">
        <f>ROUNDDOWN($P1543/4*$O1543*10*$N1543/$N1543*$Q1543/400,0)</f>
        <v>28462</v>
      </c>
      <c r="H1543" s="34">
        <f t="shared" si="723"/>
        <v>8625</v>
      </c>
      <c r="I1543" s="34">
        <f t="shared" si="723"/>
        <v>8625</v>
      </c>
      <c r="J1543" s="34">
        <f>ROUNDDOWN($P1543/4*$O1543*10*$N1543/$Q1543*$N1543/400,0)</f>
        <v>29770</v>
      </c>
      <c r="K1543" s="133">
        <v>1000</v>
      </c>
      <c r="L1543" s="34"/>
      <c r="M1543" s="16">
        <f t="shared" si="726"/>
        <v>6838.9851913862194</v>
      </c>
      <c r="N1543" s="36">
        <v>900</v>
      </c>
      <c r="O1543" s="36">
        <v>0.5</v>
      </c>
      <c r="P1543" s="2" t="s">
        <v>190</v>
      </c>
      <c r="Q1543" s="2" t="s">
        <v>231</v>
      </c>
      <c r="S1543" s="36">
        <v>3450</v>
      </c>
    </row>
    <row r="1544" spans="1:20" x14ac:dyDescent="0.2">
      <c r="A1544" s="8" t="str">
        <f t="shared" si="702"/>
        <v>300010511</v>
      </c>
      <c r="B1544" s="8">
        <v>30001</v>
      </c>
      <c r="C1544" s="8">
        <v>5</v>
      </c>
      <c r="D1544" s="8" t="s">
        <v>259</v>
      </c>
      <c r="E1544" s="8">
        <v>1</v>
      </c>
      <c r="F1544" s="34">
        <f t="shared" si="724"/>
        <v>39600</v>
      </c>
      <c r="G1544" s="34">
        <f t="shared" si="724"/>
        <v>39600</v>
      </c>
      <c r="H1544" s="34">
        <f t="shared" si="723"/>
        <v>12855</v>
      </c>
      <c r="I1544" s="34">
        <f t="shared" si="723"/>
        <v>12855</v>
      </c>
      <c r="J1544" s="34">
        <f t="shared" si="725"/>
        <v>41420</v>
      </c>
      <c r="K1544" s="133">
        <v>1000</v>
      </c>
      <c r="L1544" s="34"/>
      <c r="M1544" s="16">
        <f t="shared" si="726"/>
        <v>11616.590166826065</v>
      </c>
      <c r="N1544" s="36">
        <v>900</v>
      </c>
      <c r="O1544" s="36">
        <v>0.5</v>
      </c>
      <c r="P1544" s="2" t="s">
        <v>192</v>
      </c>
      <c r="Q1544" s="2" t="s">
        <v>231</v>
      </c>
      <c r="S1544" s="36">
        <v>5142</v>
      </c>
    </row>
    <row r="1545" spans="1:20" x14ac:dyDescent="0.2">
      <c r="A1545" s="8" t="str">
        <f t="shared" si="702"/>
        <v>300010512</v>
      </c>
      <c r="B1545" s="8">
        <v>30001</v>
      </c>
      <c r="C1545" s="8">
        <v>5</v>
      </c>
      <c r="D1545" s="8" t="s">
        <v>259</v>
      </c>
      <c r="E1545" s="8">
        <v>2</v>
      </c>
      <c r="F1545" s="34">
        <f t="shared" si="724"/>
        <v>51727</v>
      </c>
      <c r="G1545" s="34">
        <f t="shared" si="724"/>
        <v>51727</v>
      </c>
      <c r="H1545" s="34">
        <f t="shared" si="723"/>
        <v>19592</v>
      </c>
      <c r="I1545" s="34">
        <f t="shared" si="723"/>
        <v>19592</v>
      </c>
      <c r="J1545" s="34">
        <f t="shared" si="725"/>
        <v>54105</v>
      </c>
      <c r="K1545" s="133">
        <v>1000</v>
      </c>
      <c r="L1545" s="34"/>
      <c r="M1545" s="16">
        <f t="shared" si="726"/>
        <v>18732.973530340772</v>
      </c>
      <c r="N1545" s="36">
        <v>900</v>
      </c>
      <c r="O1545" s="36">
        <v>0.5</v>
      </c>
      <c r="P1545" s="2" t="s">
        <v>319</v>
      </c>
      <c r="Q1545" s="2" t="s">
        <v>231</v>
      </c>
      <c r="S1545" s="36">
        <v>7837</v>
      </c>
    </row>
    <row r="1546" spans="1:20" x14ac:dyDescent="0.2">
      <c r="A1546" s="8" t="str">
        <f t="shared" si="702"/>
        <v>300010513</v>
      </c>
      <c r="B1546" s="8">
        <v>30001</v>
      </c>
      <c r="C1546" s="8">
        <v>5</v>
      </c>
      <c r="D1546" s="8" t="s">
        <v>259</v>
      </c>
      <c r="E1546" s="8">
        <v>3</v>
      </c>
      <c r="F1546" s="34">
        <f t="shared" si="724"/>
        <v>51727</v>
      </c>
      <c r="G1546" s="34">
        <f t="shared" si="724"/>
        <v>51727</v>
      </c>
      <c r="H1546" s="34">
        <f t="shared" si="723"/>
        <v>19592</v>
      </c>
      <c r="I1546" s="34">
        <f t="shared" si="723"/>
        <v>19592</v>
      </c>
      <c r="J1546" s="34">
        <f t="shared" si="725"/>
        <v>54105</v>
      </c>
      <c r="K1546" s="133">
        <v>1000</v>
      </c>
      <c r="L1546" s="34"/>
      <c r="M1546" s="16">
        <f t="shared" si="726"/>
        <v>18732.973530340772</v>
      </c>
      <c r="N1546" s="36">
        <v>900</v>
      </c>
      <c r="O1546" s="36">
        <v>0.5</v>
      </c>
      <c r="P1546" s="2" t="s">
        <v>319</v>
      </c>
      <c r="Q1546" s="2" t="s">
        <v>231</v>
      </c>
      <c r="S1546" s="36">
        <v>7837</v>
      </c>
    </row>
    <row r="1547" spans="1:20" x14ac:dyDescent="0.2">
      <c r="A1547" s="8" t="str">
        <f t="shared" si="702"/>
        <v>300010610</v>
      </c>
      <c r="B1547" s="8">
        <v>30001</v>
      </c>
      <c r="C1547" s="8">
        <v>6</v>
      </c>
      <c r="D1547" s="8" t="s">
        <v>259</v>
      </c>
      <c r="E1547" s="8">
        <v>0</v>
      </c>
      <c r="F1547" s="34">
        <f t="shared" si="724"/>
        <v>73205</v>
      </c>
      <c r="G1547" s="34">
        <f t="shared" si="724"/>
        <v>73205</v>
      </c>
      <c r="H1547" s="34">
        <f t="shared" si="723"/>
        <v>8625</v>
      </c>
      <c r="I1547" s="34">
        <f t="shared" si="723"/>
        <v>8625</v>
      </c>
      <c r="J1547" s="34">
        <f t="shared" si="725"/>
        <v>71550</v>
      </c>
      <c r="K1547" s="133">
        <v>1000</v>
      </c>
      <c r="L1547" s="34"/>
      <c r="M1547" s="16">
        <f t="shared" si="726"/>
        <v>17003.750756818332</v>
      </c>
      <c r="N1547" s="36">
        <v>870</v>
      </c>
      <c r="O1547" s="36">
        <v>0.5</v>
      </c>
      <c r="P1547" s="2" t="s">
        <v>320</v>
      </c>
      <c r="Q1547" s="2" t="s">
        <v>231</v>
      </c>
      <c r="S1547" s="36">
        <v>3450</v>
      </c>
    </row>
    <row r="1548" spans="1:20" x14ac:dyDescent="0.2">
      <c r="A1548" s="8" t="str">
        <f t="shared" si="702"/>
        <v>300010611</v>
      </c>
      <c r="B1548" s="8">
        <v>30001</v>
      </c>
      <c r="C1548" s="8">
        <v>6</v>
      </c>
      <c r="D1548" s="8" t="s">
        <v>259</v>
      </c>
      <c r="E1548" s="8">
        <v>1</v>
      </c>
      <c r="F1548" s="34">
        <f t="shared" si="724"/>
        <v>102487</v>
      </c>
      <c r="G1548" s="34">
        <f t="shared" si="724"/>
        <v>102487</v>
      </c>
      <c r="H1548" s="34">
        <f t="shared" ref="H1548:I1564" si="727">ROUNDDOWN($S1548/4*10,0)</f>
        <v>12855</v>
      </c>
      <c r="I1548" s="34">
        <f t="shared" si="727"/>
        <v>12855</v>
      </c>
      <c r="J1548" s="34">
        <f t="shared" si="725"/>
        <v>100170</v>
      </c>
      <c r="K1548" s="133">
        <v>1000</v>
      </c>
      <c r="L1548" s="34"/>
      <c r="M1548" s="16">
        <f t="shared" si="726"/>
        <v>29062.2513611537</v>
      </c>
      <c r="N1548" s="36">
        <v>870</v>
      </c>
      <c r="O1548" s="36">
        <v>0.5</v>
      </c>
      <c r="P1548" s="2" t="s">
        <v>321</v>
      </c>
      <c r="Q1548" s="2" t="s">
        <v>231</v>
      </c>
      <c r="R1548" s="2" t="s">
        <v>325</v>
      </c>
      <c r="S1548" s="36">
        <v>5142</v>
      </c>
    </row>
    <row r="1549" spans="1:20" x14ac:dyDescent="0.2">
      <c r="A1549" s="8" t="str">
        <f t="shared" si="702"/>
        <v>300010612</v>
      </c>
      <c r="B1549" s="8">
        <v>30001</v>
      </c>
      <c r="C1549" s="8">
        <v>6</v>
      </c>
      <c r="D1549" s="8" t="s">
        <v>259</v>
      </c>
      <c r="E1549" s="8">
        <v>2</v>
      </c>
      <c r="F1549" s="34">
        <f t="shared" ref="F1549:G1564" si="728">ROUNDDOWN($P1549/4*$O1549*10*$N1549/$N1549*$Q1549/400,0)</f>
        <v>135429</v>
      </c>
      <c r="G1549" s="34">
        <f t="shared" si="728"/>
        <v>135429</v>
      </c>
      <c r="H1549" s="34">
        <f t="shared" si="727"/>
        <v>19592</v>
      </c>
      <c r="I1549" s="34">
        <f t="shared" si="727"/>
        <v>19592</v>
      </c>
      <c r="J1549" s="34">
        <f t="shared" si="725"/>
        <v>132368</v>
      </c>
      <c r="K1549" s="133">
        <v>1000</v>
      </c>
      <c r="L1549" s="34"/>
      <c r="M1549" s="16">
        <f t="shared" si="726"/>
        <v>47410.737643818982</v>
      </c>
      <c r="N1549" s="36">
        <v>870</v>
      </c>
      <c r="O1549" s="36">
        <v>0.5</v>
      </c>
      <c r="P1549" s="2" t="s">
        <v>322</v>
      </c>
      <c r="Q1549" s="2" t="s">
        <v>231</v>
      </c>
      <c r="S1549" s="36">
        <v>7837</v>
      </c>
    </row>
    <row r="1550" spans="1:20" x14ac:dyDescent="0.2">
      <c r="A1550" s="8" t="str">
        <f t="shared" si="702"/>
        <v>300010613</v>
      </c>
      <c r="B1550" s="8">
        <v>30001</v>
      </c>
      <c r="C1550" s="8">
        <v>6</v>
      </c>
      <c r="D1550" s="8" t="s">
        <v>259</v>
      </c>
      <c r="E1550" s="8">
        <v>3</v>
      </c>
      <c r="F1550" s="34">
        <f t="shared" si="728"/>
        <v>135429</v>
      </c>
      <c r="G1550" s="34">
        <f t="shared" si="728"/>
        <v>135429</v>
      </c>
      <c r="H1550" s="34">
        <f t="shared" si="727"/>
        <v>19592</v>
      </c>
      <c r="I1550" s="34">
        <f t="shared" si="727"/>
        <v>19592</v>
      </c>
      <c r="J1550" s="34">
        <f t="shared" si="725"/>
        <v>132368</v>
      </c>
      <c r="K1550" s="133">
        <v>1000</v>
      </c>
      <c r="L1550" s="34"/>
      <c r="M1550" s="16">
        <f t="shared" si="726"/>
        <v>47410.737643818982</v>
      </c>
      <c r="N1550" s="36">
        <v>870</v>
      </c>
      <c r="O1550" s="36">
        <v>0.5</v>
      </c>
      <c r="P1550" s="2" t="s">
        <v>322</v>
      </c>
      <c r="Q1550" s="2" t="s">
        <v>231</v>
      </c>
      <c r="S1550" s="36">
        <v>7837</v>
      </c>
    </row>
    <row r="1551" spans="1:20" x14ac:dyDescent="0.2">
      <c r="A1551" s="8" t="str">
        <f t="shared" ref="A1551:A1570" si="729">IF(B1551="","",CONCATENATE(B1551,CONCATENATE(REPT(0,2-LEN(C1551)),C1551),IF(OR(D1551="Easy",D1551=""),1,IF(D1551="Normal",2,IF(D1551="Hard",3,IF(D1551="Hell",4,"error")))),E1551))</f>
        <v/>
      </c>
      <c r="B1551" s="38"/>
      <c r="C1551" s="35" t="s">
        <v>328</v>
      </c>
      <c r="D1551" s="38"/>
      <c r="E1551" s="38"/>
      <c r="F1551" s="38"/>
      <c r="G1551" s="40"/>
      <c r="H1551" s="38"/>
      <c r="I1551" s="38"/>
      <c r="J1551" s="38"/>
      <c r="K1551" s="133">
        <v>1000</v>
      </c>
      <c r="L1551" s="38"/>
      <c r="M1551" s="16">
        <f t="shared" si="726"/>
        <v>0</v>
      </c>
      <c r="N1551" s="42" t="str">
        <f>IF(A1551="","",M1551*#REF!)</f>
        <v/>
      </c>
      <c r="O1551" s="40"/>
      <c r="P1551" s="38"/>
      <c r="Q1551" s="38"/>
      <c r="R1551" s="38"/>
      <c r="S1551" s="40"/>
      <c r="T1551" s="267"/>
    </row>
    <row r="1552" spans="1:20" x14ac:dyDescent="0.2">
      <c r="A1552" s="80" t="str">
        <f t="shared" si="729"/>
        <v>300020110</v>
      </c>
      <c r="B1552" s="80">
        <v>30002</v>
      </c>
      <c r="C1552" s="80">
        <v>1</v>
      </c>
      <c r="D1552" s="80" t="s">
        <v>259</v>
      </c>
      <c r="E1552" s="80">
        <v>0</v>
      </c>
      <c r="F1552" s="81">
        <f t="shared" si="728"/>
        <v>11421</v>
      </c>
      <c r="G1552" s="81">
        <f t="shared" si="728"/>
        <v>11421</v>
      </c>
      <c r="H1552" s="81">
        <f t="shared" si="727"/>
        <v>6250</v>
      </c>
      <c r="I1552" s="81">
        <f t="shared" si="727"/>
        <v>6250</v>
      </c>
      <c r="J1552" s="81">
        <f t="shared" si="725"/>
        <v>16552</v>
      </c>
      <c r="K1552" s="133">
        <v>1000</v>
      </c>
      <c r="L1552" s="81"/>
      <c r="M1552" s="16">
        <f t="shared" si="726"/>
        <v>2749.839209844823</v>
      </c>
      <c r="N1552" s="82">
        <v>880</v>
      </c>
      <c r="O1552" s="82">
        <v>0.5</v>
      </c>
      <c r="P1552" s="83" t="s">
        <v>180</v>
      </c>
      <c r="Q1552" s="83" t="s">
        <v>102</v>
      </c>
      <c r="R1552" s="83"/>
      <c r="S1552" s="83">
        <f>P1552/2</f>
        <v>2500</v>
      </c>
      <c r="T1552" s="116">
        <f xml:space="preserve"> P1552/2</f>
        <v>2500</v>
      </c>
    </row>
    <row r="1553" spans="1:20" x14ac:dyDescent="0.2">
      <c r="A1553" s="80" t="str">
        <f t="shared" si="729"/>
        <v>300020111</v>
      </c>
      <c r="B1553" s="80">
        <v>30002</v>
      </c>
      <c r="C1553" s="80">
        <v>1</v>
      </c>
      <c r="D1553" s="80" t="s">
        <v>259</v>
      </c>
      <c r="E1553" s="80">
        <v>1</v>
      </c>
      <c r="F1553" s="81">
        <f t="shared" si="728"/>
        <v>22843</v>
      </c>
      <c r="G1553" s="81">
        <f t="shared" si="728"/>
        <v>22843</v>
      </c>
      <c r="H1553" s="81">
        <f t="shared" si="727"/>
        <v>6250</v>
      </c>
      <c r="I1553" s="81">
        <f t="shared" si="727"/>
        <v>6250</v>
      </c>
      <c r="J1553" s="81">
        <f t="shared" si="725"/>
        <v>31617</v>
      </c>
      <c r="K1553" s="133">
        <v>1000</v>
      </c>
      <c r="L1553" s="81"/>
      <c r="M1553" s="16">
        <f t="shared" si="726"/>
        <v>5374.8567646031288</v>
      </c>
      <c r="N1553" s="82">
        <v>860</v>
      </c>
      <c r="O1553" s="82">
        <v>1</v>
      </c>
      <c r="P1553" s="83" t="s">
        <v>180</v>
      </c>
      <c r="Q1553" s="83" t="s">
        <v>102</v>
      </c>
      <c r="R1553" s="83"/>
      <c r="S1553" s="83">
        <f t="shared" ref="S1553:S1566" si="730">P1553/2</f>
        <v>2500</v>
      </c>
      <c r="T1553" s="116">
        <f t="shared" ref="T1553:T1562" si="731" xml:space="preserve"> P1553/2</f>
        <v>2500</v>
      </c>
    </row>
    <row r="1554" spans="1:20" x14ac:dyDescent="0.2">
      <c r="A1554" s="80" t="str">
        <f t="shared" si="729"/>
        <v>300020112</v>
      </c>
      <c r="B1554" s="80">
        <v>30002</v>
      </c>
      <c r="C1554" s="80">
        <v>1</v>
      </c>
      <c r="D1554" s="80" t="s">
        <v>259</v>
      </c>
      <c r="E1554" s="80">
        <v>2</v>
      </c>
      <c r="F1554" s="81">
        <f t="shared" si="728"/>
        <v>45687</v>
      </c>
      <c r="G1554" s="81">
        <f t="shared" si="728"/>
        <v>45687</v>
      </c>
      <c r="H1554" s="81">
        <f t="shared" si="727"/>
        <v>6250</v>
      </c>
      <c r="I1554" s="81">
        <f t="shared" si="727"/>
        <v>6250</v>
      </c>
      <c r="J1554" s="81">
        <f t="shared" si="725"/>
        <v>60328</v>
      </c>
      <c r="K1554" s="133">
        <v>1000</v>
      </c>
      <c r="L1554" s="81"/>
      <c r="M1554" s="16">
        <f t="shared" si="726"/>
        <v>10499.914925369636</v>
      </c>
      <c r="N1554" s="82">
        <v>840</v>
      </c>
      <c r="O1554" s="82">
        <v>2</v>
      </c>
      <c r="P1554" s="83" t="s">
        <v>180</v>
      </c>
      <c r="Q1554" s="83" t="s">
        <v>102</v>
      </c>
      <c r="R1554" s="83"/>
      <c r="S1554" s="83">
        <f t="shared" si="730"/>
        <v>2500</v>
      </c>
      <c r="T1554" s="116">
        <f t="shared" si="731"/>
        <v>2500</v>
      </c>
    </row>
    <row r="1555" spans="1:20" x14ac:dyDescent="0.2">
      <c r="A1555" s="80" t="str">
        <f t="shared" si="729"/>
        <v>300020113</v>
      </c>
      <c r="B1555" s="80">
        <v>30002</v>
      </c>
      <c r="C1555" s="80">
        <v>1</v>
      </c>
      <c r="D1555" s="80" t="s">
        <v>259</v>
      </c>
      <c r="E1555" s="80">
        <v>3</v>
      </c>
      <c r="F1555" s="81">
        <f t="shared" si="728"/>
        <v>9137</v>
      </c>
      <c r="G1555" s="81">
        <f t="shared" si="728"/>
        <v>9137</v>
      </c>
      <c r="H1555" s="81">
        <f t="shared" si="727"/>
        <v>6250</v>
      </c>
      <c r="I1555" s="81">
        <f t="shared" si="727"/>
        <v>6250</v>
      </c>
      <c r="J1555" s="81">
        <f t="shared" si="725"/>
        <v>11497</v>
      </c>
      <c r="K1555" s="133">
        <v>1000</v>
      </c>
      <c r="L1555" s="81"/>
      <c r="M1555" s="16">
        <f t="shared" si="726"/>
        <v>2049.8594000565013</v>
      </c>
      <c r="N1555" s="82">
        <v>820</v>
      </c>
      <c r="O1555" s="82">
        <v>0.4</v>
      </c>
      <c r="P1555" s="83" t="s">
        <v>180</v>
      </c>
      <c r="Q1555" s="83" t="s">
        <v>102</v>
      </c>
      <c r="R1555" s="83"/>
      <c r="S1555" s="83">
        <f t="shared" si="730"/>
        <v>2500</v>
      </c>
      <c r="T1555" s="116">
        <f t="shared" si="731"/>
        <v>2500</v>
      </c>
    </row>
    <row r="1556" spans="1:20" x14ac:dyDescent="0.2">
      <c r="A1556" s="80" t="str">
        <f t="shared" si="729"/>
        <v>300020220</v>
      </c>
      <c r="B1556" s="80">
        <v>30002</v>
      </c>
      <c r="C1556" s="80">
        <v>2</v>
      </c>
      <c r="D1556" s="80" t="s">
        <v>262</v>
      </c>
      <c r="E1556" s="80">
        <v>0</v>
      </c>
      <c r="F1556" s="81">
        <f t="shared" si="728"/>
        <v>22843</v>
      </c>
      <c r="G1556" s="81">
        <f t="shared" si="728"/>
        <v>22843</v>
      </c>
      <c r="H1556" s="81">
        <f t="shared" si="727"/>
        <v>12500</v>
      </c>
      <c r="I1556" s="81">
        <f t="shared" si="727"/>
        <v>12500</v>
      </c>
      <c r="J1556" s="81">
        <f t="shared" si="725"/>
        <v>33105</v>
      </c>
      <c r="K1556" s="133">
        <v>1000</v>
      </c>
      <c r="L1556" s="81"/>
      <c r="M1556" s="16">
        <f t="shared" si="726"/>
        <v>7778.0075340668063</v>
      </c>
      <c r="N1556" s="82">
        <v>880</v>
      </c>
      <c r="O1556" s="82">
        <v>0.5</v>
      </c>
      <c r="P1556" s="89">
        <f>P1552*2</f>
        <v>10000</v>
      </c>
      <c r="Q1556" s="83" t="s">
        <v>102</v>
      </c>
      <c r="R1556" s="83"/>
      <c r="S1556" s="83">
        <f t="shared" si="730"/>
        <v>5000</v>
      </c>
      <c r="T1556" s="116">
        <f t="shared" si="731"/>
        <v>5000</v>
      </c>
    </row>
    <row r="1557" spans="1:20" x14ac:dyDescent="0.2">
      <c r="A1557" s="80" t="str">
        <f t="shared" si="729"/>
        <v>300020221</v>
      </c>
      <c r="B1557" s="80">
        <v>30002</v>
      </c>
      <c r="C1557" s="80">
        <v>2</v>
      </c>
      <c r="D1557" s="80" t="s">
        <v>262</v>
      </c>
      <c r="E1557" s="80">
        <v>1</v>
      </c>
      <c r="F1557" s="81">
        <f t="shared" si="728"/>
        <v>45687</v>
      </c>
      <c r="G1557" s="81">
        <f t="shared" si="728"/>
        <v>45687</v>
      </c>
      <c r="H1557" s="81">
        <f t="shared" si="727"/>
        <v>12500</v>
      </c>
      <c r="I1557" s="81">
        <f t="shared" si="727"/>
        <v>12500</v>
      </c>
      <c r="J1557" s="81">
        <f t="shared" si="725"/>
        <v>63235</v>
      </c>
      <c r="K1557" s="133">
        <v>1000</v>
      </c>
      <c r="L1557" s="81"/>
      <c r="M1557" s="16">
        <f t="shared" si="726"/>
        <v>15202.677251063382</v>
      </c>
      <c r="N1557" s="82">
        <v>860</v>
      </c>
      <c r="O1557" s="82">
        <v>1</v>
      </c>
      <c r="P1557" s="89">
        <f t="shared" ref="P1557:P1559" si="732">P1553*2</f>
        <v>10000</v>
      </c>
      <c r="Q1557" s="83" t="s">
        <v>102</v>
      </c>
      <c r="R1557" s="83"/>
      <c r="S1557" s="83">
        <f t="shared" si="730"/>
        <v>5000</v>
      </c>
      <c r="T1557" s="116">
        <f t="shared" si="731"/>
        <v>5000</v>
      </c>
    </row>
    <row r="1558" spans="1:20" x14ac:dyDescent="0.2">
      <c r="A1558" s="80" t="str">
        <f t="shared" si="729"/>
        <v>300020222</v>
      </c>
      <c r="B1558" s="80">
        <v>30002</v>
      </c>
      <c r="C1558" s="80">
        <v>2</v>
      </c>
      <c r="D1558" s="80" t="s">
        <v>262</v>
      </c>
      <c r="E1558" s="80">
        <v>2</v>
      </c>
      <c r="F1558" s="81">
        <f t="shared" si="728"/>
        <v>91375</v>
      </c>
      <c r="G1558" s="81">
        <f t="shared" si="728"/>
        <v>91375</v>
      </c>
      <c r="H1558" s="81">
        <f t="shared" si="727"/>
        <v>12500</v>
      </c>
      <c r="I1558" s="81">
        <f t="shared" si="727"/>
        <v>12500</v>
      </c>
      <c r="J1558" s="81">
        <f t="shared" si="725"/>
        <v>120656</v>
      </c>
      <c r="K1558" s="133">
        <v>1000</v>
      </c>
      <c r="L1558" s="81"/>
      <c r="M1558" s="16">
        <f t="shared" si="726"/>
        <v>29698.40669126881</v>
      </c>
      <c r="N1558" s="82">
        <v>840</v>
      </c>
      <c r="O1558" s="82">
        <v>2</v>
      </c>
      <c r="P1558" s="89">
        <f t="shared" si="732"/>
        <v>10000</v>
      </c>
      <c r="Q1558" s="83" t="s">
        <v>102</v>
      </c>
      <c r="R1558" s="83"/>
      <c r="S1558" s="83">
        <f t="shared" si="730"/>
        <v>5000</v>
      </c>
      <c r="T1558" s="116">
        <f t="shared" si="731"/>
        <v>5000</v>
      </c>
    </row>
    <row r="1559" spans="1:20" x14ac:dyDescent="0.2">
      <c r="A1559" s="80" t="str">
        <f t="shared" si="729"/>
        <v>300020223</v>
      </c>
      <c r="B1559" s="80">
        <v>30002</v>
      </c>
      <c r="C1559" s="80">
        <v>2</v>
      </c>
      <c r="D1559" s="80" t="s">
        <v>262</v>
      </c>
      <c r="E1559" s="80">
        <v>3</v>
      </c>
      <c r="F1559" s="81">
        <f t="shared" si="728"/>
        <v>18275</v>
      </c>
      <c r="G1559" s="81">
        <f t="shared" si="728"/>
        <v>18275</v>
      </c>
      <c r="H1559" s="81">
        <f t="shared" si="727"/>
        <v>12500</v>
      </c>
      <c r="I1559" s="81">
        <f t="shared" si="727"/>
        <v>12500</v>
      </c>
      <c r="J1559" s="81">
        <f t="shared" si="725"/>
        <v>22995</v>
      </c>
      <c r="K1559" s="133">
        <v>1000</v>
      </c>
      <c r="L1559" s="81"/>
      <c r="M1559" s="16">
        <f t="shared" si="726"/>
        <v>5798.1626400093337</v>
      </c>
      <c r="N1559" s="82">
        <v>820</v>
      </c>
      <c r="O1559" s="82">
        <v>0.4</v>
      </c>
      <c r="P1559" s="89">
        <f t="shared" si="732"/>
        <v>10000</v>
      </c>
      <c r="Q1559" s="83" t="s">
        <v>102</v>
      </c>
      <c r="R1559" s="83"/>
      <c r="S1559" s="83">
        <f t="shared" si="730"/>
        <v>5000</v>
      </c>
      <c r="T1559" s="116">
        <f t="shared" si="731"/>
        <v>5000</v>
      </c>
    </row>
    <row r="1560" spans="1:20" x14ac:dyDescent="0.2">
      <c r="A1560" s="80" t="str">
        <f t="shared" si="729"/>
        <v>300020330</v>
      </c>
      <c r="B1560" s="80">
        <v>30002</v>
      </c>
      <c r="C1560" s="80">
        <v>3</v>
      </c>
      <c r="D1560" s="80" t="s">
        <v>264</v>
      </c>
      <c r="E1560" s="80">
        <v>0</v>
      </c>
      <c r="F1560" s="81">
        <f t="shared" si="728"/>
        <v>38500</v>
      </c>
      <c r="G1560" s="81">
        <f t="shared" si="728"/>
        <v>38500</v>
      </c>
      <c r="H1560" s="81">
        <f t="shared" si="727"/>
        <v>17500</v>
      </c>
      <c r="I1560" s="81">
        <f t="shared" si="727"/>
        <v>17500</v>
      </c>
      <c r="J1560" s="81">
        <f t="shared" si="725"/>
        <v>38500</v>
      </c>
      <c r="K1560" s="133">
        <v>1000</v>
      </c>
      <c r="L1560" s="81"/>
      <c r="M1560" s="16">
        <f t="shared" si="726"/>
        <v>12884.564408624763</v>
      </c>
      <c r="N1560" s="82">
        <v>880</v>
      </c>
      <c r="O1560" s="82">
        <v>0.5</v>
      </c>
      <c r="P1560" s="83">
        <f>P1556*1.4</f>
        <v>14000</v>
      </c>
      <c r="Q1560" s="83" t="s">
        <v>231</v>
      </c>
      <c r="R1560" s="83"/>
      <c r="S1560" s="83">
        <f t="shared" si="730"/>
        <v>7000</v>
      </c>
      <c r="T1560" s="116">
        <f t="shared" si="731"/>
        <v>7000</v>
      </c>
    </row>
    <row r="1561" spans="1:20" x14ac:dyDescent="0.2">
      <c r="A1561" s="80" t="str">
        <f t="shared" si="729"/>
        <v>300020331</v>
      </c>
      <c r="B1561" s="80">
        <v>30002</v>
      </c>
      <c r="C1561" s="80">
        <v>3</v>
      </c>
      <c r="D1561" s="80" t="s">
        <v>264</v>
      </c>
      <c r="E1561" s="80">
        <v>1</v>
      </c>
      <c r="F1561" s="81">
        <f t="shared" si="728"/>
        <v>72625</v>
      </c>
      <c r="G1561" s="81">
        <f t="shared" si="728"/>
        <v>72625</v>
      </c>
      <c r="H1561" s="81">
        <f t="shared" si="727"/>
        <v>17500</v>
      </c>
      <c r="I1561" s="81">
        <f t="shared" si="727"/>
        <v>17500</v>
      </c>
      <c r="J1561" s="81">
        <f t="shared" si="725"/>
        <v>77969</v>
      </c>
      <c r="K1561" s="133">
        <v>1000</v>
      </c>
      <c r="L1561" s="81"/>
      <c r="M1561" s="16">
        <f t="shared" si="726"/>
        <v>25183.324760642703</v>
      </c>
      <c r="N1561" s="82">
        <v>860</v>
      </c>
      <c r="O1561" s="82">
        <v>1</v>
      </c>
      <c r="P1561" s="83">
        <f t="shared" ref="P1561:P1563" si="733">P1557*1.4</f>
        <v>14000</v>
      </c>
      <c r="Q1561" s="83" t="s">
        <v>232</v>
      </c>
      <c r="R1561" s="83"/>
      <c r="S1561" s="83">
        <f t="shared" si="730"/>
        <v>7000</v>
      </c>
      <c r="T1561" s="116">
        <f t="shared" si="731"/>
        <v>7000</v>
      </c>
    </row>
    <row r="1562" spans="1:20" x14ac:dyDescent="0.2">
      <c r="A1562" s="80" t="str">
        <f t="shared" si="729"/>
        <v>300020332</v>
      </c>
      <c r="B1562" s="80">
        <v>30002</v>
      </c>
      <c r="C1562" s="80">
        <v>3</v>
      </c>
      <c r="D1562" s="80" t="s">
        <v>264</v>
      </c>
      <c r="E1562" s="80">
        <v>2</v>
      </c>
      <c r="F1562" s="81">
        <f t="shared" si="728"/>
        <v>136500</v>
      </c>
      <c r="G1562" s="81">
        <f t="shared" si="728"/>
        <v>136500</v>
      </c>
      <c r="H1562" s="81">
        <f t="shared" si="727"/>
        <v>17500</v>
      </c>
      <c r="I1562" s="81">
        <f t="shared" si="727"/>
        <v>17500</v>
      </c>
      <c r="J1562" s="81">
        <f t="shared" si="725"/>
        <v>158307</v>
      </c>
      <c r="K1562" s="133">
        <v>1000</v>
      </c>
      <c r="L1562" s="81"/>
      <c r="M1562" s="16">
        <f t="shared" si="726"/>
        <v>49195.501989511198</v>
      </c>
      <c r="N1562" s="82">
        <v>840</v>
      </c>
      <c r="O1562" s="82">
        <v>2</v>
      </c>
      <c r="P1562" s="83">
        <f t="shared" si="733"/>
        <v>14000</v>
      </c>
      <c r="Q1562" s="83" t="s">
        <v>233</v>
      </c>
      <c r="R1562" s="83"/>
      <c r="S1562" s="83">
        <f t="shared" si="730"/>
        <v>7000</v>
      </c>
      <c r="T1562" s="116">
        <f t="shared" si="731"/>
        <v>7000</v>
      </c>
    </row>
    <row r="1563" spans="1:20" x14ac:dyDescent="0.2">
      <c r="A1563" s="80" t="str">
        <f t="shared" si="729"/>
        <v>300020333</v>
      </c>
      <c r="B1563" s="80">
        <v>30002</v>
      </c>
      <c r="C1563" s="80">
        <v>3</v>
      </c>
      <c r="D1563" s="80" t="s">
        <v>264</v>
      </c>
      <c r="E1563" s="80">
        <v>3</v>
      </c>
      <c r="F1563" s="81">
        <f t="shared" si="728"/>
        <v>22750</v>
      </c>
      <c r="G1563" s="81">
        <f t="shared" si="728"/>
        <v>22750</v>
      </c>
      <c r="H1563" s="81">
        <f t="shared" si="727"/>
        <v>12500</v>
      </c>
      <c r="I1563" s="81">
        <f t="shared" si="727"/>
        <v>12500</v>
      </c>
      <c r="J1563" s="81">
        <f t="shared" si="725"/>
        <v>19384</v>
      </c>
      <c r="K1563" s="133">
        <v>1000</v>
      </c>
      <c r="L1563" s="81"/>
      <c r="M1563" s="16">
        <f t="shared" si="726"/>
        <v>5939.6026803145678</v>
      </c>
      <c r="N1563" s="82">
        <v>600</v>
      </c>
      <c r="O1563" s="82">
        <v>0.4</v>
      </c>
      <c r="P1563" s="83">
        <f t="shared" si="733"/>
        <v>14000</v>
      </c>
      <c r="Q1563" s="83" t="s">
        <v>234</v>
      </c>
      <c r="R1563" s="83"/>
      <c r="S1563" s="83" t="s">
        <v>343</v>
      </c>
      <c r="T1563" s="116" t="s">
        <v>343</v>
      </c>
    </row>
    <row r="1564" spans="1:20" x14ac:dyDescent="0.2">
      <c r="A1564" s="84" t="str">
        <f t="shared" si="729"/>
        <v>300020411</v>
      </c>
      <c r="B1564" s="84">
        <v>30002</v>
      </c>
      <c r="C1564" s="84">
        <v>4</v>
      </c>
      <c r="D1564" s="84" t="s">
        <v>259</v>
      </c>
      <c r="E1564" s="84">
        <v>1</v>
      </c>
      <c r="F1564" s="81">
        <f t="shared" si="728"/>
        <v>28783</v>
      </c>
      <c r="G1564" s="81">
        <f t="shared" si="728"/>
        <v>28783</v>
      </c>
      <c r="H1564" s="81">
        <f t="shared" si="727"/>
        <v>11250</v>
      </c>
      <c r="I1564" s="81">
        <f t="shared" si="727"/>
        <v>11250</v>
      </c>
      <c r="J1564" s="81">
        <f t="shared" si="725"/>
        <v>34473</v>
      </c>
      <c r="K1564" s="133">
        <v>1000</v>
      </c>
      <c r="L1564" s="85"/>
      <c r="M1564" s="16">
        <f t="shared" si="726"/>
        <v>8452.278855314702</v>
      </c>
      <c r="N1564" s="86">
        <v>800</v>
      </c>
      <c r="O1564" s="86">
        <v>0.7</v>
      </c>
      <c r="P1564" s="87">
        <f>P1566*0.6</f>
        <v>9000</v>
      </c>
      <c r="Q1564" s="86">
        <v>731</v>
      </c>
      <c r="R1564" s="87" t="s">
        <v>337</v>
      </c>
      <c r="S1564" s="83">
        <f t="shared" si="730"/>
        <v>4500</v>
      </c>
      <c r="T1564" s="116">
        <f>P1564/2</f>
        <v>4500</v>
      </c>
    </row>
    <row r="1565" spans="1:20" x14ac:dyDescent="0.2">
      <c r="A1565" s="84" t="str">
        <f t="shared" ref="A1565" si="734">IF(B1565="","",CONCATENATE(B1565,CONCATENATE(REPT(0,2-LEN(C1565)),C1565),IF(OR(D1565="Easy",D1565=""),1,IF(D1565="Normal",2,IF(D1565="Hard",3,IF(D1565="Hell",4,"error")))),E1565))</f>
        <v>300020414</v>
      </c>
      <c r="B1565" s="84">
        <v>30002</v>
      </c>
      <c r="C1565" s="84">
        <v>4</v>
      </c>
      <c r="D1565" s="84" t="s">
        <v>259</v>
      </c>
      <c r="E1565" s="84">
        <v>4</v>
      </c>
      <c r="F1565" s="81">
        <f t="shared" ref="F1565:G1571" si="735">ROUNDDOWN($P1565/4*$O1565*10*$N1565/$N1565*$Q1565/400,0)</f>
        <v>10965</v>
      </c>
      <c r="G1565" s="81">
        <f t="shared" si="735"/>
        <v>10965</v>
      </c>
      <c r="H1565" s="81">
        <f t="shared" ref="H1565:I1571" si="736">ROUNDDOWN($S1565/4*10,0)</f>
        <v>4000</v>
      </c>
      <c r="I1565" s="81">
        <f t="shared" si="736"/>
        <v>4000</v>
      </c>
      <c r="J1565" s="81">
        <f t="shared" si="725"/>
        <v>13132</v>
      </c>
      <c r="K1565" s="133">
        <v>1000</v>
      </c>
      <c r="L1565" s="85"/>
      <c r="M1565" s="16">
        <f t="shared" si="726"/>
        <v>1919.9491993279407</v>
      </c>
      <c r="N1565" s="86">
        <v>800</v>
      </c>
      <c r="O1565" s="86">
        <v>1</v>
      </c>
      <c r="P1565" s="86">
        <f>P1567*0.6</f>
        <v>2400</v>
      </c>
      <c r="Q1565" s="86">
        <v>731</v>
      </c>
      <c r="R1565" s="87" t="s">
        <v>338</v>
      </c>
      <c r="S1565" s="82">
        <f xml:space="preserve"> P1565/1.5</f>
        <v>1600</v>
      </c>
      <c r="T1565" s="114">
        <f xml:space="preserve"> P1565/1.5</f>
        <v>1600</v>
      </c>
    </row>
    <row r="1566" spans="1:20" x14ac:dyDescent="0.2">
      <c r="A1566" s="84" t="str">
        <f t="shared" si="729"/>
        <v>300020421</v>
      </c>
      <c r="B1566" s="84">
        <v>30002</v>
      </c>
      <c r="C1566" s="84">
        <v>4</v>
      </c>
      <c r="D1566" s="84" t="s">
        <v>262</v>
      </c>
      <c r="E1566" s="84">
        <v>1</v>
      </c>
      <c r="F1566" s="81">
        <f t="shared" si="735"/>
        <v>47971</v>
      </c>
      <c r="G1566" s="81">
        <f t="shared" si="735"/>
        <v>47971</v>
      </c>
      <c r="H1566" s="81">
        <f t="shared" si="736"/>
        <v>18750</v>
      </c>
      <c r="I1566" s="81">
        <f t="shared" si="736"/>
        <v>18750</v>
      </c>
      <c r="J1566" s="81">
        <f t="shared" si="725"/>
        <v>60364</v>
      </c>
      <c r="K1566" s="133">
        <v>1000</v>
      </c>
      <c r="L1566" s="85"/>
      <c r="M1566" s="16">
        <f t="shared" si="726"/>
        <v>18640.991746149131</v>
      </c>
      <c r="N1566" s="86">
        <v>820</v>
      </c>
      <c r="O1566" s="86">
        <v>0.7</v>
      </c>
      <c r="P1566" s="87" t="s">
        <v>344</v>
      </c>
      <c r="Q1566" s="86">
        <v>731</v>
      </c>
      <c r="R1566" s="87" t="s">
        <v>336</v>
      </c>
      <c r="S1566" s="83">
        <f t="shared" si="730"/>
        <v>7500</v>
      </c>
      <c r="T1566" s="116">
        <f t="shared" ref="T1566" si="737">P1566/2</f>
        <v>7500</v>
      </c>
    </row>
    <row r="1567" spans="1:20" x14ac:dyDescent="0.2">
      <c r="A1567" s="84" t="str">
        <f t="shared" ref="A1567" si="738">IF(B1567="","",CONCATENATE(B1567,CONCATENATE(REPT(0,2-LEN(C1567)),C1567),IF(OR(D1567="Easy",D1567=""),1,IF(D1567="Normal",2,IF(D1567="Hard",3,IF(D1567="Hell",4,"error")))),E1567))</f>
        <v>300020424</v>
      </c>
      <c r="B1567" s="84">
        <v>30002</v>
      </c>
      <c r="C1567" s="84">
        <v>4</v>
      </c>
      <c r="D1567" s="84" t="s">
        <v>262</v>
      </c>
      <c r="E1567" s="84">
        <v>4</v>
      </c>
      <c r="F1567" s="81">
        <f t="shared" si="735"/>
        <v>18275</v>
      </c>
      <c r="G1567" s="81">
        <f t="shared" si="735"/>
        <v>18275</v>
      </c>
      <c r="H1567" s="81">
        <f t="shared" si="736"/>
        <v>6666</v>
      </c>
      <c r="I1567" s="81">
        <f t="shared" si="736"/>
        <v>6666</v>
      </c>
      <c r="J1567" s="81">
        <f t="shared" si="725"/>
        <v>21887</v>
      </c>
      <c r="K1567" s="133">
        <v>1000</v>
      </c>
      <c r="L1567" s="85"/>
      <c r="M1567" s="16">
        <f t="shared" si="726"/>
        <v>4130.8978278722898</v>
      </c>
      <c r="N1567" s="86">
        <v>800</v>
      </c>
      <c r="O1567" s="86">
        <v>1</v>
      </c>
      <c r="P1567" s="86">
        <v>4000</v>
      </c>
      <c r="Q1567" s="86">
        <v>731</v>
      </c>
      <c r="R1567" s="87" t="s">
        <v>335</v>
      </c>
      <c r="S1567" s="82">
        <f xml:space="preserve"> P1567/1.5</f>
        <v>2666.6666666666665</v>
      </c>
      <c r="T1567" s="114">
        <f xml:space="preserve"> P1567/1.5</f>
        <v>2666.6666666666665</v>
      </c>
    </row>
    <row r="1568" spans="1:20" x14ac:dyDescent="0.2">
      <c r="A1568" s="84" t="str">
        <f t="shared" si="729"/>
        <v>300020431</v>
      </c>
      <c r="B1568" s="84">
        <v>30002</v>
      </c>
      <c r="C1568" s="84">
        <v>4</v>
      </c>
      <c r="D1568" s="84" t="s">
        <v>264</v>
      </c>
      <c r="E1568" s="84">
        <v>1</v>
      </c>
      <c r="F1568" s="81">
        <f t="shared" si="735"/>
        <v>71957</v>
      </c>
      <c r="G1568" s="81">
        <f t="shared" si="735"/>
        <v>71957</v>
      </c>
      <c r="H1568" s="81">
        <f t="shared" si="736"/>
        <v>56250</v>
      </c>
      <c r="I1568" s="81">
        <f t="shared" si="736"/>
        <v>56250</v>
      </c>
      <c r="J1568" s="81">
        <f t="shared" si="725"/>
        <v>86183</v>
      </c>
      <c r="K1568" s="133">
        <v>1000</v>
      </c>
      <c r="L1568" s="85"/>
      <c r="M1568" s="16">
        <f t="shared" si="726"/>
        <v>47249.648116784956</v>
      </c>
      <c r="N1568" s="86">
        <v>800</v>
      </c>
      <c r="O1568" s="86">
        <v>0.7</v>
      </c>
      <c r="P1568" s="88">
        <f xml:space="preserve"> P1566*1.5</f>
        <v>22500</v>
      </c>
      <c r="Q1568" s="86">
        <v>731</v>
      </c>
      <c r="R1568" s="87" t="s">
        <v>339</v>
      </c>
      <c r="S1568" s="83">
        <f xml:space="preserve"> P1568/1</f>
        <v>22500</v>
      </c>
      <c r="T1568" s="116">
        <f xml:space="preserve"> P1568/1</f>
        <v>22500</v>
      </c>
    </row>
    <row r="1569" spans="1:20" x14ac:dyDescent="0.2">
      <c r="A1569" s="84" t="str">
        <f t="shared" ref="A1569" si="739">IF(B1569="","",CONCATENATE(B1569,CONCATENATE(REPT(0,2-LEN(C1569)),C1569),IF(OR(D1569="Easy",D1569=""),1,IF(D1569="Normal",2,IF(D1569="Hard",3,IF(D1569="Hell",4,"error")))),E1569))</f>
        <v>300020434</v>
      </c>
      <c r="B1569" s="84">
        <v>30002</v>
      </c>
      <c r="C1569" s="84">
        <v>4</v>
      </c>
      <c r="D1569" s="84" t="s">
        <v>264</v>
      </c>
      <c r="E1569" s="84">
        <v>4</v>
      </c>
      <c r="F1569" s="81">
        <f t="shared" si="735"/>
        <v>25585</v>
      </c>
      <c r="G1569" s="81">
        <f t="shared" si="735"/>
        <v>25585</v>
      </c>
      <c r="H1569" s="81">
        <f t="shared" si="736"/>
        <v>14000</v>
      </c>
      <c r="I1569" s="81">
        <f t="shared" si="736"/>
        <v>14000</v>
      </c>
      <c r="J1569" s="81">
        <f t="shared" si="725"/>
        <v>30642</v>
      </c>
      <c r="K1569" s="133">
        <v>1000</v>
      </c>
      <c r="L1569" s="85"/>
      <c r="M1569" s="16">
        <f t="shared" si="726"/>
        <v>8381.1819615135446</v>
      </c>
      <c r="N1569" s="86">
        <v>800</v>
      </c>
      <c r="O1569" s="86">
        <v>1</v>
      </c>
      <c r="P1569" s="85">
        <f>P1567*1.4</f>
        <v>5600</v>
      </c>
      <c r="Q1569" s="86">
        <v>731</v>
      </c>
      <c r="R1569" s="87" t="s">
        <v>340</v>
      </c>
      <c r="S1569" s="83">
        <f t="shared" ref="S1569" si="740" xml:space="preserve"> P1569/1</f>
        <v>5600</v>
      </c>
      <c r="T1569" s="116">
        <f t="shared" ref="T1569" si="741" xml:space="preserve"> P1569/1</f>
        <v>5600</v>
      </c>
    </row>
    <row r="1570" spans="1:20" x14ac:dyDescent="0.2">
      <c r="A1570" s="84" t="str">
        <f t="shared" si="729"/>
        <v>300020441</v>
      </c>
      <c r="B1570" s="84">
        <v>30002</v>
      </c>
      <c r="C1570" s="84">
        <v>4</v>
      </c>
      <c r="D1570" s="84" t="s">
        <v>230</v>
      </c>
      <c r="E1570" s="84">
        <v>1</v>
      </c>
      <c r="F1570" s="81">
        <f t="shared" si="735"/>
        <v>319812</v>
      </c>
      <c r="G1570" s="81">
        <f t="shared" si="735"/>
        <v>319812</v>
      </c>
      <c r="H1570" s="81">
        <f t="shared" si="736"/>
        <v>150000</v>
      </c>
      <c r="I1570" s="81">
        <f t="shared" si="736"/>
        <v>150000</v>
      </c>
      <c r="J1570" s="81">
        <f t="shared" si="725"/>
        <v>383036</v>
      </c>
      <c r="K1570" s="133">
        <v>1000</v>
      </c>
      <c r="L1570" s="85"/>
      <c r="M1570" s="16">
        <f t="shared" si="726"/>
        <v>342927.87705685291</v>
      </c>
      <c r="N1570" s="86">
        <v>800</v>
      </c>
      <c r="O1570" s="85">
        <v>1</v>
      </c>
      <c r="P1570" s="88" t="s">
        <v>345</v>
      </c>
      <c r="Q1570" s="86">
        <v>731</v>
      </c>
      <c r="R1570" s="87" t="s">
        <v>341</v>
      </c>
      <c r="S1570" s="83" t="s">
        <v>346</v>
      </c>
      <c r="T1570" s="116" t="s">
        <v>346</v>
      </c>
    </row>
    <row r="1571" spans="1:20" x14ac:dyDescent="0.2">
      <c r="A1571" s="84" t="str">
        <f t="shared" ref="A1571:A1573" si="742">IF(B1571="","",CONCATENATE(B1571,CONCATENATE(REPT(0,2-LEN(C1571)),C1571),IF(OR(D1571="Easy",D1571=""),1,IF(D1571="Normal",2,IF(D1571="Hard",3,IF(D1571="Hell",4,"error")))),E1571))</f>
        <v>300020444</v>
      </c>
      <c r="B1571" s="84">
        <v>30002</v>
      </c>
      <c r="C1571" s="84">
        <v>4</v>
      </c>
      <c r="D1571" s="84" t="s">
        <v>230</v>
      </c>
      <c r="E1571" s="84">
        <v>4</v>
      </c>
      <c r="F1571" s="81">
        <f t="shared" si="735"/>
        <v>233006</v>
      </c>
      <c r="G1571" s="81">
        <f t="shared" si="735"/>
        <v>233006</v>
      </c>
      <c r="H1571" s="81">
        <f t="shared" si="736"/>
        <v>32500</v>
      </c>
      <c r="I1571" s="81">
        <f t="shared" si="736"/>
        <v>32500</v>
      </c>
      <c r="J1571" s="81">
        <f t="shared" si="725"/>
        <v>279069</v>
      </c>
      <c r="K1571" s="133">
        <v>1000</v>
      </c>
      <c r="L1571" s="85"/>
      <c r="M1571" s="16">
        <f t="shared" si="726"/>
        <v>116297.67106056768</v>
      </c>
      <c r="N1571" s="86">
        <v>800</v>
      </c>
      <c r="O1571" s="85">
        <v>3</v>
      </c>
      <c r="P1571" s="85">
        <v>17000</v>
      </c>
      <c r="Q1571" s="86">
        <v>731</v>
      </c>
      <c r="R1571" s="87" t="s">
        <v>342</v>
      </c>
      <c r="S1571" s="83" t="s">
        <v>347</v>
      </c>
      <c r="T1571" s="116" t="s">
        <v>347</v>
      </c>
    </row>
    <row r="1572" spans="1:20" x14ac:dyDescent="0.2">
      <c r="A1572" s="8" t="str">
        <f t="shared" si="742"/>
        <v/>
      </c>
      <c r="B1572" s="38"/>
      <c r="C1572" s="35" t="s">
        <v>465</v>
      </c>
      <c r="D1572" s="38"/>
      <c r="E1572" s="38"/>
      <c r="F1572" s="38"/>
      <c r="G1572" s="40"/>
      <c r="H1572" s="38"/>
      <c r="I1572" s="38"/>
      <c r="J1572" s="38"/>
      <c r="K1572" s="133">
        <v>1000</v>
      </c>
      <c r="L1572" s="38"/>
      <c r="M1572" s="16">
        <f t="shared" si="726"/>
        <v>0</v>
      </c>
      <c r="N1572" s="42" t="str">
        <f>IF(A1572="","",M1572*#REF!)</f>
        <v/>
      </c>
      <c r="O1572" s="40"/>
      <c r="P1572" s="38"/>
      <c r="Q1572" s="38"/>
      <c r="R1572" s="38"/>
      <c r="S1572" s="40"/>
      <c r="T1572" s="267"/>
    </row>
    <row r="1573" spans="1:20" x14ac:dyDescent="0.2">
      <c r="A1573" s="80" t="str">
        <f t="shared" si="742"/>
        <v>300030110</v>
      </c>
      <c r="B1573" s="80">
        <v>30003</v>
      </c>
      <c r="C1573" s="80">
        <v>1</v>
      </c>
      <c r="D1573" s="80" t="s">
        <v>259</v>
      </c>
      <c r="E1573" s="80">
        <v>0</v>
      </c>
      <c r="F1573" s="81">
        <f t="shared" ref="F1573:G1590" si="743">ROUNDDOWN($P1573/4*$O1573*10*$N1573/$N1573*$Q1573/400,0)</f>
        <v>12133</v>
      </c>
      <c r="G1573" s="81">
        <f t="shared" si="743"/>
        <v>12133</v>
      </c>
      <c r="H1573" s="81">
        <f t="shared" ref="H1573:I1590" si="744">ROUNDDOWN($S1573/4*10,0)</f>
        <v>3110</v>
      </c>
      <c r="I1573" s="81">
        <f t="shared" si="744"/>
        <v>3110</v>
      </c>
      <c r="J1573" s="81">
        <f t="shared" si="725"/>
        <v>14979</v>
      </c>
      <c r="K1573" s="133">
        <v>1000</v>
      </c>
      <c r="L1573" s="81"/>
      <c r="M1573" s="16">
        <f t="shared" si="726"/>
        <v>1901.9350883055922</v>
      </c>
      <c r="N1573" s="36">
        <v>1000</v>
      </c>
      <c r="O1573" s="36">
        <v>1</v>
      </c>
      <c r="P1573" s="90" t="s">
        <v>376</v>
      </c>
      <c r="Q1573" s="2" t="s">
        <v>439</v>
      </c>
      <c r="R1573" s="2" t="s">
        <v>469</v>
      </c>
      <c r="S1573" s="36" t="s">
        <v>126</v>
      </c>
    </row>
    <row r="1574" spans="1:20" x14ac:dyDescent="0.2">
      <c r="A1574" s="80" t="str">
        <f t="shared" ref="A1574" si="745">IF(B1574="","",CONCATENATE(B1574,CONCATENATE(REPT(0,2-LEN(C1574)),C1574),IF(OR(D1574="Easy",D1574=""),1,IF(D1574="Normal",2,IF(D1574="Hard",3,IF(D1574="Hell",4,"error")))),E1574))</f>
        <v>300030111</v>
      </c>
      <c r="B1574" s="80">
        <v>30003</v>
      </c>
      <c r="C1574" s="80">
        <v>1</v>
      </c>
      <c r="D1574" s="80" t="s">
        <v>259</v>
      </c>
      <c r="E1574" s="80">
        <v>1</v>
      </c>
      <c r="F1574" s="81">
        <f t="shared" si="743"/>
        <v>21030</v>
      </c>
      <c r="G1574" s="81">
        <f t="shared" si="743"/>
        <v>21030</v>
      </c>
      <c r="H1574" s="81">
        <f t="shared" si="744"/>
        <v>3110</v>
      </c>
      <c r="I1574" s="81">
        <f t="shared" si="744"/>
        <v>3110</v>
      </c>
      <c r="J1574" s="81">
        <f t="shared" si="725"/>
        <v>25565</v>
      </c>
      <c r="K1574" s="133">
        <v>1000</v>
      </c>
      <c r="L1574" s="81"/>
      <c r="M1574" s="16">
        <f t="shared" si="726"/>
        <v>3271.2423225435323</v>
      </c>
      <c r="N1574" s="36">
        <v>860</v>
      </c>
      <c r="O1574" s="36">
        <v>2</v>
      </c>
      <c r="P1574" s="90" t="s">
        <v>376</v>
      </c>
      <c r="Q1574" s="2" t="s">
        <v>186</v>
      </c>
      <c r="R1574" s="2" t="s">
        <v>469</v>
      </c>
      <c r="S1574" s="36" t="s">
        <v>126</v>
      </c>
    </row>
    <row r="1575" spans="1:20" x14ac:dyDescent="0.2">
      <c r="A1575" s="80" t="str">
        <f t="shared" ref="A1575" si="746">IF(B1575="","",CONCATENATE(B1575,CONCATENATE(REPT(0,2-LEN(C1575)),C1575),IF(OR(D1575="Easy",D1575=""),1,IF(D1575="Normal",2,IF(D1575="Hard",3,IF(D1575="Hell",4,"error")))),E1575))</f>
        <v>300030112</v>
      </c>
      <c r="B1575" s="80">
        <v>30003</v>
      </c>
      <c r="C1575" s="80">
        <v>1</v>
      </c>
      <c r="D1575" s="80" t="s">
        <v>259</v>
      </c>
      <c r="E1575" s="80">
        <v>2</v>
      </c>
      <c r="F1575" s="81">
        <f t="shared" si="743"/>
        <v>26288</v>
      </c>
      <c r="G1575" s="81">
        <f t="shared" si="743"/>
        <v>26288</v>
      </c>
      <c r="H1575" s="81">
        <f t="shared" si="744"/>
        <v>3110</v>
      </c>
      <c r="I1575" s="81">
        <f t="shared" si="744"/>
        <v>3110</v>
      </c>
      <c r="J1575" s="81">
        <f t="shared" si="725"/>
        <v>43903</v>
      </c>
      <c r="K1575" s="133">
        <v>1000</v>
      </c>
      <c r="L1575" s="81"/>
      <c r="M1575" s="16">
        <f t="shared" si="726"/>
        <v>4792.8744571348834</v>
      </c>
      <c r="N1575" s="36">
        <v>840</v>
      </c>
      <c r="O1575" s="36">
        <v>3</v>
      </c>
      <c r="P1575" s="90" t="s">
        <v>376</v>
      </c>
      <c r="Q1575" s="2" t="s">
        <v>196</v>
      </c>
      <c r="R1575" s="2" t="s">
        <v>469</v>
      </c>
      <c r="S1575" s="36" t="s">
        <v>126</v>
      </c>
    </row>
    <row r="1576" spans="1:20" x14ac:dyDescent="0.2">
      <c r="A1576" s="80" t="str">
        <f t="shared" ref="A1576:A1579" si="747">IF(B1576="","",CONCATENATE(B1576,CONCATENATE(REPT(0,2-LEN(C1576)),C1576),IF(OR(D1576="Easy",D1576=""),1,IF(D1576="Normal",2,IF(D1576="Hard",3,IF(D1576="Hell",4,"error")))),E1576))</f>
        <v>300030113</v>
      </c>
      <c r="B1576" s="80">
        <v>30003</v>
      </c>
      <c r="C1576" s="80">
        <v>1</v>
      </c>
      <c r="D1576" s="80" t="s">
        <v>259</v>
      </c>
      <c r="E1576" s="80">
        <v>3</v>
      </c>
      <c r="F1576" s="81">
        <f t="shared" si="743"/>
        <v>32355</v>
      </c>
      <c r="G1576" s="81">
        <f t="shared" si="743"/>
        <v>32355</v>
      </c>
      <c r="H1576" s="81">
        <f t="shared" si="744"/>
        <v>3110</v>
      </c>
      <c r="I1576" s="81">
        <f t="shared" si="744"/>
        <v>3110</v>
      </c>
      <c r="J1576" s="81">
        <f t="shared" si="725"/>
        <v>60431</v>
      </c>
      <c r="K1576" s="133">
        <v>1000</v>
      </c>
      <c r="L1576" s="81"/>
      <c r="M1576" s="16">
        <f t="shared" si="726"/>
        <v>6238.3648963105716</v>
      </c>
      <c r="N1576" s="36">
        <v>820</v>
      </c>
      <c r="O1576" s="36">
        <v>4</v>
      </c>
      <c r="P1576" s="90" t="s">
        <v>376</v>
      </c>
      <c r="Q1576" s="2" t="s">
        <v>197</v>
      </c>
      <c r="R1576" s="2" t="s">
        <v>469</v>
      </c>
      <c r="S1576" s="36" t="s">
        <v>126</v>
      </c>
    </row>
    <row r="1577" spans="1:20" x14ac:dyDescent="0.2">
      <c r="A1577" s="80" t="str">
        <f t="shared" si="747"/>
        <v>300030120</v>
      </c>
      <c r="B1577" s="80">
        <v>30003</v>
      </c>
      <c r="C1577" s="80">
        <v>1</v>
      </c>
      <c r="D1577" s="80" t="s">
        <v>466</v>
      </c>
      <c r="E1577" s="80">
        <v>0</v>
      </c>
      <c r="F1577" s="81">
        <f t="shared" si="743"/>
        <v>33063</v>
      </c>
      <c r="G1577" s="81">
        <f t="shared" si="743"/>
        <v>33063</v>
      </c>
      <c r="H1577" s="81">
        <f t="shared" si="744"/>
        <v>4990</v>
      </c>
      <c r="I1577" s="81">
        <f t="shared" si="744"/>
        <v>4990</v>
      </c>
      <c r="J1577" s="81">
        <f t="shared" si="725"/>
        <v>40819</v>
      </c>
      <c r="K1577" s="133">
        <v>1000</v>
      </c>
      <c r="L1577" s="81"/>
      <c r="M1577" s="16">
        <f t="shared" si="726"/>
        <v>6565.1184904609299</v>
      </c>
      <c r="N1577" s="36">
        <v>1000</v>
      </c>
      <c r="O1577" s="36">
        <v>1</v>
      </c>
      <c r="P1577" s="90" t="s">
        <v>378</v>
      </c>
      <c r="Q1577" s="2" t="s">
        <v>439</v>
      </c>
      <c r="R1577" s="2" t="s">
        <v>470</v>
      </c>
      <c r="S1577" s="36" t="s">
        <v>135</v>
      </c>
    </row>
    <row r="1578" spans="1:20" x14ac:dyDescent="0.2">
      <c r="A1578" s="80" t="str">
        <f t="shared" si="747"/>
        <v>300030121</v>
      </c>
      <c r="B1578" s="80">
        <v>30003</v>
      </c>
      <c r="C1578" s="80">
        <v>1</v>
      </c>
      <c r="D1578" s="80" t="s">
        <v>466</v>
      </c>
      <c r="E1578" s="80">
        <v>1</v>
      </c>
      <c r="F1578" s="81">
        <f t="shared" si="743"/>
        <v>57310</v>
      </c>
      <c r="G1578" s="81">
        <f t="shared" si="743"/>
        <v>57310</v>
      </c>
      <c r="H1578" s="81">
        <f t="shared" si="744"/>
        <v>4990</v>
      </c>
      <c r="I1578" s="81">
        <f t="shared" si="744"/>
        <v>4990</v>
      </c>
      <c r="J1578" s="81">
        <f t="shared" si="725"/>
        <v>69669</v>
      </c>
      <c r="K1578" s="133">
        <v>1000</v>
      </c>
      <c r="L1578" s="81"/>
      <c r="M1578" s="16">
        <f t="shared" si="726"/>
        <v>11292.113962187948</v>
      </c>
      <c r="N1578" s="36">
        <v>860</v>
      </c>
      <c r="O1578" s="36">
        <v>2</v>
      </c>
      <c r="P1578" s="90" t="s">
        <v>378</v>
      </c>
      <c r="Q1578" s="2" t="s">
        <v>186</v>
      </c>
      <c r="R1578" s="2" t="s">
        <v>470</v>
      </c>
      <c r="S1578" s="36" t="s">
        <v>135</v>
      </c>
    </row>
    <row r="1579" spans="1:20" x14ac:dyDescent="0.2">
      <c r="A1579" s="80" t="str">
        <f t="shared" si="747"/>
        <v>300030122</v>
      </c>
      <c r="B1579" s="80">
        <v>30003</v>
      </c>
      <c r="C1579" s="80">
        <v>1</v>
      </c>
      <c r="D1579" s="80" t="s">
        <v>466</v>
      </c>
      <c r="E1579" s="80">
        <v>2</v>
      </c>
      <c r="F1579" s="81">
        <f t="shared" si="743"/>
        <v>71638</v>
      </c>
      <c r="G1579" s="81">
        <f t="shared" si="743"/>
        <v>71638</v>
      </c>
      <c r="H1579" s="81">
        <f t="shared" si="744"/>
        <v>4990</v>
      </c>
      <c r="I1579" s="81">
        <f t="shared" si="744"/>
        <v>4990</v>
      </c>
      <c r="J1579" s="81">
        <f t="shared" si="725"/>
        <v>119639</v>
      </c>
      <c r="K1579" s="133">
        <v>1000</v>
      </c>
      <c r="L1579" s="81"/>
      <c r="M1579" s="16">
        <f t="shared" si="726"/>
        <v>16544.299112031069</v>
      </c>
      <c r="N1579" s="36">
        <v>840</v>
      </c>
      <c r="O1579" s="36">
        <v>3</v>
      </c>
      <c r="P1579" s="90" t="s">
        <v>378</v>
      </c>
      <c r="Q1579" s="2" t="s">
        <v>196</v>
      </c>
      <c r="R1579" s="2" t="s">
        <v>470</v>
      </c>
      <c r="S1579" s="36" t="s">
        <v>135</v>
      </c>
    </row>
    <row r="1580" spans="1:20" x14ac:dyDescent="0.2">
      <c r="A1580" s="80" t="str">
        <f t="shared" ref="A1580:A1583" si="748">IF(B1580="","",CONCATENATE(B1580,CONCATENATE(REPT(0,2-LEN(C1580)),C1580),IF(OR(D1580="Easy",D1580=""),1,IF(D1580="Normal",2,IF(D1580="Hard",3,IF(D1580="Hell",4,"error")))),E1580))</f>
        <v>300030123</v>
      </c>
      <c r="B1580" s="80">
        <v>30003</v>
      </c>
      <c r="C1580" s="80">
        <v>1</v>
      </c>
      <c r="D1580" s="80" t="s">
        <v>466</v>
      </c>
      <c r="E1580" s="80">
        <v>3</v>
      </c>
      <c r="F1580" s="81">
        <f t="shared" si="743"/>
        <v>88170</v>
      </c>
      <c r="G1580" s="81">
        <f t="shared" si="743"/>
        <v>88170</v>
      </c>
      <c r="H1580" s="81">
        <f t="shared" si="744"/>
        <v>4990</v>
      </c>
      <c r="I1580" s="81">
        <f t="shared" si="744"/>
        <v>4990</v>
      </c>
      <c r="J1580" s="81">
        <f t="shared" si="725"/>
        <v>164681</v>
      </c>
      <c r="K1580" s="133">
        <v>1000</v>
      </c>
      <c r="L1580" s="81"/>
      <c r="M1580" s="16">
        <f t="shared" si="726"/>
        <v>21533.886911533649</v>
      </c>
      <c r="N1580" s="36">
        <v>820</v>
      </c>
      <c r="O1580" s="36">
        <v>4</v>
      </c>
      <c r="P1580" s="90" t="s">
        <v>378</v>
      </c>
      <c r="Q1580" s="2" t="s">
        <v>197</v>
      </c>
      <c r="R1580" s="2" t="s">
        <v>470</v>
      </c>
      <c r="S1580" s="36" t="s">
        <v>135</v>
      </c>
    </row>
    <row r="1581" spans="1:20" ht="13.5" x14ac:dyDescent="0.25">
      <c r="A1581" s="80" t="str">
        <f t="shared" si="748"/>
        <v>300030130</v>
      </c>
      <c r="B1581" s="80">
        <v>30003</v>
      </c>
      <c r="C1581" s="80">
        <v>1</v>
      </c>
      <c r="D1581" s="80" t="s">
        <v>467</v>
      </c>
      <c r="E1581" s="80">
        <v>0</v>
      </c>
      <c r="F1581" s="81">
        <f t="shared" si="743"/>
        <v>105806</v>
      </c>
      <c r="G1581" s="81">
        <f t="shared" si="743"/>
        <v>105806</v>
      </c>
      <c r="H1581" s="81">
        <f t="shared" si="744"/>
        <v>19592</v>
      </c>
      <c r="I1581" s="81">
        <f t="shared" si="744"/>
        <v>19592</v>
      </c>
      <c r="J1581" s="81">
        <f t="shared" si="725"/>
        <v>130625</v>
      </c>
      <c r="K1581" s="133">
        <v>1000</v>
      </c>
      <c r="L1581" s="81"/>
      <c r="M1581" s="16">
        <f t="shared" si="726"/>
        <v>41629.162411367346</v>
      </c>
      <c r="N1581" s="36">
        <v>1000</v>
      </c>
      <c r="O1581" s="36">
        <v>1</v>
      </c>
      <c r="P1581" s="53">
        <v>18810</v>
      </c>
      <c r="Q1581" s="2" t="s">
        <v>439</v>
      </c>
      <c r="R1581" s="2" t="s">
        <v>471</v>
      </c>
      <c r="S1581" s="36">
        <f t="shared" ref="S1581:S1584" si="749">INT($P1581/2.4)</f>
        <v>7837</v>
      </c>
    </row>
    <row r="1582" spans="1:20" ht="13.5" x14ac:dyDescent="0.25">
      <c r="A1582" s="80" t="str">
        <f t="shared" si="748"/>
        <v>300030131</v>
      </c>
      <c r="B1582" s="80">
        <v>30003</v>
      </c>
      <c r="C1582" s="80">
        <v>1</v>
      </c>
      <c r="D1582" s="80" t="s">
        <v>467</v>
      </c>
      <c r="E1582" s="80">
        <v>1</v>
      </c>
      <c r="F1582" s="81">
        <f t="shared" si="743"/>
        <v>183397</v>
      </c>
      <c r="G1582" s="81">
        <f t="shared" si="743"/>
        <v>183397</v>
      </c>
      <c r="H1582" s="81">
        <f t="shared" si="744"/>
        <v>19592</v>
      </c>
      <c r="I1582" s="81">
        <f t="shared" si="744"/>
        <v>19592</v>
      </c>
      <c r="J1582" s="81">
        <f t="shared" si="725"/>
        <v>222946</v>
      </c>
      <c r="K1582" s="133">
        <v>1000</v>
      </c>
      <c r="L1582" s="81"/>
      <c r="M1582" s="16">
        <f t="shared" si="726"/>
        <v>71602.028985539961</v>
      </c>
      <c r="N1582" s="36">
        <v>860</v>
      </c>
      <c r="O1582" s="36">
        <v>2</v>
      </c>
      <c r="P1582" s="53">
        <v>18810</v>
      </c>
      <c r="Q1582" s="2" t="s">
        <v>186</v>
      </c>
      <c r="R1582" s="2" t="s">
        <v>471</v>
      </c>
      <c r="S1582" s="36">
        <f t="shared" si="749"/>
        <v>7837</v>
      </c>
    </row>
    <row r="1583" spans="1:20" ht="13.5" x14ac:dyDescent="0.25">
      <c r="A1583" s="80" t="str">
        <f t="shared" si="748"/>
        <v>300030132</v>
      </c>
      <c r="B1583" s="80">
        <v>30003</v>
      </c>
      <c r="C1583" s="80">
        <v>1</v>
      </c>
      <c r="D1583" s="80" t="s">
        <v>467</v>
      </c>
      <c r="E1583" s="80">
        <v>2</v>
      </c>
      <c r="F1583" s="81">
        <f t="shared" si="743"/>
        <v>229246</v>
      </c>
      <c r="G1583" s="81">
        <f t="shared" si="743"/>
        <v>229246</v>
      </c>
      <c r="H1583" s="81">
        <f t="shared" si="744"/>
        <v>19592</v>
      </c>
      <c r="I1583" s="81">
        <f t="shared" si="744"/>
        <v>19592</v>
      </c>
      <c r="J1583" s="81">
        <f t="shared" si="725"/>
        <v>382855</v>
      </c>
      <c r="K1583" s="133">
        <v>1000</v>
      </c>
      <c r="L1583" s="81"/>
      <c r="M1583" s="16">
        <f t="shared" si="726"/>
        <v>104905.29708187241</v>
      </c>
      <c r="N1583" s="36">
        <v>840</v>
      </c>
      <c r="O1583" s="36">
        <v>3</v>
      </c>
      <c r="P1583" s="53">
        <v>18810</v>
      </c>
      <c r="Q1583" s="2" t="s">
        <v>196</v>
      </c>
      <c r="R1583" s="2" t="s">
        <v>471</v>
      </c>
      <c r="S1583" s="36">
        <f t="shared" si="749"/>
        <v>7837</v>
      </c>
    </row>
    <row r="1584" spans="1:20" ht="13.5" x14ac:dyDescent="0.25">
      <c r="A1584" s="80" t="str">
        <f t="shared" ref="A1584:A1587" si="750">IF(B1584="","",CONCATENATE(B1584,CONCATENATE(REPT(0,2-LEN(C1584)),C1584),IF(OR(D1584="Easy",D1584=""),1,IF(D1584="Normal",2,IF(D1584="Hard",3,IF(D1584="Hell",4,"error")))),E1584))</f>
        <v>300030133</v>
      </c>
      <c r="B1584" s="80">
        <v>30003</v>
      </c>
      <c r="C1584" s="80">
        <v>1</v>
      </c>
      <c r="D1584" s="80" t="s">
        <v>467</v>
      </c>
      <c r="E1584" s="80">
        <v>3</v>
      </c>
      <c r="F1584" s="81">
        <f t="shared" si="743"/>
        <v>282150</v>
      </c>
      <c r="G1584" s="81">
        <f t="shared" si="743"/>
        <v>282150</v>
      </c>
      <c r="H1584" s="81">
        <f t="shared" si="744"/>
        <v>19592</v>
      </c>
      <c r="I1584" s="81">
        <f t="shared" si="744"/>
        <v>19592</v>
      </c>
      <c r="J1584" s="81">
        <f t="shared" si="725"/>
        <v>526993</v>
      </c>
      <c r="K1584" s="133">
        <v>1000</v>
      </c>
      <c r="L1584" s="81"/>
      <c r="M1584" s="16">
        <f t="shared" si="726"/>
        <v>136543.74924796287</v>
      </c>
      <c r="N1584" s="36">
        <v>820</v>
      </c>
      <c r="O1584" s="36">
        <v>4</v>
      </c>
      <c r="P1584" s="53">
        <v>18810</v>
      </c>
      <c r="Q1584" s="2" t="s">
        <v>197</v>
      </c>
      <c r="R1584" s="2" t="s">
        <v>471</v>
      </c>
      <c r="S1584" s="36">
        <f t="shared" si="749"/>
        <v>7837</v>
      </c>
    </row>
    <row r="1585" spans="1:20" x14ac:dyDescent="0.2">
      <c r="A1585" s="80" t="str">
        <f t="shared" si="750"/>
        <v>300030140</v>
      </c>
      <c r="B1585" s="80">
        <v>30003</v>
      </c>
      <c r="C1585" s="80">
        <v>1</v>
      </c>
      <c r="D1585" s="80" t="s">
        <v>468</v>
      </c>
      <c r="E1585" s="80">
        <v>0</v>
      </c>
      <c r="F1585" s="81">
        <f t="shared" si="743"/>
        <v>313796</v>
      </c>
      <c r="G1585" s="81">
        <f t="shared" si="743"/>
        <v>313796</v>
      </c>
      <c r="H1585" s="81">
        <f t="shared" si="744"/>
        <v>125518</v>
      </c>
      <c r="I1585" s="81">
        <f t="shared" si="744"/>
        <v>125518</v>
      </c>
      <c r="J1585" s="81">
        <f t="shared" si="725"/>
        <v>387402</v>
      </c>
      <c r="K1585" s="133">
        <v>1000</v>
      </c>
      <c r="L1585" s="81"/>
      <c r="M1585" s="16">
        <f t="shared" si="726"/>
        <v>312498.27413600718</v>
      </c>
      <c r="N1585" s="82">
        <v>1000</v>
      </c>
      <c r="O1585" s="82">
        <v>1</v>
      </c>
      <c r="P1585" s="83" t="s">
        <v>473</v>
      </c>
      <c r="Q1585" s="2" t="s">
        <v>474</v>
      </c>
      <c r="R1585" s="83" t="s">
        <v>472</v>
      </c>
      <c r="S1585" s="56">
        <f t="shared" ref="S1585:S1588" si="751">P1585*0.9</f>
        <v>50207.4</v>
      </c>
    </row>
    <row r="1586" spans="1:20" x14ac:dyDescent="0.2">
      <c r="A1586" s="80" t="str">
        <f t="shared" si="750"/>
        <v>300030141</v>
      </c>
      <c r="B1586" s="80">
        <v>30003</v>
      </c>
      <c r="C1586" s="80">
        <v>1</v>
      </c>
      <c r="D1586" s="80" t="s">
        <v>468</v>
      </c>
      <c r="E1586" s="80">
        <v>1</v>
      </c>
      <c r="F1586" s="81">
        <f t="shared" si="743"/>
        <v>543913</v>
      </c>
      <c r="G1586" s="81">
        <f t="shared" si="743"/>
        <v>543913</v>
      </c>
      <c r="H1586" s="81">
        <f t="shared" si="744"/>
        <v>125518</v>
      </c>
      <c r="I1586" s="81">
        <f t="shared" si="744"/>
        <v>125518</v>
      </c>
      <c r="J1586" s="81">
        <f t="shared" si="725"/>
        <v>661207</v>
      </c>
      <c r="K1586" s="133">
        <v>1000</v>
      </c>
      <c r="L1586" s="81"/>
      <c r="M1586" s="16">
        <f t="shared" si="726"/>
        <v>537497.48081338184</v>
      </c>
      <c r="N1586" s="82">
        <v>860</v>
      </c>
      <c r="O1586" s="82">
        <v>2</v>
      </c>
      <c r="P1586" s="83" t="s">
        <v>473</v>
      </c>
      <c r="Q1586" s="2" t="s">
        <v>186</v>
      </c>
      <c r="R1586" s="83" t="s">
        <v>472</v>
      </c>
      <c r="S1586" s="56">
        <f t="shared" si="751"/>
        <v>50207.4</v>
      </c>
    </row>
    <row r="1587" spans="1:20" x14ac:dyDescent="0.2">
      <c r="A1587" s="80" t="str">
        <f t="shared" si="750"/>
        <v>300030142</v>
      </c>
      <c r="B1587" s="80">
        <v>30003</v>
      </c>
      <c r="C1587" s="80">
        <v>1</v>
      </c>
      <c r="D1587" s="80" t="s">
        <v>468</v>
      </c>
      <c r="E1587" s="80">
        <v>2</v>
      </c>
      <c r="F1587" s="81">
        <f t="shared" si="743"/>
        <v>679891</v>
      </c>
      <c r="G1587" s="81">
        <f t="shared" si="743"/>
        <v>679891</v>
      </c>
      <c r="H1587" s="81">
        <f t="shared" si="744"/>
        <v>125518</v>
      </c>
      <c r="I1587" s="81">
        <f t="shared" si="744"/>
        <v>125518</v>
      </c>
      <c r="J1587" s="81">
        <f t="shared" si="725"/>
        <v>1135459</v>
      </c>
      <c r="K1587" s="133">
        <v>1000</v>
      </c>
      <c r="L1587" s="81"/>
      <c r="M1587" s="16">
        <f t="shared" si="726"/>
        <v>787496.01889126608</v>
      </c>
      <c r="N1587" s="82">
        <v>840</v>
      </c>
      <c r="O1587" s="82">
        <v>3</v>
      </c>
      <c r="P1587" s="83" t="s">
        <v>473</v>
      </c>
      <c r="Q1587" s="2" t="s">
        <v>196</v>
      </c>
      <c r="R1587" s="83" t="s">
        <v>472</v>
      </c>
      <c r="S1587" s="56">
        <f t="shared" si="751"/>
        <v>50207.4</v>
      </c>
    </row>
    <row r="1588" spans="1:20" x14ac:dyDescent="0.2">
      <c r="A1588" s="80" t="str">
        <f t="shared" ref="A1588:A1604" si="752">IF(B1588="","",CONCATENATE(B1588,CONCATENATE(REPT(0,2-LEN(C1588)),C1588),IF(OR(D1588="Easy",D1588=""),1,IF(D1588="Normal",2,IF(D1588="Hard",3,IF(D1588="Hell",4,"error")))),E1588))</f>
        <v>300030143</v>
      </c>
      <c r="B1588" s="80">
        <v>30003</v>
      </c>
      <c r="C1588" s="80">
        <v>1</v>
      </c>
      <c r="D1588" s="80" t="s">
        <v>468</v>
      </c>
      <c r="E1588" s="80">
        <v>3</v>
      </c>
      <c r="F1588" s="81">
        <f t="shared" si="743"/>
        <v>836790</v>
      </c>
      <c r="G1588" s="81">
        <f t="shared" si="743"/>
        <v>836790</v>
      </c>
      <c r="H1588" s="81">
        <f t="shared" si="744"/>
        <v>125518</v>
      </c>
      <c r="I1588" s="81">
        <f t="shared" si="744"/>
        <v>125518</v>
      </c>
      <c r="J1588" s="81">
        <f t="shared" si="725"/>
        <v>1562937</v>
      </c>
      <c r="K1588" s="133">
        <v>1000</v>
      </c>
      <c r="L1588" s="81"/>
      <c r="M1588" s="16">
        <f t="shared" si="726"/>
        <v>1024995.5250034769</v>
      </c>
      <c r="N1588" s="82">
        <v>820</v>
      </c>
      <c r="O1588" s="82">
        <v>4</v>
      </c>
      <c r="P1588" s="83" t="s">
        <v>473</v>
      </c>
      <c r="Q1588" s="2" t="s">
        <v>197</v>
      </c>
      <c r="R1588" s="83" t="s">
        <v>472</v>
      </c>
      <c r="S1588" s="56">
        <f t="shared" si="751"/>
        <v>50207.4</v>
      </c>
    </row>
    <row r="1589" spans="1:20" x14ac:dyDescent="0.2">
      <c r="A1589" s="8" t="str">
        <f t="shared" si="752"/>
        <v/>
      </c>
      <c r="B1589" s="38"/>
      <c r="C1589" s="35" t="s">
        <v>560</v>
      </c>
      <c r="D1589" s="38"/>
      <c r="E1589" s="38"/>
      <c r="F1589" s="38"/>
      <c r="G1589" s="40"/>
      <c r="H1589" s="38"/>
      <c r="I1589" s="38"/>
      <c r="J1589" s="38"/>
      <c r="K1589" s="133">
        <v>1000</v>
      </c>
      <c r="L1589" s="38"/>
      <c r="M1589" s="16">
        <f t="shared" si="726"/>
        <v>0</v>
      </c>
      <c r="N1589" s="42" t="str">
        <f>IF(A1589="","",M1589*#REF!)</f>
        <v/>
      </c>
      <c r="O1589" s="40"/>
      <c r="P1589" s="38"/>
      <c r="Q1589" s="38"/>
      <c r="R1589" s="38"/>
      <c r="S1589" s="40"/>
      <c r="T1589" s="267"/>
    </row>
    <row r="1590" spans="1:20" x14ac:dyDescent="0.2">
      <c r="A1590" s="80" t="str">
        <f t="shared" si="752"/>
        <v>300100110</v>
      </c>
      <c r="B1590" s="80">
        <v>30010</v>
      </c>
      <c r="C1590" s="80">
        <v>1</v>
      </c>
      <c r="D1590" s="80" t="s">
        <v>259</v>
      </c>
      <c r="E1590" s="80">
        <v>0</v>
      </c>
      <c r="F1590" s="81">
        <f t="shared" si="743"/>
        <v>12133</v>
      </c>
      <c r="G1590" s="81">
        <f t="shared" si="743"/>
        <v>12133</v>
      </c>
      <c r="H1590" s="81">
        <f t="shared" si="744"/>
        <v>3110</v>
      </c>
      <c r="I1590" s="81">
        <f t="shared" si="744"/>
        <v>3110</v>
      </c>
      <c r="J1590" s="81">
        <f t="shared" si="725"/>
        <v>14979</v>
      </c>
      <c r="K1590" s="133">
        <v>1000</v>
      </c>
      <c r="L1590" s="81"/>
      <c r="M1590" s="16">
        <f t="shared" si="726"/>
        <v>1901.9350883055922</v>
      </c>
      <c r="N1590" s="36">
        <v>1000</v>
      </c>
      <c r="O1590" s="36">
        <v>1</v>
      </c>
      <c r="P1590" s="90" t="s">
        <v>376</v>
      </c>
      <c r="Q1590" s="2" t="s">
        <v>439</v>
      </c>
      <c r="R1590" s="2" t="s">
        <v>469</v>
      </c>
      <c r="S1590" s="36" t="s">
        <v>126</v>
      </c>
    </row>
    <row r="1591" spans="1:20" x14ac:dyDescent="0.2">
      <c r="A1591" s="80" t="str">
        <f t="shared" si="752"/>
        <v>300100111</v>
      </c>
      <c r="B1591" s="80">
        <v>30010</v>
      </c>
      <c r="C1591" s="80">
        <v>1</v>
      </c>
      <c r="D1591" s="80" t="s">
        <v>259</v>
      </c>
      <c r="E1591" s="80">
        <v>1</v>
      </c>
      <c r="F1591" s="81">
        <f t="shared" ref="F1591:G1611" si="753">ROUNDDOWN($P1591/4*$O1591*10*$N1591/$N1591*$Q1591/400,0)</f>
        <v>21030</v>
      </c>
      <c r="G1591" s="81">
        <f t="shared" si="753"/>
        <v>21030</v>
      </c>
      <c r="H1591" s="81">
        <f t="shared" ref="H1591:I1611" si="754">ROUNDDOWN($S1591/4*10,0)</f>
        <v>3110</v>
      </c>
      <c r="I1591" s="81">
        <f t="shared" si="754"/>
        <v>3110</v>
      </c>
      <c r="J1591" s="81">
        <f t="shared" si="725"/>
        <v>25565</v>
      </c>
      <c r="K1591" s="133">
        <v>1000</v>
      </c>
      <c r="L1591" s="81"/>
      <c r="M1591" s="16">
        <f t="shared" si="726"/>
        <v>3271.2423225435323</v>
      </c>
      <c r="N1591" s="36">
        <v>860</v>
      </c>
      <c r="O1591" s="36">
        <v>2</v>
      </c>
      <c r="P1591" s="90" t="s">
        <v>376</v>
      </c>
      <c r="Q1591" s="2" t="s">
        <v>186</v>
      </c>
      <c r="R1591" s="2" t="s">
        <v>469</v>
      </c>
      <c r="S1591" s="36" t="s">
        <v>126</v>
      </c>
    </row>
    <row r="1592" spans="1:20" x14ac:dyDescent="0.2">
      <c r="A1592" s="80" t="str">
        <f t="shared" si="752"/>
        <v>300100112</v>
      </c>
      <c r="B1592" s="80">
        <v>30010</v>
      </c>
      <c r="C1592" s="80">
        <v>1</v>
      </c>
      <c r="D1592" s="80" t="s">
        <v>259</v>
      </c>
      <c r="E1592" s="80">
        <v>2</v>
      </c>
      <c r="F1592" s="81">
        <f t="shared" si="753"/>
        <v>26288</v>
      </c>
      <c r="G1592" s="81">
        <f t="shared" si="753"/>
        <v>26288</v>
      </c>
      <c r="H1592" s="81">
        <f t="shared" si="754"/>
        <v>3110</v>
      </c>
      <c r="I1592" s="81">
        <f t="shared" si="754"/>
        <v>3110</v>
      </c>
      <c r="J1592" s="81">
        <f t="shared" si="725"/>
        <v>43903</v>
      </c>
      <c r="K1592" s="133">
        <v>1000</v>
      </c>
      <c r="L1592" s="81"/>
      <c r="M1592" s="16">
        <f t="shared" si="726"/>
        <v>4792.8744571348834</v>
      </c>
      <c r="N1592" s="36">
        <v>840</v>
      </c>
      <c r="O1592" s="36">
        <v>3</v>
      </c>
      <c r="P1592" s="90" t="s">
        <v>376</v>
      </c>
      <c r="Q1592" s="2" t="s">
        <v>196</v>
      </c>
      <c r="R1592" s="2" t="s">
        <v>469</v>
      </c>
      <c r="S1592" s="36" t="s">
        <v>126</v>
      </c>
    </row>
    <row r="1593" spans="1:20" x14ac:dyDescent="0.2">
      <c r="A1593" s="80" t="str">
        <f t="shared" si="752"/>
        <v>300100113</v>
      </c>
      <c r="B1593" s="80">
        <v>30010</v>
      </c>
      <c r="C1593" s="80">
        <v>1</v>
      </c>
      <c r="D1593" s="80" t="s">
        <v>259</v>
      </c>
      <c r="E1593" s="80">
        <v>3</v>
      </c>
      <c r="F1593" s="81">
        <f t="shared" si="753"/>
        <v>32355</v>
      </c>
      <c r="G1593" s="81">
        <f t="shared" si="753"/>
        <v>32355</v>
      </c>
      <c r="H1593" s="81">
        <f t="shared" si="754"/>
        <v>3110</v>
      </c>
      <c r="I1593" s="81">
        <f t="shared" si="754"/>
        <v>3110</v>
      </c>
      <c r="J1593" s="81">
        <f t="shared" si="725"/>
        <v>60431</v>
      </c>
      <c r="K1593" s="133">
        <v>1000</v>
      </c>
      <c r="L1593" s="81"/>
      <c r="M1593" s="16">
        <f t="shared" si="726"/>
        <v>6238.3648963105716</v>
      </c>
      <c r="N1593" s="36">
        <v>820</v>
      </c>
      <c r="O1593" s="36">
        <v>4</v>
      </c>
      <c r="P1593" s="90" t="s">
        <v>376</v>
      </c>
      <c r="Q1593" s="2" t="s">
        <v>197</v>
      </c>
      <c r="R1593" s="2" t="s">
        <v>469</v>
      </c>
      <c r="S1593" s="36" t="s">
        <v>126</v>
      </c>
    </row>
    <row r="1594" spans="1:20" x14ac:dyDescent="0.2">
      <c r="A1594" s="80" t="str">
        <f t="shared" si="752"/>
        <v>300100120</v>
      </c>
      <c r="B1594" s="80">
        <v>30010</v>
      </c>
      <c r="C1594" s="80">
        <v>1</v>
      </c>
      <c r="D1594" s="80" t="s">
        <v>63</v>
      </c>
      <c r="E1594" s="80">
        <v>0</v>
      </c>
      <c r="F1594" s="81">
        <f t="shared" si="753"/>
        <v>33063</v>
      </c>
      <c r="G1594" s="81">
        <f t="shared" si="753"/>
        <v>33063</v>
      </c>
      <c r="H1594" s="81">
        <f t="shared" si="754"/>
        <v>4990</v>
      </c>
      <c r="I1594" s="81">
        <f t="shared" si="754"/>
        <v>4990</v>
      </c>
      <c r="J1594" s="81">
        <f t="shared" si="725"/>
        <v>40819</v>
      </c>
      <c r="K1594" s="133">
        <v>1000</v>
      </c>
      <c r="L1594" s="81"/>
      <c r="M1594" s="16">
        <f t="shared" si="726"/>
        <v>6565.1184904609299</v>
      </c>
      <c r="N1594" s="36">
        <v>1000</v>
      </c>
      <c r="O1594" s="36">
        <v>1</v>
      </c>
      <c r="P1594" s="90" t="s">
        <v>378</v>
      </c>
      <c r="Q1594" s="2" t="s">
        <v>439</v>
      </c>
      <c r="R1594" s="2" t="s">
        <v>470</v>
      </c>
      <c r="S1594" s="36" t="s">
        <v>135</v>
      </c>
    </row>
    <row r="1595" spans="1:20" x14ac:dyDescent="0.2">
      <c r="A1595" s="80" t="str">
        <f t="shared" si="752"/>
        <v>300100121</v>
      </c>
      <c r="B1595" s="80">
        <v>30010</v>
      </c>
      <c r="C1595" s="80">
        <v>1</v>
      </c>
      <c r="D1595" s="80" t="s">
        <v>63</v>
      </c>
      <c r="E1595" s="80">
        <v>1</v>
      </c>
      <c r="F1595" s="81">
        <f t="shared" si="753"/>
        <v>57310</v>
      </c>
      <c r="G1595" s="81">
        <f t="shared" si="753"/>
        <v>57310</v>
      </c>
      <c r="H1595" s="81">
        <f t="shared" si="754"/>
        <v>4990</v>
      </c>
      <c r="I1595" s="81">
        <f t="shared" si="754"/>
        <v>4990</v>
      </c>
      <c r="J1595" s="81">
        <f t="shared" si="725"/>
        <v>69669</v>
      </c>
      <c r="K1595" s="133">
        <v>1000</v>
      </c>
      <c r="L1595" s="81"/>
      <c r="M1595" s="16">
        <f t="shared" si="726"/>
        <v>11292.113962187948</v>
      </c>
      <c r="N1595" s="36">
        <v>860</v>
      </c>
      <c r="O1595" s="36">
        <v>2</v>
      </c>
      <c r="P1595" s="90" t="s">
        <v>378</v>
      </c>
      <c r="Q1595" s="2" t="s">
        <v>186</v>
      </c>
      <c r="R1595" s="2" t="s">
        <v>470</v>
      </c>
      <c r="S1595" s="36" t="s">
        <v>135</v>
      </c>
    </row>
    <row r="1596" spans="1:20" x14ac:dyDescent="0.2">
      <c r="A1596" s="80" t="str">
        <f t="shared" si="752"/>
        <v>300100122</v>
      </c>
      <c r="B1596" s="80">
        <v>30010</v>
      </c>
      <c r="C1596" s="80">
        <v>1</v>
      </c>
      <c r="D1596" s="80" t="s">
        <v>63</v>
      </c>
      <c r="E1596" s="80">
        <v>2</v>
      </c>
      <c r="F1596" s="81">
        <f t="shared" si="753"/>
        <v>71638</v>
      </c>
      <c r="G1596" s="81">
        <f t="shared" si="753"/>
        <v>71638</v>
      </c>
      <c r="H1596" s="81">
        <f t="shared" si="754"/>
        <v>4990</v>
      </c>
      <c r="I1596" s="81">
        <f t="shared" si="754"/>
        <v>4990</v>
      </c>
      <c r="J1596" s="81">
        <f t="shared" si="725"/>
        <v>119639</v>
      </c>
      <c r="K1596" s="133">
        <v>1000</v>
      </c>
      <c r="L1596" s="81"/>
      <c r="M1596" s="16">
        <f t="shared" si="726"/>
        <v>16544.299112031069</v>
      </c>
      <c r="N1596" s="36">
        <v>840</v>
      </c>
      <c r="O1596" s="36">
        <v>3</v>
      </c>
      <c r="P1596" s="90" t="s">
        <v>378</v>
      </c>
      <c r="Q1596" s="2" t="s">
        <v>196</v>
      </c>
      <c r="R1596" s="2" t="s">
        <v>470</v>
      </c>
      <c r="S1596" s="36" t="s">
        <v>135</v>
      </c>
    </row>
    <row r="1597" spans="1:20" x14ac:dyDescent="0.2">
      <c r="A1597" s="80" t="str">
        <f t="shared" si="752"/>
        <v>300100123</v>
      </c>
      <c r="B1597" s="80">
        <v>30010</v>
      </c>
      <c r="C1597" s="80">
        <v>1</v>
      </c>
      <c r="D1597" s="80" t="s">
        <v>63</v>
      </c>
      <c r="E1597" s="80">
        <v>3</v>
      </c>
      <c r="F1597" s="81">
        <f t="shared" si="753"/>
        <v>88170</v>
      </c>
      <c r="G1597" s="81">
        <f t="shared" si="753"/>
        <v>88170</v>
      </c>
      <c r="H1597" s="81">
        <f t="shared" si="754"/>
        <v>4990</v>
      </c>
      <c r="I1597" s="81">
        <f t="shared" si="754"/>
        <v>4990</v>
      </c>
      <c r="J1597" s="81">
        <f t="shared" si="725"/>
        <v>164681</v>
      </c>
      <c r="K1597" s="133">
        <v>1000</v>
      </c>
      <c r="L1597" s="81"/>
      <c r="M1597" s="16">
        <f t="shared" si="726"/>
        <v>21533.886911533649</v>
      </c>
      <c r="N1597" s="36">
        <v>820</v>
      </c>
      <c r="O1597" s="36">
        <v>4</v>
      </c>
      <c r="P1597" s="90" t="s">
        <v>378</v>
      </c>
      <c r="Q1597" s="2" t="s">
        <v>197</v>
      </c>
      <c r="R1597" s="2" t="s">
        <v>470</v>
      </c>
      <c r="S1597" s="36" t="s">
        <v>135</v>
      </c>
    </row>
    <row r="1598" spans="1:20" ht="13.5" x14ac:dyDescent="0.25">
      <c r="A1598" s="80" t="str">
        <f t="shared" si="752"/>
        <v>300100130</v>
      </c>
      <c r="B1598" s="80">
        <v>30010</v>
      </c>
      <c r="C1598" s="80">
        <v>1</v>
      </c>
      <c r="D1598" s="80" t="s">
        <v>300</v>
      </c>
      <c r="E1598" s="80">
        <v>0</v>
      </c>
      <c r="F1598" s="81">
        <f t="shared" si="753"/>
        <v>105806</v>
      </c>
      <c r="G1598" s="81">
        <f t="shared" si="753"/>
        <v>105806</v>
      </c>
      <c r="H1598" s="81">
        <f t="shared" si="754"/>
        <v>19592</v>
      </c>
      <c r="I1598" s="81">
        <f t="shared" si="754"/>
        <v>19592</v>
      </c>
      <c r="J1598" s="81">
        <f t="shared" si="725"/>
        <v>130625</v>
      </c>
      <c r="K1598" s="133">
        <v>1000</v>
      </c>
      <c r="L1598" s="81"/>
      <c r="M1598" s="16">
        <f t="shared" si="726"/>
        <v>41629.162411367346</v>
      </c>
      <c r="N1598" s="36">
        <v>1000</v>
      </c>
      <c r="O1598" s="36">
        <v>1</v>
      </c>
      <c r="P1598" s="53">
        <v>18810</v>
      </c>
      <c r="Q1598" s="2" t="s">
        <v>439</v>
      </c>
      <c r="R1598" s="2" t="s">
        <v>471</v>
      </c>
      <c r="S1598" s="36">
        <f t="shared" ref="S1598:S1601" si="755">INT($P1598/2.4)</f>
        <v>7837</v>
      </c>
    </row>
    <row r="1599" spans="1:20" ht="13.5" x14ac:dyDescent="0.25">
      <c r="A1599" s="80" t="str">
        <f t="shared" si="752"/>
        <v>300100131</v>
      </c>
      <c r="B1599" s="80">
        <v>30010</v>
      </c>
      <c r="C1599" s="80">
        <v>1</v>
      </c>
      <c r="D1599" s="80" t="s">
        <v>300</v>
      </c>
      <c r="E1599" s="80">
        <v>1</v>
      </c>
      <c r="F1599" s="81">
        <f t="shared" si="753"/>
        <v>183397</v>
      </c>
      <c r="G1599" s="81">
        <f t="shared" si="753"/>
        <v>183397</v>
      </c>
      <c r="H1599" s="81">
        <f t="shared" si="754"/>
        <v>19592</v>
      </c>
      <c r="I1599" s="81">
        <f t="shared" si="754"/>
        <v>19592</v>
      </c>
      <c r="J1599" s="81">
        <f t="shared" si="725"/>
        <v>222946</v>
      </c>
      <c r="K1599" s="133">
        <v>1000</v>
      </c>
      <c r="L1599" s="81"/>
      <c r="M1599" s="16">
        <f t="shared" si="726"/>
        <v>71602.028985539961</v>
      </c>
      <c r="N1599" s="36">
        <v>860</v>
      </c>
      <c r="O1599" s="36">
        <v>2</v>
      </c>
      <c r="P1599" s="53">
        <v>18810</v>
      </c>
      <c r="Q1599" s="2" t="s">
        <v>186</v>
      </c>
      <c r="R1599" s="2" t="s">
        <v>471</v>
      </c>
      <c r="S1599" s="36">
        <f t="shared" si="755"/>
        <v>7837</v>
      </c>
    </row>
    <row r="1600" spans="1:20" ht="13.5" x14ac:dyDescent="0.25">
      <c r="A1600" s="80" t="str">
        <f t="shared" si="752"/>
        <v>300100132</v>
      </c>
      <c r="B1600" s="80">
        <v>30010</v>
      </c>
      <c r="C1600" s="80">
        <v>1</v>
      </c>
      <c r="D1600" s="80" t="s">
        <v>300</v>
      </c>
      <c r="E1600" s="80">
        <v>2</v>
      </c>
      <c r="F1600" s="81">
        <f t="shared" si="753"/>
        <v>229246</v>
      </c>
      <c r="G1600" s="81">
        <f t="shared" si="753"/>
        <v>229246</v>
      </c>
      <c r="H1600" s="81">
        <f t="shared" si="754"/>
        <v>19592</v>
      </c>
      <c r="I1600" s="81">
        <f t="shared" si="754"/>
        <v>19592</v>
      </c>
      <c r="J1600" s="81">
        <f t="shared" ref="J1600:J1625" si="756">ROUNDDOWN($P1600/4*$O1600*10*$N1600/$Q1600*$N1600/400,0)</f>
        <v>382855</v>
      </c>
      <c r="K1600" s="133">
        <v>1000</v>
      </c>
      <c r="L1600" s="81"/>
      <c r="M1600" s="16">
        <f t="shared" si="726"/>
        <v>104905.29708187241</v>
      </c>
      <c r="N1600" s="36">
        <v>840</v>
      </c>
      <c r="O1600" s="36">
        <v>3</v>
      </c>
      <c r="P1600" s="53">
        <v>18810</v>
      </c>
      <c r="Q1600" s="2" t="s">
        <v>196</v>
      </c>
      <c r="R1600" s="2" t="s">
        <v>471</v>
      </c>
      <c r="S1600" s="36">
        <f t="shared" si="755"/>
        <v>7837</v>
      </c>
    </row>
    <row r="1601" spans="1:19" ht="13.5" x14ac:dyDescent="0.25">
      <c r="A1601" s="80" t="str">
        <f t="shared" si="752"/>
        <v>300100133</v>
      </c>
      <c r="B1601" s="80">
        <v>30010</v>
      </c>
      <c r="C1601" s="80">
        <v>1</v>
      </c>
      <c r="D1601" s="80" t="s">
        <v>300</v>
      </c>
      <c r="E1601" s="80">
        <v>3</v>
      </c>
      <c r="F1601" s="81">
        <f t="shared" si="753"/>
        <v>282150</v>
      </c>
      <c r="G1601" s="81">
        <f t="shared" si="753"/>
        <v>282150</v>
      </c>
      <c r="H1601" s="81">
        <f t="shared" si="754"/>
        <v>19592</v>
      </c>
      <c r="I1601" s="81">
        <f t="shared" si="754"/>
        <v>19592</v>
      </c>
      <c r="J1601" s="81">
        <f t="shared" si="756"/>
        <v>526993</v>
      </c>
      <c r="K1601" s="133">
        <v>1000</v>
      </c>
      <c r="L1601" s="81"/>
      <c r="M1601" s="16">
        <f t="shared" si="726"/>
        <v>136543.74924796287</v>
      </c>
      <c r="N1601" s="36">
        <v>820</v>
      </c>
      <c r="O1601" s="36">
        <v>4</v>
      </c>
      <c r="P1601" s="53">
        <v>18810</v>
      </c>
      <c r="Q1601" s="2" t="s">
        <v>197</v>
      </c>
      <c r="R1601" s="2" t="s">
        <v>471</v>
      </c>
      <c r="S1601" s="36">
        <f t="shared" si="755"/>
        <v>7837</v>
      </c>
    </row>
    <row r="1602" spans="1:19" x14ac:dyDescent="0.2">
      <c r="A1602" s="80" t="str">
        <f t="shared" si="752"/>
        <v>300100140</v>
      </c>
      <c r="B1602" s="80">
        <v>30010</v>
      </c>
      <c r="C1602" s="80">
        <v>1</v>
      </c>
      <c r="D1602" s="80" t="s">
        <v>237</v>
      </c>
      <c r="E1602" s="80">
        <v>0</v>
      </c>
      <c r="F1602" s="81">
        <f t="shared" si="753"/>
        <v>313796</v>
      </c>
      <c r="G1602" s="81">
        <f t="shared" si="753"/>
        <v>313796</v>
      </c>
      <c r="H1602" s="81">
        <f t="shared" si="754"/>
        <v>125518</v>
      </c>
      <c r="I1602" s="81">
        <f t="shared" si="754"/>
        <v>125518</v>
      </c>
      <c r="J1602" s="81">
        <f t="shared" si="756"/>
        <v>387402</v>
      </c>
      <c r="K1602" s="133">
        <v>1000</v>
      </c>
      <c r="L1602" s="81"/>
      <c r="M1602" s="16">
        <f t="shared" si="726"/>
        <v>312498.27413600718</v>
      </c>
      <c r="N1602" s="82">
        <v>1000</v>
      </c>
      <c r="O1602" s="82">
        <v>1</v>
      </c>
      <c r="P1602" s="83" t="s">
        <v>473</v>
      </c>
      <c r="Q1602" s="2" t="s">
        <v>474</v>
      </c>
      <c r="R1602" s="83" t="s">
        <v>472</v>
      </c>
      <c r="S1602" s="56">
        <f t="shared" ref="S1602:S1605" si="757">P1602*0.9</f>
        <v>50207.4</v>
      </c>
    </row>
    <row r="1603" spans="1:19" x14ac:dyDescent="0.2">
      <c r="A1603" s="80" t="str">
        <f t="shared" si="752"/>
        <v>300100141</v>
      </c>
      <c r="B1603" s="80">
        <v>30010</v>
      </c>
      <c r="C1603" s="80">
        <v>1</v>
      </c>
      <c r="D1603" s="80" t="s">
        <v>237</v>
      </c>
      <c r="E1603" s="80">
        <v>1</v>
      </c>
      <c r="F1603" s="81">
        <f t="shared" si="753"/>
        <v>543913</v>
      </c>
      <c r="G1603" s="81">
        <f t="shared" si="753"/>
        <v>543913</v>
      </c>
      <c r="H1603" s="81">
        <f t="shared" si="754"/>
        <v>125518</v>
      </c>
      <c r="I1603" s="81">
        <f t="shared" si="754"/>
        <v>125518</v>
      </c>
      <c r="J1603" s="81">
        <f t="shared" si="756"/>
        <v>661207</v>
      </c>
      <c r="K1603" s="133">
        <v>1000</v>
      </c>
      <c r="L1603" s="81"/>
      <c r="M1603" s="16">
        <f t="shared" si="726"/>
        <v>537497.48081338184</v>
      </c>
      <c r="N1603" s="82">
        <v>860</v>
      </c>
      <c r="O1603" s="82">
        <v>2</v>
      </c>
      <c r="P1603" s="83" t="s">
        <v>473</v>
      </c>
      <c r="Q1603" s="2" t="s">
        <v>186</v>
      </c>
      <c r="R1603" s="83" t="s">
        <v>472</v>
      </c>
      <c r="S1603" s="56">
        <f t="shared" si="757"/>
        <v>50207.4</v>
      </c>
    </row>
    <row r="1604" spans="1:19" x14ac:dyDescent="0.2">
      <c r="A1604" s="80" t="str">
        <f t="shared" si="752"/>
        <v>300100142</v>
      </c>
      <c r="B1604" s="80">
        <v>30010</v>
      </c>
      <c r="C1604" s="80">
        <v>1</v>
      </c>
      <c r="D1604" s="80" t="s">
        <v>237</v>
      </c>
      <c r="E1604" s="80">
        <v>2</v>
      </c>
      <c r="F1604" s="81">
        <f t="shared" si="753"/>
        <v>679891</v>
      </c>
      <c r="G1604" s="81">
        <f t="shared" si="753"/>
        <v>679891</v>
      </c>
      <c r="H1604" s="81">
        <f t="shared" si="754"/>
        <v>125518</v>
      </c>
      <c r="I1604" s="81">
        <f t="shared" si="754"/>
        <v>125518</v>
      </c>
      <c r="J1604" s="81">
        <f t="shared" si="756"/>
        <v>1135459</v>
      </c>
      <c r="K1604" s="133">
        <v>1000</v>
      </c>
      <c r="L1604" s="81"/>
      <c r="M1604" s="16">
        <f t="shared" si="726"/>
        <v>787496.01889126608</v>
      </c>
      <c r="N1604" s="82">
        <v>840</v>
      </c>
      <c r="O1604" s="82">
        <v>3</v>
      </c>
      <c r="P1604" s="83" t="s">
        <v>473</v>
      </c>
      <c r="Q1604" s="2" t="s">
        <v>196</v>
      </c>
      <c r="R1604" s="83" t="s">
        <v>472</v>
      </c>
      <c r="S1604" s="56">
        <f t="shared" si="757"/>
        <v>50207.4</v>
      </c>
    </row>
    <row r="1605" spans="1:19" x14ac:dyDescent="0.2">
      <c r="A1605" s="80" t="str">
        <f t="shared" ref="A1605:A1624" si="758">IF(B1605="","",CONCATENATE(B1605,CONCATENATE(REPT(0,2-LEN(C1605)),C1605),IF(OR(D1605="Easy",D1605=""),1,IF(D1605="Normal",2,IF(D1605="Hard",3,IF(D1605="Hell",4,"error")))),E1605))</f>
        <v>300100143</v>
      </c>
      <c r="B1605" s="80">
        <v>30010</v>
      </c>
      <c r="C1605" s="80">
        <v>1</v>
      </c>
      <c r="D1605" s="80" t="s">
        <v>237</v>
      </c>
      <c r="E1605" s="80">
        <v>3</v>
      </c>
      <c r="F1605" s="81">
        <f t="shared" si="753"/>
        <v>836790</v>
      </c>
      <c r="G1605" s="81">
        <f t="shared" si="753"/>
        <v>836790</v>
      </c>
      <c r="H1605" s="81">
        <f t="shared" si="754"/>
        <v>125518</v>
      </c>
      <c r="I1605" s="81">
        <f t="shared" si="754"/>
        <v>125518</v>
      </c>
      <c r="J1605" s="81">
        <f t="shared" si="756"/>
        <v>1562937</v>
      </c>
      <c r="K1605" s="133">
        <v>1000</v>
      </c>
      <c r="L1605" s="81"/>
      <c r="M1605" s="16">
        <f t="shared" si="726"/>
        <v>1024995.5250034769</v>
      </c>
      <c r="N1605" s="82">
        <v>820</v>
      </c>
      <c r="O1605" s="82">
        <v>4</v>
      </c>
      <c r="P1605" s="83" t="s">
        <v>473</v>
      </c>
      <c r="Q1605" s="2" t="s">
        <v>197</v>
      </c>
      <c r="R1605" s="83" t="s">
        <v>472</v>
      </c>
      <c r="S1605" s="56">
        <f t="shared" si="757"/>
        <v>50207.4</v>
      </c>
    </row>
    <row r="1606" spans="1:19" x14ac:dyDescent="0.2">
      <c r="A1606" s="80" t="str">
        <f t="shared" si="758"/>
        <v>300100210</v>
      </c>
      <c r="B1606" s="80">
        <v>30010</v>
      </c>
      <c r="C1606" s="80">
        <v>2</v>
      </c>
      <c r="D1606" s="80" t="s">
        <v>259</v>
      </c>
      <c r="E1606" s="80">
        <v>0</v>
      </c>
      <c r="F1606" s="81">
        <f t="shared" si="753"/>
        <v>12133</v>
      </c>
      <c r="G1606" s="81">
        <f t="shared" si="753"/>
        <v>12133</v>
      </c>
      <c r="H1606" s="81">
        <f t="shared" si="754"/>
        <v>3110</v>
      </c>
      <c r="I1606" s="81">
        <f t="shared" si="754"/>
        <v>3110</v>
      </c>
      <c r="J1606" s="81">
        <f t="shared" si="756"/>
        <v>6724</v>
      </c>
      <c r="K1606" s="133">
        <v>1000</v>
      </c>
      <c r="L1606" s="81"/>
      <c r="M1606" s="16">
        <f t="shared" ref="M1606:M1669" si="759">(F1606*J1606*((H1606+I1606)/2)/1000)^(1/2)/10*0.8</f>
        <v>1274.2895824607531</v>
      </c>
      <c r="N1606" s="36">
        <v>670</v>
      </c>
      <c r="O1606" s="36">
        <v>1</v>
      </c>
      <c r="P1606" s="90" t="s">
        <v>376</v>
      </c>
      <c r="Q1606" s="2" t="s">
        <v>439</v>
      </c>
      <c r="R1606" s="2" t="s">
        <v>469</v>
      </c>
      <c r="S1606" s="36" t="s">
        <v>126</v>
      </c>
    </row>
    <row r="1607" spans="1:19" x14ac:dyDescent="0.2">
      <c r="A1607" s="80" t="str">
        <f t="shared" si="758"/>
        <v>300100220</v>
      </c>
      <c r="B1607" s="80">
        <v>30010</v>
      </c>
      <c r="C1607" s="80">
        <v>2</v>
      </c>
      <c r="D1607" s="80" t="s">
        <v>63</v>
      </c>
      <c r="E1607" s="80">
        <v>0</v>
      </c>
      <c r="F1607" s="81">
        <f t="shared" si="753"/>
        <v>33063</v>
      </c>
      <c r="G1607" s="81">
        <f t="shared" si="753"/>
        <v>33063</v>
      </c>
      <c r="H1607" s="81">
        <f t="shared" si="754"/>
        <v>4990</v>
      </c>
      <c r="I1607" s="81">
        <f t="shared" si="754"/>
        <v>4990</v>
      </c>
      <c r="J1607" s="81">
        <f t="shared" si="756"/>
        <v>18323</v>
      </c>
      <c r="K1607" s="133">
        <v>1000</v>
      </c>
      <c r="L1607" s="81"/>
      <c r="M1607" s="16">
        <f t="shared" si="759"/>
        <v>4398.5514790285224</v>
      </c>
      <c r="N1607" s="36">
        <v>670</v>
      </c>
      <c r="O1607" s="36">
        <v>1</v>
      </c>
      <c r="P1607" s="90" t="s">
        <v>378</v>
      </c>
      <c r="Q1607" s="2" t="s">
        <v>439</v>
      </c>
      <c r="R1607" s="2" t="s">
        <v>470</v>
      </c>
      <c r="S1607" s="36" t="s">
        <v>135</v>
      </c>
    </row>
    <row r="1608" spans="1:19" ht="13.5" x14ac:dyDescent="0.25">
      <c r="A1608" s="80" t="str">
        <f t="shared" si="758"/>
        <v>300100230</v>
      </c>
      <c r="B1608" s="80">
        <v>30010</v>
      </c>
      <c r="C1608" s="80">
        <v>2</v>
      </c>
      <c r="D1608" s="80" t="s">
        <v>300</v>
      </c>
      <c r="E1608" s="80">
        <v>0</v>
      </c>
      <c r="F1608" s="81">
        <f t="shared" si="753"/>
        <v>105806</v>
      </c>
      <c r="G1608" s="81">
        <f t="shared" si="753"/>
        <v>105806</v>
      </c>
      <c r="H1608" s="81">
        <f t="shared" si="754"/>
        <v>19592</v>
      </c>
      <c r="I1608" s="81">
        <f t="shared" si="754"/>
        <v>19592</v>
      </c>
      <c r="J1608" s="81">
        <f t="shared" si="756"/>
        <v>58637</v>
      </c>
      <c r="K1608" s="133">
        <v>1000</v>
      </c>
      <c r="L1608" s="81"/>
      <c r="M1608" s="16">
        <f t="shared" si="759"/>
        <v>27891.405035940261</v>
      </c>
      <c r="N1608" s="36">
        <v>670</v>
      </c>
      <c r="O1608" s="36">
        <v>1</v>
      </c>
      <c r="P1608" s="53">
        <v>18810</v>
      </c>
      <c r="Q1608" s="2" t="s">
        <v>439</v>
      </c>
      <c r="R1608" s="2" t="s">
        <v>471</v>
      </c>
      <c r="S1608" s="36">
        <f t="shared" ref="S1608" si="760">INT($P1608/2.4)</f>
        <v>7837</v>
      </c>
    </row>
    <row r="1609" spans="1:19" x14ac:dyDescent="0.2">
      <c r="A1609" s="80" t="str">
        <f t="shared" si="758"/>
        <v>300100240</v>
      </c>
      <c r="B1609" s="80">
        <v>30010</v>
      </c>
      <c r="C1609" s="80">
        <v>2</v>
      </c>
      <c r="D1609" s="80" t="s">
        <v>237</v>
      </c>
      <c r="E1609" s="80">
        <v>0</v>
      </c>
      <c r="F1609" s="81">
        <f t="shared" si="753"/>
        <v>313796</v>
      </c>
      <c r="G1609" s="81">
        <f t="shared" si="753"/>
        <v>313796</v>
      </c>
      <c r="H1609" s="81">
        <f t="shared" si="754"/>
        <v>125518</v>
      </c>
      <c r="I1609" s="81">
        <f t="shared" si="754"/>
        <v>125518</v>
      </c>
      <c r="J1609" s="81">
        <f t="shared" si="756"/>
        <v>173905</v>
      </c>
      <c r="K1609" s="133">
        <v>1000</v>
      </c>
      <c r="L1609" s="81"/>
      <c r="M1609" s="16">
        <f t="shared" si="759"/>
        <v>209373.98947026196</v>
      </c>
      <c r="N1609" s="36">
        <v>670</v>
      </c>
      <c r="O1609" s="82">
        <v>1</v>
      </c>
      <c r="P1609" s="83" t="s">
        <v>473</v>
      </c>
      <c r="Q1609" s="2" t="s">
        <v>474</v>
      </c>
      <c r="R1609" s="83" t="s">
        <v>472</v>
      </c>
      <c r="S1609" s="56">
        <f t="shared" ref="S1609" si="761">P1609*0.9</f>
        <v>50207.4</v>
      </c>
    </row>
    <row r="1610" spans="1:19" x14ac:dyDescent="0.2">
      <c r="A1610" s="80" t="str">
        <f t="shared" si="758"/>
        <v>300100310</v>
      </c>
      <c r="B1610" s="80">
        <v>30010</v>
      </c>
      <c r="C1610" s="80">
        <v>3</v>
      </c>
      <c r="D1610" s="80" t="s">
        <v>259</v>
      </c>
      <c r="E1610" s="80">
        <v>0</v>
      </c>
      <c r="F1610" s="34">
        <f t="shared" si="753"/>
        <v>15738</v>
      </c>
      <c r="G1610" s="34">
        <f t="shared" si="753"/>
        <v>15738</v>
      </c>
      <c r="H1610" s="34">
        <f t="shared" si="754"/>
        <v>3640</v>
      </c>
      <c r="I1610" s="34">
        <f t="shared" si="754"/>
        <v>3640</v>
      </c>
      <c r="J1610" s="34">
        <f t="shared" si="756"/>
        <v>18530</v>
      </c>
      <c r="K1610" s="133">
        <v>1000</v>
      </c>
      <c r="L1610" s="34"/>
      <c r="M1610" s="16">
        <f t="shared" si="759"/>
        <v>2606.4725706287418</v>
      </c>
      <c r="N1610" s="36">
        <v>880</v>
      </c>
      <c r="O1610" s="36">
        <v>1</v>
      </c>
      <c r="P1610" s="90" t="s">
        <v>377</v>
      </c>
      <c r="Q1610" s="90" t="s">
        <v>373</v>
      </c>
      <c r="R1610" s="2" t="s">
        <v>565</v>
      </c>
      <c r="S1610" s="54">
        <v>1456</v>
      </c>
    </row>
    <row r="1611" spans="1:19" x14ac:dyDescent="0.2">
      <c r="A1611" s="80" t="str">
        <f t="shared" si="758"/>
        <v>300100311</v>
      </c>
      <c r="B1611" s="80">
        <v>30010</v>
      </c>
      <c r="C1611" s="80">
        <v>3</v>
      </c>
      <c r="D1611" s="80" t="s">
        <v>259</v>
      </c>
      <c r="E1611" s="80">
        <v>1</v>
      </c>
      <c r="F1611" s="34">
        <f t="shared" si="753"/>
        <v>30700</v>
      </c>
      <c r="G1611" s="34">
        <f t="shared" si="753"/>
        <v>30700</v>
      </c>
      <c r="H1611" s="34">
        <f t="shared" si="754"/>
        <v>3640</v>
      </c>
      <c r="I1611" s="34">
        <f t="shared" si="754"/>
        <v>3640</v>
      </c>
      <c r="J1611" s="34">
        <f t="shared" si="756"/>
        <v>36290</v>
      </c>
      <c r="K1611" s="133">
        <v>1000</v>
      </c>
      <c r="L1611" s="34"/>
      <c r="M1611" s="16">
        <f t="shared" si="759"/>
        <v>5094.5209282129763</v>
      </c>
      <c r="N1611" s="36">
        <v>860</v>
      </c>
      <c r="O1611" s="36">
        <v>2</v>
      </c>
      <c r="P1611" s="90" t="s">
        <v>377</v>
      </c>
      <c r="Q1611" s="90" t="s">
        <v>371</v>
      </c>
      <c r="S1611" s="54">
        <v>1456</v>
      </c>
    </row>
    <row r="1612" spans="1:19" x14ac:dyDescent="0.2">
      <c r="A1612" s="80" t="str">
        <f t="shared" si="758"/>
        <v>300100312</v>
      </c>
      <c r="B1612" s="80">
        <v>30010</v>
      </c>
      <c r="C1612" s="80">
        <v>3</v>
      </c>
      <c r="D1612" s="80" t="s">
        <v>259</v>
      </c>
      <c r="E1612" s="80">
        <v>2</v>
      </c>
      <c r="F1612" s="34">
        <f t="shared" ref="F1612:G1613" si="762">ROUNDDOWN($P1612/4*$O1612*10*$N1612/$N1612*$Q1612/400,0)</f>
        <v>44886</v>
      </c>
      <c r="G1612" s="34">
        <f t="shared" si="762"/>
        <v>44886</v>
      </c>
      <c r="H1612" s="34">
        <f t="shared" ref="H1612:I1613" si="763">ROUNDDOWN($S1612/4*10,0)</f>
        <v>3640</v>
      </c>
      <c r="I1612" s="34">
        <f t="shared" si="763"/>
        <v>3640</v>
      </c>
      <c r="J1612" s="34">
        <f t="shared" si="756"/>
        <v>53280</v>
      </c>
      <c r="K1612" s="133">
        <v>1000</v>
      </c>
      <c r="L1612" s="34"/>
      <c r="M1612" s="16">
        <f t="shared" si="759"/>
        <v>7464.1135816438391</v>
      </c>
      <c r="N1612" s="36">
        <v>840</v>
      </c>
      <c r="O1612" s="36">
        <v>3</v>
      </c>
      <c r="P1612" s="90" t="s">
        <v>377</v>
      </c>
      <c r="Q1612" s="90" t="s">
        <v>366</v>
      </c>
      <c r="S1612" s="54">
        <v>1456</v>
      </c>
    </row>
    <row r="1613" spans="1:19" x14ac:dyDescent="0.2">
      <c r="A1613" s="80" t="str">
        <f t="shared" si="758"/>
        <v>300100313</v>
      </c>
      <c r="B1613" s="80">
        <v>30010</v>
      </c>
      <c r="C1613" s="80">
        <v>3</v>
      </c>
      <c r="D1613" s="80" t="s">
        <v>259</v>
      </c>
      <c r="E1613" s="80">
        <v>3</v>
      </c>
      <c r="F1613" s="34">
        <f t="shared" si="762"/>
        <v>58296</v>
      </c>
      <c r="G1613" s="34">
        <f t="shared" si="762"/>
        <v>58296</v>
      </c>
      <c r="H1613" s="34">
        <f t="shared" si="763"/>
        <v>3640</v>
      </c>
      <c r="I1613" s="34">
        <f t="shared" si="763"/>
        <v>3640</v>
      </c>
      <c r="J1613" s="34">
        <f t="shared" si="756"/>
        <v>69500</v>
      </c>
      <c r="K1613" s="133">
        <v>1000</v>
      </c>
      <c r="L1613" s="34"/>
      <c r="M1613" s="16">
        <f t="shared" si="759"/>
        <v>9715.2159683663249</v>
      </c>
      <c r="N1613" s="36">
        <v>820</v>
      </c>
      <c r="O1613" s="36">
        <v>4</v>
      </c>
      <c r="P1613" s="90" t="s">
        <v>377</v>
      </c>
      <c r="Q1613" s="90" t="s">
        <v>367</v>
      </c>
      <c r="S1613" s="54">
        <v>1456</v>
      </c>
    </row>
    <row r="1614" spans="1:19" x14ac:dyDescent="0.2">
      <c r="A1614" s="80" t="str">
        <f t="shared" si="758"/>
        <v>300100320</v>
      </c>
      <c r="B1614" s="80">
        <v>30010</v>
      </c>
      <c r="C1614" s="80">
        <v>3</v>
      </c>
      <c r="D1614" s="80" t="s">
        <v>63</v>
      </c>
      <c r="E1614" s="80">
        <v>0</v>
      </c>
      <c r="F1614" s="34">
        <f t="shared" ref="F1614:G1625" si="764">ROUNDDOWN($P1614/4*$O1614*10*$N1614/$N1614*$Q1614/400,0)</f>
        <v>36895</v>
      </c>
      <c r="G1614" s="34">
        <f t="shared" si="764"/>
        <v>36895</v>
      </c>
      <c r="H1614" s="34">
        <f t="shared" ref="H1614:I1625" si="765">ROUNDDOWN($S1614/4*10,0)</f>
        <v>5810</v>
      </c>
      <c r="I1614" s="34">
        <f t="shared" si="765"/>
        <v>5810</v>
      </c>
      <c r="J1614" s="34">
        <f t="shared" si="756"/>
        <v>45664</v>
      </c>
      <c r="K1614" s="133">
        <v>1000</v>
      </c>
      <c r="L1614" s="34"/>
      <c r="M1614" s="16">
        <f t="shared" si="759"/>
        <v>7914.9611271010044</v>
      </c>
      <c r="N1614" s="36">
        <v>880</v>
      </c>
      <c r="O1614" s="36">
        <v>1</v>
      </c>
      <c r="P1614" s="90" t="s">
        <v>379</v>
      </c>
      <c r="Q1614" s="90" t="s">
        <v>371</v>
      </c>
      <c r="R1614" s="2" t="s">
        <v>564</v>
      </c>
      <c r="S1614" s="36" t="s">
        <v>136</v>
      </c>
    </row>
    <row r="1615" spans="1:19" x14ac:dyDescent="0.2">
      <c r="A1615" s="80" t="str">
        <f t="shared" si="758"/>
        <v>300100321</v>
      </c>
      <c r="B1615" s="80">
        <v>30010</v>
      </c>
      <c r="C1615" s="80">
        <v>3</v>
      </c>
      <c r="D1615" s="80" t="s">
        <v>63</v>
      </c>
      <c r="E1615" s="80">
        <v>1</v>
      </c>
      <c r="F1615" s="34">
        <f t="shared" si="764"/>
        <v>71924</v>
      </c>
      <c r="G1615" s="34">
        <f t="shared" si="764"/>
        <v>71924</v>
      </c>
      <c r="H1615" s="34">
        <f t="shared" si="765"/>
        <v>5810</v>
      </c>
      <c r="I1615" s="34">
        <f t="shared" si="765"/>
        <v>5810</v>
      </c>
      <c r="J1615" s="34">
        <f t="shared" si="756"/>
        <v>89488</v>
      </c>
      <c r="K1615" s="133">
        <v>1000</v>
      </c>
      <c r="L1615" s="34"/>
      <c r="M1615" s="16">
        <f t="shared" si="759"/>
        <v>15470.251367311652</v>
      </c>
      <c r="N1615" s="36">
        <v>860</v>
      </c>
      <c r="O1615" s="36">
        <v>2</v>
      </c>
      <c r="P1615" s="90" t="s">
        <v>379</v>
      </c>
      <c r="Q1615" s="90" t="s">
        <v>366</v>
      </c>
      <c r="S1615" s="36" t="s">
        <v>136</v>
      </c>
    </row>
    <row r="1616" spans="1:19" x14ac:dyDescent="0.2">
      <c r="A1616" s="80" t="str">
        <f t="shared" si="758"/>
        <v>300100322</v>
      </c>
      <c r="B1616" s="80">
        <v>30010</v>
      </c>
      <c r="C1616" s="80">
        <v>3</v>
      </c>
      <c r="D1616" s="80" t="s">
        <v>63</v>
      </c>
      <c r="E1616" s="80">
        <v>2</v>
      </c>
      <c r="F1616" s="34">
        <f t="shared" si="764"/>
        <v>105088</v>
      </c>
      <c r="G1616" s="34">
        <f t="shared" si="764"/>
        <v>105088</v>
      </c>
      <c r="H1616" s="34">
        <f t="shared" si="765"/>
        <v>5810</v>
      </c>
      <c r="I1616" s="34">
        <f t="shared" si="765"/>
        <v>5810</v>
      </c>
      <c r="J1616" s="34">
        <f t="shared" si="756"/>
        <v>131472</v>
      </c>
      <c r="K1616" s="133">
        <v>1000</v>
      </c>
      <c r="L1616" s="34"/>
      <c r="M1616" s="16">
        <f t="shared" si="759"/>
        <v>22665.81039068809</v>
      </c>
      <c r="N1616" s="36">
        <v>840</v>
      </c>
      <c r="O1616" s="36">
        <v>3</v>
      </c>
      <c r="P1616" s="90" t="s">
        <v>379</v>
      </c>
      <c r="Q1616" s="90" t="s">
        <v>367</v>
      </c>
      <c r="S1616" s="36" t="s">
        <v>136</v>
      </c>
    </row>
    <row r="1617" spans="1:20" x14ac:dyDescent="0.2">
      <c r="A1617" s="80" t="str">
        <f t="shared" si="758"/>
        <v>300100323</v>
      </c>
      <c r="B1617" s="80">
        <v>30010</v>
      </c>
      <c r="C1617" s="80">
        <v>3</v>
      </c>
      <c r="D1617" s="80" t="s">
        <v>63</v>
      </c>
      <c r="E1617" s="80">
        <v>3</v>
      </c>
      <c r="F1617" s="34">
        <f t="shared" si="764"/>
        <v>136386</v>
      </c>
      <c r="G1617" s="34">
        <f t="shared" si="764"/>
        <v>136386</v>
      </c>
      <c r="H1617" s="34">
        <f t="shared" si="765"/>
        <v>5810</v>
      </c>
      <c r="I1617" s="34">
        <f t="shared" si="765"/>
        <v>5810</v>
      </c>
      <c r="J1617" s="34">
        <f t="shared" si="756"/>
        <v>171618</v>
      </c>
      <c r="K1617" s="133">
        <v>1000</v>
      </c>
      <c r="L1617" s="34"/>
      <c r="M1617" s="16">
        <f t="shared" si="759"/>
        <v>29501.518301688004</v>
      </c>
      <c r="N1617" s="36">
        <v>820</v>
      </c>
      <c r="O1617" s="36">
        <v>4</v>
      </c>
      <c r="P1617" s="90" t="s">
        <v>379</v>
      </c>
      <c r="Q1617" s="90" t="s">
        <v>102</v>
      </c>
      <c r="S1617" s="36" t="s">
        <v>136</v>
      </c>
    </row>
    <row r="1618" spans="1:20" ht="16.5" x14ac:dyDescent="0.2">
      <c r="A1618" s="80" t="str">
        <f t="shared" si="758"/>
        <v>300100330</v>
      </c>
      <c r="B1618" s="80">
        <v>30010</v>
      </c>
      <c r="C1618" s="80">
        <v>3</v>
      </c>
      <c r="D1618" s="80" t="s">
        <v>300</v>
      </c>
      <c r="E1618" s="80">
        <v>0</v>
      </c>
      <c r="F1618" s="34">
        <f t="shared" si="764"/>
        <v>214291</v>
      </c>
      <c r="G1618" s="34">
        <f t="shared" si="764"/>
        <v>214291</v>
      </c>
      <c r="H1618" s="34">
        <f t="shared" si="765"/>
        <v>83853</v>
      </c>
      <c r="I1618" s="34">
        <f t="shared" ref="I1618:I1621" si="766">ROUNDDOWN($T1618/4*10,0)</f>
        <v>83853</v>
      </c>
      <c r="J1618" s="34">
        <f t="shared" si="756"/>
        <v>218974</v>
      </c>
      <c r="K1618" s="133">
        <v>1000</v>
      </c>
      <c r="L1618" s="34"/>
      <c r="M1618" s="16">
        <f t="shared" si="759"/>
        <v>158689.25858168377</v>
      </c>
      <c r="N1618" s="58">
        <v>930</v>
      </c>
      <c r="O1618" s="36">
        <v>1</v>
      </c>
      <c r="P1618" s="68">
        <v>37268.000000000007</v>
      </c>
      <c r="Q1618" s="41" t="s">
        <v>273</v>
      </c>
      <c r="R1618" s="2" t="s">
        <v>563</v>
      </c>
      <c r="S1618" s="56">
        <f t="shared" ref="S1618:S1621" si="767">P1618*0.9</f>
        <v>33541.200000000004</v>
      </c>
      <c r="T1618" s="253">
        <f t="shared" ref="T1618:T1621" si="768">S1618</f>
        <v>33541.200000000004</v>
      </c>
    </row>
    <row r="1619" spans="1:20" ht="16.5" x14ac:dyDescent="0.2">
      <c r="A1619" s="80" t="str">
        <f t="shared" si="758"/>
        <v>300100331</v>
      </c>
      <c r="B1619" s="80">
        <v>30010</v>
      </c>
      <c r="C1619" s="80">
        <v>3</v>
      </c>
      <c r="D1619" s="80" t="s">
        <v>300</v>
      </c>
      <c r="E1619" s="80">
        <v>1</v>
      </c>
      <c r="F1619" s="34">
        <f t="shared" si="764"/>
        <v>400631</v>
      </c>
      <c r="G1619" s="34">
        <f t="shared" si="764"/>
        <v>400631</v>
      </c>
      <c r="H1619" s="34">
        <f t="shared" si="765"/>
        <v>83853</v>
      </c>
      <c r="I1619" s="34">
        <f t="shared" si="766"/>
        <v>83853</v>
      </c>
      <c r="J1619" s="34">
        <f t="shared" si="756"/>
        <v>448570</v>
      </c>
      <c r="K1619" s="133">
        <v>1000</v>
      </c>
      <c r="L1619" s="34"/>
      <c r="M1619" s="16">
        <f t="shared" si="759"/>
        <v>310553.67824861465</v>
      </c>
      <c r="N1619" s="58">
        <v>910</v>
      </c>
      <c r="O1619" s="36">
        <v>2</v>
      </c>
      <c r="P1619" s="68">
        <v>37268.000000000007</v>
      </c>
      <c r="Q1619" s="41" t="s">
        <v>274</v>
      </c>
      <c r="S1619" s="56">
        <f t="shared" si="767"/>
        <v>33541.200000000004</v>
      </c>
      <c r="T1619" s="253">
        <f t="shared" si="768"/>
        <v>33541.200000000004</v>
      </c>
    </row>
    <row r="1620" spans="1:20" ht="16.5" x14ac:dyDescent="0.2">
      <c r="A1620" s="80" t="str">
        <f t="shared" si="758"/>
        <v>300100332</v>
      </c>
      <c r="B1620" s="80">
        <v>30010</v>
      </c>
      <c r="C1620" s="80">
        <v>3</v>
      </c>
      <c r="D1620" s="80" t="s">
        <v>300</v>
      </c>
      <c r="E1620" s="80">
        <v>2</v>
      </c>
      <c r="F1620" s="34">
        <f t="shared" si="764"/>
        <v>503118</v>
      </c>
      <c r="G1620" s="34">
        <f t="shared" si="764"/>
        <v>503118</v>
      </c>
      <c r="H1620" s="34">
        <f t="shared" si="765"/>
        <v>83853</v>
      </c>
      <c r="I1620" s="34">
        <f t="shared" si="766"/>
        <v>83853</v>
      </c>
      <c r="J1620" s="34">
        <f t="shared" si="756"/>
        <v>768749</v>
      </c>
      <c r="K1620" s="133">
        <v>1000</v>
      </c>
      <c r="L1620" s="34"/>
      <c r="M1620" s="16">
        <f t="shared" si="759"/>
        <v>455592.42967237358</v>
      </c>
      <c r="N1620" s="58">
        <v>890</v>
      </c>
      <c r="O1620" s="36">
        <v>3</v>
      </c>
      <c r="P1620" s="68">
        <v>37268.000000000007</v>
      </c>
      <c r="Q1620" s="41" t="s">
        <v>275</v>
      </c>
      <c r="S1620" s="56">
        <f t="shared" si="767"/>
        <v>33541.200000000004</v>
      </c>
      <c r="T1620" s="253">
        <f t="shared" si="768"/>
        <v>33541.200000000004</v>
      </c>
    </row>
    <row r="1621" spans="1:20" ht="16.5" x14ac:dyDescent="0.2">
      <c r="A1621" s="80" t="str">
        <f t="shared" si="758"/>
        <v>300100333</v>
      </c>
      <c r="B1621" s="80">
        <v>30010</v>
      </c>
      <c r="C1621" s="80">
        <v>3</v>
      </c>
      <c r="D1621" s="80" t="s">
        <v>300</v>
      </c>
      <c r="E1621" s="80">
        <v>3</v>
      </c>
      <c r="F1621" s="34">
        <f t="shared" si="764"/>
        <v>614922</v>
      </c>
      <c r="G1621" s="34">
        <f t="shared" si="764"/>
        <v>614922</v>
      </c>
      <c r="H1621" s="34">
        <f t="shared" si="765"/>
        <v>83853</v>
      </c>
      <c r="I1621" s="34">
        <f t="shared" si="766"/>
        <v>83853</v>
      </c>
      <c r="J1621" s="34">
        <f t="shared" si="756"/>
        <v>1068490</v>
      </c>
      <c r="K1621" s="133">
        <v>1000</v>
      </c>
      <c r="L1621" s="34"/>
      <c r="M1621" s="16">
        <f t="shared" si="759"/>
        <v>593805.93768066063</v>
      </c>
      <c r="N1621" s="58">
        <v>870</v>
      </c>
      <c r="O1621" s="36">
        <v>4</v>
      </c>
      <c r="P1621" s="68">
        <v>37268.000000000007</v>
      </c>
      <c r="Q1621" s="41" t="s">
        <v>276</v>
      </c>
      <c r="S1621" s="56">
        <f t="shared" si="767"/>
        <v>33541.200000000004</v>
      </c>
      <c r="T1621" s="253">
        <f t="shared" si="768"/>
        <v>33541.200000000004</v>
      </c>
    </row>
    <row r="1622" spans="1:20" ht="16.5" x14ac:dyDescent="0.2">
      <c r="A1622" s="80" t="str">
        <f t="shared" si="758"/>
        <v>300100340</v>
      </c>
      <c r="B1622" s="80">
        <v>30010</v>
      </c>
      <c r="C1622" s="80">
        <v>3</v>
      </c>
      <c r="D1622" s="80" t="s">
        <v>237</v>
      </c>
      <c r="E1622" s="80">
        <v>0</v>
      </c>
      <c r="F1622" s="34">
        <f t="shared" si="764"/>
        <v>364650</v>
      </c>
      <c r="G1622" s="34">
        <f t="shared" si="764"/>
        <v>364650</v>
      </c>
      <c r="H1622" s="34">
        <f t="shared" si="765"/>
        <v>97500</v>
      </c>
      <c r="I1622" s="34">
        <f t="shared" ref="I1622:I1625" si="769">ROUNDDOWN($T1622/4*10,0)</f>
        <v>97500</v>
      </c>
      <c r="J1622" s="34">
        <f t="shared" si="756"/>
        <v>504705</v>
      </c>
      <c r="K1622" s="133">
        <v>1000</v>
      </c>
      <c r="L1622" s="34"/>
      <c r="M1622" s="16">
        <f t="shared" si="759"/>
        <v>338882.55078714225</v>
      </c>
      <c r="N1622" s="36">
        <v>880</v>
      </c>
      <c r="O1622" s="36">
        <v>1</v>
      </c>
      <c r="P1622" s="68">
        <v>78000</v>
      </c>
      <c r="Q1622" s="41" t="s">
        <v>537</v>
      </c>
      <c r="R1622" s="2" t="s">
        <v>562</v>
      </c>
      <c r="S1622" s="36">
        <f t="shared" ref="S1622:S1625" si="770">P1622*0.5</f>
        <v>39000</v>
      </c>
      <c r="T1622" s="114">
        <f t="shared" ref="T1622:T1625" si="771">S1622</f>
        <v>39000</v>
      </c>
    </row>
    <row r="1623" spans="1:20" ht="16.5" x14ac:dyDescent="0.2">
      <c r="A1623" s="80" t="str">
        <f t="shared" si="758"/>
        <v>300100341</v>
      </c>
      <c r="B1623" s="80">
        <v>30010</v>
      </c>
      <c r="C1623" s="80">
        <v>3</v>
      </c>
      <c r="D1623" s="80" t="s">
        <v>237</v>
      </c>
      <c r="E1623" s="80">
        <v>1</v>
      </c>
      <c r="F1623" s="34">
        <f t="shared" si="764"/>
        <v>696150</v>
      </c>
      <c r="G1623" s="34">
        <f t="shared" si="764"/>
        <v>696150</v>
      </c>
      <c r="H1623" s="34">
        <f t="shared" si="765"/>
        <v>97500</v>
      </c>
      <c r="I1623" s="34">
        <f t="shared" si="769"/>
        <v>97500</v>
      </c>
      <c r="J1623" s="34">
        <f t="shared" si="756"/>
        <v>1009957</v>
      </c>
      <c r="K1623" s="133">
        <v>1000</v>
      </c>
      <c r="L1623" s="34"/>
      <c r="M1623" s="16">
        <f t="shared" si="759"/>
        <v>662361.60584925208</v>
      </c>
      <c r="N1623" s="36">
        <v>860</v>
      </c>
      <c r="O1623" s="36">
        <v>2</v>
      </c>
      <c r="P1623" s="68">
        <v>78000</v>
      </c>
      <c r="Q1623" s="41" t="s">
        <v>539</v>
      </c>
      <c r="S1623" s="36">
        <f t="shared" si="770"/>
        <v>39000</v>
      </c>
      <c r="T1623" s="114">
        <f t="shared" si="771"/>
        <v>39000</v>
      </c>
    </row>
    <row r="1624" spans="1:20" ht="16.5" x14ac:dyDescent="0.2">
      <c r="A1624" s="80" t="str">
        <f t="shared" si="758"/>
        <v>300100342</v>
      </c>
      <c r="B1624" s="80">
        <v>30010</v>
      </c>
      <c r="C1624" s="80">
        <v>3</v>
      </c>
      <c r="D1624" s="80" t="s">
        <v>237</v>
      </c>
      <c r="E1624" s="80">
        <v>2</v>
      </c>
      <c r="F1624" s="34">
        <f t="shared" si="764"/>
        <v>870187</v>
      </c>
      <c r="G1624" s="34">
        <f t="shared" si="764"/>
        <v>870187</v>
      </c>
      <c r="H1624" s="34">
        <f t="shared" si="765"/>
        <v>97500</v>
      </c>
      <c r="I1624" s="34">
        <f t="shared" si="769"/>
        <v>97500</v>
      </c>
      <c r="J1624" s="34">
        <f t="shared" si="756"/>
        <v>1734352</v>
      </c>
      <c r="K1624" s="133">
        <v>1000</v>
      </c>
      <c r="L1624" s="34"/>
      <c r="M1624" s="16">
        <f t="shared" si="759"/>
        <v>970436.70160715585</v>
      </c>
      <c r="N1624" s="36">
        <v>840</v>
      </c>
      <c r="O1624" s="36">
        <v>3</v>
      </c>
      <c r="P1624" s="68">
        <v>78000</v>
      </c>
      <c r="Q1624" s="41" t="s">
        <v>540</v>
      </c>
      <c r="S1624" s="36">
        <f t="shared" si="770"/>
        <v>39000</v>
      </c>
      <c r="T1624" s="114">
        <f t="shared" si="771"/>
        <v>39000</v>
      </c>
    </row>
    <row r="1625" spans="1:20" ht="16.5" x14ac:dyDescent="0.2">
      <c r="A1625" s="80" t="str">
        <f t="shared" ref="A1625:A1663" si="772">IF(B1625="","",CONCATENATE(B1625,CONCATENATE(REPT(0,2-LEN(C1625)),C1625),IF(OR(D1625="Easy",D1625=""),1,IF(D1625="Normal",2,IF(D1625="Hard",3,IF(D1625="Hell",4,"error")))),E1625))</f>
        <v>300100343</v>
      </c>
      <c r="B1625" s="80">
        <v>30010</v>
      </c>
      <c r="C1625" s="80">
        <v>3</v>
      </c>
      <c r="D1625" s="80" t="s">
        <v>237</v>
      </c>
      <c r="E1625" s="80">
        <v>3</v>
      </c>
      <c r="F1625" s="34">
        <f t="shared" si="764"/>
        <v>1027650</v>
      </c>
      <c r="G1625" s="34">
        <f t="shared" si="764"/>
        <v>1027650</v>
      </c>
      <c r="H1625" s="34">
        <f t="shared" si="765"/>
        <v>97500</v>
      </c>
      <c r="I1625" s="34">
        <f t="shared" si="769"/>
        <v>97500</v>
      </c>
      <c r="J1625" s="34">
        <f t="shared" si="756"/>
        <v>2488007</v>
      </c>
      <c r="K1625" s="133">
        <v>1000</v>
      </c>
      <c r="L1625" s="34"/>
      <c r="M1625" s="16">
        <f t="shared" si="759"/>
        <v>1263108.6436151089</v>
      </c>
      <c r="N1625" s="36">
        <v>820</v>
      </c>
      <c r="O1625" s="36">
        <v>4</v>
      </c>
      <c r="P1625" s="68">
        <v>78000</v>
      </c>
      <c r="Q1625" s="41" t="s">
        <v>541</v>
      </c>
      <c r="S1625" s="36">
        <f t="shared" si="770"/>
        <v>39000</v>
      </c>
      <c r="T1625" s="114">
        <f t="shared" si="771"/>
        <v>39000</v>
      </c>
    </row>
    <row r="1626" spans="1:20" x14ac:dyDescent="0.2">
      <c r="A1626" s="8" t="str">
        <f t="shared" si="772"/>
        <v/>
      </c>
      <c r="B1626" s="38"/>
      <c r="C1626" s="35" t="s">
        <v>601</v>
      </c>
      <c r="D1626" s="38"/>
      <c r="E1626" s="38"/>
      <c r="F1626" s="38"/>
      <c r="G1626" s="40"/>
      <c r="H1626" s="38"/>
      <c r="I1626" s="38"/>
      <c r="J1626" s="38"/>
      <c r="K1626" s="133">
        <v>1000</v>
      </c>
      <c r="L1626" s="38"/>
      <c r="M1626" s="16">
        <f t="shared" si="759"/>
        <v>0</v>
      </c>
      <c r="N1626" s="42" t="str">
        <f>IF(A1626="","",M1626*#REF!)</f>
        <v/>
      </c>
      <c r="O1626" s="40"/>
      <c r="P1626" s="38"/>
      <c r="Q1626" s="38"/>
      <c r="R1626" s="38"/>
      <c r="S1626" s="40"/>
      <c r="T1626" s="267"/>
    </row>
    <row r="1627" spans="1:20" x14ac:dyDescent="0.2">
      <c r="A1627" s="80" t="str">
        <f t="shared" si="772"/>
        <v>300200110</v>
      </c>
      <c r="B1627" s="80">
        <v>30020</v>
      </c>
      <c r="C1627" s="80">
        <v>1</v>
      </c>
      <c r="D1627" s="80" t="s">
        <v>259</v>
      </c>
      <c r="E1627" s="80">
        <v>0</v>
      </c>
      <c r="F1627" s="81">
        <f t="shared" ref="F1627:G1646" si="773">ROUNDDOWN($P1627/4*$O1627*10*$N1627/$N1627*$Q1627/400,0)</f>
        <v>12133</v>
      </c>
      <c r="G1627" s="81">
        <f t="shared" si="773"/>
        <v>12133</v>
      </c>
      <c r="H1627" s="81">
        <f t="shared" ref="H1627:I1646" si="774">ROUNDDOWN($S1627/4*10,0)</f>
        <v>3110</v>
      </c>
      <c r="I1627" s="81">
        <f t="shared" si="774"/>
        <v>3110</v>
      </c>
      <c r="J1627" s="81">
        <f t="shared" ref="J1627:J1664" si="775">ROUNDDOWN($P1627/4*$O1627*10*$N1627/$Q1627*$N1627/400,0)</f>
        <v>14979</v>
      </c>
      <c r="K1627" s="133">
        <v>1000</v>
      </c>
      <c r="L1627" s="81"/>
      <c r="M1627" s="16">
        <f t="shared" si="759"/>
        <v>1901.9350883055922</v>
      </c>
      <c r="N1627" s="36">
        <v>1000</v>
      </c>
      <c r="O1627" s="36">
        <v>1</v>
      </c>
      <c r="P1627" s="90" t="s">
        <v>376</v>
      </c>
      <c r="Q1627" s="2" t="s">
        <v>439</v>
      </c>
      <c r="R1627" s="2" t="s">
        <v>469</v>
      </c>
      <c r="S1627" s="36" t="s">
        <v>126</v>
      </c>
    </row>
    <row r="1628" spans="1:20" x14ac:dyDescent="0.2">
      <c r="A1628" s="80" t="str">
        <f t="shared" si="772"/>
        <v>300200111</v>
      </c>
      <c r="B1628" s="80">
        <v>30020</v>
      </c>
      <c r="C1628" s="80">
        <v>1</v>
      </c>
      <c r="D1628" s="80" t="s">
        <v>259</v>
      </c>
      <c r="E1628" s="80">
        <v>1</v>
      </c>
      <c r="F1628" s="81">
        <f t="shared" si="773"/>
        <v>21030</v>
      </c>
      <c r="G1628" s="81">
        <f t="shared" si="773"/>
        <v>21030</v>
      </c>
      <c r="H1628" s="81">
        <f t="shared" si="774"/>
        <v>3110</v>
      </c>
      <c r="I1628" s="81">
        <f t="shared" si="774"/>
        <v>3110</v>
      </c>
      <c r="J1628" s="81">
        <f t="shared" si="775"/>
        <v>25565</v>
      </c>
      <c r="K1628" s="133">
        <v>1000</v>
      </c>
      <c r="L1628" s="81"/>
      <c r="M1628" s="16">
        <f t="shared" si="759"/>
        <v>3271.2423225435323</v>
      </c>
      <c r="N1628" s="36">
        <v>860</v>
      </c>
      <c r="O1628" s="36">
        <v>2</v>
      </c>
      <c r="P1628" s="90" t="s">
        <v>376</v>
      </c>
      <c r="Q1628" s="2" t="s">
        <v>186</v>
      </c>
      <c r="R1628" s="2" t="s">
        <v>469</v>
      </c>
      <c r="S1628" s="36" t="s">
        <v>126</v>
      </c>
    </row>
    <row r="1629" spans="1:20" x14ac:dyDescent="0.2">
      <c r="A1629" s="80" t="str">
        <f t="shared" si="772"/>
        <v>300200112</v>
      </c>
      <c r="B1629" s="80">
        <v>30020</v>
      </c>
      <c r="C1629" s="80">
        <v>1</v>
      </c>
      <c r="D1629" s="80" t="s">
        <v>259</v>
      </c>
      <c r="E1629" s="80">
        <v>2</v>
      </c>
      <c r="F1629" s="81">
        <f t="shared" si="773"/>
        <v>26288</v>
      </c>
      <c r="G1629" s="81">
        <f t="shared" si="773"/>
        <v>26288</v>
      </c>
      <c r="H1629" s="81">
        <f t="shared" si="774"/>
        <v>3110</v>
      </c>
      <c r="I1629" s="81">
        <f t="shared" si="774"/>
        <v>3110</v>
      </c>
      <c r="J1629" s="81">
        <f t="shared" si="775"/>
        <v>43903</v>
      </c>
      <c r="K1629" s="133">
        <v>1000</v>
      </c>
      <c r="L1629" s="81"/>
      <c r="M1629" s="16">
        <f t="shared" si="759"/>
        <v>4792.8744571348834</v>
      </c>
      <c r="N1629" s="36">
        <v>840</v>
      </c>
      <c r="O1629" s="36">
        <v>3</v>
      </c>
      <c r="P1629" s="90" t="s">
        <v>376</v>
      </c>
      <c r="Q1629" s="2" t="s">
        <v>196</v>
      </c>
      <c r="R1629" s="2" t="s">
        <v>469</v>
      </c>
      <c r="S1629" s="36" t="s">
        <v>126</v>
      </c>
    </row>
    <row r="1630" spans="1:20" x14ac:dyDescent="0.2">
      <c r="A1630" s="80" t="str">
        <f t="shared" si="772"/>
        <v>300200113</v>
      </c>
      <c r="B1630" s="80">
        <v>30020</v>
      </c>
      <c r="C1630" s="80">
        <v>1</v>
      </c>
      <c r="D1630" s="80" t="s">
        <v>259</v>
      </c>
      <c r="E1630" s="80">
        <v>3</v>
      </c>
      <c r="F1630" s="81">
        <f t="shared" si="773"/>
        <v>32355</v>
      </c>
      <c r="G1630" s="81">
        <f t="shared" si="773"/>
        <v>32355</v>
      </c>
      <c r="H1630" s="81">
        <f t="shared" si="774"/>
        <v>3110</v>
      </c>
      <c r="I1630" s="81">
        <f t="shared" si="774"/>
        <v>3110</v>
      </c>
      <c r="J1630" s="81">
        <f t="shared" si="775"/>
        <v>60431</v>
      </c>
      <c r="K1630" s="133">
        <v>1000</v>
      </c>
      <c r="L1630" s="81"/>
      <c r="M1630" s="16">
        <f t="shared" si="759"/>
        <v>6238.3648963105716</v>
      </c>
      <c r="N1630" s="36">
        <v>820</v>
      </c>
      <c r="O1630" s="36">
        <v>4</v>
      </c>
      <c r="P1630" s="90" t="s">
        <v>376</v>
      </c>
      <c r="Q1630" s="2" t="s">
        <v>197</v>
      </c>
      <c r="R1630" s="2" t="s">
        <v>469</v>
      </c>
      <c r="S1630" s="36" t="s">
        <v>126</v>
      </c>
    </row>
    <row r="1631" spans="1:20" x14ac:dyDescent="0.2">
      <c r="A1631" s="80" t="str">
        <f t="shared" ref="A1631" si="776">IF(B1631="","",CONCATENATE(B1631,CONCATENATE(REPT(0,2-LEN(C1631)),C1631),IF(OR(D1631="Easy",D1631=""),1,IF(D1631="Normal",2,IF(D1631="Hard",3,IF(D1631="Hell",4,"error")))),E1631))</f>
        <v>300200211</v>
      </c>
      <c r="B1631" s="80">
        <v>30020</v>
      </c>
      <c r="C1631" s="80">
        <v>2</v>
      </c>
      <c r="D1631" s="80" t="s">
        <v>259</v>
      </c>
      <c r="E1631" s="80">
        <v>1</v>
      </c>
      <c r="F1631" s="81">
        <f t="shared" si="773"/>
        <v>19500</v>
      </c>
      <c r="G1631" s="81">
        <f t="shared" si="773"/>
        <v>19500</v>
      </c>
      <c r="H1631" s="81">
        <f t="shared" si="774"/>
        <v>3110</v>
      </c>
      <c r="I1631" s="81">
        <f t="shared" si="774"/>
        <v>3110</v>
      </c>
      <c r="J1631" s="81">
        <f t="shared" si="775"/>
        <v>23705</v>
      </c>
      <c r="K1631" s="133">
        <v>1000</v>
      </c>
      <c r="L1631" s="81"/>
      <c r="M1631" s="16">
        <f t="shared" si="759"/>
        <v>3033.2448368043097</v>
      </c>
      <c r="N1631" s="36">
        <v>860</v>
      </c>
      <c r="O1631" s="36">
        <v>2</v>
      </c>
      <c r="P1631" s="90" t="s">
        <v>202</v>
      </c>
      <c r="Q1631" s="2" t="s">
        <v>186</v>
      </c>
      <c r="R1631" s="2" t="s">
        <v>603</v>
      </c>
      <c r="S1631" s="36" t="s">
        <v>126</v>
      </c>
    </row>
    <row r="1632" spans="1:20" x14ac:dyDescent="0.2">
      <c r="A1632" s="80" t="str">
        <f t="shared" si="772"/>
        <v>300200120</v>
      </c>
      <c r="B1632" s="80">
        <v>30020</v>
      </c>
      <c r="C1632" s="80">
        <v>1</v>
      </c>
      <c r="D1632" s="80" t="s">
        <v>63</v>
      </c>
      <c r="E1632" s="80">
        <v>0</v>
      </c>
      <c r="F1632" s="81">
        <f t="shared" si="773"/>
        <v>33063</v>
      </c>
      <c r="G1632" s="81">
        <f t="shared" si="773"/>
        <v>33063</v>
      </c>
      <c r="H1632" s="81">
        <f t="shared" si="774"/>
        <v>4990</v>
      </c>
      <c r="I1632" s="81">
        <f t="shared" si="774"/>
        <v>4990</v>
      </c>
      <c r="J1632" s="81">
        <f t="shared" si="775"/>
        <v>40819</v>
      </c>
      <c r="K1632" s="133">
        <v>1000</v>
      </c>
      <c r="L1632" s="81"/>
      <c r="M1632" s="16">
        <f t="shared" si="759"/>
        <v>6565.1184904609299</v>
      </c>
      <c r="N1632" s="36">
        <v>1000</v>
      </c>
      <c r="O1632" s="36">
        <v>1</v>
      </c>
      <c r="P1632" s="90" t="s">
        <v>378</v>
      </c>
      <c r="Q1632" s="2" t="s">
        <v>439</v>
      </c>
      <c r="R1632" s="2" t="s">
        <v>470</v>
      </c>
      <c r="S1632" s="36" t="s">
        <v>135</v>
      </c>
    </row>
    <row r="1633" spans="1:19" x14ac:dyDescent="0.2">
      <c r="A1633" s="80" t="str">
        <f t="shared" si="772"/>
        <v>300200121</v>
      </c>
      <c r="B1633" s="80">
        <v>30020</v>
      </c>
      <c r="C1633" s="80">
        <v>1</v>
      </c>
      <c r="D1633" s="80" t="s">
        <v>63</v>
      </c>
      <c r="E1633" s="80">
        <v>1</v>
      </c>
      <c r="F1633" s="81">
        <f t="shared" si="773"/>
        <v>57310</v>
      </c>
      <c r="G1633" s="81">
        <f t="shared" si="773"/>
        <v>57310</v>
      </c>
      <c r="H1633" s="81">
        <f t="shared" si="774"/>
        <v>4990</v>
      </c>
      <c r="I1633" s="81">
        <f t="shared" si="774"/>
        <v>4990</v>
      </c>
      <c r="J1633" s="81">
        <f t="shared" si="775"/>
        <v>69669</v>
      </c>
      <c r="K1633" s="133">
        <v>1000</v>
      </c>
      <c r="L1633" s="81"/>
      <c r="M1633" s="16">
        <f t="shared" si="759"/>
        <v>11292.113962187948</v>
      </c>
      <c r="N1633" s="36">
        <v>860</v>
      </c>
      <c r="O1633" s="36">
        <v>2</v>
      </c>
      <c r="P1633" s="90" t="s">
        <v>378</v>
      </c>
      <c r="Q1633" s="2" t="s">
        <v>186</v>
      </c>
      <c r="R1633" s="2" t="s">
        <v>470</v>
      </c>
      <c r="S1633" s="36" t="s">
        <v>135</v>
      </c>
    </row>
    <row r="1634" spans="1:19" x14ac:dyDescent="0.2">
      <c r="A1634" s="80" t="str">
        <f t="shared" si="772"/>
        <v>300200122</v>
      </c>
      <c r="B1634" s="80">
        <v>30020</v>
      </c>
      <c r="C1634" s="80">
        <v>1</v>
      </c>
      <c r="D1634" s="80" t="s">
        <v>63</v>
      </c>
      <c r="E1634" s="80">
        <v>2</v>
      </c>
      <c r="F1634" s="81">
        <f t="shared" si="773"/>
        <v>71638</v>
      </c>
      <c r="G1634" s="81">
        <f t="shared" si="773"/>
        <v>71638</v>
      </c>
      <c r="H1634" s="81">
        <f t="shared" si="774"/>
        <v>4990</v>
      </c>
      <c r="I1634" s="81">
        <f t="shared" si="774"/>
        <v>4990</v>
      </c>
      <c r="J1634" s="81">
        <f t="shared" si="775"/>
        <v>119639</v>
      </c>
      <c r="K1634" s="133">
        <v>1000</v>
      </c>
      <c r="L1634" s="81"/>
      <c r="M1634" s="16">
        <f t="shared" si="759"/>
        <v>16544.299112031069</v>
      </c>
      <c r="N1634" s="36">
        <v>840</v>
      </c>
      <c r="O1634" s="36">
        <v>3</v>
      </c>
      <c r="P1634" s="90" t="s">
        <v>378</v>
      </c>
      <c r="Q1634" s="2" t="s">
        <v>196</v>
      </c>
      <c r="R1634" s="2" t="s">
        <v>470</v>
      </c>
      <c r="S1634" s="36" t="s">
        <v>135</v>
      </c>
    </row>
    <row r="1635" spans="1:19" x14ac:dyDescent="0.2">
      <c r="A1635" s="80" t="str">
        <f t="shared" si="772"/>
        <v>300200123</v>
      </c>
      <c r="B1635" s="80">
        <v>30020</v>
      </c>
      <c r="C1635" s="80">
        <v>1</v>
      </c>
      <c r="D1635" s="80" t="s">
        <v>63</v>
      </c>
      <c r="E1635" s="80">
        <v>3</v>
      </c>
      <c r="F1635" s="81">
        <f t="shared" si="773"/>
        <v>88170</v>
      </c>
      <c r="G1635" s="81">
        <f t="shared" si="773"/>
        <v>88170</v>
      </c>
      <c r="H1635" s="81">
        <f t="shared" si="774"/>
        <v>4990</v>
      </c>
      <c r="I1635" s="81">
        <f t="shared" si="774"/>
        <v>4990</v>
      </c>
      <c r="J1635" s="81">
        <f t="shared" si="775"/>
        <v>164681</v>
      </c>
      <c r="K1635" s="133">
        <v>1000</v>
      </c>
      <c r="L1635" s="81"/>
      <c r="M1635" s="16">
        <f t="shared" si="759"/>
        <v>21533.886911533649</v>
      </c>
      <c r="N1635" s="36">
        <v>820</v>
      </c>
      <c r="O1635" s="36">
        <v>4</v>
      </c>
      <c r="P1635" s="90" t="s">
        <v>378</v>
      </c>
      <c r="Q1635" s="2" t="s">
        <v>197</v>
      </c>
      <c r="R1635" s="2" t="s">
        <v>470</v>
      </c>
      <c r="S1635" s="36" t="s">
        <v>135</v>
      </c>
    </row>
    <row r="1636" spans="1:19" x14ac:dyDescent="0.2">
      <c r="A1636" s="80" t="str">
        <f t="shared" ref="A1636" si="777">IF(B1636="","",CONCATENATE(B1636,CONCATENATE(REPT(0,2-LEN(C1636)),C1636),IF(OR(D1636="Easy",D1636=""),1,IF(D1636="Normal",2,IF(D1636="Hard",3,IF(D1636="Hell",4,"error")))),E1636))</f>
        <v>300200221</v>
      </c>
      <c r="B1636" s="80">
        <v>30020</v>
      </c>
      <c r="C1636" s="80">
        <v>2</v>
      </c>
      <c r="D1636" s="80" t="s">
        <v>63</v>
      </c>
      <c r="E1636" s="80">
        <v>1</v>
      </c>
      <c r="F1636" s="81">
        <f t="shared" si="773"/>
        <v>54600</v>
      </c>
      <c r="G1636" s="81">
        <f t="shared" si="773"/>
        <v>54600</v>
      </c>
      <c r="H1636" s="81">
        <f t="shared" si="774"/>
        <v>4990</v>
      </c>
      <c r="I1636" s="81">
        <f t="shared" si="774"/>
        <v>4990</v>
      </c>
      <c r="J1636" s="81">
        <f t="shared" si="775"/>
        <v>66374</v>
      </c>
      <c r="K1636" s="133">
        <v>1000</v>
      </c>
      <c r="L1636" s="81"/>
      <c r="M1636" s="16">
        <f t="shared" si="759"/>
        <v>10758.099994627306</v>
      </c>
      <c r="N1636" s="36">
        <v>860</v>
      </c>
      <c r="O1636" s="36">
        <v>2</v>
      </c>
      <c r="P1636" s="90" t="s">
        <v>604</v>
      </c>
      <c r="Q1636" s="2" t="s">
        <v>186</v>
      </c>
      <c r="R1636" s="2" t="s">
        <v>602</v>
      </c>
      <c r="S1636" s="36" t="s">
        <v>135</v>
      </c>
    </row>
    <row r="1637" spans="1:19" ht="13.5" x14ac:dyDescent="0.25">
      <c r="A1637" s="80" t="str">
        <f t="shared" si="772"/>
        <v>300200130</v>
      </c>
      <c r="B1637" s="80">
        <v>30020</v>
      </c>
      <c r="C1637" s="80">
        <v>1</v>
      </c>
      <c r="D1637" s="80" t="s">
        <v>64</v>
      </c>
      <c r="E1637" s="80">
        <v>0</v>
      </c>
      <c r="F1637" s="81">
        <f t="shared" si="773"/>
        <v>105806</v>
      </c>
      <c r="G1637" s="81">
        <f t="shared" si="773"/>
        <v>105806</v>
      </c>
      <c r="H1637" s="81">
        <f t="shared" si="774"/>
        <v>19592</v>
      </c>
      <c r="I1637" s="81">
        <f t="shared" si="774"/>
        <v>19592</v>
      </c>
      <c r="J1637" s="81">
        <f t="shared" si="775"/>
        <v>130625</v>
      </c>
      <c r="K1637" s="133">
        <v>1000</v>
      </c>
      <c r="L1637" s="81"/>
      <c r="M1637" s="16">
        <f t="shared" si="759"/>
        <v>41629.162411367346</v>
      </c>
      <c r="N1637" s="36">
        <v>1000</v>
      </c>
      <c r="O1637" s="36">
        <v>1</v>
      </c>
      <c r="P1637" s="53">
        <v>18810</v>
      </c>
      <c r="Q1637" s="2" t="s">
        <v>439</v>
      </c>
      <c r="R1637" s="2" t="s">
        <v>471</v>
      </c>
      <c r="S1637" s="36">
        <f t="shared" ref="S1637:S1640" si="778">INT($P1637/2.4)</f>
        <v>7837</v>
      </c>
    </row>
    <row r="1638" spans="1:19" ht="13.5" x14ac:dyDescent="0.25">
      <c r="A1638" s="80" t="str">
        <f t="shared" si="772"/>
        <v>300200131</v>
      </c>
      <c r="B1638" s="80">
        <v>30020</v>
      </c>
      <c r="C1638" s="80">
        <v>1</v>
      </c>
      <c r="D1638" s="80" t="s">
        <v>64</v>
      </c>
      <c r="E1638" s="80">
        <v>1</v>
      </c>
      <c r="F1638" s="81">
        <f t="shared" si="773"/>
        <v>183397</v>
      </c>
      <c r="G1638" s="81">
        <f t="shared" si="773"/>
        <v>183397</v>
      </c>
      <c r="H1638" s="81">
        <f t="shared" si="774"/>
        <v>19592</v>
      </c>
      <c r="I1638" s="81">
        <f t="shared" si="774"/>
        <v>19592</v>
      </c>
      <c r="J1638" s="81">
        <f t="shared" si="775"/>
        <v>222946</v>
      </c>
      <c r="K1638" s="133">
        <v>1000</v>
      </c>
      <c r="L1638" s="81"/>
      <c r="M1638" s="16">
        <f t="shared" si="759"/>
        <v>71602.028985539961</v>
      </c>
      <c r="N1638" s="36">
        <v>860</v>
      </c>
      <c r="O1638" s="36">
        <v>2</v>
      </c>
      <c r="P1638" s="53">
        <v>18810</v>
      </c>
      <c r="Q1638" s="2" t="s">
        <v>186</v>
      </c>
      <c r="R1638" s="2" t="s">
        <v>471</v>
      </c>
      <c r="S1638" s="36">
        <f t="shared" si="778"/>
        <v>7837</v>
      </c>
    </row>
    <row r="1639" spans="1:19" ht="13.5" x14ac:dyDescent="0.25">
      <c r="A1639" s="80" t="str">
        <f t="shared" si="772"/>
        <v>300200132</v>
      </c>
      <c r="B1639" s="80">
        <v>30020</v>
      </c>
      <c r="C1639" s="80">
        <v>1</v>
      </c>
      <c r="D1639" s="80" t="s">
        <v>64</v>
      </c>
      <c r="E1639" s="80">
        <v>2</v>
      </c>
      <c r="F1639" s="81">
        <f t="shared" si="773"/>
        <v>229246</v>
      </c>
      <c r="G1639" s="81">
        <f t="shared" si="773"/>
        <v>229246</v>
      </c>
      <c r="H1639" s="81">
        <f t="shared" si="774"/>
        <v>19592</v>
      </c>
      <c r="I1639" s="81">
        <f t="shared" si="774"/>
        <v>19592</v>
      </c>
      <c r="J1639" s="81">
        <f t="shared" si="775"/>
        <v>382855</v>
      </c>
      <c r="K1639" s="133">
        <v>1000</v>
      </c>
      <c r="L1639" s="81"/>
      <c r="M1639" s="16">
        <f t="shared" si="759"/>
        <v>104905.29708187241</v>
      </c>
      <c r="N1639" s="36">
        <v>840</v>
      </c>
      <c r="O1639" s="36">
        <v>3</v>
      </c>
      <c r="P1639" s="53">
        <v>18810</v>
      </c>
      <c r="Q1639" s="2" t="s">
        <v>196</v>
      </c>
      <c r="R1639" s="2" t="s">
        <v>471</v>
      </c>
      <c r="S1639" s="36">
        <f t="shared" si="778"/>
        <v>7837</v>
      </c>
    </row>
    <row r="1640" spans="1:19" ht="13.5" x14ac:dyDescent="0.25">
      <c r="A1640" s="80" t="str">
        <f t="shared" si="772"/>
        <v>300200133</v>
      </c>
      <c r="B1640" s="80">
        <v>30020</v>
      </c>
      <c r="C1640" s="80">
        <v>1</v>
      </c>
      <c r="D1640" s="80" t="s">
        <v>64</v>
      </c>
      <c r="E1640" s="80">
        <v>3</v>
      </c>
      <c r="F1640" s="81">
        <f t="shared" si="773"/>
        <v>282150</v>
      </c>
      <c r="G1640" s="81">
        <f t="shared" si="773"/>
        <v>282150</v>
      </c>
      <c r="H1640" s="81">
        <f t="shared" si="774"/>
        <v>19592</v>
      </c>
      <c r="I1640" s="81">
        <f t="shared" si="774"/>
        <v>19592</v>
      </c>
      <c r="J1640" s="81">
        <f t="shared" si="775"/>
        <v>526993</v>
      </c>
      <c r="K1640" s="133">
        <v>1000</v>
      </c>
      <c r="L1640" s="81"/>
      <c r="M1640" s="16">
        <f t="shared" si="759"/>
        <v>136543.74924796287</v>
      </c>
      <c r="N1640" s="36">
        <v>820</v>
      </c>
      <c r="O1640" s="36">
        <v>4</v>
      </c>
      <c r="P1640" s="53">
        <v>18810</v>
      </c>
      <c r="Q1640" s="2" t="s">
        <v>197</v>
      </c>
      <c r="R1640" s="2" t="s">
        <v>471</v>
      </c>
      <c r="S1640" s="36">
        <f t="shared" si="778"/>
        <v>7837</v>
      </c>
    </row>
    <row r="1641" spans="1:19" x14ac:dyDescent="0.2">
      <c r="A1641" s="80" t="str">
        <f t="shared" si="772"/>
        <v>300200140</v>
      </c>
      <c r="B1641" s="80">
        <v>30020</v>
      </c>
      <c r="C1641" s="80">
        <v>1</v>
      </c>
      <c r="D1641" s="80" t="s">
        <v>237</v>
      </c>
      <c r="E1641" s="80">
        <v>0</v>
      </c>
      <c r="F1641" s="81">
        <f t="shared" si="773"/>
        <v>313796</v>
      </c>
      <c r="G1641" s="81">
        <f t="shared" si="773"/>
        <v>313796</v>
      </c>
      <c r="H1641" s="81">
        <f t="shared" si="774"/>
        <v>41839</v>
      </c>
      <c r="I1641" s="81">
        <f t="shared" si="774"/>
        <v>41839</v>
      </c>
      <c r="J1641" s="81">
        <f t="shared" si="775"/>
        <v>387402</v>
      </c>
      <c r="K1641" s="133">
        <v>1000</v>
      </c>
      <c r="L1641" s="81"/>
      <c r="M1641" s="16">
        <f t="shared" si="759"/>
        <v>180420.24398675072</v>
      </c>
      <c r="N1641" s="82">
        <v>1000</v>
      </c>
      <c r="O1641" s="82">
        <v>1</v>
      </c>
      <c r="P1641" s="83" t="s">
        <v>473</v>
      </c>
      <c r="Q1641" s="2" t="s">
        <v>439</v>
      </c>
      <c r="R1641" s="83" t="s">
        <v>472</v>
      </c>
      <c r="S1641" s="56">
        <f>P1641*0.3</f>
        <v>16735.8</v>
      </c>
    </row>
    <row r="1642" spans="1:19" x14ac:dyDescent="0.2">
      <c r="A1642" s="80" t="str">
        <f t="shared" si="772"/>
        <v>300200141</v>
      </c>
      <c r="B1642" s="80">
        <v>30020</v>
      </c>
      <c r="C1642" s="80">
        <v>1</v>
      </c>
      <c r="D1642" s="80" t="s">
        <v>237</v>
      </c>
      <c r="E1642" s="80">
        <v>1</v>
      </c>
      <c r="F1642" s="81">
        <f t="shared" si="773"/>
        <v>543913</v>
      </c>
      <c r="G1642" s="81">
        <f t="shared" si="773"/>
        <v>543913</v>
      </c>
      <c r="H1642" s="81">
        <f t="shared" si="774"/>
        <v>41839</v>
      </c>
      <c r="I1642" s="81">
        <f t="shared" si="774"/>
        <v>41839</v>
      </c>
      <c r="J1642" s="81">
        <f t="shared" si="775"/>
        <v>661207</v>
      </c>
      <c r="K1642" s="133">
        <v>1000</v>
      </c>
      <c r="L1642" s="81"/>
      <c r="M1642" s="16">
        <f t="shared" si="759"/>
        <v>310323.07905933593</v>
      </c>
      <c r="N1642" s="82">
        <v>860</v>
      </c>
      <c r="O1642" s="82">
        <v>2</v>
      </c>
      <c r="P1642" s="83" t="s">
        <v>473</v>
      </c>
      <c r="Q1642" s="2" t="s">
        <v>186</v>
      </c>
      <c r="R1642" s="83" t="s">
        <v>472</v>
      </c>
      <c r="S1642" s="56">
        <f>P1642*0.3</f>
        <v>16735.8</v>
      </c>
    </row>
    <row r="1643" spans="1:19" x14ac:dyDescent="0.2">
      <c r="A1643" s="80" t="str">
        <f t="shared" si="772"/>
        <v>300200142</v>
      </c>
      <c r="B1643" s="80">
        <v>30020</v>
      </c>
      <c r="C1643" s="80">
        <v>1</v>
      </c>
      <c r="D1643" s="80" t="s">
        <v>237</v>
      </c>
      <c r="E1643" s="80">
        <v>2</v>
      </c>
      <c r="F1643" s="81">
        <f t="shared" si="773"/>
        <v>679891</v>
      </c>
      <c r="G1643" s="81">
        <f t="shared" si="773"/>
        <v>679891</v>
      </c>
      <c r="H1643" s="81">
        <f t="shared" si="774"/>
        <v>125518</v>
      </c>
      <c r="I1643" s="81">
        <f t="shared" si="774"/>
        <v>125518</v>
      </c>
      <c r="J1643" s="81">
        <f t="shared" si="775"/>
        <v>1135459</v>
      </c>
      <c r="K1643" s="133">
        <v>1000</v>
      </c>
      <c r="L1643" s="81"/>
      <c r="M1643" s="16">
        <f t="shared" si="759"/>
        <v>787496.01889126608</v>
      </c>
      <c r="N1643" s="82">
        <v>840</v>
      </c>
      <c r="O1643" s="82">
        <v>3</v>
      </c>
      <c r="P1643" s="83" t="s">
        <v>473</v>
      </c>
      <c r="Q1643" s="2" t="s">
        <v>196</v>
      </c>
      <c r="R1643" s="83" t="s">
        <v>472</v>
      </c>
      <c r="S1643" s="56">
        <f t="shared" ref="S1643:S1644" si="779">P1643*0.9</f>
        <v>50207.4</v>
      </c>
    </row>
    <row r="1644" spans="1:19" x14ac:dyDescent="0.2">
      <c r="A1644" s="80" t="str">
        <f t="shared" si="772"/>
        <v>300200143</v>
      </c>
      <c r="B1644" s="80">
        <v>30020</v>
      </c>
      <c r="C1644" s="80">
        <v>1</v>
      </c>
      <c r="D1644" s="80" t="s">
        <v>237</v>
      </c>
      <c r="E1644" s="80">
        <v>3</v>
      </c>
      <c r="F1644" s="81">
        <f t="shared" si="773"/>
        <v>836790</v>
      </c>
      <c r="G1644" s="81">
        <f t="shared" si="773"/>
        <v>836790</v>
      </c>
      <c r="H1644" s="81">
        <f t="shared" si="774"/>
        <v>125518</v>
      </c>
      <c r="I1644" s="81">
        <f t="shared" si="774"/>
        <v>125518</v>
      </c>
      <c r="J1644" s="81">
        <f t="shared" si="775"/>
        <v>1562937</v>
      </c>
      <c r="K1644" s="133">
        <v>1000</v>
      </c>
      <c r="L1644" s="81"/>
      <c r="M1644" s="16">
        <f t="shared" si="759"/>
        <v>1024995.5250034769</v>
      </c>
      <c r="N1644" s="82">
        <v>820</v>
      </c>
      <c r="O1644" s="82">
        <v>4</v>
      </c>
      <c r="P1644" s="83" t="s">
        <v>473</v>
      </c>
      <c r="Q1644" s="2" t="s">
        <v>197</v>
      </c>
      <c r="R1644" s="83" t="s">
        <v>472</v>
      </c>
      <c r="S1644" s="56">
        <f t="shared" si="779"/>
        <v>50207.4</v>
      </c>
    </row>
    <row r="1645" spans="1:19" x14ac:dyDescent="0.2">
      <c r="A1645" s="80" t="str">
        <f t="shared" si="772"/>
        <v>300200210</v>
      </c>
      <c r="B1645" s="80">
        <v>30020</v>
      </c>
      <c r="C1645" s="80">
        <v>2</v>
      </c>
      <c r="D1645" s="80" t="s">
        <v>259</v>
      </c>
      <c r="E1645" s="80">
        <v>0</v>
      </c>
      <c r="F1645" s="81">
        <f t="shared" si="773"/>
        <v>12133</v>
      </c>
      <c r="G1645" s="81">
        <f t="shared" si="773"/>
        <v>12133</v>
      </c>
      <c r="H1645" s="81">
        <f t="shared" si="774"/>
        <v>3110</v>
      </c>
      <c r="I1645" s="81">
        <f t="shared" si="774"/>
        <v>3110</v>
      </c>
      <c r="J1645" s="81">
        <f t="shared" si="775"/>
        <v>6724</v>
      </c>
      <c r="K1645" s="133">
        <v>1000</v>
      </c>
      <c r="L1645" s="81"/>
      <c r="M1645" s="16">
        <f t="shared" si="759"/>
        <v>1274.2895824607531</v>
      </c>
      <c r="N1645" s="36">
        <v>670</v>
      </c>
      <c r="O1645" s="36">
        <v>1</v>
      </c>
      <c r="P1645" s="90" t="s">
        <v>376</v>
      </c>
      <c r="Q1645" s="2" t="s">
        <v>439</v>
      </c>
      <c r="R1645" s="2" t="s">
        <v>469</v>
      </c>
      <c r="S1645" s="36" t="s">
        <v>126</v>
      </c>
    </row>
    <row r="1646" spans="1:19" x14ac:dyDescent="0.2">
      <c r="A1646" s="80" t="str">
        <f t="shared" si="772"/>
        <v>300200220</v>
      </c>
      <c r="B1646" s="80">
        <v>30020</v>
      </c>
      <c r="C1646" s="80">
        <v>2</v>
      </c>
      <c r="D1646" s="80" t="s">
        <v>63</v>
      </c>
      <c r="E1646" s="80">
        <v>0</v>
      </c>
      <c r="F1646" s="81">
        <f t="shared" si="773"/>
        <v>33063</v>
      </c>
      <c r="G1646" s="81">
        <f t="shared" si="773"/>
        <v>33063</v>
      </c>
      <c r="H1646" s="81">
        <f t="shared" si="774"/>
        <v>4990</v>
      </c>
      <c r="I1646" s="81">
        <f t="shared" si="774"/>
        <v>4990</v>
      </c>
      <c r="J1646" s="81">
        <f t="shared" si="775"/>
        <v>18323</v>
      </c>
      <c r="K1646" s="133">
        <v>1000</v>
      </c>
      <c r="L1646" s="81"/>
      <c r="M1646" s="16">
        <f t="shared" si="759"/>
        <v>4398.5514790285224</v>
      </c>
      <c r="N1646" s="36">
        <v>670</v>
      </c>
      <c r="O1646" s="36">
        <v>1</v>
      </c>
      <c r="P1646" s="90" t="s">
        <v>378</v>
      </c>
      <c r="Q1646" s="2" t="s">
        <v>439</v>
      </c>
      <c r="R1646" s="2" t="s">
        <v>470</v>
      </c>
      <c r="S1646" s="36" t="s">
        <v>135</v>
      </c>
    </row>
    <row r="1647" spans="1:19" ht="13.5" x14ac:dyDescent="0.25">
      <c r="A1647" s="80" t="str">
        <f t="shared" si="772"/>
        <v>300200230</v>
      </c>
      <c r="B1647" s="80">
        <v>30020</v>
      </c>
      <c r="C1647" s="80">
        <v>2</v>
      </c>
      <c r="D1647" s="80" t="s">
        <v>64</v>
      </c>
      <c r="E1647" s="80">
        <v>0</v>
      </c>
      <c r="F1647" s="81">
        <f t="shared" ref="F1647:G1664" si="780">ROUNDDOWN($P1647/4*$O1647*10*$N1647/$N1647*$Q1647/400,0)</f>
        <v>105806</v>
      </c>
      <c r="G1647" s="81">
        <f t="shared" si="780"/>
        <v>105806</v>
      </c>
      <c r="H1647" s="81">
        <f t="shared" ref="H1647:I1664" si="781">ROUNDDOWN($S1647/4*10,0)</f>
        <v>19592</v>
      </c>
      <c r="I1647" s="81">
        <f t="shared" si="781"/>
        <v>19592</v>
      </c>
      <c r="J1647" s="81">
        <f t="shared" si="775"/>
        <v>58637</v>
      </c>
      <c r="K1647" s="133">
        <v>1000</v>
      </c>
      <c r="L1647" s="81"/>
      <c r="M1647" s="16">
        <f t="shared" si="759"/>
        <v>27891.405035940261</v>
      </c>
      <c r="N1647" s="36">
        <v>670</v>
      </c>
      <c r="O1647" s="36">
        <v>1</v>
      </c>
      <c r="P1647" s="53">
        <v>18810</v>
      </c>
      <c r="Q1647" s="2" t="s">
        <v>439</v>
      </c>
      <c r="R1647" s="2" t="s">
        <v>471</v>
      </c>
      <c r="S1647" s="36">
        <f t="shared" ref="S1647" si="782">INT($P1647/2.4)</f>
        <v>7837</v>
      </c>
    </row>
    <row r="1648" spans="1:19" x14ac:dyDescent="0.2">
      <c r="A1648" s="80" t="str">
        <f t="shared" si="772"/>
        <v>300200240</v>
      </c>
      <c r="B1648" s="80">
        <v>30020</v>
      </c>
      <c r="C1648" s="80">
        <v>2</v>
      </c>
      <c r="D1648" s="80" t="s">
        <v>237</v>
      </c>
      <c r="E1648" s="80">
        <v>0</v>
      </c>
      <c r="F1648" s="81">
        <f t="shared" si="780"/>
        <v>313796</v>
      </c>
      <c r="G1648" s="81">
        <f t="shared" si="780"/>
        <v>313796</v>
      </c>
      <c r="H1648" s="81">
        <f t="shared" si="781"/>
        <v>125518</v>
      </c>
      <c r="I1648" s="81">
        <f t="shared" si="781"/>
        <v>125518</v>
      </c>
      <c r="J1648" s="81">
        <f t="shared" si="775"/>
        <v>173905</v>
      </c>
      <c r="K1648" s="133">
        <v>1000</v>
      </c>
      <c r="L1648" s="81"/>
      <c r="M1648" s="16">
        <f t="shared" si="759"/>
        <v>209373.98947026196</v>
      </c>
      <c r="N1648" s="36">
        <v>670</v>
      </c>
      <c r="O1648" s="82">
        <v>1</v>
      </c>
      <c r="P1648" s="83" t="s">
        <v>473</v>
      </c>
      <c r="Q1648" s="2" t="s">
        <v>439</v>
      </c>
      <c r="R1648" s="83" t="s">
        <v>472</v>
      </c>
      <c r="S1648" s="56">
        <f t="shared" ref="S1648" si="783">P1648*0.9</f>
        <v>50207.4</v>
      </c>
    </row>
    <row r="1649" spans="1:20" x14ac:dyDescent="0.2">
      <c r="A1649" s="80" t="str">
        <f t="shared" si="772"/>
        <v>300200310</v>
      </c>
      <c r="B1649" s="80">
        <v>30020</v>
      </c>
      <c r="C1649" s="80">
        <v>3</v>
      </c>
      <c r="D1649" s="80" t="s">
        <v>259</v>
      </c>
      <c r="E1649" s="80">
        <v>0</v>
      </c>
      <c r="F1649" s="34">
        <f t="shared" si="780"/>
        <v>15738</v>
      </c>
      <c r="G1649" s="34">
        <f t="shared" si="780"/>
        <v>15738</v>
      </c>
      <c r="H1649" s="34">
        <f t="shared" si="781"/>
        <v>3640</v>
      </c>
      <c r="I1649" s="34">
        <f t="shared" si="781"/>
        <v>3640</v>
      </c>
      <c r="J1649" s="34">
        <f t="shared" si="775"/>
        <v>18530</v>
      </c>
      <c r="K1649" s="133">
        <v>1000</v>
      </c>
      <c r="L1649" s="34"/>
      <c r="M1649" s="16">
        <f t="shared" si="759"/>
        <v>2606.4725706287418</v>
      </c>
      <c r="N1649" s="36">
        <v>880</v>
      </c>
      <c r="O1649" s="36">
        <v>1</v>
      </c>
      <c r="P1649" s="90" t="s">
        <v>377</v>
      </c>
      <c r="Q1649" s="90" t="s">
        <v>373</v>
      </c>
      <c r="R1649" s="2" t="s">
        <v>565</v>
      </c>
      <c r="S1649" s="54">
        <v>1456</v>
      </c>
    </row>
    <row r="1650" spans="1:20" x14ac:dyDescent="0.2">
      <c r="A1650" s="80" t="str">
        <f t="shared" si="772"/>
        <v>300200311</v>
      </c>
      <c r="B1650" s="80">
        <v>30020</v>
      </c>
      <c r="C1650" s="80">
        <v>3</v>
      </c>
      <c r="D1650" s="80" t="s">
        <v>259</v>
      </c>
      <c r="E1650" s="80">
        <v>1</v>
      </c>
      <c r="F1650" s="34">
        <f t="shared" si="780"/>
        <v>30700</v>
      </c>
      <c r="G1650" s="34">
        <f t="shared" si="780"/>
        <v>30700</v>
      </c>
      <c r="H1650" s="34">
        <f t="shared" si="781"/>
        <v>3640</v>
      </c>
      <c r="I1650" s="34">
        <f t="shared" si="781"/>
        <v>3640</v>
      </c>
      <c r="J1650" s="34">
        <f t="shared" si="775"/>
        <v>36290</v>
      </c>
      <c r="K1650" s="133">
        <v>1000</v>
      </c>
      <c r="L1650" s="34"/>
      <c r="M1650" s="16">
        <f t="shared" si="759"/>
        <v>5094.5209282129763</v>
      </c>
      <c r="N1650" s="36">
        <v>860</v>
      </c>
      <c r="O1650" s="36">
        <v>2</v>
      </c>
      <c r="P1650" s="90" t="s">
        <v>377</v>
      </c>
      <c r="Q1650" s="90" t="s">
        <v>371</v>
      </c>
      <c r="S1650" s="54">
        <v>1456</v>
      </c>
    </row>
    <row r="1651" spans="1:20" x14ac:dyDescent="0.2">
      <c r="A1651" s="80" t="str">
        <f t="shared" si="772"/>
        <v>300200312</v>
      </c>
      <c r="B1651" s="80">
        <v>30020</v>
      </c>
      <c r="C1651" s="80">
        <v>3</v>
      </c>
      <c r="D1651" s="80" t="s">
        <v>259</v>
      </c>
      <c r="E1651" s="80">
        <v>2</v>
      </c>
      <c r="F1651" s="34">
        <f t="shared" si="780"/>
        <v>44886</v>
      </c>
      <c r="G1651" s="34">
        <f t="shared" si="780"/>
        <v>44886</v>
      </c>
      <c r="H1651" s="34">
        <f t="shared" si="781"/>
        <v>3640</v>
      </c>
      <c r="I1651" s="34">
        <f t="shared" si="781"/>
        <v>3640</v>
      </c>
      <c r="J1651" s="34">
        <f t="shared" si="775"/>
        <v>53280</v>
      </c>
      <c r="K1651" s="133">
        <v>1000</v>
      </c>
      <c r="L1651" s="34"/>
      <c r="M1651" s="16">
        <f t="shared" si="759"/>
        <v>7464.1135816438391</v>
      </c>
      <c r="N1651" s="36">
        <v>840</v>
      </c>
      <c r="O1651" s="36">
        <v>3</v>
      </c>
      <c r="P1651" s="90" t="s">
        <v>377</v>
      </c>
      <c r="Q1651" s="90" t="s">
        <v>366</v>
      </c>
      <c r="S1651" s="54">
        <v>1456</v>
      </c>
    </row>
    <row r="1652" spans="1:20" x14ac:dyDescent="0.2">
      <c r="A1652" s="80" t="str">
        <f t="shared" si="772"/>
        <v>300200313</v>
      </c>
      <c r="B1652" s="80">
        <v>30020</v>
      </c>
      <c r="C1652" s="80">
        <v>3</v>
      </c>
      <c r="D1652" s="80" t="s">
        <v>259</v>
      </c>
      <c r="E1652" s="80">
        <v>3</v>
      </c>
      <c r="F1652" s="34">
        <f t="shared" si="780"/>
        <v>58296</v>
      </c>
      <c r="G1652" s="34">
        <f t="shared" si="780"/>
        <v>58296</v>
      </c>
      <c r="H1652" s="34">
        <f t="shared" si="781"/>
        <v>3640</v>
      </c>
      <c r="I1652" s="34">
        <f t="shared" si="781"/>
        <v>3640</v>
      </c>
      <c r="J1652" s="34">
        <f t="shared" si="775"/>
        <v>69500</v>
      </c>
      <c r="K1652" s="133">
        <v>1000</v>
      </c>
      <c r="L1652" s="34"/>
      <c r="M1652" s="16">
        <f t="shared" si="759"/>
        <v>9715.2159683663249</v>
      </c>
      <c r="N1652" s="36">
        <v>820</v>
      </c>
      <c r="O1652" s="36">
        <v>4</v>
      </c>
      <c r="P1652" s="90" t="s">
        <v>377</v>
      </c>
      <c r="Q1652" s="90" t="s">
        <v>367</v>
      </c>
      <c r="S1652" s="54">
        <v>1456</v>
      </c>
    </row>
    <row r="1653" spans="1:20" x14ac:dyDescent="0.2">
      <c r="A1653" s="80" t="str">
        <f t="shared" si="772"/>
        <v>300200320</v>
      </c>
      <c r="B1653" s="80">
        <v>30020</v>
      </c>
      <c r="C1653" s="80">
        <v>3</v>
      </c>
      <c r="D1653" s="80" t="s">
        <v>63</v>
      </c>
      <c r="E1653" s="80">
        <v>0</v>
      </c>
      <c r="F1653" s="34">
        <f t="shared" si="780"/>
        <v>36895</v>
      </c>
      <c r="G1653" s="34">
        <f t="shared" si="780"/>
        <v>36895</v>
      </c>
      <c r="H1653" s="34">
        <f t="shared" si="781"/>
        <v>5810</v>
      </c>
      <c r="I1653" s="34">
        <f t="shared" si="781"/>
        <v>5810</v>
      </c>
      <c r="J1653" s="34">
        <f t="shared" si="775"/>
        <v>45664</v>
      </c>
      <c r="K1653" s="133">
        <v>1000</v>
      </c>
      <c r="L1653" s="34"/>
      <c r="M1653" s="16">
        <f t="shared" si="759"/>
        <v>7914.9611271010044</v>
      </c>
      <c r="N1653" s="36">
        <v>880</v>
      </c>
      <c r="O1653" s="36">
        <v>1</v>
      </c>
      <c r="P1653" s="90" t="s">
        <v>379</v>
      </c>
      <c r="Q1653" s="90" t="s">
        <v>371</v>
      </c>
      <c r="R1653" s="2" t="s">
        <v>564</v>
      </c>
      <c r="S1653" s="36" t="s">
        <v>136</v>
      </c>
    </row>
    <row r="1654" spans="1:20" x14ac:dyDescent="0.2">
      <c r="A1654" s="80" t="str">
        <f t="shared" si="772"/>
        <v>300200321</v>
      </c>
      <c r="B1654" s="80">
        <v>30020</v>
      </c>
      <c r="C1654" s="80">
        <v>3</v>
      </c>
      <c r="D1654" s="80" t="s">
        <v>63</v>
      </c>
      <c r="E1654" s="80">
        <v>1</v>
      </c>
      <c r="F1654" s="34">
        <f t="shared" si="780"/>
        <v>71924</v>
      </c>
      <c r="G1654" s="34">
        <f t="shared" si="780"/>
        <v>71924</v>
      </c>
      <c r="H1654" s="34">
        <f t="shared" si="781"/>
        <v>5810</v>
      </c>
      <c r="I1654" s="34">
        <f t="shared" si="781"/>
        <v>5810</v>
      </c>
      <c r="J1654" s="34">
        <f t="shared" si="775"/>
        <v>89488</v>
      </c>
      <c r="K1654" s="133">
        <v>1000</v>
      </c>
      <c r="L1654" s="34"/>
      <c r="M1654" s="16">
        <f t="shared" si="759"/>
        <v>15470.251367311652</v>
      </c>
      <c r="N1654" s="36">
        <v>860</v>
      </c>
      <c r="O1654" s="36">
        <v>2</v>
      </c>
      <c r="P1654" s="90" t="s">
        <v>379</v>
      </c>
      <c r="Q1654" s="90" t="s">
        <v>366</v>
      </c>
      <c r="S1654" s="36" t="s">
        <v>136</v>
      </c>
    </row>
    <row r="1655" spans="1:20" x14ac:dyDescent="0.2">
      <c r="A1655" s="80" t="str">
        <f t="shared" si="772"/>
        <v>300200322</v>
      </c>
      <c r="B1655" s="80">
        <v>30020</v>
      </c>
      <c r="C1655" s="80">
        <v>3</v>
      </c>
      <c r="D1655" s="80" t="s">
        <v>63</v>
      </c>
      <c r="E1655" s="80">
        <v>2</v>
      </c>
      <c r="F1655" s="34">
        <f t="shared" si="780"/>
        <v>105088</v>
      </c>
      <c r="G1655" s="34">
        <f t="shared" si="780"/>
        <v>105088</v>
      </c>
      <c r="H1655" s="34">
        <f t="shared" si="781"/>
        <v>5810</v>
      </c>
      <c r="I1655" s="34">
        <f t="shared" si="781"/>
        <v>5810</v>
      </c>
      <c r="J1655" s="34">
        <f t="shared" si="775"/>
        <v>131472</v>
      </c>
      <c r="K1655" s="133">
        <v>1000</v>
      </c>
      <c r="L1655" s="34"/>
      <c r="M1655" s="16">
        <f t="shared" si="759"/>
        <v>22665.81039068809</v>
      </c>
      <c r="N1655" s="36">
        <v>840</v>
      </c>
      <c r="O1655" s="36">
        <v>3</v>
      </c>
      <c r="P1655" s="90" t="s">
        <v>379</v>
      </c>
      <c r="Q1655" s="90" t="s">
        <v>367</v>
      </c>
      <c r="S1655" s="36" t="s">
        <v>136</v>
      </c>
    </row>
    <row r="1656" spans="1:20" x14ac:dyDescent="0.2">
      <c r="A1656" s="80" t="str">
        <f t="shared" si="772"/>
        <v>300200323</v>
      </c>
      <c r="B1656" s="80">
        <v>30020</v>
      </c>
      <c r="C1656" s="80">
        <v>3</v>
      </c>
      <c r="D1656" s="80" t="s">
        <v>63</v>
      </c>
      <c r="E1656" s="80">
        <v>3</v>
      </c>
      <c r="F1656" s="34">
        <f t="shared" si="780"/>
        <v>136386</v>
      </c>
      <c r="G1656" s="34">
        <f t="shared" si="780"/>
        <v>136386</v>
      </c>
      <c r="H1656" s="34">
        <f t="shared" si="781"/>
        <v>5810</v>
      </c>
      <c r="I1656" s="34">
        <f t="shared" si="781"/>
        <v>5810</v>
      </c>
      <c r="J1656" s="34">
        <f t="shared" si="775"/>
        <v>171618</v>
      </c>
      <c r="K1656" s="133">
        <v>1000</v>
      </c>
      <c r="L1656" s="34"/>
      <c r="M1656" s="16">
        <f t="shared" si="759"/>
        <v>29501.518301688004</v>
      </c>
      <c r="N1656" s="36">
        <v>820</v>
      </c>
      <c r="O1656" s="36">
        <v>4</v>
      </c>
      <c r="P1656" s="90" t="s">
        <v>379</v>
      </c>
      <c r="Q1656" s="90" t="s">
        <v>102</v>
      </c>
      <c r="S1656" s="36" t="s">
        <v>136</v>
      </c>
    </row>
    <row r="1657" spans="1:20" ht="16.5" x14ac:dyDescent="0.2">
      <c r="A1657" s="80" t="str">
        <f t="shared" si="772"/>
        <v>300200330</v>
      </c>
      <c r="B1657" s="80">
        <v>30020</v>
      </c>
      <c r="C1657" s="80">
        <v>3</v>
      </c>
      <c r="D1657" s="80" t="s">
        <v>64</v>
      </c>
      <c r="E1657" s="80">
        <v>0</v>
      </c>
      <c r="F1657" s="34">
        <f t="shared" si="780"/>
        <v>214291</v>
      </c>
      <c r="G1657" s="34">
        <f t="shared" si="780"/>
        <v>214291</v>
      </c>
      <c r="H1657" s="34">
        <f t="shared" si="781"/>
        <v>83853</v>
      </c>
      <c r="I1657" s="34">
        <f t="shared" ref="I1657:I1664" si="784">ROUNDDOWN($T1657/4*10,0)</f>
        <v>83853</v>
      </c>
      <c r="J1657" s="34">
        <f t="shared" si="775"/>
        <v>218974</v>
      </c>
      <c r="K1657" s="133">
        <v>1000</v>
      </c>
      <c r="L1657" s="34"/>
      <c r="M1657" s="16">
        <f t="shared" si="759"/>
        <v>158689.25858168377</v>
      </c>
      <c r="N1657" s="58">
        <v>930</v>
      </c>
      <c r="O1657" s="36">
        <v>1</v>
      </c>
      <c r="P1657" s="68">
        <v>37268.000000000007</v>
      </c>
      <c r="Q1657" s="41" t="s">
        <v>273</v>
      </c>
      <c r="R1657" s="2" t="s">
        <v>563</v>
      </c>
      <c r="S1657" s="56">
        <f t="shared" ref="S1657:S1660" si="785">P1657*0.9</f>
        <v>33541.200000000004</v>
      </c>
      <c r="T1657" s="253">
        <f t="shared" ref="T1657:T1664" si="786">S1657</f>
        <v>33541.200000000004</v>
      </c>
    </row>
    <row r="1658" spans="1:20" ht="16.5" x14ac:dyDescent="0.2">
      <c r="A1658" s="80" t="str">
        <f t="shared" si="772"/>
        <v>300200331</v>
      </c>
      <c r="B1658" s="80">
        <v>30020</v>
      </c>
      <c r="C1658" s="80">
        <v>3</v>
      </c>
      <c r="D1658" s="80" t="s">
        <v>64</v>
      </c>
      <c r="E1658" s="80">
        <v>1</v>
      </c>
      <c r="F1658" s="34">
        <f t="shared" si="780"/>
        <v>400631</v>
      </c>
      <c r="G1658" s="34">
        <f t="shared" si="780"/>
        <v>400631</v>
      </c>
      <c r="H1658" s="34">
        <f t="shared" si="781"/>
        <v>83853</v>
      </c>
      <c r="I1658" s="34">
        <f t="shared" si="784"/>
        <v>83853</v>
      </c>
      <c r="J1658" s="34">
        <f t="shared" si="775"/>
        <v>448570</v>
      </c>
      <c r="K1658" s="133">
        <v>1000</v>
      </c>
      <c r="L1658" s="34"/>
      <c r="M1658" s="16">
        <f t="shared" si="759"/>
        <v>310553.67824861465</v>
      </c>
      <c r="N1658" s="58">
        <v>910</v>
      </c>
      <c r="O1658" s="36">
        <v>2</v>
      </c>
      <c r="P1658" s="68">
        <v>37268.000000000007</v>
      </c>
      <c r="Q1658" s="41" t="s">
        <v>274</v>
      </c>
      <c r="S1658" s="56">
        <f t="shared" si="785"/>
        <v>33541.200000000004</v>
      </c>
      <c r="T1658" s="253">
        <f t="shared" si="786"/>
        <v>33541.200000000004</v>
      </c>
    </row>
    <row r="1659" spans="1:20" ht="16.5" x14ac:dyDescent="0.2">
      <c r="A1659" s="80" t="str">
        <f t="shared" si="772"/>
        <v>300200332</v>
      </c>
      <c r="B1659" s="80">
        <v>30020</v>
      </c>
      <c r="C1659" s="80">
        <v>3</v>
      </c>
      <c r="D1659" s="80" t="s">
        <v>64</v>
      </c>
      <c r="E1659" s="80">
        <v>2</v>
      </c>
      <c r="F1659" s="34">
        <f t="shared" si="780"/>
        <v>503118</v>
      </c>
      <c r="G1659" s="34">
        <f t="shared" si="780"/>
        <v>503118</v>
      </c>
      <c r="H1659" s="34">
        <f t="shared" si="781"/>
        <v>83853</v>
      </c>
      <c r="I1659" s="34">
        <f t="shared" si="784"/>
        <v>83853</v>
      </c>
      <c r="J1659" s="34">
        <f t="shared" si="775"/>
        <v>768749</v>
      </c>
      <c r="K1659" s="133">
        <v>1000</v>
      </c>
      <c r="L1659" s="34"/>
      <c r="M1659" s="16">
        <f t="shared" si="759"/>
        <v>455592.42967237358</v>
      </c>
      <c r="N1659" s="58">
        <v>890</v>
      </c>
      <c r="O1659" s="36">
        <v>3</v>
      </c>
      <c r="P1659" s="68">
        <v>37268.000000000007</v>
      </c>
      <c r="Q1659" s="41" t="s">
        <v>275</v>
      </c>
      <c r="S1659" s="56">
        <f t="shared" si="785"/>
        <v>33541.200000000004</v>
      </c>
      <c r="T1659" s="253">
        <f t="shared" si="786"/>
        <v>33541.200000000004</v>
      </c>
    </row>
    <row r="1660" spans="1:20" ht="16.5" x14ac:dyDescent="0.2">
      <c r="A1660" s="80" t="str">
        <f t="shared" si="772"/>
        <v>300200333</v>
      </c>
      <c r="B1660" s="80">
        <v>30020</v>
      </c>
      <c r="C1660" s="80">
        <v>3</v>
      </c>
      <c r="D1660" s="80" t="s">
        <v>64</v>
      </c>
      <c r="E1660" s="80">
        <v>3</v>
      </c>
      <c r="F1660" s="34">
        <f t="shared" si="780"/>
        <v>614922</v>
      </c>
      <c r="G1660" s="34">
        <f t="shared" si="780"/>
        <v>614922</v>
      </c>
      <c r="H1660" s="34">
        <f t="shared" si="781"/>
        <v>83853</v>
      </c>
      <c r="I1660" s="34">
        <f t="shared" si="784"/>
        <v>83853</v>
      </c>
      <c r="J1660" s="34">
        <f t="shared" si="775"/>
        <v>1068490</v>
      </c>
      <c r="K1660" s="133">
        <v>1000</v>
      </c>
      <c r="L1660" s="34"/>
      <c r="M1660" s="16">
        <f t="shared" si="759"/>
        <v>593805.93768066063</v>
      </c>
      <c r="N1660" s="58">
        <v>870</v>
      </c>
      <c r="O1660" s="36">
        <v>4</v>
      </c>
      <c r="P1660" s="68">
        <v>37268.000000000007</v>
      </c>
      <c r="Q1660" s="41" t="s">
        <v>276</v>
      </c>
      <c r="S1660" s="56">
        <f t="shared" si="785"/>
        <v>33541.200000000004</v>
      </c>
      <c r="T1660" s="253">
        <f t="shared" si="786"/>
        <v>33541.200000000004</v>
      </c>
    </row>
    <row r="1661" spans="1:20" ht="16.5" x14ac:dyDescent="0.2">
      <c r="A1661" s="80" t="str">
        <f t="shared" si="772"/>
        <v>300200340</v>
      </c>
      <c r="B1661" s="80">
        <v>30020</v>
      </c>
      <c r="C1661" s="80">
        <v>3</v>
      </c>
      <c r="D1661" s="80" t="s">
        <v>237</v>
      </c>
      <c r="E1661" s="80">
        <v>0</v>
      </c>
      <c r="F1661" s="34">
        <f t="shared" si="780"/>
        <v>364650</v>
      </c>
      <c r="G1661" s="34">
        <f t="shared" si="780"/>
        <v>364650</v>
      </c>
      <c r="H1661" s="34">
        <f t="shared" si="781"/>
        <v>97500</v>
      </c>
      <c r="I1661" s="34">
        <f t="shared" si="784"/>
        <v>97500</v>
      </c>
      <c r="J1661" s="34">
        <f t="shared" si="775"/>
        <v>504705</v>
      </c>
      <c r="K1661" s="133">
        <v>1000</v>
      </c>
      <c r="L1661" s="34"/>
      <c r="M1661" s="16">
        <f t="shared" si="759"/>
        <v>338882.55078714225</v>
      </c>
      <c r="N1661" s="36">
        <v>880</v>
      </c>
      <c r="O1661" s="36">
        <v>1</v>
      </c>
      <c r="P1661" s="68">
        <v>78000</v>
      </c>
      <c r="Q1661" s="41" t="s">
        <v>537</v>
      </c>
      <c r="R1661" s="2" t="s">
        <v>562</v>
      </c>
      <c r="S1661" s="36">
        <f t="shared" ref="S1661:S1664" si="787">P1661*0.5</f>
        <v>39000</v>
      </c>
      <c r="T1661" s="114">
        <f t="shared" si="786"/>
        <v>39000</v>
      </c>
    </row>
    <row r="1662" spans="1:20" ht="16.5" x14ac:dyDescent="0.2">
      <c r="A1662" s="80" t="str">
        <f t="shared" si="772"/>
        <v>300200341</v>
      </c>
      <c r="B1662" s="80">
        <v>30020</v>
      </c>
      <c r="C1662" s="80">
        <v>3</v>
      </c>
      <c r="D1662" s="80" t="s">
        <v>237</v>
      </c>
      <c r="E1662" s="80">
        <v>1</v>
      </c>
      <c r="F1662" s="34">
        <f t="shared" si="780"/>
        <v>696150</v>
      </c>
      <c r="G1662" s="34">
        <f t="shared" si="780"/>
        <v>696150</v>
      </c>
      <c r="H1662" s="34">
        <f t="shared" si="781"/>
        <v>97500</v>
      </c>
      <c r="I1662" s="34">
        <f t="shared" si="784"/>
        <v>97500</v>
      </c>
      <c r="J1662" s="34">
        <f t="shared" si="775"/>
        <v>1009957</v>
      </c>
      <c r="K1662" s="133">
        <v>1000</v>
      </c>
      <c r="L1662" s="34"/>
      <c r="M1662" s="16">
        <f t="shared" si="759"/>
        <v>662361.60584925208</v>
      </c>
      <c r="N1662" s="36">
        <v>860</v>
      </c>
      <c r="O1662" s="36">
        <v>2</v>
      </c>
      <c r="P1662" s="68">
        <v>78000</v>
      </c>
      <c r="Q1662" s="41" t="s">
        <v>539</v>
      </c>
      <c r="S1662" s="36">
        <f t="shared" si="787"/>
        <v>39000</v>
      </c>
      <c r="T1662" s="114">
        <f t="shared" si="786"/>
        <v>39000</v>
      </c>
    </row>
    <row r="1663" spans="1:20" ht="16.5" x14ac:dyDescent="0.2">
      <c r="A1663" s="80" t="str">
        <f t="shared" si="772"/>
        <v>300200342</v>
      </c>
      <c r="B1663" s="80">
        <v>30020</v>
      </c>
      <c r="C1663" s="80">
        <v>3</v>
      </c>
      <c r="D1663" s="80" t="s">
        <v>237</v>
      </c>
      <c r="E1663" s="80">
        <v>2</v>
      </c>
      <c r="F1663" s="34">
        <f t="shared" si="780"/>
        <v>870187</v>
      </c>
      <c r="G1663" s="34">
        <f t="shared" si="780"/>
        <v>870187</v>
      </c>
      <c r="H1663" s="34">
        <f t="shared" si="781"/>
        <v>97500</v>
      </c>
      <c r="I1663" s="34">
        <f t="shared" si="784"/>
        <v>97500</v>
      </c>
      <c r="J1663" s="34">
        <f t="shared" si="775"/>
        <v>1734352</v>
      </c>
      <c r="K1663" s="133">
        <v>1000</v>
      </c>
      <c r="L1663" s="34"/>
      <c r="M1663" s="16">
        <f t="shared" si="759"/>
        <v>970436.70160715585</v>
      </c>
      <c r="N1663" s="36">
        <v>840</v>
      </c>
      <c r="O1663" s="36">
        <v>3</v>
      </c>
      <c r="P1663" s="68">
        <v>78000</v>
      </c>
      <c r="Q1663" s="41" t="s">
        <v>540</v>
      </c>
      <c r="S1663" s="36">
        <f t="shared" si="787"/>
        <v>39000</v>
      </c>
      <c r="T1663" s="114">
        <f t="shared" si="786"/>
        <v>39000</v>
      </c>
    </row>
    <row r="1664" spans="1:20" ht="16.5" x14ac:dyDescent="0.2">
      <c r="A1664" s="80" t="str">
        <f t="shared" ref="A1664:A1697" si="788">IF(B1664="","",CONCATENATE(B1664,CONCATENATE(REPT(0,2-LEN(C1664)),C1664),IF(OR(D1664="Easy",D1664=""),1,IF(D1664="Normal",2,IF(D1664="Hard",3,IF(D1664="Hell",4,"error")))),E1664))</f>
        <v>300200343</v>
      </c>
      <c r="B1664" s="80">
        <v>30020</v>
      </c>
      <c r="C1664" s="80">
        <v>3</v>
      </c>
      <c r="D1664" s="80" t="s">
        <v>237</v>
      </c>
      <c r="E1664" s="80">
        <v>3</v>
      </c>
      <c r="F1664" s="34">
        <f t="shared" si="780"/>
        <v>1027650</v>
      </c>
      <c r="G1664" s="34">
        <f t="shared" si="780"/>
        <v>1027650</v>
      </c>
      <c r="H1664" s="34">
        <f t="shared" si="781"/>
        <v>97500</v>
      </c>
      <c r="I1664" s="34">
        <f t="shared" si="784"/>
        <v>97500</v>
      </c>
      <c r="J1664" s="34">
        <f t="shared" si="775"/>
        <v>2488007</v>
      </c>
      <c r="K1664" s="133">
        <v>1000</v>
      </c>
      <c r="L1664" s="34"/>
      <c r="M1664" s="16">
        <f t="shared" si="759"/>
        <v>1263108.6436151089</v>
      </c>
      <c r="N1664" s="36">
        <v>820</v>
      </c>
      <c r="O1664" s="36">
        <v>4</v>
      </c>
      <c r="P1664" s="68">
        <v>78000</v>
      </c>
      <c r="Q1664" s="41" t="s">
        <v>541</v>
      </c>
      <c r="S1664" s="36">
        <f t="shared" si="787"/>
        <v>39000</v>
      </c>
      <c r="T1664" s="114">
        <f t="shared" si="786"/>
        <v>39000</v>
      </c>
    </row>
    <row r="1665" spans="1:20" x14ac:dyDescent="0.2">
      <c r="A1665" s="8" t="str">
        <f t="shared" si="788"/>
        <v/>
      </c>
      <c r="B1665" s="38"/>
      <c r="C1665" s="35" t="s">
        <v>605</v>
      </c>
      <c r="D1665" s="38"/>
      <c r="E1665" s="38"/>
      <c r="F1665" s="38"/>
      <c r="G1665" s="40"/>
      <c r="H1665" s="38"/>
      <c r="I1665" s="38"/>
      <c r="J1665" s="38"/>
      <c r="K1665" s="133">
        <v>1000</v>
      </c>
      <c r="L1665" s="38"/>
      <c r="M1665" s="16">
        <f t="shared" si="759"/>
        <v>0</v>
      </c>
      <c r="N1665" s="42" t="str">
        <f>IF(A1665="","",M1665*#REF!)</f>
        <v/>
      </c>
      <c r="O1665" s="40"/>
      <c r="P1665" s="38"/>
      <c r="Q1665" s="38"/>
      <c r="R1665" s="38"/>
      <c r="S1665" s="40"/>
      <c r="T1665" s="267"/>
    </row>
    <row r="1666" spans="1:20" x14ac:dyDescent="0.2">
      <c r="A1666" s="80" t="str">
        <f t="shared" si="788"/>
        <v>300210110</v>
      </c>
      <c r="B1666" s="80">
        <v>30021</v>
      </c>
      <c r="C1666" s="80">
        <v>1</v>
      </c>
      <c r="D1666" s="80" t="s">
        <v>259</v>
      </c>
      <c r="E1666" s="80">
        <v>0</v>
      </c>
      <c r="F1666" s="81">
        <f t="shared" ref="F1666:G1681" si="789">ROUNDDOWN($P1666/4*$O1666*10*$N1666/$N1666*$Q1666/400,0)</f>
        <v>8500</v>
      </c>
      <c r="G1666" s="81">
        <f t="shared" si="789"/>
        <v>8500</v>
      </c>
      <c r="H1666" s="81">
        <f t="shared" ref="H1666:I1681" si="790">ROUNDDOWN($S1666/4*10,0)</f>
        <v>2762</v>
      </c>
      <c r="I1666" s="81">
        <f t="shared" si="790"/>
        <v>2762</v>
      </c>
      <c r="J1666" s="81">
        <f t="shared" ref="J1666:J1697" si="791">ROUNDDOWN($P1666/4*$O1666*10*$N1666/$Q1666*$N1666/400,0)</f>
        <v>13281</v>
      </c>
      <c r="K1666" s="133">
        <v>1000</v>
      </c>
      <c r="L1666" s="81"/>
      <c r="M1666" s="16">
        <f t="shared" si="759"/>
        <v>1412.6243084415617</v>
      </c>
      <c r="N1666" s="36">
        <v>1000</v>
      </c>
      <c r="O1666" s="36">
        <v>1</v>
      </c>
      <c r="P1666" s="90" t="s">
        <v>612</v>
      </c>
      <c r="Q1666" s="2" t="s">
        <v>400</v>
      </c>
      <c r="R1666" s="2" t="s">
        <v>469</v>
      </c>
      <c r="S1666" s="2">
        <f>P1666*0.65</f>
        <v>1105</v>
      </c>
    </row>
    <row r="1667" spans="1:20" x14ac:dyDescent="0.2">
      <c r="A1667" s="80" t="str">
        <f t="shared" si="788"/>
        <v>300210111</v>
      </c>
      <c r="B1667" s="80">
        <v>30021</v>
      </c>
      <c r="C1667" s="80">
        <v>1</v>
      </c>
      <c r="D1667" s="80" t="s">
        <v>259</v>
      </c>
      <c r="E1667" s="80">
        <v>1</v>
      </c>
      <c r="F1667" s="81">
        <f t="shared" si="789"/>
        <v>11044</v>
      </c>
      <c r="G1667" s="81">
        <f t="shared" si="789"/>
        <v>11044</v>
      </c>
      <c r="H1667" s="81">
        <f t="shared" si="790"/>
        <v>2762</v>
      </c>
      <c r="I1667" s="81">
        <f t="shared" si="790"/>
        <v>2762</v>
      </c>
      <c r="J1667" s="81">
        <f t="shared" si="791"/>
        <v>17009</v>
      </c>
      <c r="K1667" s="133">
        <v>1000</v>
      </c>
      <c r="L1667" s="81"/>
      <c r="M1667" s="16">
        <f t="shared" si="759"/>
        <v>1822.2351246787011</v>
      </c>
      <c r="N1667" s="36">
        <v>860</v>
      </c>
      <c r="O1667" s="36">
        <v>1.5</v>
      </c>
      <c r="P1667" s="90" t="s">
        <v>612</v>
      </c>
      <c r="Q1667" s="2" t="s">
        <v>609</v>
      </c>
      <c r="R1667" s="2" t="s">
        <v>469</v>
      </c>
      <c r="S1667" s="2">
        <f t="shared" ref="S1667:S1669" si="792">P1667*0.65</f>
        <v>1105</v>
      </c>
    </row>
    <row r="1668" spans="1:20" x14ac:dyDescent="0.2">
      <c r="A1668" s="80" t="str">
        <f t="shared" si="788"/>
        <v>300210112</v>
      </c>
      <c r="B1668" s="80">
        <v>30021</v>
      </c>
      <c r="C1668" s="80">
        <v>1</v>
      </c>
      <c r="D1668" s="80" t="s">
        <v>259</v>
      </c>
      <c r="E1668" s="80">
        <v>2</v>
      </c>
      <c r="F1668" s="81">
        <f t="shared" si="789"/>
        <v>12261</v>
      </c>
      <c r="G1668" s="81">
        <f t="shared" si="789"/>
        <v>12261</v>
      </c>
      <c r="H1668" s="81">
        <f t="shared" si="790"/>
        <v>2762</v>
      </c>
      <c r="I1668" s="81">
        <f t="shared" si="790"/>
        <v>2762</v>
      </c>
      <c r="J1668" s="81">
        <f t="shared" si="791"/>
        <v>25986</v>
      </c>
      <c r="K1668" s="133">
        <v>1000</v>
      </c>
      <c r="L1668" s="81"/>
      <c r="M1668" s="16">
        <f t="shared" si="759"/>
        <v>2373.2008072164476</v>
      </c>
      <c r="N1668" s="36">
        <v>840</v>
      </c>
      <c r="O1668" s="36">
        <v>2</v>
      </c>
      <c r="P1668" s="90" t="s">
        <v>612</v>
      </c>
      <c r="Q1668" s="2" t="s">
        <v>610</v>
      </c>
      <c r="R1668" s="2" t="s">
        <v>469</v>
      </c>
      <c r="S1668" s="2">
        <f t="shared" si="792"/>
        <v>1105</v>
      </c>
    </row>
    <row r="1669" spans="1:20" x14ac:dyDescent="0.2">
      <c r="A1669" s="80" t="str">
        <f t="shared" si="788"/>
        <v>300210113</v>
      </c>
      <c r="B1669" s="80">
        <v>30021</v>
      </c>
      <c r="C1669" s="80">
        <v>1</v>
      </c>
      <c r="D1669" s="80" t="s">
        <v>259</v>
      </c>
      <c r="E1669" s="80">
        <v>3</v>
      </c>
      <c r="F1669" s="81">
        <f t="shared" si="789"/>
        <v>22652</v>
      </c>
      <c r="G1669" s="81">
        <f t="shared" si="789"/>
        <v>22652</v>
      </c>
      <c r="H1669" s="81">
        <f t="shared" si="790"/>
        <v>2762</v>
      </c>
      <c r="I1669" s="81">
        <f t="shared" si="790"/>
        <v>2762</v>
      </c>
      <c r="J1669" s="81">
        <f t="shared" si="791"/>
        <v>53615</v>
      </c>
      <c r="K1669" s="133">
        <v>1000</v>
      </c>
      <c r="L1669" s="81"/>
      <c r="M1669" s="16">
        <f t="shared" si="759"/>
        <v>4633.3835852499851</v>
      </c>
      <c r="N1669" s="36">
        <v>820</v>
      </c>
      <c r="O1669" s="36">
        <v>4</v>
      </c>
      <c r="P1669" s="90" t="s">
        <v>612</v>
      </c>
      <c r="Q1669" s="2" t="s">
        <v>611</v>
      </c>
      <c r="R1669" s="2" t="s">
        <v>469</v>
      </c>
      <c r="S1669" s="2">
        <f t="shared" si="792"/>
        <v>1105</v>
      </c>
    </row>
    <row r="1670" spans="1:20" x14ac:dyDescent="0.2">
      <c r="A1670" s="80" t="str">
        <f t="shared" si="788"/>
        <v>300210120</v>
      </c>
      <c r="B1670" s="80">
        <v>30021</v>
      </c>
      <c r="C1670" s="80">
        <v>1</v>
      </c>
      <c r="D1670" s="80" t="s">
        <v>466</v>
      </c>
      <c r="E1670" s="80">
        <v>0</v>
      </c>
      <c r="F1670" s="81">
        <f t="shared" si="789"/>
        <v>33063</v>
      </c>
      <c r="G1670" s="81">
        <f t="shared" si="789"/>
        <v>33063</v>
      </c>
      <c r="H1670" s="81">
        <f t="shared" si="790"/>
        <v>7347</v>
      </c>
      <c r="I1670" s="81">
        <f t="shared" si="790"/>
        <v>7347</v>
      </c>
      <c r="J1670" s="81">
        <f t="shared" si="791"/>
        <v>40819</v>
      </c>
      <c r="K1670" s="133">
        <v>1000</v>
      </c>
      <c r="L1670" s="81"/>
      <c r="M1670" s="16">
        <f t="shared" ref="M1670:M2075" si="793">(F1670*J1670*((H1670+I1670)/2)/1000)^(1/2)/10*0.8</f>
        <v>7966.1286526026934</v>
      </c>
      <c r="N1670" s="36">
        <v>1000</v>
      </c>
      <c r="O1670" s="36">
        <v>1</v>
      </c>
      <c r="P1670" s="90" t="s">
        <v>378</v>
      </c>
      <c r="Q1670" s="2" t="s">
        <v>439</v>
      </c>
      <c r="R1670" s="2" t="s">
        <v>470</v>
      </c>
      <c r="S1670" s="2">
        <f t="shared" ref="S1670:S1681" si="794">P1670*0.5</f>
        <v>2939</v>
      </c>
    </row>
    <row r="1671" spans="1:20" x14ac:dyDescent="0.2">
      <c r="A1671" s="80" t="str">
        <f t="shared" si="788"/>
        <v>300210121</v>
      </c>
      <c r="B1671" s="80">
        <v>30021</v>
      </c>
      <c r="C1671" s="80">
        <v>1</v>
      </c>
      <c r="D1671" s="80" t="s">
        <v>466</v>
      </c>
      <c r="E1671" s="80">
        <v>1</v>
      </c>
      <c r="F1671" s="81">
        <f t="shared" si="789"/>
        <v>38574</v>
      </c>
      <c r="G1671" s="81">
        <f t="shared" si="789"/>
        <v>38574</v>
      </c>
      <c r="H1671" s="81">
        <f t="shared" si="790"/>
        <v>7347</v>
      </c>
      <c r="I1671" s="81">
        <f t="shared" si="790"/>
        <v>7347</v>
      </c>
      <c r="J1671" s="81">
        <f t="shared" si="791"/>
        <v>58223</v>
      </c>
      <c r="K1671" s="133">
        <v>1000</v>
      </c>
      <c r="L1671" s="81"/>
      <c r="M1671" s="16">
        <f t="shared" si="793"/>
        <v>10276.367679741787</v>
      </c>
      <c r="N1671" s="36">
        <v>860</v>
      </c>
      <c r="O1671" s="36">
        <v>1.5</v>
      </c>
      <c r="P1671" s="90" t="s">
        <v>378</v>
      </c>
      <c r="Q1671" s="2" t="s">
        <v>608</v>
      </c>
      <c r="R1671" s="2" t="s">
        <v>470</v>
      </c>
      <c r="S1671" s="2">
        <f t="shared" si="794"/>
        <v>2939</v>
      </c>
    </row>
    <row r="1672" spans="1:20" x14ac:dyDescent="0.2">
      <c r="A1672" s="80" t="str">
        <f t="shared" si="788"/>
        <v>300210122</v>
      </c>
      <c r="B1672" s="80">
        <v>30021</v>
      </c>
      <c r="C1672" s="80">
        <v>1</v>
      </c>
      <c r="D1672" s="80" t="s">
        <v>466</v>
      </c>
      <c r="E1672" s="80">
        <v>2</v>
      </c>
      <c r="F1672" s="81">
        <f t="shared" si="789"/>
        <v>47758</v>
      </c>
      <c r="G1672" s="81">
        <f t="shared" si="789"/>
        <v>47758</v>
      </c>
      <c r="H1672" s="81">
        <f t="shared" si="790"/>
        <v>7347</v>
      </c>
      <c r="I1672" s="81">
        <f t="shared" si="790"/>
        <v>7347</v>
      </c>
      <c r="J1672" s="81">
        <f t="shared" si="791"/>
        <v>79759</v>
      </c>
      <c r="K1672" s="133">
        <v>1000</v>
      </c>
      <c r="L1672" s="81"/>
      <c r="M1672" s="16">
        <f t="shared" si="793"/>
        <v>13383.136965775162</v>
      </c>
      <c r="N1672" s="36">
        <v>840</v>
      </c>
      <c r="O1672" s="36">
        <v>2</v>
      </c>
      <c r="P1672" s="90" t="s">
        <v>378</v>
      </c>
      <c r="Q1672" s="2" t="s">
        <v>196</v>
      </c>
      <c r="R1672" s="2" t="s">
        <v>470</v>
      </c>
      <c r="S1672" s="2">
        <f t="shared" si="794"/>
        <v>2939</v>
      </c>
    </row>
    <row r="1673" spans="1:20" x14ac:dyDescent="0.2">
      <c r="A1673" s="80" t="str">
        <f t="shared" si="788"/>
        <v>300210123</v>
      </c>
      <c r="B1673" s="80">
        <v>30021</v>
      </c>
      <c r="C1673" s="80">
        <v>1</v>
      </c>
      <c r="D1673" s="80" t="s">
        <v>466</v>
      </c>
      <c r="E1673" s="80">
        <v>3</v>
      </c>
      <c r="F1673" s="81">
        <f t="shared" si="789"/>
        <v>88170</v>
      </c>
      <c r="G1673" s="81">
        <f t="shared" si="789"/>
        <v>88170</v>
      </c>
      <c r="H1673" s="81">
        <f t="shared" si="790"/>
        <v>7347</v>
      </c>
      <c r="I1673" s="81">
        <f t="shared" si="790"/>
        <v>7347</v>
      </c>
      <c r="J1673" s="81">
        <f t="shared" si="791"/>
        <v>164681</v>
      </c>
      <c r="K1673" s="133">
        <v>1000</v>
      </c>
      <c r="L1673" s="81"/>
      <c r="M1673" s="16">
        <f t="shared" si="793"/>
        <v>26129.26389327522</v>
      </c>
      <c r="N1673" s="36">
        <v>820</v>
      </c>
      <c r="O1673" s="36">
        <v>4</v>
      </c>
      <c r="P1673" s="90" t="s">
        <v>378</v>
      </c>
      <c r="Q1673" s="2" t="s">
        <v>197</v>
      </c>
      <c r="R1673" s="2" t="s">
        <v>470</v>
      </c>
      <c r="S1673" s="2">
        <f t="shared" si="794"/>
        <v>2939</v>
      </c>
    </row>
    <row r="1674" spans="1:20" ht="13.5" x14ac:dyDescent="0.25">
      <c r="A1674" s="80" t="str">
        <f t="shared" si="788"/>
        <v>300210130</v>
      </c>
      <c r="B1674" s="80">
        <v>30021</v>
      </c>
      <c r="C1674" s="80">
        <v>1</v>
      </c>
      <c r="D1674" s="80" t="s">
        <v>300</v>
      </c>
      <c r="E1674" s="80">
        <v>0</v>
      </c>
      <c r="F1674" s="81">
        <f t="shared" si="789"/>
        <v>105806</v>
      </c>
      <c r="G1674" s="81">
        <f t="shared" si="789"/>
        <v>105806</v>
      </c>
      <c r="H1674" s="81">
        <f t="shared" si="790"/>
        <v>23512</v>
      </c>
      <c r="I1674" s="81">
        <f t="shared" si="790"/>
        <v>23512</v>
      </c>
      <c r="J1674" s="81">
        <f t="shared" si="791"/>
        <v>130625</v>
      </c>
      <c r="K1674" s="133">
        <v>1000</v>
      </c>
      <c r="L1674" s="81"/>
      <c r="M1674" s="16">
        <f t="shared" si="793"/>
        <v>45604.01431663664</v>
      </c>
      <c r="N1674" s="36">
        <v>1000</v>
      </c>
      <c r="O1674" s="36">
        <v>1</v>
      </c>
      <c r="P1674" s="53">
        <v>18810</v>
      </c>
      <c r="Q1674" s="2" t="s">
        <v>439</v>
      </c>
      <c r="R1674" s="2" t="s">
        <v>471</v>
      </c>
      <c r="S1674" s="2">
        <f t="shared" si="794"/>
        <v>9405</v>
      </c>
    </row>
    <row r="1675" spans="1:20" ht="13.5" x14ac:dyDescent="0.25">
      <c r="A1675" s="80" t="str">
        <f t="shared" si="788"/>
        <v>300210131</v>
      </c>
      <c r="B1675" s="80">
        <v>30021</v>
      </c>
      <c r="C1675" s="80">
        <v>1</v>
      </c>
      <c r="D1675" s="80" t="s">
        <v>300</v>
      </c>
      <c r="E1675" s="80">
        <v>1</v>
      </c>
      <c r="F1675" s="81">
        <f t="shared" si="789"/>
        <v>123440</v>
      </c>
      <c r="G1675" s="81">
        <f t="shared" si="789"/>
        <v>123440</v>
      </c>
      <c r="H1675" s="81">
        <f t="shared" si="790"/>
        <v>23512</v>
      </c>
      <c r="I1675" s="81">
        <f t="shared" si="790"/>
        <v>23512</v>
      </c>
      <c r="J1675" s="81">
        <f t="shared" si="791"/>
        <v>186319</v>
      </c>
      <c r="K1675" s="133">
        <v>1000</v>
      </c>
      <c r="L1675" s="81"/>
      <c r="M1675" s="16">
        <f t="shared" si="793"/>
        <v>58828.977815675578</v>
      </c>
      <c r="N1675" s="36">
        <v>860</v>
      </c>
      <c r="O1675" s="36">
        <v>1.5</v>
      </c>
      <c r="P1675" s="53">
        <v>18810</v>
      </c>
      <c r="Q1675" s="2" t="s">
        <v>607</v>
      </c>
      <c r="R1675" s="2" t="s">
        <v>471</v>
      </c>
      <c r="S1675" s="2">
        <f t="shared" si="794"/>
        <v>9405</v>
      </c>
    </row>
    <row r="1676" spans="1:20" ht="13.5" x14ac:dyDescent="0.25">
      <c r="A1676" s="80" t="str">
        <f t="shared" si="788"/>
        <v>300210132</v>
      </c>
      <c r="B1676" s="80">
        <v>30021</v>
      </c>
      <c r="C1676" s="80">
        <v>1</v>
      </c>
      <c r="D1676" s="80" t="s">
        <v>300</v>
      </c>
      <c r="E1676" s="80">
        <v>2</v>
      </c>
      <c r="F1676" s="81">
        <f t="shared" si="789"/>
        <v>152831</v>
      </c>
      <c r="G1676" s="81">
        <f t="shared" si="789"/>
        <v>152831</v>
      </c>
      <c r="H1676" s="81">
        <f t="shared" si="790"/>
        <v>23512</v>
      </c>
      <c r="I1676" s="81">
        <f t="shared" si="790"/>
        <v>23512</v>
      </c>
      <c r="J1676" s="81">
        <f t="shared" si="791"/>
        <v>255237</v>
      </c>
      <c r="K1676" s="133">
        <v>1000</v>
      </c>
      <c r="L1676" s="81"/>
      <c r="M1676" s="16">
        <f t="shared" si="793"/>
        <v>76614.737267065866</v>
      </c>
      <c r="N1676" s="36">
        <v>840</v>
      </c>
      <c r="O1676" s="36">
        <v>2</v>
      </c>
      <c r="P1676" s="53">
        <v>18810</v>
      </c>
      <c r="Q1676" s="2" t="s">
        <v>196</v>
      </c>
      <c r="R1676" s="2" t="s">
        <v>471</v>
      </c>
      <c r="S1676" s="2">
        <f t="shared" si="794"/>
        <v>9405</v>
      </c>
    </row>
    <row r="1677" spans="1:20" ht="13.5" x14ac:dyDescent="0.25">
      <c r="A1677" s="80" t="str">
        <f t="shared" si="788"/>
        <v>300210133</v>
      </c>
      <c r="B1677" s="80">
        <v>30021</v>
      </c>
      <c r="C1677" s="80">
        <v>1</v>
      </c>
      <c r="D1677" s="80" t="s">
        <v>300</v>
      </c>
      <c r="E1677" s="80">
        <v>3</v>
      </c>
      <c r="F1677" s="81">
        <f t="shared" si="789"/>
        <v>282150</v>
      </c>
      <c r="G1677" s="81">
        <f t="shared" si="789"/>
        <v>282150</v>
      </c>
      <c r="H1677" s="81">
        <f t="shared" si="790"/>
        <v>23512</v>
      </c>
      <c r="I1677" s="81">
        <f t="shared" si="790"/>
        <v>23512</v>
      </c>
      <c r="J1677" s="81">
        <f t="shared" si="791"/>
        <v>526993</v>
      </c>
      <c r="K1677" s="133">
        <v>1000</v>
      </c>
      <c r="L1677" s="81"/>
      <c r="M1677" s="16">
        <f t="shared" si="793"/>
        <v>149581.27271498981</v>
      </c>
      <c r="N1677" s="36">
        <v>820</v>
      </c>
      <c r="O1677" s="36">
        <v>4</v>
      </c>
      <c r="P1677" s="53">
        <v>18810</v>
      </c>
      <c r="Q1677" s="2" t="s">
        <v>197</v>
      </c>
      <c r="R1677" s="2" t="s">
        <v>471</v>
      </c>
      <c r="S1677" s="2">
        <f t="shared" si="794"/>
        <v>9405</v>
      </c>
    </row>
    <row r="1678" spans="1:20" x14ac:dyDescent="0.2">
      <c r="A1678" s="80" t="str">
        <f t="shared" si="788"/>
        <v>300210140</v>
      </c>
      <c r="B1678" s="80">
        <v>30021</v>
      </c>
      <c r="C1678" s="80">
        <v>1</v>
      </c>
      <c r="D1678" s="80" t="s">
        <v>468</v>
      </c>
      <c r="E1678" s="80">
        <v>0</v>
      </c>
      <c r="F1678" s="81">
        <f t="shared" si="789"/>
        <v>313796</v>
      </c>
      <c r="G1678" s="81">
        <f t="shared" si="789"/>
        <v>313796</v>
      </c>
      <c r="H1678" s="81">
        <f t="shared" si="790"/>
        <v>69732</v>
      </c>
      <c r="I1678" s="81">
        <f t="shared" si="790"/>
        <v>69732</v>
      </c>
      <c r="J1678" s="81">
        <f t="shared" si="791"/>
        <v>387402</v>
      </c>
      <c r="K1678" s="133">
        <v>1000</v>
      </c>
      <c r="L1678" s="81"/>
      <c r="M1678" s="16">
        <f t="shared" si="793"/>
        <v>232922.0901349207</v>
      </c>
      <c r="N1678" s="82">
        <v>1000</v>
      </c>
      <c r="O1678" s="82">
        <v>1</v>
      </c>
      <c r="P1678" s="83" t="s">
        <v>473</v>
      </c>
      <c r="Q1678" s="2" t="s">
        <v>474</v>
      </c>
      <c r="R1678" s="83" t="s">
        <v>472</v>
      </c>
      <c r="S1678" s="2">
        <f t="shared" si="794"/>
        <v>27893</v>
      </c>
    </row>
    <row r="1679" spans="1:20" x14ac:dyDescent="0.2">
      <c r="A1679" s="80" t="str">
        <f t="shared" si="788"/>
        <v>300210141</v>
      </c>
      <c r="B1679" s="80">
        <v>30021</v>
      </c>
      <c r="C1679" s="80">
        <v>1</v>
      </c>
      <c r="D1679" s="80" t="s">
        <v>468</v>
      </c>
      <c r="E1679" s="80">
        <v>1</v>
      </c>
      <c r="F1679" s="81">
        <f t="shared" si="789"/>
        <v>366095</v>
      </c>
      <c r="G1679" s="81">
        <f t="shared" si="789"/>
        <v>366095</v>
      </c>
      <c r="H1679" s="81">
        <f t="shared" si="790"/>
        <v>69732</v>
      </c>
      <c r="I1679" s="81">
        <f t="shared" si="790"/>
        <v>69732</v>
      </c>
      <c r="J1679" s="81">
        <f t="shared" si="791"/>
        <v>552580</v>
      </c>
      <c r="K1679" s="133">
        <v>1000</v>
      </c>
      <c r="L1679" s="81"/>
      <c r="M1679" s="16">
        <f t="shared" si="793"/>
        <v>300469.59216557752</v>
      </c>
      <c r="N1679" s="82">
        <v>860</v>
      </c>
      <c r="O1679" s="82">
        <v>1.5</v>
      </c>
      <c r="P1679" s="83" t="s">
        <v>473</v>
      </c>
      <c r="Q1679" s="2" t="s">
        <v>606</v>
      </c>
      <c r="R1679" s="83" t="s">
        <v>472</v>
      </c>
      <c r="S1679" s="2">
        <f t="shared" si="794"/>
        <v>27893</v>
      </c>
    </row>
    <row r="1680" spans="1:20" x14ac:dyDescent="0.2">
      <c r="A1680" s="80" t="str">
        <f t="shared" si="788"/>
        <v>300210142</v>
      </c>
      <c r="B1680" s="80">
        <v>30021</v>
      </c>
      <c r="C1680" s="80">
        <v>1</v>
      </c>
      <c r="D1680" s="80" t="s">
        <v>468</v>
      </c>
      <c r="E1680" s="80">
        <v>2</v>
      </c>
      <c r="F1680" s="81">
        <f t="shared" si="789"/>
        <v>453261</v>
      </c>
      <c r="G1680" s="81">
        <f t="shared" si="789"/>
        <v>453261</v>
      </c>
      <c r="H1680" s="81">
        <f t="shared" si="790"/>
        <v>69732</v>
      </c>
      <c r="I1680" s="81">
        <f t="shared" si="790"/>
        <v>69732</v>
      </c>
      <c r="J1680" s="81">
        <f t="shared" si="791"/>
        <v>756973</v>
      </c>
      <c r="K1680" s="133">
        <v>1000</v>
      </c>
      <c r="L1680" s="81"/>
      <c r="M1680" s="16">
        <f t="shared" si="793"/>
        <v>391309.52436450077</v>
      </c>
      <c r="N1680" s="82">
        <v>840</v>
      </c>
      <c r="O1680" s="82">
        <v>2</v>
      </c>
      <c r="P1680" s="83" t="s">
        <v>473</v>
      </c>
      <c r="Q1680" s="2" t="s">
        <v>196</v>
      </c>
      <c r="R1680" s="83" t="s">
        <v>472</v>
      </c>
      <c r="S1680" s="2">
        <f t="shared" si="794"/>
        <v>27893</v>
      </c>
    </row>
    <row r="1681" spans="1:20" x14ac:dyDescent="0.2">
      <c r="A1681" s="80" t="str">
        <f t="shared" si="788"/>
        <v>300210143</v>
      </c>
      <c r="B1681" s="80">
        <v>30021</v>
      </c>
      <c r="C1681" s="80">
        <v>1</v>
      </c>
      <c r="D1681" s="80" t="s">
        <v>468</v>
      </c>
      <c r="E1681" s="80">
        <v>3</v>
      </c>
      <c r="F1681" s="81">
        <f t="shared" si="789"/>
        <v>836790</v>
      </c>
      <c r="G1681" s="81">
        <f t="shared" si="789"/>
        <v>836790</v>
      </c>
      <c r="H1681" s="81">
        <f t="shared" si="790"/>
        <v>69732</v>
      </c>
      <c r="I1681" s="81">
        <f t="shared" si="790"/>
        <v>69732</v>
      </c>
      <c r="J1681" s="81">
        <f t="shared" si="791"/>
        <v>1562937</v>
      </c>
      <c r="K1681" s="133">
        <v>1000</v>
      </c>
      <c r="L1681" s="81"/>
      <c r="M1681" s="16">
        <f t="shared" si="793"/>
        <v>763985.33951212396</v>
      </c>
      <c r="N1681" s="82">
        <v>820</v>
      </c>
      <c r="O1681" s="82">
        <v>4</v>
      </c>
      <c r="P1681" s="83" t="s">
        <v>473</v>
      </c>
      <c r="Q1681" s="2" t="s">
        <v>197</v>
      </c>
      <c r="R1681" s="83" t="s">
        <v>472</v>
      </c>
      <c r="S1681" s="2">
        <f t="shared" si="794"/>
        <v>27893</v>
      </c>
    </row>
    <row r="1682" spans="1:20" x14ac:dyDescent="0.2">
      <c r="A1682" s="80" t="str">
        <f t="shared" si="788"/>
        <v>300210210</v>
      </c>
      <c r="B1682" s="80">
        <v>30021</v>
      </c>
      <c r="C1682" s="80">
        <v>2</v>
      </c>
      <c r="D1682" s="80" t="s">
        <v>259</v>
      </c>
      <c r="E1682" s="80">
        <v>0</v>
      </c>
      <c r="F1682" s="34">
        <f t="shared" ref="F1682:G1697" si="795">ROUNDDOWN($P1682/4*$O1682*10*$N1682/$N1682*$Q1682/400,0)</f>
        <v>15738</v>
      </c>
      <c r="G1682" s="34">
        <f t="shared" si="795"/>
        <v>15738</v>
      </c>
      <c r="H1682" s="34">
        <f t="shared" ref="H1682:I1697" si="796">ROUNDDOWN($S1682/4*10,0)</f>
        <v>7762</v>
      </c>
      <c r="I1682" s="34">
        <f t="shared" si="796"/>
        <v>7762</v>
      </c>
      <c r="J1682" s="34">
        <f t="shared" si="791"/>
        <v>18530</v>
      </c>
      <c r="K1682" s="133">
        <v>1000</v>
      </c>
      <c r="L1682" s="34"/>
      <c r="M1682" s="16">
        <f t="shared" si="793"/>
        <v>3806.1796797776115</v>
      </c>
      <c r="N1682" s="36">
        <v>880</v>
      </c>
      <c r="O1682" s="36">
        <v>1</v>
      </c>
      <c r="P1682" s="90" t="s">
        <v>377</v>
      </c>
      <c r="Q1682" s="90" t="s">
        <v>373</v>
      </c>
      <c r="R1682" s="2" t="s">
        <v>565</v>
      </c>
      <c r="S1682" s="2">
        <f>P1682*1</f>
        <v>3105</v>
      </c>
    </row>
    <row r="1683" spans="1:20" x14ac:dyDescent="0.2">
      <c r="A1683" s="80" t="str">
        <f t="shared" si="788"/>
        <v>300210211</v>
      </c>
      <c r="B1683" s="80">
        <v>30021</v>
      </c>
      <c r="C1683" s="80">
        <v>2</v>
      </c>
      <c r="D1683" s="80" t="s">
        <v>259</v>
      </c>
      <c r="E1683" s="80">
        <v>1</v>
      </c>
      <c r="F1683" s="34">
        <f t="shared" si="795"/>
        <v>30700</v>
      </c>
      <c r="G1683" s="34">
        <f t="shared" si="795"/>
        <v>30700</v>
      </c>
      <c r="H1683" s="34">
        <f t="shared" si="796"/>
        <v>7762</v>
      </c>
      <c r="I1683" s="34">
        <f t="shared" si="796"/>
        <v>7762</v>
      </c>
      <c r="J1683" s="34">
        <f t="shared" si="791"/>
        <v>36290</v>
      </c>
      <c r="K1683" s="133">
        <v>1000</v>
      </c>
      <c r="L1683" s="34"/>
      <c r="M1683" s="16">
        <f t="shared" si="793"/>
        <v>7439.4268536225281</v>
      </c>
      <c r="N1683" s="36">
        <v>860</v>
      </c>
      <c r="O1683" s="36">
        <v>2</v>
      </c>
      <c r="P1683" s="90" t="s">
        <v>377</v>
      </c>
      <c r="Q1683" s="90" t="s">
        <v>371</v>
      </c>
      <c r="R1683" s="2" t="s">
        <v>565</v>
      </c>
      <c r="S1683" s="2">
        <f t="shared" ref="S1683:S1697" si="797">P1683*1</f>
        <v>3105</v>
      </c>
    </row>
    <row r="1684" spans="1:20" x14ac:dyDescent="0.2">
      <c r="A1684" s="80" t="str">
        <f t="shared" si="788"/>
        <v>300210212</v>
      </c>
      <c r="B1684" s="80">
        <v>30021</v>
      </c>
      <c r="C1684" s="80">
        <v>2</v>
      </c>
      <c r="D1684" s="80" t="s">
        <v>259</v>
      </c>
      <c r="E1684" s="80">
        <v>2</v>
      </c>
      <c r="F1684" s="34">
        <f t="shared" si="795"/>
        <v>44886</v>
      </c>
      <c r="G1684" s="34">
        <f t="shared" si="795"/>
        <v>44886</v>
      </c>
      <c r="H1684" s="34">
        <f t="shared" si="796"/>
        <v>7762</v>
      </c>
      <c r="I1684" s="34">
        <f t="shared" si="796"/>
        <v>7762</v>
      </c>
      <c r="J1684" s="34">
        <f t="shared" si="791"/>
        <v>53280</v>
      </c>
      <c r="K1684" s="133">
        <v>1000</v>
      </c>
      <c r="L1684" s="34"/>
      <c r="M1684" s="16">
        <f t="shared" si="793"/>
        <v>10899.695535699335</v>
      </c>
      <c r="N1684" s="36">
        <v>840</v>
      </c>
      <c r="O1684" s="36">
        <v>3</v>
      </c>
      <c r="P1684" s="90" t="s">
        <v>377</v>
      </c>
      <c r="Q1684" s="90" t="s">
        <v>366</v>
      </c>
      <c r="R1684" s="2" t="s">
        <v>565</v>
      </c>
      <c r="S1684" s="2">
        <f t="shared" si="797"/>
        <v>3105</v>
      </c>
    </row>
    <row r="1685" spans="1:20" x14ac:dyDescent="0.2">
      <c r="A1685" s="80" t="str">
        <f t="shared" si="788"/>
        <v>300210213</v>
      </c>
      <c r="B1685" s="80">
        <v>30021</v>
      </c>
      <c r="C1685" s="80">
        <v>2</v>
      </c>
      <c r="D1685" s="80" t="s">
        <v>259</v>
      </c>
      <c r="E1685" s="80">
        <v>3</v>
      </c>
      <c r="F1685" s="34">
        <f t="shared" si="795"/>
        <v>58296</v>
      </c>
      <c r="G1685" s="34">
        <f t="shared" si="795"/>
        <v>58296</v>
      </c>
      <c r="H1685" s="34">
        <f t="shared" si="796"/>
        <v>7762</v>
      </c>
      <c r="I1685" s="34">
        <f t="shared" si="796"/>
        <v>7762</v>
      </c>
      <c r="J1685" s="34">
        <f t="shared" si="791"/>
        <v>69500</v>
      </c>
      <c r="K1685" s="133">
        <v>1000</v>
      </c>
      <c r="L1685" s="34"/>
      <c r="M1685" s="16">
        <f t="shared" si="793"/>
        <v>14186.935255001343</v>
      </c>
      <c r="N1685" s="36">
        <v>820</v>
      </c>
      <c r="O1685" s="36">
        <v>4</v>
      </c>
      <c r="P1685" s="90" t="s">
        <v>377</v>
      </c>
      <c r="Q1685" s="90" t="s">
        <v>367</v>
      </c>
      <c r="R1685" s="2" t="s">
        <v>565</v>
      </c>
      <c r="S1685" s="2">
        <f t="shared" si="797"/>
        <v>3105</v>
      </c>
    </row>
    <row r="1686" spans="1:20" x14ac:dyDescent="0.2">
      <c r="A1686" s="80" t="str">
        <f t="shared" si="788"/>
        <v>300210220</v>
      </c>
      <c r="B1686" s="80">
        <v>30021</v>
      </c>
      <c r="C1686" s="80">
        <v>2</v>
      </c>
      <c r="D1686" s="80" t="s">
        <v>63</v>
      </c>
      <c r="E1686" s="80">
        <v>0</v>
      </c>
      <c r="F1686" s="34">
        <f t="shared" si="795"/>
        <v>36895</v>
      </c>
      <c r="G1686" s="34">
        <f t="shared" si="795"/>
        <v>36895</v>
      </c>
      <c r="H1686" s="34">
        <f t="shared" si="796"/>
        <v>18657</v>
      </c>
      <c r="I1686" s="34">
        <f t="shared" si="796"/>
        <v>18657</v>
      </c>
      <c r="J1686" s="34">
        <f t="shared" si="791"/>
        <v>45664</v>
      </c>
      <c r="K1686" s="133">
        <v>1000</v>
      </c>
      <c r="L1686" s="34"/>
      <c r="M1686" s="16">
        <f t="shared" si="793"/>
        <v>14183.441632542646</v>
      </c>
      <c r="N1686" s="36">
        <v>880</v>
      </c>
      <c r="O1686" s="36">
        <v>1</v>
      </c>
      <c r="P1686" s="90" t="s">
        <v>379</v>
      </c>
      <c r="Q1686" s="90" t="s">
        <v>371</v>
      </c>
      <c r="R1686" s="2" t="s">
        <v>564</v>
      </c>
      <c r="S1686" s="2">
        <f t="shared" si="797"/>
        <v>7463</v>
      </c>
    </row>
    <row r="1687" spans="1:20" x14ac:dyDescent="0.2">
      <c r="A1687" s="80" t="str">
        <f t="shared" si="788"/>
        <v>300210221</v>
      </c>
      <c r="B1687" s="80">
        <v>30021</v>
      </c>
      <c r="C1687" s="80">
        <v>2</v>
      </c>
      <c r="D1687" s="80" t="s">
        <v>63</v>
      </c>
      <c r="E1687" s="80">
        <v>1</v>
      </c>
      <c r="F1687" s="34">
        <f t="shared" si="795"/>
        <v>71924</v>
      </c>
      <c r="G1687" s="34">
        <f t="shared" si="795"/>
        <v>71924</v>
      </c>
      <c r="H1687" s="34">
        <f t="shared" si="796"/>
        <v>18657</v>
      </c>
      <c r="I1687" s="34">
        <f t="shared" si="796"/>
        <v>18657</v>
      </c>
      <c r="J1687" s="34">
        <f t="shared" si="791"/>
        <v>89488</v>
      </c>
      <c r="K1687" s="133">
        <v>1000</v>
      </c>
      <c r="L1687" s="34"/>
      <c r="M1687" s="16">
        <f t="shared" si="793"/>
        <v>27722.360702154816</v>
      </c>
      <c r="N1687" s="36">
        <v>860</v>
      </c>
      <c r="O1687" s="36">
        <v>2</v>
      </c>
      <c r="P1687" s="90" t="s">
        <v>379</v>
      </c>
      <c r="Q1687" s="90" t="s">
        <v>366</v>
      </c>
      <c r="R1687" s="2" t="s">
        <v>564</v>
      </c>
      <c r="S1687" s="2">
        <f t="shared" si="797"/>
        <v>7463</v>
      </c>
    </row>
    <row r="1688" spans="1:20" x14ac:dyDescent="0.2">
      <c r="A1688" s="80" t="str">
        <f t="shared" si="788"/>
        <v>300210222</v>
      </c>
      <c r="B1688" s="80">
        <v>30021</v>
      </c>
      <c r="C1688" s="80">
        <v>2</v>
      </c>
      <c r="D1688" s="80" t="s">
        <v>63</v>
      </c>
      <c r="E1688" s="80">
        <v>2</v>
      </c>
      <c r="F1688" s="34">
        <f t="shared" si="795"/>
        <v>105088</v>
      </c>
      <c r="G1688" s="34">
        <f t="shared" si="795"/>
        <v>105088</v>
      </c>
      <c r="H1688" s="34">
        <f t="shared" si="796"/>
        <v>18657</v>
      </c>
      <c r="I1688" s="34">
        <f t="shared" si="796"/>
        <v>18657</v>
      </c>
      <c r="J1688" s="34">
        <f t="shared" si="791"/>
        <v>131472</v>
      </c>
      <c r="K1688" s="133">
        <v>1000</v>
      </c>
      <c r="L1688" s="34"/>
      <c r="M1688" s="16">
        <f t="shared" si="793"/>
        <v>40616.649098863054</v>
      </c>
      <c r="N1688" s="36">
        <v>840</v>
      </c>
      <c r="O1688" s="36">
        <v>3</v>
      </c>
      <c r="P1688" s="90" t="s">
        <v>379</v>
      </c>
      <c r="Q1688" s="90" t="s">
        <v>367</v>
      </c>
      <c r="R1688" s="2" t="s">
        <v>564</v>
      </c>
      <c r="S1688" s="2">
        <f t="shared" si="797"/>
        <v>7463</v>
      </c>
    </row>
    <row r="1689" spans="1:20" x14ac:dyDescent="0.2">
      <c r="A1689" s="18" t="str">
        <f t="shared" si="788"/>
        <v>300210223</v>
      </c>
      <c r="B1689" s="80">
        <v>30021</v>
      </c>
      <c r="C1689" s="80">
        <v>2</v>
      </c>
      <c r="D1689" s="80" t="s">
        <v>63</v>
      </c>
      <c r="E1689" s="80">
        <v>3</v>
      </c>
      <c r="F1689" s="34">
        <f t="shared" si="795"/>
        <v>136386</v>
      </c>
      <c r="G1689" s="34">
        <f t="shared" si="795"/>
        <v>136386</v>
      </c>
      <c r="H1689" s="34">
        <f t="shared" si="796"/>
        <v>18657</v>
      </c>
      <c r="I1689" s="34">
        <f t="shared" si="796"/>
        <v>18657</v>
      </c>
      <c r="J1689" s="34">
        <f t="shared" si="791"/>
        <v>255232</v>
      </c>
      <c r="K1689" s="133">
        <v>1000</v>
      </c>
      <c r="L1689" s="34"/>
      <c r="M1689" s="16">
        <f t="shared" si="793"/>
        <v>64470.843267730321</v>
      </c>
      <c r="N1689" s="36">
        <v>1000</v>
      </c>
      <c r="O1689" s="36">
        <v>4</v>
      </c>
      <c r="P1689" s="90" t="s">
        <v>379</v>
      </c>
      <c r="Q1689" s="90" t="s">
        <v>102</v>
      </c>
      <c r="R1689" s="2" t="s">
        <v>564</v>
      </c>
      <c r="S1689" s="2">
        <f t="shared" si="797"/>
        <v>7463</v>
      </c>
    </row>
    <row r="1690" spans="1:20" ht="16.5" x14ac:dyDescent="0.2">
      <c r="A1690" s="80" t="str">
        <f t="shared" si="788"/>
        <v>300210230</v>
      </c>
      <c r="B1690" s="80">
        <v>30021</v>
      </c>
      <c r="C1690" s="80">
        <v>2</v>
      </c>
      <c r="D1690" s="80" t="s">
        <v>300</v>
      </c>
      <c r="E1690" s="80">
        <v>0</v>
      </c>
      <c r="F1690" s="34">
        <f t="shared" si="795"/>
        <v>214291</v>
      </c>
      <c r="G1690" s="34">
        <f t="shared" si="795"/>
        <v>214291</v>
      </c>
      <c r="H1690" s="34">
        <f t="shared" si="796"/>
        <v>93170</v>
      </c>
      <c r="I1690" s="34">
        <f t="shared" si="796"/>
        <v>93170</v>
      </c>
      <c r="J1690" s="34">
        <f t="shared" si="791"/>
        <v>218974</v>
      </c>
      <c r="K1690" s="133">
        <v>1000</v>
      </c>
      <c r="L1690" s="34"/>
      <c r="M1690" s="16">
        <f t="shared" si="793"/>
        <v>167273.16577384729</v>
      </c>
      <c r="N1690" s="58">
        <v>930</v>
      </c>
      <c r="O1690" s="36">
        <v>1</v>
      </c>
      <c r="P1690" s="68">
        <v>37268.000000000007</v>
      </c>
      <c r="Q1690" s="41" t="s">
        <v>273</v>
      </c>
      <c r="R1690" s="2" t="s">
        <v>563</v>
      </c>
      <c r="S1690" s="2">
        <f t="shared" si="797"/>
        <v>37268.000000000007</v>
      </c>
      <c r="T1690" s="253"/>
    </row>
    <row r="1691" spans="1:20" ht="16.5" x14ac:dyDescent="0.2">
      <c r="A1691" s="80" t="str">
        <f t="shared" si="788"/>
        <v>300210231</v>
      </c>
      <c r="B1691" s="80">
        <v>30021</v>
      </c>
      <c r="C1691" s="80">
        <v>2</v>
      </c>
      <c r="D1691" s="80" t="s">
        <v>300</v>
      </c>
      <c r="E1691" s="80">
        <v>1</v>
      </c>
      <c r="F1691" s="34">
        <f t="shared" si="795"/>
        <v>400631</v>
      </c>
      <c r="G1691" s="34">
        <f t="shared" si="795"/>
        <v>400631</v>
      </c>
      <c r="H1691" s="34">
        <f t="shared" si="796"/>
        <v>93170</v>
      </c>
      <c r="I1691" s="34">
        <f t="shared" si="796"/>
        <v>93170</v>
      </c>
      <c r="J1691" s="34">
        <f t="shared" si="791"/>
        <v>448570</v>
      </c>
      <c r="K1691" s="133">
        <v>1000</v>
      </c>
      <c r="L1691" s="34"/>
      <c r="M1691" s="16">
        <f t="shared" si="793"/>
        <v>327352.31966957101</v>
      </c>
      <c r="N1691" s="58">
        <v>910</v>
      </c>
      <c r="O1691" s="36">
        <v>2</v>
      </c>
      <c r="P1691" s="68">
        <v>37268.000000000007</v>
      </c>
      <c r="Q1691" s="41" t="s">
        <v>274</v>
      </c>
      <c r="R1691" s="2" t="s">
        <v>563</v>
      </c>
      <c r="S1691" s="2">
        <f t="shared" si="797"/>
        <v>37268.000000000007</v>
      </c>
      <c r="T1691" s="253"/>
    </row>
    <row r="1692" spans="1:20" ht="16.5" x14ac:dyDescent="0.2">
      <c r="A1692" s="80" t="str">
        <f t="shared" si="788"/>
        <v>300210232</v>
      </c>
      <c r="B1692" s="80">
        <v>30021</v>
      </c>
      <c r="C1692" s="80">
        <v>2</v>
      </c>
      <c r="D1692" s="80" t="s">
        <v>300</v>
      </c>
      <c r="E1692" s="80">
        <v>2</v>
      </c>
      <c r="F1692" s="34">
        <f t="shared" si="795"/>
        <v>503118</v>
      </c>
      <c r="G1692" s="34">
        <f t="shared" si="795"/>
        <v>503118</v>
      </c>
      <c r="H1692" s="34">
        <f t="shared" si="796"/>
        <v>93170</v>
      </c>
      <c r="I1692" s="34">
        <f t="shared" si="796"/>
        <v>93170</v>
      </c>
      <c r="J1692" s="34">
        <f t="shared" si="791"/>
        <v>768749</v>
      </c>
      <c r="K1692" s="133">
        <v>1000</v>
      </c>
      <c r="L1692" s="34"/>
      <c r="M1692" s="16">
        <f t="shared" si="793"/>
        <v>480236.58749826014</v>
      </c>
      <c r="N1692" s="58">
        <v>890</v>
      </c>
      <c r="O1692" s="36">
        <v>3</v>
      </c>
      <c r="P1692" s="68">
        <v>37268.000000000007</v>
      </c>
      <c r="Q1692" s="41" t="s">
        <v>275</v>
      </c>
      <c r="R1692" s="2" t="s">
        <v>563</v>
      </c>
      <c r="S1692" s="2">
        <f t="shared" si="797"/>
        <v>37268.000000000007</v>
      </c>
      <c r="T1692" s="253"/>
    </row>
    <row r="1693" spans="1:20" ht="16.5" x14ac:dyDescent="0.2">
      <c r="A1693" s="80" t="str">
        <f t="shared" si="788"/>
        <v>300210233</v>
      </c>
      <c r="B1693" s="80">
        <v>30021</v>
      </c>
      <c r="C1693" s="80">
        <v>2</v>
      </c>
      <c r="D1693" s="80" t="s">
        <v>300</v>
      </c>
      <c r="E1693" s="80">
        <v>3</v>
      </c>
      <c r="F1693" s="34">
        <f t="shared" si="795"/>
        <v>614922</v>
      </c>
      <c r="G1693" s="34">
        <f t="shared" si="795"/>
        <v>614922</v>
      </c>
      <c r="H1693" s="34">
        <f t="shared" si="796"/>
        <v>93170</v>
      </c>
      <c r="I1693" s="34">
        <f t="shared" si="796"/>
        <v>93170</v>
      </c>
      <c r="J1693" s="34">
        <f t="shared" si="791"/>
        <v>1068490</v>
      </c>
      <c r="K1693" s="133">
        <v>1000</v>
      </c>
      <c r="L1693" s="34"/>
      <c r="M1693" s="16">
        <f t="shared" si="793"/>
        <v>625926.4170676301</v>
      </c>
      <c r="N1693" s="58">
        <v>870</v>
      </c>
      <c r="O1693" s="36">
        <v>4</v>
      </c>
      <c r="P1693" s="68">
        <v>37268.000000000007</v>
      </c>
      <c r="Q1693" s="41" t="s">
        <v>276</v>
      </c>
      <c r="R1693" s="2" t="s">
        <v>563</v>
      </c>
      <c r="S1693" s="2">
        <f t="shared" si="797"/>
        <v>37268.000000000007</v>
      </c>
      <c r="T1693" s="253"/>
    </row>
    <row r="1694" spans="1:20" ht="16.5" x14ac:dyDescent="0.2">
      <c r="A1694" s="80" t="str">
        <f t="shared" si="788"/>
        <v>300210240</v>
      </c>
      <c r="B1694" s="80">
        <v>30021</v>
      </c>
      <c r="C1694" s="80">
        <v>2</v>
      </c>
      <c r="D1694" s="80" t="s">
        <v>237</v>
      </c>
      <c r="E1694" s="80">
        <v>0</v>
      </c>
      <c r="F1694" s="34">
        <f t="shared" si="795"/>
        <v>364650</v>
      </c>
      <c r="G1694" s="34">
        <f t="shared" si="795"/>
        <v>364650</v>
      </c>
      <c r="H1694" s="34">
        <f t="shared" si="796"/>
        <v>195000</v>
      </c>
      <c r="I1694" s="34">
        <f t="shared" si="796"/>
        <v>195000</v>
      </c>
      <c r="J1694" s="34">
        <f t="shared" si="791"/>
        <v>504705</v>
      </c>
      <c r="K1694" s="133">
        <v>1000</v>
      </c>
      <c r="L1694" s="34"/>
      <c r="M1694" s="16">
        <f t="shared" si="793"/>
        <v>479252.29937476572</v>
      </c>
      <c r="N1694" s="36">
        <v>880</v>
      </c>
      <c r="O1694" s="36">
        <v>1</v>
      </c>
      <c r="P1694" s="68">
        <v>78000</v>
      </c>
      <c r="Q1694" s="41" t="s">
        <v>537</v>
      </c>
      <c r="R1694" s="2" t="s">
        <v>562</v>
      </c>
      <c r="S1694" s="2">
        <f t="shared" si="797"/>
        <v>78000</v>
      </c>
      <c r="T1694" s="114"/>
    </row>
    <row r="1695" spans="1:20" ht="16.5" x14ac:dyDescent="0.2">
      <c r="A1695" s="80" t="str">
        <f t="shared" si="788"/>
        <v>300210241</v>
      </c>
      <c r="B1695" s="80">
        <v>30021</v>
      </c>
      <c r="C1695" s="80">
        <v>2</v>
      </c>
      <c r="D1695" s="80" t="s">
        <v>237</v>
      </c>
      <c r="E1695" s="80">
        <v>1</v>
      </c>
      <c r="F1695" s="34">
        <f t="shared" si="795"/>
        <v>696150</v>
      </c>
      <c r="G1695" s="34">
        <f t="shared" si="795"/>
        <v>696150</v>
      </c>
      <c r="H1695" s="34">
        <f t="shared" si="796"/>
        <v>195000</v>
      </c>
      <c r="I1695" s="34">
        <f t="shared" si="796"/>
        <v>195000</v>
      </c>
      <c r="J1695" s="34">
        <f t="shared" si="791"/>
        <v>1009957</v>
      </c>
      <c r="K1695" s="133">
        <v>1000</v>
      </c>
      <c r="L1695" s="34"/>
      <c r="M1695" s="16">
        <f t="shared" si="793"/>
        <v>936720.76618723467</v>
      </c>
      <c r="N1695" s="36">
        <v>860</v>
      </c>
      <c r="O1695" s="36">
        <v>2</v>
      </c>
      <c r="P1695" s="68">
        <v>78000</v>
      </c>
      <c r="Q1695" s="41" t="s">
        <v>539</v>
      </c>
      <c r="R1695" s="2" t="s">
        <v>562</v>
      </c>
      <c r="S1695" s="2">
        <f t="shared" si="797"/>
        <v>78000</v>
      </c>
      <c r="T1695" s="114"/>
    </row>
    <row r="1696" spans="1:20" ht="16.5" x14ac:dyDescent="0.2">
      <c r="A1696" s="80" t="str">
        <f t="shared" si="788"/>
        <v>300210242</v>
      </c>
      <c r="B1696" s="80">
        <v>30021</v>
      </c>
      <c r="C1696" s="80">
        <v>2</v>
      </c>
      <c r="D1696" s="80" t="s">
        <v>237</v>
      </c>
      <c r="E1696" s="80">
        <v>2</v>
      </c>
      <c r="F1696" s="34">
        <f t="shared" si="795"/>
        <v>870187</v>
      </c>
      <c r="G1696" s="34">
        <f t="shared" si="795"/>
        <v>870187</v>
      </c>
      <c r="H1696" s="34">
        <f t="shared" si="796"/>
        <v>195000</v>
      </c>
      <c r="I1696" s="34">
        <f t="shared" si="796"/>
        <v>195000</v>
      </c>
      <c r="J1696" s="34">
        <f t="shared" si="791"/>
        <v>1734352</v>
      </c>
      <c r="K1696" s="133">
        <v>1000</v>
      </c>
      <c r="L1696" s="34"/>
      <c r="M1696" s="16">
        <f t="shared" si="793"/>
        <v>1372404.7448374522</v>
      </c>
      <c r="N1696" s="36">
        <v>840</v>
      </c>
      <c r="O1696" s="36">
        <v>3</v>
      </c>
      <c r="P1696" s="68">
        <v>78000</v>
      </c>
      <c r="Q1696" s="41" t="s">
        <v>540</v>
      </c>
      <c r="R1696" s="2" t="s">
        <v>562</v>
      </c>
      <c r="S1696" s="2">
        <f t="shared" si="797"/>
        <v>78000</v>
      </c>
      <c r="T1696" s="114"/>
    </row>
    <row r="1697" spans="1:20" ht="16.5" x14ac:dyDescent="0.2">
      <c r="A1697" s="18" t="str">
        <f t="shared" si="788"/>
        <v>300210243</v>
      </c>
      <c r="B1697" s="80">
        <v>30021</v>
      </c>
      <c r="C1697" s="80">
        <v>2</v>
      </c>
      <c r="D1697" s="80" t="s">
        <v>237</v>
      </c>
      <c r="E1697" s="80">
        <v>3</v>
      </c>
      <c r="F1697" s="34">
        <f t="shared" si="795"/>
        <v>1541475</v>
      </c>
      <c r="G1697" s="34">
        <f t="shared" si="795"/>
        <v>1541475</v>
      </c>
      <c r="H1697" s="34">
        <f t="shared" si="796"/>
        <v>195000</v>
      </c>
      <c r="I1697" s="34">
        <f t="shared" si="796"/>
        <v>195000</v>
      </c>
      <c r="J1697" s="34">
        <f t="shared" si="791"/>
        <v>7340251</v>
      </c>
      <c r="K1697" s="133">
        <v>1000</v>
      </c>
      <c r="L1697" s="34"/>
      <c r="M1697" s="16">
        <f t="shared" si="793"/>
        <v>3757776.8874642896</v>
      </c>
      <c r="N1697" s="36">
        <v>1150</v>
      </c>
      <c r="O1697" s="36">
        <v>6</v>
      </c>
      <c r="P1697" s="68">
        <v>78000</v>
      </c>
      <c r="Q1697" s="41" t="s">
        <v>541</v>
      </c>
      <c r="R1697" s="2" t="s">
        <v>562</v>
      </c>
      <c r="S1697" s="2">
        <f t="shared" si="797"/>
        <v>78000</v>
      </c>
      <c r="T1697" s="114"/>
    </row>
    <row r="1698" spans="1:20" x14ac:dyDescent="0.2">
      <c r="A1698" s="38"/>
      <c r="B1698" s="38"/>
      <c r="C1698" s="35" t="s">
        <v>731</v>
      </c>
      <c r="D1698" s="38"/>
      <c r="E1698" s="38"/>
      <c r="F1698" s="38"/>
      <c r="G1698" s="40"/>
      <c r="H1698" s="38"/>
      <c r="I1698" s="38"/>
      <c r="J1698" s="38"/>
      <c r="K1698" s="133">
        <v>1000</v>
      </c>
      <c r="L1698" s="38"/>
      <c r="M1698" s="16">
        <f t="shared" ref="M1698" si="798">(F1698*J1698*((H1698+I1698)/2)/1000)^(1/2)/10*0.8</f>
        <v>0</v>
      </c>
      <c r="N1698" s="42" t="str">
        <f>IF(A1698="","",M1698*#REF!)</f>
        <v/>
      </c>
      <c r="O1698" s="40"/>
      <c r="P1698" s="38"/>
      <c r="Q1698" s="38"/>
      <c r="R1698" s="38"/>
      <c r="S1698" s="40"/>
      <c r="T1698" s="267"/>
    </row>
    <row r="1699" spans="1:20" x14ac:dyDescent="0.2">
      <c r="A1699" s="8" t="str">
        <f t="shared" ref="A1699:A1706" si="799">IF(B1699="","",CONCATENATE(B1699,CONCATENATE(REPT(0,2-LEN(C1699)),C1699),IF(OR(D1699="Easy",D1699=""),1,IF(D1699="Normal",2,IF(D1699="Hard",3,IF(D1699="Hell",4,"error")))),E1699))</f>
        <v>300220111</v>
      </c>
      <c r="B1699" s="8">
        <v>30022</v>
      </c>
      <c r="C1699" s="8">
        <v>1</v>
      </c>
      <c r="D1699" s="8" t="s">
        <v>259</v>
      </c>
      <c r="E1699" s="8">
        <v>1</v>
      </c>
      <c r="F1699" s="34">
        <f t="shared" ref="F1699:G1714" si="800">ROUNDDOWN($P1699/4*MIN($O1699,4)*10*$N1699/$N1699*$Q1699/400,0)</f>
        <v>13750</v>
      </c>
      <c r="G1699" s="34">
        <f t="shared" si="800"/>
        <v>13750</v>
      </c>
      <c r="H1699" s="34">
        <f t="shared" ref="H1699:I1714" si="801">ROUNDDOWN($S1699/4*10,0)</f>
        <v>3750</v>
      </c>
      <c r="I1699" s="34">
        <f t="shared" si="801"/>
        <v>3750</v>
      </c>
      <c r="J1699" s="34">
        <f t="shared" ref="J1699:J1724" si="802">ROUNDDOWN($P1699/4*$O1699*10*$N1699/$Q1699*$N1699/400*0.8,0)</f>
        <v>42613</v>
      </c>
      <c r="K1699" s="133">
        <v>1000</v>
      </c>
      <c r="L1699" s="34"/>
      <c r="M1699" s="16">
        <f t="shared" si="793"/>
        <v>3749.9719998954665</v>
      </c>
      <c r="N1699" s="36">
        <v>500</v>
      </c>
      <c r="O1699" s="2" t="s">
        <v>332</v>
      </c>
      <c r="P1699" s="2" t="s">
        <v>585</v>
      </c>
      <c r="Q1699" s="2" t="s">
        <v>246</v>
      </c>
      <c r="R1699" s="2" t="s">
        <v>733</v>
      </c>
      <c r="S1699" s="56">
        <f>P1699*0.6</f>
        <v>1500</v>
      </c>
    </row>
    <row r="1700" spans="1:20" x14ac:dyDescent="0.2">
      <c r="A1700" s="8" t="str">
        <f t="shared" si="799"/>
        <v>300220119</v>
      </c>
      <c r="B1700" s="8">
        <v>30022</v>
      </c>
      <c r="C1700" s="8">
        <v>1</v>
      </c>
      <c r="D1700" s="8" t="s">
        <v>259</v>
      </c>
      <c r="E1700" s="8">
        <v>9</v>
      </c>
      <c r="F1700" s="34">
        <f t="shared" si="800"/>
        <v>73100</v>
      </c>
      <c r="G1700" s="34">
        <f t="shared" si="800"/>
        <v>73100</v>
      </c>
      <c r="H1700" s="34">
        <f t="shared" si="801"/>
        <v>6000</v>
      </c>
      <c r="I1700" s="34">
        <f t="shared" si="801"/>
        <v>6000</v>
      </c>
      <c r="J1700" s="34">
        <f t="shared" si="802"/>
        <v>367934</v>
      </c>
      <c r="K1700" s="133">
        <v>1000</v>
      </c>
      <c r="L1700" s="34"/>
      <c r="M1700" s="16">
        <f t="shared" si="793"/>
        <v>32137.290728373482</v>
      </c>
      <c r="N1700" s="36">
        <v>820</v>
      </c>
      <c r="O1700" s="2" t="s">
        <v>243</v>
      </c>
      <c r="P1700" s="2" t="s">
        <v>177</v>
      </c>
      <c r="Q1700" s="2" t="s">
        <v>102</v>
      </c>
      <c r="R1700" s="2" t="s">
        <v>732</v>
      </c>
      <c r="S1700" s="56">
        <f>P1700*0.6</f>
        <v>2400</v>
      </c>
    </row>
    <row r="1701" spans="1:20" x14ac:dyDescent="0.2">
      <c r="A1701" s="8" t="str">
        <f t="shared" si="799"/>
        <v>300220421</v>
      </c>
      <c r="B1701" s="8">
        <v>30022</v>
      </c>
      <c r="C1701" s="8">
        <v>4</v>
      </c>
      <c r="D1701" s="8" t="s">
        <v>63</v>
      </c>
      <c r="E1701" s="8">
        <v>1</v>
      </c>
      <c r="F1701" s="34">
        <f t="shared" si="800"/>
        <v>52250</v>
      </c>
      <c r="G1701" s="34">
        <f t="shared" si="800"/>
        <v>52250</v>
      </c>
      <c r="H1701" s="34">
        <f t="shared" si="801"/>
        <v>14250</v>
      </c>
      <c r="I1701" s="34">
        <f t="shared" si="801"/>
        <v>14250</v>
      </c>
      <c r="J1701" s="34">
        <f t="shared" si="802"/>
        <v>233181</v>
      </c>
      <c r="K1701" s="133">
        <v>1000</v>
      </c>
      <c r="L1701" s="34"/>
      <c r="M1701" s="16">
        <f t="shared" si="793"/>
        <v>33333.978178429294</v>
      </c>
      <c r="N1701" s="36">
        <v>600</v>
      </c>
      <c r="O1701" s="2" t="s">
        <v>332</v>
      </c>
      <c r="P1701" s="54">
        <v>9500</v>
      </c>
      <c r="Q1701" s="2" t="s">
        <v>246</v>
      </c>
      <c r="R1701" s="2" t="s">
        <v>734</v>
      </c>
      <c r="S1701" s="56">
        <f>P1701*0.6</f>
        <v>5700</v>
      </c>
      <c r="T1701" s="114"/>
    </row>
    <row r="1702" spans="1:20" x14ac:dyDescent="0.2">
      <c r="A1702" s="8" t="str">
        <f t="shared" si="799"/>
        <v>300220429</v>
      </c>
      <c r="B1702" s="8">
        <v>30022</v>
      </c>
      <c r="C1702" s="8">
        <v>4</v>
      </c>
      <c r="D1702" s="8" t="s">
        <v>63</v>
      </c>
      <c r="E1702" s="8">
        <v>9</v>
      </c>
      <c r="F1702" s="34">
        <f t="shared" si="800"/>
        <v>237575</v>
      </c>
      <c r="G1702" s="34">
        <f t="shared" si="800"/>
        <v>237575</v>
      </c>
      <c r="H1702" s="34">
        <f t="shared" si="801"/>
        <v>19500</v>
      </c>
      <c r="I1702" s="34">
        <f t="shared" si="801"/>
        <v>19500</v>
      </c>
      <c r="J1702" s="34">
        <f t="shared" si="802"/>
        <v>1195786</v>
      </c>
      <c r="K1702" s="133">
        <v>1000</v>
      </c>
      <c r="L1702" s="34"/>
      <c r="M1702" s="16">
        <f t="shared" si="793"/>
        <v>188293.09492639394</v>
      </c>
      <c r="N1702" s="36">
        <v>820</v>
      </c>
      <c r="O1702" s="36">
        <v>20</v>
      </c>
      <c r="P1702" s="36">
        <v>13000</v>
      </c>
      <c r="Q1702" s="2" t="s">
        <v>103</v>
      </c>
      <c r="R1702" s="2" t="s">
        <v>735</v>
      </c>
      <c r="S1702" s="56">
        <f>P1702*0.6</f>
        <v>7800</v>
      </c>
      <c r="T1702" s="114"/>
    </row>
    <row r="1703" spans="1:20" x14ac:dyDescent="0.2">
      <c r="A1703" s="8" t="str">
        <f t="shared" si="799"/>
        <v>300220431</v>
      </c>
      <c r="B1703" s="8">
        <v>30022</v>
      </c>
      <c r="C1703" s="8">
        <v>4</v>
      </c>
      <c r="D1703" s="8" t="s">
        <v>64</v>
      </c>
      <c r="E1703" s="8">
        <v>1</v>
      </c>
      <c r="F1703" s="34">
        <f t="shared" si="800"/>
        <v>137500</v>
      </c>
      <c r="G1703" s="34">
        <f t="shared" si="800"/>
        <v>137500</v>
      </c>
      <c r="H1703" s="34">
        <f t="shared" si="801"/>
        <v>31250</v>
      </c>
      <c r="I1703" s="34">
        <f t="shared" si="801"/>
        <v>31250</v>
      </c>
      <c r="J1703" s="34">
        <f t="shared" si="802"/>
        <v>835227</v>
      </c>
      <c r="K1703" s="133">
        <v>1000</v>
      </c>
      <c r="L1703" s="34"/>
      <c r="M1703" s="16">
        <f t="shared" si="793"/>
        <v>151554.42091869176</v>
      </c>
      <c r="N1703" s="36">
        <v>700</v>
      </c>
      <c r="O1703" s="2" t="s">
        <v>332</v>
      </c>
      <c r="P1703" s="36">
        <v>25000</v>
      </c>
      <c r="Q1703" s="2" t="s">
        <v>246</v>
      </c>
      <c r="R1703" s="2" t="s">
        <v>736</v>
      </c>
      <c r="S1703" s="56">
        <f>P1703*0.5</f>
        <v>12500</v>
      </c>
      <c r="T1703" s="114"/>
    </row>
    <row r="1704" spans="1:20" x14ac:dyDescent="0.2">
      <c r="A1704" s="8" t="str">
        <f t="shared" si="799"/>
        <v>300220439</v>
      </c>
      <c r="B1704" s="8">
        <v>30022</v>
      </c>
      <c r="C1704" s="8">
        <v>4</v>
      </c>
      <c r="D1704" s="8" t="s">
        <v>64</v>
      </c>
      <c r="E1704" s="8">
        <v>9</v>
      </c>
      <c r="F1704" s="34">
        <f t="shared" si="800"/>
        <v>481250</v>
      </c>
      <c r="G1704" s="34">
        <f t="shared" si="800"/>
        <v>481250</v>
      </c>
      <c r="H1704" s="34">
        <f t="shared" si="801"/>
        <v>87500</v>
      </c>
      <c r="I1704" s="34">
        <f t="shared" si="801"/>
        <v>87500</v>
      </c>
      <c r="J1704" s="34">
        <f t="shared" si="802"/>
        <v>5154545</v>
      </c>
      <c r="K1704" s="133">
        <v>1000</v>
      </c>
      <c r="L1704" s="34"/>
      <c r="M1704" s="16">
        <f t="shared" si="793"/>
        <v>1178622.0248663267</v>
      </c>
      <c r="N1704" s="36">
        <v>900</v>
      </c>
      <c r="O1704" s="36">
        <v>20</v>
      </c>
      <c r="P1704" s="36">
        <v>35000</v>
      </c>
      <c r="Q1704" s="2" t="s">
        <v>360</v>
      </c>
      <c r="R1704" s="2" t="s">
        <v>737</v>
      </c>
      <c r="S1704" s="56">
        <f>P1704*1</f>
        <v>35000</v>
      </c>
      <c r="T1704" s="114"/>
    </row>
    <row r="1705" spans="1:20" x14ac:dyDescent="0.2">
      <c r="A1705" s="8" t="str">
        <f t="shared" si="799"/>
        <v>300220441</v>
      </c>
      <c r="B1705" s="8">
        <v>30022</v>
      </c>
      <c r="C1705" s="8">
        <v>4</v>
      </c>
      <c r="D1705" s="8" t="s">
        <v>237</v>
      </c>
      <c r="E1705" s="8">
        <v>1</v>
      </c>
      <c r="F1705" s="34">
        <f t="shared" si="800"/>
        <v>150000</v>
      </c>
      <c r="G1705" s="34">
        <f t="shared" si="800"/>
        <v>150000</v>
      </c>
      <c r="H1705" s="34">
        <f t="shared" si="801"/>
        <v>37500</v>
      </c>
      <c r="I1705" s="34">
        <f t="shared" si="801"/>
        <v>37500</v>
      </c>
      <c r="J1705" s="34">
        <f t="shared" si="802"/>
        <v>607500</v>
      </c>
      <c r="K1705" s="133">
        <v>1000</v>
      </c>
      <c r="L1705" s="34"/>
      <c r="M1705" s="16">
        <f t="shared" si="793"/>
        <v>147885.09052639487</v>
      </c>
      <c r="N1705" s="36">
        <v>900</v>
      </c>
      <c r="O1705" s="2" t="s">
        <v>87</v>
      </c>
      <c r="P1705" s="36">
        <v>30000</v>
      </c>
      <c r="Q1705" s="2" t="s">
        <v>122</v>
      </c>
      <c r="R1705" s="2" t="s">
        <v>738</v>
      </c>
      <c r="S1705" s="56">
        <f>P1705*0.5</f>
        <v>15000</v>
      </c>
      <c r="T1705" s="114"/>
    </row>
    <row r="1706" spans="1:20" x14ac:dyDescent="0.2">
      <c r="A1706" s="8" t="str">
        <f t="shared" si="799"/>
        <v>300220449</v>
      </c>
      <c r="B1706" s="8">
        <v>30022</v>
      </c>
      <c r="C1706" s="8">
        <v>4</v>
      </c>
      <c r="D1706" s="8" t="s">
        <v>237</v>
      </c>
      <c r="E1706" s="8">
        <v>9</v>
      </c>
      <c r="F1706" s="34">
        <f t="shared" si="800"/>
        <v>529375</v>
      </c>
      <c r="G1706" s="34">
        <f t="shared" si="800"/>
        <v>529375</v>
      </c>
      <c r="H1706" s="34">
        <f t="shared" si="801"/>
        <v>96250</v>
      </c>
      <c r="I1706" s="34">
        <f t="shared" si="801"/>
        <v>96250</v>
      </c>
      <c r="J1706" s="34">
        <f t="shared" si="802"/>
        <v>7000000</v>
      </c>
      <c r="K1706" s="133">
        <v>1000</v>
      </c>
      <c r="L1706" s="34"/>
      <c r="M1706" s="16">
        <f t="shared" si="793"/>
        <v>1510849.0990168413</v>
      </c>
      <c r="N1706" s="36">
        <v>1000</v>
      </c>
      <c r="O1706" s="36">
        <v>20</v>
      </c>
      <c r="P1706" s="36">
        <v>38500</v>
      </c>
      <c r="Q1706" s="2" t="s">
        <v>360</v>
      </c>
      <c r="R1706" s="2" t="s">
        <v>739</v>
      </c>
      <c r="S1706" s="56">
        <f>P1706*1</f>
        <v>38500</v>
      </c>
      <c r="T1706" s="114"/>
    </row>
    <row r="1707" spans="1:20" x14ac:dyDescent="0.2">
      <c r="A1707" s="38"/>
      <c r="B1707" s="38"/>
      <c r="C1707" s="35" t="s">
        <v>751</v>
      </c>
      <c r="D1707" s="38"/>
      <c r="E1707" s="38"/>
      <c r="F1707" s="38"/>
      <c r="G1707" s="40"/>
      <c r="H1707" s="38"/>
      <c r="I1707" s="38"/>
      <c r="J1707" s="38"/>
      <c r="K1707" s="133">
        <v>1000</v>
      </c>
      <c r="L1707" s="38"/>
      <c r="M1707" s="16">
        <f t="shared" si="793"/>
        <v>0</v>
      </c>
      <c r="N1707" s="42" t="str">
        <f>IF(A1707="","",M1707*#REF!)</f>
        <v/>
      </c>
      <c r="O1707" s="40"/>
      <c r="P1707" s="38"/>
      <c r="Q1707" s="38"/>
      <c r="R1707" s="38"/>
      <c r="S1707" s="40"/>
      <c r="T1707" s="267"/>
    </row>
    <row r="1708" spans="1:20" x14ac:dyDescent="0.2">
      <c r="A1708" s="8" t="str">
        <f t="shared" ref="A1708:A1715" si="803">IF(B1708="","",CONCATENATE(B1708,CONCATENATE(REPT(0,2-LEN(C1708)),C1708),IF(OR(D1708="Easy",D1708=""),1,IF(D1708="Normal",2,IF(D1708="Hard",3,IF(D1708="Hell",4,"error")))),E1708))</f>
        <v>300230111</v>
      </c>
      <c r="B1708" s="8">
        <v>30023</v>
      </c>
      <c r="C1708" s="8">
        <v>1</v>
      </c>
      <c r="D1708" s="8" t="s">
        <v>259</v>
      </c>
      <c r="E1708" s="8">
        <v>1</v>
      </c>
      <c r="F1708" s="34">
        <f t="shared" si="800"/>
        <v>13750</v>
      </c>
      <c r="G1708" s="34">
        <f t="shared" si="800"/>
        <v>13750</v>
      </c>
      <c r="H1708" s="34">
        <f t="shared" si="801"/>
        <v>3750</v>
      </c>
      <c r="I1708" s="34">
        <f t="shared" si="801"/>
        <v>3750</v>
      </c>
      <c r="J1708" s="34">
        <f t="shared" si="802"/>
        <v>42613</v>
      </c>
      <c r="K1708" s="133">
        <v>1000</v>
      </c>
      <c r="L1708" s="34"/>
      <c r="M1708" s="16">
        <f t="shared" ref="M1708:M1716" si="804">(F1708*J1708*((H1708+I1708)/2)/1000)^(1/2)/10*0.8</f>
        <v>3749.9719998954665</v>
      </c>
      <c r="N1708" s="36">
        <v>500</v>
      </c>
      <c r="O1708" s="2" t="s">
        <v>332</v>
      </c>
      <c r="P1708" s="2" t="s">
        <v>585</v>
      </c>
      <c r="Q1708" s="2" t="s">
        <v>246</v>
      </c>
      <c r="R1708" s="2" t="s">
        <v>733</v>
      </c>
      <c r="S1708" s="56">
        <f>P1708*0.6</f>
        <v>1500</v>
      </c>
    </row>
    <row r="1709" spans="1:20" x14ac:dyDescent="0.2">
      <c r="A1709" s="8" t="str">
        <f t="shared" si="803"/>
        <v>300230119</v>
      </c>
      <c r="B1709" s="8">
        <v>30023</v>
      </c>
      <c r="C1709" s="8">
        <v>1</v>
      </c>
      <c r="D1709" s="8" t="s">
        <v>259</v>
      </c>
      <c r="E1709" s="8">
        <v>9</v>
      </c>
      <c r="F1709" s="34">
        <f t="shared" si="800"/>
        <v>73100</v>
      </c>
      <c r="G1709" s="34">
        <f t="shared" si="800"/>
        <v>73100</v>
      </c>
      <c r="H1709" s="34">
        <f t="shared" si="801"/>
        <v>6000</v>
      </c>
      <c r="I1709" s="34">
        <f t="shared" si="801"/>
        <v>6000</v>
      </c>
      <c r="J1709" s="34">
        <f t="shared" si="802"/>
        <v>367934</v>
      </c>
      <c r="K1709" s="133">
        <v>1000</v>
      </c>
      <c r="L1709" s="34"/>
      <c r="M1709" s="16">
        <f t="shared" si="804"/>
        <v>32137.290728373482</v>
      </c>
      <c r="N1709" s="36">
        <v>820</v>
      </c>
      <c r="O1709" s="2" t="s">
        <v>243</v>
      </c>
      <c r="P1709" s="2" t="s">
        <v>177</v>
      </c>
      <c r="Q1709" s="2" t="s">
        <v>102</v>
      </c>
      <c r="R1709" s="2" t="s">
        <v>732</v>
      </c>
      <c r="S1709" s="56">
        <f>P1709*0.6</f>
        <v>2400</v>
      </c>
    </row>
    <row r="1710" spans="1:20" x14ac:dyDescent="0.2">
      <c r="A1710" s="8" t="str">
        <f t="shared" si="803"/>
        <v>300230421</v>
      </c>
      <c r="B1710" s="8">
        <v>30023</v>
      </c>
      <c r="C1710" s="8">
        <v>4</v>
      </c>
      <c r="D1710" s="8" t="s">
        <v>63</v>
      </c>
      <c r="E1710" s="8">
        <v>1</v>
      </c>
      <c r="F1710" s="34">
        <f t="shared" si="800"/>
        <v>52250</v>
      </c>
      <c r="G1710" s="34">
        <f t="shared" si="800"/>
        <v>52250</v>
      </c>
      <c r="H1710" s="34">
        <f t="shared" si="801"/>
        <v>14250</v>
      </c>
      <c r="I1710" s="34">
        <f t="shared" si="801"/>
        <v>14250</v>
      </c>
      <c r="J1710" s="34">
        <f t="shared" si="802"/>
        <v>233181</v>
      </c>
      <c r="K1710" s="133">
        <v>1000</v>
      </c>
      <c r="L1710" s="34"/>
      <c r="M1710" s="16">
        <f t="shared" si="804"/>
        <v>33333.978178429294</v>
      </c>
      <c r="N1710" s="36">
        <v>600</v>
      </c>
      <c r="O1710" s="2" t="s">
        <v>332</v>
      </c>
      <c r="P1710" s="54">
        <v>9500</v>
      </c>
      <c r="Q1710" s="2" t="s">
        <v>246</v>
      </c>
      <c r="R1710" s="2" t="s">
        <v>734</v>
      </c>
      <c r="S1710" s="56">
        <f>P1710*0.6</f>
        <v>5700</v>
      </c>
      <c r="T1710" s="114"/>
    </row>
    <row r="1711" spans="1:20" x14ac:dyDescent="0.2">
      <c r="A1711" s="8" t="str">
        <f t="shared" si="803"/>
        <v>300230429</v>
      </c>
      <c r="B1711" s="8">
        <v>30023</v>
      </c>
      <c r="C1711" s="8">
        <v>4</v>
      </c>
      <c r="D1711" s="8" t="s">
        <v>63</v>
      </c>
      <c r="E1711" s="8">
        <v>9</v>
      </c>
      <c r="F1711" s="34">
        <f t="shared" si="800"/>
        <v>237575</v>
      </c>
      <c r="G1711" s="34">
        <f t="shared" si="800"/>
        <v>237575</v>
      </c>
      <c r="H1711" s="34">
        <f t="shared" si="801"/>
        <v>19500</v>
      </c>
      <c r="I1711" s="34">
        <f t="shared" si="801"/>
        <v>19500</v>
      </c>
      <c r="J1711" s="34">
        <f t="shared" si="802"/>
        <v>1195786</v>
      </c>
      <c r="K1711" s="133">
        <v>1000</v>
      </c>
      <c r="L1711" s="34"/>
      <c r="M1711" s="16">
        <f t="shared" si="804"/>
        <v>188293.09492639394</v>
      </c>
      <c r="N1711" s="36">
        <v>820</v>
      </c>
      <c r="O1711" s="36">
        <v>20</v>
      </c>
      <c r="P1711" s="36">
        <v>13000</v>
      </c>
      <c r="Q1711" s="2" t="s">
        <v>103</v>
      </c>
      <c r="R1711" s="2" t="s">
        <v>462</v>
      </c>
      <c r="S1711" s="56">
        <f>P1711*0.6</f>
        <v>7800</v>
      </c>
      <c r="T1711" s="114"/>
    </row>
    <row r="1712" spans="1:20" x14ac:dyDescent="0.2">
      <c r="A1712" s="8" t="str">
        <f t="shared" si="803"/>
        <v>300230431</v>
      </c>
      <c r="B1712" s="8">
        <v>30023</v>
      </c>
      <c r="C1712" s="8">
        <v>4</v>
      </c>
      <c r="D1712" s="8" t="s">
        <v>64</v>
      </c>
      <c r="E1712" s="8">
        <v>1</v>
      </c>
      <c r="F1712" s="34">
        <f t="shared" si="800"/>
        <v>192500</v>
      </c>
      <c r="G1712" s="34">
        <f t="shared" si="800"/>
        <v>192500</v>
      </c>
      <c r="H1712" s="34">
        <f t="shared" si="801"/>
        <v>43750</v>
      </c>
      <c r="I1712" s="34">
        <f t="shared" si="801"/>
        <v>43750</v>
      </c>
      <c r="J1712" s="34">
        <f t="shared" si="802"/>
        <v>1169318</v>
      </c>
      <c r="K1712" s="133">
        <v>1000</v>
      </c>
      <c r="L1712" s="34"/>
      <c r="M1712" s="16">
        <f t="shared" si="804"/>
        <v>251050.27424800798</v>
      </c>
      <c r="N1712" s="36">
        <v>700</v>
      </c>
      <c r="O1712" s="2" t="s">
        <v>332</v>
      </c>
      <c r="P1712" s="36">
        <v>35000</v>
      </c>
      <c r="Q1712" s="2" t="s">
        <v>246</v>
      </c>
      <c r="R1712" s="2" t="s">
        <v>736</v>
      </c>
      <c r="S1712" s="56">
        <f>P1712*0.5</f>
        <v>17500</v>
      </c>
      <c r="T1712" s="114"/>
    </row>
    <row r="1713" spans="1:20" x14ac:dyDescent="0.2">
      <c r="A1713" s="8" t="str">
        <f t="shared" si="803"/>
        <v>300230439</v>
      </c>
      <c r="B1713" s="8">
        <v>30023</v>
      </c>
      <c r="C1713" s="8">
        <v>4</v>
      </c>
      <c r="D1713" s="8" t="s">
        <v>64</v>
      </c>
      <c r="E1713" s="8">
        <v>9</v>
      </c>
      <c r="F1713" s="34">
        <f t="shared" si="800"/>
        <v>618750</v>
      </c>
      <c r="G1713" s="34">
        <f t="shared" si="800"/>
        <v>618750</v>
      </c>
      <c r="H1713" s="34">
        <f t="shared" si="801"/>
        <v>112500</v>
      </c>
      <c r="I1713" s="34">
        <f t="shared" si="801"/>
        <v>112500</v>
      </c>
      <c r="J1713" s="34">
        <f t="shared" si="802"/>
        <v>6627272</v>
      </c>
      <c r="K1713" s="133">
        <v>1000</v>
      </c>
      <c r="L1713" s="34"/>
      <c r="M1713" s="16">
        <f t="shared" si="804"/>
        <v>1718269.3840024036</v>
      </c>
      <c r="N1713" s="36">
        <v>900</v>
      </c>
      <c r="O1713" s="36">
        <v>20</v>
      </c>
      <c r="P1713" s="36">
        <v>45000</v>
      </c>
      <c r="Q1713" s="2" t="s">
        <v>360</v>
      </c>
      <c r="R1713" s="2" t="s">
        <v>454</v>
      </c>
      <c r="S1713" s="56">
        <f>P1713*1</f>
        <v>45000</v>
      </c>
      <c r="T1713" s="114"/>
    </row>
    <row r="1714" spans="1:20" x14ac:dyDescent="0.2">
      <c r="A1714" s="8" t="str">
        <f t="shared" si="803"/>
        <v>300230441</v>
      </c>
      <c r="B1714" s="8">
        <v>30023</v>
      </c>
      <c r="C1714" s="8">
        <v>4</v>
      </c>
      <c r="D1714" s="8" t="s">
        <v>237</v>
      </c>
      <c r="E1714" s="8">
        <v>1</v>
      </c>
      <c r="F1714" s="34">
        <f t="shared" si="800"/>
        <v>350000</v>
      </c>
      <c r="G1714" s="34">
        <f t="shared" si="800"/>
        <v>350000</v>
      </c>
      <c r="H1714" s="34">
        <f t="shared" si="801"/>
        <v>87500</v>
      </c>
      <c r="I1714" s="34">
        <f t="shared" si="801"/>
        <v>87500</v>
      </c>
      <c r="J1714" s="34">
        <f t="shared" si="802"/>
        <v>1417500</v>
      </c>
      <c r="K1714" s="133">
        <v>1000</v>
      </c>
      <c r="L1714" s="34"/>
      <c r="M1714" s="16">
        <f t="shared" si="804"/>
        <v>527095.81671646761</v>
      </c>
      <c r="N1714" s="36">
        <v>900</v>
      </c>
      <c r="O1714" s="2" t="s">
        <v>87</v>
      </c>
      <c r="P1714" s="36">
        <v>70000</v>
      </c>
      <c r="Q1714" s="2" t="s">
        <v>122</v>
      </c>
      <c r="R1714" s="2" t="s">
        <v>738</v>
      </c>
      <c r="S1714" s="56">
        <f>P1714*0.5</f>
        <v>35000</v>
      </c>
      <c r="T1714" s="114"/>
    </row>
    <row r="1715" spans="1:20" x14ac:dyDescent="0.2">
      <c r="A1715" s="8" t="str">
        <f t="shared" si="803"/>
        <v>300230449</v>
      </c>
      <c r="B1715" s="8">
        <v>30023</v>
      </c>
      <c r="C1715" s="8">
        <v>4</v>
      </c>
      <c r="D1715" s="8" t="s">
        <v>237</v>
      </c>
      <c r="E1715" s="8">
        <v>9</v>
      </c>
      <c r="F1715" s="34">
        <f t="shared" ref="F1715:G1715" si="805">ROUNDDOWN($P1715/4*MIN($O1715,4)*10*$N1715/$N1715*$Q1715/400,0)</f>
        <v>618750</v>
      </c>
      <c r="G1715" s="34">
        <f t="shared" si="805"/>
        <v>618750</v>
      </c>
      <c r="H1715" s="34">
        <f t="shared" ref="H1715:I1715" si="806">ROUNDDOWN($S1715/4*10,0)</f>
        <v>112500</v>
      </c>
      <c r="I1715" s="34">
        <f t="shared" si="806"/>
        <v>112500</v>
      </c>
      <c r="J1715" s="34">
        <f t="shared" si="802"/>
        <v>8181818</v>
      </c>
      <c r="K1715" s="133">
        <v>1000</v>
      </c>
      <c r="L1715" s="34"/>
      <c r="M1715" s="16">
        <f t="shared" si="804"/>
        <v>1909188.2879904748</v>
      </c>
      <c r="N1715" s="36">
        <v>1000</v>
      </c>
      <c r="O1715" s="36">
        <v>20</v>
      </c>
      <c r="P1715" s="36">
        <v>45000</v>
      </c>
      <c r="Q1715" s="2" t="s">
        <v>360</v>
      </c>
      <c r="R1715" s="2" t="s">
        <v>464</v>
      </c>
      <c r="S1715" s="56">
        <f>P1715*1</f>
        <v>45000</v>
      </c>
      <c r="T1715" s="114"/>
    </row>
    <row r="1716" spans="1:20" x14ac:dyDescent="0.2">
      <c r="A1716" s="38"/>
      <c r="B1716" s="38"/>
      <c r="C1716" s="35" t="s">
        <v>811</v>
      </c>
      <c r="D1716" s="38"/>
      <c r="E1716" s="38"/>
      <c r="F1716" s="38"/>
      <c r="G1716" s="40"/>
      <c r="H1716" s="38"/>
      <c r="I1716" s="38"/>
      <c r="J1716" s="38"/>
      <c r="K1716" s="133">
        <v>1000</v>
      </c>
      <c r="L1716" s="38"/>
      <c r="M1716" s="16">
        <f t="shared" si="804"/>
        <v>0</v>
      </c>
      <c r="N1716" s="42" t="str">
        <f>IF(A1716="","",M1716*#REF!)</f>
        <v/>
      </c>
      <c r="O1716" s="40"/>
      <c r="P1716" s="38"/>
      <c r="Q1716" s="38"/>
      <c r="R1716" s="38"/>
      <c r="S1716" s="40"/>
      <c r="T1716" s="267"/>
    </row>
    <row r="1717" spans="1:20" x14ac:dyDescent="0.2">
      <c r="A1717" s="8" t="str">
        <f>IF(B1717="","",CONCATENATE(B1717,CONCATENATE(REPT(0,2-LEN(C1717)),C1717),IF(OR(D1717="Easy",D1717=""),1,IF(D1717="Normal",2,IF(D1717="Hard",3,IF(D1717="Hell",4,"error")))),E1717))</f>
        <v>300270111</v>
      </c>
      <c r="B1717" s="8">
        <v>30027</v>
      </c>
      <c r="C1717" s="8">
        <v>1</v>
      </c>
      <c r="D1717" s="8" t="s">
        <v>259</v>
      </c>
      <c r="E1717" s="8">
        <v>1</v>
      </c>
      <c r="F1717" s="34">
        <f t="shared" ref="F1717:G1724" si="807">ROUNDDOWN($P1717/4*MIN($O1717,4)*10*$N1717/$N1717*$Q1717/400,0)</f>
        <v>13750</v>
      </c>
      <c r="G1717" s="34">
        <f t="shared" si="807"/>
        <v>13750</v>
      </c>
      <c r="H1717" s="34">
        <f t="shared" ref="H1717:I1724" si="808">ROUNDDOWN($S1717/4*10,0)</f>
        <v>3750</v>
      </c>
      <c r="I1717" s="34">
        <f t="shared" si="808"/>
        <v>3750</v>
      </c>
      <c r="J1717" s="34">
        <f t="shared" si="802"/>
        <v>42613</v>
      </c>
      <c r="K1717" s="133">
        <v>1000</v>
      </c>
      <c r="L1717" s="34"/>
      <c r="M1717" s="16">
        <f t="shared" ref="M1717:M1772" si="809">(F1717*J1717*((H1717+I1717)/2)/1000)^(1/2)/10*0.8</f>
        <v>3749.9719998954665</v>
      </c>
      <c r="N1717" s="36">
        <v>500</v>
      </c>
      <c r="O1717" s="2" t="s">
        <v>332</v>
      </c>
      <c r="P1717" s="2" t="s">
        <v>585</v>
      </c>
      <c r="Q1717" s="2" t="s">
        <v>246</v>
      </c>
      <c r="R1717" s="2" t="s">
        <v>733</v>
      </c>
      <c r="S1717" s="56">
        <f>P1717*0.6</f>
        <v>1500</v>
      </c>
    </row>
    <row r="1718" spans="1:20" x14ac:dyDescent="0.2">
      <c r="A1718" s="8" t="str">
        <f t="shared" ref="A1718:A1724" si="810">IF(B1718="","",CONCATENATE(B1718,CONCATENATE(REPT(0,2-LEN(C1718)),C1718),IF(OR(D1718="Easy",D1718=""),1,IF(D1718="Normal",2,IF(D1718="Hard",3,IF(D1718="Hell",4,"error")))),E1718))</f>
        <v>300270119</v>
      </c>
      <c r="B1718" s="8">
        <v>30027</v>
      </c>
      <c r="C1718" s="8">
        <v>1</v>
      </c>
      <c r="D1718" s="8" t="s">
        <v>259</v>
      </c>
      <c r="E1718" s="8">
        <v>9</v>
      </c>
      <c r="F1718" s="34">
        <f t="shared" si="807"/>
        <v>73100</v>
      </c>
      <c r="G1718" s="34">
        <f t="shared" si="807"/>
        <v>73100</v>
      </c>
      <c r="H1718" s="34">
        <f t="shared" si="808"/>
        <v>6000</v>
      </c>
      <c r="I1718" s="34">
        <f t="shared" si="808"/>
        <v>6000</v>
      </c>
      <c r="J1718" s="34">
        <f t="shared" si="802"/>
        <v>367934</v>
      </c>
      <c r="K1718" s="133">
        <v>1000</v>
      </c>
      <c r="L1718" s="34"/>
      <c r="M1718" s="16">
        <f t="shared" si="809"/>
        <v>32137.290728373482</v>
      </c>
      <c r="N1718" s="36">
        <v>820</v>
      </c>
      <c r="O1718" s="2" t="s">
        <v>243</v>
      </c>
      <c r="P1718" s="2" t="s">
        <v>177</v>
      </c>
      <c r="Q1718" s="2" t="s">
        <v>102</v>
      </c>
      <c r="R1718" s="2" t="s">
        <v>732</v>
      </c>
      <c r="S1718" s="56">
        <f>P1718*0.6</f>
        <v>2400</v>
      </c>
    </row>
    <row r="1719" spans="1:20" x14ac:dyDescent="0.2">
      <c r="A1719" s="8" t="str">
        <f t="shared" si="810"/>
        <v>300270421</v>
      </c>
      <c r="B1719" s="8">
        <v>30027</v>
      </c>
      <c r="C1719" s="8">
        <v>4</v>
      </c>
      <c r="D1719" s="8" t="s">
        <v>63</v>
      </c>
      <c r="E1719" s="8">
        <v>1</v>
      </c>
      <c r="F1719" s="34">
        <f t="shared" si="807"/>
        <v>52250</v>
      </c>
      <c r="G1719" s="34">
        <f t="shared" si="807"/>
        <v>52250</v>
      </c>
      <c r="H1719" s="34">
        <f t="shared" si="808"/>
        <v>14250</v>
      </c>
      <c r="I1719" s="34">
        <f t="shared" si="808"/>
        <v>14250</v>
      </c>
      <c r="J1719" s="34">
        <f t="shared" si="802"/>
        <v>233181</v>
      </c>
      <c r="K1719" s="133">
        <v>1000</v>
      </c>
      <c r="L1719" s="34"/>
      <c r="M1719" s="16">
        <f t="shared" si="809"/>
        <v>33333.978178429294</v>
      </c>
      <c r="N1719" s="36">
        <v>600</v>
      </c>
      <c r="O1719" s="2" t="s">
        <v>332</v>
      </c>
      <c r="P1719" s="54">
        <v>9500</v>
      </c>
      <c r="Q1719" s="2" t="s">
        <v>246</v>
      </c>
      <c r="R1719" s="2" t="s">
        <v>734</v>
      </c>
      <c r="S1719" s="56">
        <f>P1719*0.6</f>
        <v>5700</v>
      </c>
      <c r="T1719" s="114"/>
    </row>
    <row r="1720" spans="1:20" x14ac:dyDescent="0.2">
      <c r="A1720" s="8" t="str">
        <f t="shared" si="810"/>
        <v>300270429</v>
      </c>
      <c r="B1720" s="8">
        <v>30027</v>
      </c>
      <c r="C1720" s="8">
        <v>4</v>
      </c>
      <c r="D1720" s="8" t="s">
        <v>63</v>
      </c>
      <c r="E1720" s="8">
        <v>9</v>
      </c>
      <c r="F1720" s="34">
        <f t="shared" si="807"/>
        <v>237575</v>
      </c>
      <c r="G1720" s="34">
        <f t="shared" si="807"/>
        <v>237575</v>
      </c>
      <c r="H1720" s="34">
        <f t="shared" si="808"/>
        <v>19500</v>
      </c>
      <c r="I1720" s="34">
        <f t="shared" si="808"/>
        <v>19500</v>
      </c>
      <c r="J1720" s="34">
        <f t="shared" si="802"/>
        <v>1195786</v>
      </c>
      <c r="K1720" s="133">
        <v>1000</v>
      </c>
      <c r="L1720" s="34"/>
      <c r="M1720" s="16">
        <f t="shared" si="809"/>
        <v>188293.09492639394</v>
      </c>
      <c r="N1720" s="36">
        <v>820</v>
      </c>
      <c r="O1720" s="36">
        <v>20</v>
      </c>
      <c r="P1720" s="36">
        <v>13000</v>
      </c>
      <c r="Q1720" s="2" t="s">
        <v>103</v>
      </c>
      <c r="R1720" s="2" t="s">
        <v>462</v>
      </c>
      <c r="S1720" s="56">
        <f>P1720*0.6</f>
        <v>7800</v>
      </c>
      <c r="T1720" s="114"/>
    </row>
    <row r="1721" spans="1:20" x14ac:dyDescent="0.2">
      <c r="A1721" s="8" t="str">
        <f t="shared" si="810"/>
        <v>300270431</v>
      </c>
      <c r="B1721" s="8">
        <v>30027</v>
      </c>
      <c r="C1721" s="8">
        <v>4</v>
      </c>
      <c r="D1721" s="8" t="s">
        <v>64</v>
      </c>
      <c r="E1721" s="8">
        <v>1</v>
      </c>
      <c r="F1721" s="34">
        <f t="shared" si="807"/>
        <v>192500</v>
      </c>
      <c r="G1721" s="34">
        <f t="shared" si="807"/>
        <v>192500</v>
      </c>
      <c r="H1721" s="34">
        <f t="shared" si="808"/>
        <v>43750</v>
      </c>
      <c r="I1721" s="34">
        <f t="shared" si="808"/>
        <v>43750</v>
      </c>
      <c r="J1721" s="34">
        <f t="shared" si="802"/>
        <v>1169318</v>
      </c>
      <c r="K1721" s="133">
        <v>1000</v>
      </c>
      <c r="L1721" s="34"/>
      <c r="M1721" s="16">
        <f t="shared" si="809"/>
        <v>251050.27424800798</v>
      </c>
      <c r="N1721" s="36">
        <v>700</v>
      </c>
      <c r="O1721" s="2" t="s">
        <v>332</v>
      </c>
      <c r="P1721" s="36">
        <v>35000</v>
      </c>
      <c r="Q1721" s="2" t="s">
        <v>246</v>
      </c>
      <c r="R1721" s="2" t="s">
        <v>736</v>
      </c>
      <c r="S1721" s="56">
        <f>P1721*0.5</f>
        <v>17500</v>
      </c>
      <c r="T1721" s="114"/>
    </row>
    <row r="1722" spans="1:20" x14ac:dyDescent="0.2">
      <c r="A1722" s="8" t="str">
        <f t="shared" si="810"/>
        <v>300270439</v>
      </c>
      <c r="B1722" s="8">
        <v>30027</v>
      </c>
      <c r="C1722" s="8">
        <v>4</v>
      </c>
      <c r="D1722" s="8" t="s">
        <v>64</v>
      </c>
      <c r="E1722" s="8">
        <v>9</v>
      </c>
      <c r="F1722" s="34">
        <f t="shared" si="807"/>
        <v>618750</v>
      </c>
      <c r="G1722" s="34">
        <f t="shared" si="807"/>
        <v>618750</v>
      </c>
      <c r="H1722" s="34">
        <f t="shared" si="808"/>
        <v>112500</v>
      </c>
      <c r="I1722" s="34">
        <f t="shared" si="808"/>
        <v>112500</v>
      </c>
      <c r="J1722" s="34">
        <f t="shared" si="802"/>
        <v>6627272</v>
      </c>
      <c r="K1722" s="133">
        <v>1000</v>
      </c>
      <c r="L1722" s="34"/>
      <c r="M1722" s="16">
        <f t="shared" si="809"/>
        <v>1718269.3840024036</v>
      </c>
      <c r="N1722" s="36">
        <v>900</v>
      </c>
      <c r="O1722" s="36">
        <v>20</v>
      </c>
      <c r="P1722" s="36">
        <v>45000</v>
      </c>
      <c r="Q1722" s="2" t="s">
        <v>360</v>
      </c>
      <c r="R1722" s="2" t="s">
        <v>454</v>
      </c>
      <c r="S1722" s="56">
        <f>P1722*1</f>
        <v>45000</v>
      </c>
      <c r="T1722" s="114"/>
    </row>
    <row r="1723" spans="1:20" x14ac:dyDescent="0.2">
      <c r="A1723" s="8" t="str">
        <f t="shared" si="810"/>
        <v>300270441</v>
      </c>
      <c r="B1723" s="8">
        <v>30027</v>
      </c>
      <c r="C1723" s="8">
        <v>4</v>
      </c>
      <c r="D1723" s="8" t="s">
        <v>237</v>
      </c>
      <c r="E1723" s="8">
        <v>1</v>
      </c>
      <c r="F1723" s="34">
        <f t="shared" si="807"/>
        <v>350000</v>
      </c>
      <c r="G1723" s="34">
        <f t="shared" si="807"/>
        <v>350000</v>
      </c>
      <c r="H1723" s="34">
        <f t="shared" si="808"/>
        <v>87500</v>
      </c>
      <c r="I1723" s="34">
        <f t="shared" si="808"/>
        <v>87500</v>
      </c>
      <c r="J1723" s="34">
        <f t="shared" si="802"/>
        <v>1417500</v>
      </c>
      <c r="K1723" s="133">
        <v>1000</v>
      </c>
      <c r="L1723" s="34"/>
      <c r="M1723" s="16">
        <f t="shared" si="809"/>
        <v>527095.81671646761</v>
      </c>
      <c r="N1723" s="36">
        <v>900</v>
      </c>
      <c r="O1723" s="2" t="s">
        <v>87</v>
      </c>
      <c r="P1723" s="36">
        <v>70000</v>
      </c>
      <c r="Q1723" s="2" t="s">
        <v>122</v>
      </c>
      <c r="R1723" s="2" t="s">
        <v>738</v>
      </c>
      <c r="S1723" s="56">
        <f>P1723*0.5</f>
        <v>35000</v>
      </c>
      <c r="T1723" s="114"/>
    </row>
    <row r="1724" spans="1:20" x14ac:dyDescent="0.2">
      <c r="A1724" s="8" t="str">
        <f t="shared" si="810"/>
        <v>300270449</v>
      </c>
      <c r="B1724" s="8">
        <v>30027</v>
      </c>
      <c r="C1724" s="8">
        <v>4</v>
      </c>
      <c r="D1724" s="8" t="s">
        <v>237</v>
      </c>
      <c r="E1724" s="8">
        <v>9</v>
      </c>
      <c r="F1724" s="34">
        <f t="shared" si="807"/>
        <v>618750</v>
      </c>
      <c r="G1724" s="34">
        <f t="shared" si="807"/>
        <v>618750</v>
      </c>
      <c r="H1724" s="34">
        <f t="shared" si="808"/>
        <v>112500</v>
      </c>
      <c r="I1724" s="34">
        <f t="shared" si="808"/>
        <v>112500</v>
      </c>
      <c r="J1724" s="34">
        <f t="shared" si="802"/>
        <v>8181818</v>
      </c>
      <c r="K1724" s="133">
        <v>1000</v>
      </c>
      <c r="L1724" s="34"/>
      <c r="M1724" s="16">
        <f t="shared" si="809"/>
        <v>1909188.2879904748</v>
      </c>
      <c r="N1724" s="36">
        <v>1000</v>
      </c>
      <c r="O1724" s="36">
        <v>20</v>
      </c>
      <c r="P1724" s="36">
        <v>45000</v>
      </c>
      <c r="Q1724" s="2" t="s">
        <v>360</v>
      </c>
      <c r="R1724" s="2" t="s">
        <v>464</v>
      </c>
      <c r="S1724" s="56">
        <f>P1724*1</f>
        <v>45000</v>
      </c>
      <c r="T1724" s="114"/>
    </row>
    <row r="1725" spans="1:20" x14ac:dyDescent="0.2">
      <c r="A1725" s="38"/>
      <c r="B1725" s="38"/>
      <c r="C1725" s="35" t="s">
        <v>893</v>
      </c>
      <c r="D1725" s="38"/>
      <c r="E1725" s="38"/>
      <c r="F1725" s="38"/>
      <c r="G1725" s="40"/>
      <c r="H1725" s="38"/>
      <c r="I1725" s="38"/>
      <c r="J1725" s="38"/>
      <c r="K1725" s="133">
        <v>1000</v>
      </c>
      <c r="L1725" s="38"/>
      <c r="M1725" s="16">
        <f t="shared" si="809"/>
        <v>0</v>
      </c>
      <c r="N1725" s="42" t="str">
        <f>IF(A1725="","",M1725*#REF!)</f>
        <v/>
      </c>
      <c r="O1725" s="40"/>
      <c r="P1725" s="38"/>
      <c r="Q1725" s="38"/>
      <c r="R1725" s="38"/>
      <c r="S1725" s="40"/>
      <c r="T1725" s="267"/>
    </row>
    <row r="1726" spans="1:20" x14ac:dyDescent="0.2">
      <c r="A1726" s="69" t="str">
        <f>IF(B1726="","",CONCATENATE(B1726,CONCATENATE(REPT(0,2-LEN(C1726)),C1726),IF(OR(D1726="Easy",D1726=""),1,IF(D1726="Normal",2,IF(D1726="Hard",3,IF(D1726="Hell",4,"error")))),E1726))</f>
        <v>300280121</v>
      </c>
      <c r="B1726" s="69">
        <v>30028</v>
      </c>
      <c r="C1726" s="69">
        <v>1</v>
      </c>
      <c r="D1726" s="69" t="s">
        <v>63</v>
      </c>
      <c r="E1726" s="69">
        <v>1</v>
      </c>
      <c r="F1726" s="70">
        <f t="shared" ref="F1726:G1743" si="811">ROUNDDOWN($P1726/4*MIN($O1726,4)*10*$N1726/$N1726*$Q1726/400,0)</f>
        <v>12100</v>
      </c>
      <c r="G1726" s="70">
        <f t="shared" si="811"/>
        <v>12100</v>
      </c>
      <c r="H1726" s="70">
        <f t="shared" ref="H1726:I1743" si="812">ROUNDDOWN($S1726/4*10,0)</f>
        <v>3300</v>
      </c>
      <c r="I1726" s="70">
        <f t="shared" si="812"/>
        <v>3300</v>
      </c>
      <c r="J1726" s="70">
        <f t="shared" ref="J1726:J1752" si="813">ROUNDDOWN($P1726/4*$O1726*10*$N1726/$Q1726*$N1726/400*0.8,0)</f>
        <v>37500</v>
      </c>
      <c r="K1726" s="133">
        <v>1000</v>
      </c>
      <c r="L1726" s="70"/>
      <c r="M1726" s="131">
        <f t="shared" si="809"/>
        <v>3095.674401483464</v>
      </c>
      <c r="N1726" s="71">
        <v>500</v>
      </c>
      <c r="O1726" s="72" t="s">
        <v>332</v>
      </c>
      <c r="P1726" s="72" t="s">
        <v>525</v>
      </c>
      <c r="Q1726" s="72" t="s">
        <v>246</v>
      </c>
      <c r="R1726" s="72" t="s">
        <v>899</v>
      </c>
      <c r="S1726" s="187">
        <f t="shared" ref="S1726:S1751" si="814">P1726*0.6</f>
        <v>1320</v>
      </c>
    </row>
    <row r="1727" spans="1:20" x14ac:dyDescent="0.2">
      <c r="A1727" s="69" t="str">
        <f t="shared" ref="A1727:A1729" si="815">IF(B1727="","",CONCATENATE(B1727,CONCATENATE(REPT(0,2-LEN(C1727)),C1727),IF(OR(D1727="Easy",D1727=""),1,IF(D1727="Normal",2,IF(D1727="Hard",3,IF(D1727="Hell",4,"error")))),E1727))</f>
        <v>300280129</v>
      </c>
      <c r="B1727" s="69">
        <v>30028</v>
      </c>
      <c r="C1727" s="69">
        <v>1</v>
      </c>
      <c r="D1727" s="69" t="s">
        <v>63</v>
      </c>
      <c r="E1727" s="69">
        <v>9</v>
      </c>
      <c r="F1727" s="70">
        <f t="shared" si="811"/>
        <v>51170</v>
      </c>
      <c r="G1727" s="70">
        <f t="shared" si="811"/>
        <v>51170</v>
      </c>
      <c r="H1727" s="70">
        <f t="shared" si="812"/>
        <v>4200</v>
      </c>
      <c r="I1727" s="70">
        <f t="shared" si="812"/>
        <v>4200</v>
      </c>
      <c r="J1727" s="70">
        <f t="shared" si="813"/>
        <v>257554</v>
      </c>
      <c r="K1727" s="133">
        <v>1000</v>
      </c>
      <c r="L1727" s="70"/>
      <c r="M1727" s="131">
        <f t="shared" si="809"/>
        <v>18821.597867301276</v>
      </c>
      <c r="N1727" s="71">
        <v>820</v>
      </c>
      <c r="O1727" s="72" t="s">
        <v>243</v>
      </c>
      <c r="P1727" s="72" t="s">
        <v>587</v>
      </c>
      <c r="Q1727" s="72" t="s">
        <v>102</v>
      </c>
      <c r="R1727" s="72" t="s">
        <v>900</v>
      </c>
      <c r="S1727" s="187">
        <f t="shared" si="814"/>
        <v>1680</v>
      </c>
    </row>
    <row r="1728" spans="1:20" x14ac:dyDescent="0.2">
      <c r="A1728" s="74" t="str">
        <f t="shared" si="815"/>
        <v>300280131</v>
      </c>
      <c r="B1728" s="74">
        <v>30028</v>
      </c>
      <c r="C1728" s="74">
        <v>1</v>
      </c>
      <c r="D1728" s="74" t="s">
        <v>64</v>
      </c>
      <c r="E1728" s="74">
        <v>1</v>
      </c>
      <c r="F1728" s="75">
        <f t="shared" si="811"/>
        <v>49500</v>
      </c>
      <c r="G1728" s="75">
        <f t="shared" si="811"/>
        <v>49500</v>
      </c>
      <c r="H1728" s="75">
        <f t="shared" si="812"/>
        <v>13500</v>
      </c>
      <c r="I1728" s="75">
        <f t="shared" si="812"/>
        <v>13500</v>
      </c>
      <c r="J1728" s="75">
        <f t="shared" si="813"/>
        <v>220909</v>
      </c>
      <c r="K1728" s="133">
        <v>1000</v>
      </c>
      <c r="L1728" s="75"/>
      <c r="M1728" s="188">
        <f t="shared" si="809"/>
        <v>30737.332532280674</v>
      </c>
      <c r="N1728" s="76">
        <v>600</v>
      </c>
      <c r="O1728" s="78" t="s">
        <v>332</v>
      </c>
      <c r="P1728" s="189">
        <v>9000</v>
      </c>
      <c r="Q1728" s="78" t="s">
        <v>246</v>
      </c>
      <c r="R1728" s="78" t="s">
        <v>901</v>
      </c>
      <c r="S1728" s="190">
        <f t="shared" si="814"/>
        <v>5400</v>
      </c>
      <c r="T1728" s="114"/>
    </row>
    <row r="1729" spans="1:20" x14ac:dyDescent="0.2">
      <c r="A1729" s="74" t="str">
        <f t="shared" si="815"/>
        <v>300280139</v>
      </c>
      <c r="B1729" s="74">
        <v>30028</v>
      </c>
      <c r="C1729" s="74">
        <v>1</v>
      </c>
      <c r="D1729" s="74" t="s">
        <v>64</v>
      </c>
      <c r="E1729" s="74">
        <v>9</v>
      </c>
      <c r="F1729" s="75">
        <f t="shared" si="811"/>
        <v>179095</v>
      </c>
      <c r="G1729" s="75">
        <f t="shared" si="811"/>
        <v>179095</v>
      </c>
      <c r="H1729" s="75">
        <f t="shared" si="812"/>
        <v>14700</v>
      </c>
      <c r="I1729" s="75">
        <f t="shared" si="812"/>
        <v>14700</v>
      </c>
      <c r="J1729" s="75">
        <f t="shared" si="813"/>
        <v>901439</v>
      </c>
      <c r="K1729" s="133">
        <v>1000</v>
      </c>
      <c r="L1729" s="75"/>
      <c r="M1729" s="188">
        <f t="shared" si="809"/>
        <v>123241.94870938384</v>
      </c>
      <c r="N1729" s="76">
        <v>820</v>
      </c>
      <c r="O1729" s="76">
        <v>20</v>
      </c>
      <c r="P1729" s="76">
        <v>9800</v>
      </c>
      <c r="Q1729" s="78" t="s">
        <v>103</v>
      </c>
      <c r="R1729" s="78" t="s">
        <v>902</v>
      </c>
      <c r="S1729" s="190">
        <f t="shared" si="814"/>
        <v>5880</v>
      </c>
      <c r="T1729" s="114"/>
    </row>
    <row r="1730" spans="1:20" x14ac:dyDescent="0.2">
      <c r="A1730" s="69" t="str">
        <f>IF(B1730="","",CONCATENATE(B1730,CONCATENATE(REPT(0,2-LEN(C1730)),C1730),IF(OR(D1730="Easy",D1730=""),1,IF(D1730="Normal",2,IF(D1730="Hard",3,IF(D1730="Hell",4,"error")))),E1730))</f>
        <v>300280221</v>
      </c>
      <c r="B1730" s="69">
        <v>30028</v>
      </c>
      <c r="C1730" s="69">
        <v>2</v>
      </c>
      <c r="D1730" s="69" t="s">
        <v>63</v>
      </c>
      <c r="E1730" s="69">
        <v>1</v>
      </c>
      <c r="F1730" s="70">
        <f t="shared" si="811"/>
        <v>12100</v>
      </c>
      <c r="G1730" s="70">
        <f t="shared" si="811"/>
        <v>12100</v>
      </c>
      <c r="H1730" s="70">
        <f t="shared" si="812"/>
        <v>3300</v>
      </c>
      <c r="I1730" s="70">
        <f t="shared" si="812"/>
        <v>3300</v>
      </c>
      <c r="J1730" s="70">
        <f t="shared" si="813"/>
        <v>37500</v>
      </c>
      <c r="K1730" s="133">
        <v>1000</v>
      </c>
      <c r="L1730" s="70"/>
      <c r="M1730" s="131">
        <f t="shared" si="809"/>
        <v>3095.674401483464</v>
      </c>
      <c r="N1730" s="71">
        <v>500</v>
      </c>
      <c r="O1730" s="72" t="s">
        <v>332</v>
      </c>
      <c r="P1730" s="72" t="s">
        <v>525</v>
      </c>
      <c r="Q1730" s="72" t="s">
        <v>246</v>
      </c>
      <c r="R1730" s="72" t="s">
        <v>899</v>
      </c>
      <c r="S1730" s="187">
        <f t="shared" si="814"/>
        <v>1320</v>
      </c>
    </row>
    <row r="1731" spans="1:20" x14ac:dyDescent="0.2">
      <c r="A1731" s="69" t="str">
        <f t="shared" ref="A1731:A1733" si="816">IF(B1731="","",CONCATENATE(B1731,CONCATENATE(REPT(0,2-LEN(C1731)),C1731),IF(OR(D1731="Easy",D1731=""),1,IF(D1731="Normal",2,IF(D1731="Hard",3,IF(D1731="Hell",4,"error")))),E1731))</f>
        <v>300280229</v>
      </c>
      <c r="B1731" s="69">
        <v>30028</v>
      </c>
      <c r="C1731" s="69">
        <v>2</v>
      </c>
      <c r="D1731" s="69" t="s">
        <v>63</v>
      </c>
      <c r="E1731" s="69">
        <v>9</v>
      </c>
      <c r="F1731" s="70">
        <f t="shared" si="811"/>
        <v>51170</v>
      </c>
      <c r="G1731" s="70">
        <f t="shared" si="811"/>
        <v>51170</v>
      </c>
      <c r="H1731" s="70">
        <f t="shared" si="812"/>
        <v>4200</v>
      </c>
      <c r="I1731" s="70">
        <f t="shared" si="812"/>
        <v>4200</v>
      </c>
      <c r="J1731" s="70">
        <f t="shared" si="813"/>
        <v>257554</v>
      </c>
      <c r="K1731" s="133">
        <v>1000</v>
      </c>
      <c r="L1731" s="70"/>
      <c r="M1731" s="131">
        <f t="shared" si="809"/>
        <v>18821.597867301276</v>
      </c>
      <c r="N1731" s="71">
        <v>820</v>
      </c>
      <c r="O1731" s="72" t="s">
        <v>243</v>
      </c>
      <c r="P1731" s="72" t="s">
        <v>587</v>
      </c>
      <c r="Q1731" s="72" t="s">
        <v>102</v>
      </c>
      <c r="R1731" s="72" t="s">
        <v>900</v>
      </c>
      <c r="S1731" s="187">
        <f t="shared" si="814"/>
        <v>1680</v>
      </c>
    </row>
    <row r="1732" spans="1:20" x14ac:dyDescent="0.2">
      <c r="A1732" s="74" t="str">
        <f t="shared" si="816"/>
        <v>300280231</v>
      </c>
      <c r="B1732" s="74">
        <v>30028</v>
      </c>
      <c r="C1732" s="74">
        <v>2</v>
      </c>
      <c r="D1732" s="74" t="s">
        <v>64</v>
      </c>
      <c r="E1732" s="74">
        <v>1</v>
      </c>
      <c r="F1732" s="75">
        <f t="shared" si="811"/>
        <v>49500</v>
      </c>
      <c r="G1732" s="75">
        <f t="shared" si="811"/>
        <v>49500</v>
      </c>
      <c r="H1732" s="75">
        <f t="shared" si="812"/>
        <v>13500</v>
      </c>
      <c r="I1732" s="75">
        <f t="shared" si="812"/>
        <v>13500</v>
      </c>
      <c r="J1732" s="75">
        <f t="shared" si="813"/>
        <v>220909</v>
      </c>
      <c r="K1732" s="133">
        <v>1000</v>
      </c>
      <c r="L1732" s="75"/>
      <c r="M1732" s="188">
        <f t="shared" si="809"/>
        <v>30737.332532280674</v>
      </c>
      <c r="N1732" s="76">
        <v>600</v>
      </c>
      <c r="O1732" s="78" t="s">
        <v>332</v>
      </c>
      <c r="P1732" s="189">
        <v>9000</v>
      </c>
      <c r="Q1732" s="78" t="s">
        <v>246</v>
      </c>
      <c r="R1732" s="78" t="s">
        <v>901</v>
      </c>
      <c r="S1732" s="190">
        <f t="shared" si="814"/>
        <v>5400</v>
      </c>
      <c r="T1732" s="114"/>
    </row>
    <row r="1733" spans="1:20" x14ac:dyDescent="0.2">
      <c r="A1733" s="74" t="str">
        <f t="shared" si="816"/>
        <v>300280239</v>
      </c>
      <c r="B1733" s="74">
        <v>30028</v>
      </c>
      <c r="C1733" s="74">
        <v>2</v>
      </c>
      <c r="D1733" s="74" t="s">
        <v>64</v>
      </c>
      <c r="E1733" s="74">
        <v>9</v>
      </c>
      <c r="F1733" s="75">
        <f t="shared" si="811"/>
        <v>179095</v>
      </c>
      <c r="G1733" s="75">
        <f t="shared" si="811"/>
        <v>179095</v>
      </c>
      <c r="H1733" s="75">
        <f t="shared" si="812"/>
        <v>14700</v>
      </c>
      <c r="I1733" s="75">
        <f t="shared" si="812"/>
        <v>14700</v>
      </c>
      <c r="J1733" s="75">
        <f t="shared" si="813"/>
        <v>901439</v>
      </c>
      <c r="K1733" s="133">
        <v>1000</v>
      </c>
      <c r="L1733" s="75"/>
      <c r="M1733" s="188">
        <f t="shared" si="809"/>
        <v>123241.94870938384</v>
      </c>
      <c r="N1733" s="76">
        <v>820</v>
      </c>
      <c r="O1733" s="76">
        <v>20</v>
      </c>
      <c r="P1733" s="76">
        <v>9800</v>
      </c>
      <c r="Q1733" s="78" t="s">
        <v>103</v>
      </c>
      <c r="R1733" s="78" t="s">
        <v>902</v>
      </c>
      <c r="S1733" s="190">
        <f t="shared" si="814"/>
        <v>5880</v>
      </c>
      <c r="T1733" s="114"/>
    </row>
    <row r="1734" spans="1:20" x14ac:dyDescent="0.2">
      <c r="A1734" s="69" t="str">
        <f>IF(B1734="","",CONCATENATE(B1734,CONCATENATE(REPT(0,2-LEN(C1734)),C1734),IF(OR(D1734="Easy",D1734=""),1,IF(D1734="Normal",2,IF(D1734="Hard",3,IF(D1734="Hell",4,"error")))),E1734))</f>
        <v>300280321</v>
      </c>
      <c r="B1734" s="69">
        <v>30028</v>
      </c>
      <c r="C1734" s="69">
        <v>3</v>
      </c>
      <c r="D1734" s="69" t="s">
        <v>63</v>
      </c>
      <c r="E1734" s="69">
        <v>1</v>
      </c>
      <c r="F1734" s="70">
        <f t="shared" si="811"/>
        <v>12100</v>
      </c>
      <c r="G1734" s="70">
        <f t="shared" si="811"/>
        <v>12100</v>
      </c>
      <c r="H1734" s="70">
        <f t="shared" si="812"/>
        <v>3300</v>
      </c>
      <c r="I1734" s="70">
        <f t="shared" si="812"/>
        <v>3300</v>
      </c>
      <c r="J1734" s="70">
        <f t="shared" si="813"/>
        <v>37500</v>
      </c>
      <c r="K1734" s="133">
        <v>1000</v>
      </c>
      <c r="L1734" s="70"/>
      <c r="M1734" s="131">
        <f t="shared" si="809"/>
        <v>3095.674401483464</v>
      </c>
      <c r="N1734" s="71">
        <v>500</v>
      </c>
      <c r="O1734" s="72" t="s">
        <v>332</v>
      </c>
      <c r="P1734" s="72" t="s">
        <v>525</v>
      </c>
      <c r="Q1734" s="72" t="s">
        <v>246</v>
      </c>
      <c r="R1734" s="72" t="s">
        <v>899</v>
      </c>
      <c r="S1734" s="187">
        <f t="shared" si="814"/>
        <v>1320</v>
      </c>
    </row>
    <row r="1735" spans="1:20" x14ac:dyDescent="0.2">
      <c r="A1735" s="69" t="str">
        <f t="shared" ref="A1735:A1737" si="817">IF(B1735="","",CONCATENATE(B1735,CONCATENATE(REPT(0,2-LEN(C1735)),C1735),IF(OR(D1735="Easy",D1735=""),1,IF(D1735="Normal",2,IF(D1735="Hard",3,IF(D1735="Hell",4,"error")))),E1735))</f>
        <v>300280329</v>
      </c>
      <c r="B1735" s="69">
        <v>30028</v>
      </c>
      <c r="C1735" s="69">
        <v>3</v>
      </c>
      <c r="D1735" s="69" t="s">
        <v>63</v>
      </c>
      <c r="E1735" s="69">
        <v>9</v>
      </c>
      <c r="F1735" s="70">
        <f t="shared" si="811"/>
        <v>45687</v>
      </c>
      <c r="G1735" s="70">
        <f t="shared" si="811"/>
        <v>45687</v>
      </c>
      <c r="H1735" s="70">
        <f t="shared" si="812"/>
        <v>3750</v>
      </c>
      <c r="I1735" s="70">
        <f t="shared" si="812"/>
        <v>3750</v>
      </c>
      <c r="J1735" s="70">
        <f t="shared" si="813"/>
        <v>229958</v>
      </c>
      <c r="K1735" s="133">
        <v>1000</v>
      </c>
      <c r="L1735" s="70"/>
      <c r="M1735" s="131">
        <f t="shared" si="809"/>
        <v>15879.111672382684</v>
      </c>
      <c r="N1735" s="71">
        <v>820</v>
      </c>
      <c r="O1735" s="72" t="s">
        <v>243</v>
      </c>
      <c r="P1735" s="72" t="s">
        <v>585</v>
      </c>
      <c r="Q1735" s="72" t="s">
        <v>102</v>
      </c>
      <c r="R1735" s="72" t="s">
        <v>900</v>
      </c>
      <c r="S1735" s="187">
        <f t="shared" si="814"/>
        <v>1500</v>
      </c>
    </row>
    <row r="1736" spans="1:20" x14ac:dyDescent="0.2">
      <c r="A1736" s="74" t="str">
        <f t="shared" si="817"/>
        <v>300280331</v>
      </c>
      <c r="B1736" s="74">
        <v>30028</v>
      </c>
      <c r="C1736" s="74">
        <v>3</v>
      </c>
      <c r="D1736" s="74" t="s">
        <v>64</v>
      </c>
      <c r="E1736" s="74">
        <v>1</v>
      </c>
      <c r="F1736" s="75">
        <f t="shared" si="811"/>
        <v>49500</v>
      </c>
      <c r="G1736" s="75">
        <f t="shared" si="811"/>
        <v>49500</v>
      </c>
      <c r="H1736" s="75">
        <f t="shared" si="812"/>
        <v>13500</v>
      </c>
      <c r="I1736" s="75">
        <f t="shared" si="812"/>
        <v>13500</v>
      </c>
      <c r="J1736" s="75">
        <f t="shared" si="813"/>
        <v>220909</v>
      </c>
      <c r="K1736" s="133">
        <v>1000</v>
      </c>
      <c r="L1736" s="75"/>
      <c r="M1736" s="188">
        <f t="shared" si="809"/>
        <v>30737.332532280674</v>
      </c>
      <c r="N1736" s="76">
        <v>600</v>
      </c>
      <c r="O1736" s="78" t="s">
        <v>332</v>
      </c>
      <c r="P1736" s="189">
        <v>9000</v>
      </c>
      <c r="Q1736" s="78" t="s">
        <v>246</v>
      </c>
      <c r="R1736" s="78" t="s">
        <v>901</v>
      </c>
      <c r="S1736" s="190">
        <f t="shared" si="814"/>
        <v>5400</v>
      </c>
      <c r="T1736" s="114"/>
    </row>
    <row r="1737" spans="1:20" x14ac:dyDescent="0.2">
      <c r="A1737" s="74" t="str">
        <f t="shared" si="817"/>
        <v>300280339</v>
      </c>
      <c r="B1737" s="74">
        <v>30028</v>
      </c>
      <c r="C1737" s="74">
        <v>3</v>
      </c>
      <c r="D1737" s="74" t="s">
        <v>64</v>
      </c>
      <c r="E1737" s="74">
        <v>9</v>
      </c>
      <c r="F1737" s="75">
        <f t="shared" si="811"/>
        <v>173612</v>
      </c>
      <c r="G1737" s="75">
        <f t="shared" si="811"/>
        <v>173612</v>
      </c>
      <c r="H1737" s="75">
        <f t="shared" si="812"/>
        <v>14250</v>
      </c>
      <c r="I1737" s="75">
        <f t="shared" si="812"/>
        <v>14250</v>
      </c>
      <c r="J1737" s="75">
        <f t="shared" si="813"/>
        <v>873844</v>
      </c>
      <c r="K1737" s="133">
        <v>1000</v>
      </c>
      <c r="L1737" s="75"/>
      <c r="M1737" s="188">
        <f t="shared" si="809"/>
        <v>117626.24780614913</v>
      </c>
      <c r="N1737" s="76">
        <v>820</v>
      </c>
      <c r="O1737" s="76">
        <v>20</v>
      </c>
      <c r="P1737" s="76">
        <v>9500</v>
      </c>
      <c r="Q1737" s="78" t="s">
        <v>103</v>
      </c>
      <c r="R1737" s="78" t="s">
        <v>902</v>
      </c>
      <c r="S1737" s="190">
        <f t="shared" si="814"/>
        <v>5700</v>
      </c>
      <c r="T1737" s="114"/>
    </row>
    <row r="1738" spans="1:20" x14ac:dyDescent="0.2">
      <c r="A1738" s="69" t="str">
        <f>IF(B1738="","",CONCATENATE(B1738,CONCATENATE(REPT(0,2-LEN(C1738)),C1738),IF(OR(D1738="Easy",D1738=""),1,IF(D1738="Normal",2,IF(D1738="Hard",3,IF(D1738="Hell",4,"error")))),E1738))</f>
        <v>300280421</v>
      </c>
      <c r="B1738" s="69">
        <v>30028</v>
      </c>
      <c r="C1738" s="69">
        <v>4</v>
      </c>
      <c r="D1738" s="69" t="s">
        <v>63</v>
      </c>
      <c r="E1738" s="69">
        <v>1</v>
      </c>
      <c r="F1738" s="70">
        <f t="shared" si="811"/>
        <v>12100</v>
      </c>
      <c r="G1738" s="70">
        <f t="shared" si="811"/>
        <v>12100</v>
      </c>
      <c r="H1738" s="70">
        <f t="shared" si="812"/>
        <v>3300</v>
      </c>
      <c r="I1738" s="70">
        <f t="shared" si="812"/>
        <v>3300</v>
      </c>
      <c r="J1738" s="70">
        <f t="shared" si="813"/>
        <v>37500</v>
      </c>
      <c r="K1738" s="133">
        <v>1000</v>
      </c>
      <c r="L1738" s="70"/>
      <c r="M1738" s="131">
        <f t="shared" si="809"/>
        <v>3095.674401483464</v>
      </c>
      <c r="N1738" s="71">
        <v>500</v>
      </c>
      <c r="O1738" s="72" t="s">
        <v>332</v>
      </c>
      <c r="P1738" s="72" t="s">
        <v>525</v>
      </c>
      <c r="Q1738" s="72" t="s">
        <v>246</v>
      </c>
      <c r="R1738" s="72" t="s">
        <v>899</v>
      </c>
      <c r="S1738" s="187">
        <f t="shared" si="814"/>
        <v>1320</v>
      </c>
    </row>
    <row r="1739" spans="1:20" x14ac:dyDescent="0.2">
      <c r="A1739" s="69" t="str">
        <f t="shared" ref="A1739:A1741" si="818">IF(B1739="","",CONCATENATE(B1739,CONCATENATE(REPT(0,2-LEN(C1739)),C1739),IF(OR(D1739="Easy",D1739=""),1,IF(D1739="Normal",2,IF(D1739="Hard",3,IF(D1739="Hell",4,"error")))),E1739))</f>
        <v>300280429</v>
      </c>
      <c r="B1739" s="69">
        <v>30028</v>
      </c>
      <c r="C1739" s="69">
        <v>4</v>
      </c>
      <c r="D1739" s="69" t="s">
        <v>63</v>
      </c>
      <c r="E1739" s="69">
        <v>9</v>
      </c>
      <c r="F1739" s="70">
        <f t="shared" si="811"/>
        <v>47515</v>
      </c>
      <c r="G1739" s="70">
        <f t="shared" si="811"/>
        <v>47515</v>
      </c>
      <c r="H1739" s="70">
        <f t="shared" si="812"/>
        <v>3900</v>
      </c>
      <c r="I1739" s="70">
        <f t="shared" si="812"/>
        <v>3900</v>
      </c>
      <c r="J1739" s="70">
        <f t="shared" si="813"/>
        <v>239157</v>
      </c>
      <c r="K1739" s="133">
        <v>1000</v>
      </c>
      <c r="L1739" s="70"/>
      <c r="M1739" s="131">
        <f t="shared" si="809"/>
        <v>16841.439355969549</v>
      </c>
      <c r="N1739" s="71">
        <v>820</v>
      </c>
      <c r="O1739" s="72" t="s">
        <v>243</v>
      </c>
      <c r="P1739" s="72" t="s">
        <v>447</v>
      </c>
      <c r="Q1739" s="72" t="s">
        <v>102</v>
      </c>
      <c r="R1739" s="72" t="s">
        <v>900</v>
      </c>
      <c r="S1739" s="187">
        <f t="shared" si="814"/>
        <v>1560</v>
      </c>
    </row>
    <row r="1740" spans="1:20" x14ac:dyDescent="0.2">
      <c r="A1740" s="74" t="str">
        <f t="shared" si="818"/>
        <v>300280431</v>
      </c>
      <c r="B1740" s="74">
        <v>30028</v>
      </c>
      <c r="C1740" s="74">
        <v>4</v>
      </c>
      <c r="D1740" s="74" t="s">
        <v>64</v>
      </c>
      <c r="E1740" s="74">
        <v>1</v>
      </c>
      <c r="F1740" s="75">
        <f t="shared" si="811"/>
        <v>49500</v>
      </c>
      <c r="G1740" s="75">
        <f t="shared" si="811"/>
        <v>49500</v>
      </c>
      <c r="H1740" s="75">
        <f t="shared" si="812"/>
        <v>13500</v>
      </c>
      <c r="I1740" s="75">
        <f t="shared" si="812"/>
        <v>13500</v>
      </c>
      <c r="J1740" s="75">
        <f t="shared" si="813"/>
        <v>220909</v>
      </c>
      <c r="K1740" s="133">
        <v>1000</v>
      </c>
      <c r="L1740" s="75"/>
      <c r="M1740" s="188">
        <f t="shared" si="809"/>
        <v>30737.332532280674</v>
      </c>
      <c r="N1740" s="76">
        <v>600</v>
      </c>
      <c r="O1740" s="78" t="s">
        <v>332</v>
      </c>
      <c r="P1740" s="189">
        <v>9000</v>
      </c>
      <c r="Q1740" s="78" t="s">
        <v>246</v>
      </c>
      <c r="R1740" s="78" t="s">
        <v>901</v>
      </c>
      <c r="S1740" s="190">
        <f t="shared" si="814"/>
        <v>5400</v>
      </c>
      <c r="T1740" s="114"/>
    </row>
    <row r="1741" spans="1:20" x14ac:dyDescent="0.2">
      <c r="A1741" s="74" t="str">
        <f t="shared" si="818"/>
        <v>300280439</v>
      </c>
      <c r="B1741" s="74">
        <v>30028</v>
      </c>
      <c r="C1741" s="74">
        <v>4</v>
      </c>
      <c r="D1741" s="74" t="s">
        <v>64</v>
      </c>
      <c r="E1741" s="74">
        <v>9</v>
      </c>
      <c r="F1741" s="75">
        <f t="shared" si="811"/>
        <v>175440</v>
      </c>
      <c r="G1741" s="75">
        <f t="shared" si="811"/>
        <v>175440</v>
      </c>
      <c r="H1741" s="75">
        <f t="shared" si="812"/>
        <v>14400</v>
      </c>
      <c r="I1741" s="75">
        <f t="shared" si="812"/>
        <v>14400</v>
      </c>
      <c r="J1741" s="75">
        <f t="shared" si="813"/>
        <v>883042</v>
      </c>
      <c r="K1741" s="133">
        <v>1000</v>
      </c>
      <c r="L1741" s="75"/>
      <c r="M1741" s="188">
        <f t="shared" si="809"/>
        <v>119488.53117482364</v>
      </c>
      <c r="N1741" s="76">
        <v>820</v>
      </c>
      <c r="O1741" s="76">
        <v>20</v>
      </c>
      <c r="P1741" s="76">
        <v>9600</v>
      </c>
      <c r="Q1741" s="78" t="s">
        <v>103</v>
      </c>
      <c r="R1741" s="78" t="s">
        <v>902</v>
      </c>
      <c r="S1741" s="190">
        <f t="shared" si="814"/>
        <v>5760</v>
      </c>
      <c r="T1741" s="114"/>
    </row>
    <row r="1742" spans="1:20" x14ac:dyDescent="0.2">
      <c r="A1742" s="69" t="str">
        <f>IF(B1742="","",CONCATENATE(B1742,CONCATENATE(REPT(0,2-LEN(C1742)),C1742),IF(OR(D1742="Easy",D1742=""),1,IF(D1742="Normal",2,IF(D1742="Hard",3,IF(D1742="Hell",4,"error")))),E1742))</f>
        <v>300280521</v>
      </c>
      <c r="B1742" s="69">
        <v>30028</v>
      </c>
      <c r="C1742" s="69">
        <v>5</v>
      </c>
      <c r="D1742" s="69" t="s">
        <v>63</v>
      </c>
      <c r="E1742" s="69">
        <v>1</v>
      </c>
      <c r="F1742" s="70">
        <f t="shared" si="811"/>
        <v>12100</v>
      </c>
      <c r="G1742" s="70">
        <f t="shared" si="811"/>
        <v>12100</v>
      </c>
      <c r="H1742" s="70">
        <f t="shared" si="812"/>
        <v>3300</v>
      </c>
      <c r="I1742" s="70">
        <f t="shared" si="812"/>
        <v>3300</v>
      </c>
      <c r="J1742" s="70">
        <f t="shared" si="813"/>
        <v>37500</v>
      </c>
      <c r="K1742" s="133">
        <v>1000</v>
      </c>
      <c r="L1742" s="70"/>
      <c r="M1742" s="131">
        <f t="shared" si="809"/>
        <v>3095.674401483464</v>
      </c>
      <c r="N1742" s="71">
        <v>500</v>
      </c>
      <c r="O1742" s="72" t="s">
        <v>332</v>
      </c>
      <c r="P1742" s="72" t="s">
        <v>525</v>
      </c>
      <c r="Q1742" s="72" t="s">
        <v>246</v>
      </c>
      <c r="R1742" s="72" t="s">
        <v>899</v>
      </c>
      <c r="S1742" s="187">
        <f t="shared" si="814"/>
        <v>1320</v>
      </c>
    </row>
    <row r="1743" spans="1:20" x14ac:dyDescent="0.2">
      <c r="A1743" s="69" t="str">
        <f t="shared" ref="A1743:A1745" si="819">IF(B1743="","",CONCATENATE(B1743,CONCATENATE(REPT(0,2-LEN(C1743)),C1743),IF(OR(D1743="Easy",D1743=""),1,IF(D1743="Normal",2,IF(D1743="Hard",3,IF(D1743="Hell",4,"error")))),E1743))</f>
        <v>300280529</v>
      </c>
      <c r="B1743" s="69">
        <v>30028</v>
      </c>
      <c r="C1743" s="69">
        <v>5</v>
      </c>
      <c r="D1743" s="69" t="s">
        <v>63</v>
      </c>
      <c r="E1743" s="69">
        <v>9</v>
      </c>
      <c r="F1743" s="70">
        <f t="shared" si="811"/>
        <v>51170</v>
      </c>
      <c r="G1743" s="70">
        <f t="shared" si="811"/>
        <v>51170</v>
      </c>
      <c r="H1743" s="70">
        <f t="shared" si="812"/>
        <v>4200</v>
      </c>
      <c r="I1743" s="70">
        <f t="shared" si="812"/>
        <v>4200</v>
      </c>
      <c r="J1743" s="70">
        <f t="shared" si="813"/>
        <v>257554</v>
      </c>
      <c r="K1743" s="133">
        <v>1000</v>
      </c>
      <c r="L1743" s="70"/>
      <c r="M1743" s="131">
        <f t="shared" si="809"/>
        <v>18821.597867301276</v>
      </c>
      <c r="N1743" s="71">
        <v>820</v>
      </c>
      <c r="O1743" s="72" t="s">
        <v>243</v>
      </c>
      <c r="P1743" s="72" t="s">
        <v>587</v>
      </c>
      <c r="Q1743" s="72" t="s">
        <v>102</v>
      </c>
      <c r="R1743" s="72" t="s">
        <v>900</v>
      </c>
      <c r="S1743" s="187">
        <f t="shared" si="814"/>
        <v>1680</v>
      </c>
    </row>
    <row r="1744" spans="1:20" x14ac:dyDescent="0.2">
      <c r="A1744" s="74" t="str">
        <f t="shared" si="819"/>
        <v>300280531</v>
      </c>
      <c r="B1744" s="74">
        <v>30028</v>
      </c>
      <c r="C1744" s="74">
        <v>5</v>
      </c>
      <c r="D1744" s="74" t="s">
        <v>64</v>
      </c>
      <c r="E1744" s="74">
        <v>1</v>
      </c>
      <c r="F1744" s="75">
        <f t="shared" ref="F1744:G1752" si="820">ROUNDDOWN($P1744/4*MIN($O1744,4)*10*$N1744/$N1744*$Q1744/400,0)</f>
        <v>49500</v>
      </c>
      <c r="G1744" s="75">
        <f t="shared" si="820"/>
        <v>49500</v>
      </c>
      <c r="H1744" s="75">
        <f t="shared" ref="H1744:I1752" si="821">ROUNDDOWN($S1744/4*10,0)</f>
        <v>13500</v>
      </c>
      <c r="I1744" s="75">
        <f t="shared" si="821"/>
        <v>13500</v>
      </c>
      <c r="J1744" s="75">
        <f t="shared" si="813"/>
        <v>220909</v>
      </c>
      <c r="K1744" s="133">
        <v>1000</v>
      </c>
      <c r="L1744" s="75"/>
      <c r="M1744" s="188">
        <f t="shared" si="809"/>
        <v>30737.332532280674</v>
      </c>
      <c r="N1744" s="76">
        <v>600</v>
      </c>
      <c r="O1744" s="78" t="s">
        <v>332</v>
      </c>
      <c r="P1744" s="189">
        <v>9000</v>
      </c>
      <c r="Q1744" s="78" t="s">
        <v>246</v>
      </c>
      <c r="R1744" s="78" t="s">
        <v>901</v>
      </c>
      <c r="S1744" s="190">
        <f t="shared" si="814"/>
        <v>5400</v>
      </c>
      <c r="T1744" s="114"/>
    </row>
    <row r="1745" spans="1:20" x14ac:dyDescent="0.2">
      <c r="A1745" s="74" t="str">
        <f t="shared" si="819"/>
        <v>300280539</v>
      </c>
      <c r="B1745" s="74">
        <v>30028</v>
      </c>
      <c r="C1745" s="74">
        <v>5</v>
      </c>
      <c r="D1745" s="74" t="s">
        <v>64</v>
      </c>
      <c r="E1745" s="74">
        <v>9</v>
      </c>
      <c r="F1745" s="75">
        <f t="shared" si="820"/>
        <v>179095</v>
      </c>
      <c r="G1745" s="75">
        <f t="shared" si="820"/>
        <v>179095</v>
      </c>
      <c r="H1745" s="75">
        <f t="shared" si="821"/>
        <v>14700</v>
      </c>
      <c r="I1745" s="75">
        <f t="shared" si="821"/>
        <v>14700</v>
      </c>
      <c r="J1745" s="75">
        <f t="shared" si="813"/>
        <v>901439</v>
      </c>
      <c r="K1745" s="133">
        <v>1000</v>
      </c>
      <c r="L1745" s="75"/>
      <c r="M1745" s="188">
        <f t="shared" si="809"/>
        <v>123241.94870938384</v>
      </c>
      <c r="N1745" s="76">
        <v>820</v>
      </c>
      <c r="O1745" s="76">
        <v>20</v>
      </c>
      <c r="P1745" s="76">
        <v>9800</v>
      </c>
      <c r="Q1745" s="78" t="s">
        <v>103</v>
      </c>
      <c r="R1745" s="78" t="s">
        <v>902</v>
      </c>
      <c r="S1745" s="190">
        <f t="shared" si="814"/>
        <v>5880</v>
      </c>
      <c r="T1745" s="114"/>
    </row>
    <row r="1746" spans="1:20" x14ac:dyDescent="0.2">
      <c r="A1746" s="69" t="str">
        <f>IF(B1746="","",CONCATENATE(B1746,CONCATENATE(REPT(0,2-LEN(C1746)),C1746),IF(OR(D1746="Easy",D1746=""),1,IF(D1746="Normal",2,IF(D1746="Hard",3,IF(D1746="Hell",4,"error")))),E1746))</f>
        <v>300280621</v>
      </c>
      <c r="B1746" s="69">
        <v>30028</v>
      </c>
      <c r="C1746" s="69">
        <v>6</v>
      </c>
      <c r="D1746" s="69" t="s">
        <v>63</v>
      </c>
      <c r="E1746" s="69">
        <v>1</v>
      </c>
      <c r="F1746" s="70">
        <f t="shared" si="820"/>
        <v>12100</v>
      </c>
      <c r="G1746" s="70">
        <f t="shared" si="820"/>
        <v>12100</v>
      </c>
      <c r="H1746" s="70">
        <f t="shared" si="821"/>
        <v>3300</v>
      </c>
      <c r="I1746" s="70">
        <f t="shared" si="821"/>
        <v>3300</v>
      </c>
      <c r="J1746" s="70">
        <f t="shared" si="813"/>
        <v>37500</v>
      </c>
      <c r="K1746" s="133">
        <v>1000</v>
      </c>
      <c r="L1746" s="70"/>
      <c r="M1746" s="131">
        <f t="shared" si="809"/>
        <v>3095.674401483464</v>
      </c>
      <c r="N1746" s="71">
        <v>500</v>
      </c>
      <c r="O1746" s="72" t="s">
        <v>332</v>
      </c>
      <c r="P1746" s="72" t="s">
        <v>525</v>
      </c>
      <c r="Q1746" s="72" t="s">
        <v>246</v>
      </c>
      <c r="R1746" s="72" t="s">
        <v>899</v>
      </c>
      <c r="S1746" s="187">
        <f t="shared" si="814"/>
        <v>1320</v>
      </c>
    </row>
    <row r="1747" spans="1:20" x14ac:dyDescent="0.2">
      <c r="A1747" s="69" t="str">
        <f t="shared" ref="A1747:A1752" si="822">IF(B1747="","",CONCATENATE(B1747,CONCATENATE(REPT(0,2-LEN(C1747)),C1747),IF(OR(D1747="Easy",D1747=""),1,IF(D1747="Normal",2,IF(D1747="Hard",3,IF(D1747="Hell",4,"error")))),E1747))</f>
        <v>300280629</v>
      </c>
      <c r="B1747" s="69">
        <v>30028</v>
      </c>
      <c r="C1747" s="69">
        <v>6</v>
      </c>
      <c r="D1747" s="69" t="s">
        <v>63</v>
      </c>
      <c r="E1747" s="69">
        <v>9</v>
      </c>
      <c r="F1747" s="70">
        <f t="shared" si="820"/>
        <v>51170</v>
      </c>
      <c r="G1747" s="70">
        <f t="shared" si="820"/>
        <v>51170</v>
      </c>
      <c r="H1747" s="70">
        <f t="shared" si="821"/>
        <v>4200</v>
      </c>
      <c r="I1747" s="70">
        <f t="shared" si="821"/>
        <v>4200</v>
      </c>
      <c r="J1747" s="70">
        <f t="shared" si="813"/>
        <v>257554</v>
      </c>
      <c r="K1747" s="133">
        <v>1000</v>
      </c>
      <c r="L1747" s="70"/>
      <c r="M1747" s="131">
        <f t="shared" si="809"/>
        <v>18821.597867301276</v>
      </c>
      <c r="N1747" s="71">
        <v>820</v>
      </c>
      <c r="O1747" s="72" t="s">
        <v>243</v>
      </c>
      <c r="P1747" s="72" t="s">
        <v>587</v>
      </c>
      <c r="Q1747" s="72" t="s">
        <v>102</v>
      </c>
      <c r="R1747" s="72" t="s">
        <v>900</v>
      </c>
      <c r="S1747" s="187">
        <f t="shared" si="814"/>
        <v>1680</v>
      </c>
    </row>
    <row r="1748" spans="1:20" x14ac:dyDescent="0.2">
      <c r="A1748" s="69" t="str">
        <f t="shared" si="822"/>
        <v>300280628</v>
      </c>
      <c r="B1748" s="69">
        <v>30028</v>
      </c>
      <c r="C1748" s="69">
        <v>6</v>
      </c>
      <c r="D1748" s="69" t="s">
        <v>63</v>
      </c>
      <c r="E1748" s="69">
        <v>8</v>
      </c>
      <c r="F1748" s="70">
        <v>4500</v>
      </c>
      <c r="G1748" s="70">
        <v>4500</v>
      </c>
      <c r="H1748" s="70">
        <f t="shared" si="821"/>
        <v>1500</v>
      </c>
      <c r="I1748" s="70">
        <f t="shared" si="821"/>
        <v>1500</v>
      </c>
      <c r="J1748" s="70">
        <f t="shared" si="813"/>
        <v>34199</v>
      </c>
      <c r="K1748" s="133">
        <v>1000</v>
      </c>
      <c r="L1748" s="70"/>
      <c r="M1748" s="131">
        <f t="shared" si="809"/>
        <v>1215.4821265654218</v>
      </c>
      <c r="N1748" s="71">
        <v>500</v>
      </c>
      <c r="O1748" s="72" t="s">
        <v>243</v>
      </c>
      <c r="P1748" s="72" t="s">
        <v>408</v>
      </c>
      <c r="Q1748" s="72" t="s">
        <v>102</v>
      </c>
      <c r="R1748" s="78" t="s">
        <v>903</v>
      </c>
      <c r="S1748" s="187">
        <f t="shared" si="814"/>
        <v>600</v>
      </c>
    </row>
    <row r="1749" spans="1:20" x14ac:dyDescent="0.2">
      <c r="A1749" s="74" t="str">
        <f t="shared" si="822"/>
        <v>300280631</v>
      </c>
      <c r="B1749" s="74">
        <v>30028</v>
      </c>
      <c r="C1749" s="74">
        <v>6</v>
      </c>
      <c r="D1749" s="74" t="s">
        <v>64</v>
      </c>
      <c r="E1749" s="74">
        <v>1</v>
      </c>
      <c r="F1749" s="75">
        <f t="shared" si="820"/>
        <v>49500</v>
      </c>
      <c r="G1749" s="75">
        <f t="shared" si="820"/>
        <v>49500</v>
      </c>
      <c r="H1749" s="75">
        <f t="shared" si="821"/>
        <v>13500</v>
      </c>
      <c r="I1749" s="75">
        <f t="shared" si="821"/>
        <v>13500</v>
      </c>
      <c r="J1749" s="75">
        <f t="shared" si="813"/>
        <v>24545</v>
      </c>
      <c r="K1749" s="133">
        <v>1000</v>
      </c>
      <c r="L1749" s="75"/>
      <c r="M1749" s="188">
        <f t="shared" si="809"/>
        <v>10245.684750176535</v>
      </c>
      <c r="N1749" s="76">
        <v>200</v>
      </c>
      <c r="O1749" s="78" t="s">
        <v>332</v>
      </c>
      <c r="P1749" s="189">
        <v>9000</v>
      </c>
      <c r="Q1749" s="78" t="s">
        <v>246</v>
      </c>
      <c r="R1749" s="78" t="s">
        <v>901</v>
      </c>
      <c r="S1749" s="190">
        <f t="shared" si="814"/>
        <v>5400</v>
      </c>
      <c r="T1749" s="114"/>
    </row>
    <row r="1750" spans="1:20" x14ac:dyDescent="0.2">
      <c r="A1750" s="74" t="str">
        <f t="shared" si="822"/>
        <v>300280639</v>
      </c>
      <c r="B1750" s="74">
        <v>30028</v>
      </c>
      <c r="C1750" s="74">
        <v>6</v>
      </c>
      <c r="D1750" s="74" t="s">
        <v>64</v>
      </c>
      <c r="E1750" s="74">
        <v>9</v>
      </c>
      <c r="F1750" s="75">
        <f t="shared" si="820"/>
        <v>179095</v>
      </c>
      <c r="G1750" s="75">
        <f t="shared" si="820"/>
        <v>179095</v>
      </c>
      <c r="H1750" s="75">
        <f t="shared" si="821"/>
        <v>14700</v>
      </c>
      <c r="I1750" s="75">
        <f t="shared" si="821"/>
        <v>14700</v>
      </c>
      <c r="J1750" s="75">
        <f t="shared" si="813"/>
        <v>901439</v>
      </c>
      <c r="K1750" s="133">
        <v>1000</v>
      </c>
      <c r="L1750" s="75"/>
      <c r="M1750" s="188">
        <f t="shared" si="809"/>
        <v>123241.94870938384</v>
      </c>
      <c r="N1750" s="76">
        <v>820</v>
      </c>
      <c r="O1750" s="76">
        <v>20</v>
      </c>
      <c r="P1750" s="76">
        <v>9800</v>
      </c>
      <c r="Q1750" s="78" t="s">
        <v>103</v>
      </c>
      <c r="R1750" s="78" t="s">
        <v>902</v>
      </c>
      <c r="S1750" s="190">
        <f t="shared" si="814"/>
        <v>5880</v>
      </c>
      <c r="T1750" s="114"/>
    </row>
    <row r="1751" spans="1:20" x14ac:dyDescent="0.2">
      <c r="A1751" s="74" t="str">
        <f t="shared" si="822"/>
        <v>300280638</v>
      </c>
      <c r="B1751" s="74">
        <v>30028</v>
      </c>
      <c r="C1751" s="74">
        <v>6</v>
      </c>
      <c r="D1751" s="74" t="s">
        <v>64</v>
      </c>
      <c r="E1751" s="74">
        <v>8</v>
      </c>
      <c r="F1751" s="75">
        <v>8000</v>
      </c>
      <c r="G1751" s="75">
        <v>8000</v>
      </c>
      <c r="H1751" s="75">
        <f t="shared" si="821"/>
        <v>2250</v>
      </c>
      <c r="I1751" s="75">
        <f t="shared" si="821"/>
        <v>2250</v>
      </c>
      <c r="J1751" s="75">
        <f t="shared" si="813"/>
        <v>100547</v>
      </c>
      <c r="K1751" s="133">
        <v>1000</v>
      </c>
      <c r="L1751" s="75"/>
      <c r="M1751" s="188">
        <f t="shared" si="809"/>
        <v>3403.3827877569111</v>
      </c>
      <c r="N1751" s="76">
        <v>700</v>
      </c>
      <c r="O1751" s="76">
        <v>20</v>
      </c>
      <c r="P1751" s="76">
        <v>1500</v>
      </c>
      <c r="Q1751" s="78" t="s">
        <v>103</v>
      </c>
      <c r="R1751" s="78" t="s">
        <v>903</v>
      </c>
      <c r="S1751" s="190">
        <f t="shared" si="814"/>
        <v>900</v>
      </c>
      <c r="T1751" s="114"/>
    </row>
    <row r="1752" spans="1:20" x14ac:dyDescent="0.2">
      <c r="A1752" s="8" t="str">
        <f t="shared" si="822"/>
        <v>300280711</v>
      </c>
      <c r="B1752" s="8">
        <v>30028</v>
      </c>
      <c r="C1752" s="8">
        <v>7</v>
      </c>
      <c r="D1752" s="8" t="s">
        <v>259</v>
      </c>
      <c r="E1752" s="8">
        <v>1</v>
      </c>
      <c r="F1752" s="34">
        <f t="shared" si="820"/>
        <v>1462000</v>
      </c>
      <c r="G1752" s="34">
        <f t="shared" si="820"/>
        <v>1462000</v>
      </c>
      <c r="H1752" s="34">
        <f t="shared" si="821"/>
        <v>60000</v>
      </c>
      <c r="I1752" s="34">
        <f t="shared" si="821"/>
        <v>60000</v>
      </c>
      <c r="J1752" s="34">
        <f t="shared" si="813"/>
        <v>4392612</v>
      </c>
      <c r="K1752" s="133">
        <v>1000</v>
      </c>
      <c r="L1752" s="34"/>
      <c r="M1752" s="16">
        <f t="shared" si="809"/>
        <v>1570365.4089720647</v>
      </c>
      <c r="N1752" s="36">
        <v>650</v>
      </c>
      <c r="O1752" s="2" t="s">
        <v>228</v>
      </c>
      <c r="P1752" s="2" t="s">
        <v>481</v>
      </c>
      <c r="Q1752" s="2" t="s">
        <v>102</v>
      </c>
      <c r="R1752" s="2" t="s">
        <v>904</v>
      </c>
      <c r="S1752" s="2">
        <f>P1752*0.3</f>
        <v>24000</v>
      </c>
    </row>
    <row r="1753" spans="1:20" ht="10.5" customHeight="1" x14ac:dyDescent="0.2">
      <c r="A1753" s="18" t="str">
        <f t="shared" ref="A1753:A1759" si="823">IF(B1753="","",CONCATENATE(B1753,CONCATENATE(REPT(0,2-LEN(C1753)),C1753),IF(OR(D1753="Easy",D1753=""),1,IF(D1753="Normal",2,IF(D1753="Hard",3,IF(D1753="Hell",4,"error")))),E1753))</f>
        <v>300280712</v>
      </c>
      <c r="B1753" s="18">
        <v>30028</v>
      </c>
      <c r="C1753" s="18">
        <v>7</v>
      </c>
      <c r="D1753" s="18" t="s">
        <v>259</v>
      </c>
      <c r="E1753" s="18">
        <v>2</v>
      </c>
      <c r="F1753" s="19">
        <f t="shared" ref="F1753:G1759" si="824">ROUNDDOWN($P1753/4*MIN($O1753,4)*10*$N1753/$N1753*$Q1753/400,0)</f>
        <v>91375</v>
      </c>
      <c r="G1753" s="19">
        <f t="shared" si="824"/>
        <v>91375</v>
      </c>
      <c r="H1753" s="19">
        <f t="shared" ref="H1753:I1759" si="825">ROUNDDOWN($S1753/4*10,0)</f>
        <v>15802</v>
      </c>
      <c r="I1753" s="19">
        <f t="shared" si="825"/>
        <v>15802</v>
      </c>
      <c r="J1753" s="19">
        <f t="shared" ref="J1753:J1759" si="826">ROUNDDOWN($P1753/4*$O1753*10*$N1753/$Q1753*$N1753/400*0.8,0)</f>
        <v>436922</v>
      </c>
      <c r="K1753" s="133">
        <v>1000</v>
      </c>
      <c r="L1753" s="19"/>
      <c r="M1753" s="118">
        <f t="shared" si="809"/>
        <v>63542.115139891277</v>
      </c>
      <c r="N1753" s="58">
        <v>820</v>
      </c>
      <c r="O1753" s="41" t="s">
        <v>228</v>
      </c>
      <c r="P1753" s="41" t="s">
        <v>180</v>
      </c>
      <c r="Q1753" s="41" t="s">
        <v>102</v>
      </c>
      <c r="R1753" s="41"/>
      <c r="S1753" s="58">
        <v>6321</v>
      </c>
    </row>
    <row r="1754" spans="1:20" ht="11.25" customHeight="1" x14ac:dyDescent="0.2">
      <c r="A1754" s="8" t="str">
        <f t="shared" si="823"/>
        <v>300280811</v>
      </c>
      <c r="B1754" s="8">
        <v>30028</v>
      </c>
      <c r="C1754" s="8">
        <v>8</v>
      </c>
      <c r="D1754" s="8" t="s">
        <v>259</v>
      </c>
      <c r="E1754" s="8">
        <v>1</v>
      </c>
      <c r="F1754" s="34">
        <f t="shared" si="824"/>
        <v>2924000</v>
      </c>
      <c r="G1754" s="34">
        <f t="shared" si="824"/>
        <v>2924000</v>
      </c>
      <c r="H1754" s="34">
        <f t="shared" si="825"/>
        <v>95000</v>
      </c>
      <c r="I1754" s="34">
        <f t="shared" si="825"/>
        <v>95000</v>
      </c>
      <c r="J1754" s="34">
        <f t="shared" si="826"/>
        <v>3002571</v>
      </c>
      <c r="K1754" s="133">
        <v>1000</v>
      </c>
      <c r="L1754" s="34"/>
      <c r="M1754" s="16">
        <f t="shared" si="809"/>
        <v>2310399.6847368204</v>
      </c>
      <c r="N1754" s="36">
        <v>380</v>
      </c>
      <c r="O1754" s="2" t="s">
        <v>228</v>
      </c>
      <c r="P1754" s="2" t="s">
        <v>760</v>
      </c>
      <c r="Q1754" s="2" t="s">
        <v>102</v>
      </c>
      <c r="R1754" s="2" t="s">
        <v>896</v>
      </c>
      <c r="S1754" s="2" t="s">
        <v>586</v>
      </c>
    </row>
    <row r="1755" spans="1:20" ht="10.5" customHeight="1" x14ac:dyDescent="0.2">
      <c r="A1755" s="18" t="str">
        <f t="shared" si="823"/>
        <v>300280812</v>
      </c>
      <c r="B1755" s="18">
        <v>30028</v>
      </c>
      <c r="C1755" s="18">
        <v>8</v>
      </c>
      <c r="D1755" s="18" t="s">
        <v>259</v>
      </c>
      <c r="E1755" s="18">
        <v>2</v>
      </c>
      <c r="F1755" s="19">
        <f t="shared" si="824"/>
        <v>91375</v>
      </c>
      <c r="G1755" s="19">
        <f t="shared" si="824"/>
        <v>91375</v>
      </c>
      <c r="H1755" s="19">
        <f t="shared" si="825"/>
        <v>10000</v>
      </c>
      <c r="I1755" s="19">
        <f t="shared" si="825"/>
        <v>10000</v>
      </c>
      <c r="J1755" s="19">
        <f t="shared" si="826"/>
        <v>58481</v>
      </c>
      <c r="K1755" s="133">
        <v>1000</v>
      </c>
      <c r="L1755" s="19"/>
      <c r="M1755" s="118">
        <f t="shared" si="809"/>
        <v>18493.157869871764</v>
      </c>
      <c r="N1755" s="58">
        <v>300</v>
      </c>
      <c r="O1755" s="41" t="s">
        <v>228</v>
      </c>
      <c r="P1755" s="41" t="s">
        <v>180</v>
      </c>
      <c r="Q1755" s="41" t="s">
        <v>102</v>
      </c>
      <c r="R1755" s="41"/>
      <c r="S1755" s="58">
        <v>4000</v>
      </c>
    </row>
    <row r="1756" spans="1:20" ht="10.5" customHeight="1" x14ac:dyDescent="0.2">
      <c r="A1756" s="8" t="str">
        <f t="shared" si="823"/>
        <v>300280911</v>
      </c>
      <c r="B1756" s="8">
        <v>30028</v>
      </c>
      <c r="C1756" s="8">
        <v>9</v>
      </c>
      <c r="D1756" s="8" t="s">
        <v>259</v>
      </c>
      <c r="E1756" s="8">
        <v>1</v>
      </c>
      <c r="F1756" s="34">
        <v>3000000</v>
      </c>
      <c r="G1756" s="34">
        <v>3000000</v>
      </c>
      <c r="H1756" s="34">
        <f t="shared" si="825"/>
        <v>120000</v>
      </c>
      <c r="I1756" s="34">
        <f t="shared" si="825"/>
        <v>120000</v>
      </c>
      <c r="J1756" s="34">
        <f t="shared" si="826"/>
        <v>3002571</v>
      </c>
      <c r="K1756" s="133">
        <v>1000</v>
      </c>
      <c r="L1756" s="34"/>
      <c r="M1756" s="16">
        <f t="shared" si="809"/>
        <v>2630194.590519873</v>
      </c>
      <c r="N1756" s="36">
        <v>380</v>
      </c>
      <c r="O1756" s="2" t="s">
        <v>228</v>
      </c>
      <c r="P1756" s="2" t="s">
        <v>760</v>
      </c>
      <c r="Q1756" s="2" t="s">
        <v>102</v>
      </c>
      <c r="R1756" s="2" t="s">
        <v>897</v>
      </c>
      <c r="S1756" s="2">
        <f>P1756*0.3</f>
        <v>48000</v>
      </c>
    </row>
    <row r="1757" spans="1:20" ht="10.5" customHeight="1" x14ac:dyDescent="0.2">
      <c r="A1757" s="18" t="str">
        <f t="shared" si="823"/>
        <v>300280912</v>
      </c>
      <c r="B1757" s="18">
        <v>30028</v>
      </c>
      <c r="C1757" s="18">
        <v>9</v>
      </c>
      <c r="D1757" s="18" t="s">
        <v>259</v>
      </c>
      <c r="E1757" s="18">
        <v>2</v>
      </c>
      <c r="F1757" s="19">
        <f t="shared" si="824"/>
        <v>91375</v>
      </c>
      <c r="G1757" s="19">
        <f t="shared" si="824"/>
        <v>91375</v>
      </c>
      <c r="H1757" s="19">
        <f t="shared" si="825"/>
        <v>15802</v>
      </c>
      <c r="I1757" s="19">
        <f t="shared" si="825"/>
        <v>15802</v>
      </c>
      <c r="J1757" s="19">
        <f t="shared" si="826"/>
        <v>233926</v>
      </c>
      <c r="K1757" s="133">
        <v>1000</v>
      </c>
      <c r="L1757" s="19"/>
      <c r="M1757" s="118">
        <f t="shared" si="809"/>
        <v>46494.219121193979</v>
      </c>
      <c r="N1757" s="58">
        <v>600</v>
      </c>
      <c r="O1757" s="41" t="s">
        <v>228</v>
      </c>
      <c r="P1757" s="41" t="s">
        <v>180</v>
      </c>
      <c r="Q1757" s="41" t="s">
        <v>102</v>
      </c>
      <c r="R1757" s="41"/>
      <c r="S1757" s="58">
        <v>6321</v>
      </c>
    </row>
    <row r="1758" spans="1:20" ht="10.5" customHeight="1" x14ac:dyDescent="0.2">
      <c r="A1758" s="8" t="str">
        <f t="shared" si="823"/>
        <v>300281011</v>
      </c>
      <c r="B1758" s="8">
        <v>30028</v>
      </c>
      <c r="C1758" s="8">
        <v>10</v>
      </c>
      <c r="D1758" s="8" t="s">
        <v>259</v>
      </c>
      <c r="E1758" s="8">
        <v>1</v>
      </c>
      <c r="F1758" s="34">
        <f t="shared" si="824"/>
        <v>5000000</v>
      </c>
      <c r="G1758" s="34">
        <f t="shared" si="824"/>
        <v>5000000</v>
      </c>
      <c r="H1758" s="34">
        <f t="shared" si="825"/>
        <v>75000</v>
      </c>
      <c r="I1758" s="34">
        <f t="shared" si="825"/>
        <v>75000</v>
      </c>
      <c r="J1758" s="34">
        <f t="shared" si="826"/>
        <v>6840000</v>
      </c>
      <c r="K1758" s="133">
        <v>1000</v>
      </c>
      <c r="L1758" s="34"/>
      <c r="M1758" s="16">
        <f t="shared" si="809"/>
        <v>4051666.3238721923</v>
      </c>
      <c r="N1758" s="36">
        <v>1200</v>
      </c>
      <c r="O1758" s="2" t="s">
        <v>228</v>
      </c>
      <c r="P1758" s="2" t="s">
        <v>460</v>
      </c>
      <c r="Q1758" s="2" t="s">
        <v>202</v>
      </c>
      <c r="R1758" s="2" t="s">
        <v>898</v>
      </c>
      <c r="S1758" s="2">
        <f>P1758*0.3</f>
        <v>30000</v>
      </c>
    </row>
    <row r="1759" spans="1:20" ht="10.5" customHeight="1" x14ac:dyDescent="0.2">
      <c r="A1759" s="18" t="str">
        <f t="shared" si="823"/>
        <v>300281012</v>
      </c>
      <c r="B1759" s="18">
        <v>30028</v>
      </c>
      <c r="C1759" s="18">
        <v>10</v>
      </c>
      <c r="D1759" s="18" t="s">
        <v>259</v>
      </c>
      <c r="E1759" s="18">
        <v>2</v>
      </c>
      <c r="F1759" s="19">
        <f t="shared" si="824"/>
        <v>312500</v>
      </c>
      <c r="G1759" s="19">
        <f t="shared" si="824"/>
        <v>312500</v>
      </c>
      <c r="H1759" s="19">
        <f t="shared" si="825"/>
        <v>15802</v>
      </c>
      <c r="I1759" s="19">
        <f t="shared" si="825"/>
        <v>15802</v>
      </c>
      <c r="J1759" s="19">
        <f t="shared" si="826"/>
        <v>93100</v>
      </c>
      <c r="K1759" s="133">
        <v>1000</v>
      </c>
      <c r="L1759" s="19"/>
      <c r="M1759" s="118">
        <f t="shared" si="809"/>
        <v>54243.270550364134</v>
      </c>
      <c r="N1759" s="58">
        <v>700</v>
      </c>
      <c r="O1759" s="41" t="s">
        <v>228</v>
      </c>
      <c r="P1759" s="41" t="s">
        <v>180</v>
      </c>
      <c r="Q1759" s="41" t="s">
        <v>585</v>
      </c>
      <c r="R1759" s="41"/>
      <c r="S1759" s="58">
        <v>6321</v>
      </c>
    </row>
    <row r="1760" spans="1:20" x14ac:dyDescent="0.2">
      <c r="A1760" s="38"/>
      <c r="B1760" s="38"/>
      <c r="C1760" s="35" t="s">
        <v>905</v>
      </c>
      <c r="D1760" s="38"/>
      <c r="E1760" s="38"/>
      <c r="F1760" s="38"/>
      <c r="G1760" s="40"/>
      <c r="H1760" s="38"/>
      <c r="I1760" s="38"/>
      <c r="J1760" s="38"/>
      <c r="K1760" s="133">
        <v>1000</v>
      </c>
      <c r="L1760" s="38"/>
      <c r="M1760" s="16">
        <f t="shared" si="809"/>
        <v>0</v>
      </c>
      <c r="N1760" s="42" t="str">
        <f>IF(A1760="","",M1760*#REF!)</f>
        <v/>
      </c>
      <c r="O1760" s="40"/>
      <c r="P1760" s="38"/>
      <c r="Q1760" s="38"/>
      <c r="R1760" s="38"/>
      <c r="S1760" s="40"/>
      <c r="T1760" s="267"/>
    </row>
    <row r="1761" spans="1:20" x14ac:dyDescent="0.2">
      <c r="A1761" s="8">
        <v>300290111</v>
      </c>
      <c r="B1761" s="8">
        <v>30029</v>
      </c>
      <c r="C1761" s="8">
        <v>1</v>
      </c>
      <c r="D1761" s="8" t="s">
        <v>259</v>
      </c>
      <c r="E1761" s="8">
        <v>1</v>
      </c>
      <c r="F1761" s="34">
        <f t="shared" ref="F1761:G1772" si="827">ROUNDDOWN($P1761/4*MIN($O1761,4)*10*$N1761/$N1761*$Q1761/400,0)</f>
        <v>1000</v>
      </c>
      <c r="G1761" s="34">
        <f t="shared" si="827"/>
        <v>1000</v>
      </c>
      <c r="H1761" s="34">
        <f t="shared" ref="H1761:I1772" si="828">ROUNDDOWN($S1761/4*10,0)</f>
        <v>1000</v>
      </c>
      <c r="I1761" s="34">
        <f t="shared" si="828"/>
        <v>1000</v>
      </c>
      <c r="J1761" s="34">
        <f t="shared" ref="J1761:J1772" si="829">ROUNDDOWN($P1761/4*$O1761*10*$N1761/$Q1761*$N1761/400*0.8,0)</f>
        <v>100000</v>
      </c>
      <c r="K1761" s="133">
        <v>1000</v>
      </c>
      <c r="L1761" s="34"/>
      <c r="M1761" s="16">
        <f t="shared" si="809"/>
        <v>800</v>
      </c>
      <c r="N1761" s="36">
        <v>100</v>
      </c>
      <c r="O1761" s="2" t="s">
        <v>200</v>
      </c>
      <c r="P1761" s="2" t="s">
        <v>90</v>
      </c>
      <c r="Q1761" s="2" t="s">
        <v>482</v>
      </c>
      <c r="R1761" s="2" t="s">
        <v>733</v>
      </c>
      <c r="S1761" s="56">
        <v>400</v>
      </c>
    </row>
    <row r="1762" spans="1:20" x14ac:dyDescent="0.2">
      <c r="A1762" s="8">
        <v>300290119</v>
      </c>
      <c r="B1762" s="8">
        <v>30029</v>
      </c>
      <c r="C1762" s="8">
        <v>1</v>
      </c>
      <c r="D1762" s="8" t="s">
        <v>259</v>
      </c>
      <c r="E1762" s="8">
        <v>9</v>
      </c>
      <c r="F1762" s="34">
        <f t="shared" si="827"/>
        <v>1000</v>
      </c>
      <c r="G1762" s="34">
        <f t="shared" si="827"/>
        <v>1000</v>
      </c>
      <c r="H1762" s="34">
        <f t="shared" si="828"/>
        <v>1000</v>
      </c>
      <c r="I1762" s="34">
        <f t="shared" si="828"/>
        <v>1000</v>
      </c>
      <c r="J1762" s="34">
        <f t="shared" si="829"/>
        <v>100000</v>
      </c>
      <c r="K1762" s="133">
        <v>1000</v>
      </c>
      <c r="L1762" s="34"/>
      <c r="M1762" s="16">
        <f t="shared" si="809"/>
        <v>800</v>
      </c>
      <c r="N1762" s="36">
        <v>100</v>
      </c>
      <c r="O1762" s="2" t="s">
        <v>200</v>
      </c>
      <c r="P1762" s="2" t="s">
        <v>90</v>
      </c>
      <c r="Q1762" s="2" t="s">
        <v>909</v>
      </c>
      <c r="R1762" s="2" t="s">
        <v>732</v>
      </c>
      <c r="S1762" s="56">
        <v>400</v>
      </c>
    </row>
    <row r="1763" spans="1:20" x14ac:dyDescent="0.2">
      <c r="A1763" s="8">
        <v>300290211</v>
      </c>
      <c r="B1763" s="8">
        <v>30029</v>
      </c>
      <c r="C1763" s="8">
        <v>2</v>
      </c>
      <c r="D1763" s="8" t="s">
        <v>259</v>
      </c>
      <c r="E1763" s="8">
        <v>1</v>
      </c>
      <c r="F1763" s="34">
        <f t="shared" si="827"/>
        <v>1000</v>
      </c>
      <c r="G1763" s="34">
        <f t="shared" si="827"/>
        <v>1000</v>
      </c>
      <c r="H1763" s="34">
        <f t="shared" si="828"/>
        <v>1000</v>
      </c>
      <c r="I1763" s="34">
        <f t="shared" si="828"/>
        <v>1000</v>
      </c>
      <c r="J1763" s="34">
        <f t="shared" si="829"/>
        <v>100000</v>
      </c>
      <c r="K1763" s="133">
        <v>1000</v>
      </c>
      <c r="L1763" s="34"/>
      <c r="M1763" s="16">
        <f t="shared" si="809"/>
        <v>800</v>
      </c>
      <c r="N1763" s="36">
        <v>100</v>
      </c>
      <c r="O1763" s="2" t="s">
        <v>200</v>
      </c>
      <c r="P1763" s="2" t="s">
        <v>90</v>
      </c>
      <c r="Q1763" s="2" t="s">
        <v>482</v>
      </c>
      <c r="R1763" s="2" t="s">
        <v>733</v>
      </c>
      <c r="S1763" s="56">
        <v>400</v>
      </c>
    </row>
    <row r="1764" spans="1:20" x14ac:dyDescent="0.2">
      <c r="A1764" s="8">
        <v>300290219</v>
      </c>
      <c r="B1764" s="8">
        <v>30029</v>
      </c>
      <c r="C1764" s="8">
        <v>2</v>
      </c>
      <c r="D1764" s="8" t="s">
        <v>259</v>
      </c>
      <c r="E1764" s="8">
        <v>9</v>
      </c>
      <c r="F1764" s="34">
        <f t="shared" si="827"/>
        <v>1000</v>
      </c>
      <c r="G1764" s="34">
        <f t="shared" si="827"/>
        <v>1000</v>
      </c>
      <c r="H1764" s="34">
        <f t="shared" si="828"/>
        <v>1000</v>
      </c>
      <c r="I1764" s="34">
        <f t="shared" si="828"/>
        <v>1000</v>
      </c>
      <c r="J1764" s="34">
        <f t="shared" si="829"/>
        <v>100000</v>
      </c>
      <c r="K1764" s="133">
        <v>1000</v>
      </c>
      <c r="L1764" s="34"/>
      <c r="M1764" s="16">
        <f t="shared" si="809"/>
        <v>800</v>
      </c>
      <c r="N1764" s="36">
        <v>100</v>
      </c>
      <c r="O1764" s="2" t="s">
        <v>200</v>
      </c>
      <c r="P1764" s="2" t="s">
        <v>90</v>
      </c>
      <c r="Q1764" s="2" t="s">
        <v>909</v>
      </c>
      <c r="R1764" s="2" t="s">
        <v>732</v>
      </c>
      <c r="S1764" s="56">
        <v>400</v>
      </c>
    </row>
    <row r="1765" spans="1:20" x14ac:dyDescent="0.2">
      <c r="A1765" s="8">
        <v>300290311</v>
      </c>
      <c r="B1765" s="8">
        <v>30029</v>
      </c>
      <c r="C1765" s="8">
        <v>3</v>
      </c>
      <c r="D1765" s="8" t="s">
        <v>259</v>
      </c>
      <c r="E1765" s="8">
        <v>1</v>
      </c>
      <c r="F1765" s="34">
        <f t="shared" si="827"/>
        <v>1000</v>
      </c>
      <c r="G1765" s="34">
        <f t="shared" si="827"/>
        <v>1000</v>
      </c>
      <c r="H1765" s="34">
        <f t="shared" si="828"/>
        <v>1000</v>
      </c>
      <c r="I1765" s="34">
        <f t="shared" si="828"/>
        <v>1000</v>
      </c>
      <c r="J1765" s="34">
        <f t="shared" si="829"/>
        <v>100000</v>
      </c>
      <c r="K1765" s="133">
        <v>1000</v>
      </c>
      <c r="L1765" s="34"/>
      <c r="M1765" s="16">
        <f t="shared" si="809"/>
        <v>800</v>
      </c>
      <c r="N1765" s="36">
        <v>100</v>
      </c>
      <c r="O1765" s="2" t="s">
        <v>200</v>
      </c>
      <c r="P1765" s="2" t="s">
        <v>90</v>
      </c>
      <c r="Q1765" s="2" t="s">
        <v>482</v>
      </c>
      <c r="R1765" s="2" t="s">
        <v>733</v>
      </c>
      <c r="S1765" s="56">
        <v>400</v>
      </c>
    </row>
    <row r="1766" spans="1:20" x14ac:dyDescent="0.2">
      <c r="A1766" s="8">
        <v>300290319</v>
      </c>
      <c r="B1766" s="8">
        <v>30029</v>
      </c>
      <c r="C1766" s="8">
        <v>3</v>
      </c>
      <c r="D1766" s="8" t="s">
        <v>259</v>
      </c>
      <c r="E1766" s="8">
        <v>9</v>
      </c>
      <c r="F1766" s="34">
        <f t="shared" si="827"/>
        <v>1000</v>
      </c>
      <c r="G1766" s="34">
        <f t="shared" si="827"/>
        <v>1000</v>
      </c>
      <c r="H1766" s="34">
        <f t="shared" si="828"/>
        <v>1000</v>
      </c>
      <c r="I1766" s="34">
        <f t="shared" si="828"/>
        <v>1000</v>
      </c>
      <c r="J1766" s="34">
        <f t="shared" si="829"/>
        <v>100000</v>
      </c>
      <c r="K1766" s="133">
        <v>1000</v>
      </c>
      <c r="L1766" s="34"/>
      <c r="M1766" s="16">
        <f t="shared" si="809"/>
        <v>800</v>
      </c>
      <c r="N1766" s="36">
        <v>100</v>
      </c>
      <c r="O1766" s="2" t="s">
        <v>200</v>
      </c>
      <c r="P1766" s="2" t="s">
        <v>90</v>
      </c>
      <c r="Q1766" s="2" t="s">
        <v>909</v>
      </c>
      <c r="R1766" s="2" t="s">
        <v>732</v>
      </c>
      <c r="S1766" s="56">
        <v>400</v>
      </c>
    </row>
    <row r="1767" spans="1:20" x14ac:dyDescent="0.2">
      <c r="A1767" s="8">
        <v>300290411</v>
      </c>
      <c r="B1767" s="8">
        <v>30029</v>
      </c>
      <c r="C1767" s="8">
        <v>4</v>
      </c>
      <c r="D1767" s="8" t="s">
        <v>259</v>
      </c>
      <c r="E1767" s="8">
        <v>1</v>
      </c>
      <c r="F1767" s="34">
        <f t="shared" si="827"/>
        <v>1000</v>
      </c>
      <c r="G1767" s="34">
        <f t="shared" si="827"/>
        <v>1000</v>
      </c>
      <c r="H1767" s="34">
        <f t="shared" si="828"/>
        <v>1000</v>
      </c>
      <c r="I1767" s="34">
        <f t="shared" si="828"/>
        <v>1000</v>
      </c>
      <c r="J1767" s="34">
        <f t="shared" si="829"/>
        <v>100000</v>
      </c>
      <c r="K1767" s="133">
        <v>1000</v>
      </c>
      <c r="L1767" s="34"/>
      <c r="M1767" s="16">
        <f t="shared" si="809"/>
        <v>800</v>
      </c>
      <c r="N1767" s="36">
        <v>100</v>
      </c>
      <c r="O1767" s="2" t="s">
        <v>200</v>
      </c>
      <c r="P1767" s="2" t="s">
        <v>90</v>
      </c>
      <c r="Q1767" s="2" t="s">
        <v>482</v>
      </c>
      <c r="R1767" s="2" t="s">
        <v>733</v>
      </c>
      <c r="S1767" s="56">
        <v>400</v>
      </c>
    </row>
    <row r="1768" spans="1:20" x14ac:dyDescent="0.2">
      <c r="A1768" s="8">
        <v>300290419</v>
      </c>
      <c r="B1768" s="8">
        <v>30029</v>
      </c>
      <c r="C1768" s="8">
        <v>4</v>
      </c>
      <c r="D1768" s="8" t="s">
        <v>259</v>
      </c>
      <c r="E1768" s="8">
        <v>9</v>
      </c>
      <c r="F1768" s="34">
        <f t="shared" si="827"/>
        <v>1000</v>
      </c>
      <c r="G1768" s="34">
        <f t="shared" si="827"/>
        <v>1000</v>
      </c>
      <c r="H1768" s="34">
        <f t="shared" si="828"/>
        <v>1000</v>
      </c>
      <c r="I1768" s="34">
        <f t="shared" si="828"/>
        <v>1000</v>
      </c>
      <c r="J1768" s="34">
        <f t="shared" si="829"/>
        <v>100000</v>
      </c>
      <c r="K1768" s="133">
        <v>1000</v>
      </c>
      <c r="L1768" s="34"/>
      <c r="M1768" s="16">
        <f t="shared" si="809"/>
        <v>800</v>
      </c>
      <c r="N1768" s="36">
        <v>100</v>
      </c>
      <c r="O1768" s="2" t="s">
        <v>200</v>
      </c>
      <c r="P1768" s="2" t="s">
        <v>90</v>
      </c>
      <c r="Q1768" s="2" t="s">
        <v>909</v>
      </c>
      <c r="R1768" s="2" t="s">
        <v>732</v>
      </c>
      <c r="S1768" s="56">
        <v>400</v>
      </c>
    </row>
    <row r="1769" spans="1:20" x14ac:dyDescent="0.2">
      <c r="A1769" s="8">
        <v>300290511</v>
      </c>
      <c r="B1769" s="8">
        <v>30029</v>
      </c>
      <c r="C1769" s="8">
        <v>5</v>
      </c>
      <c r="D1769" s="8" t="s">
        <v>259</v>
      </c>
      <c r="E1769" s="8">
        <v>1</v>
      </c>
      <c r="F1769" s="34">
        <f t="shared" si="827"/>
        <v>1000</v>
      </c>
      <c r="G1769" s="34">
        <f t="shared" si="827"/>
        <v>1000</v>
      </c>
      <c r="H1769" s="34">
        <f t="shared" si="828"/>
        <v>1000</v>
      </c>
      <c r="I1769" s="34">
        <f t="shared" si="828"/>
        <v>1000</v>
      </c>
      <c r="J1769" s="34">
        <f t="shared" si="829"/>
        <v>100000</v>
      </c>
      <c r="K1769" s="133">
        <v>1000</v>
      </c>
      <c r="L1769" s="34"/>
      <c r="M1769" s="16">
        <f t="shared" si="809"/>
        <v>800</v>
      </c>
      <c r="N1769" s="36">
        <v>100</v>
      </c>
      <c r="O1769" s="2" t="s">
        <v>200</v>
      </c>
      <c r="P1769" s="2" t="s">
        <v>90</v>
      </c>
      <c r="Q1769" s="2" t="s">
        <v>482</v>
      </c>
      <c r="R1769" s="2" t="s">
        <v>733</v>
      </c>
      <c r="S1769" s="56">
        <v>400</v>
      </c>
    </row>
    <row r="1770" spans="1:20" x14ac:dyDescent="0.2">
      <c r="A1770" s="8">
        <v>300290519</v>
      </c>
      <c r="B1770" s="8">
        <v>30029</v>
      </c>
      <c r="C1770" s="8">
        <v>5</v>
      </c>
      <c r="D1770" s="8" t="s">
        <v>259</v>
      </c>
      <c r="E1770" s="8">
        <v>9</v>
      </c>
      <c r="F1770" s="34">
        <f t="shared" si="827"/>
        <v>1000</v>
      </c>
      <c r="G1770" s="34">
        <f t="shared" si="827"/>
        <v>1000</v>
      </c>
      <c r="H1770" s="34">
        <f t="shared" si="828"/>
        <v>1000</v>
      </c>
      <c r="I1770" s="34">
        <f t="shared" si="828"/>
        <v>1000</v>
      </c>
      <c r="J1770" s="34">
        <f t="shared" si="829"/>
        <v>100000</v>
      </c>
      <c r="K1770" s="133">
        <v>1000</v>
      </c>
      <c r="L1770" s="34"/>
      <c r="M1770" s="16">
        <f t="shared" si="809"/>
        <v>800</v>
      </c>
      <c r="N1770" s="36">
        <v>100</v>
      </c>
      <c r="O1770" s="2" t="s">
        <v>200</v>
      </c>
      <c r="P1770" s="2" t="s">
        <v>90</v>
      </c>
      <c r="Q1770" s="2" t="s">
        <v>909</v>
      </c>
      <c r="R1770" s="2" t="s">
        <v>732</v>
      </c>
      <c r="S1770" s="56">
        <v>400</v>
      </c>
    </row>
    <row r="1771" spans="1:20" x14ac:dyDescent="0.2">
      <c r="A1771" s="8">
        <v>300290611</v>
      </c>
      <c r="B1771" s="8">
        <v>30029</v>
      </c>
      <c r="C1771" s="8">
        <v>6</v>
      </c>
      <c r="D1771" s="8" t="s">
        <v>259</v>
      </c>
      <c r="E1771" s="8">
        <v>1</v>
      </c>
      <c r="F1771" s="34">
        <f t="shared" si="827"/>
        <v>1000</v>
      </c>
      <c r="G1771" s="34">
        <f t="shared" si="827"/>
        <v>1000</v>
      </c>
      <c r="H1771" s="34">
        <f t="shared" si="828"/>
        <v>1000</v>
      </c>
      <c r="I1771" s="34">
        <f t="shared" si="828"/>
        <v>1000</v>
      </c>
      <c r="J1771" s="34">
        <f t="shared" si="829"/>
        <v>100000</v>
      </c>
      <c r="K1771" s="133">
        <v>1000</v>
      </c>
      <c r="L1771" s="34"/>
      <c r="M1771" s="16">
        <f t="shared" si="809"/>
        <v>800</v>
      </c>
      <c r="N1771" s="36">
        <v>100</v>
      </c>
      <c r="O1771" s="2" t="s">
        <v>200</v>
      </c>
      <c r="P1771" s="2" t="s">
        <v>90</v>
      </c>
      <c r="Q1771" s="2" t="s">
        <v>482</v>
      </c>
      <c r="R1771" s="2" t="s">
        <v>733</v>
      </c>
      <c r="S1771" s="56">
        <v>400</v>
      </c>
    </row>
    <row r="1772" spans="1:20" x14ac:dyDescent="0.2">
      <c r="A1772" s="8">
        <v>300290619</v>
      </c>
      <c r="B1772" s="8">
        <v>30029</v>
      </c>
      <c r="C1772" s="8">
        <v>6</v>
      </c>
      <c r="D1772" s="8" t="s">
        <v>259</v>
      </c>
      <c r="E1772" s="8">
        <v>9</v>
      </c>
      <c r="F1772" s="34">
        <f t="shared" si="827"/>
        <v>1000</v>
      </c>
      <c r="G1772" s="34">
        <f t="shared" si="827"/>
        <v>1000</v>
      </c>
      <c r="H1772" s="34">
        <f t="shared" si="828"/>
        <v>1000</v>
      </c>
      <c r="I1772" s="34">
        <f t="shared" si="828"/>
        <v>1000</v>
      </c>
      <c r="J1772" s="34">
        <f t="shared" si="829"/>
        <v>100000</v>
      </c>
      <c r="K1772" s="133">
        <v>1000</v>
      </c>
      <c r="L1772" s="34"/>
      <c r="M1772" s="16">
        <f t="shared" si="809"/>
        <v>800</v>
      </c>
      <c r="N1772" s="36">
        <v>100</v>
      </c>
      <c r="O1772" s="2" t="s">
        <v>200</v>
      </c>
      <c r="P1772" s="2" t="s">
        <v>90</v>
      </c>
      <c r="Q1772" s="2" t="s">
        <v>909</v>
      </c>
      <c r="R1772" s="2" t="s">
        <v>732</v>
      </c>
      <c r="S1772" s="56">
        <v>400</v>
      </c>
    </row>
    <row r="1773" spans="1:20" x14ac:dyDescent="0.2">
      <c r="A1773" s="191">
        <v>300290711</v>
      </c>
      <c r="B1773" s="191">
        <v>30029</v>
      </c>
      <c r="C1773" s="191">
        <v>7</v>
      </c>
      <c r="D1773" s="191" t="s">
        <v>259</v>
      </c>
      <c r="E1773" s="191">
        <v>1</v>
      </c>
      <c r="F1773" s="192">
        <f t="shared" ref="F1773:G1775" si="830">ROUNDDOWN($P1773/4*MIN($O1773,4)*10*$N1773/$N1773*$Q1773/400,0)</f>
        <v>1000</v>
      </c>
      <c r="G1773" s="192">
        <f t="shared" si="830"/>
        <v>1000</v>
      </c>
      <c r="H1773" s="192">
        <f t="shared" ref="H1773:I1775" si="831">ROUNDDOWN($S1773/4*10,0)</f>
        <v>1000</v>
      </c>
      <c r="I1773" s="192">
        <f t="shared" si="831"/>
        <v>1000</v>
      </c>
      <c r="J1773" s="192">
        <f t="shared" ref="J1773:J1775" si="832">ROUNDDOWN($P1773/4*$O1773*10*$N1773/$Q1773*$N1773/400*0.8,0)</f>
        <v>200000</v>
      </c>
      <c r="K1773" s="133">
        <v>1000</v>
      </c>
      <c r="L1773" s="192"/>
      <c r="M1773" s="193">
        <f t="shared" ref="M1773" si="833">(F1773*J1773*((H1773+I1773)/2)/1000)^(1/2)/10*0.8</f>
        <v>1131.3708498984761</v>
      </c>
      <c r="N1773" s="195">
        <v>100</v>
      </c>
      <c r="O1773" s="195">
        <v>1000</v>
      </c>
      <c r="P1773" s="195">
        <v>400</v>
      </c>
      <c r="Q1773" s="195">
        <v>100</v>
      </c>
      <c r="R1773" s="194" t="s">
        <v>906</v>
      </c>
      <c r="S1773" s="195">
        <v>400</v>
      </c>
    </row>
    <row r="1774" spans="1:20" x14ac:dyDescent="0.2">
      <c r="A1774" s="191">
        <v>300290811</v>
      </c>
      <c r="B1774" s="191">
        <v>30029</v>
      </c>
      <c r="C1774" s="191">
        <v>8</v>
      </c>
      <c r="D1774" s="191" t="s">
        <v>259</v>
      </c>
      <c r="E1774" s="191">
        <v>1</v>
      </c>
      <c r="F1774" s="192">
        <f t="shared" si="830"/>
        <v>1000</v>
      </c>
      <c r="G1774" s="192">
        <f t="shared" si="830"/>
        <v>1000</v>
      </c>
      <c r="H1774" s="192">
        <f t="shared" si="831"/>
        <v>1000</v>
      </c>
      <c r="I1774" s="192">
        <f t="shared" si="831"/>
        <v>1000</v>
      </c>
      <c r="J1774" s="192">
        <f t="shared" si="832"/>
        <v>400000</v>
      </c>
      <c r="K1774" s="133">
        <v>1000</v>
      </c>
      <c r="L1774" s="192"/>
      <c r="M1774" s="193">
        <f t="shared" ref="M1774:M1786" si="834">(F1774*J1774*((H1774+I1774)/2)/1000)^(1/2)/10*0.8</f>
        <v>1600</v>
      </c>
      <c r="N1774" s="195">
        <v>100</v>
      </c>
      <c r="O1774" s="195">
        <v>2000</v>
      </c>
      <c r="P1774" s="195">
        <v>400</v>
      </c>
      <c r="Q1774" s="195">
        <v>100</v>
      </c>
      <c r="R1774" s="194" t="s">
        <v>907</v>
      </c>
      <c r="S1774" s="195">
        <v>400</v>
      </c>
    </row>
    <row r="1775" spans="1:20" x14ac:dyDescent="0.2">
      <c r="A1775" s="191">
        <v>300290911</v>
      </c>
      <c r="B1775" s="191">
        <v>30029</v>
      </c>
      <c r="C1775" s="191">
        <v>9</v>
      </c>
      <c r="D1775" s="191" t="s">
        <v>259</v>
      </c>
      <c r="E1775" s="191">
        <v>1</v>
      </c>
      <c r="F1775" s="192">
        <f t="shared" si="830"/>
        <v>1000</v>
      </c>
      <c r="G1775" s="192">
        <f t="shared" si="830"/>
        <v>1000</v>
      </c>
      <c r="H1775" s="192">
        <f t="shared" si="831"/>
        <v>1000</v>
      </c>
      <c r="I1775" s="192">
        <f t="shared" si="831"/>
        <v>1000</v>
      </c>
      <c r="J1775" s="192">
        <f t="shared" si="832"/>
        <v>600000</v>
      </c>
      <c r="K1775" s="133">
        <v>1000</v>
      </c>
      <c r="L1775" s="192"/>
      <c r="M1775" s="193">
        <f t="shared" si="834"/>
        <v>1959.5917942265423</v>
      </c>
      <c r="N1775" s="195">
        <v>100</v>
      </c>
      <c r="O1775" s="195">
        <v>3000</v>
      </c>
      <c r="P1775" s="195">
        <v>400</v>
      </c>
      <c r="Q1775" s="195">
        <v>100</v>
      </c>
      <c r="R1775" s="194" t="s">
        <v>908</v>
      </c>
      <c r="S1775" s="195">
        <v>400</v>
      </c>
    </row>
    <row r="1776" spans="1:20" x14ac:dyDescent="0.2">
      <c r="A1776" s="38"/>
      <c r="B1776" s="38"/>
      <c r="C1776" s="35" t="s">
        <v>910</v>
      </c>
      <c r="D1776" s="38"/>
      <c r="E1776" s="38"/>
      <c r="F1776" s="38"/>
      <c r="G1776" s="40"/>
      <c r="H1776" s="38"/>
      <c r="I1776" s="38"/>
      <c r="J1776" s="38"/>
      <c r="K1776" s="133">
        <v>1000</v>
      </c>
      <c r="L1776" s="38"/>
      <c r="M1776" s="16">
        <f t="shared" si="834"/>
        <v>0</v>
      </c>
      <c r="N1776" s="42" t="str">
        <f>IF(A1776="","",M1776*#REF!)</f>
        <v/>
      </c>
      <c r="O1776" s="40"/>
      <c r="P1776" s="38"/>
      <c r="Q1776" s="38"/>
      <c r="R1776" s="38"/>
      <c r="S1776" s="40"/>
      <c r="T1776" s="267"/>
    </row>
    <row r="1777" spans="1:20" x14ac:dyDescent="0.2">
      <c r="A1777" s="69" t="str">
        <f>IF(B1777="","",CONCATENATE(B1777,CONCATENATE(REPT(0,2-LEN(C1777)),C1777),IF(OR(D1777="Easy",D1777=""),1,IF(D1777="Normal",2,IF(D1777="Hard",3,IF(D1777="Hell",4,"error")))),E1777))</f>
        <v>300300121</v>
      </c>
      <c r="B1777" s="69">
        <v>30030</v>
      </c>
      <c r="C1777" s="69">
        <v>1</v>
      </c>
      <c r="D1777" s="69" t="s">
        <v>63</v>
      </c>
      <c r="E1777" s="69">
        <v>1</v>
      </c>
      <c r="F1777" s="70">
        <f t="shared" ref="F1777:G1786" si="835">ROUNDDOWN($P1777/4*MIN($O1777,4)*10*$N1777/$N1777*$Q1777/400,0)</f>
        <v>12100</v>
      </c>
      <c r="G1777" s="70">
        <f t="shared" si="835"/>
        <v>12100</v>
      </c>
      <c r="H1777" s="70">
        <f t="shared" ref="H1777:I1786" si="836">ROUNDDOWN($S1777/4*10,0)</f>
        <v>3300</v>
      </c>
      <c r="I1777" s="70">
        <f t="shared" si="836"/>
        <v>3300</v>
      </c>
      <c r="J1777" s="70">
        <f t="shared" ref="J1777:J1792" si="837">ROUNDDOWN($P1777/4*$O1777*10*$N1777/$Q1777*$N1777/400*0.8,0)</f>
        <v>37500</v>
      </c>
      <c r="K1777" s="133">
        <v>1000</v>
      </c>
      <c r="L1777" s="70"/>
      <c r="M1777" s="131">
        <f t="shared" si="834"/>
        <v>3095.674401483464</v>
      </c>
      <c r="N1777" s="71">
        <v>500</v>
      </c>
      <c r="O1777" s="72" t="s">
        <v>332</v>
      </c>
      <c r="P1777" s="72" t="s">
        <v>525</v>
      </c>
      <c r="Q1777" s="72" t="s">
        <v>246</v>
      </c>
      <c r="R1777" s="72" t="s">
        <v>899</v>
      </c>
      <c r="S1777" s="187">
        <f t="shared" ref="S1777:S1786" si="838">P1777*0.6</f>
        <v>1320</v>
      </c>
    </row>
    <row r="1778" spans="1:20" x14ac:dyDescent="0.2">
      <c r="A1778" s="69" t="str">
        <f t="shared" ref="A1778" si="839">IF(B1778="","",CONCATENATE(B1778,CONCATENATE(REPT(0,2-LEN(C1778)),C1778),IF(OR(D1778="Easy",D1778=""),1,IF(D1778="Normal",2,IF(D1778="Hard",3,IF(D1778="Hell",4,"error")))),E1778))</f>
        <v>300300129</v>
      </c>
      <c r="B1778" s="69">
        <v>30030</v>
      </c>
      <c r="C1778" s="69">
        <v>1</v>
      </c>
      <c r="D1778" s="69" t="s">
        <v>63</v>
      </c>
      <c r="E1778" s="69">
        <v>9</v>
      </c>
      <c r="F1778" s="70">
        <f t="shared" si="835"/>
        <v>51170</v>
      </c>
      <c r="G1778" s="70">
        <f t="shared" si="835"/>
        <v>51170</v>
      </c>
      <c r="H1778" s="70">
        <f t="shared" si="836"/>
        <v>4200</v>
      </c>
      <c r="I1778" s="70">
        <f t="shared" si="836"/>
        <v>4200</v>
      </c>
      <c r="J1778" s="70">
        <f t="shared" si="837"/>
        <v>257554</v>
      </c>
      <c r="K1778" s="133">
        <v>1000</v>
      </c>
      <c r="L1778" s="70"/>
      <c r="M1778" s="131">
        <f t="shared" si="834"/>
        <v>18821.597867301276</v>
      </c>
      <c r="N1778" s="71">
        <v>820</v>
      </c>
      <c r="O1778" s="72" t="s">
        <v>243</v>
      </c>
      <c r="P1778" s="72" t="s">
        <v>587</v>
      </c>
      <c r="Q1778" s="72" t="s">
        <v>102</v>
      </c>
      <c r="R1778" s="72" t="s">
        <v>900</v>
      </c>
      <c r="S1778" s="187">
        <f t="shared" si="838"/>
        <v>1680</v>
      </c>
    </row>
    <row r="1779" spans="1:20" x14ac:dyDescent="0.2">
      <c r="A1779" s="69" t="str">
        <f>IF(B1779="","",CONCATENATE(B1779,CONCATENATE(REPT(0,2-LEN(C1779)),C1779),IF(OR(D1779="Easy",D1779=""),1,IF(D1779="Normal",2,IF(D1779="Hard",3,IF(D1779="Hell",4,"error")))),E1779))</f>
        <v>300300221</v>
      </c>
      <c r="B1779" s="69">
        <v>30030</v>
      </c>
      <c r="C1779" s="69">
        <v>2</v>
      </c>
      <c r="D1779" s="69" t="s">
        <v>63</v>
      </c>
      <c r="E1779" s="69">
        <v>1</v>
      </c>
      <c r="F1779" s="70">
        <f t="shared" si="835"/>
        <v>12100</v>
      </c>
      <c r="G1779" s="70">
        <f t="shared" si="835"/>
        <v>12100</v>
      </c>
      <c r="H1779" s="70">
        <f t="shared" si="836"/>
        <v>3300</v>
      </c>
      <c r="I1779" s="70">
        <f t="shared" si="836"/>
        <v>3300</v>
      </c>
      <c r="J1779" s="70">
        <f t="shared" si="837"/>
        <v>37500</v>
      </c>
      <c r="K1779" s="133">
        <v>1000</v>
      </c>
      <c r="L1779" s="70"/>
      <c r="M1779" s="131">
        <f t="shared" si="834"/>
        <v>3095.674401483464</v>
      </c>
      <c r="N1779" s="71">
        <v>500</v>
      </c>
      <c r="O1779" s="72" t="s">
        <v>332</v>
      </c>
      <c r="P1779" s="72" t="s">
        <v>525</v>
      </c>
      <c r="Q1779" s="72" t="s">
        <v>246</v>
      </c>
      <c r="R1779" s="72" t="s">
        <v>899</v>
      </c>
      <c r="S1779" s="187">
        <f t="shared" si="838"/>
        <v>1320</v>
      </c>
    </row>
    <row r="1780" spans="1:20" x14ac:dyDescent="0.2">
      <c r="A1780" s="69" t="str">
        <f t="shared" ref="A1780" si="840">IF(B1780="","",CONCATENATE(B1780,CONCATENATE(REPT(0,2-LEN(C1780)),C1780),IF(OR(D1780="Easy",D1780=""),1,IF(D1780="Normal",2,IF(D1780="Hard",3,IF(D1780="Hell",4,"error")))),E1780))</f>
        <v>300300229</v>
      </c>
      <c r="B1780" s="69">
        <v>30030</v>
      </c>
      <c r="C1780" s="69">
        <v>2</v>
      </c>
      <c r="D1780" s="69" t="s">
        <v>63</v>
      </c>
      <c r="E1780" s="69">
        <v>9</v>
      </c>
      <c r="F1780" s="70">
        <f t="shared" si="835"/>
        <v>51170</v>
      </c>
      <c r="G1780" s="70">
        <f t="shared" si="835"/>
        <v>51170</v>
      </c>
      <c r="H1780" s="70">
        <f t="shared" si="836"/>
        <v>4200</v>
      </c>
      <c r="I1780" s="70">
        <f t="shared" si="836"/>
        <v>4200</v>
      </c>
      <c r="J1780" s="70">
        <f t="shared" si="837"/>
        <v>257554</v>
      </c>
      <c r="K1780" s="133">
        <v>1000</v>
      </c>
      <c r="L1780" s="70"/>
      <c r="M1780" s="131">
        <f t="shared" si="834"/>
        <v>18821.597867301276</v>
      </c>
      <c r="N1780" s="71">
        <v>820</v>
      </c>
      <c r="O1780" s="72" t="s">
        <v>243</v>
      </c>
      <c r="P1780" s="72" t="s">
        <v>587</v>
      </c>
      <c r="Q1780" s="72" t="s">
        <v>102</v>
      </c>
      <c r="R1780" s="72" t="s">
        <v>900</v>
      </c>
      <c r="S1780" s="187">
        <f t="shared" si="838"/>
        <v>1680</v>
      </c>
    </row>
    <row r="1781" spans="1:20" x14ac:dyDescent="0.2">
      <c r="A1781" s="69" t="str">
        <f>IF(B1781="","",CONCATENATE(B1781,CONCATENATE(REPT(0,2-LEN(C1781)),C1781),IF(OR(D1781="Easy",D1781=""),1,IF(D1781="Normal",2,IF(D1781="Hard",3,IF(D1781="Hell",4,"error")))),E1781))</f>
        <v>300300321</v>
      </c>
      <c r="B1781" s="69">
        <v>30030</v>
      </c>
      <c r="C1781" s="69">
        <v>3</v>
      </c>
      <c r="D1781" s="69" t="s">
        <v>63</v>
      </c>
      <c r="E1781" s="69">
        <v>1</v>
      </c>
      <c r="F1781" s="70">
        <f t="shared" si="835"/>
        <v>12100</v>
      </c>
      <c r="G1781" s="70">
        <f t="shared" si="835"/>
        <v>12100</v>
      </c>
      <c r="H1781" s="70">
        <f t="shared" si="836"/>
        <v>3300</v>
      </c>
      <c r="I1781" s="70">
        <f t="shared" si="836"/>
        <v>3300</v>
      </c>
      <c r="J1781" s="70">
        <f t="shared" si="837"/>
        <v>37500</v>
      </c>
      <c r="K1781" s="133">
        <v>1000</v>
      </c>
      <c r="L1781" s="70"/>
      <c r="M1781" s="131">
        <f t="shared" si="834"/>
        <v>3095.674401483464</v>
      </c>
      <c r="N1781" s="71">
        <v>500</v>
      </c>
      <c r="O1781" s="72" t="s">
        <v>332</v>
      </c>
      <c r="P1781" s="72" t="s">
        <v>525</v>
      </c>
      <c r="Q1781" s="72" t="s">
        <v>246</v>
      </c>
      <c r="R1781" s="72" t="s">
        <v>899</v>
      </c>
      <c r="S1781" s="187">
        <f t="shared" si="838"/>
        <v>1320</v>
      </c>
    </row>
    <row r="1782" spans="1:20" x14ac:dyDescent="0.2">
      <c r="A1782" s="69" t="str">
        <f t="shared" ref="A1782" si="841">IF(B1782="","",CONCATENATE(B1782,CONCATENATE(REPT(0,2-LEN(C1782)),C1782),IF(OR(D1782="Easy",D1782=""),1,IF(D1782="Normal",2,IF(D1782="Hard",3,IF(D1782="Hell",4,"error")))),E1782))</f>
        <v>300300329</v>
      </c>
      <c r="B1782" s="69">
        <v>30030</v>
      </c>
      <c r="C1782" s="69">
        <v>3</v>
      </c>
      <c r="D1782" s="69" t="s">
        <v>63</v>
      </c>
      <c r="E1782" s="69">
        <v>9</v>
      </c>
      <c r="F1782" s="70">
        <f t="shared" si="835"/>
        <v>45687</v>
      </c>
      <c r="G1782" s="70">
        <f t="shared" si="835"/>
        <v>45687</v>
      </c>
      <c r="H1782" s="70">
        <f t="shared" si="836"/>
        <v>3750</v>
      </c>
      <c r="I1782" s="70">
        <f t="shared" si="836"/>
        <v>3750</v>
      </c>
      <c r="J1782" s="70">
        <f t="shared" si="837"/>
        <v>229958</v>
      </c>
      <c r="K1782" s="133">
        <v>1000</v>
      </c>
      <c r="L1782" s="70"/>
      <c r="M1782" s="131">
        <f t="shared" si="834"/>
        <v>15879.111672382684</v>
      </c>
      <c r="N1782" s="71">
        <v>820</v>
      </c>
      <c r="O1782" s="72" t="s">
        <v>243</v>
      </c>
      <c r="P1782" s="72" t="s">
        <v>585</v>
      </c>
      <c r="Q1782" s="72" t="s">
        <v>102</v>
      </c>
      <c r="R1782" s="72" t="s">
        <v>900</v>
      </c>
      <c r="S1782" s="187">
        <f t="shared" si="838"/>
        <v>1500</v>
      </c>
    </row>
    <row r="1783" spans="1:20" x14ac:dyDescent="0.2">
      <c r="A1783" s="69" t="str">
        <f>IF(B1783="","",CONCATENATE(B1783,CONCATENATE(REPT(0,2-LEN(C1783)),C1783),IF(OR(D1783="Easy",D1783=""),1,IF(D1783="Normal",2,IF(D1783="Hard",3,IF(D1783="Hell",4,"error")))),E1783))</f>
        <v>300300421</v>
      </c>
      <c r="B1783" s="69">
        <v>30030</v>
      </c>
      <c r="C1783" s="69">
        <v>4</v>
      </c>
      <c r="D1783" s="69" t="s">
        <v>63</v>
      </c>
      <c r="E1783" s="69">
        <v>1</v>
      </c>
      <c r="F1783" s="70">
        <f t="shared" si="835"/>
        <v>12100</v>
      </c>
      <c r="G1783" s="70">
        <f t="shared" si="835"/>
        <v>12100</v>
      </c>
      <c r="H1783" s="70">
        <f t="shared" si="836"/>
        <v>3300</v>
      </c>
      <c r="I1783" s="70">
        <f t="shared" si="836"/>
        <v>3300</v>
      </c>
      <c r="J1783" s="70">
        <f t="shared" si="837"/>
        <v>37500</v>
      </c>
      <c r="K1783" s="133">
        <v>1000</v>
      </c>
      <c r="L1783" s="70"/>
      <c r="M1783" s="131">
        <f t="shared" si="834"/>
        <v>3095.674401483464</v>
      </c>
      <c r="N1783" s="71">
        <v>500</v>
      </c>
      <c r="O1783" s="72" t="s">
        <v>332</v>
      </c>
      <c r="P1783" s="72" t="s">
        <v>525</v>
      </c>
      <c r="Q1783" s="72" t="s">
        <v>246</v>
      </c>
      <c r="R1783" s="72" t="s">
        <v>899</v>
      </c>
      <c r="S1783" s="187">
        <f t="shared" si="838"/>
        <v>1320</v>
      </c>
    </row>
    <row r="1784" spans="1:20" x14ac:dyDescent="0.2">
      <c r="A1784" s="69" t="str">
        <f t="shared" ref="A1784" si="842">IF(B1784="","",CONCATENATE(B1784,CONCATENATE(REPT(0,2-LEN(C1784)),C1784),IF(OR(D1784="Easy",D1784=""),1,IF(D1784="Normal",2,IF(D1784="Hard",3,IF(D1784="Hell",4,"error")))),E1784))</f>
        <v>300300429</v>
      </c>
      <c r="B1784" s="69">
        <v>30030</v>
      </c>
      <c r="C1784" s="69">
        <v>4</v>
      </c>
      <c r="D1784" s="69" t="s">
        <v>63</v>
      </c>
      <c r="E1784" s="69">
        <v>9</v>
      </c>
      <c r="F1784" s="70">
        <f t="shared" si="835"/>
        <v>47515</v>
      </c>
      <c r="G1784" s="70">
        <f t="shared" si="835"/>
        <v>47515</v>
      </c>
      <c r="H1784" s="70">
        <f t="shared" si="836"/>
        <v>3900</v>
      </c>
      <c r="I1784" s="70">
        <f t="shared" si="836"/>
        <v>3900</v>
      </c>
      <c r="J1784" s="70">
        <f t="shared" si="837"/>
        <v>239157</v>
      </c>
      <c r="K1784" s="133">
        <v>1000</v>
      </c>
      <c r="L1784" s="70"/>
      <c r="M1784" s="131">
        <f t="shared" si="834"/>
        <v>16841.439355969549</v>
      </c>
      <c r="N1784" s="71">
        <v>820</v>
      </c>
      <c r="O1784" s="72" t="s">
        <v>243</v>
      </c>
      <c r="P1784" s="72" t="s">
        <v>447</v>
      </c>
      <c r="Q1784" s="72" t="s">
        <v>102</v>
      </c>
      <c r="R1784" s="72" t="s">
        <v>900</v>
      </c>
      <c r="S1784" s="187">
        <f t="shared" si="838"/>
        <v>1560</v>
      </c>
    </row>
    <row r="1785" spans="1:20" x14ac:dyDescent="0.2">
      <c r="A1785" s="69" t="str">
        <f>IF(B1785="","",CONCATENATE(B1785,CONCATENATE(REPT(0,2-LEN(C1785)),C1785),IF(OR(D1785="Easy",D1785=""),1,IF(D1785="Normal",2,IF(D1785="Hard",3,IF(D1785="Hell",4,"error")))),E1785))</f>
        <v>300300521</v>
      </c>
      <c r="B1785" s="69">
        <v>30030</v>
      </c>
      <c r="C1785" s="69">
        <v>5</v>
      </c>
      <c r="D1785" s="69" t="s">
        <v>63</v>
      </c>
      <c r="E1785" s="69">
        <v>1</v>
      </c>
      <c r="F1785" s="70">
        <f t="shared" si="835"/>
        <v>12100</v>
      </c>
      <c r="G1785" s="70">
        <f t="shared" si="835"/>
        <v>12100</v>
      </c>
      <c r="H1785" s="70">
        <f t="shared" si="836"/>
        <v>3300</v>
      </c>
      <c r="I1785" s="70">
        <f t="shared" si="836"/>
        <v>3300</v>
      </c>
      <c r="J1785" s="70">
        <f t="shared" si="837"/>
        <v>37500</v>
      </c>
      <c r="K1785" s="133">
        <v>1000</v>
      </c>
      <c r="L1785" s="70"/>
      <c r="M1785" s="131">
        <f t="shared" si="834"/>
        <v>3095.674401483464</v>
      </c>
      <c r="N1785" s="71">
        <v>500</v>
      </c>
      <c r="O1785" s="72" t="s">
        <v>332</v>
      </c>
      <c r="P1785" s="72" t="s">
        <v>525</v>
      </c>
      <c r="Q1785" s="72" t="s">
        <v>246</v>
      </c>
      <c r="R1785" s="72" t="s">
        <v>899</v>
      </c>
      <c r="S1785" s="187">
        <f t="shared" si="838"/>
        <v>1320</v>
      </c>
    </row>
    <row r="1786" spans="1:20" x14ac:dyDescent="0.2">
      <c r="A1786" s="69" t="str">
        <f t="shared" ref="A1786" si="843">IF(B1786="","",CONCATENATE(B1786,CONCATENATE(REPT(0,2-LEN(C1786)),C1786),IF(OR(D1786="Easy",D1786=""),1,IF(D1786="Normal",2,IF(D1786="Hard",3,IF(D1786="Hell",4,"error")))),E1786))</f>
        <v>300300529</v>
      </c>
      <c r="B1786" s="69">
        <v>30030</v>
      </c>
      <c r="C1786" s="69">
        <v>5</v>
      </c>
      <c r="D1786" s="69" t="s">
        <v>63</v>
      </c>
      <c r="E1786" s="69">
        <v>9</v>
      </c>
      <c r="F1786" s="70">
        <f t="shared" si="835"/>
        <v>51170</v>
      </c>
      <c r="G1786" s="70">
        <f t="shared" si="835"/>
        <v>51170</v>
      </c>
      <c r="H1786" s="70">
        <f t="shared" si="836"/>
        <v>4200</v>
      </c>
      <c r="I1786" s="70">
        <f t="shared" si="836"/>
        <v>4200</v>
      </c>
      <c r="J1786" s="70">
        <f t="shared" si="837"/>
        <v>257554</v>
      </c>
      <c r="K1786" s="133">
        <v>1000</v>
      </c>
      <c r="L1786" s="70"/>
      <c r="M1786" s="131">
        <f t="shared" si="834"/>
        <v>18821.597867301276</v>
      </c>
      <c r="N1786" s="71">
        <v>820</v>
      </c>
      <c r="O1786" s="72" t="s">
        <v>243</v>
      </c>
      <c r="P1786" s="72" t="s">
        <v>587</v>
      </c>
      <c r="Q1786" s="72" t="s">
        <v>102</v>
      </c>
      <c r="R1786" s="72" t="s">
        <v>900</v>
      </c>
      <c r="S1786" s="187">
        <f t="shared" si="838"/>
        <v>1680</v>
      </c>
    </row>
    <row r="1787" spans="1:20" x14ac:dyDescent="0.2">
      <c r="A1787" s="69" t="str">
        <f>IF(B1787="","",CONCATENATE(B1787,CONCATENATE(REPT(0,2-LEN(C1787)),C1787),IF(OR(D1787="Easy",D1787=""),1,IF(D1787="Normal",2,IF(D1787="Hard",3,IF(D1787="Hell",4,"error")))),E1787))</f>
        <v>300300611</v>
      </c>
      <c r="B1787" s="69">
        <v>30030</v>
      </c>
      <c r="C1787" s="8">
        <v>6</v>
      </c>
      <c r="D1787" s="8" t="s">
        <v>259</v>
      </c>
      <c r="E1787" s="8">
        <v>1</v>
      </c>
      <c r="F1787" s="34">
        <f t="shared" ref="F1787:G1792" si="844">ROUNDDOWN($P1787/4*MIN($O1787,4)*10*$N1787/$N1787*$Q1787/400,0)</f>
        <v>500000</v>
      </c>
      <c r="G1787" s="34">
        <f t="shared" si="844"/>
        <v>500000</v>
      </c>
      <c r="H1787" s="34">
        <f t="shared" ref="H1787:I1792" si="845">ROUNDDOWN($S1787/4*10,0)</f>
        <v>25000</v>
      </c>
      <c r="I1787" s="34">
        <f t="shared" si="845"/>
        <v>25000</v>
      </c>
      <c r="J1787" s="34">
        <f t="shared" si="837"/>
        <v>200687</v>
      </c>
      <c r="K1787" s="133">
        <v>1000</v>
      </c>
      <c r="L1787" s="34"/>
      <c r="M1787" s="16">
        <f t="shared" ref="M1787:M1793" si="846">(F1787*J1787*((H1787+I1787)/2)/1000)^(1/2)/10*0.8</f>
        <v>126708.16863959483</v>
      </c>
      <c r="N1787" s="36">
        <v>650</v>
      </c>
      <c r="O1787" s="2" t="s">
        <v>228</v>
      </c>
      <c r="P1787" s="2" t="s">
        <v>399</v>
      </c>
      <c r="Q1787" s="2" t="s">
        <v>202</v>
      </c>
      <c r="R1787" s="2" t="s">
        <v>911</v>
      </c>
      <c r="S1787" s="2" t="s">
        <v>399</v>
      </c>
    </row>
    <row r="1788" spans="1:20" x14ac:dyDescent="0.2">
      <c r="A1788" s="69" t="str">
        <f t="shared" ref="A1788:A1792" si="847">IF(B1788="","",CONCATENATE(B1788,CONCATENATE(REPT(0,2-LEN(C1788)),C1788),IF(OR(D1788="Easy",D1788=""),1,IF(D1788="Normal",2,IF(D1788="Hard",3,IF(D1788="Hell",4,"error")))),E1788))</f>
        <v>300300612</v>
      </c>
      <c r="B1788" s="69">
        <v>30030</v>
      </c>
      <c r="C1788" s="18">
        <v>6</v>
      </c>
      <c r="D1788" s="18" t="s">
        <v>259</v>
      </c>
      <c r="E1788" s="18">
        <v>2</v>
      </c>
      <c r="F1788" s="19">
        <f t="shared" si="844"/>
        <v>25000</v>
      </c>
      <c r="G1788" s="19">
        <f t="shared" si="844"/>
        <v>25000</v>
      </c>
      <c r="H1788" s="19">
        <f t="shared" si="845"/>
        <v>1250</v>
      </c>
      <c r="I1788" s="19">
        <f t="shared" si="845"/>
        <v>1250</v>
      </c>
      <c r="J1788" s="19">
        <f t="shared" si="837"/>
        <v>15969</v>
      </c>
      <c r="K1788" s="133">
        <v>1000</v>
      </c>
      <c r="L1788" s="19"/>
      <c r="M1788" s="118">
        <f t="shared" si="846"/>
        <v>1787.1205891041602</v>
      </c>
      <c r="N1788" s="58">
        <v>820</v>
      </c>
      <c r="O1788" s="41" t="s">
        <v>228</v>
      </c>
      <c r="P1788" s="41" t="s">
        <v>200</v>
      </c>
      <c r="Q1788" s="2" t="s">
        <v>202</v>
      </c>
      <c r="R1788" s="41"/>
      <c r="S1788" s="41" t="s">
        <v>200</v>
      </c>
    </row>
    <row r="1789" spans="1:20" x14ac:dyDescent="0.2">
      <c r="A1789" s="74" t="str">
        <f t="shared" si="847"/>
        <v>300300711</v>
      </c>
      <c r="B1789" s="69">
        <v>30030</v>
      </c>
      <c r="C1789" s="8">
        <v>7</v>
      </c>
      <c r="D1789" s="8" t="s">
        <v>259</v>
      </c>
      <c r="E1789" s="8">
        <v>1</v>
      </c>
      <c r="F1789" s="34">
        <f t="shared" si="844"/>
        <v>172500</v>
      </c>
      <c r="G1789" s="34">
        <f t="shared" si="844"/>
        <v>172500</v>
      </c>
      <c r="H1789" s="34">
        <f t="shared" si="845"/>
        <v>50000</v>
      </c>
      <c r="I1789" s="34">
        <f t="shared" si="845"/>
        <v>50000</v>
      </c>
      <c r="J1789" s="34">
        <f t="shared" si="837"/>
        <v>793155</v>
      </c>
      <c r="K1789" s="133">
        <v>1000</v>
      </c>
      <c r="L1789" s="34"/>
      <c r="M1789" s="16">
        <f t="shared" si="846"/>
        <v>209241.86005672958</v>
      </c>
      <c r="N1789" s="36">
        <v>330</v>
      </c>
      <c r="O1789" s="2" t="s">
        <v>228</v>
      </c>
      <c r="P1789" s="2" t="s">
        <v>914</v>
      </c>
      <c r="Q1789" s="2" t="s">
        <v>283</v>
      </c>
      <c r="R1789" s="2" t="s">
        <v>912</v>
      </c>
      <c r="S1789" s="2" t="s">
        <v>594</v>
      </c>
      <c r="T1789" s="114"/>
    </row>
    <row r="1790" spans="1:20" x14ac:dyDescent="0.2">
      <c r="A1790" s="74" t="str">
        <f t="shared" si="847"/>
        <v>300300712</v>
      </c>
      <c r="B1790" s="69">
        <v>30030</v>
      </c>
      <c r="C1790" s="18">
        <v>7</v>
      </c>
      <c r="D1790" s="18" t="s">
        <v>259</v>
      </c>
      <c r="E1790" s="18">
        <v>2</v>
      </c>
      <c r="F1790" s="19">
        <f t="shared" si="844"/>
        <v>25000</v>
      </c>
      <c r="G1790" s="19">
        <f t="shared" si="844"/>
        <v>25000</v>
      </c>
      <c r="H1790" s="19">
        <f t="shared" si="845"/>
        <v>3750</v>
      </c>
      <c r="I1790" s="19">
        <f t="shared" si="845"/>
        <v>3750</v>
      </c>
      <c r="J1790" s="19">
        <f t="shared" si="837"/>
        <v>3800</v>
      </c>
      <c r="K1790" s="133">
        <v>1000</v>
      </c>
      <c r="L1790" s="19"/>
      <c r="M1790" s="118">
        <f t="shared" si="846"/>
        <v>1509.96688705415</v>
      </c>
      <c r="N1790" s="58">
        <v>400</v>
      </c>
      <c r="O1790" s="41" t="s">
        <v>228</v>
      </c>
      <c r="P1790" s="41" t="s">
        <v>200</v>
      </c>
      <c r="Q1790" s="2" t="s">
        <v>202</v>
      </c>
      <c r="R1790" s="41"/>
      <c r="S1790" s="41" t="s">
        <v>489</v>
      </c>
      <c r="T1790" s="114"/>
    </row>
    <row r="1791" spans="1:20" ht="10.5" customHeight="1" x14ac:dyDescent="0.2">
      <c r="A1791" s="8" t="str">
        <f t="shared" si="847"/>
        <v>300300811</v>
      </c>
      <c r="B1791" s="69">
        <v>30030</v>
      </c>
      <c r="C1791" s="8">
        <v>8</v>
      </c>
      <c r="D1791" s="8" t="s">
        <v>259</v>
      </c>
      <c r="E1791" s="8">
        <v>1</v>
      </c>
      <c r="F1791" s="34">
        <f t="shared" si="844"/>
        <v>2250000</v>
      </c>
      <c r="G1791" s="34">
        <f t="shared" si="844"/>
        <v>2250000</v>
      </c>
      <c r="H1791" s="34">
        <f t="shared" si="845"/>
        <v>50000</v>
      </c>
      <c r="I1791" s="34">
        <f t="shared" si="845"/>
        <v>50000</v>
      </c>
      <c r="J1791" s="34">
        <f t="shared" si="837"/>
        <v>950000</v>
      </c>
      <c r="K1791" s="133">
        <v>1000</v>
      </c>
      <c r="L1791" s="34"/>
      <c r="M1791" s="16">
        <f t="shared" si="846"/>
        <v>827042.92512541323</v>
      </c>
      <c r="N1791" s="36">
        <v>500</v>
      </c>
      <c r="O1791" s="2" t="s">
        <v>228</v>
      </c>
      <c r="P1791" s="2" t="s">
        <v>346</v>
      </c>
      <c r="Q1791" s="2" t="s">
        <v>489</v>
      </c>
      <c r="R1791" s="2" t="s">
        <v>913</v>
      </c>
      <c r="S1791" s="2" t="s">
        <v>594</v>
      </c>
    </row>
    <row r="1792" spans="1:20" ht="10.5" customHeight="1" x14ac:dyDescent="0.2">
      <c r="A1792" s="18" t="str">
        <f t="shared" si="847"/>
        <v>300300812</v>
      </c>
      <c r="B1792" s="69">
        <v>30030</v>
      </c>
      <c r="C1792" s="18">
        <v>8</v>
      </c>
      <c r="D1792" s="18" t="s">
        <v>259</v>
      </c>
      <c r="E1792" s="18">
        <v>2</v>
      </c>
      <c r="F1792" s="19">
        <f t="shared" si="844"/>
        <v>25000</v>
      </c>
      <c r="G1792" s="19">
        <f t="shared" si="844"/>
        <v>25000</v>
      </c>
      <c r="H1792" s="19">
        <f t="shared" si="845"/>
        <v>7500</v>
      </c>
      <c r="I1792" s="19">
        <f t="shared" si="845"/>
        <v>7500</v>
      </c>
      <c r="J1792" s="19">
        <f t="shared" si="837"/>
        <v>3800</v>
      </c>
      <c r="K1792" s="133">
        <v>1000</v>
      </c>
      <c r="L1792" s="19"/>
      <c r="M1792" s="118">
        <f t="shared" si="846"/>
        <v>2135.4156504062626</v>
      </c>
      <c r="N1792" s="58">
        <v>400</v>
      </c>
      <c r="O1792" s="41" t="s">
        <v>228</v>
      </c>
      <c r="P1792" s="41" t="s">
        <v>200</v>
      </c>
      <c r="Q1792" s="2" t="s">
        <v>202</v>
      </c>
      <c r="R1792" s="41"/>
      <c r="S1792" s="41" t="s">
        <v>529</v>
      </c>
    </row>
    <row r="1793" spans="1:20" x14ac:dyDescent="0.2">
      <c r="A1793" s="38"/>
      <c r="B1793" s="38"/>
      <c r="C1793" s="35" t="s">
        <v>915</v>
      </c>
      <c r="D1793" s="38"/>
      <c r="E1793" s="38"/>
      <c r="F1793" s="38"/>
      <c r="G1793" s="40"/>
      <c r="H1793" s="38"/>
      <c r="I1793" s="38"/>
      <c r="J1793" s="38"/>
      <c r="K1793" s="133">
        <v>1000</v>
      </c>
      <c r="L1793" s="38"/>
      <c r="M1793" s="16">
        <f t="shared" si="846"/>
        <v>0</v>
      </c>
      <c r="N1793" s="42" t="str">
        <f>IF(A1793="","",M1793*#REF!)</f>
        <v/>
      </c>
      <c r="O1793" s="40"/>
      <c r="P1793" s="38"/>
      <c r="Q1793" s="38"/>
      <c r="R1793" s="38"/>
      <c r="S1793" s="40"/>
      <c r="T1793" s="267"/>
    </row>
    <row r="1794" spans="1:20" x14ac:dyDescent="0.2">
      <c r="A1794" s="69" t="str">
        <f>IF(B1794="","",CONCATENATE(B1794,CONCATENATE(REPT(0,2-LEN(C1794)),C1794),IF(OR(D1794="Easy",D1794=""),1,IF(D1794="Normal",2,IF(D1794="Hard",3,IF(D1794="Hell",4,"error")))),E1794))</f>
        <v>300310111</v>
      </c>
      <c r="B1794" s="69">
        <v>30031</v>
      </c>
      <c r="C1794" s="69">
        <v>1</v>
      </c>
      <c r="D1794" s="69" t="s">
        <v>259</v>
      </c>
      <c r="E1794" s="69">
        <v>1</v>
      </c>
      <c r="F1794" s="70">
        <v>2450</v>
      </c>
      <c r="G1794" s="70">
        <v>2450</v>
      </c>
      <c r="H1794" s="70">
        <v>700</v>
      </c>
      <c r="I1794" s="70">
        <v>700</v>
      </c>
      <c r="J1794" s="70">
        <v>4920</v>
      </c>
      <c r="K1794" s="133">
        <v>1000</v>
      </c>
      <c r="L1794" s="70"/>
      <c r="M1794" s="131">
        <v>860</v>
      </c>
      <c r="N1794" s="71">
        <v>66</v>
      </c>
      <c r="O1794" s="72">
        <v>1</v>
      </c>
      <c r="P1794" s="72" t="s">
        <v>920</v>
      </c>
      <c r="Q1794" s="72" t="s">
        <v>921</v>
      </c>
      <c r="R1794" s="72"/>
      <c r="S1794" s="187">
        <v>306</v>
      </c>
    </row>
    <row r="1795" spans="1:20" x14ac:dyDescent="0.2">
      <c r="A1795" s="69" t="str">
        <f t="shared" ref="A1795" si="848">IF(B1795="","",CONCATENATE(B1795,CONCATENATE(REPT(0,2-LEN(C1795)),C1795),IF(OR(D1795="Easy",D1795=""),1,IF(D1795="Normal",2,IF(D1795="Hard",3,IF(D1795="Hell",4,"error")))),E1795))</f>
        <v>300310119</v>
      </c>
      <c r="B1795" s="69">
        <v>30031</v>
      </c>
      <c r="C1795" s="69">
        <v>1</v>
      </c>
      <c r="D1795" s="69" t="s">
        <v>259</v>
      </c>
      <c r="E1795" s="69">
        <v>9</v>
      </c>
      <c r="F1795" s="70">
        <v>6372</v>
      </c>
      <c r="G1795" s="70">
        <v>6372</v>
      </c>
      <c r="H1795" s="70">
        <v>920</v>
      </c>
      <c r="I1795" s="70">
        <v>920</v>
      </c>
      <c r="J1795" s="70">
        <v>15300</v>
      </c>
      <c r="K1795" s="133">
        <v>1000</v>
      </c>
      <c r="L1795" s="70"/>
      <c r="M1795" s="131">
        <v>3360</v>
      </c>
      <c r="N1795" s="71">
        <v>86</v>
      </c>
      <c r="O1795" s="72">
        <v>3</v>
      </c>
      <c r="P1795" s="72" t="s">
        <v>918</v>
      </c>
      <c r="Q1795" s="72" t="s">
        <v>919</v>
      </c>
      <c r="R1795" s="72"/>
      <c r="S1795" s="187">
        <v>408</v>
      </c>
    </row>
    <row r="1796" spans="1:20" x14ac:dyDescent="0.2">
      <c r="A1796" s="69" t="str">
        <f>IF(B1796="","",CONCATENATE(B1796,CONCATENATE(REPT(0,2-LEN(C1796)),C1796),IF(OR(D1796="Easy",D1796=""),1,IF(D1796="Normal",2,IF(D1796="Hard",3,IF(D1796="Hell",4,"error")))),E1796))</f>
        <v>300310319</v>
      </c>
      <c r="B1796" s="69">
        <v>30031</v>
      </c>
      <c r="C1796" s="69">
        <v>3</v>
      </c>
      <c r="D1796" s="69" t="s">
        <v>259</v>
      </c>
      <c r="E1796" s="69">
        <v>9</v>
      </c>
      <c r="F1796" s="70">
        <v>21800</v>
      </c>
      <c r="G1796" s="70">
        <v>21800</v>
      </c>
      <c r="H1796" s="70">
        <v>9700</v>
      </c>
      <c r="I1796" s="70">
        <v>9700</v>
      </c>
      <c r="J1796" s="70">
        <v>180000</v>
      </c>
      <c r="K1796" s="133">
        <v>1000</v>
      </c>
      <c r="L1796" s="70"/>
      <c r="M1796" s="131">
        <v>116309.75481654826</v>
      </c>
      <c r="N1796" s="71">
        <v>860</v>
      </c>
      <c r="O1796" s="72">
        <v>3</v>
      </c>
      <c r="P1796" s="72" t="s">
        <v>916</v>
      </c>
      <c r="Q1796" s="72" t="s">
        <v>233</v>
      </c>
      <c r="R1796" s="72"/>
      <c r="S1796" s="187">
        <v>9333</v>
      </c>
    </row>
    <row r="1797" spans="1:20" x14ac:dyDescent="0.2">
      <c r="A1797" s="69" t="str">
        <f t="shared" ref="A1797" si="849">IF(B1797="","",CONCATENATE(B1797,CONCATENATE(REPT(0,2-LEN(C1797)),C1797),IF(OR(D1797="Easy",D1797=""),1,IF(D1797="Normal",2,IF(D1797="Hard",3,IF(D1797="Hell",4,"error")))),E1797))</f>
        <v>300310411</v>
      </c>
      <c r="B1797" s="69">
        <v>30031</v>
      </c>
      <c r="C1797" s="69">
        <v>4</v>
      </c>
      <c r="D1797" s="69" t="s">
        <v>259</v>
      </c>
      <c r="E1797" s="69">
        <v>1</v>
      </c>
      <c r="F1797" s="70">
        <v>10745</v>
      </c>
      <c r="G1797" s="70">
        <v>10745</v>
      </c>
      <c r="H1797" s="70">
        <v>10200</v>
      </c>
      <c r="I1797" s="70">
        <v>10200</v>
      </c>
      <c r="J1797" s="70">
        <v>58600</v>
      </c>
      <c r="K1797" s="133">
        <v>1000</v>
      </c>
      <c r="L1797" s="70"/>
      <c r="M1797" s="131">
        <v>39671.34511055483</v>
      </c>
      <c r="N1797" s="71">
        <v>880</v>
      </c>
      <c r="O1797" s="72">
        <v>1</v>
      </c>
      <c r="P1797" s="72" t="s">
        <v>916</v>
      </c>
      <c r="Q1797" s="72" t="s">
        <v>232</v>
      </c>
      <c r="R1797" s="72"/>
      <c r="S1797" s="187">
        <v>9333</v>
      </c>
    </row>
    <row r="1798" spans="1:20" x14ac:dyDescent="0.2">
      <c r="A1798" s="69" t="str">
        <f t="shared" ref="A1798" si="850">IF(B1798="","",CONCATENATE(B1798,CONCATENATE(REPT(0,2-LEN(C1798)),C1798),IF(OR(D1798="Easy",D1798=""),1,IF(D1798="Normal",2,IF(D1798="Hard",3,IF(D1798="Hell",4,"error")))),E1798))</f>
        <v>300310419</v>
      </c>
      <c r="B1798" s="69">
        <v>30031</v>
      </c>
      <c r="C1798" s="69">
        <v>4</v>
      </c>
      <c r="D1798" s="69" t="s">
        <v>259</v>
      </c>
      <c r="E1798" s="69">
        <v>9</v>
      </c>
      <c r="F1798" s="70">
        <v>32840</v>
      </c>
      <c r="G1798" s="70">
        <v>32840</v>
      </c>
      <c r="H1798" s="70">
        <v>15300</v>
      </c>
      <c r="I1798" s="70">
        <v>15300</v>
      </c>
      <c r="J1798" s="70">
        <v>108400</v>
      </c>
      <c r="K1798" s="133">
        <v>1000</v>
      </c>
      <c r="L1798" s="70"/>
      <c r="M1798" s="131">
        <v>132538.97863090222</v>
      </c>
      <c r="N1798" s="71">
        <v>840</v>
      </c>
      <c r="O1798" s="72">
        <v>3.5</v>
      </c>
      <c r="P1798" s="72" t="s">
        <v>916</v>
      </c>
      <c r="Q1798" s="72" t="s">
        <v>917</v>
      </c>
      <c r="R1798" s="72"/>
      <c r="S1798" s="187">
        <v>9333</v>
      </c>
    </row>
    <row r="1799" spans="1:20" x14ac:dyDescent="0.2">
      <c r="A1799" s="69" t="str">
        <f>IF(B1799="","",CONCATENATE(B1799,CONCATENATE(REPT(0,2-LEN(C1799)),C1799),IF(OR(D1799="Easy",D1799=""),1,IF(D1799="Normal",2,IF(D1799="Hard",3,IF(D1799="Hell",4,"error")))),E1799))</f>
        <v>300310511</v>
      </c>
      <c r="B1799" s="69">
        <v>30031</v>
      </c>
      <c r="C1799" s="69">
        <v>5</v>
      </c>
      <c r="D1799" s="69" t="s">
        <v>259</v>
      </c>
      <c r="E1799" s="69">
        <v>1</v>
      </c>
      <c r="F1799" s="70">
        <v>21500</v>
      </c>
      <c r="G1799" s="70">
        <v>21500</v>
      </c>
      <c r="H1799" s="70">
        <v>28000</v>
      </c>
      <c r="I1799" s="70">
        <v>28000</v>
      </c>
      <c r="J1799" s="70">
        <v>279800</v>
      </c>
      <c r="K1799" s="133">
        <v>1000</v>
      </c>
      <c r="L1799" s="70"/>
      <c r="M1799" s="131">
        <v>39671.34511055483</v>
      </c>
      <c r="N1799" s="71">
        <v>880</v>
      </c>
      <c r="O1799" s="72">
        <v>1</v>
      </c>
      <c r="P1799" s="72" t="s">
        <v>916</v>
      </c>
      <c r="Q1799" s="72" t="s">
        <v>232</v>
      </c>
      <c r="R1799" s="72"/>
      <c r="S1799" s="187">
        <v>9333</v>
      </c>
    </row>
    <row r="1800" spans="1:20" x14ac:dyDescent="0.2">
      <c r="A1800" s="69" t="str">
        <f>IF(B1800="","",CONCATENATE(B1800,CONCATENATE(REPT(0,2-LEN(C1800)),C1800),IF(OR(D1800="Easy",D1800=""),1,IF(D1800="Normal",2,IF(D1800="Hard",3,IF(D1800="Hell",4,"error")))),E1800))</f>
        <v>300310519</v>
      </c>
      <c r="B1800" s="69">
        <v>30031</v>
      </c>
      <c r="C1800" s="69">
        <v>5</v>
      </c>
      <c r="D1800" s="69" t="s">
        <v>259</v>
      </c>
      <c r="E1800" s="69">
        <v>9</v>
      </c>
      <c r="F1800" s="70">
        <v>52640</v>
      </c>
      <c r="G1800" s="70">
        <v>52640</v>
      </c>
      <c r="H1800" s="70">
        <v>48000</v>
      </c>
      <c r="I1800" s="70">
        <v>48000</v>
      </c>
      <c r="J1800" s="70">
        <v>612800</v>
      </c>
      <c r="K1800" s="133">
        <v>1000</v>
      </c>
      <c r="L1800" s="70"/>
      <c r="M1800" s="131">
        <v>132538.97863090222</v>
      </c>
      <c r="N1800" s="71">
        <v>840</v>
      </c>
      <c r="O1800" s="72">
        <v>3.5</v>
      </c>
      <c r="P1800" s="72" t="s">
        <v>916</v>
      </c>
      <c r="Q1800" s="72" t="s">
        <v>917</v>
      </c>
      <c r="R1800" s="72"/>
      <c r="S1800" s="187">
        <v>9333</v>
      </c>
    </row>
    <row r="1801" spans="1:20" x14ac:dyDescent="0.2">
      <c r="A1801" s="69" t="str">
        <f>IF(B1801="","",CONCATENATE(B1801,CONCATENATE(REPT(0,2-LEN(C1801)),C1801),IF(OR(D1801="Easy",D1801=""),1,IF(D1801="Normal",2,IF(D1801="Hard",3,IF(D1801="Hell",4,"error")))),E1801))</f>
        <v>300310611</v>
      </c>
      <c r="B1801" s="69">
        <v>30031</v>
      </c>
      <c r="C1801" s="69">
        <v>6</v>
      </c>
      <c r="D1801" s="69" t="s">
        <v>259</v>
      </c>
      <c r="E1801" s="69">
        <v>1</v>
      </c>
      <c r="F1801" s="70">
        <f t="shared" ref="F1801:G1803" si="851">ROUNDDOWN($P1801/4*MIN($O1801,4)*10*$N1801/$N1801*$Q1801/400,0)</f>
        <v>270000</v>
      </c>
      <c r="G1801" s="70">
        <f t="shared" si="851"/>
        <v>270000</v>
      </c>
      <c r="H1801" s="70">
        <f t="shared" ref="H1801:I1803" si="852">ROUNDDOWN($S1801/4*10,0)</f>
        <v>22500</v>
      </c>
      <c r="I1801" s="70">
        <f t="shared" si="852"/>
        <v>22500</v>
      </c>
      <c r="J1801" s="70">
        <f t="shared" ref="J1801:J1803" si="853">ROUNDDOWN($P1801/4*$O1801*10*$N1801/$Q1801*$N1801/400*0.8,0)</f>
        <v>648000</v>
      </c>
      <c r="K1801" s="233">
        <v>1000</v>
      </c>
      <c r="L1801" s="70"/>
      <c r="M1801" s="131">
        <f t="shared" ref="M1801:M1803" si="854">(F1801*J1801*((H1801+I1801)/2)/1000)^(1/2)/10*0.8</f>
        <v>158726.93533234997</v>
      </c>
      <c r="N1801" s="71">
        <v>1800</v>
      </c>
      <c r="O1801" s="72" t="s">
        <v>332</v>
      </c>
      <c r="P1801" s="234">
        <v>12000</v>
      </c>
      <c r="Q1801" s="72" t="s">
        <v>1001</v>
      </c>
      <c r="R1801" s="72"/>
      <c r="S1801" s="187">
        <v>9000</v>
      </c>
    </row>
    <row r="1802" spans="1:20" x14ac:dyDescent="0.2">
      <c r="A1802" s="69" t="str">
        <f>IF(B1802="","",CONCATENATE(B1802,CONCATENATE(REPT(0,2-LEN(C1802)),C1802),IF(OR(D1802="Easy",D1802=""),1,IF(D1802="Normal",2,IF(D1802="Hard",3,IF(D1802="Hell",4,"error")))),E1802))</f>
        <v>300310619</v>
      </c>
      <c r="B1802" s="69">
        <v>30031</v>
      </c>
      <c r="C1802" s="69">
        <v>6</v>
      </c>
      <c r="D1802" s="69" t="s">
        <v>259</v>
      </c>
      <c r="E1802" s="69">
        <v>9</v>
      </c>
      <c r="F1802" s="70">
        <f t="shared" si="851"/>
        <v>630000</v>
      </c>
      <c r="G1802" s="70">
        <f t="shared" si="851"/>
        <v>630000</v>
      </c>
      <c r="H1802" s="70">
        <f t="shared" si="852"/>
        <v>25000</v>
      </c>
      <c r="I1802" s="70">
        <f t="shared" si="852"/>
        <v>25000</v>
      </c>
      <c r="J1802" s="70">
        <f t="shared" si="853"/>
        <v>6222857</v>
      </c>
      <c r="K1802" s="233">
        <v>1000</v>
      </c>
      <c r="L1802" s="70"/>
      <c r="M1802" s="131">
        <f t="shared" si="854"/>
        <v>791999.99090909085</v>
      </c>
      <c r="N1802" s="71">
        <v>2200</v>
      </c>
      <c r="O1802" s="71">
        <v>20</v>
      </c>
      <c r="P1802" s="71">
        <v>18000</v>
      </c>
      <c r="Q1802" s="72" t="s">
        <v>286</v>
      </c>
      <c r="R1802" s="72"/>
      <c r="S1802" s="187">
        <v>10000</v>
      </c>
    </row>
    <row r="1803" spans="1:20" s="223" customFormat="1" x14ac:dyDescent="0.2">
      <c r="A1803" s="69" t="str">
        <f t="shared" ref="A1803" si="855">IF(B1803="","",CONCATENATE(B1803,CONCATENATE(REPT(0,2-LEN(C1803)),C1803),IF(OR(D1803="Easy",D1803=""),1,IF(D1803="Normal",2,IF(D1803="Hard",3,IF(D1803="Hell",4,"error")))),E1803))</f>
        <v>300310118</v>
      </c>
      <c r="B1803" s="69">
        <v>30031</v>
      </c>
      <c r="C1803" s="69">
        <v>1</v>
      </c>
      <c r="D1803" s="69" t="s">
        <v>259</v>
      </c>
      <c r="E1803" s="69">
        <v>8</v>
      </c>
      <c r="F1803" s="75">
        <f t="shared" si="851"/>
        <v>78750</v>
      </c>
      <c r="G1803" s="75">
        <f t="shared" si="851"/>
        <v>78750</v>
      </c>
      <c r="H1803" s="75">
        <f t="shared" si="852"/>
        <v>25000</v>
      </c>
      <c r="I1803" s="75">
        <f t="shared" si="852"/>
        <v>25000</v>
      </c>
      <c r="J1803" s="75">
        <f t="shared" si="853"/>
        <v>185142</v>
      </c>
      <c r="K1803" s="133">
        <v>1000</v>
      </c>
      <c r="L1803" s="75"/>
      <c r="M1803" s="188">
        <f t="shared" si="854"/>
        <v>48298.956510467193</v>
      </c>
      <c r="N1803" s="76">
        <v>600</v>
      </c>
      <c r="O1803" s="76">
        <v>3</v>
      </c>
      <c r="P1803" s="72" t="s">
        <v>748</v>
      </c>
      <c r="Q1803" s="78" t="s">
        <v>390</v>
      </c>
      <c r="R1803" s="78" t="s">
        <v>882</v>
      </c>
      <c r="S1803" s="190">
        <v>10000</v>
      </c>
      <c r="T1803" s="116"/>
    </row>
    <row r="1804" spans="1:20" x14ac:dyDescent="0.2">
      <c r="A1804" s="38"/>
      <c r="B1804" s="38"/>
      <c r="C1804" s="35" t="s">
        <v>922</v>
      </c>
      <c r="D1804" s="38"/>
      <c r="E1804" s="38"/>
      <c r="F1804" s="38"/>
      <c r="G1804" s="40"/>
      <c r="H1804" s="38"/>
      <c r="I1804" s="38"/>
      <c r="J1804" s="38"/>
      <c r="K1804" s="133">
        <v>1000</v>
      </c>
      <c r="L1804" s="38"/>
      <c r="M1804" s="16">
        <f t="shared" ref="M1804:M1832" si="856">(F1804*J1804*((H1804+I1804)/2)/1000)^(1/2)/10*0.8</f>
        <v>0</v>
      </c>
      <c r="N1804" s="42" t="str">
        <f>IF(A1804="","",M1804*#REF!)</f>
        <v/>
      </c>
      <c r="O1804" s="40"/>
      <c r="P1804" s="38"/>
      <c r="Q1804" s="38"/>
      <c r="R1804" s="38"/>
      <c r="S1804" s="40"/>
      <c r="T1804" s="267"/>
    </row>
    <row r="1805" spans="1:20" x14ac:dyDescent="0.2">
      <c r="A1805" s="69" t="str">
        <f t="shared" ref="A1805:A1832" si="857">IF(B1805="","",CONCATENATE(B1805,CONCATENATE(REPT(0,2-LEN(C1805)),C1805),IF(OR(D1805="Easy",D1805=""),1,IF(D1805="Normal",2,IF(D1805="Hard",3,IF(D1805="Hell",4,"error")))),E1805))</f>
        <v>300320121</v>
      </c>
      <c r="B1805" s="69">
        <v>30032</v>
      </c>
      <c r="C1805" s="69">
        <v>1</v>
      </c>
      <c r="D1805" s="69" t="s">
        <v>63</v>
      </c>
      <c r="E1805" s="69">
        <v>1</v>
      </c>
      <c r="F1805" s="70">
        <f t="shared" ref="F1805:G1820" si="858">ROUNDDOWN($P1805/4*MIN($O1805,4)*10*$N1805/$N1805*$Q1805/400,0)</f>
        <v>11000</v>
      </c>
      <c r="G1805" s="70">
        <f t="shared" si="858"/>
        <v>11000</v>
      </c>
      <c r="H1805" s="70">
        <f t="shared" ref="H1805:I1820" si="859">ROUNDDOWN($S1805/4*10,0)</f>
        <v>3000</v>
      </c>
      <c r="I1805" s="70">
        <f t="shared" si="859"/>
        <v>3000</v>
      </c>
      <c r="J1805" s="70">
        <f t="shared" ref="J1805:J1832" si="860">ROUNDDOWN($P1805/4*$O1805*10*$N1805/$Q1805*$N1805/400*0.8,0)</f>
        <v>34090</v>
      </c>
      <c r="K1805" s="133">
        <v>1000</v>
      </c>
      <c r="L1805" s="70"/>
      <c r="M1805" s="131">
        <f t="shared" si="856"/>
        <v>2683.2457956735907</v>
      </c>
      <c r="N1805" s="71">
        <v>500</v>
      </c>
      <c r="O1805" s="72" t="s">
        <v>332</v>
      </c>
      <c r="P1805" s="72" t="s">
        <v>202</v>
      </c>
      <c r="Q1805" s="72" t="s">
        <v>246</v>
      </c>
      <c r="R1805" s="72" t="s">
        <v>899</v>
      </c>
      <c r="S1805" s="187">
        <f t="shared" ref="S1805:S1832" si="861">P1805*0.6</f>
        <v>1200</v>
      </c>
    </row>
    <row r="1806" spans="1:20" x14ac:dyDescent="0.2">
      <c r="A1806" s="69" t="str">
        <f t="shared" si="857"/>
        <v>300320129</v>
      </c>
      <c r="B1806" s="69">
        <v>30032</v>
      </c>
      <c r="C1806" s="69">
        <v>1</v>
      </c>
      <c r="D1806" s="69" t="s">
        <v>63</v>
      </c>
      <c r="E1806" s="69">
        <v>9</v>
      </c>
      <c r="F1806" s="70">
        <f t="shared" si="858"/>
        <v>45687</v>
      </c>
      <c r="G1806" s="70">
        <f t="shared" si="858"/>
        <v>45687</v>
      </c>
      <c r="H1806" s="70">
        <f t="shared" si="859"/>
        <v>3750</v>
      </c>
      <c r="I1806" s="70">
        <f t="shared" si="859"/>
        <v>3750</v>
      </c>
      <c r="J1806" s="70">
        <f t="shared" si="860"/>
        <v>229958</v>
      </c>
      <c r="K1806" s="133">
        <v>1000</v>
      </c>
      <c r="L1806" s="70"/>
      <c r="M1806" s="131">
        <f t="shared" si="856"/>
        <v>15879.111672382684</v>
      </c>
      <c r="N1806" s="71">
        <v>820</v>
      </c>
      <c r="O1806" s="72" t="s">
        <v>243</v>
      </c>
      <c r="P1806" s="72" t="s">
        <v>585</v>
      </c>
      <c r="Q1806" s="72" t="s">
        <v>102</v>
      </c>
      <c r="R1806" s="72" t="s">
        <v>900</v>
      </c>
      <c r="S1806" s="187">
        <f t="shared" si="861"/>
        <v>1500</v>
      </c>
    </row>
    <row r="1807" spans="1:20" x14ac:dyDescent="0.2">
      <c r="A1807" s="69" t="str">
        <f t="shared" si="857"/>
        <v>300320131</v>
      </c>
      <c r="B1807" s="69">
        <v>30032</v>
      </c>
      <c r="C1807" s="69">
        <v>1</v>
      </c>
      <c r="D1807" s="69" t="s">
        <v>64</v>
      </c>
      <c r="E1807" s="69">
        <v>1</v>
      </c>
      <c r="F1807" s="75">
        <f t="shared" si="858"/>
        <v>33000</v>
      </c>
      <c r="G1807" s="75">
        <f t="shared" si="858"/>
        <v>33000</v>
      </c>
      <c r="H1807" s="75">
        <f t="shared" si="859"/>
        <v>9000</v>
      </c>
      <c r="I1807" s="75">
        <f t="shared" si="859"/>
        <v>9000</v>
      </c>
      <c r="J1807" s="75">
        <f t="shared" si="860"/>
        <v>147272</v>
      </c>
      <c r="K1807" s="133">
        <v>1000</v>
      </c>
      <c r="L1807" s="75"/>
      <c r="M1807" s="188">
        <f t="shared" si="856"/>
        <v>16731.246743742679</v>
      </c>
      <c r="N1807" s="76">
        <v>600</v>
      </c>
      <c r="O1807" s="78" t="s">
        <v>332</v>
      </c>
      <c r="P1807" s="189">
        <v>6000</v>
      </c>
      <c r="Q1807" s="78" t="s">
        <v>246</v>
      </c>
      <c r="R1807" s="78" t="s">
        <v>901</v>
      </c>
      <c r="S1807" s="190">
        <f t="shared" si="861"/>
        <v>3600</v>
      </c>
    </row>
    <row r="1808" spans="1:20" x14ac:dyDescent="0.2">
      <c r="A1808" s="69" t="str">
        <f t="shared" si="857"/>
        <v>300320139</v>
      </c>
      <c r="B1808" s="69">
        <v>30032</v>
      </c>
      <c r="C1808" s="69">
        <v>1</v>
      </c>
      <c r="D1808" s="69" t="s">
        <v>64</v>
      </c>
      <c r="E1808" s="69">
        <v>9</v>
      </c>
      <c r="F1808" s="75">
        <f t="shared" si="858"/>
        <v>127925</v>
      </c>
      <c r="G1808" s="75">
        <f t="shared" si="858"/>
        <v>127925</v>
      </c>
      <c r="H1808" s="75">
        <f t="shared" si="859"/>
        <v>10500</v>
      </c>
      <c r="I1808" s="75">
        <f t="shared" si="859"/>
        <v>10500</v>
      </c>
      <c r="J1808" s="75">
        <f t="shared" si="860"/>
        <v>643885</v>
      </c>
      <c r="K1808" s="133">
        <v>1000</v>
      </c>
      <c r="L1808" s="75"/>
      <c r="M1808" s="188">
        <f t="shared" si="856"/>
        <v>74398.898080549552</v>
      </c>
      <c r="N1808" s="76">
        <v>820</v>
      </c>
      <c r="O1808" s="76">
        <v>20</v>
      </c>
      <c r="P1808" s="76">
        <v>7000</v>
      </c>
      <c r="Q1808" s="78" t="s">
        <v>103</v>
      </c>
      <c r="R1808" s="78" t="s">
        <v>902</v>
      </c>
      <c r="S1808" s="190">
        <f t="shared" si="861"/>
        <v>4200</v>
      </c>
    </row>
    <row r="1809" spans="1:19" x14ac:dyDescent="0.2">
      <c r="A1809" s="69" t="str">
        <f t="shared" si="857"/>
        <v>300320221</v>
      </c>
      <c r="B1809" s="69">
        <v>30032</v>
      </c>
      <c r="C1809" s="69">
        <v>2</v>
      </c>
      <c r="D1809" s="69" t="s">
        <v>63</v>
      </c>
      <c r="E1809" s="69">
        <v>1</v>
      </c>
      <c r="F1809" s="70">
        <f t="shared" si="858"/>
        <v>11000</v>
      </c>
      <c r="G1809" s="70">
        <f t="shared" si="858"/>
        <v>11000</v>
      </c>
      <c r="H1809" s="70">
        <f t="shared" si="859"/>
        <v>3000</v>
      </c>
      <c r="I1809" s="70">
        <f t="shared" si="859"/>
        <v>3000</v>
      </c>
      <c r="J1809" s="70">
        <f t="shared" si="860"/>
        <v>34090</v>
      </c>
      <c r="K1809" s="133">
        <v>1000</v>
      </c>
      <c r="L1809" s="70"/>
      <c r="M1809" s="131">
        <f t="shared" si="856"/>
        <v>2683.2457956735907</v>
      </c>
      <c r="N1809" s="71">
        <v>500</v>
      </c>
      <c r="O1809" s="72" t="s">
        <v>332</v>
      </c>
      <c r="P1809" s="72" t="s">
        <v>202</v>
      </c>
      <c r="Q1809" s="72" t="s">
        <v>246</v>
      </c>
      <c r="R1809" s="72" t="s">
        <v>899</v>
      </c>
      <c r="S1809" s="187">
        <f t="shared" si="861"/>
        <v>1200</v>
      </c>
    </row>
    <row r="1810" spans="1:19" x14ac:dyDescent="0.2">
      <c r="A1810" s="69" t="str">
        <f t="shared" si="857"/>
        <v>300320229</v>
      </c>
      <c r="B1810" s="69">
        <v>30032</v>
      </c>
      <c r="C1810" s="69">
        <v>2</v>
      </c>
      <c r="D1810" s="69" t="s">
        <v>63</v>
      </c>
      <c r="E1810" s="69">
        <v>9</v>
      </c>
      <c r="F1810" s="70">
        <f t="shared" si="858"/>
        <v>45687</v>
      </c>
      <c r="G1810" s="70">
        <f t="shared" si="858"/>
        <v>45687</v>
      </c>
      <c r="H1810" s="70">
        <f t="shared" si="859"/>
        <v>3750</v>
      </c>
      <c r="I1810" s="70">
        <f t="shared" si="859"/>
        <v>3750</v>
      </c>
      <c r="J1810" s="70">
        <f t="shared" si="860"/>
        <v>229958</v>
      </c>
      <c r="K1810" s="133">
        <v>1000</v>
      </c>
      <c r="L1810" s="70"/>
      <c r="M1810" s="131">
        <f t="shared" si="856"/>
        <v>15879.111672382684</v>
      </c>
      <c r="N1810" s="71">
        <v>820</v>
      </c>
      <c r="O1810" s="72" t="s">
        <v>243</v>
      </c>
      <c r="P1810" s="72" t="s">
        <v>585</v>
      </c>
      <c r="Q1810" s="72" t="s">
        <v>102</v>
      </c>
      <c r="R1810" s="72" t="s">
        <v>900</v>
      </c>
      <c r="S1810" s="187">
        <f t="shared" si="861"/>
        <v>1500</v>
      </c>
    </row>
    <row r="1811" spans="1:19" x14ac:dyDescent="0.2">
      <c r="A1811" s="69" t="str">
        <f t="shared" si="857"/>
        <v>300320231</v>
      </c>
      <c r="B1811" s="69">
        <v>30032</v>
      </c>
      <c r="C1811" s="69">
        <v>2</v>
      </c>
      <c r="D1811" s="69" t="s">
        <v>64</v>
      </c>
      <c r="E1811" s="69">
        <v>1</v>
      </c>
      <c r="F1811" s="75">
        <f t="shared" si="858"/>
        <v>33000</v>
      </c>
      <c r="G1811" s="75">
        <f t="shared" si="858"/>
        <v>33000</v>
      </c>
      <c r="H1811" s="75">
        <f t="shared" si="859"/>
        <v>9000</v>
      </c>
      <c r="I1811" s="75">
        <f t="shared" si="859"/>
        <v>9000</v>
      </c>
      <c r="J1811" s="75">
        <f t="shared" si="860"/>
        <v>147272</v>
      </c>
      <c r="K1811" s="133">
        <v>1000</v>
      </c>
      <c r="L1811" s="75"/>
      <c r="M1811" s="188">
        <f t="shared" si="856"/>
        <v>16731.246743742679</v>
      </c>
      <c r="N1811" s="76">
        <v>600</v>
      </c>
      <c r="O1811" s="78" t="s">
        <v>332</v>
      </c>
      <c r="P1811" s="189">
        <v>6000</v>
      </c>
      <c r="Q1811" s="78" t="s">
        <v>246</v>
      </c>
      <c r="R1811" s="78" t="s">
        <v>901</v>
      </c>
      <c r="S1811" s="190">
        <f t="shared" si="861"/>
        <v>3600</v>
      </c>
    </row>
    <row r="1812" spans="1:19" x14ac:dyDescent="0.2">
      <c r="A1812" s="69" t="str">
        <f t="shared" si="857"/>
        <v>300320239</v>
      </c>
      <c r="B1812" s="69">
        <v>30032</v>
      </c>
      <c r="C1812" s="69">
        <v>2</v>
      </c>
      <c r="D1812" s="69" t="s">
        <v>64</v>
      </c>
      <c r="E1812" s="69">
        <v>9</v>
      </c>
      <c r="F1812" s="75">
        <f t="shared" si="858"/>
        <v>127925</v>
      </c>
      <c r="G1812" s="75">
        <f t="shared" si="858"/>
        <v>127925</v>
      </c>
      <c r="H1812" s="75">
        <f t="shared" si="859"/>
        <v>10500</v>
      </c>
      <c r="I1812" s="75">
        <f t="shared" si="859"/>
        <v>10500</v>
      </c>
      <c r="J1812" s="75">
        <f t="shared" si="860"/>
        <v>643885</v>
      </c>
      <c r="K1812" s="133">
        <v>1000</v>
      </c>
      <c r="L1812" s="75"/>
      <c r="M1812" s="188">
        <f t="shared" si="856"/>
        <v>74398.898080549552</v>
      </c>
      <c r="N1812" s="76">
        <v>820</v>
      </c>
      <c r="O1812" s="76">
        <v>20</v>
      </c>
      <c r="P1812" s="76">
        <v>7000</v>
      </c>
      <c r="Q1812" s="78" t="s">
        <v>103</v>
      </c>
      <c r="R1812" s="78" t="s">
        <v>902</v>
      </c>
      <c r="S1812" s="190">
        <f t="shared" si="861"/>
        <v>4200</v>
      </c>
    </row>
    <row r="1813" spans="1:19" x14ac:dyDescent="0.2">
      <c r="A1813" s="69" t="str">
        <f t="shared" si="857"/>
        <v>300320321</v>
      </c>
      <c r="B1813" s="69">
        <v>30032</v>
      </c>
      <c r="C1813" s="69">
        <v>3</v>
      </c>
      <c r="D1813" s="69" t="s">
        <v>63</v>
      </c>
      <c r="E1813" s="69">
        <v>1</v>
      </c>
      <c r="F1813" s="70">
        <f t="shared" si="858"/>
        <v>11000</v>
      </c>
      <c r="G1813" s="70">
        <f t="shared" si="858"/>
        <v>11000</v>
      </c>
      <c r="H1813" s="70">
        <f t="shared" si="859"/>
        <v>2500</v>
      </c>
      <c r="I1813" s="70">
        <f t="shared" si="859"/>
        <v>2500</v>
      </c>
      <c r="J1813" s="70">
        <f t="shared" si="860"/>
        <v>5454</v>
      </c>
      <c r="K1813" s="133">
        <v>1000</v>
      </c>
      <c r="L1813" s="70"/>
      <c r="M1813" s="131">
        <f t="shared" si="856"/>
        <v>979.7469060936096</v>
      </c>
      <c r="N1813" s="71">
        <v>200</v>
      </c>
      <c r="O1813" s="72" t="s">
        <v>332</v>
      </c>
      <c r="P1813" s="72" t="s">
        <v>202</v>
      </c>
      <c r="Q1813" s="72" t="s">
        <v>246</v>
      </c>
      <c r="R1813" s="72" t="s">
        <v>899</v>
      </c>
      <c r="S1813" s="187">
        <v>1000</v>
      </c>
    </row>
    <row r="1814" spans="1:19" x14ac:dyDescent="0.2">
      <c r="A1814" s="69" t="str">
        <f t="shared" si="857"/>
        <v>300320329</v>
      </c>
      <c r="B1814" s="69">
        <v>30032</v>
      </c>
      <c r="C1814" s="69">
        <v>3</v>
      </c>
      <c r="D1814" s="69" t="s">
        <v>63</v>
      </c>
      <c r="E1814" s="69">
        <v>9</v>
      </c>
      <c r="F1814" s="70">
        <f t="shared" si="858"/>
        <v>40205</v>
      </c>
      <c r="G1814" s="70">
        <f t="shared" si="858"/>
        <v>40205</v>
      </c>
      <c r="H1814" s="70">
        <f t="shared" si="859"/>
        <v>3250</v>
      </c>
      <c r="I1814" s="70">
        <f t="shared" si="859"/>
        <v>3250</v>
      </c>
      <c r="J1814" s="70">
        <f t="shared" si="860"/>
        <v>75239</v>
      </c>
      <c r="K1814" s="133">
        <v>1000</v>
      </c>
      <c r="L1814" s="70"/>
      <c r="M1814" s="131">
        <f t="shared" si="856"/>
        <v>7932.191821684597</v>
      </c>
      <c r="N1814" s="71">
        <v>500</v>
      </c>
      <c r="O1814" s="72" t="s">
        <v>243</v>
      </c>
      <c r="P1814" s="72" t="s">
        <v>525</v>
      </c>
      <c r="Q1814" s="72" t="s">
        <v>102</v>
      </c>
      <c r="R1814" s="72" t="s">
        <v>900</v>
      </c>
      <c r="S1814" s="187">
        <v>1300</v>
      </c>
    </row>
    <row r="1815" spans="1:19" x14ac:dyDescent="0.2">
      <c r="A1815" s="69" t="str">
        <f t="shared" si="857"/>
        <v>300320331</v>
      </c>
      <c r="B1815" s="69">
        <v>30032</v>
      </c>
      <c r="C1815" s="69">
        <v>3</v>
      </c>
      <c r="D1815" s="69" t="s">
        <v>64</v>
      </c>
      <c r="E1815" s="69">
        <v>1</v>
      </c>
      <c r="F1815" s="75">
        <f t="shared" si="858"/>
        <v>27500</v>
      </c>
      <c r="G1815" s="75">
        <f t="shared" si="858"/>
        <v>27500</v>
      </c>
      <c r="H1815" s="75">
        <f t="shared" si="859"/>
        <v>7500</v>
      </c>
      <c r="I1815" s="75">
        <f t="shared" si="859"/>
        <v>7500</v>
      </c>
      <c r="J1815" s="75">
        <f t="shared" si="860"/>
        <v>122727</v>
      </c>
      <c r="K1815" s="133">
        <v>1000</v>
      </c>
      <c r="L1815" s="75"/>
      <c r="M1815" s="188">
        <f t="shared" si="856"/>
        <v>12727.907919214376</v>
      </c>
      <c r="N1815" s="76">
        <v>600</v>
      </c>
      <c r="O1815" s="78" t="s">
        <v>332</v>
      </c>
      <c r="P1815" s="189">
        <v>5000</v>
      </c>
      <c r="Q1815" s="78" t="s">
        <v>246</v>
      </c>
      <c r="R1815" s="78" t="s">
        <v>901</v>
      </c>
      <c r="S1815" s="190">
        <f t="shared" si="861"/>
        <v>3000</v>
      </c>
    </row>
    <row r="1816" spans="1:19" x14ac:dyDescent="0.2">
      <c r="A1816" s="69" t="str">
        <f t="shared" si="857"/>
        <v>300320339</v>
      </c>
      <c r="B1816" s="69">
        <v>30032</v>
      </c>
      <c r="C1816" s="69">
        <v>3</v>
      </c>
      <c r="D1816" s="69" t="s">
        <v>64</v>
      </c>
      <c r="E1816" s="69">
        <v>9</v>
      </c>
      <c r="F1816" s="75">
        <f t="shared" si="858"/>
        <v>109650</v>
      </c>
      <c r="G1816" s="75">
        <f t="shared" si="858"/>
        <v>109650</v>
      </c>
      <c r="H1816" s="75">
        <f t="shared" si="859"/>
        <v>9000</v>
      </c>
      <c r="I1816" s="75">
        <f t="shared" si="859"/>
        <v>9000</v>
      </c>
      <c r="J1816" s="75">
        <f t="shared" si="860"/>
        <v>551901</v>
      </c>
      <c r="K1816" s="133">
        <v>1000</v>
      </c>
      <c r="L1816" s="75"/>
      <c r="M1816" s="188">
        <f t="shared" si="856"/>
        <v>59039.972999993828</v>
      </c>
      <c r="N1816" s="76">
        <v>820</v>
      </c>
      <c r="O1816" s="76">
        <v>20</v>
      </c>
      <c r="P1816" s="76">
        <v>6000</v>
      </c>
      <c r="Q1816" s="78" t="s">
        <v>103</v>
      </c>
      <c r="R1816" s="78" t="s">
        <v>902</v>
      </c>
      <c r="S1816" s="190">
        <f t="shared" si="861"/>
        <v>3600</v>
      </c>
    </row>
    <row r="1817" spans="1:19" x14ac:dyDescent="0.2">
      <c r="A1817" s="69" t="str">
        <f t="shared" si="857"/>
        <v>300320421</v>
      </c>
      <c r="B1817" s="69">
        <v>30032</v>
      </c>
      <c r="C1817" s="69">
        <v>4</v>
      </c>
      <c r="D1817" s="69" t="s">
        <v>63</v>
      </c>
      <c r="E1817" s="69">
        <v>1</v>
      </c>
      <c r="F1817" s="70">
        <f t="shared" si="858"/>
        <v>11000</v>
      </c>
      <c r="G1817" s="70">
        <f t="shared" si="858"/>
        <v>11000</v>
      </c>
      <c r="H1817" s="70">
        <f t="shared" si="859"/>
        <v>3000</v>
      </c>
      <c r="I1817" s="70">
        <f t="shared" si="859"/>
        <v>3000</v>
      </c>
      <c r="J1817" s="70">
        <f t="shared" si="860"/>
        <v>34090</v>
      </c>
      <c r="K1817" s="133">
        <v>1000</v>
      </c>
      <c r="L1817" s="70"/>
      <c r="M1817" s="131">
        <f t="shared" si="856"/>
        <v>2683.2457956735907</v>
      </c>
      <c r="N1817" s="71">
        <v>500</v>
      </c>
      <c r="O1817" s="72" t="s">
        <v>332</v>
      </c>
      <c r="P1817" s="72" t="s">
        <v>202</v>
      </c>
      <c r="Q1817" s="72" t="s">
        <v>246</v>
      </c>
      <c r="R1817" s="72" t="s">
        <v>899</v>
      </c>
      <c r="S1817" s="187">
        <f t="shared" si="861"/>
        <v>1200</v>
      </c>
    </row>
    <row r="1818" spans="1:19" x14ac:dyDescent="0.2">
      <c r="A1818" s="69" t="str">
        <f t="shared" si="857"/>
        <v>300320429</v>
      </c>
      <c r="B1818" s="69">
        <v>30032</v>
      </c>
      <c r="C1818" s="69">
        <v>4</v>
      </c>
      <c r="D1818" s="69" t="s">
        <v>63</v>
      </c>
      <c r="E1818" s="69">
        <v>9</v>
      </c>
      <c r="F1818" s="70">
        <f t="shared" si="858"/>
        <v>45687</v>
      </c>
      <c r="G1818" s="70">
        <f t="shared" si="858"/>
        <v>45687</v>
      </c>
      <c r="H1818" s="70">
        <f t="shared" si="859"/>
        <v>3750</v>
      </c>
      <c r="I1818" s="70">
        <f t="shared" si="859"/>
        <v>3750</v>
      </c>
      <c r="J1818" s="70">
        <f t="shared" si="860"/>
        <v>229958</v>
      </c>
      <c r="K1818" s="133">
        <v>1000</v>
      </c>
      <c r="L1818" s="70"/>
      <c r="M1818" s="131">
        <f t="shared" si="856"/>
        <v>15879.111672382684</v>
      </c>
      <c r="N1818" s="71">
        <v>820</v>
      </c>
      <c r="O1818" s="72" t="s">
        <v>243</v>
      </c>
      <c r="P1818" s="72" t="s">
        <v>585</v>
      </c>
      <c r="Q1818" s="72" t="s">
        <v>102</v>
      </c>
      <c r="R1818" s="72" t="s">
        <v>900</v>
      </c>
      <c r="S1818" s="187">
        <f t="shared" si="861"/>
        <v>1500</v>
      </c>
    </row>
    <row r="1819" spans="1:19" x14ac:dyDescent="0.2">
      <c r="A1819" s="69" t="str">
        <f t="shared" si="857"/>
        <v>300320431</v>
      </c>
      <c r="B1819" s="69">
        <v>30032</v>
      </c>
      <c r="C1819" s="69">
        <v>4</v>
      </c>
      <c r="D1819" s="69" t="s">
        <v>64</v>
      </c>
      <c r="E1819" s="69">
        <v>1</v>
      </c>
      <c r="F1819" s="75">
        <f t="shared" si="858"/>
        <v>33000</v>
      </c>
      <c r="G1819" s="75">
        <f t="shared" si="858"/>
        <v>33000</v>
      </c>
      <c r="H1819" s="75">
        <f t="shared" si="859"/>
        <v>9000</v>
      </c>
      <c r="I1819" s="75">
        <f t="shared" si="859"/>
        <v>9000</v>
      </c>
      <c r="J1819" s="75">
        <f t="shared" si="860"/>
        <v>147272</v>
      </c>
      <c r="K1819" s="133">
        <v>1000</v>
      </c>
      <c r="L1819" s="75"/>
      <c r="M1819" s="188">
        <f t="shared" si="856"/>
        <v>16731.246743742679</v>
      </c>
      <c r="N1819" s="76">
        <v>600</v>
      </c>
      <c r="O1819" s="78" t="s">
        <v>332</v>
      </c>
      <c r="P1819" s="189">
        <v>6000</v>
      </c>
      <c r="Q1819" s="78" t="s">
        <v>246</v>
      </c>
      <c r="R1819" s="78" t="s">
        <v>901</v>
      </c>
      <c r="S1819" s="190">
        <f t="shared" si="861"/>
        <v>3600</v>
      </c>
    </row>
    <row r="1820" spans="1:19" x14ac:dyDescent="0.2">
      <c r="A1820" s="69" t="str">
        <f t="shared" si="857"/>
        <v>300320439</v>
      </c>
      <c r="B1820" s="69">
        <v>30032</v>
      </c>
      <c r="C1820" s="69">
        <v>4</v>
      </c>
      <c r="D1820" s="69" t="s">
        <v>64</v>
      </c>
      <c r="E1820" s="69">
        <v>9</v>
      </c>
      <c r="F1820" s="75">
        <f t="shared" si="858"/>
        <v>127925</v>
      </c>
      <c r="G1820" s="75">
        <f t="shared" si="858"/>
        <v>127925</v>
      </c>
      <c r="H1820" s="75">
        <f t="shared" si="859"/>
        <v>10500</v>
      </c>
      <c r="I1820" s="75">
        <f t="shared" si="859"/>
        <v>10500</v>
      </c>
      <c r="J1820" s="75">
        <f t="shared" si="860"/>
        <v>643885</v>
      </c>
      <c r="K1820" s="133">
        <v>1000</v>
      </c>
      <c r="L1820" s="75"/>
      <c r="M1820" s="188">
        <f t="shared" si="856"/>
        <v>74398.898080549552</v>
      </c>
      <c r="N1820" s="76">
        <v>820</v>
      </c>
      <c r="O1820" s="76">
        <v>20</v>
      </c>
      <c r="P1820" s="76">
        <v>7000</v>
      </c>
      <c r="Q1820" s="78" t="s">
        <v>103</v>
      </c>
      <c r="R1820" s="78" t="s">
        <v>902</v>
      </c>
      <c r="S1820" s="190">
        <f t="shared" si="861"/>
        <v>4200</v>
      </c>
    </row>
    <row r="1821" spans="1:19" x14ac:dyDescent="0.2">
      <c r="A1821" s="69" t="str">
        <f t="shared" si="857"/>
        <v>300320521</v>
      </c>
      <c r="B1821" s="69">
        <v>30032</v>
      </c>
      <c r="C1821" s="69">
        <v>5</v>
      </c>
      <c r="D1821" s="69" t="s">
        <v>63</v>
      </c>
      <c r="E1821" s="69">
        <v>1</v>
      </c>
      <c r="F1821" s="70">
        <f t="shared" ref="F1821:G1832" si="862">ROUNDDOWN($P1821/4*MIN($O1821,4)*10*$N1821/$N1821*$Q1821/400,0)</f>
        <v>11000</v>
      </c>
      <c r="G1821" s="70">
        <f t="shared" si="862"/>
        <v>11000</v>
      </c>
      <c r="H1821" s="70">
        <f t="shared" ref="H1821:I1832" si="863">ROUNDDOWN($S1821/4*10,0)</f>
        <v>3000</v>
      </c>
      <c r="I1821" s="70">
        <f t="shared" si="863"/>
        <v>3000</v>
      </c>
      <c r="J1821" s="70">
        <f t="shared" si="860"/>
        <v>34090</v>
      </c>
      <c r="K1821" s="133">
        <v>1000</v>
      </c>
      <c r="L1821" s="70"/>
      <c r="M1821" s="131">
        <f t="shared" si="856"/>
        <v>2683.2457956735907</v>
      </c>
      <c r="N1821" s="71">
        <v>500</v>
      </c>
      <c r="O1821" s="72" t="s">
        <v>332</v>
      </c>
      <c r="P1821" s="72" t="s">
        <v>202</v>
      </c>
      <c r="Q1821" s="72" t="s">
        <v>246</v>
      </c>
      <c r="R1821" s="72" t="s">
        <v>899</v>
      </c>
      <c r="S1821" s="187">
        <f t="shared" si="861"/>
        <v>1200</v>
      </c>
    </row>
    <row r="1822" spans="1:19" x14ac:dyDescent="0.2">
      <c r="A1822" s="69" t="str">
        <f t="shared" si="857"/>
        <v>300320529</v>
      </c>
      <c r="B1822" s="69">
        <v>30032</v>
      </c>
      <c r="C1822" s="69">
        <v>5</v>
      </c>
      <c r="D1822" s="69" t="s">
        <v>63</v>
      </c>
      <c r="E1822" s="69">
        <v>9</v>
      </c>
      <c r="F1822" s="70">
        <f t="shared" si="862"/>
        <v>36550</v>
      </c>
      <c r="G1822" s="70">
        <f t="shared" si="862"/>
        <v>36550</v>
      </c>
      <c r="H1822" s="70">
        <f t="shared" si="863"/>
        <v>3000</v>
      </c>
      <c r="I1822" s="70">
        <f t="shared" si="863"/>
        <v>3000</v>
      </c>
      <c r="J1822" s="70">
        <f t="shared" si="860"/>
        <v>68399</v>
      </c>
      <c r="K1822" s="133">
        <v>1000</v>
      </c>
      <c r="L1822" s="70"/>
      <c r="M1822" s="131">
        <f t="shared" si="856"/>
        <v>6928.1802978848646</v>
      </c>
      <c r="N1822" s="71">
        <v>500</v>
      </c>
      <c r="O1822" s="72" t="s">
        <v>243</v>
      </c>
      <c r="P1822" s="72" t="s">
        <v>202</v>
      </c>
      <c r="Q1822" s="72" t="s">
        <v>102</v>
      </c>
      <c r="R1822" s="72" t="s">
        <v>900</v>
      </c>
      <c r="S1822" s="187">
        <f t="shared" si="861"/>
        <v>1200</v>
      </c>
    </row>
    <row r="1823" spans="1:19" x14ac:dyDescent="0.2">
      <c r="A1823" s="69" t="str">
        <f t="shared" si="857"/>
        <v>300320531</v>
      </c>
      <c r="B1823" s="69">
        <v>30032</v>
      </c>
      <c r="C1823" s="69">
        <v>5</v>
      </c>
      <c r="D1823" s="69" t="s">
        <v>64</v>
      </c>
      <c r="E1823" s="69">
        <v>1</v>
      </c>
      <c r="F1823" s="75">
        <f t="shared" si="862"/>
        <v>27500</v>
      </c>
      <c r="G1823" s="75">
        <f t="shared" si="862"/>
        <v>27500</v>
      </c>
      <c r="H1823" s="75">
        <f t="shared" si="863"/>
        <v>7500</v>
      </c>
      <c r="I1823" s="75">
        <f t="shared" si="863"/>
        <v>7500</v>
      </c>
      <c r="J1823" s="75">
        <f t="shared" si="860"/>
        <v>122727</v>
      </c>
      <c r="K1823" s="133">
        <v>1000</v>
      </c>
      <c r="L1823" s="75"/>
      <c r="M1823" s="188">
        <f t="shared" si="856"/>
        <v>12727.907919214376</v>
      </c>
      <c r="N1823" s="76">
        <v>600</v>
      </c>
      <c r="O1823" s="78" t="s">
        <v>332</v>
      </c>
      <c r="P1823" s="189">
        <v>5000</v>
      </c>
      <c r="Q1823" s="78" t="s">
        <v>246</v>
      </c>
      <c r="R1823" s="78" t="s">
        <v>901</v>
      </c>
      <c r="S1823" s="190">
        <f t="shared" si="861"/>
        <v>3000</v>
      </c>
    </row>
    <row r="1824" spans="1:19" x14ac:dyDescent="0.2">
      <c r="A1824" s="69" t="str">
        <f t="shared" si="857"/>
        <v>300320539</v>
      </c>
      <c r="B1824" s="69">
        <v>30032</v>
      </c>
      <c r="C1824" s="69">
        <v>5</v>
      </c>
      <c r="D1824" s="69" t="s">
        <v>64</v>
      </c>
      <c r="E1824" s="69">
        <v>9</v>
      </c>
      <c r="F1824" s="75">
        <f t="shared" si="862"/>
        <v>109650</v>
      </c>
      <c r="G1824" s="75">
        <f t="shared" si="862"/>
        <v>109650</v>
      </c>
      <c r="H1824" s="75">
        <f t="shared" si="863"/>
        <v>9000</v>
      </c>
      <c r="I1824" s="75">
        <f t="shared" si="863"/>
        <v>9000</v>
      </c>
      <c r="J1824" s="75">
        <f t="shared" si="860"/>
        <v>402188</v>
      </c>
      <c r="K1824" s="133">
        <v>1000</v>
      </c>
      <c r="L1824" s="75"/>
      <c r="M1824" s="188">
        <f t="shared" si="856"/>
        <v>50399.950971404731</v>
      </c>
      <c r="N1824" s="76">
        <v>700</v>
      </c>
      <c r="O1824" s="76">
        <v>20</v>
      </c>
      <c r="P1824" s="76">
        <v>6000</v>
      </c>
      <c r="Q1824" s="78" t="s">
        <v>103</v>
      </c>
      <c r="R1824" s="78" t="s">
        <v>902</v>
      </c>
      <c r="S1824" s="190">
        <f t="shared" si="861"/>
        <v>3600</v>
      </c>
    </row>
    <row r="1825" spans="1:20" x14ac:dyDescent="0.2">
      <c r="A1825" s="69" t="str">
        <f t="shared" si="857"/>
        <v>300320621</v>
      </c>
      <c r="B1825" s="69">
        <v>30032</v>
      </c>
      <c r="C1825" s="69">
        <v>6</v>
      </c>
      <c r="D1825" s="69" t="s">
        <v>63</v>
      </c>
      <c r="E1825" s="69">
        <v>1</v>
      </c>
      <c r="F1825" s="70">
        <f t="shared" si="862"/>
        <v>11000</v>
      </c>
      <c r="G1825" s="70">
        <f t="shared" si="862"/>
        <v>11000</v>
      </c>
      <c r="H1825" s="70">
        <f t="shared" si="863"/>
        <v>3000</v>
      </c>
      <c r="I1825" s="70">
        <f t="shared" si="863"/>
        <v>3000</v>
      </c>
      <c r="J1825" s="70">
        <f t="shared" si="860"/>
        <v>34090</v>
      </c>
      <c r="K1825" s="133">
        <v>1000</v>
      </c>
      <c r="L1825" s="70"/>
      <c r="M1825" s="131">
        <f t="shared" si="856"/>
        <v>2683.2457956735907</v>
      </c>
      <c r="N1825" s="71">
        <v>500</v>
      </c>
      <c r="O1825" s="72" t="s">
        <v>332</v>
      </c>
      <c r="P1825" s="72" t="s">
        <v>202</v>
      </c>
      <c r="Q1825" s="72" t="s">
        <v>246</v>
      </c>
      <c r="R1825" s="72" t="s">
        <v>899</v>
      </c>
      <c r="S1825" s="187">
        <f t="shared" si="861"/>
        <v>1200</v>
      </c>
    </row>
    <row r="1826" spans="1:20" x14ac:dyDescent="0.2">
      <c r="A1826" s="69" t="str">
        <f t="shared" si="857"/>
        <v>300320629</v>
      </c>
      <c r="B1826" s="69">
        <v>30032</v>
      </c>
      <c r="C1826" s="69">
        <v>6</v>
      </c>
      <c r="D1826" s="69" t="s">
        <v>63</v>
      </c>
      <c r="E1826" s="69">
        <v>9</v>
      </c>
      <c r="F1826" s="70">
        <f t="shared" si="862"/>
        <v>45687</v>
      </c>
      <c r="G1826" s="70">
        <f t="shared" si="862"/>
        <v>45687</v>
      </c>
      <c r="H1826" s="70">
        <f t="shared" si="863"/>
        <v>3750</v>
      </c>
      <c r="I1826" s="70">
        <f t="shared" si="863"/>
        <v>3750</v>
      </c>
      <c r="J1826" s="70">
        <f t="shared" si="860"/>
        <v>229958</v>
      </c>
      <c r="K1826" s="133">
        <v>1000</v>
      </c>
      <c r="L1826" s="70"/>
      <c r="M1826" s="131">
        <f t="shared" si="856"/>
        <v>15879.111672382684</v>
      </c>
      <c r="N1826" s="71">
        <v>820</v>
      </c>
      <c r="O1826" s="72" t="s">
        <v>243</v>
      </c>
      <c r="P1826" s="72" t="s">
        <v>585</v>
      </c>
      <c r="Q1826" s="72" t="s">
        <v>102</v>
      </c>
      <c r="R1826" s="72" t="s">
        <v>900</v>
      </c>
      <c r="S1826" s="187">
        <f t="shared" si="861"/>
        <v>1500</v>
      </c>
    </row>
    <row r="1827" spans="1:20" x14ac:dyDescent="0.2">
      <c r="A1827" s="69" t="str">
        <f t="shared" si="857"/>
        <v>300320631</v>
      </c>
      <c r="B1827" s="69">
        <v>30032</v>
      </c>
      <c r="C1827" s="69">
        <v>6</v>
      </c>
      <c r="D1827" s="69" t="s">
        <v>64</v>
      </c>
      <c r="E1827" s="69">
        <v>1</v>
      </c>
      <c r="F1827" s="75">
        <f t="shared" si="862"/>
        <v>33000</v>
      </c>
      <c r="G1827" s="75">
        <f t="shared" si="862"/>
        <v>33000</v>
      </c>
      <c r="H1827" s="75">
        <f t="shared" si="863"/>
        <v>9000</v>
      </c>
      <c r="I1827" s="75">
        <f t="shared" si="863"/>
        <v>9000</v>
      </c>
      <c r="J1827" s="75">
        <f t="shared" si="860"/>
        <v>147272</v>
      </c>
      <c r="K1827" s="133">
        <v>1000</v>
      </c>
      <c r="L1827" s="75"/>
      <c r="M1827" s="188">
        <f t="shared" si="856"/>
        <v>16731.246743742679</v>
      </c>
      <c r="N1827" s="76">
        <v>600</v>
      </c>
      <c r="O1827" s="78" t="s">
        <v>332</v>
      </c>
      <c r="P1827" s="189">
        <v>6000</v>
      </c>
      <c r="Q1827" s="78" t="s">
        <v>246</v>
      </c>
      <c r="R1827" s="78" t="s">
        <v>901</v>
      </c>
      <c r="S1827" s="190">
        <f t="shared" si="861"/>
        <v>3600</v>
      </c>
    </row>
    <row r="1828" spans="1:20" x14ac:dyDescent="0.2">
      <c r="A1828" s="69" t="str">
        <f t="shared" si="857"/>
        <v>300320639</v>
      </c>
      <c r="B1828" s="69">
        <v>30032</v>
      </c>
      <c r="C1828" s="69">
        <v>6</v>
      </c>
      <c r="D1828" s="69" t="s">
        <v>64</v>
      </c>
      <c r="E1828" s="69">
        <v>9</v>
      </c>
      <c r="F1828" s="75">
        <f t="shared" si="862"/>
        <v>127925</v>
      </c>
      <c r="G1828" s="75">
        <f t="shared" si="862"/>
        <v>127925</v>
      </c>
      <c r="H1828" s="75">
        <f t="shared" si="863"/>
        <v>10500</v>
      </c>
      <c r="I1828" s="75">
        <f t="shared" si="863"/>
        <v>10500</v>
      </c>
      <c r="J1828" s="75">
        <f t="shared" si="860"/>
        <v>643885</v>
      </c>
      <c r="K1828" s="133">
        <v>1000</v>
      </c>
      <c r="L1828" s="75"/>
      <c r="M1828" s="188">
        <f t="shared" si="856"/>
        <v>74398.898080549552</v>
      </c>
      <c r="N1828" s="76">
        <v>820</v>
      </c>
      <c r="O1828" s="76">
        <v>20</v>
      </c>
      <c r="P1828" s="76">
        <v>7000</v>
      </c>
      <c r="Q1828" s="78" t="s">
        <v>103</v>
      </c>
      <c r="R1828" s="78" t="s">
        <v>902</v>
      </c>
      <c r="S1828" s="190">
        <f t="shared" si="861"/>
        <v>4200</v>
      </c>
    </row>
    <row r="1829" spans="1:20" x14ac:dyDescent="0.2">
      <c r="A1829" s="69" t="str">
        <f t="shared" si="857"/>
        <v>300320721</v>
      </c>
      <c r="B1829" s="69">
        <v>30032</v>
      </c>
      <c r="C1829" s="69">
        <v>7</v>
      </c>
      <c r="D1829" s="69" t="s">
        <v>63</v>
      </c>
      <c r="E1829" s="69">
        <v>1</v>
      </c>
      <c r="F1829" s="70">
        <f t="shared" si="862"/>
        <v>11000</v>
      </c>
      <c r="G1829" s="70">
        <f t="shared" si="862"/>
        <v>11000</v>
      </c>
      <c r="H1829" s="70">
        <f t="shared" si="863"/>
        <v>3000</v>
      </c>
      <c r="I1829" s="70">
        <f t="shared" si="863"/>
        <v>3000</v>
      </c>
      <c r="J1829" s="70">
        <f t="shared" si="860"/>
        <v>34090</v>
      </c>
      <c r="K1829" s="133">
        <v>1000</v>
      </c>
      <c r="L1829" s="70"/>
      <c r="M1829" s="131">
        <f t="shared" si="856"/>
        <v>2683.2457956735907</v>
      </c>
      <c r="N1829" s="71">
        <v>500</v>
      </c>
      <c r="O1829" s="72" t="s">
        <v>332</v>
      </c>
      <c r="P1829" s="72" t="s">
        <v>202</v>
      </c>
      <c r="Q1829" s="72" t="s">
        <v>246</v>
      </c>
      <c r="R1829" s="72" t="s">
        <v>899</v>
      </c>
      <c r="S1829" s="187">
        <f t="shared" si="861"/>
        <v>1200</v>
      </c>
    </row>
    <row r="1830" spans="1:20" x14ac:dyDescent="0.2">
      <c r="A1830" s="69" t="str">
        <f t="shared" si="857"/>
        <v>300320729</v>
      </c>
      <c r="B1830" s="69">
        <v>30032</v>
      </c>
      <c r="C1830" s="69">
        <v>7</v>
      </c>
      <c r="D1830" s="69" t="s">
        <v>63</v>
      </c>
      <c r="E1830" s="69">
        <v>9</v>
      </c>
      <c r="F1830" s="70">
        <f t="shared" si="862"/>
        <v>45687</v>
      </c>
      <c r="G1830" s="70">
        <f t="shared" si="862"/>
        <v>45687</v>
      </c>
      <c r="H1830" s="70">
        <f t="shared" si="863"/>
        <v>3750</v>
      </c>
      <c r="I1830" s="70">
        <f t="shared" si="863"/>
        <v>3750</v>
      </c>
      <c r="J1830" s="70">
        <f t="shared" si="860"/>
        <v>229958</v>
      </c>
      <c r="K1830" s="133">
        <v>1000</v>
      </c>
      <c r="L1830" s="70"/>
      <c r="M1830" s="131">
        <f t="shared" si="856"/>
        <v>15879.111672382684</v>
      </c>
      <c r="N1830" s="71">
        <v>820</v>
      </c>
      <c r="O1830" s="72" t="s">
        <v>243</v>
      </c>
      <c r="P1830" s="72" t="s">
        <v>585</v>
      </c>
      <c r="Q1830" s="72" t="s">
        <v>102</v>
      </c>
      <c r="R1830" s="72" t="s">
        <v>900</v>
      </c>
      <c r="S1830" s="187">
        <f t="shared" si="861"/>
        <v>1500</v>
      </c>
    </row>
    <row r="1831" spans="1:20" x14ac:dyDescent="0.2">
      <c r="A1831" s="69" t="str">
        <f t="shared" si="857"/>
        <v>300320731</v>
      </c>
      <c r="B1831" s="69">
        <v>30032</v>
      </c>
      <c r="C1831" s="69">
        <v>7</v>
      </c>
      <c r="D1831" s="69" t="s">
        <v>64</v>
      </c>
      <c r="E1831" s="69">
        <v>1</v>
      </c>
      <c r="F1831" s="75">
        <f t="shared" si="862"/>
        <v>27500</v>
      </c>
      <c r="G1831" s="75">
        <f t="shared" si="862"/>
        <v>27500</v>
      </c>
      <c r="H1831" s="75">
        <f t="shared" si="863"/>
        <v>7500</v>
      </c>
      <c r="I1831" s="75">
        <f t="shared" si="863"/>
        <v>7500</v>
      </c>
      <c r="J1831" s="75">
        <f t="shared" si="860"/>
        <v>122727</v>
      </c>
      <c r="K1831" s="133">
        <v>1000</v>
      </c>
      <c r="L1831" s="75"/>
      <c r="M1831" s="188">
        <f t="shared" si="856"/>
        <v>12727.907919214376</v>
      </c>
      <c r="N1831" s="76">
        <v>600</v>
      </c>
      <c r="O1831" s="78" t="s">
        <v>332</v>
      </c>
      <c r="P1831" s="189">
        <v>5000</v>
      </c>
      <c r="Q1831" s="78" t="s">
        <v>246</v>
      </c>
      <c r="R1831" s="78" t="s">
        <v>901</v>
      </c>
      <c r="S1831" s="190">
        <f t="shared" si="861"/>
        <v>3000</v>
      </c>
    </row>
    <row r="1832" spans="1:20" x14ac:dyDescent="0.2">
      <c r="A1832" s="69" t="str">
        <f t="shared" si="857"/>
        <v>300320739</v>
      </c>
      <c r="B1832" s="69">
        <v>30032</v>
      </c>
      <c r="C1832" s="69">
        <v>7</v>
      </c>
      <c r="D1832" s="69" t="s">
        <v>64</v>
      </c>
      <c r="E1832" s="69">
        <v>9</v>
      </c>
      <c r="F1832" s="75">
        <f t="shared" si="862"/>
        <v>109650</v>
      </c>
      <c r="G1832" s="75">
        <f t="shared" si="862"/>
        <v>109650</v>
      </c>
      <c r="H1832" s="75">
        <f t="shared" si="863"/>
        <v>9000</v>
      </c>
      <c r="I1832" s="75">
        <f t="shared" si="863"/>
        <v>9000</v>
      </c>
      <c r="J1832" s="75">
        <f t="shared" si="860"/>
        <v>402188</v>
      </c>
      <c r="K1832" s="133">
        <v>1000</v>
      </c>
      <c r="L1832" s="75"/>
      <c r="M1832" s="188">
        <f t="shared" si="856"/>
        <v>50399.950971404731</v>
      </c>
      <c r="N1832" s="76">
        <v>700</v>
      </c>
      <c r="O1832" s="76">
        <v>20</v>
      </c>
      <c r="P1832" s="76">
        <v>6000</v>
      </c>
      <c r="Q1832" s="78" t="s">
        <v>103</v>
      </c>
      <c r="R1832" s="78" t="s">
        <v>902</v>
      </c>
      <c r="S1832" s="190">
        <f t="shared" si="861"/>
        <v>3600</v>
      </c>
    </row>
    <row r="1833" spans="1:20" x14ac:dyDescent="0.2">
      <c r="A1833" s="196" t="str">
        <f t="shared" ref="A1833:A1839" si="864">IF(B1833="","",CONCATENATE(B1833,CONCATENATE(REPT(0,2-LEN(C1833)),C1833),IF(OR(D1833="Easy",D1833=""),1,IF(D1833="Normal",2,IF(D1833="Hard",3,IF(D1833="Hell",4,"error")))),E1833))</f>
        <v>300320811</v>
      </c>
      <c r="B1833" s="196">
        <v>30032</v>
      </c>
      <c r="C1833" s="196">
        <v>8</v>
      </c>
      <c r="D1833" s="196" t="s">
        <v>259</v>
      </c>
      <c r="E1833" s="196">
        <v>1</v>
      </c>
      <c r="F1833" s="34">
        <f t="shared" ref="F1833:G1834" si="865">ROUNDDOWN($P1833/4*MIN($O1833,4)*10*$N1833/$N1833*$Q1833/400,0)</f>
        <v>13750</v>
      </c>
      <c r="G1833" s="34">
        <f t="shared" si="865"/>
        <v>13750</v>
      </c>
      <c r="H1833" s="34">
        <f t="shared" ref="H1833:I1834" si="866">ROUNDDOWN($S1833/4*10,0)</f>
        <v>3750</v>
      </c>
      <c r="I1833" s="34">
        <f t="shared" si="866"/>
        <v>3750</v>
      </c>
      <c r="J1833" s="34">
        <f t="shared" ref="J1833:J1838" si="867">ROUNDDOWN($P1833/4*$O1833*10*$N1833/$Q1833*$N1833/400*0.8,0)</f>
        <v>42613</v>
      </c>
      <c r="K1833" s="133">
        <v>1000</v>
      </c>
      <c r="L1833" s="34"/>
      <c r="M1833" s="16">
        <f t="shared" ref="M1833:M1838" si="868">(F1833*J1833*((H1833+I1833)/2)/1000)^(1/2)/10*0.8</f>
        <v>3749.9719998954665</v>
      </c>
      <c r="N1833" s="36">
        <v>500</v>
      </c>
      <c r="O1833" s="2" t="s">
        <v>332</v>
      </c>
      <c r="P1833" s="2" t="s">
        <v>585</v>
      </c>
      <c r="Q1833" s="2" t="s">
        <v>246</v>
      </c>
      <c r="R1833" s="2" t="s">
        <v>733</v>
      </c>
      <c r="S1833" s="56">
        <f>P1833*0.6</f>
        <v>1500</v>
      </c>
    </row>
    <row r="1834" spans="1:20" x14ac:dyDescent="0.2">
      <c r="A1834" s="196" t="str">
        <f t="shared" si="864"/>
        <v>300320819</v>
      </c>
      <c r="B1834" s="196">
        <v>30032</v>
      </c>
      <c r="C1834" s="196">
        <v>8</v>
      </c>
      <c r="D1834" s="196" t="s">
        <v>259</v>
      </c>
      <c r="E1834" s="196">
        <v>9</v>
      </c>
      <c r="F1834" s="34">
        <f t="shared" si="865"/>
        <v>73100</v>
      </c>
      <c r="G1834" s="34">
        <f t="shared" si="865"/>
        <v>73100</v>
      </c>
      <c r="H1834" s="34">
        <f t="shared" si="866"/>
        <v>6000</v>
      </c>
      <c r="I1834" s="34">
        <f t="shared" si="866"/>
        <v>6000</v>
      </c>
      <c r="J1834" s="34">
        <f t="shared" si="867"/>
        <v>367934</v>
      </c>
      <c r="K1834" s="133">
        <v>1000</v>
      </c>
      <c r="L1834" s="34"/>
      <c r="M1834" s="16">
        <f t="shared" si="868"/>
        <v>32137.290728373482</v>
      </c>
      <c r="N1834" s="36">
        <v>820</v>
      </c>
      <c r="O1834" s="2" t="s">
        <v>243</v>
      </c>
      <c r="P1834" s="2" t="s">
        <v>177</v>
      </c>
      <c r="Q1834" s="2" t="s">
        <v>102</v>
      </c>
      <c r="R1834" s="2" t="s">
        <v>732</v>
      </c>
      <c r="S1834" s="56">
        <f>P1834*0.6</f>
        <v>2400</v>
      </c>
      <c r="T1834" s="114"/>
    </row>
    <row r="1835" spans="1:20" x14ac:dyDescent="0.2">
      <c r="A1835" s="196" t="str">
        <f t="shared" si="864"/>
        <v>300320911</v>
      </c>
      <c r="B1835" s="196">
        <v>30032</v>
      </c>
      <c r="C1835" s="196">
        <v>9</v>
      </c>
      <c r="D1835" s="196" t="s">
        <v>259</v>
      </c>
      <c r="E1835" s="196">
        <v>1</v>
      </c>
      <c r="F1835" s="34">
        <f t="shared" ref="F1835:G1838" si="869">ROUNDDOWN($P1835/4*MIN($O1835,4)*10*$N1835/$N1835*$Q1835/400,0)</f>
        <v>52250</v>
      </c>
      <c r="G1835" s="34">
        <f t="shared" si="869"/>
        <v>52250</v>
      </c>
      <c r="H1835" s="34">
        <f t="shared" ref="H1835:I1838" si="870">ROUNDDOWN($S1835/4*10,0)</f>
        <v>14250</v>
      </c>
      <c r="I1835" s="34">
        <f t="shared" si="870"/>
        <v>14250</v>
      </c>
      <c r="J1835" s="34">
        <f t="shared" si="867"/>
        <v>233181</v>
      </c>
      <c r="K1835" s="133">
        <v>1000</v>
      </c>
      <c r="L1835" s="34"/>
      <c r="M1835" s="16">
        <f t="shared" si="868"/>
        <v>33333.978178429294</v>
      </c>
      <c r="N1835" s="36">
        <v>600</v>
      </c>
      <c r="O1835" s="2" t="s">
        <v>332</v>
      </c>
      <c r="P1835" s="54">
        <v>9500</v>
      </c>
      <c r="Q1835" s="2" t="s">
        <v>246</v>
      </c>
      <c r="R1835" s="2" t="s">
        <v>734</v>
      </c>
      <c r="S1835" s="56">
        <f>P1835*0.6</f>
        <v>5700</v>
      </c>
    </row>
    <row r="1836" spans="1:20" x14ac:dyDescent="0.2">
      <c r="A1836" s="196" t="str">
        <f t="shared" si="864"/>
        <v>300320919</v>
      </c>
      <c r="B1836" s="196">
        <v>30032</v>
      </c>
      <c r="C1836" s="196">
        <v>9</v>
      </c>
      <c r="D1836" s="196" t="s">
        <v>259</v>
      </c>
      <c r="E1836" s="196">
        <v>9</v>
      </c>
      <c r="F1836" s="34">
        <f t="shared" si="869"/>
        <v>237575</v>
      </c>
      <c r="G1836" s="34">
        <f t="shared" si="869"/>
        <v>237575</v>
      </c>
      <c r="H1836" s="34">
        <f t="shared" si="870"/>
        <v>19500</v>
      </c>
      <c r="I1836" s="34">
        <f t="shared" si="870"/>
        <v>19500</v>
      </c>
      <c r="J1836" s="34">
        <f t="shared" si="867"/>
        <v>1195786</v>
      </c>
      <c r="K1836" s="133">
        <v>1000</v>
      </c>
      <c r="L1836" s="34"/>
      <c r="M1836" s="16">
        <f t="shared" si="868"/>
        <v>188293.09492639394</v>
      </c>
      <c r="N1836" s="36">
        <v>820</v>
      </c>
      <c r="O1836" s="36">
        <v>20</v>
      </c>
      <c r="P1836" s="36">
        <v>13000</v>
      </c>
      <c r="Q1836" s="2" t="s">
        <v>103</v>
      </c>
      <c r="R1836" s="2" t="s">
        <v>462</v>
      </c>
      <c r="S1836" s="56">
        <f>P1836*0.6</f>
        <v>7800</v>
      </c>
      <c r="T1836" s="114"/>
    </row>
    <row r="1837" spans="1:20" x14ac:dyDescent="0.2">
      <c r="A1837" s="196" t="str">
        <f t="shared" si="864"/>
        <v>300321011</v>
      </c>
      <c r="B1837" s="196">
        <v>30032</v>
      </c>
      <c r="C1837" s="196">
        <v>10</v>
      </c>
      <c r="D1837" s="196" t="s">
        <v>259</v>
      </c>
      <c r="E1837" s="196">
        <v>1</v>
      </c>
      <c r="F1837" s="34">
        <f t="shared" si="869"/>
        <v>82500</v>
      </c>
      <c r="G1837" s="34">
        <f t="shared" si="869"/>
        <v>82500</v>
      </c>
      <c r="H1837" s="34">
        <f t="shared" si="870"/>
        <v>18750</v>
      </c>
      <c r="I1837" s="34">
        <f t="shared" si="870"/>
        <v>18750</v>
      </c>
      <c r="J1837" s="34">
        <f t="shared" si="867"/>
        <v>501136</v>
      </c>
      <c r="K1837" s="133">
        <v>1000</v>
      </c>
      <c r="L1837" s="34"/>
      <c r="M1837" s="16">
        <f t="shared" si="868"/>
        <v>70436.115736176143</v>
      </c>
      <c r="N1837" s="36">
        <v>700</v>
      </c>
      <c r="O1837" s="2" t="s">
        <v>332</v>
      </c>
      <c r="P1837" s="36">
        <v>15000</v>
      </c>
      <c r="Q1837" s="2" t="s">
        <v>246</v>
      </c>
      <c r="R1837" s="2" t="s">
        <v>736</v>
      </c>
      <c r="S1837" s="56">
        <f>P1837*0.5</f>
        <v>7500</v>
      </c>
    </row>
    <row r="1838" spans="1:20" x14ac:dyDescent="0.2">
      <c r="A1838" s="196" t="str">
        <f t="shared" si="864"/>
        <v>300321019</v>
      </c>
      <c r="B1838" s="196">
        <v>30032</v>
      </c>
      <c r="C1838" s="196">
        <v>10</v>
      </c>
      <c r="D1838" s="196" t="s">
        <v>259</v>
      </c>
      <c r="E1838" s="196">
        <v>9</v>
      </c>
      <c r="F1838" s="34">
        <f t="shared" si="869"/>
        <v>275000</v>
      </c>
      <c r="G1838" s="34">
        <f t="shared" si="869"/>
        <v>275000</v>
      </c>
      <c r="H1838" s="34">
        <f t="shared" si="870"/>
        <v>50000</v>
      </c>
      <c r="I1838" s="34">
        <f t="shared" si="870"/>
        <v>50000</v>
      </c>
      <c r="J1838" s="34">
        <f t="shared" si="867"/>
        <v>2945454</v>
      </c>
      <c r="K1838" s="133">
        <v>1000</v>
      </c>
      <c r="L1838" s="34"/>
      <c r="M1838" s="16">
        <f t="shared" si="868"/>
        <v>509116.83531385998</v>
      </c>
      <c r="N1838" s="36">
        <v>900</v>
      </c>
      <c r="O1838" s="36">
        <v>20</v>
      </c>
      <c r="P1838" s="36">
        <v>20000</v>
      </c>
      <c r="Q1838" s="2" t="s">
        <v>360</v>
      </c>
      <c r="R1838" s="2" t="s">
        <v>454</v>
      </c>
      <c r="S1838" s="56">
        <f>P1838*1</f>
        <v>20000</v>
      </c>
    </row>
    <row r="1839" spans="1:20" x14ac:dyDescent="0.2">
      <c r="A1839" s="196" t="str">
        <f t="shared" si="864"/>
        <v>300330111</v>
      </c>
      <c r="B1839" s="196">
        <v>30033</v>
      </c>
      <c r="C1839" s="196">
        <v>1</v>
      </c>
      <c r="D1839" s="196" t="s">
        <v>259</v>
      </c>
      <c r="E1839" s="196">
        <v>1</v>
      </c>
      <c r="F1839" s="192">
        <f t="shared" ref="F1839:G1842" si="871">ROUNDDOWN($P1839/4*MIN($O1839,4)*10*$N1839/$N1839*$Q1839/400,0)</f>
        <v>1000</v>
      </c>
      <c r="G1839" s="192">
        <f t="shared" si="871"/>
        <v>1000</v>
      </c>
      <c r="H1839" s="192">
        <f t="shared" ref="H1839:I1842" si="872">ROUNDDOWN($S1839/4*10,0)</f>
        <v>1000</v>
      </c>
      <c r="I1839" s="192">
        <f t="shared" si="872"/>
        <v>1000</v>
      </c>
      <c r="J1839" s="192">
        <v>300000</v>
      </c>
      <c r="K1839" s="133">
        <v>1000</v>
      </c>
      <c r="L1839" s="192"/>
      <c r="M1839" s="193">
        <f t="shared" ref="M1839:M1840" si="873">(F1839*J1839*((H1839+I1839)/2)/1000)^(1/2)/10*0.8</f>
        <v>1385.6406460551018</v>
      </c>
      <c r="N1839" s="195">
        <v>100</v>
      </c>
      <c r="O1839" s="195">
        <v>1000</v>
      </c>
      <c r="P1839" s="195">
        <v>400</v>
      </c>
      <c r="Q1839" s="195">
        <v>100</v>
      </c>
      <c r="R1839" s="194" t="s">
        <v>930</v>
      </c>
      <c r="S1839" s="195">
        <v>400</v>
      </c>
    </row>
    <row r="1840" spans="1:20" x14ac:dyDescent="0.2">
      <c r="A1840" s="38"/>
      <c r="B1840" s="38"/>
      <c r="C1840" s="35" t="s">
        <v>922</v>
      </c>
      <c r="D1840" s="38"/>
      <c r="E1840" s="38"/>
      <c r="F1840" s="38"/>
      <c r="G1840" s="40"/>
      <c r="H1840" s="38"/>
      <c r="I1840" s="38"/>
      <c r="J1840" s="38"/>
      <c r="K1840" s="133">
        <v>1000</v>
      </c>
      <c r="L1840" s="38"/>
      <c r="M1840" s="16">
        <f t="shared" si="873"/>
        <v>0</v>
      </c>
      <c r="N1840" s="42" t="str">
        <f>IF(A1840="","",M1840*#REF!)</f>
        <v/>
      </c>
      <c r="O1840" s="40"/>
      <c r="P1840" s="38"/>
      <c r="Q1840" s="38"/>
      <c r="R1840" s="38"/>
      <c r="S1840" s="40"/>
      <c r="T1840" s="267"/>
    </row>
    <row r="1841" spans="1:20" x14ac:dyDescent="0.2">
      <c r="A1841" s="196" t="str">
        <f t="shared" ref="A1841" si="874">IF(B1841="","",CONCATENATE(B1841,CONCATENATE(REPT(0,2-LEN(C1841)),C1841),IF(OR(D1841="Easy",D1841=""),1,IF(D1841="Normal",2,IF(D1841="Hard",3,IF(D1841="Hell",4,"error")))),E1841))</f>
        <v>300340111</v>
      </c>
      <c r="B1841" s="196">
        <v>30034</v>
      </c>
      <c r="C1841" s="196">
        <v>1</v>
      </c>
      <c r="D1841" s="196" t="s">
        <v>259</v>
      </c>
      <c r="E1841" s="196">
        <v>1</v>
      </c>
      <c r="F1841" s="192">
        <f t="shared" si="871"/>
        <v>1000</v>
      </c>
      <c r="G1841" s="192">
        <f t="shared" si="871"/>
        <v>1000</v>
      </c>
      <c r="H1841" s="192">
        <f t="shared" si="872"/>
        <v>1000</v>
      </c>
      <c r="I1841" s="192">
        <f t="shared" si="872"/>
        <v>1000</v>
      </c>
      <c r="J1841" s="192">
        <v>500000</v>
      </c>
      <c r="K1841" s="133">
        <v>1000</v>
      </c>
      <c r="L1841" s="192"/>
      <c r="M1841" s="193">
        <f t="shared" ref="M1841" si="875">(F1841*J1841*((H1841+I1841)/2)/1000)^(1/2)/10*0.8</f>
        <v>1788.854381999832</v>
      </c>
      <c r="N1841" s="195">
        <v>100</v>
      </c>
      <c r="O1841" s="195">
        <v>1000</v>
      </c>
      <c r="P1841" s="195">
        <v>400</v>
      </c>
      <c r="Q1841" s="195">
        <v>100</v>
      </c>
      <c r="R1841" s="194" t="s">
        <v>951</v>
      </c>
      <c r="S1841" s="195">
        <v>400</v>
      </c>
    </row>
    <row r="1842" spans="1:20" x14ac:dyDescent="0.2">
      <c r="A1842" s="196" t="str">
        <f t="shared" ref="A1842" si="876">IF(B1842="","",CONCATENATE(B1842,CONCATENATE(REPT(0,2-LEN(C1842)),C1842),IF(OR(D1842="Easy",D1842=""),1,IF(D1842="Normal",2,IF(D1842="Hard",3,IF(D1842="Hell",4,"error")))),E1842))</f>
        <v>300340112</v>
      </c>
      <c r="B1842" s="196">
        <v>30034</v>
      </c>
      <c r="C1842" s="196">
        <v>1</v>
      </c>
      <c r="D1842" s="196" t="s">
        <v>259</v>
      </c>
      <c r="E1842" s="196">
        <v>2</v>
      </c>
      <c r="F1842" s="192">
        <f t="shared" si="871"/>
        <v>1000</v>
      </c>
      <c r="G1842" s="192">
        <f t="shared" si="871"/>
        <v>1000</v>
      </c>
      <c r="H1842" s="192">
        <f t="shared" si="872"/>
        <v>1000</v>
      </c>
      <c r="I1842" s="192">
        <f t="shared" si="872"/>
        <v>1000</v>
      </c>
      <c r="J1842" s="192">
        <v>650000</v>
      </c>
      <c r="K1842" s="133">
        <v>1000</v>
      </c>
      <c r="L1842" s="192"/>
      <c r="M1842" s="193">
        <f t="shared" ref="M1842:M1859" si="877">(F1842*J1842*((H1842+I1842)/2)/1000)^(1/2)/10*0.8</f>
        <v>2039.6078054371137</v>
      </c>
      <c r="N1842" s="195">
        <v>100</v>
      </c>
      <c r="O1842" s="195">
        <v>1000</v>
      </c>
      <c r="P1842" s="195">
        <v>400</v>
      </c>
      <c r="Q1842" s="195">
        <v>100</v>
      </c>
      <c r="R1842" s="194" t="s">
        <v>952</v>
      </c>
      <c r="S1842" s="195">
        <v>400</v>
      </c>
    </row>
    <row r="1843" spans="1:20" x14ac:dyDescent="0.2">
      <c r="A1843" s="38"/>
      <c r="B1843" s="38"/>
      <c r="C1843" s="35" t="s">
        <v>970</v>
      </c>
      <c r="D1843" s="38"/>
      <c r="E1843" s="38"/>
      <c r="F1843" s="38"/>
      <c r="G1843" s="40"/>
      <c r="H1843" s="38"/>
      <c r="I1843" s="38"/>
      <c r="J1843" s="38"/>
      <c r="K1843" s="133">
        <v>1000</v>
      </c>
      <c r="L1843" s="38"/>
      <c r="M1843" s="16">
        <f t="shared" si="877"/>
        <v>0</v>
      </c>
      <c r="N1843" s="42" t="str">
        <f>IF(A1843="","",M1843*#REF!)</f>
        <v/>
      </c>
      <c r="O1843" s="40"/>
      <c r="P1843" s="38"/>
      <c r="Q1843" s="38"/>
      <c r="R1843" s="38"/>
      <c r="S1843" s="40"/>
      <c r="T1843" s="267"/>
    </row>
    <row r="1844" spans="1:20" x14ac:dyDescent="0.2">
      <c r="A1844" s="8" t="str">
        <f t="shared" si="702"/>
        <v>300350111</v>
      </c>
      <c r="B1844" s="69">
        <v>30035</v>
      </c>
      <c r="C1844" s="69">
        <v>1</v>
      </c>
      <c r="D1844" s="69" t="s">
        <v>62</v>
      </c>
      <c r="E1844" s="69">
        <v>1</v>
      </c>
      <c r="F1844" s="70">
        <f t="shared" ref="F1844:G1854" si="878">ROUNDDOWN($P1844/4*MIN($O1844,4)*10*$N1844/$N1844*$Q1844/400,0)</f>
        <v>11000</v>
      </c>
      <c r="G1844" s="70">
        <f t="shared" si="878"/>
        <v>11000</v>
      </c>
      <c r="H1844" s="70">
        <f t="shared" ref="H1844:I1854" si="879">ROUNDDOWN($S1844/4*10,0)</f>
        <v>3000</v>
      </c>
      <c r="I1844" s="70">
        <f t="shared" si="879"/>
        <v>3000</v>
      </c>
      <c r="J1844" s="70">
        <f t="shared" ref="J1844:J1903" si="880">ROUNDDOWN($P1844/4*$O1844*10*$N1844/$Q1844*$N1844/400*0.8,0)</f>
        <v>34090</v>
      </c>
      <c r="K1844" s="133">
        <v>1000</v>
      </c>
      <c r="L1844" s="70"/>
      <c r="M1844" s="131">
        <f t="shared" si="877"/>
        <v>2683.2457956735907</v>
      </c>
      <c r="N1844" s="71">
        <v>500</v>
      </c>
      <c r="O1844" s="72" t="s">
        <v>332</v>
      </c>
      <c r="P1844" s="72" t="s">
        <v>202</v>
      </c>
      <c r="Q1844" s="72" t="s">
        <v>246</v>
      </c>
      <c r="R1844" s="72" t="s">
        <v>971</v>
      </c>
      <c r="S1844" s="187">
        <f t="shared" ref="S1844:S1845" si="881">P1844*0.6</f>
        <v>1200</v>
      </c>
    </row>
    <row r="1845" spans="1:20" x14ac:dyDescent="0.2">
      <c r="A1845" s="8" t="str">
        <f t="shared" si="702"/>
        <v>300350119</v>
      </c>
      <c r="B1845" s="69">
        <v>30035</v>
      </c>
      <c r="C1845" s="69">
        <v>1</v>
      </c>
      <c r="D1845" s="69" t="s">
        <v>62</v>
      </c>
      <c r="E1845" s="69">
        <v>9</v>
      </c>
      <c r="F1845" s="70">
        <f t="shared" si="878"/>
        <v>45687</v>
      </c>
      <c r="G1845" s="70">
        <f t="shared" si="878"/>
        <v>45687</v>
      </c>
      <c r="H1845" s="70">
        <f t="shared" si="879"/>
        <v>3750</v>
      </c>
      <c r="I1845" s="70">
        <f t="shared" si="879"/>
        <v>3750</v>
      </c>
      <c r="J1845" s="70">
        <f t="shared" si="880"/>
        <v>229958</v>
      </c>
      <c r="K1845" s="133">
        <v>1000</v>
      </c>
      <c r="L1845" s="70"/>
      <c r="M1845" s="131">
        <f t="shared" si="877"/>
        <v>15879.111672382684</v>
      </c>
      <c r="N1845" s="71">
        <v>820</v>
      </c>
      <c r="O1845" s="72" t="s">
        <v>243</v>
      </c>
      <c r="P1845" s="72" t="s">
        <v>585</v>
      </c>
      <c r="Q1845" s="72" t="s">
        <v>102</v>
      </c>
      <c r="R1845" s="72" t="s">
        <v>972</v>
      </c>
      <c r="S1845" s="187">
        <f t="shared" si="881"/>
        <v>1500</v>
      </c>
    </row>
    <row r="1846" spans="1:20" x14ac:dyDescent="0.2">
      <c r="A1846" s="8" t="str">
        <f t="shared" si="702"/>
        <v>300350211</v>
      </c>
      <c r="B1846" s="69">
        <v>30035</v>
      </c>
      <c r="C1846" s="69">
        <v>2</v>
      </c>
      <c r="D1846" s="69" t="s">
        <v>62</v>
      </c>
      <c r="E1846" s="69">
        <v>1</v>
      </c>
      <c r="F1846" s="70">
        <f t="shared" si="878"/>
        <v>11000</v>
      </c>
      <c r="G1846" s="70">
        <f t="shared" si="878"/>
        <v>11000</v>
      </c>
      <c r="H1846" s="70">
        <f t="shared" si="879"/>
        <v>3000</v>
      </c>
      <c r="I1846" s="70">
        <f t="shared" si="879"/>
        <v>3000</v>
      </c>
      <c r="J1846" s="70">
        <f t="shared" si="880"/>
        <v>34090</v>
      </c>
      <c r="K1846" s="133">
        <v>1000</v>
      </c>
      <c r="L1846" s="70"/>
      <c r="M1846" s="131">
        <f t="shared" ref="M1846:M1854" si="882">(F1846*J1846*((H1846+I1846)/2)/1000)^(1/2)/10*0.8</f>
        <v>2683.2457956735907</v>
      </c>
      <c r="N1846" s="71">
        <v>500</v>
      </c>
      <c r="O1846" s="72" t="s">
        <v>332</v>
      </c>
      <c r="P1846" s="72" t="s">
        <v>202</v>
      </c>
      <c r="Q1846" s="72" t="s">
        <v>246</v>
      </c>
      <c r="R1846" s="72" t="s">
        <v>971</v>
      </c>
      <c r="S1846" s="187">
        <f t="shared" ref="S1846:S1852" si="883">P1846*0.6</f>
        <v>1200</v>
      </c>
    </row>
    <row r="1847" spans="1:20" x14ac:dyDescent="0.2">
      <c r="A1847" s="8" t="str">
        <f t="shared" si="702"/>
        <v>300350219</v>
      </c>
      <c r="B1847" s="69">
        <v>30035</v>
      </c>
      <c r="C1847" s="69">
        <v>2</v>
      </c>
      <c r="D1847" s="69" t="s">
        <v>62</v>
      </c>
      <c r="E1847" s="69">
        <v>9</v>
      </c>
      <c r="F1847" s="70">
        <f t="shared" si="878"/>
        <v>45687</v>
      </c>
      <c r="G1847" s="70">
        <f t="shared" si="878"/>
        <v>45687</v>
      </c>
      <c r="H1847" s="70">
        <f t="shared" si="879"/>
        <v>3750</v>
      </c>
      <c r="I1847" s="70">
        <f t="shared" si="879"/>
        <v>3750</v>
      </c>
      <c r="J1847" s="70">
        <f t="shared" si="880"/>
        <v>229958</v>
      </c>
      <c r="K1847" s="133">
        <v>1000</v>
      </c>
      <c r="L1847" s="70"/>
      <c r="M1847" s="131">
        <f t="shared" si="882"/>
        <v>15879.111672382684</v>
      </c>
      <c r="N1847" s="71">
        <v>820</v>
      </c>
      <c r="O1847" s="72" t="s">
        <v>243</v>
      </c>
      <c r="P1847" s="72" t="s">
        <v>585</v>
      </c>
      <c r="Q1847" s="72" t="s">
        <v>102</v>
      </c>
      <c r="R1847" s="72" t="s">
        <v>972</v>
      </c>
      <c r="S1847" s="187">
        <f t="shared" si="883"/>
        <v>1500</v>
      </c>
    </row>
    <row r="1848" spans="1:20" x14ac:dyDescent="0.2">
      <c r="A1848" s="8" t="str">
        <f t="shared" si="702"/>
        <v>300350311</v>
      </c>
      <c r="B1848" s="69">
        <v>30035</v>
      </c>
      <c r="C1848" s="69">
        <v>3</v>
      </c>
      <c r="D1848" s="69" t="s">
        <v>62</v>
      </c>
      <c r="E1848" s="69">
        <v>1</v>
      </c>
      <c r="F1848" s="70">
        <f t="shared" si="878"/>
        <v>11000</v>
      </c>
      <c r="G1848" s="70">
        <f t="shared" si="878"/>
        <v>11000</v>
      </c>
      <c r="H1848" s="70">
        <f t="shared" si="879"/>
        <v>3000</v>
      </c>
      <c r="I1848" s="70">
        <f t="shared" si="879"/>
        <v>3000</v>
      </c>
      <c r="J1848" s="70">
        <f t="shared" si="880"/>
        <v>34090</v>
      </c>
      <c r="K1848" s="133">
        <v>1000</v>
      </c>
      <c r="L1848" s="70"/>
      <c r="M1848" s="131">
        <f t="shared" si="882"/>
        <v>2683.2457956735907</v>
      </c>
      <c r="N1848" s="71">
        <v>500</v>
      </c>
      <c r="O1848" s="72" t="s">
        <v>332</v>
      </c>
      <c r="P1848" s="72" t="s">
        <v>202</v>
      </c>
      <c r="Q1848" s="72" t="s">
        <v>246</v>
      </c>
      <c r="R1848" s="72" t="s">
        <v>971</v>
      </c>
      <c r="S1848" s="187">
        <f t="shared" si="883"/>
        <v>1200</v>
      </c>
    </row>
    <row r="1849" spans="1:20" x14ac:dyDescent="0.2">
      <c r="A1849" s="8" t="str">
        <f t="shared" ref="A1849" si="884">IF(B1849="","",CONCATENATE(B1849,CONCATENATE(REPT(0,2-LEN(C1849)),C1849),IF(OR(D1849="Easy",D1849=""),1,IF(D1849="Normal",2,IF(D1849="Hard",3,IF(D1849="Hell",4,"error")))),E1849))</f>
        <v>300350312</v>
      </c>
      <c r="B1849" s="69">
        <v>30035</v>
      </c>
      <c r="C1849" s="69">
        <v>3</v>
      </c>
      <c r="D1849" s="69" t="s">
        <v>62</v>
      </c>
      <c r="E1849" s="69">
        <v>2</v>
      </c>
      <c r="F1849" s="70">
        <f t="shared" si="878"/>
        <v>1918875</v>
      </c>
      <c r="G1849" s="70">
        <f t="shared" si="878"/>
        <v>1918875</v>
      </c>
      <c r="H1849" s="70">
        <f t="shared" si="879"/>
        <v>3000</v>
      </c>
      <c r="I1849" s="70">
        <f t="shared" si="879"/>
        <v>3000</v>
      </c>
      <c r="J1849" s="70">
        <f t="shared" si="880"/>
        <v>1292749</v>
      </c>
      <c r="K1849" s="133">
        <v>1000</v>
      </c>
      <c r="L1849" s="70"/>
      <c r="M1849" s="131">
        <f t="shared" ref="M1849" si="885">(F1849*J1849*((H1849+I1849)/2)/1000)^(1/2)/10*0.8</f>
        <v>218238.34621257559</v>
      </c>
      <c r="N1849" s="71">
        <v>300</v>
      </c>
      <c r="O1849" s="72" t="s">
        <v>243</v>
      </c>
      <c r="P1849" s="72" t="s">
        <v>979</v>
      </c>
      <c r="Q1849" s="72" t="s">
        <v>102</v>
      </c>
      <c r="R1849" s="72" t="s">
        <v>977</v>
      </c>
      <c r="S1849" s="187">
        <v>1200</v>
      </c>
    </row>
    <row r="1850" spans="1:20" x14ac:dyDescent="0.2">
      <c r="A1850" s="8" t="str">
        <f t="shared" si="702"/>
        <v>300350319</v>
      </c>
      <c r="B1850" s="69">
        <v>30035</v>
      </c>
      <c r="C1850" s="69">
        <v>3</v>
      </c>
      <c r="D1850" s="69" t="s">
        <v>62</v>
      </c>
      <c r="E1850" s="69">
        <v>9</v>
      </c>
      <c r="F1850" s="70">
        <f t="shared" si="878"/>
        <v>45687</v>
      </c>
      <c r="G1850" s="70">
        <f t="shared" si="878"/>
        <v>45687</v>
      </c>
      <c r="H1850" s="70">
        <f t="shared" si="879"/>
        <v>3750</v>
      </c>
      <c r="I1850" s="70">
        <f t="shared" si="879"/>
        <v>3750</v>
      </c>
      <c r="J1850" s="70">
        <f t="shared" si="880"/>
        <v>229958</v>
      </c>
      <c r="K1850" s="133">
        <v>1000</v>
      </c>
      <c r="L1850" s="70"/>
      <c r="M1850" s="131">
        <f t="shared" si="882"/>
        <v>15879.111672382684</v>
      </c>
      <c r="N1850" s="71">
        <v>820</v>
      </c>
      <c r="O1850" s="72" t="s">
        <v>243</v>
      </c>
      <c r="P1850" s="72" t="s">
        <v>585</v>
      </c>
      <c r="Q1850" s="72" t="s">
        <v>102</v>
      </c>
      <c r="R1850" s="72" t="s">
        <v>972</v>
      </c>
      <c r="S1850" s="187">
        <f t="shared" si="883"/>
        <v>1500</v>
      </c>
    </row>
    <row r="1851" spans="1:20" x14ac:dyDescent="0.2">
      <c r="A1851" s="8" t="str">
        <f t="shared" si="702"/>
        <v>300350411</v>
      </c>
      <c r="B1851" s="69">
        <v>30035</v>
      </c>
      <c r="C1851" s="69">
        <v>4</v>
      </c>
      <c r="D1851" s="69" t="s">
        <v>62</v>
      </c>
      <c r="E1851" s="69">
        <v>1</v>
      </c>
      <c r="F1851" s="70">
        <f t="shared" si="878"/>
        <v>11000</v>
      </c>
      <c r="G1851" s="70">
        <f t="shared" si="878"/>
        <v>11000</v>
      </c>
      <c r="H1851" s="70">
        <f t="shared" si="879"/>
        <v>3000</v>
      </c>
      <c r="I1851" s="70">
        <f t="shared" si="879"/>
        <v>3000</v>
      </c>
      <c r="J1851" s="70">
        <f t="shared" si="880"/>
        <v>34090</v>
      </c>
      <c r="K1851" s="133">
        <v>1000</v>
      </c>
      <c r="L1851" s="70"/>
      <c r="M1851" s="131">
        <f t="shared" si="882"/>
        <v>2683.2457956735907</v>
      </c>
      <c r="N1851" s="71">
        <v>500</v>
      </c>
      <c r="O1851" s="72" t="s">
        <v>332</v>
      </c>
      <c r="P1851" s="72" t="s">
        <v>202</v>
      </c>
      <c r="Q1851" s="72" t="s">
        <v>246</v>
      </c>
      <c r="R1851" s="72" t="s">
        <v>971</v>
      </c>
      <c r="S1851" s="187">
        <f t="shared" si="883"/>
        <v>1200</v>
      </c>
    </row>
    <row r="1852" spans="1:20" x14ac:dyDescent="0.2">
      <c r="A1852" s="8" t="str">
        <f t="shared" si="702"/>
        <v>300350419</v>
      </c>
      <c r="B1852" s="69">
        <v>30035</v>
      </c>
      <c r="C1852" s="69">
        <v>4</v>
      </c>
      <c r="D1852" s="69" t="s">
        <v>62</v>
      </c>
      <c r="E1852" s="69">
        <v>9</v>
      </c>
      <c r="F1852" s="70">
        <f t="shared" si="878"/>
        <v>45687</v>
      </c>
      <c r="G1852" s="70">
        <f t="shared" si="878"/>
        <v>45687</v>
      </c>
      <c r="H1852" s="70">
        <f t="shared" si="879"/>
        <v>3750</v>
      </c>
      <c r="I1852" s="70">
        <f t="shared" si="879"/>
        <v>3750</v>
      </c>
      <c r="J1852" s="70">
        <f t="shared" si="880"/>
        <v>229958</v>
      </c>
      <c r="K1852" s="133">
        <v>1000</v>
      </c>
      <c r="L1852" s="70"/>
      <c r="M1852" s="131">
        <f t="shared" si="882"/>
        <v>15879.111672382684</v>
      </c>
      <c r="N1852" s="71">
        <v>820</v>
      </c>
      <c r="O1852" s="72" t="s">
        <v>243</v>
      </c>
      <c r="P1852" s="72" t="s">
        <v>585</v>
      </c>
      <c r="Q1852" s="72" t="s">
        <v>102</v>
      </c>
      <c r="R1852" s="72" t="s">
        <v>972</v>
      </c>
      <c r="S1852" s="187">
        <f t="shared" si="883"/>
        <v>1500</v>
      </c>
    </row>
    <row r="1853" spans="1:20" x14ac:dyDescent="0.2">
      <c r="A1853" s="8" t="str">
        <f t="shared" si="702"/>
        <v>300350511</v>
      </c>
      <c r="B1853" s="69">
        <v>30035</v>
      </c>
      <c r="C1853" s="69">
        <v>5</v>
      </c>
      <c r="D1853" s="69" t="s">
        <v>62</v>
      </c>
      <c r="E1853" s="69">
        <v>1</v>
      </c>
      <c r="F1853" s="70">
        <f t="shared" si="878"/>
        <v>125000</v>
      </c>
      <c r="G1853" s="70">
        <f t="shared" si="878"/>
        <v>125000</v>
      </c>
      <c r="H1853" s="70">
        <f t="shared" si="879"/>
        <v>5000</v>
      </c>
      <c r="I1853" s="70">
        <f t="shared" si="879"/>
        <v>5000</v>
      </c>
      <c r="J1853" s="70">
        <f t="shared" si="880"/>
        <v>192000</v>
      </c>
      <c r="K1853" s="133">
        <v>1000</v>
      </c>
      <c r="L1853" s="70"/>
      <c r="M1853" s="131">
        <f t="shared" si="882"/>
        <v>27712.812921102039</v>
      </c>
      <c r="N1853" s="71">
        <v>400</v>
      </c>
      <c r="O1853" s="72" t="s">
        <v>332</v>
      </c>
      <c r="P1853" s="72" t="s">
        <v>594</v>
      </c>
      <c r="Q1853" s="72" t="s">
        <v>281</v>
      </c>
      <c r="R1853" s="72" t="s">
        <v>971</v>
      </c>
      <c r="S1853" s="187">
        <f>P1853*0.1</f>
        <v>2000</v>
      </c>
    </row>
    <row r="1854" spans="1:20" x14ac:dyDescent="0.2">
      <c r="A1854" s="8" t="str">
        <f t="shared" si="702"/>
        <v>300350519</v>
      </c>
      <c r="B1854" s="69">
        <v>30035</v>
      </c>
      <c r="C1854" s="69">
        <v>5</v>
      </c>
      <c r="D1854" s="69" t="s">
        <v>62</v>
      </c>
      <c r="E1854" s="69">
        <v>9</v>
      </c>
      <c r="F1854" s="70">
        <f t="shared" si="878"/>
        <v>550000</v>
      </c>
      <c r="G1854" s="70">
        <f t="shared" si="878"/>
        <v>550000</v>
      </c>
      <c r="H1854" s="70">
        <f t="shared" si="879"/>
        <v>25000</v>
      </c>
      <c r="I1854" s="70">
        <f t="shared" si="879"/>
        <v>25000</v>
      </c>
      <c r="J1854" s="70">
        <f t="shared" si="880"/>
        <v>1704545</v>
      </c>
      <c r="K1854" s="133">
        <v>1000</v>
      </c>
      <c r="L1854" s="70"/>
      <c r="M1854" s="131">
        <f t="shared" si="882"/>
        <v>387298.28298096033</v>
      </c>
      <c r="N1854" s="71">
        <v>500</v>
      </c>
      <c r="O1854" s="72" t="s">
        <v>332</v>
      </c>
      <c r="P1854" s="72" t="s">
        <v>460</v>
      </c>
      <c r="Q1854" s="72" t="s">
        <v>246</v>
      </c>
      <c r="R1854" s="72" t="s">
        <v>972</v>
      </c>
      <c r="S1854" s="187">
        <f>P1854*0.1</f>
        <v>10000</v>
      </c>
    </row>
    <row r="1855" spans="1:20" x14ac:dyDescent="0.2">
      <c r="A1855" s="8" t="str">
        <f t="shared" si="702"/>
        <v>300350611</v>
      </c>
      <c r="B1855" s="191">
        <v>30035</v>
      </c>
      <c r="C1855" s="191">
        <v>6</v>
      </c>
      <c r="D1855" s="191" t="s">
        <v>259</v>
      </c>
      <c r="E1855" s="191">
        <v>1</v>
      </c>
      <c r="F1855" s="192">
        <f t="shared" ref="F1855:G1862" si="886">ROUNDDOWN($P1855/4*MIN($O1855,4)*10*$N1855/$N1855*$Q1855/400,0)</f>
        <v>250000</v>
      </c>
      <c r="G1855" s="192">
        <f t="shared" si="886"/>
        <v>250000</v>
      </c>
      <c r="H1855" s="192">
        <f t="shared" ref="H1855:I1862" si="887">ROUNDDOWN($S1855/4*10,0)</f>
        <v>1000</v>
      </c>
      <c r="I1855" s="192">
        <f t="shared" si="887"/>
        <v>1000</v>
      </c>
      <c r="J1855" s="192">
        <v>180000</v>
      </c>
      <c r="K1855" s="133">
        <v>1000</v>
      </c>
      <c r="L1855" s="192"/>
      <c r="M1855" s="193">
        <f t="shared" si="877"/>
        <v>16970.562748477139</v>
      </c>
      <c r="N1855" s="195">
        <v>100</v>
      </c>
      <c r="O1855" s="195">
        <v>4</v>
      </c>
      <c r="P1855" s="195">
        <v>100000</v>
      </c>
      <c r="Q1855" s="195">
        <v>100</v>
      </c>
      <c r="R1855" s="194" t="s">
        <v>973</v>
      </c>
      <c r="S1855" s="195">
        <v>400</v>
      </c>
    </row>
    <row r="1856" spans="1:20" x14ac:dyDescent="0.2">
      <c r="A1856" s="8" t="str">
        <f t="shared" si="702"/>
        <v>300350711</v>
      </c>
      <c r="B1856" s="191">
        <v>30035</v>
      </c>
      <c r="C1856" s="191">
        <v>7</v>
      </c>
      <c r="D1856" s="191" t="s">
        <v>259</v>
      </c>
      <c r="E1856" s="191">
        <v>1</v>
      </c>
      <c r="F1856" s="192">
        <f t="shared" si="886"/>
        <v>250000</v>
      </c>
      <c r="G1856" s="192">
        <f t="shared" si="886"/>
        <v>250000</v>
      </c>
      <c r="H1856" s="192">
        <f t="shared" si="887"/>
        <v>1000</v>
      </c>
      <c r="I1856" s="192">
        <f t="shared" si="887"/>
        <v>1000</v>
      </c>
      <c r="J1856" s="192">
        <f t="shared" si="880"/>
        <v>250000</v>
      </c>
      <c r="K1856" s="133">
        <v>1000</v>
      </c>
      <c r="L1856" s="192"/>
      <c r="M1856" s="193">
        <f t="shared" si="877"/>
        <v>20000</v>
      </c>
      <c r="N1856" s="195">
        <v>100</v>
      </c>
      <c r="O1856" s="195">
        <v>5</v>
      </c>
      <c r="P1856" s="195">
        <v>100000</v>
      </c>
      <c r="Q1856" s="195">
        <v>100</v>
      </c>
      <c r="R1856" s="194" t="s">
        <v>974</v>
      </c>
      <c r="S1856" s="195">
        <v>400</v>
      </c>
    </row>
    <row r="1857" spans="1:20" x14ac:dyDescent="0.2">
      <c r="A1857" s="8" t="str">
        <f t="shared" si="702"/>
        <v>300350811</v>
      </c>
      <c r="B1857" s="191">
        <v>30035</v>
      </c>
      <c r="C1857" s="191">
        <v>8</v>
      </c>
      <c r="D1857" s="191" t="s">
        <v>259</v>
      </c>
      <c r="E1857" s="191">
        <v>1</v>
      </c>
      <c r="F1857" s="192">
        <f t="shared" si="886"/>
        <v>250000</v>
      </c>
      <c r="G1857" s="192">
        <f t="shared" si="886"/>
        <v>250000</v>
      </c>
      <c r="H1857" s="192">
        <f t="shared" si="887"/>
        <v>1000</v>
      </c>
      <c r="I1857" s="192">
        <f t="shared" si="887"/>
        <v>1000</v>
      </c>
      <c r="J1857" s="192">
        <f t="shared" si="880"/>
        <v>320000</v>
      </c>
      <c r="K1857" s="133">
        <v>1000</v>
      </c>
      <c r="L1857" s="192"/>
      <c r="M1857" s="193">
        <f t="shared" si="877"/>
        <v>22627.416997969525</v>
      </c>
      <c r="N1857" s="195">
        <v>80</v>
      </c>
      <c r="O1857" s="195">
        <v>10</v>
      </c>
      <c r="P1857" s="195">
        <v>100000</v>
      </c>
      <c r="Q1857" s="195">
        <v>100</v>
      </c>
      <c r="R1857" s="194" t="s">
        <v>975</v>
      </c>
      <c r="S1857" s="195">
        <v>400</v>
      </c>
    </row>
    <row r="1858" spans="1:20" s="223" customFormat="1" x14ac:dyDescent="0.2">
      <c r="A1858" s="8" t="str">
        <f t="shared" ref="A1858" si="888">IF(B1858="","",CONCATENATE(B1858,CONCATENATE(REPT(0,2-LEN(C1858)),C1858),IF(OR(D1858="Easy",D1858=""),1,IF(D1858="Normal",2,IF(D1858="Hard",3,IF(D1858="Hell",4,"error")))),E1858))</f>
        <v>300350911</v>
      </c>
      <c r="B1858" s="191">
        <v>30035</v>
      </c>
      <c r="C1858" s="191">
        <v>9</v>
      </c>
      <c r="D1858" s="191" t="s">
        <v>259</v>
      </c>
      <c r="E1858" s="191">
        <v>1</v>
      </c>
      <c r="F1858" s="192">
        <f t="shared" si="886"/>
        <v>62500</v>
      </c>
      <c r="G1858" s="192">
        <f t="shared" si="886"/>
        <v>62500</v>
      </c>
      <c r="H1858" s="192">
        <f t="shared" si="887"/>
        <v>250</v>
      </c>
      <c r="I1858" s="192">
        <f t="shared" si="887"/>
        <v>250</v>
      </c>
      <c r="J1858" s="192">
        <f t="shared" si="880"/>
        <v>1000000</v>
      </c>
      <c r="K1858" s="133">
        <v>1000</v>
      </c>
      <c r="L1858" s="192"/>
      <c r="M1858" s="193">
        <f t="shared" ref="M1858" si="889">(F1858*J1858*((H1858+I1858)/2)/1000)^(1/2)/10*0.8</f>
        <v>10000</v>
      </c>
      <c r="N1858" s="195">
        <v>100</v>
      </c>
      <c r="O1858" s="195">
        <v>500</v>
      </c>
      <c r="P1858" s="195">
        <v>10000</v>
      </c>
      <c r="Q1858" s="195">
        <v>250</v>
      </c>
      <c r="R1858" s="194" t="s">
        <v>978</v>
      </c>
      <c r="S1858" s="195">
        <v>100</v>
      </c>
      <c r="T1858" s="116"/>
    </row>
    <row r="1859" spans="1:20" s="223" customFormat="1" x14ac:dyDescent="0.2">
      <c r="A1859" s="8" t="str">
        <f t="shared" si="702"/>
        <v>300350918</v>
      </c>
      <c r="B1859" s="191">
        <v>30035</v>
      </c>
      <c r="C1859" s="191">
        <v>9</v>
      </c>
      <c r="D1859" s="191" t="s">
        <v>259</v>
      </c>
      <c r="E1859" s="191">
        <v>8</v>
      </c>
      <c r="F1859" s="192">
        <f t="shared" si="886"/>
        <v>62500</v>
      </c>
      <c r="G1859" s="192">
        <f t="shared" si="886"/>
        <v>62500</v>
      </c>
      <c r="H1859" s="192">
        <f t="shared" si="887"/>
        <v>250</v>
      </c>
      <c r="I1859" s="192">
        <f t="shared" si="887"/>
        <v>250</v>
      </c>
      <c r="J1859" s="192">
        <f t="shared" si="880"/>
        <v>1000000</v>
      </c>
      <c r="K1859" s="133">
        <v>1000</v>
      </c>
      <c r="L1859" s="192"/>
      <c r="M1859" s="193">
        <f t="shared" si="877"/>
        <v>10000</v>
      </c>
      <c r="N1859" s="195">
        <v>100</v>
      </c>
      <c r="O1859" s="195">
        <v>500</v>
      </c>
      <c r="P1859" s="195">
        <v>10000</v>
      </c>
      <c r="Q1859" s="195">
        <v>250</v>
      </c>
      <c r="R1859" s="194" t="s">
        <v>978</v>
      </c>
      <c r="S1859" s="195">
        <v>100</v>
      </c>
      <c r="T1859" s="116"/>
    </row>
    <row r="1860" spans="1:20" x14ac:dyDescent="0.2">
      <c r="A1860" s="8" t="str">
        <f t="shared" si="702"/>
        <v>300350919</v>
      </c>
      <c r="B1860" s="191">
        <v>30035</v>
      </c>
      <c r="C1860" s="191">
        <v>9</v>
      </c>
      <c r="D1860" s="191" t="s">
        <v>259</v>
      </c>
      <c r="E1860" s="191">
        <v>9</v>
      </c>
      <c r="F1860" s="192">
        <f t="shared" si="886"/>
        <v>25000</v>
      </c>
      <c r="G1860" s="192">
        <f t="shared" si="886"/>
        <v>25000</v>
      </c>
      <c r="H1860" s="192">
        <f t="shared" si="887"/>
        <v>1000</v>
      </c>
      <c r="I1860" s="192">
        <f t="shared" si="887"/>
        <v>1000</v>
      </c>
      <c r="J1860" s="192">
        <f t="shared" si="880"/>
        <v>100000</v>
      </c>
      <c r="K1860" s="133">
        <v>1000</v>
      </c>
      <c r="L1860" s="192"/>
      <c r="M1860" s="193">
        <f t="shared" ref="M1860:M1880" si="890">(F1860*J1860*((H1860+I1860)/2)/1000)^(1/2)/10*0.8</f>
        <v>4000</v>
      </c>
      <c r="N1860" s="195">
        <v>20</v>
      </c>
      <c r="O1860" s="195">
        <v>500</v>
      </c>
      <c r="P1860" s="195">
        <v>10000</v>
      </c>
      <c r="Q1860" s="195">
        <v>100</v>
      </c>
      <c r="R1860" s="194" t="s">
        <v>976</v>
      </c>
      <c r="S1860" s="195">
        <v>400</v>
      </c>
    </row>
    <row r="1861" spans="1:20" x14ac:dyDescent="0.2">
      <c r="A1861" s="8" t="str">
        <f t="shared" ref="A1861" si="891">IF(B1861="","",CONCATENATE(B1861,CONCATENATE(REPT(0,2-LEN(C1861)),C1861),IF(OR(D1861="Easy",D1861=""),1,IF(D1861="Normal",2,IF(D1861="Hard",3,IF(D1861="Hell",4,"error")))),E1861))</f>
        <v>300350916</v>
      </c>
      <c r="B1861" s="191">
        <v>30035</v>
      </c>
      <c r="C1861" s="191">
        <v>9</v>
      </c>
      <c r="D1861" s="191" t="s">
        <v>259</v>
      </c>
      <c r="E1861" s="191">
        <v>6</v>
      </c>
      <c r="F1861" s="70">
        <f t="shared" si="886"/>
        <v>270000</v>
      </c>
      <c r="G1861" s="70">
        <f t="shared" si="886"/>
        <v>270000</v>
      </c>
      <c r="H1861" s="70">
        <f t="shared" si="887"/>
        <v>22500</v>
      </c>
      <c r="I1861" s="70">
        <f t="shared" si="887"/>
        <v>22500</v>
      </c>
      <c r="J1861" s="70">
        <f t="shared" si="880"/>
        <v>648000</v>
      </c>
      <c r="K1861" s="233">
        <v>1000</v>
      </c>
      <c r="L1861" s="70"/>
      <c r="M1861" s="131">
        <f t="shared" si="890"/>
        <v>158726.93533234997</v>
      </c>
      <c r="N1861" s="71">
        <v>1800</v>
      </c>
      <c r="O1861" s="72" t="s">
        <v>332</v>
      </c>
      <c r="P1861" s="234">
        <v>12000</v>
      </c>
      <c r="Q1861" s="72" t="s">
        <v>439</v>
      </c>
      <c r="R1861" s="72"/>
      <c r="S1861" s="187">
        <v>9000</v>
      </c>
    </row>
    <row r="1862" spans="1:20" x14ac:dyDescent="0.2">
      <c r="A1862" s="8" t="str">
        <f t="shared" ref="A1862" si="892">IF(B1862="","",CONCATENATE(B1862,CONCATENATE(REPT(0,2-LEN(C1862)),C1862),IF(OR(D1862="Easy",D1862=""),1,IF(D1862="Normal",2,IF(D1862="Hard",3,IF(D1862="Hell",4,"error")))),E1862))</f>
        <v>300350917</v>
      </c>
      <c r="B1862" s="191">
        <v>30035</v>
      </c>
      <c r="C1862" s="191">
        <v>9</v>
      </c>
      <c r="D1862" s="191" t="s">
        <v>259</v>
      </c>
      <c r="E1862" s="191">
        <v>7</v>
      </c>
      <c r="F1862" s="70">
        <f t="shared" si="886"/>
        <v>630000</v>
      </c>
      <c r="G1862" s="70">
        <f t="shared" si="886"/>
        <v>630000</v>
      </c>
      <c r="H1862" s="70">
        <f t="shared" si="887"/>
        <v>25000</v>
      </c>
      <c r="I1862" s="70">
        <f t="shared" si="887"/>
        <v>25000</v>
      </c>
      <c r="J1862" s="70">
        <f t="shared" si="880"/>
        <v>6222857</v>
      </c>
      <c r="K1862" s="233">
        <v>1000</v>
      </c>
      <c r="L1862" s="70"/>
      <c r="M1862" s="131">
        <f t="shared" si="890"/>
        <v>791999.99090909085</v>
      </c>
      <c r="N1862" s="71">
        <v>2200</v>
      </c>
      <c r="O1862" s="71">
        <v>20</v>
      </c>
      <c r="P1862" s="71">
        <v>18000</v>
      </c>
      <c r="Q1862" s="72" t="s">
        <v>286</v>
      </c>
      <c r="R1862" s="72"/>
      <c r="S1862" s="187">
        <v>10000</v>
      </c>
    </row>
    <row r="1863" spans="1:20" x14ac:dyDescent="0.2">
      <c r="A1863" s="38"/>
      <c r="B1863" s="38"/>
      <c r="C1863" s="35" t="s">
        <v>992</v>
      </c>
      <c r="D1863" s="38"/>
      <c r="E1863" s="38"/>
      <c r="F1863" s="38"/>
      <c r="G1863" s="40"/>
      <c r="H1863" s="38"/>
      <c r="I1863" s="38"/>
      <c r="J1863" s="38"/>
      <c r="K1863" s="133">
        <v>1000</v>
      </c>
      <c r="L1863" s="38"/>
      <c r="M1863" s="16">
        <f t="shared" si="890"/>
        <v>0</v>
      </c>
      <c r="N1863" s="42" t="str">
        <f>IF(A1863="","",M1863*#REF!)</f>
        <v/>
      </c>
      <c r="O1863" s="40"/>
      <c r="P1863" s="38"/>
      <c r="Q1863" s="38"/>
      <c r="R1863" s="38"/>
      <c r="S1863" s="40"/>
      <c r="T1863" s="267"/>
    </row>
    <row r="1864" spans="1:20" x14ac:dyDescent="0.2">
      <c r="A1864" s="8" t="str">
        <f t="shared" ref="A1864" si="893">IF(B1864="","",CONCATENATE(B1864,CONCATENATE(REPT(0,2-LEN(C1864)),C1864),IF(OR(D1864="Easy",D1864=""),1,IF(D1864="Normal",2,IF(D1864="Hard",3,IF(D1864="Hell",4,"error")))),E1864))</f>
        <v>300360111</v>
      </c>
      <c r="B1864" s="69">
        <v>30036</v>
      </c>
      <c r="C1864" s="69">
        <v>1</v>
      </c>
      <c r="D1864" s="69" t="s">
        <v>62</v>
      </c>
      <c r="E1864" s="69">
        <v>1</v>
      </c>
      <c r="F1864" s="70">
        <f t="shared" ref="F1864:G1864" si="894">ROUNDDOWN($P1864/4*MIN($O1864,4)*10*$N1864/$N1864*$Q1864/400,0)</f>
        <v>11000</v>
      </c>
      <c r="G1864" s="70">
        <f t="shared" si="894"/>
        <v>11000</v>
      </c>
      <c r="H1864" s="70">
        <f t="shared" ref="H1864:I1864" si="895">ROUNDDOWN($S1864/4*10,0)</f>
        <v>3000</v>
      </c>
      <c r="I1864" s="70">
        <f t="shared" si="895"/>
        <v>3000</v>
      </c>
      <c r="J1864" s="70">
        <f t="shared" si="880"/>
        <v>34090</v>
      </c>
      <c r="K1864" s="133">
        <v>1000</v>
      </c>
      <c r="L1864" s="70"/>
      <c r="M1864" s="131">
        <f t="shared" si="890"/>
        <v>2683.2457956735907</v>
      </c>
      <c r="N1864" s="71">
        <v>500</v>
      </c>
      <c r="O1864" s="72" t="s">
        <v>332</v>
      </c>
      <c r="P1864" s="72" t="s">
        <v>202</v>
      </c>
      <c r="Q1864" s="72" t="s">
        <v>246</v>
      </c>
      <c r="R1864" s="72" t="s">
        <v>993</v>
      </c>
      <c r="S1864" s="187">
        <f t="shared" ref="S1864" si="896">P1864*0.6</f>
        <v>1200</v>
      </c>
    </row>
    <row r="1865" spans="1:20" x14ac:dyDescent="0.2">
      <c r="A1865" s="38"/>
      <c r="B1865" s="38"/>
      <c r="C1865" s="35" t="s">
        <v>992</v>
      </c>
      <c r="D1865" s="38"/>
      <c r="E1865" s="38"/>
      <c r="F1865" s="38"/>
      <c r="G1865" s="40"/>
      <c r="H1865" s="38"/>
      <c r="I1865" s="38"/>
      <c r="J1865" s="38"/>
      <c r="K1865" s="133">
        <v>1000</v>
      </c>
      <c r="L1865" s="38"/>
      <c r="M1865" s="16">
        <f t="shared" si="890"/>
        <v>0</v>
      </c>
      <c r="N1865" s="42" t="str">
        <f>IF(A1865="","",M1865*#REF!)</f>
        <v/>
      </c>
      <c r="O1865" s="40"/>
      <c r="P1865" s="38"/>
      <c r="Q1865" s="38"/>
      <c r="R1865" s="38"/>
      <c r="S1865" s="40"/>
      <c r="T1865" s="267"/>
    </row>
    <row r="1866" spans="1:20" ht="12.75" customHeight="1" x14ac:dyDescent="0.2">
      <c r="A1866" s="8" t="str">
        <f t="shared" ref="A1866:A1881" si="897">IF(B1866="","",CONCATENATE(B1866,CONCATENATE(REPT(0,2-LEN(C1866)),C1866),IF(OR(D1866="Easy",D1866=""),1,IF(D1866="Normal",2,IF(D1866="Hard",3,IF(D1866="Hell",4,"error")))),E1866))</f>
        <v>300360211</v>
      </c>
      <c r="B1866" s="69">
        <v>30036</v>
      </c>
      <c r="C1866" s="69">
        <v>2</v>
      </c>
      <c r="D1866" s="69" t="s">
        <v>62</v>
      </c>
      <c r="E1866" s="69">
        <v>1</v>
      </c>
      <c r="F1866" s="70">
        <f t="shared" ref="F1866:G1901" si="898">ROUNDDOWN($P1866/4*MIN($O1866,4)*10*$N1866/$N1866*$Q1866/400,0)</f>
        <v>11000</v>
      </c>
      <c r="G1866" s="70">
        <f t="shared" si="898"/>
        <v>11000</v>
      </c>
      <c r="H1866" s="70">
        <f t="shared" ref="H1866:I1901" si="899">ROUNDDOWN($S1866/4*10,0)</f>
        <v>3000</v>
      </c>
      <c r="I1866" s="70">
        <f t="shared" si="899"/>
        <v>3000</v>
      </c>
      <c r="J1866" s="70">
        <f t="shared" si="880"/>
        <v>34090</v>
      </c>
      <c r="K1866" s="133">
        <v>1000</v>
      </c>
      <c r="L1866" s="70"/>
      <c r="M1866" s="131">
        <f t="shared" si="890"/>
        <v>2683.2457956735907</v>
      </c>
      <c r="N1866" s="71">
        <v>500</v>
      </c>
      <c r="O1866" s="72" t="s">
        <v>332</v>
      </c>
      <c r="P1866" s="72" t="s">
        <v>202</v>
      </c>
      <c r="Q1866" s="72" t="s">
        <v>246</v>
      </c>
      <c r="R1866" s="72" t="s">
        <v>353</v>
      </c>
      <c r="S1866" s="187">
        <f t="shared" ref="S1866" si="900">P1866*0.6</f>
        <v>1200</v>
      </c>
    </row>
    <row r="1867" spans="1:20" ht="12.75" customHeight="1" x14ac:dyDescent="0.2">
      <c r="A1867" s="8" t="str">
        <f t="shared" ref="A1867:A1870" si="901">IF(B1867="","",CONCATENATE(B1867,CONCATENATE(REPT(0,2-LEN(C1867)),C1867),IF(OR(D1867="Easy",D1867=""),1,IF(D1867="Normal",2,IF(D1867="Hard",3,IF(D1867="Hell",4,"error")))),E1867))</f>
        <v>300360311</v>
      </c>
      <c r="B1867" s="69">
        <v>30036</v>
      </c>
      <c r="C1867" s="69">
        <v>3</v>
      </c>
      <c r="D1867" s="69" t="s">
        <v>62</v>
      </c>
      <c r="E1867" s="69">
        <v>1</v>
      </c>
      <c r="F1867" s="70">
        <f t="shared" si="898"/>
        <v>55000</v>
      </c>
      <c r="G1867" s="70">
        <f t="shared" si="898"/>
        <v>55000</v>
      </c>
      <c r="H1867" s="70">
        <f t="shared" si="899"/>
        <v>15000</v>
      </c>
      <c r="I1867" s="70">
        <f t="shared" si="899"/>
        <v>15000</v>
      </c>
      <c r="J1867" s="70">
        <f t="shared" si="880"/>
        <v>17045454</v>
      </c>
      <c r="K1867" s="133">
        <v>1000</v>
      </c>
      <c r="L1867" s="70"/>
      <c r="M1867" s="131">
        <f t="shared" ref="M1867:M1870" si="902">(F1867*J1867*((H1867+I1867)/2)/1000)^(1/2)/10*0.8</f>
        <v>299999.99519999995</v>
      </c>
      <c r="N1867" s="71">
        <v>5000</v>
      </c>
      <c r="O1867" s="72" t="s">
        <v>332</v>
      </c>
      <c r="P1867" s="72" t="s">
        <v>399</v>
      </c>
      <c r="Q1867" s="72" t="s">
        <v>246</v>
      </c>
      <c r="R1867" s="72" t="s">
        <v>332</v>
      </c>
      <c r="S1867" s="187">
        <f t="shared" ref="S1867:S1869" si="903">P1867*0.6</f>
        <v>6000</v>
      </c>
    </row>
    <row r="1868" spans="1:20" ht="12.75" customHeight="1" x14ac:dyDescent="0.2">
      <c r="A1868" s="8" t="str">
        <f t="shared" si="901"/>
        <v>300360411</v>
      </c>
      <c r="B1868" s="69">
        <v>30036</v>
      </c>
      <c r="C1868" s="69">
        <v>4</v>
      </c>
      <c r="D1868" s="69" t="s">
        <v>62</v>
      </c>
      <c r="E1868" s="69">
        <v>1</v>
      </c>
      <c r="F1868" s="70">
        <f t="shared" si="898"/>
        <v>55000</v>
      </c>
      <c r="G1868" s="70">
        <f t="shared" si="898"/>
        <v>55000</v>
      </c>
      <c r="H1868" s="70">
        <f t="shared" si="899"/>
        <v>15000</v>
      </c>
      <c r="I1868" s="70">
        <f t="shared" si="899"/>
        <v>15000</v>
      </c>
      <c r="J1868" s="70">
        <f t="shared" si="880"/>
        <v>170454</v>
      </c>
      <c r="K1868" s="133">
        <v>1000</v>
      </c>
      <c r="L1868" s="70"/>
      <c r="M1868" s="131">
        <f t="shared" si="902"/>
        <v>29999.951999961599</v>
      </c>
      <c r="N1868" s="71">
        <v>500</v>
      </c>
      <c r="O1868" s="72" t="s">
        <v>332</v>
      </c>
      <c r="P1868" s="72" t="s">
        <v>399</v>
      </c>
      <c r="Q1868" s="72" t="s">
        <v>246</v>
      </c>
      <c r="R1868" s="72" t="s">
        <v>89</v>
      </c>
      <c r="S1868" s="187">
        <f t="shared" si="903"/>
        <v>6000</v>
      </c>
    </row>
    <row r="1869" spans="1:20" ht="12.75" customHeight="1" x14ac:dyDescent="0.2">
      <c r="A1869" s="8" t="str">
        <f t="shared" si="901"/>
        <v>300360511</v>
      </c>
      <c r="B1869" s="69">
        <v>30036</v>
      </c>
      <c r="C1869" s="69">
        <v>5</v>
      </c>
      <c r="D1869" s="69" t="s">
        <v>62</v>
      </c>
      <c r="E1869" s="69">
        <v>1</v>
      </c>
      <c r="F1869" s="70">
        <f t="shared" si="898"/>
        <v>55000</v>
      </c>
      <c r="G1869" s="70">
        <f t="shared" si="898"/>
        <v>55000</v>
      </c>
      <c r="H1869" s="70">
        <f t="shared" si="899"/>
        <v>15000</v>
      </c>
      <c r="I1869" s="70">
        <f t="shared" si="899"/>
        <v>15000</v>
      </c>
      <c r="J1869" s="70">
        <f t="shared" si="880"/>
        <v>170454</v>
      </c>
      <c r="K1869" s="133">
        <v>1000</v>
      </c>
      <c r="L1869" s="70"/>
      <c r="M1869" s="131">
        <f t="shared" si="902"/>
        <v>29999.951999961599</v>
      </c>
      <c r="N1869" s="71">
        <v>500</v>
      </c>
      <c r="O1869" s="72" t="s">
        <v>332</v>
      </c>
      <c r="P1869" s="72" t="s">
        <v>399</v>
      </c>
      <c r="Q1869" s="72" t="s">
        <v>246</v>
      </c>
      <c r="R1869" s="72" t="s">
        <v>887</v>
      </c>
      <c r="S1869" s="187">
        <f t="shared" si="903"/>
        <v>6000</v>
      </c>
    </row>
    <row r="1870" spans="1:20" ht="12.75" customHeight="1" x14ac:dyDescent="0.2">
      <c r="A1870" s="8" t="str">
        <f t="shared" si="901"/>
        <v>300360611</v>
      </c>
      <c r="B1870" s="69">
        <v>30036</v>
      </c>
      <c r="C1870" s="69">
        <v>6</v>
      </c>
      <c r="D1870" s="69" t="s">
        <v>62</v>
      </c>
      <c r="E1870" s="69">
        <v>1</v>
      </c>
      <c r="F1870" s="70">
        <f t="shared" si="898"/>
        <v>1000000</v>
      </c>
      <c r="G1870" s="70">
        <f t="shared" si="898"/>
        <v>1000000</v>
      </c>
      <c r="H1870" s="70">
        <f t="shared" si="899"/>
        <v>50000</v>
      </c>
      <c r="I1870" s="70">
        <f t="shared" si="899"/>
        <v>50000</v>
      </c>
      <c r="J1870" s="70">
        <f t="shared" si="880"/>
        <v>121500</v>
      </c>
      <c r="K1870" s="133">
        <v>1000</v>
      </c>
      <c r="L1870" s="70"/>
      <c r="M1870" s="131">
        <f t="shared" si="902"/>
        <v>197180.12070185982</v>
      </c>
      <c r="N1870" s="71">
        <v>180</v>
      </c>
      <c r="O1870" s="72" t="s">
        <v>332</v>
      </c>
      <c r="P1870" s="72" t="s">
        <v>460</v>
      </c>
      <c r="Q1870" s="72" t="s">
        <v>90</v>
      </c>
      <c r="R1870" s="72" t="s">
        <v>996</v>
      </c>
      <c r="S1870" s="187">
        <f>P1870*0.2</f>
        <v>20000</v>
      </c>
    </row>
    <row r="1871" spans="1:20" ht="12.75" customHeight="1" x14ac:dyDescent="0.2">
      <c r="A1871" s="8" t="str">
        <f t="shared" ref="A1871:A1873" si="904">IF(B1871="","",CONCATENATE(B1871,CONCATENATE(REPT(0,2-LEN(C1871)),C1871),IF(OR(D1871="Easy",D1871=""),1,IF(D1871="Normal",2,IF(D1871="Hard",3,IF(D1871="Hell",4,"error")))),E1871))</f>
        <v>300360711</v>
      </c>
      <c r="B1871" s="69">
        <v>30036</v>
      </c>
      <c r="C1871" s="69">
        <v>7</v>
      </c>
      <c r="D1871" s="69" t="s">
        <v>62</v>
      </c>
      <c r="E1871" s="69">
        <v>1</v>
      </c>
      <c r="F1871" s="70">
        <f t="shared" si="898"/>
        <v>55000</v>
      </c>
      <c r="G1871" s="70">
        <f t="shared" si="898"/>
        <v>55000</v>
      </c>
      <c r="H1871" s="70">
        <f t="shared" si="899"/>
        <v>5000</v>
      </c>
      <c r="I1871" s="70">
        <f t="shared" si="899"/>
        <v>5000</v>
      </c>
      <c r="J1871" s="70">
        <f t="shared" si="880"/>
        <v>436363</v>
      </c>
      <c r="K1871" s="133">
        <v>1000</v>
      </c>
      <c r="L1871" s="70"/>
      <c r="M1871" s="131">
        <f t="shared" ref="M1871:M1875" si="905">(F1871*J1871*((H1871+I1871)/2)/1000)^(1/2)/10*0.8</f>
        <v>27712.79271383525</v>
      </c>
      <c r="N1871" s="71">
        <v>800</v>
      </c>
      <c r="O1871" s="72" t="s">
        <v>332</v>
      </c>
      <c r="P1871" s="72" t="s">
        <v>399</v>
      </c>
      <c r="Q1871" s="72" t="s">
        <v>246</v>
      </c>
      <c r="R1871" s="72" t="s">
        <v>997</v>
      </c>
      <c r="S1871" s="187">
        <f>P1871*0.2</f>
        <v>2000</v>
      </c>
    </row>
    <row r="1872" spans="1:20" ht="12.75" customHeight="1" x14ac:dyDescent="0.2">
      <c r="A1872" s="8" t="str">
        <f t="shared" ref="A1872" si="906">IF(B1872="","",CONCATENATE(B1872,CONCATENATE(REPT(0,2-LEN(C1872)),C1872),IF(OR(D1872="Easy",D1872=""),1,IF(D1872="Normal",2,IF(D1872="Hard",3,IF(D1872="Hell",4,"error")))),E1872))</f>
        <v>300360712</v>
      </c>
      <c r="B1872" s="69">
        <v>30036</v>
      </c>
      <c r="C1872" s="69">
        <v>7</v>
      </c>
      <c r="D1872" s="69" t="s">
        <v>62</v>
      </c>
      <c r="E1872" s="69">
        <v>2</v>
      </c>
      <c r="F1872" s="70">
        <f t="shared" si="898"/>
        <v>440000</v>
      </c>
      <c r="G1872" s="70">
        <f t="shared" si="898"/>
        <v>440000</v>
      </c>
      <c r="H1872" s="70">
        <f t="shared" si="899"/>
        <v>10000</v>
      </c>
      <c r="I1872" s="70">
        <f t="shared" si="899"/>
        <v>10000</v>
      </c>
      <c r="J1872" s="70">
        <f t="shared" si="880"/>
        <v>218181</v>
      </c>
      <c r="K1872" s="133">
        <v>1000</v>
      </c>
      <c r="L1872" s="70"/>
      <c r="M1872" s="131">
        <f t="shared" ref="M1872" si="907">(F1872*J1872*((H1872+I1872)/2)/1000)^(1/2)/10*0.8</f>
        <v>78383.524799539344</v>
      </c>
      <c r="N1872" s="71">
        <v>200</v>
      </c>
      <c r="O1872" s="72" t="s">
        <v>332</v>
      </c>
      <c r="P1872" s="72" t="s">
        <v>481</v>
      </c>
      <c r="Q1872" s="72" t="s">
        <v>246</v>
      </c>
      <c r="R1872" s="72" t="s">
        <v>998</v>
      </c>
      <c r="S1872" s="187">
        <f>P1872*0.05</f>
        <v>4000</v>
      </c>
    </row>
    <row r="1873" spans="1:20" ht="12.75" customHeight="1" x14ac:dyDescent="0.2">
      <c r="A1873" s="8" t="str">
        <f t="shared" si="904"/>
        <v>300360811</v>
      </c>
      <c r="B1873" s="69">
        <v>30036</v>
      </c>
      <c r="C1873" s="69">
        <v>8</v>
      </c>
      <c r="D1873" s="69" t="s">
        <v>62</v>
      </c>
      <c r="E1873" s="69">
        <v>1</v>
      </c>
      <c r="F1873" s="70">
        <f t="shared" si="898"/>
        <v>440000</v>
      </c>
      <c r="G1873" s="70">
        <f t="shared" si="898"/>
        <v>440000</v>
      </c>
      <c r="H1873" s="70">
        <f t="shared" si="899"/>
        <v>60000</v>
      </c>
      <c r="I1873" s="70">
        <f t="shared" si="899"/>
        <v>60000</v>
      </c>
      <c r="J1873" s="70">
        <f t="shared" si="880"/>
        <v>218181</v>
      </c>
      <c r="K1873" s="133">
        <v>1000</v>
      </c>
      <c r="L1873" s="70"/>
      <c r="M1873" s="131">
        <f t="shared" si="905"/>
        <v>191999.6399996625</v>
      </c>
      <c r="N1873" s="71">
        <v>200</v>
      </c>
      <c r="O1873" s="72" t="s">
        <v>332</v>
      </c>
      <c r="P1873" s="72" t="s">
        <v>481</v>
      </c>
      <c r="Q1873" s="72" t="s">
        <v>246</v>
      </c>
      <c r="R1873" s="72" t="s">
        <v>995</v>
      </c>
      <c r="S1873" s="187">
        <v>24000</v>
      </c>
    </row>
    <row r="1874" spans="1:20" ht="12.75" customHeight="1" x14ac:dyDescent="0.2">
      <c r="A1874" s="8" t="str">
        <f t="shared" ref="A1874" si="908">IF(B1874="","",CONCATENATE(B1874,CONCATENATE(REPT(0,2-LEN(C1874)),C1874),IF(OR(D1874="Easy",D1874=""),1,IF(D1874="Normal",2,IF(D1874="Hard",3,IF(D1874="Hell",4,"error")))),E1874))</f>
        <v>300361211</v>
      </c>
      <c r="B1874" s="69">
        <v>30036</v>
      </c>
      <c r="C1874" s="69">
        <v>12</v>
      </c>
      <c r="D1874" s="69" t="s">
        <v>62</v>
      </c>
      <c r="E1874" s="69">
        <v>1</v>
      </c>
      <c r="F1874" s="70">
        <f t="shared" si="898"/>
        <v>270000</v>
      </c>
      <c r="G1874" s="70">
        <f t="shared" si="898"/>
        <v>270000</v>
      </c>
      <c r="H1874" s="70">
        <f t="shared" si="899"/>
        <v>22500</v>
      </c>
      <c r="I1874" s="70">
        <f t="shared" si="899"/>
        <v>22500</v>
      </c>
      <c r="J1874" s="70">
        <f t="shared" si="880"/>
        <v>648000</v>
      </c>
      <c r="K1874" s="233">
        <v>1000</v>
      </c>
      <c r="L1874" s="70"/>
      <c r="M1874" s="131">
        <f t="shared" si="905"/>
        <v>158726.93533234997</v>
      </c>
      <c r="N1874" s="71">
        <v>1800</v>
      </c>
      <c r="O1874" s="72" t="s">
        <v>332</v>
      </c>
      <c r="P1874" s="234">
        <v>12000</v>
      </c>
      <c r="Q1874" s="72" t="s">
        <v>1001</v>
      </c>
      <c r="R1874" s="72"/>
      <c r="S1874" s="187">
        <v>9000</v>
      </c>
    </row>
    <row r="1875" spans="1:20" ht="12.75" customHeight="1" x14ac:dyDescent="0.2">
      <c r="A1875" s="8" t="str">
        <f t="shared" ref="A1875" si="909">IF(B1875="","",CONCATENATE(B1875,CONCATENATE(REPT(0,2-LEN(C1875)),C1875),IF(OR(D1875="Easy",D1875=""),1,IF(D1875="Normal",2,IF(D1875="Hard",3,IF(D1875="Hell",4,"error")))),E1875))</f>
        <v>300361219</v>
      </c>
      <c r="B1875" s="69">
        <v>30036</v>
      </c>
      <c r="C1875" s="69">
        <v>12</v>
      </c>
      <c r="D1875" s="69" t="s">
        <v>62</v>
      </c>
      <c r="E1875" s="69">
        <v>9</v>
      </c>
      <c r="F1875" s="70">
        <f t="shared" si="898"/>
        <v>630000</v>
      </c>
      <c r="G1875" s="70">
        <f t="shared" si="898"/>
        <v>630000</v>
      </c>
      <c r="H1875" s="70">
        <f t="shared" si="899"/>
        <v>25000</v>
      </c>
      <c r="I1875" s="70">
        <f t="shared" si="899"/>
        <v>25000</v>
      </c>
      <c r="J1875" s="70">
        <f t="shared" si="880"/>
        <v>6222857</v>
      </c>
      <c r="K1875" s="233">
        <v>1000</v>
      </c>
      <c r="L1875" s="70"/>
      <c r="M1875" s="131">
        <f t="shared" si="905"/>
        <v>791999.99090909085</v>
      </c>
      <c r="N1875" s="71">
        <v>2200</v>
      </c>
      <c r="O1875" s="71">
        <v>20</v>
      </c>
      <c r="P1875" s="71">
        <v>18000</v>
      </c>
      <c r="Q1875" s="72" t="s">
        <v>286</v>
      </c>
      <c r="R1875" s="72"/>
      <c r="S1875" s="187">
        <v>10000</v>
      </c>
    </row>
    <row r="1876" spans="1:20" x14ac:dyDescent="0.2">
      <c r="A1876" s="8" t="str">
        <f t="shared" si="897"/>
        <v>300360911</v>
      </c>
      <c r="B1876" s="191">
        <v>30036</v>
      </c>
      <c r="C1876" s="191">
        <v>9</v>
      </c>
      <c r="D1876" s="191" t="s">
        <v>259</v>
      </c>
      <c r="E1876" s="191">
        <v>1</v>
      </c>
      <c r="F1876" s="192">
        <f t="shared" si="898"/>
        <v>31250</v>
      </c>
      <c r="G1876" s="192">
        <f t="shared" si="898"/>
        <v>31250</v>
      </c>
      <c r="H1876" s="192">
        <f t="shared" si="899"/>
        <v>1000</v>
      </c>
      <c r="I1876" s="192">
        <f t="shared" si="899"/>
        <v>1000</v>
      </c>
      <c r="J1876" s="192">
        <f>50000/8</f>
        <v>6250</v>
      </c>
      <c r="K1876" s="133">
        <v>1000</v>
      </c>
      <c r="L1876" s="192"/>
      <c r="M1876" s="193">
        <f t="shared" si="890"/>
        <v>1118.0339887498947</v>
      </c>
      <c r="N1876" s="195">
        <v>100</v>
      </c>
      <c r="O1876" s="195">
        <v>4</v>
      </c>
      <c r="P1876" s="195">
        <f>100000/8</f>
        <v>12500</v>
      </c>
      <c r="Q1876" s="195">
        <v>100</v>
      </c>
      <c r="R1876" s="194" t="s">
        <v>999</v>
      </c>
      <c r="S1876" s="195">
        <v>400</v>
      </c>
    </row>
    <row r="1877" spans="1:20" x14ac:dyDescent="0.2">
      <c r="A1877" s="8" t="str">
        <f t="shared" ref="A1877" si="910">IF(B1877="","",CONCATENATE(B1877,CONCATENATE(REPT(0,2-LEN(C1877)),C1877),IF(OR(D1877="Easy",D1877=""),1,IF(D1877="Normal",2,IF(D1877="Hard",3,IF(D1877="Hell",4,"error")))),E1877))</f>
        <v>300360912</v>
      </c>
      <c r="B1877" s="191">
        <v>30036</v>
      </c>
      <c r="C1877" s="191">
        <v>9</v>
      </c>
      <c r="D1877" s="191" t="s">
        <v>259</v>
      </c>
      <c r="E1877" s="191">
        <v>2</v>
      </c>
      <c r="F1877" s="192">
        <f t="shared" si="898"/>
        <v>31250</v>
      </c>
      <c r="G1877" s="192">
        <f t="shared" si="898"/>
        <v>31250</v>
      </c>
      <c r="H1877" s="192">
        <f t="shared" si="899"/>
        <v>1000</v>
      </c>
      <c r="I1877" s="192">
        <f t="shared" si="899"/>
        <v>1000</v>
      </c>
      <c r="J1877" s="192">
        <f>200000/8</f>
        <v>25000</v>
      </c>
      <c r="K1877" s="133">
        <v>1000</v>
      </c>
      <c r="L1877" s="192"/>
      <c r="M1877" s="193">
        <f t="shared" ref="M1877" si="911">(F1877*J1877*((H1877+I1877)/2)/1000)^(1/2)/10*0.8</f>
        <v>2236.0679774997893</v>
      </c>
      <c r="N1877" s="195">
        <v>100</v>
      </c>
      <c r="O1877" s="195">
        <v>4</v>
      </c>
      <c r="P1877" s="195">
        <f>100000/8</f>
        <v>12500</v>
      </c>
      <c r="Q1877" s="195">
        <v>100</v>
      </c>
      <c r="R1877" s="194" t="s">
        <v>1000</v>
      </c>
      <c r="S1877" s="195">
        <v>400</v>
      </c>
    </row>
    <row r="1878" spans="1:20" x14ac:dyDescent="0.2">
      <c r="A1878" s="8" t="str">
        <f t="shared" si="897"/>
        <v>300361011</v>
      </c>
      <c r="B1878" s="191">
        <v>30036</v>
      </c>
      <c r="C1878" s="191">
        <v>10</v>
      </c>
      <c r="D1878" s="191" t="s">
        <v>259</v>
      </c>
      <c r="E1878" s="191">
        <v>1</v>
      </c>
      <c r="F1878" s="192">
        <f t="shared" si="898"/>
        <v>31250</v>
      </c>
      <c r="G1878" s="192">
        <f t="shared" si="898"/>
        <v>31250</v>
      </c>
      <c r="H1878" s="192">
        <f t="shared" si="899"/>
        <v>1000</v>
      </c>
      <c r="I1878" s="192">
        <f t="shared" si="899"/>
        <v>1000</v>
      </c>
      <c r="J1878" s="192">
        <f t="shared" si="880"/>
        <v>31250</v>
      </c>
      <c r="K1878" s="133">
        <v>1000</v>
      </c>
      <c r="L1878" s="192"/>
      <c r="M1878" s="193">
        <f t="shared" si="890"/>
        <v>2500</v>
      </c>
      <c r="N1878" s="195">
        <v>100</v>
      </c>
      <c r="O1878" s="195">
        <v>5</v>
      </c>
      <c r="P1878" s="195">
        <f t="shared" ref="P1878:P1879" si="912">100000/8</f>
        <v>12500</v>
      </c>
      <c r="Q1878" s="195">
        <v>100</v>
      </c>
      <c r="R1878" s="194" t="s">
        <v>974</v>
      </c>
      <c r="S1878" s="195">
        <v>400</v>
      </c>
    </row>
    <row r="1879" spans="1:20" x14ac:dyDescent="0.2">
      <c r="A1879" s="8" t="str">
        <f t="shared" si="897"/>
        <v>300361111</v>
      </c>
      <c r="B1879" s="191">
        <v>30036</v>
      </c>
      <c r="C1879" s="191">
        <v>11</v>
      </c>
      <c r="D1879" s="191" t="s">
        <v>259</v>
      </c>
      <c r="E1879" s="191">
        <v>1</v>
      </c>
      <c r="F1879" s="192">
        <f t="shared" si="898"/>
        <v>31250</v>
      </c>
      <c r="G1879" s="192">
        <f t="shared" si="898"/>
        <v>31250</v>
      </c>
      <c r="H1879" s="192">
        <f t="shared" si="899"/>
        <v>1000</v>
      </c>
      <c r="I1879" s="192">
        <f t="shared" si="899"/>
        <v>1000</v>
      </c>
      <c r="J1879" s="192">
        <f t="shared" si="880"/>
        <v>40000</v>
      </c>
      <c r="K1879" s="133">
        <v>1000</v>
      </c>
      <c r="L1879" s="192"/>
      <c r="M1879" s="193">
        <f t="shared" si="890"/>
        <v>2828.4271247461907</v>
      </c>
      <c r="N1879" s="195">
        <v>80</v>
      </c>
      <c r="O1879" s="195">
        <v>10</v>
      </c>
      <c r="P1879" s="195">
        <f t="shared" si="912"/>
        <v>12500</v>
      </c>
      <c r="Q1879" s="195">
        <v>100</v>
      </c>
      <c r="R1879" s="194" t="s">
        <v>975</v>
      </c>
      <c r="S1879" s="195">
        <v>400</v>
      </c>
    </row>
    <row r="1880" spans="1:20" s="223" customFormat="1" x14ac:dyDescent="0.2">
      <c r="A1880" s="8" t="str">
        <f t="shared" si="897"/>
        <v>300360918</v>
      </c>
      <c r="B1880" s="191">
        <v>30036</v>
      </c>
      <c r="C1880" s="191">
        <v>9</v>
      </c>
      <c r="D1880" s="191" t="s">
        <v>259</v>
      </c>
      <c r="E1880" s="191">
        <v>8</v>
      </c>
      <c r="F1880" s="192">
        <f t="shared" si="898"/>
        <v>62500</v>
      </c>
      <c r="G1880" s="192">
        <f t="shared" si="898"/>
        <v>62500</v>
      </c>
      <c r="H1880" s="192">
        <f t="shared" si="899"/>
        <v>250</v>
      </c>
      <c r="I1880" s="192">
        <f t="shared" si="899"/>
        <v>250</v>
      </c>
      <c r="J1880" s="192">
        <f t="shared" si="880"/>
        <v>1000000</v>
      </c>
      <c r="K1880" s="133">
        <v>1000</v>
      </c>
      <c r="L1880" s="192"/>
      <c r="M1880" s="193">
        <f t="shared" si="890"/>
        <v>10000</v>
      </c>
      <c r="N1880" s="195">
        <v>100</v>
      </c>
      <c r="O1880" s="195">
        <v>500</v>
      </c>
      <c r="P1880" s="195">
        <v>10000</v>
      </c>
      <c r="Q1880" s="195">
        <v>250</v>
      </c>
      <c r="R1880" s="194" t="s">
        <v>978</v>
      </c>
      <c r="S1880" s="195">
        <v>100</v>
      </c>
      <c r="T1880" s="116"/>
    </row>
    <row r="1881" spans="1:20" x14ac:dyDescent="0.2">
      <c r="A1881" s="8" t="str">
        <f t="shared" si="897"/>
        <v>300360919</v>
      </c>
      <c r="B1881" s="191">
        <v>30036</v>
      </c>
      <c r="C1881" s="191">
        <v>9</v>
      </c>
      <c r="D1881" s="191" t="s">
        <v>259</v>
      </c>
      <c r="E1881" s="191">
        <v>9</v>
      </c>
      <c r="F1881" s="192">
        <f t="shared" si="898"/>
        <v>25000</v>
      </c>
      <c r="G1881" s="192">
        <f t="shared" si="898"/>
        <v>25000</v>
      </c>
      <c r="H1881" s="192">
        <f t="shared" si="899"/>
        <v>1000</v>
      </c>
      <c r="I1881" s="192">
        <f t="shared" si="899"/>
        <v>1000</v>
      </c>
      <c r="J1881" s="192">
        <f t="shared" si="880"/>
        <v>100000</v>
      </c>
      <c r="K1881" s="133">
        <v>1000</v>
      </c>
      <c r="L1881" s="192"/>
      <c r="M1881" s="193">
        <f t="shared" ref="M1881:M1903" si="913">(F1881*J1881*((H1881+I1881)/2)/1000)^(1/2)/10*0.8</f>
        <v>4000</v>
      </c>
      <c r="N1881" s="195">
        <v>20</v>
      </c>
      <c r="O1881" s="195">
        <v>500</v>
      </c>
      <c r="P1881" s="195">
        <v>10000</v>
      </c>
      <c r="Q1881" s="195">
        <v>100</v>
      </c>
      <c r="R1881" s="194" t="s">
        <v>976</v>
      </c>
      <c r="S1881" s="195">
        <v>400</v>
      </c>
    </row>
    <row r="1882" spans="1:20" x14ac:dyDescent="0.2">
      <c r="A1882" s="38"/>
      <c r="B1882" s="38"/>
      <c r="C1882" s="35" t="s">
        <v>1007</v>
      </c>
      <c r="D1882" s="38"/>
      <c r="E1882" s="38"/>
      <c r="F1882" s="38"/>
      <c r="G1882" s="40"/>
      <c r="H1882" s="38"/>
      <c r="I1882" s="38"/>
      <c r="J1882" s="38"/>
      <c r="K1882" s="133">
        <v>1000</v>
      </c>
      <c r="L1882" s="38"/>
      <c r="M1882" s="16">
        <f t="shared" si="913"/>
        <v>0</v>
      </c>
      <c r="N1882" s="42" t="str">
        <f>IF(A1882="","",M1882*#REF!)</f>
        <v/>
      </c>
      <c r="O1882" s="40"/>
      <c r="P1882" s="38"/>
      <c r="Q1882" s="38"/>
      <c r="R1882" s="38"/>
      <c r="S1882" s="40"/>
      <c r="T1882" s="267"/>
    </row>
    <row r="1883" spans="1:20" ht="12.75" customHeight="1" x14ac:dyDescent="0.2">
      <c r="A1883" s="8" t="str">
        <f t="shared" ref="A1883:A1891" si="914">IF(B1883="","",CONCATENATE(B1883,CONCATENATE(REPT(0,2-LEN(C1883)),C1883),IF(OR(D1883="Easy",D1883=""),1,IF(D1883="Normal",2,IF(D1883="Hard",3,IF(D1883="Hell",4,"error")))),E1883))</f>
        <v>300370111</v>
      </c>
      <c r="B1883" s="69">
        <v>30037</v>
      </c>
      <c r="C1883" s="69">
        <v>1</v>
      </c>
      <c r="D1883" s="69" t="s">
        <v>62</v>
      </c>
      <c r="E1883" s="69">
        <v>1</v>
      </c>
      <c r="F1883" s="70">
        <f t="shared" si="898"/>
        <v>5500</v>
      </c>
      <c r="G1883" s="70">
        <f t="shared" si="898"/>
        <v>5500</v>
      </c>
      <c r="H1883" s="70">
        <f t="shared" si="899"/>
        <v>1500</v>
      </c>
      <c r="I1883" s="70">
        <f t="shared" si="899"/>
        <v>1500</v>
      </c>
      <c r="J1883" s="70">
        <f t="shared" si="880"/>
        <v>17045</v>
      </c>
      <c r="K1883" s="133">
        <v>1000</v>
      </c>
      <c r="L1883" s="70"/>
      <c r="M1883" s="131">
        <f t="shared" si="913"/>
        <v>948.67064885554464</v>
      </c>
      <c r="N1883" s="71">
        <v>500</v>
      </c>
      <c r="O1883" s="72" t="s">
        <v>332</v>
      </c>
      <c r="P1883" s="72" t="s">
        <v>408</v>
      </c>
      <c r="Q1883" s="72" t="s">
        <v>246</v>
      </c>
      <c r="R1883" s="72" t="s">
        <v>353</v>
      </c>
      <c r="S1883" s="187">
        <f t="shared" ref="S1883:S1886" si="915">P1883*0.6</f>
        <v>600</v>
      </c>
    </row>
    <row r="1884" spans="1:20" ht="12.75" customHeight="1" x14ac:dyDescent="0.2">
      <c r="A1884" s="8" t="str">
        <f t="shared" si="914"/>
        <v>300370211</v>
      </c>
      <c r="B1884" s="69">
        <v>30037</v>
      </c>
      <c r="C1884" s="69">
        <v>2</v>
      </c>
      <c r="D1884" s="69" t="s">
        <v>62</v>
      </c>
      <c r="E1884" s="69">
        <v>1</v>
      </c>
      <c r="F1884" s="70">
        <f t="shared" si="898"/>
        <v>5500</v>
      </c>
      <c r="G1884" s="70">
        <f t="shared" si="898"/>
        <v>5500</v>
      </c>
      <c r="H1884" s="70">
        <f t="shared" si="899"/>
        <v>1500</v>
      </c>
      <c r="I1884" s="70">
        <f t="shared" si="899"/>
        <v>1500</v>
      </c>
      <c r="J1884" s="70">
        <f t="shared" si="880"/>
        <v>11363</v>
      </c>
      <c r="K1884" s="133">
        <v>1000</v>
      </c>
      <c r="L1884" s="70"/>
      <c r="M1884" s="131">
        <f t="shared" ref="M1884:M1891" si="916">(F1884*J1884*((H1884+I1884)/2)/1000)^(1/2)/10*0.8</f>
        <v>774.57498023109429</v>
      </c>
      <c r="N1884" s="71">
        <v>500</v>
      </c>
      <c r="O1884" s="72" t="s">
        <v>353</v>
      </c>
      <c r="P1884" s="72" t="s">
        <v>408</v>
      </c>
      <c r="Q1884" s="72" t="s">
        <v>246</v>
      </c>
      <c r="R1884" s="72" t="s">
        <v>332</v>
      </c>
      <c r="S1884" s="187">
        <f t="shared" si="915"/>
        <v>600</v>
      </c>
    </row>
    <row r="1885" spans="1:20" ht="12.75" customHeight="1" x14ac:dyDescent="0.2">
      <c r="A1885" s="8" t="str">
        <f t="shared" si="914"/>
        <v>300370311</v>
      </c>
      <c r="B1885" s="69">
        <v>30037</v>
      </c>
      <c r="C1885" s="69">
        <v>3</v>
      </c>
      <c r="D1885" s="69" t="s">
        <v>62</v>
      </c>
      <c r="E1885" s="69">
        <v>1</v>
      </c>
      <c r="F1885" s="70">
        <f t="shared" si="898"/>
        <v>11000</v>
      </c>
      <c r="G1885" s="70">
        <f t="shared" si="898"/>
        <v>11000</v>
      </c>
      <c r="H1885" s="70">
        <f t="shared" si="899"/>
        <v>3000</v>
      </c>
      <c r="I1885" s="70">
        <f t="shared" si="899"/>
        <v>3000</v>
      </c>
      <c r="J1885" s="70">
        <f t="shared" si="880"/>
        <v>34090</v>
      </c>
      <c r="K1885" s="133">
        <v>1000</v>
      </c>
      <c r="L1885" s="70"/>
      <c r="M1885" s="131">
        <f t="shared" si="916"/>
        <v>2683.2457956735907</v>
      </c>
      <c r="N1885" s="71">
        <v>500</v>
      </c>
      <c r="O1885" s="72" t="s">
        <v>332</v>
      </c>
      <c r="P1885" s="72" t="s">
        <v>202</v>
      </c>
      <c r="Q1885" s="72" t="s">
        <v>246</v>
      </c>
      <c r="R1885" s="72" t="s">
        <v>89</v>
      </c>
      <c r="S1885" s="187">
        <f t="shared" si="915"/>
        <v>1200</v>
      </c>
    </row>
    <row r="1886" spans="1:20" ht="12.75" customHeight="1" x14ac:dyDescent="0.2">
      <c r="A1886" s="8" t="str">
        <f t="shared" si="914"/>
        <v>300370411</v>
      </c>
      <c r="B1886" s="69">
        <v>30037</v>
      </c>
      <c r="C1886" s="69">
        <v>4</v>
      </c>
      <c r="D1886" s="69" t="s">
        <v>62</v>
      </c>
      <c r="E1886" s="69">
        <v>1</v>
      </c>
      <c r="F1886" s="70">
        <f t="shared" si="898"/>
        <v>5500</v>
      </c>
      <c r="G1886" s="70">
        <f t="shared" si="898"/>
        <v>5500</v>
      </c>
      <c r="H1886" s="70">
        <f t="shared" si="899"/>
        <v>1500</v>
      </c>
      <c r="I1886" s="70">
        <f t="shared" si="899"/>
        <v>1500</v>
      </c>
      <c r="J1886" s="70">
        <f t="shared" si="880"/>
        <v>11363</v>
      </c>
      <c r="K1886" s="133">
        <v>1000</v>
      </c>
      <c r="L1886" s="70"/>
      <c r="M1886" s="131">
        <f t="shared" si="916"/>
        <v>774.57498023109429</v>
      </c>
      <c r="N1886" s="71">
        <v>500</v>
      </c>
      <c r="O1886" s="72" t="s">
        <v>353</v>
      </c>
      <c r="P1886" s="72" t="s">
        <v>408</v>
      </c>
      <c r="Q1886" s="72" t="s">
        <v>246</v>
      </c>
      <c r="R1886" s="72" t="s">
        <v>887</v>
      </c>
      <c r="S1886" s="187">
        <f t="shared" si="915"/>
        <v>600</v>
      </c>
    </row>
    <row r="1887" spans="1:20" ht="12.75" customHeight="1" x14ac:dyDescent="0.2">
      <c r="A1887" s="8" t="str">
        <f t="shared" ref="A1887:A1890" si="917">IF(B1887="","",CONCATENATE(B1887,CONCATENATE(REPT(0,2-LEN(C1887)),C1887),IF(OR(D1887="Easy",D1887=""),1,IF(D1887="Normal",2,IF(D1887="Hard",3,IF(D1887="Hell",4,"error")))),E1887))</f>
        <v>300370112</v>
      </c>
      <c r="B1887" s="69">
        <v>30037</v>
      </c>
      <c r="C1887" s="69">
        <v>1</v>
      </c>
      <c r="D1887" s="69" t="s">
        <v>62</v>
      </c>
      <c r="E1887" s="69">
        <v>2</v>
      </c>
      <c r="F1887" s="70">
        <v>400000</v>
      </c>
      <c r="G1887" s="70">
        <v>400000</v>
      </c>
      <c r="H1887" s="70">
        <v>15000</v>
      </c>
      <c r="I1887" s="70">
        <v>15000</v>
      </c>
      <c r="J1887" s="70">
        <f t="shared" si="880"/>
        <v>12784</v>
      </c>
      <c r="K1887" s="133">
        <v>1000</v>
      </c>
      <c r="L1887" s="70"/>
      <c r="M1887" s="131">
        <f t="shared" si="916"/>
        <v>22156.389597585618</v>
      </c>
      <c r="N1887" s="71">
        <v>150</v>
      </c>
      <c r="O1887" s="72" t="s">
        <v>1013</v>
      </c>
      <c r="P1887" s="235" t="s">
        <v>399</v>
      </c>
      <c r="Q1887" s="72" t="s">
        <v>246</v>
      </c>
      <c r="R1887" s="72" t="s">
        <v>353</v>
      </c>
      <c r="S1887" s="187">
        <f t="shared" ref="S1887:S1890" si="918">P1887*0.6</f>
        <v>6000</v>
      </c>
    </row>
    <row r="1888" spans="1:20" ht="12.75" customHeight="1" x14ac:dyDescent="0.2">
      <c r="A1888" s="8" t="str">
        <f t="shared" si="917"/>
        <v>300370212</v>
      </c>
      <c r="B1888" s="69">
        <v>30037</v>
      </c>
      <c r="C1888" s="69">
        <v>2</v>
      </c>
      <c r="D1888" s="69" t="s">
        <v>62</v>
      </c>
      <c r="E1888" s="69">
        <v>2</v>
      </c>
      <c r="F1888" s="70">
        <v>150000</v>
      </c>
      <c r="G1888" s="70">
        <v>150000</v>
      </c>
      <c r="H1888" s="70">
        <v>15000</v>
      </c>
      <c r="I1888" s="70">
        <v>15000</v>
      </c>
      <c r="J1888" s="70">
        <f t="shared" si="880"/>
        <v>12784</v>
      </c>
      <c r="K1888" s="133">
        <v>1000</v>
      </c>
      <c r="L1888" s="70"/>
      <c r="M1888" s="131">
        <f t="shared" ref="M1888:M1890" si="919">(F1888*J1888*((H1888+I1888)/2)/1000)^(1/2)/10*0.8</f>
        <v>13567.962264098467</v>
      </c>
      <c r="N1888" s="71">
        <v>150</v>
      </c>
      <c r="O1888" s="72" t="s">
        <v>1013</v>
      </c>
      <c r="P1888" s="235" t="s">
        <v>399</v>
      </c>
      <c r="Q1888" s="72" t="s">
        <v>246</v>
      </c>
      <c r="R1888" s="72" t="s">
        <v>332</v>
      </c>
      <c r="S1888" s="187">
        <f t="shared" si="918"/>
        <v>6000</v>
      </c>
    </row>
    <row r="1889" spans="1:20" ht="12.75" customHeight="1" x14ac:dyDescent="0.2">
      <c r="A1889" s="8" t="str">
        <f t="shared" si="917"/>
        <v>300370312</v>
      </c>
      <c r="B1889" s="69">
        <v>30037</v>
      </c>
      <c r="C1889" s="69">
        <v>3</v>
      </c>
      <c r="D1889" s="69" t="s">
        <v>62</v>
      </c>
      <c r="E1889" s="69">
        <v>2</v>
      </c>
      <c r="F1889" s="70">
        <v>130000</v>
      </c>
      <c r="G1889" s="70">
        <v>130000</v>
      </c>
      <c r="H1889" s="70">
        <v>15000</v>
      </c>
      <c r="I1889" s="70">
        <v>15000</v>
      </c>
      <c r="J1889" s="70">
        <f t="shared" si="880"/>
        <v>12784</v>
      </c>
      <c r="K1889" s="133">
        <v>1000</v>
      </c>
      <c r="L1889" s="70"/>
      <c r="M1889" s="131">
        <f t="shared" si="919"/>
        <v>12631.085464044649</v>
      </c>
      <c r="N1889" s="71">
        <v>150</v>
      </c>
      <c r="O1889" s="72" t="s">
        <v>1013</v>
      </c>
      <c r="P1889" s="235" t="s">
        <v>399</v>
      </c>
      <c r="Q1889" s="72" t="s">
        <v>246</v>
      </c>
      <c r="R1889" s="72" t="s">
        <v>89</v>
      </c>
      <c r="S1889" s="187">
        <f t="shared" si="918"/>
        <v>6000</v>
      </c>
    </row>
    <row r="1890" spans="1:20" ht="12.75" customHeight="1" x14ac:dyDescent="0.2">
      <c r="A1890" s="8" t="str">
        <f t="shared" si="917"/>
        <v>300370412</v>
      </c>
      <c r="B1890" s="69">
        <v>30037</v>
      </c>
      <c r="C1890" s="69">
        <v>4</v>
      </c>
      <c r="D1890" s="69" t="s">
        <v>62</v>
      </c>
      <c r="E1890" s="69">
        <v>2</v>
      </c>
      <c r="F1890" s="70">
        <v>50000</v>
      </c>
      <c r="G1890" s="70">
        <v>50000</v>
      </c>
      <c r="H1890" s="70">
        <v>15000</v>
      </c>
      <c r="I1890" s="70">
        <v>15000</v>
      </c>
      <c r="J1890" s="70">
        <f t="shared" si="880"/>
        <v>12784</v>
      </c>
      <c r="K1890" s="133">
        <v>1000</v>
      </c>
      <c r="L1890" s="70"/>
      <c r="M1890" s="131">
        <f t="shared" si="919"/>
        <v>7833.4666655319352</v>
      </c>
      <c r="N1890" s="71">
        <v>150</v>
      </c>
      <c r="O1890" s="72" t="s">
        <v>1013</v>
      </c>
      <c r="P1890" s="235" t="s">
        <v>399</v>
      </c>
      <c r="Q1890" s="72" t="s">
        <v>246</v>
      </c>
      <c r="R1890" s="72" t="s">
        <v>887</v>
      </c>
      <c r="S1890" s="187">
        <f t="shared" si="918"/>
        <v>6000</v>
      </c>
    </row>
    <row r="1891" spans="1:20" ht="12.75" customHeight="1" x14ac:dyDescent="0.2">
      <c r="A1891" s="8" t="str">
        <f t="shared" si="914"/>
        <v>300370118</v>
      </c>
      <c r="B1891" s="69">
        <v>30037</v>
      </c>
      <c r="C1891" s="69">
        <v>1</v>
      </c>
      <c r="D1891" s="69" t="s">
        <v>62</v>
      </c>
      <c r="E1891" s="69">
        <v>8</v>
      </c>
      <c r="F1891" s="70">
        <v>5000</v>
      </c>
      <c r="G1891" s="70">
        <v>5000</v>
      </c>
      <c r="H1891" s="70">
        <v>1000</v>
      </c>
      <c r="I1891" s="70">
        <v>1000</v>
      </c>
      <c r="J1891" s="70">
        <v>1000</v>
      </c>
      <c r="K1891" s="133">
        <v>1000</v>
      </c>
      <c r="L1891" s="70"/>
      <c r="M1891" s="131">
        <f t="shared" si="916"/>
        <v>178.88543819998318</v>
      </c>
      <c r="N1891" s="71"/>
      <c r="O1891" s="72"/>
      <c r="P1891" s="72"/>
      <c r="Q1891" s="72"/>
      <c r="R1891" s="72" t="s">
        <v>1008</v>
      </c>
      <c r="S1891" s="187"/>
    </row>
    <row r="1892" spans="1:20" ht="12.75" customHeight="1" x14ac:dyDescent="0.2">
      <c r="A1892" s="8" t="str">
        <f t="shared" ref="A1892:A1896" si="920">IF(B1892="","",CONCATENATE(B1892,CONCATENATE(REPT(0,2-LEN(C1892)),C1892),IF(OR(D1892="Easy",D1892=""),1,IF(D1892="Normal",2,IF(D1892="Hard",3,IF(D1892="Hell",4,"error")))),E1892))</f>
        <v>300370119</v>
      </c>
      <c r="B1892" s="69">
        <v>30037</v>
      </c>
      <c r="C1892" s="69">
        <v>1</v>
      </c>
      <c r="D1892" s="69" t="s">
        <v>62</v>
      </c>
      <c r="E1892" s="69">
        <v>9</v>
      </c>
      <c r="F1892" s="70">
        <v>1000</v>
      </c>
      <c r="G1892" s="70">
        <v>1000</v>
      </c>
      <c r="H1892" s="70">
        <v>1000</v>
      </c>
      <c r="I1892" s="70">
        <v>1000</v>
      </c>
      <c r="J1892" s="70">
        <v>1000</v>
      </c>
      <c r="K1892" s="133">
        <v>1000</v>
      </c>
      <c r="L1892" s="70"/>
      <c r="M1892" s="131">
        <f t="shared" ref="M1892:M1896" si="921">(F1892*J1892*((H1892+I1892)/2)/1000)^(1/2)/10*0.8</f>
        <v>80</v>
      </c>
      <c r="N1892" s="71"/>
      <c r="O1892" s="72"/>
      <c r="P1892" s="72"/>
      <c r="Q1892" s="72"/>
      <c r="R1892" s="72" t="s">
        <v>1009</v>
      </c>
      <c r="S1892" s="187"/>
    </row>
    <row r="1893" spans="1:20" s="223" customFormat="1" ht="12.75" customHeight="1" x14ac:dyDescent="0.2">
      <c r="A1893" s="8" t="str">
        <f t="shared" si="920"/>
        <v>300370519</v>
      </c>
      <c r="B1893" s="69">
        <v>30037</v>
      </c>
      <c r="C1893" s="69">
        <v>5</v>
      </c>
      <c r="D1893" s="69" t="s">
        <v>62</v>
      </c>
      <c r="E1893" s="69">
        <v>9</v>
      </c>
      <c r="F1893" s="70">
        <f t="shared" ref="F1893:G1896" si="922">ROUNDDOWN($P1893/4*MIN($O1893,4)*10*$N1893/$N1893*$Q1893/400,0)</f>
        <v>13750</v>
      </c>
      <c r="G1893" s="70">
        <f t="shared" si="922"/>
        <v>13750</v>
      </c>
      <c r="H1893" s="70">
        <f t="shared" ref="H1893:I1896" si="923">ROUNDDOWN($S1893/4*10,0)</f>
        <v>3750</v>
      </c>
      <c r="I1893" s="70">
        <f t="shared" si="923"/>
        <v>3750</v>
      </c>
      <c r="J1893" s="70">
        <f t="shared" ref="J1893:J1896" si="924">ROUNDDOWN($P1893/4*$O1893*10*$N1893/$Q1893*$N1893/400*0.8,0)</f>
        <v>46090</v>
      </c>
      <c r="K1893" s="133">
        <v>1000</v>
      </c>
      <c r="L1893" s="70"/>
      <c r="M1893" s="131">
        <f t="shared" si="921"/>
        <v>3899.9615382718839</v>
      </c>
      <c r="N1893" s="71">
        <v>520</v>
      </c>
      <c r="O1893" s="72" t="s">
        <v>332</v>
      </c>
      <c r="P1893" s="72" t="s">
        <v>585</v>
      </c>
      <c r="Q1893" s="72" t="s">
        <v>246</v>
      </c>
      <c r="R1893" s="72" t="s">
        <v>1010</v>
      </c>
      <c r="S1893" s="187">
        <f t="shared" ref="S1893:S1896" si="925">P1893*0.6</f>
        <v>1500</v>
      </c>
      <c r="T1893" s="116"/>
    </row>
    <row r="1894" spans="1:20" s="223" customFormat="1" ht="12.75" customHeight="1" x14ac:dyDescent="0.2">
      <c r="A1894" s="8" t="str">
        <f t="shared" si="920"/>
        <v>300370619</v>
      </c>
      <c r="B1894" s="69">
        <v>30037</v>
      </c>
      <c r="C1894" s="69">
        <v>6</v>
      </c>
      <c r="D1894" s="69" t="s">
        <v>62</v>
      </c>
      <c r="E1894" s="69">
        <v>9</v>
      </c>
      <c r="F1894" s="70">
        <f t="shared" si="922"/>
        <v>13750</v>
      </c>
      <c r="G1894" s="70">
        <f t="shared" si="922"/>
        <v>13750</v>
      </c>
      <c r="H1894" s="70">
        <f t="shared" si="923"/>
        <v>3750</v>
      </c>
      <c r="I1894" s="70">
        <f t="shared" si="923"/>
        <v>3750</v>
      </c>
      <c r="J1894" s="70">
        <f t="shared" si="924"/>
        <v>15238</v>
      </c>
      <c r="K1894" s="133">
        <v>1000</v>
      </c>
      <c r="L1894" s="70"/>
      <c r="M1894" s="131">
        <f t="shared" si="921"/>
        <v>2242.4406346657206</v>
      </c>
      <c r="N1894" s="71">
        <v>299</v>
      </c>
      <c r="O1894" s="72" t="s">
        <v>332</v>
      </c>
      <c r="P1894" s="72" t="s">
        <v>585</v>
      </c>
      <c r="Q1894" s="72" t="s">
        <v>246</v>
      </c>
      <c r="R1894" s="72" t="s">
        <v>1011</v>
      </c>
      <c r="S1894" s="187">
        <f t="shared" si="925"/>
        <v>1500</v>
      </c>
      <c r="T1894" s="116"/>
    </row>
    <row r="1895" spans="1:20" s="223" customFormat="1" ht="12.75" customHeight="1" x14ac:dyDescent="0.2">
      <c r="A1895" s="8" t="str">
        <f t="shared" si="920"/>
        <v>300370719</v>
      </c>
      <c r="B1895" s="69">
        <v>30037</v>
      </c>
      <c r="C1895" s="69">
        <v>7</v>
      </c>
      <c r="D1895" s="69" t="s">
        <v>62</v>
      </c>
      <c r="E1895" s="69">
        <v>9</v>
      </c>
      <c r="F1895" s="70">
        <f t="shared" si="922"/>
        <v>27500</v>
      </c>
      <c r="G1895" s="70">
        <f t="shared" si="922"/>
        <v>27500</v>
      </c>
      <c r="H1895" s="70">
        <f t="shared" si="923"/>
        <v>7500</v>
      </c>
      <c r="I1895" s="70">
        <f t="shared" si="923"/>
        <v>7500</v>
      </c>
      <c r="J1895" s="70">
        <f t="shared" si="924"/>
        <v>69034</v>
      </c>
      <c r="K1895" s="133">
        <v>1000</v>
      </c>
      <c r="L1895" s="70"/>
      <c r="M1895" s="131">
        <f t="shared" si="921"/>
        <v>9545.935260622713</v>
      </c>
      <c r="N1895" s="71">
        <v>450</v>
      </c>
      <c r="O1895" s="72" t="s">
        <v>332</v>
      </c>
      <c r="P1895" s="72" t="s">
        <v>180</v>
      </c>
      <c r="Q1895" s="72" t="s">
        <v>246</v>
      </c>
      <c r="R1895" s="72" t="s">
        <v>1012</v>
      </c>
      <c r="S1895" s="187">
        <f t="shared" si="925"/>
        <v>3000</v>
      </c>
      <c r="T1895" s="116"/>
    </row>
    <row r="1896" spans="1:20" s="223" customFormat="1" ht="12.75" customHeight="1" x14ac:dyDescent="0.2">
      <c r="A1896" s="8" t="str">
        <f t="shared" si="920"/>
        <v>300370511</v>
      </c>
      <c r="B1896" s="69">
        <v>30037</v>
      </c>
      <c r="C1896" s="69">
        <v>5</v>
      </c>
      <c r="D1896" s="69" t="s">
        <v>62</v>
      </c>
      <c r="E1896" s="69">
        <v>1</v>
      </c>
      <c r="F1896" s="70">
        <f t="shared" si="922"/>
        <v>110000</v>
      </c>
      <c r="G1896" s="70">
        <f t="shared" si="922"/>
        <v>110000</v>
      </c>
      <c r="H1896" s="70">
        <f t="shared" si="923"/>
        <v>30000</v>
      </c>
      <c r="I1896" s="70">
        <f t="shared" si="923"/>
        <v>30000</v>
      </c>
      <c r="J1896" s="70">
        <f t="shared" si="924"/>
        <v>340909</v>
      </c>
      <c r="K1896" s="133">
        <v>1000</v>
      </c>
      <c r="L1896" s="70"/>
      <c r="M1896" s="131">
        <f t="shared" si="921"/>
        <v>84852.802428676456</v>
      </c>
      <c r="N1896" s="71">
        <v>500</v>
      </c>
      <c r="O1896" s="72" t="s">
        <v>332</v>
      </c>
      <c r="P1896" s="72" t="s">
        <v>594</v>
      </c>
      <c r="Q1896" s="72" t="s">
        <v>246</v>
      </c>
      <c r="R1896" s="72" t="s">
        <v>1015</v>
      </c>
      <c r="S1896" s="187">
        <f t="shared" si="925"/>
        <v>12000</v>
      </c>
      <c r="T1896" s="116"/>
    </row>
    <row r="1897" spans="1:20" ht="12.75" customHeight="1" x14ac:dyDescent="0.2">
      <c r="A1897" s="38"/>
      <c r="B1897" s="38"/>
      <c r="C1897" s="35" t="s">
        <v>1002</v>
      </c>
      <c r="D1897" s="38"/>
      <c r="E1897" s="38"/>
      <c r="F1897" s="38"/>
      <c r="G1897" s="40"/>
      <c r="H1897" s="38"/>
      <c r="I1897" s="38"/>
      <c r="J1897" s="38"/>
      <c r="K1897" s="133"/>
      <c r="L1897" s="38"/>
      <c r="M1897" s="16"/>
      <c r="N1897" s="42" t="str">
        <f>IF(A1897="","",M1897*#REF!)</f>
        <v/>
      </c>
      <c r="O1897" s="40"/>
      <c r="P1897" s="38"/>
      <c r="Q1897" s="38"/>
      <c r="R1897" s="38"/>
      <c r="S1897" s="40"/>
      <c r="T1897" s="267"/>
    </row>
    <row r="1898" spans="1:20" x14ac:dyDescent="0.2">
      <c r="A1898" s="8" t="str">
        <f t="shared" ref="A1898" si="926">IF(B1898="","",CONCATENATE(B1898,CONCATENATE(REPT(0,2-LEN(C1898)),C1898),IF(OR(D1898="Easy",D1898=""),1,IF(D1898="Normal",2,IF(D1898="Hard",3,IF(D1898="Hell",4,"error")))),E1898))</f>
        <v>300380111</v>
      </c>
      <c r="B1898" s="191">
        <v>30038</v>
      </c>
      <c r="C1898" s="191">
        <v>1</v>
      </c>
      <c r="D1898" s="191" t="s">
        <v>259</v>
      </c>
      <c r="E1898" s="191">
        <v>1</v>
      </c>
      <c r="F1898" s="70">
        <v>4250</v>
      </c>
      <c r="G1898" s="70">
        <v>4250</v>
      </c>
      <c r="H1898" s="70">
        <f t="shared" si="899"/>
        <v>1250</v>
      </c>
      <c r="I1898" s="70">
        <f t="shared" si="899"/>
        <v>1250</v>
      </c>
      <c r="J1898" s="70">
        <v>560</v>
      </c>
      <c r="K1898" s="133">
        <v>1000</v>
      </c>
      <c r="L1898" s="192"/>
      <c r="M1898" s="131">
        <f t="shared" ref="M1898" si="927">(F1898*J1898*((H1898+I1898)/2)/1000)^(1/2)/10*0.8</f>
        <v>137.98550648528271</v>
      </c>
      <c r="N1898" s="195">
        <v>800</v>
      </c>
      <c r="O1898" s="195">
        <v>5</v>
      </c>
      <c r="P1898" s="195">
        <v>50</v>
      </c>
      <c r="Q1898" s="195">
        <v>300</v>
      </c>
      <c r="R1898" s="194" t="s">
        <v>1003</v>
      </c>
      <c r="S1898" s="195">
        <v>500</v>
      </c>
      <c r="T1898" s="116" t="s">
        <v>408</v>
      </c>
    </row>
    <row r="1899" spans="1:20" x14ac:dyDescent="0.2">
      <c r="A1899" s="8" t="str">
        <f t="shared" ref="A1899:A1900" si="928">IF(B1899="","",CONCATENATE(B1899,CONCATENATE(REPT(0,2-LEN(C1899)),C1899),IF(OR(D1899="Easy",D1899=""),1,IF(D1899="Normal",2,IF(D1899="Hard",3,IF(D1899="Hell",4,"error")))),E1899))</f>
        <v>300380211</v>
      </c>
      <c r="B1899" s="191">
        <v>30038</v>
      </c>
      <c r="C1899" s="191">
        <v>2</v>
      </c>
      <c r="D1899" s="191" t="s">
        <v>259</v>
      </c>
      <c r="E1899" s="191">
        <v>1</v>
      </c>
      <c r="F1899" s="70">
        <v>1050</v>
      </c>
      <c r="G1899" s="70">
        <v>1050</v>
      </c>
      <c r="H1899" s="70">
        <f t="shared" si="899"/>
        <v>1125</v>
      </c>
      <c r="I1899" s="70">
        <f t="shared" si="899"/>
        <v>1125</v>
      </c>
      <c r="J1899" s="70">
        <v>650</v>
      </c>
      <c r="K1899" s="133">
        <v>1000</v>
      </c>
      <c r="L1899" s="192"/>
      <c r="M1899" s="131">
        <f t="shared" ref="M1899:M1900" si="929">(F1899*J1899*((H1899+I1899)/2)/1000)^(1/2)/10*0.8</f>
        <v>70.099928673287536</v>
      </c>
      <c r="N1899" s="195">
        <v>850</v>
      </c>
      <c r="O1899" s="195">
        <v>5</v>
      </c>
      <c r="P1899" s="195">
        <v>50</v>
      </c>
      <c r="Q1899" s="195">
        <v>300</v>
      </c>
      <c r="R1899" s="194" t="s">
        <v>1003</v>
      </c>
      <c r="S1899" s="195">
        <v>450</v>
      </c>
      <c r="T1899" s="116" t="s">
        <v>489</v>
      </c>
    </row>
    <row r="1900" spans="1:20" s="223" customFormat="1" x14ac:dyDescent="0.2">
      <c r="A1900" s="80" t="str">
        <f t="shared" si="928"/>
        <v>300380311</v>
      </c>
      <c r="B1900" s="80">
        <v>30038</v>
      </c>
      <c r="C1900" s="80">
        <v>3</v>
      </c>
      <c r="D1900" s="80" t="s">
        <v>259</v>
      </c>
      <c r="E1900" s="80">
        <v>1</v>
      </c>
      <c r="F1900" s="81">
        <f t="shared" ref="F1900:G1900" si="930">ROUNDDOWN($P1900/4*$O1900*10*$N1900/$N1900*$Q1900/400,0)</f>
        <v>12133</v>
      </c>
      <c r="G1900" s="81">
        <f t="shared" si="930"/>
        <v>12133</v>
      </c>
      <c r="H1900" s="81">
        <f t="shared" si="899"/>
        <v>3110</v>
      </c>
      <c r="I1900" s="81">
        <f t="shared" si="899"/>
        <v>3110</v>
      </c>
      <c r="J1900" s="81">
        <f t="shared" ref="J1900" si="931">ROUNDDOWN($P1900/4*$O1900*10*$N1900/$Q1900*$N1900/400,0)</f>
        <v>14979</v>
      </c>
      <c r="K1900" s="133">
        <v>1000</v>
      </c>
      <c r="L1900" s="81"/>
      <c r="M1900" s="16">
        <f t="shared" si="929"/>
        <v>1901.9350883055922</v>
      </c>
      <c r="N1900" s="36">
        <v>1000</v>
      </c>
      <c r="O1900" s="36">
        <v>1</v>
      </c>
      <c r="P1900" s="90" t="s">
        <v>376</v>
      </c>
      <c r="Q1900" s="2" t="s">
        <v>439</v>
      </c>
      <c r="R1900" s="2" t="s">
        <v>1014</v>
      </c>
      <c r="S1900" s="36" t="s">
        <v>126</v>
      </c>
      <c r="T1900" s="116"/>
    </row>
    <row r="1901" spans="1:20" x14ac:dyDescent="0.2">
      <c r="A1901" s="8" t="str">
        <f t="shared" ref="A1901:A1903" si="932">IF(B1901="","",CONCATENATE(B1901,CONCATENATE(REPT(0,2-LEN(C1901)),C1901),IF(OR(D1901="Easy",D1901=""),1,IF(D1901="Normal",2,IF(D1901="Hard",3,IF(D1901="Hell",4,"error")))),E1901))</f>
        <v>300380811</v>
      </c>
      <c r="B1901" s="191">
        <v>30038</v>
      </c>
      <c r="C1901" s="191">
        <v>8</v>
      </c>
      <c r="D1901" s="191" t="s">
        <v>259</v>
      </c>
      <c r="E1901" s="191">
        <v>1</v>
      </c>
      <c r="F1901" s="70">
        <f t="shared" si="898"/>
        <v>375000</v>
      </c>
      <c r="G1901" s="70">
        <f t="shared" si="898"/>
        <v>375000</v>
      </c>
      <c r="H1901" s="70">
        <f t="shared" si="899"/>
        <v>5000</v>
      </c>
      <c r="I1901" s="70">
        <f t="shared" si="899"/>
        <v>5000</v>
      </c>
      <c r="J1901" s="70">
        <f t="shared" si="880"/>
        <v>1760416</v>
      </c>
      <c r="K1901" s="133">
        <v>1000</v>
      </c>
      <c r="L1901" s="192"/>
      <c r="M1901" s="131">
        <f t="shared" si="913"/>
        <v>145344.39101664707</v>
      </c>
      <c r="N1901" s="195">
        <v>650</v>
      </c>
      <c r="O1901" s="195">
        <v>5</v>
      </c>
      <c r="P1901" s="195">
        <v>50000</v>
      </c>
      <c r="Q1901" s="195">
        <v>300</v>
      </c>
      <c r="R1901" s="194" t="s">
        <v>1003</v>
      </c>
      <c r="S1901" s="195">
        <v>2000</v>
      </c>
      <c r="T1901" s="116" t="s">
        <v>202</v>
      </c>
    </row>
    <row r="1902" spans="1:20" x14ac:dyDescent="0.2">
      <c r="A1902" s="8" t="str">
        <f t="shared" si="932"/>
        <v>300380911</v>
      </c>
      <c r="B1902" s="191">
        <v>30038</v>
      </c>
      <c r="C1902" s="191">
        <v>9</v>
      </c>
      <c r="D1902" s="191" t="s">
        <v>259</v>
      </c>
      <c r="E1902" s="191">
        <v>1</v>
      </c>
      <c r="F1902" s="70">
        <f t="shared" ref="F1902:G1903" si="933">ROUNDDOWN($P1902/4*MIN($O1902,4)*10*$N1902/$N1902*$Q1902/400,0)</f>
        <v>612500</v>
      </c>
      <c r="G1902" s="70">
        <f t="shared" si="933"/>
        <v>612500</v>
      </c>
      <c r="H1902" s="70">
        <f t="shared" ref="H1902:I1903" si="934">ROUNDDOWN($S1902/4*10,0)</f>
        <v>8750</v>
      </c>
      <c r="I1902" s="70">
        <f t="shared" si="934"/>
        <v>8750</v>
      </c>
      <c r="J1902" s="70">
        <f t="shared" si="880"/>
        <v>3650400</v>
      </c>
      <c r="K1902" s="133">
        <v>1000</v>
      </c>
      <c r="L1902" s="192"/>
      <c r="M1902" s="131">
        <f t="shared" si="913"/>
        <v>353848.44213306921</v>
      </c>
      <c r="N1902" s="195">
        <v>780</v>
      </c>
      <c r="O1902" s="195">
        <v>6</v>
      </c>
      <c r="P1902" s="195">
        <v>70000</v>
      </c>
      <c r="Q1902" s="195">
        <v>350</v>
      </c>
      <c r="R1902" s="194" t="s">
        <v>1004</v>
      </c>
      <c r="S1902" s="195">
        <v>3500</v>
      </c>
      <c r="T1902" s="116" t="s">
        <v>285</v>
      </c>
    </row>
    <row r="1903" spans="1:20" x14ac:dyDescent="0.2">
      <c r="A1903" s="8" t="str">
        <f t="shared" si="932"/>
        <v>300381011</v>
      </c>
      <c r="B1903" s="191">
        <v>30038</v>
      </c>
      <c r="C1903" s="191">
        <v>10</v>
      </c>
      <c r="D1903" s="191" t="s">
        <v>259</v>
      </c>
      <c r="E1903" s="191">
        <v>1</v>
      </c>
      <c r="F1903" s="70">
        <f t="shared" si="933"/>
        <v>1200000</v>
      </c>
      <c r="G1903" s="70">
        <f t="shared" si="933"/>
        <v>1200000</v>
      </c>
      <c r="H1903" s="70">
        <f t="shared" si="934"/>
        <v>12500</v>
      </c>
      <c r="I1903" s="70">
        <f t="shared" si="934"/>
        <v>12500</v>
      </c>
      <c r="J1903" s="70">
        <f t="shared" si="880"/>
        <v>8643600</v>
      </c>
      <c r="K1903" s="133">
        <v>1000</v>
      </c>
      <c r="L1903" s="192"/>
      <c r="M1903" s="131">
        <f t="shared" si="913"/>
        <v>910925.68302798457</v>
      </c>
      <c r="N1903" s="195">
        <v>980</v>
      </c>
      <c r="O1903" s="195">
        <v>6</v>
      </c>
      <c r="P1903" s="195">
        <v>120000</v>
      </c>
      <c r="Q1903" s="195">
        <v>400</v>
      </c>
      <c r="R1903" s="194" t="s">
        <v>1005</v>
      </c>
      <c r="S1903" s="195">
        <v>5000</v>
      </c>
      <c r="T1903" s="116" t="s">
        <v>180</v>
      </c>
    </row>
    <row r="1904" spans="1:20" ht="12.75" customHeight="1" x14ac:dyDescent="0.2">
      <c r="A1904" s="38"/>
      <c r="B1904" s="38"/>
      <c r="C1904" s="35" t="s">
        <v>1057</v>
      </c>
      <c r="D1904" s="38"/>
      <c r="E1904" s="38"/>
      <c r="F1904" s="38"/>
      <c r="G1904" s="40"/>
      <c r="H1904" s="38"/>
      <c r="I1904" s="38"/>
      <c r="J1904" s="38"/>
      <c r="K1904" s="133"/>
      <c r="L1904" s="38"/>
      <c r="M1904" s="16"/>
      <c r="N1904" s="42" t="str">
        <f>IF(A1904="","",M1904*#REF!)</f>
        <v/>
      </c>
      <c r="O1904" s="40"/>
      <c r="P1904" s="38"/>
      <c r="Q1904" s="38"/>
      <c r="R1904" s="38"/>
      <c r="S1904" s="40"/>
      <c r="T1904" s="267"/>
    </row>
    <row r="1905" spans="1:20" s="246" customFormat="1" x14ac:dyDescent="0.2">
      <c r="A1905" s="74" t="str">
        <f t="shared" ref="A1905:A1909" si="935">IF(B1905="","",CONCATENATE(B1905,CONCATENATE(REPT(0,2-LEN(C1905)),C1905),IF(OR(D1905="Easy",D1905=""),1,IF(D1905="Normal",2,IF(D1905="Hard",3,IF(D1905="Hell",4,"error")))),E1905))</f>
        <v>300390111</v>
      </c>
      <c r="B1905" s="74">
        <v>30039</v>
      </c>
      <c r="C1905" s="74">
        <v>1</v>
      </c>
      <c r="D1905" s="74" t="s">
        <v>259</v>
      </c>
      <c r="E1905" s="74">
        <v>1</v>
      </c>
      <c r="F1905" s="75">
        <f t="shared" ref="F1905:G1920" si="936">ROUNDDOWN($P1905/4*MIN($O1905,4)*10*$N1905/$N1905*$Q1905/400,0)</f>
        <v>5000</v>
      </c>
      <c r="G1905" s="75">
        <f t="shared" si="936"/>
        <v>5000</v>
      </c>
      <c r="H1905" s="75">
        <f t="shared" ref="H1905:I1920" si="937">ROUNDDOWN($S1905/4*10,0)</f>
        <v>1500</v>
      </c>
      <c r="I1905" s="75">
        <f t="shared" si="937"/>
        <v>1500</v>
      </c>
      <c r="J1905" s="75">
        <f t="shared" ref="J1905:J1927" si="938">ROUNDDOWN($P1905/4*$O1905*10*$N1905/$Q1905*$N1905/400*0.8,0)</f>
        <v>750</v>
      </c>
      <c r="K1905" s="245">
        <v>1000</v>
      </c>
      <c r="L1905" s="75"/>
      <c r="M1905" s="188">
        <f t="shared" ref="M1905:M1906" si="939">(F1905*J1905*((H1905+I1905)/2)/1000)^(1/2)/10*0.8</f>
        <v>189.73665961010278</v>
      </c>
      <c r="N1905" s="76">
        <v>100</v>
      </c>
      <c r="O1905" s="78" t="s">
        <v>332</v>
      </c>
      <c r="P1905" s="78" t="s">
        <v>408</v>
      </c>
      <c r="Q1905" s="78" t="s">
        <v>122</v>
      </c>
      <c r="R1905" s="78" t="s">
        <v>733</v>
      </c>
      <c r="S1905" s="190">
        <f>P1905*0.6</f>
        <v>600</v>
      </c>
      <c r="T1905" s="116"/>
    </row>
    <row r="1906" spans="1:20" s="246" customFormat="1" x14ac:dyDescent="0.2">
      <c r="A1906" s="74" t="str">
        <f t="shared" ref="A1906" si="940">IF(B1906="","",CONCATENATE(B1906,CONCATENATE(REPT(0,2-LEN(C1906)),C1906),IF(OR(D1906="Easy",D1906=""),1,IF(D1906="Normal",2,IF(D1906="Hard",3,IF(D1906="Hell",4,"error")))),E1906))</f>
        <v>300390119</v>
      </c>
      <c r="B1906" s="74">
        <v>30039</v>
      </c>
      <c r="C1906" s="74">
        <v>1</v>
      </c>
      <c r="D1906" s="74" t="s">
        <v>259</v>
      </c>
      <c r="E1906" s="74">
        <v>9</v>
      </c>
      <c r="F1906" s="75">
        <f t="shared" si="936"/>
        <v>5500</v>
      </c>
      <c r="G1906" s="75">
        <f t="shared" si="936"/>
        <v>5500</v>
      </c>
      <c r="H1906" s="75">
        <f t="shared" si="937"/>
        <v>1650</v>
      </c>
      <c r="I1906" s="75">
        <f t="shared" si="937"/>
        <v>1650</v>
      </c>
      <c r="J1906" s="75">
        <f t="shared" si="938"/>
        <v>998</v>
      </c>
      <c r="K1906" s="245">
        <v>1000</v>
      </c>
      <c r="L1906" s="75"/>
      <c r="M1906" s="188">
        <f t="shared" si="939"/>
        <v>240.75680675735836</v>
      </c>
      <c r="N1906" s="76">
        <v>110</v>
      </c>
      <c r="O1906" s="78" t="s">
        <v>332</v>
      </c>
      <c r="P1906" s="78" t="s">
        <v>144</v>
      </c>
      <c r="Q1906" s="78" t="s">
        <v>122</v>
      </c>
      <c r="R1906" s="78" t="s">
        <v>732</v>
      </c>
      <c r="S1906" s="190">
        <f>P1906*0.6</f>
        <v>660</v>
      </c>
      <c r="T1906" s="116"/>
    </row>
    <row r="1907" spans="1:20" s="246" customFormat="1" x14ac:dyDescent="0.2">
      <c r="A1907" s="74" t="str">
        <f t="shared" si="935"/>
        <v>300390211</v>
      </c>
      <c r="B1907" s="74">
        <v>30039</v>
      </c>
      <c r="C1907" s="74">
        <v>2</v>
      </c>
      <c r="D1907" s="74" t="s">
        <v>259</v>
      </c>
      <c r="E1907" s="74">
        <v>1</v>
      </c>
      <c r="F1907" s="75">
        <f t="shared" si="936"/>
        <v>1000</v>
      </c>
      <c r="G1907" s="75">
        <f t="shared" si="936"/>
        <v>1000</v>
      </c>
      <c r="H1907" s="75">
        <f t="shared" si="937"/>
        <v>1375</v>
      </c>
      <c r="I1907" s="75">
        <f t="shared" si="937"/>
        <v>1375</v>
      </c>
      <c r="J1907" s="75">
        <f t="shared" si="938"/>
        <v>937</v>
      </c>
      <c r="K1907" s="245">
        <v>1000</v>
      </c>
      <c r="L1907" s="75"/>
      <c r="M1907" s="188">
        <f t="shared" ref="M1907" si="941">(F1907*J1907*((H1907+I1907)/2)/1000)^(1/2)/10*0.8</f>
        <v>90.80528618973679</v>
      </c>
      <c r="N1907" s="76">
        <v>250</v>
      </c>
      <c r="O1907" s="78" t="s">
        <v>332</v>
      </c>
      <c r="P1907" s="78" t="s">
        <v>122</v>
      </c>
      <c r="Q1907" s="78" t="s">
        <v>122</v>
      </c>
      <c r="R1907" s="78" t="s">
        <v>733</v>
      </c>
      <c r="S1907" s="190">
        <v>550</v>
      </c>
      <c r="T1907" s="116"/>
    </row>
    <row r="1908" spans="1:20" s="247" customFormat="1" x14ac:dyDescent="0.2">
      <c r="A1908" s="74" t="str">
        <f t="shared" si="935"/>
        <v>300390311</v>
      </c>
      <c r="B1908" s="74">
        <v>30039</v>
      </c>
      <c r="C1908" s="74">
        <v>3</v>
      </c>
      <c r="D1908" s="74" t="s">
        <v>259</v>
      </c>
      <c r="E1908" s="74">
        <v>1</v>
      </c>
      <c r="F1908" s="75">
        <f t="shared" si="936"/>
        <v>1100</v>
      </c>
      <c r="G1908" s="75">
        <f t="shared" si="936"/>
        <v>1100</v>
      </c>
      <c r="H1908" s="75">
        <f t="shared" si="937"/>
        <v>3750</v>
      </c>
      <c r="I1908" s="75">
        <f t="shared" si="937"/>
        <v>3750</v>
      </c>
      <c r="J1908" s="75">
        <f t="shared" si="938"/>
        <v>1485</v>
      </c>
      <c r="K1908" s="245">
        <v>1000</v>
      </c>
      <c r="L1908" s="75"/>
      <c r="M1908" s="188">
        <f t="shared" ref="M1908:M1912" si="942">(F1908*J1908*((H1908+I1908)/2)/1000)^(1/2)/10*0.8</f>
        <v>198</v>
      </c>
      <c r="N1908" s="76">
        <v>300</v>
      </c>
      <c r="O1908" s="78" t="s">
        <v>332</v>
      </c>
      <c r="P1908" s="78" t="s">
        <v>246</v>
      </c>
      <c r="Q1908" s="78" t="s">
        <v>122</v>
      </c>
      <c r="R1908" s="78" t="s">
        <v>733</v>
      </c>
      <c r="S1908" s="190">
        <v>1500</v>
      </c>
      <c r="T1908" s="116"/>
    </row>
    <row r="1909" spans="1:20" s="246" customFormat="1" x14ac:dyDescent="0.2">
      <c r="A1909" s="74" t="str">
        <f t="shared" si="935"/>
        <v>300390411</v>
      </c>
      <c r="B1909" s="74">
        <v>30039</v>
      </c>
      <c r="C1909" s="74">
        <v>4</v>
      </c>
      <c r="D1909" s="74" t="s">
        <v>259</v>
      </c>
      <c r="E1909" s="74">
        <v>1</v>
      </c>
      <c r="F1909" s="75">
        <f t="shared" si="936"/>
        <v>2750</v>
      </c>
      <c r="G1909" s="75">
        <f t="shared" si="936"/>
        <v>2750</v>
      </c>
      <c r="H1909" s="75">
        <f t="shared" si="937"/>
        <v>37500</v>
      </c>
      <c r="I1909" s="75">
        <f t="shared" si="937"/>
        <v>37500</v>
      </c>
      <c r="J1909" s="75">
        <f t="shared" si="938"/>
        <v>4176</v>
      </c>
      <c r="K1909" s="245">
        <v>1000</v>
      </c>
      <c r="L1909" s="75"/>
      <c r="M1909" s="188">
        <f t="shared" si="942"/>
        <v>1660.1686661300414</v>
      </c>
      <c r="N1909" s="76">
        <v>350</v>
      </c>
      <c r="O1909" s="78" t="s">
        <v>332</v>
      </c>
      <c r="P1909" s="78" t="s">
        <v>200</v>
      </c>
      <c r="Q1909" s="78" t="s">
        <v>246</v>
      </c>
      <c r="R1909" s="78" t="s">
        <v>733</v>
      </c>
      <c r="S1909" s="190">
        <v>15000</v>
      </c>
      <c r="T1909" s="116"/>
    </row>
    <row r="1910" spans="1:20" s="246" customFormat="1" x14ac:dyDescent="0.2">
      <c r="A1910" s="74" t="str">
        <f t="shared" ref="A1910:A1915" si="943">IF(B1910="","",CONCATENATE(B1910,CONCATENATE(REPT(0,2-LEN(C1910)),C1910),IF(OR(D1910="Easy",D1910=""),1,IF(D1910="Normal",2,IF(D1910="Hard",3,IF(D1910="Hell",4,"error")))),E1910))</f>
        <v>300390511</v>
      </c>
      <c r="B1910" s="74">
        <v>30039</v>
      </c>
      <c r="C1910" s="74">
        <v>5</v>
      </c>
      <c r="D1910" s="74" t="s">
        <v>259</v>
      </c>
      <c r="E1910" s="74">
        <v>1</v>
      </c>
      <c r="F1910" s="75">
        <f t="shared" si="936"/>
        <v>37500</v>
      </c>
      <c r="G1910" s="75">
        <f t="shared" si="936"/>
        <v>37500</v>
      </c>
      <c r="H1910" s="75">
        <f t="shared" si="937"/>
        <v>25000</v>
      </c>
      <c r="I1910" s="75">
        <f t="shared" si="937"/>
        <v>25000</v>
      </c>
      <c r="J1910" s="75">
        <f t="shared" si="938"/>
        <v>5625</v>
      </c>
      <c r="K1910" s="245">
        <v>1000</v>
      </c>
      <c r="L1910" s="75"/>
      <c r="M1910" s="188">
        <f t="shared" si="942"/>
        <v>5809.4750193111249</v>
      </c>
      <c r="N1910" s="76">
        <v>50</v>
      </c>
      <c r="O1910" s="78" t="s">
        <v>332</v>
      </c>
      <c r="P1910" s="78" t="s">
        <v>287</v>
      </c>
      <c r="Q1910" s="78" t="s">
        <v>482</v>
      </c>
      <c r="R1910" s="78" t="s">
        <v>733</v>
      </c>
      <c r="S1910" s="190">
        <v>10000</v>
      </c>
      <c r="T1910" s="116"/>
    </row>
    <row r="1911" spans="1:20" s="246" customFormat="1" x14ac:dyDescent="0.2">
      <c r="A1911" s="74" t="str">
        <f t="shared" si="943"/>
        <v>300390611</v>
      </c>
      <c r="B1911" s="74">
        <v>30039</v>
      </c>
      <c r="C1911" s="74">
        <v>6</v>
      </c>
      <c r="D1911" s="74" t="s">
        <v>259</v>
      </c>
      <c r="E1911" s="74">
        <v>1</v>
      </c>
      <c r="F1911" s="75">
        <f t="shared" si="936"/>
        <v>4000</v>
      </c>
      <c r="G1911" s="75">
        <f t="shared" si="936"/>
        <v>4000</v>
      </c>
      <c r="H1911" s="75">
        <f t="shared" si="937"/>
        <v>3000</v>
      </c>
      <c r="I1911" s="75">
        <f t="shared" si="937"/>
        <v>3000</v>
      </c>
      <c r="J1911" s="75">
        <f t="shared" si="938"/>
        <v>2904</v>
      </c>
      <c r="K1911" s="245">
        <v>1000</v>
      </c>
      <c r="L1911" s="75"/>
      <c r="M1911" s="188">
        <f t="shared" si="942"/>
        <v>472.25755684795558</v>
      </c>
      <c r="N1911" s="76">
        <v>220</v>
      </c>
      <c r="O1911" s="78" t="s">
        <v>332</v>
      </c>
      <c r="P1911" s="78" t="s">
        <v>400</v>
      </c>
      <c r="Q1911" s="78" t="s">
        <v>122</v>
      </c>
      <c r="R1911" s="78" t="s">
        <v>732</v>
      </c>
      <c r="S1911" s="190">
        <v>1200</v>
      </c>
      <c r="T1911" s="116"/>
    </row>
    <row r="1912" spans="1:20" s="246" customFormat="1" x14ac:dyDescent="0.2">
      <c r="A1912" s="74" t="str">
        <f t="shared" si="943"/>
        <v>300390619</v>
      </c>
      <c r="B1912" s="74">
        <v>30039</v>
      </c>
      <c r="C1912" s="74">
        <v>6</v>
      </c>
      <c r="D1912" s="74" t="s">
        <v>259</v>
      </c>
      <c r="E1912" s="74">
        <v>9</v>
      </c>
      <c r="F1912" s="75">
        <f t="shared" si="936"/>
        <v>5000</v>
      </c>
      <c r="G1912" s="75">
        <f t="shared" si="936"/>
        <v>5000</v>
      </c>
      <c r="H1912" s="75">
        <f t="shared" si="937"/>
        <v>3000</v>
      </c>
      <c r="I1912" s="75">
        <f t="shared" si="937"/>
        <v>3000</v>
      </c>
      <c r="J1912" s="75">
        <f t="shared" si="938"/>
        <v>4320</v>
      </c>
      <c r="K1912" s="245">
        <v>1000</v>
      </c>
      <c r="L1912" s="75"/>
      <c r="M1912" s="188">
        <f t="shared" si="942"/>
        <v>643.98757751993946</v>
      </c>
      <c r="N1912" s="76">
        <v>240</v>
      </c>
      <c r="O1912" s="78" t="s">
        <v>332</v>
      </c>
      <c r="P1912" s="78" t="s">
        <v>408</v>
      </c>
      <c r="Q1912" s="78" t="s">
        <v>122</v>
      </c>
      <c r="R1912" s="78" t="s">
        <v>733</v>
      </c>
      <c r="S1912" s="190">
        <v>1200</v>
      </c>
      <c r="T1912" s="116"/>
    </row>
    <row r="1913" spans="1:20" s="247" customFormat="1" x14ac:dyDescent="0.2">
      <c r="A1913" s="74" t="str">
        <f t="shared" si="943"/>
        <v>300390711</v>
      </c>
      <c r="B1913" s="74">
        <v>30039</v>
      </c>
      <c r="C1913" s="74">
        <v>7</v>
      </c>
      <c r="D1913" s="74" t="s">
        <v>259</v>
      </c>
      <c r="E1913" s="74">
        <v>1</v>
      </c>
      <c r="F1913" s="75">
        <f t="shared" si="936"/>
        <v>6050</v>
      </c>
      <c r="G1913" s="75">
        <f t="shared" si="936"/>
        <v>6050</v>
      </c>
      <c r="H1913" s="75">
        <f t="shared" si="937"/>
        <v>3250</v>
      </c>
      <c r="I1913" s="75">
        <f t="shared" si="937"/>
        <v>3250</v>
      </c>
      <c r="J1913" s="75">
        <f t="shared" si="938"/>
        <v>4687</v>
      </c>
      <c r="K1913" s="245">
        <v>1000</v>
      </c>
      <c r="L1913" s="75"/>
      <c r="M1913" s="188">
        <f t="shared" ref="M1913:M1915" si="944">(F1913*J1913*((H1913+I1913)/2)/1000)^(1/2)/10*0.8</f>
        <v>767.99223954412469</v>
      </c>
      <c r="N1913" s="76">
        <v>250</v>
      </c>
      <c r="O1913" s="78" t="s">
        <v>332</v>
      </c>
      <c r="P1913" s="78" t="s">
        <v>144</v>
      </c>
      <c r="Q1913" s="78" t="s">
        <v>246</v>
      </c>
      <c r="R1913" s="78" t="s">
        <v>733</v>
      </c>
      <c r="S1913" s="190">
        <v>1300</v>
      </c>
      <c r="T1913" s="116"/>
    </row>
    <row r="1914" spans="1:20" s="247" customFormat="1" x14ac:dyDescent="0.2">
      <c r="A1914" s="74" t="str">
        <f t="shared" ref="A1914" si="945">IF(B1914="","",CONCATENATE(B1914,CONCATENATE(REPT(0,2-LEN(C1914)),C1914),IF(OR(D1914="Easy",D1914=""),1,IF(D1914="Normal",2,IF(D1914="Hard",3,IF(D1914="Hell",4,"error")))),E1914))</f>
        <v>300390719</v>
      </c>
      <c r="B1914" s="74">
        <v>30039</v>
      </c>
      <c r="C1914" s="74">
        <v>7</v>
      </c>
      <c r="D1914" s="74" t="s">
        <v>259</v>
      </c>
      <c r="E1914" s="74">
        <v>9</v>
      </c>
      <c r="F1914" s="75">
        <f t="shared" si="936"/>
        <v>6875</v>
      </c>
      <c r="G1914" s="75">
        <f t="shared" si="936"/>
        <v>6875</v>
      </c>
      <c r="H1914" s="75">
        <f t="shared" si="937"/>
        <v>3250</v>
      </c>
      <c r="I1914" s="75">
        <f t="shared" si="937"/>
        <v>3250</v>
      </c>
      <c r="J1914" s="75">
        <f t="shared" si="938"/>
        <v>6681</v>
      </c>
      <c r="K1914" s="245">
        <v>1000</v>
      </c>
      <c r="L1914" s="75"/>
      <c r="M1914" s="188">
        <f t="shared" ref="M1914" si="946">(F1914*J1914*((H1914+I1914)/2)/1000)^(1/2)/10*0.8</f>
        <v>977.43695448862582</v>
      </c>
      <c r="N1914" s="76">
        <v>280</v>
      </c>
      <c r="O1914" s="78" t="s">
        <v>332</v>
      </c>
      <c r="P1914" s="78" t="s">
        <v>1061</v>
      </c>
      <c r="Q1914" s="78" t="s">
        <v>246</v>
      </c>
      <c r="R1914" s="78" t="s">
        <v>733</v>
      </c>
      <c r="S1914" s="190">
        <v>1300</v>
      </c>
      <c r="T1914" s="116"/>
    </row>
    <row r="1915" spans="1:20" s="246" customFormat="1" x14ac:dyDescent="0.2">
      <c r="A1915" s="74" t="str">
        <f t="shared" si="943"/>
        <v>300390811</v>
      </c>
      <c r="B1915" s="74">
        <v>30039</v>
      </c>
      <c r="C1915" s="74">
        <v>8</v>
      </c>
      <c r="D1915" s="74" t="s">
        <v>259</v>
      </c>
      <c r="E1915" s="74">
        <v>1</v>
      </c>
      <c r="F1915" s="75">
        <f t="shared" si="936"/>
        <v>7150</v>
      </c>
      <c r="G1915" s="75">
        <f t="shared" si="936"/>
        <v>7150</v>
      </c>
      <c r="H1915" s="75">
        <f t="shared" si="937"/>
        <v>3500</v>
      </c>
      <c r="I1915" s="75">
        <f t="shared" si="937"/>
        <v>3500</v>
      </c>
      <c r="J1915" s="75">
        <f t="shared" si="938"/>
        <v>7977</v>
      </c>
      <c r="K1915" s="245">
        <v>1000</v>
      </c>
      <c r="L1915" s="75"/>
      <c r="M1915" s="188">
        <f t="shared" si="944"/>
        <v>1130.3080642019679</v>
      </c>
      <c r="N1915" s="76">
        <v>300</v>
      </c>
      <c r="O1915" s="78" t="s">
        <v>332</v>
      </c>
      <c r="P1915" s="78" t="s">
        <v>765</v>
      </c>
      <c r="Q1915" s="78" t="s">
        <v>246</v>
      </c>
      <c r="R1915" s="78" t="s">
        <v>733</v>
      </c>
      <c r="S1915" s="190">
        <v>1400</v>
      </c>
      <c r="T1915" s="116"/>
    </row>
    <row r="1916" spans="1:20" s="246" customFormat="1" x14ac:dyDescent="0.2">
      <c r="A1916" s="74" t="str">
        <f t="shared" ref="A1916" si="947">IF(B1916="","",CONCATENATE(B1916,CONCATENATE(REPT(0,2-LEN(C1916)),C1916),IF(OR(D1916="Easy",D1916=""),1,IF(D1916="Normal",2,IF(D1916="Hard",3,IF(D1916="Hell",4,"error")))),E1916))</f>
        <v>300390819</v>
      </c>
      <c r="B1916" s="74">
        <v>30039</v>
      </c>
      <c r="C1916" s="74">
        <v>8</v>
      </c>
      <c r="D1916" s="74" t="s">
        <v>259</v>
      </c>
      <c r="E1916" s="74">
        <v>9</v>
      </c>
      <c r="F1916" s="75">
        <f t="shared" si="936"/>
        <v>7425</v>
      </c>
      <c r="G1916" s="75">
        <f t="shared" si="936"/>
        <v>7425</v>
      </c>
      <c r="H1916" s="75">
        <f t="shared" si="937"/>
        <v>3500</v>
      </c>
      <c r="I1916" s="75">
        <f t="shared" si="937"/>
        <v>3500</v>
      </c>
      <c r="J1916" s="75">
        <f t="shared" si="938"/>
        <v>9425</v>
      </c>
      <c r="K1916" s="245">
        <v>1000</v>
      </c>
      <c r="L1916" s="75"/>
      <c r="M1916" s="188">
        <f t="shared" ref="M1916" si="948">(F1916*J1916*((H1916+I1916)/2)/1000)^(1/2)/10*0.8</f>
        <v>1252.0247601385527</v>
      </c>
      <c r="N1916" s="76">
        <v>320</v>
      </c>
      <c r="O1916" s="78" t="s">
        <v>332</v>
      </c>
      <c r="P1916" s="78" t="s">
        <v>1062</v>
      </c>
      <c r="Q1916" s="78" t="s">
        <v>246</v>
      </c>
      <c r="R1916" s="78" t="s">
        <v>733</v>
      </c>
      <c r="S1916" s="190">
        <v>1400</v>
      </c>
      <c r="T1916" s="116"/>
    </row>
    <row r="1917" spans="1:20" s="247" customFormat="1" x14ac:dyDescent="0.2">
      <c r="A1917" s="74" t="str">
        <f t="shared" ref="A1917:A1919" si="949">IF(B1917="","",CONCATENATE(B1917,CONCATENATE(REPT(0,2-LEN(C1917)),C1917),IF(OR(D1917="Easy",D1917=""),1,IF(D1917="Normal",2,IF(D1917="Hard",3,IF(D1917="Hell",4,"error")))),E1917))</f>
        <v>300390911</v>
      </c>
      <c r="B1917" s="74">
        <v>30039</v>
      </c>
      <c r="C1917" s="74">
        <v>9</v>
      </c>
      <c r="D1917" s="74" t="s">
        <v>259</v>
      </c>
      <c r="E1917" s="74">
        <v>1</v>
      </c>
      <c r="F1917" s="75">
        <f t="shared" si="936"/>
        <v>7425</v>
      </c>
      <c r="G1917" s="75">
        <f t="shared" si="936"/>
        <v>7425</v>
      </c>
      <c r="H1917" s="75">
        <f t="shared" si="937"/>
        <v>3450</v>
      </c>
      <c r="I1917" s="75">
        <f t="shared" si="937"/>
        <v>3450</v>
      </c>
      <c r="J1917" s="75">
        <f t="shared" si="938"/>
        <v>5752</v>
      </c>
      <c r="K1917" s="245">
        <v>1000</v>
      </c>
      <c r="L1917" s="75"/>
      <c r="M1917" s="188">
        <f t="shared" ref="M1917:M1919" si="950">(F1917*J1917*((H1917+I1917)/2)/1000)^(1/2)/10*0.8</f>
        <v>971.08490257031599</v>
      </c>
      <c r="N1917" s="76">
        <v>250</v>
      </c>
      <c r="O1917" s="78" t="s">
        <v>332</v>
      </c>
      <c r="P1917" s="78" t="s">
        <v>1062</v>
      </c>
      <c r="Q1917" s="78" t="s">
        <v>246</v>
      </c>
      <c r="R1917" s="78" t="s">
        <v>733</v>
      </c>
      <c r="S1917" s="190">
        <v>1380</v>
      </c>
      <c r="T1917" s="116"/>
    </row>
    <row r="1918" spans="1:20" s="247" customFormat="1" x14ac:dyDescent="0.2">
      <c r="A1918" s="74" t="str">
        <f t="shared" ref="A1918" si="951">IF(B1918="","",CONCATENATE(B1918,CONCATENATE(REPT(0,2-LEN(C1918)),C1918),IF(OR(D1918="Easy",D1918=""),1,IF(D1918="Normal",2,IF(D1918="Hard",3,IF(D1918="Hell",4,"error")))),E1918))</f>
        <v>300390919</v>
      </c>
      <c r="B1918" s="74">
        <v>30039</v>
      </c>
      <c r="C1918" s="74">
        <v>9</v>
      </c>
      <c r="D1918" s="74" t="s">
        <v>259</v>
      </c>
      <c r="E1918" s="74">
        <v>9</v>
      </c>
      <c r="F1918" s="75">
        <f t="shared" si="936"/>
        <v>7700</v>
      </c>
      <c r="G1918" s="75">
        <f t="shared" si="936"/>
        <v>7700</v>
      </c>
      <c r="H1918" s="75">
        <f t="shared" si="937"/>
        <v>3750</v>
      </c>
      <c r="I1918" s="75">
        <f t="shared" si="937"/>
        <v>3750</v>
      </c>
      <c r="J1918" s="75">
        <f t="shared" si="938"/>
        <v>8590</v>
      </c>
      <c r="K1918" s="245">
        <v>1000</v>
      </c>
      <c r="L1918" s="75"/>
      <c r="M1918" s="188">
        <f t="shared" ref="M1918" si="952">(F1918*J1918*((H1918+I1918)/2)/1000)^(1/2)/10*0.8</f>
        <v>1259.9333315695717</v>
      </c>
      <c r="N1918" s="76">
        <v>300</v>
      </c>
      <c r="O1918" s="78" t="s">
        <v>332</v>
      </c>
      <c r="P1918" s="78" t="s">
        <v>286</v>
      </c>
      <c r="Q1918" s="78" t="s">
        <v>246</v>
      </c>
      <c r="R1918" s="78" t="s">
        <v>733</v>
      </c>
      <c r="S1918" s="190">
        <v>1500</v>
      </c>
      <c r="T1918" s="116"/>
    </row>
    <row r="1919" spans="1:20" s="246" customFormat="1" x14ac:dyDescent="0.2">
      <c r="A1919" s="74" t="str">
        <f t="shared" si="949"/>
        <v>300391011</v>
      </c>
      <c r="B1919" s="74">
        <v>30039</v>
      </c>
      <c r="C1919" s="74">
        <v>10</v>
      </c>
      <c r="D1919" s="74" t="s">
        <v>259</v>
      </c>
      <c r="E1919" s="74">
        <v>1</v>
      </c>
      <c r="F1919" s="75">
        <f t="shared" si="936"/>
        <v>7975</v>
      </c>
      <c r="G1919" s="75">
        <f t="shared" si="936"/>
        <v>7975</v>
      </c>
      <c r="H1919" s="75">
        <f t="shared" si="937"/>
        <v>3800</v>
      </c>
      <c r="I1919" s="75">
        <f t="shared" si="937"/>
        <v>3800</v>
      </c>
      <c r="J1919" s="75">
        <f t="shared" si="938"/>
        <v>8897</v>
      </c>
      <c r="K1919" s="245">
        <v>1000</v>
      </c>
      <c r="L1919" s="75"/>
      <c r="M1919" s="188">
        <f t="shared" si="950"/>
        <v>1313.6175029284593</v>
      </c>
      <c r="N1919" s="76">
        <v>300</v>
      </c>
      <c r="O1919" s="78" t="s">
        <v>332</v>
      </c>
      <c r="P1919" s="78" t="s">
        <v>1063</v>
      </c>
      <c r="Q1919" s="78" t="s">
        <v>246</v>
      </c>
      <c r="R1919" s="78" t="s">
        <v>733</v>
      </c>
      <c r="S1919" s="190">
        <v>1520</v>
      </c>
      <c r="T1919" s="116"/>
    </row>
    <row r="1920" spans="1:20" s="246" customFormat="1" x14ac:dyDescent="0.2">
      <c r="A1920" s="74" t="str">
        <f t="shared" ref="A1920:A1924" si="953">IF(B1920="","",CONCATENATE(B1920,CONCATENATE(REPT(0,2-LEN(C1920)),C1920),IF(OR(D1920="Easy",D1920=""),1,IF(D1920="Normal",2,IF(D1920="Hard",3,IF(D1920="Hell",4,"error")))),E1920))</f>
        <v>300391019</v>
      </c>
      <c r="B1920" s="74">
        <v>30039</v>
      </c>
      <c r="C1920" s="74">
        <v>10</v>
      </c>
      <c r="D1920" s="74" t="s">
        <v>259</v>
      </c>
      <c r="E1920" s="74">
        <v>9</v>
      </c>
      <c r="F1920" s="75">
        <f t="shared" si="936"/>
        <v>8525</v>
      </c>
      <c r="G1920" s="75">
        <f t="shared" si="936"/>
        <v>8525</v>
      </c>
      <c r="H1920" s="75">
        <f t="shared" si="937"/>
        <v>4000</v>
      </c>
      <c r="I1920" s="75">
        <f t="shared" si="937"/>
        <v>4000</v>
      </c>
      <c r="J1920" s="75">
        <f t="shared" si="938"/>
        <v>13696</v>
      </c>
      <c r="K1920" s="245">
        <v>1000</v>
      </c>
      <c r="L1920" s="75"/>
      <c r="M1920" s="188">
        <f t="shared" ref="M1920:M1927" si="954">(F1920*J1920*((H1920+I1920)/2)/1000)^(1/2)/10*0.8</f>
        <v>1728.8768145822305</v>
      </c>
      <c r="N1920" s="76">
        <v>360</v>
      </c>
      <c r="O1920" s="78" t="s">
        <v>332</v>
      </c>
      <c r="P1920" s="78" t="s">
        <v>1064</v>
      </c>
      <c r="Q1920" s="78" t="s">
        <v>246</v>
      </c>
      <c r="R1920" s="78" t="s">
        <v>733</v>
      </c>
      <c r="S1920" s="190">
        <v>1600</v>
      </c>
      <c r="T1920" s="116"/>
    </row>
    <row r="1921" spans="1:20" s="223" customFormat="1" ht="12.75" customHeight="1" x14ac:dyDescent="0.2">
      <c r="A1921" s="8" t="str">
        <f t="shared" si="953"/>
        <v>300391119</v>
      </c>
      <c r="B1921" s="69">
        <v>30039</v>
      </c>
      <c r="C1921" s="69">
        <v>11</v>
      </c>
      <c r="D1921" s="69" t="s">
        <v>62</v>
      </c>
      <c r="E1921" s="69">
        <v>9</v>
      </c>
      <c r="F1921" s="70">
        <f t="shared" ref="F1921:G1927" si="955">ROUNDDOWN($P1921/4*MIN($O1921,4)*10*$N1921/$N1921*$Q1921/400,0)</f>
        <v>27500</v>
      </c>
      <c r="G1921" s="70">
        <f t="shared" si="955"/>
        <v>27500</v>
      </c>
      <c r="H1921" s="70">
        <f t="shared" ref="H1921:I1927" si="956">ROUNDDOWN($S1921/4*10,0)</f>
        <v>7500</v>
      </c>
      <c r="I1921" s="70">
        <f t="shared" si="956"/>
        <v>7500</v>
      </c>
      <c r="J1921" s="70">
        <f t="shared" si="938"/>
        <v>32761</v>
      </c>
      <c r="K1921" s="133">
        <v>1000</v>
      </c>
      <c r="L1921" s="70"/>
      <c r="M1921" s="131">
        <f t="shared" si="954"/>
        <v>6576.0565690997528</v>
      </c>
      <c r="N1921" s="71">
        <v>310</v>
      </c>
      <c r="O1921" s="72" t="s">
        <v>332</v>
      </c>
      <c r="P1921" s="72" t="s">
        <v>180</v>
      </c>
      <c r="Q1921" s="72" t="s">
        <v>246</v>
      </c>
      <c r="R1921" s="72" t="s">
        <v>1058</v>
      </c>
      <c r="S1921" s="187">
        <f t="shared" ref="S1921:S1924" si="957">P1921*0.6</f>
        <v>3000</v>
      </c>
      <c r="T1921" s="116"/>
    </row>
    <row r="1922" spans="1:20" s="223" customFormat="1" ht="12.75" customHeight="1" x14ac:dyDescent="0.2">
      <c r="A1922" s="8" t="str">
        <f t="shared" si="953"/>
        <v>300391219</v>
      </c>
      <c r="B1922" s="69">
        <v>30039</v>
      </c>
      <c r="C1922" s="69">
        <v>12</v>
      </c>
      <c r="D1922" s="69" t="s">
        <v>62</v>
      </c>
      <c r="E1922" s="69">
        <v>9</v>
      </c>
      <c r="F1922" s="70">
        <f t="shared" si="955"/>
        <v>27500</v>
      </c>
      <c r="G1922" s="70">
        <f t="shared" si="955"/>
        <v>27500</v>
      </c>
      <c r="H1922" s="70">
        <f t="shared" si="956"/>
        <v>7500</v>
      </c>
      <c r="I1922" s="70">
        <f t="shared" si="956"/>
        <v>7500</v>
      </c>
      <c r="J1922" s="70">
        <f t="shared" si="938"/>
        <v>85227</v>
      </c>
      <c r="K1922" s="133">
        <v>1000</v>
      </c>
      <c r="L1922" s="70"/>
      <c r="M1922" s="131">
        <f t="shared" si="954"/>
        <v>10606.584747221888</v>
      </c>
      <c r="N1922" s="71">
        <v>500</v>
      </c>
      <c r="O1922" s="72" t="s">
        <v>332</v>
      </c>
      <c r="P1922" s="72" t="s">
        <v>180</v>
      </c>
      <c r="Q1922" s="72" t="s">
        <v>246</v>
      </c>
      <c r="R1922" s="72" t="s">
        <v>1059</v>
      </c>
      <c r="S1922" s="187">
        <f t="shared" si="957"/>
        <v>3000</v>
      </c>
      <c r="T1922" s="116"/>
    </row>
    <row r="1923" spans="1:20" s="223" customFormat="1" ht="12.75" customHeight="1" x14ac:dyDescent="0.2">
      <c r="A1923" s="8" t="str">
        <f t="shared" si="953"/>
        <v>300391319</v>
      </c>
      <c r="B1923" s="69">
        <v>30039</v>
      </c>
      <c r="C1923" s="69">
        <v>13</v>
      </c>
      <c r="D1923" s="69" t="s">
        <v>62</v>
      </c>
      <c r="E1923" s="69">
        <v>9</v>
      </c>
      <c r="F1923" s="70">
        <f t="shared" si="955"/>
        <v>33000</v>
      </c>
      <c r="G1923" s="70">
        <f t="shared" si="955"/>
        <v>33000</v>
      </c>
      <c r="H1923" s="70">
        <f t="shared" si="956"/>
        <v>9000</v>
      </c>
      <c r="I1923" s="70">
        <f t="shared" si="956"/>
        <v>9000</v>
      </c>
      <c r="J1923" s="70">
        <f t="shared" si="938"/>
        <v>230113</v>
      </c>
      <c r="K1923" s="133">
        <v>1000</v>
      </c>
      <c r="L1923" s="70"/>
      <c r="M1923" s="131">
        <f t="shared" si="954"/>
        <v>20914.081151224411</v>
      </c>
      <c r="N1923" s="71">
        <v>750</v>
      </c>
      <c r="O1923" s="72" t="s">
        <v>332</v>
      </c>
      <c r="P1923" s="72" t="s">
        <v>181</v>
      </c>
      <c r="Q1923" s="72" t="s">
        <v>246</v>
      </c>
      <c r="R1923" s="72" t="s">
        <v>1060</v>
      </c>
      <c r="S1923" s="187">
        <f t="shared" si="957"/>
        <v>3600</v>
      </c>
      <c r="T1923" s="116"/>
    </row>
    <row r="1924" spans="1:20" s="223" customFormat="1" ht="12.75" customHeight="1" x14ac:dyDescent="0.2">
      <c r="A1924" s="8" t="str">
        <f t="shared" si="953"/>
        <v>300391111</v>
      </c>
      <c r="B1924" s="69">
        <v>30039</v>
      </c>
      <c r="C1924" s="69">
        <v>11</v>
      </c>
      <c r="D1924" s="69" t="s">
        <v>62</v>
      </c>
      <c r="E1924" s="69">
        <v>1</v>
      </c>
      <c r="F1924" s="70">
        <f t="shared" si="955"/>
        <v>11000</v>
      </c>
      <c r="G1924" s="70">
        <f t="shared" si="955"/>
        <v>11000</v>
      </c>
      <c r="H1924" s="70">
        <f t="shared" si="956"/>
        <v>3000</v>
      </c>
      <c r="I1924" s="70">
        <f t="shared" si="956"/>
        <v>3000</v>
      </c>
      <c r="J1924" s="70">
        <f t="shared" si="938"/>
        <v>34090</v>
      </c>
      <c r="K1924" s="133">
        <v>1000</v>
      </c>
      <c r="L1924" s="70"/>
      <c r="M1924" s="131">
        <f t="shared" si="954"/>
        <v>2683.2457956735907</v>
      </c>
      <c r="N1924" s="71">
        <v>500</v>
      </c>
      <c r="O1924" s="72" t="s">
        <v>332</v>
      </c>
      <c r="P1924" s="72" t="s">
        <v>202</v>
      </c>
      <c r="Q1924" s="72" t="s">
        <v>246</v>
      </c>
      <c r="R1924" s="72" t="s">
        <v>976</v>
      </c>
      <c r="S1924" s="187">
        <f t="shared" si="957"/>
        <v>1200</v>
      </c>
      <c r="T1924" s="116"/>
    </row>
    <row r="1925" spans="1:20" s="223" customFormat="1" ht="12.75" customHeight="1" x14ac:dyDescent="0.2">
      <c r="A1925" s="8" t="str">
        <f t="shared" ref="A1925:A1927" si="958">IF(B1925="","",CONCATENATE(B1925,CONCATENATE(REPT(0,2-LEN(C1925)),C1925),IF(OR(D1925="Easy",D1925=""),1,IF(D1925="Normal",2,IF(D1925="Hard",3,IF(D1925="Hell",4,"error")))),E1925))</f>
        <v>300390918</v>
      </c>
      <c r="B1925" s="69">
        <v>30039</v>
      </c>
      <c r="C1925" s="191">
        <v>9</v>
      </c>
      <c r="D1925" s="191" t="s">
        <v>259</v>
      </c>
      <c r="E1925" s="191">
        <v>8</v>
      </c>
      <c r="F1925" s="75">
        <f t="shared" si="955"/>
        <v>825</v>
      </c>
      <c r="G1925" s="75">
        <f t="shared" si="955"/>
        <v>825</v>
      </c>
      <c r="H1925" s="75">
        <f t="shared" si="956"/>
        <v>1125</v>
      </c>
      <c r="I1925" s="75">
        <f t="shared" si="956"/>
        <v>1125</v>
      </c>
      <c r="J1925" s="75">
        <f t="shared" si="938"/>
        <v>2454</v>
      </c>
      <c r="K1925" s="245">
        <v>1000</v>
      </c>
      <c r="L1925" s="75"/>
      <c r="M1925" s="188">
        <f t="shared" si="954"/>
        <v>120.73425363168484</v>
      </c>
      <c r="N1925" s="76">
        <v>600</v>
      </c>
      <c r="O1925" s="78" t="s">
        <v>353</v>
      </c>
      <c r="P1925" s="78" t="s">
        <v>284</v>
      </c>
      <c r="Q1925" s="78" t="s">
        <v>246</v>
      </c>
      <c r="R1925" s="78" t="s">
        <v>1065</v>
      </c>
      <c r="S1925" s="190">
        <v>450</v>
      </c>
      <c r="T1925" s="116"/>
    </row>
    <row r="1926" spans="1:20" ht="12.75" customHeight="1" x14ac:dyDescent="0.2">
      <c r="A1926" s="8" t="str">
        <f t="shared" si="958"/>
        <v>300391411</v>
      </c>
      <c r="B1926" s="69">
        <v>30039</v>
      </c>
      <c r="C1926" s="69">
        <v>14</v>
      </c>
      <c r="D1926" s="69" t="s">
        <v>62</v>
      </c>
      <c r="E1926" s="69">
        <v>1</v>
      </c>
      <c r="F1926" s="70">
        <f t="shared" si="955"/>
        <v>270000</v>
      </c>
      <c r="G1926" s="70">
        <f t="shared" si="955"/>
        <v>270000</v>
      </c>
      <c r="H1926" s="70">
        <f t="shared" si="956"/>
        <v>22500</v>
      </c>
      <c r="I1926" s="70">
        <f t="shared" si="956"/>
        <v>22500</v>
      </c>
      <c r="J1926" s="70">
        <f t="shared" si="938"/>
        <v>648000</v>
      </c>
      <c r="K1926" s="233">
        <v>1000</v>
      </c>
      <c r="L1926" s="70"/>
      <c r="M1926" s="131">
        <f t="shared" si="954"/>
        <v>158726.93533234997</v>
      </c>
      <c r="N1926" s="71">
        <v>1800</v>
      </c>
      <c r="O1926" s="72" t="s">
        <v>332</v>
      </c>
      <c r="P1926" s="234">
        <v>12000</v>
      </c>
      <c r="Q1926" s="72" t="s">
        <v>439</v>
      </c>
      <c r="R1926" s="72" t="s">
        <v>1066</v>
      </c>
      <c r="S1926" s="187">
        <v>9000</v>
      </c>
    </row>
    <row r="1927" spans="1:20" ht="12.75" customHeight="1" x14ac:dyDescent="0.2">
      <c r="A1927" s="8" t="str">
        <f t="shared" si="958"/>
        <v>300391419</v>
      </c>
      <c r="B1927" s="69">
        <v>30039</v>
      </c>
      <c r="C1927" s="69">
        <v>14</v>
      </c>
      <c r="D1927" s="69" t="s">
        <v>62</v>
      </c>
      <c r="E1927" s="69">
        <v>9</v>
      </c>
      <c r="F1927" s="70">
        <f t="shared" si="955"/>
        <v>630000</v>
      </c>
      <c r="G1927" s="70">
        <f t="shared" si="955"/>
        <v>630000</v>
      </c>
      <c r="H1927" s="70">
        <f t="shared" si="956"/>
        <v>25000</v>
      </c>
      <c r="I1927" s="70">
        <f t="shared" si="956"/>
        <v>25000</v>
      </c>
      <c r="J1927" s="70">
        <f t="shared" si="938"/>
        <v>6222857</v>
      </c>
      <c r="K1927" s="233">
        <v>1000</v>
      </c>
      <c r="L1927" s="70"/>
      <c r="M1927" s="131">
        <f t="shared" si="954"/>
        <v>791999.99090909085</v>
      </c>
      <c r="N1927" s="71">
        <v>2200</v>
      </c>
      <c r="O1927" s="71">
        <v>20</v>
      </c>
      <c r="P1927" s="71">
        <v>18000</v>
      </c>
      <c r="Q1927" s="72" t="s">
        <v>286</v>
      </c>
      <c r="R1927" s="72" t="s">
        <v>1067</v>
      </c>
      <c r="S1927" s="187">
        <v>10000</v>
      </c>
    </row>
    <row r="1928" spans="1:20" ht="12.75" customHeight="1" x14ac:dyDescent="0.2">
      <c r="A1928" s="38"/>
      <c r="B1928" s="38"/>
      <c r="C1928" s="35" t="s">
        <v>1068</v>
      </c>
      <c r="D1928" s="38"/>
      <c r="E1928" s="38"/>
      <c r="F1928" s="38"/>
      <c r="G1928" s="40"/>
      <c r="H1928" s="38"/>
      <c r="I1928" s="38"/>
      <c r="J1928" s="38"/>
      <c r="K1928" s="133"/>
      <c r="L1928" s="38"/>
      <c r="M1928" s="16"/>
      <c r="N1928" s="42" t="str">
        <f>IF(A1928="","",M1928*#REF!)</f>
        <v/>
      </c>
      <c r="O1928" s="40"/>
      <c r="P1928" s="38"/>
      <c r="Q1928" s="38"/>
      <c r="R1928" s="38"/>
      <c r="S1928" s="40"/>
      <c r="T1928" s="267"/>
    </row>
    <row r="1929" spans="1:20" s="246" customFormat="1" x14ac:dyDescent="0.2">
      <c r="A1929" s="74" t="str">
        <f t="shared" ref="A1929:A1943" si="959">IF(B1929="","",CONCATENATE(B1929,CONCATENATE(REPT(0,2-LEN(C1929)),C1929),IF(OR(D1929="Easy",D1929=""),1,IF(D1929="Normal",2,IF(D1929="Hard",3,IF(D1929="Hell",4,"error")))),E1929))</f>
        <v>300400111</v>
      </c>
      <c r="B1929" s="74">
        <v>30040</v>
      </c>
      <c r="C1929" s="74">
        <v>1</v>
      </c>
      <c r="D1929" s="74" t="s">
        <v>259</v>
      </c>
      <c r="E1929" s="74">
        <v>1</v>
      </c>
      <c r="F1929" s="70">
        <f t="shared" ref="F1929:G1947" si="960">ROUNDDOWN($P1929/4*MIN($O1929,4)*10*$N1929/$N1929*$Q1929/400,0)</f>
        <v>12100</v>
      </c>
      <c r="G1929" s="70">
        <f t="shared" si="960"/>
        <v>12100</v>
      </c>
      <c r="H1929" s="70">
        <f t="shared" ref="H1929:I1947" si="961">ROUNDDOWN($S1929/4*10,0)</f>
        <v>3300</v>
      </c>
      <c r="I1929" s="70">
        <f t="shared" si="961"/>
        <v>3300</v>
      </c>
      <c r="J1929" s="70">
        <f t="shared" ref="J1929:J1962" si="962">ROUNDDOWN($P1929/4*$O1929*10*$N1929/$Q1929*$N1929/400*0.8,0)</f>
        <v>45375</v>
      </c>
      <c r="K1929" s="133">
        <v>1000</v>
      </c>
      <c r="L1929" s="70"/>
      <c r="M1929" s="131">
        <f t="shared" ref="M1929:M1938" si="963">(F1929*J1929*((H1929+I1929)/2)/1000)^(1/2)/10*0.8</f>
        <v>3405.2418416318101</v>
      </c>
      <c r="N1929" s="71">
        <v>550</v>
      </c>
      <c r="O1929" s="72" t="s">
        <v>332</v>
      </c>
      <c r="P1929" s="72" t="s">
        <v>525</v>
      </c>
      <c r="Q1929" s="72" t="s">
        <v>246</v>
      </c>
      <c r="R1929" s="72" t="s">
        <v>899</v>
      </c>
      <c r="S1929" s="187">
        <f t="shared" ref="S1929:S1938" si="964">P1929*0.6</f>
        <v>1320</v>
      </c>
      <c r="T1929" s="116"/>
    </row>
    <row r="1930" spans="1:20" s="246" customFormat="1" x14ac:dyDescent="0.2">
      <c r="A1930" s="74" t="str">
        <f t="shared" si="959"/>
        <v>300400119</v>
      </c>
      <c r="B1930" s="74">
        <v>30040</v>
      </c>
      <c r="C1930" s="74">
        <v>1</v>
      </c>
      <c r="D1930" s="74" t="s">
        <v>259</v>
      </c>
      <c r="E1930" s="74">
        <v>9</v>
      </c>
      <c r="F1930" s="70">
        <f t="shared" si="960"/>
        <v>51170</v>
      </c>
      <c r="G1930" s="70">
        <f t="shared" si="960"/>
        <v>51170</v>
      </c>
      <c r="H1930" s="70">
        <f t="shared" si="961"/>
        <v>4200</v>
      </c>
      <c r="I1930" s="70">
        <f t="shared" si="961"/>
        <v>4200</v>
      </c>
      <c r="J1930" s="70">
        <f t="shared" si="962"/>
        <v>310259</v>
      </c>
      <c r="K1930" s="133">
        <v>1000</v>
      </c>
      <c r="L1930" s="70"/>
      <c r="M1930" s="131">
        <f t="shared" si="963"/>
        <v>20657.822185467667</v>
      </c>
      <c r="N1930" s="71">
        <v>900</v>
      </c>
      <c r="O1930" s="72" t="s">
        <v>243</v>
      </c>
      <c r="P1930" s="72" t="s">
        <v>587</v>
      </c>
      <c r="Q1930" s="72" t="s">
        <v>102</v>
      </c>
      <c r="R1930" s="72" t="s">
        <v>900</v>
      </c>
      <c r="S1930" s="187">
        <f t="shared" si="964"/>
        <v>1680</v>
      </c>
      <c r="T1930" s="116"/>
    </row>
    <row r="1931" spans="1:20" s="246" customFormat="1" x14ac:dyDescent="0.2">
      <c r="A1931" s="74" t="str">
        <f t="shared" si="959"/>
        <v>300400211</v>
      </c>
      <c r="B1931" s="74">
        <v>30040</v>
      </c>
      <c r="C1931" s="74">
        <v>2</v>
      </c>
      <c r="D1931" s="74" t="s">
        <v>259</v>
      </c>
      <c r="E1931" s="74">
        <v>1</v>
      </c>
      <c r="F1931" s="70">
        <f t="shared" si="960"/>
        <v>12100</v>
      </c>
      <c r="G1931" s="70">
        <f t="shared" si="960"/>
        <v>12100</v>
      </c>
      <c r="H1931" s="70">
        <f t="shared" si="961"/>
        <v>3300</v>
      </c>
      <c r="I1931" s="70">
        <f t="shared" si="961"/>
        <v>3300</v>
      </c>
      <c r="J1931" s="70">
        <f t="shared" si="962"/>
        <v>45375</v>
      </c>
      <c r="K1931" s="133">
        <v>1000</v>
      </c>
      <c r="L1931" s="70"/>
      <c r="M1931" s="131">
        <f t="shared" si="963"/>
        <v>3405.2418416318101</v>
      </c>
      <c r="N1931" s="71">
        <v>550</v>
      </c>
      <c r="O1931" s="72" t="s">
        <v>332</v>
      </c>
      <c r="P1931" s="72" t="s">
        <v>525</v>
      </c>
      <c r="Q1931" s="72" t="s">
        <v>246</v>
      </c>
      <c r="R1931" s="72" t="s">
        <v>899</v>
      </c>
      <c r="S1931" s="187">
        <f t="shared" si="964"/>
        <v>1320</v>
      </c>
      <c r="T1931" s="116"/>
    </row>
    <row r="1932" spans="1:20" s="247" customFormat="1" x14ac:dyDescent="0.2">
      <c r="A1932" s="74" t="str">
        <f t="shared" si="959"/>
        <v>300400219</v>
      </c>
      <c r="B1932" s="74">
        <v>30040</v>
      </c>
      <c r="C1932" s="74">
        <v>2</v>
      </c>
      <c r="D1932" s="74" t="s">
        <v>259</v>
      </c>
      <c r="E1932" s="74">
        <v>9</v>
      </c>
      <c r="F1932" s="70">
        <f t="shared" si="960"/>
        <v>51170</v>
      </c>
      <c r="G1932" s="70">
        <f t="shared" si="960"/>
        <v>51170</v>
      </c>
      <c r="H1932" s="70">
        <f t="shared" si="961"/>
        <v>4200</v>
      </c>
      <c r="I1932" s="70">
        <f t="shared" si="961"/>
        <v>4200</v>
      </c>
      <c r="J1932" s="70">
        <f t="shared" si="962"/>
        <v>310259</v>
      </c>
      <c r="K1932" s="133">
        <v>1000</v>
      </c>
      <c r="L1932" s="70"/>
      <c r="M1932" s="131">
        <f t="shared" si="963"/>
        <v>20657.822185467667</v>
      </c>
      <c r="N1932" s="71">
        <v>900</v>
      </c>
      <c r="O1932" s="72" t="s">
        <v>243</v>
      </c>
      <c r="P1932" s="72" t="s">
        <v>587</v>
      </c>
      <c r="Q1932" s="72" t="s">
        <v>102</v>
      </c>
      <c r="R1932" s="72" t="s">
        <v>900</v>
      </c>
      <c r="S1932" s="187">
        <f t="shared" si="964"/>
        <v>1680</v>
      </c>
      <c r="T1932" s="116"/>
    </row>
    <row r="1933" spans="1:20" s="246" customFormat="1" x14ac:dyDescent="0.2">
      <c r="A1933" s="74" t="str">
        <f t="shared" si="959"/>
        <v>300400311</v>
      </c>
      <c r="B1933" s="74">
        <v>30040</v>
      </c>
      <c r="C1933" s="74">
        <v>3</v>
      </c>
      <c r="D1933" s="74" t="s">
        <v>259</v>
      </c>
      <c r="E1933" s="74">
        <v>1</v>
      </c>
      <c r="F1933" s="70">
        <f t="shared" si="960"/>
        <v>12100</v>
      </c>
      <c r="G1933" s="70">
        <f t="shared" si="960"/>
        <v>12100</v>
      </c>
      <c r="H1933" s="70">
        <f t="shared" si="961"/>
        <v>3300</v>
      </c>
      <c r="I1933" s="70">
        <f t="shared" si="961"/>
        <v>3300</v>
      </c>
      <c r="J1933" s="70">
        <f t="shared" si="962"/>
        <v>45375</v>
      </c>
      <c r="K1933" s="133">
        <v>1000</v>
      </c>
      <c r="L1933" s="70"/>
      <c r="M1933" s="131">
        <f t="shared" si="963"/>
        <v>3405.2418416318101</v>
      </c>
      <c r="N1933" s="71">
        <v>550</v>
      </c>
      <c r="O1933" s="72" t="s">
        <v>332</v>
      </c>
      <c r="P1933" s="72" t="s">
        <v>525</v>
      </c>
      <c r="Q1933" s="72" t="s">
        <v>246</v>
      </c>
      <c r="R1933" s="72" t="s">
        <v>899</v>
      </c>
      <c r="S1933" s="187">
        <f t="shared" si="964"/>
        <v>1320</v>
      </c>
      <c r="T1933" s="116"/>
    </row>
    <row r="1934" spans="1:20" s="246" customFormat="1" x14ac:dyDescent="0.2">
      <c r="A1934" s="74" t="str">
        <f t="shared" si="959"/>
        <v>300400319</v>
      </c>
      <c r="B1934" s="74">
        <v>30040</v>
      </c>
      <c r="C1934" s="74">
        <v>3</v>
      </c>
      <c r="D1934" s="74" t="s">
        <v>259</v>
      </c>
      <c r="E1934" s="74">
        <v>9</v>
      </c>
      <c r="F1934" s="70">
        <f t="shared" si="960"/>
        <v>45687</v>
      </c>
      <c r="G1934" s="70">
        <f t="shared" si="960"/>
        <v>45687</v>
      </c>
      <c r="H1934" s="70">
        <f t="shared" si="961"/>
        <v>3750</v>
      </c>
      <c r="I1934" s="70">
        <f t="shared" si="961"/>
        <v>3750</v>
      </c>
      <c r="J1934" s="70">
        <f t="shared" si="962"/>
        <v>277017</v>
      </c>
      <c r="K1934" s="133">
        <v>1000</v>
      </c>
      <c r="L1934" s="70"/>
      <c r="M1934" s="131">
        <f t="shared" si="963"/>
        <v>17428.305032216987</v>
      </c>
      <c r="N1934" s="71">
        <v>900</v>
      </c>
      <c r="O1934" s="72" t="s">
        <v>243</v>
      </c>
      <c r="P1934" s="72" t="s">
        <v>585</v>
      </c>
      <c r="Q1934" s="72" t="s">
        <v>102</v>
      </c>
      <c r="R1934" s="72" t="s">
        <v>900</v>
      </c>
      <c r="S1934" s="187">
        <f t="shared" si="964"/>
        <v>1500</v>
      </c>
      <c r="T1934" s="116"/>
    </row>
    <row r="1935" spans="1:20" s="246" customFormat="1" x14ac:dyDescent="0.2">
      <c r="A1935" s="74" t="str">
        <f t="shared" si="959"/>
        <v>300400411</v>
      </c>
      <c r="B1935" s="74">
        <v>30040</v>
      </c>
      <c r="C1935" s="74">
        <v>4</v>
      </c>
      <c r="D1935" s="74" t="s">
        <v>259</v>
      </c>
      <c r="E1935" s="74">
        <v>1</v>
      </c>
      <c r="F1935" s="70">
        <f t="shared" si="960"/>
        <v>12100</v>
      </c>
      <c r="G1935" s="70">
        <f t="shared" si="960"/>
        <v>12100</v>
      </c>
      <c r="H1935" s="70">
        <f t="shared" si="961"/>
        <v>3300</v>
      </c>
      <c r="I1935" s="70">
        <f t="shared" si="961"/>
        <v>3300</v>
      </c>
      <c r="J1935" s="70">
        <f t="shared" si="962"/>
        <v>45375</v>
      </c>
      <c r="K1935" s="133">
        <v>1000</v>
      </c>
      <c r="L1935" s="70"/>
      <c r="M1935" s="131">
        <f t="shared" si="963"/>
        <v>3405.2418416318101</v>
      </c>
      <c r="N1935" s="71">
        <v>550</v>
      </c>
      <c r="O1935" s="72" t="s">
        <v>332</v>
      </c>
      <c r="P1935" s="72" t="s">
        <v>525</v>
      </c>
      <c r="Q1935" s="72" t="s">
        <v>246</v>
      </c>
      <c r="R1935" s="72" t="s">
        <v>899</v>
      </c>
      <c r="S1935" s="187">
        <f t="shared" si="964"/>
        <v>1320</v>
      </c>
      <c r="T1935" s="116"/>
    </row>
    <row r="1936" spans="1:20" s="246" customFormat="1" x14ac:dyDescent="0.2">
      <c r="A1936" s="74" t="str">
        <f t="shared" si="959"/>
        <v>300400419</v>
      </c>
      <c r="B1936" s="74">
        <v>30040</v>
      </c>
      <c r="C1936" s="74">
        <v>4</v>
      </c>
      <c r="D1936" s="74" t="s">
        <v>259</v>
      </c>
      <c r="E1936" s="74">
        <v>9</v>
      </c>
      <c r="F1936" s="70">
        <f t="shared" si="960"/>
        <v>47515</v>
      </c>
      <c r="G1936" s="70">
        <f t="shared" si="960"/>
        <v>47515</v>
      </c>
      <c r="H1936" s="70">
        <f t="shared" si="961"/>
        <v>3900</v>
      </c>
      <c r="I1936" s="70">
        <f t="shared" si="961"/>
        <v>3900</v>
      </c>
      <c r="J1936" s="70">
        <f t="shared" si="962"/>
        <v>288098</v>
      </c>
      <c r="K1936" s="133">
        <v>1000</v>
      </c>
      <c r="L1936" s="70"/>
      <c r="M1936" s="131">
        <f t="shared" si="963"/>
        <v>18484.503041499385</v>
      </c>
      <c r="N1936" s="71">
        <v>900</v>
      </c>
      <c r="O1936" s="72" t="s">
        <v>243</v>
      </c>
      <c r="P1936" s="72" t="s">
        <v>447</v>
      </c>
      <c r="Q1936" s="72" t="s">
        <v>102</v>
      </c>
      <c r="R1936" s="72" t="s">
        <v>900</v>
      </c>
      <c r="S1936" s="187">
        <f t="shared" si="964"/>
        <v>1560</v>
      </c>
      <c r="T1936" s="116"/>
    </row>
    <row r="1937" spans="1:20" s="247" customFormat="1" x14ac:dyDescent="0.2">
      <c r="A1937" s="74" t="str">
        <f t="shared" si="959"/>
        <v>300400511</v>
      </c>
      <c r="B1937" s="74">
        <v>30040</v>
      </c>
      <c r="C1937" s="74">
        <v>5</v>
      </c>
      <c r="D1937" s="74" t="s">
        <v>259</v>
      </c>
      <c r="E1937" s="74">
        <v>1</v>
      </c>
      <c r="F1937" s="70">
        <f t="shared" si="960"/>
        <v>12100</v>
      </c>
      <c r="G1937" s="70">
        <f t="shared" si="960"/>
        <v>12100</v>
      </c>
      <c r="H1937" s="70">
        <f t="shared" si="961"/>
        <v>3300</v>
      </c>
      <c r="I1937" s="70">
        <f t="shared" si="961"/>
        <v>3300</v>
      </c>
      <c r="J1937" s="70">
        <f t="shared" si="962"/>
        <v>45375</v>
      </c>
      <c r="K1937" s="133">
        <v>1000</v>
      </c>
      <c r="L1937" s="70"/>
      <c r="M1937" s="131">
        <f t="shared" si="963"/>
        <v>3405.2418416318101</v>
      </c>
      <c r="N1937" s="71">
        <v>550</v>
      </c>
      <c r="O1937" s="72" t="s">
        <v>332</v>
      </c>
      <c r="P1937" s="72" t="s">
        <v>525</v>
      </c>
      <c r="Q1937" s="72" t="s">
        <v>246</v>
      </c>
      <c r="R1937" s="72" t="s">
        <v>899</v>
      </c>
      <c r="S1937" s="187">
        <f t="shared" si="964"/>
        <v>1320</v>
      </c>
      <c r="T1937" s="116"/>
    </row>
    <row r="1938" spans="1:20" s="247" customFormat="1" x14ac:dyDescent="0.2">
      <c r="A1938" s="74" t="str">
        <f t="shared" si="959"/>
        <v>300400519</v>
      </c>
      <c r="B1938" s="74">
        <v>30040</v>
      </c>
      <c r="C1938" s="74">
        <v>5</v>
      </c>
      <c r="D1938" s="74" t="s">
        <v>259</v>
      </c>
      <c r="E1938" s="74">
        <v>9</v>
      </c>
      <c r="F1938" s="70">
        <f t="shared" si="960"/>
        <v>51170</v>
      </c>
      <c r="G1938" s="70">
        <f t="shared" si="960"/>
        <v>51170</v>
      </c>
      <c r="H1938" s="70">
        <f t="shared" si="961"/>
        <v>4200</v>
      </c>
      <c r="I1938" s="70">
        <f t="shared" si="961"/>
        <v>4200</v>
      </c>
      <c r="J1938" s="70">
        <f t="shared" si="962"/>
        <v>310259</v>
      </c>
      <c r="K1938" s="133">
        <v>1000</v>
      </c>
      <c r="L1938" s="70"/>
      <c r="M1938" s="131">
        <f t="shared" si="963"/>
        <v>20657.822185467667</v>
      </c>
      <c r="N1938" s="71">
        <v>900</v>
      </c>
      <c r="O1938" s="72" t="s">
        <v>243</v>
      </c>
      <c r="P1938" s="72" t="s">
        <v>587</v>
      </c>
      <c r="Q1938" s="72" t="s">
        <v>102</v>
      </c>
      <c r="R1938" s="72" t="s">
        <v>900</v>
      </c>
      <c r="S1938" s="187">
        <f t="shared" si="964"/>
        <v>1680</v>
      </c>
      <c r="T1938" s="116"/>
    </row>
    <row r="1939" spans="1:20" s="246" customFormat="1" x14ac:dyDescent="0.2">
      <c r="A1939" s="74" t="str">
        <f t="shared" si="959"/>
        <v>300400611</v>
      </c>
      <c r="B1939" s="74">
        <v>30040</v>
      </c>
      <c r="C1939" s="74">
        <v>6</v>
      </c>
      <c r="D1939" s="74" t="s">
        <v>259</v>
      </c>
      <c r="E1939" s="74">
        <v>1</v>
      </c>
      <c r="F1939" s="70">
        <f t="shared" si="960"/>
        <v>12100</v>
      </c>
      <c r="G1939" s="70">
        <f t="shared" si="960"/>
        <v>12100</v>
      </c>
      <c r="H1939" s="70">
        <f t="shared" si="961"/>
        <v>3300</v>
      </c>
      <c r="I1939" s="70">
        <f t="shared" si="961"/>
        <v>3300</v>
      </c>
      <c r="J1939" s="70">
        <f t="shared" si="962"/>
        <v>45375</v>
      </c>
      <c r="K1939" s="133">
        <v>1000</v>
      </c>
      <c r="L1939" s="70"/>
      <c r="M1939" s="131">
        <f t="shared" ref="M1939:M1943" si="965">(F1939*J1939*((H1939+I1939)/2)/1000)^(1/2)/10*0.8</f>
        <v>3405.2418416318101</v>
      </c>
      <c r="N1939" s="71">
        <v>550</v>
      </c>
      <c r="O1939" s="72" t="s">
        <v>332</v>
      </c>
      <c r="P1939" s="72" t="s">
        <v>525</v>
      </c>
      <c r="Q1939" s="72" t="s">
        <v>246</v>
      </c>
      <c r="R1939" s="72" t="s">
        <v>899</v>
      </c>
      <c r="S1939" s="187">
        <f t="shared" ref="S1939:S1943" si="966">P1939*0.6</f>
        <v>1320</v>
      </c>
      <c r="T1939" s="116"/>
    </row>
    <row r="1940" spans="1:20" s="246" customFormat="1" x14ac:dyDescent="0.2">
      <c r="A1940" s="74" t="str">
        <f t="shared" si="959"/>
        <v>300400619</v>
      </c>
      <c r="B1940" s="74">
        <v>30040</v>
      </c>
      <c r="C1940" s="74">
        <v>6</v>
      </c>
      <c r="D1940" s="74" t="s">
        <v>259</v>
      </c>
      <c r="E1940" s="74">
        <v>9</v>
      </c>
      <c r="F1940" s="70">
        <f t="shared" si="960"/>
        <v>51170</v>
      </c>
      <c r="G1940" s="70">
        <f t="shared" si="960"/>
        <v>51170</v>
      </c>
      <c r="H1940" s="70">
        <f t="shared" si="961"/>
        <v>4200</v>
      </c>
      <c r="I1940" s="70">
        <f t="shared" si="961"/>
        <v>4200</v>
      </c>
      <c r="J1940" s="70">
        <f t="shared" si="962"/>
        <v>310259</v>
      </c>
      <c r="K1940" s="133">
        <v>1000</v>
      </c>
      <c r="L1940" s="70"/>
      <c r="M1940" s="131">
        <f t="shared" si="965"/>
        <v>20657.822185467667</v>
      </c>
      <c r="N1940" s="71">
        <v>900</v>
      </c>
      <c r="O1940" s="72" t="s">
        <v>243</v>
      </c>
      <c r="P1940" s="72" t="s">
        <v>587</v>
      </c>
      <c r="Q1940" s="72" t="s">
        <v>102</v>
      </c>
      <c r="R1940" s="72" t="s">
        <v>900</v>
      </c>
      <c r="S1940" s="187">
        <f t="shared" si="966"/>
        <v>1680</v>
      </c>
      <c r="T1940" s="116"/>
    </row>
    <row r="1941" spans="1:20" s="247" customFormat="1" x14ac:dyDescent="0.2">
      <c r="A1941" s="74" t="str">
        <f t="shared" si="959"/>
        <v>300400711</v>
      </c>
      <c r="B1941" s="74">
        <v>30040</v>
      </c>
      <c r="C1941" s="74">
        <v>7</v>
      </c>
      <c r="D1941" s="74" t="s">
        <v>259</v>
      </c>
      <c r="E1941" s="74">
        <v>1</v>
      </c>
      <c r="F1941" s="70">
        <f t="shared" si="960"/>
        <v>12100</v>
      </c>
      <c r="G1941" s="70">
        <f t="shared" si="960"/>
        <v>12100</v>
      </c>
      <c r="H1941" s="70">
        <f t="shared" si="961"/>
        <v>3300</v>
      </c>
      <c r="I1941" s="70">
        <f t="shared" si="961"/>
        <v>3300</v>
      </c>
      <c r="J1941" s="70">
        <f t="shared" si="962"/>
        <v>45375</v>
      </c>
      <c r="K1941" s="133">
        <v>1000</v>
      </c>
      <c r="L1941" s="70"/>
      <c r="M1941" s="131">
        <f t="shared" si="965"/>
        <v>3405.2418416318101</v>
      </c>
      <c r="N1941" s="71">
        <v>550</v>
      </c>
      <c r="O1941" s="72" t="s">
        <v>332</v>
      </c>
      <c r="P1941" s="72" t="s">
        <v>525</v>
      </c>
      <c r="Q1941" s="72" t="s">
        <v>246</v>
      </c>
      <c r="R1941" s="72" t="s">
        <v>899</v>
      </c>
      <c r="S1941" s="187">
        <f t="shared" si="966"/>
        <v>1320</v>
      </c>
      <c r="T1941" s="116"/>
    </row>
    <row r="1942" spans="1:20" s="247" customFormat="1" x14ac:dyDescent="0.2">
      <c r="A1942" s="74" t="str">
        <f t="shared" si="959"/>
        <v>300400719</v>
      </c>
      <c r="B1942" s="74">
        <v>30040</v>
      </c>
      <c r="C1942" s="74">
        <v>7</v>
      </c>
      <c r="D1942" s="74" t="s">
        <v>259</v>
      </c>
      <c r="E1942" s="74">
        <v>9</v>
      </c>
      <c r="F1942" s="70">
        <f t="shared" si="960"/>
        <v>51170</v>
      </c>
      <c r="G1942" s="70">
        <f t="shared" si="960"/>
        <v>51170</v>
      </c>
      <c r="H1942" s="70">
        <f t="shared" si="961"/>
        <v>4200</v>
      </c>
      <c r="I1942" s="70">
        <f t="shared" si="961"/>
        <v>4200</v>
      </c>
      <c r="J1942" s="70">
        <f t="shared" si="962"/>
        <v>310259</v>
      </c>
      <c r="K1942" s="133">
        <v>1000</v>
      </c>
      <c r="L1942" s="70"/>
      <c r="M1942" s="131">
        <f t="shared" si="965"/>
        <v>20657.822185467667</v>
      </c>
      <c r="N1942" s="71">
        <v>900</v>
      </c>
      <c r="O1942" s="72" t="s">
        <v>243</v>
      </c>
      <c r="P1942" s="72" t="s">
        <v>587</v>
      </c>
      <c r="Q1942" s="72" t="s">
        <v>102</v>
      </c>
      <c r="R1942" s="72" t="s">
        <v>900</v>
      </c>
      <c r="S1942" s="187">
        <f t="shared" si="966"/>
        <v>1680</v>
      </c>
      <c r="T1942" s="116"/>
    </row>
    <row r="1943" spans="1:20" s="246" customFormat="1" x14ac:dyDescent="0.2">
      <c r="A1943" s="74" t="str">
        <f t="shared" si="959"/>
        <v>300400811</v>
      </c>
      <c r="B1943" s="74">
        <v>30040</v>
      </c>
      <c r="C1943" s="74">
        <v>8</v>
      </c>
      <c r="D1943" s="74" t="s">
        <v>259</v>
      </c>
      <c r="E1943" s="74">
        <v>1</v>
      </c>
      <c r="F1943" s="70">
        <f t="shared" si="960"/>
        <v>12100</v>
      </c>
      <c r="G1943" s="70">
        <f t="shared" si="960"/>
        <v>12100</v>
      </c>
      <c r="H1943" s="70">
        <f t="shared" si="961"/>
        <v>3300</v>
      </c>
      <c r="I1943" s="70">
        <f t="shared" si="961"/>
        <v>3300</v>
      </c>
      <c r="J1943" s="70">
        <f t="shared" si="962"/>
        <v>45375</v>
      </c>
      <c r="K1943" s="133">
        <v>1000</v>
      </c>
      <c r="L1943" s="70"/>
      <c r="M1943" s="131">
        <f t="shared" si="965"/>
        <v>3405.2418416318101</v>
      </c>
      <c r="N1943" s="71">
        <v>550</v>
      </c>
      <c r="O1943" s="72" t="s">
        <v>332</v>
      </c>
      <c r="P1943" s="72" t="s">
        <v>525</v>
      </c>
      <c r="Q1943" s="72" t="s">
        <v>246</v>
      </c>
      <c r="R1943" s="72" t="s">
        <v>899</v>
      </c>
      <c r="S1943" s="187">
        <f t="shared" si="966"/>
        <v>1320</v>
      </c>
      <c r="T1943" s="116"/>
    </row>
    <row r="1944" spans="1:20" s="247" customFormat="1" x14ac:dyDescent="0.2">
      <c r="A1944" s="74" t="str">
        <f t="shared" ref="A1944:A1945" si="967">IF(B1944="","",CONCATENATE(B1944,CONCATENATE(REPT(0,2-LEN(C1944)),C1944),IF(OR(D1944="Easy",D1944=""),1,IF(D1944="Normal",2,IF(D1944="Hard",3,IF(D1944="Hell",4,"error")))),E1944))</f>
        <v>300400819</v>
      </c>
      <c r="B1944" s="74">
        <v>30040</v>
      </c>
      <c r="C1944" s="74">
        <v>8</v>
      </c>
      <c r="D1944" s="74" t="s">
        <v>259</v>
      </c>
      <c r="E1944" s="74">
        <v>9</v>
      </c>
      <c r="F1944" s="70">
        <f t="shared" si="960"/>
        <v>51170</v>
      </c>
      <c r="G1944" s="70">
        <f t="shared" si="960"/>
        <v>51170</v>
      </c>
      <c r="H1944" s="70">
        <f t="shared" si="961"/>
        <v>4200</v>
      </c>
      <c r="I1944" s="70">
        <f t="shared" si="961"/>
        <v>4200</v>
      </c>
      <c r="J1944" s="70">
        <f t="shared" si="962"/>
        <v>317192</v>
      </c>
      <c r="K1944" s="133">
        <v>1000</v>
      </c>
      <c r="L1944" s="70"/>
      <c r="M1944" s="131">
        <f t="shared" ref="M1944:M1945" si="968">(F1944*J1944*((H1944+I1944)/2)/1000)^(1/2)/10*0.8</f>
        <v>20887.355254392551</v>
      </c>
      <c r="N1944" s="71">
        <v>910</v>
      </c>
      <c r="O1944" s="72" t="s">
        <v>243</v>
      </c>
      <c r="P1944" s="72" t="s">
        <v>587</v>
      </c>
      <c r="Q1944" s="72" t="s">
        <v>102</v>
      </c>
      <c r="R1944" s="72" t="s">
        <v>900</v>
      </c>
      <c r="S1944" s="187">
        <f t="shared" ref="S1944:S1945" si="969">P1944*0.6</f>
        <v>1680</v>
      </c>
      <c r="T1944" s="116"/>
    </row>
    <row r="1945" spans="1:20" s="246" customFormat="1" x14ac:dyDescent="0.2">
      <c r="A1945" s="74" t="str">
        <f t="shared" si="967"/>
        <v>300400911</v>
      </c>
      <c r="B1945" s="74">
        <v>30040</v>
      </c>
      <c r="C1945" s="74">
        <v>9</v>
      </c>
      <c r="D1945" s="74" t="s">
        <v>259</v>
      </c>
      <c r="E1945" s="74">
        <v>1</v>
      </c>
      <c r="F1945" s="70">
        <f t="shared" si="960"/>
        <v>12100</v>
      </c>
      <c r="G1945" s="70">
        <f t="shared" si="960"/>
        <v>12100</v>
      </c>
      <c r="H1945" s="70">
        <f t="shared" si="961"/>
        <v>3300</v>
      </c>
      <c r="I1945" s="70">
        <f t="shared" si="961"/>
        <v>3300</v>
      </c>
      <c r="J1945" s="70">
        <f t="shared" si="962"/>
        <v>45375</v>
      </c>
      <c r="K1945" s="133">
        <v>1000</v>
      </c>
      <c r="L1945" s="70"/>
      <c r="M1945" s="131">
        <f t="shared" si="968"/>
        <v>3405.2418416318101</v>
      </c>
      <c r="N1945" s="71">
        <v>550</v>
      </c>
      <c r="O1945" s="72" t="s">
        <v>332</v>
      </c>
      <c r="P1945" s="72" t="s">
        <v>525</v>
      </c>
      <c r="Q1945" s="72" t="s">
        <v>246</v>
      </c>
      <c r="R1945" s="72" t="s">
        <v>899</v>
      </c>
      <c r="S1945" s="187">
        <f t="shared" si="969"/>
        <v>1320</v>
      </c>
      <c r="T1945" s="116"/>
    </row>
    <row r="1946" spans="1:20" s="247" customFormat="1" x14ac:dyDescent="0.2">
      <c r="A1946" s="74" t="str">
        <f t="shared" ref="A1946:A1949" si="970">IF(B1946="","",CONCATENATE(B1946,CONCATENATE(REPT(0,2-LEN(C1946)),C1946),IF(OR(D1946="Easy",D1946=""),1,IF(D1946="Normal",2,IF(D1946="Hard",3,IF(D1946="Hell",4,"error")))),E1946))</f>
        <v>300400919</v>
      </c>
      <c r="B1946" s="74">
        <v>30040</v>
      </c>
      <c r="C1946" s="74">
        <v>9</v>
      </c>
      <c r="D1946" s="74" t="s">
        <v>259</v>
      </c>
      <c r="E1946" s="74">
        <v>9</v>
      </c>
      <c r="F1946" s="70">
        <f t="shared" ref="F1946:G1946" si="971">ROUNDDOWN($P1946/4*MIN($O1946,4)*10*$N1946/$N1946*$Q1946/400,0)</f>
        <v>51170</v>
      </c>
      <c r="G1946" s="70">
        <f t="shared" si="971"/>
        <v>51170</v>
      </c>
      <c r="H1946" s="70">
        <f t="shared" ref="H1946:I1946" si="972">ROUNDDOWN($S1946/4*10,0)</f>
        <v>4200</v>
      </c>
      <c r="I1946" s="70">
        <f t="shared" si="972"/>
        <v>4200</v>
      </c>
      <c r="J1946" s="70">
        <f t="shared" si="962"/>
        <v>317192</v>
      </c>
      <c r="K1946" s="133">
        <v>1000</v>
      </c>
      <c r="L1946" s="70"/>
      <c r="M1946" s="131">
        <f t="shared" ref="M1946:M1949" si="973">(F1946*J1946*((H1946+I1946)/2)/1000)^(1/2)/10*0.8</f>
        <v>20887.355254392551</v>
      </c>
      <c r="N1946" s="71">
        <v>910</v>
      </c>
      <c r="O1946" s="72" t="s">
        <v>243</v>
      </c>
      <c r="P1946" s="72" t="s">
        <v>587</v>
      </c>
      <c r="Q1946" s="72" t="s">
        <v>102</v>
      </c>
      <c r="R1946" s="72" t="s">
        <v>900</v>
      </c>
      <c r="S1946" s="187">
        <f t="shared" ref="S1946:S1949" si="974">P1946*0.6</f>
        <v>1680</v>
      </c>
      <c r="T1946" s="116"/>
    </row>
    <row r="1947" spans="1:20" s="246" customFormat="1" x14ac:dyDescent="0.2">
      <c r="A1947" s="74" t="str">
        <f t="shared" si="970"/>
        <v>300401011</v>
      </c>
      <c r="B1947" s="74">
        <v>30040</v>
      </c>
      <c r="C1947" s="74">
        <v>10</v>
      </c>
      <c r="D1947" s="74" t="s">
        <v>259</v>
      </c>
      <c r="E1947" s="74">
        <v>1</v>
      </c>
      <c r="F1947" s="70">
        <f t="shared" si="960"/>
        <v>12100</v>
      </c>
      <c r="G1947" s="70">
        <f t="shared" si="960"/>
        <v>12100</v>
      </c>
      <c r="H1947" s="70">
        <f t="shared" si="961"/>
        <v>3300</v>
      </c>
      <c r="I1947" s="70">
        <f t="shared" si="961"/>
        <v>3300</v>
      </c>
      <c r="J1947" s="70">
        <f t="shared" si="962"/>
        <v>45375</v>
      </c>
      <c r="K1947" s="133">
        <v>1000</v>
      </c>
      <c r="L1947" s="70"/>
      <c r="M1947" s="131">
        <f t="shared" si="973"/>
        <v>3405.2418416318101</v>
      </c>
      <c r="N1947" s="71">
        <v>550</v>
      </c>
      <c r="O1947" s="72" t="s">
        <v>332</v>
      </c>
      <c r="P1947" s="72" t="s">
        <v>525</v>
      </c>
      <c r="Q1947" s="72" t="s">
        <v>246</v>
      </c>
      <c r="R1947" s="72" t="s">
        <v>899</v>
      </c>
      <c r="S1947" s="187">
        <f t="shared" si="974"/>
        <v>1320</v>
      </c>
      <c r="T1947" s="116"/>
    </row>
    <row r="1948" spans="1:20" s="247" customFormat="1" x14ac:dyDescent="0.2">
      <c r="A1948" s="74" t="str">
        <f t="shared" si="970"/>
        <v>300401019</v>
      </c>
      <c r="B1948" s="74">
        <v>30040</v>
      </c>
      <c r="C1948" s="74">
        <v>10</v>
      </c>
      <c r="D1948" s="74" t="s">
        <v>259</v>
      </c>
      <c r="E1948" s="74">
        <v>9</v>
      </c>
      <c r="F1948" s="70">
        <f t="shared" ref="F1948:G1962" si="975">ROUNDDOWN($P1948/4*MIN($O1948,4)*10*$N1948/$N1948*$Q1948/400,0)</f>
        <v>51170</v>
      </c>
      <c r="G1948" s="70">
        <f t="shared" si="975"/>
        <v>51170</v>
      </c>
      <c r="H1948" s="70">
        <f t="shared" ref="H1948:I1962" si="976">ROUNDDOWN($S1948/4*10,0)</f>
        <v>4200</v>
      </c>
      <c r="I1948" s="70">
        <f t="shared" si="976"/>
        <v>4200</v>
      </c>
      <c r="J1948" s="70">
        <f t="shared" si="962"/>
        <v>324202</v>
      </c>
      <c r="K1948" s="133">
        <v>1000</v>
      </c>
      <c r="L1948" s="70"/>
      <c r="M1948" s="131">
        <f t="shared" si="973"/>
        <v>21116.901079921743</v>
      </c>
      <c r="N1948" s="71">
        <v>920</v>
      </c>
      <c r="O1948" s="72" t="s">
        <v>243</v>
      </c>
      <c r="P1948" s="72" t="s">
        <v>587</v>
      </c>
      <c r="Q1948" s="72" t="s">
        <v>102</v>
      </c>
      <c r="R1948" s="72" t="s">
        <v>900</v>
      </c>
      <c r="S1948" s="187">
        <f t="shared" si="974"/>
        <v>1680</v>
      </c>
      <c r="T1948" s="116"/>
    </row>
    <row r="1949" spans="1:20" s="246" customFormat="1" x14ac:dyDescent="0.2">
      <c r="A1949" s="74" t="str">
        <f t="shared" si="970"/>
        <v>300401111</v>
      </c>
      <c r="B1949" s="74">
        <v>30040</v>
      </c>
      <c r="C1949" s="74">
        <v>11</v>
      </c>
      <c r="D1949" s="74" t="s">
        <v>259</v>
      </c>
      <c r="E1949" s="74">
        <v>1</v>
      </c>
      <c r="F1949" s="70">
        <f t="shared" si="975"/>
        <v>12100</v>
      </c>
      <c r="G1949" s="70">
        <f t="shared" si="975"/>
        <v>12100</v>
      </c>
      <c r="H1949" s="70">
        <f t="shared" si="976"/>
        <v>3300</v>
      </c>
      <c r="I1949" s="70">
        <f t="shared" si="976"/>
        <v>3300</v>
      </c>
      <c r="J1949" s="70">
        <f t="shared" si="962"/>
        <v>45375</v>
      </c>
      <c r="K1949" s="133">
        <v>1000</v>
      </c>
      <c r="L1949" s="70"/>
      <c r="M1949" s="131">
        <f t="shared" si="973"/>
        <v>3405.2418416318101</v>
      </c>
      <c r="N1949" s="71">
        <v>550</v>
      </c>
      <c r="O1949" s="72" t="s">
        <v>332</v>
      </c>
      <c r="P1949" s="72" t="s">
        <v>525</v>
      </c>
      <c r="Q1949" s="72" t="s">
        <v>246</v>
      </c>
      <c r="R1949" s="72" t="s">
        <v>899</v>
      </c>
      <c r="S1949" s="187">
        <f t="shared" si="974"/>
        <v>1320</v>
      </c>
      <c r="T1949" s="116"/>
    </row>
    <row r="1950" spans="1:20" s="247" customFormat="1" x14ac:dyDescent="0.2">
      <c r="A1950" s="74" t="str">
        <f t="shared" ref="A1950:A1951" si="977">IF(B1950="","",CONCATENATE(B1950,CONCATENATE(REPT(0,2-LEN(C1950)),C1950),IF(OR(D1950="Easy",D1950=""),1,IF(D1950="Normal",2,IF(D1950="Hard",3,IF(D1950="Hell",4,"error")))),E1950))</f>
        <v>300401119</v>
      </c>
      <c r="B1950" s="74">
        <v>30040</v>
      </c>
      <c r="C1950" s="74">
        <v>11</v>
      </c>
      <c r="D1950" s="74" t="s">
        <v>259</v>
      </c>
      <c r="E1950" s="74">
        <v>9</v>
      </c>
      <c r="F1950" s="70">
        <f t="shared" si="975"/>
        <v>51170</v>
      </c>
      <c r="G1950" s="70">
        <f t="shared" si="975"/>
        <v>51170</v>
      </c>
      <c r="H1950" s="70">
        <f t="shared" si="976"/>
        <v>4200</v>
      </c>
      <c r="I1950" s="70">
        <f t="shared" si="976"/>
        <v>4200</v>
      </c>
      <c r="J1950" s="70">
        <f t="shared" si="962"/>
        <v>324202</v>
      </c>
      <c r="K1950" s="133">
        <v>1000</v>
      </c>
      <c r="L1950" s="70"/>
      <c r="M1950" s="131">
        <f t="shared" ref="M1950:M1951" si="978">(F1950*J1950*((H1950+I1950)/2)/1000)^(1/2)/10*0.8</f>
        <v>21116.901079921743</v>
      </c>
      <c r="N1950" s="71">
        <v>920</v>
      </c>
      <c r="O1950" s="72" t="s">
        <v>243</v>
      </c>
      <c r="P1950" s="72" t="s">
        <v>587</v>
      </c>
      <c r="Q1950" s="72" t="s">
        <v>102</v>
      </c>
      <c r="R1950" s="72" t="s">
        <v>900</v>
      </c>
      <c r="S1950" s="187">
        <f t="shared" ref="S1950:S1951" si="979">P1950*0.6</f>
        <v>1680</v>
      </c>
      <c r="T1950" s="116"/>
    </row>
    <row r="1951" spans="1:20" s="246" customFormat="1" x14ac:dyDescent="0.2">
      <c r="A1951" s="74" t="str">
        <f t="shared" si="977"/>
        <v>300401211</v>
      </c>
      <c r="B1951" s="74">
        <v>30040</v>
      </c>
      <c r="C1951" s="74">
        <v>12</v>
      </c>
      <c r="D1951" s="74" t="s">
        <v>259</v>
      </c>
      <c r="E1951" s="74">
        <v>1</v>
      </c>
      <c r="F1951" s="70">
        <f t="shared" si="975"/>
        <v>12100</v>
      </c>
      <c r="G1951" s="70">
        <f t="shared" si="975"/>
        <v>12100</v>
      </c>
      <c r="H1951" s="70">
        <f t="shared" si="976"/>
        <v>3300</v>
      </c>
      <c r="I1951" s="70">
        <f t="shared" si="976"/>
        <v>3300</v>
      </c>
      <c r="J1951" s="70">
        <f t="shared" si="962"/>
        <v>45375</v>
      </c>
      <c r="K1951" s="133">
        <v>1000</v>
      </c>
      <c r="L1951" s="70"/>
      <c r="M1951" s="131">
        <f t="shared" si="978"/>
        <v>3405.2418416318101</v>
      </c>
      <c r="N1951" s="71">
        <v>550</v>
      </c>
      <c r="O1951" s="72" t="s">
        <v>332</v>
      </c>
      <c r="P1951" s="72" t="s">
        <v>525</v>
      </c>
      <c r="Q1951" s="72" t="s">
        <v>246</v>
      </c>
      <c r="R1951" s="72" t="s">
        <v>899</v>
      </c>
      <c r="S1951" s="187">
        <f t="shared" si="979"/>
        <v>1320</v>
      </c>
      <c r="T1951" s="116"/>
    </row>
    <row r="1952" spans="1:20" s="247" customFormat="1" x14ac:dyDescent="0.2">
      <c r="A1952" s="74" t="str">
        <f t="shared" ref="A1952:A1955" si="980">IF(B1952="","",CONCATENATE(B1952,CONCATENATE(REPT(0,2-LEN(C1952)),C1952),IF(OR(D1952="Easy",D1952=""),1,IF(D1952="Normal",2,IF(D1952="Hard",3,IF(D1952="Hell",4,"error")))),E1952))</f>
        <v>300401219</v>
      </c>
      <c r="B1952" s="74">
        <v>30040</v>
      </c>
      <c r="C1952" s="74">
        <v>12</v>
      </c>
      <c r="D1952" s="74" t="s">
        <v>259</v>
      </c>
      <c r="E1952" s="74">
        <v>9</v>
      </c>
      <c r="F1952" s="70">
        <f t="shared" si="975"/>
        <v>51170</v>
      </c>
      <c r="G1952" s="70">
        <f t="shared" si="975"/>
        <v>51170</v>
      </c>
      <c r="H1952" s="70">
        <f t="shared" si="976"/>
        <v>4200</v>
      </c>
      <c r="I1952" s="70">
        <f t="shared" si="976"/>
        <v>4200</v>
      </c>
      <c r="J1952" s="70">
        <f t="shared" si="962"/>
        <v>331288</v>
      </c>
      <c r="K1952" s="133">
        <v>1000</v>
      </c>
      <c r="L1952" s="70"/>
      <c r="M1952" s="131">
        <f t="shared" ref="M1952:M1955" si="981">(F1952*J1952*((H1952+I1952)/2)/1000)^(1/2)/10*0.8</f>
        <v>21346.427033225023</v>
      </c>
      <c r="N1952" s="71">
        <v>930</v>
      </c>
      <c r="O1952" s="72" t="s">
        <v>243</v>
      </c>
      <c r="P1952" s="72" t="s">
        <v>587</v>
      </c>
      <c r="Q1952" s="72" t="s">
        <v>102</v>
      </c>
      <c r="R1952" s="72" t="s">
        <v>900</v>
      </c>
      <c r="S1952" s="187">
        <f t="shared" ref="S1952:S1955" si="982">P1952*0.6</f>
        <v>1680</v>
      </c>
      <c r="T1952" s="116"/>
    </row>
    <row r="1953" spans="1:20" s="246" customFormat="1" x14ac:dyDescent="0.2">
      <c r="A1953" s="74" t="str">
        <f t="shared" si="980"/>
        <v>300401311</v>
      </c>
      <c r="B1953" s="74">
        <v>30040</v>
      </c>
      <c r="C1953" s="74">
        <v>13</v>
      </c>
      <c r="D1953" s="74" t="s">
        <v>259</v>
      </c>
      <c r="E1953" s="74">
        <v>1</v>
      </c>
      <c r="F1953" s="70">
        <f t="shared" si="975"/>
        <v>12100</v>
      </c>
      <c r="G1953" s="70">
        <f t="shared" si="975"/>
        <v>12100</v>
      </c>
      <c r="H1953" s="70">
        <f t="shared" si="976"/>
        <v>3300</v>
      </c>
      <c r="I1953" s="70">
        <f t="shared" si="976"/>
        <v>3300</v>
      </c>
      <c r="J1953" s="70">
        <f t="shared" si="962"/>
        <v>45375</v>
      </c>
      <c r="K1953" s="133">
        <v>1000</v>
      </c>
      <c r="L1953" s="70"/>
      <c r="M1953" s="131">
        <f t="shared" si="981"/>
        <v>3405.2418416318101</v>
      </c>
      <c r="N1953" s="71">
        <v>550</v>
      </c>
      <c r="O1953" s="72" t="s">
        <v>332</v>
      </c>
      <c r="P1953" s="72" t="s">
        <v>525</v>
      </c>
      <c r="Q1953" s="72" t="s">
        <v>246</v>
      </c>
      <c r="R1953" s="72" t="s">
        <v>899</v>
      </c>
      <c r="S1953" s="187">
        <f t="shared" si="982"/>
        <v>1320</v>
      </c>
      <c r="T1953" s="116"/>
    </row>
    <row r="1954" spans="1:20" s="247" customFormat="1" x14ac:dyDescent="0.2">
      <c r="A1954" s="74" t="str">
        <f t="shared" si="980"/>
        <v>300401319</v>
      </c>
      <c r="B1954" s="74">
        <v>30040</v>
      </c>
      <c r="C1954" s="74">
        <v>13</v>
      </c>
      <c r="D1954" s="74" t="s">
        <v>259</v>
      </c>
      <c r="E1954" s="74">
        <v>9</v>
      </c>
      <c r="F1954" s="70">
        <f t="shared" si="975"/>
        <v>51170</v>
      </c>
      <c r="G1954" s="70">
        <f t="shared" si="975"/>
        <v>51170</v>
      </c>
      <c r="H1954" s="70">
        <f t="shared" si="976"/>
        <v>4200</v>
      </c>
      <c r="I1954" s="70">
        <f t="shared" si="976"/>
        <v>4200</v>
      </c>
      <c r="J1954" s="70">
        <f t="shared" si="962"/>
        <v>331288</v>
      </c>
      <c r="K1954" s="133">
        <v>1000</v>
      </c>
      <c r="L1954" s="70"/>
      <c r="M1954" s="131">
        <f t="shared" si="981"/>
        <v>21346.427033225023</v>
      </c>
      <c r="N1954" s="71">
        <v>930</v>
      </c>
      <c r="O1954" s="72" t="s">
        <v>243</v>
      </c>
      <c r="P1954" s="72" t="s">
        <v>587</v>
      </c>
      <c r="Q1954" s="72" t="s">
        <v>102</v>
      </c>
      <c r="R1954" s="72" t="s">
        <v>900</v>
      </c>
      <c r="S1954" s="187">
        <f t="shared" si="982"/>
        <v>1680</v>
      </c>
      <c r="T1954" s="116"/>
    </row>
    <row r="1955" spans="1:20" s="246" customFormat="1" x14ac:dyDescent="0.2">
      <c r="A1955" s="74" t="str">
        <f t="shared" si="980"/>
        <v>300401411</v>
      </c>
      <c r="B1955" s="74">
        <v>30040</v>
      </c>
      <c r="C1955" s="74">
        <v>14</v>
      </c>
      <c r="D1955" s="74" t="s">
        <v>259</v>
      </c>
      <c r="E1955" s="74">
        <v>1</v>
      </c>
      <c r="F1955" s="70">
        <f t="shared" si="975"/>
        <v>12100</v>
      </c>
      <c r="G1955" s="70">
        <f t="shared" si="975"/>
        <v>12100</v>
      </c>
      <c r="H1955" s="70">
        <f t="shared" si="976"/>
        <v>3300</v>
      </c>
      <c r="I1955" s="70">
        <f t="shared" si="976"/>
        <v>3300</v>
      </c>
      <c r="J1955" s="70">
        <f t="shared" si="962"/>
        <v>45375</v>
      </c>
      <c r="K1955" s="133">
        <v>1000</v>
      </c>
      <c r="L1955" s="70"/>
      <c r="M1955" s="131">
        <f t="shared" si="981"/>
        <v>3405.2418416318101</v>
      </c>
      <c r="N1955" s="71">
        <v>550</v>
      </c>
      <c r="O1955" s="72" t="s">
        <v>332</v>
      </c>
      <c r="P1955" s="72" t="s">
        <v>525</v>
      </c>
      <c r="Q1955" s="72" t="s">
        <v>246</v>
      </c>
      <c r="R1955" s="72" t="s">
        <v>899</v>
      </c>
      <c r="S1955" s="187">
        <f t="shared" si="982"/>
        <v>1320</v>
      </c>
      <c r="T1955" s="116"/>
    </row>
    <row r="1956" spans="1:20" s="247" customFormat="1" x14ac:dyDescent="0.2">
      <c r="A1956" s="74" t="str">
        <f t="shared" ref="A1956:A1962" si="983">IF(B1956="","",CONCATENATE(B1956,CONCATENATE(REPT(0,2-LEN(C1956)),C1956),IF(OR(D1956="Easy",D1956=""),1,IF(D1956="Normal",2,IF(D1956="Hard",3,IF(D1956="Hell",4,"error")))),E1956))</f>
        <v>300401419</v>
      </c>
      <c r="B1956" s="74">
        <v>30040</v>
      </c>
      <c r="C1956" s="74">
        <v>14</v>
      </c>
      <c r="D1956" s="74" t="s">
        <v>259</v>
      </c>
      <c r="E1956" s="74">
        <v>9</v>
      </c>
      <c r="F1956" s="70">
        <f t="shared" si="975"/>
        <v>51170</v>
      </c>
      <c r="G1956" s="70">
        <f t="shared" si="975"/>
        <v>51170</v>
      </c>
      <c r="H1956" s="70">
        <f t="shared" si="976"/>
        <v>4200</v>
      </c>
      <c r="I1956" s="70">
        <f t="shared" si="976"/>
        <v>4200</v>
      </c>
      <c r="J1956" s="70">
        <f t="shared" si="962"/>
        <v>338451</v>
      </c>
      <c r="K1956" s="133">
        <v>1000</v>
      </c>
      <c r="L1956" s="70"/>
      <c r="M1956" s="131">
        <f t="shared" ref="M1956:M1965" si="984">(F1956*J1956*((H1956+I1956)/2)/1000)^(1/2)/10*0.8</f>
        <v>21575.965623109434</v>
      </c>
      <c r="N1956" s="71">
        <v>940</v>
      </c>
      <c r="O1956" s="72" t="s">
        <v>243</v>
      </c>
      <c r="P1956" s="72" t="s">
        <v>587</v>
      </c>
      <c r="Q1956" s="72" t="s">
        <v>102</v>
      </c>
      <c r="R1956" s="72" t="s">
        <v>900</v>
      </c>
      <c r="S1956" s="187">
        <f t="shared" ref="S1956:S1960" si="985">P1956*0.6</f>
        <v>1680</v>
      </c>
      <c r="T1956" s="116"/>
    </row>
    <row r="1957" spans="1:20" s="223" customFormat="1" ht="12.75" customHeight="1" x14ac:dyDescent="0.2">
      <c r="A1957" s="8" t="str">
        <f t="shared" si="983"/>
        <v>300401519</v>
      </c>
      <c r="B1957" s="69">
        <v>30040</v>
      </c>
      <c r="C1957" s="69">
        <v>15</v>
      </c>
      <c r="D1957" s="69" t="s">
        <v>62</v>
      </c>
      <c r="E1957" s="69">
        <v>9</v>
      </c>
      <c r="F1957" s="70">
        <f t="shared" si="975"/>
        <v>27500</v>
      </c>
      <c r="G1957" s="70">
        <f t="shared" si="975"/>
        <v>27500</v>
      </c>
      <c r="H1957" s="70">
        <f t="shared" si="976"/>
        <v>7500</v>
      </c>
      <c r="I1957" s="70">
        <f t="shared" si="976"/>
        <v>7500</v>
      </c>
      <c r="J1957" s="70">
        <f t="shared" si="962"/>
        <v>32761</v>
      </c>
      <c r="K1957" s="133">
        <v>1000</v>
      </c>
      <c r="L1957" s="70"/>
      <c r="M1957" s="131">
        <f t="shared" si="984"/>
        <v>6576.0565690997528</v>
      </c>
      <c r="N1957" s="71">
        <v>310</v>
      </c>
      <c r="O1957" s="72" t="s">
        <v>332</v>
      </c>
      <c r="P1957" s="72" t="s">
        <v>180</v>
      </c>
      <c r="Q1957" s="72" t="s">
        <v>246</v>
      </c>
      <c r="R1957" s="72" t="s">
        <v>1070</v>
      </c>
      <c r="S1957" s="187">
        <f t="shared" si="985"/>
        <v>3000</v>
      </c>
      <c r="T1957" s="116"/>
    </row>
    <row r="1958" spans="1:20" s="223" customFormat="1" ht="12.75" customHeight="1" x14ac:dyDescent="0.2">
      <c r="A1958" s="8" t="str">
        <f t="shared" si="983"/>
        <v>300401619</v>
      </c>
      <c r="B1958" s="69">
        <v>30040</v>
      </c>
      <c r="C1958" s="69">
        <v>16</v>
      </c>
      <c r="D1958" s="69" t="s">
        <v>62</v>
      </c>
      <c r="E1958" s="69">
        <v>9</v>
      </c>
      <c r="F1958" s="70">
        <f t="shared" si="975"/>
        <v>27500</v>
      </c>
      <c r="G1958" s="70">
        <f t="shared" si="975"/>
        <v>27500</v>
      </c>
      <c r="H1958" s="70">
        <f t="shared" si="976"/>
        <v>7500</v>
      </c>
      <c r="I1958" s="70">
        <f t="shared" si="976"/>
        <v>7500</v>
      </c>
      <c r="J1958" s="70">
        <f t="shared" si="962"/>
        <v>85227</v>
      </c>
      <c r="K1958" s="133">
        <v>1000</v>
      </c>
      <c r="L1958" s="70"/>
      <c r="M1958" s="131">
        <f t="shared" si="984"/>
        <v>10606.584747221888</v>
      </c>
      <c r="N1958" s="71">
        <v>500</v>
      </c>
      <c r="O1958" s="72" t="s">
        <v>332</v>
      </c>
      <c r="P1958" s="72" t="s">
        <v>180</v>
      </c>
      <c r="Q1958" s="72" t="s">
        <v>246</v>
      </c>
      <c r="R1958" s="72" t="s">
        <v>1071</v>
      </c>
      <c r="S1958" s="187">
        <f t="shared" si="985"/>
        <v>3000</v>
      </c>
      <c r="T1958" s="116"/>
    </row>
    <row r="1959" spans="1:20" s="223" customFormat="1" ht="12.75" customHeight="1" x14ac:dyDescent="0.2">
      <c r="A1959" s="8" t="str">
        <f t="shared" si="983"/>
        <v>300401719</v>
      </c>
      <c r="B1959" s="69">
        <v>30040</v>
      </c>
      <c r="C1959" s="69">
        <v>17</v>
      </c>
      <c r="D1959" s="69" t="s">
        <v>62</v>
      </c>
      <c r="E1959" s="69">
        <v>9</v>
      </c>
      <c r="F1959" s="70">
        <f t="shared" si="975"/>
        <v>33000</v>
      </c>
      <c r="G1959" s="70">
        <f t="shared" si="975"/>
        <v>33000</v>
      </c>
      <c r="H1959" s="70">
        <f t="shared" si="976"/>
        <v>9000</v>
      </c>
      <c r="I1959" s="70">
        <f t="shared" si="976"/>
        <v>9000</v>
      </c>
      <c r="J1959" s="70">
        <f t="shared" si="962"/>
        <v>230113</v>
      </c>
      <c r="K1959" s="133">
        <v>1000</v>
      </c>
      <c r="L1959" s="70"/>
      <c r="M1959" s="131">
        <f t="shared" si="984"/>
        <v>20914.081151224411</v>
      </c>
      <c r="N1959" s="71">
        <v>750</v>
      </c>
      <c r="O1959" s="72" t="s">
        <v>332</v>
      </c>
      <c r="P1959" s="72" t="s">
        <v>181</v>
      </c>
      <c r="Q1959" s="72" t="s">
        <v>246</v>
      </c>
      <c r="R1959" s="72" t="s">
        <v>1072</v>
      </c>
      <c r="S1959" s="187">
        <f t="shared" si="985"/>
        <v>3600</v>
      </c>
      <c r="T1959" s="116"/>
    </row>
    <row r="1960" spans="1:20" s="223" customFormat="1" ht="12.75" customHeight="1" x14ac:dyDescent="0.2">
      <c r="A1960" s="8" t="str">
        <f t="shared" si="983"/>
        <v>300401511</v>
      </c>
      <c r="B1960" s="69">
        <v>30040</v>
      </c>
      <c r="C1960" s="69">
        <v>15</v>
      </c>
      <c r="D1960" s="69" t="s">
        <v>62</v>
      </c>
      <c r="E1960" s="69">
        <v>1</v>
      </c>
      <c r="F1960" s="70">
        <f t="shared" si="975"/>
        <v>11000</v>
      </c>
      <c r="G1960" s="70">
        <f t="shared" si="975"/>
        <v>11000</v>
      </c>
      <c r="H1960" s="70">
        <f t="shared" si="976"/>
        <v>3000</v>
      </c>
      <c r="I1960" s="70">
        <f t="shared" si="976"/>
        <v>3000</v>
      </c>
      <c r="J1960" s="70">
        <f t="shared" si="962"/>
        <v>34090</v>
      </c>
      <c r="K1960" s="133">
        <v>1000</v>
      </c>
      <c r="L1960" s="70"/>
      <c r="M1960" s="131">
        <f t="shared" si="984"/>
        <v>2683.2457956735907</v>
      </c>
      <c r="N1960" s="71">
        <v>500</v>
      </c>
      <c r="O1960" s="72" t="s">
        <v>332</v>
      </c>
      <c r="P1960" s="72" t="s">
        <v>202</v>
      </c>
      <c r="Q1960" s="72" t="s">
        <v>246</v>
      </c>
      <c r="R1960" s="72" t="s">
        <v>976</v>
      </c>
      <c r="S1960" s="187">
        <f t="shared" si="985"/>
        <v>1200</v>
      </c>
      <c r="T1960" s="116"/>
    </row>
    <row r="1961" spans="1:20" ht="12.75" customHeight="1" x14ac:dyDescent="0.2">
      <c r="A1961" s="8" t="str">
        <f t="shared" si="983"/>
        <v>300401811</v>
      </c>
      <c r="B1961" s="69">
        <v>30040</v>
      </c>
      <c r="C1961" s="69">
        <v>18</v>
      </c>
      <c r="D1961" s="69" t="s">
        <v>62</v>
      </c>
      <c r="E1961" s="69">
        <v>1</v>
      </c>
      <c r="F1961" s="70">
        <f t="shared" si="975"/>
        <v>225000</v>
      </c>
      <c r="G1961" s="70">
        <f t="shared" si="975"/>
        <v>225000</v>
      </c>
      <c r="H1961" s="70">
        <f t="shared" si="976"/>
        <v>22500</v>
      </c>
      <c r="I1961" s="70">
        <f t="shared" si="976"/>
        <v>22500</v>
      </c>
      <c r="J1961" s="70">
        <f t="shared" si="962"/>
        <v>540000</v>
      </c>
      <c r="K1961" s="233">
        <v>1000</v>
      </c>
      <c r="L1961" s="70"/>
      <c r="M1961" s="131">
        <f t="shared" si="984"/>
        <v>132272.44611029161</v>
      </c>
      <c r="N1961" s="71">
        <v>1800</v>
      </c>
      <c r="O1961" s="72" t="s">
        <v>332</v>
      </c>
      <c r="P1961" s="234">
        <v>10000</v>
      </c>
      <c r="Q1961" s="72" t="s">
        <v>439</v>
      </c>
      <c r="R1961" s="72" t="s">
        <v>1066</v>
      </c>
      <c r="S1961" s="187">
        <v>9000</v>
      </c>
    </row>
    <row r="1962" spans="1:20" ht="12.75" customHeight="1" x14ac:dyDescent="0.2">
      <c r="A1962" s="8" t="str">
        <f t="shared" si="983"/>
        <v>300401819</v>
      </c>
      <c r="B1962" s="69">
        <v>30040</v>
      </c>
      <c r="C1962" s="69">
        <v>18</v>
      </c>
      <c r="D1962" s="69" t="s">
        <v>62</v>
      </c>
      <c r="E1962" s="69">
        <v>9</v>
      </c>
      <c r="F1962" s="70">
        <f t="shared" si="975"/>
        <v>360000</v>
      </c>
      <c r="G1962" s="70">
        <f t="shared" si="975"/>
        <v>360000</v>
      </c>
      <c r="H1962" s="70">
        <f t="shared" si="976"/>
        <v>25000</v>
      </c>
      <c r="I1962" s="70">
        <f t="shared" si="976"/>
        <v>25000</v>
      </c>
      <c r="J1962" s="70">
        <f t="shared" si="962"/>
        <v>4840000</v>
      </c>
      <c r="K1962" s="233">
        <v>1000</v>
      </c>
      <c r="L1962" s="70"/>
      <c r="M1962" s="131">
        <f t="shared" si="984"/>
        <v>528000</v>
      </c>
      <c r="N1962" s="71">
        <v>2200</v>
      </c>
      <c r="O1962" s="71">
        <v>20</v>
      </c>
      <c r="P1962" s="71">
        <v>12000</v>
      </c>
      <c r="Q1962" s="72" t="s">
        <v>443</v>
      </c>
      <c r="R1962" s="72" t="s">
        <v>1067</v>
      </c>
      <c r="S1962" s="187">
        <v>10000</v>
      </c>
    </row>
    <row r="1963" spans="1:20" x14ac:dyDescent="0.2">
      <c r="A1963" s="38"/>
      <c r="B1963" s="38"/>
      <c r="C1963" s="35" t="s">
        <v>1073</v>
      </c>
      <c r="D1963" s="38"/>
      <c r="E1963" s="38"/>
      <c r="F1963" s="38"/>
      <c r="G1963" s="40"/>
      <c r="H1963" s="38"/>
      <c r="I1963" s="38"/>
      <c r="J1963" s="38"/>
      <c r="K1963" s="133">
        <v>1000</v>
      </c>
      <c r="L1963" s="38"/>
      <c r="M1963" s="16">
        <f t="shared" si="984"/>
        <v>0</v>
      </c>
      <c r="N1963" s="42" t="str">
        <f>IF(A1963="","",M1963*#REF!)</f>
        <v/>
      </c>
      <c r="O1963" s="40"/>
      <c r="P1963" s="38"/>
      <c r="Q1963" s="38"/>
      <c r="R1963" s="38"/>
      <c r="S1963" s="40"/>
      <c r="T1963" s="267"/>
    </row>
    <row r="1964" spans="1:20" x14ac:dyDescent="0.2">
      <c r="A1964" s="8" t="str">
        <f t="shared" ref="A1964:A1974" si="986">IF(B1964="","",CONCATENATE(B1964,CONCATENATE(REPT(0,2-LEN(C1964)),C1964),IF(OR(D1964="Easy",D1964=""),1,IF(D1964="Normal",2,IF(D1964="Hard",3,IF(D1964="Hell",4,"error")))),E1964))</f>
        <v>300410111</v>
      </c>
      <c r="B1964" s="69">
        <v>30041</v>
      </c>
      <c r="C1964" s="69">
        <v>1</v>
      </c>
      <c r="D1964" s="69" t="s">
        <v>62</v>
      </c>
      <c r="E1964" s="69">
        <v>1</v>
      </c>
      <c r="F1964" s="70">
        <f t="shared" ref="F1964:G1981" si="987">ROUNDDOWN($P1964/4*MIN($O1964,4)*10*$N1964/$N1964*$Q1964/400,0)</f>
        <v>11000</v>
      </c>
      <c r="G1964" s="70">
        <f t="shared" si="987"/>
        <v>11000</v>
      </c>
      <c r="H1964" s="70">
        <f t="shared" ref="H1964:I1981" si="988">ROUNDDOWN($S1964/4*10,0)</f>
        <v>3000</v>
      </c>
      <c r="I1964" s="70">
        <f t="shared" si="988"/>
        <v>3000</v>
      </c>
      <c r="J1964" s="70">
        <f t="shared" ref="J1964:J2015" si="989">ROUNDDOWN($P1964/4*$O1964*10*$N1964/$Q1964*$N1964/400*0.8,0)</f>
        <v>27613</v>
      </c>
      <c r="K1964" s="133">
        <v>1000</v>
      </c>
      <c r="L1964" s="70"/>
      <c r="M1964" s="131">
        <f t="shared" si="984"/>
        <v>2414.9255889157334</v>
      </c>
      <c r="N1964" s="71">
        <v>450</v>
      </c>
      <c r="O1964" s="72" t="s">
        <v>332</v>
      </c>
      <c r="P1964" s="72" t="s">
        <v>202</v>
      </c>
      <c r="Q1964" s="72" t="s">
        <v>246</v>
      </c>
      <c r="R1964" s="72" t="s">
        <v>971</v>
      </c>
      <c r="S1964" s="187">
        <f t="shared" ref="S1964:S1965" si="990">P1964*0.6</f>
        <v>1200</v>
      </c>
    </row>
    <row r="1965" spans="1:20" x14ac:dyDescent="0.2">
      <c r="A1965" s="8" t="str">
        <f t="shared" si="986"/>
        <v>300410119</v>
      </c>
      <c r="B1965" s="69">
        <v>30041</v>
      </c>
      <c r="C1965" s="69">
        <v>1</v>
      </c>
      <c r="D1965" s="69" t="s">
        <v>62</v>
      </c>
      <c r="E1965" s="69">
        <v>9</v>
      </c>
      <c r="F1965" s="70">
        <f t="shared" si="987"/>
        <v>45687</v>
      </c>
      <c r="G1965" s="70">
        <f t="shared" si="987"/>
        <v>45687</v>
      </c>
      <c r="H1965" s="70">
        <f t="shared" si="988"/>
        <v>3750</v>
      </c>
      <c r="I1965" s="70">
        <f t="shared" si="988"/>
        <v>3750</v>
      </c>
      <c r="J1965" s="70">
        <f t="shared" si="989"/>
        <v>192373</v>
      </c>
      <c r="K1965" s="133">
        <v>1000</v>
      </c>
      <c r="L1965" s="70"/>
      <c r="M1965" s="131">
        <f t="shared" si="984"/>
        <v>14523.590672557528</v>
      </c>
      <c r="N1965" s="71">
        <v>750</v>
      </c>
      <c r="O1965" s="72" t="s">
        <v>243</v>
      </c>
      <c r="P1965" s="72" t="s">
        <v>585</v>
      </c>
      <c r="Q1965" s="72" t="s">
        <v>102</v>
      </c>
      <c r="R1965" s="72" t="s">
        <v>972</v>
      </c>
      <c r="S1965" s="187">
        <f t="shared" si="990"/>
        <v>1500</v>
      </c>
    </row>
    <row r="1966" spans="1:20" x14ac:dyDescent="0.2">
      <c r="A1966" s="8" t="str">
        <f t="shared" si="986"/>
        <v>300410211</v>
      </c>
      <c r="B1966" s="69">
        <v>30041</v>
      </c>
      <c r="C1966" s="69">
        <v>2</v>
      </c>
      <c r="D1966" s="69" t="s">
        <v>62</v>
      </c>
      <c r="E1966" s="69">
        <v>1</v>
      </c>
      <c r="F1966" s="70">
        <f t="shared" si="987"/>
        <v>11000</v>
      </c>
      <c r="G1966" s="70">
        <f t="shared" si="987"/>
        <v>11000</v>
      </c>
      <c r="H1966" s="70">
        <f t="shared" si="988"/>
        <v>3000</v>
      </c>
      <c r="I1966" s="70">
        <f t="shared" si="988"/>
        <v>3000</v>
      </c>
      <c r="J1966" s="70">
        <f t="shared" si="989"/>
        <v>27613</v>
      </c>
      <c r="K1966" s="133">
        <v>1000</v>
      </c>
      <c r="L1966" s="70"/>
      <c r="M1966" s="131">
        <f t="shared" ref="M1966:M1979" si="991">(F1966*J1966*((H1966+I1966)/2)/1000)^(1/2)/10*0.8</f>
        <v>2414.9255889157334</v>
      </c>
      <c r="N1966" s="71">
        <v>450</v>
      </c>
      <c r="O1966" s="72" t="s">
        <v>332</v>
      </c>
      <c r="P1966" s="72" t="s">
        <v>202</v>
      </c>
      <c r="Q1966" s="72" t="s">
        <v>246</v>
      </c>
      <c r="R1966" s="72" t="s">
        <v>971</v>
      </c>
      <c r="S1966" s="187">
        <f t="shared" ref="S1966:S1974" si="992">P1966*0.6</f>
        <v>1200</v>
      </c>
    </row>
    <row r="1967" spans="1:20" x14ac:dyDescent="0.2">
      <c r="A1967" s="8" t="str">
        <f t="shared" si="986"/>
        <v>300410219</v>
      </c>
      <c r="B1967" s="69">
        <v>30041</v>
      </c>
      <c r="C1967" s="69">
        <v>2</v>
      </c>
      <c r="D1967" s="69" t="s">
        <v>62</v>
      </c>
      <c r="E1967" s="69">
        <v>9</v>
      </c>
      <c r="F1967" s="70">
        <f t="shared" si="987"/>
        <v>45687</v>
      </c>
      <c r="G1967" s="70">
        <f t="shared" si="987"/>
        <v>45687</v>
      </c>
      <c r="H1967" s="70">
        <f t="shared" si="988"/>
        <v>3750</v>
      </c>
      <c r="I1967" s="70">
        <f t="shared" si="988"/>
        <v>3750</v>
      </c>
      <c r="J1967" s="70">
        <f t="shared" si="989"/>
        <v>192373</v>
      </c>
      <c r="K1967" s="133">
        <v>1000</v>
      </c>
      <c r="L1967" s="70"/>
      <c r="M1967" s="131">
        <f t="shared" si="991"/>
        <v>14523.590672557528</v>
      </c>
      <c r="N1967" s="71">
        <v>750</v>
      </c>
      <c r="O1967" s="72" t="s">
        <v>243</v>
      </c>
      <c r="P1967" s="72" t="s">
        <v>585</v>
      </c>
      <c r="Q1967" s="72" t="s">
        <v>102</v>
      </c>
      <c r="R1967" s="72" t="s">
        <v>972</v>
      </c>
      <c r="S1967" s="187">
        <f t="shared" si="992"/>
        <v>1500</v>
      </c>
    </row>
    <row r="1968" spans="1:20" x14ac:dyDescent="0.2">
      <c r="A1968" s="8" t="str">
        <f t="shared" si="986"/>
        <v>300410311</v>
      </c>
      <c r="B1968" s="69">
        <v>30041</v>
      </c>
      <c r="C1968" s="69">
        <v>3</v>
      </c>
      <c r="D1968" s="69" t="s">
        <v>62</v>
      </c>
      <c r="E1968" s="69">
        <v>1</v>
      </c>
      <c r="F1968" s="70">
        <f t="shared" si="987"/>
        <v>11000</v>
      </c>
      <c r="G1968" s="70">
        <f t="shared" si="987"/>
        <v>11000</v>
      </c>
      <c r="H1968" s="70">
        <f t="shared" si="988"/>
        <v>3000</v>
      </c>
      <c r="I1968" s="70">
        <f t="shared" si="988"/>
        <v>3000</v>
      </c>
      <c r="J1968" s="70">
        <f t="shared" si="989"/>
        <v>27613</v>
      </c>
      <c r="K1968" s="133">
        <v>1000</v>
      </c>
      <c r="L1968" s="70"/>
      <c r="M1968" s="131">
        <f t="shared" si="991"/>
        <v>2414.9255889157334</v>
      </c>
      <c r="N1968" s="71">
        <v>450</v>
      </c>
      <c r="O1968" s="72" t="s">
        <v>332</v>
      </c>
      <c r="P1968" s="72" t="s">
        <v>202</v>
      </c>
      <c r="Q1968" s="72" t="s">
        <v>246</v>
      </c>
      <c r="R1968" s="72" t="s">
        <v>971</v>
      </c>
      <c r="S1968" s="187">
        <f t="shared" si="992"/>
        <v>1200</v>
      </c>
    </row>
    <row r="1969" spans="1:20" x14ac:dyDescent="0.2">
      <c r="A1969" s="8" t="str">
        <f t="shared" si="986"/>
        <v>300410319</v>
      </c>
      <c r="B1969" s="69">
        <v>30041</v>
      </c>
      <c r="C1969" s="69">
        <v>3</v>
      </c>
      <c r="D1969" s="69" t="s">
        <v>62</v>
      </c>
      <c r="E1969" s="69">
        <v>9</v>
      </c>
      <c r="F1969" s="70">
        <f t="shared" si="987"/>
        <v>45687</v>
      </c>
      <c r="G1969" s="70">
        <f t="shared" si="987"/>
        <v>45687</v>
      </c>
      <c r="H1969" s="70">
        <f t="shared" si="988"/>
        <v>3750</v>
      </c>
      <c r="I1969" s="70">
        <f t="shared" si="988"/>
        <v>3750</v>
      </c>
      <c r="J1969" s="70">
        <f t="shared" si="989"/>
        <v>192373</v>
      </c>
      <c r="K1969" s="133">
        <v>1000</v>
      </c>
      <c r="L1969" s="70"/>
      <c r="M1969" s="131">
        <f t="shared" si="991"/>
        <v>14523.590672557528</v>
      </c>
      <c r="N1969" s="71">
        <v>750</v>
      </c>
      <c r="O1969" s="72" t="s">
        <v>243</v>
      </c>
      <c r="P1969" s="72" t="s">
        <v>585</v>
      </c>
      <c r="Q1969" s="72" t="s">
        <v>102</v>
      </c>
      <c r="R1969" s="72" t="s">
        <v>972</v>
      </c>
      <c r="S1969" s="187">
        <f t="shared" si="992"/>
        <v>1500</v>
      </c>
    </row>
    <row r="1970" spans="1:20" x14ac:dyDescent="0.2">
      <c r="A1970" s="8" t="str">
        <f t="shared" si="986"/>
        <v>300410411</v>
      </c>
      <c r="B1970" s="69">
        <v>30041</v>
      </c>
      <c r="C1970" s="69">
        <v>4</v>
      </c>
      <c r="D1970" s="69" t="s">
        <v>62</v>
      </c>
      <c r="E1970" s="69">
        <v>1</v>
      </c>
      <c r="F1970" s="70">
        <f t="shared" si="987"/>
        <v>11000</v>
      </c>
      <c r="G1970" s="70">
        <f t="shared" si="987"/>
        <v>11000</v>
      </c>
      <c r="H1970" s="70">
        <f t="shared" si="988"/>
        <v>3000</v>
      </c>
      <c r="I1970" s="70">
        <f t="shared" si="988"/>
        <v>3000</v>
      </c>
      <c r="J1970" s="70">
        <f t="shared" si="989"/>
        <v>27613</v>
      </c>
      <c r="K1970" s="133">
        <v>1000</v>
      </c>
      <c r="L1970" s="70"/>
      <c r="M1970" s="131">
        <f t="shared" si="991"/>
        <v>2414.9255889157334</v>
      </c>
      <c r="N1970" s="71">
        <v>450</v>
      </c>
      <c r="O1970" s="72" t="s">
        <v>332</v>
      </c>
      <c r="P1970" s="72" t="s">
        <v>202</v>
      </c>
      <c r="Q1970" s="72" t="s">
        <v>246</v>
      </c>
      <c r="R1970" s="72" t="s">
        <v>971</v>
      </c>
      <c r="S1970" s="187">
        <f t="shared" si="992"/>
        <v>1200</v>
      </c>
    </row>
    <row r="1971" spans="1:20" x14ac:dyDescent="0.2">
      <c r="A1971" s="8" t="str">
        <f t="shared" si="986"/>
        <v>300410419</v>
      </c>
      <c r="B1971" s="69">
        <v>30041</v>
      </c>
      <c r="C1971" s="69">
        <v>4</v>
      </c>
      <c r="D1971" s="69" t="s">
        <v>62</v>
      </c>
      <c r="E1971" s="69">
        <v>9</v>
      </c>
      <c r="F1971" s="70">
        <f t="shared" si="987"/>
        <v>45687</v>
      </c>
      <c r="G1971" s="70">
        <f t="shared" si="987"/>
        <v>45687</v>
      </c>
      <c r="H1971" s="70">
        <f t="shared" si="988"/>
        <v>3750</v>
      </c>
      <c r="I1971" s="70">
        <f t="shared" si="988"/>
        <v>3750</v>
      </c>
      <c r="J1971" s="70">
        <f t="shared" si="989"/>
        <v>192373</v>
      </c>
      <c r="K1971" s="133">
        <v>1000</v>
      </c>
      <c r="L1971" s="70"/>
      <c r="M1971" s="131">
        <f t="shared" si="991"/>
        <v>14523.590672557528</v>
      </c>
      <c r="N1971" s="71">
        <v>750</v>
      </c>
      <c r="O1971" s="72" t="s">
        <v>243</v>
      </c>
      <c r="P1971" s="72" t="s">
        <v>585</v>
      </c>
      <c r="Q1971" s="72" t="s">
        <v>102</v>
      </c>
      <c r="R1971" s="72" t="s">
        <v>972</v>
      </c>
      <c r="S1971" s="187">
        <v>1500</v>
      </c>
    </row>
    <row r="1972" spans="1:20" x14ac:dyDescent="0.2">
      <c r="A1972" s="8" t="str">
        <f t="shared" si="986"/>
        <v>300410511</v>
      </c>
      <c r="B1972" s="69">
        <v>30041</v>
      </c>
      <c r="C1972" s="69">
        <v>5</v>
      </c>
      <c r="D1972" s="69" t="s">
        <v>62</v>
      </c>
      <c r="E1972" s="69">
        <v>1</v>
      </c>
      <c r="F1972" s="70">
        <f t="shared" si="987"/>
        <v>22000</v>
      </c>
      <c r="G1972" s="70">
        <f t="shared" si="987"/>
        <v>22000</v>
      </c>
      <c r="H1972" s="70">
        <f t="shared" si="988"/>
        <v>6000</v>
      </c>
      <c r="I1972" s="70">
        <f t="shared" si="988"/>
        <v>6000</v>
      </c>
      <c r="J1972" s="70">
        <f t="shared" si="989"/>
        <v>220909</v>
      </c>
      <c r="K1972" s="133">
        <v>1000</v>
      </c>
      <c r="L1972" s="70"/>
      <c r="M1972" s="131">
        <f t="shared" si="991"/>
        <v>13661.036681013633</v>
      </c>
      <c r="N1972" s="71">
        <v>900</v>
      </c>
      <c r="O1972" s="72" t="s">
        <v>332</v>
      </c>
      <c r="P1972" s="72" t="s">
        <v>177</v>
      </c>
      <c r="Q1972" s="72" t="s">
        <v>246</v>
      </c>
      <c r="R1972" s="72" t="s">
        <v>971</v>
      </c>
      <c r="S1972" s="187">
        <f t="shared" si="992"/>
        <v>2400</v>
      </c>
    </row>
    <row r="1973" spans="1:20" x14ac:dyDescent="0.2">
      <c r="A1973" s="8" t="str">
        <f t="shared" si="986"/>
        <v>300410519</v>
      </c>
      <c r="B1973" s="69">
        <v>30041</v>
      </c>
      <c r="C1973" s="69">
        <v>5</v>
      </c>
      <c r="D1973" s="69" t="s">
        <v>62</v>
      </c>
      <c r="E1973" s="69">
        <v>9</v>
      </c>
      <c r="F1973" s="70">
        <f t="shared" si="987"/>
        <v>73100</v>
      </c>
      <c r="G1973" s="70">
        <f t="shared" si="987"/>
        <v>73100</v>
      </c>
      <c r="H1973" s="70">
        <f t="shared" si="988"/>
        <v>6000</v>
      </c>
      <c r="I1973" s="70">
        <f t="shared" si="988"/>
        <v>6000</v>
      </c>
      <c r="J1973" s="70">
        <f t="shared" si="989"/>
        <v>997264</v>
      </c>
      <c r="K1973" s="133">
        <v>1000</v>
      </c>
      <c r="L1973" s="70"/>
      <c r="M1973" s="131">
        <f t="shared" si="991"/>
        <v>52908.977863496846</v>
      </c>
      <c r="N1973" s="71">
        <v>1350</v>
      </c>
      <c r="O1973" s="72" t="s">
        <v>243</v>
      </c>
      <c r="P1973" s="72" t="s">
        <v>177</v>
      </c>
      <c r="Q1973" s="72" t="s">
        <v>102</v>
      </c>
      <c r="R1973" s="72" t="s">
        <v>972</v>
      </c>
      <c r="S1973" s="187">
        <f t="shared" si="992"/>
        <v>2400</v>
      </c>
    </row>
    <row r="1974" spans="1:20" s="223" customFormat="1" ht="12.75" customHeight="1" x14ac:dyDescent="0.2">
      <c r="A1974" s="8" t="str">
        <f t="shared" si="986"/>
        <v>300410611</v>
      </c>
      <c r="B1974" s="69">
        <v>30041</v>
      </c>
      <c r="C1974" s="69">
        <v>6</v>
      </c>
      <c r="D1974" s="69" t="s">
        <v>62</v>
      </c>
      <c r="E1974" s="69">
        <v>1</v>
      </c>
      <c r="F1974" s="70">
        <f t="shared" si="987"/>
        <v>24000</v>
      </c>
      <c r="G1974" s="70">
        <f t="shared" si="987"/>
        <v>24000</v>
      </c>
      <c r="H1974" s="70">
        <f t="shared" si="988"/>
        <v>3600</v>
      </c>
      <c r="I1974" s="70">
        <f t="shared" si="988"/>
        <v>3600</v>
      </c>
      <c r="J1974" s="70">
        <f t="shared" si="989"/>
        <v>32400</v>
      </c>
      <c r="K1974" s="133">
        <v>1000</v>
      </c>
      <c r="L1974" s="70"/>
      <c r="M1974" s="131">
        <f t="shared" si="991"/>
        <v>4232.7182755293315</v>
      </c>
      <c r="N1974" s="71">
        <v>600</v>
      </c>
      <c r="O1974" s="72" t="s">
        <v>332</v>
      </c>
      <c r="P1974" s="72" t="s">
        <v>1074</v>
      </c>
      <c r="Q1974" s="72" t="s">
        <v>90</v>
      </c>
      <c r="R1974" s="72" t="s">
        <v>976</v>
      </c>
      <c r="S1974" s="187">
        <f t="shared" si="992"/>
        <v>1440</v>
      </c>
      <c r="T1974" s="116"/>
    </row>
    <row r="1975" spans="1:20" s="223" customFormat="1" ht="12.75" customHeight="1" x14ac:dyDescent="0.2">
      <c r="A1975" s="8" t="str">
        <f t="shared" ref="A1975" si="993">IF(B1975="","",CONCATENATE(B1975,CONCATENATE(REPT(0,2-LEN(C1975)),C1975),IF(OR(D1975="Easy",D1975=""),1,IF(D1975="Normal",2,IF(D1975="Hard",3,IF(D1975="Hell",4,"error")))),E1975))</f>
        <v>300410711</v>
      </c>
      <c r="B1975" s="69">
        <v>30041</v>
      </c>
      <c r="C1975" s="69">
        <v>7</v>
      </c>
      <c r="D1975" s="69" t="s">
        <v>62</v>
      </c>
      <c r="E1975" s="69">
        <v>1</v>
      </c>
      <c r="F1975" s="70">
        <f t="shared" si="987"/>
        <v>270000</v>
      </c>
      <c r="G1975" s="70">
        <f t="shared" si="987"/>
        <v>270000</v>
      </c>
      <c r="H1975" s="70">
        <f t="shared" si="988"/>
        <v>22500</v>
      </c>
      <c r="I1975" s="70">
        <f t="shared" si="988"/>
        <v>22500</v>
      </c>
      <c r="J1975" s="70">
        <f t="shared" si="989"/>
        <v>648000</v>
      </c>
      <c r="K1975" s="233">
        <v>1000</v>
      </c>
      <c r="L1975" s="70"/>
      <c r="M1975" s="131">
        <f t="shared" si="991"/>
        <v>158726.93533234997</v>
      </c>
      <c r="N1975" s="71">
        <v>1800</v>
      </c>
      <c r="O1975" s="72" t="s">
        <v>332</v>
      </c>
      <c r="P1975" s="234">
        <v>12000</v>
      </c>
      <c r="Q1975" s="72" t="s">
        <v>439</v>
      </c>
      <c r="R1975" s="72" t="s">
        <v>1066</v>
      </c>
      <c r="S1975" s="187">
        <v>9000</v>
      </c>
      <c r="T1975" s="116"/>
    </row>
    <row r="1976" spans="1:20" s="223" customFormat="1" ht="12.75" customHeight="1" x14ac:dyDescent="0.2">
      <c r="A1976" s="8" t="str">
        <f t="shared" ref="A1976" si="994">IF(B1976="","",CONCATENATE(B1976,CONCATENATE(REPT(0,2-LEN(C1976)),C1976),IF(OR(D1976="Easy",D1976=""),1,IF(D1976="Normal",2,IF(D1976="Hard",3,IF(D1976="Hell",4,"error")))),E1976))</f>
        <v>300410719</v>
      </c>
      <c r="B1976" s="69">
        <v>30041</v>
      </c>
      <c r="C1976" s="69">
        <v>7</v>
      </c>
      <c r="D1976" s="69" t="s">
        <v>62</v>
      </c>
      <c r="E1976" s="69">
        <v>9</v>
      </c>
      <c r="F1976" s="70">
        <f t="shared" si="987"/>
        <v>630000</v>
      </c>
      <c r="G1976" s="70">
        <f t="shared" si="987"/>
        <v>630000</v>
      </c>
      <c r="H1976" s="70">
        <f t="shared" si="988"/>
        <v>25000</v>
      </c>
      <c r="I1976" s="70">
        <f t="shared" si="988"/>
        <v>25000</v>
      </c>
      <c r="J1976" s="70">
        <f t="shared" si="989"/>
        <v>6222857</v>
      </c>
      <c r="K1976" s="233">
        <v>1000</v>
      </c>
      <c r="L1976" s="70"/>
      <c r="M1976" s="131">
        <f t="shared" si="991"/>
        <v>791999.99090909085</v>
      </c>
      <c r="N1976" s="71">
        <v>2200</v>
      </c>
      <c r="O1976" s="71">
        <v>20</v>
      </c>
      <c r="P1976" s="71">
        <v>18000</v>
      </c>
      <c r="Q1976" s="72" t="s">
        <v>286</v>
      </c>
      <c r="R1976" s="72" t="s">
        <v>1067</v>
      </c>
      <c r="S1976" s="187">
        <v>10000</v>
      </c>
      <c r="T1976" s="116"/>
    </row>
    <row r="1977" spans="1:20" x14ac:dyDescent="0.2">
      <c r="A1977" s="38"/>
      <c r="B1977" s="38"/>
      <c r="C1977" s="35" t="s">
        <v>1080</v>
      </c>
      <c r="D1977" s="38"/>
      <c r="E1977" s="38"/>
      <c r="F1977" s="38"/>
      <c r="G1977" s="40"/>
      <c r="H1977" s="38"/>
      <c r="I1977" s="38"/>
      <c r="J1977" s="38"/>
      <c r="K1977" s="133">
        <v>1000</v>
      </c>
      <c r="L1977" s="38"/>
      <c r="M1977" s="16">
        <f t="shared" si="991"/>
        <v>0</v>
      </c>
      <c r="N1977" s="42" t="str">
        <f>IF(A1977="","",M1977*#REF!)</f>
        <v/>
      </c>
      <c r="O1977" s="40"/>
      <c r="P1977" s="38"/>
      <c r="Q1977" s="38"/>
      <c r="R1977" s="38"/>
      <c r="S1977" s="40"/>
      <c r="T1977" s="267"/>
    </row>
    <row r="1978" spans="1:20" x14ac:dyDescent="0.2">
      <c r="A1978" s="8" t="str">
        <f t="shared" ref="A1978:A1992" si="995">IF(B1978="","",CONCATENATE(B1978,CONCATENATE(REPT(0,2-LEN(C1978)),C1978),IF(OR(D1978="Easy",D1978=""),1,IF(D1978="Normal",2,IF(D1978="Hard",3,IF(D1978="Hell",4,"error")))),E1978))</f>
        <v>300420111</v>
      </c>
      <c r="B1978" s="69">
        <v>30042</v>
      </c>
      <c r="C1978" s="69">
        <v>1</v>
      </c>
      <c r="D1978" s="69" t="s">
        <v>62</v>
      </c>
      <c r="E1978" s="69">
        <v>1</v>
      </c>
      <c r="F1978" s="70">
        <f t="shared" si="987"/>
        <v>11000</v>
      </c>
      <c r="G1978" s="70">
        <f t="shared" si="987"/>
        <v>11000</v>
      </c>
      <c r="H1978" s="70">
        <f t="shared" si="988"/>
        <v>3000</v>
      </c>
      <c r="I1978" s="70">
        <f t="shared" si="988"/>
        <v>3000</v>
      </c>
      <c r="J1978" s="70">
        <f t="shared" si="989"/>
        <v>27613</v>
      </c>
      <c r="K1978" s="133">
        <v>1000</v>
      </c>
      <c r="L1978" s="70"/>
      <c r="M1978" s="131">
        <f t="shared" si="991"/>
        <v>2414.9255889157334</v>
      </c>
      <c r="N1978" s="71">
        <v>450</v>
      </c>
      <c r="O1978" s="72" t="s">
        <v>332</v>
      </c>
      <c r="P1978" s="72" t="s">
        <v>202</v>
      </c>
      <c r="Q1978" s="72" t="s">
        <v>246</v>
      </c>
      <c r="R1978" s="72" t="s">
        <v>971</v>
      </c>
      <c r="S1978" s="187">
        <f t="shared" ref="S1978:S1984" si="996">P1978*0.6</f>
        <v>1200</v>
      </c>
    </row>
    <row r="1979" spans="1:20" x14ac:dyDescent="0.2">
      <c r="A1979" s="8" t="str">
        <f t="shared" si="995"/>
        <v>300420119</v>
      </c>
      <c r="B1979" s="69">
        <v>30042</v>
      </c>
      <c r="C1979" s="69">
        <v>1</v>
      </c>
      <c r="D1979" s="69" t="s">
        <v>62</v>
      </c>
      <c r="E1979" s="69">
        <v>9</v>
      </c>
      <c r="F1979" s="70">
        <f t="shared" si="987"/>
        <v>45687</v>
      </c>
      <c r="G1979" s="70">
        <f t="shared" si="987"/>
        <v>45687</v>
      </c>
      <c r="H1979" s="70">
        <f t="shared" si="988"/>
        <v>3750</v>
      </c>
      <c r="I1979" s="70">
        <f t="shared" si="988"/>
        <v>3750</v>
      </c>
      <c r="J1979" s="70">
        <f t="shared" si="989"/>
        <v>192373</v>
      </c>
      <c r="K1979" s="133">
        <v>1000</v>
      </c>
      <c r="L1979" s="70"/>
      <c r="M1979" s="131">
        <f t="shared" si="991"/>
        <v>14523.590672557528</v>
      </c>
      <c r="N1979" s="71">
        <v>750</v>
      </c>
      <c r="O1979" s="72" t="s">
        <v>243</v>
      </c>
      <c r="P1979" s="72" t="s">
        <v>585</v>
      </c>
      <c r="Q1979" s="72" t="s">
        <v>102</v>
      </c>
      <c r="R1979" s="72" t="s">
        <v>972</v>
      </c>
      <c r="S1979" s="187">
        <f t="shared" si="996"/>
        <v>1500</v>
      </c>
    </row>
    <row r="1980" spans="1:20" x14ac:dyDescent="0.2">
      <c r="A1980" s="8" t="str">
        <f t="shared" si="995"/>
        <v>300420211</v>
      </c>
      <c r="B1980" s="69">
        <v>30042</v>
      </c>
      <c r="C1980" s="69">
        <v>2</v>
      </c>
      <c r="D1980" s="69" t="s">
        <v>62</v>
      </c>
      <c r="E1980" s="69">
        <v>1</v>
      </c>
      <c r="F1980" s="70">
        <f t="shared" si="987"/>
        <v>11000</v>
      </c>
      <c r="G1980" s="70">
        <f t="shared" si="987"/>
        <v>11000</v>
      </c>
      <c r="H1980" s="70">
        <f t="shared" si="988"/>
        <v>3000</v>
      </c>
      <c r="I1980" s="70">
        <f t="shared" si="988"/>
        <v>3000</v>
      </c>
      <c r="J1980" s="70">
        <f t="shared" si="989"/>
        <v>27613</v>
      </c>
      <c r="K1980" s="133">
        <v>1000</v>
      </c>
      <c r="L1980" s="70"/>
      <c r="M1980" s="131">
        <f t="shared" ref="M1980:M2019" si="997">(F1980*J1980*((H1980+I1980)/2)/1000)^(1/2)/10*0.8</f>
        <v>2414.9255889157334</v>
      </c>
      <c r="N1980" s="71">
        <v>450</v>
      </c>
      <c r="O1980" s="72" t="s">
        <v>332</v>
      </c>
      <c r="P1980" s="72" t="s">
        <v>202</v>
      </c>
      <c r="Q1980" s="72" t="s">
        <v>246</v>
      </c>
      <c r="R1980" s="72" t="s">
        <v>971</v>
      </c>
      <c r="S1980" s="187">
        <f t="shared" si="996"/>
        <v>1200</v>
      </c>
    </row>
    <row r="1981" spans="1:20" x14ac:dyDescent="0.2">
      <c r="A1981" s="8" t="str">
        <f t="shared" si="995"/>
        <v>300420219</v>
      </c>
      <c r="B1981" s="69">
        <v>30042</v>
      </c>
      <c r="C1981" s="69">
        <v>2</v>
      </c>
      <c r="D1981" s="69" t="s">
        <v>62</v>
      </c>
      <c r="E1981" s="69">
        <v>9</v>
      </c>
      <c r="F1981" s="70">
        <f t="shared" si="987"/>
        <v>45687</v>
      </c>
      <c r="G1981" s="70">
        <f t="shared" si="987"/>
        <v>45687</v>
      </c>
      <c r="H1981" s="70">
        <f t="shared" si="988"/>
        <v>3750</v>
      </c>
      <c r="I1981" s="70">
        <f t="shared" si="988"/>
        <v>3750</v>
      </c>
      <c r="J1981" s="70">
        <f t="shared" si="989"/>
        <v>192373</v>
      </c>
      <c r="K1981" s="133">
        <v>1000</v>
      </c>
      <c r="L1981" s="70"/>
      <c r="M1981" s="131">
        <f t="shared" si="997"/>
        <v>14523.590672557528</v>
      </c>
      <c r="N1981" s="71">
        <v>750</v>
      </c>
      <c r="O1981" s="72" t="s">
        <v>243</v>
      </c>
      <c r="P1981" s="72" t="s">
        <v>585</v>
      </c>
      <c r="Q1981" s="72" t="s">
        <v>102</v>
      </c>
      <c r="R1981" s="72" t="s">
        <v>972</v>
      </c>
      <c r="S1981" s="187">
        <f t="shared" si="996"/>
        <v>1500</v>
      </c>
    </row>
    <row r="1982" spans="1:20" x14ac:dyDescent="0.2">
      <c r="A1982" s="8" t="str">
        <f t="shared" si="995"/>
        <v>300420311</v>
      </c>
      <c r="B1982" s="69">
        <v>30042</v>
      </c>
      <c r="C1982" s="69">
        <v>3</v>
      </c>
      <c r="D1982" s="69" t="s">
        <v>62</v>
      </c>
      <c r="E1982" s="69">
        <v>1</v>
      </c>
      <c r="F1982" s="70">
        <f t="shared" ref="F1982:G1992" si="998">ROUNDDOWN($P1982/4*MIN($O1982,4)*10*$N1982/$N1982*$Q1982/400,0)</f>
        <v>11000</v>
      </c>
      <c r="G1982" s="70">
        <f t="shared" si="998"/>
        <v>11000</v>
      </c>
      <c r="H1982" s="70">
        <f t="shared" ref="H1982:I1992" si="999">ROUNDDOWN($S1982/4*10,0)</f>
        <v>3000</v>
      </c>
      <c r="I1982" s="70">
        <f t="shared" si="999"/>
        <v>3000</v>
      </c>
      <c r="J1982" s="70">
        <f t="shared" si="989"/>
        <v>27613</v>
      </c>
      <c r="K1982" s="133">
        <v>1000</v>
      </c>
      <c r="L1982" s="70"/>
      <c r="M1982" s="131">
        <f t="shared" si="997"/>
        <v>2414.9255889157334</v>
      </c>
      <c r="N1982" s="71">
        <v>450</v>
      </c>
      <c r="O1982" s="72" t="s">
        <v>332</v>
      </c>
      <c r="P1982" s="72" t="s">
        <v>202</v>
      </c>
      <c r="Q1982" s="72" t="s">
        <v>246</v>
      </c>
      <c r="R1982" s="72" t="s">
        <v>971</v>
      </c>
      <c r="S1982" s="187">
        <f t="shared" si="996"/>
        <v>1200</v>
      </c>
    </row>
    <row r="1983" spans="1:20" x14ac:dyDescent="0.2">
      <c r="A1983" s="8" t="str">
        <f t="shared" si="995"/>
        <v>300420319</v>
      </c>
      <c r="B1983" s="69">
        <v>30042</v>
      </c>
      <c r="C1983" s="69">
        <v>3</v>
      </c>
      <c r="D1983" s="69" t="s">
        <v>62</v>
      </c>
      <c r="E1983" s="69">
        <v>9</v>
      </c>
      <c r="F1983" s="70">
        <f t="shared" si="998"/>
        <v>45687</v>
      </c>
      <c r="G1983" s="70">
        <f t="shared" si="998"/>
        <v>45687</v>
      </c>
      <c r="H1983" s="70">
        <f t="shared" si="999"/>
        <v>3750</v>
      </c>
      <c r="I1983" s="70">
        <f t="shared" si="999"/>
        <v>3750</v>
      </c>
      <c r="J1983" s="70">
        <f t="shared" si="989"/>
        <v>192373</v>
      </c>
      <c r="K1983" s="133">
        <v>1000</v>
      </c>
      <c r="L1983" s="70"/>
      <c r="M1983" s="131">
        <f t="shared" si="997"/>
        <v>14523.590672557528</v>
      </c>
      <c r="N1983" s="71">
        <v>750</v>
      </c>
      <c r="O1983" s="72" t="s">
        <v>243</v>
      </c>
      <c r="P1983" s="72" t="s">
        <v>585</v>
      </c>
      <c r="Q1983" s="72" t="s">
        <v>102</v>
      </c>
      <c r="R1983" s="72" t="s">
        <v>972</v>
      </c>
      <c r="S1983" s="187">
        <f t="shared" si="996"/>
        <v>1500</v>
      </c>
    </row>
    <row r="1984" spans="1:20" x14ac:dyDescent="0.2">
      <c r="A1984" s="8" t="str">
        <f t="shared" si="995"/>
        <v>300420411</v>
      </c>
      <c r="B1984" s="69">
        <v>30042</v>
      </c>
      <c r="C1984" s="69">
        <v>4</v>
      </c>
      <c r="D1984" s="69" t="s">
        <v>62</v>
      </c>
      <c r="E1984" s="69">
        <v>1</v>
      </c>
      <c r="F1984" s="70">
        <f t="shared" si="998"/>
        <v>11000</v>
      </c>
      <c r="G1984" s="70">
        <f t="shared" si="998"/>
        <v>11000</v>
      </c>
      <c r="H1984" s="70">
        <f t="shared" si="999"/>
        <v>3000</v>
      </c>
      <c r="I1984" s="70">
        <f t="shared" si="999"/>
        <v>3000</v>
      </c>
      <c r="J1984" s="70">
        <f t="shared" si="989"/>
        <v>27613</v>
      </c>
      <c r="K1984" s="133">
        <v>1000</v>
      </c>
      <c r="L1984" s="70"/>
      <c r="M1984" s="131">
        <f t="shared" si="997"/>
        <v>2414.9255889157334</v>
      </c>
      <c r="N1984" s="71">
        <v>450</v>
      </c>
      <c r="O1984" s="72" t="s">
        <v>332</v>
      </c>
      <c r="P1984" s="72" t="s">
        <v>202</v>
      </c>
      <c r="Q1984" s="72" t="s">
        <v>246</v>
      </c>
      <c r="R1984" s="72" t="s">
        <v>971</v>
      </c>
      <c r="S1984" s="187">
        <f t="shared" si="996"/>
        <v>1200</v>
      </c>
    </row>
    <row r="1985" spans="1:20" x14ac:dyDescent="0.2">
      <c r="A1985" s="8" t="str">
        <f t="shared" si="995"/>
        <v>300420419</v>
      </c>
      <c r="B1985" s="69">
        <v>30042</v>
      </c>
      <c r="C1985" s="69">
        <v>4</v>
      </c>
      <c r="D1985" s="69" t="s">
        <v>62</v>
      </c>
      <c r="E1985" s="69">
        <v>9</v>
      </c>
      <c r="F1985" s="70">
        <f t="shared" si="998"/>
        <v>45687</v>
      </c>
      <c r="G1985" s="70">
        <f t="shared" si="998"/>
        <v>45687</v>
      </c>
      <c r="H1985" s="70">
        <f t="shared" si="999"/>
        <v>3750</v>
      </c>
      <c r="I1985" s="70">
        <f t="shared" si="999"/>
        <v>3750</v>
      </c>
      <c r="J1985" s="70">
        <f t="shared" si="989"/>
        <v>192373</v>
      </c>
      <c r="K1985" s="133">
        <v>1000</v>
      </c>
      <c r="L1985" s="70"/>
      <c r="M1985" s="131">
        <f t="shared" si="997"/>
        <v>14523.590672557528</v>
      </c>
      <c r="N1985" s="71">
        <v>750</v>
      </c>
      <c r="O1985" s="72" t="s">
        <v>243</v>
      </c>
      <c r="P1985" s="72" t="s">
        <v>585</v>
      </c>
      <c r="Q1985" s="72" t="s">
        <v>102</v>
      </c>
      <c r="R1985" s="72" t="s">
        <v>972</v>
      </c>
      <c r="S1985" s="187">
        <v>1500</v>
      </c>
    </row>
    <row r="1986" spans="1:20" x14ac:dyDescent="0.2">
      <c r="A1986" s="8" t="str">
        <f t="shared" si="995"/>
        <v>300420511</v>
      </c>
      <c r="B1986" s="69">
        <v>30042</v>
      </c>
      <c r="C1986" s="69">
        <v>5</v>
      </c>
      <c r="D1986" s="69" t="s">
        <v>62</v>
      </c>
      <c r="E1986" s="69">
        <v>1</v>
      </c>
      <c r="F1986" s="70">
        <f t="shared" si="998"/>
        <v>11000</v>
      </c>
      <c r="G1986" s="70">
        <f t="shared" si="998"/>
        <v>11000</v>
      </c>
      <c r="H1986" s="70">
        <f t="shared" si="999"/>
        <v>3000</v>
      </c>
      <c r="I1986" s="70">
        <f t="shared" si="999"/>
        <v>3000</v>
      </c>
      <c r="J1986" s="70">
        <f t="shared" si="989"/>
        <v>27613</v>
      </c>
      <c r="K1986" s="133">
        <v>1000</v>
      </c>
      <c r="L1986" s="70"/>
      <c r="M1986" s="131">
        <f t="shared" ref="M1986:M1987" si="1000">(F1986*J1986*((H1986+I1986)/2)/1000)^(1/2)/10*0.8</f>
        <v>2414.9255889157334</v>
      </c>
      <c r="N1986" s="71">
        <v>450</v>
      </c>
      <c r="O1986" s="72" t="s">
        <v>332</v>
      </c>
      <c r="P1986" s="72" t="s">
        <v>202</v>
      </c>
      <c r="Q1986" s="72" t="s">
        <v>246</v>
      </c>
      <c r="R1986" s="72" t="s">
        <v>971</v>
      </c>
      <c r="S1986" s="187">
        <f t="shared" ref="S1986" si="1001">P1986*0.6</f>
        <v>1200</v>
      </c>
    </row>
    <row r="1987" spans="1:20" x14ac:dyDescent="0.2">
      <c r="A1987" s="8" t="str">
        <f t="shared" si="995"/>
        <v>300420519</v>
      </c>
      <c r="B1987" s="69">
        <v>30042</v>
      </c>
      <c r="C1987" s="69">
        <v>5</v>
      </c>
      <c r="D1987" s="69" t="s">
        <v>62</v>
      </c>
      <c r="E1987" s="69">
        <v>9</v>
      </c>
      <c r="F1987" s="70">
        <f t="shared" si="998"/>
        <v>45687</v>
      </c>
      <c r="G1987" s="70">
        <f t="shared" si="998"/>
        <v>45687</v>
      </c>
      <c r="H1987" s="70">
        <f t="shared" si="999"/>
        <v>3750</v>
      </c>
      <c r="I1987" s="70">
        <f t="shared" si="999"/>
        <v>3750</v>
      </c>
      <c r="J1987" s="70">
        <f t="shared" si="989"/>
        <v>192373</v>
      </c>
      <c r="K1987" s="133">
        <v>1000</v>
      </c>
      <c r="L1987" s="70"/>
      <c r="M1987" s="131">
        <f t="shared" si="1000"/>
        <v>14523.590672557528</v>
      </c>
      <c r="N1987" s="71">
        <v>750</v>
      </c>
      <c r="O1987" s="72" t="s">
        <v>243</v>
      </c>
      <c r="P1987" s="72" t="s">
        <v>585</v>
      </c>
      <c r="Q1987" s="72" t="s">
        <v>102</v>
      </c>
      <c r="R1987" s="72" t="s">
        <v>972</v>
      </c>
      <c r="S1987" s="187">
        <v>1500</v>
      </c>
    </row>
    <row r="1988" spans="1:20" s="223" customFormat="1" ht="12.75" customHeight="1" x14ac:dyDescent="0.2">
      <c r="A1988" s="8" t="str">
        <f t="shared" si="995"/>
        <v>300420619</v>
      </c>
      <c r="B1988" s="69">
        <v>30042</v>
      </c>
      <c r="C1988" s="69">
        <v>6</v>
      </c>
      <c r="D1988" s="69" t="s">
        <v>62</v>
      </c>
      <c r="E1988" s="69">
        <v>9</v>
      </c>
      <c r="F1988" s="70">
        <f t="shared" si="998"/>
        <v>27500</v>
      </c>
      <c r="G1988" s="70">
        <f t="shared" si="998"/>
        <v>27500</v>
      </c>
      <c r="H1988" s="70">
        <f t="shared" si="999"/>
        <v>7500</v>
      </c>
      <c r="I1988" s="70">
        <f t="shared" si="999"/>
        <v>7500</v>
      </c>
      <c r="J1988" s="70">
        <f t="shared" si="989"/>
        <v>85227</v>
      </c>
      <c r="K1988" s="133">
        <v>1000</v>
      </c>
      <c r="L1988" s="70"/>
      <c r="M1988" s="131">
        <f t="shared" si="997"/>
        <v>10606.584747221888</v>
      </c>
      <c r="N1988" s="71">
        <v>500</v>
      </c>
      <c r="O1988" s="72" t="s">
        <v>332</v>
      </c>
      <c r="P1988" s="72" t="s">
        <v>180</v>
      </c>
      <c r="Q1988" s="72" t="s">
        <v>246</v>
      </c>
      <c r="R1988" s="72" t="s">
        <v>1077</v>
      </c>
      <c r="S1988" s="187">
        <f t="shared" ref="S1988:S1992" si="1002">P1988*0.6</f>
        <v>3000</v>
      </c>
      <c r="T1988" s="116"/>
    </row>
    <row r="1989" spans="1:20" s="223" customFormat="1" ht="12.75" customHeight="1" x14ac:dyDescent="0.2">
      <c r="A1989" s="8" t="str">
        <f t="shared" si="995"/>
        <v>300420719</v>
      </c>
      <c r="B1989" s="69">
        <v>30042</v>
      </c>
      <c r="C1989" s="69">
        <v>7</v>
      </c>
      <c r="D1989" s="69" t="s">
        <v>62</v>
      </c>
      <c r="E1989" s="69">
        <v>9</v>
      </c>
      <c r="F1989" s="70">
        <f t="shared" si="998"/>
        <v>27500</v>
      </c>
      <c r="G1989" s="70">
        <f t="shared" si="998"/>
        <v>27500</v>
      </c>
      <c r="H1989" s="70">
        <f t="shared" si="999"/>
        <v>7500</v>
      </c>
      <c r="I1989" s="70">
        <f t="shared" si="999"/>
        <v>7500</v>
      </c>
      <c r="J1989" s="70">
        <f t="shared" si="989"/>
        <v>85227</v>
      </c>
      <c r="K1989" s="133">
        <v>1000</v>
      </c>
      <c r="L1989" s="70"/>
      <c r="M1989" s="131">
        <f t="shared" si="997"/>
        <v>10606.584747221888</v>
      </c>
      <c r="N1989" s="71">
        <v>500</v>
      </c>
      <c r="O1989" s="72" t="s">
        <v>332</v>
      </c>
      <c r="P1989" s="72" t="s">
        <v>180</v>
      </c>
      <c r="Q1989" s="72" t="s">
        <v>246</v>
      </c>
      <c r="R1989" s="72" t="s">
        <v>1078</v>
      </c>
      <c r="S1989" s="187">
        <f t="shared" si="1002"/>
        <v>3000</v>
      </c>
      <c r="T1989" s="116"/>
    </row>
    <row r="1990" spans="1:20" s="223" customFormat="1" ht="12.75" customHeight="1" x14ac:dyDescent="0.2">
      <c r="A1990" s="8" t="str">
        <f t="shared" si="995"/>
        <v>300420819</v>
      </c>
      <c r="B1990" s="69">
        <v>30042</v>
      </c>
      <c r="C1990" s="69">
        <v>8</v>
      </c>
      <c r="D1990" s="69" t="s">
        <v>62</v>
      </c>
      <c r="E1990" s="69">
        <v>9</v>
      </c>
      <c r="F1990" s="70">
        <f t="shared" si="998"/>
        <v>1650</v>
      </c>
      <c r="G1990" s="70">
        <f t="shared" si="998"/>
        <v>1650</v>
      </c>
      <c r="H1990" s="70">
        <f t="shared" si="999"/>
        <v>1000</v>
      </c>
      <c r="I1990" s="70">
        <f t="shared" si="999"/>
        <v>1000</v>
      </c>
      <c r="J1990" s="70">
        <f t="shared" si="989"/>
        <v>8642</v>
      </c>
      <c r="K1990" s="133">
        <v>1000</v>
      </c>
      <c r="L1990" s="70"/>
      <c r="M1990" s="131">
        <f t="shared" si="997"/>
        <v>302.09190654501157</v>
      </c>
      <c r="N1990" s="71">
        <v>650</v>
      </c>
      <c r="O1990" s="72" t="s">
        <v>332</v>
      </c>
      <c r="P1990" s="72" t="s">
        <v>283</v>
      </c>
      <c r="Q1990" s="72" t="s">
        <v>246</v>
      </c>
      <c r="R1990" s="72" t="s">
        <v>1079</v>
      </c>
      <c r="S1990" s="187">
        <v>400</v>
      </c>
      <c r="T1990" s="116"/>
    </row>
    <row r="1991" spans="1:20" s="223" customFormat="1" ht="12.75" customHeight="1" x14ac:dyDescent="0.2">
      <c r="A1991" s="8" t="str">
        <f t="shared" si="995"/>
        <v>300420911</v>
      </c>
      <c r="B1991" s="69">
        <v>30042</v>
      </c>
      <c r="C1991" s="69">
        <v>9</v>
      </c>
      <c r="D1991" s="69" t="s">
        <v>62</v>
      </c>
      <c r="E1991" s="69">
        <v>1</v>
      </c>
      <c r="F1991" s="70">
        <f t="shared" si="998"/>
        <v>11000</v>
      </c>
      <c r="G1991" s="70">
        <f t="shared" si="998"/>
        <v>11000</v>
      </c>
      <c r="H1991" s="70">
        <f t="shared" si="999"/>
        <v>3000</v>
      </c>
      <c r="I1991" s="70">
        <f t="shared" si="999"/>
        <v>3000</v>
      </c>
      <c r="J1991" s="70">
        <f t="shared" si="989"/>
        <v>34090</v>
      </c>
      <c r="K1991" s="133">
        <v>1000</v>
      </c>
      <c r="L1991" s="70"/>
      <c r="M1991" s="131">
        <f t="shared" si="997"/>
        <v>2683.2457956735907</v>
      </c>
      <c r="N1991" s="71">
        <v>500</v>
      </c>
      <c r="O1991" s="72" t="s">
        <v>332</v>
      </c>
      <c r="P1991" s="72" t="s">
        <v>202</v>
      </c>
      <c r="Q1991" s="72" t="s">
        <v>246</v>
      </c>
      <c r="R1991" s="72" t="s">
        <v>1075</v>
      </c>
      <c r="S1991" s="187">
        <f t="shared" si="1002"/>
        <v>1200</v>
      </c>
      <c r="T1991" s="116"/>
    </row>
    <row r="1992" spans="1:20" s="223" customFormat="1" ht="12.75" customHeight="1" x14ac:dyDescent="0.2">
      <c r="A1992" s="8" t="str">
        <f t="shared" si="995"/>
        <v>300420919</v>
      </c>
      <c r="B1992" s="69">
        <v>30042</v>
      </c>
      <c r="C1992" s="69">
        <v>9</v>
      </c>
      <c r="D1992" s="69" t="s">
        <v>62</v>
      </c>
      <c r="E1992" s="69">
        <v>9</v>
      </c>
      <c r="F1992" s="70">
        <f t="shared" si="998"/>
        <v>24000</v>
      </c>
      <c r="G1992" s="70">
        <f t="shared" si="998"/>
        <v>24000</v>
      </c>
      <c r="H1992" s="70">
        <f t="shared" si="999"/>
        <v>3600</v>
      </c>
      <c r="I1992" s="70">
        <f t="shared" si="999"/>
        <v>3600</v>
      </c>
      <c r="J1992" s="70">
        <f t="shared" si="989"/>
        <v>32400</v>
      </c>
      <c r="K1992" s="133">
        <v>1000</v>
      </c>
      <c r="L1992" s="70"/>
      <c r="M1992" s="131">
        <f t="shared" si="997"/>
        <v>4232.7182755293315</v>
      </c>
      <c r="N1992" s="71">
        <v>600</v>
      </c>
      <c r="O1992" s="72" t="s">
        <v>332</v>
      </c>
      <c r="P1992" s="72" t="s">
        <v>1074</v>
      </c>
      <c r="Q1992" s="72" t="s">
        <v>90</v>
      </c>
      <c r="R1992" s="72" t="s">
        <v>1076</v>
      </c>
      <c r="S1992" s="187">
        <f t="shared" si="1002"/>
        <v>1440</v>
      </c>
      <c r="T1992" s="116"/>
    </row>
    <row r="1993" spans="1:20" x14ac:dyDescent="0.2">
      <c r="A1993" s="38"/>
      <c r="B1993" s="38"/>
      <c r="C1993" s="35" t="s">
        <v>1098</v>
      </c>
      <c r="D1993" s="38"/>
      <c r="E1993" s="38"/>
      <c r="F1993" s="38"/>
      <c r="G1993" s="40"/>
      <c r="H1993" s="38"/>
      <c r="I1993" s="38"/>
      <c r="J1993" s="38"/>
      <c r="K1993" s="133">
        <v>1000</v>
      </c>
      <c r="L1993" s="38"/>
      <c r="M1993" s="16">
        <f t="shared" si="997"/>
        <v>0</v>
      </c>
      <c r="N1993" s="42" t="str">
        <f>IF(A1993="","",M1993*#REF!)</f>
        <v/>
      </c>
      <c r="O1993" s="40"/>
      <c r="P1993" s="38"/>
      <c r="Q1993" s="38"/>
      <c r="R1993" s="38"/>
      <c r="S1993" s="40"/>
      <c r="T1993" s="267"/>
    </row>
    <row r="1994" spans="1:20" x14ac:dyDescent="0.2">
      <c r="A1994" s="8" t="str">
        <f t="shared" ref="A1994:A1996" si="1003">IF(B1994="","",CONCATENATE(B1994,CONCATENATE(REPT(0,2-LEN(C1994)),C1994),IF(OR(D1994="Easy",D1994=""),1,IF(D1994="Normal",2,IF(D1994="Hard",3,IF(D1994="Hell",4,"error")))),E1994))</f>
        <v>300430111</v>
      </c>
      <c r="B1994" s="69">
        <v>30043</v>
      </c>
      <c r="C1994" s="69">
        <v>1</v>
      </c>
      <c r="D1994" s="69" t="s">
        <v>62</v>
      </c>
      <c r="E1994" s="69">
        <v>1</v>
      </c>
      <c r="F1994" s="70">
        <f t="shared" ref="F1994:G2004" si="1004">ROUNDDOWN($P1994/4*MIN($O1994,4)*10*$N1994/$N1994*$Q1994/400,0)</f>
        <v>11000</v>
      </c>
      <c r="G1994" s="70">
        <f t="shared" si="1004"/>
        <v>11000</v>
      </c>
      <c r="H1994" s="70">
        <f t="shared" ref="H1994:I2004" si="1005">ROUNDDOWN($S1994/4*10,0)</f>
        <v>3000</v>
      </c>
      <c r="I1994" s="70">
        <f t="shared" si="1005"/>
        <v>3000</v>
      </c>
      <c r="J1994" s="70">
        <f t="shared" si="989"/>
        <v>27613</v>
      </c>
      <c r="K1994" s="133">
        <v>1000</v>
      </c>
      <c r="L1994" s="70"/>
      <c r="M1994" s="131">
        <f t="shared" si="997"/>
        <v>2414.9255889157334</v>
      </c>
      <c r="N1994" s="71">
        <v>450</v>
      </c>
      <c r="O1994" s="72" t="s">
        <v>332</v>
      </c>
      <c r="P1994" s="72" t="s">
        <v>202</v>
      </c>
      <c r="Q1994" s="72" t="s">
        <v>246</v>
      </c>
      <c r="R1994" s="72" t="s">
        <v>971</v>
      </c>
      <c r="S1994" s="187">
        <f t="shared" ref="S1994:S2010" si="1006">P1994*0.6</f>
        <v>1200</v>
      </c>
    </row>
    <row r="1995" spans="1:20" x14ac:dyDescent="0.2">
      <c r="A1995" s="8" t="str">
        <f t="shared" si="1003"/>
        <v>300430119</v>
      </c>
      <c r="B1995" s="69">
        <v>30043</v>
      </c>
      <c r="C1995" s="69">
        <v>1</v>
      </c>
      <c r="D1995" s="69" t="s">
        <v>62</v>
      </c>
      <c r="E1995" s="69">
        <v>9</v>
      </c>
      <c r="F1995" s="70">
        <f t="shared" si="1004"/>
        <v>45687</v>
      </c>
      <c r="G1995" s="70">
        <f t="shared" si="1004"/>
        <v>45687</v>
      </c>
      <c r="H1995" s="70">
        <f t="shared" si="1005"/>
        <v>3750</v>
      </c>
      <c r="I1995" s="70">
        <f t="shared" si="1005"/>
        <v>3750</v>
      </c>
      <c r="J1995" s="70">
        <f t="shared" si="989"/>
        <v>192373</v>
      </c>
      <c r="K1995" s="133">
        <v>1000</v>
      </c>
      <c r="L1995" s="70"/>
      <c r="M1995" s="131">
        <f t="shared" si="997"/>
        <v>14523.590672557528</v>
      </c>
      <c r="N1995" s="71">
        <v>750</v>
      </c>
      <c r="O1995" s="72" t="s">
        <v>243</v>
      </c>
      <c r="P1995" s="72" t="s">
        <v>585</v>
      </c>
      <c r="Q1995" s="72" t="s">
        <v>102</v>
      </c>
      <c r="R1995" s="72" t="s">
        <v>972</v>
      </c>
      <c r="S1995" s="187">
        <f t="shared" si="1006"/>
        <v>1500</v>
      </c>
    </row>
    <row r="1996" spans="1:20" x14ac:dyDescent="0.2">
      <c r="A1996" s="8" t="str">
        <f t="shared" si="1003"/>
        <v>300430115</v>
      </c>
      <c r="B1996" s="69">
        <v>30043</v>
      </c>
      <c r="C1996" s="69">
        <v>1</v>
      </c>
      <c r="D1996" s="69" t="s">
        <v>62</v>
      </c>
      <c r="E1996" s="69">
        <v>5</v>
      </c>
      <c r="F1996" s="70">
        <f t="shared" si="1004"/>
        <v>73100</v>
      </c>
      <c r="G1996" s="70">
        <f t="shared" si="1004"/>
        <v>73100</v>
      </c>
      <c r="H1996" s="70">
        <f t="shared" si="1005"/>
        <v>6000</v>
      </c>
      <c r="I1996" s="70">
        <f t="shared" si="1005"/>
        <v>6000</v>
      </c>
      <c r="J1996" s="70">
        <f t="shared" si="989"/>
        <v>997264</v>
      </c>
      <c r="K1996" s="133">
        <v>1000</v>
      </c>
      <c r="L1996" s="70"/>
      <c r="M1996" s="131">
        <f t="shared" si="997"/>
        <v>52908.977863496846</v>
      </c>
      <c r="N1996" s="71">
        <v>1350</v>
      </c>
      <c r="O1996" s="72" t="s">
        <v>243</v>
      </c>
      <c r="P1996" s="72" t="s">
        <v>177</v>
      </c>
      <c r="Q1996" s="72" t="s">
        <v>102</v>
      </c>
      <c r="R1996" s="72" t="s">
        <v>972</v>
      </c>
      <c r="S1996" s="187">
        <f t="shared" si="1006"/>
        <v>2400</v>
      </c>
    </row>
    <row r="1997" spans="1:20" x14ac:dyDescent="0.2">
      <c r="A1997" s="38"/>
      <c r="B1997" s="38"/>
      <c r="C1997" s="35" t="s">
        <v>1177</v>
      </c>
      <c r="D1997" s="38"/>
      <c r="E1997" s="38"/>
      <c r="F1997" s="38"/>
      <c r="G1997" s="40"/>
      <c r="H1997" s="38"/>
      <c r="I1997" s="38"/>
      <c r="J1997" s="38"/>
      <c r="K1997" s="133">
        <v>1000</v>
      </c>
      <c r="L1997" s="38"/>
      <c r="M1997" s="16">
        <f t="shared" ref="M1997" si="1007">(F1997*J1997*((H1997+I1997)/2)/1000)^(1/2)/10*0.8</f>
        <v>0</v>
      </c>
      <c r="N1997" s="42" t="str">
        <f>IF(A1997="","",M1997*#REF!)</f>
        <v/>
      </c>
      <c r="O1997" s="40"/>
      <c r="P1997" s="38"/>
      <c r="Q1997" s="38"/>
      <c r="R1997" s="38"/>
      <c r="S1997" s="40"/>
      <c r="T1997" s="267"/>
    </row>
    <row r="1998" spans="1:20" s="306" customFormat="1" x14ac:dyDescent="0.2">
      <c r="A1998" s="299" t="str">
        <f>IF(B1998="","",CONCATENATE(B1998,CONCATENATE(REPT(0,2-LEN(C1998)),C1998),IF(OR(D1998="Easy",D1998=""),1,IF(D1998="Normal",2,IF(D1998="Hard",3,IF(D1998="Hell",4,"error")))),E1998))</f>
        <v>300440111</v>
      </c>
      <c r="B1998" s="299">
        <v>30044</v>
      </c>
      <c r="C1998" s="299">
        <v>1</v>
      </c>
      <c r="D1998" s="299" t="s">
        <v>259</v>
      </c>
      <c r="E1998" s="299">
        <v>1</v>
      </c>
      <c r="F1998" s="300">
        <f t="shared" si="1004"/>
        <v>12100</v>
      </c>
      <c r="G1998" s="300">
        <f t="shared" si="1004"/>
        <v>12100</v>
      </c>
      <c r="H1998" s="300">
        <f t="shared" si="1005"/>
        <v>3300</v>
      </c>
      <c r="I1998" s="300">
        <f t="shared" si="1005"/>
        <v>3300</v>
      </c>
      <c r="J1998" s="300">
        <f t="shared" si="989"/>
        <v>37500</v>
      </c>
      <c r="K1998" s="301">
        <v>1000</v>
      </c>
      <c r="L1998" s="300"/>
      <c r="M1998" s="302">
        <f t="shared" si="997"/>
        <v>3095.674401483464</v>
      </c>
      <c r="N1998" s="303">
        <v>500</v>
      </c>
      <c r="O1998" s="304" t="s">
        <v>332</v>
      </c>
      <c r="P1998" s="304" t="s">
        <v>525</v>
      </c>
      <c r="Q1998" s="304" t="s">
        <v>246</v>
      </c>
      <c r="R1998" s="304" t="s">
        <v>1178</v>
      </c>
      <c r="S1998" s="305">
        <f t="shared" si="1006"/>
        <v>1320</v>
      </c>
      <c r="T1998" s="304"/>
    </row>
    <row r="1999" spans="1:20" s="306" customFormat="1" x14ac:dyDescent="0.2">
      <c r="A1999" s="299" t="str">
        <f t="shared" ref="A1999" si="1008">IF(B1999="","",CONCATENATE(B1999,CONCATENATE(REPT(0,2-LEN(C1999)),C1999),IF(OR(D1999="Easy",D1999=""),1,IF(D1999="Normal",2,IF(D1999="Hard",3,IF(D1999="Hell",4,"error")))),E1999))</f>
        <v>300440119</v>
      </c>
      <c r="B1999" s="299">
        <v>30044</v>
      </c>
      <c r="C1999" s="299">
        <v>1</v>
      </c>
      <c r="D1999" s="299" t="s">
        <v>259</v>
      </c>
      <c r="E1999" s="299">
        <v>9</v>
      </c>
      <c r="F1999" s="300">
        <f t="shared" si="1004"/>
        <v>51170</v>
      </c>
      <c r="G1999" s="300">
        <f t="shared" si="1004"/>
        <v>51170</v>
      </c>
      <c r="H1999" s="300">
        <f t="shared" si="1005"/>
        <v>4200</v>
      </c>
      <c r="I1999" s="300">
        <f t="shared" si="1005"/>
        <v>4200</v>
      </c>
      <c r="J1999" s="300">
        <f t="shared" si="989"/>
        <v>257554</v>
      </c>
      <c r="K1999" s="301">
        <v>1000</v>
      </c>
      <c r="L1999" s="300"/>
      <c r="M1999" s="302">
        <f t="shared" si="997"/>
        <v>18821.597867301276</v>
      </c>
      <c r="N1999" s="303">
        <v>820</v>
      </c>
      <c r="O1999" s="304" t="s">
        <v>243</v>
      </c>
      <c r="P1999" s="304" t="s">
        <v>587</v>
      </c>
      <c r="Q1999" s="304" t="s">
        <v>102</v>
      </c>
      <c r="R1999" s="304" t="s">
        <v>1179</v>
      </c>
      <c r="S1999" s="305">
        <f t="shared" si="1006"/>
        <v>1680</v>
      </c>
      <c r="T1999" s="304"/>
    </row>
    <row r="2000" spans="1:20" s="306" customFormat="1" x14ac:dyDescent="0.2">
      <c r="A2000" s="299" t="str">
        <f>IF(B2000="","",CONCATENATE(B2000,CONCATENATE(REPT(0,2-LEN(C2000)),C2000),IF(OR(D2000="Easy",D2000=""),1,IF(D2000="Normal",2,IF(D2000="Hard",3,IF(D2000="Hell",4,"error")))),E2000))</f>
        <v>300440211</v>
      </c>
      <c r="B2000" s="299">
        <v>30044</v>
      </c>
      <c r="C2000" s="299">
        <v>2</v>
      </c>
      <c r="D2000" s="299" t="s">
        <v>259</v>
      </c>
      <c r="E2000" s="299">
        <v>1</v>
      </c>
      <c r="F2000" s="300">
        <f t="shared" si="1004"/>
        <v>12100</v>
      </c>
      <c r="G2000" s="300">
        <f t="shared" si="1004"/>
        <v>12100</v>
      </c>
      <c r="H2000" s="300">
        <f t="shared" si="1005"/>
        <v>3300</v>
      </c>
      <c r="I2000" s="300">
        <f t="shared" si="1005"/>
        <v>3300</v>
      </c>
      <c r="J2000" s="300">
        <f t="shared" si="989"/>
        <v>37500</v>
      </c>
      <c r="K2000" s="301">
        <v>1000</v>
      </c>
      <c r="L2000" s="300"/>
      <c r="M2000" s="302">
        <f t="shared" si="997"/>
        <v>3095.674401483464</v>
      </c>
      <c r="N2000" s="303">
        <v>500</v>
      </c>
      <c r="O2000" s="304" t="s">
        <v>332</v>
      </c>
      <c r="P2000" s="304" t="s">
        <v>525</v>
      </c>
      <c r="Q2000" s="304" t="s">
        <v>246</v>
      </c>
      <c r="R2000" s="304" t="s">
        <v>1178</v>
      </c>
      <c r="S2000" s="305">
        <f t="shared" si="1006"/>
        <v>1320</v>
      </c>
      <c r="T2000" s="304"/>
    </row>
    <row r="2001" spans="1:20" s="306" customFormat="1" x14ac:dyDescent="0.2">
      <c r="A2001" s="299" t="str">
        <f t="shared" ref="A2001" si="1009">IF(B2001="","",CONCATENATE(B2001,CONCATENATE(REPT(0,2-LEN(C2001)),C2001),IF(OR(D2001="Easy",D2001=""),1,IF(D2001="Normal",2,IF(D2001="Hard",3,IF(D2001="Hell",4,"error")))),E2001))</f>
        <v>300440219</v>
      </c>
      <c r="B2001" s="299">
        <v>30044</v>
      </c>
      <c r="C2001" s="299">
        <v>2</v>
      </c>
      <c r="D2001" s="299" t="s">
        <v>259</v>
      </c>
      <c r="E2001" s="299">
        <v>9</v>
      </c>
      <c r="F2001" s="300">
        <f t="shared" si="1004"/>
        <v>51170</v>
      </c>
      <c r="G2001" s="300">
        <f t="shared" si="1004"/>
        <v>51170</v>
      </c>
      <c r="H2001" s="300">
        <f t="shared" si="1005"/>
        <v>4200</v>
      </c>
      <c r="I2001" s="300">
        <f t="shared" si="1005"/>
        <v>4200</v>
      </c>
      <c r="J2001" s="300">
        <f t="shared" si="989"/>
        <v>257554</v>
      </c>
      <c r="K2001" s="301">
        <v>1000</v>
      </c>
      <c r="L2001" s="300"/>
      <c r="M2001" s="302">
        <f t="shared" si="997"/>
        <v>18821.597867301276</v>
      </c>
      <c r="N2001" s="303">
        <v>820</v>
      </c>
      <c r="O2001" s="304" t="s">
        <v>243</v>
      </c>
      <c r="P2001" s="304" t="s">
        <v>587</v>
      </c>
      <c r="Q2001" s="304" t="s">
        <v>102</v>
      </c>
      <c r="R2001" s="304" t="s">
        <v>1179</v>
      </c>
      <c r="S2001" s="305">
        <f t="shared" si="1006"/>
        <v>1680</v>
      </c>
      <c r="T2001" s="304"/>
    </row>
    <row r="2002" spans="1:20" s="306" customFormat="1" x14ac:dyDescent="0.2">
      <c r="A2002" s="299" t="str">
        <f>IF(B2002="","",CONCATENATE(B2002,CONCATENATE(REPT(0,2-LEN(C2002)),C2002),IF(OR(D2002="Easy",D2002=""),1,IF(D2002="Normal",2,IF(D2002="Hard",3,IF(D2002="Hell",4,"error")))),E2002))</f>
        <v>300440311</v>
      </c>
      <c r="B2002" s="299">
        <v>30044</v>
      </c>
      <c r="C2002" s="299">
        <v>3</v>
      </c>
      <c r="D2002" s="299" t="s">
        <v>259</v>
      </c>
      <c r="E2002" s="299">
        <v>1</v>
      </c>
      <c r="F2002" s="300">
        <f t="shared" si="1004"/>
        <v>12100</v>
      </c>
      <c r="G2002" s="300">
        <f t="shared" si="1004"/>
        <v>12100</v>
      </c>
      <c r="H2002" s="300">
        <f t="shared" si="1005"/>
        <v>3300</v>
      </c>
      <c r="I2002" s="300">
        <f t="shared" si="1005"/>
        <v>3300</v>
      </c>
      <c r="J2002" s="300">
        <f t="shared" si="989"/>
        <v>37500</v>
      </c>
      <c r="K2002" s="301">
        <v>1000</v>
      </c>
      <c r="L2002" s="300"/>
      <c r="M2002" s="302">
        <f t="shared" si="997"/>
        <v>3095.674401483464</v>
      </c>
      <c r="N2002" s="303">
        <v>500</v>
      </c>
      <c r="O2002" s="304" t="s">
        <v>332</v>
      </c>
      <c r="P2002" s="304" t="s">
        <v>525</v>
      </c>
      <c r="Q2002" s="304" t="s">
        <v>246</v>
      </c>
      <c r="R2002" s="304" t="s">
        <v>1178</v>
      </c>
      <c r="S2002" s="305">
        <f t="shared" si="1006"/>
        <v>1320</v>
      </c>
      <c r="T2002" s="304"/>
    </row>
    <row r="2003" spans="1:20" s="306" customFormat="1" x14ac:dyDescent="0.2">
      <c r="A2003" s="299" t="str">
        <f t="shared" ref="A2003" si="1010">IF(B2003="","",CONCATENATE(B2003,CONCATENATE(REPT(0,2-LEN(C2003)),C2003),IF(OR(D2003="Easy",D2003=""),1,IF(D2003="Normal",2,IF(D2003="Hard",3,IF(D2003="Hell",4,"error")))),E2003))</f>
        <v>300440319</v>
      </c>
      <c r="B2003" s="299">
        <v>30044</v>
      </c>
      <c r="C2003" s="299">
        <v>3</v>
      </c>
      <c r="D2003" s="299" t="s">
        <v>259</v>
      </c>
      <c r="E2003" s="299">
        <v>9</v>
      </c>
      <c r="F2003" s="300">
        <f t="shared" si="1004"/>
        <v>45687</v>
      </c>
      <c r="G2003" s="300">
        <f t="shared" si="1004"/>
        <v>45687</v>
      </c>
      <c r="H2003" s="300">
        <f t="shared" si="1005"/>
        <v>3750</v>
      </c>
      <c r="I2003" s="300">
        <f t="shared" si="1005"/>
        <v>3750</v>
      </c>
      <c r="J2003" s="300">
        <f t="shared" si="989"/>
        <v>229958</v>
      </c>
      <c r="K2003" s="301">
        <v>1000</v>
      </c>
      <c r="L2003" s="300"/>
      <c r="M2003" s="302">
        <f t="shared" si="997"/>
        <v>15879.111672382684</v>
      </c>
      <c r="N2003" s="303">
        <v>820</v>
      </c>
      <c r="O2003" s="304" t="s">
        <v>243</v>
      </c>
      <c r="P2003" s="304" t="s">
        <v>585</v>
      </c>
      <c r="Q2003" s="304" t="s">
        <v>102</v>
      </c>
      <c r="R2003" s="304" t="s">
        <v>1179</v>
      </c>
      <c r="S2003" s="305">
        <f t="shared" si="1006"/>
        <v>1500</v>
      </c>
      <c r="T2003" s="304"/>
    </row>
    <row r="2004" spans="1:20" s="306" customFormat="1" x14ac:dyDescent="0.2">
      <c r="A2004" s="299" t="str">
        <f>IF(B2004="","",CONCATENATE(B2004,CONCATENATE(REPT(0,2-LEN(C2004)),C2004),IF(OR(D2004="Easy",D2004=""),1,IF(D2004="Normal",2,IF(D2004="Hard",3,IF(D2004="Hell",4,"error")))),E2004))</f>
        <v>300440411</v>
      </c>
      <c r="B2004" s="299">
        <v>30044</v>
      </c>
      <c r="C2004" s="299">
        <v>4</v>
      </c>
      <c r="D2004" s="299" t="s">
        <v>259</v>
      </c>
      <c r="E2004" s="299">
        <v>1</v>
      </c>
      <c r="F2004" s="300">
        <f t="shared" si="1004"/>
        <v>12100</v>
      </c>
      <c r="G2004" s="300">
        <f t="shared" si="1004"/>
        <v>12100</v>
      </c>
      <c r="H2004" s="300">
        <f t="shared" si="1005"/>
        <v>3300</v>
      </c>
      <c r="I2004" s="300">
        <f t="shared" si="1005"/>
        <v>3300</v>
      </c>
      <c r="J2004" s="300">
        <f t="shared" si="989"/>
        <v>37500</v>
      </c>
      <c r="K2004" s="301">
        <v>1000</v>
      </c>
      <c r="L2004" s="300"/>
      <c r="M2004" s="302">
        <f t="shared" si="997"/>
        <v>3095.674401483464</v>
      </c>
      <c r="N2004" s="303">
        <v>500</v>
      </c>
      <c r="O2004" s="304" t="s">
        <v>332</v>
      </c>
      <c r="P2004" s="304" t="s">
        <v>525</v>
      </c>
      <c r="Q2004" s="304" t="s">
        <v>246</v>
      </c>
      <c r="R2004" s="304" t="s">
        <v>1178</v>
      </c>
      <c r="S2004" s="305">
        <f t="shared" si="1006"/>
        <v>1320</v>
      </c>
      <c r="T2004" s="304"/>
    </row>
    <row r="2005" spans="1:20" s="306" customFormat="1" x14ac:dyDescent="0.2">
      <c r="A2005" s="299" t="str">
        <f t="shared" ref="A2005" si="1011">IF(B2005="","",CONCATENATE(B2005,CONCATENATE(REPT(0,2-LEN(C2005)),C2005),IF(OR(D2005="Easy",D2005=""),1,IF(D2005="Normal",2,IF(D2005="Hard",3,IF(D2005="Hell",4,"error")))),E2005))</f>
        <v>300440419</v>
      </c>
      <c r="B2005" s="299">
        <v>30044</v>
      </c>
      <c r="C2005" s="299">
        <v>4</v>
      </c>
      <c r="D2005" s="299" t="s">
        <v>259</v>
      </c>
      <c r="E2005" s="299">
        <v>9</v>
      </c>
      <c r="F2005" s="300">
        <f t="shared" ref="F2005:G2014" si="1012">ROUNDDOWN($P2005/4*MIN($O2005,4)*10*$N2005/$N2005*$Q2005/400,0)</f>
        <v>47515</v>
      </c>
      <c r="G2005" s="300">
        <f t="shared" si="1012"/>
        <v>47515</v>
      </c>
      <c r="H2005" s="300">
        <f t="shared" ref="H2005:I2015" si="1013">ROUNDDOWN($S2005/4*10,0)</f>
        <v>3900</v>
      </c>
      <c r="I2005" s="300">
        <f t="shared" si="1013"/>
        <v>3900</v>
      </c>
      <c r="J2005" s="300">
        <f t="shared" si="989"/>
        <v>239157</v>
      </c>
      <c r="K2005" s="301">
        <v>1000</v>
      </c>
      <c r="L2005" s="300"/>
      <c r="M2005" s="302">
        <f t="shared" si="997"/>
        <v>16841.439355969549</v>
      </c>
      <c r="N2005" s="303">
        <v>820</v>
      </c>
      <c r="O2005" s="304" t="s">
        <v>243</v>
      </c>
      <c r="P2005" s="304" t="s">
        <v>447</v>
      </c>
      <c r="Q2005" s="304" t="s">
        <v>102</v>
      </c>
      <c r="R2005" s="304" t="s">
        <v>1179</v>
      </c>
      <c r="S2005" s="305">
        <f t="shared" si="1006"/>
        <v>1560</v>
      </c>
      <c r="T2005" s="304"/>
    </row>
    <row r="2006" spans="1:20" s="306" customFormat="1" x14ac:dyDescent="0.2">
      <c r="A2006" s="299" t="str">
        <f>IF(B2006="","",CONCATENATE(B2006,CONCATENATE(REPT(0,2-LEN(C2006)),C2006),IF(OR(D2006="Easy",D2006=""),1,IF(D2006="Normal",2,IF(D2006="Hard",3,IF(D2006="Hell",4,"error")))),E2006))</f>
        <v>300440511</v>
      </c>
      <c r="B2006" s="299">
        <v>30044</v>
      </c>
      <c r="C2006" s="299">
        <v>5</v>
      </c>
      <c r="D2006" s="299" t="s">
        <v>259</v>
      </c>
      <c r="E2006" s="299">
        <v>1</v>
      </c>
      <c r="F2006" s="300">
        <f t="shared" si="1012"/>
        <v>12100</v>
      </c>
      <c r="G2006" s="300">
        <f t="shared" si="1012"/>
        <v>12100</v>
      </c>
      <c r="H2006" s="300">
        <f t="shared" si="1013"/>
        <v>3300</v>
      </c>
      <c r="I2006" s="300">
        <f t="shared" si="1013"/>
        <v>3300</v>
      </c>
      <c r="J2006" s="300">
        <f t="shared" si="989"/>
        <v>37500</v>
      </c>
      <c r="K2006" s="301">
        <v>1000</v>
      </c>
      <c r="L2006" s="300"/>
      <c r="M2006" s="302">
        <f t="shared" si="997"/>
        <v>3095.674401483464</v>
      </c>
      <c r="N2006" s="303">
        <v>500</v>
      </c>
      <c r="O2006" s="304" t="s">
        <v>332</v>
      </c>
      <c r="P2006" s="304" t="s">
        <v>525</v>
      </c>
      <c r="Q2006" s="304" t="s">
        <v>246</v>
      </c>
      <c r="R2006" s="304" t="s">
        <v>1178</v>
      </c>
      <c r="S2006" s="305">
        <f t="shared" si="1006"/>
        <v>1320</v>
      </c>
      <c r="T2006" s="304"/>
    </row>
    <row r="2007" spans="1:20" s="306" customFormat="1" x14ac:dyDescent="0.2">
      <c r="A2007" s="299" t="str">
        <f t="shared" ref="A2007" si="1014">IF(B2007="","",CONCATENATE(B2007,CONCATENATE(REPT(0,2-LEN(C2007)),C2007),IF(OR(D2007="Easy",D2007=""),1,IF(D2007="Normal",2,IF(D2007="Hard",3,IF(D2007="Hell",4,"error")))),E2007))</f>
        <v>300440519</v>
      </c>
      <c r="B2007" s="299">
        <v>30044</v>
      </c>
      <c r="C2007" s="299">
        <v>5</v>
      </c>
      <c r="D2007" s="299" t="s">
        <v>259</v>
      </c>
      <c r="E2007" s="299">
        <v>9</v>
      </c>
      <c r="F2007" s="300">
        <f t="shared" si="1012"/>
        <v>51170</v>
      </c>
      <c r="G2007" s="300">
        <f t="shared" si="1012"/>
        <v>51170</v>
      </c>
      <c r="H2007" s="300">
        <f t="shared" si="1013"/>
        <v>4200</v>
      </c>
      <c r="I2007" s="300">
        <f t="shared" si="1013"/>
        <v>4200</v>
      </c>
      <c r="J2007" s="300">
        <f t="shared" si="989"/>
        <v>257554</v>
      </c>
      <c r="K2007" s="301">
        <v>1000</v>
      </c>
      <c r="L2007" s="300"/>
      <c r="M2007" s="302">
        <f t="shared" si="997"/>
        <v>18821.597867301276</v>
      </c>
      <c r="N2007" s="303">
        <v>820</v>
      </c>
      <c r="O2007" s="304" t="s">
        <v>243</v>
      </c>
      <c r="P2007" s="304" t="s">
        <v>587</v>
      </c>
      <c r="Q2007" s="304" t="s">
        <v>102</v>
      </c>
      <c r="R2007" s="304" t="s">
        <v>1179</v>
      </c>
      <c r="S2007" s="305">
        <f t="shared" si="1006"/>
        <v>1680</v>
      </c>
      <c r="T2007" s="304"/>
    </row>
    <row r="2008" spans="1:20" s="306" customFormat="1" x14ac:dyDescent="0.2">
      <c r="A2008" s="299" t="str">
        <f>IF(B2008="","",CONCATENATE(B2008,CONCATENATE(REPT(0,2-LEN(C2008)),C2008),IF(OR(D2008="Easy",D2008=""),1,IF(D2008="Normal",2,IF(D2008="Hard",3,IF(D2008="Hell",4,"error")))),E2008))</f>
        <v>300440611</v>
      </c>
      <c r="B2008" s="299">
        <v>30044</v>
      </c>
      <c r="C2008" s="299">
        <v>6</v>
      </c>
      <c r="D2008" s="299" t="s">
        <v>259</v>
      </c>
      <c r="E2008" s="299">
        <v>1</v>
      </c>
      <c r="F2008" s="300">
        <f t="shared" si="1012"/>
        <v>12100</v>
      </c>
      <c r="G2008" s="300">
        <f t="shared" si="1012"/>
        <v>12100</v>
      </c>
      <c r="H2008" s="300">
        <f t="shared" si="1013"/>
        <v>3300</v>
      </c>
      <c r="I2008" s="300">
        <f t="shared" si="1013"/>
        <v>3300</v>
      </c>
      <c r="J2008" s="300">
        <f t="shared" si="989"/>
        <v>37500</v>
      </c>
      <c r="K2008" s="301">
        <v>1000</v>
      </c>
      <c r="L2008" s="300"/>
      <c r="M2008" s="302">
        <f t="shared" si="997"/>
        <v>3095.674401483464</v>
      </c>
      <c r="N2008" s="303">
        <v>500</v>
      </c>
      <c r="O2008" s="304" t="s">
        <v>332</v>
      </c>
      <c r="P2008" s="304" t="s">
        <v>525</v>
      </c>
      <c r="Q2008" s="304" t="s">
        <v>246</v>
      </c>
      <c r="R2008" s="304" t="s">
        <v>1178</v>
      </c>
      <c r="S2008" s="305">
        <f t="shared" si="1006"/>
        <v>1320</v>
      </c>
      <c r="T2008" s="304"/>
    </row>
    <row r="2009" spans="1:20" s="306" customFormat="1" x14ac:dyDescent="0.2">
      <c r="A2009" s="299" t="str">
        <f t="shared" ref="A2009:A2018" si="1015">IF(B2009="","",CONCATENATE(B2009,CONCATENATE(REPT(0,2-LEN(C2009)),C2009),IF(OR(D2009="Easy",D2009=""),1,IF(D2009="Normal",2,IF(D2009="Hard",3,IF(D2009="Hell",4,"error")))),E2009))</f>
        <v>300440619</v>
      </c>
      <c r="B2009" s="299">
        <v>30044</v>
      </c>
      <c r="C2009" s="299">
        <v>6</v>
      </c>
      <c r="D2009" s="299" t="s">
        <v>259</v>
      </c>
      <c r="E2009" s="299">
        <v>9</v>
      </c>
      <c r="F2009" s="300">
        <f t="shared" si="1012"/>
        <v>51170</v>
      </c>
      <c r="G2009" s="300">
        <f t="shared" si="1012"/>
        <v>51170</v>
      </c>
      <c r="H2009" s="300">
        <f t="shared" si="1013"/>
        <v>4200</v>
      </c>
      <c r="I2009" s="300">
        <f t="shared" si="1013"/>
        <v>4200</v>
      </c>
      <c r="J2009" s="300">
        <f t="shared" si="989"/>
        <v>257554</v>
      </c>
      <c r="K2009" s="301">
        <v>1000</v>
      </c>
      <c r="L2009" s="300"/>
      <c r="M2009" s="302">
        <f t="shared" si="997"/>
        <v>18821.597867301276</v>
      </c>
      <c r="N2009" s="303">
        <v>820</v>
      </c>
      <c r="O2009" s="304" t="s">
        <v>243</v>
      </c>
      <c r="P2009" s="304" t="s">
        <v>587</v>
      </c>
      <c r="Q2009" s="304" t="s">
        <v>102</v>
      </c>
      <c r="R2009" s="304" t="s">
        <v>1179</v>
      </c>
      <c r="S2009" s="305">
        <f t="shared" si="1006"/>
        <v>1680</v>
      </c>
      <c r="T2009" s="304"/>
    </row>
    <row r="2010" spans="1:20" s="306" customFormat="1" x14ac:dyDescent="0.2">
      <c r="A2010" s="299" t="str">
        <f t="shared" si="1015"/>
        <v>300440618</v>
      </c>
      <c r="B2010" s="299">
        <v>30044</v>
      </c>
      <c r="C2010" s="299">
        <v>6</v>
      </c>
      <c r="D2010" s="299" t="s">
        <v>259</v>
      </c>
      <c r="E2010" s="299">
        <v>8</v>
      </c>
      <c r="F2010" s="300">
        <v>4500</v>
      </c>
      <c r="G2010" s="300">
        <v>4500</v>
      </c>
      <c r="H2010" s="300">
        <f t="shared" si="1013"/>
        <v>1500</v>
      </c>
      <c r="I2010" s="300">
        <f t="shared" si="1013"/>
        <v>1500</v>
      </c>
      <c r="J2010" s="300">
        <f t="shared" si="989"/>
        <v>34199</v>
      </c>
      <c r="K2010" s="301">
        <v>1000</v>
      </c>
      <c r="L2010" s="300"/>
      <c r="M2010" s="302">
        <f t="shared" si="997"/>
        <v>1215.4821265654218</v>
      </c>
      <c r="N2010" s="303">
        <v>500</v>
      </c>
      <c r="O2010" s="304" t="s">
        <v>243</v>
      </c>
      <c r="P2010" s="304" t="s">
        <v>408</v>
      </c>
      <c r="Q2010" s="304" t="s">
        <v>102</v>
      </c>
      <c r="R2010" s="304" t="s">
        <v>903</v>
      </c>
      <c r="S2010" s="305">
        <f t="shared" si="1006"/>
        <v>600</v>
      </c>
      <c r="T2010" s="304"/>
    </row>
    <row r="2011" spans="1:20" s="306" customFormat="1" x14ac:dyDescent="0.2">
      <c r="A2011" s="299" t="str">
        <f t="shared" si="1015"/>
        <v>300440711</v>
      </c>
      <c r="B2011" s="299">
        <v>30044</v>
      </c>
      <c r="C2011" s="299">
        <v>7</v>
      </c>
      <c r="D2011" s="299" t="s">
        <v>259</v>
      </c>
      <c r="E2011" s="299">
        <v>1</v>
      </c>
      <c r="F2011" s="300">
        <f t="shared" si="1012"/>
        <v>1462000</v>
      </c>
      <c r="G2011" s="300">
        <f t="shared" si="1012"/>
        <v>1462000</v>
      </c>
      <c r="H2011" s="300">
        <f t="shared" si="1013"/>
        <v>60000</v>
      </c>
      <c r="I2011" s="300">
        <f t="shared" si="1013"/>
        <v>60000</v>
      </c>
      <c r="J2011" s="300">
        <f t="shared" si="989"/>
        <v>4392612</v>
      </c>
      <c r="K2011" s="301">
        <v>1000</v>
      </c>
      <c r="L2011" s="300"/>
      <c r="M2011" s="302">
        <f t="shared" si="997"/>
        <v>1570365.4089720647</v>
      </c>
      <c r="N2011" s="303">
        <v>650</v>
      </c>
      <c r="O2011" s="304" t="s">
        <v>228</v>
      </c>
      <c r="P2011" s="304" t="s">
        <v>481</v>
      </c>
      <c r="Q2011" s="304" t="s">
        <v>102</v>
      </c>
      <c r="R2011" s="304" t="s">
        <v>904</v>
      </c>
      <c r="S2011" s="304">
        <f>P2011*0.3</f>
        <v>24000</v>
      </c>
      <c r="T2011" s="304"/>
    </row>
    <row r="2012" spans="1:20" s="306" customFormat="1" ht="10.5" customHeight="1" x14ac:dyDescent="0.2">
      <c r="A2012" s="299" t="str">
        <f t="shared" si="1015"/>
        <v>300440712</v>
      </c>
      <c r="B2012" s="299">
        <v>30044</v>
      </c>
      <c r="C2012" s="299">
        <v>7</v>
      </c>
      <c r="D2012" s="299" t="s">
        <v>259</v>
      </c>
      <c r="E2012" s="299">
        <v>2</v>
      </c>
      <c r="F2012" s="300">
        <f t="shared" si="1012"/>
        <v>91375</v>
      </c>
      <c r="G2012" s="300">
        <f t="shared" si="1012"/>
        <v>91375</v>
      </c>
      <c r="H2012" s="300">
        <f t="shared" si="1013"/>
        <v>15802</v>
      </c>
      <c r="I2012" s="300">
        <f t="shared" si="1013"/>
        <v>15802</v>
      </c>
      <c r="J2012" s="300">
        <f t="shared" si="989"/>
        <v>436922</v>
      </c>
      <c r="K2012" s="301">
        <v>1000</v>
      </c>
      <c r="L2012" s="300"/>
      <c r="M2012" s="302">
        <f t="shared" si="997"/>
        <v>63542.115139891277</v>
      </c>
      <c r="N2012" s="303">
        <v>820</v>
      </c>
      <c r="O2012" s="304" t="s">
        <v>228</v>
      </c>
      <c r="P2012" s="304" t="s">
        <v>180</v>
      </c>
      <c r="Q2012" s="304" t="s">
        <v>102</v>
      </c>
      <c r="R2012" s="304"/>
      <c r="S2012" s="303">
        <v>6321</v>
      </c>
      <c r="T2012" s="304"/>
    </row>
    <row r="2013" spans="1:20" s="306" customFormat="1" ht="11.25" customHeight="1" x14ac:dyDescent="0.2">
      <c r="A2013" s="299" t="str">
        <f t="shared" si="1015"/>
        <v>300440811</v>
      </c>
      <c r="B2013" s="299">
        <v>30044</v>
      </c>
      <c r="C2013" s="299">
        <v>8</v>
      </c>
      <c r="D2013" s="299" t="s">
        <v>259</v>
      </c>
      <c r="E2013" s="299">
        <v>1</v>
      </c>
      <c r="F2013" s="300">
        <f t="shared" si="1012"/>
        <v>2924000</v>
      </c>
      <c r="G2013" s="300">
        <f t="shared" si="1012"/>
        <v>2924000</v>
      </c>
      <c r="H2013" s="300">
        <f t="shared" si="1013"/>
        <v>95000</v>
      </c>
      <c r="I2013" s="300">
        <f t="shared" si="1013"/>
        <v>95000</v>
      </c>
      <c r="J2013" s="300">
        <f t="shared" si="989"/>
        <v>3002571</v>
      </c>
      <c r="K2013" s="301">
        <v>1000</v>
      </c>
      <c r="L2013" s="300"/>
      <c r="M2013" s="302">
        <f t="shared" si="997"/>
        <v>2310399.6847368204</v>
      </c>
      <c r="N2013" s="303">
        <v>380</v>
      </c>
      <c r="O2013" s="304" t="s">
        <v>228</v>
      </c>
      <c r="P2013" s="304" t="s">
        <v>760</v>
      </c>
      <c r="Q2013" s="304" t="s">
        <v>102</v>
      </c>
      <c r="R2013" s="304" t="s">
        <v>896</v>
      </c>
      <c r="S2013" s="304" t="s">
        <v>586</v>
      </c>
      <c r="T2013" s="304"/>
    </row>
    <row r="2014" spans="1:20" s="306" customFormat="1" ht="10.5" customHeight="1" x14ac:dyDescent="0.2">
      <c r="A2014" s="299" t="str">
        <f t="shared" si="1015"/>
        <v>300440812</v>
      </c>
      <c r="B2014" s="299">
        <v>30044</v>
      </c>
      <c r="C2014" s="299">
        <v>8</v>
      </c>
      <c r="D2014" s="299" t="s">
        <v>259</v>
      </c>
      <c r="E2014" s="299">
        <v>2</v>
      </c>
      <c r="F2014" s="300">
        <f t="shared" si="1012"/>
        <v>91375</v>
      </c>
      <c r="G2014" s="300">
        <f t="shared" si="1012"/>
        <v>91375</v>
      </c>
      <c r="H2014" s="300">
        <f t="shared" si="1013"/>
        <v>10000</v>
      </c>
      <c r="I2014" s="300">
        <f t="shared" si="1013"/>
        <v>10000</v>
      </c>
      <c r="J2014" s="300">
        <f t="shared" si="989"/>
        <v>58481</v>
      </c>
      <c r="K2014" s="301">
        <v>1000</v>
      </c>
      <c r="L2014" s="300"/>
      <c r="M2014" s="302">
        <f t="shared" si="997"/>
        <v>18493.157869871764</v>
      </c>
      <c r="N2014" s="303">
        <v>300</v>
      </c>
      <c r="O2014" s="304" t="s">
        <v>228</v>
      </c>
      <c r="P2014" s="304" t="s">
        <v>180</v>
      </c>
      <c r="Q2014" s="304" t="s">
        <v>102</v>
      </c>
      <c r="R2014" s="304"/>
      <c r="S2014" s="303">
        <v>4000</v>
      </c>
      <c r="T2014" s="304"/>
    </row>
    <row r="2015" spans="1:20" s="306" customFormat="1" ht="10.5" customHeight="1" x14ac:dyDescent="0.2">
      <c r="A2015" s="299" t="str">
        <f t="shared" si="1015"/>
        <v>300440911</v>
      </c>
      <c r="B2015" s="299">
        <v>30044</v>
      </c>
      <c r="C2015" s="299">
        <v>9</v>
      </c>
      <c r="D2015" s="299" t="s">
        <v>259</v>
      </c>
      <c r="E2015" s="299">
        <v>1</v>
      </c>
      <c r="F2015" s="300">
        <v>3000000</v>
      </c>
      <c r="G2015" s="300">
        <v>3000000</v>
      </c>
      <c r="H2015" s="300">
        <f t="shared" si="1013"/>
        <v>120000</v>
      </c>
      <c r="I2015" s="300">
        <f t="shared" si="1013"/>
        <v>120000</v>
      </c>
      <c r="J2015" s="300">
        <f t="shared" si="989"/>
        <v>3002571</v>
      </c>
      <c r="K2015" s="301">
        <v>1000</v>
      </c>
      <c r="L2015" s="300"/>
      <c r="M2015" s="302">
        <f t="shared" si="997"/>
        <v>2630194.590519873</v>
      </c>
      <c r="N2015" s="303">
        <v>380</v>
      </c>
      <c r="O2015" s="304" t="s">
        <v>228</v>
      </c>
      <c r="P2015" s="304" t="s">
        <v>760</v>
      </c>
      <c r="Q2015" s="304" t="s">
        <v>102</v>
      </c>
      <c r="R2015" s="304" t="s">
        <v>897</v>
      </c>
      <c r="S2015" s="304">
        <f>P2015*0.3</f>
        <v>48000</v>
      </c>
      <c r="T2015" s="304"/>
    </row>
    <row r="2016" spans="1:20" s="306" customFormat="1" ht="10.5" customHeight="1" x14ac:dyDescent="0.2">
      <c r="A2016" s="299" t="str">
        <f t="shared" si="1015"/>
        <v>300440912</v>
      </c>
      <c r="B2016" s="299">
        <v>30044</v>
      </c>
      <c r="C2016" s="299">
        <v>9</v>
      </c>
      <c r="D2016" s="299" t="s">
        <v>259</v>
      </c>
      <c r="E2016" s="299">
        <v>2</v>
      </c>
      <c r="F2016" s="300">
        <f t="shared" ref="F2016:G2018" si="1016">ROUNDDOWN($P2016/4*MIN($O2016,4)*10*$N2016/$N2016*$Q2016/400,0)</f>
        <v>91375</v>
      </c>
      <c r="G2016" s="300">
        <f t="shared" si="1016"/>
        <v>91375</v>
      </c>
      <c r="H2016" s="300">
        <f t="shared" ref="H2016:I2018" si="1017">ROUNDDOWN($S2016/4*10,0)</f>
        <v>15802</v>
      </c>
      <c r="I2016" s="300">
        <f t="shared" si="1017"/>
        <v>15802</v>
      </c>
      <c r="J2016" s="300">
        <f t="shared" ref="J2016:J2018" si="1018">ROUNDDOWN($P2016/4*$O2016*10*$N2016/$Q2016*$N2016/400*0.8,0)</f>
        <v>233926</v>
      </c>
      <c r="K2016" s="301">
        <v>1000</v>
      </c>
      <c r="L2016" s="300"/>
      <c r="M2016" s="302">
        <f t="shared" si="997"/>
        <v>46494.219121193979</v>
      </c>
      <c r="N2016" s="303">
        <v>600</v>
      </c>
      <c r="O2016" s="304" t="s">
        <v>228</v>
      </c>
      <c r="P2016" s="304" t="s">
        <v>180</v>
      </c>
      <c r="Q2016" s="304" t="s">
        <v>102</v>
      </c>
      <c r="R2016" s="304"/>
      <c r="S2016" s="303">
        <v>6321</v>
      </c>
      <c r="T2016" s="304"/>
    </row>
    <row r="2017" spans="1:20" s="306" customFormat="1" ht="10.5" customHeight="1" x14ac:dyDescent="0.2">
      <c r="A2017" s="299" t="str">
        <f t="shared" si="1015"/>
        <v>300441011</v>
      </c>
      <c r="B2017" s="299">
        <v>30044</v>
      </c>
      <c r="C2017" s="299">
        <v>10</v>
      </c>
      <c r="D2017" s="299" t="s">
        <v>259</v>
      </c>
      <c r="E2017" s="299">
        <v>1</v>
      </c>
      <c r="F2017" s="300">
        <f t="shared" si="1016"/>
        <v>5000000</v>
      </c>
      <c r="G2017" s="300">
        <f t="shared" si="1016"/>
        <v>5000000</v>
      </c>
      <c r="H2017" s="300">
        <f t="shared" si="1017"/>
        <v>75000</v>
      </c>
      <c r="I2017" s="300">
        <f t="shared" si="1017"/>
        <v>75000</v>
      </c>
      <c r="J2017" s="300">
        <f t="shared" si="1018"/>
        <v>6840000</v>
      </c>
      <c r="K2017" s="301">
        <v>1000</v>
      </c>
      <c r="L2017" s="300"/>
      <c r="M2017" s="302">
        <f t="shared" si="997"/>
        <v>4051666.3238721923</v>
      </c>
      <c r="N2017" s="303">
        <v>1200</v>
      </c>
      <c r="O2017" s="304" t="s">
        <v>228</v>
      </c>
      <c r="P2017" s="304" t="s">
        <v>460</v>
      </c>
      <c r="Q2017" s="304" t="s">
        <v>202</v>
      </c>
      <c r="R2017" s="304" t="s">
        <v>898</v>
      </c>
      <c r="S2017" s="304">
        <f>P2017*0.3</f>
        <v>30000</v>
      </c>
      <c r="T2017" s="304"/>
    </row>
    <row r="2018" spans="1:20" s="306" customFormat="1" ht="10.5" customHeight="1" x14ac:dyDescent="0.2">
      <c r="A2018" s="299" t="str">
        <f t="shared" si="1015"/>
        <v>300441012</v>
      </c>
      <c r="B2018" s="299">
        <v>30044</v>
      </c>
      <c r="C2018" s="299">
        <v>10</v>
      </c>
      <c r="D2018" s="299" t="s">
        <v>259</v>
      </c>
      <c r="E2018" s="299">
        <v>2</v>
      </c>
      <c r="F2018" s="300">
        <f t="shared" si="1016"/>
        <v>312500</v>
      </c>
      <c r="G2018" s="300">
        <f t="shared" si="1016"/>
        <v>312500</v>
      </c>
      <c r="H2018" s="300">
        <f t="shared" si="1017"/>
        <v>15802</v>
      </c>
      <c r="I2018" s="300">
        <f t="shared" si="1017"/>
        <v>15802</v>
      </c>
      <c r="J2018" s="300">
        <f t="shared" si="1018"/>
        <v>93100</v>
      </c>
      <c r="K2018" s="301">
        <v>1000</v>
      </c>
      <c r="L2018" s="300"/>
      <c r="M2018" s="302">
        <f t="shared" si="997"/>
        <v>54243.270550364134</v>
      </c>
      <c r="N2018" s="303">
        <v>700</v>
      </c>
      <c r="O2018" s="304" t="s">
        <v>228</v>
      </c>
      <c r="P2018" s="304" t="s">
        <v>180</v>
      </c>
      <c r="Q2018" s="304" t="s">
        <v>585</v>
      </c>
      <c r="R2018" s="304"/>
      <c r="S2018" s="303">
        <v>6321</v>
      </c>
      <c r="T2018" s="304"/>
    </row>
    <row r="2019" spans="1:20" x14ac:dyDescent="0.2">
      <c r="A2019" s="38"/>
      <c r="B2019" s="38"/>
      <c r="C2019" s="35" t="s">
        <v>1180</v>
      </c>
      <c r="D2019" s="38"/>
      <c r="E2019" s="38"/>
      <c r="F2019" s="38"/>
      <c r="G2019" s="40"/>
      <c r="H2019" s="38"/>
      <c r="I2019" s="38"/>
      <c r="J2019" s="38"/>
      <c r="K2019" s="133">
        <v>1000</v>
      </c>
      <c r="L2019" s="38"/>
      <c r="M2019" s="16">
        <f t="shared" si="997"/>
        <v>0</v>
      </c>
      <c r="N2019" s="42" t="str">
        <f>IF(A2019="","",M2019*#REF!)</f>
        <v/>
      </c>
      <c r="O2019" s="40"/>
      <c r="P2019" s="38"/>
      <c r="Q2019" s="38"/>
      <c r="R2019" s="38"/>
      <c r="S2019" s="40"/>
      <c r="T2019" s="267"/>
    </row>
    <row r="2020" spans="1:20" s="306" customFormat="1" x14ac:dyDescent="0.2">
      <c r="A2020" s="299" t="str">
        <f>IF(B2020="","",CONCATENATE(B2020,CONCATENATE(REPT(0,2-LEN(C2020)),C2020),IF(OR(D2020="Easy",D2020=""),1,IF(D2020="Normal",2,IF(D2020="Hard",3,IF(D2020="Hell",4,"error")))),E2020))</f>
        <v>300450711</v>
      </c>
      <c r="B2020" s="299">
        <v>30045</v>
      </c>
      <c r="C2020" s="299">
        <v>7</v>
      </c>
      <c r="D2020" s="299" t="s">
        <v>259</v>
      </c>
      <c r="E2020" s="299">
        <v>1</v>
      </c>
      <c r="F2020" s="300">
        <f t="shared" ref="F2020:G2021" si="1019">ROUNDDOWN($P2020/4*MIN($O2020,4)*10*$N2020/$N2020*$Q2020/400,0)</f>
        <v>1462000</v>
      </c>
      <c r="G2020" s="300">
        <f t="shared" si="1019"/>
        <v>1462000</v>
      </c>
      <c r="H2020" s="300">
        <f t="shared" ref="H2020:I2023" si="1020">ROUNDDOWN($S2020/4*10,0)</f>
        <v>60000</v>
      </c>
      <c r="I2020" s="300">
        <f t="shared" si="1020"/>
        <v>60000</v>
      </c>
      <c r="J2020" s="300">
        <v>6000000</v>
      </c>
      <c r="K2020" s="301">
        <v>1000</v>
      </c>
      <c r="L2020" s="300"/>
      <c r="M2020" s="302">
        <f t="shared" ref="M2020:M2029" si="1021">(F2020*J2020*((H2020+I2020)/2)/1000)^(1/2)/10*0.8</f>
        <v>1835333.2122532958</v>
      </c>
      <c r="N2020" s="303">
        <v>650</v>
      </c>
      <c r="O2020" s="304" t="s">
        <v>228</v>
      </c>
      <c r="P2020" s="304" t="s">
        <v>481</v>
      </c>
      <c r="Q2020" s="304" t="s">
        <v>102</v>
      </c>
      <c r="R2020" s="304" t="s">
        <v>1181</v>
      </c>
      <c r="S2020" s="304">
        <f>P2020*0.3</f>
        <v>24000</v>
      </c>
      <c r="T2020" s="304"/>
    </row>
    <row r="2021" spans="1:20" s="306" customFormat="1" ht="11.25" customHeight="1" x14ac:dyDescent="0.2">
      <c r="A2021" s="299" t="str">
        <f t="shared" ref="A2021:A2023" si="1022">IF(B2021="","",CONCATENATE(B2021,CONCATENATE(REPT(0,2-LEN(C2021)),C2021),IF(OR(D2021="Easy",D2021=""),1,IF(D2021="Normal",2,IF(D2021="Hard",3,IF(D2021="Hell",4,"error")))),E2021))</f>
        <v>300450811</v>
      </c>
      <c r="B2021" s="299">
        <v>30045</v>
      </c>
      <c r="C2021" s="299">
        <v>8</v>
      </c>
      <c r="D2021" s="299" t="s">
        <v>259</v>
      </c>
      <c r="E2021" s="299">
        <v>1</v>
      </c>
      <c r="F2021" s="300">
        <f t="shared" si="1019"/>
        <v>2924000</v>
      </c>
      <c r="G2021" s="300">
        <f t="shared" si="1019"/>
        <v>2924000</v>
      </c>
      <c r="H2021" s="300">
        <f t="shared" si="1020"/>
        <v>95000</v>
      </c>
      <c r="I2021" s="300">
        <f t="shared" si="1020"/>
        <v>95000</v>
      </c>
      <c r="J2021" s="300">
        <v>2.6</v>
      </c>
      <c r="K2021" s="301">
        <v>1000</v>
      </c>
      <c r="L2021" s="300"/>
      <c r="M2021" s="302">
        <f t="shared" si="1021"/>
        <v>2149.9439992706789</v>
      </c>
      <c r="N2021" s="303">
        <v>380</v>
      </c>
      <c r="O2021" s="304" t="s">
        <v>228</v>
      </c>
      <c r="P2021" s="304" t="s">
        <v>760</v>
      </c>
      <c r="Q2021" s="304" t="s">
        <v>102</v>
      </c>
      <c r="R2021" s="304" t="s">
        <v>1182</v>
      </c>
      <c r="S2021" s="304" t="s">
        <v>586</v>
      </c>
      <c r="T2021" s="304"/>
    </row>
    <row r="2022" spans="1:20" s="306" customFormat="1" ht="10.5" customHeight="1" x14ac:dyDescent="0.2">
      <c r="A2022" s="299" t="str">
        <f t="shared" si="1022"/>
        <v>300450911</v>
      </c>
      <c r="B2022" s="299">
        <v>30045</v>
      </c>
      <c r="C2022" s="299">
        <v>9</v>
      </c>
      <c r="D2022" s="299" t="s">
        <v>259</v>
      </c>
      <c r="E2022" s="299">
        <v>1</v>
      </c>
      <c r="F2022" s="300">
        <v>3000000</v>
      </c>
      <c r="G2022" s="300">
        <v>3000000</v>
      </c>
      <c r="H2022" s="300">
        <f t="shared" si="1020"/>
        <v>120000</v>
      </c>
      <c r="I2022" s="300">
        <f t="shared" si="1020"/>
        <v>120000</v>
      </c>
      <c r="J2022" s="300">
        <v>1000</v>
      </c>
      <c r="K2022" s="301">
        <v>1000</v>
      </c>
      <c r="L2022" s="300"/>
      <c r="M2022" s="302">
        <f t="shared" si="1021"/>
        <v>48000</v>
      </c>
      <c r="N2022" s="303">
        <v>380</v>
      </c>
      <c r="O2022" s="304" t="s">
        <v>228</v>
      </c>
      <c r="P2022" s="304" t="s">
        <v>760</v>
      </c>
      <c r="Q2022" s="304" t="s">
        <v>102</v>
      </c>
      <c r="R2022" s="304" t="s">
        <v>1183</v>
      </c>
      <c r="S2022" s="304">
        <f>P2022*0.3</f>
        <v>48000</v>
      </c>
      <c r="T2022" s="304"/>
    </row>
    <row r="2023" spans="1:20" s="306" customFormat="1" ht="10.5" customHeight="1" x14ac:dyDescent="0.2">
      <c r="A2023" s="299" t="str">
        <f t="shared" si="1022"/>
        <v>300451011</v>
      </c>
      <c r="B2023" s="299">
        <v>30045</v>
      </c>
      <c r="C2023" s="299">
        <v>10</v>
      </c>
      <c r="D2023" s="299" t="s">
        <v>259</v>
      </c>
      <c r="E2023" s="299">
        <v>1</v>
      </c>
      <c r="F2023" s="300">
        <f t="shared" ref="F2023:G2023" si="1023">ROUNDDOWN($P2023/4*MIN($O2023,4)*10*$N2023/$N2023*$Q2023/400,0)</f>
        <v>5000000</v>
      </c>
      <c r="G2023" s="300">
        <f t="shared" si="1023"/>
        <v>5000000</v>
      </c>
      <c r="H2023" s="300">
        <f t="shared" si="1020"/>
        <v>75000</v>
      </c>
      <c r="I2023" s="300">
        <f t="shared" si="1020"/>
        <v>75000</v>
      </c>
      <c r="J2023" s="300">
        <v>5000000</v>
      </c>
      <c r="K2023" s="301">
        <v>1000</v>
      </c>
      <c r="L2023" s="300"/>
      <c r="M2023" s="302">
        <f t="shared" si="1021"/>
        <v>3464101.6151377545</v>
      </c>
      <c r="N2023" s="303">
        <v>1200</v>
      </c>
      <c r="O2023" s="304" t="s">
        <v>228</v>
      </c>
      <c r="P2023" s="304" t="s">
        <v>460</v>
      </c>
      <c r="Q2023" s="304" t="s">
        <v>202</v>
      </c>
      <c r="R2023" s="304" t="s">
        <v>1184</v>
      </c>
      <c r="S2023" s="304">
        <f>P2023*0.3</f>
        <v>30000</v>
      </c>
      <c r="T2023" s="304"/>
    </row>
    <row r="2024" spans="1:20" x14ac:dyDescent="0.2">
      <c r="A2024" s="38"/>
      <c r="B2024" s="38"/>
      <c r="C2024" s="35" t="s">
        <v>1189</v>
      </c>
      <c r="D2024" s="38"/>
      <c r="E2024" s="38"/>
      <c r="F2024" s="38"/>
      <c r="G2024" s="40"/>
      <c r="H2024" s="38"/>
      <c r="I2024" s="38"/>
      <c r="J2024" s="38"/>
      <c r="K2024" s="133">
        <v>1000</v>
      </c>
      <c r="L2024" s="38"/>
      <c r="M2024" s="16">
        <f t="shared" si="1021"/>
        <v>0</v>
      </c>
      <c r="N2024" s="42" t="str">
        <f>IF(A2024="","",M2024*#REF!)</f>
        <v/>
      </c>
      <c r="O2024" s="40"/>
      <c r="P2024" s="38"/>
      <c r="Q2024" s="38"/>
      <c r="R2024" s="38"/>
      <c r="S2024" s="40"/>
      <c r="T2024" s="267"/>
    </row>
    <row r="2025" spans="1:20" s="223" customFormat="1" x14ac:dyDescent="0.2">
      <c r="A2025" s="8" t="str">
        <f t="shared" ref="A2025:A2028" si="1024">IF(B2025="","",CONCATENATE(B2025,CONCATENATE(REPT(0,2-LEN(C2025)),C2025),IF(OR(D2025="Easy",D2025=""),1,IF(D2025="Normal",2,IF(D2025="Hard",3,IF(D2025="Hell",4,"error")))),E2025))</f>
        <v>300460919</v>
      </c>
      <c r="B2025" s="69">
        <v>30046</v>
      </c>
      <c r="C2025" s="69">
        <v>9</v>
      </c>
      <c r="D2025" s="69" t="s">
        <v>62</v>
      </c>
      <c r="E2025" s="69">
        <v>9</v>
      </c>
      <c r="F2025" s="70">
        <f t="shared" ref="F2025:G2028" si="1025">ROUNDDOWN($P2025/4*MIN($O2025,4)*10*$N2025/$N2025*$Q2025/400,0)</f>
        <v>146200</v>
      </c>
      <c r="G2025" s="70">
        <f t="shared" si="1025"/>
        <v>146200</v>
      </c>
      <c r="H2025" s="70">
        <f t="shared" ref="H2025:I2028" si="1026">ROUNDDOWN($S2025/4*10,0)</f>
        <v>6000</v>
      </c>
      <c r="I2025" s="70">
        <f t="shared" si="1026"/>
        <v>6000</v>
      </c>
      <c r="J2025" s="70">
        <f t="shared" ref="J2025:J2028" si="1027">ROUNDDOWN($P2025/4*$O2025*10*$N2025/$Q2025*$N2025/400*0.8,0)</f>
        <v>2145006</v>
      </c>
      <c r="K2025" s="133">
        <v>1000</v>
      </c>
      <c r="L2025" s="70"/>
      <c r="M2025" s="131">
        <f t="shared" si="1021"/>
        <v>109737.11899115998</v>
      </c>
      <c r="N2025" s="71">
        <v>1400</v>
      </c>
      <c r="O2025" s="72" t="s">
        <v>243</v>
      </c>
      <c r="P2025" s="72" t="s">
        <v>88</v>
      </c>
      <c r="Q2025" s="72" t="s">
        <v>102</v>
      </c>
      <c r="R2025" s="72" t="s">
        <v>972</v>
      </c>
      <c r="S2025" s="304">
        <f>P2025*0.3</f>
        <v>2400</v>
      </c>
      <c r="T2025" s="2"/>
    </row>
    <row r="2026" spans="1:20" s="223" customFormat="1" x14ac:dyDescent="0.2">
      <c r="A2026" s="8" t="str">
        <f t="shared" si="1024"/>
        <v>300461019</v>
      </c>
      <c r="B2026" s="69">
        <v>30046</v>
      </c>
      <c r="C2026" s="69">
        <v>10</v>
      </c>
      <c r="D2026" s="69" t="s">
        <v>62</v>
      </c>
      <c r="E2026" s="69">
        <v>9</v>
      </c>
      <c r="F2026" s="70">
        <f t="shared" si="1025"/>
        <v>146200</v>
      </c>
      <c r="G2026" s="70">
        <f t="shared" si="1025"/>
        <v>146200</v>
      </c>
      <c r="H2026" s="70">
        <f t="shared" si="1026"/>
        <v>6000</v>
      </c>
      <c r="I2026" s="70">
        <f t="shared" si="1026"/>
        <v>6000</v>
      </c>
      <c r="J2026" s="70">
        <f t="shared" si="1027"/>
        <v>4377564</v>
      </c>
      <c r="K2026" s="133">
        <v>1000</v>
      </c>
      <c r="L2026" s="70"/>
      <c r="M2026" s="131">
        <f t="shared" si="1021"/>
        <v>156767.32599977587</v>
      </c>
      <c r="N2026" s="71">
        <v>2000</v>
      </c>
      <c r="O2026" s="72" t="s">
        <v>243</v>
      </c>
      <c r="P2026" s="72" t="s">
        <v>88</v>
      </c>
      <c r="Q2026" s="72" t="s">
        <v>102</v>
      </c>
      <c r="R2026" s="72" t="s">
        <v>972</v>
      </c>
      <c r="S2026" s="304">
        <f>P2026*0.3</f>
        <v>2400</v>
      </c>
      <c r="T2026" s="2"/>
    </row>
    <row r="2027" spans="1:20" s="223" customFormat="1" x14ac:dyDescent="0.2">
      <c r="A2027" s="8" t="str">
        <f t="shared" si="1024"/>
        <v>300461119</v>
      </c>
      <c r="B2027" s="69">
        <v>30046</v>
      </c>
      <c r="C2027" s="69">
        <v>11</v>
      </c>
      <c r="D2027" s="69" t="s">
        <v>62</v>
      </c>
      <c r="E2027" s="69">
        <v>9</v>
      </c>
      <c r="F2027" s="70">
        <f t="shared" si="1025"/>
        <v>73100</v>
      </c>
      <c r="G2027" s="70">
        <f t="shared" si="1025"/>
        <v>73100</v>
      </c>
      <c r="H2027" s="70">
        <f t="shared" si="1026"/>
        <v>3000</v>
      </c>
      <c r="I2027" s="70">
        <f t="shared" si="1026"/>
        <v>3000</v>
      </c>
      <c r="J2027" s="70">
        <f t="shared" si="1027"/>
        <v>662106</v>
      </c>
      <c r="K2027" s="133">
        <v>1000</v>
      </c>
      <c r="L2027" s="70"/>
      <c r="M2027" s="131">
        <f t="shared" si="1021"/>
        <v>30484.078026405852</v>
      </c>
      <c r="N2027" s="71">
        <v>1100</v>
      </c>
      <c r="O2027" s="72" t="s">
        <v>243</v>
      </c>
      <c r="P2027" s="72" t="s">
        <v>177</v>
      </c>
      <c r="Q2027" s="72" t="s">
        <v>102</v>
      </c>
      <c r="R2027" s="72" t="s">
        <v>972</v>
      </c>
      <c r="S2027" s="304">
        <f>P2027*0.3</f>
        <v>1200</v>
      </c>
      <c r="T2027" s="2"/>
    </row>
    <row r="2028" spans="1:20" s="223" customFormat="1" x14ac:dyDescent="0.2">
      <c r="A2028" s="8" t="str">
        <f t="shared" si="1024"/>
        <v>300461111</v>
      </c>
      <c r="B2028" s="69">
        <v>30046</v>
      </c>
      <c r="C2028" s="69">
        <v>11</v>
      </c>
      <c r="D2028" s="69" t="s">
        <v>62</v>
      </c>
      <c r="E2028" s="69">
        <v>1</v>
      </c>
      <c r="F2028" s="70">
        <f t="shared" si="1025"/>
        <v>36550</v>
      </c>
      <c r="G2028" s="70">
        <f t="shared" si="1025"/>
        <v>36550</v>
      </c>
      <c r="H2028" s="70">
        <f t="shared" si="1026"/>
        <v>1500</v>
      </c>
      <c r="I2028" s="70">
        <f t="shared" si="1026"/>
        <v>1500</v>
      </c>
      <c r="J2028" s="70">
        <f t="shared" si="1027"/>
        <v>106874</v>
      </c>
      <c r="K2028" s="133">
        <v>1000</v>
      </c>
      <c r="L2028" s="70"/>
      <c r="M2028" s="131">
        <f t="shared" si="1021"/>
        <v>6123.7202026219329</v>
      </c>
      <c r="N2028" s="71">
        <v>625</v>
      </c>
      <c r="O2028" s="72" t="s">
        <v>243</v>
      </c>
      <c r="P2028" s="72" t="s">
        <v>202</v>
      </c>
      <c r="Q2028" s="72" t="s">
        <v>102</v>
      </c>
      <c r="R2028" s="72" t="s">
        <v>1178</v>
      </c>
      <c r="S2028" s="304">
        <f>P2028*0.3</f>
        <v>600</v>
      </c>
      <c r="T2028" s="2"/>
    </row>
    <row r="2029" spans="1:20" x14ac:dyDescent="0.2">
      <c r="A2029" s="8" t="str">
        <f t="shared" ref="A2029" si="1028">IF(B2029="","",CONCATENATE(B2029,CONCATENATE(REPT(0,2-LEN(C2029)),C2029),IF(OR(D2029="Easy",D2029=""),1,IF(D2029="Normal",2,IF(D2029="Hard",3,IF(D2029="Hell",4,"error")))),E2029))</f>
        <v>300460115</v>
      </c>
      <c r="B2029" s="69">
        <v>30046</v>
      </c>
      <c r="C2029" s="69">
        <v>1</v>
      </c>
      <c r="D2029" s="69" t="s">
        <v>62</v>
      </c>
      <c r="E2029" s="69">
        <v>5</v>
      </c>
      <c r="F2029" s="70">
        <f t="shared" ref="F2029:G2029" si="1029">ROUNDDOWN($P2029/4*MIN($O2029,4)*10*$N2029/$N2029*$Q2029/400,0)</f>
        <v>73100</v>
      </c>
      <c r="G2029" s="70">
        <f t="shared" si="1029"/>
        <v>73100</v>
      </c>
      <c r="H2029" s="70">
        <f t="shared" ref="H2029:I2029" si="1030">ROUNDDOWN($S2029/4*10,0)</f>
        <v>6000</v>
      </c>
      <c r="I2029" s="70">
        <f t="shared" si="1030"/>
        <v>6000</v>
      </c>
      <c r="J2029" s="70">
        <f t="shared" ref="J2029" si="1031">ROUNDDOWN($P2029/4*$O2029*10*$N2029/$Q2029*$N2029/400*0.8,0)</f>
        <v>997264</v>
      </c>
      <c r="K2029" s="133">
        <v>1000</v>
      </c>
      <c r="L2029" s="70"/>
      <c r="M2029" s="131">
        <f t="shared" si="1021"/>
        <v>52908.977863496846</v>
      </c>
      <c r="N2029" s="71">
        <v>1350</v>
      </c>
      <c r="O2029" s="72" t="s">
        <v>243</v>
      </c>
      <c r="P2029" s="72" t="s">
        <v>177</v>
      </c>
      <c r="Q2029" s="72" t="s">
        <v>102</v>
      </c>
      <c r="R2029" s="72" t="s">
        <v>972</v>
      </c>
      <c r="S2029" s="187">
        <f t="shared" ref="S2029" si="1032">P2029*0.6</f>
        <v>2400</v>
      </c>
    </row>
    <row r="2030" spans="1:20" x14ac:dyDescent="0.2">
      <c r="A2030" s="38"/>
      <c r="B2030" s="38"/>
      <c r="C2030" s="35" t="s">
        <v>1190</v>
      </c>
      <c r="D2030" s="38"/>
      <c r="E2030" s="38"/>
      <c r="F2030" s="38"/>
      <c r="G2030" s="40"/>
      <c r="H2030" s="38"/>
      <c r="I2030" s="38"/>
      <c r="J2030" s="38"/>
      <c r="K2030" s="133">
        <v>1000</v>
      </c>
      <c r="L2030" s="38"/>
      <c r="M2030" s="16">
        <f t="shared" ref="M2030:M2039" si="1033">(F2030*J2030*((H2030+I2030)/2)/1000)^(1/2)/10*0.8</f>
        <v>0</v>
      </c>
      <c r="N2030" s="42" t="str">
        <f>IF(A2030="","",M2030*#REF!)</f>
        <v/>
      </c>
      <c r="O2030" s="40"/>
      <c r="P2030" s="38"/>
      <c r="Q2030" s="38"/>
      <c r="R2030" s="38"/>
      <c r="S2030" s="40"/>
      <c r="T2030" s="267"/>
    </row>
    <row r="2031" spans="1:20" s="306" customFormat="1" x14ac:dyDescent="0.2">
      <c r="A2031" s="299" t="str">
        <f t="shared" ref="A2031:A2039" si="1034">IF(B2031="","",CONCATENATE(B2031,CONCATENATE(REPT(0,2-LEN(C2031)),C2031),IF(OR(D2031="Easy",D2031=""),1,IF(D2031="Normal",2,IF(D2031="Hard",3,IF(D2031="Hell",4,"error")))),E2031))</f>
        <v>300470111</v>
      </c>
      <c r="B2031" s="299">
        <v>30047</v>
      </c>
      <c r="C2031" s="299">
        <v>1</v>
      </c>
      <c r="D2031" s="299" t="s">
        <v>259</v>
      </c>
      <c r="E2031" s="299">
        <v>1</v>
      </c>
      <c r="F2031" s="307">
        <v>40000000</v>
      </c>
      <c r="G2031" s="307">
        <v>40000000</v>
      </c>
      <c r="H2031" s="300">
        <f t="shared" ref="H2031:I2039" si="1035">ROUNDDOWN($S2031/4*10,0)</f>
        <v>60000</v>
      </c>
      <c r="I2031" s="300">
        <f t="shared" si="1035"/>
        <v>60000</v>
      </c>
      <c r="J2031" s="300">
        <v>30000000</v>
      </c>
      <c r="K2031" s="301">
        <v>1000</v>
      </c>
      <c r="L2031" s="300"/>
      <c r="M2031" s="302">
        <f t="shared" si="1033"/>
        <v>21466252.583997983</v>
      </c>
      <c r="N2031" s="303">
        <v>650</v>
      </c>
      <c r="O2031" s="304" t="s">
        <v>228</v>
      </c>
      <c r="P2031" s="304" t="s">
        <v>481</v>
      </c>
      <c r="Q2031" s="304" t="s">
        <v>102</v>
      </c>
      <c r="R2031" s="304" t="s">
        <v>1191</v>
      </c>
      <c r="S2031" s="304">
        <f t="shared" ref="S2031:S2039" si="1036">P2031*0.3</f>
        <v>24000</v>
      </c>
      <c r="T2031" s="304"/>
    </row>
    <row r="2032" spans="1:20" s="306" customFormat="1" x14ac:dyDescent="0.2">
      <c r="A2032" s="299" t="str">
        <f t="shared" si="1034"/>
        <v>300470112</v>
      </c>
      <c r="B2032" s="299">
        <v>30047</v>
      </c>
      <c r="C2032" s="299">
        <v>1</v>
      </c>
      <c r="D2032" s="299" t="s">
        <v>259</v>
      </c>
      <c r="E2032" s="299">
        <v>2</v>
      </c>
      <c r="F2032" s="300">
        <f t="shared" ref="F2032:G2039" si="1037">ROUNDDOWN($P2032/4*MIN($O2032,4)*10*$N2032/$N2032*$Q2032/400,0)</f>
        <v>1462000</v>
      </c>
      <c r="G2032" s="300">
        <f t="shared" si="1037"/>
        <v>1462000</v>
      </c>
      <c r="H2032" s="300">
        <f t="shared" si="1035"/>
        <v>60000</v>
      </c>
      <c r="I2032" s="300">
        <f t="shared" si="1035"/>
        <v>60000</v>
      </c>
      <c r="J2032" s="300">
        <v>1000000</v>
      </c>
      <c r="K2032" s="301">
        <v>1000</v>
      </c>
      <c r="L2032" s="300"/>
      <c r="M2032" s="302">
        <f t="shared" si="1033"/>
        <v>749271.64633395802</v>
      </c>
      <c r="N2032" s="303">
        <v>650</v>
      </c>
      <c r="O2032" s="304" t="s">
        <v>228</v>
      </c>
      <c r="P2032" s="304" t="s">
        <v>481</v>
      </c>
      <c r="Q2032" s="304" t="s">
        <v>102</v>
      </c>
      <c r="R2032" s="304" t="s">
        <v>1192</v>
      </c>
      <c r="S2032" s="304">
        <f t="shared" si="1036"/>
        <v>24000</v>
      </c>
      <c r="T2032" s="304"/>
    </row>
    <row r="2033" spans="1:20" s="306" customFormat="1" x14ac:dyDescent="0.2">
      <c r="A2033" s="299" t="str">
        <f t="shared" si="1034"/>
        <v>300470113</v>
      </c>
      <c r="B2033" s="299">
        <v>30047</v>
      </c>
      <c r="C2033" s="299">
        <v>1</v>
      </c>
      <c r="D2033" s="299" t="s">
        <v>259</v>
      </c>
      <c r="E2033" s="299">
        <v>3</v>
      </c>
      <c r="F2033" s="300">
        <f t="shared" si="1037"/>
        <v>1462000</v>
      </c>
      <c r="G2033" s="300">
        <f t="shared" si="1037"/>
        <v>1462000</v>
      </c>
      <c r="H2033" s="300">
        <f t="shared" si="1035"/>
        <v>60000</v>
      </c>
      <c r="I2033" s="300">
        <f t="shared" si="1035"/>
        <v>60000</v>
      </c>
      <c r="J2033" s="300">
        <v>1000000</v>
      </c>
      <c r="K2033" s="301">
        <v>1000</v>
      </c>
      <c r="L2033" s="300"/>
      <c r="M2033" s="302">
        <f t="shared" si="1033"/>
        <v>749271.64633395802</v>
      </c>
      <c r="N2033" s="303">
        <v>650</v>
      </c>
      <c r="O2033" s="304" t="s">
        <v>228</v>
      </c>
      <c r="P2033" s="304" t="s">
        <v>481</v>
      </c>
      <c r="Q2033" s="304" t="s">
        <v>102</v>
      </c>
      <c r="R2033" s="304" t="s">
        <v>1193</v>
      </c>
      <c r="S2033" s="304">
        <f t="shared" si="1036"/>
        <v>24000</v>
      </c>
      <c r="T2033" s="304"/>
    </row>
    <row r="2034" spans="1:20" s="306" customFormat="1" x14ac:dyDescent="0.2">
      <c r="A2034" s="299" t="str">
        <f t="shared" si="1034"/>
        <v>300470114</v>
      </c>
      <c r="B2034" s="299">
        <v>30047</v>
      </c>
      <c r="C2034" s="299">
        <v>1</v>
      </c>
      <c r="D2034" s="299" t="s">
        <v>259</v>
      </c>
      <c r="E2034" s="299">
        <v>4</v>
      </c>
      <c r="F2034" s="300">
        <f t="shared" si="1037"/>
        <v>1462000</v>
      </c>
      <c r="G2034" s="300">
        <f t="shared" si="1037"/>
        <v>1462000</v>
      </c>
      <c r="H2034" s="300">
        <f t="shared" si="1035"/>
        <v>60000</v>
      </c>
      <c r="I2034" s="300">
        <f t="shared" si="1035"/>
        <v>60000</v>
      </c>
      <c r="J2034" s="300">
        <v>1000000</v>
      </c>
      <c r="K2034" s="301">
        <v>1000</v>
      </c>
      <c r="L2034" s="300"/>
      <c r="M2034" s="302">
        <f t="shared" si="1033"/>
        <v>749271.64633395802</v>
      </c>
      <c r="N2034" s="303">
        <v>650</v>
      </c>
      <c r="O2034" s="304" t="s">
        <v>228</v>
      </c>
      <c r="P2034" s="304" t="s">
        <v>481</v>
      </c>
      <c r="Q2034" s="304" t="s">
        <v>102</v>
      </c>
      <c r="R2034" s="304" t="s">
        <v>1194</v>
      </c>
      <c r="S2034" s="304">
        <f t="shared" si="1036"/>
        <v>24000</v>
      </c>
      <c r="T2034" s="304"/>
    </row>
    <row r="2035" spans="1:20" s="306" customFormat="1" x14ac:dyDescent="0.2">
      <c r="A2035" s="299" t="str">
        <f t="shared" si="1034"/>
        <v>300470115</v>
      </c>
      <c r="B2035" s="299">
        <v>30047</v>
      </c>
      <c r="C2035" s="299">
        <v>1</v>
      </c>
      <c r="D2035" s="299" t="s">
        <v>259</v>
      </c>
      <c r="E2035" s="299">
        <v>5</v>
      </c>
      <c r="F2035" s="300">
        <f t="shared" si="1037"/>
        <v>1462000</v>
      </c>
      <c r="G2035" s="300">
        <f t="shared" si="1037"/>
        <v>1462000</v>
      </c>
      <c r="H2035" s="300">
        <f t="shared" si="1035"/>
        <v>60000</v>
      </c>
      <c r="I2035" s="300">
        <f t="shared" si="1035"/>
        <v>60000</v>
      </c>
      <c r="J2035" s="300">
        <v>1000000</v>
      </c>
      <c r="K2035" s="301">
        <v>1000</v>
      </c>
      <c r="L2035" s="300"/>
      <c r="M2035" s="302">
        <f t="shared" si="1033"/>
        <v>749271.64633395802</v>
      </c>
      <c r="N2035" s="303">
        <v>650</v>
      </c>
      <c r="O2035" s="304" t="s">
        <v>228</v>
      </c>
      <c r="P2035" s="304" t="s">
        <v>481</v>
      </c>
      <c r="Q2035" s="304" t="s">
        <v>102</v>
      </c>
      <c r="R2035" s="304" t="s">
        <v>1195</v>
      </c>
      <c r="S2035" s="304">
        <f t="shared" si="1036"/>
        <v>24000</v>
      </c>
      <c r="T2035" s="304"/>
    </row>
    <row r="2036" spans="1:20" s="306" customFormat="1" x14ac:dyDescent="0.2">
      <c r="A2036" s="299" t="str">
        <f t="shared" si="1034"/>
        <v>300470116</v>
      </c>
      <c r="B2036" s="299">
        <v>30047</v>
      </c>
      <c r="C2036" s="299">
        <v>1</v>
      </c>
      <c r="D2036" s="299" t="s">
        <v>259</v>
      </c>
      <c r="E2036" s="299">
        <v>6</v>
      </c>
      <c r="F2036" s="300">
        <f t="shared" si="1037"/>
        <v>1462000</v>
      </c>
      <c r="G2036" s="300">
        <f t="shared" si="1037"/>
        <v>1462000</v>
      </c>
      <c r="H2036" s="300">
        <f t="shared" si="1035"/>
        <v>60000</v>
      </c>
      <c r="I2036" s="300">
        <f t="shared" si="1035"/>
        <v>60000</v>
      </c>
      <c r="J2036" s="300">
        <v>1000000</v>
      </c>
      <c r="K2036" s="301">
        <v>1000</v>
      </c>
      <c r="L2036" s="300"/>
      <c r="M2036" s="302">
        <f t="shared" si="1033"/>
        <v>749271.64633395802</v>
      </c>
      <c r="N2036" s="303">
        <v>650</v>
      </c>
      <c r="O2036" s="304" t="s">
        <v>228</v>
      </c>
      <c r="P2036" s="304" t="s">
        <v>481</v>
      </c>
      <c r="Q2036" s="304" t="s">
        <v>102</v>
      </c>
      <c r="R2036" s="304" t="s">
        <v>1196</v>
      </c>
      <c r="S2036" s="304">
        <f t="shared" si="1036"/>
        <v>24000</v>
      </c>
      <c r="T2036" s="304"/>
    </row>
    <row r="2037" spans="1:20" s="306" customFormat="1" x14ac:dyDescent="0.2">
      <c r="A2037" s="299" t="str">
        <f t="shared" si="1034"/>
        <v>300470117</v>
      </c>
      <c r="B2037" s="299">
        <v>30047</v>
      </c>
      <c r="C2037" s="299">
        <v>1</v>
      </c>
      <c r="D2037" s="299" t="s">
        <v>259</v>
      </c>
      <c r="E2037" s="299">
        <v>7</v>
      </c>
      <c r="F2037" s="300">
        <f t="shared" si="1037"/>
        <v>1462000</v>
      </c>
      <c r="G2037" s="300">
        <f t="shared" si="1037"/>
        <v>1462000</v>
      </c>
      <c r="H2037" s="300">
        <f t="shared" si="1035"/>
        <v>60000</v>
      </c>
      <c r="I2037" s="300">
        <f t="shared" si="1035"/>
        <v>60000</v>
      </c>
      <c r="J2037" s="300">
        <v>1000000</v>
      </c>
      <c r="K2037" s="301">
        <v>1000</v>
      </c>
      <c r="L2037" s="300"/>
      <c r="M2037" s="302">
        <f t="shared" si="1033"/>
        <v>749271.64633395802</v>
      </c>
      <c r="N2037" s="303">
        <v>650</v>
      </c>
      <c r="O2037" s="304" t="s">
        <v>228</v>
      </c>
      <c r="P2037" s="304" t="s">
        <v>481</v>
      </c>
      <c r="Q2037" s="304" t="s">
        <v>102</v>
      </c>
      <c r="R2037" s="304" t="s">
        <v>1197</v>
      </c>
      <c r="S2037" s="304">
        <f t="shared" si="1036"/>
        <v>24000</v>
      </c>
      <c r="T2037" s="304"/>
    </row>
    <row r="2038" spans="1:20" s="306" customFormat="1" x14ac:dyDescent="0.2">
      <c r="A2038" s="299" t="str">
        <f t="shared" si="1034"/>
        <v>300470118</v>
      </c>
      <c r="B2038" s="299">
        <v>30047</v>
      </c>
      <c r="C2038" s="299">
        <v>1</v>
      </c>
      <c r="D2038" s="299" t="s">
        <v>259</v>
      </c>
      <c r="E2038" s="299">
        <v>8</v>
      </c>
      <c r="F2038" s="300">
        <f t="shared" si="1037"/>
        <v>1462000</v>
      </c>
      <c r="G2038" s="300">
        <f t="shared" si="1037"/>
        <v>1462000</v>
      </c>
      <c r="H2038" s="300">
        <f t="shared" si="1035"/>
        <v>60000</v>
      </c>
      <c r="I2038" s="300">
        <f t="shared" si="1035"/>
        <v>60000</v>
      </c>
      <c r="J2038" s="300">
        <v>1000000</v>
      </c>
      <c r="K2038" s="301">
        <v>1000</v>
      </c>
      <c r="L2038" s="300"/>
      <c r="M2038" s="302">
        <f t="shared" si="1033"/>
        <v>749271.64633395802</v>
      </c>
      <c r="N2038" s="303">
        <v>650</v>
      </c>
      <c r="O2038" s="304" t="s">
        <v>228</v>
      </c>
      <c r="P2038" s="304" t="s">
        <v>481</v>
      </c>
      <c r="Q2038" s="304" t="s">
        <v>102</v>
      </c>
      <c r="R2038" s="304" t="s">
        <v>1198</v>
      </c>
      <c r="S2038" s="304">
        <f t="shared" si="1036"/>
        <v>24000</v>
      </c>
      <c r="T2038" s="304"/>
    </row>
    <row r="2039" spans="1:20" s="306" customFormat="1" x14ac:dyDescent="0.2">
      <c r="A2039" s="299" t="str">
        <f t="shared" si="1034"/>
        <v>300470119</v>
      </c>
      <c r="B2039" s="299">
        <v>30047</v>
      </c>
      <c r="C2039" s="299">
        <v>1</v>
      </c>
      <c r="D2039" s="299" t="s">
        <v>259</v>
      </c>
      <c r="E2039" s="299">
        <v>9</v>
      </c>
      <c r="F2039" s="300">
        <f t="shared" si="1037"/>
        <v>1462000</v>
      </c>
      <c r="G2039" s="300">
        <f t="shared" si="1037"/>
        <v>1462000</v>
      </c>
      <c r="H2039" s="300">
        <f t="shared" si="1035"/>
        <v>60000</v>
      </c>
      <c r="I2039" s="300">
        <f t="shared" si="1035"/>
        <v>60000</v>
      </c>
      <c r="J2039" s="300">
        <v>1000000</v>
      </c>
      <c r="K2039" s="301">
        <v>1000</v>
      </c>
      <c r="L2039" s="300"/>
      <c r="M2039" s="302">
        <f t="shared" si="1033"/>
        <v>749271.64633395802</v>
      </c>
      <c r="N2039" s="303">
        <v>650</v>
      </c>
      <c r="O2039" s="304" t="s">
        <v>228</v>
      </c>
      <c r="P2039" s="304" t="s">
        <v>481</v>
      </c>
      <c r="Q2039" s="304" t="s">
        <v>102</v>
      </c>
      <c r="R2039" s="304" t="s">
        <v>1199</v>
      </c>
      <c r="S2039" s="304">
        <f t="shared" si="1036"/>
        <v>24000</v>
      </c>
      <c r="T2039" s="304"/>
    </row>
    <row r="2040" spans="1:20" ht="38.25" x14ac:dyDescent="0.2">
      <c r="A2040" s="8" t="e">
        <f t="shared" si="702"/>
        <v>#VALUE!</v>
      </c>
      <c r="B2040" s="5" t="s">
        <v>1069</v>
      </c>
      <c r="C2040" s="6" t="s">
        <v>61</v>
      </c>
      <c r="D2040" s="5"/>
      <c r="E2040" s="5"/>
      <c r="F2040" s="5"/>
      <c r="G2040" s="5"/>
      <c r="H2040" s="5"/>
      <c r="I2040" s="5"/>
      <c r="J2040" s="5"/>
      <c r="K2040" s="133">
        <v>1000</v>
      </c>
      <c r="L2040" s="5"/>
      <c r="M2040" s="16">
        <f t="shared" si="793"/>
        <v>0</v>
      </c>
      <c r="N2040" s="5"/>
      <c r="O2040" s="5"/>
      <c r="P2040" s="5"/>
      <c r="Q2040" s="5"/>
      <c r="R2040" s="5"/>
      <c r="S2040" s="30"/>
      <c r="T2040" s="266"/>
    </row>
    <row r="2041" spans="1:20" x14ac:dyDescent="0.2">
      <c r="A2041" s="8" t="str">
        <f t="shared" si="702"/>
        <v>40010110</v>
      </c>
      <c r="B2041" s="8">
        <v>4001</v>
      </c>
      <c r="C2041" s="8">
        <v>1</v>
      </c>
      <c r="D2041" s="8" t="s">
        <v>62</v>
      </c>
      <c r="E2041" s="8">
        <v>0</v>
      </c>
      <c r="F2041" s="34">
        <f>ROUNDDOWN($P2041/4*$O2041*10*$N2041/$N2041*$Q2041/400,0)</f>
        <v>887</v>
      </c>
      <c r="G2041" s="34">
        <f>ROUNDDOWN($P2041/4*$O2041*10*$N2041/$N2041*$Q2041/400,0)</f>
        <v>887</v>
      </c>
      <c r="H2041" s="34">
        <f t="shared" ref="H2041:I2104" si="1038">ROUNDDOWN($S2041/4*10,0)</f>
        <v>1000</v>
      </c>
      <c r="I2041" s="34">
        <f t="shared" si="1038"/>
        <v>1000</v>
      </c>
      <c r="J2041" s="34">
        <f>ROUNDDOWN($P2041/4*$O2041*10*$N2041/$Q2041*$N2041/400,0)</f>
        <v>1126</v>
      </c>
      <c r="K2041" s="133">
        <v>1000</v>
      </c>
      <c r="L2041" s="34"/>
      <c r="M2041" s="16">
        <f t="shared" si="793"/>
        <v>79.950464664065592</v>
      </c>
      <c r="N2041" s="36">
        <v>800</v>
      </c>
      <c r="O2041" s="36">
        <v>0.5</v>
      </c>
      <c r="P2041" s="46" t="s">
        <v>90</v>
      </c>
      <c r="Q2041" s="2" t="s">
        <v>104</v>
      </c>
      <c r="S2041" s="36" t="s">
        <v>128</v>
      </c>
    </row>
    <row r="2042" spans="1:20" x14ac:dyDescent="0.2">
      <c r="A2042" s="8" t="str">
        <f t="shared" si="702"/>
        <v>40010111</v>
      </c>
      <c r="B2042" s="8">
        <v>4001</v>
      </c>
      <c r="C2042" s="8">
        <v>1</v>
      </c>
      <c r="D2042" s="8" t="s">
        <v>62</v>
      </c>
      <c r="E2042" s="8">
        <v>1</v>
      </c>
      <c r="F2042" s="34">
        <f t="shared" ref="F2042:G2045" si="1039">ROUNDDOWN($P2042/4*$O2042*10*$N2042/$N2042*$Q2042/400,0)</f>
        <v>1775</v>
      </c>
      <c r="G2042" s="34">
        <f t="shared" si="1039"/>
        <v>1775</v>
      </c>
      <c r="H2042" s="34">
        <f t="shared" si="1038"/>
        <v>1000</v>
      </c>
      <c r="I2042" s="34">
        <f t="shared" si="1038"/>
        <v>1000</v>
      </c>
      <c r="J2042" s="34">
        <f t="shared" ref="J2042:J2045" si="1040">ROUNDDOWN($P2042/4*$O2042*10*$N2042/$Q2042*$N2042/400,0)</f>
        <v>2197</v>
      </c>
      <c r="K2042" s="133">
        <v>1000</v>
      </c>
      <c r="L2042" s="34"/>
      <c r="M2042" s="16">
        <f t="shared" si="793"/>
        <v>157.98075832201846</v>
      </c>
      <c r="N2042" s="36">
        <v>790</v>
      </c>
      <c r="O2042" s="36">
        <v>1</v>
      </c>
      <c r="P2042" s="2" t="str">
        <f>P2041</f>
        <v>400</v>
      </c>
      <c r="Q2042" s="2" t="s">
        <v>104</v>
      </c>
      <c r="S2042" s="36" t="s">
        <v>128</v>
      </c>
    </row>
    <row r="2043" spans="1:20" x14ac:dyDescent="0.2">
      <c r="A2043" s="8" t="str">
        <f t="shared" si="702"/>
        <v>40010112</v>
      </c>
      <c r="B2043" s="8">
        <v>4001</v>
      </c>
      <c r="C2043" s="8">
        <v>1</v>
      </c>
      <c r="D2043" s="8" t="s">
        <v>62</v>
      </c>
      <c r="E2043" s="8">
        <v>2</v>
      </c>
      <c r="F2043" s="34">
        <f t="shared" si="1039"/>
        <v>3550</v>
      </c>
      <c r="G2043" s="34">
        <f t="shared" si="1039"/>
        <v>3550</v>
      </c>
      <c r="H2043" s="34">
        <f t="shared" si="1038"/>
        <v>1000</v>
      </c>
      <c r="I2043" s="34">
        <f t="shared" si="1038"/>
        <v>1000</v>
      </c>
      <c r="J2043" s="34">
        <f t="shared" si="1040"/>
        <v>4284</v>
      </c>
      <c r="K2043" s="133">
        <v>1000</v>
      </c>
      <c r="L2043" s="34"/>
      <c r="M2043" s="16">
        <f t="shared" si="793"/>
        <v>311.98153791530677</v>
      </c>
      <c r="N2043" s="36">
        <v>780</v>
      </c>
      <c r="O2043" s="36">
        <v>2</v>
      </c>
      <c r="P2043" s="2" t="str">
        <f t="shared" ref="P2043:P2045" si="1041">P2042</f>
        <v>400</v>
      </c>
      <c r="Q2043" s="2" t="s">
        <v>104</v>
      </c>
      <c r="S2043" s="36" t="s">
        <v>128</v>
      </c>
    </row>
    <row r="2044" spans="1:20" x14ac:dyDescent="0.2">
      <c r="A2044" s="8" t="str">
        <f t="shared" si="702"/>
        <v>40010113</v>
      </c>
      <c r="B2044" s="8">
        <v>4001</v>
      </c>
      <c r="C2044" s="8">
        <v>1</v>
      </c>
      <c r="D2044" s="8" t="s">
        <v>62</v>
      </c>
      <c r="E2044" s="8">
        <v>3</v>
      </c>
      <c r="F2044" s="34">
        <f t="shared" si="1039"/>
        <v>5325</v>
      </c>
      <c r="G2044" s="34">
        <f t="shared" si="1039"/>
        <v>5325</v>
      </c>
      <c r="H2044" s="34">
        <f t="shared" si="1038"/>
        <v>1000</v>
      </c>
      <c r="I2044" s="34">
        <f t="shared" si="1038"/>
        <v>1000</v>
      </c>
      <c r="J2044" s="34">
        <f t="shared" si="1040"/>
        <v>6263</v>
      </c>
      <c r="K2044" s="133">
        <v>1000</v>
      </c>
      <c r="L2044" s="34"/>
      <c r="M2044" s="16">
        <f t="shared" si="793"/>
        <v>461.99896103779287</v>
      </c>
      <c r="N2044" s="36">
        <v>770</v>
      </c>
      <c r="O2044" s="36">
        <v>3</v>
      </c>
      <c r="P2044" s="2" t="str">
        <f t="shared" si="1041"/>
        <v>400</v>
      </c>
      <c r="Q2044" s="2" t="s">
        <v>104</v>
      </c>
      <c r="S2044" s="36" t="s">
        <v>128</v>
      </c>
    </row>
    <row r="2045" spans="1:20" x14ac:dyDescent="0.2">
      <c r="A2045" s="8" t="str">
        <f t="shared" si="702"/>
        <v>40010114</v>
      </c>
      <c r="B2045" s="8">
        <v>4001</v>
      </c>
      <c r="C2045" s="8">
        <v>1</v>
      </c>
      <c r="D2045" s="8" t="s">
        <v>62</v>
      </c>
      <c r="E2045" s="8">
        <v>4</v>
      </c>
      <c r="F2045" s="34">
        <f t="shared" si="1039"/>
        <v>7100</v>
      </c>
      <c r="G2045" s="34">
        <f t="shared" si="1039"/>
        <v>7100</v>
      </c>
      <c r="H2045" s="34">
        <f t="shared" si="1038"/>
        <v>1000</v>
      </c>
      <c r="I2045" s="34">
        <f t="shared" si="1038"/>
        <v>1000</v>
      </c>
      <c r="J2045" s="34">
        <f t="shared" si="1040"/>
        <v>8135</v>
      </c>
      <c r="K2045" s="133">
        <v>1000</v>
      </c>
      <c r="L2045" s="34"/>
      <c r="M2045" s="16">
        <f t="shared" si="793"/>
        <v>607.99210521190162</v>
      </c>
      <c r="N2045" s="36">
        <v>760</v>
      </c>
      <c r="O2045" s="36">
        <v>4</v>
      </c>
      <c r="P2045" s="2" t="str">
        <f t="shared" si="1041"/>
        <v>400</v>
      </c>
      <c r="Q2045" s="2" t="s">
        <v>104</v>
      </c>
      <c r="S2045" s="36" t="s">
        <v>128</v>
      </c>
    </row>
    <row r="2046" spans="1:20" x14ac:dyDescent="0.2">
      <c r="A2046" s="8" t="str">
        <f t="shared" si="702"/>
        <v>40010210</v>
      </c>
      <c r="B2046" s="8">
        <v>4001</v>
      </c>
      <c r="C2046" s="8">
        <v>2</v>
      </c>
      <c r="D2046" s="8" t="s">
        <v>62</v>
      </c>
      <c r="E2046" s="8">
        <v>0</v>
      </c>
      <c r="F2046" s="34">
        <f>ROUNDDOWN($P2046/4*$O2046*10*$N2046/$N2046*$Q2046/400,0)</f>
        <v>1499</v>
      </c>
      <c r="G2046" s="34">
        <f>ROUNDDOWN($P2046/4*$O2046*10*$N2046/$N2046*$Q2046/400,0)</f>
        <v>1499</v>
      </c>
      <c r="H2046" s="34">
        <f t="shared" si="1038"/>
        <v>1690</v>
      </c>
      <c r="I2046" s="34">
        <f t="shared" si="1038"/>
        <v>1690</v>
      </c>
      <c r="J2046" s="34">
        <f>ROUNDDOWN($P2046/4*$O2046*10*$N2046/$Q2046*$N2046/400,0)</f>
        <v>1904</v>
      </c>
      <c r="K2046" s="133">
        <v>1000</v>
      </c>
      <c r="L2046" s="34"/>
      <c r="M2046" s="16">
        <f t="shared" si="793"/>
        <v>175.69832764144346</v>
      </c>
      <c r="N2046" s="36">
        <v>800</v>
      </c>
      <c r="O2046" s="36">
        <v>0.5</v>
      </c>
      <c r="P2046" s="47">
        <v>676</v>
      </c>
      <c r="Q2046" s="2" t="s">
        <v>104</v>
      </c>
      <c r="S2046" s="36" t="s">
        <v>140</v>
      </c>
    </row>
    <row r="2047" spans="1:20" x14ac:dyDescent="0.2">
      <c r="A2047" s="8" t="str">
        <f t="shared" si="702"/>
        <v>40010211</v>
      </c>
      <c r="B2047" s="8">
        <v>4001</v>
      </c>
      <c r="C2047" s="8">
        <v>2</v>
      </c>
      <c r="D2047" s="8" t="s">
        <v>62</v>
      </c>
      <c r="E2047" s="8">
        <v>1</v>
      </c>
      <c r="F2047" s="34">
        <f t="shared" ref="F2047:G2050" si="1042">ROUNDDOWN($P2047/4*$O2047*10*$N2047/$N2047*$Q2047/400,0)</f>
        <v>2999</v>
      </c>
      <c r="G2047" s="34">
        <f t="shared" si="1042"/>
        <v>2999</v>
      </c>
      <c r="H2047" s="34">
        <f t="shared" si="1038"/>
        <v>1690</v>
      </c>
      <c r="I2047" s="34">
        <f t="shared" si="1038"/>
        <v>1690</v>
      </c>
      <c r="J2047" s="34">
        <f t="shared" ref="J2047:J2050" si="1043">ROUNDDOWN($P2047/4*$O2047*10*$N2047/$Q2047*$N2047/400,0)</f>
        <v>3713</v>
      </c>
      <c r="K2047" s="133">
        <v>1000</v>
      </c>
      <c r="L2047" s="34"/>
      <c r="M2047" s="16">
        <f t="shared" si="793"/>
        <v>347.04360560598144</v>
      </c>
      <c r="N2047" s="36">
        <v>790</v>
      </c>
      <c r="O2047" s="36">
        <v>1</v>
      </c>
      <c r="P2047" s="2">
        <f>P2046</f>
        <v>676</v>
      </c>
      <c r="Q2047" s="2" t="s">
        <v>104</v>
      </c>
      <c r="S2047" s="36" t="s">
        <v>140</v>
      </c>
    </row>
    <row r="2048" spans="1:20" x14ac:dyDescent="0.2">
      <c r="A2048" s="8" t="str">
        <f t="shared" si="702"/>
        <v>40010212</v>
      </c>
      <c r="B2048" s="8">
        <v>4001</v>
      </c>
      <c r="C2048" s="8">
        <v>2</v>
      </c>
      <c r="D2048" s="8" t="s">
        <v>62</v>
      </c>
      <c r="E2048" s="8">
        <v>2</v>
      </c>
      <c r="F2048" s="34">
        <f t="shared" si="1042"/>
        <v>5999</v>
      </c>
      <c r="G2048" s="34">
        <f t="shared" si="1042"/>
        <v>5999</v>
      </c>
      <c r="H2048" s="34">
        <f t="shared" si="1038"/>
        <v>1690</v>
      </c>
      <c r="I2048" s="34">
        <f t="shared" si="1038"/>
        <v>1690</v>
      </c>
      <c r="J2048" s="34">
        <f t="shared" si="1043"/>
        <v>7240</v>
      </c>
      <c r="K2048" s="133">
        <v>1000</v>
      </c>
      <c r="L2048" s="34"/>
      <c r="M2048" s="16">
        <f t="shared" si="793"/>
        <v>685.3967698785865</v>
      </c>
      <c r="N2048" s="36">
        <v>780</v>
      </c>
      <c r="O2048" s="36">
        <v>2</v>
      </c>
      <c r="P2048" s="2">
        <f t="shared" ref="P2048:P2050" si="1044">P2047</f>
        <v>676</v>
      </c>
      <c r="Q2048" s="2" t="s">
        <v>104</v>
      </c>
      <c r="S2048" s="36" t="s">
        <v>140</v>
      </c>
    </row>
    <row r="2049" spans="1:19" x14ac:dyDescent="0.2">
      <c r="A2049" s="8" t="str">
        <f t="shared" si="702"/>
        <v>40010213</v>
      </c>
      <c r="B2049" s="8">
        <v>4001</v>
      </c>
      <c r="C2049" s="8">
        <v>2</v>
      </c>
      <c r="D2049" s="8" t="s">
        <v>62</v>
      </c>
      <c r="E2049" s="8">
        <v>3</v>
      </c>
      <c r="F2049" s="34">
        <f t="shared" si="1042"/>
        <v>8999</v>
      </c>
      <c r="G2049" s="34">
        <f t="shared" si="1042"/>
        <v>8999</v>
      </c>
      <c r="H2049" s="34">
        <f t="shared" si="1038"/>
        <v>1690</v>
      </c>
      <c r="I2049" s="34">
        <f t="shared" si="1038"/>
        <v>1690</v>
      </c>
      <c r="J2049" s="34">
        <f t="shared" si="1043"/>
        <v>10584</v>
      </c>
      <c r="K2049" s="133">
        <v>1000</v>
      </c>
      <c r="L2049" s="34"/>
      <c r="M2049" s="16">
        <f t="shared" si="793"/>
        <v>1014.9750831700254</v>
      </c>
      <c r="N2049" s="36">
        <v>770</v>
      </c>
      <c r="O2049" s="36">
        <v>3</v>
      </c>
      <c r="P2049" s="2">
        <f t="shared" si="1044"/>
        <v>676</v>
      </c>
      <c r="Q2049" s="2" t="s">
        <v>104</v>
      </c>
      <c r="S2049" s="36" t="s">
        <v>140</v>
      </c>
    </row>
    <row r="2050" spans="1:19" x14ac:dyDescent="0.2">
      <c r="A2050" s="8" t="str">
        <f t="shared" si="702"/>
        <v>40010214</v>
      </c>
      <c r="B2050" s="8">
        <v>4001</v>
      </c>
      <c r="C2050" s="8">
        <v>2</v>
      </c>
      <c r="D2050" s="8" t="s">
        <v>62</v>
      </c>
      <c r="E2050" s="8">
        <v>4</v>
      </c>
      <c r="F2050" s="34">
        <f t="shared" si="1042"/>
        <v>11999</v>
      </c>
      <c r="G2050" s="34">
        <f t="shared" si="1042"/>
        <v>11999</v>
      </c>
      <c r="H2050" s="34">
        <f t="shared" si="1038"/>
        <v>1690</v>
      </c>
      <c r="I2050" s="34">
        <f t="shared" si="1038"/>
        <v>1690</v>
      </c>
      <c r="J2050" s="34">
        <f t="shared" si="1043"/>
        <v>13748</v>
      </c>
      <c r="K2050" s="133">
        <v>1000</v>
      </c>
      <c r="L2050" s="34"/>
      <c r="M2050" s="16">
        <f t="shared" si="793"/>
        <v>1335.7513681939465</v>
      </c>
      <c r="N2050" s="36">
        <v>760</v>
      </c>
      <c r="O2050" s="36">
        <v>4</v>
      </c>
      <c r="P2050" s="2">
        <f t="shared" si="1044"/>
        <v>676</v>
      </c>
      <c r="Q2050" s="2" t="s">
        <v>104</v>
      </c>
      <c r="S2050" s="36" t="s">
        <v>140</v>
      </c>
    </row>
    <row r="2051" spans="1:19" x14ac:dyDescent="0.2">
      <c r="A2051" s="8" t="str">
        <f t="shared" si="702"/>
        <v>40010310</v>
      </c>
      <c r="B2051" s="8">
        <v>4001</v>
      </c>
      <c r="C2051" s="8">
        <v>3</v>
      </c>
      <c r="D2051" s="8" t="s">
        <v>62</v>
      </c>
      <c r="E2051" s="8">
        <v>0</v>
      </c>
      <c r="F2051" s="34">
        <f>ROUNDDOWN($P2051/4*$O2051*10*$N2051/$N2051*$Q2051/400,0)</f>
        <v>1695</v>
      </c>
      <c r="G2051" s="34">
        <f>ROUNDDOWN($P2051/4*$O2051*10*$N2051/$N2051*$Q2051/400,0)</f>
        <v>1695</v>
      </c>
      <c r="H2051" s="34">
        <f t="shared" si="1038"/>
        <v>1690</v>
      </c>
      <c r="I2051" s="34">
        <f t="shared" si="1038"/>
        <v>1690</v>
      </c>
      <c r="J2051" s="34">
        <f>ROUNDDOWN($P2051/4*$O2051*10*$N2051/$Q2051*$N2051/400,0)</f>
        <v>2152</v>
      </c>
      <c r="K2051" s="133">
        <v>1000</v>
      </c>
      <c r="L2051" s="34"/>
      <c r="M2051" s="16">
        <f t="shared" si="793"/>
        <v>198.62747604498225</v>
      </c>
      <c r="N2051" s="36">
        <v>800</v>
      </c>
      <c r="O2051" s="36">
        <v>0.5</v>
      </c>
      <c r="P2051" s="47">
        <v>764</v>
      </c>
      <c r="Q2051" s="2" t="s">
        <v>104</v>
      </c>
      <c r="S2051" s="36" t="s">
        <v>140</v>
      </c>
    </row>
    <row r="2052" spans="1:19" x14ac:dyDescent="0.2">
      <c r="A2052" s="8" t="str">
        <f t="shared" si="702"/>
        <v>40010311</v>
      </c>
      <c r="B2052" s="8">
        <v>4001</v>
      </c>
      <c r="C2052" s="8">
        <v>3</v>
      </c>
      <c r="D2052" s="8" t="s">
        <v>62</v>
      </c>
      <c r="E2052" s="8">
        <v>1</v>
      </c>
      <c r="F2052" s="34">
        <f t="shared" ref="F2052:G2055" si="1045">ROUNDDOWN($P2052/4*$O2052*10*$N2052/$N2052*$Q2052/400,0)</f>
        <v>3390</v>
      </c>
      <c r="G2052" s="34">
        <f t="shared" si="1045"/>
        <v>3390</v>
      </c>
      <c r="H2052" s="34">
        <f t="shared" si="1038"/>
        <v>1910</v>
      </c>
      <c r="I2052" s="34">
        <f t="shared" si="1038"/>
        <v>1910</v>
      </c>
      <c r="J2052" s="34">
        <f t="shared" ref="J2052:J2055" si="1046">ROUNDDOWN($P2052/4*$O2052*10*$N2052/$Q2052*$N2052/400,0)</f>
        <v>4197</v>
      </c>
      <c r="K2052" s="133">
        <v>1000</v>
      </c>
      <c r="L2052" s="34"/>
      <c r="M2052" s="16">
        <f t="shared" si="793"/>
        <v>417.03836024998947</v>
      </c>
      <c r="N2052" s="36">
        <v>790</v>
      </c>
      <c r="O2052" s="36">
        <v>1</v>
      </c>
      <c r="P2052" s="2">
        <f>P2051</f>
        <v>764</v>
      </c>
      <c r="Q2052" s="2" t="s">
        <v>104</v>
      </c>
      <c r="S2052" s="36" t="s">
        <v>141</v>
      </c>
    </row>
    <row r="2053" spans="1:19" x14ac:dyDescent="0.2">
      <c r="A2053" s="8" t="str">
        <f t="shared" si="702"/>
        <v>40010312</v>
      </c>
      <c r="B2053" s="8">
        <v>4001</v>
      </c>
      <c r="C2053" s="8">
        <v>3</v>
      </c>
      <c r="D2053" s="8" t="s">
        <v>62</v>
      </c>
      <c r="E2053" s="8">
        <v>2</v>
      </c>
      <c r="F2053" s="34">
        <f t="shared" si="1045"/>
        <v>6780</v>
      </c>
      <c r="G2053" s="34">
        <f t="shared" si="1045"/>
        <v>6780</v>
      </c>
      <c r="H2053" s="34">
        <f t="shared" si="1038"/>
        <v>1910</v>
      </c>
      <c r="I2053" s="34">
        <f t="shared" si="1038"/>
        <v>1910</v>
      </c>
      <c r="J2053" s="34">
        <f t="shared" si="1046"/>
        <v>8183</v>
      </c>
      <c r="K2053" s="133">
        <v>1000</v>
      </c>
      <c r="L2053" s="34"/>
      <c r="M2053" s="16">
        <f t="shared" si="793"/>
        <v>823.52690651854255</v>
      </c>
      <c r="N2053" s="36">
        <v>780</v>
      </c>
      <c r="O2053" s="36">
        <v>2</v>
      </c>
      <c r="P2053" s="2">
        <f t="shared" ref="P2053:P2055" si="1047">P2052</f>
        <v>764</v>
      </c>
      <c r="Q2053" s="2" t="s">
        <v>104</v>
      </c>
      <c r="S2053" s="36" t="str">
        <f>S2052</f>
        <v>764</v>
      </c>
    </row>
    <row r="2054" spans="1:19" x14ac:dyDescent="0.2">
      <c r="A2054" s="8" t="str">
        <f t="shared" si="702"/>
        <v>40010313</v>
      </c>
      <c r="B2054" s="8">
        <v>4001</v>
      </c>
      <c r="C2054" s="8">
        <v>3</v>
      </c>
      <c r="D2054" s="8" t="s">
        <v>62</v>
      </c>
      <c r="E2054" s="8">
        <v>3</v>
      </c>
      <c r="F2054" s="34">
        <f t="shared" si="1045"/>
        <v>10170</v>
      </c>
      <c r="G2054" s="34">
        <f t="shared" si="1045"/>
        <v>10170</v>
      </c>
      <c r="H2054" s="34">
        <f t="shared" si="1038"/>
        <v>1910</v>
      </c>
      <c r="I2054" s="34">
        <f t="shared" si="1038"/>
        <v>1910</v>
      </c>
      <c r="J2054" s="34">
        <f t="shared" si="1046"/>
        <v>11962</v>
      </c>
      <c r="K2054" s="133">
        <v>1000</v>
      </c>
      <c r="L2054" s="34"/>
      <c r="M2054" s="16">
        <f t="shared" si="793"/>
        <v>1219.4641745291249</v>
      </c>
      <c r="N2054" s="36">
        <v>770</v>
      </c>
      <c r="O2054" s="36">
        <v>3</v>
      </c>
      <c r="P2054" s="2">
        <f t="shared" si="1047"/>
        <v>764</v>
      </c>
      <c r="Q2054" s="2" t="s">
        <v>104</v>
      </c>
      <c r="S2054" s="36" t="str">
        <f t="shared" ref="S2054:S2055" si="1048">S2053</f>
        <v>764</v>
      </c>
    </row>
    <row r="2055" spans="1:19" x14ac:dyDescent="0.2">
      <c r="A2055" s="8" t="str">
        <f t="shared" si="702"/>
        <v>40010314</v>
      </c>
      <c r="B2055" s="8">
        <v>4001</v>
      </c>
      <c r="C2055" s="8">
        <v>3</v>
      </c>
      <c r="D2055" s="8" t="s">
        <v>62</v>
      </c>
      <c r="E2055" s="8">
        <v>4</v>
      </c>
      <c r="F2055" s="34">
        <f t="shared" si="1045"/>
        <v>13561</v>
      </c>
      <c r="G2055" s="34">
        <f t="shared" si="1045"/>
        <v>13561</v>
      </c>
      <c r="H2055" s="34">
        <f t="shared" si="1038"/>
        <v>1910</v>
      </c>
      <c r="I2055" s="34">
        <f t="shared" si="1038"/>
        <v>1910</v>
      </c>
      <c r="J2055" s="34">
        <f t="shared" si="1046"/>
        <v>15538</v>
      </c>
      <c r="K2055" s="133">
        <v>1000</v>
      </c>
      <c r="L2055" s="34"/>
      <c r="M2055" s="16">
        <f t="shared" si="793"/>
        <v>1604.9077977354339</v>
      </c>
      <c r="N2055" s="36">
        <v>760</v>
      </c>
      <c r="O2055" s="36">
        <v>4</v>
      </c>
      <c r="P2055" s="2">
        <f t="shared" si="1047"/>
        <v>764</v>
      </c>
      <c r="Q2055" s="2" t="s">
        <v>104</v>
      </c>
      <c r="S2055" s="36" t="str">
        <f t="shared" si="1048"/>
        <v>764</v>
      </c>
    </row>
    <row r="2056" spans="1:19" x14ac:dyDescent="0.2">
      <c r="A2056" s="8" t="str">
        <f t="shared" si="702"/>
        <v>40010410</v>
      </c>
      <c r="B2056" s="8">
        <v>4001</v>
      </c>
      <c r="C2056" s="8">
        <v>4</v>
      </c>
      <c r="D2056" s="8" t="s">
        <v>62</v>
      </c>
      <c r="E2056" s="8">
        <v>0</v>
      </c>
      <c r="F2056" s="34">
        <f>ROUNDDOWN($P2056/4*$O2056*10*$N2056/$N2056*$Q2056/400,0)</f>
        <v>1872</v>
      </c>
      <c r="G2056" s="34">
        <f>ROUNDDOWN($P2056/4*$O2056*10*$N2056/$N2056*$Q2056/400,0)</f>
        <v>1872</v>
      </c>
      <c r="H2056" s="34">
        <f t="shared" si="1038"/>
        <v>2110</v>
      </c>
      <c r="I2056" s="34">
        <f t="shared" si="1038"/>
        <v>2110</v>
      </c>
      <c r="J2056" s="34">
        <f>ROUNDDOWN($P2056/4*$O2056*10*$N2056/$Q2056*$N2056/400,0)</f>
        <v>2377</v>
      </c>
      <c r="K2056" s="133">
        <v>1000</v>
      </c>
      <c r="L2056" s="34"/>
      <c r="M2056" s="16">
        <f t="shared" si="793"/>
        <v>245.13127702518909</v>
      </c>
      <c r="N2056" s="36">
        <v>800</v>
      </c>
      <c r="O2056" s="36">
        <v>0.5</v>
      </c>
      <c r="P2056" s="47">
        <v>844</v>
      </c>
      <c r="Q2056" s="2" t="s">
        <v>104</v>
      </c>
      <c r="S2056" s="36" t="s">
        <v>142</v>
      </c>
    </row>
    <row r="2057" spans="1:19" x14ac:dyDescent="0.2">
      <c r="A2057" s="8" t="str">
        <f t="shared" si="702"/>
        <v>40010411</v>
      </c>
      <c r="B2057" s="8">
        <v>4001</v>
      </c>
      <c r="C2057" s="8">
        <v>4</v>
      </c>
      <c r="D2057" s="8" t="s">
        <v>62</v>
      </c>
      <c r="E2057" s="8">
        <v>1</v>
      </c>
      <c r="F2057" s="34">
        <f t="shared" ref="F2057:G2060" si="1049">ROUNDDOWN($P2057/4*$O2057*10*$N2057/$N2057*$Q2057/400,0)</f>
        <v>3745</v>
      </c>
      <c r="G2057" s="34">
        <f t="shared" si="1049"/>
        <v>3745</v>
      </c>
      <c r="H2057" s="34">
        <f t="shared" si="1038"/>
        <v>2110</v>
      </c>
      <c r="I2057" s="34">
        <f t="shared" si="1038"/>
        <v>2110</v>
      </c>
      <c r="J2057" s="34">
        <f t="shared" ref="J2057:J2060" si="1050">ROUNDDOWN($P2057/4*$O2057*10*$N2057/$Q2057*$N2057/400,0)</f>
        <v>4636</v>
      </c>
      <c r="K2057" s="133">
        <v>1000</v>
      </c>
      <c r="L2057" s="34"/>
      <c r="M2057" s="16">
        <f t="shared" si="793"/>
        <v>484.20452009455676</v>
      </c>
      <c r="N2057" s="36">
        <v>790</v>
      </c>
      <c r="O2057" s="36">
        <v>1</v>
      </c>
      <c r="P2057" s="2">
        <f>P2056</f>
        <v>844</v>
      </c>
      <c r="Q2057" s="2" t="s">
        <v>104</v>
      </c>
      <c r="S2057" s="36" t="str">
        <f>S2056</f>
        <v>844</v>
      </c>
    </row>
    <row r="2058" spans="1:19" x14ac:dyDescent="0.2">
      <c r="A2058" s="8" t="str">
        <f t="shared" si="702"/>
        <v>40010412</v>
      </c>
      <c r="B2058" s="8">
        <v>4001</v>
      </c>
      <c r="C2058" s="8">
        <v>4</v>
      </c>
      <c r="D2058" s="8" t="s">
        <v>62</v>
      </c>
      <c r="E2058" s="8">
        <v>2</v>
      </c>
      <c r="F2058" s="34">
        <f t="shared" si="1049"/>
        <v>7490</v>
      </c>
      <c r="G2058" s="34">
        <f t="shared" si="1049"/>
        <v>7490</v>
      </c>
      <c r="H2058" s="34">
        <f t="shared" si="1038"/>
        <v>2110</v>
      </c>
      <c r="I2058" s="34">
        <f t="shared" si="1038"/>
        <v>2110</v>
      </c>
      <c r="J2058" s="34">
        <f t="shared" si="1050"/>
        <v>9040</v>
      </c>
      <c r="K2058" s="133">
        <v>1000</v>
      </c>
      <c r="L2058" s="34"/>
      <c r="M2058" s="16">
        <f t="shared" si="793"/>
        <v>956.21673191803131</v>
      </c>
      <c r="N2058" s="36">
        <v>780</v>
      </c>
      <c r="O2058" s="36">
        <v>2</v>
      </c>
      <c r="P2058" s="2">
        <f t="shared" ref="P2058:P2060" si="1051">P2057</f>
        <v>844</v>
      </c>
      <c r="Q2058" s="2" t="s">
        <v>104</v>
      </c>
      <c r="S2058" s="36" t="str">
        <f t="shared" ref="S2058:S2060" si="1052">S2057</f>
        <v>844</v>
      </c>
    </row>
    <row r="2059" spans="1:19" x14ac:dyDescent="0.2">
      <c r="A2059" s="8" t="str">
        <f t="shared" si="702"/>
        <v>40010413</v>
      </c>
      <c r="B2059" s="8">
        <v>4001</v>
      </c>
      <c r="C2059" s="8">
        <v>4</v>
      </c>
      <c r="D2059" s="8" t="s">
        <v>62</v>
      </c>
      <c r="E2059" s="8">
        <v>3</v>
      </c>
      <c r="F2059" s="34">
        <f t="shared" si="1049"/>
        <v>11235</v>
      </c>
      <c r="G2059" s="34">
        <f t="shared" si="1049"/>
        <v>11235</v>
      </c>
      <c r="H2059" s="34">
        <f t="shared" si="1038"/>
        <v>2110</v>
      </c>
      <c r="I2059" s="34">
        <f t="shared" si="1038"/>
        <v>2110</v>
      </c>
      <c r="J2059" s="34">
        <f t="shared" si="1050"/>
        <v>13214</v>
      </c>
      <c r="K2059" s="133">
        <v>1000</v>
      </c>
      <c r="L2059" s="34"/>
      <c r="M2059" s="16">
        <f t="shared" si="793"/>
        <v>1415.9075718986744</v>
      </c>
      <c r="N2059" s="36">
        <v>770</v>
      </c>
      <c r="O2059" s="36">
        <v>3</v>
      </c>
      <c r="P2059" s="2">
        <f t="shared" si="1051"/>
        <v>844</v>
      </c>
      <c r="Q2059" s="2" t="s">
        <v>104</v>
      </c>
      <c r="S2059" s="36" t="str">
        <f t="shared" si="1052"/>
        <v>844</v>
      </c>
    </row>
    <row r="2060" spans="1:19" x14ac:dyDescent="0.2">
      <c r="A2060" s="8" t="str">
        <f t="shared" si="702"/>
        <v>40010414</v>
      </c>
      <c r="B2060" s="8">
        <v>4001</v>
      </c>
      <c r="C2060" s="8">
        <v>4</v>
      </c>
      <c r="D2060" s="8" t="s">
        <v>62</v>
      </c>
      <c r="E2060" s="8">
        <v>4</v>
      </c>
      <c r="F2060" s="34">
        <f t="shared" si="1049"/>
        <v>14981</v>
      </c>
      <c r="G2060" s="34">
        <f t="shared" si="1049"/>
        <v>14981</v>
      </c>
      <c r="H2060" s="34">
        <f t="shared" si="1038"/>
        <v>2110</v>
      </c>
      <c r="I2060" s="34">
        <f t="shared" si="1038"/>
        <v>2110</v>
      </c>
      <c r="J2060" s="34">
        <f t="shared" si="1050"/>
        <v>17165</v>
      </c>
      <c r="K2060" s="133">
        <v>1000</v>
      </c>
      <c r="L2060" s="34"/>
      <c r="M2060" s="16">
        <f t="shared" si="793"/>
        <v>1863.4747846321934</v>
      </c>
      <c r="N2060" s="36">
        <v>760</v>
      </c>
      <c r="O2060" s="36">
        <v>4</v>
      </c>
      <c r="P2060" s="2">
        <f t="shared" si="1051"/>
        <v>844</v>
      </c>
      <c r="Q2060" s="2" t="s">
        <v>104</v>
      </c>
      <c r="S2060" s="36" t="str">
        <f t="shared" si="1052"/>
        <v>844</v>
      </c>
    </row>
    <row r="2061" spans="1:19" x14ac:dyDescent="0.2">
      <c r="A2061" s="8" t="str">
        <f t="shared" si="702"/>
        <v>40010510</v>
      </c>
      <c r="B2061" s="8">
        <v>4001</v>
      </c>
      <c r="C2061" s="8">
        <v>5</v>
      </c>
      <c r="D2061" s="8" t="s">
        <v>62</v>
      </c>
      <c r="E2061" s="8">
        <v>0</v>
      </c>
      <c r="F2061" s="34">
        <f>ROUNDDOWN($P2061/4*$O2061*10*$N2061/$N2061*$Q2061/400,0)</f>
        <v>1988</v>
      </c>
      <c r="G2061" s="34">
        <f>ROUNDDOWN($P2061/4*$O2061*10*$N2061/$N2061*$Q2061/400,0)</f>
        <v>1988</v>
      </c>
      <c r="H2061" s="34">
        <f t="shared" si="1038"/>
        <v>2210</v>
      </c>
      <c r="I2061" s="34">
        <f t="shared" si="1038"/>
        <v>2210</v>
      </c>
      <c r="J2061" s="34">
        <f>ROUNDDOWN($P2061/4*$O2061*10*$N2061/$Q2061*$N2061/400,0)</f>
        <v>2523</v>
      </c>
      <c r="K2061" s="133">
        <v>1000</v>
      </c>
      <c r="L2061" s="34"/>
      <c r="M2061" s="16">
        <f t="shared" si="793"/>
        <v>266.35014596579447</v>
      </c>
      <c r="N2061" s="36">
        <v>800</v>
      </c>
      <c r="O2061" s="36">
        <v>0.5</v>
      </c>
      <c r="P2061" s="47">
        <v>896</v>
      </c>
      <c r="Q2061" s="2" t="s">
        <v>104</v>
      </c>
      <c r="S2061" s="36" t="s">
        <v>143</v>
      </c>
    </row>
    <row r="2062" spans="1:19" x14ac:dyDescent="0.2">
      <c r="A2062" s="8" t="str">
        <f t="shared" si="702"/>
        <v>40010511</v>
      </c>
      <c r="B2062" s="8">
        <v>4001</v>
      </c>
      <c r="C2062" s="8">
        <v>5</v>
      </c>
      <c r="D2062" s="8" t="s">
        <v>62</v>
      </c>
      <c r="E2062" s="8">
        <v>1</v>
      </c>
      <c r="F2062" s="34">
        <f t="shared" ref="F2062:G2065" si="1053">ROUNDDOWN($P2062/4*$O2062*10*$N2062/$N2062*$Q2062/400,0)</f>
        <v>3976</v>
      </c>
      <c r="G2062" s="34">
        <f t="shared" si="1053"/>
        <v>3976</v>
      </c>
      <c r="H2062" s="34">
        <f t="shared" si="1038"/>
        <v>2210</v>
      </c>
      <c r="I2062" s="34">
        <f t="shared" si="1038"/>
        <v>2210</v>
      </c>
      <c r="J2062" s="34">
        <f t="shared" ref="J2062:J2065" si="1054">ROUNDDOWN($P2062/4*$O2062*10*$N2062/$Q2062*$N2062/400,0)</f>
        <v>4922</v>
      </c>
      <c r="K2062" s="133">
        <v>1000</v>
      </c>
      <c r="L2062" s="34"/>
      <c r="M2062" s="16">
        <f t="shared" si="793"/>
        <v>526.11431226302909</v>
      </c>
      <c r="N2062" s="36">
        <v>790</v>
      </c>
      <c r="O2062" s="36">
        <v>1</v>
      </c>
      <c r="P2062" s="2">
        <f>P2061</f>
        <v>896</v>
      </c>
      <c r="Q2062" s="2" t="s">
        <v>104</v>
      </c>
      <c r="S2062" s="36" t="str">
        <f>S2061</f>
        <v>884</v>
      </c>
    </row>
    <row r="2063" spans="1:19" x14ac:dyDescent="0.2">
      <c r="A2063" s="8" t="str">
        <f t="shared" si="702"/>
        <v>40010512</v>
      </c>
      <c r="B2063" s="8">
        <v>4001</v>
      </c>
      <c r="C2063" s="8">
        <v>5</v>
      </c>
      <c r="D2063" s="8" t="s">
        <v>62</v>
      </c>
      <c r="E2063" s="8">
        <v>2</v>
      </c>
      <c r="F2063" s="34">
        <f t="shared" si="1053"/>
        <v>7952</v>
      </c>
      <c r="G2063" s="34">
        <f t="shared" si="1053"/>
        <v>7952</v>
      </c>
      <c r="H2063" s="34">
        <f t="shared" si="1038"/>
        <v>2210</v>
      </c>
      <c r="I2063" s="34">
        <f t="shared" si="1038"/>
        <v>2210</v>
      </c>
      <c r="J2063" s="34">
        <f t="shared" si="1054"/>
        <v>9597</v>
      </c>
      <c r="K2063" s="133">
        <v>1000</v>
      </c>
      <c r="L2063" s="34"/>
      <c r="M2063" s="16">
        <f t="shared" si="793"/>
        <v>1038.9438028767486</v>
      </c>
      <c r="N2063" s="36">
        <v>780</v>
      </c>
      <c r="O2063" s="36">
        <v>2</v>
      </c>
      <c r="P2063" s="2">
        <f t="shared" ref="P2063:P2065" si="1055">P2062</f>
        <v>896</v>
      </c>
      <c r="Q2063" s="2" t="s">
        <v>104</v>
      </c>
      <c r="S2063" s="36" t="str">
        <f t="shared" ref="S2063:S2065" si="1056">S2062</f>
        <v>884</v>
      </c>
    </row>
    <row r="2064" spans="1:19" x14ac:dyDescent="0.2">
      <c r="A2064" s="8" t="str">
        <f t="shared" si="702"/>
        <v>40010513</v>
      </c>
      <c r="B2064" s="8">
        <v>4001</v>
      </c>
      <c r="C2064" s="8">
        <v>5</v>
      </c>
      <c r="D2064" s="8" t="s">
        <v>62</v>
      </c>
      <c r="E2064" s="8">
        <v>3</v>
      </c>
      <c r="F2064" s="34">
        <f t="shared" si="1053"/>
        <v>11928</v>
      </c>
      <c r="G2064" s="34">
        <f t="shared" si="1053"/>
        <v>11928</v>
      </c>
      <c r="H2064" s="34">
        <f t="shared" si="1038"/>
        <v>2210</v>
      </c>
      <c r="I2064" s="34">
        <f t="shared" si="1038"/>
        <v>2210</v>
      </c>
      <c r="J2064" s="34">
        <f t="shared" si="1054"/>
        <v>14029</v>
      </c>
      <c r="K2064" s="133">
        <v>1000</v>
      </c>
      <c r="L2064" s="34"/>
      <c r="M2064" s="16">
        <f t="shared" si="793"/>
        <v>1538.4496830666903</v>
      </c>
      <c r="N2064" s="36">
        <v>770</v>
      </c>
      <c r="O2064" s="36">
        <v>3</v>
      </c>
      <c r="P2064" s="2">
        <f t="shared" si="1055"/>
        <v>896</v>
      </c>
      <c r="Q2064" s="2" t="s">
        <v>104</v>
      </c>
      <c r="S2064" s="36" t="str">
        <f t="shared" si="1056"/>
        <v>884</v>
      </c>
    </row>
    <row r="2065" spans="1:19" x14ac:dyDescent="0.2">
      <c r="A2065" s="8" t="str">
        <f t="shared" si="702"/>
        <v>40010514</v>
      </c>
      <c r="B2065" s="8">
        <v>4001</v>
      </c>
      <c r="C2065" s="8">
        <v>5</v>
      </c>
      <c r="D2065" s="8" t="s">
        <v>62</v>
      </c>
      <c r="E2065" s="8">
        <v>4</v>
      </c>
      <c r="F2065" s="34">
        <f t="shared" si="1053"/>
        <v>15904</v>
      </c>
      <c r="G2065" s="34">
        <f t="shared" si="1053"/>
        <v>15904</v>
      </c>
      <c r="H2065" s="34">
        <f t="shared" si="1038"/>
        <v>2210</v>
      </c>
      <c r="I2065" s="34">
        <f t="shared" si="1038"/>
        <v>2210</v>
      </c>
      <c r="J2065" s="34">
        <f t="shared" si="1054"/>
        <v>18222</v>
      </c>
      <c r="K2065" s="133">
        <v>1000</v>
      </c>
      <c r="L2065" s="34"/>
      <c r="M2065" s="16">
        <f t="shared" si="793"/>
        <v>2024.5911239240386</v>
      </c>
      <c r="N2065" s="36">
        <v>760</v>
      </c>
      <c r="O2065" s="36">
        <v>4</v>
      </c>
      <c r="P2065" s="2">
        <f t="shared" si="1055"/>
        <v>896</v>
      </c>
      <c r="Q2065" s="2" t="s">
        <v>104</v>
      </c>
      <c r="S2065" s="36" t="str">
        <f t="shared" si="1056"/>
        <v>884</v>
      </c>
    </row>
    <row r="2066" spans="1:19" x14ac:dyDescent="0.2">
      <c r="A2066" s="8" t="str">
        <f t="shared" si="702"/>
        <v>40010610</v>
      </c>
      <c r="B2066" s="8">
        <v>4001</v>
      </c>
      <c r="C2066" s="8">
        <v>6</v>
      </c>
      <c r="D2066" s="8" t="s">
        <v>62</v>
      </c>
      <c r="E2066" s="8">
        <v>0</v>
      </c>
      <c r="F2066" s="34">
        <f>ROUNDDOWN($P2066/4*$O2066*10*$N2066/$N2066*$Q2066/400,0)</f>
        <v>2467</v>
      </c>
      <c r="G2066" s="34">
        <f>ROUNDDOWN($P2066/4*$O2066*10*$N2066/$N2066*$Q2066/400,0)</f>
        <v>2467</v>
      </c>
      <c r="H2066" s="34">
        <f t="shared" si="1038"/>
        <v>2750</v>
      </c>
      <c r="I2066" s="34">
        <f t="shared" si="1038"/>
        <v>2750</v>
      </c>
      <c r="J2066" s="34">
        <f>ROUNDDOWN($P2066/4*$O2066*10*$N2066/$Q2066*$N2066/400,0)</f>
        <v>3132</v>
      </c>
      <c r="K2066" s="133">
        <v>1000</v>
      </c>
      <c r="L2066" s="34"/>
      <c r="M2066" s="16">
        <f t="shared" si="793"/>
        <v>368.76677507606354</v>
      </c>
      <c r="N2066" s="36">
        <v>800</v>
      </c>
      <c r="O2066" s="36">
        <v>0.5</v>
      </c>
      <c r="P2066" s="47">
        <v>1112</v>
      </c>
      <c r="Q2066" s="2" t="s">
        <v>104</v>
      </c>
      <c r="S2066" s="36" t="s">
        <v>144</v>
      </c>
    </row>
    <row r="2067" spans="1:19" x14ac:dyDescent="0.2">
      <c r="A2067" s="8" t="str">
        <f t="shared" si="702"/>
        <v>40010611</v>
      </c>
      <c r="B2067" s="8">
        <v>4001</v>
      </c>
      <c r="C2067" s="8">
        <v>6</v>
      </c>
      <c r="D2067" s="8" t="s">
        <v>62</v>
      </c>
      <c r="E2067" s="8">
        <v>1</v>
      </c>
      <c r="F2067" s="34">
        <f t="shared" ref="F2067:G2070" si="1057">ROUNDDOWN($P2067/4*$O2067*10*$N2067/$N2067*$Q2067/400,0)</f>
        <v>4934</v>
      </c>
      <c r="G2067" s="34">
        <f t="shared" si="1057"/>
        <v>4934</v>
      </c>
      <c r="H2067" s="34">
        <f t="shared" si="1038"/>
        <v>2750</v>
      </c>
      <c r="I2067" s="34">
        <f t="shared" si="1038"/>
        <v>2750</v>
      </c>
      <c r="J2067" s="34">
        <f t="shared" ref="J2067:J2070" si="1058">ROUNDDOWN($P2067/4*$O2067*10*$N2067/$Q2067*$N2067/400,0)</f>
        <v>6109</v>
      </c>
      <c r="K2067" s="133">
        <v>1000</v>
      </c>
      <c r="L2067" s="34"/>
      <c r="M2067" s="16">
        <f t="shared" si="793"/>
        <v>728.35141628200324</v>
      </c>
      <c r="N2067" s="36">
        <v>790</v>
      </c>
      <c r="O2067" s="36">
        <v>1</v>
      </c>
      <c r="P2067" s="2">
        <f>P2066</f>
        <v>1112</v>
      </c>
      <c r="Q2067" s="2" t="s">
        <v>104</v>
      </c>
      <c r="S2067" s="36" t="str">
        <f>S2066</f>
        <v>1100</v>
      </c>
    </row>
    <row r="2068" spans="1:19" x14ac:dyDescent="0.2">
      <c r="A2068" s="8" t="str">
        <f t="shared" si="702"/>
        <v>40010612</v>
      </c>
      <c r="B2068" s="8">
        <v>4001</v>
      </c>
      <c r="C2068" s="8">
        <v>6</v>
      </c>
      <c r="D2068" s="8" t="s">
        <v>62</v>
      </c>
      <c r="E2068" s="8">
        <v>2</v>
      </c>
      <c r="F2068" s="34">
        <f t="shared" si="1057"/>
        <v>9869</v>
      </c>
      <c r="G2068" s="34">
        <f t="shared" si="1057"/>
        <v>9869</v>
      </c>
      <c r="H2068" s="34">
        <f t="shared" si="1038"/>
        <v>2750</v>
      </c>
      <c r="I2068" s="34">
        <f t="shared" si="1038"/>
        <v>2750</v>
      </c>
      <c r="J2068" s="34">
        <f t="shared" si="1058"/>
        <v>11910</v>
      </c>
      <c r="K2068" s="133">
        <v>1000</v>
      </c>
      <c r="L2068" s="34"/>
      <c r="M2068" s="16">
        <f t="shared" si="793"/>
        <v>1438.2977104897302</v>
      </c>
      <c r="N2068" s="36">
        <v>780</v>
      </c>
      <c r="O2068" s="36">
        <v>2</v>
      </c>
      <c r="P2068" s="2">
        <f t="shared" ref="P2068:P2070" si="1059">P2067</f>
        <v>1112</v>
      </c>
      <c r="Q2068" s="2" t="s">
        <v>104</v>
      </c>
      <c r="S2068" s="36" t="str">
        <f t="shared" ref="S2068:S2070" si="1060">S2067</f>
        <v>1100</v>
      </c>
    </row>
    <row r="2069" spans="1:19" x14ac:dyDescent="0.2">
      <c r="A2069" s="8" t="str">
        <f t="shared" si="702"/>
        <v>40010613</v>
      </c>
      <c r="B2069" s="8">
        <v>4001</v>
      </c>
      <c r="C2069" s="8">
        <v>6</v>
      </c>
      <c r="D2069" s="8" t="s">
        <v>62</v>
      </c>
      <c r="E2069" s="8">
        <v>3</v>
      </c>
      <c r="F2069" s="34">
        <f t="shared" si="1057"/>
        <v>14803</v>
      </c>
      <c r="G2069" s="34">
        <f t="shared" si="1057"/>
        <v>14803</v>
      </c>
      <c r="H2069" s="34">
        <f t="shared" si="1038"/>
        <v>2750</v>
      </c>
      <c r="I2069" s="34">
        <f t="shared" si="1038"/>
        <v>2750</v>
      </c>
      <c r="J2069" s="34">
        <f t="shared" si="1058"/>
        <v>17411</v>
      </c>
      <c r="K2069" s="133">
        <v>1000</v>
      </c>
      <c r="L2069" s="34"/>
      <c r="M2069" s="16">
        <f t="shared" si="793"/>
        <v>2129.8207860756734</v>
      </c>
      <c r="N2069" s="36">
        <v>770</v>
      </c>
      <c r="O2069" s="36">
        <v>3</v>
      </c>
      <c r="P2069" s="2">
        <f t="shared" si="1059"/>
        <v>1112</v>
      </c>
      <c r="Q2069" s="2" t="s">
        <v>104</v>
      </c>
      <c r="S2069" s="36" t="str">
        <f t="shared" si="1060"/>
        <v>1100</v>
      </c>
    </row>
    <row r="2070" spans="1:19" x14ac:dyDescent="0.2">
      <c r="A2070" s="8" t="str">
        <f t="shared" si="702"/>
        <v>40010614</v>
      </c>
      <c r="B2070" s="8">
        <v>4001</v>
      </c>
      <c r="C2070" s="8">
        <v>6</v>
      </c>
      <c r="D2070" s="8" t="s">
        <v>62</v>
      </c>
      <c r="E2070" s="8">
        <v>4</v>
      </c>
      <c r="F2070" s="34">
        <f t="shared" si="1057"/>
        <v>19738</v>
      </c>
      <c r="G2070" s="34">
        <f t="shared" si="1057"/>
        <v>19738</v>
      </c>
      <c r="H2070" s="34">
        <f t="shared" si="1038"/>
        <v>2750</v>
      </c>
      <c r="I2070" s="34">
        <f t="shared" si="1038"/>
        <v>2750</v>
      </c>
      <c r="J2070" s="34">
        <f t="shared" si="1058"/>
        <v>22615</v>
      </c>
      <c r="K2070" s="133">
        <v>1000</v>
      </c>
      <c r="L2070" s="34"/>
      <c r="M2070" s="16">
        <f t="shared" si="793"/>
        <v>2802.890956137966</v>
      </c>
      <c r="N2070" s="36">
        <v>760</v>
      </c>
      <c r="O2070" s="36">
        <v>4</v>
      </c>
      <c r="P2070" s="2">
        <f t="shared" si="1059"/>
        <v>1112</v>
      </c>
      <c r="Q2070" s="2" t="s">
        <v>104</v>
      </c>
      <c r="S2070" s="36" t="str">
        <f t="shared" si="1060"/>
        <v>1100</v>
      </c>
    </row>
    <row r="2071" spans="1:19" x14ac:dyDescent="0.2">
      <c r="A2071" s="8" t="str">
        <f t="shared" si="702"/>
        <v>40010710</v>
      </c>
      <c r="B2071" s="8">
        <v>4001</v>
      </c>
      <c r="C2071" s="8">
        <v>7</v>
      </c>
      <c r="D2071" s="8" t="s">
        <v>62</v>
      </c>
      <c r="E2071" s="8">
        <v>0</v>
      </c>
      <c r="F2071" s="34">
        <f>ROUNDDOWN($P2071/4*$O2071*10*$N2071/$N2071*$Q2071/400,0)</f>
        <v>2564</v>
      </c>
      <c r="G2071" s="34">
        <f>ROUNDDOWN($P2071/4*$O2071*10*$N2071/$N2071*$Q2071/400,0)</f>
        <v>2564</v>
      </c>
      <c r="H2071" s="34">
        <f t="shared" si="1038"/>
        <v>2830</v>
      </c>
      <c r="I2071" s="34">
        <f t="shared" si="1038"/>
        <v>2830</v>
      </c>
      <c r="J2071" s="34">
        <f>ROUNDDOWN($P2071/4*$O2071*10*$N2071/$Q2071*$N2071/400,0)</f>
        <v>3256</v>
      </c>
      <c r="K2071" s="133">
        <v>1000</v>
      </c>
      <c r="L2071" s="34"/>
      <c r="M2071" s="16">
        <f t="shared" si="793"/>
        <v>388.85206828304257</v>
      </c>
      <c r="N2071" s="36">
        <v>800</v>
      </c>
      <c r="O2071" s="36">
        <v>0.5</v>
      </c>
      <c r="P2071" s="47">
        <v>1156</v>
      </c>
      <c r="Q2071" s="2" t="s">
        <v>104</v>
      </c>
      <c r="S2071" s="36" t="s">
        <v>132</v>
      </c>
    </row>
    <row r="2072" spans="1:19" x14ac:dyDescent="0.2">
      <c r="A2072" s="8" t="str">
        <f t="shared" si="702"/>
        <v>40010711</v>
      </c>
      <c r="B2072" s="8">
        <v>4001</v>
      </c>
      <c r="C2072" s="8">
        <v>7</v>
      </c>
      <c r="D2072" s="8" t="s">
        <v>62</v>
      </c>
      <c r="E2072" s="8">
        <v>1</v>
      </c>
      <c r="F2072" s="34">
        <f t="shared" ref="F2072:G2075" si="1061">ROUNDDOWN($P2072/4*$O2072*10*$N2072/$N2072*$Q2072/400,0)</f>
        <v>5129</v>
      </c>
      <c r="G2072" s="34">
        <f t="shared" si="1061"/>
        <v>5129</v>
      </c>
      <c r="H2072" s="34">
        <f t="shared" si="1038"/>
        <v>2830</v>
      </c>
      <c r="I2072" s="34">
        <f t="shared" si="1038"/>
        <v>2830</v>
      </c>
      <c r="J2072" s="34">
        <f t="shared" ref="J2072:J2075" si="1062">ROUNDDOWN($P2072/4*$O2072*10*$N2072/$Q2072*$N2072/400,0)</f>
        <v>6350</v>
      </c>
      <c r="K2072" s="133">
        <v>1000</v>
      </c>
      <c r="L2072" s="34"/>
      <c r="M2072" s="16">
        <f t="shared" si="793"/>
        <v>768.0445591240134</v>
      </c>
      <c r="N2072" s="36">
        <v>790</v>
      </c>
      <c r="O2072" s="36">
        <v>1</v>
      </c>
      <c r="P2072" s="2">
        <f>P2071</f>
        <v>1156</v>
      </c>
      <c r="Q2072" s="2" t="s">
        <v>104</v>
      </c>
      <c r="S2072" s="36" t="str">
        <f>S2071</f>
        <v>1132</v>
      </c>
    </row>
    <row r="2073" spans="1:19" x14ac:dyDescent="0.2">
      <c r="A2073" s="8" t="str">
        <f t="shared" si="702"/>
        <v>40010712</v>
      </c>
      <c r="B2073" s="8">
        <v>4001</v>
      </c>
      <c r="C2073" s="8">
        <v>7</v>
      </c>
      <c r="D2073" s="8" t="s">
        <v>62</v>
      </c>
      <c r="E2073" s="8">
        <v>2</v>
      </c>
      <c r="F2073" s="34">
        <f t="shared" si="1061"/>
        <v>10259</v>
      </c>
      <c r="G2073" s="34">
        <f t="shared" si="1061"/>
        <v>10259</v>
      </c>
      <c r="H2073" s="34">
        <f t="shared" si="1038"/>
        <v>2830</v>
      </c>
      <c r="I2073" s="34">
        <f t="shared" si="1038"/>
        <v>2830</v>
      </c>
      <c r="J2073" s="34">
        <f t="shared" si="1062"/>
        <v>12382</v>
      </c>
      <c r="K2073" s="133">
        <v>1000</v>
      </c>
      <c r="L2073" s="34"/>
      <c r="M2073" s="16">
        <f t="shared" si="793"/>
        <v>1516.8097774790353</v>
      </c>
      <c r="N2073" s="36">
        <v>780</v>
      </c>
      <c r="O2073" s="36">
        <v>2</v>
      </c>
      <c r="P2073" s="2">
        <f t="shared" ref="P2073:P2075" si="1063">P2072</f>
        <v>1156</v>
      </c>
      <c r="Q2073" s="2" t="s">
        <v>104</v>
      </c>
      <c r="S2073" s="36" t="str">
        <f t="shared" ref="S2073:S2075" si="1064">S2072</f>
        <v>1132</v>
      </c>
    </row>
    <row r="2074" spans="1:19" x14ac:dyDescent="0.2">
      <c r="A2074" s="8" t="str">
        <f t="shared" si="702"/>
        <v>40010713</v>
      </c>
      <c r="B2074" s="8">
        <v>4001</v>
      </c>
      <c r="C2074" s="8">
        <v>7</v>
      </c>
      <c r="D2074" s="8" t="s">
        <v>62</v>
      </c>
      <c r="E2074" s="8">
        <v>3</v>
      </c>
      <c r="F2074" s="34">
        <f t="shared" si="1061"/>
        <v>15389</v>
      </c>
      <c r="G2074" s="34">
        <f t="shared" si="1061"/>
        <v>15389</v>
      </c>
      <c r="H2074" s="34">
        <f t="shared" si="1038"/>
        <v>2830</v>
      </c>
      <c r="I2074" s="34">
        <f t="shared" si="1038"/>
        <v>2830</v>
      </c>
      <c r="J2074" s="34">
        <f t="shared" si="1062"/>
        <v>18100</v>
      </c>
      <c r="K2074" s="133">
        <v>1000</v>
      </c>
      <c r="L2074" s="34"/>
      <c r="M2074" s="16">
        <f t="shared" si="793"/>
        <v>2246.0927809865734</v>
      </c>
      <c r="N2074" s="36">
        <v>770</v>
      </c>
      <c r="O2074" s="36">
        <v>3</v>
      </c>
      <c r="P2074" s="2">
        <f t="shared" si="1063"/>
        <v>1156</v>
      </c>
      <c r="Q2074" s="2" t="s">
        <v>104</v>
      </c>
      <c r="S2074" s="36" t="str">
        <f t="shared" si="1064"/>
        <v>1132</v>
      </c>
    </row>
    <row r="2075" spans="1:19" x14ac:dyDescent="0.2">
      <c r="A2075" s="8" t="str">
        <f t="shared" si="702"/>
        <v>40010714</v>
      </c>
      <c r="B2075" s="8">
        <v>4001</v>
      </c>
      <c r="C2075" s="8">
        <v>7</v>
      </c>
      <c r="D2075" s="8" t="s">
        <v>62</v>
      </c>
      <c r="E2075" s="8">
        <v>4</v>
      </c>
      <c r="F2075" s="34">
        <f t="shared" si="1061"/>
        <v>20519</v>
      </c>
      <c r="G2075" s="34">
        <f t="shared" si="1061"/>
        <v>20519</v>
      </c>
      <c r="H2075" s="34">
        <f t="shared" si="1038"/>
        <v>2830</v>
      </c>
      <c r="I2075" s="34">
        <f t="shared" si="1038"/>
        <v>2830</v>
      </c>
      <c r="J2075" s="34">
        <f t="shared" si="1062"/>
        <v>23510</v>
      </c>
      <c r="K2075" s="133">
        <v>1000</v>
      </c>
      <c r="L2075" s="34"/>
      <c r="M2075" s="16">
        <f t="shared" si="793"/>
        <v>2955.8855541580087</v>
      </c>
      <c r="N2075" s="36">
        <v>760</v>
      </c>
      <c r="O2075" s="36">
        <v>4</v>
      </c>
      <c r="P2075" s="2">
        <f t="shared" si="1063"/>
        <v>1156</v>
      </c>
      <c r="Q2075" s="2" t="s">
        <v>104</v>
      </c>
      <c r="S2075" s="36" t="str">
        <f t="shared" si="1064"/>
        <v>1132</v>
      </c>
    </row>
    <row r="2076" spans="1:19" x14ac:dyDescent="0.2">
      <c r="A2076" s="8" t="str">
        <f t="shared" si="702"/>
        <v>40010810</v>
      </c>
      <c r="B2076" s="8">
        <v>4001</v>
      </c>
      <c r="C2076" s="8">
        <v>8</v>
      </c>
      <c r="D2076" s="8" t="s">
        <v>62</v>
      </c>
      <c r="E2076" s="8">
        <v>0</v>
      </c>
      <c r="F2076" s="34">
        <f>ROUNDDOWN($P2076/4*$O2076*10*$N2076/$N2076*$Q2076/400,0)</f>
        <v>2840</v>
      </c>
      <c r="G2076" s="34">
        <f>ROUNDDOWN($P2076/4*$O2076*10*$N2076/$N2076*$Q2076/400,0)</f>
        <v>2840</v>
      </c>
      <c r="H2076" s="34">
        <f t="shared" si="1038"/>
        <v>3150</v>
      </c>
      <c r="I2076" s="34">
        <f t="shared" si="1038"/>
        <v>3150</v>
      </c>
      <c r="J2076" s="34">
        <f>ROUNDDOWN($P2076/4*$O2076*10*$N2076/$Q2076*$N2076/400,0)</f>
        <v>3605</v>
      </c>
      <c r="K2076" s="133">
        <v>1000</v>
      </c>
      <c r="L2076" s="34"/>
      <c r="M2076" s="16">
        <f t="shared" ref="M2076:M2139" si="1065">(F2076*J2076*((H2076+I2076)/2)/1000)^(1/2)/10*0.8</f>
        <v>454.31499204846853</v>
      </c>
      <c r="N2076" s="36">
        <v>800</v>
      </c>
      <c r="O2076" s="36">
        <v>0.5</v>
      </c>
      <c r="P2076" s="47">
        <v>1280</v>
      </c>
      <c r="Q2076" s="2" t="s">
        <v>104</v>
      </c>
      <c r="S2076" s="36" t="s">
        <v>145</v>
      </c>
    </row>
    <row r="2077" spans="1:19" x14ac:dyDescent="0.2">
      <c r="A2077" s="8" t="str">
        <f t="shared" si="702"/>
        <v>40010811</v>
      </c>
      <c r="B2077" s="8">
        <v>4001</v>
      </c>
      <c r="C2077" s="8">
        <v>8</v>
      </c>
      <c r="D2077" s="8" t="s">
        <v>62</v>
      </c>
      <c r="E2077" s="8">
        <v>1</v>
      </c>
      <c r="F2077" s="34">
        <f t="shared" ref="F2077:G2080" si="1066">ROUNDDOWN($P2077/4*$O2077*10*$N2077/$N2077*$Q2077/400,0)</f>
        <v>5680</v>
      </c>
      <c r="G2077" s="34">
        <f t="shared" si="1066"/>
        <v>5680</v>
      </c>
      <c r="H2077" s="34">
        <f t="shared" si="1038"/>
        <v>3150</v>
      </c>
      <c r="I2077" s="34">
        <f t="shared" si="1038"/>
        <v>3150</v>
      </c>
      <c r="J2077" s="34">
        <f t="shared" ref="J2077:J2080" si="1067">ROUNDDOWN($P2077/4*$O2077*10*$N2077/$Q2077*$N2077/400,0)</f>
        <v>7032</v>
      </c>
      <c r="K2077" s="133">
        <v>1000</v>
      </c>
      <c r="L2077" s="34"/>
      <c r="M2077" s="16">
        <f t="shared" si="1065"/>
        <v>897.34379231150876</v>
      </c>
      <c r="N2077" s="36">
        <v>790</v>
      </c>
      <c r="O2077" s="36">
        <v>1</v>
      </c>
      <c r="P2077" s="2">
        <f>P2076</f>
        <v>1280</v>
      </c>
      <c r="Q2077" s="2" t="s">
        <v>104</v>
      </c>
      <c r="S2077" s="36" t="str">
        <f>S2076</f>
        <v>1260</v>
      </c>
    </row>
    <row r="2078" spans="1:19" x14ac:dyDescent="0.2">
      <c r="A2078" s="8" t="str">
        <f t="shared" si="702"/>
        <v>40010812</v>
      </c>
      <c r="B2078" s="8">
        <v>4001</v>
      </c>
      <c r="C2078" s="8">
        <v>8</v>
      </c>
      <c r="D2078" s="8" t="s">
        <v>62</v>
      </c>
      <c r="E2078" s="8">
        <v>2</v>
      </c>
      <c r="F2078" s="34">
        <f t="shared" si="1066"/>
        <v>11360</v>
      </c>
      <c r="G2078" s="34">
        <f t="shared" si="1066"/>
        <v>11360</v>
      </c>
      <c r="H2078" s="34">
        <f t="shared" si="1038"/>
        <v>3150</v>
      </c>
      <c r="I2078" s="34">
        <f t="shared" si="1038"/>
        <v>3150</v>
      </c>
      <c r="J2078" s="34">
        <f t="shared" si="1067"/>
        <v>13710</v>
      </c>
      <c r="K2078" s="133">
        <v>1000</v>
      </c>
      <c r="L2078" s="34"/>
      <c r="M2078" s="16">
        <f t="shared" si="1065"/>
        <v>1771.9569114400047</v>
      </c>
      <c r="N2078" s="36">
        <v>780</v>
      </c>
      <c r="O2078" s="36">
        <v>2</v>
      </c>
      <c r="P2078" s="2">
        <f t="shared" ref="P2078:P2080" si="1068">P2077</f>
        <v>1280</v>
      </c>
      <c r="Q2078" s="2" t="s">
        <v>104</v>
      </c>
      <c r="S2078" s="36" t="str">
        <f t="shared" ref="S2078:S2080" si="1069">S2077</f>
        <v>1260</v>
      </c>
    </row>
    <row r="2079" spans="1:19" x14ac:dyDescent="0.2">
      <c r="A2079" s="8" t="str">
        <f t="shared" si="702"/>
        <v>40010813</v>
      </c>
      <c r="B2079" s="8">
        <v>4001</v>
      </c>
      <c r="C2079" s="8">
        <v>8</v>
      </c>
      <c r="D2079" s="8" t="s">
        <v>62</v>
      </c>
      <c r="E2079" s="8">
        <v>3</v>
      </c>
      <c r="F2079" s="34">
        <f t="shared" si="1066"/>
        <v>17040</v>
      </c>
      <c r="G2079" s="34">
        <f t="shared" si="1066"/>
        <v>17040</v>
      </c>
      <c r="H2079" s="34">
        <f t="shared" si="1038"/>
        <v>3150</v>
      </c>
      <c r="I2079" s="34">
        <f t="shared" si="1038"/>
        <v>3150</v>
      </c>
      <c r="J2079" s="34">
        <f t="shared" si="1067"/>
        <v>20041</v>
      </c>
      <c r="K2079" s="133">
        <v>1000</v>
      </c>
      <c r="L2079" s="34"/>
      <c r="M2079" s="16">
        <f t="shared" si="1065"/>
        <v>2623.8545276748864</v>
      </c>
      <c r="N2079" s="36">
        <v>770</v>
      </c>
      <c r="O2079" s="36">
        <v>3</v>
      </c>
      <c r="P2079" s="2">
        <f t="shared" si="1068"/>
        <v>1280</v>
      </c>
      <c r="Q2079" s="2" t="s">
        <v>104</v>
      </c>
      <c r="S2079" s="36" t="str">
        <f t="shared" si="1069"/>
        <v>1260</v>
      </c>
    </row>
    <row r="2080" spans="1:19" x14ac:dyDescent="0.2">
      <c r="A2080" s="8" t="str">
        <f t="shared" si="702"/>
        <v>40010814</v>
      </c>
      <c r="B2080" s="8">
        <v>4001</v>
      </c>
      <c r="C2080" s="8">
        <v>8</v>
      </c>
      <c r="D2080" s="8" t="s">
        <v>62</v>
      </c>
      <c r="E2080" s="8">
        <v>4</v>
      </c>
      <c r="F2080" s="34">
        <f t="shared" si="1066"/>
        <v>22720</v>
      </c>
      <c r="G2080" s="34">
        <f t="shared" si="1066"/>
        <v>22720</v>
      </c>
      <c r="H2080" s="34">
        <f t="shared" si="1038"/>
        <v>3150</v>
      </c>
      <c r="I2080" s="34">
        <f t="shared" si="1038"/>
        <v>3150</v>
      </c>
      <c r="J2080" s="34">
        <f t="shared" si="1067"/>
        <v>26032</v>
      </c>
      <c r="K2080" s="133">
        <v>1000</v>
      </c>
      <c r="L2080" s="34"/>
      <c r="M2080" s="16">
        <f t="shared" si="1065"/>
        <v>3453.0526098511737</v>
      </c>
      <c r="N2080" s="36">
        <v>760</v>
      </c>
      <c r="O2080" s="36">
        <v>4</v>
      </c>
      <c r="P2080" s="2">
        <f t="shared" si="1068"/>
        <v>1280</v>
      </c>
      <c r="Q2080" s="2" t="s">
        <v>104</v>
      </c>
      <c r="S2080" s="36" t="str">
        <f t="shared" si="1069"/>
        <v>1260</v>
      </c>
    </row>
    <row r="2081" spans="1:19" x14ac:dyDescent="0.2">
      <c r="A2081" s="8" t="str">
        <f t="shared" si="702"/>
        <v>40010910</v>
      </c>
      <c r="B2081" s="8">
        <v>4001</v>
      </c>
      <c r="C2081" s="8">
        <v>9</v>
      </c>
      <c r="D2081" s="8" t="s">
        <v>62</v>
      </c>
      <c r="E2081" s="8">
        <v>0</v>
      </c>
      <c r="F2081" s="34">
        <f>ROUNDDOWN($P2081/4*$O2081*10*$N2081/$N2081*$Q2081/400,0)</f>
        <v>2946</v>
      </c>
      <c r="G2081" s="34">
        <f>ROUNDDOWN($P2081/4*$O2081*10*$N2081/$N2081*$Q2081/400,0)</f>
        <v>2946</v>
      </c>
      <c r="H2081" s="34">
        <f t="shared" si="1038"/>
        <v>3260</v>
      </c>
      <c r="I2081" s="34">
        <f t="shared" si="1038"/>
        <v>3260</v>
      </c>
      <c r="J2081" s="34">
        <f>ROUNDDOWN($P2081/4*$O2081*10*$N2081/$Q2081*$N2081/400,0)</f>
        <v>3740</v>
      </c>
      <c r="K2081" s="133">
        <v>1000</v>
      </c>
      <c r="L2081" s="34"/>
      <c r="M2081" s="16">
        <f t="shared" si="1065"/>
        <v>479.45843048172594</v>
      </c>
      <c r="N2081" s="36">
        <v>800</v>
      </c>
      <c r="O2081" s="36">
        <v>0.5</v>
      </c>
      <c r="P2081" s="47">
        <v>1328</v>
      </c>
      <c r="Q2081" s="2" t="s">
        <v>104</v>
      </c>
      <c r="S2081" s="36" t="s">
        <v>131</v>
      </c>
    </row>
    <row r="2082" spans="1:19" x14ac:dyDescent="0.2">
      <c r="A2082" s="8" t="str">
        <f t="shared" si="702"/>
        <v>40010911</v>
      </c>
      <c r="B2082" s="8">
        <v>4001</v>
      </c>
      <c r="C2082" s="8">
        <v>9</v>
      </c>
      <c r="D2082" s="8" t="s">
        <v>62</v>
      </c>
      <c r="E2082" s="8">
        <v>1</v>
      </c>
      <c r="F2082" s="34">
        <f t="shared" ref="F2082:G2085" si="1070">ROUNDDOWN($P2082/4*$O2082*10*$N2082/$N2082*$Q2082/400,0)</f>
        <v>5893</v>
      </c>
      <c r="G2082" s="34">
        <f t="shared" si="1070"/>
        <v>5893</v>
      </c>
      <c r="H2082" s="34">
        <f t="shared" si="1038"/>
        <v>3260</v>
      </c>
      <c r="I2082" s="34">
        <f t="shared" si="1038"/>
        <v>3260</v>
      </c>
      <c r="J2082" s="34">
        <f t="shared" ref="J2082:J2085" si="1071">ROUNDDOWN($P2082/4*$O2082*10*$N2082/$Q2082*$N2082/400,0)</f>
        <v>7295</v>
      </c>
      <c r="K2082" s="133">
        <v>1000</v>
      </c>
      <c r="L2082" s="34"/>
      <c r="M2082" s="16">
        <f t="shared" si="1065"/>
        <v>947.06471364949505</v>
      </c>
      <c r="N2082" s="36">
        <v>790</v>
      </c>
      <c r="O2082" s="36">
        <v>1</v>
      </c>
      <c r="P2082" s="2">
        <f>P2081</f>
        <v>1328</v>
      </c>
      <c r="Q2082" s="2" t="s">
        <v>104</v>
      </c>
      <c r="S2082" s="36" t="str">
        <f>S2081</f>
        <v>1304</v>
      </c>
    </row>
    <row r="2083" spans="1:19" x14ac:dyDescent="0.2">
      <c r="A2083" s="8" t="str">
        <f t="shared" si="702"/>
        <v>40010912</v>
      </c>
      <c r="B2083" s="8">
        <v>4001</v>
      </c>
      <c r="C2083" s="8">
        <v>9</v>
      </c>
      <c r="D2083" s="8" t="s">
        <v>62</v>
      </c>
      <c r="E2083" s="8">
        <v>2</v>
      </c>
      <c r="F2083" s="34">
        <f t="shared" si="1070"/>
        <v>11786</v>
      </c>
      <c r="G2083" s="34">
        <f t="shared" si="1070"/>
        <v>11786</v>
      </c>
      <c r="H2083" s="34">
        <f t="shared" si="1038"/>
        <v>3260</v>
      </c>
      <c r="I2083" s="34">
        <f t="shared" si="1038"/>
        <v>3260</v>
      </c>
      <c r="J2083" s="34">
        <f t="shared" si="1071"/>
        <v>14224</v>
      </c>
      <c r="K2083" s="133">
        <v>1000</v>
      </c>
      <c r="L2083" s="34"/>
      <c r="M2083" s="16">
        <f t="shared" si="1065"/>
        <v>1870.220776083936</v>
      </c>
      <c r="N2083" s="36">
        <v>780</v>
      </c>
      <c r="O2083" s="36">
        <v>2</v>
      </c>
      <c r="P2083" s="2">
        <f t="shared" ref="P2083:P2085" si="1072">P2082</f>
        <v>1328</v>
      </c>
      <c r="Q2083" s="2" t="s">
        <v>104</v>
      </c>
      <c r="S2083" s="36" t="str">
        <f t="shared" ref="S2083:S2085" si="1073">S2082</f>
        <v>1304</v>
      </c>
    </row>
    <row r="2084" spans="1:19" x14ac:dyDescent="0.2">
      <c r="A2084" s="8" t="str">
        <f t="shared" si="702"/>
        <v>40010913</v>
      </c>
      <c r="B2084" s="8">
        <v>4001</v>
      </c>
      <c r="C2084" s="8">
        <v>9</v>
      </c>
      <c r="D2084" s="8" t="s">
        <v>62</v>
      </c>
      <c r="E2084" s="8">
        <v>3</v>
      </c>
      <c r="F2084" s="34">
        <f t="shared" si="1070"/>
        <v>17679</v>
      </c>
      <c r="G2084" s="34">
        <f t="shared" si="1070"/>
        <v>17679</v>
      </c>
      <c r="H2084" s="34">
        <f t="shared" si="1038"/>
        <v>3260</v>
      </c>
      <c r="I2084" s="34">
        <f t="shared" si="1038"/>
        <v>3260</v>
      </c>
      <c r="J2084" s="34">
        <f t="shared" si="1071"/>
        <v>20793</v>
      </c>
      <c r="K2084" s="133">
        <v>1000</v>
      </c>
      <c r="L2084" s="34"/>
      <c r="M2084" s="16">
        <f t="shared" si="1065"/>
        <v>2769.4033404702895</v>
      </c>
      <c r="N2084" s="36">
        <v>770</v>
      </c>
      <c r="O2084" s="36">
        <v>3</v>
      </c>
      <c r="P2084" s="2">
        <f t="shared" si="1072"/>
        <v>1328</v>
      </c>
      <c r="Q2084" s="2" t="s">
        <v>104</v>
      </c>
      <c r="S2084" s="36" t="str">
        <f t="shared" si="1073"/>
        <v>1304</v>
      </c>
    </row>
    <row r="2085" spans="1:19" x14ac:dyDescent="0.2">
      <c r="A2085" s="8" t="str">
        <f t="shared" ref="A2085:A2148" si="1074">IF(B2085="","",CONCATENATE(B2085,CONCATENATE(REPT(0,2-LEN(C2085)),C2085),IF(OR(D2085="Easy",D2085=""),1,IF(D2085="Normal",2,IF(D2085="Hard",3,IF(D2085="Hell",4,"error")))),E2085))</f>
        <v>40010914</v>
      </c>
      <c r="B2085" s="8">
        <v>4001</v>
      </c>
      <c r="C2085" s="8">
        <v>9</v>
      </c>
      <c r="D2085" s="8" t="s">
        <v>62</v>
      </c>
      <c r="E2085" s="8">
        <v>4</v>
      </c>
      <c r="F2085" s="34">
        <f t="shared" si="1070"/>
        <v>23572</v>
      </c>
      <c r="G2085" s="34">
        <f t="shared" si="1070"/>
        <v>23572</v>
      </c>
      <c r="H2085" s="34">
        <f t="shared" si="1038"/>
        <v>3260</v>
      </c>
      <c r="I2085" s="34">
        <f t="shared" si="1038"/>
        <v>3260</v>
      </c>
      <c r="J2085" s="34">
        <f t="shared" si="1071"/>
        <v>27008</v>
      </c>
      <c r="K2085" s="133">
        <v>1000</v>
      </c>
      <c r="L2085" s="34"/>
      <c r="M2085" s="16">
        <f t="shared" si="1065"/>
        <v>3644.5441505988101</v>
      </c>
      <c r="N2085" s="36">
        <v>760</v>
      </c>
      <c r="O2085" s="36">
        <v>4</v>
      </c>
      <c r="P2085" s="2">
        <f t="shared" si="1072"/>
        <v>1328</v>
      </c>
      <c r="Q2085" s="2" t="s">
        <v>104</v>
      </c>
      <c r="S2085" s="36" t="str">
        <f t="shared" si="1073"/>
        <v>1304</v>
      </c>
    </row>
    <row r="2086" spans="1:19" x14ac:dyDescent="0.2">
      <c r="A2086" s="8" t="str">
        <f t="shared" si="1074"/>
        <v>40011010</v>
      </c>
      <c r="B2086" s="8">
        <v>4001</v>
      </c>
      <c r="C2086" s="8">
        <v>10</v>
      </c>
      <c r="D2086" s="8" t="s">
        <v>62</v>
      </c>
      <c r="E2086" s="8">
        <v>0</v>
      </c>
      <c r="F2086" s="34">
        <f>ROUNDDOWN($P2086/4*$O2086*10*$N2086/$N2086*$Q2086/400,0)</f>
        <v>3017</v>
      </c>
      <c r="G2086" s="34">
        <f>ROUNDDOWN($P2086/4*$O2086*10*$N2086/$N2086*$Q2086/400,0)</f>
        <v>3017</v>
      </c>
      <c r="H2086" s="34">
        <f t="shared" si="1038"/>
        <v>3310</v>
      </c>
      <c r="I2086" s="34">
        <f t="shared" si="1038"/>
        <v>3310</v>
      </c>
      <c r="J2086" s="34">
        <f>ROUNDDOWN($P2086/4*$O2086*10*$N2086/$Q2086*$N2086/400,0)</f>
        <v>3830</v>
      </c>
      <c r="K2086" s="133">
        <v>1000</v>
      </c>
      <c r="L2086" s="34"/>
      <c r="M2086" s="16">
        <f t="shared" si="1065"/>
        <v>494.75595018150108</v>
      </c>
      <c r="N2086" s="36">
        <v>800</v>
      </c>
      <c r="O2086" s="36">
        <v>0.5</v>
      </c>
      <c r="P2086" s="47">
        <v>1360</v>
      </c>
      <c r="Q2086" s="2" t="s">
        <v>104</v>
      </c>
      <c r="S2086" s="36" t="s">
        <v>146</v>
      </c>
    </row>
    <row r="2087" spans="1:19" x14ac:dyDescent="0.2">
      <c r="A2087" s="8" t="str">
        <f t="shared" si="1074"/>
        <v>40011011</v>
      </c>
      <c r="B2087" s="8">
        <v>4001</v>
      </c>
      <c r="C2087" s="8">
        <v>10</v>
      </c>
      <c r="D2087" s="8" t="s">
        <v>62</v>
      </c>
      <c r="E2087" s="8">
        <v>1</v>
      </c>
      <c r="F2087" s="34">
        <f t="shared" ref="F2087:G2090" si="1075">ROUNDDOWN($P2087/4*$O2087*10*$N2087/$N2087*$Q2087/400,0)</f>
        <v>6035</v>
      </c>
      <c r="G2087" s="34">
        <f t="shared" si="1075"/>
        <v>6035</v>
      </c>
      <c r="H2087" s="34">
        <f t="shared" si="1038"/>
        <v>3310</v>
      </c>
      <c r="I2087" s="34">
        <f t="shared" si="1038"/>
        <v>3310</v>
      </c>
      <c r="J2087" s="34">
        <f t="shared" ref="J2087:J2090" si="1076">ROUNDDOWN($P2087/4*$O2087*10*$N2087/$Q2087*$N2087/400,0)</f>
        <v>7471</v>
      </c>
      <c r="K2087" s="133">
        <v>1000</v>
      </c>
      <c r="L2087" s="34"/>
      <c r="M2087" s="16">
        <f t="shared" si="1065"/>
        <v>977.30920503185689</v>
      </c>
      <c r="N2087" s="36">
        <v>790</v>
      </c>
      <c r="O2087" s="36">
        <v>1</v>
      </c>
      <c r="P2087" s="2">
        <f>P2086</f>
        <v>1360</v>
      </c>
      <c r="Q2087" s="2" t="s">
        <v>104</v>
      </c>
      <c r="S2087" s="36" t="str">
        <f>S2086</f>
        <v>1324</v>
      </c>
    </row>
    <row r="2088" spans="1:19" x14ac:dyDescent="0.2">
      <c r="A2088" s="8" t="str">
        <f t="shared" si="1074"/>
        <v>40011012</v>
      </c>
      <c r="B2088" s="8">
        <v>4001</v>
      </c>
      <c r="C2088" s="8">
        <v>10</v>
      </c>
      <c r="D2088" s="8" t="s">
        <v>62</v>
      </c>
      <c r="E2088" s="8">
        <v>2</v>
      </c>
      <c r="F2088" s="34">
        <f t="shared" si="1075"/>
        <v>12070</v>
      </c>
      <c r="G2088" s="34">
        <f t="shared" si="1075"/>
        <v>12070</v>
      </c>
      <c r="H2088" s="34">
        <f t="shared" si="1038"/>
        <v>3310</v>
      </c>
      <c r="I2088" s="34">
        <f t="shared" si="1038"/>
        <v>3310</v>
      </c>
      <c r="J2088" s="34">
        <f t="shared" si="1076"/>
        <v>14567</v>
      </c>
      <c r="K2088" s="133">
        <v>1000</v>
      </c>
      <c r="L2088" s="34"/>
      <c r="M2088" s="16">
        <f t="shared" si="1065"/>
        <v>1929.9349856821602</v>
      </c>
      <c r="N2088" s="36">
        <v>780</v>
      </c>
      <c r="O2088" s="36">
        <v>2</v>
      </c>
      <c r="P2088" s="2">
        <f t="shared" ref="P2088:P2090" si="1077">P2087</f>
        <v>1360</v>
      </c>
      <c r="Q2088" s="2" t="s">
        <v>104</v>
      </c>
      <c r="S2088" s="36" t="str">
        <f t="shared" ref="S2088:S2090" si="1078">S2087</f>
        <v>1324</v>
      </c>
    </row>
    <row r="2089" spans="1:19" x14ac:dyDescent="0.2">
      <c r="A2089" s="8" t="str">
        <f t="shared" si="1074"/>
        <v>40011013</v>
      </c>
      <c r="B2089" s="8">
        <v>4001</v>
      </c>
      <c r="C2089" s="8">
        <v>10</v>
      </c>
      <c r="D2089" s="8" t="s">
        <v>62</v>
      </c>
      <c r="E2089" s="8">
        <v>3</v>
      </c>
      <c r="F2089" s="34">
        <f t="shared" si="1075"/>
        <v>18105</v>
      </c>
      <c r="G2089" s="34">
        <f t="shared" si="1075"/>
        <v>18105</v>
      </c>
      <c r="H2089" s="34">
        <f t="shared" si="1038"/>
        <v>3310</v>
      </c>
      <c r="I2089" s="34">
        <f t="shared" si="1038"/>
        <v>3310</v>
      </c>
      <c r="J2089" s="34">
        <f t="shared" si="1076"/>
        <v>21294</v>
      </c>
      <c r="K2089" s="133">
        <v>1000</v>
      </c>
      <c r="L2089" s="34"/>
      <c r="M2089" s="16">
        <f t="shared" si="1065"/>
        <v>2857.8002726012892</v>
      </c>
      <c r="N2089" s="36">
        <v>770</v>
      </c>
      <c r="O2089" s="36">
        <v>3</v>
      </c>
      <c r="P2089" s="2">
        <f t="shared" si="1077"/>
        <v>1360</v>
      </c>
      <c r="Q2089" s="2" t="s">
        <v>104</v>
      </c>
      <c r="S2089" s="36" t="str">
        <f t="shared" si="1078"/>
        <v>1324</v>
      </c>
    </row>
    <row r="2090" spans="1:19" x14ac:dyDescent="0.2">
      <c r="A2090" s="8" t="str">
        <f t="shared" si="1074"/>
        <v>40011014</v>
      </c>
      <c r="B2090" s="8">
        <v>4001</v>
      </c>
      <c r="C2090" s="8">
        <v>10</v>
      </c>
      <c r="D2090" s="8" t="s">
        <v>62</v>
      </c>
      <c r="E2090" s="8">
        <v>4</v>
      </c>
      <c r="F2090" s="34">
        <f t="shared" si="1075"/>
        <v>24140</v>
      </c>
      <c r="G2090" s="34">
        <f t="shared" si="1075"/>
        <v>24140</v>
      </c>
      <c r="H2090" s="34">
        <f t="shared" si="1038"/>
        <v>3310</v>
      </c>
      <c r="I2090" s="34">
        <f t="shared" si="1038"/>
        <v>3310</v>
      </c>
      <c r="J2090" s="34">
        <f t="shared" si="1076"/>
        <v>27659</v>
      </c>
      <c r="K2090" s="133">
        <v>1000</v>
      </c>
      <c r="L2090" s="34"/>
      <c r="M2090" s="16">
        <f t="shared" si="1065"/>
        <v>3760.8919287637073</v>
      </c>
      <c r="N2090" s="36">
        <v>760</v>
      </c>
      <c r="O2090" s="36">
        <v>4</v>
      </c>
      <c r="P2090" s="2">
        <f t="shared" si="1077"/>
        <v>1360</v>
      </c>
      <c r="Q2090" s="2" t="s">
        <v>104</v>
      </c>
      <c r="S2090" s="36" t="str">
        <f t="shared" si="1078"/>
        <v>1324</v>
      </c>
    </row>
    <row r="2091" spans="1:19" x14ac:dyDescent="0.2">
      <c r="A2091" s="8" t="str">
        <f t="shared" si="1074"/>
        <v>40011110</v>
      </c>
      <c r="B2091" s="8">
        <v>4001</v>
      </c>
      <c r="C2091" s="8">
        <v>11</v>
      </c>
      <c r="D2091" s="8" t="s">
        <v>62</v>
      </c>
      <c r="E2091" s="8">
        <v>0</v>
      </c>
      <c r="F2091" s="34">
        <f>ROUNDDOWN($P2091/4*$O2091*10*$N2091/$N2091*$Q2091/400,0)</f>
        <v>3266</v>
      </c>
      <c r="G2091" s="34">
        <f>ROUNDDOWN($P2091/4*$O2091*10*$N2091/$N2091*$Q2091/400,0)</f>
        <v>3266</v>
      </c>
      <c r="H2091" s="34">
        <f t="shared" si="1038"/>
        <v>3640</v>
      </c>
      <c r="I2091" s="34">
        <f t="shared" si="1038"/>
        <v>3640</v>
      </c>
      <c r="J2091" s="34">
        <f>ROUNDDOWN($P2091/4*$O2091*10*$N2091/$Q2091*$N2091/400,0)</f>
        <v>4146</v>
      </c>
      <c r="K2091" s="133">
        <v>1000</v>
      </c>
      <c r="L2091" s="34"/>
      <c r="M2091" s="16">
        <f t="shared" si="1065"/>
        <v>561.64696692495363</v>
      </c>
      <c r="N2091" s="36">
        <v>800</v>
      </c>
      <c r="O2091" s="36">
        <v>0.5</v>
      </c>
      <c r="P2091" s="47">
        <v>1472</v>
      </c>
      <c r="Q2091" s="2" t="s">
        <v>104</v>
      </c>
      <c r="S2091" s="36" t="s">
        <v>139</v>
      </c>
    </row>
    <row r="2092" spans="1:19" x14ac:dyDescent="0.2">
      <c r="A2092" s="8" t="str">
        <f t="shared" si="1074"/>
        <v>40011111</v>
      </c>
      <c r="B2092" s="8">
        <v>4001</v>
      </c>
      <c r="C2092" s="8">
        <v>11</v>
      </c>
      <c r="D2092" s="8" t="s">
        <v>62</v>
      </c>
      <c r="E2092" s="8">
        <v>1</v>
      </c>
      <c r="F2092" s="34">
        <f t="shared" ref="F2092:G2095" si="1079">ROUNDDOWN($P2092/4*$O2092*10*$N2092/$N2092*$Q2092/400,0)</f>
        <v>6532</v>
      </c>
      <c r="G2092" s="34">
        <f t="shared" si="1079"/>
        <v>6532</v>
      </c>
      <c r="H2092" s="34">
        <f t="shared" si="1038"/>
        <v>3640</v>
      </c>
      <c r="I2092" s="34">
        <f t="shared" si="1038"/>
        <v>3640</v>
      </c>
      <c r="J2092" s="34">
        <f t="shared" ref="J2092:J2095" si="1080">ROUNDDOWN($P2092/4*$O2092*10*$N2092/$Q2092*$N2092/400,0)</f>
        <v>8086</v>
      </c>
      <c r="K2092" s="133">
        <v>1000</v>
      </c>
      <c r="L2092" s="34"/>
      <c r="M2092" s="16">
        <f t="shared" si="1065"/>
        <v>1109.2530597622888</v>
      </c>
      <c r="N2092" s="36">
        <v>790</v>
      </c>
      <c r="O2092" s="36">
        <v>1</v>
      </c>
      <c r="P2092" s="2">
        <f>P2091</f>
        <v>1472</v>
      </c>
      <c r="Q2092" s="2" t="s">
        <v>104</v>
      </c>
      <c r="S2092" s="36" t="str">
        <f>S2091</f>
        <v>1456</v>
      </c>
    </row>
    <row r="2093" spans="1:19" x14ac:dyDescent="0.2">
      <c r="A2093" s="8" t="str">
        <f t="shared" si="1074"/>
        <v>40011112</v>
      </c>
      <c r="B2093" s="8">
        <v>4001</v>
      </c>
      <c r="C2093" s="8">
        <v>11</v>
      </c>
      <c r="D2093" s="8" t="s">
        <v>62</v>
      </c>
      <c r="E2093" s="8">
        <v>2</v>
      </c>
      <c r="F2093" s="34">
        <f t="shared" si="1079"/>
        <v>13064</v>
      </c>
      <c r="G2093" s="34">
        <f t="shared" si="1079"/>
        <v>13064</v>
      </c>
      <c r="H2093" s="34">
        <f t="shared" si="1038"/>
        <v>3640</v>
      </c>
      <c r="I2093" s="34">
        <f t="shared" si="1038"/>
        <v>3640</v>
      </c>
      <c r="J2093" s="34">
        <f t="shared" si="1080"/>
        <v>15766</v>
      </c>
      <c r="K2093" s="133">
        <v>1000</v>
      </c>
      <c r="L2093" s="34"/>
      <c r="M2093" s="16">
        <f t="shared" si="1065"/>
        <v>2190.4811779844176</v>
      </c>
      <c r="N2093" s="36">
        <v>780</v>
      </c>
      <c r="O2093" s="36">
        <v>2</v>
      </c>
      <c r="P2093" s="2">
        <f t="shared" ref="P2093:P2095" si="1081">P2092</f>
        <v>1472</v>
      </c>
      <c r="Q2093" s="2" t="s">
        <v>104</v>
      </c>
      <c r="S2093" s="36" t="str">
        <f t="shared" ref="S2093:S2095" si="1082">S2092</f>
        <v>1456</v>
      </c>
    </row>
    <row r="2094" spans="1:19" x14ac:dyDescent="0.2">
      <c r="A2094" s="8" t="str">
        <f t="shared" si="1074"/>
        <v>40011113</v>
      </c>
      <c r="B2094" s="8">
        <v>4001</v>
      </c>
      <c r="C2094" s="8">
        <v>11</v>
      </c>
      <c r="D2094" s="8" t="s">
        <v>62</v>
      </c>
      <c r="E2094" s="8">
        <v>3</v>
      </c>
      <c r="F2094" s="34">
        <f t="shared" si="1079"/>
        <v>19596</v>
      </c>
      <c r="G2094" s="34">
        <f t="shared" si="1079"/>
        <v>19596</v>
      </c>
      <c r="H2094" s="34">
        <f t="shared" si="1038"/>
        <v>3640</v>
      </c>
      <c r="I2094" s="34">
        <f t="shared" si="1038"/>
        <v>3640</v>
      </c>
      <c r="J2094" s="34">
        <f t="shared" si="1080"/>
        <v>23047</v>
      </c>
      <c r="K2094" s="133">
        <v>1000</v>
      </c>
      <c r="L2094" s="34"/>
      <c r="M2094" s="16">
        <f t="shared" si="1065"/>
        <v>3243.6321406028769</v>
      </c>
      <c r="N2094" s="36">
        <v>770</v>
      </c>
      <c r="O2094" s="36">
        <v>3</v>
      </c>
      <c r="P2094" s="2">
        <f t="shared" si="1081"/>
        <v>1472</v>
      </c>
      <c r="Q2094" s="2" t="s">
        <v>104</v>
      </c>
      <c r="S2094" s="36" t="str">
        <f t="shared" si="1082"/>
        <v>1456</v>
      </c>
    </row>
    <row r="2095" spans="1:19" x14ac:dyDescent="0.2">
      <c r="A2095" s="8" t="str">
        <f t="shared" si="1074"/>
        <v>40011114</v>
      </c>
      <c r="B2095" s="8">
        <v>4001</v>
      </c>
      <c r="C2095" s="8">
        <v>11</v>
      </c>
      <c r="D2095" s="8" t="s">
        <v>62</v>
      </c>
      <c r="E2095" s="8">
        <v>4</v>
      </c>
      <c r="F2095" s="34">
        <f t="shared" si="1079"/>
        <v>26128</v>
      </c>
      <c r="G2095" s="34">
        <f t="shared" si="1079"/>
        <v>26128</v>
      </c>
      <c r="H2095" s="34">
        <f t="shared" si="1038"/>
        <v>3640</v>
      </c>
      <c r="I2095" s="34">
        <f t="shared" si="1038"/>
        <v>3640</v>
      </c>
      <c r="J2095" s="34">
        <f t="shared" si="1080"/>
        <v>29937</v>
      </c>
      <c r="K2095" s="133">
        <v>1000</v>
      </c>
      <c r="L2095" s="34"/>
      <c r="M2095" s="16">
        <f t="shared" si="1065"/>
        <v>4268.7222834304885</v>
      </c>
      <c r="N2095" s="36">
        <v>760</v>
      </c>
      <c r="O2095" s="36">
        <v>4</v>
      </c>
      <c r="P2095" s="2">
        <f t="shared" si="1081"/>
        <v>1472</v>
      </c>
      <c r="Q2095" s="2" t="s">
        <v>104</v>
      </c>
      <c r="S2095" s="36" t="str">
        <f t="shared" si="1082"/>
        <v>1456</v>
      </c>
    </row>
    <row r="2096" spans="1:19" x14ac:dyDescent="0.2">
      <c r="A2096" s="8" t="str">
        <f t="shared" si="1074"/>
        <v>40011210</v>
      </c>
      <c r="B2096" s="8">
        <v>4001</v>
      </c>
      <c r="C2096" s="8">
        <v>12</v>
      </c>
      <c r="D2096" s="8" t="s">
        <v>62</v>
      </c>
      <c r="E2096" s="8">
        <v>0</v>
      </c>
      <c r="F2096" s="34">
        <f>ROUNDDOWN($P2096/4*$O2096*10*$N2096/$N2096*$Q2096/400,0)</f>
        <v>3647</v>
      </c>
      <c r="G2096" s="34">
        <f>ROUNDDOWN($P2096/4*$O2096*10*$N2096/$N2096*$Q2096/400,0)</f>
        <v>3647</v>
      </c>
      <c r="H2096" s="34">
        <f t="shared" si="1038"/>
        <v>3780</v>
      </c>
      <c r="I2096" s="34">
        <f t="shared" si="1038"/>
        <v>3780</v>
      </c>
      <c r="J2096" s="34">
        <f>ROUNDDOWN($P2096/4*$O2096*10*$N2096/$Q2096*$N2096/400,0)</f>
        <v>4630</v>
      </c>
      <c r="K2096" s="133">
        <v>1000</v>
      </c>
      <c r="L2096" s="34"/>
      <c r="M2096" s="16">
        <f t="shared" si="1065"/>
        <v>639.13744775282885</v>
      </c>
      <c r="N2096" s="36">
        <v>800</v>
      </c>
      <c r="O2096" s="36">
        <v>0.5</v>
      </c>
      <c r="P2096" s="47">
        <v>1644</v>
      </c>
      <c r="Q2096" s="2" t="s">
        <v>104</v>
      </c>
      <c r="S2096" s="36" t="s">
        <v>147</v>
      </c>
    </row>
    <row r="2097" spans="1:19" x14ac:dyDescent="0.2">
      <c r="A2097" s="8" t="str">
        <f t="shared" si="1074"/>
        <v>40011211</v>
      </c>
      <c r="B2097" s="8">
        <v>4001</v>
      </c>
      <c r="C2097" s="8">
        <v>12</v>
      </c>
      <c r="D2097" s="8" t="s">
        <v>62</v>
      </c>
      <c r="E2097" s="8">
        <v>1</v>
      </c>
      <c r="F2097" s="34">
        <f t="shared" ref="F2097:G2100" si="1083">ROUNDDOWN($P2097/4*$O2097*10*$N2097/$N2097*$Q2097/400,0)</f>
        <v>7295</v>
      </c>
      <c r="G2097" s="34">
        <f t="shared" si="1083"/>
        <v>7295</v>
      </c>
      <c r="H2097" s="34">
        <f t="shared" si="1038"/>
        <v>3780</v>
      </c>
      <c r="I2097" s="34">
        <f t="shared" si="1038"/>
        <v>3780</v>
      </c>
      <c r="J2097" s="34">
        <f t="shared" ref="J2097:J2100" si="1084">ROUNDDOWN($P2097/4*$O2097*10*$N2097/$Q2097*$N2097/400,0)</f>
        <v>9031</v>
      </c>
      <c r="K2097" s="133">
        <v>1000</v>
      </c>
      <c r="L2097" s="34"/>
      <c r="M2097" s="16">
        <f t="shared" si="1065"/>
        <v>1262.4565972103755</v>
      </c>
      <c r="N2097" s="36">
        <v>790</v>
      </c>
      <c r="O2097" s="36">
        <v>1</v>
      </c>
      <c r="P2097" s="2">
        <f>P2096</f>
        <v>1644</v>
      </c>
      <c r="Q2097" s="2" t="s">
        <v>104</v>
      </c>
      <c r="S2097" s="36" t="str">
        <f>S2096</f>
        <v>1512</v>
      </c>
    </row>
    <row r="2098" spans="1:19" x14ac:dyDescent="0.2">
      <c r="A2098" s="8" t="str">
        <f t="shared" si="1074"/>
        <v>40011212</v>
      </c>
      <c r="B2098" s="8">
        <v>4001</v>
      </c>
      <c r="C2098" s="8">
        <v>12</v>
      </c>
      <c r="D2098" s="8" t="s">
        <v>62</v>
      </c>
      <c r="E2098" s="8">
        <v>2</v>
      </c>
      <c r="F2098" s="34">
        <f t="shared" si="1083"/>
        <v>14590</v>
      </c>
      <c r="G2098" s="34">
        <f t="shared" si="1083"/>
        <v>14590</v>
      </c>
      <c r="H2098" s="34">
        <f t="shared" si="1038"/>
        <v>3780</v>
      </c>
      <c r="I2098" s="34">
        <f t="shared" si="1038"/>
        <v>3780</v>
      </c>
      <c r="J2098" s="34">
        <f t="shared" si="1084"/>
        <v>17609</v>
      </c>
      <c r="K2098" s="133">
        <v>1000</v>
      </c>
      <c r="L2098" s="34"/>
      <c r="M2098" s="16">
        <f t="shared" si="1065"/>
        <v>2493.0493736627041</v>
      </c>
      <c r="N2098" s="36">
        <v>780</v>
      </c>
      <c r="O2098" s="36">
        <v>2</v>
      </c>
      <c r="P2098" s="2">
        <f t="shared" ref="P2098:P2100" si="1085">P2097</f>
        <v>1644</v>
      </c>
      <c r="Q2098" s="2" t="s">
        <v>104</v>
      </c>
      <c r="S2098" s="36" t="str">
        <f t="shared" ref="S2098:S2100" si="1086">S2097</f>
        <v>1512</v>
      </c>
    </row>
    <row r="2099" spans="1:19" x14ac:dyDescent="0.2">
      <c r="A2099" s="8" t="str">
        <f t="shared" si="1074"/>
        <v>40011213</v>
      </c>
      <c r="B2099" s="8">
        <v>4001</v>
      </c>
      <c r="C2099" s="8">
        <v>12</v>
      </c>
      <c r="D2099" s="8" t="s">
        <v>62</v>
      </c>
      <c r="E2099" s="8">
        <v>3</v>
      </c>
      <c r="F2099" s="34">
        <f t="shared" si="1083"/>
        <v>21885</v>
      </c>
      <c r="G2099" s="34">
        <f t="shared" si="1083"/>
        <v>21885</v>
      </c>
      <c r="H2099" s="34">
        <f t="shared" si="1038"/>
        <v>3780</v>
      </c>
      <c r="I2099" s="34">
        <f t="shared" si="1038"/>
        <v>3780</v>
      </c>
      <c r="J2099" s="34">
        <f t="shared" si="1084"/>
        <v>25741</v>
      </c>
      <c r="K2099" s="133">
        <v>1000</v>
      </c>
      <c r="L2099" s="34"/>
      <c r="M2099" s="16">
        <f t="shared" si="1065"/>
        <v>3691.6614772646749</v>
      </c>
      <c r="N2099" s="36">
        <v>770</v>
      </c>
      <c r="O2099" s="36">
        <v>3</v>
      </c>
      <c r="P2099" s="2">
        <f t="shared" si="1085"/>
        <v>1644</v>
      </c>
      <c r="Q2099" s="2" t="s">
        <v>104</v>
      </c>
      <c r="S2099" s="36" t="str">
        <f t="shared" si="1086"/>
        <v>1512</v>
      </c>
    </row>
    <row r="2100" spans="1:19" x14ac:dyDescent="0.2">
      <c r="A2100" s="8" t="str">
        <f t="shared" si="1074"/>
        <v>40011214</v>
      </c>
      <c r="B2100" s="8">
        <v>4001</v>
      </c>
      <c r="C2100" s="8">
        <v>12</v>
      </c>
      <c r="D2100" s="8" t="s">
        <v>62</v>
      </c>
      <c r="E2100" s="8">
        <v>4</v>
      </c>
      <c r="F2100" s="34">
        <f t="shared" si="1083"/>
        <v>29181</v>
      </c>
      <c r="G2100" s="34">
        <f t="shared" si="1083"/>
        <v>29181</v>
      </c>
      <c r="H2100" s="34">
        <f t="shared" si="1038"/>
        <v>3780</v>
      </c>
      <c r="I2100" s="34">
        <f t="shared" si="1038"/>
        <v>3780</v>
      </c>
      <c r="J2100" s="34">
        <f t="shared" si="1084"/>
        <v>33435</v>
      </c>
      <c r="K2100" s="133">
        <v>1000</v>
      </c>
      <c r="L2100" s="34"/>
      <c r="M2100" s="16">
        <f t="shared" si="1065"/>
        <v>4858.325807633737</v>
      </c>
      <c r="N2100" s="36">
        <v>760</v>
      </c>
      <c r="O2100" s="36">
        <v>4</v>
      </c>
      <c r="P2100" s="2">
        <f t="shared" si="1085"/>
        <v>1644</v>
      </c>
      <c r="Q2100" s="2" t="s">
        <v>104</v>
      </c>
      <c r="S2100" s="36" t="str">
        <f t="shared" si="1086"/>
        <v>1512</v>
      </c>
    </row>
    <row r="2101" spans="1:19" x14ac:dyDescent="0.2">
      <c r="A2101" s="8" t="str">
        <f t="shared" si="1074"/>
        <v>40011310</v>
      </c>
      <c r="B2101" s="8">
        <v>4001</v>
      </c>
      <c r="C2101" s="8">
        <v>13</v>
      </c>
      <c r="D2101" s="8" t="s">
        <v>62</v>
      </c>
      <c r="E2101" s="8">
        <v>0</v>
      </c>
      <c r="F2101" s="34">
        <f>ROUNDDOWN($P2101/4*$O2101*10*$N2101/$N2101*$Q2101/400,0)</f>
        <v>4153</v>
      </c>
      <c r="G2101" s="34">
        <f>ROUNDDOWN($P2101/4*$O2101*10*$N2101/$N2101*$Q2101/400,0)</f>
        <v>4153</v>
      </c>
      <c r="H2101" s="34">
        <f t="shared" si="1038"/>
        <v>4070</v>
      </c>
      <c r="I2101" s="34">
        <f t="shared" si="1038"/>
        <v>4070</v>
      </c>
      <c r="J2101" s="34">
        <f>ROUNDDOWN($P2101/4*$O2101*10*$N2101/$Q2101*$N2101/400,0)</f>
        <v>5273</v>
      </c>
      <c r="K2101" s="133">
        <v>1000</v>
      </c>
      <c r="L2101" s="34"/>
      <c r="M2101" s="16">
        <f t="shared" si="1065"/>
        <v>755.26097139465639</v>
      </c>
      <c r="N2101" s="36">
        <v>800</v>
      </c>
      <c r="O2101" s="36">
        <v>0.5</v>
      </c>
      <c r="P2101" s="47">
        <v>1872</v>
      </c>
      <c r="Q2101" s="2" t="s">
        <v>104</v>
      </c>
      <c r="S2101" s="36" t="s">
        <v>148</v>
      </c>
    </row>
    <row r="2102" spans="1:19" x14ac:dyDescent="0.2">
      <c r="A2102" s="8" t="str">
        <f t="shared" si="1074"/>
        <v>40011311</v>
      </c>
      <c r="B2102" s="8">
        <v>4001</v>
      </c>
      <c r="C2102" s="8">
        <v>13</v>
      </c>
      <c r="D2102" s="8" t="s">
        <v>62</v>
      </c>
      <c r="E2102" s="8">
        <v>1</v>
      </c>
      <c r="F2102" s="34">
        <f t="shared" ref="F2102:G2105" si="1087">ROUNDDOWN($P2102/4*$O2102*10*$N2102/$N2102*$Q2102/400,0)</f>
        <v>8307</v>
      </c>
      <c r="G2102" s="34">
        <f t="shared" si="1087"/>
        <v>8307</v>
      </c>
      <c r="H2102" s="34">
        <f t="shared" si="1038"/>
        <v>4070</v>
      </c>
      <c r="I2102" s="34">
        <f t="shared" si="1038"/>
        <v>4070</v>
      </c>
      <c r="J2102" s="34">
        <f t="shared" ref="J2102:J2105" si="1088">ROUNDDOWN($P2102/4*$O2102*10*$N2102/$Q2102*$N2102/400,0)</f>
        <v>10284</v>
      </c>
      <c r="K2102" s="133">
        <v>1000</v>
      </c>
      <c r="L2102" s="34"/>
      <c r="M2102" s="16">
        <f t="shared" si="1065"/>
        <v>1491.7303674002217</v>
      </c>
      <c r="N2102" s="36">
        <v>790</v>
      </c>
      <c r="O2102" s="36">
        <v>1</v>
      </c>
      <c r="P2102" s="2">
        <f>P2101</f>
        <v>1872</v>
      </c>
      <c r="Q2102" s="2" t="s">
        <v>104</v>
      </c>
      <c r="S2102" s="36" t="str">
        <f>S2101</f>
        <v>1628</v>
      </c>
    </row>
    <row r="2103" spans="1:19" x14ac:dyDescent="0.2">
      <c r="A2103" s="8" t="str">
        <f t="shared" si="1074"/>
        <v>40011312</v>
      </c>
      <c r="B2103" s="8">
        <v>4001</v>
      </c>
      <c r="C2103" s="8">
        <v>13</v>
      </c>
      <c r="D2103" s="8" t="s">
        <v>62</v>
      </c>
      <c r="E2103" s="8">
        <v>2</v>
      </c>
      <c r="F2103" s="34">
        <f t="shared" si="1087"/>
        <v>16614</v>
      </c>
      <c r="G2103" s="34">
        <f t="shared" si="1087"/>
        <v>16614</v>
      </c>
      <c r="H2103" s="34">
        <f t="shared" si="1038"/>
        <v>4070</v>
      </c>
      <c r="I2103" s="34">
        <f t="shared" si="1038"/>
        <v>4070</v>
      </c>
      <c r="J2103" s="34">
        <f t="shared" si="1088"/>
        <v>20051</v>
      </c>
      <c r="K2103" s="133">
        <v>1000</v>
      </c>
      <c r="L2103" s="34"/>
      <c r="M2103" s="16">
        <f t="shared" si="1065"/>
        <v>2945.7257637247903</v>
      </c>
      <c r="N2103" s="36">
        <v>780</v>
      </c>
      <c r="O2103" s="36">
        <v>2</v>
      </c>
      <c r="P2103" s="2">
        <f t="shared" ref="P2103:P2105" si="1089">P2102</f>
        <v>1872</v>
      </c>
      <c r="Q2103" s="2" t="s">
        <v>104</v>
      </c>
      <c r="S2103" s="36" t="str">
        <f t="shared" ref="S2103:S2105" si="1090">S2102</f>
        <v>1628</v>
      </c>
    </row>
    <row r="2104" spans="1:19" x14ac:dyDescent="0.2">
      <c r="A2104" s="8" t="str">
        <f t="shared" si="1074"/>
        <v>40011313</v>
      </c>
      <c r="B2104" s="8">
        <v>4001</v>
      </c>
      <c r="C2104" s="8">
        <v>13</v>
      </c>
      <c r="D2104" s="8" t="s">
        <v>62</v>
      </c>
      <c r="E2104" s="8">
        <v>3</v>
      </c>
      <c r="F2104" s="34">
        <f t="shared" si="1087"/>
        <v>24921</v>
      </c>
      <c r="G2104" s="34">
        <f t="shared" si="1087"/>
        <v>24921</v>
      </c>
      <c r="H2104" s="34">
        <f t="shared" si="1038"/>
        <v>4070</v>
      </c>
      <c r="I2104" s="34">
        <f t="shared" si="1038"/>
        <v>4070</v>
      </c>
      <c r="J2104" s="34">
        <f t="shared" si="1088"/>
        <v>29310</v>
      </c>
      <c r="K2104" s="133">
        <v>1000</v>
      </c>
      <c r="L2104" s="34"/>
      <c r="M2104" s="16">
        <f t="shared" si="1065"/>
        <v>4361.9213789888508</v>
      </c>
      <c r="N2104" s="36">
        <v>770</v>
      </c>
      <c r="O2104" s="36">
        <v>3</v>
      </c>
      <c r="P2104" s="2">
        <f t="shared" si="1089"/>
        <v>1872</v>
      </c>
      <c r="Q2104" s="2" t="s">
        <v>104</v>
      </c>
      <c r="S2104" s="36" t="str">
        <f t="shared" si="1090"/>
        <v>1628</v>
      </c>
    </row>
    <row r="2105" spans="1:19" x14ac:dyDescent="0.2">
      <c r="A2105" s="8" t="str">
        <f t="shared" si="1074"/>
        <v>40011314</v>
      </c>
      <c r="B2105" s="8">
        <v>4001</v>
      </c>
      <c r="C2105" s="8">
        <v>13</v>
      </c>
      <c r="D2105" s="8" t="s">
        <v>62</v>
      </c>
      <c r="E2105" s="8">
        <v>4</v>
      </c>
      <c r="F2105" s="34">
        <f t="shared" si="1087"/>
        <v>33228</v>
      </c>
      <c r="G2105" s="34">
        <f t="shared" si="1087"/>
        <v>33228</v>
      </c>
      <c r="H2105" s="34">
        <f t="shared" ref="H2105:I2168" si="1091">ROUNDDOWN($S2105/4*10,0)</f>
        <v>4070</v>
      </c>
      <c r="I2105" s="34">
        <f t="shared" si="1091"/>
        <v>4070</v>
      </c>
      <c r="J2105" s="34">
        <f t="shared" si="1088"/>
        <v>38072</v>
      </c>
      <c r="K2105" s="133">
        <v>1000</v>
      </c>
      <c r="L2105" s="34"/>
      <c r="M2105" s="16">
        <f t="shared" si="1065"/>
        <v>5740.3997703964842</v>
      </c>
      <c r="N2105" s="36">
        <v>760</v>
      </c>
      <c r="O2105" s="36">
        <v>4</v>
      </c>
      <c r="P2105" s="2">
        <f t="shared" si="1089"/>
        <v>1872</v>
      </c>
      <c r="Q2105" s="2" t="s">
        <v>104</v>
      </c>
      <c r="S2105" s="36" t="str">
        <f t="shared" si="1090"/>
        <v>1628</v>
      </c>
    </row>
    <row r="2106" spans="1:19" x14ac:dyDescent="0.2">
      <c r="A2106" s="8" t="str">
        <f t="shared" si="1074"/>
        <v>40011410</v>
      </c>
      <c r="B2106" s="8">
        <v>4001</v>
      </c>
      <c r="C2106" s="8">
        <v>14</v>
      </c>
      <c r="D2106" s="8" t="s">
        <v>62</v>
      </c>
      <c r="E2106" s="8">
        <v>0</v>
      </c>
      <c r="F2106" s="34">
        <f>ROUNDDOWN($P2106/4*$O2106*10*$N2106/$N2106*$Q2106/400,0)</f>
        <v>4535</v>
      </c>
      <c r="G2106" s="34">
        <f>ROUNDDOWN($P2106/4*$O2106*10*$N2106/$N2106*$Q2106/400,0)</f>
        <v>4535</v>
      </c>
      <c r="H2106" s="34">
        <f t="shared" si="1091"/>
        <v>4240</v>
      </c>
      <c r="I2106" s="34">
        <f t="shared" si="1091"/>
        <v>4240</v>
      </c>
      <c r="J2106" s="34">
        <f>ROUNDDOWN($P2106/4*$O2106*10*$N2106/$Q2106*$N2106/400,0)</f>
        <v>5757</v>
      </c>
      <c r="K2106" s="133">
        <v>1000</v>
      </c>
      <c r="L2106" s="34"/>
      <c r="M2106" s="16">
        <f t="shared" si="1065"/>
        <v>841.7045516806952</v>
      </c>
      <c r="N2106" s="36">
        <v>800</v>
      </c>
      <c r="O2106" s="36">
        <v>0.5</v>
      </c>
      <c r="P2106" s="47">
        <v>2044</v>
      </c>
      <c r="Q2106" s="2" t="s">
        <v>104</v>
      </c>
      <c r="S2106" s="36" t="s">
        <v>149</v>
      </c>
    </row>
    <row r="2107" spans="1:19" x14ac:dyDescent="0.2">
      <c r="A2107" s="8" t="str">
        <f t="shared" si="1074"/>
        <v>40011411</v>
      </c>
      <c r="B2107" s="8">
        <v>4001</v>
      </c>
      <c r="C2107" s="8">
        <v>14</v>
      </c>
      <c r="D2107" s="8" t="s">
        <v>62</v>
      </c>
      <c r="E2107" s="8">
        <v>1</v>
      </c>
      <c r="F2107" s="34">
        <f t="shared" ref="F2107:G2110" si="1092">ROUNDDOWN($P2107/4*$O2107*10*$N2107/$N2107*$Q2107/400,0)</f>
        <v>9070</v>
      </c>
      <c r="G2107" s="34">
        <f t="shared" si="1092"/>
        <v>9070</v>
      </c>
      <c r="H2107" s="34">
        <f t="shared" si="1091"/>
        <v>4240</v>
      </c>
      <c r="I2107" s="34">
        <f t="shared" si="1091"/>
        <v>4240</v>
      </c>
      <c r="J2107" s="34">
        <f t="shared" ref="J2107:J2110" si="1093">ROUNDDOWN($P2107/4*$O2107*10*$N2107/$Q2107*$N2107/400,0)</f>
        <v>11229</v>
      </c>
      <c r="K2107" s="133">
        <v>1000</v>
      </c>
      <c r="L2107" s="34"/>
      <c r="M2107" s="16">
        <f t="shared" si="1065"/>
        <v>1662.4442866093286</v>
      </c>
      <c r="N2107" s="36">
        <v>790</v>
      </c>
      <c r="O2107" s="36">
        <v>1</v>
      </c>
      <c r="P2107" s="2">
        <f>P2106</f>
        <v>2044</v>
      </c>
      <c r="Q2107" s="2" t="s">
        <v>104</v>
      </c>
      <c r="S2107" s="36" t="str">
        <f>S2106</f>
        <v>1696</v>
      </c>
    </row>
    <row r="2108" spans="1:19" x14ac:dyDescent="0.2">
      <c r="A2108" s="8" t="str">
        <f t="shared" si="1074"/>
        <v>40011412</v>
      </c>
      <c r="B2108" s="8">
        <v>4001</v>
      </c>
      <c r="C2108" s="8">
        <v>14</v>
      </c>
      <c r="D2108" s="8" t="s">
        <v>62</v>
      </c>
      <c r="E2108" s="8">
        <v>2</v>
      </c>
      <c r="F2108" s="34">
        <f t="shared" si="1092"/>
        <v>18140</v>
      </c>
      <c r="G2108" s="34">
        <f t="shared" si="1092"/>
        <v>18140</v>
      </c>
      <c r="H2108" s="34">
        <f t="shared" si="1091"/>
        <v>4240</v>
      </c>
      <c r="I2108" s="34">
        <f t="shared" si="1091"/>
        <v>4240</v>
      </c>
      <c r="J2108" s="34">
        <f t="shared" si="1093"/>
        <v>21893</v>
      </c>
      <c r="K2108" s="133">
        <v>1000</v>
      </c>
      <c r="L2108" s="34"/>
      <c r="M2108" s="16">
        <f t="shared" si="1065"/>
        <v>3282.7982647004064</v>
      </c>
      <c r="N2108" s="36">
        <v>780</v>
      </c>
      <c r="O2108" s="36">
        <v>2</v>
      </c>
      <c r="P2108" s="2">
        <f t="shared" ref="P2108:P2110" si="1094">P2107</f>
        <v>2044</v>
      </c>
      <c r="Q2108" s="2" t="s">
        <v>104</v>
      </c>
      <c r="S2108" s="36" t="str">
        <f t="shared" ref="S2108:S2110" si="1095">S2107</f>
        <v>1696</v>
      </c>
    </row>
    <row r="2109" spans="1:19" x14ac:dyDescent="0.2">
      <c r="A2109" s="8" t="str">
        <f t="shared" si="1074"/>
        <v>40011413</v>
      </c>
      <c r="B2109" s="8">
        <v>4001</v>
      </c>
      <c r="C2109" s="8">
        <v>14</v>
      </c>
      <c r="D2109" s="8" t="s">
        <v>62</v>
      </c>
      <c r="E2109" s="8">
        <v>3</v>
      </c>
      <c r="F2109" s="34">
        <f t="shared" si="1092"/>
        <v>27210</v>
      </c>
      <c r="G2109" s="34">
        <f t="shared" si="1092"/>
        <v>27210</v>
      </c>
      <c r="H2109" s="34">
        <f t="shared" si="1091"/>
        <v>4240</v>
      </c>
      <c r="I2109" s="34">
        <f t="shared" si="1091"/>
        <v>4240</v>
      </c>
      <c r="J2109" s="34">
        <f t="shared" si="1093"/>
        <v>32004</v>
      </c>
      <c r="K2109" s="133">
        <v>1000</v>
      </c>
      <c r="L2109" s="34"/>
      <c r="M2109" s="16">
        <f t="shared" si="1065"/>
        <v>4861.1532996028827</v>
      </c>
      <c r="N2109" s="36">
        <v>770</v>
      </c>
      <c r="O2109" s="36">
        <v>3</v>
      </c>
      <c r="P2109" s="2">
        <f t="shared" si="1094"/>
        <v>2044</v>
      </c>
      <c r="Q2109" s="2" t="s">
        <v>104</v>
      </c>
      <c r="S2109" s="36" t="str">
        <f t="shared" si="1095"/>
        <v>1696</v>
      </c>
    </row>
    <row r="2110" spans="1:19" x14ac:dyDescent="0.2">
      <c r="A2110" s="8" t="str">
        <f t="shared" si="1074"/>
        <v>40011414</v>
      </c>
      <c r="B2110" s="8">
        <v>4001</v>
      </c>
      <c r="C2110" s="8">
        <v>14</v>
      </c>
      <c r="D2110" s="8" t="s">
        <v>62</v>
      </c>
      <c r="E2110" s="8">
        <v>4</v>
      </c>
      <c r="F2110" s="34">
        <f t="shared" si="1092"/>
        <v>36281</v>
      </c>
      <c r="G2110" s="34">
        <f t="shared" si="1092"/>
        <v>36281</v>
      </c>
      <c r="H2110" s="34">
        <f t="shared" si="1091"/>
        <v>4240</v>
      </c>
      <c r="I2110" s="34">
        <f t="shared" si="1091"/>
        <v>4240</v>
      </c>
      <c r="J2110" s="34">
        <f t="shared" si="1093"/>
        <v>41570</v>
      </c>
      <c r="K2110" s="133">
        <v>1000</v>
      </c>
      <c r="L2110" s="34"/>
      <c r="M2110" s="16">
        <f t="shared" si="1065"/>
        <v>6397.3859465503565</v>
      </c>
      <c r="N2110" s="36">
        <v>760</v>
      </c>
      <c r="O2110" s="36">
        <v>4</v>
      </c>
      <c r="P2110" s="2">
        <f t="shared" si="1094"/>
        <v>2044</v>
      </c>
      <c r="Q2110" s="2" t="s">
        <v>104</v>
      </c>
      <c r="S2110" s="36" t="str">
        <f t="shared" si="1095"/>
        <v>1696</v>
      </c>
    </row>
    <row r="2111" spans="1:19" x14ac:dyDescent="0.2">
      <c r="A2111" s="8" t="str">
        <f t="shared" si="1074"/>
        <v>40011510</v>
      </c>
      <c r="B2111" s="8">
        <v>4001</v>
      </c>
      <c r="C2111" s="8">
        <v>15</v>
      </c>
      <c r="D2111" s="8" t="s">
        <v>62</v>
      </c>
      <c r="E2111" s="8">
        <v>0</v>
      </c>
      <c r="F2111" s="34">
        <f>ROUNDDOWN($P2111/4*$O2111*10*$N2111/$N2111*$Q2111/400,0)</f>
        <v>5043</v>
      </c>
      <c r="G2111" s="34">
        <f>ROUNDDOWN($P2111/4*$O2111*10*$N2111/$N2111*$Q2111/400,0)</f>
        <v>5043</v>
      </c>
      <c r="H2111" s="34">
        <f t="shared" si="1091"/>
        <v>4320</v>
      </c>
      <c r="I2111" s="34">
        <f t="shared" si="1091"/>
        <v>4320</v>
      </c>
      <c r="J2111" s="34">
        <f>ROUNDDOWN($P2111/4*$O2111*10*$N2111/$Q2111*$N2111/400,0)</f>
        <v>7645</v>
      </c>
      <c r="K2111" s="133">
        <v>1000</v>
      </c>
      <c r="L2111" s="34"/>
      <c r="M2111" s="16">
        <f t="shared" si="1065"/>
        <v>1032.4406352328447</v>
      </c>
      <c r="N2111" s="36">
        <v>900</v>
      </c>
      <c r="O2111" s="36">
        <v>0.5</v>
      </c>
      <c r="P2111" s="47">
        <v>2208</v>
      </c>
      <c r="Q2111" s="2" t="s">
        <v>105</v>
      </c>
      <c r="S2111" s="36" t="s">
        <v>150</v>
      </c>
    </row>
    <row r="2112" spans="1:19" x14ac:dyDescent="0.2">
      <c r="A2112" s="8" t="str">
        <f t="shared" si="1074"/>
        <v>40011511</v>
      </c>
      <c r="B2112" s="8">
        <v>4001</v>
      </c>
      <c r="C2112" s="8">
        <v>15</v>
      </c>
      <c r="D2112" s="8" t="s">
        <v>62</v>
      </c>
      <c r="E2112" s="8">
        <v>1</v>
      </c>
      <c r="F2112" s="34">
        <f t="shared" ref="F2112:G2115" si="1096">ROUNDDOWN($P2112/4*$O2112*10*$N2112/$N2112*$Q2112/400,0)</f>
        <v>10087</v>
      </c>
      <c r="G2112" s="34">
        <f t="shared" si="1096"/>
        <v>10087</v>
      </c>
      <c r="H2112" s="34">
        <f t="shared" si="1091"/>
        <v>4320</v>
      </c>
      <c r="I2112" s="34">
        <f t="shared" si="1091"/>
        <v>4320</v>
      </c>
      <c r="J2112" s="34">
        <f t="shared" ref="J2112:J2115" si="1097">ROUNDDOWN($P2112/4*$O2112*10*$N2112/$Q2112*$N2112/400,0)</f>
        <v>14619</v>
      </c>
      <c r="K2112" s="133">
        <v>1000</v>
      </c>
      <c r="L2112" s="34"/>
      <c r="M2112" s="16">
        <f t="shared" si="1065"/>
        <v>2019.1645083410122</v>
      </c>
      <c r="N2112" s="36">
        <v>880</v>
      </c>
      <c r="O2112" s="36">
        <v>1</v>
      </c>
      <c r="P2112" s="2">
        <f>P2111</f>
        <v>2208</v>
      </c>
      <c r="Q2112" s="2" t="s">
        <v>105</v>
      </c>
      <c r="S2112" s="36" t="str">
        <f>S2111</f>
        <v>1728</v>
      </c>
    </row>
    <row r="2113" spans="1:19" x14ac:dyDescent="0.2">
      <c r="A2113" s="8" t="str">
        <f t="shared" si="1074"/>
        <v>40011512</v>
      </c>
      <c r="B2113" s="8">
        <v>4001</v>
      </c>
      <c r="C2113" s="8">
        <v>15</v>
      </c>
      <c r="D2113" s="8" t="s">
        <v>62</v>
      </c>
      <c r="E2113" s="8">
        <v>2</v>
      </c>
      <c r="F2113" s="34">
        <f t="shared" si="1096"/>
        <v>20175</v>
      </c>
      <c r="G2113" s="34">
        <f t="shared" si="1096"/>
        <v>20175</v>
      </c>
      <c r="H2113" s="34">
        <f t="shared" si="1091"/>
        <v>4320</v>
      </c>
      <c r="I2113" s="34">
        <f t="shared" si="1091"/>
        <v>4320</v>
      </c>
      <c r="J2113" s="34">
        <f t="shared" si="1097"/>
        <v>27924</v>
      </c>
      <c r="K2113" s="133">
        <v>1000</v>
      </c>
      <c r="L2113" s="34"/>
      <c r="M2113" s="16">
        <f t="shared" si="1065"/>
        <v>3946.6393959418187</v>
      </c>
      <c r="N2113" s="36">
        <v>860</v>
      </c>
      <c r="O2113" s="36">
        <v>2</v>
      </c>
      <c r="P2113" s="2">
        <f t="shared" ref="P2113:P2115" si="1098">P2112</f>
        <v>2208</v>
      </c>
      <c r="Q2113" s="2" t="s">
        <v>105</v>
      </c>
      <c r="S2113" s="36" t="str">
        <f t="shared" ref="S2113:S2115" si="1099">S2112</f>
        <v>1728</v>
      </c>
    </row>
    <row r="2114" spans="1:19" x14ac:dyDescent="0.2">
      <c r="A2114" s="8" t="str">
        <f t="shared" si="1074"/>
        <v>40011513</v>
      </c>
      <c r="B2114" s="8">
        <v>4001</v>
      </c>
      <c r="C2114" s="8">
        <v>15</v>
      </c>
      <c r="D2114" s="8" t="s">
        <v>62</v>
      </c>
      <c r="E2114" s="8">
        <v>3</v>
      </c>
      <c r="F2114" s="34">
        <f t="shared" si="1096"/>
        <v>30263</v>
      </c>
      <c r="G2114" s="34">
        <f t="shared" si="1096"/>
        <v>30263</v>
      </c>
      <c r="H2114" s="34">
        <f t="shared" si="1091"/>
        <v>4320</v>
      </c>
      <c r="I2114" s="34">
        <f t="shared" si="1091"/>
        <v>4320</v>
      </c>
      <c r="J2114" s="34">
        <f t="shared" si="1097"/>
        <v>39961</v>
      </c>
      <c r="K2114" s="133">
        <v>1000</v>
      </c>
      <c r="L2114" s="34"/>
      <c r="M2114" s="16">
        <f t="shared" si="1065"/>
        <v>5782.3719367110943</v>
      </c>
      <c r="N2114" s="36">
        <v>840</v>
      </c>
      <c r="O2114" s="36">
        <v>3</v>
      </c>
      <c r="P2114" s="2">
        <f t="shared" si="1098"/>
        <v>2208</v>
      </c>
      <c r="Q2114" s="2" t="s">
        <v>105</v>
      </c>
      <c r="S2114" s="36" t="str">
        <f t="shared" si="1099"/>
        <v>1728</v>
      </c>
    </row>
    <row r="2115" spans="1:19" x14ac:dyDescent="0.2">
      <c r="A2115" s="8" t="str">
        <f t="shared" si="1074"/>
        <v>40011514</v>
      </c>
      <c r="B2115" s="8">
        <v>4001</v>
      </c>
      <c r="C2115" s="8">
        <v>15</v>
      </c>
      <c r="D2115" s="8" t="s">
        <v>62</v>
      </c>
      <c r="E2115" s="8">
        <v>4</v>
      </c>
      <c r="F2115" s="34">
        <f t="shared" si="1096"/>
        <v>40351</v>
      </c>
      <c r="G2115" s="34">
        <f t="shared" si="1096"/>
        <v>40351</v>
      </c>
      <c r="H2115" s="34">
        <f t="shared" si="1091"/>
        <v>4320</v>
      </c>
      <c r="I2115" s="34">
        <f t="shared" si="1091"/>
        <v>4320</v>
      </c>
      <c r="J2115" s="34">
        <f t="shared" si="1097"/>
        <v>50774</v>
      </c>
      <c r="K2115" s="133">
        <v>1000</v>
      </c>
      <c r="L2115" s="34"/>
      <c r="M2115" s="16">
        <f t="shared" si="1065"/>
        <v>7526.2683796654501</v>
      </c>
      <c r="N2115" s="36">
        <v>820</v>
      </c>
      <c r="O2115" s="36">
        <v>4</v>
      </c>
      <c r="P2115" s="2">
        <f t="shared" si="1098"/>
        <v>2208</v>
      </c>
      <c r="Q2115" s="2" t="s">
        <v>105</v>
      </c>
      <c r="S2115" s="36" t="str">
        <f t="shared" si="1099"/>
        <v>1728</v>
      </c>
    </row>
    <row r="2116" spans="1:19" x14ac:dyDescent="0.2">
      <c r="A2116" s="8" t="str">
        <f t="shared" si="1074"/>
        <v>40011610</v>
      </c>
      <c r="B2116" s="8">
        <v>4001</v>
      </c>
      <c r="C2116" s="8">
        <v>16</v>
      </c>
      <c r="D2116" s="8" t="s">
        <v>62</v>
      </c>
      <c r="E2116" s="8">
        <v>0</v>
      </c>
      <c r="F2116" s="34">
        <f>ROUNDDOWN($P2116/4*$O2116*10*$N2116/$N2116*$Q2116/400,0)</f>
        <v>5838</v>
      </c>
      <c r="G2116" s="34">
        <f>ROUNDDOWN($P2116/4*$O2116*10*$N2116/$N2116*$Q2116/400,0)</f>
        <v>5838</v>
      </c>
      <c r="H2116" s="34">
        <f t="shared" si="1091"/>
        <v>4670</v>
      </c>
      <c r="I2116" s="34">
        <f t="shared" si="1091"/>
        <v>4670</v>
      </c>
      <c r="J2116" s="34">
        <f>ROUNDDOWN($P2116/4*$O2116*10*$N2116/$Q2116*$N2116/400,0)</f>
        <v>8850</v>
      </c>
      <c r="K2116" s="133">
        <v>1000</v>
      </c>
      <c r="L2116" s="34"/>
      <c r="M2116" s="16">
        <f t="shared" si="1065"/>
        <v>1242.6593959730078</v>
      </c>
      <c r="N2116" s="36">
        <v>900</v>
      </c>
      <c r="O2116" s="36">
        <v>0.5</v>
      </c>
      <c r="P2116" s="47">
        <v>2556</v>
      </c>
      <c r="Q2116" s="2" t="s">
        <v>105</v>
      </c>
      <c r="S2116" s="36" t="s">
        <v>151</v>
      </c>
    </row>
    <row r="2117" spans="1:19" x14ac:dyDescent="0.2">
      <c r="A2117" s="8" t="str">
        <f t="shared" si="1074"/>
        <v>40011611</v>
      </c>
      <c r="B2117" s="8">
        <v>4001</v>
      </c>
      <c r="C2117" s="8">
        <v>16</v>
      </c>
      <c r="D2117" s="8" t="s">
        <v>62</v>
      </c>
      <c r="E2117" s="8">
        <v>1</v>
      </c>
      <c r="F2117" s="34">
        <f t="shared" ref="F2117:G2120" si="1100">ROUNDDOWN($P2117/4*$O2117*10*$N2117/$N2117*$Q2117/400,0)</f>
        <v>11677</v>
      </c>
      <c r="G2117" s="34">
        <f t="shared" si="1100"/>
        <v>11677</v>
      </c>
      <c r="H2117" s="34">
        <f t="shared" si="1091"/>
        <v>4670</v>
      </c>
      <c r="I2117" s="34">
        <f t="shared" si="1091"/>
        <v>4670</v>
      </c>
      <c r="J2117" s="34">
        <f t="shared" ref="J2117:J2120" si="1101">ROUNDDOWN($P2117/4*$O2117*10*$N2117/$Q2117*$N2117/400,0)</f>
        <v>16923</v>
      </c>
      <c r="K2117" s="133">
        <v>1000</v>
      </c>
      <c r="L2117" s="34"/>
      <c r="M2117" s="16">
        <f t="shared" si="1065"/>
        <v>2430.2600322697981</v>
      </c>
      <c r="N2117" s="36">
        <v>880</v>
      </c>
      <c r="O2117" s="36">
        <v>1</v>
      </c>
      <c r="P2117" s="2">
        <f>P2116</f>
        <v>2556</v>
      </c>
      <c r="Q2117" s="2" t="s">
        <v>105</v>
      </c>
      <c r="S2117" s="36" t="str">
        <f>S2116</f>
        <v>1868</v>
      </c>
    </row>
    <row r="2118" spans="1:19" x14ac:dyDescent="0.2">
      <c r="A2118" s="8" t="str">
        <f t="shared" si="1074"/>
        <v>40011612</v>
      </c>
      <c r="B2118" s="8">
        <v>4001</v>
      </c>
      <c r="C2118" s="8">
        <v>16</v>
      </c>
      <c r="D2118" s="8" t="s">
        <v>62</v>
      </c>
      <c r="E2118" s="8">
        <v>2</v>
      </c>
      <c r="F2118" s="34">
        <f t="shared" si="1100"/>
        <v>23355</v>
      </c>
      <c r="G2118" s="34">
        <f t="shared" si="1100"/>
        <v>23355</v>
      </c>
      <c r="H2118" s="34">
        <f t="shared" si="1091"/>
        <v>4670</v>
      </c>
      <c r="I2118" s="34">
        <f t="shared" si="1091"/>
        <v>4670</v>
      </c>
      <c r="J2118" s="34">
        <f t="shared" si="1101"/>
        <v>32325</v>
      </c>
      <c r="K2118" s="133">
        <v>1000</v>
      </c>
      <c r="L2118" s="34"/>
      <c r="M2118" s="16">
        <f t="shared" si="1065"/>
        <v>4750.1533457352725</v>
      </c>
      <c r="N2118" s="36">
        <v>860</v>
      </c>
      <c r="O2118" s="36">
        <v>2</v>
      </c>
      <c r="P2118" s="2">
        <f t="shared" ref="P2118:P2120" si="1102">P2117</f>
        <v>2556</v>
      </c>
      <c r="Q2118" s="2" t="s">
        <v>105</v>
      </c>
      <c r="S2118" s="36" t="str">
        <f t="shared" ref="S2118:S2120" si="1103">S2117</f>
        <v>1868</v>
      </c>
    </row>
    <row r="2119" spans="1:19" x14ac:dyDescent="0.2">
      <c r="A2119" s="8" t="str">
        <f t="shared" si="1074"/>
        <v>40011613</v>
      </c>
      <c r="B2119" s="8">
        <v>4001</v>
      </c>
      <c r="C2119" s="8">
        <v>16</v>
      </c>
      <c r="D2119" s="8" t="s">
        <v>62</v>
      </c>
      <c r="E2119" s="8">
        <v>3</v>
      </c>
      <c r="F2119" s="34">
        <f t="shared" si="1100"/>
        <v>35033</v>
      </c>
      <c r="G2119" s="34">
        <f t="shared" si="1100"/>
        <v>35033</v>
      </c>
      <c r="H2119" s="34">
        <f t="shared" si="1091"/>
        <v>4670</v>
      </c>
      <c r="I2119" s="34">
        <f t="shared" si="1091"/>
        <v>4670</v>
      </c>
      <c r="J2119" s="34">
        <f t="shared" si="1101"/>
        <v>46259</v>
      </c>
      <c r="K2119" s="133">
        <v>1000</v>
      </c>
      <c r="L2119" s="34"/>
      <c r="M2119" s="16">
        <f t="shared" si="1065"/>
        <v>6959.6149431370113</v>
      </c>
      <c r="N2119" s="36">
        <v>840</v>
      </c>
      <c r="O2119" s="36">
        <v>3</v>
      </c>
      <c r="P2119" s="2">
        <f t="shared" si="1102"/>
        <v>2556</v>
      </c>
      <c r="Q2119" s="2" t="s">
        <v>105</v>
      </c>
      <c r="S2119" s="36" t="str">
        <f t="shared" si="1103"/>
        <v>1868</v>
      </c>
    </row>
    <row r="2120" spans="1:19" x14ac:dyDescent="0.2">
      <c r="A2120" s="8" t="str">
        <f t="shared" si="1074"/>
        <v>40011614</v>
      </c>
      <c r="B2120" s="8">
        <v>4001</v>
      </c>
      <c r="C2120" s="8">
        <v>16</v>
      </c>
      <c r="D2120" s="8" t="s">
        <v>62</v>
      </c>
      <c r="E2120" s="8">
        <v>4</v>
      </c>
      <c r="F2120" s="34">
        <f t="shared" si="1100"/>
        <v>46710</v>
      </c>
      <c r="G2120" s="34">
        <f t="shared" si="1100"/>
        <v>46710</v>
      </c>
      <c r="H2120" s="34">
        <f t="shared" si="1091"/>
        <v>4670</v>
      </c>
      <c r="I2120" s="34">
        <f t="shared" si="1091"/>
        <v>4670</v>
      </c>
      <c r="J2120" s="34">
        <f t="shared" si="1101"/>
        <v>58777</v>
      </c>
      <c r="K2120" s="133">
        <v>1000</v>
      </c>
      <c r="L2120" s="34"/>
      <c r="M2120" s="16">
        <f t="shared" si="1065"/>
        <v>9058.5162719376949</v>
      </c>
      <c r="N2120" s="36">
        <v>820</v>
      </c>
      <c r="O2120" s="36">
        <v>4</v>
      </c>
      <c r="P2120" s="2">
        <f t="shared" si="1102"/>
        <v>2556</v>
      </c>
      <c r="Q2120" s="2" t="s">
        <v>105</v>
      </c>
      <c r="S2120" s="36" t="str">
        <f t="shared" si="1103"/>
        <v>1868</v>
      </c>
    </row>
    <row r="2121" spans="1:19" x14ac:dyDescent="0.2">
      <c r="A2121" s="8" t="str">
        <f t="shared" si="1074"/>
        <v>40011710</v>
      </c>
      <c r="B2121" s="8">
        <v>4001</v>
      </c>
      <c r="C2121" s="8">
        <v>17</v>
      </c>
      <c r="D2121" s="8" t="s">
        <v>62</v>
      </c>
      <c r="E2121" s="8">
        <v>0</v>
      </c>
      <c r="F2121" s="34">
        <f>ROUNDDOWN($P2121/4*$O2121*10*$N2121/$N2121*$Q2121/400,0)</f>
        <v>6524</v>
      </c>
      <c r="G2121" s="34">
        <f>ROUNDDOWN($P2121/4*$O2121*10*$N2121/$N2121*$Q2121/400,0)</f>
        <v>6524</v>
      </c>
      <c r="H2121" s="34">
        <f t="shared" si="1091"/>
        <v>4860</v>
      </c>
      <c r="I2121" s="34">
        <f t="shared" si="1091"/>
        <v>4860</v>
      </c>
      <c r="J2121" s="34">
        <f>ROUNDDOWN($P2121/4*$O2121*10*$N2121/$Q2121*$N2121/400,0)</f>
        <v>9889</v>
      </c>
      <c r="K2121" s="133">
        <v>1000</v>
      </c>
      <c r="L2121" s="34"/>
      <c r="M2121" s="16">
        <f t="shared" si="1065"/>
        <v>1416.5805882278637</v>
      </c>
      <c r="N2121" s="36">
        <v>900</v>
      </c>
      <c r="O2121" s="36">
        <v>0.5</v>
      </c>
      <c r="P2121" s="47">
        <v>2856</v>
      </c>
      <c r="Q2121" s="2" t="s">
        <v>105</v>
      </c>
      <c r="S2121" s="36" t="s">
        <v>152</v>
      </c>
    </row>
    <row r="2122" spans="1:19" x14ac:dyDescent="0.2">
      <c r="A2122" s="8" t="str">
        <f t="shared" si="1074"/>
        <v>40011711</v>
      </c>
      <c r="B2122" s="8">
        <v>4001</v>
      </c>
      <c r="C2122" s="8">
        <v>17</v>
      </c>
      <c r="D2122" s="8" t="s">
        <v>62</v>
      </c>
      <c r="E2122" s="8">
        <v>1</v>
      </c>
      <c r="F2122" s="34">
        <f t="shared" ref="F2122:G2125" si="1104">ROUNDDOWN($P2122/4*$O2122*10*$N2122/$N2122*$Q2122/400,0)</f>
        <v>13048</v>
      </c>
      <c r="G2122" s="34">
        <f t="shared" si="1104"/>
        <v>13048</v>
      </c>
      <c r="H2122" s="34">
        <f t="shared" si="1091"/>
        <v>4860</v>
      </c>
      <c r="I2122" s="34">
        <f t="shared" si="1091"/>
        <v>4860</v>
      </c>
      <c r="J2122" s="34">
        <f t="shared" ref="J2122:J2125" si="1105">ROUNDDOWN($P2122/4*$O2122*10*$N2122/$Q2122*$N2122/400,0)</f>
        <v>18909</v>
      </c>
      <c r="K2122" s="133">
        <v>1000</v>
      </c>
      <c r="L2122" s="34"/>
      <c r="M2122" s="16">
        <f t="shared" si="1065"/>
        <v>2770.2207409749863</v>
      </c>
      <c r="N2122" s="36">
        <v>880</v>
      </c>
      <c r="O2122" s="36">
        <v>1</v>
      </c>
      <c r="P2122" s="2">
        <f>P2121</f>
        <v>2856</v>
      </c>
      <c r="Q2122" s="2" t="s">
        <v>105</v>
      </c>
      <c r="S2122" s="36" t="str">
        <f>S2121</f>
        <v>1944</v>
      </c>
    </row>
    <row r="2123" spans="1:19" x14ac:dyDescent="0.2">
      <c r="A2123" s="8" t="str">
        <f t="shared" si="1074"/>
        <v>40011712</v>
      </c>
      <c r="B2123" s="8">
        <v>4001</v>
      </c>
      <c r="C2123" s="8">
        <v>17</v>
      </c>
      <c r="D2123" s="8" t="s">
        <v>62</v>
      </c>
      <c r="E2123" s="8">
        <v>2</v>
      </c>
      <c r="F2123" s="34">
        <f t="shared" si="1104"/>
        <v>26096</v>
      </c>
      <c r="G2123" s="34">
        <f t="shared" si="1104"/>
        <v>26096</v>
      </c>
      <c r="H2123" s="34">
        <f t="shared" si="1091"/>
        <v>4860</v>
      </c>
      <c r="I2123" s="34">
        <f t="shared" si="1091"/>
        <v>4860</v>
      </c>
      <c r="J2123" s="34">
        <f t="shared" si="1105"/>
        <v>36120</v>
      </c>
      <c r="K2123" s="133">
        <v>1000</v>
      </c>
      <c r="L2123" s="34"/>
      <c r="M2123" s="16">
        <f t="shared" si="1065"/>
        <v>5414.6322333174212</v>
      </c>
      <c r="N2123" s="36">
        <v>860</v>
      </c>
      <c r="O2123" s="36">
        <v>2</v>
      </c>
      <c r="P2123" s="2">
        <f t="shared" ref="P2123:P2125" si="1106">P2122</f>
        <v>2856</v>
      </c>
      <c r="Q2123" s="2" t="s">
        <v>105</v>
      </c>
      <c r="S2123" s="36" t="str">
        <f t="shared" ref="S2123:S2125" si="1107">S2122</f>
        <v>1944</v>
      </c>
    </row>
    <row r="2124" spans="1:19" x14ac:dyDescent="0.2">
      <c r="A2124" s="8" t="str">
        <f t="shared" si="1074"/>
        <v>40011713</v>
      </c>
      <c r="B2124" s="8">
        <v>4001</v>
      </c>
      <c r="C2124" s="8">
        <v>17</v>
      </c>
      <c r="D2124" s="8" t="s">
        <v>62</v>
      </c>
      <c r="E2124" s="8">
        <v>3</v>
      </c>
      <c r="F2124" s="34">
        <f t="shared" si="1104"/>
        <v>39145</v>
      </c>
      <c r="G2124" s="34">
        <f t="shared" si="1104"/>
        <v>39145</v>
      </c>
      <c r="H2124" s="34">
        <f t="shared" si="1091"/>
        <v>4860</v>
      </c>
      <c r="I2124" s="34">
        <f t="shared" si="1091"/>
        <v>4860</v>
      </c>
      <c r="J2124" s="34">
        <f t="shared" si="1105"/>
        <v>51689</v>
      </c>
      <c r="K2124" s="133">
        <v>1000</v>
      </c>
      <c r="L2124" s="34"/>
      <c r="M2124" s="16">
        <f t="shared" si="1065"/>
        <v>7933.1439611997457</v>
      </c>
      <c r="N2124" s="36">
        <v>840</v>
      </c>
      <c r="O2124" s="36">
        <v>3</v>
      </c>
      <c r="P2124" s="2">
        <f t="shared" si="1106"/>
        <v>2856</v>
      </c>
      <c r="Q2124" s="2" t="s">
        <v>105</v>
      </c>
      <c r="S2124" s="36" t="str">
        <f t="shared" si="1107"/>
        <v>1944</v>
      </c>
    </row>
    <row r="2125" spans="1:19" x14ac:dyDescent="0.2">
      <c r="A2125" s="8" t="str">
        <f t="shared" si="1074"/>
        <v>40011714</v>
      </c>
      <c r="B2125" s="8">
        <v>4001</v>
      </c>
      <c r="C2125" s="8">
        <v>17</v>
      </c>
      <c r="D2125" s="8" t="s">
        <v>62</v>
      </c>
      <c r="E2125" s="8">
        <v>4</v>
      </c>
      <c r="F2125" s="34">
        <f t="shared" si="1104"/>
        <v>52193</v>
      </c>
      <c r="G2125" s="34">
        <f t="shared" si="1104"/>
        <v>52193</v>
      </c>
      <c r="H2125" s="34">
        <f t="shared" si="1091"/>
        <v>4860</v>
      </c>
      <c r="I2125" s="34">
        <f t="shared" si="1091"/>
        <v>4860</v>
      </c>
      <c r="J2125" s="34">
        <f t="shared" si="1105"/>
        <v>65676</v>
      </c>
      <c r="K2125" s="133">
        <v>1000</v>
      </c>
      <c r="L2125" s="34"/>
      <c r="M2125" s="16">
        <f t="shared" si="1065"/>
        <v>10325.654728135742</v>
      </c>
      <c r="N2125" s="36">
        <v>820</v>
      </c>
      <c r="O2125" s="36">
        <v>4</v>
      </c>
      <c r="P2125" s="2">
        <f t="shared" si="1106"/>
        <v>2856</v>
      </c>
      <c r="Q2125" s="2" t="s">
        <v>105</v>
      </c>
      <c r="S2125" s="36" t="str">
        <f t="shared" si="1107"/>
        <v>1944</v>
      </c>
    </row>
    <row r="2126" spans="1:19" x14ac:dyDescent="0.2">
      <c r="A2126" s="8" t="str">
        <f t="shared" si="1074"/>
        <v>40011810</v>
      </c>
      <c r="B2126" s="8">
        <v>4001</v>
      </c>
      <c r="C2126" s="8">
        <v>18</v>
      </c>
      <c r="D2126" s="8" t="s">
        <v>62</v>
      </c>
      <c r="E2126" s="8">
        <v>0</v>
      </c>
      <c r="F2126" s="34">
        <f>ROUNDDOWN($P2126/4*$O2126*10*$N2126/$N2126*$Q2126/400,0)</f>
        <v>7456</v>
      </c>
      <c r="G2126" s="34">
        <f>ROUNDDOWN($P2126/4*$O2126*10*$N2126/$N2126*$Q2126/400,0)</f>
        <v>7456</v>
      </c>
      <c r="H2126" s="34">
        <f t="shared" si="1091"/>
        <v>5300</v>
      </c>
      <c r="I2126" s="34">
        <f t="shared" si="1091"/>
        <v>5300</v>
      </c>
      <c r="J2126" s="34">
        <f>ROUNDDOWN($P2126/4*$O2126*10*$N2126/$Q2126*$N2126/400,0)</f>
        <v>11302</v>
      </c>
      <c r="K2126" s="133">
        <v>1000</v>
      </c>
      <c r="L2126" s="34"/>
      <c r="M2126" s="16">
        <f t="shared" si="1065"/>
        <v>1690.6687407768561</v>
      </c>
      <c r="N2126" s="36">
        <v>900</v>
      </c>
      <c r="O2126" s="36">
        <v>0.5</v>
      </c>
      <c r="P2126" s="47">
        <v>3264</v>
      </c>
      <c r="Q2126" s="2" t="s">
        <v>105</v>
      </c>
      <c r="S2126" s="36" t="s">
        <v>153</v>
      </c>
    </row>
    <row r="2127" spans="1:19" x14ac:dyDescent="0.2">
      <c r="A2127" s="8" t="str">
        <f t="shared" si="1074"/>
        <v>40011811</v>
      </c>
      <c r="B2127" s="8">
        <v>4001</v>
      </c>
      <c r="C2127" s="8">
        <v>18</v>
      </c>
      <c r="D2127" s="8" t="s">
        <v>62</v>
      </c>
      <c r="E2127" s="8">
        <v>1</v>
      </c>
      <c r="F2127" s="34">
        <f t="shared" ref="F2127:G2130" si="1108">ROUNDDOWN($P2127/4*$O2127*10*$N2127/$N2127*$Q2127/400,0)</f>
        <v>14912</v>
      </c>
      <c r="G2127" s="34">
        <f t="shared" si="1108"/>
        <v>14912</v>
      </c>
      <c r="H2127" s="34">
        <f t="shared" si="1091"/>
        <v>5300</v>
      </c>
      <c r="I2127" s="34">
        <f t="shared" si="1091"/>
        <v>5300</v>
      </c>
      <c r="J2127" s="34">
        <f t="shared" ref="J2127:J2130" si="1109">ROUNDDOWN($P2127/4*$O2127*10*$N2127/$Q2127*$N2127/400,0)</f>
        <v>21611</v>
      </c>
      <c r="K2127" s="133">
        <v>1000</v>
      </c>
      <c r="L2127" s="34"/>
      <c r="M2127" s="16">
        <f t="shared" si="1065"/>
        <v>3306.2318172566179</v>
      </c>
      <c r="N2127" s="36">
        <v>880</v>
      </c>
      <c r="O2127" s="36">
        <v>1</v>
      </c>
      <c r="P2127" s="2">
        <f>P2126</f>
        <v>3264</v>
      </c>
      <c r="Q2127" s="2" t="s">
        <v>105</v>
      </c>
      <c r="S2127" s="36" t="str">
        <f>S2126</f>
        <v>2120</v>
      </c>
    </row>
    <row r="2128" spans="1:19" x14ac:dyDescent="0.2">
      <c r="A2128" s="8" t="str">
        <f t="shared" si="1074"/>
        <v>40011812</v>
      </c>
      <c r="B2128" s="8">
        <v>4001</v>
      </c>
      <c r="C2128" s="8">
        <v>18</v>
      </c>
      <c r="D2128" s="8" t="s">
        <v>62</v>
      </c>
      <c r="E2128" s="8">
        <v>2</v>
      </c>
      <c r="F2128" s="34">
        <f t="shared" si="1108"/>
        <v>29824</v>
      </c>
      <c r="G2128" s="34">
        <f t="shared" si="1108"/>
        <v>29824</v>
      </c>
      <c r="H2128" s="34">
        <f t="shared" si="1091"/>
        <v>5300</v>
      </c>
      <c r="I2128" s="34">
        <f t="shared" si="1091"/>
        <v>5300</v>
      </c>
      <c r="J2128" s="34">
        <f t="shared" si="1109"/>
        <v>41280</v>
      </c>
      <c r="K2128" s="133">
        <v>1000</v>
      </c>
      <c r="L2128" s="34"/>
      <c r="M2128" s="16">
        <f t="shared" si="1065"/>
        <v>6462.2047091066379</v>
      </c>
      <c r="N2128" s="36">
        <v>860</v>
      </c>
      <c r="O2128" s="36">
        <v>2</v>
      </c>
      <c r="P2128" s="2">
        <f t="shared" ref="P2128:P2130" si="1110">P2127</f>
        <v>3264</v>
      </c>
      <c r="Q2128" s="2" t="s">
        <v>105</v>
      </c>
      <c r="S2128" s="36" t="str">
        <f t="shared" ref="S2128:S2130" si="1111">S2127</f>
        <v>2120</v>
      </c>
    </row>
    <row r="2129" spans="1:19" x14ac:dyDescent="0.2">
      <c r="A2129" s="8" t="str">
        <f t="shared" si="1074"/>
        <v>40011813</v>
      </c>
      <c r="B2129" s="8">
        <v>4001</v>
      </c>
      <c r="C2129" s="8">
        <v>18</v>
      </c>
      <c r="D2129" s="8" t="s">
        <v>62</v>
      </c>
      <c r="E2129" s="8">
        <v>3</v>
      </c>
      <c r="F2129" s="34">
        <f t="shared" si="1108"/>
        <v>44737</v>
      </c>
      <c r="G2129" s="34">
        <f t="shared" si="1108"/>
        <v>44737</v>
      </c>
      <c r="H2129" s="34">
        <f t="shared" si="1091"/>
        <v>5300</v>
      </c>
      <c r="I2129" s="34">
        <f t="shared" si="1091"/>
        <v>5300</v>
      </c>
      <c r="J2129" s="34">
        <f t="shared" si="1109"/>
        <v>59073</v>
      </c>
      <c r="K2129" s="133">
        <v>1000</v>
      </c>
      <c r="L2129" s="34"/>
      <c r="M2129" s="16">
        <f t="shared" si="1065"/>
        <v>9467.9479999585983</v>
      </c>
      <c r="N2129" s="36">
        <v>840</v>
      </c>
      <c r="O2129" s="36">
        <v>3</v>
      </c>
      <c r="P2129" s="2">
        <f t="shared" si="1110"/>
        <v>3264</v>
      </c>
      <c r="Q2129" s="2" t="s">
        <v>105</v>
      </c>
      <c r="S2129" s="36" t="str">
        <f t="shared" si="1111"/>
        <v>2120</v>
      </c>
    </row>
    <row r="2130" spans="1:19" x14ac:dyDescent="0.2">
      <c r="A2130" s="8" t="str">
        <f t="shared" si="1074"/>
        <v>40011814</v>
      </c>
      <c r="B2130" s="8">
        <v>4001</v>
      </c>
      <c r="C2130" s="8">
        <v>18</v>
      </c>
      <c r="D2130" s="8" t="s">
        <v>62</v>
      </c>
      <c r="E2130" s="8">
        <v>4</v>
      </c>
      <c r="F2130" s="34">
        <f t="shared" si="1108"/>
        <v>59649</v>
      </c>
      <c r="G2130" s="34">
        <f t="shared" si="1108"/>
        <v>59649</v>
      </c>
      <c r="H2130" s="34">
        <f t="shared" si="1091"/>
        <v>5300</v>
      </c>
      <c r="I2130" s="34">
        <f t="shared" si="1091"/>
        <v>5300</v>
      </c>
      <c r="J2130" s="34">
        <f t="shared" si="1109"/>
        <v>75058</v>
      </c>
      <c r="K2130" s="133">
        <v>1000</v>
      </c>
      <c r="L2130" s="34"/>
      <c r="M2130" s="16">
        <f t="shared" si="1065"/>
        <v>12323.327759036518</v>
      </c>
      <c r="N2130" s="36">
        <v>820</v>
      </c>
      <c r="O2130" s="36">
        <v>4</v>
      </c>
      <c r="P2130" s="2">
        <f t="shared" si="1110"/>
        <v>3264</v>
      </c>
      <c r="Q2130" s="2" t="s">
        <v>105</v>
      </c>
      <c r="S2130" s="36" t="str">
        <f t="shared" si="1111"/>
        <v>2120</v>
      </c>
    </row>
    <row r="2131" spans="1:19" x14ac:dyDescent="0.2">
      <c r="A2131" s="8" t="str">
        <f t="shared" si="1074"/>
        <v>40011910</v>
      </c>
      <c r="B2131" s="8">
        <v>4001</v>
      </c>
      <c r="C2131" s="8">
        <v>19</v>
      </c>
      <c r="D2131" s="8" t="s">
        <v>62</v>
      </c>
      <c r="E2131" s="8">
        <v>0</v>
      </c>
      <c r="F2131" s="34">
        <f>ROUNDDOWN($P2131/4*$O2131*10*$N2131/$N2131*$Q2131/400,0)</f>
        <v>8114</v>
      </c>
      <c r="G2131" s="34">
        <f>ROUNDDOWN($P2131/4*$O2131*10*$N2131/$N2131*$Q2131/400,0)</f>
        <v>8114</v>
      </c>
      <c r="H2131" s="34">
        <f t="shared" si="1091"/>
        <v>5530</v>
      </c>
      <c r="I2131" s="34">
        <f t="shared" si="1091"/>
        <v>5530</v>
      </c>
      <c r="J2131" s="34">
        <f>ROUNDDOWN($P2131/4*$O2131*10*$N2131/$Q2131*$N2131/400,0)</f>
        <v>12299</v>
      </c>
      <c r="K2131" s="133">
        <v>1000</v>
      </c>
      <c r="L2131" s="34"/>
      <c r="M2131" s="16">
        <f t="shared" si="1065"/>
        <v>1879.3382589922444</v>
      </c>
      <c r="N2131" s="36">
        <v>900</v>
      </c>
      <c r="O2131" s="36">
        <v>0.5</v>
      </c>
      <c r="P2131" s="47">
        <v>3552</v>
      </c>
      <c r="Q2131" s="2" t="s">
        <v>105</v>
      </c>
      <c r="S2131" s="36" t="s">
        <v>154</v>
      </c>
    </row>
    <row r="2132" spans="1:19" x14ac:dyDescent="0.2">
      <c r="A2132" s="8" t="str">
        <f t="shared" si="1074"/>
        <v>40011911</v>
      </c>
      <c r="B2132" s="8">
        <v>4001</v>
      </c>
      <c r="C2132" s="8">
        <v>19</v>
      </c>
      <c r="D2132" s="8" t="s">
        <v>62</v>
      </c>
      <c r="E2132" s="8">
        <v>1</v>
      </c>
      <c r="F2132" s="34">
        <f t="shared" ref="F2132:G2135" si="1112">ROUNDDOWN($P2132/4*$O2132*10*$N2132/$N2132*$Q2132/400,0)</f>
        <v>16228</v>
      </c>
      <c r="G2132" s="34">
        <f t="shared" si="1112"/>
        <v>16228</v>
      </c>
      <c r="H2132" s="34">
        <f t="shared" si="1091"/>
        <v>5530</v>
      </c>
      <c r="I2132" s="34">
        <f t="shared" si="1091"/>
        <v>5530</v>
      </c>
      <c r="J2132" s="34">
        <f t="shared" ref="J2132:J2135" si="1113">ROUNDDOWN($P2132/4*$O2132*10*$N2132/$Q2132*$N2132/400,0)</f>
        <v>23518</v>
      </c>
      <c r="K2132" s="133">
        <v>1000</v>
      </c>
      <c r="L2132" s="34"/>
      <c r="M2132" s="16">
        <f t="shared" si="1065"/>
        <v>3675.236112247484</v>
      </c>
      <c r="N2132" s="36">
        <v>880</v>
      </c>
      <c r="O2132" s="36">
        <v>1</v>
      </c>
      <c r="P2132" s="2">
        <f>P2131</f>
        <v>3552</v>
      </c>
      <c r="Q2132" s="2" t="s">
        <v>105</v>
      </c>
      <c r="S2132" s="36" t="str">
        <f>S2131</f>
        <v>2212</v>
      </c>
    </row>
    <row r="2133" spans="1:19" x14ac:dyDescent="0.2">
      <c r="A2133" s="8" t="str">
        <f t="shared" si="1074"/>
        <v>40011912</v>
      </c>
      <c r="B2133" s="8">
        <v>4001</v>
      </c>
      <c r="C2133" s="8">
        <v>19</v>
      </c>
      <c r="D2133" s="8" t="s">
        <v>62</v>
      </c>
      <c r="E2133" s="8">
        <v>2</v>
      </c>
      <c r="F2133" s="34">
        <f t="shared" si="1112"/>
        <v>32456</v>
      </c>
      <c r="G2133" s="34">
        <f t="shared" si="1112"/>
        <v>32456</v>
      </c>
      <c r="H2133" s="34">
        <f t="shared" si="1091"/>
        <v>5530</v>
      </c>
      <c r="I2133" s="34">
        <f t="shared" si="1091"/>
        <v>5530</v>
      </c>
      <c r="J2133" s="34">
        <f t="shared" si="1113"/>
        <v>44922</v>
      </c>
      <c r="K2133" s="133">
        <v>1000</v>
      </c>
      <c r="L2133" s="34"/>
      <c r="M2133" s="16">
        <f t="shared" si="1065"/>
        <v>7183.3924148235155</v>
      </c>
      <c r="N2133" s="36">
        <v>860</v>
      </c>
      <c r="O2133" s="36">
        <v>2</v>
      </c>
      <c r="P2133" s="2">
        <f t="shared" ref="P2133:P2135" si="1114">P2132</f>
        <v>3552</v>
      </c>
      <c r="Q2133" s="2" t="s">
        <v>105</v>
      </c>
      <c r="S2133" s="36" t="str">
        <f t="shared" ref="S2133:S2135" si="1115">S2132</f>
        <v>2212</v>
      </c>
    </row>
    <row r="2134" spans="1:19" x14ac:dyDescent="0.2">
      <c r="A2134" s="8" t="str">
        <f t="shared" si="1074"/>
        <v>40011913</v>
      </c>
      <c r="B2134" s="8">
        <v>4001</v>
      </c>
      <c r="C2134" s="8">
        <v>19</v>
      </c>
      <c r="D2134" s="8" t="s">
        <v>62</v>
      </c>
      <c r="E2134" s="8">
        <v>3</v>
      </c>
      <c r="F2134" s="34">
        <f t="shared" si="1112"/>
        <v>48684</v>
      </c>
      <c r="G2134" s="34">
        <f t="shared" si="1112"/>
        <v>48684</v>
      </c>
      <c r="H2134" s="34">
        <f t="shared" si="1091"/>
        <v>5530</v>
      </c>
      <c r="I2134" s="34">
        <f t="shared" si="1091"/>
        <v>5530</v>
      </c>
      <c r="J2134" s="34">
        <f t="shared" si="1113"/>
        <v>64285</v>
      </c>
      <c r="K2134" s="133">
        <v>1000</v>
      </c>
      <c r="L2134" s="34"/>
      <c r="M2134" s="16">
        <f t="shared" si="1065"/>
        <v>10524.476522301717</v>
      </c>
      <c r="N2134" s="36">
        <v>840</v>
      </c>
      <c r="O2134" s="36">
        <v>3</v>
      </c>
      <c r="P2134" s="2">
        <f t="shared" si="1114"/>
        <v>3552</v>
      </c>
      <c r="Q2134" s="2" t="s">
        <v>105</v>
      </c>
      <c r="S2134" s="36" t="str">
        <f t="shared" si="1115"/>
        <v>2212</v>
      </c>
    </row>
    <row r="2135" spans="1:19" x14ac:dyDescent="0.2">
      <c r="A2135" s="8" t="str">
        <f t="shared" si="1074"/>
        <v>40011914</v>
      </c>
      <c r="B2135" s="8">
        <v>4001</v>
      </c>
      <c r="C2135" s="8">
        <v>19</v>
      </c>
      <c r="D2135" s="8" t="s">
        <v>62</v>
      </c>
      <c r="E2135" s="8">
        <v>4</v>
      </c>
      <c r="F2135" s="34">
        <f t="shared" si="1112"/>
        <v>64912</v>
      </c>
      <c r="G2135" s="34">
        <f t="shared" si="1112"/>
        <v>64912</v>
      </c>
      <c r="H2135" s="34">
        <f t="shared" si="1091"/>
        <v>5530</v>
      </c>
      <c r="I2135" s="34">
        <f t="shared" si="1091"/>
        <v>5530</v>
      </c>
      <c r="J2135" s="34">
        <f t="shared" si="1113"/>
        <v>81681</v>
      </c>
      <c r="K2135" s="133">
        <v>1000</v>
      </c>
      <c r="L2135" s="34"/>
      <c r="M2135" s="16">
        <f t="shared" si="1065"/>
        <v>13698.580646629929</v>
      </c>
      <c r="N2135" s="36">
        <v>820</v>
      </c>
      <c r="O2135" s="36">
        <v>4</v>
      </c>
      <c r="P2135" s="2">
        <f t="shared" si="1114"/>
        <v>3552</v>
      </c>
      <c r="Q2135" s="2" t="s">
        <v>105</v>
      </c>
      <c r="S2135" s="36" t="str">
        <f t="shared" si="1115"/>
        <v>2212</v>
      </c>
    </row>
    <row r="2136" spans="1:19" x14ac:dyDescent="0.2">
      <c r="A2136" s="8" t="str">
        <f t="shared" si="1074"/>
        <v>40012010</v>
      </c>
      <c r="B2136" s="8">
        <v>4001</v>
      </c>
      <c r="C2136" s="8">
        <v>20</v>
      </c>
      <c r="D2136" s="8" t="s">
        <v>62</v>
      </c>
      <c r="E2136" s="8">
        <v>0</v>
      </c>
      <c r="F2136" s="34">
        <f>ROUNDDOWN($P2136/4*$O2136*10*$N2136/$N2136*$Q2136/400,0)</f>
        <v>9238</v>
      </c>
      <c r="G2136" s="34">
        <f>ROUNDDOWN($P2136/4*$O2136*10*$N2136/$N2136*$Q2136/400,0)</f>
        <v>9238</v>
      </c>
      <c r="H2136" s="34">
        <f t="shared" si="1091"/>
        <v>5890</v>
      </c>
      <c r="I2136" s="34">
        <f t="shared" si="1091"/>
        <v>5890</v>
      </c>
      <c r="J2136" s="34">
        <f>ROUNDDOWN($P2136/4*$O2136*10*$N2136/$Q2136*$N2136/400,0)</f>
        <v>14003</v>
      </c>
      <c r="K2136" s="133">
        <v>1000</v>
      </c>
      <c r="L2136" s="34"/>
      <c r="M2136" s="16">
        <f t="shared" si="1065"/>
        <v>2208.2445016220468</v>
      </c>
      <c r="N2136" s="36">
        <v>900</v>
      </c>
      <c r="O2136" s="36">
        <v>0.5</v>
      </c>
      <c r="P2136" s="47">
        <v>4044</v>
      </c>
      <c r="Q2136" s="2" t="s">
        <v>105</v>
      </c>
      <c r="S2136" s="36" t="s">
        <v>155</v>
      </c>
    </row>
    <row r="2137" spans="1:19" x14ac:dyDescent="0.2">
      <c r="A2137" s="8" t="str">
        <f t="shared" si="1074"/>
        <v>40012011</v>
      </c>
      <c r="B2137" s="8">
        <v>4001</v>
      </c>
      <c r="C2137" s="8">
        <v>20</v>
      </c>
      <c r="D2137" s="8" t="s">
        <v>62</v>
      </c>
      <c r="E2137" s="8">
        <v>1</v>
      </c>
      <c r="F2137" s="34">
        <f t="shared" ref="F2137:G2140" si="1116">ROUNDDOWN($P2137/4*$O2137*10*$N2137/$N2137*$Q2137/400,0)</f>
        <v>18476</v>
      </c>
      <c r="G2137" s="34">
        <f t="shared" si="1116"/>
        <v>18476</v>
      </c>
      <c r="H2137" s="34">
        <f t="shared" si="1091"/>
        <v>5890</v>
      </c>
      <c r="I2137" s="34">
        <f t="shared" si="1091"/>
        <v>5890</v>
      </c>
      <c r="J2137" s="34">
        <f t="shared" ref="J2137:J2140" si="1117">ROUNDDOWN($P2137/4*$O2137*10*$N2137/$Q2137*$N2137/400,0)</f>
        <v>26775</v>
      </c>
      <c r="K2137" s="133">
        <v>1000</v>
      </c>
      <c r="L2137" s="34"/>
      <c r="M2137" s="16">
        <f t="shared" si="1065"/>
        <v>4318.3352058866394</v>
      </c>
      <c r="N2137" s="36">
        <v>880</v>
      </c>
      <c r="O2137" s="36">
        <v>1</v>
      </c>
      <c r="P2137" s="2">
        <f>P2136</f>
        <v>4044</v>
      </c>
      <c r="Q2137" s="2" t="s">
        <v>105</v>
      </c>
      <c r="S2137" s="36" t="str">
        <f>S2136</f>
        <v>2356</v>
      </c>
    </row>
    <row r="2138" spans="1:19" x14ac:dyDescent="0.2">
      <c r="A2138" s="8" t="str">
        <f t="shared" si="1074"/>
        <v>40012012</v>
      </c>
      <c r="B2138" s="8">
        <v>4001</v>
      </c>
      <c r="C2138" s="8">
        <v>20</v>
      </c>
      <c r="D2138" s="8" t="s">
        <v>62</v>
      </c>
      <c r="E2138" s="8">
        <v>2</v>
      </c>
      <c r="F2138" s="34">
        <f t="shared" si="1116"/>
        <v>36952</v>
      </c>
      <c r="G2138" s="34">
        <f t="shared" si="1116"/>
        <v>36952</v>
      </c>
      <c r="H2138" s="34">
        <f t="shared" si="1091"/>
        <v>5890</v>
      </c>
      <c r="I2138" s="34">
        <f t="shared" si="1091"/>
        <v>5890</v>
      </c>
      <c r="J2138" s="34">
        <f t="shared" si="1117"/>
        <v>51144</v>
      </c>
      <c r="K2138" s="133">
        <v>1000</v>
      </c>
      <c r="L2138" s="34"/>
      <c r="M2138" s="16">
        <f t="shared" si="1065"/>
        <v>8440.4179946995519</v>
      </c>
      <c r="N2138" s="36">
        <v>860</v>
      </c>
      <c r="O2138" s="36">
        <v>2</v>
      </c>
      <c r="P2138" s="2">
        <f t="shared" ref="P2138:P2140" si="1118">P2137</f>
        <v>4044</v>
      </c>
      <c r="Q2138" s="2" t="s">
        <v>105</v>
      </c>
      <c r="S2138" s="36" t="str">
        <f t="shared" ref="S2138:S2140" si="1119">S2137</f>
        <v>2356</v>
      </c>
    </row>
    <row r="2139" spans="1:19" x14ac:dyDescent="0.2">
      <c r="A2139" s="8" t="str">
        <f t="shared" si="1074"/>
        <v>40012013</v>
      </c>
      <c r="B2139" s="8">
        <v>4001</v>
      </c>
      <c r="C2139" s="8">
        <v>20</v>
      </c>
      <c r="D2139" s="8" t="s">
        <v>62</v>
      </c>
      <c r="E2139" s="8">
        <v>3</v>
      </c>
      <c r="F2139" s="34">
        <f t="shared" si="1116"/>
        <v>55428</v>
      </c>
      <c r="G2139" s="34">
        <f t="shared" si="1116"/>
        <v>55428</v>
      </c>
      <c r="H2139" s="34">
        <f t="shared" si="1091"/>
        <v>5890</v>
      </c>
      <c r="I2139" s="34">
        <f t="shared" si="1091"/>
        <v>5890</v>
      </c>
      <c r="J2139" s="34">
        <f t="shared" si="1117"/>
        <v>73190</v>
      </c>
      <c r="K2139" s="133">
        <v>1000</v>
      </c>
      <c r="L2139" s="34"/>
      <c r="M2139" s="16">
        <f t="shared" si="1065"/>
        <v>12366.252563437316</v>
      </c>
      <c r="N2139" s="36">
        <v>840</v>
      </c>
      <c r="O2139" s="36">
        <v>3</v>
      </c>
      <c r="P2139" s="2">
        <f t="shared" si="1118"/>
        <v>4044</v>
      </c>
      <c r="Q2139" s="2" t="s">
        <v>105</v>
      </c>
      <c r="S2139" s="36" t="str">
        <f t="shared" si="1119"/>
        <v>2356</v>
      </c>
    </row>
    <row r="2140" spans="1:19" x14ac:dyDescent="0.2">
      <c r="A2140" s="8" t="str">
        <f t="shared" si="1074"/>
        <v>40012014</v>
      </c>
      <c r="B2140" s="8">
        <v>4001</v>
      </c>
      <c r="C2140" s="8">
        <v>20</v>
      </c>
      <c r="D2140" s="8" t="s">
        <v>62</v>
      </c>
      <c r="E2140" s="8">
        <v>4</v>
      </c>
      <c r="F2140" s="34">
        <f t="shared" si="1116"/>
        <v>73904</v>
      </c>
      <c r="G2140" s="34">
        <f t="shared" si="1116"/>
        <v>73904</v>
      </c>
      <c r="H2140" s="34">
        <f t="shared" si="1091"/>
        <v>5890</v>
      </c>
      <c r="I2140" s="34">
        <f t="shared" si="1091"/>
        <v>5890</v>
      </c>
      <c r="J2140" s="34">
        <f t="shared" si="1117"/>
        <v>92995</v>
      </c>
      <c r="K2140" s="133">
        <v>1000</v>
      </c>
      <c r="L2140" s="34"/>
      <c r="M2140" s="16">
        <f t="shared" ref="M2140:M2203" si="1120">(F2140*J2140*((H2140+I2140)/2)/1000)^(1/2)/10*0.8</f>
        <v>16095.756977728013</v>
      </c>
      <c r="N2140" s="36">
        <v>820</v>
      </c>
      <c r="O2140" s="36">
        <v>4</v>
      </c>
      <c r="P2140" s="2">
        <f t="shared" si="1118"/>
        <v>4044</v>
      </c>
      <c r="Q2140" s="2" t="s">
        <v>105</v>
      </c>
      <c r="S2140" s="36" t="str">
        <f t="shared" si="1119"/>
        <v>2356</v>
      </c>
    </row>
    <row r="2141" spans="1:19" x14ac:dyDescent="0.2">
      <c r="A2141" s="8" t="str">
        <f t="shared" si="1074"/>
        <v>40012110</v>
      </c>
      <c r="B2141" s="8">
        <v>4001</v>
      </c>
      <c r="C2141" s="8">
        <v>21</v>
      </c>
      <c r="D2141" s="8" t="s">
        <v>62</v>
      </c>
      <c r="E2141" s="8">
        <v>0</v>
      </c>
      <c r="F2141" s="34">
        <f>ROUNDDOWN($P2141/4*$O2141*10*$N2141/$N2141*$Q2141/400,0)</f>
        <v>10224</v>
      </c>
      <c r="G2141" s="34">
        <f>ROUNDDOWN($P2141/4*$O2141*10*$N2141/$N2141*$Q2141/400,0)</f>
        <v>10224</v>
      </c>
      <c r="H2141" s="34">
        <f t="shared" si="1091"/>
        <v>6010</v>
      </c>
      <c r="I2141" s="34">
        <f t="shared" si="1091"/>
        <v>6010</v>
      </c>
      <c r="J2141" s="34">
        <f>ROUNDDOWN($P2141/4*$O2141*10*$N2141/$Q2141*$N2141/400,0)</f>
        <v>15499</v>
      </c>
      <c r="K2141" s="133">
        <v>1000</v>
      </c>
      <c r="L2141" s="34"/>
      <c r="M2141" s="16">
        <f t="shared" si="1120"/>
        <v>2468.8203158723404</v>
      </c>
      <c r="N2141" s="36">
        <v>900</v>
      </c>
      <c r="O2141" s="36">
        <v>0.5</v>
      </c>
      <c r="P2141" s="47">
        <v>4476</v>
      </c>
      <c r="Q2141" s="2" t="s">
        <v>105</v>
      </c>
      <c r="S2141" s="36" t="s">
        <v>156</v>
      </c>
    </row>
    <row r="2142" spans="1:19" x14ac:dyDescent="0.2">
      <c r="A2142" s="8" t="str">
        <f t="shared" si="1074"/>
        <v>40012111</v>
      </c>
      <c r="B2142" s="8">
        <v>4001</v>
      </c>
      <c r="C2142" s="8">
        <v>21</v>
      </c>
      <c r="D2142" s="8" t="s">
        <v>62</v>
      </c>
      <c r="E2142" s="8">
        <v>1</v>
      </c>
      <c r="F2142" s="34">
        <f t="shared" ref="F2142:G2145" si="1121">ROUNDDOWN($P2142/4*$O2142*10*$N2142/$N2142*$Q2142/400,0)</f>
        <v>20449</v>
      </c>
      <c r="G2142" s="34">
        <f t="shared" si="1121"/>
        <v>20449</v>
      </c>
      <c r="H2142" s="34">
        <f t="shared" si="1091"/>
        <v>6010</v>
      </c>
      <c r="I2142" s="34">
        <f t="shared" si="1091"/>
        <v>6010</v>
      </c>
      <c r="J2142" s="34">
        <f t="shared" ref="J2142:J2145" si="1122">ROUNDDOWN($P2142/4*$O2142*10*$N2142/$Q2142*$N2142/400,0)</f>
        <v>29635</v>
      </c>
      <c r="K2142" s="133">
        <v>1000</v>
      </c>
      <c r="L2142" s="34"/>
      <c r="M2142" s="16">
        <f t="shared" si="1120"/>
        <v>4827.9829336235225</v>
      </c>
      <c r="N2142" s="36">
        <v>880</v>
      </c>
      <c r="O2142" s="36">
        <v>1</v>
      </c>
      <c r="P2142" s="2">
        <f>P2141</f>
        <v>4476</v>
      </c>
      <c r="Q2142" s="2" t="s">
        <v>105</v>
      </c>
      <c r="S2142" s="36" t="str">
        <f>S2141</f>
        <v>2404</v>
      </c>
    </row>
    <row r="2143" spans="1:19" x14ac:dyDescent="0.2">
      <c r="A2143" s="8" t="str">
        <f t="shared" si="1074"/>
        <v>40012112</v>
      </c>
      <c r="B2143" s="8">
        <v>4001</v>
      </c>
      <c r="C2143" s="8">
        <v>21</v>
      </c>
      <c r="D2143" s="8" t="s">
        <v>62</v>
      </c>
      <c r="E2143" s="8">
        <v>2</v>
      </c>
      <c r="F2143" s="34">
        <f t="shared" si="1121"/>
        <v>40899</v>
      </c>
      <c r="G2143" s="34">
        <f t="shared" si="1121"/>
        <v>40899</v>
      </c>
      <c r="H2143" s="34">
        <f t="shared" si="1091"/>
        <v>6010</v>
      </c>
      <c r="I2143" s="34">
        <f t="shared" si="1091"/>
        <v>6010</v>
      </c>
      <c r="J2143" s="34">
        <f t="shared" si="1122"/>
        <v>56608</v>
      </c>
      <c r="K2143" s="133">
        <v>1000</v>
      </c>
      <c r="L2143" s="34"/>
      <c r="M2143" s="16">
        <f t="shared" si="1120"/>
        <v>9436.7505112028903</v>
      </c>
      <c r="N2143" s="36">
        <v>860</v>
      </c>
      <c r="O2143" s="36">
        <v>2</v>
      </c>
      <c r="P2143" s="2">
        <f t="shared" ref="P2143:P2145" si="1123">P2142</f>
        <v>4476</v>
      </c>
      <c r="Q2143" s="2" t="s">
        <v>105</v>
      </c>
      <c r="S2143" s="36" t="str">
        <f t="shared" ref="S2143:S2145" si="1124">S2142</f>
        <v>2404</v>
      </c>
    </row>
    <row r="2144" spans="1:19" x14ac:dyDescent="0.2">
      <c r="A2144" s="8" t="str">
        <f t="shared" si="1074"/>
        <v>40012113</v>
      </c>
      <c r="B2144" s="8">
        <v>4001</v>
      </c>
      <c r="C2144" s="8">
        <v>21</v>
      </c>
      <c r="D2144" s="8" t="s">
        <v>62</v>
      </c>
      <c r="E2144" s="8">
        <v>3</v>
      </c>
      <c r="F2144" s="34">
        <f t="shared" si="1121"/>
        <v>61349</v>
      </c>
      <c r="G2144" s="34">
        <f t="shared" si="1121"/>
        <v>61349</v>
      </c>
      <c r="H2144" s="34">
        <f t="shared" si="1091"/>
        <v>6010</v>
      </c>
      <c r="I2144" s="34">
        <f t="shared" si="1091"/>
        <v>6010</v>
      </c>
      <c r="J2144" s="34">
        <f t="shared" si="1122"/>
        <v>81008</v>
      </c>
      <c r="K2144" s="133">
        <v>1000</v>
      </c>
      <c r="L2144" s="34"/>
      <c r="M2144" s="16">
        <f t="shared" si="1120"/>
        <v>13825.948091884622</v>
      </c>
      <c r="N2144" s="36">
        <v>840</v>
      </c>
      <c r="O2144" s="36">
        <v>3</v>
      </c>
      <c r="P2144" s="2">
        <f t="shared" si="1123"/>
        <v>4476</v>
      </c>
      <c r="Q2144" s="2" t="s">
        <v>105</v>
      </c>
      <c r="S2144" s="36" t="str">
        <f t="shared" si="1124"/>
        <v>2404</v>
      </c>
    </row>
    <row r="2145" spans="1:19" x14ac:dyDescent="0.2">
      <c r="A2145" s="8" t="str">
        <f t="shared" si="1074"/>
        <v>40012114</v>
      </c>
      <c r="B2145" s="8">
        <v>4001</v>
      </c>
      <c r="C2145" s="8">
        <v>21</v>
      </c>
      <c r="D2145" s="8" t="s">
        <v>62</v>
      </c>
      <c r="E2145" s="8">
        <v>4</v>
      </c>
      <c r="F2145" s="34">
        <f t="shared" si="1121"/>
        <v>81798</v>
      </c>
      <c r="G2145" s="34">
        <f t="shared" si="1121"/>
        <v>81798</v>
      </c>
      <c r="H2145" s="34">
        <f t="shared" si="1091"/>
        <v>6010</v>
      </c>
      <c r="I2145" s="34">
        <f t="shared" si="1091"/>
        <v>6010</v>
      </c>
      <c r="J2145" s="34">
        <f t="shared" si="1122"/>
        <v>102929</v>
      </c>
      <c r="K2145" s="133">
        <v>1000</v>
      </c>
      <c r="L2145" s="34"/>
      <c r="M2145" s="16">
        <f t="shared" si="1120"/>
        <v>17995.64603615797</v>
      </c>
      <c r="N2145" s="36">
        <v>820</v>
      </c>
      <c r="O2145" s="36">
        <v>4</v>
      </c>
      <c r="P2145" s="2">
        <f t="shared" si="1123"/>
        <v>4476</v>
      </c>
      <c r="Q2145" s="2" t="s">
        <v>105</v>
      </c>
      <c r="S2145" s="36" t="str">
        <f t="shared" si="1124"/>
        <v>2404</v>
      </c>
    </row>
    <row r="2146" spans="1:19" x14ac:dyDescent="0.2">
      <c r="A2146" s="8" t="str">
        <f t="shared" si="1074"/>
        <v>40012210</v>
      </c>
      <c r="B2146" s="8">
        <v>4001</v>
      </c>
      <c r="C2146" s="8">
        <v>22</v>
      </c>
      <c r="D2146" s="8" t="s">
        <v>62</v>
      </c>
      <c r="E2146" s="8">
        <v>0</v>
      </c>
      <c r="F2146" s="34">
        <f>ROUNDDOWN($P2146/4*$O2146*10*$N2146/$N2146*$Q2146/400,0)</f>
        <v>11339</v>
      </c>
      <c r="G2146" s="34">
        <f>ROUNDDOWN($P2146/4*$O2146*10*$N2146/$N2146*$Q2146/400,0)</f>
        <v>11339</v>
      </c>
      <c r="H2146" s="34">
        <f t="shared" si="1091"/>
        <v>6270</v>
      </c>
      <c r="I2146" s="34">
        <f t="shared" si="1091"/>
        <v>6270</v>
      </c>
      <c r="J2146" s="34">
        <f>ROUNDDOWN($P2146/4*$O2146*10*$N2146/$Q2146*$N2146/400,0)</f>
        <v>17188</v>
      </c>
      <c r="K2146" s="133">
        <v>1000</v>
      </c>
      <c r="L2146" s="34"/>
      <c r="M2146" s="16">
        <f t="shared" si="1120"/>
        <v>2796.5578495171526</v>
      </c>
      <c r="N2146" s="36">
        <v>900</v>
      </c>
      <c r="O2146" s="36">
        <v>0.5</v>
      </c>
      <c r="P2146" s="47">
        <v>4964</v>
      </c>
      <c r="Q2146" s="2" t="s">
        <v>105</v>
      </c>
      <c r="S2146" s="36" t="s">
        <v>157</v>
      </c>
    </row>
    <row r="2147" spans="1:19" x14ac:dyDescent="0.2">
      <c r="A2147" s="8" t="str">
        <f t="shared" si="1074"/>
        <v>40012211</v>
      </c>
      <c r="B2147" s="8">
        <v>4001</v>
      </c>
      <c r="C2147" s="8">
        <v>22</v>
      </c>
      <c r="D2147" s="8" t="s">
        <v>62</v>
      </c>
      <c r="E2147" s="8">
        <v>1</v>
      </c>
      <c r="F2147" s="34">
        <f t="shared" ref="F2147:G2150" si="1125">ROUNDDOWN($P2147/4*$O2147*10*$N2147/$N2147*$Q2147/400,0)</f>
        <v>22679</v>
      </c>
      <c r="G2147" s="34">
        <f t="shared" si="1125"/>
        <v>22679</v>
      </c>
      <c r="H2147" s="34">
        <f t="shared" si="1091"/>
        <v>6270</v>
      </c>
      <c r="I2147" s="34">
        <f t="shared" si="1091"/>
        <v>6270</v>
      </c>
      <c r="J2147" s="34">
        <f t="shared" ref="J2147:J2150" si="1126">ROUNDDOWN($P2147/4*$O2147*10*$N2147/$Q2147*$N2147/400,0)</f>
        <v>32866</v>
      </c>
      <c r="K2147" s="133">
        <v>1000</v>
      </c>
      <c r="L2147" s="34"/>
      <c r="M2147" s="16">
        <f t="shared" si="1120"/>
        <v>5469.015237297479</v>
      </c>
      <c r="N2147" s="36">
        <v>880</v>
      </c>
      <c r="O2147" s="36">
        <v>1</v>
      </c>
      <c r="P2147" s="2">
        <f>P2146</f>
        <v>4964</v>
      </c>
      <c r="Q2147" s="2" t="s">
        <v>105</v>
      </c>
      <c r="S2147" s="36" t="str">
        <f>S2146</f>
        <v>2508</v>
      </c>
    </row>
    <row r="2148" spans="1:19" x14ac:dyDescent="0.2">
      <c r="A2148" s="8" t="str">
        <f t="shared" si="1074"/>
        <v>40012212</v>
      </c>
      <c r="B2148" s="8">
        <v>4001</v>
      </c>
      <c r="C2148" s="8">
        <v>22</v>
      </c>
      <c r="D2148" s="8" t="s">
        <v>62</v>
      </c>
      <c r="E2148" s="8">
        <v>2</v>
      </c>
      <c r="F2148" s="34">
        <f t="shared" si="1125"/>
        <v>45358</v>
      </c>
      <c r="G2148" s="34">
        <f t="shared" si="1125"/>
        <v>45358</v>
      </c>
      <c r="H2148" s="34">
        <f t="shared" si="1091"/>
        <v>6270</v>
      </c>
      <c r="I2148" s="34">
        <f t="shared" si="1091"/>
        <v>6270</v>
      </c>
      <c r="J2148" s="34">
        <f t="shared" si="1126"/>
        <v>62780</v>
      </c>
      <c r="K2148" s="133">
        <v>1000</v>
      </c>
      <c r="L2148" s="34"/>
      <c r="M2148" s="16">
        <f t="shared" si="1120"/>
        <v>10689.597711360329</v>
      </c>
      <c r="N2148" s="36">
        <v>860</v>
      </c>
      <c r="O2148" s="36">
        <v>2</v>
      </c>
      <c r="P2148" s="2">
        <f t="shared" ref="P2148:P2150" si="1127">P2147</f>
        <v>4964</v>
      </c>
      <c r="Q2148" s="2" t="s">
        <v>105</v>
      </c>
      <c r="S2148" s="36" t="str">
        <f t="shared" ref="S2148:S2150" si="1128">S2147</f>
        <v>2508</v>
      </c>
    </row>
    <row r="2149" spans="1:19" x14ac:dyDescent="0.2">
      <c r="A2149" s="8" t="str">
        <f t="shared" ref="A2149:A2212" si="1129">IF(B2149="","",CONCATENATE(B2149,CONCATENATE(REPT(0,2-LEN(C2149)),C2149),IF(OR(D2149="Easy",D2149=""),1,IF(D2149="Normal",2,IF(D2149="Hard",3,IF(D2149="Hell",4,"error")))),E2149))</f>
        <v>40012213</v>
      </c>
      <c r="B2149" s="8">
        <v>4001</v>
      </c>
      <c r="C2149" s="8">
        <v>22</v>
      </c>
      <c r="D2149" s="8" t="s">
        <v>62</v>
      </c>
      <c r="E2149" s="8">
        <v>3</v>
      </c>
      <c r="F2149" s="34">
        <f t="shared" si="1125"/>
        <v>68037</v>
      </c>
      <c r="G2149" s="34">
        <f t="shared" si="1125"/>
        <v>68037</v>
      </c>
      <c r="H2149" s="34">
        <f t="shared" si="1091"/>
        <v>6270</v>
      </c>
      <c r="I2149" s="34">
        <f t="shared" si="1091"/>
        <v>6270</v>
      </c>
      <c r="J2149" s="34">
        <f t="shared" si="1126"/>
        <v>89840</v>
      </c>
      <c r="K2149" s="133">
        <v>1000</v>
      </c>
      <c r="L2149" s="34"/>
      <c r="M2149" s="16">
        <f t="shared" si="1120"/>
        <v>15661.42254210134</v>
      </c>
      <c r="N2149" s="36">
        <v>840</v>
      </c>
      <c r="O2149" s="36">
        <v>3</v>
      </c>
      <c r="P2149" s="2">
        <f t="shared" si="1127"/>
        <v>4964</v>
      </c>
      <c r="Q2149" s="2" t="s">
        <v>105</v>
      </c>
      <c r="S2149" s="36" t="str">
        <f t="shared" si="1128"/>
        <v>2508</v>
      </c>
    </row>
    <row r="2150" spans="1:19" x14ac:dyDescent="0.2">
      <c r="A2150" s="8" t="str">
        <f t="shared" si="1129"/>
        <v>40012214</v>
      </c>
      <c r="B2150" s="8">
        <v>4001</v>
      </c>
      <c r="C2150" s="8">
        <v>22</v>
      </c>
      <c r="D2150" s="8" t="s">
        <v>62</v>
      </c>
      <c r="E2150" s="8">
        <v>4</v>
      </c>
      <c r="F2150" s="34">
        <f t="shared" si="1125"/>
        <v>90717</v>
      </c>
      <c r="G2150" s="34">
        <f t="shared" si="1125"/>
        <v>90717</v>
      </c>
      <c r="H2150" s="34">
        <f t="shared" si="1091"/>
        <v>6270</v>
      </c>
      <c r="I2150" s="34">
        <f t="shared" si="1091"/>
        <v>6270</v>
      </c>
      <c r="J2150" s="34">
        <f t="shared" si="1126"/>
        <v>114151</v>
      </c>
      <c r="K2150" s="133">
        <v>1000</v>
      </c>
      <c r="L2150" s="34"/>
      <c r="M2150" s="16">
        <f t="shared" si="1120"/>
        <v>20384.870529934109</v>
      </c>
      <c r="N2150" s="36">
        <v>820</v>
      </c>
      <c r="O2150" s="36">
        <v>4</v>
      </c>
      <c r="P2150" s="2">
        <f t="shared" si="1127"/>
        <v>4964</v>
      </c>
      <c r="Q2150" s="2" t="s">
        <v>105</v>
      </c>
      <c r="S2150" s="36" t="str">
        <f t="shared" si="1128"/>
        <v>2508</v>
      </c>
    </row>
    <row r="2151" spans="1:19" x14ac:dyDescent="0.2">
      <c r="A2151" s="8" t="str">
        <f t="shared" si="1129"/>
        <v>40012310</v>
      </c>
      <c r="B2151" s="8">
        <v>4001</v>
      </c>
      <c r="C2151" s="8">
        <v>23</v>
      </c>
      <c r="D2151" s="8" t="s">
        <v>62</v>
      </c>
      <c r="E2151" s="8">
        <v>0</v>
      </c>
      <c r="F2151" s="34">
        <f>ROUNDDOWN($P2151/4*$O2151*10*$N2151/$N2151*$Q2151/400,0)</f>
        <v>12399</v>
      </c>
      <c r="G2151" s="34">
        <f>ROUNDDOWN($P2151/4*$O2151*10*$N2151/$N2151*$Q2151/400,0)</f>
        <v>12399</v>
      </c>
      <c r="H2151" s="34">
        <f t="shared" si="1091"/>
        <v>6600</v>
      </c>
      <c r="I2151" s="34">
        <f t="shared" si="1091"/>
        <v>6600</v>
      </c>
      <c r="J2151" s="34">
        <f>ROUNDDOWN($P2151/4*$O2151*10*$N2151/$Q2151*$N2151/400,0)</f>
        <v>18795</v>
      </c>
      <c r="K2151" s="133">
        <v>1000</v>
      </c>
      <c r="L2151" s="34"/>
      <c r="M2151" s="16">
        <f t="shared" si="1120"/>
        <v>3137.4473731363214</v>
      </c>
      <c r="N2151" s="36">
        <v>900</v>
      </c>
      <c r="O2151" s="36">
        <v>0.5</v>
      </c>
      <c r="P2151" s="47">
        <v>5428</v>
      </c>
      <c r="Q2151" s="2" t="s">
        <v>105</v>
      </c>
      <c r="S2151" s="36" t="s">
        <v>158</v>
      </c>
    </row>
    <row r="2152" spans="1:19" x14ac:dyDescent="0.2">
      <c r="A2152" s="8" t="str">
        <f t="shared" si="1129"/>
        <v>40012311</v>
      </c>
      <c r="B2152" s="8">
        <v>4001</v>
      </c>
      <c r="C2152" s="8">
        <v>23</v>
      </c>
      <c r="D2152" s="8" t="s">
        <v>62</v>
      </c>
      <c r="E2152" s="8">
        <v>1</v>
      </c>
      <c r="F2152" s="34">
        <f t="shared" ref="F2152:G2155" si="1130">ROUNDDOWN($P2152/4*$O2152*10*$N2152/$N2152*$Q2152/400,0)</f>
        <v>24799</v>
      </c>
      <c r="G2152" s="34">
        <f t="shared" si="1130"/>
        <v>24799</v>
      </c>
      <c r="H2152" s="34">
        <f t="shared" si="1091"/>
        <v>6600</v>
      </c>
      <c r="I2152" s="34">
        <f t="shared" si="1091"/>
        <v>6600</v>
      </c>
      <c r="J2152" s="34">
        <f t="shared" ref="J2152:J2155" si="1131">ROUNDDOWN($P2152/4*$O2152*10*$N2152/$Q2152*$N2152/400,0)</f>
        <v>35939</v>
      </c>
      <c r="K2152" s="133">
        <v>1000</v>
      </c>
      <c r="L2152" s="34"/>
      <c r="M2152" s="16">
        <f t="shared" si="1120"/>
        <v>6135.6705635684193</v>
      </c>
      <c r="N2152" s="36">
        <v>880</v>
      </c>
      <c r="O2152" s="36">
        <v>1</v>
      </c>
      <c r="P2152" s="2">
        <f>P2151</f>
        <v>5428</v>
      </c>
      <c r="Q2152" s="2" t="s">
        <v>105</v>
      </c>
      <c r="S2152" s="36" t="str">
        <f>S2151</f>
        <v>2640</v>
      </c>
    </row>
    <row r="2153" spans="1:19" x14ac:dyDescent="0.2">
      <c r="A2153" s="8" t="str">
        <f t="shared" si="1129"/>
        <v>40012312</v>
      </c>
      <c r="B2153" s="8">
        <v>4001</v>
      </c>
      <c r="C2153" s="8">
        <v>23</v>
      </c>
      <c r="D2153" s="8" t="s">
        <v>62</v>
      </c>
      <c r="E2153" s="8">
        <v>2</v>
      </c>
      <c r="F2153" s="34">
        <f t="shared" si="1130"/>
        <v>49598</v>
      </c>
      <c r="G2153" s="34">
        <f t="shared" si="1130"/>
        <v>49598</v>
      </c>
      <c r="H2153" s="34">
        <f t="shared" si="1091"/>
        <v>6600</v>
      </c>
      <c r="I2153" s="34">
        <f t="shared" si="1091"/>
        <v>6600</v>
      </c>
      <c r="J2153" s="34">
        <f t="shared" si="1131"/>
        <v>68648</v>
      </c>
      <c r="K2153" s="133">
        <v>1000</v>
      </c>
      <c r="L2153" s="34"/>
      <c r="M2153" s="16">
        <f t="shared" si="1120"/>
        <v>11992.451793063836</v>
      </c>
      <c r="N2153" s="36">
        <v>860</v>
      </c>
      <c r="O2153" s="36">
        <v>2</v>
      </c>
      <c r="P2153" s="2">
        <f t="shared" ref="P2153:P2155" si="1132">P2152</f>
        <v>5428</v>
      </c>
      <c r="Q2153" s="2" t="s">
        <v>105</v>
      </c>
      <c r="S2153" s="36" t="str">
        <f t="shared" ref="S2153:S2155" si="1133">S2152</f>
        <v>2640</v>
      </c>
    </row>
    <row r="2154" spans="1:19" x14ac:dyDescent="0.2">
      <c r="A2154" s="8" t="str">
        <f t="shared" si="1129"/>
        <v>40012313</v>
      </c>
      <c r="B2154" s="8">
        <v>4001</v>
      </c>
      <c r="C2154" s="8">
        <v>23</v>
      </c>
      <c r="D2154" s="8" t="s">
        <v>62</v>
      </c>
      <c r="E2154" s="8">
        <v>3</v>
      </c>
      <c r="F2154" s="34">
        <f t="shared" si="1130"/>
        <v>74397</v>
      </c>
      <c r="G2154" s="34">
        <f t="shared" si="1130"/>
        <v>74397</v>
      </c>
      <c r="H2154" s="34">
        <f t="shared" si="1091"/>
        <v>6600</v>
      </c>
      <c r="I2154" s="34">
        <f t="shared" si="1091"/>
        <v>6600</v>
      </c>
      <c r="J2154" s="34">
        <f t="shared" si="1131"/>
        <v>98238</v>
      </c>
      <c r="K2154" s="133">
        <v>1000</v>
      </c>
      <c r="L2154" s="34"/>
      <c r="M2154" s="16">
        <f t="shared" si="1120"/>
        <v>17570.309940596951</v>
      </c>
      <c r="N2154" s="36">
        <v>840</v>
      </c>
      <c r="O2154" s="36">
        <v>3</v>
      </c>
      <c r="P2154" s="2">
        <f t="shared" si="1132"/>
        <v>5428</v>
      </c>
      <c r="Q2154" s="2" t="s">
        <v>105</v>
      </c>
      <c r="S2154" s="36" t="str">
        <f t="shared" si="1133"/>
        <v>2640</v>
      </c>
    </row>
    <row r="2155" spans="1:19" x14ac:dyDescent="0.2">
      <c r="A2155" s="8" t="str">
        <f t="shared" si="1129"/>
        <v>40012314</v>
      </c>
      <c r="B2155" s="8">
        <v>4001</v>
      </c>
      <c r="C2155" s="8">
        <v>23</v>
      </c>
      <c r="D2155" s="8" t="s">
        <v>62</v>
      </c>
      <c r="E2155" s="8">
        <v>4</v>
      </c>
      <c r="F2155" s="34">
        <f t="shared" si="1130"/>
        <v>99196</v>
      </c>
      <c r="G2155" s="34">
        <f t="shared" si="1130"/>
        <v>99196</v>
      </c>
      <c r="H2155" s="34">
        <f t="shared" si="1091"/>
        <v>6600</v>
      </c>
      <c r="I2155" s="34">
        <f t="shared" si="1091"/>
        <v>6600</v>
      </c>
      <c r="J2155" s="34">
        <f t="shared" si="1131"/>
        <v>124821</v>
      </c>
      <c r="K2155" s="133">
        <v>1000</v>
      </c>
      <c r="L2155" s="34"/>
      <c r="M2155" s="16">
        <f t="shared" si="1120"/>
        <v>22869.299574141751</v>
      </c>
      <c r="N2155" s="36">
        <v>820</v>
      </c>
      <c r="O2155" s="36">
        <v>4</v>
      </c>
      <c r="P2155" s="2">
        <f t="shared" si="1132"/>
        <v>5428</v>
      </c>
      <c r="Q2155" s="2" t="s">
        <v>105</v>
      </c>
      <c r="S2155" s="36" t="str">
        <f t="shared" si="1133"/>
        <v>2640</v>
      </c>
    </row>
    <row r="2156" spans="1:19" x14ac:dyDescent="0.2">
      <c r="A2156" s="8" t="str">
        <f t="shared" si="1129"/>
        <v>40012410</v>
      </c>
      <c r="B2156" s="8">
        <v>4001</v>
      </c>
      <c r="C2156" s="8">
        <v>24</v>
      </c>
      <c r="D2156" s="8" t="s">
        <v>62</v>
      </c>
      <c r="E2156" s="8">
        <v>0</v>
      </c>
      <c r="F2156" s="34">
        <f>ROUNDDOWN($P2156/4*$O2156*10*$N2156/$N2156*$Q2156/400,0)</f>
        <v>13422</v>
      </c>
      <c r="G2156" s="34">
        <f>ROUNDDOWN($P2156/4*$O2156*10*$N2156/$N2156*$Q2156/400,0)</f>
        <v>13422</v>
      </c>
      <c r="H2156" s="34">
        <f t="shared" si="1091"/>
        <v>6910</v>
      </c>
      <c r="I2156" s="34">
        <f t="shared" si="1091"/>
        <v>6910</v>
      </c>
      <c r="J2156" s="34">
        <f>ROUNDDOWN($P2156/4*$O2156*10*$N2156/$Q2156*$N2156/400,0)</f>
        <v>20346</v>
      </c>
      <c r="K2156" s="133">
        <v>1000</v>
      </c>
      <c r="L2156" s="34"/>
      <c r="M2156" s="16">
        <f t="shared" si="1120"/>
        <v>3475.1787503217734</v>
      </c>
      <c r="N2156" s="36">
        <v>900</v>
      </c>
      <c r="O2156" s="36">
        <v>0.5</v>
      </c>
      <c r="P2156" s="47">
        <v>5876</v>
      </c>
      <c r="Q2156" s="2" t="s">
        <v>105</v>
      </c>
      <c r="S2156" s="36" t="s">
        <v>159</v>
      </c>
    </row>
    <row r="2157" spans="1:19" x14ac:dyDescent="0.2">
      <c r="A2157" s="8" t="str">
        <f t="shared" si="1129"/>
        <v>40012411</v>
      </c>
      <c r="B2157" s="8">
        <v>4001</v>
      </c>
      <c r="C2157" s="8">
        <v>24</v>
      </c>
      <c r="D2157" s="8" t="s">
        <v>62</v>
      </c>
      <c r="E2157" s="8">
        <v>1</v>
      </c>
      <c r="F2157" s="34">
        <f t="shared" ref="F2157:G2160" si="1134">ROUNDDOWN($P2157/4*$O2157*10*$N2157/$N2157*$Q2157/400,0)</f>
        <v>26845</v>
      </c>
      <c r="G2157" s="34">
        <f t="shared" si="1134"/>
        <v>26845</v>
      </c>
      <c r="H2157" s="34">
        <f t="shared" si="1091"/>
        <v>6910</v>
      </c>
      <c r="I2157" s="34">
        <f t="shared" si="1091"/>
        <v>6910</v>
      </c>
      <c r="J2157" s="34">
        <f t="shared" ref="J2157:J2160" si="1135">ROUNDDOWN($P2157/4*$O2157*10*$N2157/$Q2157*$N2157/400,0)</f>
        <v>38905</v>
      </c>
      <c r="K2157" s="133">
        <v>1000</v>
      </c>
      <c r="L2157" s="34"/>
      <c r="M2157" s="16">
        <f t="shared" si="1120"/>
        <v>6796.1573376725173</v>
      </c>
      <c r="N2157" s="36">
        <v>880</v>
      </c>
      <c r="O2157" s="36">
        <v>1</v>
      </c>
      <c r="P2157" s="2">
        <f>P2156</f>
        <v>5876</v>
      </c>
      <c r="Q2157" s="2" t="s">
        <v>105</v>
      </c>
      <c r="S2157" s="36" t="str">
        <f>S2156</f>
        <v>2764</v>
      </c>
    </row>
    <row r="2158" spans="1:19" x14ac:dyDescent="0.2">
      <c r="A2158" s="8" t="str">
        <f t="shared" si="1129"/>
        <v>40012412</v>
      </c>
      <c r="B2158" s="8">
        <v>4001</v>
      </c>
      <c r="C2158" s="8">
        <v>24</v>
      </c>
      <c r="D2158" s="8" t="s">
        <v>62</v>
      </c>
      <c r="E2158" s="8">
        <v>2</v>
      </c>
      <c r="F2158" s="34">
        <f t="shared" si="1134"/>
        <v>53691</v>
      </c>
      <c r="G2158" s="34">
        <f t="shared" si="1134"/>
        <v>53691</v>
      </c>
      <c r="H2158" s="34">
        <f t="shared" si="1091"/>
        <v>6910</v>
      </c>
      <c r="I2158" s="34">
        <f t="shared" si="1091"/>
        <v>6910</v>
      </c>
      <c r="J2158" s="34">
        <f t="shared" si="1135"/>
        <v>74314</v>
      </c>
      <c r="K2158" s="133">
        <v>1000</v>
      </c>
      <c r="L2158" s="34"/>
      <c r="M2158" s="16">
        <f t="shared" si="1120"/>
        <v>13283.578180677674</v>
      </c>
      <c r="N2158" s="36">
        <v>860</v>
      </c>
      <c r="O2158" s="36">
        <v>2</v>
      </c>
      <c r="P2158" s="2">
        <f t="shared" ref="P2158:P2160" si="1136">P2157</f>
        <v>5876</v>
      </c>
      <c r="Q2158" s="2" t="s">
        <v>105</v>
      </c>
      <c r="S2158" s="36" t="str">
        <f t="shared" ref="S2158:S2160" si="1137">S2157</f>
        <v>2764</v>
      </c>
    </row>
    <row r="2159" spans="1:19" x14ac:dyDescent="0.2">
      <c r="A2159" s="8" t="str">
        <f t="shared" si="1129"/>
        <v>40012413</v>
      </c>
      <c r="B2159" s="8">
        <v>4001</v>
      </c>
      <c r="C2159" s="8">
        <v>24</v>
      </c>
      <c r="D2159" s="8" t="s">
        <v>62</v>
      </c>
      <c r="E2159" s="8">
        <v>3</v>
      </c>
      <c r="F2159" s="34">
        <f t="shared" si="1134"/>
        <v>80537</v>
      </c>
      <c r="G2159" s="34">
        <f t="shared" si="1134"/>
        <v>80537</v>
      </c>
      <c r="H2159" s="34">
        <f t="shared" si="1091"/>
        <v>6910</v>
      </c>
      <c r="I2159" s="34">
        <f t="shared" si="1091"/>
        <v>6910</v>
      </c>
      <c r="J2159" s="34">
        <f t="shared" si="1135"/>
        <v>106346</v>
      </c>
      <c r="K2159" s="133">
        <v>1000</v>
      </c>
      <c r="L2159" s="34"/>
      <c r="M2159" s="16">
        <f t="shared" si="1120"/>
        <v>19461.993108508901</v>
      </c>
      <c r="N2159" s="36">
        <v>840</v>
      </c>
      <c r="O2159" s="36">
        <v>3</v>
      </c>
      <c r="P2159" s="2">
        <f t="shared" si="1136"/>
        <v>5876</v>
      </c>
      <c r="Q2159" s="2" t="s">
        <v>105</v>
      </c>
      <c r="S2159" s="36" t="str">
        <f t="shared" si="1137"/>
        <v>2764</v>
      </c>
    </row>
    <row r="2160" spans="1:19" x14ac:dyDescent="0.2">
      <c r="A2160" s="8" t="str">
        <f t="shared" si="1129"/>
        <v>40012414</v>
      </c>
      <c r="B2160" s="8">
        <v>4001</v>
      </c>
      <c r="C2160" s="8">
        <v>24</v>
      </c>
      <c r="D2160" s="8" t="s">
        <v>62</v>
      </c>
      <c r="E2160" s="8">
        <v>4</v>
      </c>
      <c r="F2160" s="34">
        <f t="shared" si="1134"/>
        <v>107383</v>
      </c>
      <c r="G2160" s="34">
        <f t="shared" si="1134"/>
        <v>107383</v>
      </c>
      <c r="H2160" s="34">
        <f t="shared" si="1091"/>
        <v>6910</v>
      </c>
      <c r="I2160" s="34">
        <f t="shared" si="1091"/>
        <v>6910</v>
      </c>
      <c r="J2160" s="34">
        <f t="shared" si="1135"/>
        <v>135123</v>
      </c>
      <c r="K2160" s="133">
        <v>1000</v>
      </c>
      <c r="L2160" s="34"/>
      <c r="M2160" s="16">
        <f t="shared" si="1120"/>
        <v>25331.529707706482</v>
      </c>
      <c r="N2160" s="36">
        <v>820</v>
      </c>
      <c r="O2160" s="36">
        <v>4</v>
      </c>
      <c r="P2160" s="2">
        <f t="shared" si="1136"/>
        <v>5876</v>
      </c>
      <c r="Q2160" s="2" t="s">
        <v>105</v>
      </c>
      <c r="S2160" s="36" t="str">
        <f t="shared" si="1137"/>
        <v>2764</v>
      </c>
    </row>
    <row r="2161" spans="1:19" x14ac:dyDescent="0.2">
      <c r="A2161" s="8" t="str">
        <f t="shared" si="1129"/>
        <v>40012510</v>
      </c>
      <c r="B2161" s="8">
        <v>4001</v>
      </c>
      <c r="C2161" s="8">
        <v>25</v>
      </c>
      <c r="D2161" s="8" t="s">
        <v>62</v>
      </c>
      <c r="E2161" s="8">
        <v>0</v>
      </c>
      <c r="F2161" s="34">
        <f>ROUNDDOWN($P2161/4*$O2161*10*$N2161/$N2161*$Q2161/400,0)</f>
        <v>14492</v>
      </c>
      <c r="G2161" s="34">
        <f>ROUNDDOWN($P2161/4*$O2161*10*$N2161/$N2161*$Q2161/400,0)</f>
        <v>14492</v>
      </c>
      <c r="H2161" s="34">
        <f t="shared" si="1091"/>
        <v>7050</v>
      </c>
      <c r="I2161" s="34">
        <f t="shared" si="1091"/>
        <v>7050</v>
      </c>
      <c r="J2161" s="34">
        <f>ROUNDDOWN($P2161/4*$O2161*10*$N2161/$Q2161*$N2161/400,0)</f>
        <v>21967</v>
      </c>
      <c r="K2161" s="133">
        <v>1000</v>
      </c>
      <c r="L2161" s="34"/>
      <c r="M2161" s="16">
        <f t="shared" si="1120"/>
        <v>3789.9552598520213</v>
      </c>
      <c r="N2161" s="36">
        <v>900</v>
      </c>
      <c r="O2161" s="36">
        <v>0.5</v>
      </c>
      <c r="P2161" s="47">
        <v>6344</v>
      </c>
      <c r="Q2161" s="2" t="s">
        <v>105</v>
      </c>
      <c r="S2161" s="36" t="s">
        <v>160</v>
      </c>
    </row>
    <row r="2162" spans="1:19" x14ac:dyDescent="0.2">
      <c r="A2162" s="8" t="str">
        <f t="shared" si="1129"/>
        <v>40012511</v>
      </c>
      <c r="B2162" s="8">
        <v>4001</v>
      </c>
      <c r="C2162" s="8">
        <v>25</v>
      </c>
      <c r="D2162" s="8" t="s">
        <v>62</v>
      </c>
      <c r="E2162" s="8">
        <v>1</v>
      </c>
      <c r="F2162" s="34">
        <f t="shared" ref="F2162:G2165" si="1138">ROUNDDOWN($P2162/4*$O2162*10*$N2162/$N2162*$Q2162/400,0)</f>
        <v>28984</v>
      </c>
      <c r="G2162" s="34">
        <f t="shared" si="1138"/>
        <v>28984</v>
      </c>
      <c r="H2162" s="34">
        <f t="shared" si="1091"/>
        <v>7050</v>
      </c>
      <c r="I2162" s="34">
        <f t="shared" si="1091"/>
        <v>7050</v>
      </c>
      <c r="J2162" s="34">
        <f t="shared" ref="J2162:J2165" si="1139">ROUNDDOWN($P2162/4*$O2162*10*$N2162/$Q2162*$N2162/400,0)</f>
        <v>42004</v>
      </c>
      <c r="K2162" s="133">
        <v>1000</v>
      </c>
      <c r="L2162" s="34"/>
      <c r="M2162" s="16">
        <f t="shared" si="1120"/>
        <v>7411.549796926417</v>
      </c>
      <c r="N2162" s="36">
        <v>880</v>
      </c>
      <c r="O2162" s="36">
        <v>1</v>
      </c>
      <c r="P2162" s="2">
        <f>P2161</f>
        <v>6344</v>
      </c>
      <c r="Q2162" s="2" t="s">
        <v>105</v>
      </c>
      <c r="S2162" s="36" t="str">
        <f>S2161</f>
        <v>2820</v>
      </c>
    </row>
    <row r="2163" spans="1:19" x14ac:dyDescent="0.2">
      <c r="A2163" s="8" t="str">
        <f t="shared" si="1129"/>
        <v>40012512</v>
      </c>
      <c r="B2163" s="8">
        <v>4001</v>
      </c>
      <c r="C2163" s="8">
        <v>25</v>
      </c>
      <c r="D2163" s="8" t="s">
        <v>62</v>
      </c>
      <c r="E2163" s="8">
        <v>2</v>
      </c>
      <c r="F2163" s="34">
        <f t="shared" si="1138"/>
        <v>57968</v>
      </c>
      <c r="G2163" s="34">
        <f t="shared" si="1138"/>
        <v>57968</v>
      </c>
      <c r="H2163" s="34">
        <f t="shared" si="1091"/>
        <v>7050</v>
      </c>
      <c r="I2163" s="34">
        <f t="shared" si="1091"/>
        <v>7050</v>
      </c>
      <c r="J2163" s="34">
        <f t="shared" si="1139"/>
        <v>80232</v>
      </c>
      <c r="K2163" s="133">
        <v>1000</v>
      </c>
      <c r="L2163" s="34"/>
      <c r="M2163" s="16">
        <f t="shared" si="1120"/>
        <v>14486.134492994328</v>
      </c>
      <c r="N2163" s="36">
        <v>860</v>
      </c>
      <c r="O2163" s="36">
        <v>2</v>
      </c>
      <c r="P2163" s="2">
        <f t="shared" ref="P2163:P2165" si="1140">P2162</f>
        <v>6344</v>
      </c>
      <c r="Q2163" s="2" t="s">
        <v>105</v>
      </c>
      <c r="S2163" s="36" t="str">
        <f t="shared" ref="S2163:S2165" si="1141">S2162</f>
        <v>2820</v>
      </c>
    </row>
    <row r="2164" spans="1:19" x14ac:dyDescent="0.2">
      <c r="A2164" s="8" t="str">
        <f t="shared" si="1129"/>
        <v>40012513</v>
      </c>
      <c r="B2164" s="8">
        <v>4001</v>
      </c>
      <c r="C2164" s="8">
        <v>25</v>
      </c>
      <c r="D2164" s="8" t="s">
        <v>62</v>
      </c>
      <c r="E2164" s="8">
        <v>3</v>
      </c>
      <c r="F2164" s="34">
        <f t="shared" si="1138"/>
        <v>86952</v>
      </c>
      <c r="G2164" s="34">
        <f t="shared" si="1138"/>
        <v>86952</v>
      </c>
      <c r="H2164" s="34">
        <f t="shared" si="1091"/>
        <v>7050</v>
      </c>
      <c r="I2164" s="34">
        <f t="shared" si="1091"/>
        <v>7050</v>
      </c>
      <c r="J2164" s="34">
        <f t="shared" si="1139"/>
        <v>114816</v>
      </c>
      <c r="K2164" s="133">
        <v>1000</v>
      </c>
      <c r="L2164" s="34"/>
      <c r="M2164" s="16">
        <f t="shared" si="1120"/>
        <v>21223.917054583493</v>
      </c>
      <c r="N2164" s="36">
        <v>840</v>
      </c>
      <c r="O2164" s="36">
        <v>3</v>
      </c>
      <c r="P2164" s="2">
        <f t="shared" si="1140"/>
        <v>6344</v>
      </c>
      <c r="Q2164" s="2" t="s">
        <v>105</v>
      </c>
      <c r="S2164" s="36" t="str">
        <f t="shared" si="1141"/>
        <v>2820</v>
      </c>
    </row>
    <row r="2165" spans="1:19" x14ac:dyDescent="0.2">
      <c r="A2165" s="8" t="str">
        <f t="shared" si="1129"/>
        <v>40012514</v>
      </c>
      <c r="B2165" s="8">
        <v>4001</v>
      </c>
      <c r="C2165" s="8">
        <v>25</v>
      </c>
      <c r="D2165" s="8" t="s">
        <v>62</v>
      </c>
      <c r="E2165" s="8">
        <v>4</v>
      </c>
      <c r="F2165" s="34">
        <f t="shared" si="1138"/>
        <v>115936</v>
      </c>
      <c r="G2165" s="34">
        <f t="shared" si="1138"/>
        <v>115936</v>
      </c>
      <c r="H2165" s="34">
        <f t="shared" si="1091"/>
        <v>7050</v>
      </c>
      <c r="I2165" s="34">
        <f t="shared" si="1091"/>
        <v>7050</v>
      </c>
      <c r="J2165" s="34">
        <f t="shared" si="1139"/>
        <v>145885</v>
      </c>
      <c r="K2165" s="133">
        <v>1000</v>
      </c>
      <c r="L2165" s="34"/>
      <c r="M2165" s="16">
        <f t="shared" si="1120"/>
        <v>27624.792306969481</v>
      </c>
      <c r="N2165" s="36">
        <v>820</v>
      </c>
      <c r="O2165" s="36">
        <v>4</v>
      </c>
      <c r="P2165" s="2">
        <f t="shared" si="1140"/>
        <v>6344</v>
      </c>
      <c r="Q2165" s="2" t="s">
        <v>105</v>
      </c>
      <c r="S2165" s="36" t="str">
        <f t="shared" si="1141"/>
        <v>2820</v>
      </c>
    </row>
    <row r="2166" spans="1:19" x14ac:dyDescent="0.2">
      <c r="A2166" s="8" t="str">
        <f t="shared" si="1129"/>
        <v>40012610</v>
      </c>
      <c r="B2166" s="8">
        <v>4001</v>
      </c>
      <c r="C2166" s="8">
        <v>26</v>
      </c>
      <c r="D2166" s="8" t="s">
        <v>62</v>
      </c>
      <c r="E2166" s="8">
        <v>0</v>
      </c>
      <c r="F2166" s="34">
        <f>ROUNDDOWN($P2166/4*$O2166*10*$N2166/$N2166*$Q2166/400,0)</f>
        <v>16191</v>
      </c>
      <c r="G2166" s="34">
        <f>ROUNDDOWN($P2166/4*$O2166*10*$N2166/$N2166*$Q2166/400,0)</f>
        <v>16191</v>
      </c>
      <c r="H2166" s="34">
        <f t="shared" si="1091"/>
        <v>7020</v>
      </c>
      <c r="I2166" s="34">
        <f t="shared" si="1091"/>
        <v>7020</v>
      </c>
      <c r="J2166" s="34">
        <f>ROUNDDOWN($P2166/4*$O2166*10*$N2166/$Q2166*$N2166/400,0)</f>
        <v>24543</v>
      </c>
      <c r="K2166" s="133">
        <v>1000</v>
      </c>
      <c r="L2166" s="34"/>
      <c r="M2166" s="16">
        <f t="shared" si="1120"/>
        <v>4225.3160868346886</v>
      </c>
      <c r="N2166" s="36">
        <v>900</v>
      </c>
      <c r="O2166" s="36">
        <v>0.5</v>
      </c>
      <c r="P2166" s="47">
        <v>7088</v>
      </c>
      <c r="Q2166" s="2" t="s">
        <v>105</v>
      </c>
      <c r="S2166" s="36" t="s">
        <v>161</v>
      </c>
    </row>
    <row r="2167" spans="1:19" x14ac:dyDescent="0.2">
      <c r="A2167" s="8" t="str">
        <f t="shared" si="1129"/>
        <v>40012611</v>
      </c>
      <c r="B2167" s="8">
        <v>4001</v>
      </c>
      <c r="C2167" s="8">
        <v>26</v>
      </c>
      <c r="D2167" s="8" t="s">
        <v>62</v>
      </c>
      <c r="E2167" s="8">
        <v>1</v>
      </c>
      <c r="F2167" s="34">
        <f t="shared" ref="F2167:G2170" si="1142">ROUNDDOWN($P2167/4*$O2167*10*$N2167/$N2167*$Q2167/400,0)</f>
        <v>32383</v>
      </c>
      <c r="G2167" s="34">
        <f t="shared" si="1142"/>
        <v>32383</v>
      </c>
      <c r="H2167" s="34">
        <f t="shared" si="1091"/>
        <v>7020</v>
      </c>
      <c r="I2167" s="34">
        <f t="shared" si="1091"/>
        <v>7020</v>
      </c>
      <c r="J2167" s="34">
        <f t="shared" ref="J2167:J2170" si="1143">ROUNDDOWN($P2167/4*$O2167*10*$N2167/$Q2167*$N2167/400,0)</f>
        <v>46930</v>
      </c>
      <c r="K2167" s="133">
        <v>1000</v>
      </c>
      <c r="L2167" s="34"/>
      <c r="M2167" s="16">
        <f t="shared" si="1120"/>
        <v>8263.0876606943984</v>
      </c>
      <c r="N2167" s="36">
        <v>880</v>
      </c>
      <c r="O2167" s="36">
        <v>1</v>
      </c>
      <c r="P2167" s="2">
        <f>P2166</f>
        <v>7088</v>
      </c>
      <c r="Q2167" s="2" t="s">
        <v>105</v>
      </c>
      <c r="S2167" s="36" t="str">
        <f>S2166</f>
        <v>2808</v>
      </c>
    </row>
    <row r="2168" spans="1:19" x14ac:dyDescent="0.2">
      <c r="A2168" s="8" t="str">
        <f t="shared" si="1129"/>
        <v>40012612</v>
      </c>
      <c r="B2168" s="8">
        <v>4001</v>
      </c>
      <c r="C2168" s="8">
        <v>26</v>
      </c>
      <c r="D2168" s="8" t="s">
        <v>62</v>
      </c>
      <c r="E2168" s="8">
        <v>2</v>
      </c>
      <c r="F2168" s="34">
        <f t="shared" si="1142"/>
        <v>64766</v>
      </c>
      <c r="G2168" s="34">
        <f t="shared" si="1142"/>
        <v>64766</v>
      </c>
      <c r="H2168" s="34">
        <f t="shared" si="1091"/>
        <v>7020</v>
      </c>
      <c r="I2168" s="34">
        <f t="shared" si="1091"/>
        <v>7020</v>
      </c>
      <c r="J2168" s="34">
        <f t="shared" si="1143"/>
        <v>89642</v>
      </c>
      <c r="K2168" s="133">
        <v>1000</v>
      </c>
      <c r="L2168" s="34"/>
      <c r="M2168" s="16">
        <f t="shared" si="1120"/>
        <v>16150.569818691103</v>
      </c>
      <c r="N2168" s="36">
        <v>860</v>
      </c>
      <c r="O2168" s="36">
        <v>2</v>
      </c>
      <c r="P2168" s="2">
        <f t="shared" ref="P2168:P2170" si="1144">P2167</f>
        <v>7088</v>
      </c>
      <c r="Q2168" s="2" t="s">
        <v>105</v>
      </c>
      <c r="S2168" s="36" t="str">
        <f t="shared" ref="S2168:S2170" si="1145">S2167</f>
        <v>2808</v>
      </c>
    </row>
    <row r="2169" spans="1:19" x14ac:dyDescent="0.2">
      <c r="A2169" s="8" t="str">
        <f t="shared" si="1129"/>
        <v>40012613</v>
      </c>
      <c r="B2169" s="8">
        <v>4001</v>
      </c>
      <c r="C2169" s="8">
        <v>26</v>
      </c>
      <c r="D2169" s="8" t="s">
        <v>62</v>
      </c>
      <c r="E2169" s="8">
        <v>3</v>
      </c>
      <c r="F2169" s="34">
        <f t="shared" si="1142"/>
        <v>97149</v>
      </c>
      <c r="G2169" s="34">
        <f t="shared" si="1142"/>
        <v>97149</v>
      </c>
      <c r="H2169" s="34">
        <f t="shared" ref="H2169:I2235" si="1146">ROUNDDOWN($S2169/4*10,0)</f>
        <v>7020</v>
      </c>
      <c r="I2169" s="34">
        <f t="shared" si="1146"/>
        <v>7020</v>
      </c>
      <c r="J2169" s="34">
        <f t="shared" si="1143"/>
        <v>128282</v>
      </c>
      <c r="K2169" s="133">
        <v>1000</v>
      </c>
      <c r="L2169" s="34"/>
      <c r="M2169" s="16">
        <f t="shared" si="1120"/>
        <v>23662.496975439935</v>
      </c>
      <c r="N2169" s="36">
        <v>840</v>
      </c>
      <c r="O2169" s="36">
        <v>3</v>
      </c>
      <c r="P2169" s="2">
        <f t="shared" si="1144"/>
        <v>7088</v>
      </c>
      <c r="Q2169" s="2" t="s">
        <v>105</v>
      </c>
      <c r="S2169" s="36" t="str">
        <f t="shared" si="1145"/>
        <v>2808</v>
      </c>
    </row>
    <row r="2170" spans="1:19" x14ac:dyDescent="0.2">
      <c r="A2170" s="8" t="str">
        <f t="shared" si="1129"/>
        <v>40012614</v>
      </c>
      <c r="B2170" s="8">
        <v>4001</v>
      </c>
      <c r="C2170" s="8">
        <v>26</v>
      </c>
      <c r="D2170" s="8" t="s">
        <v>62</v>
      </c>
      <c r="E2170" s="8">
        <v>4</v>
      </c>
      <c r="F2170" s="34">
        <f t="shared" si="1142"/>
        <v>129533</v>
      </c>
      <c r="G2170" s="34">
        <f t="shared" si="1142"/>
        <v>129533</v>
      </c>
      <c r="H2170" s="34">
        <f t="shared" si="1146"/>
        <v>7020</v>
      </c>
      <c r="I2170" s="34">
        <f t="shared" si="1146"/>
        <v>7020</v>
      </c>
      <c r="J2170" s="34">
        <f t="shared" si="1143"/>
        <v>162994</v>
      </c>
      <c r="K2170" s="133">
        <v>1000</v>
      </c>
      <c r="L2170" s="34"/>
      <c r="M2170" s="16">
        <f t="shared" si="1120"/>
        <v>30798.854487793149</v>
      </c>
      <c r="N2170" s="36">
        <v>820</v>
      </c>
      <c r="O2170" s="36">
        <v>4</v>
      </c>
      <c r="P2170" s="2">
        <f t="shared" si="1144"/>
        <v>7088</v>
      </c>
      <c r="Q2170" s="2" t="s">
        <v>105</v>
      </c>
      <c r="S2170" s="36" t="str">
        <f t="shared" si="1145"/>
        <v>2808</v>
      </c>
    </row>
    <row r="2171" spans="1:19" x14ac:dyDescent="0.2">
      <c r="A2171" s="8" t="str">
        <f t="shared" si="1129"/>
        <v>40012710</v>
      </c>
      <c r="B2171" s="8">
        <v>4001</v>
      </c>
      <c r="C2171" s="8">
        <v>27</v>
      </c>
      <c r="D2171" s="8" t="s">
        <v>62</v>
      </c>
      <c r="E2171" s="8">
        <v>0</v>
      </c>
      <c r="F2171" s="34">
        <f>ROUNDDOWN($P2171/4*$O2171*10*$N2171/$N2171*$Q2171/400,0)</f>
        <v>17900</v>
      </c>
      <c r="G2171" s="34">
        <f>ROUNDDOWN($P2171/4*$O2171*10*$N2171/$N2171*$Q2171/400,0)</f>
        <v>17900</v>
      </c>
      <c r="H2171" s="34">
        <f t="shared" si="1146"/>
        <v>7350</v>
      </c>
      <c r="I2171" s="34">
        <f t="shared" si="1146"/>
        <v>7350</v>
      </c>
      <c r="J2171" s="34">
        <f>ROUNDDOWN($P2171/4*$O2171*10*$N2171/$Q2171*$N2171/400,0)</f>
        <v>27133</v>
      </c>
      <c r="K2171" s="133">
        <v>1000</v>
      </c>
      <c r="L2171" s="34"/>
      <c r="M2171" s="16">
        <f t="shared" si="1120"/>
        <v>4779.7928959317896</v>
      </c>
      <c r="N2171" s="36">
        <v>900</v>
      </c>
      <c r="O2171" s="36">
        <v>0.5</v>
      </c>
      <c r="P2171" s="47">
        <v>7836</v>
      </c>
      <c r="Q2171" s="2" t="s">
        <v>105</v>
      </c>
      <c r="S2171" s="36" t="s">
        <v>162</v>
      </c>
    </row>
    <row r="2172" spans="1:19" x14ac:dyDescent="0.2">
      <c r="A2172" s="8" t="str">
        <f t="shared" si="1129"/>
        <v>40012711</v>
      </c>
      <c r="B2172" s="8">
        <v>4001</v>
      </c>
      <c r="C2172" s="8">
        <v>27</v>
      </c>
      <c r="D2172" s="8" t="s">
        <v>62</v>
      </c>
      <c r="E2172" s="8">
        <v>1</v>
      </c>
      <c r="F2172" s="34">
        <f t="shared" ref="F2172:G2175" si="1147">ROUNDDOWN($P2172/4*$O2172*10*$N2172/$N2172*$Q2172/400,0)</f>
        <v>35800</v>
      </c>
      <c r="G2172" s="34">
        <f t="shared" si="1147"/>
        <v>35800</v>
      </c>
      <c r="H2172" s="34">
        <f t="shared" si="1146"/>
        <v>7350</v>
      </c>
      <c r="I2172" s="34">
        <f t="shared" si="1146"/>
        <v>7350</v>
      </c>
      <c r="J2172" s="34">
        <f t="shared" ref="J2172:J2175" si="1148">ROUNDDOWN($P2172/4*$O2172*10*$N2172/$Q2172*$N2172/400,0)</f>
        <v>51882</v>
      </c>
      <c r="K2172" s="133">
        <v>1000</v>
      </c>
      <c r="L2172" s="34"/>
      <c r="M2172" s="16">
        <f t="shared" si="1120"/>
        <v>9347.2428140067059</v>
      </c>
      <c r="N2172" s="36">
        <v>880</v>
      </c>
      <c r="O2172" s="36">
        <v>1</v>
      </c>
      <c r="P2172" s="2">
        <f>P2171</f>
        <v>7836</v>
      </c>
      <c r="Q2172" s="2" t="s">
        <v>105</v>
      </c>
      <c r="S2172" s="36" t="str">
        <f>S2171</f>
        <v>2940</v>
      </c>
    </row>
    <row r="2173" spans="1:19" x14ac:dyDescent="0.2">
      <c r="A2173" s="8" t="str">
        <f t="shared" si="1129"/>
        <v>40012712</v>
      </c>
      <c r="B2173" s="8">
        <v>4001</v>
      </c>
      <c r="C2173" s="8">
        <v>27</v>
      </c>
      <c r="D2173" s="8" t="s">
        <v>62</v>
      </c>
      <c r="E2173" s="8">
        <v>2</v>
      </c>
      <c r="F2173" s="34">
        <f t="shared" si="1147"/>
        <v>71601</v>
      </c>
      <c r="G2173" s="34">
        <f t="shared" si="1147"/>
        <v>71601</v>
      </c>
      <c r="H2173" s="34">
        <f t="shared" si="1146"/>
        <v>7350</v>
      </c>
      <c r="I2173" s="34">
        <f t="shared" si="1146"/>
        <v>7350</v>
      </c>
      <c r="J2173" s="34">
        <f t="shared" si="1148"/>
        <v>99102</v>
      </c>
      <c r="K2173" s="133">
        <v>1000</v>
      </c>
      <c r="L2173" s="34"/>
      <c r="M2173" s="16">
        <f t="shared" si="1120"/>
        <v>18269.825951170962</v>
      </c>
      <c r="N2173" s="36">
        <v>860</v>
      </c>
      <c r="O2173" s="36">
        <v>2</v>
      </c>
      <c r="P2173" s="2">
        <f t="shared" ref="P2173:P2175" si="1149">P2172</f>
        <v>7836</v>
      </c>
      <c r="Q2173" s="2" t="s">
        <v>105</v>
      </c>
      <c r="S2173" s="36" t="str">
        <f t="shared" ref="S2173:S2175" si="1150">S2172</f>
        <v>2940</v>
      </c>
    </row>
    <row r="2174" spans="1:19" x14ac:dyDescent="0.2">
      <c r="A2174" s="8" t="str">
        <f t="shared" si="1129"/>
        <v>40012713</v>
      </c>
      <c r="B2174" s="8">
        <v>4001</v>
      </c>
      <c r="C2174" s="8">
        <v>27</v>
      </c>
      <c r="D2174" s="8" t="s">
        <v>62</v>
      </c>
      <c r="E2174" s="8">
        <v>3</v>
      </c>
      <c r="F2174" s="34">
        <f t="shared" si="1147"/>
        <v>107402</v>
      </c>
      <c r="G2174" s="34">
        <f t="shared" si="1147"/>
        <v>107402</v>
      </c>
      <c r="H2174" s="34">
        <f t="shared" si="1146"/>
        <v>7350</v>
      </c>
      <c r="I2174" s="34">
        <f t="shared" si="1146"/>
        <v>7350</v>
      </c>
      <c r="J2174" s="34">
        <f t="shared" si="1148"/>
        <v>141819</v>
      </c>
      <c r="K2174" s="133">
        <v>1000</v>
      </c>
      <c r="L2174" s="34"/>
      <c r="M2174" s="16">
        <f t="shared" si="1120"/>
        <v>26767.453090563547</v>
      </c>
      <c r="N2174" s="36">
        <v>840</v>
      </c>
      <c r="O2174" s="36">
        <v>3</v>
      </c>
      <c r="P2174" s="2">
        <f t="shared" si="1149"/>
        <v>7836</v>
      </c>
      <c r="Q2174" s="2" t="s">
        <v>105</v>
      </c>
      <c r="S2174" s="36" t="str">
        <f t="shared" si="1150"/>
        <v>2940</v>
      </c>
    </row>
    <row r="2175" spans="1:19" x14ac:dyDescent="0.2">
      <c r="A2175" s="8" t="str">
        <f t="shared" si="1129"/>
        <v>40012714</v>
      </c>
      <c r="B2175" s="8">
        <v>4001</v>
      </c>
      <c r="C2175" s="8">
        <v>27</v>
      </c>
      <c r="D2175" s="8" t="s">
        <v>62</v>
      </c>
      <c r="E2175" s="8">
        <v>4</v>
      </c>
      <c r="F2175" s="34">
        <f t="shared" si="1147"/>
        <v>143202</v>
      </c>
      <c r="G2175" s="34">
        <f t="shared" si="1147"/>
        <v>143202</v>
      </c>
      <c r="H2175" s="34">
        <f t="shared" si="1146"/>
        <v>7350</v>
      </c>
      <c r="I2175" s="34">
        <f t="shared" si="1146"/>
        <v>7350</v>
      </c>
      <c r="J2175" s="34">
        <f t="shared" si="1148"/>
        <v>180195</v>
      </c>
      <c r="K2175" s="133">
        <v>1000</v>
      </c>
      <c r="L2175" s="34"/>
      <c r="M2175" s="16">
        <f t="shared" si="1120"/>
        <v>34840.113916369446</v>
      </c>
      <c r="N2175" s="36">
        <v>820</v>
      </c>
      <c r="O2175" s="36">
        <v>4</v>
      </c>
      <c r="P2175" s="2">
        <f t="shared" si="1149"/>
        <v>7836</v>
      </c>
      <c r="Q2175" s="2" t="s">
        <v>105</v>
      </c>
      <c r="S2175" s="36" t="str">
        <f t="shared" si="1150"/>
        <v>2940</v>
      </c>
    </row>
    <row r="2176" spans="1:19" x14ac:dyDescent="0.2">
      <c r="A2176" s="8" t="str">
        <f t="shared" si="1129"/>
        <v>40012810</v>
      </c>
      <c r="B2176" s="8">
        <v>4001</v>
      </c>
      <c r="C2176" s="8">
        <v>28</v>
      </c>
      <c r="D2176" s="8" t="s">
        <v>62</v>
      </c>
      <c r="E2176" s="8">
        <v>0</v>
      </c>
      <c r="F2176" s="34">
        <f>ROUNDDOWN($P2176/4*$O2176*10*$N2176/$N2176*$Q2176/400,0)</f>
        <v>20303</v>
      </c>
      <c r="G2176" s="34">
        <f>ROUNDDOWN($P2176/4*$O2176*10*$N2176/$N2176*$Q2176/400,0)</f>
        <v>20303</v>
      </c>
      <c r="H2176" s="34">
        <f t="shared" si="1146"/>
        <v>8040</v>
      </c>
      <c r="I2176" s="34">
        <f t="shared" si="1146"/>
        <v>8040</v>
      </c>
      <c r="J2176" s="34">
        <f>ROUNDDOWN($P2176/4*$O2176*10*$N2176/$Q2176*$N2176/400,0)</f>
        <v>30776</v>
      </c>
      <c r="K2176" s="133">
        <v>1000</v>
      </c>
      <c r="L2176" s="34"/>
      <c r="M2176" s="16">
        <f t="shared" si="1120"/>
        <v>5670.2760873142679</v>
      </c>
      <c r="N2176" s="36">
        <v>900</v>
      </c>
      <c r="O2176" s="36">
        <v>0.5</v>
      </c>
      <c r="P2176" s="47">
        <v>8888</v>
      </c>
      <c r="Q2176" s="2" t="s">
        <v>105</v>
      </c>
      <c r="S2176" s="36" t="s">
        <v>163</v>
      </c>
    </row>
    <row r="2177" spans="1:19" x14ac:dyDescent="0.2">
      <c r="A2177" s="8" t="str">
        <f t="shared" si="1129"/>
        <v>40012811</v>
      </c>
      <c r="B2177" s="8">
        <v>4001</v>
      </c>
      <c r="C2177" s="8">
        <v>28</v>
      </c>
      <c r="D2177" s="8" t="s">
        <v>62</v>
      </c>
      <c r="E2177" s="8">
        <v>1</v>
      </c>
      <c r="F2177" s="34">
        <f t="shared" ref="F2177:G2180" si="1151">ROUNDDOWN($P2177/4*$O2177*10*$N2177/$N2177*$Q2177/400,0)</f>
        <v>40607</v>
      </c>
      <c r="G2177" s="34">
        <f t="shared" si="1151"/>
        <v>40607</v>
      </c>
      <c r="H2177" s="34">
        <f t="shared" si="1146"/>
        <v>8040</v>
      </c>
      <c r="I2177" s="34">
        <f t="shared" si="1146"/>
        <v>8040</v>
      </c>
      <c r="J2177" s="34">
        <f t="shared" ref="J2177:J2180" si="1152">ROUNDDOWN($P2177/4*$O2177*10*$N2177/$Q2177*$N2177/400,0)</f>
        <v>58848</v>
      </c>
      <c r="K2177" s="133">
        <v>1000</v>
      </c>
      <c r="L2177" s="34"/>
      <c r="M2177" s="16">
        <f t="shared" si="1120"/>
        <v>11088.794060294204</v>
      </c>
      <c r="N2177" s="36">
        <v>880</v>
      </c>
      <c r="O2177" s="36">
        <v>1</v>
      </c>
      <c r="P2177" s="2">
        <f>P2176</f>
        <v>8888</v>
      </c>
      <c r="Q2177" s="2" t="s">
        <v>105</v>
      </c>
      <c r="S2177" s="36" t="str">
        <f>S2176</f>
        <v>3216</v>
      </c>
    </row>
    <row r="2178" spans="1:19" x14ac:dyDescent="0.2">
      <c r="A2178" s="8" t="str">
        <f t="shared" si="1129"/>
        <v>40012812</v>
      </c>
      <c r="B2178" s="8">
        <v>4001</v>
      </c>
      <c r="C2178" s="8">
        <v>28</v>
      </c>
      <c r="D2178" s="8" t="s">
        <v>62</v>
      </c>
      <c r="E2178" s="8">
        <v>2</v>
      </c>
      <c r="F2178" s="34">
        <f t="shared" si="1151"/>
        <v>81214</v>
      </c>
      <c r="G2178" s="34">
        <f t="shared" si="1151"/>
        <v>81214</v>
      </c>
      <c r="H2178" s="34">
        <f t="shared" si="1146"/>
        <v>8040</v>
      </c>
      <c r="I2178" s="34">
        <f t="shared" si="1146"/>
        <v>8040</v>
      </c>
      <c r="J2178" s="34">
        <f t="shared" si="1152"/>
        <v>112407</v>
      </c>
      <c r="K2178" s="133">
        <v>1000</v>
      </c>
      <c r="L2178" s="34"/>
      <c r="M2178" s="16">
        <f t="shared" si="1120"/>
        <v>21673.554417185198</v>
      </c>
      <c r="N2178" s="36">
        <v>860</v>
      </c>
      <c r="O2178" s="36">
        <v>2</v>
      </c>
      <c r="P2178" s="2">
        <f t="shared" ref="P2178:P2180" si="1153">P2177</f>
        <v>8888</v>
      </c>
      <c r="Q2178" s="2" t="s">
        <v>105</v>
      </c>
      <c r="S2178" s="36" t="str">
        <f t="shared" ref="S2178:S2180" si="1154">S2177</f>
        <v>3216</v>
      </c>
    </row>
    <row r="2179" spans="1:19" x14ac:dyDescent="0.2">
      <c r="A2179" s="8" t="str">
        <f t="shared" si="1129"/>
        <v>40012813</v>
      </c>
      <c r="B2179" s="8">
        <v>4001</v>
      </c>
      <c r="C2179" s="8">
        <v>28</v>
      </c>
      <c r="D2179" s="8" t="s">
        <v>62</v>
      </c>
      <c r="E2179" s="8">
        <v>3</v>
      </c>
      <c r="F2179" s="34">
        <f t="shared" si="1151"/>
        <v>121821</v>
      </c>
      <c r="G2179" s="34">
        <f t="shared" si="1151"/>
        <v>121821</v>
      </c>
      <c r="H2179" s="34">
        <f t="shared" si="1146"/>
        <v>8040</v>
      </c>
      <c r="I2179" s="34">
        <f t="shared" si="1146"/>
        <v>8040</v>
      </c>
      <c r="J2179" s="34">
        <f t="shared" si="1152"/>
        <v>160859</v>
      </c>
      <c r="K2179" s="133">
        <v>1000</v>
      </c>
      <c r="L2179" s="34"/>
      <c r="M2179" s="16">
        <f t="shared" si="1120"/>
        <v>31754.243718312428</v>
      </c>
      <c r="N2179" s="36">
        <v>840</v>
      </c>
      <c r="O2179" s="36">
        <v>3</v>
      </c>
      <c r="P2179" s="2">
        <f t="shared" si="1153"/>
        <v>8888</v>
      </c>
      <c r="Q2179" s="2" t="s">
        <v>105</v>
      </c>
      <c r="S2179" s="36" t="str">
        <f t="shared" si="1154"/>
        <v>3216</v>
      </c>
    </row>
    <row r="2180" spans="1:19" x14ac:dyDescent="0.2">
      <c r="A2180" s="8" t="str">
        <f t="shared" si="1129"/>
        <v>40012814</v>
      </c>
      <c r="B2180" s="8">
        <v>4001</v>
      </c>
      <c r="C2180" s="8">
        <v>28</v>
      </c>
      <c r="D2180" s="8" t="s">
        <v>62</v>
      </c>
      <c r="E2180" s="8">
        <v>4</v>
      </c>
      <c r="F2180" s="34">
        <f t="shared" si="1151"/>
        <v>162428</v>
      </c>
      <c r="G2180" s="34">
        <f t="shared" si="1151"/>
        <v>162428</v>
      </c>
      <c r="H2180" s="34">
        <f t="shared" si="1146"/>
        <v>8040</v>
      </c>
      <c r="I2180" s="34">
        <f t="shared" si="1146"/>
        <v>8040</v>
      </c>
      <c r="J2180" s="34">
        <f t="shared" si="1152"/>
        <v>204387</v>
      </c>
      <c r="K2180" s="133">
        <v>1000</v>
      </c>
      <c r="L2180" s="34"/>
      <c r="M2180" s="16">
        <f t="shared" si="1120"/>
        <v>41330.922076600429</v>
      </c>
      <c r="N2180" s="36">
        <v>820</v>
      </c>
      <c r="O2180" s="36">
        <v>4</v>
      </c>
      <c r="P2180" s="2">
        <f t="shared" si="1153"/>
        <v>8888</v>
      </c>
      <c r="Q2180" s="2" t="s">
        <v>105</v>
      </c>
      <c r="S2180" s="36" t="str">
        <f t="shared" si="1154"/>
        <v>3216</v>
      </c>
    </row>
    <row r="2181" spans="1:19" x14ac:dyDescent="0.2">
      <c r="A2181" s="8" t="str">
        <f t="shared" si="1129"/>
        <v>40012910</v>
      </c>
      <c r="B2181" s="8">
        <v>4001</v>
      </c>
      <c r="C2181" s="8">
        <v>29</v>
      </c>
      <c r="D2181" s="8" t="s">
        <v>62</v>
      </c>
      <c r="E2181" s="8">
        <v>0</v>
      </c>
      <c r="F2181" s="34">
        <f>ROUNDDOWN($P2181/4*$O2181*10*$N2181/$N2181*$Q2181/400,0)</f>
        <v>21838</v>
      </c>
      <c r="G2181" s="34">
        <f>ROUNDDOWN($P2181/4*$O2181*10*$N2181/$N2181*$Q2181/400,0)</f>
        <v>21838</v>
      </c>
      <c r="H2181" s="34">
        <f t="shared" si="1146"/>
        <v>8430</v>
      </c>
      <c r="I2181" s="34">
        <f t="shared" si="1146"/>
        <v>8430</v>
      </c>
      <c r="J2181" s="34">
        <f>ROUNDDOWN($P2181/4*$O2181*10*$N2181/$Q2181*$N2181/400,0)</f>
        <v>33103</v>
      </c>
      <c r="K2181" s="133">
        <v>1000</v>
      </c>
      <c r="L2181" s="34"/>
      <c r="M2181" s="16">
        <f t="shared" si="1120"/>
        <v>6245.1644971872438</v>
      </c>
      <c r="N2181" s="36">
        <v>900</v>
      </c>
      <c r="O2181" s="36">
        <v>0.5</v>
      </c>
      <c r="P2181" s="47">
        <v>9560</v>
      </c>
      <c r="Q2181" s="2" t="s">
        <v>105</v>
      </c>
      <c r="S2181" s="36" t="s">
        <v>164</v>
      </c>
    </row>
    <row r="2182" spans="1:19" x14ac:dyDescent="0.2">
      <c r="A2182" s="8" t="str">
        <f t="shared" si="1129"/>
        <v>40012911</v>
      </c>
      <c r="B2182" s="8">
        <v>4001</v>
      </c>
      <c r="C2182" s="8">
        <v>29</v>
      </c>
      <c r="D2182" s="8" t="s">
        <v>62</v>
      </c>
      <c r="E2182" s="8">
        <v>1</v>
      </c>
      <c r="F2182" s="34">
        <f t="shared" ref="F2182:G2185" si="1155">ROUNDDOWN($P2182/4*$O2182*10*$N2182/$N2182*$Q2182/400,0)</f>
        <v>43677</v>
      </c>
      <c r="G2182" s="34">
        <f t="shared" si="1155"/>
        <v>43677</v>
      </c>
      <c r="H2182" s="34">
        <f t="shared" si="1146"/>
        <v>8430</v>
      </c>
      <c r="I2182" s="34">
        <f t="shared" si="1146"/>
        <v>8430</v>
      </c>
      <c r="J2182" s="34">
        <f t="shared" ref="J2182:J2185" si="1156">ROUNDDOWN($P2182/4*$O2182*10*$N2182/$Q2182*$N2182/400,0)</f>
        <v>63297</v>
      </c>
      <c r="K2182" s="133">
        <v>1000</v>
      </c>
      <c r="L2182" s="34"/>
      <c r="M2182" s="16">
        <f t="shared" si="1120"/>
        <v>12212.982593072342</v>
      </c>
      <c r="N2182" s="36">
        <v>880</v>
      </c>
      <c r="O2182" s="36">
        <v>1</v>
      </c>
      <c r="P2182" s="2">
        <f>P2181</f>
        <v>9560</v>
      </c>
      <c r="Q2182" s="2" t="s">
        <v>105</v>
      </c>
      <c r="S2182" s="36" t="str">
        <f>S2181</f>
        <v>3372</v>
      </c>
    </row>
    <row r="2183" spans="1:19" x14ac:dyDescent="0.2">
      <c r="A2183" s="8" t="str">
        <f t="shared" si="1129"/>
        <v>40012912</v>
      </c>
      <c r="B2183" s="8">
        <v>4001</v>
      </c>
      <c r="C2183" s="8">
        <v>29</v>
      </c>
      <c r="D2183" s="8" t="s">
        <v>62</v>
      </c>
      <c r="E2183" s="8">
        <v>2</v>
      </c>
      <c r="F2183" s="34">
        <f t="shared" si="1155"/>
        <v>87354</v>
      </c>
      <c r="G2183" s="34">
        <f t="shared" si="1155"/>
        <v>87354</v>
      </c>
      <c r="H2183" s="34">
        <f t="shared" si="1146"/>
        <v>8430</v>
      </c>
      <c r="I2183" s="34">
        <f t="shared" si="1146"/>
        <v>8430</v>
      </c>
      <c r="J2183" s="34">
        <f t="shared" si="1156"/>
        <v>120905</v>
      </c>
      <c r="K2183" s="133">
        <v>1000</v>
      </c>
      <c r="L2183" s="34"/>
      <c r="M2183" s="16">
        <f t="shared" si="1120"/>
        <v>23870.818089923945</v>
      </c>
      <c r="N2183" s="36">
        <v>860</v>
      </c>
      <c r="O2183" s="36">
        <v>2</v>
      </c>
      <c r="P2183" s="2">
        <f t="shared" ref="P2183:P2185" si="1157">P2182</f>
        <v>9560</v>
      </c>
      <c r="Q2183" s="2" t="s">
        <v>105</v>
      </c>
      <c r="S2183" s="36" t="str">
        <f t="shared" ref="S2183:S2185" si="1158">S2182</f>
        <v>3372</v>
      </c>
    </row>
    <row r="2184" spans="1:19" x14ac:dyDescent="0.2">
      <c r="A2184" s="8" t="str">
        <f t="shared" si="1129"/>
        <v>40012913</v>
      </c>
      <c r="B2184" s="8">
        <v>4001</v>
      </c>
      <c r="C2184" s="8">
        <v>29</v>
      </c>
      <c r="D2184" s="8" t="s">
        <v>62</v>
      </c>
      <c r="E2184" s="8">
        <v>3</v>
      </c>
      <c r="F2184" s="34">
        <f t="shared" si="1155"/>
        <v>131031</v>
      </c>
      <c r="G2184" s="34">
        <f t="shared" si="1155"/>
        <v>131031</v>
      </c>
      <c r="H2184" s="34">
        <f t="shared" si="1146"/>
        <v>8430</v>
      </c>
      <c r="I2184" s="34">
        <f t="shared" si="1146"/>
        <v>8430</v>
      </c>
      <c r="J2184" s="34">
        <f t="shared" si="1156"/>
        <v>173021</v>
      </c>
      <c r="K2184" s="133">
        <v>1000</v>
      </c>
      <c r="L2184" s="34"/>
      <c r="M2184" s="16">
        <f t="shared" si="1120"/>
        <v>34973.589716395312</v>
      </c>
      <c r="N2184" s="36">
        <v>840</v>
      </c>
      <c r="O2184" s="36">
        <v>3</v>
      </c>
      <c r="P2184" s="2">
        <f t="shared" si="1157"/>
        <v>9560</v>
      </c>
      <c r="Q2184" s="2" t="s">
        <v>105</v>
      </c>
      <c r="S2184" s="36" t="str">
        <f t="shared" si="1158"/>
        <v>3372</v>
      </c>
    </row>
    <row r="2185" spans="1:19" x14ac:dyDescent="0.2">
      <c r="A2185" s="8" t="str">
        <f t="shared" si="1129"/>
        <v>40012914</v>
      </c>
      <c r="B2185" s="8">
        <v>4001</v>
      </c>
      <c r="C2185" s="8">
        <v>29</v>
      </c>
      <c r="D2185" s="8" t="s">
        <v>62</v>
      </c>
      <c r="E2185" s="8">
        <v>4</v>
      </c>
      <c r="F2185" s="34">
        <f t="shared" si="1155"/>
        <v>174709</v>
      </c>
      <c r="G2185" s="34">
        <f t="shared" si="1155"/>
        <v>174709</v>
      </c>
      <c r="H2185" s="34">
        <f t="shared" si="1146"/>
        <v>8430</v>
      </c>
      <c r="I2185" s="34">
        <f t="shared" si="1146"/>
        <v>8430</v>
      </c>
      <c r="J2185" s="34">
        <f t="shared" si="1156"/>
        <v>219840</v>
      </c>
      <c r="K2185" s="133">
        <v>1000</v>
      </c>
      <c r="L2185" s="34"/>
      <c r="M2185" s="16">
        <f t="shared" si="1120"/>
        <v>45521.312030356952</v>
      </c>
      <c r="N2185" s="36">
        <v>820</v>
      </c>
      <c r="O2185" s="36">
        <v>4</v>
      </c>
      <c r="P2185" s="2">
        <f t="shared" si="1157"/>
        <v>9560</v>
      </c>
      <c r="Q2185" s="2" t="s">
        <v>105</v>
      </c>
      <c r="S2185" s="36" t="str">
        <f t="shared" si="1158"/>
        <v>3372</v>
      </c>
    </row>
    <row r="2186" spans="1:19" x14ac:dyDescent="0.2">
      <c r="A2186" s="8" t="str">
        <f t="shared" si="1129"/>
        <v>40013010</v>
      </c>
      <c r="B2186" s="8">
        <v>4001</v>
      </c>
      <c r="C2186" s="8">
        <v>30</v>
      </c>
      <c r="D2186" s="8" t="s">
        <v>62</v>
      </c>
      <c r="E2186" s="8">
        <v>0</v>
      </c>
      <c r="F2186" s="34">
        <f>ROUNDDOWN($P2186/4*$O2186*10*$N2186/$N2186*$Q2186/400,0)</f>
        <v>23501</v>
      </c>
      <c r="G2186" s="34">
        <f>ROUNDDOWN($P2186/4*$O2186*10*$N2186/$N2186*$Q2186/400,0)</f>
        <v>23501</v>
      </c>
      <c r="H2186" s="34">
        <f t="shared" si="1146"/>
        <v>8610</v>
      </c>
      <c r="I2186" s="34">
        <f t="shared" si="1146"/>
        <v>8610</v>
      </c>
      <c r="J2186" s="34">
        <f>ROUNDDOWN($P2186/4*$O2186*10*$N2186/$Q2186*$N2186/400,0)</f>
        <v>35624</v>
      </c>
      <c r="K2186" s="133">
        <v>1000</v>
      </c>
      <c r="L2186" s="34"/>
      <c r="M2186" s="16">
        <f t="shared" si="1120"/>
        <v>6792.1313356630553</v>
      </c>
      <c r="N2186" s="36">
        <v>900</v>
      </c>
      <c r="O2186" s="36">
        <v>0.5</v>
      </c>
      <c r="P2186" s="47">
        <v>10288</v>
      </c>
      <c r="Q2186" s="2" t="s">
        <v>105</v>
      </c>
      <c r="S2186" s="36" t="s">
        <v>165</v>
      </c>
    </row>
    <row r="2187" spans="1:19" x14ac:dyDescent="0.2">
      <c r="A2187" s="8" t="str">
        <f t="shared" si="1129"/>
        <v>40013011</v>
      </c>
      <c r="B2187" s="8">
        <v>4001</v>
      </c>
      <c r="C2187" s="8">
        <v>30</v>
      </c>
      <c r="D2187" s="8" t="s">
        <v>62</v>
      </c>
      <c r="E2187" s="8">
        <v>1</v>
      </c>
      <c r="F2187" s="34">
        <f t="shared" ref="F2187:G2202" si="1159">ROUNDDOWN($P2187/4*$O2187*10*$N2187/$N2187*$Q2187/400,0)</f>
        <v>47003</v>
      </c>
      <c r="G2187" s="34">
        <f t="shared" si="1159"/>
        <v>47003</v>
      </c>
      <c r="H2187" s="34">
        <f t="shared" si="1146"/>
        <v>8610</v>
      </c>
      <c r="I2187" s="34">
        <f t="shared" si="1146"/>
        <v>8610</v>
      </c>
      <c r="J2187" s="34">
        <f t="shared" ref="J2187:J2235" si="1160">ROUNDDOWN($P2187/4*$O2187*10*$N2187/$Q2187*$N2187/400,0)</f>
        <v>68117</v>
      </c>
      <c r="K2187" s="133">
        <v>1000</v>
      </c>
      <c r="L2187" s="34"/>
      <c r="M2187" s="16">
        <f t="shared" si="1120"/>
        <v>13282.56983619902</v>
      </c>
      <c r="N2187" s="36">
        <v>880</v>
      </c>
      <c r="O2187" s="36">
        <v>1</v>
      </c>
      <c r="P2187" s="2">
        <f>P2186</f>
        <v>10288</v>
      </c>
      <c r="Q2187" s="2" t="s">
        <v>105</v>
      </c>
      <c r="S2187" s="36" t="str">
        <f>S2186</f>
        <v>3444</v>
      </c>
    </row>
    <row r="2188" spans="1:19" x14ac:dyDescent="0.2">
      <c r="A2188" s="8" t="str">
        <f t="shared" si="1129"/>
        <v>40013012</v>
      </c>
      <c r="B2188" s="8">
        <v>4001</v>
      </c>
      <c r="C2188" s="8">
        <v>30</v>
      </c>
      <c r="D2188" s="8" t="s">
        <v>62</v>
      </c>
      <c r="E2188" s="8">
        <v>2</v>
      </c>
      <c r="F2188" s="34">
        <f t="shared" si="1159"/>
        <v>94006</v>
      </c>
      <c r="G2188" s="34">
        <f t="shared" si="1159"/>
        <v>94006</v>
      </c>
      <c r="H2188" s="34">
        <f t="shared" si="1146"/>
        <v>8610</v>
      </c>
      <c r="I2188" s="34">
        <f t="shared" si="1146"/>
        <v>8610</v>
      </c>
      <c r="J2188" s="34">
        <f t="shared" si="1160"/>
        <v>130112</v>
      </c>
      <c r="K2188" s="133">
        <v>1000</v>
      </c>
      <c r="L2188" s="34"/>
      <c r="M2188" s="16">
        <f t="shared" si="1120"/>
        <v>25961.395052305801</v>
      </c>
      <c r="N2188" s="36">
        <v>860</v>
      </c>
      <c r="O2188" s="36">
        <v>2</v>
      </c>
      <c r="P2188" s="2">
        <f t="shared" ref="P2188:P2190" si="1161">P2187</f>
        <v>10288</v>
      </c>
      <c r="Q2188" s="2" t="s">
        <v>105</v>
      </c>
      <c r="S2188" s="36" t="str">
        <f t="shared" ref="S2188:S2190" si="1162">S2187</f>
        <v>3444</v>
      </c>
    </row>
    <row r="2189" spans="1:19" x14ac:dyDescent="0.2">
      <c r="A2189" s="8" t="str">
        <f t="shared" si="1129"/>
        <v>40013013</v>
      </c>
      <c r="B2189" s="8">
        <v>4001</v>
      </c>
      <c r="C2189" s="8">
        <v>30</v>
      </c>
      <c r="D2189" s="8" t="s">
        <v>62</v>
      </c>
      <c r="E2189" s="8">
        <v>3</v>
      </c>
      <c r="F2189" s="34">
        <f t="shared" si="1159"/>
        <v>141009</v>
      </c>
      <c r="G2189" s="34">
        <f t="shared" si="1159"/>
        <v>141009</v>
      </c>
      <c r="H2189" s="34">
        <f t="shared" si="1146"/>
        <v>8610</v>
      </c>
      <c r="I2189" s="34">
        <f t="shared" si="1146"/>
        <v>8610</v>
      </c>
      <c r="J2189" s="34">
        <f t="shared" si="1160"/>
        <v>186197</v>
      </c>
      <c r="K2189" s="133">
        <v>1000</v>
      </c>
      <c r="L2189" s="34"/>
      <c r="M2189" s="16">
        <f t="shared" si="1120"/>
        <v>38036.567531829052</v>
      </c>
      <c r="N2189" s="36">
        <v>840</v>
      </c>
      <c r="O2189" s="36">
        <v>3</v>
      </c>
      <c r="P2189" s="2">
        <f t="shared" si="1161"/>
        <v>10288</v>
      </c>
      <c r="Q2189" s="2" t="s">
        <v>105</v>
      </c>
      <c r="S2189" s="36" t="str">
        <f t="shared" si="1162"/>
        <v>3444</v>
      </c>
    </row>
    <row r="2190" spans="1:19" x14ac:dyDescent="0.2">
      <c r="A2190" s="8" t="str">
        <f t="shared" si="1129"/>
        <v>40013014</v>
      </c>
      <c r="B2190" s="8">
        <v>4001</v>
      </c>
      <c r="C2190" s="8">
        <v>30</v>
      </c>
      <c r="D2190" s="8" t="s">
        <v>62</v>
      </c>
      <c r="E2190" s="8">
        <v>4</v>
      </c>
      <c r="F2190" s="34">
        <f t="shared" si="1159"/>
        <v>188013</v>
      </c>
      <c r="G2190" s="34">
        <f t="shared" si="1159"/>
        <v>188013</v>
      </c>
      <c r="H2190" s="34">
        <f t="shared" si="1146"/>
        <v>8610</v>
      </c>
      <c r="I2190" s="34">
        <f t="shared" si="1146"/>
        <v>8610</v>
      </c>
      <c r="J2190" s="34">
        <f t="shared" si="1160"/>
        <v>236581</v>
      </c>
      <c r="K2190" s="133">
        <v>1000</v>
      </c>
      <c r="L2190" s="34"/>
      <c r="M2190" s="16">
        <f t="shared" si="1120"/>
        <v>49508.005887780542</v>
      </c>
      <c r="N2190" s="36">
        <v>820</v>
      </c>
      <c r="O2190" s="36">
        <v>4</v>
      </c>
      <c r="P2190" s="2">
        <f t="shared" si="1161"/>
        <v>10288</v>
      </c>
      <c r="Q2190" s="2" t="s">
        <v>105</v>
      </c>
      <c r="S2190" s="36" t="str">
        <f t="shared" si="1162"/>
        <v>3444</v>
      </c>
    </row>
    <row r="2191" spans="1:19" x14ac:dyDescent="0.2">
      <c r="A2191" s="8" t="str">
        <f t="shared" si="1129"/>
        <v>40013110</v>
      </c>
      <c r="B2191" s="8">
        <v>4001</v>
      </c>
      <c r="C2191" s="8">
        <v>31</v>
      </c>
      <c r="D2191" s="8" t="s">
        <v>62</v>
      </c>
      <c r="E2191" s="8">
        <v>0</v>
      </c>
      <c r="F2191" s="34">
        <f>ROUNDDOWN($P2191/4*$O2191*10*$N2191/$N2191*$Q2191/400,0)</f>
        <v>25813</v>
      </c>
      <c r="G2191" s="34">
        <f>ROUNDDOWN($P2191/4*$O2191*10*$N2191/$N2191*$Q2191/400,0)</f>
        <v>25813</v>
      </c>
      <c r="H2191" s="34">
        <f t="shared" si="1146"/>
        <v>9165</v>
      </c>
      <c r="I2191" s="34">
        <f t="shared" si="1146"/>
        <v>9165</v>
      </c>
      <c r="J2191" s="34">
        <f>ROUNDDOWN($P2191/4*$O2191*10*$N2191/$Q2191*$N2191/400,0)</f>
        <v>39128</v>
      </c>
      <c r="K2191" s="133">
        <v>1000</v>
      </c>
      <c r="L2191" s="34"/>
      <c r="M2191" s="16">
        <f t="shared" si="1120"/>
        <v>7696.961021726951</v>
      </c>
      <c r="N2191" s="36">
        <v>900</v>
      </c>
      <c r="O2191" s="36">
        <v>0.5</v>
      </c>
      <c r="P2191" s="47">
        <v>11300</v>
      </c>
      <c r="Q2191" s="2" t="s">
        <v>103</v>
      </c>
      <c r="S2191" s="36" t="s">
        <v>176</v>
      </c>
    </row>
    <row r="2192" spans="1:19" x14ac:dyDescent="0.2">
      <c r="A2192" s="8" t="str">
        <f t="shared" si="1129"/>
        <v>40013111</v>
      </c>
      <c r="B2192" s="8">
        <v>4001</v>
      </c>
      <c r="C2192" s="8">
        <v>31</v>
      </c>
      <c r="D2192" s="8" t="s">
        <v>62</v>
      </c>
      <c r="E2192" s="8">
        <v>1</v>
      </c>
      <c r="F2192" s="34">
        <f t="shared" si="1159"/>
        <v>51626</v>
      </c>
      <c r="G2192" s="34">
        <f t="shared" si="1159"/>
        <v>51626</v>
      </c>
      <c r="H2192" s="34">
        <f t="shared" si="1146"/>
        <v>9165</v>
      </c>
      <c r="I2192" s="34">
        <f t="shared" si="1146"/>
        <v>9165</v>
      </c>
      <c r="J2192" s="34">
        <f t="shared" si="1160"/>
        <v>74818</v>
      </c>
      <c r="K2192" s="133">
        <v>1000</v>
      </c>
      <c r="L2192" s="34"/>
      <c r="M2192" s="16">
        <f t="shared" si="1120"/>
        <v>15051.975664762682</v>
      </c>
      <c r="N2192" s="36">
        <v>880</v>
      </c>
      <c r="O2192" s="36">
        <v>1</v>
      </c>
      <c r="P2192" s="2">
        <f>P2191</f>
        <v>11300</v>
      </c>
      <c r="Q2192" s="2" t="s">
        <v>103</v>
      </c>
      <c r="S2192" s="36" t="str">
        <f>S2191</f>
        <v>3666</v>
      </c>
    </row>
    <row r="2193" spans="1:19" x14ac:dyDescent="0.2">
      <c r="A2193" s="8" t="str">
        <f t="shared" si="1129"/>
        <v>40013112</v>
      </c>
      <c r="B2193" s="8">
        <v>4001</v>
      </c>
      <c r="C2193" s="8">
        <v>31</v>
      </c>
      <c r="D2193" s="8" t="s">
        <v>62</v>
      </c>
      <c r="E2193" s="8">
        <v>2</v>
      </c>
      <c r="F2193" s="34">
        <f t="shared" si="1159"/>
        <v>103253</v>
      </c>
      <c r="G2193" s="34">
        <f t="shared" si="1159"/>
        <v>103253</v>
      </c>
      <c r="H2193" s="34">
        <f t="shared" si="1146"/>
        <v>9165</v>
      </c>
      <c r="I2193" s="34">
        <f t="shared" si="1146"/>
        <v>9165</v>
      </c>
      <c r="J2193" s="34">
        <f t="shared" si="1160"/>
        <v>142911</v>
      </c>
      <c r="K2193" s="133">
        <v>1000</v>
      </c>
      <c r="L2193" s="34"/>
      <c r="M2193" s="16">
        <f t="shared" si="1120"/>
        <v>29419.845667760528</v>
      </c>
      <c r="N2193" s="36">
        <v>860</v>
      </c>
      <c r="O2193" s="36">
        <v>2</v>
      </c>
      <c r="P2193" s="2">
        <f t="shared" ref="P2193:P2195" si="1163">P2192</f>
        <v>11300</v>
      </c>
      <c r="Q2193" s="2" t="s">
        <v>103</v>
      </c>
      <c r="S2193" s="36" t="str">
        <f t="shared" ref="S2193:S2195" si="1164">S2192</f>
        <v>3666</v>
      </c>
    </row>
    <row r="2194" spans="1:19" x14ac:dyDescent="0.2">
      <c r="A2194" s="8" t="str">
        <f t="shared" si="1129"/>
        <v>40013113</v>
      </c>
      <c r="B2194" s="8">
        <v>4001</v>
      </c>
      <c r="C2194" s="8">
        <v>31</v>
      </c>
      <c r="D2194" s="8" t="s">
        <v>62</v>
      </c>
      <c r="E2194" s="8">
        <v>3</v>
      </c>
      <c r="F2194" s="34">
        <f t="shared" si="1159"/>
        <v>154880</v>
      </c>
      <c r="G2194" s="34">
        <f t="shared" si="1159"/>
        <v>154880</v>
      </c>
      <c r="H2194" s="34">
        <f t="shared" si="1146"/>
        <v>9165</v>
      </c>
      <c r="I2194" s="34">
        <f t="shared" si="1146"/>
        <v>9165</v>
      </c>
      <c r="J2194" s="34">
        <f t="shared" si="1160"/>
        <v>204512</v>
      </c>
      <c r="K2194" s="133">
        <v>1000</v>
      </c>
      <c r="L2194" s="34"/>
      <c r="M2194" s="16">
        <f t="shared" si="1120"/>
        <v>43103.574764227626</v>
      </c>
      <c r="N2194" s="36">
        <v>840</v>
      </c>
      <c r="O2194" s="36">
        <v>3</v>
      </c>
      <c r="P2194" s="2">
        <f t="shared" si="1163"/>
        <v>11300</v>
      </c>
      <c r="Q2194" s="2" t="s">
        <v>103</v>
      </c>
      <c r="S2194" s="36" t="str">
        <f t="shared" si="1164"/>
        <v>3666</v>
      </c>
    </row>
    <row r="2195" spans="1:19" x14ac:dyDescent="0.2">
      <c r="A2195" s="8" t="str">
        <f t="shared" si="1129"/>
        <v>40013114</v>
      </c>
      <c r="B2195" s="8">
        <v>4001</v>
      </c>
      <c r="C2195" s="8">
        <v>31</v>
      </c>
      <c r="D2195" s="8" t="s">
        <v>62</v>
      </c>
      <c r="E2195" s="8">
        <v>4</v>
      </c>
      <c r="F2195" s="34">
        <f t="shared" si="1159"/>
        <v>206507</v>
      </c>
      <c r="G2195" s="34">
        <f t="shared" si="1159"/>
        <v>206507</v>
      </c>
      <c r="H2195" s="34">
        <f t="shared" si="1146"/>
        <v>9165</v>
      </c>
      <c r="I2195" s="34">
        <f t="shared" si="1146"/>
        <v>9165</v>
      </c>
      <c r="J2195" s="34">
        <f t="shared" si="1160"/>
        <v>259853</v>
      </c>
      <c r="K2195" s="133">
        <v>1000</v>
      </c>
      <c r="L2195" s="34"/>
      <c r="M2195" s="16">
        <f t="shared" si="1120"/>
        <v>56103.179957601125</v>
      </c>
      <c r="N2195" s="36">
        <v>820</v>
      </c>
      <c r="O2195" s="36">
        <v>4</v>
      </c>
      <c r="P2195" s="2">
        <f t="shared" si="1163"/>
        <v>11300</v>
      </c>
      <c r="Q2195" s="2" t="s">
        <v>103</v>
      </c>
      <c r="S2195" s="36" t="str">
        <f t="shared" si="1164"/>
        <v>3666</v>
      </c>
    </row>
    <row r="2196" spans="1:19" x14ac:dyDescent="0.2">
      <c r="A2196" s="8" t="str">
        <f t="shared" si="1129"/>
        <v>40013210</v>
      </c>
      <c r="B2196" s="8">
        <v>4001</v>
      </c>
      <c r="C2196" s="8">
        <v>32</v>
      </c>
      <c r="D2196" s="8" t="s">
        <v>62</v>
      </c>
      <c r="E2196" s="8">
        <v>0</v>
      </c>
      <c r="F2196" s="34">
        <f>ROUNDDOWN($P2196/4*$O2196*10*$N2196/$N2196*$Q2196/400,0)</f>
        <v>28554</v>
      </c>
      <c r="G2196" s="34">
        <f>ROUNDDOWN($P2196/4*$O2196*10*$N2196/$N2196*$Q2196/400,0)</f>
        <v>28554</v>
      </c>
      <c r="H2196" s="34">
        <f t="shared" si="1146"/>
        <v>10000</v>
      </c>
      <c r="I2196" s="34">
        <f t="shared" si="1146"/>
        <v>10000</v>
      </c>
      <c r="J2196" s="34">
        <f>ROUNDDOWN($P2196/4*$O2196*10*$N2196/$Q2196*$N2196/400,0)</f>
        <v>43284</v>
      </c>
      <c r="K2196" s="133">
        <v>1000</v>
      </c>
      <c r="L2196" s="34"/>
      <c r="M2196" s="16">
        <f t="shared" si="1120"/>
        <v>8893.7958996145171</v>
      </c>
      <c r="N2196" s="36">
        <v>900</v>
      </c>
      <c r="O2196" s="36">
        <v>0.5</v>
      </c>
      <c r="P2196" s="47">
        <v>12500</v>
      </c>
      <c r="Q2196" s="2" t="s">
        <v>103</v>
      </c>
      <c r="S2196" s="36" t="s">
        <v>177</v>
      </c>
    </row>
    <row r="2197" spans="1:19" x14ac:dyDescent="0.2">
      <c r="A2197" s="8" t="str">
        <f t="shared" si="1129"/>
        <v>40013211</v>
      </c>
      <c r="B2197" s="8">
        <v>4001</v>
      </c>
      <c r="C2197" s="8">
        <v>32</v>
      </c>
      <c r="D2197" s="8" t="s">
        <v>62</v>
      </c>
      <c r="E2197" s="8">
        <v>1</v>
      </c>
      <c r="F2197" s="34">
        <f t="shared" si="1159"/>
        <v>57109</v>
      </c>
      <c r="G2197" s="34">
        <f t="shared" si="1159"/>
        <v>57109</v>
      </c>
      <c r="H2197" s="34">
        <f t="shared" si="1146"/>
        <v>10000</v>
      </c>
      <c r="I2197" s="34">
        <f t="shared" si="1146"/>
        <v>10000</v>
      </c>
      <c r="J2197" s="34">
        <f t="shared" si="1160"/>
        <v>82763</v>
      </c>
      <c r="K2197" s="133">
        <v>1000</v>
      </c>
      <c r="L2197" s="34"/>
      <c r="M2197" s="16">
        <f t="shared" si="1120"/>
        <v>17392.434524470689</v>
      </c>
      <c r="N2197" s="36">
        <v>880</v>
      </c>
      <c r="O2197" s="36">
        <v>1</v>
      </c>
      <c r="P2197" s="2">
        <f>P2196</f>
        <v>12500</v>
      </c>
      <c r="Q2197" s="2" t="s">
        <v>103</v>
      </c>
      <c r="S2197" s="36" t="str">
        <f>S2196</f>
        <v>4000</v>
      </c>
    </row>
    <row r="2198" spans="1:19" x14ac:dyDescent="0.2">
      <c r="A2198" s="8" t="str">
        <f t="shared" si="1129"/>
        <v>40013212</v>
      </c>
      <c r="B2198" s="8">
        <v>4001</v>
      </c>
      <c r="C2198" s="8">
        <v>32</v>
      </c>
      <c r="D2198" s="8" t="s">
        <v>62</v>
      </c>
      <c r="E2198" s="8">
        <v>2</v>
      </c>
      <c r="F2198" s="34">
        <f t="shared" si="1159"/>
        <v>114218</v>
      </c>
      <c r="G2198" s="34">
        <f t="shared" si="1159"/>
        <v>114218</v>
      </c>
      <c r="H2198" s="34">
        <f t="shared" si="1146"/>
        <v>10000</v>
      </c>
      <c r="I2198" s="34">
        <f t="shared" si="1146"/>
        <v>10000</v>
      </c>
      <c r="J2198" s="34">
        <f t="shared" si="1160"/>
        <v>158088</v>
      </c>
      <c r="K2198" s="133">
        <v>1000</v>
      </c>
      <c r="L2198" s="34"/>
      <c r="M2198" s="16">
        <f t="shared" si="1120"/>
        <v>33994.34793867945</v>
      </c>
      <c r="N2198" s="36">
        <v>860</v>
      </c>
      <c r="O2198" s="36">
        <v>2</v>
      </c>
      <c r="P2198" s="2">
        <f t="shared" ref="P2198:P2200" si="1165">P2197</f>
        <v>12500</v>
      </c>
      <c r="Q2198" s="2" t="s">
        <v>103</v>
      </c>
      <c r="S2198" s="36" t="str">
        <f t="shared" ref="S2198:S2200" si="1166">S2197</f>
        <v>4000</v>
      </c>
    </row>
    <row r="2199" spans="1:19" x14ac:dyDescent="0.2">
      <c r="A2199" s="8" t="str">
        <f t="shared" si="1129"/>
        <v>40013213</v>
      </c>
      <c r="B2199" s="8">
        <v>4001</v>
      </c>
      <c r="C2199" s="8">
        <v>32</v>
      </c>
      <c r="D2199" s="8" t="s">
        <v>62</v>
      </c>
      <c r="E2199" s="8">
        <v>3</v>
      </c>
      <c r="F2199" s="34">
        <f t="shared" si="1159"/>
        <v>171328</v>
      </c>
      <c r="G2199" s="34">
        <f t="shared" si="1159"/>
        <v>171328</v>
      </c>
      <c r="H2199" s="34">
        <f t="shared" si="1146"/>
        <v>10000</v>
      </c>
      <c r="I2199" s="34">
        <f t="shared" si="1146"/>
        <v>10000</v>
      </c>
      <c r="J2199" s="34">
        <f t="shared" si="1160"/>
        <v>226231</v>
      </c>
      <c r="K2199" s="133">
        <v>1000</v>
      </c>
      <c r="L2199" s="34"/>
      <c r="M2199" s="16">
        <f t="shared" si="1120"/>
        <v>49805.834047348319</v>
      </c>
      <c r="N2199" s="36">
        <v>840</v>
      </c>
      <c r="O2199" s="36">
        <v>3</v>
      </c>
      <c r="P2199" s="2">
        <f t="shared" si="1165"/>
        <v>12500</v>
      </c>
      <c r="Q2199" s="2" t="s">
        <v>103</v>
      </c>
      <c r="S2199" s="36" t="str">
        <f t="shared" si="1166"/>
        <v>4000</v>
      </c>
    </row>
    <row r="2200" spans="1:19" x14ac:dyDescent="0.2">
      <c r="A2200" s="8" t="str">
        <f t="shared" si="1129"/>
        <v>40013214</v>
      </c>
      <c r="B2200" s="8">
        <v>4001</v>
      </c>
      <c r="C2200" s="8">
        <v>32</v>
      </c>
      <c r="D2200" s="8" t="s">
        <v>62</v>
      </c>
      <c r="E2200" s="8">
        <v>4</v>
      </c>
      <c r="F2200" s="34">
        <f t="shared" si="1159"/>
        <v>228437</v>
      </c>
      <c r="G2200" s="34">
        <f t="shared" si="1159"/>
        <v>228437</v>
      </c>
      <c r="H2200" s="34">
        <f t="shared" si="1146"/>
        <v>10000</v>
      </c>
      <c r="I2200" s="34">
        <f t="shared" si="1146"/>
        <v>10000</v>
      </c>
      <c r="J2200" s="34">
        <f t="shared" si="1160"/>
        <v>287448</v>
      </c>
      <c r="K2200" s="133">
        <v>1000</v>
      </c>
      <c r="L2200" s="34"/>
      <c r="M2200" s="16">
        <f t="shared" si="1120"/>
        <v>64826.542107874309</v>
      </c>
      <c r="N2200" s="36">
        <v>820</v>
      </c>
      <c r="O2200" s="36">
        <v>4</v>
      </c>
      <c r="P2200" s="2">
        <f t="shared" si="1165"/>
        <v>12500</v>
      </c>
      <c r="Q2200" s="2" t="s">
        <v>103</v>
      </c>
      <c r="S2200" s="36" t="str">
        <f t="shared" si="1166"/>
        <v>4000</v>
      </c>
    </row>
    <row r="2201" spans="1:19" x14ac:dyDescent="0.2">
      <c r="A2201" s="8" t="str">
        <f t="shared" si="1129"/>
        <v>40013310</v>
      </c>
      <c r="B2201" s="8">
        <v>4001</v>
      </c>
      <c r="C2201" s="8">
        <v>33</v>
      </c>
      <c r="D2201" s="8" t="s">
        <v>62</v>
      </c>
      <c r="E2201" s="8">
        <v>0</v>
      </c>
      <c r="F2201" s="34">
        <f>ROUNDDOWN($P2201/4*$O2201*10*$N2201/$N2201*$Q2201/400,0)</f>
        <v>31295</v>
      </c>
      <c r="G2201" s="34">
        <f>ROUNDDOWN($P2201/4*$O2201*10*$N2201/$N2201*$Q2201/400,0)</f>
        <v>31295</v>
      </c>
      <c r="H2201" s="34">
        <f t="shared" si="1146"/>
        <v>10832</v>
      </c>
      <c r="I2201" s="34">
        <f t="shared" si="1146"/>
        <v>10832</v>
      </c>
      <c r="J2201" s="34">
        <f>ROUNDDOWN($P2201/4*$O2201*10*$N2201/$Q2201*$N2201/400,0)</f>
        <v>47439</v>
      </c>
      <c r="K2201" s="133">
        <v>1000</v>
      </c>
      <c r="L2201" s="34"/>
      <c r="M2201" s="16">
        <f t="shared" si="1120"/>
        <v>10144.941649089167</v>
      </c>
      <c r="N2201" s="36">
        <v>900</v>
      </c>
      <c r="O2201" s="36">
        <v>0.5</v>
      </c>
      <c r="P2201" s="47">
        <v>13700</v>
      </c>
      <c r="Q2201" s="2" t="s">
        <v>103</v>
      </c>
      <c r="S2201" s="36" t="s">
        <v>178</v>
      </c>
    </row>
    <row r="2202" spans="1:19" x14ac:dyDescent="0.2">
      <c r="A2202" s="8" t="str">
        <f t="shared" si="1129"/>
        <v>40013311</v>
      </c>
      <c r="B2202" s="8">
        <v>4001</v>
      </c>
      <c r="C2202" s="8">
        <v>33</v>
      </c>
      <c r="D2202" s="8" t="s">
        <v>62</v>
      </c>
      <c r="E2202" s="8">
        <v>1</v>
      </c>
      <c r="F2202" s="34">
        <f t="shared" si="1159"/>
        <v>62591</v>
      </c>
      <c r="G2202" s="34">
        <f t="shared" si="1159"/>
        <v>62591</v>
      </c>
      <c r="H2202" s="34">
        <f t="shared" si="1146"/>
        <v>10832</v>
      </c>
      <c r="I2202" s="34">
        <f t="shared" si="1146"/>
        <v>10832</v>
      </c>
      <c r="J2202" s="34">
        <f t="shared" si="1160"/>
        <v>90708</v>
      </c>
      <c r="K2202" s="133">
        <v>1000</v>
      </c>
      <c r="L2202" s="34"/>
      <c r="M2202" s="16">
        <f t="shared" si="1120"/>
        <v>19839.149653405373</v>
      </c>
      <c r="N2202" s="36">
        <v>880</v>
      </c>
      <c r="O2202" s="36">
        <v>1</v>
      </c>
      <c r="P2202" s="2">
        <f>P2201</f>
        <v>13700</v>
      </c>
      <c r="Q2202" s="2" t="s">
        <v>103</v>
      </c>
      <c r="S2202" s="36" t="str">
        <f>S2201</f>
        <v>4333</v>
      </c>
    </row>
    <row r="2203" spans="1:19" x14ac:dyDescent="0.2">
      <c r="A2203" s="8" t="str">
        <f t="shared" si="1129"/>
        <v>40013312</v>
      </c>
      <c r="B2203" s="8">
        <v>4001</v>
      </c>
      <c r="C2203" s="8">
        <v>33</v>
      </c>
      <c r="D2203" s="8" t="s">
        <v>62</v>
      </c>
      <c r="E2203" s="8">
        <v>2</v>
      </c>
      <c r="F2203" s="34">
        <f t="shared" ref="F2203:G2205" si="1167">ROUNDDOWN($P2203/4*$O2203*10*$N2203/$N2203*$Q2203/400,0)</f>
        <v>125183</v>
      </c>
      <c r="G2203" s="34">
        <f t="shared" si="1167"/>
        <v>125183</v>
      </c>
      <c r="H2203" s="34">
        <f t="shared" si="1146"/>
        <v>10832</v>
      </c>
      <c r="I2203" s="34">
        <f t="shared" si="1146"/>
        <v>10832</v>
      </c>
      <c r="J2203" s="34">
        <f t="shared" si="1160"/>
        <v>173264</v>
      </c>
      <c r="K2203" s="133">
        <v>1000</v>
      </c>
      <c r="L2203" s="34"/>
      <c r="M2203" s="16">
        <f t="shared" si="1120"/>
        <v>38776.727833365956</v>
      </c>
      <c r="N2203" s="36">
        <v>860</v>
      </c>
      <c r="O2203" s="36">
        <v>2</v>
      </c>
      <c r="P2203" s="2">
        <f t="shared" ref="P2203:P2205" si="1168">P2202</f>
        <v>13700</v>
      </c>
      <c r="Q2203" s="2" t="s">
        <v>103</v>
      </c>
      <c r="S2203" s="36" t="str">
        <f t="shared" ref="S2203:S2205" si="1169">S2202</f>
        <v>4333</v>
      </c>
    </row>
    <row r="2204" spans="1:19" x14ac:dyDescent="0.2">
      <c r="A2204" s="8" t="str">
        <f t="shared" si="1129"/>
        <v>40013313</v>
      </c>
      <c r="B2204" s="8">
        <v>4001</v>
      </c>
      <c r="C2204" s="8">
        <v>33</v>
      </c>
      <c r="D2204" s="8" t="s">
        <v>62</v>
      </c>
      <c r="E2204" s="8">
        <v>3</v>
      </c>
      <c r="F2204" s="34">
        <f t="shared" si="1167"/>
        <v>187775</v>
      </c>
      <c r="G2204" s="34">
        <f t="shared" si="1167"/>
        <v>187775</v>
      </c>
      <c r="H2204" s="34">
        <f t="shared" si="1146"/>
        <v>10832</v>
      </c>
      <c r="I2204" s="34">
        <f t="shared" si="1146"/>
        <v>10832</v>
      </c>
      <c r="J2204" s="34">
        <f t="shared" si="1160"/>
        <v>247949</v>
      </c>
      <c r="K2204" s="133">
        <v>1000</v>
      </c>
      <c r="L2204" s="34"/>
      <c r="M2204" s="16">
        <f t="shared" ref="M2204:M2267" si="1170">(F2204*J2204*((H2204+I2204)/2)/1000)^(1/2)/10*0.8</f>
        <v>56812.562525199297</v>
      </c>
      <c r="N2204" s="36">
        <v>840</v>
      </c>
      <c r="O2204" s="36">
        <v>3</v>
      </c>
      <c r="P2204" s="2">
        <f t="shared" si="1168"/>
        <v>13700</v>
      </c>
      <c r="Q2204" s="2" t="s">
        <v>103</v>
      </c>
      <c r="S2204" s="36" t="str">
        <f t="shared" si="1169"/>
        <v>4333</v>
      </c>
    </row>
    <row r="2205" spans="1:19" x14ac:dyDescent="0.2">
      <c r="A2205" s="8" t="str">
        <f t="shared" si="1129"/>
        <v>40013314</v>
      </c>
      <c r="B2205" s="8">
        <v>4001</v>
      </c>
      <c r="C2205" s="8">
        <v>33</v>
      </c>
      <c r="D2205" s="8" t="s">
        <v>62</v>
      </c>
      <c r="E2205" s="8">
        <v>4</v>
      </c>
      <c r="F2205" s="34">
        <f t="shared" si="1167"/>
        <v>250367</v>
      </c>
      <c r="G2205" s="34">
        <f t="shared" si="1167"/>
        <v>250367</v>
      </c>
      <c r="H2205" s="34">
        <f t="shared" si="1146"/>
        <v>10832</v>
      </c>
      <c r="I2205" s="34">
        <f t="shared" si="1146"/>
        <v>10832</v>
      </c>
      <c r="J2205" s="34">
        <f t="shared" si="1160"/>
        <v>315043</v>
      </c>
      <c r="K2205" s="133">
        <v>1000</v>
      </c>
      <c r="L2205" s="34"/>
      <c r="M2205" s="16">
        <f t="shared" si="1170"/>
        <v>73946.525470225242</v>
      </c>
      <c r="N2205" s="36">
        <v>820</v>
      </c>
      <c r="O2205" s="36">
        <v>4</v>
      </c>
      <c r="P2205" s="2">
        <f t="shared" si="1168"/>
        <v>13700</v>
      </c>
      <c r="Q2205" s="2" t="s">
        <v>103</v>
      </c>
      <c r="S2205" s="36" t="str">
        <f t="shared" si="1169"/>
        <v>4333</v>
      </c>
    </row>
    <row r="2206" spans="1:19" x14ac:dyDescent="0.2">
      <c r="A2206" s="8" t="str">
        <f t="shared" si="1129"/>
        <v>40013410</v>
      </c>
      <c r="B2206" s="8">
        <v>4001</v>
      </c>
      <c r="C2206" s="8">
        <v>34</v>
      </c>
      <c r="D2206" s="8" t="s">
        <v>62</v>
      </c>
      <c r="E2206" s="8">
        <v>0</v>
      </c>
      <c r="F2206" s="34">
        <f>ROUNDDOWN($P2206/4*$O2206*10*$N2206/$N2206*$Q2206/400,0)</f>
        <v>34037</v>
      </c>
      <c r="G2206" s="34">
        <f>ROUNDDOWN($P2206/4*$O2206*10*$N2206/$N2206*$Q2206/400,0)</f>
        <v>34037</v>
      </c>
      <c r="H2206" s="34">
        <f t="shared" si="1146"/>
        <v>11665</v>
      </c>
      <c r="I2206" s="34">
        <f t="shared" si="1146"/>
        <v>11665</v>
      </c>
      <c r="J2206" s="34">
        <f>ROUNDDOWN($P2206/4*$O2206*10*$N2206/$Q2206*$N2206/400,0)</f>
        <v>51594</v>
      </c>
      <c r="K2206" s="133">
        <v>1000</v>
      </c>
      <c r="L2206" s="34"/>
      <c r="M2206" s="16">
        <f t="shared" si="1170"/>
        <v>11450.055599758807</v>
      </c>
      <c r="N2206" s="36">
        <v>900</v>
      </c>
      <c r="O2206" s="36">
        <v>0.5</v>
      </c>
      <c r="P2206" s="47">
        <v>14900</v>
      </c>
      <c r="Q2206" s="2" t="s">
        <v>103</v>
      </c>
      <c r="S2206" s="36" t="s">
        <v>179</v>
      </c>
    </row>
    <row r="2207" spans="1:19" x14ac:dyDescent="0.2">
      <c r="A2207" s="8" t="str">
        <f t="shared" si="1129"/>
        <v>40013411</v>
      </c>
      <c r="B2207" s="8">
        <v>4001</v>
      </c>
      <c r="C2207" s="8">
        <v>34</v>
      </c>
      <c r="D2207" s="8" t="s">
        <v>62</v>
      </c>
      <c r="E2207" s="8">
        <v>1</v>
      </c>
      <c r="F2207" s="34">
        <f t="shared" ref="F2207:G2222" si="1171">ROUNDDOWN($P2207/4*$O2207*10*$N2207/$N2207*$Q2207/400,0)</f>
        <v>68074</v>
      </c>
      <c r="G2207" s="34">
        <f t="shared" si="1171"/>
        <v>68074</v>
      </c>
      <c r="H2207" s="34">
        <f t="shared" si="1146"/>
        <v>11665</v>
      </c>
      <c r="I2207" s="34">
        <f t="shared" si="1146"/>
        <v>11665</v>
      </c>
      <c r="J2207" s="34">
        <f t="shared" si="1160"/>
        <v>98653</v>
      </c>
      <c r="K2207" s="133">
        <v>1000</v>
      </c>
      <c r="L2207" s="34"/>
      <c r="M2207" s="16">
        <f t="shared" si="1170"/>
        <v>22391.239846494253</v>
      </c>
      <c r="N2207" s="36">
        <v>880</v>
      </c>
      <c r="O2207" s="36">
        <v>1</v>
      </c>
      <c r="P2207" s="2">
        <f>P2206</f>
        <v>14900</v>
      </c>
      <c r="Q2207" s="2" t="s">
        <v>103</v>
      </c>
      <c r="S2207" s="36" t="str">
        <f>S2206</f>
        <v>4666</v>
      </c>
    </row>
    <row r="2208" spans="1:19" x14ac:dyDescent="0.2">
      <c r="A2208" s="8" t="str">
        <f t="shared" si="1129"/>
        <v>40013412</v>
      </c>
      <c r="B2208" s="8">
        <v>4001</v>
      </c>
      <c r="C2208" s="8">
        <v>34</v>
      </c>
      <c r="D2208" s="8" t="s">
        <v>62</v>
      </c>
      <c r="E2208" s="8">
        <v>2</v>
      </c>
      <c r="F2208" s="34">
        <f t="shared" si="1171"/>
        <v>136148</v>
      </c>
      <c r="G2208" s="34">
        <f t="shared" si="1171"/>
        <v>136148</v>
      </c>
      <c r="H2208" s="34">
        <f t="shared" si="1146"/>
        <v>11665</v>
      </c>
      <c r="I2208" s="34">
        <f t="shared" si="1146"/>
        <v>11665</v>
      </c>
      <c r="J2208" s="34">
        <f t="shared" si="1160"/>
        <v>188441</v>
      </c>
      <c r="K2208" s="133">
        <v>1000</v>
      </c>
      <c r="L2208" s="34"/>
      <c r="M2208" s="16">
        <f t="shared" si="1170"/>
        <v>43764.874927820922</v>
      </c>
      <c r="N2208" s="36">
        <v>860</v>
      </c>
      <c r="O2208" s="36">
        <v>2</v>
      </c>
      <c r="P2208" s="2">
        <f t="shared" ref="P2208:P2210" si="1172">P2207</f>
        <v>14900</v>
      </c>
      <c r="Q2208" s="2" t="s">
        <v>103</v>
      </c>
      <c r="S2208" s="36" t="str">
        <f t="shared" ref="S2208:S2210" si="1173">S2207</f>
        <v>4666</v>
      </c>
    </row>
    <row r="2209" spans="1:19" x14ac:dyDescent="0.2">
      <c r="A2209" s="8" t="str">
        <f t="shared" si="1129"/>
        <v>40013413</v>
      </c>
      <c r="B2209" s="8">
        <v>4001</v>
      </c>
      <c r="C2209" s="8">
        <v>34</v>
      </c>
      <c r="D2209" s="8" t="s">
        <v>62</v>
      </c>
      <c r="E2209" s="8">
        <v>3</v>
      </c>
      <c r="F2209" s="34">
        <f t="shared" si="1171"/>
        <v>204223</v>
      </c>
      <c r="G2209" s="34">
        <f t="shared" si="1171"/>
        <v>204223</v>
      </c>
      <c r="H2209" s="34">
        <f t="shared" si="1146"/>
        <v>11665</v>
      </c>
      <c r="I2209" s="34">
        <f t="shared" si="1146"/>
        <v>11665</v>
      </c>
      <c r="J2209" s="34">
        <f t="shared" si="1160"/>
        <v>269667</v>
      </c>
      <c r="K2209" s="133">
        <v>1000</v>
      </c>
      <c r="L2209" s="34"/>
      <c r="M2209" s="16">
        <f t="shared" si="1170"/>
        <v>64120.748923325096</v>
      </c>
      <c r="N2209" s="36">
        <v>840</v>
      </c>
      <c r="O2209" s="36">
        <v>3</v>
      </c>
      <c r="P2209" s="2">
        <f t="shared" si="1172"/>
        <v>14900</v>
      </c>
      <c r="Q2209" s="2" t="s">
        <v>103</v>
      </c>
      <c r="S2209" s="36" t="str">
        <f t="shared" si="1173"/>
        <v>4666</v>
      </c>
    </row>
    <row r="2210" spans="1:19" x14ac:dyDescent="0.2">
      <c r="A2210" s="8" t="str">
        <f t="shared" si="1129"/>
        <v>40013414</v>
      </c>
      <c r="B2210" s="8">
        <v>4001</v>
      </c>
      <c r="C2210" s="8">
        <v>34</v>
      </c>
      <c r="D2210" s="8" t="s">
        <v>62</v>
      </c>
      <c r="E2210" s="8">
        <v>4</v>
      </c>
      <c r="F2210" s="34">
        <f t="shared" si="1171"/>
        <v>272297</v>
      </c>
      <c r="G2210" s="34">
        <f t="shared" si="1171"/>
        <v>272297</v>
      </c>
      <c r="H2210" s="34">
        <f t="shared" si="1146"/>
        <v>11665</v>
      </c>
      <c r="I2210" s="34">
        <f t="shared" si="1146"/>
        <v>11665</v>
      </c>
      <c r="J2210" s="34">
        <f t="shared" si="1160"/>
        <v>342638</v>
      </c>
      <c r="K2210" s="133">
        <v>1000</v>
      </c>
      <c r="L2210" s="34"/>
      <c r="M2210" s="16">
        <f t="shared" si="1170"/>
        <v>83458.687399376329</v>
      </c>
      <c r="N2210" s="36">
        <v>820</v>
      </c>
      <c r="O2210" s="36">
        <v>4</v>
      </c>
      <c r="P2210" s="2">
        <f t="shared" si="1172"/>
        <v>14900</v>
      </c>
      <c r="Q2210" s="2" t="s">
        <v>103</v>
      </c>
      <c r="S2210" s="36" t="str">
        <f t="shared" si="1173"/>
        <v>4666</v>
      </c>
    </row>
    <row r="2211" spans="1:19" x14ac:dyDescent="0.2">
      <c r="A2211" s="8" t="str">
        <f t="shared" si="1129"/>
        <v>40013510</v>
      </c>
      <c r="B2211" s="8">
        <v>4001</v>
      </c>
      <c r="C2211" s="8">
        <v>35</v>
      </c>
      <c r="D2211" s="8" t="s">
        <v>62</v>
      </c>
      <c r="E2211" s="8">
        <v>0</v>
      </c>
      <c r="F2211" s="34">
        <f>ROUNDDOWN($P2211/4*$O2211*10*$N2211/$N2211*$Q2211/400,0)</f>
        <v>36778</v>
      </c>
      <c r="G2211" s="34">
        <f>ROUNDDOWN($P2211/4*$O2211*10*$N2211/$N2211*$Q2211/400,0)</f>
        <v>36778</v>
      </c>
      <c r="H2211" s="34">
        <f t="shared" si="1146"/>
        <v>12500</v>
      </c>
      <c r="I2211" s="34">
        <f t="shared" si="1146"/>
        <v>12500</v>
      </c>
      <c r="J2211" s="34">
        <f>ROUNDDOWN($P2211/4*$O2211*10*$N2211/$Q2211*$N2211/400,0)</f>
        <v>55749</v>
      </c>
      <c r="K2211" s="133">
        <v>1000</v>
      </c>
      <c r="L2211" s="34"/>
      <c r="M2211" s="16">
        <f t="shared" si="1170"/>
        <v>12807.300174509848</v>
      </c>
      <c r="N2211" s="36">
        <v>900</v>
      </c>
      <c r="O2211" s="36">
        <v>0.5</v>
      </c>
      <c r="P2211" s="47">
        <v>16100</v>
      </c>
      <c r="Q2211" s="2" t="s">
        <v>103</v>
      </c>
      <c r="S2211" s="36" t="s">
        <v>180</v>
      </c>
    </row>
    <row r="2212" spans="1:19" x14ac:dyDescent="0.2">
      <c r="A2212" s="8" t="str">
        <f t="shared" si="1129"/>
        <v>40013511</v>
      </c>
      <c r="B2212" s="8">
        <v>4001</v>
      </c>
      <c r="C2212" s="8">
        <v>35</v>
      </c>
      <c r="D2212" s="8" t="s">
        <v>62</v>
      </c>
      <c r="E2212" s="8">
        <v>1</v>
      </c>
      <c r="F2212" s="34">
        <f t="shared" si="1171"/>
        <v>73556</v>
      </c>
      <c r="G2212" s="34">
        <f t="shared" si="1171"/>
        <v>73556</v>
      </c>
      <c r="H2212" s="34">
        <f t="shared" si="1146"/>
        <v>12500</v>
      </c>
      <c r="I2212" s="34">
        <f t="shared" si="1146"/>
        <v>12500</v>
      </c>
      <c r="J2212" s="34">
        <f t="shared" si="1160"/>
        <v>106599</v>
      </c>
      <c r="K2212" s="133">
        <v>1000</v>
      </c>
      <c r="L2212" s="34"/>
      <c r="M2212" s="16">
        <f t="shared" si="1170"/>
        <v>25045.552170395447</v>
      </c>
      <c r="N2212" s="36">
        <v>880</v>
      </c>
      <c r="O2212" s="36">
        <v>1</v>
      </c>
      <c r="P2212" s="2">
        <f>P2211</f>
        <v>16100</v>
      </c>
      <c r="Q2212" s="2" t="s">
        <v>103</v>
      </c>
      <c r="S2212" s="36" t="str">
        <f>S2211</f>
        <v>5000</v>
      </c>
    </row>
    <row r="2213" spans="1:19" x14ac:dyDescent="0.2">
      <c r="A2213" s="8" t="str">
        <f t="shared" ref="A2213:A2217" si="1174">IF(B2213="","",CONCATENATE(B2213,CONCATENATE(REPT(0,2-LEN(C2213)),C2213),IF(OR(D2213="Easy",D2213=""),1,IF(D2213="Normal",2,IF(D2213="Hard",3,IF(D2213="Hell",4,"error")))),E2213))</f>
        <v>40013512</v>
      </c>
      <c r="B2213" s="8">
        <v>4001</v>
      </c>
      <c r="C2213" s="8">
        <v>35</v>
      </c>
      <c r="D2213" s="8" t="s">
        <v>62</v>
      </c>
      <c r="E2213" s="8">
        <v>2</v>
      </c>
      <c r="F2213" s="34">
        <f t="shared" si="1171"/>
        <v>147113</v>
      </c>
      <c r="G2213" s="34">
        <f t="shared" si="1171"/>
        <v>147113</v>
      </c>
      <c r="H2213" s="34">
        <f t="shared" si="1146"/>
        <v>12500</v>
      </c>
      <c r="I2213" s="34">
        <f t="shared" si="1146"/>
        <v>12500</v>
      </c>
      <c r="J2213" s="34">
        <f t="shared" si="1160"/>
        <v>203617</v>
      </c>
      <c r="K2213" s="133">
        <v>1000</v>
      </c>
      <c r="L2213" s="34"/>
      <c r="M2213" s="16">
        <f t="shared" si="1170"/>
        <v>48952.799896226577</v>
      </c>
      <c r="N2213" s="36">
        <v>860</v>
      </c>
      <c r="O2213" s="36">
        <v>2</v>
      </c>
      <c r="P2213" s="2">
        <f t="shared" ref="P2213:P2215" si="1175">P2212</f>
        <v>16100</v>
      </c>
      <c r="Q2213" s="2" t="s">
        <v>103</v>
      </c>
      <c r="S2213" s="36" t="str">
        <f t="shared" ref="S2213:S2215" si="1176">S2212</f>
        <v>5000</v>
      </c>
    </row>
    <row r="2214" spans="1:19" x14ac:dyDescent="0.2">
      <c r="A2214" s="8" t="str">
        <f t="shared" si="1174"/>
        <v>40013513</v>
      </c>
      <c r="B2214" s="8">
        <v>4001</v>
      </c>
      <c r="C2214" s="8">
        <v>35</v>
      </c>
      <c r="D2214" s="8" t="s">
        <v>62</v>
      </c>
      <c r="E2214" s="8">
        <v>3</v>
      </c>
      <c r="F2214" s="34">
        <f t="shared" si="1171"/>
        <v>220670</v>
      </c>
      <c r="G2214" s="34">
        <f t="shared" si="1171"/>
        <v>220670</v>
      </c>
      <c r="H2214" s="34">
        <f t="shared" si="1146"/>
        <v>12500</v>
      </c>
      <c r="I2214" s="34">
        <f t="shared" si="1146"/>
        <v>12500</v>
      </c>
      <c r="J2214" s="34">
        <f t="shared" si="1160"/>
        <v>291385</v>
      </c>
      <c r="K2214" s="133">
        <v>1000</v>
      </c>
      <c r="L2214" s="34"/>
      <c r="M2214" s="16">
        <f t="shared" si="1170"/>
        <v>71721.644125047766</v>
      </c>
      <c r="N2214" s="36">
        <v>840</v>
      </c>
      <c r="O2214" s="36">
        <v>3</v>
      </c>
      <c r="P2214" s="2">
        <f t="shared" si="1175"/>
        <v>16100</v>
      </c>
      <c r="Q2214" s="2" t="s">
        <v>103</v>
      </c>
      <c r="S2214" s="36" t="str">
        <f t="shared" si="1176"/>
        <v>5000</v>
      </c>
    </row>
    <row r="2215" spans="1:19" x14ac:dyDescent="0.2">
      <c r="A2215" s="8" t="str">
        <f t="shared" si="1174"/>
        <v>40013514</v>
      </c>
      <c r="B2215" s="8">
        <v>4001</v>
      </c>
      <c r="C2215" s="8">
        <v>35</v>
      </c>
      <c r="D2215" s="8" t="s">
        <v>62</v>
      </c>
      <c r="E2215" s="8">
        <v>4</v>
      </c>
      <c r="F2215" s="34">
        <f t="shared" si="1171"/>
        <v>294227</v>
      </c>
      <c r="G2215" s="34">
        <f t="shared" si="1171"/>
        <v>294227</v>
      </c>
      <c r="H2215" s="34">
        <f t="shared" si="1146"/>
        <v>12500</v>
      </c>
      <c r="I2215" s="34">
        <f t="shared" si="1146"/>
        <v>12500</v>
      </c>
      <c r="J2215" s="34">
        <f t="shared" si="1160"/>
        <v>370233</v>
      </c>
      <c r="K2215" s="133">
        <v>1000</v>
      </c>
      <c r="L2215" s="34"/>
      <c r="M2215" s="16">
        <f t="shared" si="1170"/>
        <v>93352.041173613339</v>
      </c>
      <c r="N2215" s="36">
        <v>820</v>
      </c>
      <c r="O2215" s="36">
        <v>4</v>
      </c>
      <c r="P2215" s="2">
        <f t="shared" si="1175"/>
        <v>16100</v>
      </c>
      <c r="Q2215" s="2" t="s">
        <v>103</v>
      </c>
      <c r="S2215" s="36" t="str">
        <f t="shared" si="1176"/>
        <v>5000</v>
      </c>
    </row>
    <row r="2216" spans="1:19" x14ac:dyDescent="0.2">
      <c r="A2216" s="8" t="str">
        <f t="shared" si="1174"/>
        <v>40013610</v>
      </c>
      <c r="B2216" s="8">
        <v>4001</v>
      </c>
      <c r="C2216" s="8">
        <v>36</v>
      </c>
      <c r="D2216" s="8" t="s">
        <v>62</v>
      </c>
      <c r="E2216" s="8">
        <v>0</v>
      </c>
      <c r="F2216" s="34">
        <f>ROUNDDOWN($P2216/4*$O2216*10*$N2216/$N2216*$Q2216/400,0)</f>
        <v>37331</v>
      </c>
      <c r="G2216" s="34">
        <f>ROUNDDOWN($P2216/4*$O2216*10*$N2216/$N2216*$Q2216/400,0)</f>
        <v>37331</v>
      </c>
      <c r="H2216" s="34">
        <f t="shared" si="1146"/>
        <v>12500</v>
      </c>
      <c r="I2216" s="34">
        <f t="shared" si="1146"/>
        <v>12500</v>
      </c>
      <c r="J2216" s="34">
        <f>ROUNDDOWN($P2216/4*$O2216*10*$N2216/$Q2216*$N2216/400,0)</f>
        <v>107649</v>
      </c>
      <c r="K2216" s="133">
        <v>1000</v>
      </c>
      <c r="L2216" s="34"/>
      <c r="M2216" s="16">
        <f t="shared" si="1170"/>
        <v>17930.186432940402</v>
      </c>
      <c r="N2216" s="36">
        <v>900</v>
      </c>
      <c r="O2216" s="36">
        <v>0.5</v>
      </c>
      <c r="P2216" s="47">
        <v>22540</v>
      </c>
      <c r="Q2216" s="2" t="s">
        <v>252</v>
      </c>
      <c r="S2216" s="36" t="s">
        <v>180</v>
      </c>
    </row>
    <row r="2217" spans="1:19" x14ac:dyDescent="0.2">
      <c r="A2217" s="8" t="str">
        <f t="shared" si="1174"/>
        <v>40013611</v>
      </c>
      <c r="B2217" s="8">
        <v>4001</v>
      </c>
      <c r="C2217" s="8">
        <v>36</v>
      </c>
      <c r="D2217" s="8" t="s">
        <v>62</v>
      </c>
      <c r="E2217" s="8">
        <v>1</v>
      </c>
      <c r="F2217" s="34">
        <f t="shared" si="1171"/>
        <v>74663</v>
      </c>
      <c r="G2217" s="34">
        <f t="shared" si="1171"/>
        <v>74663</v>
      </c>
      <c r="H2217" s="34">
        <f t="shared" si="1146"/>
        <v>12500</v>
      </c>
      <c r="I2217" s="34">
        <f t="shared" si="1146"/>
        <v>12500</v>
      </c>
      <c r="J2217" s="34">
        <f t="shared" si="1160"/>
        <v>205836</v>
      </c>
      <c r="K2217" s="133">
        <v>1000</v>
      </c>
      <c r="L2217" s="34"/>
      <c r="M2217" s="16">
        <f t="shared" si="1170"/>
        <v>35063.751388577919</v>
      </c>
      <c r="N2217" s="36">
        <v>880</v>
      </c>
      <c r="O2217" s="36">
        <v>1</v>
      </c>
      <c r="P2217" s="2">
        <f>P2216</f>
        <v>22540</v>
      </c>
      <c r="Q2217" s="2" t="s">
        <v>251</v>
      </c>
      <c r="S2217" s="36" t="str">
        <f>S2216</f>
        <v>5000</v>
      </c>
    </row>
    <row r="2218" spans="1:19" x14ac:dyDescent="0.2">
      <c r="A2218" s="8" t="str">
        <f t="shared" ref="A2218:A2222" si="1177">IF(B2218="","",CONCATENATE(B2218,CONCATENATE(REPT(0,2-LEN(C2218)),C2218),IF(OR(D2218="Easy",D2218=""),1,IF(D2218="Normal",2,IF(D2218="Hard",3,IF(D2218="Hell",4,"error")))),E2218))</f>
        <v>40013612</v>
      </c>
      <c r="B2218" s="8">
        <v>4001</v>
      </c>
      <c r="C2218" s="8">
        <v>36</v>
      </c>
      <c r="D2218" s="8" t="s">
        <v>62</v>
      </c>
      <c r="E2218" s="8">
        <v>2</v>
      </c>
      <c r="F2218" s="34">
        <f t="shared" si="1171"/>
        <v>149327</v>
      </c>
      <c r="G2218" s="34">
        <f t="shared" si="1171"/>
        <v>149327</v>
      </c>
      <c r="H2218" s="34">
        <f t="shared" si="1146"/>
        <v>12500</v>
      </c>
      <c r="I2218" s="34">
        <f t="shared" si="1146"/>
        <v>12500</v>
      </c>
      <c r="J2218" s="34">
        <f t="shared" si="1160"/>
        <v>393174</v>
      </c>
      <c r="K2218" s="133">
        <v>1000</v>
      </c>
      <c r="L2218" s="34"/>
      <c r="M2218" s="16">
        <f t="shared" si="1170"/>
        <v>68534.075552530805</v>
      </c>
      <c r="N2218" s="36">
        <v>860</v>
      </c>
      <c r="O2218" s="36">
        <v>2</v>
      </c>
      <c r="P2218" s="2">
        <f t="shared" ref="P2218:P2220" si="1178">P2217</f>
        <v>22540</v>
      </c>
      <c r="Q2218" s="2" t="s">
        <v>251</v>
      </c>
      <c r="S2218" s="36" t="str">
        <f t="shared" ref="S2218:S2220" si="1179">S2217</f>
        <v>5000</v>
      </c>
    </row>
    <row r="2219" spans="1:19" x14ac:dyDescent="0.2">
      <c r="A2219" s="8" t="str">
        <f t="shared" si="1177"/>
        <v>40013613</v>
      </c>
      <c r="B2219" s="8">
        <v>4001</v>
      </c>
      <c r="C2219" s="8">
        <v>36</v>
      </c>
      <c r="D2219" s="8" t="s">
        <v>62</v>
      </c>
      <c r="E2219" s="8">
        <v>3</v>
      </c>
      <c r="F2219" s="34">
        <f t="shared" si="1171"/>
        <v>223991</v>
      </c>
      <c r="G2219" s="34">
        <f t="shared" si="1171"/>
        <v>223991</v>
      </c>
      <c r="H2219" s="34">
        <f t="shared" si="1146"/>
        <v>12500</v>
      </c>
      <c r="I2219" s="34">
        <f t="shared" si="1146"/>
        <v>12500</v>
      </c>
      <c r="J2219" s="34">
        <f t="shared" si="1160"/>
        <v>562649</v>
      </c>
      <c r="K2219" s="133">
        <v>1000</v>
      </c>
      <c r="L2219" s="34"/>
      <c r="M2219" s="16">
        <f t="shared" si="1170"/>
        <v>100410.48238465942</v>
      </c>
      <c r="N2219" s="36">
        <v>840</v>
      </c>
      <c r="O2219" s="36">
        <v>3</v>
      </c>
      <c r="P2219" s="2">
        <f t="shared" si="1178"/>
        <v>22540</v>
      </c>
      <c r="Q2219" s="2" t="s">
        <v>251</v>
      </c>
      <c r="S2219" s="36" t="str">
        <f t="shared" si="1179"/>
        <v>5000</v>
      </c>
    </row>
    <row r="2220" spans="1:19" x14ac:dyDescent="0.2">
      <c r="A2220" s="8" t="str">
        <f t="shared" si="1177"/>
        <v>40013614</v>
      </c>
      <c r="B2220" s="8">
        <v>4001</v>
      </c>
      <c r="C2220" s="8">
        <v>36</v>
      </c>
      <c r="D2220" s="8" t="s">
        <v>62</v>
      </c>
      <c r="E2220" s="8">
        <v>4</v>
      </c>
      <c r="F2220" s="34">
        <f t="shared" si="1171"/>
        <v>298655</v>
      </c>
      <c r="G2220" s="34">
        <f t="shared" si="1171"/>
        <v>298655</v>
      </c>
      <c r="H2220" s="34">
        <f t="shared" si="1146"/>
        <v>12500</v>
      </c>
      <c r="I2220" s="34">
        <f t="shared" si="1146"/>
        <v>12500</v>
      </c>
      <c r="J2220" s="34">
        <f t="shared" si="1160"/>
        <v>714900</v>
      </c>
      <c r="K2220" s="133">
        <v>1000</v>
      </c>
      <c r="L2220" s="34"/>
      <c r="M2220" s="16">
        <f t="shared" si="1170"/>
        <v>130693.06316710157</v>
      </c>
      <c r="N2220" s="36">
        <v>820</v>
      </c>
      <c r="O2220" s="36">
        <v>4</v>
      </c>
      <c r="P2220" s="2">
        <f t="shared" si="1178"/>
        <v>22540</v>
      </c>
      <c r="Q2220" s="2" t="s">
        <v>251</v>
      </c>
      <c r="S2220" s="36" t="str">
        <f t="shared" si="1179"/>
        <v>5000</v>
      </c>
    </row>
    <row r="2221" spans="1:19" x14ac:dyDescent="0.2">
      <c r="A2221" s="8" t="str">
        <f t="shared" si="1177"/>
        <v>40013710</v>
      </c>
      <c r="B2221" s="8">
        <v>4001</v>
      </c>
      <c r="C2221" s="8">
        <v>37</v>
      </c>
      <c r="D2221" s="8" t="s">
        <v>62</v>
      </c>
      <c r="E2221" s="8">
        <v>0</v>
      </c>
      <c r="F2221" s="34">
        <f>ROUNDDOWN($P2221/4*$O2221*10*$N2221/$N2221*$Q2221/400,0)</f>
        <v>52171</v>
      </c>
      <c r="G2221" s="34">
        <f>ROUNDDOWN($P2221/4*$O2221*10*$N2221/$N2221*$Q2221/400,0)</f>
        <v>52171</v>
      </c>
      <c r="H2221" s="34">
        <f t="shared" si="1146"/>
        <v>12500</v>
      </c>
      <c r="I2221" s="34">
        <f t="shared" si="1146"/>
        <v>12500</v>
      </c>
      <c r="J2221" s="34">
        <f>ROUNDDOWN($P2221/4*$O2221*10*$N2221/$Q2221*$N2221/400,0)</f>
        <v>150442</v>
      </c>
      <c r="K2221" s="133">
        <v>1000</v>
      </c>
      <c r="L2221" s="34"/>
      <c r="M2221" s="16">
        <f t="shared" si="1170"/>
        <v>25057.868356266859</v>
      </c>
      <c r="N2221" s="36">
        <v>900</v>
      </c>
      <c r="O2221" s="36">
        <v>0.5</v>
      </c>
      <c r="P2221" s="47">
        <v>31500</v>
      </c>
      <c r="Q2221" s="2" t="s">
        <v>251</v>
      </c>
      <c r="S2221" s="36" t="s">
        <v>180</v>
      </c>
    </row>
    <row r="2222" spans="1:19" x14ac:dyDescent="0.2">
      <c r="A2222" s="8" t="str">
        <f t="shared" si="1177"/>
        <v>40013711</v>
      </c>
      <c r="B2222" s="8">
        <v>4001</v>
      </c>
      <c r="C2222" s="8">
        <v>37</v>
      </c>
      <c r="D2222" s="8" t="s">
        <v>62</v>
      </c>
      <c r="E2222" s="8">
        <v>1</v>
      </c>
      <c r="F2222" s="34">
        <f t="shared" si="1171"/>
        <v>104343</v>
      </c>
      <c r="G2222" s="34">
        <f t="shared" si="1171"/>
        <v>104343</v>
      </c>
      <c r="H2222" s="34">
        <f t="shared" si="1146"/>
        <v>12500</v>
      </c>
      <c r="I2222" s="34">
        <f t="shared" si="1146"/>
        <v>12500</v>
      </c>
      <c r="J2222" s="34">
        <f t="shared" si="1160"/>
        <v>287660</v>
      </c>
      <c r="K2222" s="133">
        <v>1000</v>
      </c>
      <c r="L2222" s="34"/>
      <c r="M2222" s="16">
        <f t="shared" si="1170"/>
        <v>49002.291685185504</v>
      </c>
      <c r="N2222" s="36">
        <v>880</v>
      </c>
      <c r="O2222" s="36">
        <v>1</v>
      </c>
      <c r="P2222" s="2">
        <f>P2221</f>
        <v>31500</v>
      </c>
      <c r="Q2222" s="2" t="s">
        <v>251</v>
      </c>
      <c r="S2222" s="36" t="str">
        <f>S2221</f>
        <v>5000</v>
      </c>
    </row>
    <row r="2223" spans="1:19" x14ac:dyDescent="0.2">
      <c r="A2223" s="8" t="str">
        <f t="shared" ref="A2223:A2230" si="1180">IF(B2223="","",CONCATENATE(B2223,CONCATENATE(REPT(0,2-LEN(C2223)),C2223),IF(OR(D2223="Easy",D2223=""),1,IF(D2223="Normal",2,IF(D2223="Hard",3,IF(D2223="Hell",4,"error")))),E2223))</f>
        <v>40013712</v>
      </c>
      <c r="B2223" s="8">
        <v>4001</v>
      </c>
      <c r="C2223" s="8">
        <v>37</v>
      </c>
      <c r="D2223" s="8" t="s">
        <v>62</v>
      </c>
      <c r="E2223" s="8">
        <v>2</v>
      </c>
      <c r="F2223" s="34">
        <f t="shared" ref="F2223:G2225" si="1181">ROUNDDOWN($P2223/4*$O2223*10*$N2223/$N2223*$Q2223/400,0)</f>
        <v>208687</v>
      </c>
      <c r="G2223" s="34">
        <f t="shared" si="1181"/>
        <v>208687</v>
      </c>
      <c r="H2223" s="34">
        <f t="shared" si="1146"/>
        <v>12500</v>
      </c>
      <c r="I2223" s="34">
        <f t="shared" si="1146"/>
        <v>12500</v>
      </c>
      <c r="J2223" s="34">
        <f t="shared" si="1160"/>
        <v>549466</v>
      </c>
      <c r="K2223" s="133">
        <v>1000</v>
      </c>
      <c r="L2223" s="34"/>
      <c r="M2223" s="16">
        <f t="shared" si="1170"/>
        <v>95777.413263044436</v>
      </c>
      <c r="N2223" s="36">
        <v>860</v>
      </c>
      <c r="O2223" s="36">
        <v>2</v>
      </c>
      <c r="P2223" s="2">
        <f t="shared" ref="P2223:P2225" si="1182">P2222</f>
        <v>31500</v>
      </c>
      <c r="Q2223" s="2" t="s">
        <v>251</v>
      </c>
      <c r="S2223" s="36" t="str">
        <f t="shared" ref="S2223:S2225" si="1183">S2222</f>
        <v>5000</v>
      </c>
    </row>
    <row r="2224" spans="1:19" x14ac:dyDescent="0.2">
      <c r="A2224" s="8" t="str">
        <f t="shared" si="1180"/>
        <v>40013713</v>
      </c>
      <c r="B2224" s="8">
        <v>4001</v>
      </c>
      <c r="C2224" s="8">
        <v>37</v>
      </c>
      <c r="D2224" s="8" t="s">
        <v>62</v>
      </c>
      <c r="E2224" s="8">
        <v>3</v>
      </c>
      <c r="F2224" s="34">
        <f t="shared" si="1181"/>
        <v>313031</v>
      </c>
      <c r="G2224" s="34">
        <f t="shared" si="1181"/>
        <v>313031</v>
      </c>
      <c r="H2224" s="34">
        <f t="shared" si="1146"/>
        <v>12500</v>
      </c>
      <c r="I2224" s="34">
        <f t="shared" si="1146"/>
        <v>12500</v>
      </c>
      <c r="J2224" s="34">
        <f t="shared" si="1160"/>
        <v>786311</v>
      </c>
      <c r="K2224" s="133">
        <v>1000</v>
      </c>
      <c r="L2224" s="34"/>
      <c r="M2224" s="16">
        <f t="shared" si="1170"/>
        <v>140325.25607060193</v>
      </c>
      <c r="N2224" s="36">
        <v>840</v>
      </c>
      <c r="O2224" s="36">
        <v>3</v>
      </c>
      <c r="P2224" s="2">
        <f t="shared" si="1182"/>
        <v>31500</v>
      </c>
      <c r="Q2224" s="2" t="s">
        <v>251</v>
      </c>
      <c r="S2224" s="36" t="str">
        <f t="shared" si="1183"/>
        <v>5000</v>
      </c>
    </row>
    <row r="2225" spans="1:19" x14ac:dyDescent="0.2">
      <c r="A2225" s="8" t="str">
        <f t="shared" si="1180"/>
        <v>40013714</v>
      </c>
      <c r="B2225" s="8">
        <v>4001</v>
      </c>
      <c r="C2225" s="8">
        <v>37</v>
      </c>
      <c r="D2225" s="8" t="s">
        <v>62</v>
      </c>
      <c r="E2225" s="8">
        <v>4</v>
      </c>
      <c r="F2225" s="34">
        <f t="shared" si="1181"/>
        <v>417375</v>
      </c>
      <c r="G2225" s="34">
        <f t="shared" si="1181"/>
        <v>417375</v>
      </c>
      <c r="H2225" s="34">
        <f t="shared" si="1146"/>
        <v>12500</v>
      </c>
      <c r="I2225" s="34">
        <f t="shared" si="1146"/>
        <v>12500</v>
      </c>
      <c r="J2225" s="34">
        <f t="shared" si="1160"/>
        <v>999084</v>
      </c>
      <c r="K2225" s="133">
        <v>1000</v>
      </c>
      <c r="L2225" s="34"/>
      <c r="M2225" s="16">
        <f t="shared" si="1170"/>
        <v>182645.59879723354</v>
      </c>
      <c r="N2225" s="36">
        <v>820</v>
      </c>
      <c r="O2225" s="36">
        <v>4</v>
      </c>
      <c r="P2225" s="2">
        <f t="shared" si="1182"/>
        <v>31500</v>
      </c>
      <c r="Q2225" s="2" t="s">
        <v>251</v>
      </c>
      <c r="S2225" s="36" t="str">
        <f t="shared" si="1183"/>
        <v>5000</v>
      </c>
    </row>
    <row r="2226" spans="1:19" x14ac:dyDescent="0.2">
      <c r="A2226" s="8" t="str">
        <f t="shared" si="1180"/>
        <v>40013810</v>
      </c>
      <c r="B2226" s="8">
        <v>4001</v>
      </c>
      <c r="C2226" s="8">
        <v>38</v>
      </c>
      <c r="D2226" s="8" t="s">
        <v>62</v>
      </c>
      <c r="E2226" s="8">
        <v>0</v>
      </c>
      <c r="F2226" s="34">
        <f>ROUNDDOWN($P2226/4*$O2226*10*$N2226/$N2226*$Q2226/400,0)</f>
        <v>73040</v>
      </c>
      <c r="G2226" s="34">
        <f>ROUNDDOWN($P2226/4*$O2226*10*$N2226/$N2226*$Q2226/400,0)</f>
        <v>73040</v>
      </c>
      <c r="H2226" s="34">
        <f t="shared" si="1146"/>
        <v>12500</v>
      </c>
      <c r="I2226" s="34">
        <f t="shared" si="1146"/>
        <v>12500</v>
      </c>
      <c r="J2226" s="34">
        <f>ROUNDDOWN($P2226/4*$O2226*10*$N2226/$Q2226*$N2226/400,0)</f>
        <v>210619</v>
      </c>
      <c r="K2226" s="133">
        <v>1000</v>
      </c>
      <c r="L2226" s="34"/>
      <c r="M2226" s="16">
        <f t="shared" si="1170"/>
        <v>35081.176445495672</v>
      </c>
      <c r="N2226" s="36">
        <v>900</v>
      </c>
      <c r="O2226" s="36">
        <v>0.5</v>
      </c>
      <c r="P2226" s="47">
        <v>44100</v>
      </c>
      <c r="Q2226" s="2" t="s">
        <v>251</v>
      </c>
      <c r="S2226" s="36" t="s">
        <v>180</v>
      </c>
    </row>
    <row r="2227" spans="1:19" x14ac:dyDescent="0.2">
      <c r="A2227" s="8" t="str">
        <f t="shared" si="1180"/>
        <v>40013811</v>
      </c>
      <c r="B2227" s="8">
        <v>4001</v>
      </c>
      <c r="C2227" s="8">
        <v>38</v>
      </c>
      <c r="D2227" s="8" t="s">
        <v>62</v>
      </c>
      <c r="E2227" s="8">
        <v>1</v>
      </c>
      <c r="F2227" s="34">
        <f t="shared" ref="F2227:G2235" si="1184">ROUNDDOWN($P2227/4*$O2227*10*$N2227/$N2227*$Q2227/400,0)</f>
        <v>146081</v>
      </c>
      <c r="G2227" s="34">
        <f t="shared" si="1184"/>
        <v>146081</v>
      </c>
      <c r="H2227" s="34">
        <f t="shared" si="1146"/>
        <v>12500</v>
      </c>
      <c r="I2227" s="34">
        <f t="shared" si="1146"/>
        <v>12500</v>
      </c>
      <c r="J2227" s="34">
        <f t="shared" si="1160"/>
        <v>402724</v>
      </c>
      <c r="K2227" s="133">
        <v>1000</v>
      </c>
      <c r="L2227" s="34"/>
      <c r="M2227" s="16">
        <f t="shared" si="1170"/>
        <v>68603.39620980875</v>
      </c>
      <c r="N2227" s="36">
        <v>880</v>
      </c>
      <c r="O2227" s="36">
        <v>1</v>
      </c>
      <c r="P2227" s="2">
        <f>P2226</f>
        <v>44100</v>
      </c>
      <c r="Q2227" s="2" t="s">
        <v>251</v>
      </c>
      <c r="S2227" s="36" t="str">
        <f>S2226</f>
        <v>5000</v>
      </c>
    </row>
    <row r="2228" spans="1:19" x14ac:dyDescent="0.2">
      <c r="A2228" s="8" t="str">
        <f t="shared" si="1180"/>
        <v>40013812</v>
      </c>
      <c r="B2228" s="8">
        <v>4001</v>
      </c>
      <c r="C2228" s="8">
        <v>38</v>
      </c>
      <c r="D2228" s="8" t="s">
        <v>62</v>
      </c>
      <c r="E2228" s="8">
        <v>2</v>
      </c>
      <c r="F2228" s="34">
        <f t="shared" si="1184"/>
        <v>292162</v>
      </c>
      <c r="G2228" s="34">
        <f t="shared" si="1184"/>
        <v>292162</v>
      </c>
      <c r="H2228" s="34">
        <f t="shared" si="1146"/>
        <v>12500</v>
      </c>
      <c r="I2228" s="34">
        <f t="shared" si="1146"/>
        <v>12500</v>
      </c>
      <c r="J2228" s="34">
        <f t="shared" si="1160"/>
        <v>769253</v>
      </c>
      <c r="K2228" s="133">
        <v>1000</v>
      </c>
      <c r="L2228" s="34"/>
      <c r="M2228" s="16">
        <f t="shared" si="1170"/>
        <v>134088.47675650581</v>
      </c>
      <c r="N2228" s="36">
        <v>860</v>
      </c>
      <c r="O2228" s="36">
        <v>2</v>
      </c>
      <c r="P2228" s="2">
        <f t="shared" ref="P2228:P2230" si="1185">P2227</f>
        <v>44100</v>
      </c>
      <c r="Q2228" s="2" t="s">
        <v>251</v>
      </c>
      <c r="S2228" s="36" t="str">
        <f t="shared" ref="S2228:S2230" si="1186">S2227</f>
        <v>5000</v>
      </c>
    </row>
    <row r="2229" spans="1:19" x14ac:dyDescent="0.2">
      <c r="A2229" s="8" t="str">
        <f t="shared" si="1180"/>
        <v>40013813</v>
      </c>
      <c r="B2229" s="8">
        <v>4001</v>
      </c>
      <c r="C2229" s="8">
        <v>38</v>
      </c>
      <c r="D2229" s="8" t="s">
        <v>62</v>
      </c>
      <c r="E2229" s="8">
        <v>3</v>
      </c>
      <c r="F2229" s="34">
        <f t="shared" si="1184"/>
        <v>438243</v>
      </c>
      <c r="G2229" s="34">
        <f t="shared" si="1184"/>
        <v>438243</v>
      </c>
      <c r="H2229" s="34">
        <f t="shared" si="1146"/>
        <v>12500</v>
      </c>
      <c r="I2229" s="34">
        <f t="shared" si="1146"/>
        <v>12500</v>
      </c>
      <c r="J2229" s="34">
        <f t="shared" si="1160"/>
        <v>1100835</v>
      </c>
      <c r="K2229" s="133">
        <v>1000</v>
      </c>
      <c r="L2229" s="34"/>
      <c r="M2229" s="16">
        <f t="shared" si="1170"/>
        <v>196455.23315096495</v>
      </c>
      <c r="N2229" s="36">
        <v>840</v>
      </c>
      <c r="O2229" s="36">
        <v>3</v>
      </c>
      <c r="P2229" s="2">
        <f t="shared" si="1185"/>
        <v>44100</v>
      </c>
      <c r="Q2229" s="2" t="s">
        <v>251</v>
      </c>
      <c r="S2229" s="36" t="str">
        <f t="shared" si="1186"/>
        <v>5000</v>
      </c>
    </row>
    <row r="2230" spans="1:19" x14ac:dyDescent="0.2">
      <c r="A2230" s="8" t="str">
        <f t="shared" si="1180"/>
        <v>40013814</v>
      </c>
      <c r="B2230" s="8">
        <v>4001</v>
      </c>
      <c r="C2230" s="8">
        <v>38</v>
      </c>
      <c r="D2230" s="8" t="s">
        <v>62</v>
      </c>
      <c r="E2230" s="8">
        <v>4</v>
      </c>
      <c r="F2230" s="34">
        <f t="shared" si="1184"/>
        <v>584325</v>
      </c>
      <c r="G2230" s="34">
        <f t="shared" si="1184"/>
        <v>584325</v>
      </c>
      <c r="H2230" s="34">
        <f t="shared" si="1146"/>
        <v>12500</v>
      </c>
      <c r="I2230" s="34">
        <f t="shared" si="1146"/>
        <v>12500</v>
      </c>
      <c r="J2230" s="34">
        <f t="shared" si="1160"/>
        <v>1398718</v>
      </c>
      <c r="K2230" s="133">
        <v>1000</v>
      </c>
      <c r="L2230" s="34"/>
      <c r="M2230" s="16">
        <f t="shared" si="1170"/>
        <v>255703.87487873549</v>
      </c>
      <c r="N2230" s="36">
        <v>820</v>
      </c>
      <c r="O2230" s="36">
        <v>4</v>
      </c>
      <c r="P2230" s="2">
        <f t="shared" si="1185"/>
        <v>44100</v>
      </c>
      <c r="Q2230" s="2" t="s">
        <v>251</v>
      </c>
      <c r="S2230" s="36" t="str">
        <f t="shared" si="1186"/>
        <v>5000</v>
      </c>
    </row>
    <row r="2231" spans="1:19" x14ac:dyDescent="0.2">
      <c r="A2231" s="8" t="str">
        <f t="shared" ref="A2231:A2235" si="1187">IF(B2231="","",CONCATENATE(B2231,CONCATENATE(REPT(0,2-LEN(C2231)),C2231),IF(OR(D2231="Easy",D2231=""),1,IF(D2231="Normal",2,IF(D2231="Hard",3,IF(D2231="Hell",4,"error")))),E2231))</f>
        <v>40013910</v>
      </c>
      <c r="B2231" s="8">
        <v>4001</v>
      </c>
      <c r="C2231" s="8">
        <v>39</v>
      </c>
      <c r="D2231" s="8" t="s">
        <v>62</v>
      </c>
      <c r="E2231" s="8">
        <v>0</v>
      </c>
      <c r="F2231" s="34">
        <f>ROUNDDOWN($P2231/4*$O2231*10*$N2231/$N2231*$Q2231/400,0)</f>
        <v>102356</v>
      </c>
      <c r="G2231" s="34">
        <f>ROUNDDOWN($P2231/4*$O2231*10*$N2231/$N2231*$Q2231/400,0)</f>
        <v>102356</v>
      </c>
      <c r="H2231" s="34">
        <f t="shared" si="1146"/>
        <v>12500</v>
      </c>
      <c r="I2231" s="34">
        <f t="shared" si="1146"/>
        <v>12500</v>
      </c>
      <c r="J2231" s="34">
        <f>ROUNDDOWN($P2231/4*$O2231*10*$N2231/$Q2231*$N2231/400,0)</f>
        <v>295153</v>
      </c>
      <c r="K2231" s="133">
        <v>1000</v>
      </c>
      <c r="L2231" s="34"/>
      <c r="M2231" s="16">
        <f t="shared" si="1170"/>
        <v>49161.513783039678</v>
      </c>
      <c r="N2231" s="36">
        <v>900</v>
      </c>
      <c r="O2231" s="36">
        <v>0.5</v>
      </c>
      <c r="P2231" s="47">
        <v>61800</v>
      </c>
      <c r="Q2231" s="2" t="s">
        <v>251</v>
      </c>
      <c r="S2231" s="36" t="s">
        <v>180</v>
      </c>
    </row>
    <row r="2232" spans="1:19" x14ac:dyDescent="0.2">
      <c r="A2232" s="8" t="str">
        <f t="shared" si="1187"/>
        <v>40013911</v>
      </c>
      <c r="B2232" s="8">
        <v>4001</v>
      </c>
      <c r="C2232" s="8">
        <v>39</v>
      </c>
      <c r="D2232" s="8" t="s">
        <v>62</v>
      </c>
      <c r="E2232" s="8">
        <v>1</v>
      </c>
      <c r="F2232" s="34">
        <f t="shared" si="1184"/>
        <v>204712</v>
      </c>
      <c r="G2232" s="34">
        <f t="shared" si="1184"/>
        <v>204712</v>
      </c>
      <c r="H2232" s="34">
        <f t="shared" si="1146"/>
        <v>12500</v>
      </c>
      <c r="I2232" s="34">
        <f t="shared" si="1146"/>
        <v>12500</v>
      </c>
      <c r="J2232" s="34">
        <f t="shared" si="1160"/>
        <v>564362</v>
      </c>
      <c r="K2232" s="133">
        <v>1000</v>
      </c>
      <c r="L2232" s="34"/>
      <c r="M2232" s="16">
        <f t="shared" si="1170"/>
        <v>96138.098064815073</v>
      </c>
      <c r="N2232" s="36">
        <v>880</v>
      </c>
      <c r="O2232" s="36">
        <v>1</v>
      </c>
      <c r="P2232" s="2">
        <f>P2231</f>
        <v>61800</v>
      </c>
      <c r="Q2232" s="2" t="s">
        <v>251</v>
      </c>
      <c r="S2232" s="36" t="str">
        <f>S2231</f>
        <v>5000</v>
      </c>
    </row>
    <row r="2233" spans="1:19" x14ac:dyDescent="0.2">
      <c r="A2233" s="8" t="str">
        <f t="shared" si="1187"/>
        <v>40013912</v>
      </c>
      <c r="B2233" s="8">
        <v>4001</v>
      </c>
      <c r="C2233" s="8">
        <v>39</v>
      </c>
      <c r="D2233" s="8" t="s">
        <v>62</v>
      </c>
      <c r="E2233" s="8">
        <v>2</v>
      </c>
      <c r="F2233" s="34">
        <f t="shared" si="1184"/>
        <v>409425</v>
      </c>
      <c r="G2233" s="34">
        <f t="shared" si="1184"/>
        <v>409425</v>
      </c>
      <c r="H2233" s="34">
        <f t="shared" si="1146"/>
        <v>12500</v>
      </c>
      <c r="I2233" s="34">
        <f t="shared" si="1146"/>
        <v>12500</v>
      </c>
      <c r="J2233" s="34">
        <f t="shared" si="1160"/>
        <v>1078001</v>
      </c>
      <c r="K2233" s="133">
        <v>1000</v>
      </c>
      <c r="L2233" s="34"/>
      <c r="M2233" s="16">
        <f t="shared" si="1170"/>
        <v>187906.47874408166</v>
      </c>
      <c r="N2233" s="36">
        <v>860</v>
      </c>
      <c r="O2233" s="36">
        <v>2</v>
      </c>
      <c r="P2233" s="2">
        <f t="shared" ref="P2233:P2235" si="1188">P2232</f>
        <v>61800</v>
      </c>
      <c r="Q2233" s="2" t="s">
        <v>251</v>
      </c>
      <c r="S2233" s="36" t="str">
        <f t="shared" ref="S2233:S2235" si="1189">S2232</f>
        <v>5000</v>
      </c>
    </row>
    <row r="2234" spans="1:19" x14ac:dyDescent="0.2">
      <c r="A2234" s="8" t="str">
        <f t="shared" si="1187"/>
        <v>40013913</v>
      </c>
      <c r="B2234" s="8">
        <v>4001</v>
      </c>
      <c r="C2234" s="8">
        <v>39</v>
      </c>
      <c r="D2234" s="8" t="s">
        <v>62</v>
      </c>
      <c r="E2234" s="8">
        <v>3</v>
      </c>
      <c r="F2234" s="34">
        <f t="shared" si="1184"/>
        <v>614137</v>
      </c>
      <c r="G2234" s="34">
        <f t="shared" si="1184"/>
        <v>614137</v>
      </c>
      <c r="H2234" s="34">
        <f t="shared" si="1146"/>
        <v>12500</v>
      </c>
      <c r="I2234" s="34">
        <f t="shared" si="1146"/>
        <v>12500</v>
      </c>
      <c r="J2234" s="34">
        <f t="shared" si="1160"/>
        <v>1542667</v>
      </c>
      <c r="K2234" s="133">
        <v>1000</v>
      </c>
      <c r="L2234" s="34"/>
      <c r="M2234" s="16">
        <f t="shared" si="1170"/>
        <v>275304.75962162367</v>
      </c>
      <c r="N2234" s="36">
        <v>840</v>
      </c>
      <c r="O2234" s="36">
        <v>3</v>
      </c>
      <c r="P2234" s="2">
        <f t="shared" si="1188"/>
        <v>61800</v>
      </c>
      <c r="Q2234" s="2" t="s">
        <v>251</v>
      </c>
      <c r="S2234" s="36" t="str">
        <f t="shared" si="1189"/>
        <v>5000</v>
      </c>
    </row>
    <row r="2235" spans="1:19" x14ac:dyDescent="0.2">
      <c r="A2235" s="8" t="str">
        <f t="shared" si="1187"/>
        <v>40013914</v>
      </c>
      <c r="B2235" s="8">
        <v>4001</v>
      </c>
      <c r="C2235" s="8">
        <v>39</v>
      </c>
      <c r="D2235" s="8" t="s">
        <v>62</v>
      </c>
      <c r="E2235" s="8">
        <v>4</v>
      </c>
      <c r="F2235" s="34">
        <f t="shared" si="1184"/>
        <v>818850</v>
      </c>
      <c r="G2235" s="34">
        <f t="shared" si="1184"/>
        <v>818850</v>
      </c>
      <c r="H2235" s="34">
        <f t="shared" si="1146"/>
        <v>12500</v>
      </c>
      <c r="I2235" s="34">
        <f t="shared" si="1146"/>
        <v>12500</v>
      </c>
      <c r="J2235" s="34">
        <f t="shared" si="1160"/>
        <v>1960109</v>
      </c>
      <c r="K2235" s="133">
        <v>1000</v>
      </c>
      <c r="L2235" s="34"/>
      <c r="M2235" s="16">
        <f t="shared" si="1170"/>
        <v>358333.3927671269</v>
      </c>
      <c r="N2235" s="36">
        <v>820</v>
      </c>
      <c r="O2235" s="36">
        <v>4</v>
      </c>
      <c r="P2235" s="2">
        <f t="shared" si="1188"/>
        <v>61800</v>
      </c>
      <c r="Q2235" s="2" t="s">
        <v>251</v>
      </c>
      <c r="S2235" s="36" t="str">
        <f t="shared" si="1189"/>
        <v>5000</v>
      </c>
    </row>
    <row r="2236" spans="1:19" x14ac:dyDescent="0.2">
      <c r="A2236" s="8" t="str">
        <f t="shared" ref="A2236:A2270" si="1190">IF(B2236="","",CONCATENATE(B2236,CONCATENATE(REPT(0,2-LEN(C2236)),C2236),IF(OR(D2236="Easy",D2236=""),1,IF(D2236="Normal",2,IF(D2236="Hard",3,IF(D2236="Hell",4,"error")))),E2236))</f>
        <v>40014010</v>
      </c>
      <c r="B2236" s="8">
        <v>4001</v>
      </c>
      <c r="C2236" s="8">
        <v>40</v>
      </c>
      <c r="D2236" s="8" t="s">
        <v>62</v>
      </c>
      <c r="E2236" s="8">
        <v>0</v>
      </c>
      <c r="F2236" s="34">
        <f t="shared" ref="F2236:G2267" si="1191">ROUNDDOWN($P2236/4*$O2236*10*$N2236/$N2236*$Q2236/400,0)</f>
        <v>143398</v>
      </c>
      <c r="G2236" s="34">
        <f t="shared" si="1191"/>
        <v>143398</v>
      </c>
      <c r="H2236" s="34">
        <f t="shared" ref="H2236:I2267" si="1192">ROUNDDOWN($S2236/4*10,0)</f>
        <v>12500</v>
      </c>
      <c r="I2236" s="34">
        <f t="shared" si="1192"/>
        <v>12500</v>
      </c>
      <c r="J2236" s="34">
        <f t="shared" ref="J2236:J2290" si="1193">ROUNDDOWN($P2236/4*$O2236*10*$N2236/$Q2236*$N2236/400,0)</f>
        <v>413501</v>
      </c>
      <c r="K2236" s="133">
        <v>1000</v>
      </c>
      <c r="L2236" s="34"/>
      <c r="M2236" s="16">
        <f t="shared" si="1170"/>
        <v>68873.923308027108</v>
      </c>
      <c r="N2236" s="36">
        <v>900</v>
      </c>
      <c r="O2236" s="36">
        <v>0.5</v>
      </c>
      <c r="P2236" s="47">
        <v>86580</v>
      </c>
      <c r="Q2236" s="2" t="s">
        <v>251</v>
      </c>
      <c r="S2236" s="36" t="s">
        <v>180</v>
      </c>
    </row>
    <row r="2237" spans="1:19" x14ac:dyDescent="0.2">
      <c r="A2237" s="8" t="str">
        <f t="shared" si="1190"/>
        <v>40014011</v>
      </c>
      <c r="B2237" s="8">
        <v>4001</v>
      </c>
      <c r="C2237" s="8">
        <v>40</v>
      </c>
      <c r="D2237" s="8" t="s">
        <v>62</v>
      </c>
      <c r="E2237" s="8">
        <v>1</v>
      </c>
      <c r="F2237" s="34">
        <f t="shared" si="1191"/>
        <v>286796</v>
      </c>
      <c r="G2237" s="34">
        <f t="shared" si="1191"/>
        <v>286796</v>
      </c>
      <c r="H2237" s="34">
        <f t="shared" si="1192"/>
        <v>12500</v>
      </c>
      <c r="I2237" s="34">
        <f t="shared" si="1192"/>
        <v>12500</v>
      </c>
      <c r="J2237" s="34">
        <f t="shared" si="1193"/>
        <v>790655</v>
      </c>
      <c r="K2237" s="133">
        <v>1000</v>
      </c>
      <c r="L2237" s="34"/>
      <c r="M2237" s="16">
        <f t="shared" si="1170"/>
        <v>134686.80451477048</v>
      </c>
      <c r="N2237" s="36">
        <v>880</v>
      </c>
      <c r="O2237" s="36">
        <v>1</v>
      </c>
      <c r="P2237" s="2">
        <f>P2236</f>
        <v>86580</v>
      </c>
      <c r="Q2237" s="2" t="s">
        <v>251</v>
      </c>
      <c r="S2237" s="36" t="str">
        <f>S2236</f>
        <v>5000</v>
      </c>
    </row>
    <row r="2238" spans="1:19" x14ac:dyDescent="0.2">
      <c r="A2238" s="8" t="str">
        <f t="shared" si="1190"/>
        <v>40014012</v>
      </c>
      <c r="B2238" s="8">
        <v>4001</v>
      </c>
      <c r="C2238" s="8">
        <v>40</v>
      </c>
      <c r="D2238" s="8" t="s">
        <v>62</v>
      </c>
      <c r="E2238" s="8">
        <v>2</v>
      </c>
      <c r="F2238" s="34">
        <f t="shared" si="1191"/>
        <v>573592</v>
      </c>
      <c r="G2238" s="34">
        <f t="shared" si="1191"/>
        <v>573592</v>
      </c>
      <c r="H2238" s="34">
        <f t="shared" si="1192"/>
        <v>12500</v>
      </c>
      <c r="I2238" s="34">
        <f t="shared" si="1192"/>
        <v>12500</v>
      </c>
      <c r="J2238" s="34">
        <f t="shared" si="1193"/>
        <v>1510249</v>
      </c>
      <c r="K2238" s="133">
        <v>1000</v>
      </c>
      <c r="L2238" s="34"/>
      <c r="M2238" s="16">
        <f t="shared" si="1170"/>
        <v>263251.47587931965</v>
      </c>
      <c r="N2238" s="36">
        <v>860</v>
      </c>
      <c r="O2238" s="36">
        <v>2</v>
      </c>
      <c r="P2238" s="2">
        <f t="shared" ref="P2238:P2245" si="1194">P2237</f>
        <v>86580</v>
      </c>
      <c r="Q2238" s="2" t="s">
        <v>251</v>
      </c>
      <c r="S2238" s="36" t="str">
        <f t="shared" ref="S2238:S2245" si="1195">S2237</f>
        <v>5000</v>
      </c>
    </row>
    <row r="2239" spans="1:19" x14ac:dyDescent="0.2">
      <c r="A2239" s="8" t="str">
        <f t="shared" si="1190"/>
        <v>40014013</v>
      </c>
      <c r="B2239" s="8">
        <v>4001</v>
      </c>
      <c r="C2239" s="8">
        <v>40</v>
      </c>
      <c r="D2239" s="8" t="s">
        <v>62</v>
      </c>
      <c r="E2239" s="8">
        <v>3</v>
      </c>
      <c r="F2239" s="34">
        <f t="shared" si="1191"/>
        <v>860388</v>
      </c>
      <c r="G2239" s="34">
        <f t="shared" si="1191"/>
        <v>860388</v>
      </c>
      <c r="H2239" s="34">
        <f t="shared" si="1192"/>
        <v>12500</v>
      </c>
      <c r="I2239" s="34">
        <f t="shared" si="1192"/>
        <v>12500</v>
      </c>
      <c r="J2239" s="34">
        <f t="shared" si="1193"/>
        <v>2161232</v>
      </c>
      <c r="K2239" s="133">
        <v>1000</v>
      </c>
      <c r="L2239" s="34"/>
      <c r="M2239" s="16">
        <f t="shared" si="1170"/>
        <v>385693.98004283139</v>
      </c>
      <c r="N2239" s="36">
        <v>840</v>
      </c>
      <c r="O2239" s="36">
        <v>3</v>
      </c>
      <c r="P2239" s="2">
        <f t="shared" si="1194"/>
        <v>86580</v>
      </c>
      <c r="Q2239" s="2" t="s">
        <v>251</v>
      </c>
      <c r="S2239" s="36" t="str">
        <f t="shared" si="1195"/>
        <v>5000</v>
      </c>
    </row>
    <row r="2240" spans="1:19" x14ac:dyDescent="0.2">
      <c r="A2240" s="8" t="str">
        <f t="shared" si="1190"/>
        <v>40014014</v>
      </c>
      <c r="B2240" s="8">
        <v>4001</v>
      </c>
      <c r="C2240" s="8">
        <v>40</v>
      </c>
      <c r="D2240" s="8" t="s">
        <v>62</v>
      </c>
      <c r="E2240" s="8">
        <v>4</v>
      </c>
      <c r="F2240" s="34">
        <f t="shared" si="1191"/>
        <v>1147185</v>
      </c>
      <c r="G2240" s="34">
        <f t="shared" si="1191"/>
        <v>1147185</v>
      </c>
      <c r="H2240" s="34">
        <f t="shared" si="1192"/>
        <v>12500</v>
      </c>
      <c r="I2240" s="34">
        <f t="shared" si="1192"/>
        <v>12500</v>
      </c>
      <c r="J2240" s="34">
        <f t="shared" si="1193"/>
        <v>2746056</v>
      </c>
      <c r="K2240" s="133">
        <v>1000</v>
      </c>
      <c r="L2240" s="34"/>
      <c r="M2240" s="16">
        <f t="shared" si="1170"/>
        <v>502014.68124826794</v>
      </c>
      <c r="N2240" s="36">
        <v>820</v>
      </c>
      <c r="O2240" s="36">
        <v>4</v>
      </c>
      <c r="P2240" s="2">
        <f t="shared" si="1194"/>
        <v>86580</v>
      </c>
      <c r="Q2240" s="2" t="s">
        <v>251</v>
      </c>
      <c r="S2240" s="36" t="str">
        <f t="shared" si="1195"/>
        <v>5000</v>
      </c>
    </row>
    <row r="2241" spans="1:19" x14ac:dyDescent="0.2">
      <c r="A2241" s="69" t="str">
        <f t="shared" si="1190"/>
        <v>40014110</v>
      </c>
      <c r="B2241" s="69">
        <v>4001</v>
      </c>
      <c r="C2241" s="69">
        <v>41</v>
      </c>
      <c r="D2241" s="69" t="s">
        <v>62</v>
      </c>
      <c r="E2241" s="69">
        <v>0</v>
      </c>
      <c r="F2241" s="70">
        <f t="shared" si="1191"/>
        <v>182187</v>
      </c>
      <c r="G2241" s="70">
        <f t="shared" si="1191"/>
        <v>182187</v>
      </c>
      <c r="H2241" s="70">
        <f t="shared" si="1192"/>
        <v>13500</v>
      </c>
      <c r="I2241" s="70">
        <f t="shared" si="1192"/>
        <v>13500</v>
      </c>
      <c r="J2241" s="70">
        <f t="shared" si="1193"/>
        <v>525353</v>
      </c>
      <c r="K2241" s="133">
        <v>1000</v>
      </c>
      <c r="L2241" s="70"/>
      <c r="M2241" s="16">
        <f t="shared" si="1170"/>
        <v>90937.114962760941</v>
      </c>
      <c r="N2241" s="71">
        <v>900</v>
      </c>
      <c r="O2241" s="71">
        <v>0.5</v>
      </c>
      <c r="P2241" s="46" t="s">
        <v>295</v>
      </c>
      <c r="Q2241" s="72" t="s">
        <v>251</v>
      </c>
      <c r="R2241" s="72"/>
      <c r="S2241" s="71">
        <v>5400</v>
      </c>
    </row>
    <row r="2242" spans="1:19" x14ac:dyDescent="0.2">
      <c r="A2242" s="69" t="str">
        <f t="shared" si="1190"/>
        <v>40014111</v>
      </c>
      <c r="B2242" s="69">
        <v>4001</v>
      </c>
      <c r="C2242" s="69">
        <v>41</v>
      </c>
      <c r="D2242" s="69" t="s">
        <v>62</v>
      </c>
      <c r="E2242" s="69">
        <v>1</v>
      </c>
      <c r="F2242" s="70">
        <f t="shared" si="1191"/>
        <v>364375</v>
      </c>
      <c r="G2242" s="70">
        <f t="shared" si="1191"/>
        <v>364375</v>
      </c>
      <c r="H2242" s="70">
        <f t="shared" si="1192"/>
        <v>13500</v>
      </c>
      <c r="I2242" s="70">
        <f t="shared" si="1192"/>
        <v>13500</v>
      </c>
      <c r="J2242" s="70">
        <f t="shared" si="1193"/>
        <v>1004528</v>
      </c>
      <c r="K2242" s="133">
        <v>1000</v>
      </c>
      <c r="L2242" s="70"/>
      <c r="M2242" s="16">
        <f t="shared" si="1170"/>
        <v>177832.92860435043</v>
      </c>
      <c r="N2242" s="71">
        <v>880</v>
      </c>
      <c r="O2242" s="71">
        <v>1</v>
      </c>
      <c r="P2242" s="72" t="str">
        <f>P2241</f>
        <v>110000</v>
      </c>
      <c r="Q2242" s="72" t="s">
        <v>251</v>
      </c>
      <c r="R2242" s="72"/>
      <c r="S2242" s="71">
        <f>S2241</f>
        <v>5400</v>
      </c>
    </row>
    <row r="2243" spans="1:19" x14ac:dyDescent="0.2">
      <c r="A2243" s="69" t="str">
        <f t="shared" si="1190"/>
        <v>40014112</v>
      </c>
      <c r="B2243" s="69">
        <v>4001</v>
      </c>
      <c r="C2243" s="69">
        <v>41</v>
      </c>
      <c r="D2243" s="69" t="s">
        <v>62</v>
      </c>
      <c r="E2243" s="69">
        <v>2</v>
      </c>
      <c r="F2243" s="70">
        <f t="shared" si="1191"/>
        <v>728750</v>
      </c>
      <c r="G2243" s="70">
        <f t="shared" si="1191"/>
        <v>728750</v>
      </c>
      <c r="H2243" s="70">
        <f t="shared" si="1192"/>
        <v>13500</v>
      </c>
      <c r="I2243" s="70">
        <f t="shared" si="1192"/>
        <v>13500</v>
      </c>
      <c r="J2243" s="70">
        <f t="shared" si="1193"/>
        <v>1918773</v>
      </c>
      <c r="K2243" s="133">
        <v>1000</v>
      </c>
      <c r="L2243" s="70"/>
      <c r="M2243" s="16">
        <f t="shared" si="1170"/>
        <v>347582.54152359266</v>
      </c>
      <c r="N2243" s="71">
        <v>860</v>
      </c>
      <c r="O2243" s="71">
        <v>2</v>
      </c>
      <c r="P2243" s="72" t="str">
        <f t="shared" si="1194"/>
        <v>110000</v>
      </c>
      <c r="Q2243" s="72" t="s">
        <v>251</v>
      </c>
      <c r="R2243" s="72"/>
      <c r="S2243" s="71">
        <f t="shared" si="1195"/>
        <v>5400</v>
      </c>
    </row>
    <row r="2244" spans="1:19" x14ac:dyDescent="0.2">
      <c r="A2244" s="69" t="str">
        <f t="shared" si="1190"/>
        <v>40014113</v>
      </c>
      <c r="B2244" s="69">
        <v>4001</v>
      </c>
      <c r="C2244" s="69">
        <v>41</v>
      </c>
      <c r="D2244" s="69" t="s">
        <v>62</v>
      </c>
      <c r="E2244" s="69">
        <v>3</v>
      </c>
      <c r="F2244" s="70">
        <f t="shared" si="1191"/>
        <v>1093125</v>
      </c>
      <c r="G2244" s="70">
        <f t="shared" si="1191"/>
        <v>1093125</v>
      </c>
      <c r="H2244" s="70">
        <f t="shared" si="1192"/>
        <v>13500</v>
      </c>
      <c r="I2244" s="70">
        <f t="shared" si="1192"/>
        <v>13500</v>
      </c>
      <c r="J2244" s="70">
        <f t="shared" si="1193"/>
        <v>2745849</v>
      </c>
      <c r="K2244" s="133">
        <v>1000</v>
      </c>
      <c r="L2244" s="70"/>
      <c r="M2244" s="16">
        <f t="shared" si="1170"/>
        <v>509248.91227571614</v>
      </c>
      <c r="N2244" s="71">
        <v>840</v>
      </c>
      <c r="O2244" s="71">
        <v>3</v>
      </c>
      <c r="P2244" s="72" t="str">
        <f t="shared" si="1194"/>
        <v>110000</v>
      </c>
      <c r="Q2244" s="72" t="s">
        <v>251</v>
      </c>
      <c r="R2244" s="72"/>
      <c r="S2244" s="71">
        <f t="shared" si="1195"/>
        <v>5400</v>
      </c>
    </row>
    <row r="2245" spans="1:19" x14ac:dyDescent="0.2">
      <c r="A2245" s="69" t="str">
        <f t="shared" si="1190"/>
        <v>40014114</v>
      </c>
      <c r="B2245" s="69">
        <v>4001</v>
      </c>
      <c r="C2245" s="69">
        <v>41</v>
      </c>
      <c r="D2245" s="69" t="s">
        <v>62</v>
      </c>
      <c r="E2245" s="69">
        <v>4</v>
      </c>
      <c r="F2245" s="70">
        <f t="shared" si="1191"/>
        <v>1457500</v>
      </c>
      <c r="G2245" s="70">
        <f t="shared" si="1191"/>
        <v>1457500</v>
      </c>
      <c r="H2245" s="70">
        <f t="shared" si="1192"/>
        <v>13500</v>
      </c>
      <c r="I2245" s="70">
        <f t="shared" si="1192"/>
        <v>13500</v>
      </c>
      <c r="J2245" s="70">
        <f t="shared" si="1193"/>
        <v>3488867</v>
      </c>
      <c r="K2245" s="133">
        <v>1000</v>
      </c>
      <c r="L2245" s="70"/>
      <c r="M2245" s="16">
        <f t="shared" si="1170"/>
        <v>662831.83657395339</v>
      </c>
      <c r="N2245" s="71">
        <v>820</v>
      </c>
      <c r="O2245" s="71">
        <v>4</v>
      </c>
      <c r="P2245" s="72" t="str">
        <f t="shared" si="1194"/>
        <v>110000</v>
      </c>
      <c r="Q2245" s="72" t="s">
        <v>251</v>
      </c>
      <c r="R2245" s="72"/>
      <c r="S2245" s="71">
        <f t="shared" si="1195"/>
        <v>5400</v>
      </c>
    </row>
    <row r="2246" spans="1:19" x14ac:dyDescent="0.2">
      <c r="A2246" s="69" t="str">
        <f t="shared" si="1190"/>
        <v>40014210</v>
      </c>
      <c r="B2246" s="69">
        <v>4001</v>
      </c>
      <c r="C2246" s="69">
        <v>42</v>
      </c>
      <c r="D2246" s="69" t="s">
        <v>62</v>
      </c>
      <c r="E2246" s="69">
        <v>0</v>
      </c>
      <c r="F2246" s="70">
        <f t="shared" si="1191"/>
        <v>207031</v>
      </c>
      <c r="G2246" s="70">
        <f t="shared" si="1191"/>
        <v>207031</v>
      </c>
      <c r="H2246" s="70">
        <f t="shared" si="1192"/>
        <v>14500</v>
      </c>
      <c r="I2246" s="70">
        <f t="shared" si="1192"/>
        <v>14500</v>
      </c>
      <c r="J2246" s="70">
        <f t="shared" si="1193"/>
        <v>596992</v>
      </c>
      <c r="K2246" s="133">
        <v>1000</v>
      </c>
      <c r="L2246" s="70"/>
      <c r="M2246" s="16">
        <f t="shared" si="1170"/>
        <v>107096.66171167803</v>
      </c>
      <c r="N2246" s="71">
        <v>900</v>
      </c>
      <c r="O2246" s="71">
        <v>0.5</v>
      </c>
      <c r="P2246" s="46" t="s">
        <v>296</v>
      </c>
      <c r="Q2246" s="72" t="s">
        <v>251</v>
      </c>
      <c r="R2246" s="72"/>
      <c r="S2246" s="71">
        <v>5800</v>
      </c>
    </row>
    <row r="2247" spans="1:19" x14ac:dyDescent="0.2">
      <c r="A2247" s="69" t="str">
        <f t="shared" si="1190"/>
        <v>40014211</v>
      </c>
      <c r="B2247" s="69">
        <v>4001</v>
      </c>
      <c r="C2247" s="69">
        <v>42</v>
      </c>
      <c r="D2247" s="69" t="s">
        <v>62</v>
      </c>
      <c r="E2247" s="69">
        <v>1</v>
      </c>
      <c r="F2247" s="70">
        <f t="shared" si="1191"/>
        <v>414062</v>
      </c>
      <c r="G2247" s="70">
        <f t="shared" si="1191"/>
        <v>414062</v>
      </c>
      <c r="H2247" s="70">
        <f t="shared" si="1192"/>
        <v>14500</v>
      </c>
      <c r="I2247" s="70">
        <f t="shared" si="1192"/>
        <v>14500</v>
      </c>
      <c r="J2247" s="70">
        <f t="shared" si="1193"/>
        <v>1141509</v>
      </c>
      <c r="K2247" s="133">
        <v>1000</v>
      </c>
      <c r="L2247" s="70"/>
      <c r="M2247" s="16">
        <f t="shared" si="1170"/>
        <v>209433.59415094418</v>
      </c>
      <c r="N2247" s="71">
        <v>880</v>
      </c>
      <c r="O2247" s="71">
        <v>1</v>
      </c>
      <c r="P2247" s="72" t="str">
        <f>P2246</f>
        <v>125000</v>
      </c>
      <c r="Q2247" s="72" t="s">
        <v>251</v>
      </c>
      <c r="R2247" s="72"/>
      <c r="S2247" s="71">
        <f>S2246</f>
        <v>5800</v>
      </c>
    </row>
    <row r="2248" spans="1:19" x14ac:dyDescent="0.2">
      <c r="A2248" s="69" t="str">
        <f t="shared" si="1190"/>
        <v>40014212</v>
      </c>
      <c r="B2248" s="69">
        <v>4001</v>
      </c>
      <c r="C2248" s="69">
        <v>42</v>
      </c>
      <c r="D2248" s="69" t="s">
        <v>62</v>
      </c>
      <c r="E2248" s="69">
        <v>2</v>
      </c>
      <c r="F2248" s="70">
        <f t="shared" si="1191"/>
        <v>828125</v>
      </c>
      <c r="G2248" s="70">
        <f t="shared" si="1191"/>
        <v>828125</v>
      </c>
      <c r="H2248" s="70">
        <f t="shared" si="1192"/>
        <v>14500</v>
      </c>
      <c r="I2248" s="70">
        <f t="shared" si="1192"/>
        <v>14500</v>
      </c>
      <c r="J2248" s="70">
        <f t="shared" si="1193"/>
        <v>2180424</v>
      </c>
      <c r="K2248" s="133">
        <v>1000</v>
      </c>
      <c r="L2248" s="70"/>
      <c r="M2248" s="16">
        <f t="shared" si="1170"/>
        <v>409347.75484910142</v>
      </c>
      <c r="N2248" s="71">
        <v>860</v>
      </c>
      <c r="O2248" s="71">
        <v>2</v>
      </c>
      <c r="P2248" s="72" t="str">
        <f t="shared" ref="P2248:P2250" si="1196">P2247</f>
        <v>125000</v>
      </c>
      <c r="Q2248" s="72" t="s">
        <v>251</v>
      </c>
      <c r="R2248" s="72"/>
      <c r="S2248" s="71">
        <f t="shared" ref="S2248:S2250" si="1197">S2247</f>
        <v>5800</v>
      </c>
    </row>
    <row r="2249" spans="1:19" x14ac:dyDescent="0.2">
      <c r="A2249" s="69" t="str">
        <f t="shared" si="1190"/>
        <v>40014213</v>
      </c>
      <c r="B2249" s="69">
        <v>4001</v>
      </c>
      <c r="C2249" s="69">
        <v>42</v>
      </c>
      <c r="D2249" s="69" t="s">
        <v>62</v>
      </c>
      <c r="E2249" s="69">
        <v>3</v>
      </c>
      <c r="F2249" s="70">
        <f t="shared" si="1191"/>
        <v>1242187</v>
      </c>
      <c r="G2249" s="70">
        <f t="shared" si="1191"/>
        <v>1242187</v>
      </c>
      <c r="H2249" s="70">
        <f t="shared" si="1192"/>
        <v>14500</v>
      </c>
      <c r="I2249" s="70">
        <f t="shared" si="1192"/>
        <v>14500</v>
      </c>
      <c r="J2249" s="70">
        <f t="shared" si="1193"/>
        <v>3120283</v>
      </c>
      <c r="K2249" s="133">
        <v>1000</v>
      </c>
      <c r="L2249" s="70"/>
      <c r="M2249" s="16">
        <f t="shared" si="1170"/>
        <v>599742.00957067253</v>
      </c>
      <c r="N2249" s="71">
        <v>840</v>
      </c>
      <c r="O2249" s="71">
        <v>3</v>
      </c>
      <c r="P2249" s="72" t="str">
        <f t="shared" si="1196"/>
        <v>125000</v>
      </c>
      <c r="Q2249" s="72" t="s">
        <v>251</v>
      </c>
      <c r="R2249" s="72"/>
      <c r="S2249" s="71">
        <f t="shared" si="1197"/>
        <v>5800</v>
      </c>
    </row>
    <row r="2250" spans="1:19" x14ac:dyDescent="0.2">
      <c r="A2250" s="69" t="str">
        <f t="shared" si="1190"/>
        <v>40014214</v>
      </c>
      <c r="B2250" s="69">
        <v>4001</v>
      </c>
      <c r="C2250" s="69">
        <v>42</v>
      </c>
      <c r="D2250" s="69" t="s">
        <v>62</v>
      </c>
      <c r="E2250" s="69">
        <v>4</v>
      </c>
      <c r="F2250" s="70">
        <f t="shared" si="1191"/>
        <v>1656250</v>
      </c>
      <c r="G2250" s="70">
        <f t="shared" si="1191"/>
        <v>1656250</v>
      </c>
      <c r="H2250" s="70">
        <f t="shared" si="1192"/>
        <v>14500</v>
      </c>
      <c r="I2250" s="70">
        <f t="shared" si="1192"/>
        <v>14500</v>
      </c>
      <c r="J2250" s="70">
        <f t="shared" si="1193"/>
        <v>3964622</v>
      </c>
      <c r="K2250" s="133">
        <v>1000</v>
      </c>
      <c r="L2250" s="70"/>
      <c r="M2250" s="16">
        <f t="shared" si="1170"/>
        <v>780616.68019585637</v>
      </c>
      <c r="N2250" s="71">
        <v>820</v>
      </c>
      <c r="O2250" s="71">
        <v>4</v>
      </c>
      <c r="P2250" s="72" t="str">
        <f t="shared" si="1196"/>
        <v>125000</v>
      </c>
      <c r="Q2250" s="72" t="s">
        <v>251</v>
      </c>
      <c r="R2250" s="72"/>
      <c r="S2250" s="71">
        <f t="shared" si="1197"/>
        <v>5800</v>
      </c>
    </row>
    <row r="2251" spans="1:19" x14ac:dyDescent="0.2">
      <c r="A2251" s="69" t="str">
        <f t="shared" si="1190"/>
        <v>40014310</v>
      </c>
      <c r="B2251" s="69">
        <v>4001</v>
      </c>
      <c r="C2251" s="69">
        <v>43</v>
      </c>
      <c r="D2251" s="69" t="s">
        <v>62</v>
      </c>
      <c r="E2251" s="69">
        <v>0</v>
      </c>
      <c r="F2251" s="70">
        <f t="shared" si="1191"/>
        <v>281562</v>
      </c>
      <c r="G2251" s="70">
        <f t="shared" si="1191"/>
        <v>281562</v>
      </c>
      <c r="H2251" s="70">
        <f t="shared" si="1192"/>
        <v>15500</v>
      </c>
      <c r="I2251" s="70">
        <f t="shared" si="1192"/>
        <v>15500</v>
      </c>
      <c r="J2251" s="70">
        <f t="shared" si="1193"/>
        <v>811910</v>
      </c>
      <c r="K2251" s="133">
        <v>1000</v>
      </c>
      <c r="L2251" s="70"/>
      <c r="M2251" s="16">
        <f t="shared" si="1170"/>
        <v>150590.23188528532</v>
      </c>
      <c r="N2251" s="71">
        <v>900</v>
      </c>
      <c r="O2251" s="71">
        <v>0.5</v>
      </c>
      <c r="P2251" s="46" t="s">
        <v>297</v>
      </c>
      <c r="Q2251" s="72" t="s">
        <v>251</v>
      </c>
      <c r="R2251" s="72"/>
      <c r="S2251" s="71">
        <v>6200</v>
      </c>
    </row>
    <row r="2252" spans="1:19" x14ac:dyDescent="0.2">
      <c r="A2252" s="69" t="str">
        <f t="shared" si="1190"/>
        <v>40014311</v>
      </c>
      <c r="B2252" s="69">
        <v>4001</v>
      </c>
      <c r="C2252" s="69">
        <v>43</v>
      </c>
      <c r="D2252" s="69" t="s">
        <v>62</v>
      </c>
      <c r="E2252" s="69">
        <v>1</v>
      </c>
      <c r="F2252" s="70">
        <f t="shared" si="1191"/>
        <v>563125</v>
      </c>
      <c r="G2252" s="70">
        <f t="shared" si="1191"/>
        <v>563125</v>
      </c>
      <c r="H2252" s="70">
        <f t="shared" si="1192"/>
        <v>15500</v>
      </c>
      <c r="I2252" s="70">
        <f t="shared" si="1192"/>
        <v>15500</v>
      </c>
      <c r="J2252" s="70">
        <f t="shared" si="1193"/>
        <v>1552452</v>
      </c>
      <c r="K2252" s="133">
        <v>1000</v>
      </c>
      <c r="L2252" s="70"/>
      <c r="M2252" s="16">
        <f t="shared" si="1170"/>
        <v>294487.8157479525</v>
      </c>
      <c r="N2252" s="71">
        <v>880</v>
      </c>
      <c r="O2252" s="71">
        <v>1</v>
      </c>
      <c r="P2252" s="72" t="str">
        <f>P2251</f>
        <v>170000</v>
      </c>
      <c r="Q2252" s="72" t="s">
        <v>251</v>
      </c>
      <c r="R2252" s="72"/>
      <c r="S2252" s="71">
        <f>S2251</f>
        <v>6200</v>
      </c>
    </row>
    <row r="2253" spans="1:19" x14ac:dyDescent="0.2">
      <c r="A2253" s="69" t="str">
        <f t="shared" si="1190"/>
        <v>40014312</v>
      </c>
      <c r="B2253" s="69">
        <v>4001</v>
      </c>
      <c r="C2253" s="69">
        <v>43</v>
      </c>
      <c r="D2253" s="69" t="s">
        <v>62</v>
      </c>
      <c r="E2253" s="69">
        <v>2</v>
      </c>
      <c r="F2253" s="70">
        <f t="shared" si="1191"/>
        <v>1126250</v>
      </c>
      <c r="G2253" s="70">
        <f t="shared" si="1191"/>
        <v>1126250</v>
      </c>
      <c r="H2253" s="70">
        <f t="shared" si="1192"/>
        <v>15500</v>
      </c>
      <c r="I2253" s="70">
        <f t="shared" si="1192"/>
        <v>15500</v>
      </c>
      <c r="J2253" s="70">
        <f t="shared" si="1193"/>
        <v>2965377</v>
      </c>
      <c r="K2253" s="133">
        <v>1000</v>
      </c>
      <c r="L2253" s="70"/>
      <c r="M2253" s="16">
        <f t="shared" si="1170"/>
        <v>575589.94079813454</v>
      </c>
      <c r="N2253" s="71">
        <v>860</v>
      </c>
      <c r="O2253" s="71">
        <v>2</v>
      </c>
      <c r="P2253" s="72" t="str">
        <f t="shared" ref="P2253:P2255" si="1198">P2252</f>
        <v>170000</v>
      </c>
      <c r="Q2253" s="72" t="s">
        <v>251</v>
      </c>
      <c r="R2253" s="72"/>
      <c r="S2253" s="71">
        <f t="shared" ref="S2253:S2255" si="1199">S2252</f>
        <v>6200</v>
      </c>
    </row>
    <row r="2254" spans="1:19" x14ac:dyDescent="0.2">
      <c r="A2254" s="69" t="str">
        <f t="shared" si="1190"/>
        <v>40014313</v>
      </c>
      <c r="B2254" s="69">
        <v>4001</v>
      </c>
      <c r="C2254" s="69">
        <v>43</v>
      </c>
      <c r="D2254" s="69" t="s">
        <v>62</v>
      </c>
      <c r="E2254" s="69">
        <v>3</v>
      </c>
      <c r="F2254" s="70">
        <f t="shared" si="1191"/>
        <v>1689375</v>
      </c>
      <c r="G2254" s="70">
        <f t="shared" si="1191"/>
        <v>1689375</v>
      </c>
      <c r="H2254" s="70">
        <f t="shared" si="1192"/>
        <v>15500</v>
      </c>
      <c r="I2254" s="70">
        <f t="shared" si="1192"/>
        <v>15500</v>
      </c>
      <c r="J2254" s="70">
        <f t="shared" si="1193"/>
        <v>4243584</v>
      </c>
      <c r="K2254" s="133">
        <v>1000</v>
      </c>
      <c r="L2254" s="70"/>
      <c r="M2254" s="16">
        <f t="shared" si="1170"/>
        <v>843306.15331799875</v>
      </c>
      <c r="N2254" s="71">
        <v>840</v>
      </c>
      <c r="O2254" s="71">
        <v>3</v>
      </c>
      <c r="P2254" s="72" t="str">
        <f t="shared" si="1198"/>
        <v>170000</v>
      </c>
      <c r="Q2254" s="72" t="s">
        <v>251</v>
      </c>
      <c r="R2254" s="72"/>
      <c r="S2254" s="71">
        <f t="shared" si="1199"/>
        <v>6200</v>
      </c>
    </row>
    <row r="2255" spans="1:19" x14ac:dyDescent="0.2">
      <c r="A2255" s="69" t="str">
        <f t="shared" si="1190"/>
        <v>40014314</v>
      </c>
      <c r="B2255" s="69">
        <v>4001</v>
      </c>
      <c r="C2255" s="69">
        <v>43</v>
      </c>
      <c r="D2255" s="69" t="s">
        <v>62</v>
      </c>
      <c r="E2255" s="69">
        <v>4</v>
      </c>
      <c r="F2255" s="70">
        <f t="shared" si="1191"/>
        <v>2252500</v>
      </c>
      <c r="G2255" s="70">
        <f t="shared" si="1191"/>
        <v>2252500</v>
      </c>
      <c r="H2255" s="70">
        <f t="shared" si="1192"/>
        <v>15500</v>
      </c>
      <c r="I2255" s="70">
        <f t="shared" si="1192"/>
        <v>15500</v>
      </c>
      <c r="J2255" s="70">
        <f t="shared" si="1193"/>
        <v>5391886</v>
      </c>
      <c r="K2255" s="133">
        <v>1000</v>
      </c>
      <c r="L2255" s="70"/>
      <c r="M2255" s="16">
        <f t="shared" si="1170"/>
        <v>1097636.6169766751</v>
      </c>
      <c r="N2255" s="71">
        <v>820</v>
      </c>
      <c r="O2255" s="71">
        <v>4</v>
      </c>
      <c r="P2255" s="72" t="str">
        <f t="shared" si="1198"/>
        <v>170000</v>
      </c>
      <c r="Q2255" s="72" t="s">
        <v>251</v>
      </c>
      <c r="R2255" s="72"/>
      <c r="S2255" s="71">
        <f t="shared" si="1199"/>
        <v>6200</v>
      </c>
    </row>
    <row r="2256" spans="1:19" x14ac:dyDescent="0.2">
      <c r="A2256" s="69" t="str">
        <f t="shared" si="1190"/>
        <v>40014410</v>
      </c>
      <c r="B2256" s="69">
        <v>4001</v>
      </c>
      <c r="C2256" s="69">
        <v>44</v>
      </c>
      <c r="D2256" s="69" t="s">
        <v>62</v>
      </c>
      <c r="E2256" s="69">
        <v>0</v>
      </c>
      <c r="F2256" s="70">
        <f t="shared" si="1191"/>
        <v>331250</v>
      </c>
      <c r="G2256" s="70">
        <f t="shared" si="1191"/>
        <v>331250</v>
      </c>
      <c r="H2256" s="70">
        <f t="shared" si="1192"/>
        <v>16500</v>
      </c>
      <c r="I2256" s="70">
        <f t="shared" si="1192"/>
        <v>16500</v>
      </c>
      <c r="J2256" s="70">
        <f t="shared" si="1193"/>
        <v>955188</v>
      </c>
      <c r="K2256" s="133">
        <v>1000</v>
      </c>
      <c r="L2256" s="70"/>
      <c r="M2256" s="16">
        <f t="shared" si="1170"/>
        <v>182790.79911199035</v>
      </c>
      <c r="N2256" s="71">
        <v>900</v>
      </c>
      <c r="O2256" s="71">
        <v>0.5</v>
      </c>
      <c r="P2256" s="46" t="s">
        <v>298</v>
      </c>
      <c r="Q2256" s="72" t="s">
        <v>251</v>
      </c>
      <c r="R2256" s="72"/>
      <c r="S2256" s="71">
        <v>6600</v>
      </c>
    </row>
    <row r="2257" spans="1:19" x14ac:dyDescent="0.2">
      <c r="A2257" s="69" t="str">
        <f t="shared" si="1190"/>
        <v>40014411</v>
      </c>
      <c r="B2257" s="69">
        <v>4001</v>
      </c>
      <c r="C2257" s="69">
        <v>44</v>
      </c>
      <c r="D2257" s="69" t="s">
        <v>62</v>
      </c>
      <c r="E2257" s="69">
        <v>1</v>
      </c>
      <c r="F2257" s="70">
        <f t="shared" si="1191"/>
        <v>662500</v>
      </c>
      <c r="G2257" s="70">
        <f t="shared" si="1191"/>
        <v>662500</v>
      </c>
      <c r="H2257" s="70">
        <f t="shared" si="1192"/>
        <v>16500</v>
      </c>
      <c r="I2257" s="70">
        <f t="shared" si="1192"/>
        <v>16500</v>
      </c>
      <c r="J2257" s="70">
        <f t="shared" si="1193"/>
        <v>1826415</v>
      </c>
      <c r="K2257" s="133">
        <v>1000</v>
      </c>
      <c r="L2257" s="70"/>
      <c r="M2257" s="16">
        <f t="shared" si="1170"/>
        <v>357457.68057212036</v>
      </c>
      <c r="N2257" s="71">
        <v>880</v>
      </c>
      <c r="O2257" s="71">
        <v>1</v>
      </c>
      <c r="P2257" s="72" t="str">
        <f>P2256</f>
        <v>200000</v>
      </c>
      <c r="Q2257" s="72" t="s">
        <v>251</v>
      </c>
      <c r="R2257" s="72"/>
      <c r="S2257" s="71">
        <f>S2256</f>
        <v>6600</v>
      </c>
    </row>
    <row r="2258" spans="1:19" x14ac:dyDescent="0.2">
      <c r="A2258" s="69" t="str">
        <f t="shared" si="1190"/>
        <v>40014412</v>
      </c>
      <c r="B2258" s="69">
        <v>4001</v>
      </c>
      <c r="C2258" s="69">
        <v>44</v>
      </c>
      <c r="D2258" s="69" t="s">
        <v>62</v>
      </c>
      <c r="E2258" s="69">
        <v>2</v>
      </c>
      <c r="F2258" s="70">
        <f t="shared" si="1191"/>
        <v>1325000</v>
      </c>
      <c r="G2258" s="70">
        <f t="shared" si="1191"/>
        <v>1325000</v>
      </c>
      <c r="H2258" s="70">
        <f t="shared" si="1192"/>
        <v>16500</v>
      </c>
      <c r="I2258" s="70">
        <f t="shared" si="1192"/>
        <v>16500</v>
      </c>
      <c r="J2258" s="70">
        <f t="shared" si="1193"/>
        <v>3488679</v>
      </c>
      <c r="K2258" s="133">
        <v>1000</v>
      </c>
      <c r="L2258" s="70"/>
      <c r="M2258" s="16">
        <f t="shared" si="1170"/>
        <v>698667.27823764586</v>
      </c>
      <c r="N2258" s="71">
        <v>860</v>
      </c>
      <c r="O2258" s="71">
        <v>2</v>
      </c>
      <c r="P2258" s="72" t="str">
        <f t="shared" ref="P2258:P2260" si="1200">P2257</f>
        <v>200000</v>
      </c>
      <c r="Q2258" s="72" t="s">
        <v>251</v>
      </c>
      <c r="R2258" s="72"/>
      <c r="S2258" s="71">
        <f t="shared" ref="S2258:S2260" si="1201">S2257</f>
        <v>6600</v>
      </c>
    </row>
    <row r="2259" spans="1:19" x14ac:dyDescent="0.2">
      <c r="A2259" s="69" t="str">
        <f t="shared" si="1190"/>
        <v>40014413</v>
      </c>
      <c r="B2259" s="69">
        <v>4001</v>
      </c>
      <c r="C2259" s="69">
        <v>44</v>
      </c>
      <c r="D2259" s="69" t="s">
        <v>62</v>
      </c>
      <c r="E2259" s="69">
        <v>3</v>
      </c>
      <c r="F2259" s="70">
        <f t="shared" si="1191"/>
        <v>1987500</v>
      </c>
      <c r="G2259" s="70">
        <f t="shared" si="1191"/>
        <v>1987500</v>
      </c>
      <c r="H2259" s="70">
        <f t="shared" si="1192"/>
        <v>16500</v>
      </c>
      <c r="I2259" s="70">
        <f t="shared" si="1192"/>
        <v>16500</v>
      </c>
      <c r="J2259" s="70">
        <f t="shared" si="1193"/>
        <v>4992452</v>
      </c>
      <c r="K2259" s="133">
        <v>1000</v>
      </c>
      <c r="L2259" s="70"/>
      <c r="M2259" s="16">
        <f t="shared" si="1170"/>
        <v>1023628.7538751537</v>
      </c>
      <c r="N2259" s="71">
        <v>840</v>
      </c>
      <c r="O2259" s="71">
        <v>3</v>
      </c>
      <c r="P2259" s="72" t="str">
        <f t="shared" si="1200"/>
        <v>200000</v>
      </c>
      <c r="Q2259" s="72" t="s">
        <v>251</v>
      </c>
      <c r="R2259" s="72"/>
      <c r="S2259" s="71">
        <f t="shared" si="1201"/>
        <v>6600</v>
      </c>
    </row>
    <row r="2260" spans="1:19" x14ac:dyDescent="0.2">
      <c r="A2260" s="69" t="str">
        <f t="shared" si="1190"/>
        <v>40014414</v>
      </c>
      <c r="B2260" s="69">
        <v>4001</v>
      </c>
      <c r="C2260" s="69">
        <v>44</v>
      </c>
      <c r="D2260" s="69" t="s">
        <v>62</v>
      </c>
      <c r="E2260" s="69">
        <v>4</v>
      </c>
      <c r="F2260" s="70">
        <f t="shared" si="1191"/>
        <v>2650000</v>
      </c>
      <c r="G2260" s="70">
        <f t="shared" si="1191"/>
        <v>2650000</v>
      </c>
      <c r="H2260" s="70">
        <f t="shared" si="1192"/>
        <v>16500</v>
      </c>
      <c r="I2260" s="70">
        <f t="shared" si="1192"/>
        <v>16500</v>
      </c>
      <c r="J2260" s="70">
        <f t="shared" si="1193"/>
        <v>6343396</v>
      </c>
      <c r="K2260" s="133">
        <v>1000</v>
      </c>
      <c r="L2260" s="70"/>
      <c r="M2260" s="16">
        <f t="shared" si="1170"/>
        <v>1332342.274582624</v>
      </c>
      <c r="N2260" s="71">
        <v>820</v>
      </c>
      <c r="O2260" s="71">
        <v>4</v>
      </c>
      <c r="P2260" s="72" t="str">
        <f t="shared" si="1200"/>
        <v>200000</v>
      </c>
      <c r="Q2260" s="72" t="s">
        <v>251</v>
      </c>
      <c r="R2260" s="72"/>
      <c r="S2260" s="71">
        <f t="shared" si="1201"/>
        <v>6600</v>
      </c>
    </row>
    <row r="2261" spans="1:19" x14ac:dyDescent="0.2">
      <c r="A2261" s="69" t="str">
        <f t="shared" si="1190"/>
        <v>40014510</v>
      </c>
      <c r="B2261" s="69">
        <v>4001</v>
      </c>
      <c r="C2261" s="72" t="s">
        <v>278</v>
      </c>
      <c r="D2261" s="69" t="s">
        <v>62</v>
      </c>
      <c r="E2261" s="69">
        <v>0</v>
      </c>
      <c r="F2261" s="70">
        <f t="shared" si="1191"/>
        <v>364375</v>
      </c>
      <c r="G2261" s="70">
        <f t="shared" si="1191"/>
        <v>364375</v>
      </c>
      <c r="H2261" s="70">
        <f t="shared" si="1192"/>
        <v>17500</v>
      </c>
      <c r="I2261" s="70">
        <f t="shared" si="1192"/>
        <v>17500</v>
      </c>
      <c r="J2261" s="70">
        <f t="shared" si="1193"/>
        <v>1050707</v>
      </c>
      <c r="K2261" s="133">
        <v>1000</v>
      </c>
      <c r="L2261" s="71"/>
      <c r="M2261" s="16">
        <f t="shared" si="1170"/>
        <v>207073.30264908611</v>
      </c>
      <c r="N2261" s="71">
        <v>900</v>
      </c>
      <c r="O2261" s="71">
        <v>0.5</v>
      </c>
      <c r="P2261" s="46" t="s">
        <v>504</v>
      </c>
      <c r="Q2261" s="72" t="s">
        <v>251</v>
      </c>
      <c r="R2261" s="72"/>
      <c r="S2261" s="71">
        <v>7000</v>
      </c>
    </row>
    <row r="2262" spans="1:19" x14ac:dyDescent="0.2">
      <c r="A2262" s="69" t="str">
        <f t="shared" si="1190"/>
        <v>40014511</v>
      </c>
      <c r="B2262" s="69">
        <v>4001</v>
      </c>
      <c r="C2262" s="72" t="s">
        <v>279</v>
      </c>
      <c r="D2262" s="69" t="s">
        <v>62</v>
      </c>
      <c r="E2262" s="69">
        <v>1</v>
      </c>
      <c r="F2262" s="70">
        <f t="shared" si="1191"/>
        <v>728750</v>
      </c>
      <c r="G2262" s="70">
        <f t="shared" si="1191"/>
        <v>728750</v>
      </c>
      <c r="H2262" s="70">
        <f t="shared" si="1192"/>
        <v>17500</v>
      </c>
      <c r="I2262" s="70">
        <f t="shared" si="1192"/>
        <v>17500</v>
      </c>
      <c r="J2262" s="70">
        <f t="shared" si="1193"/>
        <v>2009056</v>
      </c>
      <c r="K2262" s="133">
        <v>1000</v>
      </c>
      <c r="L2262" s="71"/>
      <c r="M2262" s="16">
        <f t="shared" si="1170"/>
        <v>404943.3919944861</v>
      </c>
      <c r="N2262" s="71">
        <v>880</v>
      </c>
      <c r="O2262" s="71">
        <v>1</v>
      </c>
      <c r="P2262" s="72" t="str">
        <f>P2261</f>
        <v>220000</v>
      </c>
      <c r="Q2262" s="72" t="s">
        <v>251</v>
      </c>
      <c r="R2262" s="72"/>
      <c r="S2262" s="71">
        <f>S2261</f>
        <v>7000</v>
      </c>
    </row>
    <row r="2263" spans="1:19" x14ac:dyDescent="0.2">
      <c r="A2263" s="69" t="str">
        <f t="shared" si="1190"/>
        <v>40014512</v>
      </c>
      <c r="B2263" s="69">
        <v>4001</v>
      </c>
      <c r="C2263" s="72" t="s">
        <v>278</v>
      </c>
      <c r="D2263" s="69" t="s">
        <v>62</v>
      </c>
      <c r="E2263" s="69">
        <v>2</v>
      </c>
      <c r="F2263" s="70">
        <f t="shared" si="1191"/>
        <v>1457500</v>
      </c>
      <c r="G2263" s="70">
        <f t="shared" si="1191"/>
        <v>1457500</v>
      </c>
      <c r="H2263" s="70">
        <f t="shared" si="1192"/>
        <v>17500</v>
      </c>
      <c r="I2263" s="70">
        <f t="shared" si="1192"/>
        <v>17500</v>
      </c>
      <c r="J2263" s="70">
        <f t="shared" si="1193"/>
        <v>3837547</v>
      </c>
      <c r="K2263" s="133">
        <v>1000</v>
      </c>
      <c r="L2263" s="71"/>
      <c r="M2263" s="16">
        <f t="shared" si="1170"/>
        <v>791480.36758974649</v>
      </c>
      <c r="N2263" s="71">
        <v>860</v>
      </c>
      <c r="O2263" s="71">
        <v>2</v>
      </c>
      <c r="P2263" s="72" t="str">
        <f t="shared" ref="P2263:P2265" si="1202">P2262</f>
        <v>220000</v>
      </c>
      <c r="Q2263" s="72" t="s">
        <v>251</v>
      </c>
      <c r="R2263" s="72"/>
      <c r="S2263" s="71">
        <f t="shared" ref="S2263:S2265" si="1203">S2262</f>
        <v>7000</v>
      </c>
    </row>
    <row r="2264" spans="1:19" x14ac:dyDescent="0.2">
      <c r="A2264" s="69" t="str">
        <f t="shared" si="1190"/>
        <v>40014513</v>
      </c>
      <c r="B2264" s="69">
        <v>4001</v>
      </c>
      <c r="C2264" s="72" t="s">
        <v>278</v>
      </c>
      <c r="D2264" s="69" t="s">
        <v>62</v>
      </c>
      <c r="E2264" s="69">
        <v>3</v>
      </c>
      <c r="F2264" s="70">
        <f t="shared" si="1191"/>
        <v>2186250</v>
      </c>
      <c r="G2264" s="70">
        <f t="shared" si="1191"/>
        <v>2186250</v>
      </c>
      <c r="H2264" s="70">
        <f t="shared" si="1192"/>
        <v>17500</v>
      </c>
      <c r="I2264" s="70">
        <f t="shared" si="1192"/>
        <v>17500</v>
      </c>
      <c r="J2264" s="70">
        <f t="shared" si="1193"/>
        <v>5491698</v>
      </c>
      <c r="K2264" s="133">
        <v>1000</v>
      </c>
      <c r="L2264" s="71"/>
      <c r="M2264" s="16">
        <f t="shared" si="1170"/>
        <v>1159610.7848239427</v>
      </c>
      <c r="N2264" s="71">
        <v>840</v>
      </c>
      <c r="O2264" s="71">
        <v>3</v>
      </c>
      <c r="P2264" s="72" t="str">
        <f t="shared" si="1202"/>
        <v>220000</v>
      </c>
      <c r="Q2264" s="72" t="s">
        <v>251</v>
      </c>
      <c r="R2264" s="72"/>
      <c r="S2264" s="71">
        <f t="shared" si="1203"/>
        <v>7000</v>
      </c>
    </row>
    <row r="2265" spans="1:19" x14ac:dyDescent="0.2">
      <c r="A2265" s="69" t="str">
        <f t="shared" si="1190"/>
        <v>40014514</v>
      </c>
      <c r="B2265" s="69">
        <v>4001</v>
      </c>
      <c r="C2265" s="72" t="s">
        <v>278</v>
      </c>
      <c r="D2265" s="69" t="s">
        <v>62</v>
      </c>
      <c r="E2265" s="69">
        <v>4</v>
      </c>
      <c r="F2265" s="70">
        <f t="shared" si="1191"/>
        <v>2915000</v>
      </c>
      <c r="G2265" s="70">
        <f t="shared" si="1191"/>
        <v>2915000</v>
      </c>
      <c r="H2265" s="70">
        <f t="shared" si="1192"/>
        <v>17500</v>
      </c>
      <c r="I2265" s="70">
        <f t="shared" si="1192"/>
        <v>17500</v>
      </c>
      <c r="J2265" s="70">
        <f t="shared" si="1193"/>
        <v>6977735</v>
      </c>
      <c r="K2265" s="133">
        <v>1000</v>
      </c>
      <c r="L2265" s="71"/>
      <c r="M2265" s="16">
        <f t="shared" si="1170"/>
        <v>1509334.5960389301</v>
      </c>
      <c r="N2265" s="71">
        <v>820</v>
      </c>
      <c r="O2265" s="71">
        <v>4</v>
      </c>
      <c r="P2265" s="72" t="str">
        <f t="shared" si="1202"/>
        <v>220000</v>
      </c>
      <c r="Q2265" s="72" t="s">
        <v>251</v>
      </c>
      <c r="R2265" s="72"/>
      <c r="S2265" s="71">
        <f t="shared" si="1203"/>
        <v>7000</v>
      </c>
    </row>
    <row r="2266" spans="1:19" x14ac:dyDescent="0.2">
      <c r="A2266" s="69" t="str">
        <f t="shared" si="1190"/>
        <v>40014610</v>
      </c>
      <c r="B2266" s="69">
        <v>4001</v>
      </c>
      <c r="C2266" s="72" t="s">
        <v>506</v>
      </c>
      <c r="D2266" s="69" t="s">
        <v>62</v>
      </c>
      <c r="E2266" s="69">
        <v>0</v>
      </c>
      <c r="F2266" s="70">
        <f t="shared" si="1191"/>
        <v>331250</v>
      </c>
      <c r="G2266" s="70">
        <f t="shared" si="1191"/>
        <v>331250</v>
      </c>
      <c r="H2266" s="70">
        <f t="shared" si="1192"/>
        <v>37500</v>
      </c>
      <c r="I2266" s="70">
        <f t="shared" si="1192"/>
        <v>37500</v>
      </c>
      <c r="J2266" s="70">
        <f t="shared" si="1193"/>
        <v>955188</v>
      </c>
      <c r="K2266" s="133">
        <v>1000</v>
      </c>
      <c r="L2266" s="71"/>
      <c r="M2266" s="16">
        <f t="shared" si="1170"/>
        <v>275567.49808350042</v>
      </c>
      <c r="N2266" s="71">
        <v>900</v>
      </c>
      <c r="O2266" s="71">
        <v>0.5</v>
      </c>
      <c r="P2266" s="46" t="s">
        <v>298</v>
      </c>
      <c r="Q2266" s="72" t="s">
        <v>251</v>
      </c>
      <c r="R2266" s="72"/>
      <c r="S2266" s="71">
        <v>15000</v>
      </c>
    </row>
    <row r="2267" spans="1:19" x14ac:dyDescent="0.2">
      <c r="A2267" s="69" t="str">
        <f t="shared" si="1190"/>
        <v>40014611</v>
      </c>
      <c r="B2267" s="69">
        <v>4001</v>
      </c>
      <c r="C2267" s="72" t="s">
        <v>506</v>
      </c>
      <c r="D2267" s="69" t="s">
        <v>62</v>
      </c>
      <c r="E2267" s="69">
        <v>1</v>
      </c>
      <c r="F2267" s="70">
        <f t="shared" si="1191"/>
        <v>662500</v>
      </c>
      <c r="G2267" s="70">
        <f t="shared" si="1191"/>
        <v>662500</v>
      </c>
      <c r="H2267" s="70">
        <f t="shared" si="1192"/>
        <v>37500</v>
      </c>
      <c r="I2267" s="70">
        <f t="shared" si="1192"/>
        <v>37500</v>
      </c>
      <c r="J2267" s="70">
        <f t="shared" si="1193"/>
        <v>1826415</v>
      </c>
      <c r="K2267" s="133">
        <v>1000</v>
      </c>
      <c r="L2267" s="71"/>
      <c r="M2267" s="16">
        <f t="shared" si="1170"/>
        <v>538887.72949474363</v>
      </c>
      <c r="N2267" s="71">
        <v>880</v>
      </c>
      <c r="O2267" s="71">
        <v>1</v>
      </c>
      <c r="P2267" s="72" t="str">
        <f>P2266</f>
        <v>200000</v>
      </c>
      <c r="Q2267" s="72" t="s">
        <v>251</v>
      </c>
      <c r="R2267" s="72"/>
      <c r="S2267" s="71">
        <f>S2266</f>
        <v>15000</v>
      </c>
    </row>
    <row r="2268" spans="1:19" x14ac:dyDescent="0.2">
      <c r="A2268" s="69" t="str">
        <f t="shared" si="1190"/>
        <v>40014612</v>
      </c>
      <c r="B2268" s="69">
        <v>4001</v>
      </c>
      <c r="C2268" s="72" t="s">
        <v>506</v>
      </c>
      <c r="D2268" s="69" t="s">
        <v>62</v>
      </c>
      <c r="E2268" s="69">
        <v>2</v>
      </c>
      <c r="F2268" s="70">
        <f t="shared" ref="F2268:G2269" si="1204">ROUNDDOWN($P2268/4*$O2268*10*$N2268/$N2268*$Q2268/400,0)</f>
        <v>1325000</v>
      </c>
      <c r="G2268" s="70">
        <f t="shared" si="1204"/>
        <v>1325000</v>
      </c>
      <c r="H2268" s="70">
        <f t="shared" ref="H2268:I2269" si="1205">ROUNDDOWN($S2268/4*10,0)</f>
        <v>37500</v>
      </c>
      <c r="I2268" s="70">
        <f t="shared" si="1205"/>
        <v>37500</v>
      </c>
      <c r="J2268" s="70">
        <f t="shared" si="1193"/>
        <v>3488679</v>
      </c>
      <c r="K2268" s="133">
        <v>1000</v>
      </c>
      <c r="L2268" s="71"/>
      <c r="M2268" s="16">
        <f t="shared" ref="M2268:M2332" si="1206">(F2268*J2268*((H2268+I2268)/2)/1000)^(1/2)/10*0.8</f>
        <v>1053280.5523695955</v>
      </c>
      <c r="N2268" s="71">
        <v>860</v>
      </c>
      <c r="O2268" s="71">
        <v>2</v>
      </c>
      <c r="P2268" s="72" t="str">
        <f t="shared" ref="P2268:P2269" si="1207">P2267</f>
        <v>200000</v>
      </c>
      <c r="Q2268" s="72" t="s">
        <v>251</v>
      </c>
      <c r="R2268" s="72"/>
      <c r="S2268" s="71">
        <f t="shared" ref="S2268:S2269" si="1208">S2267</f>
        <v>15000</v>
      </c>
    </row>
    <row r="2269" spans="1:19" x14ac:dyDescent="0.2">
      <c r="A2269" s="69" t="str">
        <f t="shared" si="1190"/>
        <v>40014613</v>
      </c>
      <c r="B2269" s="69">
        <v>4001</v>
      </c>
      <c r="C2269" s="72" t="s">
        <v>506</v>
      </c>
      <c r="D2269" s="69" t="s">
        <v>62</v>
      </c>
      <c r="E2269" s="69">
        <v>3</v>
      </c>
      <c r="F2269" s="70">
        <f t="shared" si="1204"/>
        <v>1987500</v>
      </c>
      <c r="G2269" s="70">
        <f t="shared" si="1204"/>
        <v>1987500</v>
      </c>
      <c r="H2269" s="70">
        <f t="shared" si="1205"/>
        <v>37500</v>
      </c>
      <c r="I2269" s="70">
        <f t="shared" si="1205"/>
        <v>37500</v>
      </c>
      <c r="J2269" s="70">
        <f t="shared" si="1193"/>
        <v>4992452</v>
      </c>
      <c r="K2269" s="133">
        <v>1000</v>
      </c>
      <c r="L2269" s="71"/>
      <c r="M2269" s="16">
        <f t="shared" si="1206"/>
        <v>1543178.4096467914</v>
      </c>
      <c r="N2269" s="71">
        <v>840</v>
      </c>
      <c r="O2269" s="71">
        <v>3</v>
      </c>
      <c r="P2269" s="72" t="str">
        <f t="shared" si="1207"/>
        <v>200000</v>
      </c>
      <c r="Q2269" s="72" t="s">
        <v>251</v>
      </c>
      <c r="R2269" s="72"/>
      <c r="S2269" s="71">
        <f t="shared" si="1208"/>
        <v>15000</v>
      </c>
    </row>
    <row r="2270" spans="1:19" x14ac:dyDescent="0.2">
      <c r="A2270" s="18" t="str">
        <f t="shared" si="1190"/>
        <v>40014614</v>
      </c>
      <c r="B2270" s="18">
        <v>4001</v>
      </c>
      <c r="C2270" s="18">
        <v>46</v>
      </c>
      <c r="D2270" s="18" t="s">
        <v>62</v>
      </c>
      <c r="E2270" s="18">
        <v>4</v>
      </c>
      <c r="F2270" s="19">
        <f t="shared" ref="F2270:G2290" si="1209">ROUNDDOWN($P2270/4*$O2270*10*$N2270/$N2270*$Q2270/400,0)</f>
        <v>1540000</v>
      </c>
      <c r="G2270" s="19">
        <f t="shared" si="1209"/>
        <v>1540000</v>
      </c>
      <c r="H2270" s="19">
        <f t="shared" ref="H2270:I2290" si="1210">ROUNDDOWN($S2270/4*10,0)</f>
        <v>62500</v>
      </c>
      <c r="I2270" s="19">
        <f t="shared" si="1210"/>
        <v>62500</v>
      </c>
      <c r="J2270" s="19">
        <f t="shared" si="1193"/>
        <v>3301964</v>
      </c>
      <c r="K2270" s="133">
        <v>1000</v>
      </c>
      <c r="L2270" s="19"/>
      <c r="M2270" s="16">
        <f t="shared" si="1206"/>
        <v>1426187.1630329592</v>
      </c>
      <c r="N2270" s="58">
        <v>820</v>
      </c>
      <c r="O2270" s="58">
        <v>4</v>
      </c>
      <c r="P2270" s="41" t="s">
        <v>295</v>
      </c>
      <c r="Q2270" s="41" t="s">
        <v>514</v>
      </c>
      <c r="R2270" s="41"/>
      <c r="S2270" s="58">
        <v>25000</v>
      </c>
    </row>
    <row r="2271" spans="1:19" x14ac:dyDescent="0.2">
      <c r="A2271" s="69" t="str">
        <f t="shared" ref="A2271:A2274" si="1211">IF(B2271="","",CONCATENATE(B2271,CONCATENATE(REPT(0,2-LEN(C2271)),C2271),IF(OR(D2271="Easy",D2271=""),1,IF(D2271="Normal",2,IF(D2271="Hard",3,IF(D2271="Hell",4,"error")))),E2271))</f>
        <v>40014710</v>
      </c>
      <c r="B2271" s="69">
        <v>4001</v>
      </c>
      <c r="C2271" s="72" t="s">
        <v>507</v>
      </c>
      <c r="D2271" s="69" t="s">
        <v>62</v>
      </c>
      <c r="E2271" s="69">
        <v>0</v>
      </c>
      <c r="F2271" s="70">
        <f t="shared" si="1209"/>
        <v>339531</v>
      </c>
      <c r="G2271" s="70">
        <f t="shared" si="1209"/>
        <v>339531</v>
      </c>
      <c r="H2271" s="70">
        <f t="shared" si="1210"/>
        <v>39500</v>
      </c>
      <c r="I2271" s="70">
        <f t="shared" si="1210"/>
        <v>39500</v>
      </c>
      <c r="J2271" s="70">
        <f t="shared" si="1193"/>
        <v>979068</v>
      </c>
      <c r="K2271" s="133">
        <v>1000</v>
      </c>
      <c r="L2271" s="71"/>
      <c r="M2271" s="16">
        <f t="shared" si="1206"/>
        <v>289890.96450372925</v>
      </c>
      <c r="N2271" s="71">
        <v>900</v>
      </c>
      <c r="O2271" s="71">
        <v>0.5</v>
      </c>
      <c r="P2271" s="46" t="s">
        <v>511</v>
      </c>
      <c r="Q2271" s="72" t="s">
        <v>251</v>
      </c>
      <c r="R2271" s="72"/>
      <c r="S2271" s="71">
        <v>15800</v>
      </c>
    </row>
    <row r="2272" spans="1:19" x14ac:dyDescent="0.2">
      <c r="A2272" s="69" t="str">
        <f t="shared" si="1211"/>
        <v>40014711</v>
      </c>
      <c r="B2272" s="69">
        <v>4001</v>
      </c>
      <c r="C2272" s="72" t="s">
        <v>507</v>
      </c>
      <c r="D2272" s="69" t="s">
        <v>62</v>
      </c>
      <c r="E2272" s="69">
        <v>1</v>
      </c>
      <c r="F2272" s="70">
        <f t="shared" si="1209"/>
        <v>679062</v>
      </c>
      <c r="G2272" s="70">
        <f t="shared" si="1209"/>
        <v>679062</v>
      </c>
      <c r="H2272" s="70">
        <f t="shared" si="1210"/>
        <v>39500</v>
      </c>
      <c r="I2272" s="70">
        <f t="shared" si="1210"/>
        <v>39500</v>
      </c>
      <c r="J2272" s="70">
        <f t="shared" si="1193"/>
        <v>1872075</v>
      </c>
      <c r="K2272" s="133">
        <v>1000</v>
      </c>
      <c r="L2272" s="71"/>
      <c r="M2272" s="16">
        <f t="shared" si="1206"/>
        <v>566897.92943238036</v>
      </c>
      <c r="N2272" s="71">
        <v>880</v>
      </c>
      <c r="O2272" s="71">
        <v>1</v>
      </c>
      <c r="P2272" s="72" t="str">
        <f>P2271</f>
        <v>205000</v>
      </c>
      <c r="Q2272" s="72" t="s">
        <v>251</v>
      </c>
      <c r="R2272" s="72"/>
      <c r="S2272" s="71">
        <f>S2271</f>
        <v>15800</v>
      </c>
    </row>
    <row r="2273" spans="1:19" x14ac:dyDescent="0.2">
      <c r="A2273" s="69" t="str">
        <f t="shared" si="1211"/>
        <v>40014712</v>
      </c>
      <c r="B2273" s="69">
        <v>4001</v>
      </c>
      <c r="C2273" s="72" t="s">
        <v>507</v>
      </c>
      <c r="D2273" s="69" t="s">
        <v>62</v>
      </c>
      <c r="E2273" s="69">
        <v>2</v>
      </c>
      <c r="F2273" s="70">
        <f t="shared" si="1209"/>
        <v>1358125</v>
      </c>
      <c r="G2273" s="70">
        <f t="shared" si="1209"/>
        <v>1358125</v>
      </c>
      <c r="H2273" s="70">
        <f t="shared" si="1210"/>
        <v>39500</v>
      </c>
      <c r="I2273" s="70">
        <f t="shared" si="1210"/>
        <v>39500</v>
      </c>
      <c r="J2273" s="70">
        <f t="shared" si="1193"/>
        <v>3575896</v>
      </c>
      <c r="K2273" s="133">
        <v>1000</v>
      </c>
      <c r="L2273" s="71"/>
      <c r="M2273" s="16">
        <f t="shared" si="1206"/>
        <v>1108028.2836029052</v>
      </c>
      <c r="N2273" s="71">
        <v>860</v>
      </c>
      <c r="O2273" s="71">
        <v>2</v>
      </c>
      <c r="P2273" s="72" t="str">
        <f t="shared" ref="P2273:P2274" si="1212">P2272</f>
        <v>205000</v>
      </c>
      <c r="Q2273" s="72" t="s">
        <v>251</v>
      </c>
      <c r="R2273" s="72"/>
      <c r="S2273" s="71">
        <f t="shared" ref="S2273:S2274" si="1213">S2272</f>
        <v>15800</v>
      </c>
    </row>
    <row r="2274" spans="1:19" x14ac:dyDescent="0.2">
      <c r="A2274" s="69" t="str">
        <f t="shared" si="1211"/>
        <v>40014713</v>
      </c>
      <c r="B2274" s="69">
        <v>4001</v>
      </c>
      <c r="C2274" s="72" t="s">
        <v>507</v>
      </c>
      <c r="D2274" s="69" t="s">
        <v>62</v>
      </c>
      <c r="E2274" s="69">
        <v>3</v>
      </c>
      <c r="F2274" s="70">
        <f t="shared" si="1209"/>
        <v>2037187</v>
      </c>
      <c r="G2274" s="70">
        <f t="shared" si="1209"/>
        <v>2037187</v>
      </c>
      <c r="H2274" s="70">
        <f t="shared" si="1210"/>
        <v>39500</v>
      </c>
      <c r="I2274" s="70">
        <f t="shared" si="1210"/>
        <v>39500</v>
      </c>
      <c r="J2274" s="70">
        <f t="shared" si="1193"/>
        <v>5117264</v>
      </c>
      <c r="K2274" s="133">
        <v>1000</v>
      </c>
      <c r="L2274" s="71"/>
      <c r="M2274" s="16">
        <f t="shared" si="1206"/>
        <v>1623390.1042084219</v>
      </c>
      <c r="N2274" s="71">
        <v>840</v>
      </c>
      <c r="O2274" s="71">
        <v>3</v>
      </c>
      <c r="P2274" s="72" t="str">
        <f t="shared" si="1212"/>
        <v>205000</v>
      </c>
      <c r="Q2274" s="72" t="s">
        <v>251</v>
      </c>
      <c r="R2274" s="72"/>
      <c r="S2274" s="71">
        <f t="shared" si="1213"/>
        <v>15800</v>
      </c>
    </row>
    <row r="2275" spans="1:19" x14ac:dyDescent="0.2">
      <c r="A2275" s="18" t="str">
        <f t="shared" ref="A2275:A2290" si="1214">IF(B2275="","",CONCATENATE(B2275,CONCATENATE(REPT(0,2-LEN(C2275)),C2275),IF(OR(D2275="Easy",D2275=""),1,IF(D2275="Normal",2,IF(D2275="Hard",3,IF(D2275="Hell",4,"error")))),E2275))</f>
        <v>40014714</v>
      </c>
      <c r="B2275" s="18">
        <v>4001</v>
      </c>
      <c r="C2275" s="18">
        <v>47</v>
      </c>
      <c r="D2275" s="18" t="s">
        <v>62</v>
      </c>
      <c r="E2275" s="18">
        <v>4</v>
      </c>
      <c r="F2275" s="19">
        <f t="shared" si="1209"/>
        <v>1560000</v>
      </c>
      <c r="G2275" s="19">
        <f t="shared" si="1209"/>
        <v>1560000</v>
      </c>
      <c r="H2275" s="19">
        <f t="shared" si="1210"/>
        <v>66250</v>
      </c>
      <c r="I2275" s="19">
        <f t="shared" si="1210"/>
        <v>66250</v>
      </c>
      <c r="J2275" s="19">
        <f t="shared" si="1193"/>
        <v>3879230</v>
      </c>
      <c r="K2275" s="133">
        <v>1000</v>
      </c>
      <c r="L2275" s="19"/>
      <c r="M2275" s="16">
        <f t="shared" si="1206"/>
        <v>1601835.7878384416</v>
      </c>
      <c r="N2275" s="58">
        <v>820</v>
      </c>
      <c r="O2275" s="58">
        <v>4</v>
      </c>
      <c r="P2275" s="41" t="s">
        <v>505</v>
      </c>
      <c r="Q2275" s="41" t="s">
        <v>515</v>
      </c>
      <c r="R2275" s="41"/>
      <c r="S2275" s="58">
        <v>26500</v>
      </c>
    </row>
    <row r="2276" spans="1:19" x14ac:dyDescent="0.2">
      <c r="A2276" s="69" t="str">
        <f t="shared" si="1214"/>
        <v>40014810</v>
      </c>
      <c r="B2276" s="69">
        <v>4001</v>
      </c>
      <c r="C2276" s="72" t="s">
        <v>508</v>
      </c>
      <c r="D2276" s="69" t="s">
        <v>62</v>
      </c>
      <c r="E2276" s="69">
        <v>0</v>
      </c>
      <c r="F2276" s="70">
        <f t="shared" si="1209"/>
        <v>347812</v>
      </c>
      <c r="G2276" s="70">
        <f t="shared" si="1209"/>
        <v>347812</v>
      </c>
      <c r="H2276" s="70">
        <f t="shared" si="1210"/>
        <v>41500</v>
      </c>
      <c r="I2276" s="70">
        <f t="shared" si="1210"/>
        <v>41500</v>
      </c>
      <c r="J2276" s="70">
        <f t="shared" si="1193"/>
        <v>1002948</v>
      </c>
      <c r="K2276" s="133">
        <v>1000</v>
      </c>
      <c r="L2276" s="71"/>
      <c r="M2276" s="16">
        <f t="shared" si="1206"/>
        <v>304386.59645343386</v>
      </c>
      <c r="N2276" s="71">
        <v>900</v>
      </c>
      <c r="O2276" s="71">
        <v>0.5</v>
      </c>
      <c r="P2276" s="46" t="s">
        <v>503</v>
      </c>
      <c r="Q2276" s="72" t="s">
        <v>251</v>
      </c>
      <c r="R2276" s="72"/>
      <c r="S2276" s="71">
        <v>16600</v>
      </c>
    </row>
    <row r="2277" spans="1:19" x14ac:dyDescent="0.2">
      <c r="A2277" s="69" t="str">
        <f t="shared" si="1214"/>
        <v>40014811</v>
      </c>
      <c r="B2277" s="69">
        <v>4001</v>
      </c>
      <c r="C2277" s="72" t="s">
        <v>508</v>
      </c>
      <c r="D2277" s="69" t="s">
        <v>62</v>
      </c>
      <c r="E2277" s="69">
        <v>1</v>
      </c>
      <c r="F2277" s="70">
        <f t="shared" si="1209"/>
        <v>695625</v>
      </c>
      <c r="G2277" s="70">
        <f t="shared" si="1209"/>
        <v>695625</v>
      </c>
      <c r="H2277" s="70">
        <f t="shared" si="1210"/>
        <v>41500</v>
      </c>
      <c r="I2277" s="70">
        <f t="shared" si="1210"/>
        <v>41500</v>
      </c>
      <c r="J2277" s="70">
        <f t="shared" si="1193"/>
        <v>1917735</v>
      </c>
      <c r="K2277" s="133">
        <v>1000</v>
      </c>
      <c r="L2277" s="71"/>
      <c r="M2277" s="16">
        <f t="shared" si="1206"/>
        <v>595245.22940549464</v>
      </c>
      <c r="N2277" s="71">
        <v>880</v>
      </c>
      <c r="O2277" s="71">
        <v>1</v>
      </c>
      <c r="P2277" s="72" t="str">
        <f>P2276</f>
        <v>210000</v>
      </c>
      <c r="Q2277" s="72" t="s">
        <v>251</v>
      </c>
      <c r="R2277" s="72"/>
      <c r="S2277" s="71">
        <f>S2276</f>
        <v>16600</v>
      </c>
    </row>
    <row r="2278" spans="1:19" x14ac:dyDescent="0.2">
      <c r="A2278" s="69" t="str">
        <f t="shared" si="1214"/>
        <v>40014812</v>
      </c>
      <c r="B2278" s="69">
        <v>4001</v>
      </c>
      <c r="C2278" s="72" t="s">
        <v>508</v>
      </c>
      <c r="D2278" s="69" t="s">
        <v>62</v>
      </c>
      <c r="E2278" s="69">
        <v>2</v>
      </c>
      <c r="F2278" s="70">
        <f t="shared" si="1209"/>
        <v>1391250</v>
      </c>
      <c r="G2278" s="70">
        <f t="shared" si="1209"/>
        <v>1391250</v>
      </c>
      <c r="H2278" s="70">
        <f t="shared" si="1210"/>
        <v>41500</v>
      </c>
      <c r="I2278" s="70">
        <f t="shared" si="1210"/>
        <v>41500</v>
      </c>
      <c r="J2278" s="70">
        <f t="shared" si="1193"/>
        <v>3663113</v>
      </c>
      <c r="K2278" s="133">
        <v>1000</v>
      </c>
      <c r="L2278" s="71"/>
      <c r="M2278" s="16">
        <f t="shared" si="1206"/>
        <v>1163434.0820639562</v>
      </c>
      <c r="N2278" s="71">
        <v>860</v>
      </c>
      <c r="O2278" s="71">
        <v>2</v>
      </c>
      <c r="P2278" s="72" t="str">
        <f t="shared" ref="P2278:P2279" si="1215">P2277</f>
        <v>210000</v>
      </c>
      <c r="Q2278" s="72" t="s">
        <v>251</v>
      </c>
      <c r="R2278" s="72"/>
      <c r="S2278" s="71">
        <f t="shared" ref="S2278:S2279" si="1216">S2277</f>
        <v>16600</v>
      </c>
    </row>
    <row r="2279" spans="1:19" x14ac:dyDescent="0.2">
      <c r="A2279" s="69" t="str">
        <f t="shared" si="1214"/>
        <v>40014813</v>
      </c>
      <c r="B2279" s="69">
        <v>4001</v>
      </c>
      <c r="C2279" s="72" t="s">
        <v>508</v>
      </c>
      <c r="D2279" s="69" t="s">
        <v>62</v>
      </c>
      <c r="E2279" s="69">
        <v>3</v>
      </c>
      <c r="F2279" s="70">
        <f t="shared" si="1209"/>
        <v>2086875</v>
      </c>
      <c r="G2279" s="70">
        <f t="shared" si="1209"/>
        <v>2086875</v>
      </c>
      <c r="H2279" s="70">
        <f t="shared" si="1210"/>
        <v>41500</v>
      </c>
      <c r="I2279" s="70">
        <f t="shared" si="1210"/>
        <v>41500</v>
      </c>
      <c r="J2279" s="70">
        <f t="shared" si="1193"/>
        <v>5242075</v>
      </c>
      <c r="K2279" s="133">
        <v>1000</v>
      </c>
      <c r="L2279" s="71"/>
      <c r="M2279" s="16">
        <f t="shared" si="1206"/>
        <v>1704566.1848546688</v>
      </c>
      <c r="N2279" s="71">
        <v>840</v>
      </c>
      <c r="O2279" s="71">
        <v>3</v>
      </c>
      <c r="P2279" s="72" t="str">
        <f t="shared" si="1215"/>
        <v>210000</v>
      </c>
      <c r="Q2279" s="72" t="s">
        <v>251</v>
      </c>
      <c r="R2279" s="72"/>
      <c r="S2279" s="71">
        <f t="shared" si="1216"/>
        <v>16600</v>
      </c>
    </row>
    <row r="2280" spans="1:19" x14ac:dyDescent="0.2">
      <c r="A2280" s="18" t="str">
        <f t="shared" si="1214"/>
        <v>40014814</v>
      </c>
      <c r="B2280" s="18">
        <v>4001</v>
      </c>
      <c r="C2280" s="18">
        <v>48</v>
      </c>
      <c r="D2280" s="18" t="s">
        <v>62</v>
      </c>
      <c r="E2280" s="18">
        <v>4</v>
      </c>
      <c r="F2280" s="19">
        <f t="shared" si="1209"/>
        <v>3630000</v>
      </c>
      <c r="G2280" s="19">
        <f t="shared" si="1209"/>
        <v>3630000</v>
      </c>
      <c r="H2280" s="19">
        <f t="shared" si="1210"/>
        <v>41000</v>
      </c>
      <c r="I2280" s="19">
        <f t="shared" si="1210"/>
        <v>41000</v>
      </c>
      <c r="J2280" s="19">
        <f t="shared" si="1193"/>
        <v>5603333</v>
      </c>
      <c r="K2280" s="133">
        <v>1000</v>
      </c>
      <c r="L2280" s="19"/>
      <c r="M2280" s="16">
        <f t="shared" si="1206"/>
        <v>2310247.1561493156</v>
      </c>
      <c r="N2280" s="58">
        <v>820</v>
      </c>
      <c r="O2280" s="58">
        <v>4</v>
      </c>
      <c r="P2280" s="41" t="s">
        <v>504</v>
      </c>
      <c r="Q2280" s="41" t="s">
        <v>510</v>
      </c>
      <c r="R2280" s="41"/>
      <c r="S2280" s="58">
        <v>16400</v>
      </c>
    </row>
    <row r="2281" spans="1:19" x14ac:dyDescent="0.2">
      <c r="A2281" s="69" t="str">
        <f t="shared" si="1214"/>
        <v>40014910</v>
      </c>
      <c r="B2281" s="69">
        <v>4001</v>
      </c>
      <c r="C2281" s="72" t="s">
        <v>509</v>
      </c>
      <c r="D2281" s="69" t="s">
        <v>62</v>
      </c>
      <c r="E2281" s="69">
        <v>0</v>
      </c>
      <c r="F2281" s="70">
        <f t="shared" si="1209"/>
        <v>356093</v>
      </c>
      <c r="G2281" s="70">
        <f t="shared" si="1209"/>
        <v>356093</v>
      </c>
      <c r="H2281" s="70">
        <f t="shared" si="1210"/>
        <v>43500</v>
      </c>
      <c r="I2281" s="70">
        <f t="shared" si="1210"/>
        <v>43500</v>
      </c>
      <c r="J2281" s="70">
        <f t="shared" si="1193"/>
        <v>1026827</v>
      </c>
      <c r="K2281" s="133">
        <v>1000</v>
      </c>
      <c r="L2281" s="71"/>
      <c r="M2281" s="16">
        <f t="shared" si="1206"/>
        <v>319054.57289313758</v>
      </c>
      <c r="N2281" s="71">
        <v>900</v>
      </c>
      <c r="O2281" s="71">
        <v>0.5</v>
      </c>
      <c r="P2281" s="46" t="s">
        <v>512</v>
      </c>
      <c r="Q2281" s="72" t="s">
        <v>251</v>
      </c>
      <c r="R2281" s="72"/>
      <c r="S2281" s="71">
        <v>17400</v>
      </c>
    </row>
    <row r="2282" spans="1:19" x14ac:dyDescent="0.2">
      <c r="A2282" s="69" t="str">
        <f t="shared" si="1214"/>
        <v>40014911</v>
      </c>
      <c r="B2282" s="69">
        <v>4001</v>
      </c>
      <c r="C2282" s="72" t="s">
        <v>509</v>
      </c>
      <c r="D2282" s="69" t="s">
        <v>62</v>
      </c>
      <c r="E2282" s="69">
        <v>1</v>
      </c>
      <c r="F2282" s="70">
        <f t="shared" si="1209"/>
        <v>712187</v>
      </c>
      <c r="G2282" s="70">
        <f t="shared" si="1209"/>
        <v>712187</v>
      </c>
      <c r="H2282" s="70">
        <f t="shared" si="1210"/>
        <v>43500</v>
      </c>
      <c r="I2282" s="70">
        <f t="shared" si="1210"/>
        <v>43500</v>
      </c>
      <c r="J2282" s="70">
        <f t="shared" si="1193"/>
        <v>1963396</v>
      </c>
      <c r="K2282" s="133">
        <v>1000</v>
      </c>
      <c r="L2282" s="71"/>
      <c r="M2282" s="16">
        <f t="shared" si="1206"/>
        <v>623929.59683226829</v>
      </c>
      <c r="N2282" s="71">
        <v>880</v>
      </c>
      <c r="O2282" s="71">
        <v>1</v>
      </c>
      <c r="P2282" s="72" t="str">
        <f>P2281</f>
        <v>215000</v>
      </c>
      <c r="Q2282" s="72" t="s">
        <v>251</v>
      </c>
      <c r="R2282" s="72"/>
      <c r="S2282" s="71">
        <f>S2281</f>
        <v>17400</v>
      </c>
    </row>
    <row r="2283" spans="1:19" x14ac:dyDescent="0.2">
      <c r="A2283" s="69" t="str">
        <f t="shared" si="1214"/>
        <v>40014912</v>
      </c>
      <c r="B2283" s="69">
        <v>4001</v>
      </c>
      <c r="C2283" s="72" t="s">
        <v>509</v>
      </c>
      <c r="D2283" s="69" t="s">
        <v>62</v>
      </c>
      <c r="E2283" s="69">
        <v>2</v>
      </c>
      <c r="F2283" s="70">
        <f t="shared" si="1209"/>
        <v>1424375</v>
      </c>
      <c r="G2283" s="70">
        <f t="shared" si="1209"/>
        <v>1424375</v>
      </c>
      <c r="H2283" s="70">
        <f t="shared" si="1210"/>
        <v>43500</v>
      </c>
      <c r="I2283" s="70">
        <f t="shared" si="1210"/>
        <v>43500</v>
      </c>
      <c r="J2283" s="70">
        <f t="shared" si="1193"/>
        <v>3750330</v>
      </c>
      <c r="K2283" s="133">
        <v>1000</v>
      </c>
      <c r="L2283" s="71"/>
      <c r="M2283" s="16">
        <f t="shared" si="1206"/>
        <v>1219499.2251658055</v>
      </c>
      <c r="N2283" s="71">
        <v>860</v>
      </c>
      <c r="O2283" s="71">
        <v>2</v>
      </c>
      <c r="P2283" s="72" t="str">
        <f t="shared" ref="P2283:P2284" si="1217">P2282</f>
        <v>215000</v>
      </c>
      <c r="Q2283" s="72" t="s">
        <v>251</v>
      </c>
      <c r="R2283" s="72"/>
      <c r="S2283" s="71">
        <f t="shared" ref="S2283:S2284" si="1218">S2282</f>
        <v>17400</v>
      </c>
    </row>
    <row r="2284" spans="1:19" x14ac:dyDescent="0.2">
      <c r="A2284" s="69" t="str">
        <f t="shared" si="1214"/>
        <v>40014913</v>
      </c>
      <c r="B2284" s="69">
        <v>4001</v>
      </c>
      <c r="C2284" s="72" t="s">
        <v>509</v>
      </c>
      <c r="D2284" s="69" t="s">
        <v>62</v>
      </c>
      <c r="E2284" s="69">
        <v>3</v>
      </c>
      <c r="F2284" s="70">
        <f t="shared" si="1209"/>
        <v>2136562</v>
      </c>
      <c r="G2284" s="70">
        <f t="shared" si="1209"/>
        <v>2136562</v>
      </c>
      <c r="H2284" s="70">
        <f t="shared" si="1210"/>
        <v>43500</v>
      </c>
      <c r="I2284" s="70">
        <f t="shared" si="1210"/>
        <v>43500</v>
      </c>
      <c r="J2284" s="70">
        <f t="shared" si="1193"/>
        <v>5366886</v>
      </c>
      <c r="K2284" s="133">
        <v>1000</v>
      </c>
      <c r="L2284" s="71"/>
      <c r="M2284" s="16">
        <f t="shared" si="1206"/>
        <v>1786707.8710755908</v>
      </c>
      <c r="N2284" s="71">
        <v>840</v>
      </c>
      <c r="O2284" s="71">
        <v>3</v>
      </c>
      <c r="P2284" s="72" t="str">
        <f t="shared" si="1217"/>
        <v>215000</v>
      </c>
      <c r="Q2284" s="72" t="s">
        <v>251</v>
      </c>
      <c r="R2284" s="72"/>
      <c r="S2284" s="71">
        <f t="shared" si="1218"/>
        <v>17400</v>
      </c>
    </row>
    <row r="2285" spans="1:19" x14ac:dyDescent="0.2">
      <c r="A2285" s="18" t="str">
        <f t="shared" si="1214"/>
        <v>40014914</v>
      </c>
      <c r="B2285" s="18">
        <v>4001</v>
      </c>
      <c r="C2285" s="18">
        <v>49</v>
      </c>
      <c r="D2285" s="18" t="s">
        <v>62</v>
      </c>
      <c r="E2285" s="18">
        <v>4</v>
      </c>
      <c r="F2285" s="19">
        <f t="shared" si="1209"/>
        <v>1690000</v>
      </c>
      <c r="G2285" s="19">
        <f t="shared" si="1209"/>
        <v>1690000</v>
      </c>
      <c r="H2285" s="19">
        <f t="shared" si="1210"/>
        <v>70000</v>
      </c>
      <c r="I2285" s="19">
        <f t="shared" si="1210"/>
        <v>70000</v>
      </c>
      <c r="J2285" s="19">
        <f t="shared" si="1193"/>
        <v>4202500</v>
      </c>
      <c r="K2285" s="133">
        <v>1000</v>
      </c>
      <c r="L2285" s="19"/>
      <c r="M2285" s="16">
        <f t="shared" si="1206"/>
        <v>1783759.1765706493</v>
      </c>
      <c r="N2285" s="58">
        <v>820</v>
      </c>
      <c r="O2285" s="58">
        <v>4</v>
      </c>
      <c r="P2285" s="41" t="s">
        <v>518</v>
      </c>
      <c r="Q2285" s="41" t="s">
        <v>515</v>
      </c>
      <c r="R2285" s="41"/>
      <c r="S2285" s="58">
        <v>28000</v>
      </c>
    </row>
    <row r="2286" spans="1:19" x14ac:dyDescent="0.2">
      <c r="A2286" s="69" t="str">
        <f t="shared" si="1214"/>
        <v>40015010</v>
      </c>
      <c r="B2286" s="69">
        <v>4001</v>
      </c>
      <c r="C2286" s="72" t="s">
        <v>502</v>
      </c>
      <c r="D2286" s="69" t="s">
        <v>62</v>
      </c>
      <c r="E2286" s="69">
        <v>0</v>
      </c>
      <c r="F2286" s="70">
        <f t="shared" si="1209"/>
        <v>364375</v>
      </c>
      <c r="G2286" s="70">
        <f t="shared" si="1209"/>
        <v>364375</v>
      </c>
      <c r="H2286" s="70">
        <f t="shared" si="1210"/>
        <v>45000</v>
      </c>
      <c r="I2286" s="70">
        <f t="shared" si="1210"/>
        <v>45000</v>
      </c>
      <c r="J2286" s="70">
        <f t="shared" si="1193"/>
        <v>1050707</v>
      </c>
      <c r="K2286" s="133">
        <v>1000</v>
      </c>
      <c r="L2286" s="71"/>
      <c r="M2286" s="16">
        <f t="shared" si="1206"/>
        <v>332056.00819741236</v>
      </c>
      <c r="N2286" s="71">
        <v>900</v>
      </c>
      <c r="O2286" s="71">
        <v>0.5</v>
      </c>
      <c r="P2286" s="46" t="s">
        <v>504</v>
      </c>
      <c r="Q2286" s="72" t="s">
        <v>251</v>
      </c>
      <c r="R2286" s="72"/>
      <c r="S2286" s="71">
        <v>18000</v>
      </c>
    </row>
    <row r="2287" spans="1:19" x14ac:dyDescent="0.2">
      <c r="A2287" s="69" t="str">
        <f t="shared" si="1214"/>
        <v>40015011</v>
      </c>
      <c r="B2287" s="69">
        <v>4001</v>
      </c>
      <c r="C2287" s="72" t="s">
        <v>502</v>
      </c>
      <c r="D2287" s="69" t="s">
        <v>62</v>
      </c>
      <c r="E2287" s="69">
        <v>1</v>
      </c>
      <c r="F2287" s="70">
        <f t="shared" si="1209"/>
        <v>728750</v>
      </c>
      <c r="G2287" s="70">
        <f t="shared" si="1209"/>
        <v>728750</v>
      </c>
      <c r="H2287" s="70">
        <f t="shared" si="1210"/>
        <v>45000</v>
      </c>
      <c r="I2287" s="70">
        <f t="shared" si="1210"/>
        <v>45000</v>
      </c>
      <c r="J2287" s="70">
        <f t="shared" si="1193"/>
        <v>2009056</v>
      </c>
      <c r="K2287" s="133">
        <v>1000</v>
      </c>
      <c r="L2287" s="71"/>
      <c r="M2287" s="16">
        <f t="shared" si="1206"/>
        <v>649354.04309205618</v>
      </c>
      <c r="N2287" s="71">
        <v>880</v>
      </c>
      <c r="O2287" s="71">
        <v>1</v>
      </c>
      <c r="P2287" s="72" t="str">
        <f>P2286</f>
        <v>220000</v>
      </c>
      <c r="Q2287" s="72" t="s">
        <v>251</v>
      </c>
      <c r="R2287" s="72"/>
      <c r="S2287" s="71">
        <f>S2286</f>
        <v>18000</v>
      </c>
    </row>
    <row r="2288" spans="1:19" x14ac:dyDescent="0.2">
      <c r="A2288" s="69" t="str">
        <f t="shared" si="1214"/>
        <v>40015012</v>
      </c>
      <c r="B2288" s="69">
        <v>4001</v>
      </c>
      <c r="C2288" s="72" t="s">
        <v>502</v>
      </c>
      <c r="D2288" s="69" t="s">
        <v>62</v>
      </c>
      <c r="E2288" s="69">
        <v>2</v>
      </c>
      <c r="F2288" s="70">
        <f t="shared" si="1209"/>
        <v>1457500</v>
      </c>
      <c r="G2288" s="70">
        <f t="shared" si="1209"/>
        <v>1457500</v>
      </c>
      <c r="H2288" s="70">
        <f t="shared" si="1210"/>
        <v>45000</v>
      </c>
      <c r="I2288" s="70">
        <f t="shared" si="1210"/>
        <v>45000</v>
      </c>
      <c r="J2288" s="70">
        <f t="shared" si="1193"/>
        <v>3837547</v>
      </c>
      <c r="K2288" s="133">
        <v>1000</v>
      </c>
      <c r="L2288" s="71"/>
      <c r="M2288" s="16">
        <f t="shared" si="1206"/>
        <v>1269192.1559480268</v>
      </c>
      <c r="N2288" s="71">
        <v>860</v>
      </c>
      <c r="O2288" s="71">
        <v>2</v>
      </c>
      <c r="P2288" s="72" t="str">
        <f t="shared" ref="P2288:P2289" si="1219">P2287</f>
        <v>220000</v>
      </c>
      <c r="Q2288" s="72" t="s">
        <v>251</v>
      </c>
      <c r="R2288" s="72"/>
      <c r="S2288" s="71">
        <f t="shared" ref="S2288:S2289" si="1220">S2287</f>
        <v>18000</v>
      </c>
    </row>
    <row r="2289" spans="1:19" x14ac:dyDescent="0.2">
      <c r="A2289" s="69" t="str">
        <f t="shared" si="1214"/>
        <v>40015013</v>
      </c>
      <c r="B2289" s="69">
        <v>4001</v>
      </c>
      <c r="C2289" s="72" t="s">
        <v>502</v>
      </c>
      <c r="D2289" s="69" t="s">
        <v>62</v>
      </c>
      <c r="E2289" s="69">
        <v>3</v>
      </c>
      <c r="F2289" s="70">
        <f t="shared" si="1209"/>
        <v>2186250</v>
      </c>
      <c r="G2289" s="70">
        <f t="shared" si="1209"/>
        <v>2186250</v>
      </c>
      <c r="H2289" s="70">
        <f t="shared" si="1210"/>
        <v>45000</v>
      </c>
      <c r="I2289" s="70">
        <f t="shared" si="1210"/>
        <v>45000</v>
      </c>
      <c r="J2289" s="70">
        <f t="shared" si="1193"/>
        <v>5491698</v>
      </c>
      <c r="K2289" s="133">
        <v>1000</v>
      </c>
      <c r="L2289" s="71"/>
      <c r="M2289" s="16">
        <f t="shared" si="1206"/>
        <v>1859514.1109225282</v>
      </c>
      <c r="N2289" s="71">
        <v>840</v>
      </c>
      <c r="O2289" s="71">
        <v>3</v>
      </c>
      <c r="P2289" s="72" t="str">
        <f t="shared" si="1219"/>
        <v>220000</v>
      </c>
      <c r="Q2289" s="72" t="s">
        <v>251</v>
      </c>
      <c r="R2289" s="72"/>
      <c r="S2289" s="71">
        <f t="shared" si="1220"/>
        <v>18000</v>
      </c>
    </row>
    <row r="2290" spans="1:19" x14ac:dyDescent="0.2">
      <c r="A2290" s="18" t="str">
        <f t="shared" si="1214"/>
        <v>40015014</v>
      </c>
      <c r="B2290" s="18">
        <v>4001</v>
      </c>
      <c r="C2290" s="41" t="s">
        <v>502</v>
      </c>
      <c r="D2290" s="18" t="s">
        <v>62</v>
      </c>
      <c r="E2290" s="18">
        <v>4</v>
      </c>
      <c r="F2290" s="19">
        <f t="shared" si="1209"/>
        <v>1995000</v>
      </c>
      <c r="G2290" s="19">
        <f t="shared" si="1209"/>
        <v>1995000</v>
      </c>
      <c r="H2290" s="19">
        <f>ROUNDDOWN($S2290/4*10,0)</f>
        <v>75000</v>
      </c>
      <c r="I2290" s="19">
        <f t="shared" si="1210"/>
        <v>75000</v>
      </c>
      <c r="J2290" s="19">
        <f t="shared" si="1193"/>
        <v>4128771</v>
      </c>
      <c r="K2290" s="133">
        <v>1000</v>
      </c>
      <c r="L2290" s="58"/>
      <c r="M2290" s="16">
        <f t="shared" si="1206"/>
        <v>1988394.1031898083</v>
      </c>
      <c r="N2290" s="58">
        <v>820</v>
      </c>
      <c r="O2290" s="58">
        <v>4</v>
      </c>
      <c r="P2290" s="41" t="s">
        <v>513</v>
      </c>
      <c r="Q2290" s="41" t="s">
        <v>519</v>
      </c>
      <c r="R2290" s="41"/>
      <c r="S2290" s="58">
        <v>30000</v>
      </c>
    </row>
    <row r="2291" spans="1:19" ht="38.25" x14ac:dyDescent="0.2">
      <c r="A2291" s="8" t="str">
        <f t="shared" ref="A2291:A2317" si="1221">IF(B2291="","",CONCATENATE(B2291,CONCATENATE(REPT(0,2-LEN(C2291)),C2291),IF(OR(D2291="Easy",D2291=""),1,IF(D2291="Normal",2,IF(D2291="Hard",3,IF(D2291="Hell",4,"error")))),E2291))</f>
        <v/>
      </c>
      <c r="B2291" s="5"/>
      <c r="C2291" s="6" t="s">
        <v>120</v>
      </c>
      <c r="D2291" s="5"/>
      <c r="E2291" s="5"/>
      <c r="F2291" s="5"/>
      <c r="G2291" s="5"/>
      <c r="H2291" s="5"/>
      <c r="I2291" s="5"/>
      <c r="J2291" s="5"/>
      <c r="K2291" s="133">
        <v>1000</v>
      </c>
      <c r="L2291" s="5"/>
      <c r="M2291" s="16">
        <f t="shared" si="1206"/>
        <v>0</v>
      </c>
      <c r="N2291" s="5"/>
      <c r="O2291" s="5"/>
      <c r="P2291" s="5"/>
      <c r="Q2291" s="5"/>
      <c r="R2291" s="5"/>
      <c r="S2291" s="30"/>
    </row>
    <row r="2292" spans="1:19" x14ac:dyDescent="0.2">
      <c r="A2292" s="8" t="str">
        <f t="shared" si="1221"/>
        <v>50010110</v>
      </c>
      <c r="B2292" s="8">
        <v>5001</v>
      </c>
      <c r="C2292" s="8">
        <v>1</v>
      </c>
      <c r="D2292" s="8" t="s">
        <v>62</v>
      </c>
      <c r="E2292" s="8">
        <v>0</v>
      </c>
      <c r="F2292" s="34">
        <f>ROUNDDOWN($P2292/4*$O2292*10*$N2292/$N2292*$Q2292/400,0)</f>
        <v>8046</v>
      </c>
      <c r="G2292" s="34">
        <f>ROUNDDOWN($P2292/4*$O2292*10*$N2292/$N2292*$Q2292/400,0)</f>
        <v>8046</v>
      </c>
      <c r="H2292" s="34">
        <f t="shared" ref="H2292:I2357" si="1222">ROUNDDOWN($S2292/4*10,0)</f>
        <v>1200</v>
      </c>
      <c r="I2292" s="34">
        <f t="shared" si="1222"/>
        <v>1200</v>
      </c>
      <c r="J2292" s="34">
        <f>ROUNDDOWN($P2292/4*$O2292*10*$N2292/$Q2292*$N2292/400,0)</f>
        <v>10216</v>
      </c>
      <c r="K2292" s="133">
        <v>1000</v>
      </c>
      <c r="L2292" s="34"/>
      <c r="M2292" s="16">
        <f t="shared" si="1206"/>
        <v>794.53140182122445</v>
      </c>
      <c r="N2292" s="36">
        <v>800</v>
      </c>
      <c r="O2292" s="36">
        <v>0.5</v>
      </c>
      <c r="P2292" s="73">
        <v>3626.7972083743916</v>
      </c>
      <c r="Q2292" s="2" t="s">
        <v>104</v>
      </c>
      <c r="S2292" s="36">
        <v>480</v>
      </c>
    </row>
    <row r="2293" spans="1:19" x14ac:dyDescent="0.2">
      <c r="A2293" s="8" t="str">
        <f t="shared" si="1221"/>
        <v>50010111</v>
      </c>
      <c r="B2293" s="8">
        <v>5001</v>
      </c>
      <c r="C2293" s="8">
        <v>1</v>
      </c>
      <c r="D2293" s="8" t="s">
        <v>62</v>
      </c>
      <c r="E2293" s="8">
        <v>1</v>
      </c>
      <c r="F2293" s="34">
        <f t="shared" ref="F2293:G2308" si="1223">ROUNDDOWN($P2293/4*$O2293*10*$N2293/$N2293*$Q2293/400,0)</f>
        <v>16093</v>
      </c>
      <c r="G2293" s="34">
        <f t="shared" si="1223"/>
        <v>16093</v>
      </c>
      <c r="H2293" s="34">
        <f t="shared" si="1222"/>
        <v>1200</v>
      </c>
      <c r="I2293" s="34">
        <f t="shared" si="1222"/>
        <v>1200</v>
      </c>
      <c r="J2293" s="34">
        <f t="shared" ref="J2293:J2360" si="1224">ROUNDDOWN($P2293/4*$O2293*10*$N2293/$Q2293*$N2293/400,0)</f>
        <v>19925</v>
      </c>
      <c r="K2293" s="133">
        <v>1000</v>
      </c>
      <c r="L2293" s="34"/>
      <c r="M2293" s="16">
        <f t="shared" si="1206"/>
        <v>1569.2721981861528</v>
      </c>
      <c r="N2293" s="36">
        <v>790</v>
      </c>
      <c r="O2293" s="36">
        <v>1</v>
      </c>
      <c r="P2293" s="73">
        <v>3626.7972083743889</v>
      </c>
      <c r="Q2293" s="2" t="s">
        <v>104</v>
      </c>
      <c r="S2293" s="36">
        <v>480</v>
      </c>
    </row>
    <row r="2294" spans="1:19" x14ac:dyDescent="0.2">
      <c r="A2294" s="8" t="str">
        <f t="shared" si="1221"/>
        <v>50010112</v>
      </c>
      <c r="B2294" s="8">
        <v>5001</v>
      </c>
      <c r="C2294" s="8">
        <v>1</v>
      </c>
      <c r="D2294" s="8" t="s">
        <v>62</v>
      </c>
      <c r="E2294" s="8">
        <v>2</v>
      </c>
      <c r="F2294" s="34">
        <f t="shared" si="1223"/>
        <v>32187</v>
      </c>
      <c r="G2294" s="34">
        <f t="shared" si="1223"/>
        <v>32187</v>
      </c>
      <c r="H2294" s="34">
        <f t="shared" si="1222"/>
        <v>1200</v>
      </c>
      <c r="I2294" s="34">
        <f t="shared" si="1222"/>
        <v>1200</v>
      </c>
      <c r="J2294" s="34">
        <f t="shared" si="1224"/>
        <v>38847</v>
      </c>
      <c r="K2294" s="133">
        <v>1000</v>
      </c>
      <c r="L2294" s="34"/>
      <c r="M2294" s="16">
        <f t="shared" si="1206"/>
        <v>3098.8432079600288</v>
      </c>
      <c r="N2294" s="36">
        <v>780</v>
      </c>
      <c r="O2294" s="36">
        <v>2</v>
      </c>
      <c r="P2294" s="73">
        <v>3626.7972083743916</v>
      </c>
      <c r="Q2294" s="2" t="s">
        <v>104</v>
      </c>
      <c r="S2294" s="36">
        <v>480</v>
      </c>
    </row>
    <row r="2295" spans="1:19" x14ac:dyDescent="0.2">
      <c r="A2295" s="8" t="str">
        <f t="shared" si="1221"/>
        <v>50010113</v>
      </c>
      <c r="B2295" s="8">
        <v>5001</v>
      </c>
      <c r="C2295" s="8">
        <v>1</v>
      </c>
      <c r="D2295" s="8" t="s">
        <v>62</v>
      </c>
      <c r="E2295" s="8">
        <v>3</v>
      </c>
      <c r="F2295" s="34">
        <f t="shared" si="1223"/>
        <v>136004</v>
      </c>
      <c r="G2295" s="34">
        <f t="shared" si="1223"/>
        <v>136004</v>
      </c>
      <c r="H2295" s="34">
        <f t="shared" si="1222"/>
        <v>1200</v>
      </c>
      <c r="I2295" s="34">
        <f t="shared" si="1222"/>
        <v>1200</v>
      </c>
      <c r="J2295" s="34">
        <f t="shared" si="1224"/>
        <v>20159</v>
      </c>
      <c r="K2295" s="133">
        <v>1000</v>
      </c>
      <c r="L2295" s="34"/>
      <c r="M2295" s="16">
        <f t="shared" si="1206"/>
        <v>4588.7135021136373</v>
      </c>
      <c r="N2295" s="36">
        <v>770</v>
      </c>
      <c r="O2295" s="36">
        <v>3</v>
      </c>
      <c r="P2295" s="73">
        <v>3626.7972083743889</v>
      </c>
      <c r="Q2295" s="2" t="s">
        <v>202</v>
      </c>
      <c r="S2295" s="36">
        <v>480</v>
      </c>
    </row>
    <row r="2296" spans="1:19" x14ac:dyDescent="0.2">
      <c r="A2296" s="8" t="str">
        <f t="shared" si="1221"/>
        <v>50010114</v>
      </c>
      <c r="B2296" s="8">
        <v>5001</v>
      </c>
      <c r="C2296" s="8">
        <v>1</v>
      </c>
      <c r="D2296" s="8" t="s">
        <v>62</v>
      </c>
      <c r="E2296" s="8">
        <v>4</v>
      </c>
      <c r="F2296" s="34">
        <f t="shared" si="1223"/>
        <v>64375</v>
      </c>
      <c r="G2296" s="34">
        <f t="shared" si="1223"/>
        <v>64375</v>
      </c>
      <c r="H2296" s="34">
        <f t="shared" si="1222"/>
        <v>1200</v>
      </c>
      <c r="I2296" s="34">
        <f t="shared" si="1222"/>
        <v>1200</v>
      </c>
      <c r="J2296" s="34">
        <f t="shared" si="1224"/>
        <v>73761</v>
      </c>
      <c r="K2296" s="133">
        <v>1000</v>
      </c>
      <c r="L2296" s="34"/>
      <c r="M2296" s="16">
        <f t="shared" si="1206"/>
        <v>6038.8275683281436</v>
      </c>
      <c r="N2296" s="36">
        <v>760</v>
      </c>
      <c r="O2296" s="36">
        <v>4</v>
      </c>
      <c r="P2296" s="73">
        <v>3626.7972083743889</v>
      </c>
      <c r="Q2296" s="2" t="s">
        <v>104</v>
      </c>
      <c r="S2296" s="36">
        <v>480</v>
      </c>
    </row>
    <row r="2297" spans="1:19" x14ac:dyDescent="0.2">
      <c r="A2297" s="8" t="str">
        <f t="shared" si="1221"/>
        <v>50010210</v>
      </c>
      <c r="B2297" s="8">
        <v>5001</v>
      </c>
      <c r="C2297" s="8">
        <v>2</v>
      </c>
      <c r="D2297" s="8" t="s">
        <v>62</v>
      </c>
      <c r="E2297" s="8">
        <v>0</v>
      </c>
      <c r="F2297" s="34">
        <f>ROUNDDOWN($P2297/4*$O2297*10*$N2297/$N2297*$Q2297/400,0)</f>
        <v>8382</v>
      </c>
      <c r="G2297" s="34">
        <f>ROUNDDOWN($P2297/4*$O2297*10*$N2297/$N2297*$Q2297/400,0)</f>
        <v>8382</v>
      </c>
      <c r="H2297" s="34">
        <f t="shared" si="1222"/>
        <v>1500</v>
      </c>
      <c r="I2297" s="34">
        <f t="shared" si="1222"/>
        <v>1500</v>
      </c>
      <c r="J2297" s="34">
        <f>ROUNDDOWN($P2297/4*$O2297*10*$N2297/$Q2297*$N2297/400,0)</f>
        <v>10642</v>
      </c>
      <c r="K2297" s="133">
        <v>1000</v>
      </c>
      <c r="L2297" s="34"/>
      <c r="M2297" s="16">
        <f t="shared" si="1206"/>
        <v>925.38205212766047</v>
      </c>
      <c r="N2297" s="36">
        <v>800</v>
      </c>
      <c r="O2297" s="36">
        <v>0.5</v>
      </c>
      <c r="P2297" s="73">
        <v>3777.9137587233222</v>
      </c>
      <c r="Q2297" s="2" t="s">
        <v>104</v>
      </c>
      <c r="S2297" s="36">
        <v>600</v>
      </c>
    </row>
    <row r="2298" spans="1:19" x14ac:dyDescent="0.2">
      <c r="A2298" s="8" t="str">
        <f t="shared" si="1221"/>
        <v>50010211</v>
      </c>
      <c r="B2298" s="8">
        <v>5001</v>
      </c>
      <c r="C2298" s="8">
        <v>2</v>
      </c>
      <c r="D2298" s="8" t="s">
        <v>62</v>
      </c>
      <c r="E2298" s="8">
        <v>1</v>
      </c>
      <c r="F2298" s="34">
        <f t="shared" si="1223"/>
        <v>16764</v>
      </c>
      <c r="G2298" s="34">
        <f t="shared" si="1223"/>
        <v>16764</v>
      </c>
      <c r="H2298" s="34">
        <f t="shared" si="1222"/>
        <v>1500</v>
      </c>
      <c r="I2298" s="34">
        <f t="shared" si="1222"/>
        <v>1500</v>
      </c>
      <c r="J2298" s="34">
        <f t="shared" si="1224"/>
        <v>20755</v>
      </c>
      <c r="K2298" s="133">
        <v>1000</v>
      </c>
      <c r="L2298" s="34"/>
      <c r="M2298" s="16">
        <f t="shared" si="1206"/>
        <v>1827.6196190673816</v>
      </c>
      <c r="N2298" s="36">
        <v>790</v>
      </c>
      <c r="O2298" s="36">
        <v>1</v>
      </c>
      <c r="P2298" s="73">
        <v>3777.9137587233222</v>
      </c>
      <c r="Q2298" s="2" t="s">
        <v>104</v>
      </c>
      <c r="S2298" s="36">
        <v>600</v>
      </c>
    </row>
    <row r="2299" spans="1:19" x14ac:dyDescent="0.2">
      <c r="A2299" s="8" t="str">
        <f t="shared" si="1221"/>
        <v>50010212</v>
      </c>
      <c r="B2299" s="8">
        <v>5001</v>
      </c>
      <c r="C2299" s="8">
        <v>2</v>
      </c>
      <c r="D2299" s="8" t="s">
        <v>62</v>
      </c>
      <c r="E2299" s="8">
        <v>2</v>
      </c>
      <c r="F2299" s="34">
        <f t="shared" si="1223"/>
        <v>33528</v>
      </c>
      <c r="G2299" s="34">
        <f t="shared" si="1223"/>
        <v>33528</v>
      </c>
      <c r="H2299" s="34">
        <f t="shared" si="1222"/>
        <v>1500</v>
      </c>
      <c r="I2299" s="34">
        <f t="shared" si="1222"/>
        <v>1500</v>
      </c>
      <c r="J2299" s="34">
        <f t="shared" si="1224"/>
        <v>40466</v>
      </c>
      <c r="K2299" s="133">
        <v>1000</v>
      </c>
      <c r="L2299" s="34"/>
      <c r="M2299" s="16">
        <f t="shared" si="1206"/>
        <v>3608.9808617946424</v>
      </c>
      <c r="N2299" s="36">
        <v>780</v>
      </c>
      <c r="O2299" s="36">
        <v>2</v>
      </c>
      <c r="P2299" s="73">
        <v>3777.9137587233222</v>
      </c>
      <c r="Q2299" s="2" t="s">
        <v>104</v>
      </c>
      <c r="S2299" s="36">
        <v>600</v>
      </c>
    </row>
    <row r="2300" spans="1:19" x14ac:dyDescent="0.2">
      <c r="A2300" s="8" t="str">
        <f t="shared" si="1221"/>
        <v>50010213</v>
      </c>
      <c r="B2300" s="8">
        <v>5001</v>
      </c>
      <c r="C2300" s="8">
        <v>2</v>
      </c>
      <c r="D2300" s="8" t="s">
        <v>62</v>
      </c>
      <c r="E2300" s="8">
        <v>3</v>
      </c>
      <c r="F2300" s="34">
        <f t="shared" si="1223"/>
        <v>50293</v>
      </c>
      <c r="G2300" s="34">
        <f t="shared" si="1223"/>
        <v>50293</v>
      </c>
      <c r="H2300" s="34">
        <f t="shared" si="1222"/>
        <v>1500</v>
      </c>
      <c r="I2300" s="34">
        <f t="shared" si="1222"/>
        <v>1500</v>
      </c>
      <c r="J2300" s="34">
        <f t="shared" si="1224"/>
        <v>59152</v>
      </c>
      <c r="K2300" s="133">
        <v>1000</v>
      </c>
      <c r="L2300" s="34"/>
      <c r="M2300" s="16">
        <f t="shared" si="1206"/>
        <v>5344.0941931818534</v>
      </c>
      <c r="N2300" s="36">
        <v>770</v>
      </c>
      <c r="O2300" s="36">
        <v>3</v>
      </c>
      <c r="P2300" s="73">
        <v>3777.9137587233222</v>
      </c>
      <c r="Q2300" s="2" t="s">
        <v>104</v>
      </c>
      <c r="S2300" s="36">
        <v>600</v>
      </c>
    </row>
    <row r="2301" spans="1:19" x14ac:dyDescent="0.2">
      <c r="A2301" s="8" t="str">
        <f t="shared" si="1221"/>
        <v>50010214</v>
      </c>
      <c r="B2301" s="8">
        <v>5001</v>
      </c>
      <c r="C2301" s="8">
        <v>2</v>
      </c>
      <c r="D2301" s="8" t="s">
        <v>62</v>
      </c>
      <c r="E2301" s="8">
        <v>4</v>
      </c>
      <c r="F2301" s="34">
        <f t="shared" si="1223"/>
        <v>67057</v>
      </c>
      <c r="G2301" s="34">
        <f t="shared" si="1223"/>
        <v>67057</v>
      </c>
      <c r="H2301" s="34">
        <f t="shared" si="1222"/>
        <v>1500</v>
      </c>
      <c r="I2301" s="34">
        <f t="shared" si="1222"/>
        <v>1500</v>
      </c>
      <c r="J2301" s="34">
        <f t="shared" si="1224"/>
        <v>76835</v>
      </c>
      <c r="K2301" s="133">
        <v>1000</v>
      </c>
      <c r="L2301" s="34"/>
      <c r="M2301" s="16">
        <f t="shared" si="1206"/>
        <v>7032.9450525366674</v>
      </c>
      <c r="N2301" s="36">
        <v>760</v>
      </c>
      <c r="O2301" s="36">
        <v>4</v>
      </c>
      <c r="P2301" s="73">
        <v>3777.9137587233222</v>
      </c>
      <c r="Q2301" s="2" t="s">
        <v>104</v>
      </c>
      <c r="S2301" s="36">
        <v>600</v>
      </c>
    </row>
    <row r="2302" spans="1:19" x14ac:dyDescent="0.2">
      <c r="A2302" s="8" t="str">
        <f t="shared" si="1221"/>
        <v>50010310</v>
      </c>
      <c r="B2302" s="8">
        <v>5001</v>
      </c>
      <c r="C2302" s="8">
        <v>3</v>
      </c>
      <c r="D2302" s="8" t="s">
        <v>62</v>
      </c>
      <c r="E2302" s="8">
        <v>0</v>
      </c>
      <c r="F2302" s="34">
        <f>ROUNDDOWN($P2302/4*$O2302*10*$N2302/$N2302*$Q2302/400,0)</f>
        <v>8731</v>
      </c>
      <c r="G2302" s="34">
        <f>ROUNDDOWN($P2302/4*$O2302*10*$N2302/$N2302*$Q2302/400,0)</f>
        <v>8731</v>
      </c>
      <c r="H2302" s="34">
        <f t="shared" si="1222"/>
        <v>1500</v>
      </c>
      <c r="I2302" s="34">
        <f t="shared" si="1222"/>
        <v>1500</v>
      </c>
      <c r="J2302" s="34">
        <f>ROUNDDOWN($P2302/4*$O2302*10*$N2302/$Q2302*$N2302/400,0)</f>
        <v>11085</v>
      </c>
      <c r="K2302" s="133">
        <v>1000</v>
      </c>
      <c r="L2302" s="34"/>
      <c r="M2302" s="16">
        <f t="shared" si="1206"/>
        <v>963.90772172443985</v>
      </c>
      <c r="N2302" s="36">
        <v>800</v>
      </c>
      <c r="O2302" s="36">
        <v>0.5</v>
      </c>
      <c r="P2302" s="73">
        <v>3935.3268320034608</v>
      </c>
      <c r="Q2302" s="2" t="s">
        <v>104</v>
      </c>
      <c r="S2302" s="36">
        <v>600</v>
      </c>
    </row>
    <row r="2303" spans="1:19" x14ac:dyDescent="0.2">
      <c r="A2303" s="8" t="str">
        <f t="shared" si="1221"/>
        <v>50010311</v>
      </c>
      <c r="B2303" s="8">
        <v>5001</v>
      </c>
      <c r="C2303" s="8">
        <v>3</v>
      </c>
      <c r="D2303" s="8" t="s">
        <v>62</v>
      </c>
      <c r="E2303" s="8">
        <v>1</v>
      </c>
      <c r="F2303" s="34">
        <f t="shared" si="1223"/>
        <v>17463</v>
      </c>
      <c r="G2303" s="34">
        <f t="shared" si="1223"/>
        <v>17463</v>
      </c>
      <c r="H2303" s="34">
        <f t="shared" si="1222"/>
        <v>1500</v>
      </c>
      <c r="I2303" s="34">
        <f t="shared" si="1222"/>
        <v>1500</v>
      </c>
      <c r="J2303" s="34">
        <f t="shared" si="1224"/>
        <v>21620</v>
      </c>
      <c r="K2303" s="133">
        <v>1000</v>
      </c>
      <c r="L2303" s="34"/>
      <c r="M2303" s="16">
        <f t="shared" si="1206"/>
        <v>1903.8068641540297</v>
      </c>
      <c r="N2303" s="36">
        <v>790</v>
      </c>
      <c r="O2303" s="36">
        <v>1</v>
      </c>
      <c r="P2303" s="73">
        <v>3935.3268320034608</v>
      </c>
      <c r="Q2303" s="2" t="s">
        <v>104</v>
      </c>
      <c r="S2303" s="36">
        <v>600</v>
      </c>
    </row>
    <row r="2304" spans="1:19" x14ac:dyDescent="0.2">
      <c r="A2304" s="8" t="str">
        <f t="shared" si="1221"/>
        <v>50010312</v>
      </c>
      <c r="B2304" s="8">
        <v>5001</v>
      </c>
      <c r="C2304" s="8">
        <v>3</v>
      </c>
      <c r="D2304" s="8" t="s">
        <v>62</v>
      </c>
      <c r="E2304" s="8">
        <v>2</v>
      </c>
      <c r="F2304" s="34">
        <f t="shared" si="1223"/>
        <v>34926</v>
      </c>
      <c r="G2304" s="34">
        <f t="shared" si="1223"/>
        <v>34926</v>
      </c>
      <c r="H2304" s="34">
        <f t="shared" si="1222"/>
        <v>1500</v>
      </c>
      <c r="I2304" s="34">
        <f t="shared" si="1222"/>
        <v>1500</v>
      </c>
      <c r="J2304" s="34">
        <f t="shared" si="1224"/>
        <v>42152</v>
      </c>
      <c r="K2304" s="133">
        <v>1000</v>
      </c>
      <c r="L2304" s="34"/>
      <c r="M2304" s="16">
        <f t="shared" si="1206"/>
        <v>3759.4051682679806</v>
      </c>
      <c r="N2304" s="36">
        <v>780</v>
      </c>
      <c r="O2304" s="36">
        <v>2</v>
      </c>
      <c r="P2304" s="73">
        <v>3935.3268320034608</v>
      </c>
      <c r="Q2304" s="2" t="s">
        <v>104</v>
      </c>
      <c r="S2304" s="36">
        <v>600</v>
      </c>
    </row>
    <row r="2305" spans="1:19" x14ac:dyDescent="0.2">
      <c r="A2305" s="8" t="str">
        <f t="shared" si="1221"/>
        <v>50010313</v>
      </c>
      <c r="B2305" s="8">
        <v>5001</v>
      </c>
      <c r="C2305" s="8">
        <v>3</v>
      </c>
      <c r="D2305" s="8" t="s">
        <v>62</v>
      </c>
      <c r="E2305" s="8">
        <v>3</v>
      </c>
      <c r="F2305" s="34">
        <f t="shared" si="1223"/>
        <v>52389</v>
      </c>
      <c r="G2305" s="34">
        <f t="shared" si="1223"/>
        <v>52389</v>
      </c>
      <c r="H2305" s="34">
        <f t="shared" si="1222"/>
        <v>1500</v>
      </c>
      <c r="I2305" s="34">
        <f t="shared" si="1222"/>
        <v>1500</v>
      </c>
      <c r="J2305" s="34">
        <f t="shared" si="1224"/>
        <v>61617</v>
      </c>
      <c r="K2305" s="133">
        <v>1000</v>
      </c>
      <c r="L2305" s="34"/>
      <c r="M2305" s="16">
        <f t="shared" si="1206"/>
        <v>5566.8041931434964</v>
      </c>
      <c r="N2305" s="36">
        <v>770</v>
      </c>
      <c r="O2305" s="36">
        <v>3</v>
      </c>
      <c r="P2305" s="73">
        <v>3935.3268320034608</v>
      </c>
      <c r="Q2305" s="2" t="s">
        <v>104</v>
      </c>
      <c r="S2305" s="36">
        <v>600</v>
      </c>
    </row>
    <row r="2306" spans="1:19" x14ac:dyDescent="0.2">
      <c r="A2306" s="8" t="str">
        <f t="shared" si="1221"/>
        <v>50010314</v>
      </c>
      <c r="B2306" s="8">
        <v>5001</v>
      </c>
      <c r="C2306" s="8">
        <v>3</v>
      </c>
      <c r="D2306" s="8" t="s">
        <v>62</v>
      </c>
      <c r="E2306" s="8">
        <v>4</v>
      </c>
      <c r="F2306" s="34">
        <f t="shared" si="1223"/>
        <v>69852</v>
      </c>
      <c r="G2306" s="34">
        <f t="shared" si="1223"/>
        <v>69852</v>
      </c>
      <c r="H2306" s="34">
        <f t="shared" si="1222"/>
        <v>1500</v>
      </c>
      <c r="I2306" s="34">
        <f t="shared" si="1222"/>
        <v>1500</v>
      </c>
      <c r="J2306" s="34">
        <f t="shared" si="1224"/>
        <v>80036</v>
      </c>
      <c r="K2306" s="133">
        <v>1000</v>
      </c>
      <c r="L2306" s="34"/>
      <c r="M2306" s="16">
        <f t="shared" si="1206"/>
        <v>7326.0137080952836</v>
      </c>
      <c r="N2306" s="36">
        <v>760</v>
      </c>
      <c r="O2306" s="36">
        <v>4</v>
      </c>
      <c r="P2306" s="73">
        <v>3935.3268320034608</v>
      </c>
      <c r="Q2306" s="2" t="s">
        <v>104</v>
      </c>
      <c r="S2306" s="36">
        <v>600</v>
      </c>
    </row>
    <row r="2307" spans="1:19" x14ac:dyDescent="0.2">
      <c r="A2307" s="8" t="str">
        <f t="shared" si="1221"/>
        <v>50010410</v>
      </c>
      <c r="B2307" s="8">
        <v>5001</v>
      </c>
      <c r="C2307" s="8">
        <v>4</v>
      </c>
      <c r="D2307" s="8" t="s">
        <v>62</v>
      </c>
      <c r="E2307" s="8">
        <v>0</v>
      </c>
      <c r="F2307" s="34">
        <f>ROUNDDOWN($P2307/4*$O2307*10*$N2307/$N2307*$Q2307/400,0)</f>
        <v>9095</v>
      </c>
      <c r="G2307" s="34">
        <f>ROUNDDOWN($P2307/4*$O2307*10*$N2307/$N2307*$Q2307/400,0)</f>
        <v>9095</v>
      </c>
      <c r="H2307" s="34">
        <f t="shared" si="1222"/>
        <v>1800</v>
      </c>
      <c r="I2307" s="34">
        <f t="shared" si="1222"/>
        <v>1800</v>
      </c>
      <c r="J2307" s="34">
        <f>ROUNDDOWN($P2307/4*$O2307*10*$N2307/$Q2307*$N2307/400,0)</f>
        <v>11547</v>
      </c>
      <c r="K2307" s="133">
        <v>1000</v>
      </c>
      <c r="L2307" s="34"/>
      <c r="M2307" s="16">
        <f t="shared" si="1206"/>
        <v>1099.9227231037644</v>
      </c>
      <c r="N2307" s="36">
        <v>800</v>
      </c>
      <c r="O2307" s="36">
        <v>0.5</v>
      </c>
      <c r="P2307" s="73">
        <v>4099.2987833369389</v>
      </c>
      <c r="Q2307" s="2" t="s">
        <v>104</v>
      </c>
      <c r="S2307" s="36">
        <v>720</v>
      </c>
    </row>
    <row r="2308" spans="1:19" x14ac:dyDescent="0.2">
      <c r="A2308" s="8" t="str">
        <f t="shared" si="1221"/>
        <v>50010411</v>
      </c>
      <c r="B2308" s="8">
        <v>5001</v>
      </c>
      <c r="C2308" s="8">
        <v>4</v>
      </c>
      <c r="D2308" s="8" t="s">
        <v>62</v>
      </c>
      <c r="E2308" s="8">
        <v>1</v>
      </c>
      <c r="F2308" s="34">
        <f t="shared" si="1223"/>
        <v>18190</v>
      </c>
      <c r="G2308" s="34">
        <f t="shared" si="1223"/>
        <v>18190</v>
      </c>
      <c r="H2308" s="34">
        <f t="shared" si="1222"/>
        <v>1800</v>
      </c>
      <c r="I2308" s="34">
        <f t="shared" si="1222"/>
        <v>1800</v>
      </c>
      <c r="J2308" s="34">
        <f t="shared" si="1224"/>
        <v>22520</v>
      </c>
      <c r="K2308" s="133">
        <v>1000</v>
      </c>
      <c r="L2308" s="34"/>
      <c r="M2308" s="16">
        <f t="shared" si="1206"/>
        <v>2172.3349134053892</v>
      </c>
      <c r="N2308" s="36">
        <v>790</v>
      </c>
      <c r="O2308" s="36">
        <v>1</v>
      </c>
      <c r="P2308" s="73">
        <v>4099.2987833369389</v>
      </c>
      <c r="Q2308" s="2" t="s">
        <v>104</v>
      </c>
      <c r="S2308" s="36">
        <v>720</v>
      </c>
    </row>
    <row r="2309" spans="1:19" x14ac:dyDescent="0.2">
      <c r="A2309" s="8" t="str">
        <f t="shared" si="1221"/>
        <v>50010412</v>
      </c>
      <c r="B2309" s="8">
        <v>5001</v>
      </c>
      <c r="C2309" s="8">
        <v>4</v>
      </c>
      <c r="D2309" s="8" t="s">
        <v>62</v>
      </c>
      <c r="E2309" s="8">
        <v>2</v>
      </c>
      <c r="F2309" s="34">
        <f t="shared" ref="F2309:G2311" si="1225">ROUNDDOWN($P2309/4*$O2309*10*$N2309/$N2309*$Q2309/400,0)</f>
        <v>36381</v>
      </c>
      <c r="G2309" s="34">
        <f t="shared" si="1225"/>
        <v>36381</v>
      </c>
      <c r="H2309" s="34">
        <f t="shared" si="1222"/>
        <v>1800</v>
      </c>
      <c r="I2309" s="34">
        <f t="shared" si="1222"/>
        <v>1800</v>
      </c>
      <c r="J2309" s="34">
        <f t="shared" si="1224"/>
        <v>43908</v>
      </c>
      <c r="K2309" s="133">
        <v>1000</v>
      </c>
      <c r="L2309" s="34"/>
      <c r="M2309" s="16">
        <f t="shared" si="1206"/>
        <v>4289.7835890590095</v>
      </c>
      <c r="N2309" s="36">
        <v>780</v>
      </c>
      <c r="O2309" s="36">
        <v>2</v>
      </c>
      <c r="P2309" s="73">
        <v>4099.2987833369389</v>
      </c>
      <c r="Q2309" s="2" t="s">
        <v>104</v>
      </c>
      <c r="S2309" s="36">
        <v>720</v>
      </c>
    </row>
    <row r="2310" spans="1:19" x14ac:dyDescent="0.2">
      <c r="A2310" s="8" t="str">
        <f t="shared" si="1221"/>
        <v>50010413</v>
      </c>
      <c r="B2310" s="8">
        <v>5001</v>
      </c>
      <c r="C2310" s="8">
        <v>4</v>
      </c>
      <c r="D2310" s="8" t="s">
        <v>62</v>
      </c>
      <c r="E2310" s="8">
        <v>3</v>
      </c>
      <c r="F2310" s="34">
        <f t="shared" si="1225"/>
        <v>54571</v>
      </c>
      <c r="G2310" s="34">
        <f t="shared" si="1225"/>
        <v>54571</v>
      </c>
      <c r="H2310" s="34">
        <f t="shared" si="1222"/>
        <v>1800</v>
      </c>
      <c r="I2310" s="34">
        <f t="shared" si="1222"/>
        <v>1800</v>
      </c>
      <c r="J2310" s="34">
        <f t="shared" si="1224"/>
        <v>64185</v>
      </c>
      <c r="K2310" s="133">
        <v>1000</v>
      </c>
      <c r="L2310" s="34"/>
      <c r="M2310" s="16">
        <f t="shared" si="1206"/>
        <v>6352.1971470665176</v>
      </c>
      <c r="N2310" s="36">
        <v>770</v>
      </c>
      <c r="O2310" s="36">
        <v>3</v>
      </c>
      <c r="P2310" s="73">
        <v>4099.2987833369389</v>
      </c>
      <c r="Q2310" s="2" t="s">
        <v>104</v>
      </c>
      <c r="S2310" s="36">
        <v>720</v>
      </c>
    </row>
    <row r="2311" spans="1:19" x14ac:dyDescent="0.2">
      <c r="A2311" s="8" t="str">
        <f t="shared" si="1221"/>
        <v>50010414</v>
      </c>
      <c r="B2311" s="8">
        <v>5001</v>
      </c>
      <c r="C2311" s="8">
        <v>4</v>
      </c>
      <c r="D2311" s="8" t="s">
        <v>62</v>
      </c>
      <c r="E2311" s="8">
        <v>4</v>
      </c>
      <c r="F2311" s="34">
        <f t="shared" si="1225"/>
        <v>72762</v>
      </c>
      <c r="G2311" s="34">
        <f t="shared" si="1225"/>
        <v>72762</v>
      </c>
      <c r="H2311" s="34">
        <f t="shared" si="1222"/>
        <v>1800</v>
      </c>
      <c r="I2311" s="34">
        <f t="shared" si="1222"/>
        <v>1800</v>
      </c>
      <c r="J2311" s="34">
        <f t="shared" si="1224"/>
        <v>83371</v>
      </c>
      <c r="K2311" s="133">
        <v>1000</v>
      </c>
      <c r="L2311" s="34"/>
      <c r="M2311" s="16">
        <f t="shared" si="1206"/>
        <v>8359.6108095437085</v>
      </c>
      <c r="N2311" s="36">
        <v>760</v>
      </c>
      <c r="O2311" s="36">
        <v>4</v>
      </c>
      <c r="P2311" s="73">
        <v>4099.2987833369389</v>
      </c>
      <c r="Q2311" s="2" t="s">
        <v>104</v>
      </c>
      <c r="S2311" s="36">
        <v>720</v>
      </c>
    </row>
    <row r="2312" spans="1:19" x14ac:dyDescent="0.2">
      <c r="A2312" s="8" t="str">
        <f t="shared" si="1221"/>
        <v>50010510</v>
      </c>
      <c r="B2312" s="8">
        <v>5001</v>
      </c>
      <c r="C2312" s="8">
        <v>5</v>
      </c>
      <c r="D2312" s="8" t="s">
        <v>62</v>
      </c>
      <c r="E2312" s="8">
        <v>0</v>
      </c>
      <c r="F2312" s="34">
        <f>ROUNDDOWN($P2312/4*$O2312*10*$N2312/$N2312*$Q2312/400,0)</f>
        <v>9474</v>
      </c>
      <c r="G2312" s="34">
        <f>ROUNDDOWN($P2312/4*$O2312*10*$N2312/$N2312*$Q2312/400,0)</f>
        <v>9474</v>
      </c>
      <c r="H2312" s="34">
        <f t="shared" si="1222"/>
        <v>1800</v>
      </c>
      <c r="I2312" s="34">
        <f t="shared" si="1222"/>
        <v>1800</v>
      </c>
      <c r="J2312" s="34">
        <f>ROUNDDOWN($P2312/4*$O2312*10*$N2312/$Q2312*$N2312/400,0)</f>
        <v>12028</v>
      </c>
      <c r="K2312" s="133">
        <v>1000</v>
      </c>
      <c r="L2312" s="34"/>
      <c r="M2312" s="16">
        <f t="shared" si="1206"/>
        <v>1145.7494025483934</v>
      </c>
      <c r="N2312" s="36">
        <v>800</v>
      </c>
      <c r="O2312" s="36">
        <v>0.5</v>
      </c>
      <c r="P2312" s="73">
        <v>4270.1028993093114</v>
      </c>
      <c r="Q2312" s="2" t="s">
        <v>104</v>
      </c>
      <c r="S2312" s="36">
        <v>720</v>
      </c>
    </row>
    <row r="2313" spans="1:19" x14ac:dyDescent="0.2">
      <c r="A2313" s="8" t="str">
        <f t="shared" si="1221"/>
        <v>50010511</v>
      </c>
      <c r="B2313" s="8">
        <v>5001</v>
      </c>
      <c r="C2313" s="8">
        <v>5</v>
      </c>
      <c r="D2313" s="8" t="s">
        <v>62</v>
      </c>
      <c r="E2313" s="8">
        <v>1</v>
      </c>
      <c r="F2313" s="34">
        <f t="shared" ref="F2313:G2316" si="1226">ROUNDDOWN($P2313/4*$O2313*10*$N2313/$N2313*$Q2313/400,0)</f>
        <v>18948</v>
      </c>
      <c r="G2313" s="34">
        <f t="shared" si="1226"/>
        <v>18948</v>
      </c>
      <c r="H2313" s="34">
        <f t="shared" si="1222"/>
        <v>1800</v>
      </c>
      <c r="I2313" s="34">
        <f t="shared" si="1222"/>
        <v>1800</v>
      </c>
      <c r="J2313" s="34">
        <f t="shared" si="1224"/>
        <v>23459</v>
      </c>
      <c r="K2313" s="133">
        <v>1000</v>
      </c>
      <c r="L2313" s="34"/>
      <c r="M2313" s="16">
        <f t="shared" si="1206"/>
        <v>2262.8859981536853</v>
      </c>
      <c r="N2313" s="36">
        <v>790</v>
      </c>
      <c r="O2313" s="36">
        <v>1</v>
      </c>
      <c r="P2313" s="73">
        <v>4270.1028993093114</v>
      </c>
      <c r="Q2313" s="2" t="s">
        <v>104</v>
      </c>
      <c r="S2313" s="36">
        <v>720</v>
      </c>
    </row>
    <row r="2314" spans="1:19" x14ac:dyDescent="0.2">
      <c r="A2314" s="8" t="str">
        <f t="shared" si="1221"/>
        <v>50010512</v>
      </c>
      <c r="B2314" s="8">
        <v>5001</v>
      </c>
      <c r="C2314" s="8">
        <v>5</v>
      </c>
      <c r="D2314" s="8" t="s">
        <v>62</v>
      </c>
      <c r="E2314" s="8">
        <v>2</v>
      </c>
      <c r="F2314" s="34">
        <f t="shared" si="1226"/>
        <v>37897</v>
      </c>
      <c r="G2314" s="34">
        <f t="shared" si="1226"/>
        <v>37897</v>
      </c>
      <c r="H2314" s="34">
        <f t="shared" si="1222"/>
        <v>1800</v>
      </c>
      <c r="I2314" s="34">
        <f t="shared" si="1222"/>
        <v>1800</v>
      </c>
      <c r="J2314" s="34">
        <f t="shared" si="1224"/>
        <v>45738</v>
      </c>
      <c r="K2314" s="133">
        <v>1000</v>
      </c>
      <c r="L2314" s="34"/>
      <c r="M2314" s="16">
        <f t="shared" si="1206"/>
        <v>4468.5563662910199</v>
      </c>
      <c r="N2314" s="36">
        <v>780</v>
      </c>
      <c r="O2314" s="36">
        <v>2</v>
      </c>
      <c r="P2314" s="73">
        <v>4270.1028993093114</v>
      </c>
      <c r="Q2314" s="2" t="s">
        <v>104</v>
      </c>
      <c r="S2314" s="36">
        <v>720</v>
      </c>
    </row>
    <row r="2315" spans="1:19" x14ac:dyDescent="0.2">
      <c r="A2315" s="8" t="str">
        <f t="shared" si="1221"/>
        <v>50010513</v>
      </c>
      <c r="B2315" s="8">
        <v>5001</v>
      </c>
      <c r="C2315" s="8">
        <v>5</v>
      </c>
      <c r="D2315" s="8" t="s">
        <v>62</v>
      </c>
      <c r="E2315" s="8">
        <v>3</v>
      </c>
      <c r="F2315" s="34">
        <f t="shared" si="1226"/>
        <v>56845</v>
      </c>
      <c r="G2315" s="34">
        <f t="shared" si="1226"/>
        <v>56845</v>
      </c>
      <c r="H2315" s="34">
        <f t="shared" si="1222"/>
        <v>1800</v>
      </c>
      <c r="I2315" s="34">
        <f t="shared" si="1222"/>
        <v>1800</v>
      </c>
      <c r="J2315" s="34">
        <f t="shared" si="1224"/>
        <v>66859</v>
      </c>
      <c r="K2315" s="133">
        <v>1000</v>
      </c>
      <c r="L2315" s="34"/>
      <c r="M2315" s="16">
        <f t="shared" si="1206"/>
        <v>6616.8655970633108</v>
      </c>
      <c r="N2315" s="36">
        <v>770</v>
      </c>
      <c r="O2315" s="36">
        <v>3</v>
      </c>
      <c r="P2315" s="73">
        <v>4270.1028993093114</v>
      </c>
      <c r="Q2315" s="2" t="s">
        <v>104</v>
      </c>
      <c r="S2315" s="36">
        <v>720</v>
      </c>
    </row>
    <row r="2316" spans="1:19" x14ac:dyDescent="0.2">
      <c r="A2316" s="8" t="str">
        <f t="shared" si="1221"/>
        <v>50010514</v>
      </c>
      <c r="B2316" s="8">
        <v>5001</v>
      </c>
      <c r="C2316" s="8">
        <v>5</v>
      </c>
      <c r="D2316" s="8" t="s">
        <v>62</v>
      </c>
      <c r="E2316" s="8">
        <v>4</v>
      </c>
      <c r="F2316" s="34">
        <f t="shared" si="1226"/>
        <v>75794</v>
      </c>
      <c r="G2316" s="34">
        <f t="shared" si="1226"/>
        <v>75794</v>
      </c>
      <c r="H2316" s="34">
        <f t="shared" si="1222"/>
        <v>1800</v>
      </c>
      <c r="I2316" s="34">
        <f t="shared" si="1222"/>
        <v>1800</v>
      </c>
      <c r="J2316" s="34">
        <f t="shared" si="1224"/>
        <v>86845</v>
      </c>
      <c r="K2316" s="133">
        <v>1000</v>
      </c>
      <c r="L2316" s="34"/>
      <c r="M2316" s="16">
        <f t="shared" si="1206"/>
        <v>8707.9527326232092</v>
      </c>
      <c r="N2316" s="36">
        <v>760</v>
      </c>
      <c r="O2316" s="36">
        <v>4</v>
      </c>
      <c r="P2316" s="73">
        <v>4270.1028993093114</v>
      </c>
      <c r="Q2316" s="2" t="s">
        <v>104</v>
      </c>
      <c r="S2316" s="36">
        <v>720</v>
      </c>
    </row>
    <row r="2317" spans="1:19" x14ac:dyDescent="0.2">
      <c r="A2317" s="125" t="str">
        <f t="shared" si="1221"/>
        <v>50010515</v>
      </c>
      <c r="B2317" s="125">
        <v>5001</v>
      </c>
      <c r="C2317" s="125">
        <v>5</v>
      </c>
      <c r="D2317" s="125" t="s">
        <v>62</v>
      </c>
      <c r="E2317" s="125">
        <v>5</v>
      </c>
      <c r="F2317" s="126">
        <f>ROUNDDOWN($P2317/4*$O2317*10*$N2317/$N2317*$Q2317/400,0)</f>
        <v>8520</v>
      </c>
      <c r="G2317" s="126">
        <f>ROUNDDOWN($P2317/4*$O2317*10*$N2317/$N2317*$Q2317/400,0)</f>
        <v>8520</v>
      </c>
      <c r="H2317" s="126">
        <f t="shared" si="1222"/>
        <v>1800</v>
      </c>
      <c r="I2317" s="126">
        <f t="shared" si="1222"/>
        <v>1800</v>
      </c>
      <c r="J2317" s="126">
        <f>ROUNDDOWN($P2317/4*$O2317*10*$N2317/$Q2317*$N2317/400,0)</f>
        <v>8761</v>
      </c>
      <c r="K2317" s="133">
        <v>1000</v>
      </c>
      <c r="L2317" s="126"/>
      <c r="M2317" s="127">
        <f t="shared" si="1206"/>
        <v>927.305588465852</v>
      </c>
      <c r="N2317" s="128">
        <v>720</v>
      </c>
      <c r="O2317" s="128">
        <v>0.5</v>
      </c>
      <c r="P2317" s="129">
        <v>3840</v>
      </c>
      <c r="Q2317" s="130" t="s">
        <v>104</v>
      </c>
      <c r="R2317" s="130"/>
      <c r="S2317" s="128">
        <v>720</v>
      </c>
    </row>
    <row r="2318" spans="1:19" x14ac:dyDescent="0.2">
      <c r="A2318" s="8" t="str">
        <f t="shared" ref="A2318:A2383" si="1227">IF(B2318="","",CONCATENATE(B2318,CONCATENATE(REPT(0,2-LEN(C2318)),C2318),IF(OR(D2318="Easy",D2318=""),1,IF(D2318="Normal",2,IF(D2318="Hard",3,IF(D2318="Hell",4,"error")))),E2318))</f>
        <v>50010610</v>
      </c>
      <c r="B2318" s="8">
        <v>5001</v>
      </c>
      <c r="C2318" s="8">
        <v>6</v>
      </c>
      <c r="D2318" s="8" t="s">
        <v>62</v>
      </c>
      <c r="E2318" s="8">
        <v>0</v>
      </c>
      <c r="F2318" s="34">
        <f>ROUNDDOWN($P2318/4*$O2318*10*$N2318/$N2318*$Q2318/400,0)</f>
        <v>9869</v>
      </c>
      <c r="G2318" s="34">
        <f>ROUNDDOWN($P2318/4*$O2318*10*$N2318/$N2318*$Q2318/400,0)</f>
        <v>9869</v>
      </c>
      <c r="H2318" s="34">
        <f t="shared" si="1222"/>
        <v>2100</v>
      </c>
      <c r="I2318" s="34">
        <f t="shared" si="1222"/>
        <v>2100</v>
      </c>
      <c r="J2318" s="34">
        <f>ROUNDDOWN($P2318/4*$O2318*10*$N2318/$Q2318*$N2318/400,0)</f>
        <v>12529</v>
      </c>
      <c r="K2318" s="133">
        <v>1000</v>
      </c>
      <c r="L2318" s="34"/>
      <c r="M2318" s="16">
        <f t="shared" si="1206"/>
        <v>1289.1231676763862</v>
      </c>
      <c r="N2318" s="36">
        <v>800</v>
      </c>
      <c r="O2318" s="36">
        <v>0.5</v>
      </c>
      <c r="P2318" s="73">
        <v>4448.0238534472001</v>
      </c>
      <c r="Q2318" s="2" t="s">
        <v>104</v>
      </c>
      <c r="S2318" s="36">
        <v>840</v>
      </c>
    </row>
    <row r="2319" spans="1:19" x14ac:dyDescent="0.2">
      <c r="A2319" s="8" t="str">
        <f t="shared" si="1227"/>
        <v>50010611</v>
      </c>
      <c r="B2319" s="8">
        <v>5001</v>
      </c>
      <c r="C2319" s="8">
        <v>6</v>
      </c>
      <c r="D2319" s="8" t="s">
        <v>62</v>
      </c>
      <c r="E2319" s="8">
        <v>1</v>
      </c>
      <c r="F2319" s="34">
        <f t="shared" ref="F2319:G2322" si="1228">ROUNDDOWN($P2319/4*$O2319*10*$N2319/$N2319*$Q2319/400,0)</f>
        <v>19738</v>
      </c>
      <c r="G2319" s="34">
        <f t="shared" si="1228"/>
        <v>19738</v>
      </c>
      <c r="H2319" s="34">
        <f t="shared" si="1222"/>
        <v>2100</v>
      </c>
      <c r="I2319" s="34">
        <f t="shared" si="1222"/>
        <v>2100</v>
      </c>
      <c r="J2319" s="34">
        <f t="shared" si="1224"/>
        <v>24436</v>
      </c>
      <c r="K2319" s="133">
        <v>1000</v>
      </c>
      <c r="L2319" s="34"/>
      <c r="M2319" s="16">
        <f t="shared" si="1206"/>
        <v>2546.046111507017</v>
      </c>
      <c r="N2319" s="36">
        <v>790</v>
      </c>
      <c r="O2319" s="36">
        <v>1</v>
      </c>
      <c r="P2319" s="73">
        <v>4448.0238534472001</v>
      </c>
      <c r="Q2319" s="2" t="s">
        <v>104</v>
      </c>
      <c r="S2319" s="36">
        <v>840</v>
      </c>
    </row>
    <row r="2320" spans="1:19" x14ac:dyDescent="0.2">
      <c r="A2320" s="8" t="str">
        <f t="shared" si="1227"/>
        <v>50010612</v>
      </c>
      <c r="B2320" s="8">
        <v>5001</v>
      </c>
      <c r="C2320" s="8">
        <v>6</v>
      </c>
      <c r="D2320" s="8" t="s">
        <v>62</v>
      </c>
      <c r="E2320" s="8">
        <v>2</v>
      </c>
      <c r="F2320" s="34">
        <f t="shared" si="1228"/>
        <v>39476</v>
      </c>
      <c r="G2320" s="34">
        <f t="shared" si="1228"/>
        <v>39476</v>
      </c>
      <c r="H2320" s="34">
        <f t="shared" si="1222"/>
        <v>2100</v>
      </c>
      <c r="I2320" s="34">
        <f t="shared" si="1222"/>
        <v>2100</v>
      </c>
      <c r="J2320" s="34">
        <f t="shared" si="1224"/>
        <v>47643</v>
      </c>
      <c r="K2320" s="133">
        <v>1000</v>
      </c>
      <c r="L2320" s="34"/>
      <c r="M2320" s="16">
        <f t="shared" si="1206"/>
        <v>5027.658313163296</v>
      </c>
      <c r="N2320" s="36">
        <v>780</v>
      </c>
      <c r="O2320" s="36">
        <v>2</v>
      </c>
      <c r="P2320" s="73">
        <v>4448.0238534472001</v>
      </c>
      <c r="Q2320" s="2" t="s">
        <v>104</v>
      </c>
      <c r="S2320" s="36">
        <v>840</v>
      </c>
    </row>
    <row r="2321" spans="1:19" x14ac:dyDescent="0.2">
      <c r="A2321" s="8" t="str">
        <f t="shared" si="1227"/>
        <v>50010613</v>
      </c>
      <c r="B2321" s="8">
        <v>5001</v>
      </c>
      <c r="C2321" s="8">
        <v>6</v>
      </c>
      <c r="D2321" s="8" t="s">
        <v>62</v>
      </c>
      <c r="E2321" s="8">
        <v>3</v>
      </c>
      <c r="F2321" s="34">
        <f t="shared" si="1228"/>
        <v>59214</v>
      </c>
      <c r="G2321" s="34">
        <f t="shared" si="1228"/>
        <v>59214</v>
      </c>
      <c r="H2321" s="34">
        <f t="shared" si="1222"/>
        <v>2100</v>
      </c>
      <c r="I2321" s="34">
        <f t="shared" si="1222"/>
        <v>2100</v>
      </c>
      <c r="J2321" s="34">
        <f t="shared" si="1224"/>
        <v>69645</v>
      </c>
      <c r="K2321" s="133">
        <v>1000</v>
      </c>
      <c r="L2321" s="34"/>
      <c r="M2321" s="16">
        <f t="shared" si="1206"/>
        <v>7444.8646302803918</v>
      </c>
      <c r="N2321" s="36">
        <v>770</v>
      </c>
      <c r="O2321" s="36">
        <v>3</v>
      </c>
      <c r="P2321" s="73">
        <v>4448.0238534472001</v>
      </c>
      <c r="Q2321" s="2" t="s">
        <v>104</v>
      </c>
      <c r="S2321" s="36">
        <v>840</v>
      </c>
    </row>
    <row r="2322" spans="1:19" x14ac:dyDescent="0.2">
      <c r="A2322" s="8" t="str">
        <f t="shared" si="1227"/>
        <v>50010614</v>
      </c>
      <c r="B2322" s="8">
        <v>5001</v>
      </c>
      <c r="C2322" s="8">
        <v>6</v>
      </c>
      <c r="D2322" s="8" t="s">
        <v>62</v>
      </c>
      <c r="E2322" s="8">
        <v>4</v>
      </c>
      <c r="F2322" s="34">
        <f t="shared" si="1228"/>
        <v>78952</v>
      </c>
      <c r="G2322" s="34">
        <f t="shared" si="1228"/>
        <v>78952</v>
      </c>
      <c r="H2322" s="34">
        <f t="shared" si="1222"/>
        <v>2100</v>
      </c>
      <c r="I2322" s="34">
        <f t="shared" si="1222"/>
        <v>2100</v>
      </c>
      <c r="J2322" s="34">
        <f t="shared" si="1224"/>
        <v>90464</v>
      </c>
      <c r="K2322" s="133">
        <v>1000</v>
      </c>
      <c r="L2322" s="34"/>
      <c r="M2322" s="16">
        <f t="shared" si="1206"/>
        <v>9797.5862590905526</v>
      </c>
      <c r="N2322" s="36">
        <v>760</v>
      </c>
      <c r="O2322" s="36">
        <v>4</v>
      </c>
      <c r="P2322" s="73">
        <v>4448.0238534472001</v>
      </c>
      <c r="Q2322" s="2" t="s">
        <v>104</v>
      </c>
      <c r="S2322" s="36">
        <v>840</v>
      </c>
    </row>
    <row r="2323" spans="1:19" x14ac:dyDescent="0.2">
      <c r="A2323" s="8" t="str">
        <f t="shared" si="1227"/>
        <v>50010710</v>
      </c>
      <c r="B2323" s="8">
        <v>5001</v>
      </c>
      <c r="C2323" s="8">
        <v>7</v>
      </c>
      <c r="D2323" s="8" t="s">
        <v>62</v>
      </c>
      <c r="E2323" s="8">
        <v>0</v>
      </c>
      <c r="F2323" s="34">
        <f>ROUNDDOWN($P2323/4*$O2323*10*$N2323/$N2323*$Q2323/400,0)</f>
        <v>10280</v>
      </c>
      <c r="G2323" s="34">
        <f>ROUNDDOWN($P2323/4*$O2323*10*$N2323/$N2323*$Q2323/400,0)</f>
        <v>10280</v>
      </c>
      <c r="H2323" s="34">
        <f t="shared" si="1222"/>
        <v>2100</v>
      </c>
      <c r="I2323" s="34">
        <f t="shared" si="1222"/>
        <v>2100</v>
      </c>
      <c r="J2323" s="34">
        <f>ROUNDDOWN($P2323/4*$O2323*10*$N2323/$Q2323*$N2323/400,0)</f>
        <v>13051</v>
      </c>
      <c r="K2323" s="133">
        <v>1000</v>
      </c>
      <c r="L2323" s="34"/>
      <c r="M2323" s="16">
        <f t="shared" si="1206"/>
        <v>1342.8208827688077</v>
      </c>
      <c r="N2323" s="36">
        <v>800</v>
      </c>
      <c r="O2323" s="36">
        <v>0.5</v>
      </c>
      <c r="P2323" s="73">
        <v>4633.3581806741668</v>
      </c>
      <c r="Q2323" s="2" t="s">
        <v>104</v>
      </c>
      <c r="S2323" s="36">
        <v>840</v>
      </c>
    </row>
    <row r="2324" spans="1:19" x14ac:dyDescent="0.2">
      <c r="A2324" s="8" t="str">
        <f t="shared" si="1227"/>
        <v>50010711</v>
      </c>
      <c r="B2324" s="8">
        <v>5001</v>
      </c>
      <c r="C2324" s="8">
        <v>7</v>
      </c>
      <c r="D2324" s="8" t="s">
        <v>62</v>
      </c>
      <c r="E2324" s="8">
        <v>1</v>
      </c>
      <c r="F2324" s="34">
        <f t="shared" ref="F2324:G2327" si="1229">ROUNDDOWN($P2324/4*$O2324*10*$N2324/$N2324*$Q2324/400,0)</f>
        <v>20560</v>
      </c>
      <c r="G2324" s="34">
        <f t="shared" si="1229"/>
        <v>20560</v>
      </c>
      <c r="H2324" s="34">
        <f t="shared" si="1222"/>
        <v>2100</v>
      </c>
      <c r="I2324" s="34">
        <f t="shared" si="1222"/>
        <v>2100</v>
      </c>
      <c r="J2324" s="34">
        <f t="shared" si="1224"/>
        <v>25454</v>
      </c>
      <c r="K2324" s="133">
        <v>1000</v>
      </c>
      <c r="L2324" s="34"/>
      <c r="M2324" s="16">
        <f t="shared" si="1206"/>
        <v>2652.0958100340195</v>
      </c>
      <c r="N2324" s="36">
        <v>790</v>
      </c>
      <c r="O2324" s="36">
        <v>1</v>
      </c>
      <c r="P2324" s="73">
        <v>4633.3581806741668</v>
      </c>
      <c r="Q2324" s="2" t="s">
        <v>104</v>
      </c>
      <c r="S2324" s="36">
        <v>840</v>
      </c>
    </row>
    <row r="2325" spans="1:19" x14ac:dyDescent="0.2">
      <c r="A2325" s="8" t="str">
        <f t="shared" si="1227"/>
        <v>50010712</v>
      </c>
      <c r="B2325" s="8">
        <v>5001</v>
      </c>
      <c r="C2325" s="8">
        <v>7</v>
      </c>
      <c r="D2325" s="8" t="s">
        <v>62</v>
      </c>
      <c r="E2325" s="8">
        <v>2</v>
      </c>
      <c r="F2325" s="34">
        <f t="shared" si="1229"/>
        <v>41121</v>
      </c>
      <c r="G2325" s="34">
        <f t="shared" si="1229"/>
        <v>41121</v>
      </c>
      <c r="H2325" s="34">
        <f t="shared" si="1222"/>
        <v>2100</v>
      </c>
      <c r="I2325" s="34">
        <f t="shared" si="1222"/>
        <v>2100</v>
      </c>
      <c r="J2325" s="34">
        <f t="shared" si="1224"/>
        <v>49629</v>
      </c>
      <c r="K2325" s="133">
        <v>1000</v>
      </c>
      <c r="L2325" s="34"/>
      <c r="M2325" s="16">
        <f t="shared" si="1206"/>
        <v>5237.2008578018094</v>
      </c>
      <c r="N2325" s="36">
        <v>780</v>
      </c>
      <c r="O2325" s="36">
        <v>2</v>
      </c>
      <c r="P2325" s="73">
        <v>4633.3581806741668</v>
      </c>
      <c r="Q2325" s="2" t="s">
        <v>104</v>
      </c>
      <c r="S2325" s="36">
        <v>840</v>
      </c>
    </row>
    <row r="2326" spans="1:19" x14ac:dyDescent="0.2">
      <c r="A2326" s="8" t="str">
        <f t="shared" si="1227"/>
        <v>50010713</v>
      </c>
      <c r="B2326" s="8">
        <v>5001</v>
      </c>
      <c r="C2326" s="8">
        <v>7</v>
      </c>
      <c r="D2326" s="8" t="s">
        <v>62</v>
      </c>
      <c r="E2326" s="8">
        <v>3</v>
      </c>
      <c r="F2326" s="34">
        <f t="shared" si="1229"/>
        <v>61681</v>
      </c>
      <c r="G2326" s="34">
        <f t="shared" si="1229"/>
        <v>61681</v>
      </c>
      <c r="H2326" s="34">
        <f t="shared" si="1222"/>
        <v>2100</v>
      </c>
      <c r="I2326" s="34">
        <f t="shared" si="1222"/>
        <v>2100</v>
      </c>
      <c r="J2326" s="34">
        <f t="shared" si="1224"/>
        <v>72547</v>
      </c>
      <c r="K2326" s="133">
        <v>1000</v>
      </c>
      <c r="L2326" s="34"/>
      <c r="M2326" s="16">
        <f t="shared" si="1206"/>
        <v>7755.0582882451636</v>
      </c>
      <c r="N2326" s="36">
        <v>770</v>
      </c>
      <c r="O2326" s="36">
        <v>3</v>
      </c>
      <c r="P2326" s="73">
        <v>4633.3581806741668</v>
      </c>
      <c r="Q2326" s="2" t="s">
        <v>104</v>
      </c>
      <c r="S2326" s="36">
        <v>840</v>
      </c>
    </row>
    <row r="2327" spans="1:19" x14ac:dyDescent="0.2">
      <c r="A2327" s="8" t="str">
        <f t="shared" si="1227"/>
        <v>50010714</v>
      </c>
      <c r="B2327" s="8">
        <v>5001</v>
      </c>
      <c r="C2327" s="8">
        <v>7</v>
      </c>
      <c r="D2327" s="8" t="s">
        <v>62</v>
      </c>
      <c r="E2327" s="8">
        <v>4</v>
      </c>
      <c r="F2327" s="34">
        <f t="shared" si="1229"/>
        <v>82242</v>
      </c>
      <c r="G2327" s="34">
        <f t="shared" si="1229"/>
        <v>82242</v>
      </c>
      <c r="H2327" s="34">
        <f t="shared" si="1222"/>
        <v>2100</v>
      </c>
      <c r="I2327" s="34">
        <f t="shared" si="1222"/>
        <v>2100</v>
      </c>
      <c r="J2327" s="34">
        <f t="shared" si="1224"/>
        <v>94233</v>
      </c>
      <c r="K2327" s="133">
        <v>1000</v>
      </c>
      <c r="L2327" s="34"/>
      <c r="M2327" s="16">
        <f t="shared" si="1206"/>
        <v>10205.821651775032</v>
      </c>
      <c r="N2327" s="36">
        <v>760</v>
      </c>
      <c r="O2327" s="36">
        <v>4</v>
      </c>
      <c r="P2327" s="73">
        <v>4633.3581806741668</v>
      </c>
      <c r="Q2327" s="2" t="s">
        <v>104</v>
      </c>
      <c r="S2327" s="36">
        <v>840</v>
      </c>
    </row>
    <row r="2328" spans="1:19" x14ac:dyDescent="0.2">
      <c r="A2328" s="8" t="str">
        <f t="shared" si="1227"/>
        <v>50010810</v>
      </c>
      <c r="B2328" s="8">
        <v>5001</v>
      </c>
      <c r="C2328" s="8">
        <v>8</v>
      </c>
      <c r="D2328" s="8" t="s">
        <v>62</v>
      </c>
      <c r="E2328" s="8">
        <v>0</v>
      </c>
      <c r="F2328" s="34">
        <f>ROUNDDOWN($P2328/4*$O2328*10*$N2328/$N2328*$Q2328/400,0)</f>
        <v>10708</v>
      </c>
      <c r="G2328" s="34">
        <f>ROUNDDOWN($P2328/4*$O2328*10*$N2328/$N2328*$Q2328/400,0)</f>
        <v>10708</v>
      </c>
      <c r="H2328" s="34">
        <f t="shared" si="1222"/>
        <v>2400</v>
      </c>
      <c r="I2328" s="34">
        <f t="shared" si="1222"/>
        <v>2400</v>
      </c>
      <c r="J2328" s="34">
        <f>ROUNDDOWN($P2328/4*$O2328*10*$N2328/$Q2328*$N2328/400,0)</f>
        <v>13595</v>
      </c>
      <c r="K2328" s="133">
        <v>1000</v>
      </c>
      <c r="L2328" s="34"/>
      <c r="M2328" s="16">
        <f t="shared" si="1206"/>
        <v>1495.3380867215283</v>
      </c>
      <c r="N2328" s="36">
        <v>800</v>
      </c>
      <c r="O2328" s="36">
        <v>0.5</v>
      </c>
      <c r="P2328" s="73">
        <v>4826.4147715355903</v>
      </c>
      <c r="Q2328" s="2" t="s">
        <v>104</v>
      </c>
      <c r="S2328" s="36">
        <v>960</v>
      </c>
    </row>
    <row r="2329" spans="1:19" x14ac:dyDescent="0.2">
      <c r="A2329" s="8" t="str">
        <f t="shared" si="1227"/>
        <v>50010811</v>
      </c>
      <c r="B2329" s="8">
        <v>5001</v>
      </c>
      <c r="C2329" s="8">
        <v>8</v>
      </c>
      <c r="D2329" s="8" t="s">
        <v>62</v>
      </c>
      <c r="E2329" s="8">
        <v>1</v>
      </c>
      <c r="F2329" s="34">
        <f t="shared" ref="F2329:G2332" si="1230">ROUNDDOWN($P2329/4*$O2329*10*$N2329/$N2329*$Q2329/400,0)</f>
        <v>21417</v>
      </c>
      <c r="G2329" s="34">
        <f t="shared" si="1230"/>
        <v>21417</v>
      </c>
      <c r="H2329" s="34">
        <f t="shared" si="1222"/>
        <v>2400</v>
      </c>
      <c r="I2329" s="34">
        <f t="shared" si="1222"/>
        <v>2400</v>
      </c>
      <c r="J2329" s="34">
        <f t="shared" si="1224"/>
        <v>26515</v>
      </c>
      <c r="K2329" s="133">
        <v>1000</v>
      </c>
      <c r="L2329" s="34"/>
      <c r="M2329" s="16">
        <f t="shared" si="1206"/>
        <v>2953.3896046407426</v>
      </c>
      <c r="N2329" s="36">
        <v>790</v>
      </c>
      <c r="O2329" s="36">
        <v>1</v>
      </c>
      <c r="P2329" s="73">
        <v>4826.4147715355903</v>
      </c>
      <c r="Q2329" s="2" t="s">
        <v>104</v>
      </c>
      <c r="S2329" s="36">
        <v>960</v>
      </c>
    </row>
    <row r="2330" spans="1:19" x14ac:dyDescent="0.2">
      <c r="A2330" s="8" t="str">
        <f t="shared" si="1227"/>
        <v>50010812</v>
      </c>
      <c r="B2330" s="8">
        <v>5001</v>
      </c>
      <c r="C2330" s="8">
        <v>8</v>
      </c>
      <c r="D2330" s="8" t="s">
        <v>62</v>
      </c>
      <c r="E2330" s="8">
        <v>2</v>
      </c>
      <c r="F2330" s="34">
        <f t="shared" si="1230"/>
        <v>42834</v>
      </c>
      <c r="G2330" s="34">
        <f t="shared" si="1230"/>
        <v>42834</v>
      </c>
      <c r="H2330" s="34">
        <f t="shared" si="1222"/>
        <v>2400</v>
      </c>
      <c r="I2330" s="34">
        <f t="shared" si="1222"/>
        <v>2400</v>
      </c>
      <c r="J2330" s="34">
        <f t="shared" si="1224"/>
        <v>51697</v>
      </c>
      <c r="K2330" s="133">
        <v>1000</v>
      </c>
      <c r="L2330" s="34"/>
      <c r="M2330" s="16">
        <f t="shared" si="1206"/>
        <v>5832.068210959128</v>
      </c>
      <c r="N2330" s="36">
        <v>780</v>
      </c>
      <c r="O2330" s="36">
        <v>2</v>
      </c>
      <c r="P2330" s="73">
        <v>4826.4147715355903</v>
      </c>
      <c r="Q2330" s="2" t="s">
        <v>104</v>
      </c>
      <c r="S2330" s="36">
        <v>960</v>
      </c>
    </row>
    <row r="2331" spans="1:19" x14ac:dyDescent="0.2">
      <c r="A2331" s="8" t="str">
        <f t="shared" si="1227"/>
        <v>50010813</v>
      </c>
      <c r="B2331" s="8">
        <v>5001</v>
      </c>
      <c r="C2331" s="8">
        <v>8</v>
      </c>
      <c r="D2331" s="8" t="s">
        <v>62</v>
      </c>
      <c r="E2331" s="8">
        <v>3</v>
      </c>
      <c r="F2331" s="34">
        <f t="shared" si="1230"/>
        <v>64251</v>
      </c>
      <c r="G2331" s="34">
        <f t="shared" si="1230"/>
        <v>64251</v>
      </c>
      <c r="H2331" s="34">
        <f t="shared" si="1222"/>
        <v>2400</v>
      </c>
      <c r="I2331" s="34">
        <f t="shared" si="1222"/>
        <v>2400</v>
      </c>
      <c r="J2331" s="34">
        <f t="shared" si="1224"/>
        <v>75569</v>
      </c>
      <c r="K2331" s="133">
        <v>1000</v>
      </c>
      <c r="L2331" s="34"/>
      <c r="M2331" s="16">
        <f t="shared" si="1206"/>
        <v>8635.89575318276</v>
      </c>
      <c r="N2331" s="36">
        <v>770</v>
      </c>
      <c r="O2331" s="36">
        <v>3</v>
      </c>
      <c r="P2331" s="73">
        <v>4826.4147715355903</v>
      </c>
      <c r="Q2331" s="2" t="s">
        <v>104</v>
      </c>
      <c r="S2331" s="36">
        <v>960</v>
      </c>
    </row>
    <row r="2332" spans="1:19" x14ac:dyDescent="0.2">
      <c r="A2332" s="8" t="str">
        <f t="shared" si="1227"/>
        <v>50010814</v>
      </c>
      <c r="B2332" s="8">
        <v>5001</v>
      </c>
      <c r="C2332" s="8">
        <v>8</v>
      </c>
      <c r="D2332" s="8" t="s">
        <v>62</v>
      </c>
      <c r="E2332" s="8">
        <v>4</v>
      </c>
      <c r="F2332" s="34">
        <f t="shared" si="1230"/>
        <v>85668</v>
      </c>
      <c r="G2332" s="34">
        <f t="shared" si="1230"/>
        <v>85668</v>
      </c>
      <c r="H2332" s="34">
        <f t="shared" si="1222"/>
        <v>2400</v>
      </c>
      <c r="I2332" s="34">
        <f t="shared" si="1222"/>
        <v>2400</v>
      </c>
      <c r="J2332" s="34">
        <f t="shared" si="1224"/>
        <v>98159</v>
      </c>
      <c r="K2332" s="133">
        <v>1000</v>
      </c>
      <c r="L2332" s="34"/>
      <c r="M2332" s="16">
        <f t="shared" si="1206"/>
        <v>11365.014247959394</v>
      </c>
      <c r="N2332" s="36">
        <v>760</v>
      </c>
      <c r="O2332" s="36">
        <v>4</v>
      </c>
      <c r="P2332" s="73">
        <v>4826.4147715355903</v>
      </c>
      <c r="Q2332" s="2" t="s">
        <v>104</v>
      </c>
      <c r="S2332" s="36">
        <v>960</v>
      </c>
    </row>
    <row r="2333" spans="1:19" x14ac:dyDescent="0.2">
      <c r="A2333" s="8" t="str">
        <f t="shared" si="1227"/>
        <v>50010910</v>
      </c>
      <c r="B2333" s="8">
        <v>5001</v>
      </c>
      <c r="C2333" s="8">
        <v>9</v>
      </c>
      <c r="D2333" s="8" t="s">
        <v>62</v>
      </c>
      <c r="E2333" s="8">
        <v>0</v>
      </c>
      <c r="F2333" s="34">
        <f>ROUNDDOWN($P2333/4*$O2333*10*$N2333/$N2333*$Q2333/400,0)</f>
        <v>11154</v>
      </c>
      <c r="G2333" s="34">
        <f>ROUNDDOWN($P2333/4*$O2333*10*$N2333/$N2333*$Q2333/400,0)</f>
        <v>11154</v>
      </c>
      <c r="H2333" s="34">
        <f t="shared" si="1222"/>
        <v>2400</v>
      </c>
      <c r="I2333" s="34">
        <f t="shared" si="1222"/>
        <v>2400</v>
      </c>
      <c r="J2333" s="34">
        <f>ROUNDDOWN($P2333/4*$O2333*10*$N2333/$Q2333*$N2333/400,0)</f>
        <v>14162</v>
      </c>
      <c r="K2333" s="133">
        <v>1000</v>
      </c>
      <c r="L2333" s="34"/>
      <c r="M2333" s="16">
        <f t="shared" ref="M2333:M2398" si="1231">(F2333*J2333*((H2333+I2333)/2)/1000)^(1/2)/10*0.8</f>
        <v>1557.6619919867085</v>
      </c>
      <c r="N2333" s="36">
        <v>800</v>
      </c>
      <c r="O2333" s="36">
        <v>0.5</v>
      </c>
      <c r="P2333" s="73">
        <v>5027.5153870162403</v>
      </c>
      <c r="Q2333" s="2" t="s">
        <v>104</v>
      </c>
      <c r="S2333" s="36">
        <v>960</v>
      </c>
    </row>
    <row r="2334" spans="1:19" x14ac:dyDescent="0.2">
      <c r="A2334" s="8" t="str">
        <f t="shared" si="1227"/>
        <v>50010911</v>
      </c>
      <c r="B2334" s="8">
        <v>5001</v>
      </c>
      <c r="C2334" s="8">
        <v>9</v>
      </c>
      <c r="D2334" s="8" t="s">
        <v>62</v>
      </c>
      <c r="E2334" s="8">
        <v>1</v>
      </c>
      <c r="F2334" s="34">
        <f t="shared" ref="F2334:G2337" si="1232">ROUNDDOWN($P2334/4*$O2334*10*$N2334/$N2334*$Q2334/400,0)</f>
        <v>22309</v>
      </c>
      <c r="G2334" s="34">
        <f t="shared" si="1232"/>
        <v>22309</v>
      </c>
      <c r="H2334" s="34">
        <f t="shared" si="1222"/>
        <v>2400</v>
      </c>
      <c r="I2334" s="34">
        <f t="shared" si="1222"/>
        <v>2400</v>
      </c>
      <c r="J2334" s="34">
        <f t="shared" si="1224"/>
        <v>27620</v>
      </c>
      <c r="K2334" s="133">
        <v>1000</v>
      </c>
      <c r="L2334" s="34"/>
      <c r="M2334" s="16">
        <f t="shared" si="1231"/>
        <v>3076.4332511530301</v>
      </c>
      <c r="N2334" s="36">
        <v>790</v>
      </c>
      <c r="O2334" s="36">
        <v>1</v>
      </c>
      <c r="P2334" s="73">
        <v>5027.5153870162403</v>
      </c>
      <c r="Q2334" s="2" t="s">
        <v>104</v>
      </c>
      <c r="S2334" s="36">
        <v>960</v>
      </c>
    </row>
    <row r="2335" spans="1:19" x14ac:dyDescent="0.2">
      <c r="A2335" s="8" t="str">
        <f t="shared" si="1227"/>
        <v>50010912</v>
      </c>
      <c r="B2335" s="8">
        <v>5001</v>
      </c>
      <c r="C2335" s="8">
        <v>9</v>
      </c>
      <c r="D2335" s="8" t="s">
        <v>62</v>
      </c>
      <c r="E2335" s="8">
        <v>2</v>
      </c>
      <c r="F2335" s="34">
        <f t="shared" si="1232"/>
        <v>44619</v>
      </c>
      <c r="G2335" s="34">
        <f t="shared" si="1232"/>
        <v>44619</v>
      </c>
      <c r="H2335" s="34">
        <f t="shared" si="1222"/>
        <v>2400</v>
      </c>
      <c r="I2335" s="34">
        <f t="shared" si="1222"/>
        <v>2400</v>
      </c>
      <c r="J2335" s="34">
        <f t="shared" si="1224"/>
        <v>53851</v>
      </c>
      <c r="K2335" s="133">
        <v>1000</v>
      </c>
      <c r="L2335" s="34"/>
      <c r="M2335" s="16">
        <f t="shared" si="1231"/>
        <v>6075.0857221803881</v>
      </c>
      <c r="N2335" s="36">
        <v>780</v>
      </c>
      <c r="O2335" s="36">
        <v>2</v>
      </c>
      <c r="P2335" s="73">
        <v>5027.5153870162403</v>
      </c>
      <c r="Q2335" s="2" t="s">
        <v>104</v>
      </c>
      <c r="S2335" s="36">
        <v>960</v>
      </c>
    </row>
    <row r="2336" spans="1:19" x14ac:dyDescent="0.2">
      <c r="A2336" s="8" t="str">
        <f t="shared" si="1227"/>
        <v>50010913</v>
      </c>
      <c r="B2336" s="8">
        <v>5001</v>
      </c>
      <c r="C2336" s="8">
        <v>9</v>
      </c>
      <c r="D2336" s="8" t="s">
        <v>62</v>
      </c>
      <c r="E2336" s="8">
        <v>3</v>
      </c>
      <c r="F2336" s="34">
        <f t="shared" si="1232"/>
        <v>66928</v>
      </c>
      <c r="G2336" s="34">
        <f t="shared" si="1232"/>
        <v>66928</v>
      </c>
      <c r="H2336" s="34">
        <f t="shared" si="1222"/>
        <v>2400</v>
      </c>
      <c r="I2336" s="34">
        <f t="shared" si="1222"/>
        <v>2400</v>
      </c>
      <c r="J2336" s="34">
        <f t="shared" si="1224"/>
        <v>78718</v>
      </c>
      <c r="K2336" s="133">
        <v>1000</v>
      </c>
      <c r="L2336" s="34"/>
      <c r="M2336" s="16">
        <f t="shared" si="1231"/>
        <v>8995.7330079010244</v>
      </c>
      <c r="N2336" s="36">
        <v>770</v>
      </c>
      <c r="O2336" s="36">
        <v>3</v>
      </c>
      <c r="P2336" s="73">
        <v>5027.5153870162403</v>
      </c>
      <c r="Q2336" s="2" t="s">
        <v>104</v>
      </c>
      <c r="S2336" s="36">
        <v>960</v>
      </c>
    </row>
    <row r="2337" spans="1:19" x14ac:dyDescent="0.2">
      <c r="A2337" s="8" t="str">
        <f t="shared" si="1227"/>
        <v>50010914</v>
      </c>
      <c r="B2337" s="8">
        <v>5001</v>
      </c>
      <c r="C2337" s="8">
        <v>9</v>
      </c>
      <c r="D2337" s="8" t="s">
        <v>62</v>
      </c>
      <c r="E2337" s="8">
        <v>4</v>
      </c>
      <c r="F2337" s="34">
        <f t="shared" si="1232"/>
        <v>89238</v>
      </c>
      <c r="G2337" s="34">
        <f t="shared" si="1232"/>
        <v>89238</v>
      </c>
      <c r="H2337" s="34">
        <f t="shared" si="1222"/>
        <v>2400</v>
      </c>
      <c r="I2337" s="34">
        <f t="shared" si="1222"/>
        <v>2400</v>
      </c>
      <c r="J2337" s="34">
        <f t="shared" si="1224"/>
        <v>102249</v>
      </c>
      <c r="K2337" s="133">
        <v>1000</v>
      </c>
      <c r="L2337" s="34"/>
      <c r="M2337" s="16">
        <f t="shared" si="1231"/>
        <v>11838.592086237282</v>
      </c>
      <c r="N2337" s="36">
        <v>760</v>
      </c>
      <c r="O2337" s="36">
        <v>4</v>
      </c>
      <c r="P2337" s="73">
        <v>5027.5153870162403</v>
      </c>
      <c r="Q2337" s="2" t="s">
        <v>104</v>
      </c>
      <c r="S2337" s="36">
        <v>960</v>
      </c>
    </row>
    <row r="2338" spans="1:19" x14ac:dyDescent="0.2">
      <c r="A2338" s="8" t="str">
        <f t="shared" si="1227"/>
        <v>50011010</v>
      </c>
      <c r="B2338" s="18">
        <v>5001</v>
      </c>
      <c r="C2338" s="18">
        <v>10</v>
      </c>
      <c r="D2338" s="18" t="s">
        <v>62</v>
      </c>
      <c r="E2338" s="18">
        <v>0</v>
      </c>
      <c r="F2338" s="19">
        <f>ROUNDDOWN($P2338/4*$O2338*10*$N2338/$N2338*$Q2338/400,0)</f>
        <v>11963</v>
      </c>
      <c r="G2338" s="19">
        <f>ROUNDDOWN($P2338/4*$O2338*10*$N2338/$N2338*$Q2338/400,0)</f>
        <v>11963</v>
      </c>
      <c r="H2338" s="19">
        <f t="shared" si="1222"/>
        <v>1800</v>
      </c>
      <c r="I2338" s="19">
        <f t="shared" si="1222"/>
        <v>1800</v>
      </c>
      <c r="J2338" s="19">
        <f>ROUNDDOWN($P2338/4*$O2338*10*$N2338/$Q2338*$N2338/400,0)</f>
        <v>18134</v>
      </c>
      <c r="K2338" s="133">
        <v>1000</v>
      </c>
      <c r="L2338" s="19"/>
      <c r="M2338" s="16">
        <f t="shared" si="1231"/>
        <v>1580.8588563942071</v>
      </c>
      <c r="N2338" s="58">
        <v>900</v>
      </c>
      <c r="O2338" s="58">
        <v>0.5</v>
      </c>
      <c r="P2338" s="73">
        <v>5236.9951948085836</v>
      </c>
      <c r="Q2338" s="41" t="s">
        <v>124</v>
      </c>
      <c r="R2338" s="41"/>
      <c r="S2338" s="58">
        <v>720</v>
      </c>
    </row>
    <row r="2339" spans="1:19" x14ac:dyDescent="0.2">
      <c r="A2339" s="8" t="str">
        <f t="shared" si="1227"/>
        <v>50011011</v>
      </c>
      <c r="B2339" s="18">
        <v>5001</v>
      </c>
      <c r="C2339" s="18">
        <v>10</v>
      </c>
      <c r="D2339" s="18" t="s">
        <v>62</v>
      </c>
      <c r="E2339" s="18">
        <v>1</v>
      </c>
      <c r="F2339" s="19">
        <f t="shared" ref="F2339:G2342" si="1233">ROUNDDOWN($P2339/4*$O2339*10*$N2339/$N2339*$Q2339/400,0)</f>
        <v>23926</v>
      </c>
      <c r="G2339" s="19">
        <f t="shared" si="1233"/>
        <v>23926</v>
      </c>
      <c r="H2339" s="19">
        <f t="shared" si="1222"/>
        <v>1800</v>
      </c>
      <c r="I2339" s="19">
        <f t="shared" si="1222"/>
        <v>1800</v>
      </c>
      <c r="J2339" s="19">
        <f t="shared" si="1224"/>
        <v>34674</v>
      </c>
      <c r="K2339" s="133">
        <v>1000</v>
      </c>
      <c r="L2339" s="19"/>
      <c r="M2339" s="16">
        <f t="shared" si="1231"/>
        <v>3091.4573631994349</v>
      </c>
      <c r="N2339" s="58">
        <v>880</v>
      </c>
      <c r="O2339" s="58">
        <v>1</v>
      </c>
      <c r="P2339" s="73">
        <v>5236.9951948085836</v>
      </c>
      <c r="Q2339" s="41" t="s">
        <v>124</v>
      </c>
      <c r="R2339" s="41"/>
      <c r="S2339" s="58">
        <v>720</v>
      </c>
    </row>
    <row r="2340" spans="1:19" x14ac:dyDescent="0.2">
      <c r="A2340" s="8" t="str">
        <f t="shared" si="1227"/>
        <v>50011012</v>
      </c>
      <c r="B2340" s="18">
        <v>5001</v>
      </c>
      <c r="C2340" s="18">
        <v>10</v>
      </c>
      <c r="D2340" s="18" t="s">
        <v>62</v>
      </c>
      <c r="E2340" s="18">
        <v>2</v>
      </c>
      <c r="F2340" s="19">
        <f t="shared" si="1233"/>
        <v>47853</v>
      </c>
      <c r="G2340" s="19">
        <f t="shared" si="1233"/>
        <v>47853</v>
      </c>
      <c r="H2340" s="19">
        <f t="shared" si="1222"/>
        <v>1800</v>
      </c>
      <c r="I2340" s="19">
        <f t="shared" si="1222"/>
        <v>1800</v>
      </c>
      <c r="J2340" s="19">
        <f t="shared" si="1224"/>
        <v>66232</v>
      </c>
      <c r="K2340" s="133">
        <v>1000</v>
      </c>
      <c r="L2340" s="19"/>
      <c r="M2340" s="16">
        <f t="shared" si="1231"/>
        <v>6042.4735665056905</v>
      </c>
      <c r="N2340" s="58">
        <v>860</v>
      </c>
      <c r="O2340" s="58">
        <v>2</v>
      </c>
      <c r="P2340" s="73">
        <v>5236.9951948085836</v>
      </c>
      <c r="Q2340" s="41" t="s">
        <v>124</v>
      </c>
      <c r="R2340" s="41"/>
      <c r="S2340" s="58">
        <v>720</v>
      </c>
    </row>
    <row r="2341" spans="1:19" x14ac:dyDescent="0.2">
      <c r="A2341" s="8" t="str">
        <f t="shared" si="1227"/>
        <v>50011013</v>
      </c>
      <c r="B2341" s="18">
        <v>5001</v>
      </c>
      <c r="C2341" s="18">
        <v>10</v>
      </c>
      <c r="D2341" s="18" t="s">
        <v>62</v>
      </c>
      <c r="E2341" s="18">
        <v>3</v>
      </c>
      <c r="F2341" s="19">
        <f t="shared" si="1233"/>
        <v>71779</v>
      </c>
      <c r="G2341" s="19">
        <f t="shared" si="1233"/>
        <v>71779</v>
      </c>
      <c r="H2341" s="19">
        <f t="shared" si="1222"/>
        <v>1800</v>
      </c>
      <c r="I2341" s="19">
        <f t="shared" si="1222"/>
        <v>1800</v>
      </c>
      <c r="J2341" s="19">
        <f t="shared" si="1224"/>
        <v>94781</v>
      </c>
      <c r="K2341" s="133">
        <v>1000</v>
      </c>
      <c r="L2341" s="19"/>
      <c r="M2341" s="16">
        <f t="shared" si="1231"/>
        <v>8852.9005301358739</v>
      </c>
      <c r="N2341" s="58">
        <v>840</v>
      </c>
      <c r="O2341" s="58">
        <v>3</v>
      </c>
      <c r="P2341" s="73">
        <v>5236.9951948085836</v>
      </c>
      <c r="Q2341" s="41" t="s">
        <v>124</v>
      </c>
      <c r="R2341" s="41"/>
      <c r="S2341" s="58">
        <v>720</v>
      </c>
    </row>
    <row r="2342" spans="1:19" x14ac:dyDescent="0.2">
      <c r="A2342" s="8" t="str">
        <f t="shared" si="1227"/>
        <v>50011014</v>
      </c>
      <c r="B2342" s="18">
        <v>5001</v>
      </c>
      <c r="C2342" s="18">
        <v>10</v>
      </c>
      <c r="D2342" s="18" t="s">
        <v>62</v>
      </c>
      <c r="E2342" s="18">
        <v>4</v>
      </c>
      <c r="F2342" s="19">
        <f t="shared" si="1233"/>
        <v>95706</v>
      </c>
      <c r="G2342" s="19">
        <f t="shared" si="1233"/>
        <v>95706</v>
      </c>
      <c r="H2342" s="19">
        <f t="shared" si="1222"/>
        <v>1800</v>
      </c>
      <c r="I2342" s="19">
        <f t="shared" si="1222"/>
        <v>1800</v>
      </c>
      <c r="J2342" s="19">
        <f t="shared" si="1224"/>
        <v>120429</v>
      </c>
      <c r="K2342" s="133">
        <v>1000</v>
      </c>
      <c r="L2342" s="19"/>
      <c r="M2342" s="16">
        <f t="shared" si="1231"/>
        <v>11522.888574853096</v>
      </c>
      <c r="N2342" s="58">
        <v>820</v>
      </c>
      <c r="O2342" s="58">
        <v>4</v>
      </c>
      <c r="P2342" s="73">
        <v>5236.9951948085836</v>
      </c>
      <c r="Q2342" s="41" t="s">
        <v>124</v>
      </c>
      <c r="R2342" s="41"/>
      <c r="S2342" s="58">
        <v>720</v>
      </c>
    </row>
    <row r="2343" spans="1:19" x14ac:dyDescent="0.2">
      <c r="A2343" s="125" t="str">
        <f t="shared" si="1227"/>
        <v>50011015</v>
      </c>
      <c r="B2343" s="125">
        <v>5001</v>
      </c>
      <c r="C2343" s="125">
        <v>10</v>
      </c>
      <c r="D2343" s="125" t="s">
        <v>62</v>
      </c>
      <c r="E2343" s="125">
        <v>5</v>
      </c>
      <c r="F2343" s="126">
        <f>ROUNDDOWN($P2343/4*$O2343*10*$N2343/$N2343*$Q2343/400,0)</f>
        <v>32895</v>
      </c>
      <c r="G2343" s="126">
        <f>ROUNDDOWN($P2343/4*$O2343*10*$N2343/$N2343*$Q2343/400,0)</f>
        <v>32895</v>
      </c>
      <c r="H2343" s="126">
        <f t="shared" si="1222"/>
        <v>1800</v>
      </c>
      <c r="I2343" s="126">
        <f t="shared" si="1222"/>
        <v>1800</v>
      </c>
      <c r="J2343" s="126">
        <f>ROUNDDOWN($P2343/4*$O2343*10*$N2343/$Q2343*$N2343/400,0)</f>
        <v>55557</v>
      </c>
      <c r="K2343" s="133">
        <v>1000</v>
      </c>
      <c r="L2343" s="126"/>
      <c r="M2343" s="127">
        <f t="shared" si="1231"/>
        <v>4588.3926785749281</v>
      </c>
      <c r="N2343" s="128">
        <v>950</v>
      </c>
      <c r="O2343" s="128">
        <v>2</v>
      </c>
      <c r="P2343" s="129">
        <v>3600</v>
      </c>
      <c r="Q2343" s="130" t="s">
        <v>103</v>
      </c>
      <c r="R2343" s="130"/>
      <c r="S2343" s="128">
        <v>720</v>
      </c>
    </row>
    <row r="2344" spans="1:19" x14ac:dyDescent="0.2">
      <c r="A2344" s="8" t="str">
        <f t="shared" si="1227"/>
        <v>50011110</v>
      </c>
      <c r="B2344" s="8">
        <v>5001</v>
      </c>
      <c r="C2344" s="8">
        <v>11</v>
      </c>
      <c r="D2344" s="8" t="s">
        <v>62</v>
      </c>
      <c r="E2344" s="8">
        <v>0</v>
      </c>
      <c r="F2344" s="34">
        <f>ROUNDDOWN($P2344/4*$O2344*10*$N2344/$N2344*$Q2344/400,0)</f>
        <v>12461</v>
      </c>
      <c r="G2344" s="34">
        <f>ROUNDDOWN($P2344/4*$O2344*10*$N2344/$N2344*$Q2344/400,0)</f>
        <v>12461</v>
      </c>
      <c r="H2344" s="34">
        <f t="shared" si="1222"/>
        <v>2700</v>
      </c>
      <c r="I2344" s="34">
        <f t="shared" si="1222"/>
        <v>2700</v>
      </c>
      <c r="J2344" s="34">
        <f>ROUNDDOWN($P2344/4*$O2344*10*$N2344/$Q2344*$N2344/400,0)</f>
        <v>18889</v>
      </c>
      <c r="K2344" s="133">
        <v>1000</v>
      </c>
      <c r="L2344" s="34"/>
      <c r="M2344" s="16">
        <f t="shared" si="1231"/>
        <v>2016.7534120759535</v>
      </c>
      <c r="N2344" s="36">
        <v>900</v>
      </c>
      <c r="O2344" s="36">
        <v>0.5</v>
      </c>
      <c r="P2344" s="73">
        <v>5455.2033279256075</v>
      </c>
      <c r="Q2344" s="2" t="s">
        <v>124</v>
      </c>
      <c r="S2344" s="36">
        <v>1080</v>
      </c>
    </row>
    <row r="2345" spans="1:19" x14ac:dyDescent="0.2">
      <c r="A2345" s="8" t="str">
        <f t="shared" si="1227"/>
        <v>50011111</v>
      </c>
      <c r="B2345" s="8">
        <v>5001</v>
      </c>
      <c r="C2345" s="8">
        <v>11</v>
      </c>
      <c r="D2345" s="8" t="s">
        <v>62</v>
      </c>
      <c r="E2345" s="8">
        <v>1</v>
      </c>
      <c r="F2345" s="34">
        <f t="shared" ref="F2345:G2348" si="1234">ROUNDDOWN($P2345/4*$O2345*10*$N2345/$N2345*$Q2345/400,0)</f>
        <v>24923</v>
      </c>
      <c r="G2345" s="34">
        <f t="shared" si="1234"/>
        <v>24923</v>
      </c>
      <c r="H2345" s="34">
        <f t="shared" si="1222"/>
        <v>2700</v>
      </c>
      <c r="I2345" s="34">
        <f t="shared" si="1222"/>
        <v>2700</v>
      </c>
      <c r="J2345" s="34">
        <f t="shared" si="1224"/>
        <v>36119</v>
      </c>
      <c r="K2345" s="133">
        <v>1000</v>
      </c>
      <c r="L2345" s="34"/>
      <c r="M2345" s="16">
        <f t="shared" si="1231"/>
        <v>3944.027066763108</v>
      </c>
      <c r="N2345" s="36">
        <v>880</v>
      </c>
      <c r="O2345" s="36">
        <v>1</v>
      </c>
      <c r="P2345" s="73">
        <v>5455.2033279256075</v>
      </c>
      <c r="Q2345" s="2" t="s">
        <v>124</v>
      </c>
      <c r="S2345" s="36">
        <v>1080</v>
      </c>
    </row>
    <row r="2346" spans="1:19" x14ac:dyDescent="0.2">
      <c r="A2346" s="8" t="str">
        <f t="shared" si="1227"/>
        <v>50011112</v>
      </c>
      <c r="B2346" s="8">
        <v>5001</v>
      </c>
      <c r="C2346" s="8">
        <v>11</v>
      </c>
      <c r="D2346" s="8" t="s">
        <v>62</v>
      </c>
      <c r="E2346" s="8">
        <v>2</v>
      </c>
      <c r="F2346" s="34">
        <f t="shared" si="1234"/>
        <v>49846</v>
      </c>
      <c r="G2346" s="34">
        <f t="shared" si="1234"/>
        <v>49846</v>
      </c>
      <c r="H2346" s="34">
        <f t="shared" si="1222"/>
        <v>2700</v>
      </c>
      <c r="I2346" s="34">
        <f t="shared" si="1222"/>
        <v>2700</v>
      </c>
      <c r="J2346" s="34">
        <f t="shared" si="1224"/>
        <v>68992</v>
      </c>
      <c r="K2346" s="133">
        <v>1000</v>
      </c>
      <c r="L2346" s="34"/>
      <c r="M2346" s="16">
        <f t="shared" si="1231"/>
        <v>7708.7931616408023</v>
      </c>
      <c r="N2346" s="36">
        <v>860</v>
      </c>
      <c r="O2346" s="36">
        <v>2</v>
      </c>
      <c r="P2346" s="73">
        <v>5455.2033279256075</v>
      </c>
      <c r="Q2346" s="2" t="s">
        <v>124</v>
      </c>
      <c r="S2346" s="36">
        <v>1080</v>
      </c>
    </row>
    <row r="2347" spans="1:19" x14ac:dyDescent="0.2">
      <c r="A2347" s="8" t="str">
        <f t="shared" si="1227"/>
        <v>50011113</v>
      </c>
      <c r="B2347" s="8">
        <v>5001</v>
      </c>
      <c r="C2347" s="8">
        <v>11</v>
      </c>
      <c r="D2347" s="8" t="s">
        <v>62</v>
      </c>
      <c r="E2347" s="8">
        <v>3</v>
      </c>
      <c r="F2347" s="34">
        <f t="shared" si="1234"/>
        <v>74770</v>
      </c>
      <c r="G2347" s="34">
        <f t="shared" si="1234"/>
        <v>74770</v>
      </c>
      <c r="H2347" s="34">
        <f t="shared" si="1222"/>
        <v>2700</v>
      </c>
      <c r="I2347" s="34">
        <f t="shared" si="1222"/>
        <v>2700</v>
      </c>
      <c r="J2347" s="34">
        <f t="shared" si="1224"/>
        <v>98730</v>
      </c>
      <c r="K2347" s="133">
        <v>1000</v>
      </c>
      <c r="L2347" s="34"/>
      <c r="M2347" s="16">
        <f t="shared" si="1231"/>
        <v>11294.321028198197</v>
      </c>
      <c r="N2347" s="36">
        <v>840</v>
      </c>
      <c r="O2347" s="36">
        <v>3</v>
      </c>
      <c r="P2347" s="73">
        <v>5455.2033279256075</v>
      </c>
      <c r="Q2347" s="2" t="s">
        <v>124</v>
      </c>
      <c r="S2347" s="36">
        <v>1080</v>
      </c>
    </row>
    <row r="2348" spans="1:19" x14ac:dyDescent="0.2">
      <c r="A2348" s="8" t="str">
        <f t="shared" si="1227"/>
        <v>50011114</v>
      </c>
      <c r="B2348" s="8">
        <v>5001</v>
      </c>
      <c r="C2348" s="8">
        <v>11</v>
      </c>
      <c r="D2348" s="8" t="s">
        <v>62</v>
      </c>
      <c r="E2348" s="8">
        <v>4</v>
      </c>
      <c r="F2348" s="34">
        <f t="shared" si="1234"/>
        <v>99693</v>
      </c>
      <c r="G2348" s="34">
        <f t="shared" si="1234"/>
        <v>99693</v>
      </c>
      <c r="H2348" s="34">
        <f t="shared" si="1222"/>
        <v>2700</v>
      </c>
      <c r="I2348" s="34">
        <f t="shared" si="1222"/>
        <v>2700</v>
      </c>
      <c r="J2348" s="34">
        <f t="shared" si="1224"/>
        <v>125447</v>
      </c>
      <c r="K2348" s="133">
        <v>1000</v>
      </c>
      <c r="L2348" s="34"/>
      <c r="M2348" s="16">
        <f t="shared" si="1231"/>
        <v>14700.575658214204</v>
      </c>
      <c r="N2348" s="36">
        <v>820</v>
      </c>
      <c r="O2348" s="36">
        <v>4</v>
      </c>
      <c r="P2348" s="73">
        <v>5455.2033279256075</v>
      </c>
      <c r="Q2348" s="2" t="s">
        <v>124</v>
      </c>
      <c r="S2348" s="36">
        <v>1080</v>
      </c>
    </row>
    <row r="2349" spans="1:19" x14ac:dyDescent="0.2">
      <c r="A2349" s="8" t="str">
        <f t="shared" si="1227"/>
        <v>50011210</v>
      </c>
      <c r="B2349" s="8">
        <v>5001</v>
      </c>
      <c r="C2349" s="8">
        <v>12</v>
      </c>
      <c r="D2349" s="8" t="s">
        <v>62</v>
      </c>
      <c r="E2349" s="8">
        <v>0</v>
      </c>
      <c r="F2349" s="34">
        <f>ROUNDDOWN($P2349/4*$O2349*10*$N2349/$N2349*$Q2349/400,0)</f>
        <v>12980</v>
      </c>
      <c r="G2349" s="34">
        <f>ROUNDDOWN($P2349/4*$O2349*10*$N2349/$N2349*$Q2349/400,0)</f>
        <v>12980</v>
      </c>
      <c r="H2349" s="34">
        <f t="shared" si="1222"/>
        <v>2700</v>
      </c>
      <c r="I2349" s="34">
        <f t="shared" si="1222"/>
        <v>2700</v>
      </c>
      <c r="J2349" s="34">
        <f>ROUNDDOWN($P2349/4*$O2349*10*$N2349/$Q2349*$N2349/400,0)</f>
        <v>19676</v>
      </c>
      <c r="K2349" s="133">
        <v>1000</v>
      </c>
      <c r="L2349" s="34"/>
      <c r="M2349" s="16">
        <f t="shared" si="1231"/>
        <v>2100.7657209693803</v>
      </c>
      <c r="N2349" s="36">
        <v>900</v>
      </c>
      <c r="O2349" s="36">
        <v>0.5</v>
      </c>
      <c r="P2349" s="73">
        <v>5682.5034665891753</v>
      </c>
      <c r="Q2349" s="2" t="s">
        <v>124</v>
      </c>
      <c r="S2349" s="36">
        <v>1080</v>
      </c>
    </row>
    <row r="2350" spans="1:19" x14ac:dyDescent="0.2">
      <c r="A2350" s="8" t="str">
        <f t="shared" si="1227"/>
        <v>50011211</v>
      </c>
      <c r="B2350" s="8">
        <v>5001</v>
      </c>
      <c r="C2350" s="8">
        <v>12</v>
      </c>
      <c r="D2350" s="8" t="s">
        <v>62</v>
      </c>
      <c r="E2350" s="8">
        <v>1</v>
      </c>
      <c r="F2350" s="34">
        <f t="shared" ref="F2350:G2353" si="1235">ROUNDDOWN($P2350/4*$O2350*10*$N2350/$N2350*$Q2350/400,0)</f>
        <v>25961</v>
      </c>
      <c r="G2350" s="34">
        <f t="shared" si="1235"/>
        <v>25961</v>
      </c>
      <c r="H2350" s="34">
        <f t="shared" si="1222"/>
        <v>2700</v>
      </c>
      <c r="I2350" s="34">
        <f t="shared" si="1222"/>
        <v>2700</v>
      </c>
      <c r="J2350" s="34">
        <f t="shared" si="1224"/>
        <v>37624</v>
      </c>
      <c r="K2350" s="133">
        <v>1000</v>
      </c>
      <c r="L2350" s="34"/>
      <c r="M2350" s="16">
        <f t="shared" si="1231"/>
        <v>4108.3275373222132</v>
      </c>
      <c r="N2350" s="36">
        <v>880</v>
      </c>
      <c r="O2350" s="36">
        <v>1</v>
      </c>
      <c r="P2350" s="73">
        <v>5682.5034665891753</v>
      </c>
      <c r="Q2350" s="2" t="s">
        <v>124</v>
      </c>
      <c r="S2350" s="36">
        <v>1080</v>
      </c>
    </row>
    <row r="2351" spans="1:19" x14ac:dyDescent="0.2">
      <c r="A2351" s="8" t="str">
        <f t="shared" si="1227"/>
        <v>50011212</v>
      </c>
      <c r="B2351" s="8">
        <v>5001</v>
      </c>
      <c r="C2351" s="8">
        <v>12</v>
      </c>
      <c r="D2351" s="8" t="s">
        <v>62</v>
      </c>
      <c r="E2351" s="8">
        <v>2</v>
      </c>
      <c r="F2351" s="34">
        <f t="shared" si="1235"/>
        <v>51923</v>
      </c>
      <c r="G2351" s="34">
        <f t="shared" si="1235"/>
        <v>51923</v>
      </c>
      <c r="H2351" s="34">
        <f t="shared" si="1222"/>
        <v>2700</v>
      </c>
      <c r="I2351" s="34">
        <f t="shared" si="1222"/>
        <v>2700</v>
      </c>
      <c r="J2351" s="34">
        <f t="shared" si="1224"/>
        <v>71866</v>
      </c>
      <c r="K2351" s="133">
        <v>1000</v>
      </c>
      <c r="L2351" s="34"/>
      <c r="M2351" s="16">
        <f t="shared" si="1231"/>
        <v>8029.9620755667338</v>
      </c>
      <c r="N2351" s="36">
        <v>860</v>
      </c>
      <c r="O2351" s="36">
        <v>2</v>
      </c>
      <c r="P2351" s="73">
        <v>5682.5034665891753</v>
      </c>
      <c r="Q2351" s="2" t="s">
        <v>124</v>
      </c>
      <c r="S2351" s="36">
        <v>1080</v>
      </c>
    </row>
    <row r="2352" spans="1:19" x14ac:dyDescent="0.2">
      <c r="A2352" s="8" t="str">
        <f t="shared" si="1227"/>
        <v>50011213</v>
      </c>
      <c r="B2352" s="8">
        <v>5001</v>
      </c>
      <c r="C2352" s="8">
        <v>12</v>
      </c>
      <c r="D2352" s="8" t="s">
        <v>62</v>
      </c>
      <c r="E2352" s="8">
        <v>3</v>
      </c>
      <c r="F2352" s="34">
        <f t="shared" si="1235"/>
        <v>77885</v>
      </c>
      <c r="G2352" s="34">
        <f t="shared" si="1235"/>
        <v>77885</v>
      </c>
      <c r="H2352" s="34">
        <f t="shared" si="1222"/>
        <v>2700</v>
      </c>
      <c r="I2352" s="34">
        <f t="shared" si="1222"/>
        <v>2700</v>
      </c>
      <c r="J2352" s="34">
        <f t="shared" si="1224"/>
        <v>102844</v>
      </c>
      <c r="K2352" s="133">
        <v>1000</v>
      </c>
      <c r="L2352" s="34"/>
      <c r="M2352" s="16">
        <f t="shared" si="1231"/>
        <v>11764.900567501623</v>
      </c>
      <c r="N2352" s="36">
        <v>840</v>
      </c>
      <c r="O2352" s="36">
        <v>3</v>
      </c>
      <c r="P2352" s="73">
        <v>5682.5034665891753</v>
      </c>
      <c r="Q2352" s="2" t="s">
        <v>124</v>
      </c>
      <c r="S2352" s="36">
        <v>1080</v>
      </c>
    </row>
    <row r="2353" spans="1:19" x14ac:dyDescent="0.2">
      <c r="A2353" s="8" t="str">
        <f t="shared" si="1227"/>
        <v>50011214</v>
      </c>
      <c r="B2353" s="8">
        <v>5001</v>
      </c>
      <c r="C2353" s="8">
        <v>12</v>
      </c>
      <c r="D2353" s="8" t="s">
        <v>62</v>
      </c>
      <c r="E2353" s="8">
        <v>4</v>
      </c>
      <c r="F2353" s="34">
        <f t="shared" si="1235"/>
        <v>103847</v>
      </c>
      <c r="G2353" s="34">
        <f t="shared" si="1235"/>
        <v>103847</v>
      </c>
      <c r="H2353" s="34">
        <f t="shared" si="1222"/>
        <v>2700</v>
      </c>
      <c r="I2353" s="34">
        <f t="shared" si="1222"/>
        <v>2700</v>
      </c>
      <c r="J2353" s="34">
        <f t="shared" si="1224"/>
        <v>130674</v>
      </c>
      <c r="K2353" s="133">
        <v>1000</v>
      </c>
      <c r="L2353" s="34"/>
      <c r="M2353" s="16">
        <f t="shared" si="1231"/>
        <v>15313.111301490628</v>
      </c>
      <c r="N2353" s="36">
        <v>820</v>
      </c>
      <c r="O2353" s="36">
        <v>4</v>
      </c>
      <c r="P2353" s="73">
        <v>5682.5034665891753</v>
      </c>
      <c r="Q2353" s="2" t="s">
        <v>124</v>
      </c>
      <c r="S2353" s="36">
        <v>1080</v>
      </c>
    </row>
    <row r="2354" spans="1:19" x14ac:dyDescent="0.2">
      <c r="A2354" s="8" t="str">
        <f t="shared" si="1227"/>
        <v>50011310</v>
      </c>
      <c r="B2354" s="8">
        <v>5001</v>
      </c>
      <c r="C2354" s="8">
        <v>13</v>
      </c>
      <c r="D2354" s="8" t="s">
        <v>62</v>
      </c>
      <c r="E2354" s="8">
        <v>0</v>
      </c>
      <c r="F2354" s="34">
        <f>ROUNDDOWN($P2354/4*$O2354*10*$N2354/$N2354*$Q2354/400,0)</f>
        <v>13521</v>
      </c>
      <c r="G2354" s="34">
        <f>ROUNDDOWN($P2354/4*$O2354*10*$N2354/$N2354*$Q2354/400,0)</f>
        <v>13521</v>
      </c>
      <c r="H2354" s="34">
        <f t="shared" si="1222"/>
        <v>3000</v>
      </c>
      <c r="I2354" s="34">
        <f t="shared" si="1222"/>
        <v>3000</v>
      </c>
      <c r="J2354" s="34">
        <f>ROUNDDOWN($P2354/4*$O2354*10*$N2354/$Q2354*$N2354/400,0)</f>
        <v>20496</v>
      </c>
      <c r="K2354" s="133">
        <v>1000</v>
      </c>
      <c r="L2354" s="34"/>
      <c r="M2354" s="16">
        <f t="shared" si="1231"/>
        <v>2306.6918275313678</v>
      </c>
      <c r="N2354" s="36">
        <v>900</v>
      </c>
      <c r="O2354" s="36">
        <v>0.5</v>
      </c>
      <c r="P2354" s="73">
        <v>5919.2744443637239</v>
      </c>
      <c r="Q2354" s="2" t="s">
        <v>124</v>
      </c>
      <c r="S2354" s="36">
        <v>1200</v>
      </c>
    </row>
    <row r="2355" spans="1:19" x14ac:dyDescent="0.2">
      <c r="A2355" s="8" t="str">
        <f t="shared" si="1227"/>
        <v>50011311</v>
      </c>
      <c r="B2355" s="8">
        <v>5001</v>
      </c>
      <c r="C2355" s="8">
        <v>13</v>
      </c>
      <c r="D2355" s="8" t="s">
        <v>62</v>
      </c>
      <c r="E2355" s="8">
        <v>1</v>
      </c>
      <c r="F2355" s="34">
        <f t="shared" ref="F2355:G2358" si="1236">ROUNDDOWN($P2355/4*$O2355*10*$N2355/$N2355*$Q2355/400,0)</f>
        <v>27043</v>
      </c>
      <c r="G2355" s="34">
        <f t="shared" si="1236"/>
        <v>27043</v>
      </c>
      <c r="H2355" s="34">
        <f t="shared" si="1222"/>
        <v>3000</v>
      </c>
      <c r="I2355" s="34">
        <f t="shared" si="1222"/>
        <v>3000</v>
      </c>
      <c r="J2355" s="34">
        <f t="shared" si="1224"/>
        <v>39191</v>
      </c>
      <c r="K2355" s="133">
        <v>1000</v>
      </c>
      <c r="L2355" s="34"/>
      <c r="M2355" s="16">
        <f t="shared" si="1231"/>
        <v>4510.9833173710585</v>
      </c>
      <c r="N2355" s="36">
        <v>880</v>
      </c>
      <c r="O2355" s="36">
        <v>1</v>
      </c>
      <c r="P2355" s="73">
        <v>5919.2744443637239</v>
      </c>
      <c r="Q2355" s="2" t="s">
        <v>124</v>
      </c>
      <c r="S2355" s="36">
        <v>1200</v>
      </c>
    </row>
    <row r="2356" spans="1:19" x14ac:dyDescent="0.2">
      <c r="A2356" s="8" t="str">
        <f t="shared" si="1227"/>
        <v>50011312</v>
      </c>
      <c r="B2356" s="8">
        <v>5001</v>
      </c>
      <c r="C2356" s="8">
        <v>13</v>
      </c>
      <c r="D2356" s="8" t="s">
        <v>62</v>
      </c>
      <c r="E2356" s="8">
        <v>2</v>
      </c>
      <c r="F2356" s="34">
        <f t="shared" si="1236"/>
        <v>54087</v>
      </c>
      <c r="G2356" s="34">
        <f t="shared" si="1236"/>
        <v>54087</v>
      </c>
      <c r="H2356" s="34">
        <f t="shared" si="1222"/>
        <v>3000</v>
      </c>
      <c r="I2356" s="34">
        <f t="shared" si="1222"/>
        <v>3000</v>
      </c>
      <c r="J2356" s="34">
        <f t="shared" si="1224"/>
        <v>74861</v>
      </c>
      <c r="K2356" s="133">
        <v>1000</v>
      </c>
      <c r="L2356" s="34"/>
      <c r="M2356" s="16">
        <f t="shared" si="1231"/>
        <v>8817.0818650163401</v>
      </c>
      <c r="N2356" s="36">
        <v>860</v>
      </c>
      <c r="O2356" s="36">
        <v>2</v>
      </c>
      <c r="P2356" s="73">
        <v>5919.2744443637239</v>
      </c>
      <c r="Q2356" s="2" t="s">
        <v>124</v>
      </c>
      <c r="S2356" s="36">
        <v>1200</v>
      </c>
    </row>
    <row r="2357" spans="1:19" x14ac:dyDescent="0.2">
      <c r="A2357" s="8" t="str">
        <f t="shared" si="1227"/>
        <v>50011313</v>
      </c>
      <c r="B2357" s="8">
        <v>5001</v>
      </c>
      <c r="C2357" s="8">
        <v>13</v>
      </c>
      <c r="D2357" s="8" t="s">
        <v>62</v>
      </c>
      <c r="E2357" s="8">
        <v>3</v>
      </c>
      <c r="F2357" s="34">
        <f t="shared" si="1236"/>
        <v>81131</v>
      </c>
      <c r="G2357" s="34">
        <f t="shared" si="1236"/>
        <v>81131</v>
      </c>
      <c r="H2357" s="34">
        <f t="shared" si="1222"/>
        <v>3000</v>
      </c>
      <c r="I2357" s="34">
        <f t="shared" si="1222"/>
        <v>3000</v>
      </c>
      <c r="J2357" s="34">
        <f t="shared" si="1224"/>
        <v>107129</v>
      </c>
      <c r="K2357" s="133">
        <v>1000</v>
      </c>
      <c r="L2357" s="34"/>
      <c r="M2357" s="16">
        <f t="shared" si="1231"/>
        <v>12918.067644226052</v>
      </c>
      <c r="N2357" s="36">
        <v>840</v>
      </c>
      <c r="O2357" s="36">
        <v>3</v>
      </c>
      <c r="P2357" s="73">
        <v>5919.2744443637239</v>
      </c>
      <c r="Q2357" s="2" t="s">
        <v>124</v>
      </c>
      <c r="S2357" s="36">
        <v>1200</v>
      </c>
    </row>
    <row r="2358" spans="1:19" x14ac:dyDescent="0.2">
      <c r="A2358" s="8" t="str">
        <f t="shared" si="1227"/>
        <v>50011314</v>
      </c>
      <c r="B2358" s="8">
        <v>5001</v>
      </c>
      <c r="C2358" s="8">
        <v>13</v>
      </c>
      <c r="D2358" s="8" t="s">
        <v>62</v>
      </c>
      <c r="E2358" s="8">
        <v>4</v>
      </c>
      <c r="F2358" s="34">
        <f t="shared" si="1236"/>
        <v>108174</v>
      </c>
      <c r="G2358" s="34">
        <f t="shared" si="1236"/>
        <v>108174</v>
      </c>
      <c r="H2358" s="34">
        <f t="shared" ref="H2358:I2422" si="1237">ROUNDDOWN($S2358/4*10,0)</f>
        <v>3000</v>
      </c>
      <c r="I2358" s="34">
        <f t="shared" si="1237"/>
        <v>3000</v>
      </c>
      <c r="J2358" s="34">
        <f t="shared" si="1224"/>
        <v>136119</v>
      </c>
      <c r="K2358" s="133">
        <v>1000</v>
      </c>
      <c r="L2358" s="34"/>
      <c r="M2358" s="16">
        <f t="shared" si="1231"/>
        <v>16814.015128909574</v>
      </c>
      <c r="N2358" s="36">
        <v>820</v>
      </c>
      <c r="O2358" s="36">
        <v>4</v>
      </c>
      <c r="P2358" s="73">
        <v>5919.2744443637239</v>
      </c>
      <c r="Q2358" s="2" t="s">
        <v>124</v>
      </c>
      <c r="S2358" s="36">
        <v>1200</v>
      </c>
    </row>
    <row r="2359" spans="1:19" x14ac:dyDescent="0.2">
      <c r="A2359" s="8" t="str">
        <f t="shared" si="1227"/>
        <v>50011410</v>
      </c>
      <c r="B2359" s="8">
        <v>5001</v>
      </c>
      <c r="C2359" s="8">
        <v>14</v>
      </c>
      <c r="D2359" s="8" t="s">
        <v>62</v>
      </c>
      <c r="E2359" s="8">
        <v>0</v>
      </c>
      <c r="F2359" s="34">
        <f>ROUNDDOWN($P2359/4*$O2359*10*$N2359/$N2359*$Q2359/400,0)</f>
        <v>14085</v>
      </c>
      <c r="G2359" s="34">
        <f>ROUNDDOWN($P2359/4*$O2359*10*$N2359/$N2359*$Q2359/400,0)</f>
        <v>14085</v>
      </c>
      <c r="H2359" s="34">
        <f t="shared" si="1237"/>
        <v>3000</v>
      </c>
      <c r="I2359" s="34">
        <f t="shared" si="1237"/>
        <v>3000</v>
      </c>
      <c r="J2359" s="34">
        <f>ROUNDDOWN($P2359/4*$O2359*10*$N2359/$Q2359*$N2359/400,0)</f>
        <v>21350</v>
      </c>
      <c r="K2359" s="133">
        <v>1000</v>
      </c>
      <c r="L2359" s="34"/>
      <c r="M2359" s="16">
        <f t="shared" si="1231"/>
        <v>2402.8572991336791</v>
      </c>
      <c r="N2359" s="36">
        <v>900</v>
      </c>
      <c r="O2359" s="36">
        <v>0.5</v>
      </c>
      <c r="P2359" s="73">
        <v>6165.9108795455468</v>
      </c>
      <c r="Q2359" s="2" t="s">
        <v>124</v>
      </c>
      <c r="S2359" s="36">
        <v>1200</v>
      </c>
    </row>
    <row r="2360" spans="1:19" x14ac:dyDescent="0.2">
      <c r="A2360" s="8" t="str">
        <f t="shared" si="1227"/>
        <v>50011411</v>
      </c>
      <c r="B2360" s="8">
        <v>5001</v>
      </c>
      <c r="C2360" s="8">
        <v>14</v>
      </c>
      <c r="D2360" s="8" t="s">
        <v>62</v>
      </c>
      <c r="E2360" s="8">
        <v>1</v>
      </c>
      <c r="F2360" s="34">
        <f t="shared" ref="F2360:G2363" si="1238">ROUNDDOWN($P2360/4*$O2360*10*$N2360/$N2360*$Q2360/400,0)</f>
        <v>28170</v>
      </c>
      <c r="G2360" s="34">
        <f t="shared" si="1238"/>
        <v>28170</v>
      </c>
      <c r="H2360" s="34">
        <f t="shared" si="1237"/>
        <v>3000</v>
      </c>
      <c r="I2360" s="34">
        <f t="shared" si="1237"/>
        <v>3000</v>
      </c>
      <c r="J2360" s="34">
        <f t="shared" si="1224"/>
        <v>40824</v>
      </c>
      <c r="K2360" s="133">
        <v>1000</v>
      </c>
      <c r="L2360" s="34"/>
      <c r="M2360" s="16">
        <f t="shared" si="1231"/>
        <v>4698.9607293528215</v>
      </c>
      <c r="N2360" s="36">
        <v>880</v>
      </c>
      <c r="O2360" s="36">
        <v>1</v>
      </c>
      <c r="P2360" s="73">
        <v>6165.9108795455468</v>
      </c>
      <c r="Q2360" s="2" t="s">
        <v>124</v>
      </c>
      <c r="S2360" s="36">
        <v>1200</v>
      </c>
    </row>
    <row r="2361" spans="1:19" x14ac:dyDescent="0.2">
      <c r="A2361" s="8" t="str">
        <f t="shared" si="1227"/>
        <v>50011412</v>
      </c>
      <c r="B2361" s="8">
        <v>5001</v>
      </c>
      <c r="C2361" s="8">
        <v>14</v>
      </c>
      <c r="D2361" s="8" t="s">
        <v>62</v>
      </c>
      <c r="E2361" s="8">
        <v>2</v>
      </c>
      <c r="F2361" s="34">
        <f t="shared" si="1238"/>
        <v>56341</v>
      </c>
      <c r="G2361" s="34">
        <f t="shared" si="1238"/>
        <v>56341</v>
      </c>
      <c r="H2361" s="34">
        <f t="shared" si="1237"/>
        <v>3000</v>
      </c>
      <c r="I2361" s="34">
        <f t="shared" si="1237"/>
        <v>3000</v>
      </c>
      <c r="J2361" s="34">
        <f t="shared" ref="J2361:J2363" si="1239">ROUNDDOWN($P2361/4*$O2361*10*$N2361/$Q2361*$N2361/400,0)</f>
        <v>77980</v>
      </c>
      <c r="K2361" s="133">
        <v>1000</v>
      </c>
      <c r="L2361" s="34"/>
      <c r="M2361" s="16">
        <f t="shared" si="1231"/>
        <v>9184.4785728967763</v>
      </c>
      <c r="N2361" s="36">
        <v>860</v>
      </c>
      <c r="O2361" s="36">
        <v>2</v>
      </c>
      <c r="P2361" s="73">
        <v>6165.9108795455468</v>
      </c>
      <c r="Q2361" s="2" t="s">
        <v>124</v>
      </c>
      <c r="S2361" s="36">
        <v>1200</v>
      </c>
    </row>
    <row r="2362" spans="1:19" x14ac:dyDescent="0.2">
      <c r="A2362" s="8" t="str">
        <f t="shared" si="1227"/>
        <v>50011413</v>
      </c>
      <c r="B2362" s="8">
        <v>5001</v>
      </c>
      <c r="C2362" s="8">
        <v>14</v>
      </c>
      <c r="D2362" s="8" t="s">
        <v>62</v>
      </c>
      <c r="E2362" s="8">
        <v>3</v>
      </c>
      <c r="F2362" s="34">
        <f t="shared" si="1238"/>
        <v>84511</v>
      </c>
      <c r="G2362" s="34">
        <f t="shared" si="1238"/>
        <v>84511</v>
      </c>
      <c r="H2362" s="34">
        <f t="shared" si="1237"/>
        <v>3000</v>
      </c>
      <c r="I2362" s="34">
        <f t="shared" si="1237"/>
        <v>3000</v>
      </c>
      <c r="J2362" s="34">
        <f t="shared" si="1239"/>
        <v>111593</v>
      </c>
      <c r="K2362" s="133">
        <v>1000</v>
      </c>
      <c r="L2362" s="34"/>
      <c r="M2362" s="16">
        <f t="shared" si="1231"/>
        <v>13456.301558808795</v>
      </c>
      <c r="N2362" s="36">
        <v>840</v>
      </c>
      <c r="O2362" s="36">
        <v>3</v>
      </c>
      <c r="P2362" s="73">
        <v>6165.9108795455468</v>
      </c>
      <c r="Q2362" s="2" t="s">
        <v>124</v>
      </c>
      <c r="S2362" s="36">
        <v>1200</v>
      </c>
    </row>
    <row r="2363" spans="1:19" x14ac:dyDescent="0.2">
      <c r="A2363" s="8" t="str">
        <f t="shared" si="1227"/>
        <v>50011414</v>
      </c>
      <c r="B2363" s="8">
        <v>5001</v>
      </c>
      <c r="C2363" s="8">
        <v>14</v>
      </c>
      <c r="D2363" s="8" t="s">
        <v>62</v>
      </c>
      <c r="E2363" s="8">
        <v>4</v>
      </c>
      <c r="F2363" s="34">
        <f t="shared" si="1238"/>
        <v>112682</v>
      </c>
      <c r="G2363" s="34">
        <f t="shared" si="1238"/>
        <v>112682</v>
      </c>
      <c r="H2363" s="34">
        <f t="shared" si="1237"/>
        <v>3000</v>
      </c>
      <c r="I2363" s="34">
        <f t="shared" si="1237"/>
        <v>3000</v>
      </c>
      <c r="J2363" s="34">
        <f t="shared" si="1239"/>
        <v>141790</v>
      </c>
      <c r="K2363" s="133">
        <v>1000</v>
      </c>
      <c r="L2363" s="34"/>
      <c r="M2363" s="16">
        <f t="shared" si="1231"/>
        <v>17514.618779065677</v>
      </c>
      <c r="N2363" s="36">
        <v>820</v>
      </c>
      <c r="O2363" s="36">
        <v>4</v>
      </c>
      <c r="P2363" s="73">
        <v>6165.9108795455468</v>
      </c>
      <c r="Q2363" s="2" t="s">
        <v>124</v>
      </c>
      <c r="S2363" s="36">
        <v>1200</v>
      </c>
    </row>
    <row r="2364" spans="1:19" x14ac:dyDescent="0.2">
      <c r="A2364" s="8" t="str">
        <f t="shared" si="1227"/>
        <v>50011510</v>
      </c>
      <c r="B2364" s="8">
        <v>5001</v>
      </c>
      <c r="C2364" s="8">
        <v>15</v>
      </c>
      <c r="D2364" s="8" t="s">
        <v>62</v>
      </c>
      <c r="E2364" s="8">
        <v>0</v>
      </c>
      <c r="F2364" s="34">
        <f>ROUNDDOWN($P2364/4*$O2364*10*$N2364/$N2364*$Q2364/400,0)</f>
        <v>14672</v>
      </c>
      <c r="G2364" s="34">
        <f>ROUNDDOWN($P2364/4*$O2364*10*$N2364/$N2364*$Q2364/400,0)</f>
        <v>14672</v>
      </c>
      <c r="H2364" s="34">
        <f t="shared" si="1237"/>
        <v>3000</v>
      </c>
      <c r="I2364" s="34">
        <f t="shared" si="1237"/>
        <v>3000</v>
      </c>
      <c r="J2364" s="34">
        <f>ROUNDDOWN($P2364/4*$O2364*10*$N2364/$Q2364*$N2364/400,0)</f>
        <v>22240</v>
      </c>
      <c r="K2364" s="133">
        <v>1000</v>
      </c>
      <c r="L2364" s="34"/>
      <c r="M2364" s="16">
        <f t="shared" si="1231"/>
        <v>2503.0104626229595</v>
      </c>
      <c r="N2364" s="36">
        <v>900</v>
      </c>
      <c r="O2364" s="36">
        <v>0.5</v>
      </c>
      <c r="P2364" s="73">
        <v>6422.8238328599446</v>
      </c>
      <c r="Q2364" s="2" t="s">
        <v>124</v>
      </c>
      <c r="S2364" s="36">
        <v>1200</v>
      </c>
    </row>
    <row r="2365" spans="1:19" x14ac:dyDescent="0.2">
      <c r="A2365" s="8" t="str">
        <f t="shared" si="1227"/>
        <v>50011511</v>
      </c>
      <c r="B2365" s="8">
        <v>5001</v>
      </c>
      <c r="C2365" s="8">
        <v>15</v>
      </c>
      <c r="D2365" s="8" t="s">
        <v>62</v>
      </c>
      <c r="E2365" s="8">
        <v>1</v>
      </c>
      <c r="F2365" s="34">
        <f t="shared" ref="F2365:G2368" si="1240">ROUNDDOWN($P2365/4*$O2365*10*$N2365/$N2365*$Q2365/400,0)</f>
        <v>29344</v>
      </c>
      <c r="G2365" s="34">
        <f t="shared" si="1240"/>
        <v>29344</v>
      </c>
      <c r="H2365" s="34">
        <f t="shared" si="1237"/>
        <v>3000</v>
      </c>
      <c r="I2365" s="34">
        <f t="shared" si="1237"/>
        <v>3000</v>
      </c>
      <c r="J2365" s="34">
        <f t="shared" ref="J2365:J2368" si="1241">ROUNDDOWN($P2365/4*$O2365*10*$N2365/$Q2365*$N2365/400,0)</f>
        <v>42525</v>
      </c>
      <c r="K2365" s="133">
        <v>1000</v>
      </c>
      <c r="L2365" s="34"/>
      <c r="M2365" s="16">
        <f t="shared" si="1231"/>
        <v>4894.7716106065664</v>
      </c>
      <c r="N2365" s="36">
        <v>880</v>
      </c>
      <c r="O2365" s="36">
        <v>1</v>
      </c>
      <c r="P2365" s="73">
        <v>6422.8238328599446</v>
      </c>
      <c r="Q2365" s="2" t="s">
        <v>124</v>
      </c>
      <c r="S2365" s="36">
        <v>1200</v>
      </c>
    </row>
    <row r="2366" spans="1:19" x14ac:dyDescent="0.2">
      <c r="A2366" s="8" t="str">
        <f t="shared" si="1227"/>
        <v>50011512</v>
      </c>
      <c r="B2366" s="8">
        <v>5001</v>
      </c>
      <c r="C2366" s="8">
        <v>15</v>
      </c>
      <c r="D2366" s="8" t="s">
        <v>62</v>
      </c>
      <c r="E2366" s="8">
        <v>2</v>
      </c>
      <c r="F2366" s="34">
        <f t="shared" si="1240"/>
        <v>58688</v>
      </c>
      <c r="G2366" s="34">
        <f t="shared" si="1240"/>
        <v>58688</v>
      </c>
      <c r="H2366" s="34">
        <f t="shared" si="1237"/>
        <v>3000</v>
      </c>
      <c r="I2366" s="34">
        <f t="shared" si="1237"/>
        <v>3000</v>
      </c>
      <c r="J2366" s="34">
        <f t="shared" si="1241"/>
        <v>81229</v>
      </c>
      <c r="K2366" s="133">
        <v>1000</v>
      </c>
      <c r="L2366" s="34"/>
      <c r="M2366" s="16">
        <f t="shared" si="1231"/>
        <v>9567.1112149070377</v>
      </c>
      <c r="N2366" s="36">
        <v>860</v>
      </c>
      <c r="O2366" s="36">
        <v>2</v>
      </c>
      <c r="P2366" s="73">
        <v>6422.8238328599446</v>
      </c>
      <c r="Q2366" s="2" t="s">
        <v>124</v>
      </c>
      <c r="S2366" s="36">
        <v>1200</v>
      </c>
    </row>
    <row r="2367" spans="1:19" x14ac:dyDescent="0.2">
      <c r="A2367" s="8" t="str">
        <f t="shared" si="1227"/>
        <v>50011513</v>
      </c>
      <c r="B2367" s="8">
        <v>5001</v>
      </c>
      <c r="C2367" s="8">
        <v>15</v>
      </c>
      <c r="D2367" s="8" t="s">
        <v>62</v>
      </c>
      <c r="E2367" s="8">
        <v>3</v>
      </c>
      <c r="F2367" s="34">
        <f t="shared" si="1240"/>
        <v>88032</v>
      </c>
      <c r="G2367" s="34">
        <f t="shared" si="1240"/>
        <v>88032</v>
      </c>
      <c r="H2367" s="34">
        <f t="shared" si="1237"/>
        <v>3000</v>
      </c>
      <c r="I2367" s="34">
        <f t="shared" si="1237"/>
        <v>3000</v>
      </c>
      <c r="J2367" s="34">
        <f t="shared" si="1241"/>
        <v>116243</v>
      </c>
      <c r="K2367" s="133">
        <v>1000</v>
      </c>
      <c r="L2367" s="34"/>
      <c r="M2367" s="16">
        <f t="shared" si="1231"/>
        <v>14016.975155118169</v>
      </c>
      <c r="N2367" s="36">
        <v>840</v>
      </c>
      <c r="O2367" s="36">
        <v>3</v>
      </c>
      <c r="P2367" s="73">
        <v>6422.8238328599446</v>
      </c>
      <c r="Q2367" s="2" t="s">
        <v>124</v>
      </c>
      <c r="S2367" s="36">
        <v>1200</v>
      </c>
    </row>
    <row r="2368" spans="1:19" x14ac:dyDescent="0.2">
      <c r="A2368" s="8" t="str">
        <f t="shared" si="1227"/>
        <v>50011514</v>
      </c>
      <c r="B2368" s="8">
        <v>5001</v>
      </c>
      <c r="C2368" s="8">
        <v>15</v>
      </c>
      <c r="D2368" s="8" t="s">
        <v>62</v>
      </c>
      <c r="E2368" s="8">
        <v>4</v>
      </c>
      <c r="F2368" s="34">
        <f t="shared" si="1240"/>
        <v>117377</v>
      </c>
      <c r="G2368" s="34">
        <f t="shared" si="1240"/>
        <v>117377</v>
      </c>
      <c r="H2368" s="34">
        <f t="shared" si="1237"/>
        <v>3000</v>
      </c>
      <c r="I2368" s="34">
        <f t="shared" si="1237"/>
        <v>3000</v>
      </c>
      <c r="J2368" s="34">
        <f t="shared" si="1241"/>
        <v>147698</v>
      </c>
      <c r="K2368" s="133">
        <v>1000</v>
      </c>
      <c r="L2368" s="34"/>
      <c r="M2368" s="16">
        <f t="shared" si="1231"/>
        <v>18244.39323198226</v>
      </c>
      <c r="N2368" s="36">
        <v>820</v>
      </c>
      <c r="O2368" s="36">
        <v>4</v>
      </c>
      <c r="P2368" s="73">
        <v>6422.8238328599446</v>
      </c>
      <c r="Q2368" s="2" t="s">
        <v>124</v>
      </c>
      <c r="S2368" s="36">
        <v>1200</v>
      </c>
    </row>
    <row r="2369" spans="1:19" x14ac:dyDescent="0.2">
      <c r="A2369" s="125" t="str">
        <f t="shared" si="1227"/>
        <v>50011515</v>
      </c>
      <c r="B2369" s="125">
        <v>5001</v>
      </c>
      <c r="C2369" s="125">
        <v>15</v>
      </c>
      <c r="D2369" s="125" t="s">
        <v>62</v>
      </c>
      <c r="E2369" s="125">
        <v>5</v>
      </c>
      <c r="F2369" s="126">
        <f>ROUNDDOWN($P2369/4*$O2369*10*$N2369/$N2369*$Q2369/400,0)</f>
        <v>58023</v>
      </c>
      <c r="G2369" s="126">
        <f>ROUNDDOWN($P2369/4*$O2369*10*$N2369/$N2369*$Q2369/400,0)</f>
        <v>58023</v>
      </c>
      <c r="H2369" s="126">
        <f t="shared" si="1237"/>
        <v>3000</v>
      </c>
      <c r="I2369" s="126">
        <f t="shared" si="1237"/>
        <v>3000</v>
      </c>
      <c r="J2369" s="126">
        <f>ROUNDDOWN($P2369/4*$O2369*10*$N2369/$Q2369*$N2369/400,0)</f>
        <v>80308</v>
      </c>
      <c r="K2369" s="133">
        <v>1000</v>
      </c>
      <c r="L2369" s="126"/>
      <c r="M2369" s="127">
        <f t="shared" si="1231"/>
        <v>9458.6707740992861</v>
      </c>
      <c r="N2369" s="128">
        <v>860</v>
      </c>
      <c r="O2369" s="128">
        <v>2</v>
      </c>
      <c r="P2369" s="129">
        <v>6350</v>
      </c>
      <c r="Q2369" s="130" t="s">
        <v>103</v>
      </c>
      <c r="R2369" s="130"/>
      <c r="S2369" s="128">
        <v>1200</v>
      </c>
    </row>
    <row r="2370" spans="1:19" x14ac:dyDescent="0.2">
      <c r="A2370" s="8" t="str">
        <f t="shared" si="1227"/>
        <v>50011610</v>
      </c>
      <c r="B2370" s="8">
        <v>5001</v>
      </c>
      <c r="C2370" s="8">
        <v>16</v>
      </c>
      <c r="D2370" s="8" t="s">
        <v>62</v>
      </c>
      <c r="E2370" s="8">
        <v>0</v>
      </c>
      <c r="F2370" s="34">
        <f>ROUNDDOWN($P2370/4*$O2370*10*$N2370/$N2370*$Q2370/400,0)</f>
        <v>15283</v>
      </c>
      <c r="G2370" s="34">
        <f>ROUNDDOWN($P2370/4*$O2370*10*$N2370/$N2370*$Q2370/400,0)</f>
        <v>15283</v>
      </c>
      <c r="H2370" s="34">
        <f t="shared" si="1237"/>
        <v>3300</v>
      </c>
      <c r="I2370" s="34">
        <f t="shared" si="1237"/>
        <v>3300</v>
      </c>
      <c r="J2370" s="34">
        <f>ROUNDDOWN($P2370/4*$O2370*10*$N2370/$Q2370*$N2370/400,0)</f>
        <v>23167</v>
      </c>
      <c r="K2370" s="133">
        <v>1000</v>
      </c>
      <c r="L2370" s="34"/>
      <c r="M2370" s="16">
        <f t="shared" si="1231"/>
        <v>2734.5518521907752</v>
      </c>
      <c r="N2370" s="36">
        <v>900</v>
      </c>
      <c r="O2370" s="36">
        <v>0.5</v>
      </c>
      <c r="P2370" s="73">
        <v>6690.4414925624433</v>
      </c>
      <c r="Q2370" s="2" t="s">
        <v>124</v>
      </c>
      <c r="S2370" s="36">
        <v>1320</v>
      </c>
    </row>
    <row r="2371" spans="1:19" x14ac:dyDescent="0.2">
      <c r="A2371" s="8" t="str">
        <f t="shared" si="1227"/>
        <v>50011611</v>
      </c>
      <c r="B2371" s="8">
        <v>5001</v>
      </c>
      <c r="C2371" s="8">
        <v>16</v>
      </c>
      <c r="D2371" s="8" t="s">
        <v>62</v>
      </c>
      <c r="E2371" s="8">
        <v>1</v>
      </c>
      <c r="F2371" s="34">
        <f t="shared" ref="F2371:G2374" si="1242">ROUNDDOWN($P2371/4*$O2371*10*$N2371/$N2371*$Q2371/400,0)</f>
        <v>30566</v>
      </c>
      <c r="G2371" s="34">
        <f t="shared" si="1242"/>
        <v>30566</v>
      </c>
      <c r="H2371" s="34">
        <f t="shared" si="1237"/>
        <v>3300</v>
      </c>
      <c r="I2371" s="34">
        <f t="shared" si="1237"/>
        <v>3300</v>
      </c>
      <c r="J2371" s="34">
        <f t="shared" ref="J2371:J2374" si="1243">ROUNDDOWN($P2371/4*$O2371*10*$N2371/$Q2371*$N2371/400,0)</f>
        <v>44297</v>
      </c>
      <c r="K2371" s="133">
        <v>1000</v>
      </c>
      <c r="L2371" s="34"/>
      <c r="M2371" s="16">
        <f t="shared" si="1231"/>
        <v>5347.5323275544588</v>
      </c>
      <c r="N2371" s="36">
        <v>880</v>
      </c>
      <c r="O2371" s="36">
        <v>1</v>
      </c>
      <c r="P2371" s="73">
        <v>6690.4414925624433</v>
      </c>
      <c r="Q2371" s="2" t="s">
        <v>124</v>
      </c>
      <c r="S2371" s="36">
        <v>1320</v>
      </c>
    </row>
    <row r="2372" spans="1:19" x14ac:dyDescent="0.2">
      <c r="A2372" s="8" t="str">
        <f t="shared" si="1227"/>
        <v>50011612</v>
      </c>
      <c r="B2372" s="8">
        <v>5001</v>
      </c>
      <c r="C2372" s="8">
        <v>16</v>
      </c>
      <c r="D2372" s="8" t="s">
        <v>62</v>
      </c>
      <c r="E2372" s="8">
        <v>2</v>
      </c>
      <c r="F2372" s="34">
        <f t="shared" si="1242"/>
        <v>61133</v>
      </c>
      <c r="G2372" s="34">
        <f t="shared" si="1242"/>
        <v>61133</v>
      </c>
      <c r="H2372" s="34">
        <f t="shared" si="1237"/>
        <v>3300</v>
      </c>
      <c r="I2372" s="34">
        <f t="shared" si="1237"/>
        <v>3300</v>
      </c>
      <c r="J2372" s="34">
        <f t="shared" si="1243"/>
        <v>84614</v>
      </c>
      <c r="K2372" s="133">
        <v>1000</v>
      </c>
      <c r="L2372" s="34"/>
      <c r="M2372" s="16">
        <f t="shared" si="1231"/>
        <v>10452.156993723354</v>
      </c>
      <c r="N2372" s="36">
        <v>860</v>
      </c>
      <c r="O2372" s="36">
        <v>2</v>
      </c>
      <c r="P2372" s="73">
        <v>6690.4414925624433</v>
      </c>
      <c r="Q2372" s="2" t="s">
        <v>124</v>
      </c>
      <c r="S2372" s="36">
        <v>1320</v>
      </c>
    </row>
    <row r="2373" spans="1:19" x14ac:dyDescent="0.2">
      <c r="A2373" s="8" t="str">
        <f t="shared" si="1227"/>
        <v>50011613</v>
      </c>
      <c r="B2373" s="8">
        <v>5001</v>
      </c>
      <c r="C2373" s="8">
        <v>16</v>
      </c>
      <c r="D2373" s="8" t="s">
        <v>62</v>
      </c>
      <c r="E2373" s="8">
        <v>3</v>
      </c>
      <c r="F2373" s="34">
        <f t="shared" si="1242"/>
        <v>91700</v>
      </c>
      <c r="G2373" s="34">
        <f t="shared" si="1242"/>
        <v>91700</v>
      </c>
      <c r="H2373" s="34">
        <f t="shared" si="1237"/>
        <v>3300</v>
      </c>
      <c r="I2373" s="34">
        <f t="shared" si="1237"/>
        <v>3300</v>
      </c>
      <c r="J2373" s="34">
        <f t="shared" si="1243"/>
        <v>121086</v>
      </c>
      <c r="K2373" s="133">
        <v>1000</v>
      </c>
      <c r="L2373" s="34"/>
      <c r="M2373" s="16">
        <f t="shared" si="1231"/>
        <v>15313.645566748633</v>
      </c>
      <c r="N2373" s="36">
        <v>840</v>
      </c>
      <c r="O2373" s="36">
        <v>3</v>
      </c>
      <c r="P2373" s="73">
        <v>6690.4414925624433</v>
      </c>
      <c r="Q2373" s="2" t="s">
        <v>124</v>
      </c>
      <c r="S2373" s="36">
        <v>1320</v>
      </c>
    </row>
    <row r="2374" spans="1:19" x14ac:dyDescent="0.2">
      <c r="A2374" s="8" t="str">
        <f t="shared" si="1227"/>
        <v>50011614</v>
      </c>
      <c r="B2374" s="8">
        <v>5001</v>
      </c>
      <c r="C2374" s="8">
        <v>16</v>
      </c>
      <c r="D2374" s="8" t="s">
        <v>62</v>
      </c>
      <c r="E2374" s="8">
        <v>4</v>
      </c>
      <c r="F2374" s="34">
        <f t="shared" si="1242"/>
        <v>122267</v>
      </c>
      <c r="G2374" s="34">
        <f t="shared" si="1242"/>
        <v>122267</v>
      </c>
      <c r="H2374" s="34">
        <f t="shared" si="1237"/>
        <v>3300</v>
      </c>
      <c r="I2374" s="34">
        <f t="shared" si="1237"/>
        <v>3300</v>
      </c>
      <c r="J2374" s="34">
        <f t="shared" si="1243"/>
        <v>153852</v>
      </c>
      <c r="K2374" s="133">
        <v>1000</v>
      </c>
      <c r="L2374" s="34"/>
      <c r="M2374" s="16">
        <f t="shared" si="1231"/>
        <v>19932.104627010165</v>
      </c>
      <c r="N2374" s="36">
        <v>820</v>
      </c>
      <c r="O2374" s="36">
        <v>4</v>
      </c>
      <c r="P2374" s="73">
        <v>6690.4414925624433</v>
      </c>
      <c r="Q2374" s="2" t="s">
        <v>124</v>
      </c>
      <c r="S2374" s="36">
        <v>1320</v>
      </c>
    </row>
    <row r="2375" spans="1:19" x14ac:dyDescent="0.2">
      <c r="A2375" s="8" t="str">
        <f t="shared" si="1227"/>
        <v>50011710</v>
      </c>
      <c r="B2375" s="8">
        <v>5001</v>
      </c>
      <c r="C2375" s="8">
        <v>17</v>
      </c>
      <c r="D2375" s="8" t="s">
        <v>62</v>
      </c>
      <c r="E2375" s="8">
        <v>0</v>
      </c>
      <c r="F2375" s="34">
        <f>ROUNDDOWN($P2375/4*$O2375*10*$N2375/$N2375*$Q2375/400,0)</f>
        <v>15920</v>
      </c>
      <c r="G2375" s="34">
        <f>ROUNDDOWN($P2375/4*$O2375*10*$N2375/$N2375*$Q2375/400,0)</f>
        <v>15920</v>
      </c>
      <c r="H2375" s="34">
        <f t="shared" si="1237"/>
        <v>3300</v>
      </c>
      <c r="I2375" s="34">
        <f t="shared" si="1237"/>
        <v>3300</v>
      </c>
      <c r="J2375" s="34">
        <f>ROUNDDOWN($P2375/4*$O2375*10*$N2375/$Q2375*$N2375/400,0)</f>
        <v>24132</v>
      </c>
      <c r="K2375" s="133">
        <v>1000</v>
      </c>
      <c r="L2375" s="34"/>
      <c r="M2375" s="16">
        <f t="shared" si="1231"/>
        <v>2848.4929371160465</v>
      </c>
      <c r="N2375" s="36">
        <v>900</v>
      </c>
      <c r="O2375" s="36">
        <v>0.5</v>
      </c>
      <c r="P2375" s="73">
        <v>6969.2098880858784</v>
      </c>
      <c r="Q2375" s="2" t="s">
        <v>124</v>
      </c>
      <c r="S2375" s="36">
        <v>1320</v>
      </c>
    </row>
    <row r="2376" spans="1:19" x14ac:dyDescent="0.2">
      <c r="A2376" s="8" t="str">
        <f t="shared" si="1227"/>
        <v>50011711</v>
      </c>
      <c r="B2376" s="8">
        <v>5001</v>
      </c>
      <c r="C2376" s="8">
        <v>17</v>
      </c>
      <c r="D2376" s="8" t="s">
        <v>62</v>
      </c>
      <c r="E2376" s="8">
        <v>1</v>
      </c>
      <c r="F2376" s="34">
        <f t="shared" ref="F2376:G2379" si="1244">ROUNDDOWN($P2376/4*$O2376*10*$N2376/$N2376*$Q2376/400,0)</f>
        <v>31840</v>
      </c>
      <c r="G2376" s="34">
        <f t="shared" si="1244"/>
        <v>31840</v>
      </c>
      <c r="H2376" s="34">
        <f t="shared" si="1237"/>
        <v>3300</v>
      </c>
      <c r="I2376" s="34">
        <f t="shared" si="1237"/>
        <v>3300</v>
      </c>
      <c r="J2376" s="34">
        <f t="shared" ref="J2376:J2379" si="1245">ROUNDDOWN($P2376/4*$O2376*10*$N2376/$Q2376*$N2376/400,0)</f>
        <v>46143</v>
      </c>
      <c r="K2376" s="133">
        <v>1000</v>
      </c>
      <c r="L2376" s="34"/>
      <c r="M2376" s="16">
        <f t="shared" si="1231"/>
        <v>5570.4002274881468</v>
      </c>
      <c r="N2376" s="36">
        <v>880</v>
      </c>
      <c r="O2376" s="36">
        <v>1</v>
      </c>
      <c r="P2376" s="73">
        <v>6969.2098880858784</v>
      </c>
      <c r="Q2376" s="2" t="s">
        <v>124</v>
      </c>
      <c r="S2376" s="36">
        <v>1320</v>
      </c>
    </row>
    <row r="2377" spans="1:19" x14ac:dyDescent="0.2">
      <c r="A2377" s="8" t="str">
        <f t="shared" si="1227"/>
        <v>50011712</v>
      </c>
      <c r="B2377" s="8">
        <v>5001</v>
      </c>
      <c r="C2377" s="8">
        <v>17</v>
      </c>
      <c r="D2377" s="8" t="s">
        <v>62</v>
      </c>
      <c r="E2377" s="8">
        <v>2</v>
      </c>
      <c r="F2377" s="34">
        <f t="shared" si="1244"/>
        <v>63681</v>
      </c>
      <c r="G2377" s="34">
        <f t="shared" si="1244"/>
        <v>63681</v>
      </c>
      <c r="H2377" s="34">
        <f t="shared" si="1237"/>
        <v>3300</v>
      </c>
      <c r="I2377" s="34">
        <f t="shared" si="1237"/>
        <v>3300</v>
      </c>
      <c r="J2377" s="34">
        <f t="shared" si="1245"/>
        <v>88140</v>
      </c>
      <c r="K2377" s="133">
        <v>1000</v>
      </c>
      <c r="L2377" s="34"/>
      <c r="M2377" s="16">
        <f t="shared" si="1231"/>
        <v>10887.756947176953</v>
      </c>
      <c r="N2377" s="36">
        <v>860</v>
      </c>
      <c r="O2377" s="36">
        <v>2</v>
      </c>
      <c r="P2377" s="73">
        <v>6969.2098880858784</v>
      </c>
      <c r="Q2377" s="2" t="s">
        <v>124</v>
      </c>
      <c r="S2377" s="36">
        <v>1320</v>
      </c>
    </row>
    <row r="2378" spans="1:19" x14ac:dyDescent="0.2">
      <c r="A2378" s="8" t="str">
        <f t="shared" si="1227"/>
        <v>50011713</v>
      </c>
      <c r="B2378" s="8">
        <v>5001</v>
      </c>
      <c r="C2378" s="8">
        <v>17</v>
      </c>
      <c r="D2378" s="8" t="s">
        <v>62</v>
      </c>
      <c r="E2378" s="8">
        <v>3</v>
      </c>
      <c r="F2378" s="34">
        <f t="shared" si="1244"/>
        <v>95521</v>
      </c>
      <c r="G2378" s="34">
        <f t="shared" si="1244"/>
        <v>95521</v>
      </c>
      <c r="H2378" s="34">
        <f t="shared" si="1237"/>
        <v>3300</v>
      </c>
      <c r="I2378" s="34">
        <f t="shared" si="1237"/>
        <v>3300</v>
      </c>
      <c r="J2378" s="34">
        <f t="shared" si="1245"/>
        <v>126132</v>
      </c>
      <c r="K2378" s="133">
        <v>1000</v>
      </c>
      <c r="L2378" s="34"/>
      <c r="M2378" s="16">
        <f t="shared" si="1231"/>
        <v>15951.775474367736</v>
      </c>
      <c r="N2378" s="36">
        <v>840</v>
      </c>
      <c r="O2378" s="36">
        <v>3</v>
      </c>
      <c r="P2378" s="73">
        <v>6969.2098880858784</v>
      </c>
      <c r="Q2378" s="2" t="s">
        <v>124</v>
      </c>
      <c r="S2378" s="36">
        <v>1320</v>
      </c>
    </row>
    <row r="2379" spans="1:19" x14ac:dyDescent="0.2">
      <c r="A2379" s="8" t="str">
        <f t="shared" si="1227"/>
        <v>50011714</v>
      </c>
      <c r="B2379" s="8">
        <v>5001</v>
      </c>
      <c r="C2379" s="8">
        <v>17</v>
      </c>
      <c r="D2379" s="8" t="s">
        <v>62</v>
      </c>
      <c r="E2379" s="8">
        <v>4</v>
      </c>
      <c r="F2379" s="34">
        <f t="shared" si="1244"/>
        <v>127362</v>
      </c>
      <c r="G2379" s="34">
        <f t="shared" si="1244"/>
        <v>127362</v>
      </c>
      <c r="H2379" s="34">
        <f t="shared" si="1237"/>
        <v>3300</v>
      </c>
      <c r="I2379" s="34">
        <f t="shared" si="1237"/>
        <v>3300</v>
      </c>
      <c r="J2379" s="34">
        <f t="shared" si="1245"/>
        <v>160263</v>
      </c>
      <c r="K2379" s="133">
        <v>1000</v>
      </c>
      <c r="L2379" s="34"/>
      <c r="M2379" s="16">
        <f t="shared" si="1231"/>
        <v>20762.685526461166</v>
      </c>
      <c r="N2379" s="36">
        <v>820</v>
      </c>
      <c r="O2379" s="36">
        <v>4</v>
      </c>
      <c r="P2379" s="73">
        <v>6969.2098880858784</v>
      </c>
      <c r="Q2379" s="2" t="s">
        <v>124</v>
      </c>
      <c r="S2379" s="36">
        <v>1320</v>
      </c>
    </row>
    <row r="2380" spans="1:19" x14ac:dyDescent="0.2">
      <c r="A2380" s="8" t="str">
        <f t="shared" si="1227"/>
        <v>50011810</v>
      </c>
      <c r="B2380" s="8">
        <v>5001</v>
      </c>
      <c r="C2380" s="8">
        <v>18</v>
      </c>
      <c r="D2380" s="8" t="s">
        <v>62</v>
      </c>
      <c r="E2380" s="8">
        <v>0</v>
      </c>
      <c r="F2380" s="34">
        <f>ROUNDDOWN($P2380/4*$O2380*10*$N2380/$N2380*$Q2380/400,0)</f>
        <v>16583</v>
      </c>
      <c r="G2380" s="34">
        <f>ROUNDDOWN($P2380/4*$O2380*10*$N2380/$N2380*$Q2380/400,0)</f>
        <v>16583</v>
      </c>
      <c r="H2380" s="34">
        <f t="shared" si="1237"/>
        <v>3900</v>
      </c>
      <c r="I2380" s="34">
        <f t="shared" si="1237"/>
        <v>3900</v>
      </c>
      <c r="J2380" s="34">
        <f>ROUNDDOWN($P2380/4*$O2380*10*$N2380/$Q2380*$N2380/400,0)</f>
        <v>25137</v>
      </c>
      <c r="K2380" s="133">
        <v>1000</v>
      </c>
      <c r="L2380" s="34"/>
      <c r="M2380" s="16">
        <f t="shared" si="1231"/>
        <v>3225.6003937499763</v>
      </c>
      <c r="N2380" s="36">
        <v>900</v>
      </c>
      <c r="O2380" s="36">
        <v>0.5</v>
      </c>
      <c r="P2380" s="73">
        <v>7259.5936334227908</v>
      </c>
      <c r="Q2380" s="2" t="s">
        <v>124</v>
      </c>
      <c r="S2380" s="36">
        <v>1560</v>
      </c>
    </row>
    <row r="2381" spans="1:19" x14ac:dyDescent="0.2">
      <c r="A2381" s="8" t="str">
        <f t="shared" si="1227"/>
        <v>50011811</v>
      </c>
      <c r="B2381" s="8">
        <v>5001</v>
      </c>
      <c r="C2381" s="8">
        <v>18</v>
      </c>
      <c r="D2381" s="8" t="s">
        <v>62</v>
      </c>
      <c r="E2381" s="8">
        <v>1</v>
      </c>
      <c r="F2381" s="34">
        <f t="shared" ref="F2381:G2384" si="1246">ROUNDDOWN($P2381/4*$O2381*10*$N2381/$N2381*$Q2381/400,0)</f>
        <v>33167</v>
      </c>
      <c r="G2381" s="34">
        <f t="shared" si="1246"/>
        <v>33167</v>
      </c>
      <c r="H2381" s="34">
        <f t="shared" si="1237"/>
        <v>3900</v>
      </c>
      <c r="I2381" s="34">
        <f t="shared" si="1237"/>
        <v>3900</v>
      </c>
      <c r="J2381" s="34">
        <f t="shared" ref="J2381:J2384" si="1247">ROUNDDOWN($P2381/4*$O2381*10*$N2381/$Q2381*$N2381/400,0)</f>
        <v>48066</v>
      </c>
      <c r="K2381" s="133">
        <v>1000</v>
      </c>
      <c r="L2381" s="34"/>
      <c r="M2381" s="16">
        <f t="shared" si="1231"/>
        <v>6308.0391049136661</v>
      </c>
      <c r="N2381" s="36">
        <v>880</v>
      </c>
      <c r="O2381" s="36">
        <v>1</v>
      </c>
      <c r="P2381" s="73">
        <v>7259.5936334227908</v>
      </c>
      <c r="Q2381" s="2" t="s">
        <v>124</v>
      </c>
      <c r="S2381" s="36">
        <v>1560</v>
      </c>
    </row>
    <row r="2382" spans="1:19" x14ac:dyDescent="0.2">
      <c r="A2382" s="8" t="str">
        <f t="shared" si="1227"/>
        <v>50011812</v>
      </c>
      <c r="B2382" s="8">
        <v>5001</v>
      </c>
      <c r="C2382" s="8">
        <v>18</v>
      </c>
      <c r="D2382" s="8" t="s">
        <v>62</v>
      </c>
      <c r="E2382" s="8">
        <v>2</v>
      </c>
      <c r="F2382" s="34">
        <f t="shared" si="1246"/>
        <v>66334</v>
      </c>
      <c r="G2382" s="34">
        <f t="shared" si="1246"/>
        <v>66334</v>
      </c>
      <c r="H2382" s="34">
        <f t="shared" si="1237"/>
        <v>3900</v>
      </c>
      <c r="I2382" s="34">
        <f t="shared" si="1237"/>
        <v>3900</v>
      </c>
      <c r="J2382" s="34">
        <f t="shared" si="1247"/>
        <v>91812</v>
      </c>
      <c r="K2382" s="133">
        <v>1000</v>
      </c>
      <c r="L2382" s="34"/>
      <c r="M2382" s="16">
        <f t="shared" si="1231"/>
        <v>12329.347911048662</v>
      </c>
      <c r="N2382" s="36">
        <v>860</v>
      </c>
      <c r="O2382" s="36">
        <v>2</v>
      </c>
      <c r="P2382" s="73">
        <v>7259.5936334227908</v>
      </c>
      <c r="Q2382" s="2" t="s">
        <v>124</v>
      </c>
      <c r="S2382" s="36">
        <v>1560</v>
      </c>
    </row>
    <row r="2383" spans="1:19" x14ac:dyDescent="0.2">
      <c r="A2383" s="8" t="str">
        <f t="shared" si="1227"/>
        <v>50011813</v>
      </c>
      <c r="B2383" s="8">
        <v>5001</v>
      </c>
      <c r="C2383" s="8">
        <v>18</v>
      </c>
      <c r="D2383" s="8" t="s">
        <v>62</v>
      </c>
      <c r="E2383" s="8">
        <v>3</v>
      </c>
      <c r="F2383" s="34">
        <f t="shared" si="1246"/>
        <v>99501</v>
      </c>
      <c r="G2383" s="34">
        <f t="shared" si="1246"/>
        <v>99501</v>
      </c>
      <c r="H2383" s="34">
        <f t="shared" si="1237"/>
        <v>3900</v>
      </c>
      <c r="I2383" s="34">
        <f t="shared" si="1237"/>
        <v>3900</v>
      </c>
      <c r="J2383" s="34">
        <f t="shared" si="1247"/>
        <v>131387</v>
      </c>
      <c r="K2383" s="133">
        <v>1000</v>
      </c>
      <c r="L2383" s="34"/>
      <c r="M2383" s="16">
        <f t="shared" si="1231"/>
        <v>18063.928743756715</v>
      </c>
      <c r="N2383" s="36">
        <v>840</v>
      </c>
      <c r="O2383" s="36">
        <v>3</v>
      </c>
      <c r="P2383" s="73">
        <v>7259.5936334227908</v>
      </c>
      <c r="Q2383" s="2" t="s">
        <v>124</v>
      </c>
      <c r="S2383" s="36">
        <v>1560</v>
      </c>
    </row>
    <row r="2384" spans="1:19" x14ac:dyDescent="0.2">
      <c r="A2384" s="8" t="str">
        <f t="shared" ref="A2384:A2447" si="1248">IF(B2384="","",CONCATENATE(B2384,CONCATENATE(REPT(0,2-LEN(C2384)),C2384),IF(OR(D2384="Easy",D2384=""),1,IF(D2384="Normal",2,IF(D2384="Hard",3,IF(D2384="Hell",4,"error")))),E2384))</f>
        <v>50011814</v>
      </c>
      <c r="B2384" s="8">
        <v>5001</v>
      </c>
      <c r="C2384" s="8">
        <v>18</v>
      </c>
      <c r="D2384" s="8" t="s">
        <v>62</v>
      </c>
      <c r="E2384" s="8">
        <v>4</v>
      </c>
      <c r="F2384" s="34">
        <f t="shared" si="1246"/>
        <v>132669</v>
      </c>
      <c r="G2384" s="34">
        <f t="shared" si="1246"/>
        <v>132669</v>
      </c>
      <c r="H2384" s="34">
        <f t="shared" si="1237"/>
        <v>3900</v>
      </c>
      <c r="I2384" s="34">
        <f t="shared" si="1237"/>
        <v>3900</v>
      </c>
      <c r="J2384" s="34">
        <f t="shared" si="1247"/>
        <v>166940</v>
      </c>
      <c r="K2384" s="133">
        <v>1000</v>
      </c>
      <c r="L2384" s="34"/>
      <c r="M2384" s="16">
        <f t="shared" si="1231"/>
        <v>23511.87276644717</v>
      </c>
      <c r="N2384" s="36">
        <v>820</v>
      </c>
      <c r="O2384" s="36">
        <v>4</v>
      </c>
      <c r="P2384" s="73">
        <v>7259.5936334227908</v>
      </c>
      <c r="Q2384" s="2" t="s">
        <v>124</v>
      </c>
      <c r="S2384" s="36">
        <v>1560</v>
      </c>
    </row>
    <row r="2385" spans="1:19" x14ac:dyDescent="0.2">
      <c r="A2385" s="8" t="str">
        <f t="shared" si="1248"/>
        <v>50011910</v>
      </c>
      <c r="B2385" s="8">
        <v>5001</v>
      </c>
      <c r="C2385" s="8">
        <v>19</v>
      </c>
      <c r="D2385" s="8" t="s">
        <v>62</v>
      </c>
      <c r="E2385" s="8">
        <v>0</v>
      </c>
      <c r="F2385" s="34">
        <f>ROUNDDOWN($P2385/4*$O2385*10*$N2385/$N2385*$Q2385/400,0)</f>
        <v>17274</v>
      </c>
      <c r="G2385" s="34">
        <f>ROUNDDOWN($P2385/4*$O2385*10*$N2385/$N2385*$Q2385/400,0)</f>
        <v>17274</v>
      </c>
      <c r="H2385" s="34">
        <f t="shared" si="1237"/>
        <v>3900</v>
      </c>
      <c r="I2385" s="34">
        <f t="shared" si="1237"/>
        <v>3900</v>
      </c>
      <c r="J2385" s="34">
        <f>ROUNDDOWN($P2385/4*$O2385*10*$N2385/$Q2385*$N2385/400,0)</f>
        <v>26185</v>
      </c>
      <c r="K2385" s="133">
        <v>1000</v>
      </c>
      <c r="L2385" s="34"/>
      <c r="M2385" s="16">
        <f t="shared" si="1231"/>
        <v>3360.0445625616339</v>
      </c>
      <c r="N2385" s="36">
        <v>900</v>
      </c>
      <c r="O2385" s="36">
        <v>0.5</v>
      </c>
      <c r="P2385" s="73">
        <v>7562.076701482074</v>
      </c>
      <c r="Q2385" s="2" t="s">
        <v>124</v>
      </c>
      <c r="S2385" s="36">
        <v>1560</v>
      </c>
    </row>
    <row r="2386" spans="1:19" x14ac:dyDescent="0.2">
      <c r="A2386" s="8" t="str">
        <f t="shared" si="1248"/>
        <v>50011911</v>
      </c>
      <c r="B2386" s="8">
        <v>5001</v>
      </c>
      <c r="C2386" s="8">
        <v>19</v>
      </c>
      <c r="D2386" s="8" t="s">
        <v>62</v>
      </c>
      <c r="E2386" s="8">
        <v>1</v>
      </c>
      <c r="F2386" s="34">
        <f t="shared" ref="F2386:G2389" si="1249">ROUNDDOWN($P2386/4*$O2386*10*$N2386/$N2386*$Q2386/400,0)</f>
        <v>34549</v>
      </c>
      <c r="G2386" s="34">
        <f t="shared" si="1249"/>
        <v>34549</v>
      </c>
      <c r="H2386" s="34">
        <f t="shared" si="1237"/>
        <v>3900</v>
      </c>
      <c r="I2386" s="34">
        <f t="shared" si="1237"/>
        <v>3900</v>
      </c>
      <c r="J2386" s="34">
        <f t="shared" ref="J2386:J2389" si="1250">ROUNDDOWN($P2386/4*$O2386*10*$N2386/$Q2386*$N2386/400,0)</f>
        <v>50069</v>
      </c>
      <c r="K2386" s="133">
        <v>1000</v>
      </c>
      <c r="L2386" s="34"/>
      <c r="M2386" s="16">
        <f t="shared" si="1231"/>
        <v>6570.894434531725</v>
      </c>
      <c r="N2386" s="36">
        <v>880</v>
      </c>
      <c r="O2386" s="36">
        <v>1</v>
      </c>
      <c r="P2386" s="73">
        <v>7562.076701482074</v>
      </c>
      <c r="Q2386" s="2" t="s">
        <v>124</v>
      </c>
      <c r="S2386" s="36">
        <v>1560</v>
      </c>
    </row>
    <row r="2387" spans="1:19" x14ac:dyDescent="0.2">
      <c r="A2387" s="8" t="str">
        <f t="shared" si="1248"/>
        <v>50011912</v>
      </c>
      <c r="B2387" s="8">
        <v>5001</v>
      </c>
      <c r="C2387" s="8">
        <v>19</v>
      </c>
      <c r="D2387" s="8" t="s">
        <v>62</v>
      </c>
      <c r="E2387" s="8">
        <v>2</v>
      </c>
      <c r="F2387" s="34">
        <f t="shared" si="1249"/>
        <v>69098</v>
      </c>
      <c r="G2387" s="34">
        <f t="shared" si="1249"/>
        <v>69098</v>
      </c>
      <c r="H2387" s="34">
        <f t="shared" si="1237"/>
        <v>3900</v>
      </c>
      <c r="I2387" s="34">
        <f t="shared" si="1237"/>
        <v>3900</v>
      </c>
      <c r="J2387" s="34">
        <f t="shared" si="1250"/>
        <v>95638</v>
      </c>
      <c r="K2387" s="133">
        <v>1000</v>
      </c>
      <c r="L2387" s="34"/>
      <c r="M2387" s="16">
        <f t="shared" si="1231"/>
        <v>12843.112057404156</v>
      </c>
      <c r="N2387" s="36">
        <v>860</v>
      </c>
      <c r="O2387" s="36">
        <v>2</v>
      </c>
      <c r="P2387" s="73">
        <v>7562.076701482074</v>
      </c>
      <c r="Q2387" s="2" t="s">
        <v>124</v>
      </c>
      <c r="S2387" s="36">
        <v>1560</v>
      </c>
    </row>
    <row r="2388" spans="1:19" x14ac:dyDescent="0.2">
      <c r="A2388" s="8" t="str">
        <f t="shared" si="1248"/>
        <v>50011913</v>
      </c>
      <c r="B2388" s="8">
        <v>5001</v>
      </c>
      <c r="C2388" s="8">
        <v>19</v>
      </c>
      <c r="D2388" s="8" t="s">
        <v>62</v>
      </c>
      <c r="E2388" s="8">
        <v>3</v>
      </c>
      <c r="F2388" s="34">
        <f t="shared" si="1249"/>
        <v>103647</v>
      </c>
      <c r="G2388" s="34">
        <f t="shared" si="1249"/>
        <v>103647</v>
      </c>
      <c r="H2388" s="34">
        <f t="shared" si="1237"/>
        <v>3900</v>
      </c>
      <c r="I2388" s="34">
        <f t="shared" si="1237"/>
        <v>3900</v>
      </c>
      <c r="J2388" s="34">
        <f t="shared" si="1250"/>
        <v>136862</v>
      </c>
      <c r="K2388" s="133">
        <v>1000</v>
      </c>
      <c r="L2388" s="34"/>
      <c r="M2388" s="16">
        <f t="shared" si="1231"/>
        <v>18816.641023876709</v>
      </c>
      <c r="N2388" s="36">
        <v>840</v>
      </c>
      <c r="O2388" s="36">
        <v>3</v>
      </c>
      <c r="P2388" s="73">
        <v>7562.076701482074</v>
      </c>
      <c r="Q2388" s="2" t="s">
        <v>124</v>
      </c>
      <c r="S2388" s="36">
        <v>1560</v>
      </c>
    </row>
    <row r="2389" spans="1:19" x14ac:dyDescent="0.2">
      <c r="A2389" s="8" t="str">
        <f t="shared" si="1248"/>
        <v>50011914</v>
      </c>
      <c r="B2389" s="8">
        <v>5001</v>
      </c>
      <c r="C2389" s="8">
        <v>19</v>
      </c>
      <c r="D2389" s="8" t="s">
        <v>62</v>
      </c>
      <c r="E2389" s="8">
        <v>4</v>
      </c>
      <c r="F2389" s="34">
        <f t="shared" si="1249"/>
        <v>138196</v>
      </c>
      <c r="G2389" s="34">
        <f t="shared" si="1249"/>
        <v>138196</v>
      </c>
      <c r="H2389" s="34">
        <f t="shared" si="1237"/>
        <v>3900</v>
      </c>
      <c r="I2389" s="34">
        <f t="shared" si="1237"/>
        <v>3900</v>
      </c>
      <c r="J2389" s="34">
        <f t="shared" si="1250"/>
        <v>173896</v>
      </c>
      <c r="K2389" s="133">
        <v>1000</v>
      </c>
      <c r="L2389" s="34"/>
      <c r="M2389" s="16">
        <f t="shared" si="1231"/>
        <v>24491.468333592416</v>
      </c>
      <c r="N2389" s="36">
        <v>820</v>
      </c>
      <c r="O2389" s="36">
        <v>4</v>
      </c>
      <c r="P2389" s="73">
        <v>7562.0767014820685</v>
      </c>
      <c r="Q2389" s="2" t="s">
        <v>124</v>
      </c>
      <c r="S2389" s="36">
        <v>1560</v>
      </c>
    </row>
    <row r="2390" spans="1:19" x14ac:dyDescent="0.2">
      <c r="A2390" s="8" t="str">
        <f t="shared" si="1248"/>
        <v>50012010</v>
      </c>
      <c r="B2390" s="18">
        <v>5001</v>
      </c>
      <c r="C2390" s="18">
        <v>20</v>
      </c>
      <c r="D2390" s="18" t="s">
        <v>62</v>
      </c>
      <c r="E2390" s="18">
        <v>0</v>
      </c>
      <c r="F2390" s="19">
        <f>ROUNDDOWN($P2390/4*$O2390*10*$N2390/$N2390*$Q2390/400,0)</f>
        <v>17994</v>
      </c>
      <c r="G2390" s="19">
        <f>ROUNDDOWN($P2390/4*$O2390*10*$N2390/$N2390*$Q2390/400,0)</f>
        <v>17994</v>
      </c>
      <c r="H2390" s="19">
        <f t="shared" si="1237"/>
        <v>3300</v>
      </c>
      <c r="I2390" s="19">
        <f t="shared" si="1237"/>
        <v>3300</v>
      </c>
      <c r="J2390" s="19">
        <f>ROUNDDOWN($P2390/4*$O2390*10*$N2390/$Q2390*$N2390/400,0)</f>
        <v>27276</v>
      </c>
      <c r="K2390" s="133">
        <v>1000</v>
      </c>
      <c r="L2390" s="19"/>
      <c r="M2390" s="16">
        <f t="shared" si="1231"/>
        <v>3219.5943448329017</v>
      </c>
      <c r="N2390" s="58">
        <v>900</v>
      </c>
      <c r="O2390" s="58">
        <v>0.5</v>
      </c>
      <c r="P2390" s="73">
        <v>7877.1632307104937</v>
      </c>
      <c r="Q2390" s="41" t="s">
        <v>124</v>
      </c>
      <c r="R2390" s="41"/>
      <c r="S2390" s="58">
        <v>1320</v>
      </c>
    </row>
    <row r="2391" spans="1:19" x14ac:dyDescent="0.2">
      <c r="A2391" s="8" t="str">
        <f t="shared" si="1248"/>
        <v>50012011</v>
      </c>
      <c r="B2391" s="18">
        <v>5001</v>
      </c>
      <c r="C2391" s="18">
        <v>20</v>
      </c>
      <c r="D2391" s="18" t="s">
        <v>62</v>
      </c>
      <c r="E2391" s="18">
        <v>1</v>
      </c>
      <c r="F2391" s="19">
        <f t="shared" ref="F2391:G2394" si="1251">ROUNDDOWN($P2391/4*$O2391*10*$N2391/$N2391*$Q2391/400,0)</f>
        <v>35988</v>
      </c>
      <c r="G2391" s="19">
        <f t="shared" si="1251"/>
        <v>35988</v>
      </c>
      <c r="H2391" s="19">
        <f t="shared" si="1237"/>
        <v>3300</v>
      </c>
      <c r="I2391" s="19">
        <f t="shared" si="1237"/>
        <v>3300</v>
      </c>
      <c r="J2391" s="19">
        <f t="shared" ref="J2391:J2394" si="1252">ROUNDDOWN($P2391/4*$O2391*10*$N2391/$Q2391*$N2391/400,0)</f>
        <v>52155</v>
      </c>
      <c r="K2391" s="133">
        <v>1000</v>
      </c>
      <c r="L2391" s="19"/>
      <c r="M2391" s="16">
        <f t="shared" si="1231"/>
        <v>6296.1314659717827</v>
      </c>
      <c r="N2391" s="58">
        <v>880</v>
      </c>
      <c r="O2391" s="58">
        <v>1</v>
      </c>
      <c r="P2391" s="73">
        <v>7877.1632307104937</v>
      </c>
      <c r="Q2391" s="41" t="s">
        <v>124</v>
      </c>
      <c r="R2391" s="41"/>
      <c r="S2391" s="58">
        <v>1320</v>
      </c>
    </row>
    <row r="2392" spans="1:19" x14ac:dyDescent="0.2">
      <c r="A2392" s="8" t="str">
        <f t="shared" si="1248"/>
        <v>50012012</v>
      </c>
      <c r="B2392" s="18">
        <v>5001</v>
      </c>
      <c r="C2392" s="18">
        <v>20</v>
      </c>
      <c r="D2392" s="18" t="s">
        <v>62</v>
      </c>
      <c r="E2392" s="18">
        <v>2</v>
      </c>
      <c r="F2392" s="19">
        <f t="shared" si="1251"/>
        <v>71977</v>
      </c>
      <c r="G2392" s="19">
        <f t="shared" si="1251"/>
        <v>71977</v>
      </c>
      <c r="H2392" s="19">
        <f t="shared" si="1237"/>
        <v>3300</v>
      </c>
      <c r="I2392" s="19">
        <f t="shared" si="1237"/>
        <v>3300</v>
      </c>
      <c r="J2392" s="19">
        <f t="shared" si="1252"/>
        <v>99622</v>
      </c>
      <c r="K2392" s="133">
        <v>1000</v>
      </c>
      <c r="L2392" s="19"/>
      <c r="M2392" s="16">
        <f t="shared" si="1231"/>
        <v>12306.128785986275</v>
      </c>
      <c r="N2392" s="58">
        <v>860</v>
      </c>
      <c r="O2392" s="58">
        <v>2</v>
      </c>
      <c r="P2392" s="73">
        <v>7877.1632307104937</v>
      </c>
      <c r="Q2392" s="41" t="s">
        <v>124</v>
      </c>
      <c r="R2392" s="41"/>
      <c r="S2392" s="58">
        <v>1320</v>
      </c>
    </row>
    <row r="2393" spans="1:19" x14ac:dyDescent="0.2">
      <c r="A2393" s="8" t="str">
        <f t="shared" si="1248"/>
        <v>50012013</v>
      </c>
      <c r="B2393" s="18">
        <v>5001</v>
      </c>
      <c r="C2393" s="18">
        <v>20</v>
      </c>
      <c r="D2393" s="18" t="s">
        <v>62</v>
      </c>
      <c r="E2393" s="18">
        <v>3</v>
      </c>
      <c r="F2393" s="19">
        <f t="shared" si="1251"/>
        <v>107966</v>
      </c>
      <c r="G2393" s="19">
        <f t="shared" si="1251"/>
        <v>107966</v>
      </c>
      <c r="H2393" s="19">
        <f t="shared" si="1237"/>
        <v>3300</v>
      </c>
      <c r="I2393" s="19">
        <f t="shared" si="1237"/>
        <v>3300</v>
      </c>
      <c r="J2393" s="19">
        <f t="shared" si="1252"/>
        <v>142564</v>
      </c>
      <c r="K2393" s="133">
        <v>1000</v>
      </c>
      <c r="L2393" s="19"/>
      <c r="M2393" s="16">
        <f t="shared" si="1231"/>
        <v>18029.986386098022</v>
      </c>
      <c r="N2393" s="58">
        <v>840</v>
      </c>
      <c r="O2393" s="58">
        <v>3</v>
      </c>
      <c r="P2393" s="73">
        <v>7877.1632307104937</v>
      </c>
      <c r="Q2393" s="41" t="s">
        <v>124</v>
      </c>
      <c r="R2393" s="41"/>
      <c r="S2393" s="58">
        <v>1320</v>
      </c>
    </row>
    <row r="2394" spans="1:19" x14ac:dyDescent="0.2">
      <c r="A2394" s="8" t="str">
        <f t="shared" si="1248"/>
        <v>50012014</v>
      </c>
      <c r="B2394" s="18">
        <v>5001</v>
      </c>
      <c r="C2394" s="18">
        <v>20</v>
      </c>
      <c r="D2394" s="18" t="s">
        <v>62</v>
      </c>
      <c r="E2394" s="18">
        <v>4</v>
      </c>
      <c r="F2394" s="19">
        <f t="shared" si="1251"/>
        <v>143955</v>
      </c>
      <c r="G2394" s="19">
        <f t="shared" si="1251"/>
        <v>143955</v>
      </c>
      <c r="H2394" s="19">
        <f t="shared" si="1237"/>
        <v>3300</v>
      </c>
      <c r="I2394" s="19">
        <f t="shared" si="1237"/>
        <v>3300</v>
      </c>
      <c r="J2394" s="19">
        <f t="shared" si="1252"/>
        <v>181142</v>
      </c>
      <c r="K2394" s="133">
        <v>1000</v>
      </c>
      <c r="L2394" s="19"/>
      <c r="M2394" s="16">
        <f t="shared" si="1231"/>
        <v>23467.666786521411</v>
      </c>
      <c r="N2394" s="58">
        <v>820</v>
      </c>
      <c r="O2394" s="58">
        <v>4</v>
      </c>
      <c r="P2394" s="73">
        <v>7877.1632307104937</v>
      </c>
      <c r="Q2394" s="41" t="s">
        <v>124</v>
      </c>
      <c r="R2394" s="41"/>
      <c r="S2394" s="58">
        <v>1320</v>
      </c>
    </row>
    <row r="2395" spans="1:19" x14ac:dyDescent="0.2">
      <c r="A2395" s="8" t="str">
        <f t="shared" si="1248"/>
        <v>50012110</v>
      </c>
      <c r="B2395" s="8">
        <v>5001</v>
      </c>
      <c r="C2395" s="8">
        <v>21</v>
      </c>
      <c r="D2395" s="8" t="s">
        <v>62</v>
      </c>
      <c r="E2395" s="8">
        <v>0</v>
      </c>
      <c r="F2395" s="34">
        <f>ROUNDDOWN($P2395/4*$O2395*10*$N2395/$N2395*$Q2395/400,0)</f>
        <v>18744</v>
      </c>
      <c r="G2395" s="34">
        <f>ROUNDDOWN($P2395/4*$O2395*10*$N2395/$N2395*$Q2395/400,0)</f>
        <v>18744</v>
      </c>
      <c r="H2395" s="34">
        <f t="shared" si="1237"/>
        <v>4800</v>
      </c>
      <c r="I2395" s="34">
        <f t="shared" si="1237"/>
        <v>4800</v>
      </c>
      <c r="J2395" s="34">
        <f>ROUNDDOWN($P2395/4*$O2395*10*$N2395/$Q2395*$N2395/400,0)</f>
        <v>28412</v>
      </c>
      <c r="K2395" s="133">
        <v>1000</v>
      </c>
      <c r="L2395" s="34"/>
      <c r="M2395" s="16">
        <f t="shared" si="1231"/>
        <v>4044.758966880474</v>
      </c>
      <c r="N2395" s="36">
        <v>900</v>
      </c>
      <c r="O2395" s="36">
        <v>0.5</v>
      </c>
      <c r="P2395" s="73">
        <v>8205.3783653234314</v>
      </c>
      <c r="Q2395" s="2" t="s">
        <v>124</v>
      </c>
      <c r="S2395" s="36">
        <v>1920</v>
      </c>
    </row>
    <row r="2396" spans="1:19" x14ac:dyDescent="0.2">
      <c r="A2396" s="8" t="str">
        <f t="shared" si="1248"/>
        <v>50012111</v>
      </c>
      <c r="B2396" s="8">
        <v>5001</v>
      </c>
      <c r="C2396" s="8">
        <v>21</v>
      </c>
      <c r="D2396" s="8" t="s">
        <v>62</v>
      </c>
      <c r="E2396" s="8">
        <v>1</v>
      </c>
      <c r="F2396" s="34">
        <f t="shared" ref="F2396:G2399" si="1253">ROUNDDOWN($P2396/4*$O2396*10*$N2396/$N2396*$Q2396/400,0)</f>
        <v>37488</v>
      </c>
      <c r="G2396" s="34">
        <f t="shared" si="1253"/>
        <v>37488</v>
      </c>
      <c r="H2396" s="34">
        <f t="shared" si="1237"/>
        <v>4800</v>
      </c>
      <c r="I2396" s="34">
        <f t="shared" si="1237"/>
        <v>4800</v>
      </c>
      <c r="J2396" s="34">
        <f t="shared" ref="J2396:J2399" si="1254">ROUNDDOWN($P2396/4*$O2396*10*$N2396/$Q2396*$N2396/400,0)</f>
        <v>54328</v>
      </c>
      <c r="K2396" s="133">
        <v>1000</v>
      </c>
      <c r="L2396" s="34"/>
      <c r="M2396" s="16">
        <f t="shared" si="1231"/>
        <v>7909.8564162745715</v>
      </c>
      <c r="N2396" s="36">
        <v>880</v>
      </c>
      <c r="O2396" s="36">
        <v>1</v>
      </c>
      <c r="P2396" s="73">
        <v>8205.3783653234314</v>
      </c>
      <c r="Q2396" s="2" t="s">
        <v>124</v>
      </c>
      <c r="S2396" s="36">
        <v>1920</v>
      </c>
    </row>
    <row r="2397" spans="1:19" x14ac:dyDescent="0.2">
      <c r="A2397" s="8" t="str">
        <f t="shared" si="1248"/>
        <v>50012112</v>
      </c>
      <c r="B2397" s="8">
        <v>5001</v>
      </c>
      <c r="C2397" s="8">
        <v>21</v>
      </c>
      <c r="D2397" s="8" t="s">
        <v>62</v>
      </c>
      <c r="E2397" s="8">
        <v>2</v>
      </c>
      <c r="F2397" s="34">
        <f t="shared" si="1253"/>
        <v>74976</v>
      </c>
      <c r="G2397" s="34">
        <f t="shared" si="1253"/>
        <v>74976</v>
      </c>
      <c r="H2397" s="34">
        <f t="shared" si="1237"/>
        <v>4800</v>
      </c>
      <c r="I2397" s="34">
        <f t="shared" si="1237"/>
        <v>4800</v>
      </c>
      <c r="J2397" s="34">
        <f t="shared" si="1254"/>
        <v>103773</v>
      </c>
      <c r="K2397" s="133">
        <v>1000</v>
      </c>
      <c r="L2397" s="34"/>
      <c r="M2397" s="16">
        <f t="shared" si="1231"/>
        <v>15460.157898370897</v>
      </c>
      <c r="N2397" s="36">
        <v>860</v>
      </c>
      <c r="O2397" s="36">
        <v>2</v>
      </c>
      <c r="P2397" s="73">
        <v>8205.3783653234314</v>
      </c>
      <c r="Q2397" s="2" t="s">
        <v>124</v>
      </c>
      <c r="S2397" s="36">
        <v>1920</v>
      </c>
    </row>
    <row r="2398" spans="1:19" x14ac:dyDescent="0.2">
      <c r="A2398" s="8" t="str">
        <f t="shared" si="1248"/>
        <v>50012113</v>
      </c>
      <c r="B2398" s="8">
        <v>5001</v>
      </c>
      <c r="C2398" s="8">
        <v>21</v>
      </c>
      <c r="D2398" s="8" t="s">
        <v>62</v>
      </c>
      <c r="E2398" s="8">
        <v>3</v>
      </c>
      <c r="F2398" s="34">
        <f t="shared" si="1253"/>
        <v>112464</v>
      </c>
      <c r="G2398" s="34">
        <f t="shared" si="1253"/>
        <v>112464</v>
      </c>
      <c r="H2398" s="34">
        <f t="shared" si="1237"/>
        <v>4800</v>
      </c>
      <c r="I2398" s="34">
        <f t="shared" si="1237"/>
        <v>4800</v>
      </c>
      <c r="J2398" s="34">
        <f t="shared" si="1254"/>
        <v>148505</v>
      </c>
      <c r="K2398" s="133">
        <v>1000</v>
      </c>
      <c r="L2398" s="34"/>
      <c r="M2398" s="16">
        <f t="shared" si="1231"/>
        <v>22651.027467874388</v>
      </c>
      <c r="N2398" s="36">
        <v>840</v>
      </c>
      <c r="O2398" s="36">
        <v>3</v>
      </c>
      <c r="P2398" s="73">
        <v>8205.3783653234314</v>
      </c>
      <c r="Q2398" s="2" t="s">
        <v>124</v>
      </c>
      <c r="S2398" s="36">
        <v>1920</v>
      </c>
    </row>
    <row r="2399" spans="1:19" x14ac:dyDescent="0.2">
      <c r="A2399" s="8" t="str">
        <f t="shared" si="1248"/>
        <v>50012114</v>
      </c>
      <c r="B2399" s="8">
        <v>5001</v>
      </c>
      <c r="C2399" s="8">
        <v>21</v>
      </c>
      <c r="D2399" s="8" t="s">
        <v>62</v>
      </c>
      <c r="E2399" s="8">
        <v>4</v>
      </c>
      <c r="F2399" s="34">
        <f t="shared" si="1253"/>
        <v>149953</v>
      </c>
      <c r="G2399" s="34">
        <f t="shared" si="1253"/>
        <v>149953</v>
      </c>
      <c r="H2399" s="34">
        <f t="shared" si="1237"/>
        <v>4800</v>
      </c>
      <c r="I2399" s="34">
        <f t="shared" si="1237"/>
        <v>4800</v>
      </c>
      <c r="J2399" s="34">
        <f t="shared" si="1254"/>
        <v>188690</v>
      </c>
      <c r="K2399" s="133">
        <v>1000</v>
      </c>
      <c r="L2399" s="34"/>
      <c r="M2399" s="16">
        <f t="shared" ref="M2399:M2462" si="1255">(F2399*J2399*((H2399+I2399)/2)/1000)^(1/2)/10*0.8</f>
        <v>29482.385958914518</v>
      </c>
      <c r="N2399" s="36">
        <v>820</v>
      </c>
      <c r="O2399" s="36">
        <v>4</v>
      </c>
      <c r="P2399" s="73">
        <v>8205.3783653234314</v>
      </c>
      <c r="Q2399" s="2" t="s">
        <v>124</v>
      </c>
      <c r="S2399" s="36">
        <v>1920</v>
      </c>
    </row>
    <row r="2400" spans="1:19" x14ac:dyDescent="0.2">
      <c r="A2400" s="8" t="str">
        <f t="shared" si="1248"/>
        <v>50012210</v>
      </c>
      <c r="B2400" s="8">
        <v>5001</v>
      </c>
      <c r="C2400" s="8">
        <v>22</v>
      </c>
      <c r="D2400" s="8" t="s">
        <v>62</v>
      </c>
      <c r="E2400" s="8">
        <v>0</v>
      </c>
      <c r="F2400" s="34">
        <f>ROUNDDOWN($P2400/4*$O2400*10*$N2400/$N2400*$Q2400/400,0)</f>
        <v>19525</v>
      </c>
      <c r="G2400" s="34">
        <f>ROUNDDOWN($P2400/4*$O2400*10*$N2400/$N2400*$Q2400/400,0)</f>
        <v>19525</v>
      </c>
      <c r="H2400" s="34">
        <f t="shared" si="1237"/>
        <v>4800</v>
      </c>
      <c r="I2400" s="34">
        <f t="shared" si="1237"/>
        <v>4800</v>
      </c>
      <c r="J2400" s="34">
        <f>ROUNDDOWN($P2400/4*$O2400*10*$N2400/$Q2400*$N2400/400,0)</f>
        <v>29596</v>
      </c>
      <c r="K2400" s="133">
        <v>1000</v>
      </c>
      <c r="L2400" s="34"/>
      <c r="M2400" s="16">
        <f t="shared" si="1255"/>
        <v>4213.3024538952814</v>
      </c>
      <c r="N2400" s="36">
        <v>900</v>
      </c>
      <c r="O2400" s="36">
        <v>0.5</v>
      </c>
      <c r="P2400" s="73">
        <v>8547.2691305452427</v>
      </c>
      <c r="Q2400" s="2" t="s">
        <v>124</v>
      </c>
      <c r="S2400" s="36">
        <v>1920</v>
      </c>
    </row>
    <row r="2401" spans="1:20" x14ac:dyDescent="0.2">
      <c r="A2401" s="8" t="str">
        <f t="shared" si="1248"/>
        <v>50012211</v>
      </c>
      <c r="B2401" s="8">
        <v>5001</v>
      </c>
      <c r="C2401" s="8">
        <v>22</v>
      </c>
      <c r="D2401" s="8" t="s">
        <v>62</v>
      </c>
      <c r="E2401" s="8">
        <v>1</v>
      </c>
      <c r="F2401" s="34">
        <f t="shared" ref="F2401:G2404" si="1256">ROUNDDOWN($P2401/4*$O2401*10*$N2401/$N2401*$Q2401/400,0)</f>
        <v>39050</v>
      </c>
      <c r="G2401" s="34">
        <f t="shared" si="1256"/>
        <v>39050</v>
      </c>
      <c r="H2401" s="34">
        <f t="shared" si="1237"/>
        <v>4800</v>
      </c>
      <c r="I2401" s="34">
        <f t="shared" si="1237"/>
        <v>4800</v>
      </c>
      <c r="J2401" s="34">
        <f t="shared" ref="J2401:J2404" si="1257">ROUNDDOWN($P2401/4*$O2401*10*$N2401/$Q2401*$N2401/400,0)</f>
        <v>56592</v>
      </c>
      <c r="K2401" s="133">
        <v>1000</v>
      </c>
      <c r="L2401" s="34"/>
      <c r="M2401" s="16">
        <f t="shared" si="1255"/>
        <v>8239.4580326620999</v>
      </c>
      <c r="N2401" s="36">
        <v>880</v>
      </c>
      <c r="O2401" s="36">
        <v>1</v>
      </c>
      <c r="P2401" s="73">
        <v>8547.2691305452427</v>
      </c>
      <c r="Q2401" s="2" t="s">
        <v>124</v>
      </c>
      <c r="S2401" s="36">
        <v>1920</v>
      </c>
    </row>
    <row r="2402" spans="1:20" x14ac:dyDescent="0.2">
      <c r="A2402" s="8" t="str">
        <f t="shared" si="1248"/>
        <v>50012212</v>
      </c>
      <c r="B2402" s="8">
        <v>5001</v>
      </c>
      <c r="C2402" s="8">
        <v>22</v>
      </c>
      <c r="D2402" s="8" t="s">
        <v>62</v>
      </c>
      <c r="E2402" s="8">
        <v>2</v>
      </c>
      <c r="F2402" s="34">
        <f t="shared" si="1256"/>
        <v>78100</v>
      </c>
      <c r="G2402" s="34">
        <f t="shared" si="1256"/>
        <v>78100</v>
      </c>
      <c r="H2402" s="34">
        <f t="shared" si="1237"/>
        <v>4800</v>
      </c>
      <c r="I2402" s="34">
        <f t="shared" si="1237"/>
        <v>4800</v>
      </c>
      <c r="J2402" s="34">
        <f t="shared" si="1257"/>
        <v>108097</v>
      </c>
      <c r="K2402" s="133">
        <v>1000</v>
      </c>
      <c r="L2402" s="34"/>
      <c r="M2402" s="16">
        <f t="shared" si="1255"/>
        <v>16104.340455417601</v>
      </c>
      <c r="N2402" s="36">
        <v>860</v>
      </c>
      <c r="O2402" s="36">
        <v>2</v>
      </c>
      <c r="P2402" s="73">
        <v>8547.2691305452427</v>
      </c>
      <c r="Q2402" s="2" t="s">
        <v>124</v>
      </c>
      <c r="S2402" s="36">
        <v>1920</v>
      </c>
    </row>
    <row r="2403" spans="1:20" x14ac:dyDescent="0.2">
      <c r="A2403" s="8" t="str">
        <f t="shared" si="1248"/>
        <v>50012213</v>
      </c>
      <c r="B2403" s="8">
        <v>5001</v>
      </c>
      <c r="C2403" s="8">
        <v>22</v>
      </c>
      <c r="D2403" s="8" t="s">
        <v>62</v>
      </c>
      <c r="E2403" s="8">
        <v>3</v>
      </c>
      <c r="F2403" s="34">
        <f t="shared" si="1256"/>
        <v>117151</v>
      </c>
      <c r="G2403" s="34">
        <f t="shared" si="1256"/>
        <v>117151</v>
      </c>
      <c r="H2403" s="34">
        <f t="shared" si="1237"/>
        <v>4800</v>
      </c>
      <c r="I2403" s="34">
        <f t="shared" si="1237"/>
        <v>4800</v>
      </c>
      <c r="J2403" s="34">
        <f t="shared" si="1257"/>
        <v>154692</v>
      </c>
      <c r="K2403" s="133">
        <v>1000</v>
      </c>
      <c r="L2403" s="34"/>
      <c r="M2403" s="16">
        <f t="shared" si="1255"/>
        <v>23594.866961994936</v>
      </c>
      <c r="N2403" s="36">
        <v>840</v>
      </c>
      <c r="O2403" s="36">
        <v>3</v>
      </c>
      <c r="P2403" s="73">
        <v>8547.2691305452427</v>
      </c>
      <c r="Q2403" s="2" t="s">
        <v>124</v>
      </c>
      <c r="S2403" s="36">
        <v>1920</v>
      </c>
    </row>
    <row r="2404" spans="1:20" x14ac:dyDescent="0.2">
      <c r="A2404" s="8" t="str">
        <f t="shared" si="1248"/>
        <v>50012214</v>
      </c>
      <c r="B2404" s="8">
        <v>5001</v>
      </c>
      <c r="C2404" s="8">
        <v>22</v>
      </c>
      <c r="D2404" s="8" t="s">
        <v>62</v>
      </c>
      <c r="E2404" s="8">
        <v>4</v>
      </c>
      <c r="F2404" s="34">
        <f t="shared" si="1256"/>
        <v>156201</v>
      </c>
      <c r="G2404" s="34">
        <f t="shared" si="1256"/>
        <v>156201</v>
      </c>
      <c r="H2404" s="34">
        <f t="shared" si="1237"/>
        <v>4800</v>
      </c>
      <c r="I2404" s="34">
        <f t="shared" si="1237"/>
        <v>4800</v>
      </c>
      <c r="J2404" s="34">
        <f t="shared" si="1257"/>
        <v>196552</v>
      </c>
      <c r="K2404" s="133">
        <v>1000</v>
      </c>
      <c r="L2404" s="34"/>
      <c r="M2404" s="16">
        <f t="shared" si="1255"/>
        <v>30710.808100820796</v>
      </c>
      <c r="N2404" s="36">
        <v>820</v>
      </c>
      <c r="O2404" s="36">
        <v>4</v>
      </c>
      <c r="P2404" s="73">
        <v>8547.2691305452427</v>
      </c>
      <c r="Q2404" s="2" t="s">
        <v>124</v>
      </c>
      <c r="S2404" s="36">
        <v>1920</v>
      </c>
    </row>
    <row r="2405" spans="1:20" x14ac:dyDescent="0.2">
      <c r="A2405" s="8" t="str">
        <f t="shared" si="1248"/>
        <v>50012310</v>
      </c>
      <c r="B2405" s="8">
        <v>5001</v>
      </c>
      <c r="C2405" s="8">
        <v>23</v>
      </c>
      <c r="D2405" s="8" t="s">
        <v>62</v>
      </c>
      <c r="E2405" s="8">
        <v>0</v>
      </c>
      <c r="F2405" s="34">
        <f>ROUNDDOWN($P2405/4*$O2405*10*$N2405/$N2405*$Q2405/400,0)</f>
        <v>20338</v>
      </c>
      <c r="G2405" s="34">
        <f>ROUNDDOWN($P2405/4*$O2405*10*$N2405/$N2405*$Q2405/400,0)</f>
        <v>20338</v>
      </c>
      <c r="H2405" s="34">
        <f t="shared" si="1237"/>
        <v>5100</v>
      </c>
      <c r="I2405" s="34">
        <f t="shared" si="1237"/>
        <v>5100</v>
      </c>
      <c r="J2405" s="34">
        <f>ROUNDDOWN($P2405/4*$O2405*10*$N2405/$Q2405*$N2405/400,0)</f>
        <v>30830</v>
      </c>
      <c r="K2405" s="133">
        <v>1000</v>
      </c>
      <c r="L2405" s="34"/>
      <c r="M2405" s="16">
        <f t="shared" si="1255"/>
        <v>4523.9308599491224</v>
      </c>
      <c r="N2405" s="36">
        <v>900</v>
      </c>
      <c r="O2405" s="36">
        <v>0.5</v>
      </c>
      <c r="P2405" s="73">
        <v>8903.40534431796</v>
      </c>
      <c r="Q2405" s="2" t="s">
        <v>124</v>
      </c>
      <c r="S2405" s="36">
        <v>2040</v>
      </c>
    </row>
    <row r="2406" spans="1:20" x14ac:dyDescent="0.2">
      <c r="A2406" s="8" t="str">
        <f t="shared" si="1248"/>
        <v>50012311</v>
      </c>
      <c r="B2406" s="8">
        <v>5001</v>
      </c>
      <c r="C2406" s="8">
        <v>23</v>
      </c>
      <c r="D2406" s="8" t="s">
        <v>62</v>
      </c>
      <c r="E2406" s="8">
        <v>1</v>
      </c>
      <c r="F2406" s="34">
        <f t="shared" ref="F2406:G2409" si="1258">ROUNDDOWN($P2406/4*$O2406*10*$N2406/$N2406*$Q2406/400,0)</f>
        <v>40677</v>
      </c>
      <c r="G2406" s="34">
        <f t="shared" si="1258"/>
        <v>40677</v>
      </c>
      <c r="H2406" s="34">
        <f t="shared" si="1237"/>
        <v>5100</v>
      </c>
      <c r="I2406" s="34">
        <f t="shared" si="1237"/>
        <v>5100</v>
      </c>
      <c r="J2406" s="34">
        <f t="shared" ref="J2406:J2409" si="1259">ROUNDDOWN($P2406/4*$O2406*10*$N2406/$Q2406*$N2406/400,0)</f>
        <v>58950</v>
      </c>
      <c r="K2406" s="133">
        <v>1000</v>
      </c>
      <c r="L2406" s="34"/>
      <c r="M2406" s="16">
        <f t="shared" si="1255"/>
        <v>8846.9065020491762</v>
      </c>
      <c r="N2406" s="36">
        <v>880</v>
      </c>
      <c r="O2406" s="36">
        <v>1</v>
      </c>
      <c r="P2406" s="73">
        <v>8903.40534431796</v>
      </c>
      <c r="Q2406" s="2" t="s">
        <v>124</v>
      </c>
      <c r="S2406" s="36">
        <v>2040</v>
      </c>
    </row>
    <row r="2407" spans="1:20" x14ac:dyDescent="0.2">
      <c r="A2407" s="8" t="str">
        <f t="shared" si="1248"/>
        <v>50012312</v>
      </c>
      <c r="B2407" s="8">
        <v>5001</v>
      </c>
      <c r="C2407" s="8">
        <v>23</v>
      </c>
      <c r="D2407" s="8" t="s">
        <v>62</v>
      </c>
      <c r="E2407" s="8">
        <v>2</v>
      </c>
      <c r="F2407" s="34">
        <f t="shared" si="1258"/>
        <v>81354</v>
      </c>
      <c r="G2407" s="34">
        <f t="shared" si="1258"/>
        <v>81354</v>
      </c>
      <c r="H2407" s="34">
        <f t="shared" si="1237"/>
        <v>5100</v>
      </c>
      <c r="I2407" s="34">
        <f t="shared" si="1237"/>
        <v>5100</v>
      </c>
      <c r="J2407" s="34">
        <f t="shared" si="1259"/>
        <v>112601</v>
      </c>
      <c r="K2407" s="133">
        <v>1000</v>
      </c>
      <c r="L2407" s="34"/>
      <c r="M2407" s="16">
        <f t="shared" si="1255"/>
        <v>17291.618861476218</v>
      </c>
      <c r="N2407" s="36">
        <v>860</v>
      </c>
      <c r="O2407" s="36">
        <v>2</v>
      </c>
      <c r="P2407" s="73">
        <v>8903.40534431796</v>
      </c>
      <c r="Q2407" s="2" t="s">
        <v>124</v>
      </c>
      <c r="S2407" s="36">
        <v>2040</v>
      </c>
    </row>
    <row r="2408" spans="1:20" x14ac:dyDescent="0.2">
      <c r="A2408" s="8" t="str">
        <f t="shared" si="1248"/>
        <v>50012313</v>
      </c>
      <c r="B2408" s="8">
        <v>5001</v>
      </c>
      <c r="C2408" s="8">
        <v>23</v>
      </c>
      <c r="D2408" s="8" t="s">
        <v>62</v>
      </c>
      <c r="E2408" s="8">
        <v>3</v>
      </c>
      <c r="F2408" s="34">
        <f t="shared" si="1258"/>
        <v>122032</v>
      </c>
      <c r="G2408" s="34">
        <f t="shared" si="1258"/>
        <v>122032</v>
      </c>
      <c r="H2408" s="34">
        <f t="shared" si="1237"/>
        <v>5100</v>
      </c>
      <c r="I2408" s="34">
        <f t="shared" si="1237"/>
        <v>5100</v>
      </c>
      <c r="J2408" s="34">
        <f t="shared" si="1259"/>
        <v>161138</v>
      </c>
      <c r="K2408" s="133">
        <v>1000</v>
      </c>
      <c r="L2408" s="34"/>
      <c r="M2408" s="16">
        <f t="shared" si="1255"/>
        <v>25334.41754724667</v>
      </c>
      <c r="N2408" s="36">
        <v>840</v>
      </c>
      <c r="O2408" s="36">
        <v>3</v>
      </c>
      <c r="P2408" s="73">
        <v>8903.40534431796</v>
      </c>
      <c r="Q2408" s="2" t="s">
        <v>124</v>
      </c>
      <c r="S2408" s="36">
        <v>2040</v>
      </c>
    </row>
    <row r="2409" spans="1:20" x14ac:dyDescent="0.2">
      <c r="A2409" s="8" t="str">
        <f t="shared" si="1248"/>
        <v>50012314</v>
      </c>
      <c r="B2409" s="8">
        <v>5001</v>
      </c>
      <c r="C2409" s="8">
        <v>23</v>
      </c>
      <c r="D2409" s="8" t="s">
        <v>62</v>
      </c>
      <c r="E2409" s="8">
        <v>4</v>
      </c>
      <c r="F2409" s="34">
        <f t="shared" si="1258"/>
        <v>162709</v>
      </c>
      <c r="G2409" s="34">
        <f t="shared" si="1258"/>
        <v>162709</v>
      </c>
      <c r="H2409" s="34">
        <f t="shared" si="1237"/>
        <v>5100</v>
      </c>
      <c r="I2409" s="34">
        <f t="shared" si="1237"/>
        <v>5100</v>
      </c>
      <c r="J2409" s="34">
        <f t="shared" si="1259"/>
        <v>204741</v>
      </c>
      <c r="K2409" s="133">
        <v>1000</v>
      </c>
      <c r="L2409" s="34"/>
      <c r="M2409" s="16">
        <f t="shared" si="1255"/>
        <v>32974.883744513187</v>
      </c>
      <c r="N2409" s="36">
        <v>820</v>
      </c>
      <c r="O2409" s="36">
        <v>4</v>
      </c>
      <c r="P2409" s="73">
        <v>8903.40534431796</v>
      </c>
      <c r="Q2409" s="2" t="s">
        <v>124</v>
      </c>
      <c r="S2409" s="36">
        <v>2040</v>
      </c>
    </row>
    <row r="2410" spans="1:20" x14ac:dyDescent="0.2">
      <c r="A2410" s="8" t="str">
        <f t="shared" si="1248"/>
        <v>50012410</v>
      </c>
      <c r="B2410" s="8">
        <v>5001</v>
      </c>
      <c r="C2410" s="8">
        <v>24</v>
      </c>
      <c r="D2410" s="8" t="s">
        <v>62</v>
      </c>
      <c r="E2410" s="8">
        <v>0</v>
      </c>
      <c r="F2410" s="34">
        <f>ROUNDDOWN($P2410/4*$O2410*10*$N2410/$N2410*$Q2410/400,0)</f>
        <v>21186</v>
      </c>
      <c r="G2410" s="34">
        <f>ROUNDDOWN($P2410/4*$O2410*10*$N2410/$N2410*$Q2410/400,0)</f>
        <v>21186</v>
      </c>
      <c r="H2410" s="34">
        <f t="shared" si="1237"/>
        <v>5400</v>
      </c>
      <c r="I2410" s="34">
        <f t="shared" si="1237"/>
        <v>5400</v>
      </c>
      <c r="J2410" s="34">
        <f>ROUNDDOWN($P2410/4*$O2410*10*$N2410/$Q2410*$N2410/400,0)</f>
        <v>32114</v>
      </c>
      <c r="K2410" s="133">
        <v>1000</v>
      </c>
      <c r="L2410" s="34"/>
      <c r="M2410" s="16">
        <f t="shared" si="1255"/>
        <v>4849.0711038548397</v>
      </c>
      <c r="N2410" s="36">
        <v>900</v>
      </c>
      <c r="O2410" s="36">
        <v>0.5</v>
      </c>
      <c r="P2410" s="73">
        <v>9274.3805669978756</v>
      </c>
      <c r="Q2410" s="2" t="s">
        <v>124</v>
      </c>
      <c r="S2410" s="36">
        <v>2160</v>
      </c>
    </row>
    <row r="2411" spans="1:20" x14ac:dyDescent="0.2">
      <c r="A2411" s="8" t="str">
        <f t="shared" si="1248"/>
        <v>50012411</v>
      </c>
      <c r="B2411" s="8">
        <v>5001</v>
      </c>
      <c r="C2411" s="8">
        <v>24</v>
      </c>
      <c r="D2411" s="8" t="s">
        <v>62</v>
      </c>
      <c r="E2411" s="8">
        <v>1</v>
      </c>
      <c r="F2411" s="34">
        <f t="shared" ref="F2411:G2414" si="1260">ROUNDDOWN($P2411/4*$O2411*10*$N2411/$N2411*$Q2411/400,0)</f>
        <v>42372</v>
      </c>
      <c r="G2411" s="34">
        <f t="shared" si="1260"/>
        <v>42372</v>
      </c>
      <c r="H2411" s="34">
        <f t="shared" si="1237"/>
        <v>5400</v>
      </c>
      <c r="I2411" s="34">
        <f t="shared" si="1237"/>
        <v>5400</v>
      </c>
      <c r="J2411" s="34">
        <f t="shared" ref="J2411:J2414" si="1261">ROUNDDOWN($P2411/4*$O2411*10*$N2411/$Q2411*$N2411/400,0)</f>
        <v>61406</v>
      </c>
      <c r="K2411" s="133">
        <v>1000</v>
      </c>
      <c r="L2411" s="34"/>
      <c r="M2411" s="16">
        <f t="shared" si="1255"/>
        <v>9482.6943589846869</v>
      </c>
      <c r="N2411" s="36">
        <v>880</v>
      </c>
      <c r="O2411" s="36">
        <v>1</v>
      </c>
      <c r="P2411" s="73">
        <v>9274.3805669978756</v>
      </c>
      <c r="Q2411" s="2" t="s">
        <v>124</v>
      </c>
      <c r="S2411" s="36">
        <v>2160</v>
      </c>
    </row>
    <row r="2412" spans="1:20" x14ac:dyDescent="0.2">
      <c r="A2412" s="8" t="str">
        <f t="shared" si="1248"/>
        <v>50012412</v>
      </c>
      <c r="B2412" s="8">
        <v>5001</v>
      </c>
      <c r="C2412" s="8">
        <v>24</v>
      </c>
      <c r="D2412" s="8" t="s">
        <v>62</v>
      </c>
      <c r="E2412" s="8">
        <v>2</v>
      </c>
      <c r="F2412" s="34">
        <f t="shared" si="1260"/>
        <v>84744</v>
      </c>
      <c r="G2412" s="34">
        <f t="shared" si="1260"/>
        <v>84744</v>
      </c>
      <c r="H2412" s="34">
        <f t="shared" si="1237"/>
        <v>5400</v>
      </c>
      <c r="I2412" s="34">
        <f t="shared" si="1237"/>
        <v>5400</v>
      </c>
      <c r="J2412" s="34">
        <f t="shared" si="1261"/>
        <v>117293</v>
      </c>
      <c r="K2412" s="133">
        <v>1000</v>
      </c>
      <c r="L2412" s="34"/>
      <c r="M2412" s="16">
        <f t="shared" si="1255"/>
        <v>18534.351442754076</v>
      </c>
      <c r="N2412" s="36">
        <v>860</v>
      </c>
      <c r="O2412" s="36">
        <v>2</v>
      </c>
      <c r="P2412" s="73">
        <v>9274.3805669978756</v>
      </c>
      <c r="Q2412" s="2" t="s">
        <v>124</v>
      </c>
      <c r="S2412" s="36">
        <v>2160</v>
      </c>
    </row>
    <row r="2413" spans="1:20" x14ac:dyDescent="0.2">
      <c r="A2413" s="8" t="str">
        <f t="shared" si="1248"/>
        <v>50012413</v>
      </c>
      <c r="B2413" s="8">
        <v>5001</v>
      </c>
      <c r="C2413" s="8">
        <v>24</v>
      </c>
      <c r="D2413" s="8" t="s">
        <v>62</v>
      </c>
      <c r="E2413" s="8">
        <v>3</v>
      </c>
      <c r="F2413" s="34">
        <f t="shared" si="1260"/>
        <v>127116</v>
      </c>
      <c r="G2413" s="34">
        <f t="shared" si="1260"/>
        <v>127116</v>
      </c>
      <c r="H2413" s="34">
        <f t="shared" si="1237"/>
        <v>5400</v>
      </c>
      <c r="I2413" s="34">
        <f t="shared" si="1237"/>
        <v>5400</v>
      </c>
      <c r="J2413" s="34">
        <f t="shared" si="1261"/>
        <v>167852</v>
      </c>
      <c r="K2413" s="133">
        <v>1000</v>
      </c>
      <c r="L2413" s="34"/>
      <c r="M2413" s="16">
        <f t="shared" si="1255"/>
        <v>27155.026831029274</v>
      </c>
      <c r="N2413" s="36">
        <v>840</v>
      </c>
      <c r="O2413" s="36">
        <v>3</v>
      </c>
      <c r="P2413" s="73">
        <v>9274.3805669978756</v>
      </c>
      <c r="Q2413" s="2" t="s">
        <v>124</v>
      </c>
      <c r="S2413" s="36">
        <v>2160</v>
      </c>
      <c r="T2413" s="266"/>
    </row>
    <row r="2414" spans="1:20" x14ac:dyDescent="0.2">
      <c r="A2414" s="8" t="str">
        <f t="shared" si="1248"/>
        <v>50012414</v>
      </c>
      <c r="B2414" s="8">
        <v>5001</v>
      </c>
      <c r="C2414" s="8">
        <v>24</v>
      </c>
      <c r="D2414" s="8" t="s">
        <v>62</v>
      </c>
      <c r="E2414" s="8">
        <v>4</v>
      </c>
      <c r="F2414" s="34">
        <f t="shared" si="1260"/>
        <v>169489</v>
      </c>
      <c r="G2414" s="34">
        <f t="shared" si="1260"/>
        <v>169489</v>
      </c>
      <c r="H2414" s="34">
        <f t="shared" si="1237"/>
        <v>5400</v>
      </c>
      <c r="I2414" s="34">
        <f t="shared" si="1237"/>
        <v>5400</v>
      </c>
      <c r="J2414" s="34">
        <f t="shared" si="1261"/>
        <v>213272</v>
      </c>
      <c r="K2414" s="133">
        <v>1000</v>
      </c>
      <c r="L2414" s="34"/>
      <c r="M2414" s="16">
        <f t="shared" si="1255"/>
        <v>35344.720069007199</v>
      </c>
      <c r="N2414" s="36">
        <v>820</v>
      </c>
      <c r="O2414" s="36">
        <v>4</v>
      </c>
      <c r="P2414" s="73">
        <v>9274.3805669978756</v>
      </c>
      <c r="Q2414" s="2" t="s">
        <v>124</v>
      </c>
      <c r="S2414" s="36">
        <v>2160</v>
      </c>
      <c r="T2414" s="253">
        <v>28000</v>
      </c>
    </row>
    <row r="2415" spans="1:20" x14ac:dyDescent="0.2">
      <c r="A2415" s="8" t="str">
        <f t="shared" si="1248"/>
        <v>50012510</v>
      </c>
      <c r="B2415" s="8">
        <v>5001</v>
      </c>
      <c r="C2415" s="8">
        <v>25</v>
      </c>
      <c r="D2415" s="8" t="s">
        <v>62</v>
      </c>
      <c r="E2415" s="8">
        <v>0</v>
      </c>
      <c r="F2415" s="34">
        <f>ROUNDDOWN($P2415/4*$O2415*10*$N2415/$N2415*$Q2415/400,0)</f>
        <v>22068</v>
      </c>
      <c r="G2415" s="34">
        <f>ROUNDDOWN($P2415/4*$O2415*10*$N2415/$N2415*$Q2415/400,0)</f>
        <v>22068</v>
      </c>
      <c r="H2415" s="34">
        <f t="shared" si="1237"/>
        <v>5700</v>
      </c>
      <c r="I2415" s="34">
        <f t="shared" si="1237"/>
        <v>5700</v>
      </c>
      <c r="J2415" s="34">
        <f>ROUNDDOWN($P2415/4*$O2415*10*$N2415/$Q2415*$N2415/400,0)</f>
        <v>33452</v>
      </c>
      <c r="K2415" s="133">
        <v>1000</v>
      </c>
      <c r="L2415" s="34"/>
      <c r="M2415" s="16">
        <f t="shared" si="1255"/>
        <v>5189.4334458859776</v>
      </c>
      <c r="N2415" s="36">
        <v>900</v>
      </c>
      <c r="O2415" s="36">
        <v>0.5</v>
      </c>
      <c r="P2415" s="73">
        <v>9660.8130906227871</v>
      </c>
      <c r="Q2415" s="2" t="s">
        <v>124</v>
      </c>
      <c r="S2415" s="36">
        <v>2280</v>
      </c>
      <c r="T2415" s="114">
        <v>11250</v>
      </c>
    </row>
    <row r="2416" spans="1:20" x14ac:dyDescent="0.2">
      <c r="A2416" s="8" t="str">
        <f t="shared" si="1248"/>
        <v>50012511</v>
      </c>
      <c r="B2416" s="8">
        <v>5001</v>
      </c>
      <c r="C2416" s="8">
        <v>25</v>
      </c>
      <c r="D2416" s="8" t="s">
        <v>62</v>
      </c>
      <c r="E2416" s="8">
        <v>1</v>
      </c>
      <c r="F2416" s="34">
        <f t="shared" ref="F2416:G2419" si="1262">ROUNDDOWN($P2416/4*$O2416*10*$N2416/$N2416*$Q2416/400,0)</f>
        <v>24152</v>
      </c>
      <c r="G2416" s="34">
        <f t="shared" si="1262"/>
        <v>24152</v>
      </c>
      <c r="H2416" s="34">
        <f t="shared" si="1237"/>
        <v>5700</v>
      </c>
      <c r="I2416" s="34">
        <f t="shared" si="1237"/>
        <v>5700</v>
      </c>
      <c r="J2416" s="34">
        <f t="shared" ref="J2416:J2419" si="1263">ROUNDDOWN($P2416/4*$O2416*10*$N2416/$Q2416*$N2416/400,0)</f>
        <v>116895</v>
      </c>
      <c r="K2416" s="133">
        <v>1000</v>
      </c>
      <c r="L2416" s="34"/>
      <c r="M2416" s="16">
        <f t="shared" si="1255"/>
        <v>10148.501785938652</v>
      </c>
      <c r="N2416" s="36">
        <v>880</v>
      </c>
      <c r="O2416" s="36">
        <v>1</v>
      </c>
      <c r="P2416" s="73">
        <v>9660.8130906227871</v>
      </c>
      <c r="Q2416" s="2" t="s">
        <v>90</v>
      </c>
      <c r="S2416" s="36">
        <v>2280</v>
      </c>
      <c r="T2416" s="114">
        <v>12000</v>
      </c>
    </row>
    <row r="2417" spans="1:20" x14ac:dyDescent="0.2">
      <c r="A2417" s="8" t="str">
        <f t="shared" si="1248"/>
        <v>50012512</v>
      </c>
      <c r="B2417" s="8">
        <v>5001</v>
      </c>
      <c r="C2417" s="8">
        <v>25</v>
      </c>
      <c r="D2417" s="8" t="s">
        <v>62</v>
      </c>
      <c r="E2417" s="8">
        <v>2</v>
      </c>
      <c r="F2417" s="34">
        <f t="shared" si="1262"/>
        <v>88275</v>
      </c>
      <c r="G2417" s="34">
        <f t="shared" si="1262"/>
        <v>88275</v>
      </c>
      <c r="H2417" s="34">
        <f t="shared" si="1237"/>
        <v>5700</v>
      </c>
      <c r="I2417" s="34">
        <f t="shared" si="1237"/>
        <v>5700</v>
      </c>
      <c r="J2417" s="34">
        <f t="shared" si="1263"/>
        <v>122180</v>
      </c>
      <c r="K2417" s="133">
        <v>1000</v>
      </c>
      <c r="L2417" s="34"/>
      <c r="M2417" s="16">
        <f t="shared" si="1255"/>
        <v>19835.645514073898</v>
      </c>
      <c r="N2417" s="36">
        <v>860</v>
      </c>
      <c r="O2417" s="36">
        <v>2</v>
      </c>
      <c r="P2417" s="73">
        <v>9660.8130906227871</v>
      </c>
      <c r="Q2417" s="2" t="s">
        <v>124</v>
      </c>
      <c r="S2417" s="36">
        <v>2280</v>
      </c>
      <c r="T2417" s="114">
        <v>12000</v>
      </c>
    </row>
    <row r="2418" spans="1:20" x14ac:dyDescent="0.2">
      <c r="A2418" s="8" t="str">
        <f t="shared" si="1248"/>
        <v>50012513</v>
      </c>
      <c r="B2418" s="8">
        <v>5001</v>
      </c>
      <c r="C2418" s="8">
        <v>25</v>
      </c>
      <c r="D2418" s="8" t="s">
        <v>62</v>
      </c>
      <c r="E2418" s="8">
        <v>3</v>
      </c>
      <c r="F2418" s="34">
        <f t="shared" si="1262"/>
        <v>132413</v>
      </c>
      <c r="G2418" s="34">
        <f t="shared" si="1262"/>
        <v>132413</v>
      </c>
      <c r="H2418" s="34">
        <f t="shared" si="1237"/>
        <v>5700</v>
      </c>
      <c r="I2418" s="34">
        <f t="shared" si="1237"/>
        <v>5700</v>
      </c>
      <c r="J2418" s="34">
        <f t="shared" si="1263"/>
        <v>174846</v>
      </c>
      <c r="K2418" s="133">
        <v>1000</v>
      </c>
      <c r="L2418" s="34"/>
      <c r="M2418" s="16">
        <f t="shared" si="1255"/>
        <v>29061.670742733288</v>
      </c>
      <c r="N2418" s="36">
        <v>840</v>
      </c>
      <c r="O2418" s="36">
        <v>3</v>
      </c>
      <c r="P2418" s="73">
        <v>9660.8130906227871</v>
      </c>
      <c r="Q2418" s="2" t="s">
        <v>124</v>
      </c>
      <c r="S2418" s="36">
        <v>2280</v>
      </c>
      <c r="T2418" s="114">
        <v>12750</v>
      </c>
    </row>
    <row r="2419" spans="1:20" x14ac:dyDescent="0.2">
      <c r="A2419" s="8" t="str">
        <f t="shared" si="1248"/>
        <v>50012514</v>
      </c>
      <c r="B2419" s="8">
        <v>5001</v>
      </c>
      <c r="C2419" s="8">
        <v>25</v>
      </c>
      <c r="D2419" s="8" t="s">
        <v>62</v>
      </c>
      <c r="E2419" s="8">
        <v>4</v>
      </c>
      <c r="F2419" s="34">
        <f t="shared" si="1262"/>
        <v>176551</v>
      </c>
      <c r="G2419" s="34">
        <f t="shared" si="1262"/>
        <v>176551</v>
      </c>
      <c r="H2419" s="34">
        <f t="shared" si="1237"/>
        <v>5700</v>
      </c>
      <c r="I2419" s="34">
        <f t="shared" si="1237"/>
        <v>5700</v>
      </c>
      <c r="J2419" s="34">
        <f t="shared" si="1263"/>
        <v>222159</v>
      </c>
      <c r="K2419" s="133">
        <v>1000</v>
      </c>
      <c r="L2419" s="34"/>
      <c r="M2419" s="16">
        <f t="shared" si="1255"/>
        <v>37826.352174857151</v>
      </c>
      <c r="N2419" s="36">
        <v>820</v>
      </c>
      <c r="O2419" s="36">
        <v>4</v>
      </c>
      <c r="P2419" s="73">
        <v>9660.8130906227871</v>
      </c>
      <c r="Q2419" s="2" t="s">
        <v>124</v>
      </c>
      <c r="S2419" s="36">
        <v>2280</v>
      </c>
      <c r="T2419" s="114">
        <v>12750</v>
      </c>
    </row>
    <row r="2420" spans="1:20" x14ac:dyDescent="0.2">
      <c r="A2420" s="8" t="str">
        <f t="shared" si="1248"/>
        <v>50012610</v>
      </c>
      <c r="B2420" s="8">
        <v>5001</v>
      </c>
      <c r="C2420" s="8">
        <v>26</v>
      </c>
      <c r="D2420" s="8" t="s">
        <v>62</v>
      </c>
      <c r="E2420" s="8">
        <v>0</v>
      </c>
      <c r="F2420" s="34">
        <f>ROUNDDOWN($P2420/4*$O2420*10*$N2420/$N2420*$Q2420/400,0)</f>
        <v>22988</v>
      </c>
      <c r="G2420" s="34">
        <f>ROUNDDOWN($P2420/4*$O2420*10*$N2420/$N2420*$Q2420/400,0)</f>
        <v>22988</v>
      </c>
      <c r="H2420" s="34">
        <f t="shared" si="1237"/>
        <v>5700</v>
      </c>
      <c r="I2420" s="34">
        <f t="shared" si="1237"/>
        <v>5700</v>
      </c>
      <c r="J2420" s="34">
        <f>ROUNDDOWN($P2420/4*$O2420*10*$N2420/$Q2420*$N2420/400,0)</f>
        <v>34846</v>
      </c>
      <c r="K2420" s="133">
        <v>1000</v>
      </c>
      <c r="L2420" s="34"/>
      <c r="M2420" s="16">
        <f t="shared" si="1255"/>
        <v>5405.7315559542913</v>
      </c>
      <c r="N2420" s="36">
        <v>900</v>
      </c>
      <c r="O2420" s="36">
        <v>0.5</v>
      </c>
      <c r="P2420" s="73">
        <v>10063.346969398737</v>
      </c>
      <c r="Q2420" s="2" t="s">
        <v>124</v>
      </c>
      <c r="S2420" s="36">
        <v>2280</v>
      </c>
      <c r="T2420" s="114">
        <v>13500</v>
      </c>
    </row>
    <row r="2421" spans="1:20" x14ac:dyDescent="0.2">
      <c r="A2421" s="8" t="str">
        <f t="shared" si="1248"/>
        <v>50012611</v>
      </c>
      <c r="B2421" s="8">
        <v>5001</v>
      </c>
      <c r="C2421" s="8">
        <v>26</v>
      </c>
      <c r="D2421" s="8" t="s">
        <v>62</v>
      </c>
      <c r="E2421" s="8">
        <v>1</v>
      </c>
      <c r="F2421" s="34">
        <f t="shared" ref="F2421:G2424" si="1264">ROUNDDOWN($P2421/4*$O2421*10*$N2421/$N2421*$Q2421/400,0)</f>
        <v>45976</v>
      </c>
      <c r="G2421" s="34">
        <f t="shared" si="1264"/>
        <v>45976</v>
      </c>
      <c r="H2421" s="34">
        <f t="shared" si="1237"/>
        <v>5700</v>
      </c>
      <c r="I2421" s="34">
        <f t="shared" si="1237"/>
        <v>5700</v>
      </c>
      <c r="J2421" s="34">
        <f t="shared" ref="J2421:J2424" si="1265">ROUNDDOWN($P2421/4*$O2421*10*$N2421/$Q2421*$N2421/400,0)</f>
        <v>66630</v>
      </c>
      <c r="K2421" s="133">
        <v>1000</v>
      </c>
      <c r="L2421" s="34"/>
      <c r="M2421" s="16">
        <f t="shared" si="1255"/>
        <v>10571.288213950087</v>
      </c>
      <c r="N2421" s="36">
        <v>880</v>
      </c>
      <c r="O2421" s="36">
        <v>1</v>
      </c>
      <c r="P2421" s="73">
        <v>10063.346969398737</v>
      </c>
      <c r="Q2421" s="2" t="s">
        <v>124</v>
      </c>
      <c r="S2421" s="36">
        <v>2280</v>
      </c>
      <c r="T2421" s="114">
        <v>14250</v>
      </c>
    </row>
    <row r="2422" spans="1:20" x14ac:dyDescent="0.2">
      <c r="A2422" s="8" t="str">
        <f t="shared" si="1248"/>
        <v>50012612</v>
      </c>
      <c r="B2422" s="8">
        <v>5001</v>
      </c>
      <c r="C2422" s="8">
        <v>26</v>
      </c>
      <c r="D2422" s="8" t="s">
        <v>62</v>
      </c>
      <c r="E2422" s="8">
        <v>2</v>
      </c>
      <c r="F2422" s="34">
        <f t="shared" si="1264"/>
        <v>91953</v>
      </c>
      <c r="G2422" s="34">
        <f t="shared" si="1264"/>
        <v>91953</v>
      </c>
      <c r="H2422" s="34">
        <f t="shared" si="1237"/>
        <v>5700</v>
      </c>
      <c r="I2422" s="34">
        <f t="shared" si="1237"/>
        <v>5700</v>
      </c>
      <c r="J2422" s="34">
        <f t="shared" si="1265"/>
        <v>127271</v>
      </c>
      <c r="K2422" s="133">
        <v>1000</v>
      </c>
      <c r="L2422" s="34"/>
      <c r="M2422" s="16">
        <f t="shared" si="1255"/>
        <v>20662.130228856851</v>
      </c>
      <c r="N2422" s="36">
        <v>860</v>
      </c>
      <c r="O2422" s="36">
        <v>2</v>
      </c>
      <c r="P2422" s="73">
        <v>10063.346969398737</v>
      </c>
      <c r="Q2422" s="2" t="s">
        <v>124</v>
      </c>
      <c r="S2422" s="36">
        <v>2280</v>
      </c>
      <c r="T2422" s="114">
        <v>15000</v>
      </c>
    </row>
    <row r="2423" spans="1:20" x14ac:dyDescent="0.2">
      <c r="A2423" s="8" t="str">
        <f t="shared" si="1248"/>
        <v>50012613</v>
      </c>
      <c r="B2423" s="8">
        <v>5001</v>
      </c>
      <c r="C2423" s="8">
        <v>26</v>
      </c>
      <c r="D2423" s="8" t="s">
        <v>62</v>
      </c>
      <c r="E2423" s="8">
        <v>3</v>
      </c>
      <c r="F2423" s="34">
        <f t="shared" si="1264"/>
        <v>137930</v>
      </c>
      <c r="G2423" s="34">
        <f t="shared" si="1264"/>
        <v>137930</v>
      </c>
      <c r="H2423" s="34">
        <f t="shared" ref="H2423:I2486" si="1266">ROUNDDOWN($S2423/4*10,0)</f>
        <v>5700</v>
      </c>
      <c r="I2423" s="34">
        <f t="shared" si="1266"/>
        <v>5700</v>
      </c>
      <c r="J2423" s="34">
        <f t="shared" si="1265"/>
        <v>182131</v>
      </c>
      <c r="K2423" s="133">
        <v>1000</v>
      </c>
      <c r="L2423" s="34"/>
      <c r="M2423" s="16">
        <f t="shared" si="1255"/>
        <v>30272.530051490579</v>
      </c>
      <c r="N2423" s="36">
        <v>840</v>
      </c>
      <c r="O2423" s="36">
        <v>3</v>
      </c>
      <c r="P2423" s="73">
        <v>10063.346969398737</v>
      </c>
      <c r="Q2423" s="2" t="s">
        <v>124</v>
      </c>
      <c r="S2423" s="36">
        <v>2280</v>
      </c>
      <c r="T2423" s="114">
        <v>15000</v>
      </c>
    </row>
    <row r="2424" spans="1:20" x14ac:dyDescent="0.2">
      <c r="A2424" s="8" t="str">
        <f t="shared" si="1248"/>
        <v>50012614</v>
      </c>
      <c r="B2424" s="8">
        <v>5001</v>
      </c>
      <c r="C2424" s="8">
        <v>26</v>
      </c>
      <c r="D2424" s="8" t="s">
        <v>62</v>
      </c>
      <c r="E2424" s="8">
        <v>4</v>
      </c>
      <c r="F2424" s="34">
        <f t="shared" si="1264"/>
        <v>183907</v>
      </c>
      <c r="G2424" s="34">
        <f t="shared" si="1264"/>
        <v>183907</v>
      </c>
      <c r="H2424" s="34">
        <f t="shared" si="1266"/>
        <v>5700</v>
      </c>
      <c r="I2424" s="34">
        <f t="shared" si="1266"/>
        <v>5700</v>
      </c>
      <c r="J2424" s="34">
        <f t="shared" si="1265"/>
        <v>231415</v>
      </c>
      <c r="K2424" s="133">
        <v>1000</v>
      </c>
      <c r="L2424" s="34"/>
      <c r="M2424" s="16">
        <f t="shared" si="1255"/>
        <v>39402.365728651377</v>
      </c>
      <c r="N2424" s="36">
        <v>820</v>
      </c>
      <c r="O2424" s="36">
        <v>4</v>
      </c>
      <c r="P2424" s="73">
        <v>10063.346969398737</v>
      </c>
      <c r="Q2424" s="2" t="s">
        <v>124</v>
      </c>
      <c r="S2424" s="36">
        <v>2280</v>
      </c>
      <c r="T2424" s="114">
        <v>15750</v>
      </c>
    </row>
    <row r="2425" spans="1:20" x14ac:dyDescent="0.2">
      <c r="A2425" s="8" t="str">
        <f t="shared" si="1248"/>
        <v>50012710</v>
      </c>
      <c r="B2425" s="8">
        <v>5001</v>
      </c>
      <c r="C2425" s="8">
        <v>27</v>
      </c>
      <c r="D2425" s="8" t="s">
        <v>62</v>
      </c>
      <c r="E2425" s="8">
        <v>0</v>
      </c>
      <c r="F2425" s="34">
        <f>ROUNDDOWN($P2425/4*$O2425*10*$N2425/$N2425*$Q2425/400,0)</f>
        <v>23946</v>
      </c>
      <c r="G2425" s="34">
        <f>ROUNDDOWN($P2425/4*$O2425*10*$N2425/$N2425*$Q2425/400,0)</f>
        <v>23946</v>
      </c>
      <c r="H2425" s="34">
        <f t="shared" si="1266"/>
        <v>6000</v>
      </c>
      <c r="I2425" s="34">
        <f t="shared" si="1266"/>
        <v>6000</v>
      </c>
      <c r="J2425" s="34">
        <f>ROUNDDOWN($P2425/4*$O2425*10*$N2425/$Q2425*$N2425/400,0)</f>
        <v>36298</v>
      </c>
      <c r="K2425" s="133">
        <v>1000</v>
      </c>
      <c r="L2425" s="34"/>
      <c r="M2425" s="16">
        <f t="shared" si="1255"/>
        <v>5777.2804386839316</v>
      </c>
      <c r="N2425" s="36">
        <v>900</v>
      </c>
      <c r="O2425" s="36">
        <v>0.5</v>
      </c>
      <c r="P2425" s="73">
        <v>10482.653093123687</v>
      </c>
      <c r="Q2425" s="2" t="s">
        <v>124</v>
      </c>
      <c r="S2425" s="36">
        <v>2400</v>
      </c>
      <c r="T2425" s="114">
        <v>15750</v>
      </c>
    </row>
    <row r="2426" spans="1:20" x14ac:dyDescent="0.2">
      <c r="A2426" s="8" t="str">
        <f t="shared" si="1248"/>
        <v>50012711</v>
      </c>
      <c r="B2426" s="8">
        <v>5001</v>
      </c>
      <c r="C2426" s="8">
        <v>27</v>
      </c>
      <c r="D2426" s="8" t="s">
        <v>62</v>
      </c>
      <c r="E2426" s="8">
        <v>1</v>
      </c>
      <c r="F2426" s="34">
        <f t="shared" ref="F2426:G2429" si="1267">ROUNDDOWN($P2426/4*$O2426*10*$N2426/$N2426*$Q2426/400,0)</f>
        <v>47892</v>
      </c>
      <c r="G2426" s="34">
        <f t="shared" si="1267"/>
        <v>47892</v>
      </c>
      <c r="H2426" s="34">
        <f t="shared" si="1266"/>
        <v>6000</v>
      </c>
      <c r="I2426" s="34">
        <f t="shared" si="1266"/>
        <v>6000</v>
      </c>
      <c r="J2426" s="34">
        <f t="shared" ref="J2426:J2429" si="1268">ROUNDDOWN($P2426/4*$O2426*10*$N2426/$Q2426*$N2426/400,0)</f>
        <v>69406</v>
      </c>
      <c r="K2426" s="133">
        <v>1000</v>
      </c>
      <c r="L2426" s="34"/>
      <c r="M2426" s="16">
        <f t="shared" si="1255"/>
        <v>11297.844866911564</v>
      </c>
      <c r="N2426" s="36">
        <v>880</v>
      </c>
      <c r="O2426" s="36">
        <v>1</v>
      </c>
      <c r="P2426" s="73">
        <v>10482.653093123687</v>
      </c>
      <c r="Q2426" s="2" t="s">
        <v>124</v>
      </c>
      <c r="S2426" s="36">
        <v>2400</v>
      </c>
      <c r="T2426" s="114">
        <v>32000</v>
      </c>
    </row>
    <row r="2427" spans="1:20" x14ac:dyDescent="0.2">
      <c r="A2427" s="8" t="str">
        <f t="shared" si="1248"/>
        <v>50012712</v>
      </c>
      <c r="B2427" s="8">
        <v>5001</v>
      </c>
      <c r="C2427" s="8">
        <v>27</v>
      </c>
      <c r="D2427" s="8" t="s">
        <v>62</v>
      </c>
      <c r="E2427" s="8">
        <v>2</v>
      </c>
      <c r="F2427" s="34">
        <f t="shared" si="1267"/>
        <v>95785</v>
      </c>
      <c r="G2427" s="34">
        <f t="shared" si="1267"/>
        <v>95785</v>
      </c>
      <c r="H2427" s="34">
        <f t="shared" si="1266"/>
        <v>6000</v>
      </c>
      <c r="I2427" s="34">
        <f t="shared" si="1266"/>
        <v>6000</v>
      </c>
      <c r="J2427" s="34">
        <f t="shared" si="1268"/>
        <v>132574</v>
      </c>
      <c r="K2427" s="133">
        <v>1000</v>
      </c>
      <c r="L2427" s="34"/>
      <c r="M2427" s="16">
        <f t="shared" si="1255"/>
        <v>22082.261266817764</v>
      </c>
      <c r="N2427" s="36">
        <v>860</v>
      </c>
      <c r="O2427" s="36">
        <v>2</v>
      </c>
      <c r="P2427" s="73">
        <v>10482.653093123688</v>
      </c>
      <c r="Q2427" s="2" t="s">
        <v>124</v>
      </c>
      <c r="S2427" s="36">
        <v>2400</v>
      </c>
      <c r="T2427" s="114">
        <v>18750</v>
      </c>
    </row>
    <row r="2428" spans="1:20" x14ac:dyDescent="0.2">
      <c r="A2428" s="8" t="str">
        <f t="shared" si="1248"/>
        <v>50012713</v>
      </c>
      <c r="B2428" s="8">
        <v>5001</v>
      </c>
      <c r="C2428" s="8">
        <v>27</v>
      </c>
      <c r="D2428" s="8" t="s">
        <v>62</v>
      </c>
      <c r="E2428" s="8">
        <v>3</v>
      </c>
      <c r="F2428" s="34">
        <f t="shared" si="1267"/>
        <v>143677</v>
      </c>
      <c r="G2428" s="34">
        <f t="shared" si="1267"/>
        <v>143677</v>
      </c>
      <c r="H2428" s="34">
        <f t="shared" si="1266"/>
        <v>6000</v>
      </c>
      <c r="I2428" s="34">
        <f t="shared" si="1266"/>
        <v>6000</v>
      </c>
      <c r="J2428" s="34">
        <f t="shared" si="1268"/>
        <v>189720</v>
      </c>
      <c r="K2428" s="133">
        <v>1000</v>
      </c>
      <c r="L2428" s="34"/>
      <c r="M2428" s="16">
        <f t="shared" si="1255"/>
        <v>32353.092230820843</v>
      </c>
      <c r="N2428" s="36">
        <v>840</v>
      </c>
      <c r="O2428" s="36">
        <v>3</v>
      </c>
      <c r="P2428" s="73">
        <v>10482.653093123687</v>
      </c>
      <c r="Q2428" s="2" t="s">
        <v>124</v>
      </c>
      <c r="S2428" s="36">
        <v>2400</v>
      </c>
      <c r="T2428" s="114">
        <v>19500</v>
      </c>
    </row>
    <row r="2429" spans="1:20" x14ac:dyDescent="0.2">
      <c r="A2429" s="8" t="str">
        <f t="shared" si="1248"/>
        <v>50012714</v>
      </c>
      <c r="B2429" s="8">
        <v>5001</v>
      </c>
      <c r="C2429" s="8">
        <v>27</v>
      </c>
      <c r="D2429" s="8" t="s">
        <v>62</v>
      </c>
      <c r="E2429" s="8">
        <v>4</v>
      </c>
      <c r="F2429" s="34">
        <f t="shared" si="1267"/>
        <v>191570</v>
      </c>
      <c r="G2429" s="34">
        <f t="shared" si="1267"/>
        <v>191570</v>
      </c>
      <c r="H2429" s="34">
        <f t="shared" si="1266"/>
        <v>6000</v>
      </c>
      <c r="I2429" s="34">
        <f t="shared" si="1266"/>
        <v>6000</v>
      </c>
      <c r="J2429" s="34">
        <f t="shared" si="1268"/>
        <v>241058</v>
      </c>
      <c r="K2429" s="133">
        <v>1000</v>
      </c>
      <c r="L2429" s="34"/>
      <c r="M2429" s="16">
        <f t="shared" si="1255"/>
        <v>42110.474619790264</v>
      </c>
      <c r="N2429" s="36">
        <v>820</v>
      </c>
      <c r="O2429" s="36">
        <v>4</v>
      </c>
      <c r="P2429" s="73">
        <v>10482.653093123687</v>
      </c>
      <c r="Q2429" s="2" t="s">
        <v>124</v>
      </c>
      <c r="S2429" s="36">
        <v>2400</v>
      </c>
      <c r="T2429" s="114">
        <v>19500</v>
      </c>
    </row>
    <row r="2430" spans="1:20" x14ac:dyDescent="0.2">
      <c r="A2430" s="8" t="str">
        <f t="shared" si="1248"/>
        <v>50012810</v>
      </c>
      <c r="B2430" s="8">
        <v>5001</v>
      </c>
      <c r="C2430" s="8">
        <v>28</v>
      </c>
      <c r="D2430" s="8" t="s">
        <v>62</v>
      </c>
      <c r="E2430" s="8">
        <v>0</v>
      </c>
      <c r="F2430" s="34">
        <f>ROUNDDOWN($P2430/4*$O2430*10*$N2430/$N2430*$Q2430/400,0)</f>
        <v>24944</v>
      </c>
      <c r="G2430" s="34">
        <f>ROUNDDOWN($P2430/4*$O2430*10*$N2430/$N2430*$Q2430/400,0)</f>
        <v>24944</v>
      </c>
      <c r="H2430" s="34">
        <f t="shared" si="1266"/>
        <v>6900</v>
      </c>
      <c r="I2430" s="34">
        <f t="shared" si="1266"/>
        <v>6900</v>
      </c>
      <c r="J2430" s="34">
        <f>ROUNDDOWN($P2430/4*$O2430*10*$N2430/$Q2430*$N2430/400,0)</f>
        <v>37810</v>
      </c>
      <c r="K2430" s="133">
        <v>1000</v>
      </c>
      <c r="L2430" s="34"/>
      <c r="M2430" s="16">
        <f t="shared" si="1255"/>
        <v>6453.5832978586404</v>
      </c>
      <c r="N2430" s="36">
        <v>900</v>
      </c>
      <c r="O2430" s="36">
        <v>0.5</v>
      </c>
      <c r="P2430" s="73">
        <v>10919.430305337173</v>
      </c>
      <c r="Q2430" s="2" t="s">
        <v>124</v>
      </c>
      <c r="S2430" s="36">
        <v>2760</v>
      </c>
      <c r="T2430" s="116">
        <v>20250</v>
      </c>
    </row>
    <row r="2431" spans="1:20" x14ac:dyDescent="0.2">
      <c r="A2431" s="8" t="str">
        <f t="shared" si="1248"/>
        <v>50012811</v>
      </c>
      <c r="B2431" s="8">
        <v>5001</v>
      </c>
      <c r="C2431" s="8">
        <v>28</v>
      </c>
      <c r="D2431" s="8" t="s">
        <v>62</v>
      </c>
      <c r="E2431" s="8">
        <v>1</v>
      </c>
      <c r="F2431" s="34">
        <f t="shared" ref="F2431:G2434" si="1269">ROUNDDOWN($P2431/4*$O2431*10*$N2431/$N2431*$Q2431/400,0)</f>
        <v>49888</v>
      </c>
      <c r="G2431" s="34">
        <f t="shared" si="1269"/>
        <v>49888</v>
      </c>
      <c r="H2431" s="34">
        <f t="shared" si="1266"/>
        <v>6900</v>
      </c>
      <c r="I2431" s="34">
        <f t="shared" si="1266"/>
        <v>6900</v>
      </c>
      <c r="J2431" s="34">
        <f t="shared" ref="J2431:J2434" si="1270">ROUNDDOWN($P2431/4*$O2431*10*$N2431/$Q2431*$N2431/400,0)</f>
        <v>72298</v>
      </c>
      <c r="K2431" s="133">
        <v>1000</v>
      </c>
      <c r="L2431" s="34"/>
      <c r="M2431" s="16">
        <f t="shared" si="1255"/>
        <v>12620.475580414552</v>
      </c>
      <c r="N2431" s="36">
        <v>880</v>
      </c>
      <c r="O2431" s="36">
        <v>1</v>
      </c>
      <c r="P2431" s="73">
        <v>10919.430305337173</v>
      </c>
      <c r="Q2431" s="2" t="s">
        <v>124</v>
      </c>
      <c r="S2431" s="36">
        <v>2760</v>
      </c>
      <c r="T2431" s="116">
        <v>20250</v>
      </c>
    </row>
    <row r="2432" spans="1:20" x14ac:dyDescent="0.2">
      <c r="A2432" s="8" t="str">
        <f t="shared" si="1248"/>
        <v>50012812</v>
      </c>
      <c r="B2432" s="8">
        <v>5001</v>
      </c>
      <c r="C2432" s="8">
        <v>28</v>
      </c>
      <c r="D2432" s="8" t="s">
        <v>62</v>
      </c>
      <c r="E2432" s="8">
        <v>2</v>
      </c>
      <c r="F2432" s="34">
        <f t="shared" si="1269"/>
        <v>99776</v>
      </c>
      <c r="G2432" s="34">
        <f t="shared" si="1269"/>
        <v>99776</v>
      </c>
      <c r="H2432" s="34">
        <f t="shared" si="1266"/>
        <v>6900</v>
      </c>
      <c r="I2432" s="34">
        <f t="shared" si="1266"/>
        <v>6900</v>
      </c>
      <c r="J2432" s="34">
        <f t="shared" si="1270"/>
        <v>138098</v>
      </c>
      <c r="K2432" s="133">
        <v>1000</v>
      </c>
      <c r="L2432" s="34"/>
      <c r="M2432" s="16">
        <f t="shared" si="1255"/>
        <v>24667.28044758238</v>
      </c>
      <c r="N2432" s="36">
        <v>860</v>
      </c>
      <c r="O2432" s="36">
        <v>2</v>
      </c>
      <c r="P2432" s="73">
        <v>10919.430305337173</v>
      </c>
      <c r="Q2432" s="2" t="s">
        <v>124</v>
      </c>
      <c r="S2432" s="36">
        <v>2760</v>
      </c>
      <c r="T2432" s="116">
        <v>21000</v>
      </c>
    </row>
    <row r="2433" spans="1:20" x14ac:dyDescent="0.2">
      <c r="A2433" s="8" t="str">
        <f t="shared" si="1248"/>
        <v>50012813</v>
      </c>
      <c r="B2433" s="8">
        <v>5001</v>
      </c>
      <c r="C2433" s="8">
        <v>28</v>
      </c>
      <c r="D2433" s="8" t="s">
        <v>62</v>
      </c>
      <c r="E2433" s="8">
        <v>3</v>
      </c>
      <c r="F2433" s="34">
        <f t="shared" si="1269"/>
        <v>149664</v>
      </c>
      <c r="G2433" s="34">
        <f t="shared" si="1269"/>
        <v>149664</v>
      </c>
      <c r="H2433" s="34">
        <f t="shared" si="1266"/>
        <v>6900</v>
      </c>
      <c r="I2433" s="34">
        <f t="shared" si="1266"/>
        <v>6900</v>
      </c>
      <c r="J2433" s="34">
        <f t="shared" si="1270"/>
        <v>197625</v>
      </c>
      <c r="K2433" s="133">
        <v>1000</v>
      </c>
      <c r="L2433" s="34"/>
      <c r="M2433" s="16">
        <f t="shared" si="1255"/>
        <v>36140.499272699599</v>
      </c>
      <c r="N2433" s="36">
        <v>840</v>
      </c>
      <c r="O2433" s="36">
        <v>3</v>
      </c>
      <c r="P2433" s="73">
        <v>10919.430305337173</v>
      </c>
      <c r="Q2433" s="2" t="s">
        <v>124</v>
      </c>
      <c r="S2433" s="36">
        <v>2760</v>
      </c>
      <c r="T2433" s="116">
        <v>21000</v>
      </c>
    </row>
    <row r="2434" spans="1:20" x14ac:dyDescent="0.2">
      <c r="A2434" s="8" t="str">
        <f t="shared" si="1248"/>
        <v>50012814</v>
      </c>
      <c r="B2434" s="8">
        <v>5001</v>
      </c>
      <c r="C2434" s="8">
        <v>28</v>
      </c>
      <c r="D2434" s="8" t="s">
        <v>62</v>
      </c>
      <c r="E2434" s="8">
        <v>4</v>
      </c>
      <c r="F2434" s="34">
        <f t="shared" si="1269"/>
        <v>199552</v>
      </c>
      <c r="G2434" s="34">
        <f t="shared" si="1269"/>
        <v>199552</v>
      </c>
      <c r="H2434" s="34">
        <f t="shared" si="1266"/>
        <v>6900</v>
      </c>
      <c r="I2434" s="34">
        <f t="shared" si="1266"/>
        <v>6900</v>
      </c>
      <c r="J2434" s="34">
        <f t="shared" si="1270"/>
        <v>251102</v>
      </c>
      <c r="K2434" s="133">
        <v>1000</v>
      </c>
      <c r="L2434" s="34"/>
      <c r="M2434" s="16">
        <f t="shared" si="1255"/>
        <v>47040.037652882893</v>
      </c>
      <c r="N2434" s="36">
        <v>820</v>
      </c>
      <c r="O2434" s="36">
        <v>4</v>
      </c>
      <c r="P2434" s="73">
        <v>10919.430305337173</v>
      </c>
      <c r="Q2434" s="2" t="s">
        <v>124</v>
      </c>
      <c r="S2434" s="36">
        <v>2760</v>
      </c>
      <c r="T2434" s="116">
        <v>21750</v>
      </c>
    </row>
    <row r="2435" spans="1:20" x14ac:dyDescent="0.2">
      <c r="A2435" s="8" t="str">
        <f t="shared" si="1248"/>
        <v>50012910</v>
      </c>
      <c r="B2435" s="8">
        <v>5001</v>
      </c>
      <c r="C2435" s="8">
        <v>29</v>
      </c>
      <c r="D2435" s="8" t="s">
        <v>62</v>
      </c>
      <c r="E2435" s="8">
        <v>0</v>
      </c>
      <c r="F2435" s="34">
        <f>ROUNDDOWN($P2435/4*$O2435*10*$N2435/$N2435*$Q2435/400,0)</f>
        <v>25983</v>
      </c>
      <c r="G2435" s="34">
        <f>ROUNDDOWN($P2435/4*$O2435*10*$N2435/$N2435*$Q2435/400,0)</f>
        <v>25983</v>
      </c>
      <c r="H2435" s="34">
        <f t="shared" si="1266"/>
        <v>6900</v>
      </c>
      <c r="I2435" s="34">
        <f t="shared" si="1266"/>
        <v>6900</v>
      </c>
      <c r="J2435" s="34">
        <f>ROUNDDOWN($P2435/4*$O2435*10*$N2435/$Q2435*$N2435/400,0)</f>
        <v>39386</v>
      </c>
      <c r="K2435" s="133">
        <v>1000</v>
      </c>
      <c r="L2435" s="34"/>
      <c r="M2435" s="16">
        <f t="shared" si="1255"/>
        <v>6722.4892638129213</v>
      </c>
      <c r="N2435" s="36">
        <v>900</v>
      </c>
      <c r="O2435" s="36">
        <v>0.5</v>
      </c>
      <c r="P2435" s="73">
        <v>11374.406568059556</v>
      </c>
      <c r="Q2435" s="2" t="s">
        <v>124</v>
      </c>
      <c r="S2435" s="36">
        <v>2760</v>
      </c>
      <c r="T2435" s="116">
        <v>21750</v>
      </c>
    </row>
    <row r="2436" spans="1:20" x14ac:dyDescent="0.2">
      <c r="A2436" s="8" t="str">
        <f t="shared" si="1248"/>
        <v>50012911</v>
      </c>
      <c r="B2436" s="8">
        <v>5001</v>
      </c>
      <c r="C2436" s="8">
        <v>29</v>
      </c>
      <c r="D2436" s="8" t="s">
        <v>62</v>
      </c>
      <c r="E2436" s="8">
        <v>1</v>
      </c>
      <c r="F2436" s="34">
        <f t="shared" ref="F2436:G2439" si="1271">ROUNDDOWN($P2436/4*$O2436*10*$N2436/$N2436*$Q2436/400,0)</f>
        <v>51966</v>
      </c>
      <c r="G2436" s="34">
        <f t="shared" si="1271"/>
        <v>51966</v>
      </c>
      <c r="H2436" s="34">
        <f t="shared" si="1266"/>
        <v>6900</v>
      </c>
      <c r="I2436" s="34">
        <f t="shared" si="1266"/>
        <v>6900</v>
      </c>
      <c r="J2436" s="34">
        <f t="shared" ref="J2436:J2439" si="1272">ROUNDDOWN($P2436/4*$O2436*10*$N2436/$Q2436*$N2436/400,0)</f>
        <v>75310</v>
      </c>
      <c r="K2436" s="133">
        <v>1000</v>
      </c>
      <c r="L2436" s="34"/>
      <c r="M2436" s="16">
        <f t="shared" si="1255"/>
        <v>13146.208037057682</v>
      </c>
      <c r="N2436" s="36">
        <v>880</v>
      </c>
      <c r="O2436" s="36">
        <v>1</v>
      </c>
      <c r="P2436" s="73">
        <v>11374.406568059556</v>
      </c>
      <c r="Q2436" s="2" t="s">
        <v>124</v>
      </c>
      <c r="S2436" s="36">
        <v>2760</v>
      </c>
      <c r="T2436" s="116">
        <v>22500</v>
      </c>
    </row>
    <row r="2437" spans="1:20" x14ac:dyDescent="0.2">
      <c r="A2437" s="8" t="str">
        <f t="shared" si="1248"/>
        <v>50012912</v>
      </c>
      <c r="B2437" s="8">
        <v>5001</v>
      </c>
      <c r="C2437" s="8">
        <v>29</v>
      </c>
      <c r="D2437" s="8" t="s">
        <v>62</v>
      </c>
      <c r="E2437" s="8">
        <v>2</v>
      </c>
      <c r="F2437" s="34">
        <f t="shared" si="1271"/>
        <v>103933</v>
      </c>
      <c r="G2437" s="34">
        <f t="shared" si="1271"/>
        <v>103933</v>
      </c>
      <c r="H2437" s="34">
        <f t="shared" si="1266"/>
        <v>6900</v>
      </c>
      <c r="I2437" s="34">
        <f t="shared" si="1266"/>
        <v>6900</v>
      </c>
      <c r="J2437" s="34">
        <f t="shared" si="1272"/>
        <v>143852</v>
      </c>
      <c r="K2437" s="133">
        <v>1000</v>
      </c>
      <c r="L2437" s="34"/>
      <c r="M2437" s="16">
        <f t="shared" si="1255"/>
        <v>25695.035152545719</v>
      </c>
      <c r="N2437" s="36">
        <v>860</v>
      </c>
      <c r="O2437" s="36">
        <v>2</v>
      </c>
      <c r="P2437" s="73">
        <v>11374.406568059556</v>
      </c>
      <c r="Q2437" s="2" t="s">
        <v>124</v>
      </c>
      <c r="S2437" s="36">
        <v>2760</v>
      </c>
      <c r="T2437" s="116">
        <v>22500</v>
      </c>
    </row>
    <row r="2438" spans="1:20" x14ac:dyDescent="0.2">
      <c r="A2438" s="8" t="str">
        <f t="shared" si="1248"/>
        <v>50012913</v>
      </c>
      <c r="B2438" s="8">
        <v>5001</v>
      </c>
      <c r="C2438" s="8">
        <v>29</v>
      </c>
      <c r="D2438" s="8" t="s">
        <v>62</v>
      </c>
      <c r="E2438" s="8">
        <v>3</v>
      </c>
      <c r="F2438" s="34">
        <f t="shared" si="1271"/>
        <v>155900</v>
      </c>
      <c r="G2438" s="34">
        <f t="shared" si="1271"/>
        <v>155900</v>
      </c>
      <c r="H2438" s="34">
        <f t="shared" si="1266"/>
        <v>6900</v>
      </c>
      <c r="I2438" s="34">
        <f t="shared" si="1266"/>
        <v>6900</v>
      </c>
      <c r="J2438" s="34">
        <f t="shared" si="1272"/>
        <v>205859</v>
      </c>
      <c r="K2438" s="133">
        <v>1000</v>
      </c>
      <c r="L2438" s="34"/>
      <c r="M2438" s="16">
        <f t="shared" si="1255"/>
        <v>37646.319120147724</v>
      </c>
      <c r="N2438" s="36">
        <v>840</v>
      </c>
      <c r="O2438" s="36">
        <v>3</v>
      </c>
      <c r="P2438" s="73">
        <v>11374.406568059556</v>
      </c>
      <c r="Q2438" s="2" t="s">
        <v>124</v>
      </c>
      <c r="S2438" s="36">
        <v>2760</v>
      </c>
      <c r="T2438" s="253">
        <v>10000</v>
      </c>
    </row>
    <row r="2439" spans="1:20" x14ac:dyDescent="0.2">
      <c r="A2439" s="8" t="str">
        <f t="shared" si="1248"/>
        <v>50012914</v>
      </c>
      <c r="B2439" s="8">
        <v>5001</v>
      </c>
      <c r="C2439" s="8">
        <v>29</v>
      </c>
      <c r="D2439" s="8" t="s">
        <v>62</v>
      </c>
      <c r="E2439" s="8">
        <v>4</v>
      </c>
      <c r="F2439" s="34">
        <f t="shared" si="1271"/>
        <v>207867</v>
      </c>
      <c r="G2439" s="34">
        <f t="shared" si="1271"/>
        <v>207867</v>
      </c>
      <c r="H2439" s="34">
        <f t="shared" si="1266"/>
        <v>6900</v>
      </c>
      <c r="I2439" s="34">
        <f t="shared" si="1266"/>
        <v>6900</v>
      </c>
      <c r="J2439" s="34">
        <f t="shared" si="1272"/>
        <v>261564</v>
      </c>
      <c r="K2439" s="133">
        <v>1000</v>
      </c>
      <c r="L2439" s="34"/>
      <c r="M2439" s="16">
        <f t="shared" si="1255"/>
        <v>49000.023870505211</v>
      </c>
      <c r="N2439" s="36">
        <v>820</v>
      </c>
      <c r="O2439" s="36">
        <v>4</v>
      </c>
      <c r="P2439" s="73">
        <v>11374.406568059556</v>
      </c>
      <c r="Q2439" s="2" t="s">
        <v>124</v>
      </c>
      <c r="S2439" s="36">
        <v>2760</v>
      </c>
      <c r="T2439" s="253">
        <v>10000</v>
      </c>
    </row>
    <row r="2440" spans="1:20" x14ac:dyDescent="0.2">
      <c r="A2440" s="8" t="str">
        <f t="shared" si="1248"/>
        <v>50013010</v>
      </c>
      <c r="B2440" s="18">
        <v>5001</v>
      </c>
      <c r="C2440" s="18">
        <v>30</v>
      </c>
      <c r="D2440" s="18" t="s">
        <v>62</v>
      </c>
      <c r="E2440" s="18">
        <v>0</v>
      </c>
      <c r="F2440" s="19">
        <f>ROUNDDOWN($P2440/4*$O2440*10*$N2440/$N2440*$Q2440/400,0)</f>
        <v>27066</v>
      </c>
      <c r="G2440" s="19">
        <f>ROUNDDOWN($P2440/4*$O2440*10*$N2440/$N2440*$Q2440/400,0)</f>
        <v>27066</v>
      </c>
      <c r="H2440" s="19">
        <f t="shared" si="1266"/>
        <v>5400</v>
      </c>
      <c r="I2440" s="19">
        <f t="shared" si="1266"/>
        <v>5400</v>
      </c>
      <c r="J2440" s="19">
        <f>ROUNDDOWN($P2440/4*$O2440*10*$N2440/$Q2440*$N2440/400,0)</f>
        <v>41027</v>
      </c>
      <c r="K2440" s="133">
        <v>1000</v>
      </c>
      <c r="L2440" s="19"/>
      <c r="M2440" s="16">
        <f t="shared" si="1255"/>
        <v>6194.8926694431129</v>
      </c>
      <c r="N2440" s="58">
        <v>900</v>
      </c>
      <c r="O2440" s="58">
        <v>0.5</v>
      </c>
      <c r="P2440" s="73">
        <v>11848.340175062038</v>
      </c>
      <c r="Q2440" s="41" t="s">
        <v>124</v>
      </c>
      <c r="R2440" s="41"/>
      <c r="S2440" s="58">
        <v>2160</v>
      </c>
      <c r="T2440" s="253">
        <v>26000</v>
      </c>
    </row>
    <row r="2441" spans="1:20" x14ac:dyDescent="0.2">
      <c r="A2441" s="8" t="str">
        <f t="shared" si="1248"/>
        <v>50013011</v>
      </c>
      <c r="B2441" s="18">
        <v>5001</v>
      </c>
      <c r="C2441" s="18">
        <v>30</v>
      </c>
      <c r="D2441" s="18" t="s">
        <v>62</v>
      </c>
      <c r="E2441" s="18">
        <v>1</v>
      </c>
      <c r="F2441" s="19">
        <f t="shared" ref="F2441:G2444" si="1273">ROUNDDOWN($P2441/4*$O2441*10*$N2441/$N2441*$Q2441/400,0)</f>
        <v>54132</v>
      </c>
      <c r="G2441" s="19">
        <f t="shared" si="1273"/>
        <v>54132</v>
      </c>
      <c r="H2441" s="19">
        <f t="shared" si="1266"/>
        <v>5400</v>
      </c>
      <c r="I2441" s="19">
        <f t="shared" si="1266"/>
        <v>5400</v>
      </c>
      <c r="J2441" s="19">
        <f t="shared" ref="J2441:J2444" si="1274">ROUNDDOWN($P2441/4*$O2441*10*$N2441/$Q2441*$N2441/400,0)</f>
        <v>78448</v>
      </c>
      <c r="K2441" s="133">
        <v>1000</v>
      </c>
      <c r="L2441" s="19"/>
      <c r="M2441" s="16">
        <f t="shared" si="1255"/>
        <v>12114.481789171175</v>
      </c>
      <c r="N2441" s="58">
        <v>880</v>
      </c>
      <c r="O2441" s="58">
        <v>1</v>
      </c>
      <c r="P2441" s="73">
        <v>11848.340175062038</v>
      </c>
      <c r="Q2441" s="41" t="s">
        <v>124</v>
      </c>
      <c r="R2441" s="41"/>
      <c r="S2441" s="58">
        <v>2160</v>
      </c>
      <c r="T2441" s="253">
        <v>26000</v>
      </c>
    </row>
    <row r="2442" spans="1:20" x14ac:dyDescent="0.2">
      <c r="A2442" s="8" t="str">
        <f t="shared" si="1248"/>
        <v>50013012</v>
      </c>
      <c r="B2442" s="18">
        <v>5001</v>
      </c>
      <c r="C2442" s="18">
        <v>30</v>
      </c>
      <c r="D2442" s="18" t="s">
        <v>62</v>
      </c>
      <c r="E2442" s="18">
        <v>2</v>
      </c>
      <c r="F2442" s="19">
        <f t="shared" si="1273"/>
        <v>108264</v>
      </c>
      <c r="G2442" s="19">
        <f t="shared" si="1273"/>
        <v>108264</v>
      </c>
      <c r="H2442" s="19">
        <f t="shared" si="1266"/>
        <v>5400</v>
      </c>
      <c r="I2442" s="19">
        <f t="shared" si="1266"/>
        <v>5400</v>
      </c>
      <c r="J2442" s="19">
        <f t="shared" si="1274"/>
        <v>149846</v>
      </c>
      <c r="K2442" s="133">
        <v>1000</v>
      </c>
      <c r="L2442" s="19"/>
      <c r="M2442" s="16">
        <f t="shared" si="1255"/>
        <v>23678.352328839101</v>
      </c>
      <c r="N2442" s="58">
        <v>860</v>
      </c>
      <c r="O2442" s="58">
        <v>2</v>
      </c>
      <c r="P2442" s="73">
        <v>11848.340175062038</v>
      </c>
      <c r="Q2442" s="41" t="s">
        <v>124</v>
      </c>
      <c r="R2442" s="41"/>
      <c r="S2442" s="58">
        <v>2160</v>
      </c>
    </row>
    <row r="2443" spans="1:20" x14ac:dyDescent="0.2">
      <c r="A2443" s="8" t="str">
        <f t="shared" si="1248"/>
        <v>50013013</v>
      </c>
      <c r="B2443" s="18">
        <v>5001</v>
      </c>
      <c r="C2443" s="18">
        <v>30</v>
      </c>
      <c r="D2443" s="18" t="s">
        <v>62</v>
      </c>
      <c r="E2443" s="18">
        <v>3</v>
      </c>
      <c r="F2443" s="19">
        <f t="shared" si="1273"/>
        <v>162396</v>
      </c>
      <c r="G2443" s="19">
        <f t="shared" si="1273"/>
        <v>162396</v>
      </c>
      <c r="H2443" s="19">
        <f t="shared" si="1266"/>
        <v>5400</v>
      </c>
      <c r="I2443" s="19">
        <f t="shared" si="1266"/>
        <v>5400</v>
      </c>
      <c r="J2443" s="19">
        <f t="shared" si="1274"/>
        <v>214437</v>
      </c>
      <c r="K2443" s="133">
        <v>1000</v>
      </c>
      <c r="L2443" s="19"/>
      <c r="M2443" s="16">
        <f t="shared" si="1255"/>
        <v>34691.60494928305</v>
      </c>
      <c r="N2443" s="58">
        <v>840</v>
      </c>
      <c r="O2443" s="58">
        <v>3</v>
      </c>
      <c r="P2443" s="73">
        <v>11848.340175062038</v>
      </c>
      <c r="Q2443" s="41" t="s">
        <v>124</v>
      </c>
      <c r="R2443" s="41"/>
      <c r="S2443" s="58">
        <v>2160</v>
      </c>
    </row>
    <row r="2444" spans="1:20" x14ac:dyDescent="0.2">
      <c r="A2444" s="8" t="str">
        <f t="shared" si="1248"/>
        <v>50013014</v>
      </c>
      <c r="B2444" s="18">
        <v>5001</v>
      </c>
      <c r="C2444" s="18">
        <v>30</v>
      </c>
      <c r="D2444" s="18" t="s">
        <v>62</v>
      </c>
      <c r="E2444" s="18">
        <v>4</v>
      </c>
      <c r="F2444" s="19">
        <f t="shared" si="1273"/>
        <v>216528</v>
      </c>
      <c r="G2444" s="19">
        <f t="shared" si="1273"/>
        <v>216528</v>
      </c>
      <c r="H2444" s="19">
        <f t="shared" si="1266"/>
        <v>5400</v>
      </c>
      <c r="I2444" s="19">
        <f t="shared" si="1266"/>
        <v>5400</v>
      </c>
      <c r="J2444" s="19">
        <f t="shared" si="1274"/>
        <v>272463</v>
      </c>
      <c r="K2444" s="133">
        <v>1000</v>
      </c>
      <c r="L2444" s="19"/>
      <c r="M2444" s="16">
        <f t="shared" si="1255"/>
        <v>45154.149467306328</v>
      </c>
      <c r="N2444" s="58">
        <v>820</v>
      </c>
      <c r="O2444" s="58">
        <v>4</v>
      </c>
      <c r="P2444" s="73">
        <v>11848.340175062038</v>
      </c>
      <c r="Q2444" s="41" t="s">
        <v>124</v>
      </c>
      <c r="R2444" s="41"/>
      <c r="S2444" s="58">
        <v>2160</v>
      </c>
    </row>
    <row r="2445" spans="1:20" x14ac:dyDescent="0.2">
      <c r="A2445" s="8" t="str">
        <f t="shared" si="1248"/>
        <v>50013110</v>
      </c>
      <c r="B2445" s="8">
        <v>5001</v>
      </c>
      <c r="C2445" s="8">
        <v>31</v>
      </c>
      <c r="D2445" s="8" t="s">
        <v>62</v>
      </c>
      <c r="E2445" s="8">
        <v>0</v>
      </c>
      <c r="F2445" s="34">
        <f>ROUNDDOWN($P2445/4*$O2445*10*$N2445/$N2445*$Q2445/400,0)</f>
        <v>28193</v>
      </c>
      <c r="G2445" s="34">
        <f>ROUNDDOWN($P2445/4*$O2445*10*$N2445/$N2445*$Q2445/400,0)</f>
        <v>28193</v>
      </c>
      <c r="H2445" s="34">
        <f t="shared" si="1266"/>
        <v>7200</v>
      </c>
      <c r="I2445" s="34">
        <f t="shared" si="1266"/>
        <v>7200</v>
      </c>
      <c r="J2445" s="34">
        <f>ROUNDDOWN($P2445/4*$O2445*10*$N2445/$Q2445*$N2445/400,0)</f>
        <v>42736</v>
      </c>
      <c r="K2445" s="133">
        <v>1000</v>
      </c>
      <c r="L2445" s="34"/>
      <c r="M2445" s="16">
        <f t="shared" si="1255"/>
        <v>7451.1587482645955</v>
      </c>
      <c r="N2445" s="36">
        <v>900</v>
      </c>
      <c r="O2445" s="36">
        <v>0.5</v>
      </c>
      <c r="P2445" s="73">
        <v>12342.021015689623</v>
      </c>
      <c r="Q2445" s="2" t="s">
        <v>124</v>
      </c>
      <c r="S2445" s="36">
        <v>2880</v>
      </c>
    </row>
    <row r="2446" spans="1:20" x14ac:dyDescent="0.2">
      <c r="A2446" s="8" t="str">
        <f t="shared" si="1248"/>
        <v>50013111</v>
      </c>
      <c r="B2446" s="8">
        <v>5001</v>
      </c>
      <c r="C2446" s="8">
        <v>31</v>
      </c>
      <c r="D2446" s="8" t="s">
        <v>62</v>
      </c>
      <c r="E2446" s="8">
        <v>1</v>
      </c>
      <c r="F2446" s="34">
        <f t="shared" ref="F2446:G2449" si="1275">ROUNDDOWN($P2446/4*$O2446*10*$N2446/$N2446*$Q2446/400,0)</f>
        <v>56387</v>
      </c>
      <c r="G2446" s="34">
        <f t="shared" si="1275"/>
        <v>56387</v>
      </c>
      <c r="H2446" s="34">
        <f t="shared" si="1266"/>
        <v>7200</v>
      </c>
      <c r="I2446" s="34">
        <f t="shared" si="1266"/>
        <v>7200</v>
      </c>
      <c r="J2446" s="34">
        <f t="shared" ref="J2446:J2449" si="1276">ROUNDDOWN($P2446/4*$O2446*10*$N2446/$Q2446*$N2446/400,0)</f>
        <v>81717</v>
      </c>
      <c r="K2446" s="133">
        <v>1000</v>
      </c>
      <c r="L2446" s="34"/>
      <c r="M2446" s="16">
        <f t="shared" si="1255"/>
        <v>14571.422036037528</v>
      </c>
      <c r="N2446" s="36">
        <v>880</v>
      </c>
      <c r="O2446" s="36">
        <v>1</v>
      </c>
      <c r="P2446" s="73">
        <v>12342.021015689623</v>
      </c>
      <c r="Q2446" s="2" t="s">
        <v>124</v>
      </c>
      <c r="R2446" s="36"/>
      <c r="S2446" s="36">
        <v>2880</v>
      </c>
    </row>
    <row r="2447" spans="1:20" x14ac:dyDescent="0.2">
      <c r="A2447" s="8" t="str">
        <f t="shared" si="1248"/>
        <v>50013112</v>
      </c>
      <c r="B2447" s="8">
        <v>5001</v>
      </c>
      <c r="C2447" s="8">
        <v>31</v>
      </c>
      <c r="D2447" s="8" t="s">
        <v>62</v>
      </c>
      <c r="E2447" s="8">
        <v>2</v>
      </c>
      <c r="F2447" s="34">
        <f t="shared" si="1275"/>
        <v>112775</v>
      </c>
      <c r="G2447" s="34">
        <f t="shared" si="1275"/>
        <v>112775</v>
      </c>
      <c r="H2447" s="34">
        <f t="shared" si="1266"/>
        <v>7200</v>
      </c>
      <c r="I2447" s="34">
        <f t="shared" si="1266"/>
        <v>7200</v>
      </c>
      <c r="J2447" s="34">
        <f t="shared" si="1276"/>
        <v>156090</v>
      </c>
      <c r="K2447" s="133">
        <v>1000</v>
      </c>
      <c r="L2447" s="34"/>
      <c r="M2447" s="16">
        <f t="shared" si="1255"/>
        <v>28480.669452806058</v>
      </c>
      <c r="N2447" s="36">
        <v>860</v>
      </c>
      <c r="O2447" s="36">
        <v>2</v>
      </c>
      <c r="P2447" s="73">
        <v>12342.021015689623</v>
      </c>
      <c r="Q2447" s="2" t="s">
        <v>124</v>
      </c>
      <c r="R2447" s="36"/>
      <c r="S2447" s="36">
        <v>2880</v>
      </c>
    </row>
    <row r="2448" spans="1:20" x14ac:dyDescent="0.2">
      <c r="A2448" s="8" t="str">
        <f t="shared" ref="A2448:A2511" si="1277">IF(B2448="","",CONCATENATE(B2448,CONCATENATE(REPT(0,2-LEN(C2448)),C2448),IF(OR(D2448="Easy",D2448=""),1,IF(D2448="Normal",2,IF(D2448="Hard",3,IF(D2448="Hell",4,"error")))),E2448))</f>
        <v>50013113</v>
      </c>
      <c r="B2448" s="8">
        <v>5001</v>
      </c>
      <c r="C2448" s="8">
        <v>31</v>
      </c>
      <c r="D2448" s="8" t="s">
        <v>62</v>
      </c>
      <c r="E2448" s="8">
        <v>3</v>
      </c>
      <c r="F2448" s="34">
        <f t="shared" si="1275"/>
        <v>169162</v>
      </c>
      <c r="G2448" s="34">
        <f t="shared" si="1275"/>
        <v>169162</v>
      </c>
      <c r="H2448" s="34">
        <f t="shared" si="1266"/>
        <v>7200</v>
      </c>
      <c r="I2448" s="34">
        <f t="shared" si="1266"/>
        <v>7200</v>
      </c>
      <c r="J2448" s="34">
        <f t="shared" si="1276"/>
        <v>223372</v>
      </c>
      <c r="K2448" s="133">
        <v>1000</v>
      </c>
      <c r="L2448" s="34"/>
      <c r="M2448" s="16">
        <f t="shared" si="1255"/>
        <v>41727.465541117163</v>
      </c>
      <c r="N2448" s="36">
        <v>840</v>
      </c>
      <c r="O2448" s="36">
        <v>3</v>
      </c>
      <c r="P2448" s="73">
        <v>12342.021015689623</v>
      </c>
      <c r="Q2448" s="2" t="s">
        <v>124</v>
      </c>
      <c r="R2448" s="36"/>
      <c r="S2448" s="36">
        <v>2880</v>
      </c>
    </row>
    <row r="2449" spans="1:19" x14ac:dyDescent="0.2">
      <c r="A2449" s="8" t="str">
        <f t="shared" si="1277"/>
        <v>50013114</v>
      </c>
      <c r="B2449" s="8">
        <v>5001</v>
      </c>
      <c r="C2449" s="8">
        <v>31</v>
      </c>
      <c r="D2449" s="8" t="s">
        <v>62</v>
      </c>
      <c r="E2449" s="8">
        <v>4</v>
      </c>
      <c r="F2449" s="34">
        <f t="shared" si="1275"/>
        <v>225550</v>
      </c>
      <c r="G2449" s="34">
        <f t="shared" si="1275"/>
        <v>225550</v>
      </c>
      <c r="H2449" s="34">
        <f t="shared" si="1266"/>
        <v>7200</v>
      </c>
      <c r="I2449" s="34">
        <f t="shared" si="1266"/>
        <v>7200</v>
      </c>
      <c r="J2449" s="34">
        <f t="shared" si="1276"/>
        <v>283815</v>
      </c>
      <c r="K2449" s="133">
        <v>1000</v>
      </c>
      <c r="L2449" s="34"/>
      <c r="M2449" s="16">
        <f t="shared" si="1255"/>
        <v>54311.940927939599</v>
      </c>
      <c r="N2449" s="36">
        <v>820</v>
      </c>
      <c r="O2449" s="36">
        <v>4</v>
      </c>
      <c r="P2449" s="73">
        <v>12342.021015689623</v>
      </c>
      <c r="Q2449" s="2" t="s">
        <v>124</v>
      </c>
      <c r="R2449" s="36"/>
      <c r="S2449" s="36">
        <v>2880</v>
      </c>
    </row>
    <row r="2450" spans="1:19" x14ac:dyDescent="0.2">
      <c r="A2450" s="8" t="str">
        <f t="shared" si="1277"/>
        <v>50013210</v>
      </c>
      <c r="B2450" s="8">
        <v>5001</v>
      </c>
      <c r="C2450" s="8">
        <v>32</v>
      </c>
      <c r="D2450" s="8" t="s">
        <v>62</v>
      </c>
      <c r="E2450" s="8">
        <v>0</v>
      </c>
      <c r="F2450" s="34">
        <f>ROUNDDOWN($P2450/4*$O2450*10*$N2450/$N2450*$Q2450/400,0)</f>
        <v>29368</v>
      </c>
      <c r="G2450" s="34">
        <f>ROUNDDOWN($P2450/4*$O2450*10*$N2450/$N2450*$Q2450/400,0)</f>
        <v>29368</v>
      </c>
      <c r="H2450" s="34">
        <f t="shared" si="1266"/>
        <v>7500</v>
      </c>
      <c r="I2450" s="34">
        <f t="shared" si="1266"/>
        <v>7500</v>
      </c>
      <c r="J2450" s="34">
        <f>ROUNDDOWN($P2450/4*$O2450*10*$N2450/$Q2450*$N2450/400,0)</f>
        <v>44517</v>
      </c>
      <c r="K2450" s="133">
        <v>1000</v>
      </c>
      <c r="L2450" s="34"/>
      <c r="M2450" s="16">
        <f t="shared" si="1255"/>
        <v>7921.7430082021719</v>
      </c>
      <c r="N2450" s="36">
        <v>900</v>
      </c>
      <c r="O2450" s="36">
        <v>0.5</v>
      </c>
      <c r="P2450" s="73">
        <v>12856.271891343358</v>
      </c>
      <c r="Q2450" s="2" t="s">
        <v>124</v>
      </c>
      <c r="R2450" s="36"/>
      <c r="S2450" s="36">
        <v>3000</v>
      </c>
    </row>
    <row r="2451" spans="1:19" x14ac:dyDescent="0.2">
      <c r="A2451" s="8" t="str">
        <f t="shared" si="1277"/>
        <v>50013211</v>
      </c>
      <c r="B2451" s="8">
        <v>5001</v>
      </c>
      <c r="C2451" s="8">
        <v>32</v>
      </c>
      <c r="D2451" s="8" t="s">
        <v>62</v>
      </c>
      <c r="E2451" s="8">
        <v>1</v>
      </c>
      <c r="F2451" s="34">
        <f t="shared" ref="F2451:G2454" si="1278">ROUNDDOWN($P2451/4*$O2451*10*$N2451/$N2451*$Q2451/400,0)</f>
        <v>58737</v>
      </c>
      <c r="G2451" s="34">
        <f t="shared" si="1278"/>
        <v>58737</v>
      </c>
      <c r="H2451" s="34">
        <f t="shared" si="1266"/>
        <v>7500</v>
      </c>
      <c r="I2451" s="34">
        <f t="shared" si="1266"/>
        <v>7500</v>
      </c>
      <c r="J2451" s="34">
        <f t="shared" ref="J2451:J2454" si="1279">ROUNDDOWN($P2451/4*$O2451*10*$N2451/$Q2451*$N2451/400,0)</f>
        <v>85122</v>
      </c>
      <c r="K2451" s="133">
        <v>1000</v>
      </c>
      <c r="L2451" s="34"/>
      <c r="M2451" s="16">
        <f t="shared" si="1255"/>
        <v>15491.640451288558</v>
      </c>
      <c r="N2451" s="36">
        <v>880</v>
      </c>
      <c r="O2451" s="36">
        <v>1</v>
      </c>
      <c r="P2451" s="73">
        <v>12856.271891343358</v>
      </c>
      <c r="Q2451" s="2" t="s">
        <v>124</v>
      </c>
      <c r="S2451" s="36">
        <v>3000</v>
      </c>
    </row>
    <row r="2452" spans="1:19" x14ac:dyDescent="0.2">
      <c r="A2452" s="8" t="str">
        <f t="shared" si="1277"/>
        <v>50013212</v>
      </c>
      <c r="B2452" s="8">
        <v>5001</v>
      </c>
      <c r="C2452" s="8">
        <v>32</v>
      </c>
      <c r="D2452" s="8" t="s">
        <v>62</v>
      </c>
      <c r="E2452" s="8">
        <v>2</v>
      </c>
      <c r="F2452" s="34">
        <f t="shared" si="1278"/>
        <v>117474</v>
      </c>
      <c r="G2452" s="34">
        <f t="shared" si="1278"/>
        <v>117474</v>
      </c>
      <c r="H2452" s="34">
        <f t="shared" si="1266"/>
        <v>7500</v>
      </c>
      <c r="I2452" s="34">
        <f t="shared" si="1266"/>
        <v>7500</v>
      </c>
      <c r="J2452" s="34">
        <f t="shared" si="1279"/>
        <v>162594</v>
      </c>
      <c r="K2452" s="133">
        <v>1000</v>
      </c>
      <c r="L2452" s="34"/>
      <c r="M2452" s="16">
        <f t="shared" si="1255"/>
        <v>30279.155250568001</v>
      </c>
      <c r="N2452" s="36">
        <v>860</v>
      </c>
      <c r="O2452" s="36">
        <v>2</v>
      </c>
      <c r="P2452" s="73">
        <v>12856.271891343358</v>
      </c>
      <c r="Q2452" s="2" t="s">
        <v>124</v>
      </c>
      <c r="S2452" s="36">
        <v>3000</v>
      </c>
    </row>
    <row r="2453" spans="1:19" x14ac:dyDescent="0.2">
      <c r="A2453" s="8" t="str">
        <f t="shared" si="1277"/>
        <v>50013213</v>
      </c>
      <c r="B2453" s="8">
        <v>5001</v>
      </c>
      <c r="C2453" s="8">
        <v>32</v>
      </c>
      <c r="D2453" s="8" t="s">
        <v>62</v>
      </c>
      <c r="E2453" s="8">
        <v>3</v>
      </c>
      <c r="F2453" s="34">
        <f t="shared" si="1278"/>
        <v>176211</v>
      </c>
      <c r="G2453" s="34">
        <f t="shared" si="1278"/>
        <v>176211</v>
      </c>
      <c r="H2453" s="34">
        <f t="shared" si="1266"/>
        <v>7500</v>
      </c>
      <c r="I2453" s="34">
        <f t="shared" si="1266"/>
        <v>7500</v>
      </c>
      <c r="J2453" s="34">
        <f t="shared" si="1279"/>
        <v>232679</v>
      </c>
      <c r="K2453" s="133">
        <v>1000</v>
      </c>
      <c r="L2453" s="34"/>
      <c r="M2453" s="16">
        <f t="shared" si="1255"/>
        <v>44362.470230049192</v>
      </c>
      <c r="N2453" s="36">
        <v>840</v>
      </c>
      <c r="O2453" s="36">
        <v>3</v>
      </c>
      <c r="P2453" s="73">
        <v>12856.271891343358</v>
      </c>
      <c r="Q2453" s="2" t="s">
        <v>124</v>
      </c>
      <c r="S2453" s="36">
        <v>3000</v>
      </c>
    </row>
    <row r="2454" spans="1:19" x14ac:dyDescent="0.2">
      <c r="A2454" s="8" t="str">
        <f t="shared" si="1277"/>
        <v>50013214</v>
      </c>
      <c r="B2454" s="8">
        <v>5001</v>
      </c>
      <c r="C2454" s="8">
        <v>32</v>
      </c>
      <c r="D2454" s="8" t="s">
        <v>62</v>
      </c>
      <c r="E2454" s="8">
        <v>4</v>
      </c>
      <c r="F2454" s="34">
        <f t="shared" si="1278"/>
        <v>234948</v>
      </c>
      <c r="G2454" s="34">
        <f t="shared" si="1278"/>
        <v>234948</v>
      </c>
      <c r="H2454" s="34">
        <f t="shared" si="1266"/>
        <v>7500</v>
      </c>
      <c r="I2454" s="34">
        <f t="shared" si="1266"/>
        <v>7500</v>
      </c>
      <c r="J2454" s="34">
        <f t="shared" si="1279"/>
        <v>295641</v>
      </c>
      <c r="K2454" s="133">
        <v>1000</v>
      </c>
      <c r="L2454" s="34"/>
      <c r="M2454" s="16">
        <f t="shared" si="1255"/>
        <v>57741.601640965942</v>
      </c>
      <c r="N2454" s="36">
        <v>820</v>
      </c>
      <c r="O2454" s="36">
        <v>4</v>
      </c>
      <c r="P2454" s="73">
        <v>12856.27189134336</v>
      </c>
      <c r="Q2454" s="2" t="s">
        <v>124</v>
      </c>
      <c r="S2454" s="36">
        <v>3000</v>
      </c>
    </row>
    <row r="2455" spans="1:19" x14ac:dyDescent="0.2">
      <c r="A2455" s="8" t="str">
        <f t="shared" si="1277"/>
        <v>50013310</v>
      </c>
      <c r="B2455" s="8">
        <v>5001</v>
      </c>
      <c r="C2455" s="8">
        <v>33</v>
      </c>
      <c r="D2455" s="8" t="s">
        <v>62</v>
      </c>
      <c r="E2455" s="8">
        <v>0</v>
      </c>
      <c r="F2455" s="34">
        <f>ROUNDDOWN($P2455/4*$O2455*10*$N2455/$N2455*$Q2455/400,0)</f>
        <v>30592</v>
      </c>
      <c r="G2455" s="34">
        <f>ROUNDDOWN($P2455/4*$O2455*10*$N2455/$N2455*$Q2455/400,0)</f>
        <v>30592</v>
      </c>
      <c r="H2455" s="34">
        <f t="shared" si="1266"/>
        <v>8100</v>
      </c>
      <c r="I2455" s="34">
        <f t="shared" si="1266"/>
        <v>8100</v>
      </c>
      <c r="J2455" s="34">
        <f>ROUNDDOWN($P2455/4*$O2455*10*$N2455/$Q2455*$N2455/400,0)</f>
        <v>46372</v>
      </c>
      <c r="K2455" s="133">
        <v>1000</v>
      </c>
      <c r="L2455" s="34"/>
      <c r="M2455" s="16">
        <f t="shared" si="1255"/>
        <v>8575.5966376783381</v>
      </c>
      <c r="N2455" s="36">
        <v>900</v>
      </c>
      <c r="O2455" s="36">
        <v>0.5</v>
      </c>
      <c r="P2455" s="73">
        <v>13391.949886815999</v>
      </c>
      <c r="Q2455" s="2" t="s">
        <v>124</v>
      </c>
      <c r="S2455" s="36">
        <v>3240</v>
      </c>
    </row>
    <row r="2456" spans="1:19" x14ac:dyDescent="0.2">
      <c r="A2456" s="8" t="str">
        <f t="shared" si="1277"/>
        <v>50013311</v>
      </c>
      <c r="B2456" s="8">
        <v>5001</v>
      </c>
      <c r="C2456" s="8">
        <v>33</v>
      </c>
      <c r="D2456" s="8" t="s">
        <v>62</v>
      </c>
      <c r="E2456" s="8">
        <v>1</v>
      </c>
      <c r="F2456" s="34">
        <f t="shared" ref="F2456:G2459" si="1280">ROUNDDOWN($P2456/4*$O2456*10*$N2456/$N2456*$Q2456/400,0)</f>
        <v>61184</v>
      </c>
      <c r="G2456" s="34">
        <f t="shared" si="1280"/>
        <v>61184</v>
      </c>
      <c r="H2456" s="34">
        <f t="shared" si="1266"/>
        <v>8100</v>
      </c>
      <c r="I2456" s="34">
        <f t="shared" si="1266"/>
        <v>8100</v>
      </c>
      <c r="J2456" s="34">
        <f t="shared" ref="J2456:J2459" si="1281">ROUNDDOWN($P2456/4*$O2456*10*$N2456/$Q2456*$N2456/400,0)</f>
        <v>88668</v>
      </c>
      <c r="K2456" s="133">
        <v>1000</v>
      </c>
      <c r="L2456" s="34"/>
      <c r="M2456" s="16">
        <f t="shared" si="1255"/>
        <v>16770.070404088354</v>
      </c>
      <c r="N2456" s="36">
        <v>880</v>
      </c>
      <c r="O2456" s="36">
        <v>1</v>
      </c>
      <c r="P2456" s="73">
        <v>13391.949886815999</v>
      </c>
      <c r="Q2456" s="2" t="s">
        <v>124</v>
      </c>
      <c r="S2456" s="36">
        <v>3240</v>
      </c>
    </row>
    <row r="2457" spans="1:19" x14ac:dyDescent="0.2">
      <c r="A2457" s="8" t="str">
        <f t="shared" si="1277"/>
        <v>50013312</v>
      </c>
      <c r="B2457" s="8">
        <v>5001</v>
      </c>
      <c r="C2457" s="8">
        <v>33</v>
      </c>
      <c r="D2457" s="8" t="s">
        <v>62</v>
      </c>
      <c r="E2457" s="8">
        <v>2</v>
      </c>
      <c r="F2457" s="34">
        <f t="shared" si="1280"/>
        <v>122368</v>
      </c>
      <c r="G2457" s="34">
        <f t="shared" si="1280"/>
        <v>122368</v>
      </c>
      <c r="H2457" s="34">
        <f t="shared" si="1266"/>
        <v>8100</v>
      </c>
      <c r="I2457" s="34">
        <f t="shared" si="1266"/>
        <v>8100</v>
      </c>
      <c r="J2457" s="34">
        <f t="shared" si="1281"/>
        <v>169368</v>
      </c>
      <c r="K2457" s="133">
        <v>1000</v>
      </c>
      <c r="L2457" s="34"/>
      <c r="M2457" s="16">
        <f t="shared" si="1255"/>
        <v>32777.974042032554</v>
      </c>
      <c r="N2457" s="36">
        <v>860</v>
      </c>
      <c r="O2457" s="36">
        <v>2</v>
      </c>
      <c r="P2457" s="73">
        <v>13391.949886815999</v>
      </c>
      <c r="Q2457" s="2" t="s">
        <v>124</v>
      </c>
      <c r="S2457" s="36">
        <v>3240</v>
      </c>
    </row>
    <row r="2458" spans="1:19" x14ac:dyDescent="0.2">
      <c r="A2458" s="8" t="str">
        <f t="shared" si="1277"/>
        <v>50013313</v>
      </c>
      <c r="B2458" s="8">
        <v>5001</v>
      </c>
      <c r="C2458" s="8">
        <v>33</v>
      </c>
      <c r="D2458" s="8" t="s">
        <v>62</v>
      </c>
      <c r="E2458" s="8">
        <v>3</v>
      </c>
      <c r="F2458" s="34">
        <f t="shared" si="1280"/>
        <v>183553</v>
      </c>
      <c r="G2458" s="34">
        <f t="shared" si="1280"/>
        <v>183553</v>
      </c>
      <c r="H2458" s="34">
        <f t="shared" si="1266"/>
        <v>8100</v>
      </c>
      <c r="I2458" s="34">
        <f t="shared" si="1266"/>
        <v>8100</v>
      </c>
      <c r="J2458" s="34">
        <f t="shared" si="1281"/>
        <v>242374</v>
      </c>
      <c r="K2458" s="133">
        <v>1000</v>
      </c>
      <c r="L2458" s="34"/>
      <c r="M2458" s="16">
        <f t="shared" si="1255"/>
        <v>48023.770518072408</v>
      </c>
      <c r="N2458" s="36">
        <v>840</v>
      </c>
      <c r="O2458" s="36">
        <v>3</v>
      </c>
      <c r="P2458" s="73">
        <v>13391.949886815999</v>
      </c>
      <c r="Q2458" s="2" t="s">
        <v>124</v>
      </c>
      <c r="S2458" s="36">
        <v>3240</v>
      </c>
    </row>
    <row r="2459" spans="1:19" x14ac:dyDescent="0.2">
      <c r="A2459" s="8" t="str">
        <f t="shared" si="1277"/>
        <v>50013314</v>
      </c>
      <c r="B2459" s="8">
        <v>5001</v>
      </c>
      <c r="C2459" s="8">
        <v>33</v>
      </c>
      <c r="D2459" s="8" t="s">
        <v>62</v>
      </c>
      <c r="E2459" s="8">
        <v>4</v>
      </c>
      <c r="F2459" s="34">
        <f t="shared" si="1280"/>
        <v>244737</v>
      </c>
      <c r="G2459" s="34">
        <f t="shared" si="1280"/>
        <v>244737</v>
      </c>
      <c r="H2459" s="34">
        <f t="shared" si="1266"/>
        <v>8100</v>
      </c>
      <c r="I2459" s="34">
        <f t="shared" si="1266"/>
        <v>8100</v>
      </c>
      <c r="J2459" s="34">
        <f t="shared" si="1281"/>
        <v>307959</v>
      </c>
      <c r="K2459" s="133">
        <v>1000</v>
      </c>
      <c r="L2459" s="34"/>
      <c r="M2459" s="16">
        <f t="shared" si="1255"/>
        <v>62507.015436914917</v>
      </c>
      <c r="N2459" s="36">
        <v>820</v>
      </c>
      <c r="O2459" s="36">
        <v>4</v>
      </c>
      <c r="P2459" s="73">
        <v>13391.949886815999</v>
      </c>
      <c r="Q2459" s="2" t="s">
        <v>124</v>
      </c>
      <c r="S2459" s="36">
        <v>3240</v>
      </c>
    </row>
    <row r="2460" spans="1:19" x14ac:dyDescent="0.2">
      <c r="A2460" s="8" t="str">
        <f t="shared" si="1277"/>
        <v>50013410</v>
      </c>
      <c r="B2460" s="8">
        <v>5001</v>
      </c>
      <c r="C2460" s="8">
        <v>34</v>
      </c>
      <c r="D2460" s="8" t="s">
        <v>62</v>
      </c>
      <c r="E2460" s="8">
        <v>0</v>
      </c>
      <c r="F2460" s="34">
        <f>ROUNDDOWN($P2460/4*$O2460*10*$N2460/$N2460*$Q2460/400,0)</f>
        <v>31866</v>
      </c>
      <c r="G2460" s="34">
        <f>ROUNDDOWN($P2460/4*$O2460*10*$N2460/$N2460*$Q2460/400,0)</f>
        <v>31866</v>
      </c>
      <c r="H2460" s="34">
        <f t="shared" si="1266"/>
        <v>8100</v>
      </c>
      <c r="I2460" s="34">
        <f t="shared" si="1266"/>
        <v>8100</v>
      </c>
      <c r="J2460" s="34">
        <f>ROUNDDOWN($P2460/4*$O2460*10*$N2460/$Q2460*$N2460/400,0)</f>
        <v>48304</v>
      </c>
      <c r="K2460" s="133">
        <v>1000</v>
      </c>
      <c r="L2460" s="34"/>
      <c r="M2460" s="16">
        <f t="shared" si="1255"/>
        <v>8932.8043125191089</v>
      </c>
      <c r="N2460" s="36">
        <v>900</v>
      </c>
      <c r="O2460" s="36">
        <v>0.5</v>
      </c>
      <c r="P2460" s="73">
        <v>13949.947798766667</v>
      </c>
      <c r="Q2460" s="2" t="s">
        <v>124</v>
      </c>
      <c r="S2460" s="36">
        <v>3240</v>
      </c>
    </row>
    <row r="2461" spans="1:19" x14ac:dyDescent="0.2">
      <c r="A2461" s="8" t="str">
        <f t="shared" si="1277"/>
        <v>50013411</v>
      </c>
      <c r="B2461" s="8">
        <v>5001</v>
      </c>
      <c r="C2461" s="8">
        <v>34</v>
      </c>
      <c r="D2461" s="8" t="s">
        <v>62</v>
      </c>
      <c r="E2461" s="8">
        <v>1</v>
      </c>
      <c r="F2461" s="34">
        <f t="shared" ref="F2461:G2464" si="1282">ROUNDDOWN($P2461/4*$O2461*10*$N2461/$N2461*$Q2461/400,0)</f>
        <v>63733</v>
      </c>
      <c r="G2461" s="34">
        <f t="shared" si="1282"/>
        <v>63733</v>
      </c>
      <c r="H2461" s="34">
        <f t="shared" si="1266"/>
        <v>8100</v>
      </c>
      <c r="I2461" s="34">
        <f t="shared" si="1266"/>
        <v>8100</v>
      </c>
      <c r="J2461" s="34">
        <f t="shared" ref="J2461:J2464" si="1283">ROUNDDOWN($P2461/4*$O2461*10*$N2461/$Q2461*$N2461/400,0)</f>
        <v>92363</v>
      </c>
      <c r="K2461" s="133">
        <v>1000</v>
      </c>
      <c r="L2461" s="34"/>
      <c r="M2461" s="16">
        <f t="shared" si="1255"/>
        <v>17468.824938597329</v>
      </c>
      <c r="N2461" s="36">
        <v>880</v>
      </c>
      <c r="O2461" s="36">
        <v>1</v>
      </c>
      <c r="P2461" s="73">
        <v>13949.947798766667</v>
      </c>
      <c r="Q2461" s="2" t="s">
        <v>124</v>
      </c>
      <c r="S2461" s="36">
        <v>3240</v>
      </c>
    </row>
    <row r="2462" spans="1:19" x14ac:dyDescent="0.2">
      <c r="A2462" s="8" t="str">
        <f t="shared" si="1277"/>
        <v>50013412</v>
      </c>
      <c r="B2462" s="8">
        <v>5001</v>
      </c>
      <c r="C2462" s="8">
        <v>34</v>
      </c>
      <c r="D2462" s="8" t="s">
        <v>62</v>
      </c>
      <c r="E2462" s="8">
        <v>2</v>
      </c>
      <c r="F2462" s="34">
        <f t="shared" si="1282"/>
        <v>127467</v>
      </c>
      <c r="G2462" s="34">
        <f t="shared" si="1282"/>
        <v>127467</v>
      </c>
      <c r="H2462" s="34">
        <f t="shared" si="1266"/>
        <v>8100</v>
      </c>
      <c r="I2462" s="34">
        <f t="shared" si="1266"/>
        <v>8100</v>
      </c>
      <c r="J2462" s="34">
        <f t="shared" si="1283"/>
        <v>176425</v>
      </c>
      <c r="K2462" s="133">
        <v>1000</v>
      </c>
      <c r="L2462" s="34"/>
      <c r="M2462" s="16">
        <f t="shared" si="1255"/>
        <v>34143.767604410619</v>
      </c>
      <c r="N2462" s="36">
        <v>860</v>
      </c>
      <c r="O2462" s="36">
        <v>2</v>
      </c>
      <c r="P2462" s="73">
        <v>13949.947798766667</v>
      </c>
      <c r="Q2462" s="2" t="s">
        <v>124</v>
      </c>
      <c r="S2462" s="36">
        <v>3240</v>
      </c>
    </row>
    <row r="2463" spans="1:19" x14ac:dyDescent="0.2">
      <c r="A2463" s="8" t="str">
        <f t="shared" si="1277"/>
        <v>50013413</v>
      </c>
      <c r="B2463" s="8">
        <v>5001</v>
      </c>
      <c r="C2463" s="8">
        <v>34</v>
      </c>
      <c r="D2463" s="8" t="s">
        <v>62</v>
      </c>
      <c r="E2463" s="8">
        <v>3</v>
      </c>
      <c r="F2463" s="34">
        <f t="shared" si="1282"/>
        <v>191201</v>
      </c>
      <c r="G2463" s="34">
        <f t="shared" si="1282"/>
        <v>191201</v>
      </c>
      <c r="H2463" s="34">
        <f t="shared" si="1266"/>
        <v>8100</v>
      </c>
      <c r="I2463" s="34">
        <f t="shared" si="1266"/>
        <v>8100</v>
      </c>
      <c r="J2463" s="34">
        <f t="shared" si="1283"/>
        <v>252473</v>
      </c>
      <c r="K2463" s="133">
        <v>1000</v>
      </c>
      <c r="L2463" s="34"/>
      <c r="M2463" s="16">
        <f t="shared" ref="M2463:M2527" si="1284">(F2463*J2463*((H2463+I2463)/2)/1000)^(1/2)/10*0.8</f>
        <v>50024.763761404407</v>
      </c>
      <c r="N2463" s="36">
        <v>840</v>
      </c>
      <c r="O2463" s="36">
        <v>3</v>
      </c>
      <c r="P2463" s="73">
        <v>13949.947798766667</v>
      </c>
      <c r="Q2463" s="2" t="s">
        <v>124</v>
      </c>
      <c r="S2463" s="36">
        <v>3240</v>
      </c>
    </row>
    <row r="2464" spans="1:19" x14ac:dyDescent="0.2">
      <c r="A2464" s="8" t="str">
        <f t="shared" si="1277"/>
        <v>50013414</v>
      </c>
      <c r="B2464" s="8">
        <v>5001</v>
      </c>
      <c r="C2464" s="8">
        <v>34</v>
      </c>
      <c r="D2464" s="8" t="s">
        <v>62</v>
      </c>
      <c r="E2464" s="8">
        <v>4</v>
      </c>
      <c r="F2464" s="34">
        <f t="shared" si="1282"/>
        <v>254935</v>
      </c>
      <c r="G2464" s="34">
        <f t="shared" si="1282"/>
        <v>254935</v>
      </c>
      <c r="H2464" s="34">
        <f t="shared" si="1266"/>
        <v>8100</v>
      </c>
      <c r="I2464" s="34">
        <f t="shared" si="1266"/>
        <v>8100</v>
      </c>
      <c r="J2464" s="34">
        <f t="shared" si="1283"/>
        <v>320791</v>
      </c>
      <c r="K2464" s="133">
        <v>1000</v>
      </c>
      <c r="L2464" s="34"/>
      <c r="M2464" s="16">
        <f t="shared" si="1284"/>
        <v>65111.592284679995</v>
      </c>
      <c r="N2464" s="36">
        <v>820</v>
      </c>
      <c r="O2464" s="36">
        <v>4</v>
      </c>
      <c r="P2464" s="73">
        <v>13949.947798766667</v>
      </c>
      <c r="Q2464" s="2" t="s">
        <v>124</v>
      </c>
      <c r="S2464" s="36">
        <v>3240</v>
      </c>
    </row>
    <row r="2465" spans="1:19" x14ac:dyDescent="0.2">
      <c r="A2465" s="8" t="str">
        <f t="shared" si="1277"/>
        <v>50013510</v>
      </c>
      <c r="B2465" s="8">
        <v>5001</v>
      </c>
      <c r="C2465" s="8">
        <v>35</v>
      </c>
      <c r="D2465" s="8" t="s">
        <v>62</v>
      </c>
      <c r="E2465" s="8">
        <v>0</v>
      </c>
      <c r="F2465" s="34">
        <f>ROUNDDOWN($P2465/4*$O2465*10*$N2465/$N2465*$Q2465/400,0)</f>
        <v>33194</v>
      </c>
      <c r="G2465" s="34">
        <f>ROUNDDOWN($P2465/4*$O2465*10*$N2465/$N2465*$Q2465/400,0)</f>
        <v>33194</v>
      </c>
      <c r="H2465" s="34">
        <f t="shared" si="1266"/>
        <v>8100</v>
      </c>
      <c r="I2465" s="34">
        <f t="shared" si="1266"/>
        <v>8100</v>
      </c>
      <c r="J2465" s="34">
        <f>ROUNDDOWN($P2465/4*$O2465*10*$N2465/$Q2465*$N2465/400,0)</f>
        <v>50317</v>
      </c>
      <c r="K2465" s="133">
        <v>1000</v>
      </c>
      <c r="L2465" s="34"/>
      <c r="M2465" s="16">
        <f t="shared" si="1284"/>
        <v>9305.070354184325</v>
      </c>
      <c r="N2465" s="36">
        <v>900</v>
      </c>
      <c r="O2465" s="36">
        <v>0.5</v>
      </c>
      <c r="P2465" s="73">
        <v>14531.195623715279</v>
      </c>
      <c r="Q2465" s="2" t="s">
        <v>124</v>
      </c>
      <c r="S2465" s="36">
        <v>3240</v>
      </c>
    </row>
    <row r="2466" spans="1:19" x14ac:dyDescent="0.2">
      <c r="A2466" s="8" t="str">
        <f t="shared" si="1277"/>
        <v>50013511</v>
      </c>
      <c r="B2466" s="8">
        <v>5001</v>
      </c>
      <c r="C2466" s="8">
        <v>35</v>
      </c>
      <c r="D2466" s="8" t="s">
        <v>62</v>
      </c>
      <c r="E2466" s="8">
        <v>1</v>
      </c>
      <c r="F2466" s="34">
        <f t="shared" ref="F2466:G2469" si="1285">ROUNDDOWN($P2466/4*$O2466*10*$N2466/$N2466*$Q2466/400,0)</f>
        <v>66389</v>
      </c>
      <c r="G2466" s="34">
        <f t="shared" si="1285"/>
        <v>66389</v>
      </c>
      <c r="H2466" s="34">
        <f t="shared" si="1266"/>
        <v>8100</v>
      </c>
      <c r="I2466" s="34">
        <f t="shared" si="1266"/>
        <v>8100</v>
      </c>
      <c r="J2466" s="34">
        <f t="shared" ref="J2466:J2469" si="1286">ROUNDDOWN($P2466/4*$O2466*10*$N2466/$Q2466*$N2466/400,0)</f>
        <v>96212</v>
      </c>
      <c r="K2466" s="133">
        <v>1000</v>
      </c>
      <c r="L2466" s="34"/>
      <c r="M2466" s="16">
        <f t="shared" si="1284"/>
        <v>18196.806680874532</v>
      </c>
      <c r="N2466" s="36">
        <v>880</v>
      </c>
      <c r="O2466" s="36">
        <v>1</v>
      </c>
      <c r="P2466" s="73">
        <v>14531.195623715279</v>
      </c>
      <c r="Q2466" s="2" t="s">
        <v>124</v>
      </c>
      <c r="S2466" s="36">
        <v>3240</v>
      </c>
    </row>
    <row r="2467" spans="1:19" x14ac:dyDescent="0.2">
      <c r="A2467" s="8" t="str">
        <f t="shared" si="1277"/>
        <v>50013512</v>
      </c>
      <c r="B2467" s="8">
        <v>5001</v>
      </c>
      <c r="C2467" s="8">
        <v>35</v>
      </c>
      <c r="D2467" s="8" t="s">
        <v>62</v>
      </c>
      <c r="E2467" s="8">
        <v>2</v>
      </c>
      <c r="F2467" s="34">
        <f t="shared" si="1285"/>
        <v>132778</v>
      </c>
      <c r="G2467" s="34">
        <f t="shared" si="1285"/>
        <v>132778</v>
      </c>
      <c r="H2467" s="34">
        <f t="shared" si="1266"/>
        <v>8100</v>
      </c>
      <c r="I2467" s="34">
        <f t="shared" si="1266"/>
        <v>8100</v>
      </c>
      <c r="J2467" s="34">
        <f t="shared" si="1286"/>
        <v>183776</v>
      </c>
      <c r="K2467" s="133">
        <v>1000</v>
      </c>
      <c r="L2467" s="34"/>
      <c r="M2467" s="16">
        <f t="shared" si="1284"/>
        <v>35566.403814548357</v>
      </c>
      <c r="N2467" s="36">
        <v>860</v>
      </c>
      <c r="O2467" s="36">
        <v>2</v>
      </c>
      <c r="P2467" s="73">
        <v>14531.195623715279</v>
      </c>
      <c r="Q2467" s="2" t="s">
        <v>124</v>
      </c>
      <c r="S2467" s="36">
        <v>3240</v>
      </c>
    </row>
    <row r="2468" spans="1:19" x14ac:dyDescent="0.2">
      <c r="A2468" s="8" t="str">
        <f t="shared" si="1277"/>
        <v>50013513</v>
      </c>
      <c r="B2468" s="8">
        <v>5001</v>
      </c>
      <c r="C2468" s="8">
        <v>35</v>
      </c>
      <c r="D2468" s="8" t="s">
        <v>62</v>
      </c>
      <c r="E2468" s="8">
        <v>3</v>
      </c>
      <c r="F2468" s="34">
        <f t="shared" si="1285"/>
        <v>199168</v>
      </c>
      <c r="G2468" s="34">
        <f t="shared" si="1285"/>
        <v>199168</v>
      </c>
      <c r="H2468" s="34">
        <f t="shared" si="1266"/>
        <v>8100</v>
      </c>
      <c r="I2468" s="34">
        <f t="shared" si="1266"/>
        <v>8100</v>
      </c>
      <c r="J2468" s="34">
        <f t="shared" si="1286"/>
        <v>262992</v>
      </c>
      <c r="K2468" s="133">
        <v>1000</v>
      </c>
      <c r="L2468" s="34"/>
      <c r="M2468" s="16">
        <f t="shared" si="1284"/>
        <v>52109.096898785734</v>
      </c>
      <c r="N2468" s="36">
        <v>840</v>
      </c>
      <c r="O2468" s="36">
        <v>3</v>
      </c>
      <c r="P2468" s="73">
        <v>14531.195623715279</v>
      </c>
      <c r="Q2468" s="2" t="s">
        <v>124</v>
      </c>
      <c r="S2468" s="36">
        <v>3240</v>
      </c>
    </row>
    <row r="2469" spans="1:19" x14ac:dyDescent="0.2">
      <c r="A2469" s="8" t="str">
        <f t="shared" si="1277"/>
        <v>50013514</v>
      </c>
      <c r="B2469" s="8">
        <v>5001</v>
      </c>
      <c r="C2469" s="8">
        <v>35</v>
      </c>
      <c r="D2469" s="8" t="s">
        <v>62</v>
      </c>
      <c r="E2469" s="8">
        <v>4</v>
      </c>
      <c r="F2469" s="34">
        <f t="shared" si="1285"/>
        <v>265557</v>
      </c>
      <c r="G2469" s="34">
        <f t="shared" si="1285"/>
        <v>265557</v>
      </c>
      <c r="H2469" s="34">
        <f t="shared" si="1266"/>
        <v>8100</v>
      </c>
      <c r="I2469" s="34">
        <f t="shared" si="1266"/>
        <v>8100</v>
      </c>
      <c r="J2469" s="34">
        <f t="shared" si="1286"/>
        <v>334157</v>
      </c>
      <c r="K2469" s="133">
        <v>1000</v>
      </c>
      <c r="L2469" s="34"/>
      <c r="M2469" s="16">
        <f t="shared" si="1284"/>
        <v>67824.508449941306</v>
      </c>
      <c r="N2469" s="36">
        <v>820</v>
      </c>
      <c r="O2469" s="36">
        <v>4</v>
      </c>
      <c r="P2469" s="73">
        <v>14531.195623715279</v>
      </c>
      <c r="Q2469" s="2" t="s">
        <v>124</v>
      </c>
      <c r="S2469" s="36">
        <v>3240</v>
      </c>
    </row>
    <row r="2470" spans="1:19" x14ac:dyDescent="0.2">
      <c r="A2470" s="8" t="str">
        <f t="shared" si="1277"/>
        <v>50013610</v>
      </c>
      <c r="B2470" s="8">
        <v>5001</v>
      </c>
      <c r="C2470" s="8">
        <v>36</v>
      </c>
      <c r="D2470" s="8" t="s">
        <v>62</v>
      </c>
      <c r="E2470" s="8">
        <v>0</v>
      </c>
      <c r="F2470" s="34">
        <f>ROUNDDOWN($P2470/4*$O2470*10*$N2470/$N2470*$Q2470/400,0)</f>
        <v>34577</v>
      </c>
      <c r="G2470" s="34">
        <f>ROUNDDOWN($P2470/4*$O2470*10*$N2470/$N2470*$Q2470/400,0)</f>
        <v>34577</v>
      </c>
      <c r="H2470" s="34">
        <f t="shared" si="1266"/>
        <v>8700</v>
      </c>
      <c r="I2470" s="34">
        <f t="shared" si="1266"/>
        <v>8700</v>
      </c>
      <c r="J2470" s="34">
        <f>ROUNDDOWN($P2470/4*$O2470*10*$N2470/$Q2470*$N2470/400,0)</f>
        <v>52414</v>
      </c>
      <c r="K2470" s="133">
        <v>1000</v>
      </c>
      <c r="L2470" s="34"/>
      <c r="M2470" s="16">
        <f t="shared" si="1284"/>
        <v>10045.392731349035</v>
      </c>
      <c r="N2470" s="36">
        <v>900</v>
      </c>
      <c r="O2470" s="36">
        <v>0.5</v>
      </c>
      <c r="P2470" s="73">
        <v>15136.662108036748</v>
      </c>
      <c r="Q2470" s="2" t="s">
        <v>124</v>
      </c>
      <c r="S2470" s="36">
        <v>3480</v>
      </c>
    </row>
    <row r="2471" spans="1:19" x14ac:dyDescent="0.2">
      <c r="A2471" s="8" t="str">
        <f t="shared" si="1277"/>
        <v>50013611</v>
      </c>
      <c r="B2471" s="8">
        <v>5001</v>
      </c>
      <c r="C2471" s="8">
        <v>36</v>
      </c>
      <c r="D2471" s="8" t="s">
        <v>62</v>
      </c>
      <c r="E2471" s="8">
        <v>1</v>
      </c>
      <c r="F2471" s="34">
        <f t="shared" ref="F2471:G2474" si="1287">ROUNDDOWN($P2471/4*$O2471*10*$N2471/$N2471*$Q2471/400,0)</f>
        <v>69155</v>
      </c>
      <c r="G2471" s="34">
        <f t="shared" si="1287"/>
        <v>69155</v>
      </c>
      <c r="H2471" s="34">
        <f t="shared" si="1266"/>
        <v>8700</v>
      </c>
      <c r="I2471" s="34">
        <f t="shared" si="1266"/>
        <v>8700</v>
      </c>
      <c r="J2471" s="34">
        <f t="shared" ref="J2471:J2474" si="1288">ROUNDDOWN($P2471/4*$O2471*10*$N2471/$Q2471*$N2471/400,0)</f>
        <v>100220</v>
      </c>
      <c r="K2471" s="133">
        <v>1000</v>
      </c>
      <c r="L2471" s="34"/>
      <c r="M2471" s="16">
        <f t="shared" si="1284"/>
        <v>19644.392611837098</v>
      </c>
      <c r="N2471" s="36">
        <v>880</v>
      </c>
      <c r="O2471" s="36">
        <v>1</v>
      </c>
      <c r="P2471" s="73">
        <v>15136.662108036748</v>
      </c>
      <c r="Q2471" s="2" t="s">
        <v>124</v>
      </c>
      <c r="S2471" s="36">
        <v>3480</v>
      </c>
    </row>
    <row r="2472" spans="1:19" x14ac:dyDescent="0.2">
      <c r="A2472" s="8" t="str">
        <f t="shared" si="1277"/>
        <v>50013612</v>
      </c>
      <c r="B2472" s="8">
        <v>5001</v>
      </c>
      <c r="C2472" s="8">
        <v>36</v>
      </c>
      <c r="D2472" s="8" t="s">
        <v>62</v>
      </c>
      <c r="E2472" s="8">
        <v>2</v>
      </c>
      <c r="F2472" s="34">
        <f t="shared" si="1287"/>
        <v>138311</v>
      </c>
      <c r="G2472" s="34">
        <f t="shared" si="1287"/>
        <v>138311</v>
      </c>
      <c r="H2472" s="34">
        <f t="shared" si="1266"/>
        <v>8700</v>
      </c>
      <c r="I2472" s="34">
        <f t="shared" si="1266"/>
        <v>8700</v>
      </c>
      <c r="J2472" s="34">
        <f t="shared" si="1288"/>
        <v>191434</v>
      </c>
      <c r="K2472" s="133">
        <v>1000</v>
      </c>
      <c r="L2472" s="34"/>
      <c r="M2472" s="16">
        <f t="shared" si="1284"/>
        <v>38396.135086650582</v>
      </c>
      <c r="N2472" s="36">
        <v>860</v>
      </c>
      <c r="O2472" s="36">
        <v>2</v>
      </c>
      <c r="P2472" s="73">
        <v>15136.662108036748</v>
      </c>
      <c r="Q2472" s="2" t="s">
        <v>124</v>
      </c>
      <c r="S2472" s="36">
        <v>3480</v>
      </c>
    </row>
    <row r="2473" spans="1:19" x14ac:dyDescent="0.2">
      <c r="A2473" s="8" t="str">
        <f t="shared" si="1277"/>
        <v>50013613</v>
      </c>
      <c r="B2473" s="8">
        <v>5001</v>
      </c>
      <c r="C2473" s="8">
        <v>36</v>
      </c>
      <c r="D2473" s="8" t="s">
        <v>62</v>
      </c>
      <c r="E2473" s="8">
        <v>3</v>
      </c>
      <c r="F2473" s="34">
        <f t="shared" si="1287"/>
        <v>207466</v>
      </c>
      <c r="G2473" s="34">
        <f t="shared" si="1287"/>
        <v>207466</v>
      </c>
      <c r="H2473" s="34">
        <f t="shared" si="1266"/>
        <v>8700</v>
      </c>
      <c r="I2473" s="34">
        <f t="shared" si="1266"/>
        <v>8700</v>
      </c>
      <c r="J2473" s="34">
        <f t="shared" si="1288"/>
        <v>273950</v>
      </c>
      <c r="K2473" s="133">
        <v>1000</v>
      </c>
      <c r="L2473" s="34"/>
      <c r="M2473" s="16">
        <f t="shared" si="1284"/>
        <v>56254.689580300765</v>
      </c>
      <c r="N2473" s="36">
        <v>840</v>
      </c>
      <c r="O2473" s="36">
        <v>3</v>
      </c>
      <c r="P2473" s="73">
        <v>15136.662108036748</v>
      </c>
      <c r="Q2473" s="2" t="s">
        <v>124</v>
      </c>
      <c r="S2473" s="36">
        <v>3480</v>
      </c>
    </row>
    <row r="2474" spans="1:19" x14ac:dyDescent="0.2">
      <c r="A2474" s="8" t="str">
        <f t="shared" si="1277"/>
        <v>50013614</v>
      </c>
      <c r="B2474" s="8">
        <v>5001</v>
      </c>
      <c r="C2474" s="8">
        <v>36</v>
      </c>
      <c r="D2474" s="8" t="s">
        <v>62</v>
      </c>
      <c r="E2474" s="8">
        <v>4</v>
      </c>
      <c r="F2474" s="34">
        <f t="shared" si="1287"/>
        <v>276622</v>
      </c>
      <c r="G2474" s="34">
        <f t="shared" si="1287"/>
        <v>276622</v>
      </c>
      <c r="H2474" s="34">
        <f t="shared" si="1266"/>
        <v>8700</v>
      </c>
      <c r="I2474" s="34">
        <f t="shared" si="1266"/>
        <v>8700</v>
      </c>
      <c r="J2474" s="34">
        <f t="shared" si="1288"/>
        <v>348081</v>
      </c>
      <c r="K2474" s="133">
        <v>1000</v>
      </c>
      <c r="L2474" s="34"/>
      <c r="M2474" s="16">
        <f t="shared" si="1284"/>
        <v>73220.574276836705</v>
      </c>
      <c r="N2474" s="36">
        <v>820</v>
      </c>
      <c r="O2474" s="36">
        <v>4</v>
      </c>
      <c r="P2474" s="73">
        <v>15136.662108036748</v>
      </c>
      <c r="Q2474" s="2" t="s">
        <v>124</v>
      </c>
      <c r="R2474" s="36"/>
      <c r="S2474" s="36">
        <v>3480</v>
      </c>
    </row>
    <row r="2475" spans="1:19" x14ac:dyDescent="0.2">
      <c r="A2475" s="8" t="str">
        <f t="shared" si="1277"/>
        <v>50013710</v>
      </c>
      <c r="B2475" s="8">
        <v>5001</v>
      </c>
      <c r="C2475" s="8">
        <v>37</v>
      </c>
      <c r="D2475" s="8" t="s">
        <v>62</v>
      </c>
      <c r="E2475" s="8">
        <v>0</v>
      </c>
      <c r="F2475" s="34">
        <f>ROUNDDOWN($P2475/4*$O2475*10*$N2475/$N2475*$Q2475/400,0)</f>
        <v>36018</v>
      </c>
      <c r="G2475" s="34">
        <f>ROUNDDOWN($P2475/4*$O2475*10*$N2475/$N2475*$Q2475/400,0)</f>
        <v>36018</v>
      </c>
      <c r="H2475" s="34">
        <f t="shared" si="1266"/>
        <v>9000</v>
      </c>
      <c r="I2475" s="34">
        <f t="shared" si="1266"/>
        <v>9000</v>
      </c>
      <c r="J2475" s="34">
        <f>ROUNDDOWN($P2475/4*$O2475*10*$N2475/$Q2475*$N2475/400,0)</f>
        <v>54597</v>
      </c>
      <c r="K2475" s="133">
        <v>1000</v>
      </c>
      <c r="L2475" s="34"/>
      <c r="M2475" s="16">
        <f t="shared" si="1284"/>
        <v>10642.788420785224</v>
      </c>
      <c r="N2475" s="36">
        <v>900</v>
      </c>
      <c r="O2475" s="36">
        <v>0.5</v>
      </c>
      <c r="P2475" s="73">
        <v>15767.356362538279</v>
      </c>
      <c r="Q2475" s="2" t="s">
        <v>124</v>
      </c>
      <c r="R2475" s="36"/>
      <c r="S2475" s="36">
        <v>3600</v>
      </c>
    </row>
    <row r="2476" spans="1:19" x14ac:dyDescent="0.2">
      <c r="A2476" s="8" t="str">
        <f t="shared" si="1277"/>
        <v>50013711</v>
      </c>
      <c r="B2476" s="8">
        <v>5001</v>
      </c>
      <c r="C2476" s="8">
        <v>37</v>
      </c>
      <c r="D2476" s="8" t="s">
        <v>62</v>
      </c>
      <c r="E2476" s="8">
        <v>1</v>
      </c>
      <c r="F2476" s="34">
        <f t="shared" ref="F2476:G2479" si="1289">ROUNDDOWN($P2476/4*$O2476*10*$N2476/$N2476*$Q2476/400,0)</f>
        <v>72037</v>
      </c>
      <c r="G2476" s="34">
        <f t="shared" si="1289"/>
        <v>72037</v>
      </c>
      <c r="H2476" s="34">
        <f t="shared" si="1266"/>
        <v>9000</v>
      </c>
      <c r="I2476" s="34">
        <f t="shared" si="1266"/>
        <v>9000</v>
      </c>
      <c r="J2476" s="34">
        <f t="shared" ref="J2476:J2479" si="1290">ROUNDDOWN($P2476/4*$O2476*10*$N2476/$Q2476*$N2476/400,0)</f>
        <v>104396</v>
      </c>
      <c r="K2476" s="133">
        <v>1000</v>
      </c>
      <c r="L2476" s="34"/>
      <c r="M2476" s="16">
        <f t="shared" si="1284"/>
        <v>20812.82248891774</v>
      </c>
      <c r="N2476" s="36">
        <v>880</v>
      </c>
      <c r="O2476" s="36">
        <v>1</v>
      </c>
      <c r="P2476" s="73">
        <v>15767.356362538279</v>
      </c>
      <c r="Q2476" s="2" t="s">
        <v>124</v>
      </c>
      <c r="R2476" s="36"/>
      <c r="S2476" s="36">
        <v>3600</v>
      </c>
    </row>
    <row r="2477" spans="1:19" x14ac:dyDescent="0.2">
      <c r="A2477" s="8" t="str">
        <f t="shared" si="1277"/>
        <v>50013712</v>
      </c>
      <c r="B2477" s="8">
        <v>5001</v>
      </c>
      <c r="C2477" s="8">
        <v>37</v>
      </c>
      <c r="D2477" s="8" t="s">
        <v>62</v>
      </c>
      <c r="E2477" s="8">
        <v>2</v>
      </c>
      <c r="F2477" s="34">
        <f t="shared" si="1289"/>
        <v>144074</v>
      </c>
      <c r="G2477" s="34">
        <f t="shared" si="1289"/>
        <v>144074</v>
      </c>
      <c r="H2477" s="34">
        <f t="shared" si="1266"/>
        <v>9000</v>
      </c>
      <c r="I2477" s="34">
        <f t="shared" si="1266"/>
        <v>9000</v>
      </c>
      <c r="J2477" s="34">
        <f t="shared" si="1290"/>
        <v>199410</v>
      </c>
      <c r="K2477" s="133">
        <v>1000</v>
      </c>
      <c r="L2477" s="34"/>
      <c r="M2477" s="16">
        <f t="shared" si="1284"/>
        <v>40679.678823510891</v>
      </c>
      <c r="N2477" s="36">
        <v>860</v>
      </c>
      <c r="O2477" s="36">
        <v>2</v>
      </c>
      <c r="P2477" s="73">
        <v>15767.356362538279</v>
      </c>
      <c r="Q2477" s="2" t="s">
        <v>124</v>
      </c>
      <c r="R2477" s="36"/>
      <c r="S2477" s="36">
        <v>3600</v>
      </c>
    </row>
    <row r="2478" spans="1:19" x14ac:dyDescent="0.2">
      <c r="A2478" s="8" t="str">
        <f t="shared" si="1277"/>
        <v>50013713</v>
      </c>
      <c r="B2478" s="8">
        <v>5001</v>
      </c>
      <c r="C2478" s="8">
        <v>37</v>
      </c>
      <c r="D2478" s="8" t="s">
        <v>62</v>
      </c>
      <c r="E2478" s="8">
        <v>3</v>
      </c>
      <c r="F2478" s="34">
        <f t="shared" si="1289"/>
        <v>216111</v>
      </c>
      <c r="G2478" s="34">
        <f t="shared" si="1289"/>
        <v>216111</v>
      </c>
      <c r="H2478" s="34">
        <f t="shared" si="1266"/>
        <v>9000</v>
      </c>
      <c r="I2478" s="34">
        <f t="shared" si="1266"/>
        <v>9000</v>
      </c>
      <c r="J2478" s="34">
        <f t="shared" si="1290"/>
        <v>285365</v>
      </c>
      <c r="K2478" s="133">
        <v>1000</v>
      </c>
      <c r="L2478" s="34"/>
      <c r="M2478" s="16">
        <f t="shared" si="1284"/>
        <v>59600.517562048073</v>
      </c>
      <c r="N2478" s="36">
        <v>840</v>
      </c>
      <c r="O2478" s="36">
        <v>3</v>
      </c>
      <c r="P2478" s="73">
        <v>15767.356362538279</v>
      </c>
      <c r="Q2478" s="2" t="s">
        <v>124</v>
      </c>
      <c r="R2478" s="36"/>
      <c r="S2478" s="36">
        <v>3600</v>
      </c>
    </row>
    <row r="2479" spans="1:19" x14ac:dyDescent="0.2">
      <c r="A2479" s="8" t="str">
        <f t="shared" si="1277"/>
        <v>50013714</v>
      </c>
      <c r="B2479" s="8">
        <v>5001</v>
      </c>
      <c r="C2479" s="8">
        <v>37</v>
      </c>
      <c r="D2479" s="8" t="s">
        <v>62</v>
      </c>
      <c r="E2479" s="8">
        <v>4</v>
      </c>
      <c r="F2479" s="34">
        <f t="shared" si="1289"/>
        <v>288148</v>
      </c>
      <c r="G2479" s="34">
        <f t="shared" si="1289"/>
        <v>288148</v>
      </c>
      <c r="H2479" s="34">
        <f t="shared" si="1266"/>
        <v>9000</v>
      </c>
      <c r="I2479" s="34">
        <f t="shared" si="1266"/>
        <v>9000</v>
      </c>
      <c r="J2479" s="34">
        <f t="shared" si="1290"/>
        <v>362584</v>
      </c>
      <c r="K2479" s="133">
        <v>1000</v>
      </c>
      <c r="L2479" s="34"/>
      <c r="M2479" s="16">
        <f t="shared" si="1284"/>
        <v>77575.282244302551</v>
      </c>
      <c r="N2479" s="36">
        <v>820</v>
      </c>
      <c r="O2479" s="36">
        <v>4</v>
      </c>
      <c r="P2479" s="73">
        <v>15767.356362538279</v>
      </c>
      <c r="Q2479" s="2" t="s">
        <v>124</v>
      </c>
      <c r="S2479" s="36">
        <v>3600</v>
      </c>
    </row>
    <row r="2480" spans="1:19" x14ac:dyDescent="0.2">
      <c r="A2480" s="8" t="str">
        <f t="shared" si="1277"/>
        <v>50013810</v>
      </c>
      <c r="B2480" s="8">
        <v>5001</v>
      </c>
      <c r="C2480" s="8">
        <v>38</v>
      </c>
      <c r="D2480" s="8" t="s">
        <v>62</v>
      </c>
      <c r="E2480" s="8">
        <v>0</v>
      </c>
      <c r="F2480" s="34">
        <f>ROUNDDOWN($P2480/4*$O2480*10*$N2480/$N2480*$Q2480/400,0)</f>
        <v>37519</v>
      </c>
      <c r="G2480" s="34">
        <f>ROUNDDOWN($P2480/4*$O2480*10*$N2480/$N2480*$Q2480/400,0)</f>
        <v>37519</v>
      </c>
      <c r="H2480" s="34">
        <f t="shared" si="1266"/>
        <v>9900</v>
      </c>
      <c r="I2480" s="34">
        <f t="shared" si="1266"/>
        <v>9900</v>
      </c>
      <c r="J2480" s="34">
        <f>ROUNDDOWN($P2480/4*$O2480*10*$N2480/$Q2480*$N2480/400,0)</f>
        <v>56872</v>
      </c>
      <c r="K2480" s="133">
        <v>1000</v>
      </c>
      <c r="L2480" s="34"/>
      <c r="M2480" s="16">
        <f t="shared" si="1284"/>
        <v>11627.395959047753</v>
      </c>
      <c r="N2480" s="36">
        <v>900</v>
      </c>
      <c r="O2480" s="36">
        <v>0.5</v>
      </c>
      <c r="P2480" s="73">
        <v>16424.329544310709</v>
      </c>
      <c r="Q2480" s="2" t="s">
        <v>124</v>
      </c>
      <c r="S2480" s="36">
        <v>3960</v>
      </c>
    </row>
    <row r="2481" spans="1:19" x14ac:dyDescent="0.2">
      <c r="A2481" s="8" t="str">
        <f t="shared" si="1277"/>
        <v>50013811</v>
      </c>
      <c r="B2481" s="8">
        <v>5001</v>
      </c>
      <c r="C2481" s="8">
        <v>38</v>
      </c>
      <c r="D2481" s="8" t="s">
        <v>62</v>
      </c>
      <c r="E2481" s="8">
        <v>1</v>
      </c>
      <c r="F2481" s="34">
        <f t="shared" ref="F2481:G2484" si="1291">ROUNDDOWN($P2481/4*$O2481*10*$N2481/$N2481*$Q2481/400,0)</f>
        <v>75038</v>
      </c>
      <c r="G2481" s="34">
        <f t="shared" si="1291"/>
        <v>75038</v>
      </c>
      <c r="H2481" s="34">
        <f t="shared" si="1266"/>
        <v>9900</v>
      </c>
      <c r="I2481" s="34">
        <f t="shared" si="1266"/>
        <v>9900</v>
      </c>
      <c r="J2481" s="34">
        <f t="shared" ref="J2481:J2484" si="1292">ROUNDDOWN($P2481/4*$O2481*10*$N2481/$Q2481*$N2481/400,0)</f>
        <v>108746</v>
      </c>
      <c r="K2481" s="133">
        <v>1000</v>
      </c>
      <c r="L2481" s="34"/>
      <c r="M2481" s="16">
        <f t="shared" si="1284"/>
        <v>22738.135754042811</v>
      </c>
      <c r="N2481" s="36">
        <v>880</v>
      </c>
      <c r="O2481" s="36">
        <v>1</v>
      </c>
      <c r="P2481" s="73">
        <v>16424.329544310709</v>
      </c>
      <c r="Q2481" s="2" t="s">
        <v>124</v>
      </c>
      <c r="S2481" s="36">
        <v>3960</v>
      </c>
    </row>
    <row r="2482" spans="1:19" x14ac:dyDescent="0.2">
      <c r="A2482" s="8" t="str">
        <f t="shared" si="1277"/>
        <v>50013812</v>
      </c>
      <c r="B2482" s="8">
        <v>5001</v>
      </c>
      <c r="C2482" s="8">
        <v>38</v>
      </c>
      <c r="D2482" s="8" t="s">
        <v>62</v>
      </c>
      <c r="E2482" s="8">
        <v>2</v>
      </c>
      <c r="F2482" s="34">
        <f t="shared" si="1291"/>
        <v>150077</v>
      </c>
      <c r="G2482" s="34">
        <f t="shared" si="1291"/>
        <v>150077</v>
      </c>
      <c r="H2482" s="34">
        <f t="shared" si="1266"/>
        <v>9900</v>
      </c>
      <c r="I2482" s="34">
        <f t="shared" si="1266"/>
        <v>9900</v>
      </c>
      <c r="J2482" s="34">
        <f t="shared" si="1292"/>
        <v>207719</v>
      </c>
      <c r="K2482" s="133">
        <v>1000</v>
      </c>
      <c r="L2482" s="34"/>
      <c r="M2482" s="16">
        <f t="shared" si="1284"/>
        <v>44442.938458653698</v>
      </c>
      <c r="N2482" s="36">
        <v>860</v>
      </c>
      <c r="O2482" s="36">
        <v>2</v>
      </c>
      <c r="P2482" s="73">
        <v>16424.329544310709</v>
      </c>
      <c r="Q2482" s="2" t="s">
        <v>124</v>
      </c>
      <c r="S2482" s="36">
        <v>3960</v>
      </c>
    </row>
    <row r="2483" spans="1:19" x14ac:dyDescent="0.2">
      <c r="A2483" s="8" t="str">
        <f t="shared" si="1277"/>
        <v>50013813</v>
      </c>
      <c r="B2483" s="8">
        <v>5001</v>
      </c>
      <c r="C2483" s="8">
        <v>38</v>
      </c>
      <c r="D2483" s="8" t="s">
        <v>62</v>
      </c>
      <c r="E2483" s="8">
        <v>3</v>
      </c>
      <c r="F2483" s="34">
        <f t="shared" si="1291"/>
        <v>225115</v>
      </c>
      <c r="G2483" s="34">
        <f t="shared" si="1291"/>
        <v>225115</v>
      </c>
      <c r="H2483" s="34">
        <f t="shared" si="1266"/>
        <v>9900</v>
      </c>
      <c r="I2483" s="34">
        <f t="shared" si="1266"/>
        <v>9900</v>
      </c>
      <c r="J2483" s="34">
        <f t="shared" si="1292"/>
        <v>297255</v>
      </c>
      <c r="K2483" s="133">
        <v>1000</v>
      </c>
      <c r="L2483" s="34"/>
      <c r="M2483" s="16">
        <f t="shared" si="1284"/>
        <v>65114.001557514493</v>
      </c>
      <c r="N2483" s="36">
        <v>840</v>
      </c>
      <c r="O2483" s="36">
        <v>3</v>
      </c>
      <c r="P2483" s="73">
        <v>16424.329544310709</v>
      </c>
      <c r="Q2483" s="2" t="s">
        <v>124</v>
      </c>
      <c r="S2483" s="36">
        <v>3960</v>
      </c>
    </row>
    <row r="2484" spans="1:19" x14ac:dyDescent="0.2">
      <c r="A2484" s="8" t="str">
        <f t="shared" si="1277"/>
        <v>50013814</v>
      </c>
      <c r="B2484" s="8">
        <v>5001</v>
      </c>
      <c r="C2484" s="8">
        <v>38</v>
      </c>
      <c r="D2484" s="8" t="s">
        <v>62</v>
      </c>
      <c r="E2484" s="8">
        <v>4</v>
      </c>
      <c r="F2484" s="34">
        <f t="shared" si="1291"/>
        <v>300154</v>
      </c>
      <c r="G2484" s="34">
        <f t="shared" si="1291"/>
        <v>300154</v>
      </c>
      <c r="H2484" s="34">
        <f t="shared" si="1266"/>
        <v>9900</v>
      </c>
      <c r="I2484" s="34">
        <f t="shared" si="1266"/>
        <v>9900</v>
      </c>
      <c r="J2484" s="34">
        <f t="shared" si="1292"/>
        <v>377692</v>
      </c>
      <c r="K2484" s="133">
        <v>1000</v>
      </c>
      <c r="L2484" s="34"/>
      <c r="M2484" s="16">
        <f t="shared" si="1284"/>
        <v>84751.724720081547</v>
      </c>
      <c r="N2484" s="36">
        <v>820</v>
      </c>
      <c r="O2484" s="36">
        <v>4</v>
      </c>
      <c r="P2484" s="73">
        <v>16424.329544310709</v>
      </c>
      <c r="Q2484" s="2" t="s">
        <v>124</v>
      </c>
      <c r="R2484" s="5"/>
      <c r="S2484" s="36">
        <v>3960</v>
      </c>
    </row>
    <row r="2485" spans="1:19" x14ac:dyDescent="0.2">
      <c r="A2485" s="8" t="str">
        <f t="shared" si="1277"/>
        <v>50013910</v>
      </c>
      <c r="B2485" s="8">
        <v>5001</v>
      </c>
      <c r="C2485" s="8">
        <v>39</v>
      </c>
      <c r="D2485" s="8" t="s">
        <v>62</v>
      </c>
      <c r="E2485" s="8">
        <v>0</v>
      </c>
      <c r="F2485" s="34">
        <f>ROUNDDOWN($P2485/4*$O2485*10*$N2485/$N2485*$Q2485/400,0)</f>
        <v>39082</v>
      </c>
      <c r="G2485" s="34">
        <f>ROUNDDOWN($P2485/4*$O2485*10*$N2485/$N2485*$Q2485/400,0)</f>
        <v>39082</v>
      </c>
      <c r="H2485" s="34">
        <f t="shared" si="1266"/>
        <v>10800</v>
      </c>
      <c r="I2485" s="34">
        <f t="shared" si="1266"/>
        <v>10800</v>
      </c>
      <c r="J2485" s="34">
        <f>ROUNDDOWN($P2485/4*$O2485*10*$N2485/$Q2485*$N2485/400,0)</f>
        <v>59242</v>
      </c>
      <c r="K2485" s="133">
        <v>1000</v>
      </c>
      <c r="L2485" s="34"/>
      <c r="M2485" s="16">
        <f t="shared" si="1284"/>
        <v>12650.424844141797</v>
      </c>
      <c r="N2485" s="36">
        <v>900</v>
      </c>
      <c r="O2485" s="36">
        <v>0.5</v>
      </c>
      <c r="P2485" s="73">
        <v>17108.676608656988</v>
      </c>
      <c r="Q2485" s="2" t="s">
        <v>124</v>
      </c>
      <c r="S2485" s="36">
        <v>4320</v>
      </c>
    </row>
    <row r="2486" spans="1:19" x14ac:dyDescent="0.2">
      <c r="A2486" s="8" t="str">
        <f t="shared" si="1277"/>
        <v>50013911</v>
      </c>
      <c r="B2486" s="8">
        <v>5001</v>
      </c>
      <c r="C2486" s="8">
        <v>39</v>
      </c>
      <c r="D2486" s="8" t="s">
        <v>62</v>
      </c>
      <c r="E2486" s="8">
        <v>1</v>
      </c>
      <c r="F2486" s="34">
        <f t="shared" ref="F2486:G2489" si="1293">ROUNDDOWN($P2486/4*$O2486*10*$N2486/$N2486*$Q2486/400,0)</f>
        <v>78165</v>
      </c>
      <c r="G2486" s="34">
        <f t="shared" si="1293"/>
        <v>78165</v>
      </c>
      <c r="H2486" s="34">
        <f t="shared" si="1266"/>
        <v>10800</v>
      </c>
      <c r="I2486" s="34">
        <f t="shared" si="1266"/>
        <v>10800</v>
      </c>
      <c r="J2486" s="34">
        <f t="shared" ref="J2486:J2489" si="1294">ROUNDDOWN($P2486/4*$O2486*10*$N2486/$Q2486*$N2486/400,0)</f>
        <v>113277</v>
      </c>
      <c r="K2486" s="133">
        <v>1000</v>
      </c>
      <c r="L2486" s="34"/>
      <c r="M2486" s="16">
        <f t="shared" si="1284"/>
        <v>24738.815417266855</v>
      </c>
      <c r="N2486" s="36">
        <v>880</v>
      </c>
      <c r="O2486" s="36">
        <v>1</v>
      </c>
      <c r="P2486" s="73">
        <v>17108.676608656988</v>
      </c>
      <c r="Q2486" s="2" t="s">
        <v>124</v>
      </c>
      <c r="S2486" s="36">
        <v>4320</v>
      </c>
    </row>
    <row r="2487" spans="1:19" x14ac:dyDescent="0.2">
      <c r="A2487" s="8" t="str">
        <f t="shared" si="1277"/>
        <v>50013912</v>
      </c>
      <c r="B2487" s="8">
        <v>5001</v>
      </c>
      <c r="C2487" s="8">
        <v>39</v>
      </c>
      <c r="D2487" s="8" t="s">
        <v>62</v>
      </c>
      <c r="E2487" s="8">
        <v>2</v>
      </c>
      <c r="F2487" s="34">
        <f t="shared" si="1293"/>
        <v>156330</v>
      </c>
      <c r="G2487" s="34">
        <f t="shared" si="1293"/>
        <v>156330</v>
      </c>
      <c r="H2487" s="34">
        <f t="shared" ref="H2487:I2547" si="1295">ROUNDDOWN($S2487/4*10,0)</f>
        <v>10800</v>
      </c>
      <c r="I2487" s="34">
        <f t="shared" si="1295"/>
        <v>10800</v>
      </c>
      <c r="J2487" s="34">
        <f t="shared" si="1294"/>
        <v>216374</v>
      </c>
      <c r="K2487" s="133">
        <v>1000</v>
      </c>
      <c r="L2487" s="34"/>
      <c r="M2487" s="16">
        <f t="shared" si="1284"/>
        <v>48353.238378317532</v>
      </c>
      <c r="N2487" s="36">
        <v>860</v>
      </c>
      <c r="O2487" s="36">
        <v>2</v>
      </c>
      <c r="P2487" s="73">
        <v>17108.676608656988</v>
      </c>
      <c r="Q2487" s="2" t="s">
        <v>124</v>
      </c>
      <c r="S2487" s="36">
        <v>4320</v>
      </c>
    </row>
    <row r="2488" spans="1:19" x14ac:dyDescent="0.2">
      <c r="A2488" s="8" t="str">
        <f t="shared" si="1277"/>
        <v>50013913</v>
      </c>
      <c r="B2488" s="8">
        <v>5001</v>
      </c>
      <c r="C2488" s="8">
        <v>39</v>
      </c>
      <c r="D2488" s="8" t="s">
        <v>62</v>
      </c>
      <c r="E2488" s="8">
        <v>3</v>
      </c>
      <c r="F2488" s="34">
        <f t="shared" si="1293"/>
        <v>234495</v>
      </c>
      <c r="G2488" s="34">
        <f t="shared" si="1293"/>
        <v>234495</v>
      </c>
      <c r="H2488" s="34">
        <f t="shared" si="1295"/>
        <v>10800</v>
      </c>
      <c r="I2488" s="34">
        <f t="shared" si="1295"/>
        <v>10800</v>
      </c>
      <c r="J2488" s="34">
        <f t="shared" si="1294"/>
        <v>309641</v>
      </c>
      <c r="K2488" s="133">
        <v>1000</v>
      </c>
      <c r="L2488" s="34"/>
      <c r="M2488" s="16">
        <f t="shared" si="1284"/>
        <v>70843.154124519337</v>
      </c>
      <c r="N2488" s="36">
        <v>840</v>
      </c>
      <c r="O2488" s="36">
        <v>3</v>
      </c>
      <c r="P2488" s="73">
        <v>17108.676608656988</v>
      </c>
      <c r="Q2488" s="2" t="s">
        <v>124</v>
      </c>
      <c r="S2488" s="36">
        <v>4320</v>
      </c>
    </row>
    <row r="2489" spans="1:19" x14ac:dyDescent="0.2">
      <c r="A2489" s="8" t="str">
        <f t="shared" si="1277"/>
        <v>50013914</v>
      </c>
      <c r="B2489" s="8">
        <v>5001</v>
      </c>
      <c r="C2489" s="8">
        <v>39</v>
      </c>
      <c r="D2489" s="8" t="s">
        <v>62</v>
      </c>
      <c r="E2489" s="8">
        <v>4</v>
      </c>
      <c r="F2489" s="34">
        <f t="shared" si="1293"/>
        <v>312661</v>
      </c>
      <c r="G2489" s="34">
        <f t="shared" si="1293"/>
        <v>312661</v>
      </c>
      <c r="H2489" s="34">
        <f t="shared" si="1295"/>
        <v>10800</v>
      </c>
      <c r="I2489" s="34">
        <f t="shared" si="1295"/>
        <v>10800</v>
      </c>
      <c r="J2489" s="34">
        <f t="shared" si="1294"/>
        <v>393429</v>
      </c>
      <c r="K2489" s="133">
        <v>1000</v>
      </c>
      <c r="L2489" s="34"/>
      <c r="M2489" s="16">
        <f t="shared" si="1284"/>
        <v>92208.701345422276</v>
      </c>
      <c r="N2489" s="36">
        <v>820</v>
      </c>
      <c r="O2489" s="36">
        <v>4</v>
      </c>
      <c r="P2489" s="73">
        <v>17108.676608656988</v>
      </c>
      <c r="Q2489" s="2" t="s">
        <v>124</v>
      </c>
      <c r="S2489" s="36">
        <v>4320</v>
      </c>
    </row>
    <row r="2490" spans="1:19" x14ac:dyDescent="0.2">
      <c r="A2490" s="8" t="str">
        <f t="shared" si="1277"/>
        <v>50014010</v>
      </c>
      <c r="B2490" s="18">
        <v>5001</v>
      </c>
      <c r="C2490" s="18">
        <v>40</v>
      </c>
      <c r="D2490" s="18" t="s">
        <v>62</v>
      </c>
      <c r="E2490" s="18">
        <v>0</v>
      </c>
      <c r="F2490" s="19">
        <f>ROUNDDOWN($P2490/4*$O2490*10*$N2490/$N2490*$Q2490/400,0)</f>
        <v>222769</v>
      </c>
      <c r="G2490" s="19">
        <f>ROUNDDOWN($P2490/4*$O2490*10*$N2490/$N2490*$Q2490/400,0)</f>
        <v>222769</v>
      </c>
      <c r="H2490" s="19">
        <f t="shared" si="1295"/>
        <v>8700</v>
      </c>
      <c r="I2490" s="19">
        <f t="shared" si="1295"/>
        <v>8700</v>
      </c>
      <c r="J2490" s="19">
        <f>ROUNDDOWN($P2490/4*$O2490*10*$N2490/$Q2490*$N2490/400,0)</f>
        <v>11277</v>
      </c>
      <c r="K2490" s="133">
        <v>1000</v>
      </c>
      <c r="L2490" s="19"/>
      <c r="M2490" s="16">
        <f t="shared" si="1284"/>
        <v>11826.977788253429</v>
      </c>
      <c r="N2490" s="58">
        <v>900</v>
      </c>
      <c r="O2490" s="58">
        <v>0.5</v>
      </c>
      <c r="P2490" s="73">
        <v>17821.538134017697</v>
      </c>
      <c r="Q2490" s="41" t="s">
        <v>177</v>
      </c>
      <c r="R2490" s="60" t="s">
        <v>201</v>
      </c>
      <c r="S2490" s="58">
        <v>3480</v>
      </c>
    </row>
    <row r="2491" spans="1:19" x14ac:dyDescent="0.2">
      <c r="A2491" s="8" t="str">
        <f t="shared" si="1277"/>
        <v>50014011</v>
      </c>
      <c r="B2491" s="18">
        <v>5001</v>
      </c>
      <c r="C2491" s="18">
        <v>40</v>
      </c>
      <c r="D2491" s="18" t="s">
        <v>62</v>
      </c>
      <c r="E2491" s="18">
        <v>1</v>
      </c>
      <c r="F2491" s="19">
        <f t="shared" ref="F2491:G2494" si="1296">ROUNDDOWN($P2491/4*$O2491*10*$N2491/$N2491*$Q2491/400,0)</f>
        <v>81422</v>
      </c>
      <c r="G2491" s="19">
        <f t="shared" si="1296"/>
        <v>81422</v>
      </c>
      <c r="H2491" s="19">
        <f t="shared" si="1295"/>
        <v>8700</v>
      </c>
      <c r="I2491" s="19">
        <f t="shared" si="1295"/>
        <v>8700</v>
      </c>
      <c r="J2491" s="19">
        <f t="shared" ref="J2491:J2494" si="1297">ROUNDDOWN($P2491/4*$O2491*10*$N2491/$Q2491*$N2491/400,0)</f>
        <v>117997</v>
      </c>
      <c r="K2491" s="133">
        <v>1000</v>
      </c>
      <c r="L2491" s="19"/>
      <c r="M2491" s="16">
        <f t="shared" si="1284"/>
        <v>23128.95329557998</v>
      </c>
      <c r="N2491" s="58">
        <v>880</v>
      </c>
      <c r="O2491" s="58">
        <v>1</v>
      </c>
      <c r="P2491" s="73">
        <v>17821.538134017697</v>
      </c>
      <c r="Q2491" s="41" t="s">
        <v>124</v>
      </c>
      <c r="R2491" s="41"/>
      <c r="S2491" s="58">
        <v>3480</v>
      </c>
    </row>
    <row r="2492" spans="1:19" x14ac:dyDescent="0.2">
      <c r="A2492" s="8" t="str">
        <f t="shared" si="1277"/>
        <v>50014012</v>
      </c>
      <c r="B2492" s="18">
        <v>5001</v>
      </c>
      <c r="C2492" s="18">
        <v>40</v>
      </c>
      <c r="D2492" s="18" t="s">
        <v>62</v>
      </c>
      <c r="E2492" s="18">
        <v>2</v>
      </c>
      <c r="F2492" s="19">
        <f t="shared" si="1296"/>
        <v>162844</v>
      </c>
      <c r="G2492" s="19">
        <f t="shared" si="1296"/>
        <v>162844</v>
      </c>
      <c r="H2492" s="19">
        <f t="shared" si="1295"/>
        <v>8700</v>
      </c>
      <c r="I2492" s="19">
        <f t="shared" si="1295"/>
        <v>8700</v>
      </c>
      <c r="J2492" s="19">
        <f t="shared" si="1297"/>
        <v>225390</v>
      </c>
      <c r="K2492" s="133">
        <v>1000</v>
      </c>
      <c r="L2492" s="19"/>
      <c r="M2492" s="16">
        <f t="shared" si="1284"/>
        <v>45206.701074384982</v>
      </c>
      <c r="N2492" s="58">
        <v>860</v>
      </c>
      <c r="O2492" s="58">
        <v>2</v>
      </c>
      <c r="P2492" s="73">
        <v>17821.538134017697</v>
      </c>
      <c r="Q2492" s="41" t="s">
        <v>124</v>
      </c>
      <c r="R2492" s="41"/>
      <c r="S2492" s="58">
        <v>3480</v>
      </c>
    </row>
    <row r="2493" spans="1:19" x14ac:dyDescent="0.2">
      <c r="A2493" s="8" t="str">
        <f t="shared" si="1277"/>
        <v>50014013</v>
      </c>
      <c r="B2493" s="18">
        <v>5001</v>
      </c>
      <c r="C2493" s="18">
        <v>40</v>
      </c>
      <c r="D2493" s="18" t="s">
        <v>62</v>
      </c>
      <c r="E2493" s="18">
        <v>3</v>
      </c>
      <c r="F2493" s="19">
        <f t="shared" si="1296"/>
        <v>244266</v>
      </c>
      <c r="G2493" s="19">
        <f t="shared" si="1296"/>
        <v>244266</v>
      </c>
      <c r="H2493" s="19">
        <f t="shared" si="1295"/>
        <v>8700</v>
      </c>
      <c r="I2493" s="19">
        <f t="shared" si="1295"/>
        <v>8700</v>
      </c>
      <c r="J2493" s="19">
        <f t="shared" si="1297"/>
        <v>322543</v>
      </c>
      <c r="K2493" s="133">
        <v>1000</v>
      </c>
      <c r="L2493" s="19"/>
      <c r="M2493" s="16">
        <f t="shared" si="1284"/>
        <v>66233.077387570025</v>
      </c>
      <c r="N2493" s="58">
        <v>840</v>
      </c>
      <c r="O2493" s="58">
        <v>3</v>
      </c>
      <c r="P2493" s="73">
        <v>17821.538134017697</v>
      </c>
      <c r="Q2493" s="41" t="s">
        <v>124</v>
      </c>
      <c r="R2493" s="41"/>
      <c r="S2493" s="58">
        <v>3480</v>
      </c>
    </row>
    <row r="2494" spans="1:19" x14ac:dyDescent="0.2">
      <c r="A2494" s="8" t="str">
        <f t="shared" si="1277"/>
        <v>50014014</v>
      </c>
      <c r="B2494" s="18">
        <v>5001</v>
      </c>
      <c r="C2494" s="18">
        <v>40</v>
      </c>
      <c r="D2494" s="18" t="s">
        <v>62</v>
      </c>
      <c r="E2494" s="18">
        <v>4</v>
      </c>
      <c r="F2494" s="19">
        <f t="shared" si="1296"/>
        <v>325688</v>
      </c>
      <c r="G2494" s="19">
        <f t="shared" si="1296"/>
        <v>325688</v>
      </c>
      <c r="H2494" s="19">
        <f t="shared" si="1295"/>
        <v>8700</v>
      </c>
      <c r="I2494" s="19">
        <f t="shared" si="1295"/>
        <v>8700</v>
      </c>
      <c r="J2494" s="19">
        <f t="shared" si="1297"/>
        <v>409822</v>
      </c>
      <c r="K2494" s="133">
        <v>1000</v>
      </c>
      <c r="L2494" s="19"/>
      <c r="M2494" s="16">
        <f t="shared" si="1284"/>
        <v>86208.110451421453</v>
      </c>
      <c r="N2494" s="58">
        <v>820</v>
      </c>
      <c r="O2494" s="58">
        <v>4</v>
      </c>
      <c r="P2494" s="73">
        <v>17821.538134017697</v>
      </c>
      <c r="Q2494" s="41" t="s">
        <v>124</v>
      </c>
      <c r="R2494" s="41"/>
      <c r="S2494" s="58">
        <v>3480</v>
      </c>
    </row>
    <row r="2495" spans="1:19" x14ac:dyDescent="0.2">
      <c r="A2495" s="8" t="str">
        <f t="shared" si="1277"/>
        <v>50014110</v>
      </c>
      <c r="B2495" s="8">
        <v>5001</v>
      </c>
      <c r="C2495" s="8">
        <v>41</v>
      </c>
      <c r="D2495" s="8" t="s">
        <v>62</v>
      </c>
      <c r="E2495" s="8">
        <v>0</v>
      </c>
      <c r="F2495" s="34">
        <f>ROUNDDOWN($P2495/4*$O2495*10*$N2495/$N2495*$Q2495/400,0)</f>
        <v>42407</v>
      </c>
      <c r="G2495" s="34">
        <f>ROUNDDOWN($P2495/4*$O2495*10*$N2495/$N2495*$Q2495/400,0)</f>
        <v>42407</v>
      </c>
      <c r="H2495" s="34">
        <f t="shared" si="1295"/>
        <v>12600</v>
      </c>
      <c r="I2495" s="34">
        <f t="shared" si="1295"/>
        <v>12600</v>
      </c>
      <c r="J2495" s="34">
        <f>ROUNDDOWN($P2495/4*$O2495*10*$N2495/$Q2495*$N2495/400,0)</f>
        <v>64282</v>
      </c>
      <c r="K2495" s="133">
        <v>1000</v>
      </c>
      <c r="L2495" s="34"/>
      <c r="M2495" s="16">
        <f t="shared" si="1284"/>
        <v>14826.502832946144</v>
      </c>
      <c r="N2495" s="36">
        <v>900</v>
      </c>
      <c r="O2495" s="36">
        <v>0.5</v>
      </c>
      <c r="P2495" s="73">
        <v>18564.1022229351</v>
      </c>
      <c r="Q2495" s="2" t="s">
        <v>124</v>
      </c>
      <c r="S2495" s="36">
        <v>5040</v>
      </c>
    </row>
    <row r="2496" spans="1:19" x14ac:dyDescent="0.2">
      <c r="A2496" s="8" t="str">
        <f t="shared" si="1277"/>
        <v>50014111</v>
      </c>
      <c r="B2496" s="8">
        <v>5001</v>
      </c>
      <c r="C2496" s="8">
        <v>41</v>
      </c>
      <c r="D2496" s="8" t="s">
        <v>62</v>
      </c>
      <c r="E2496" s="8">
        <v>1</v>
      </c>
      <c r="F2496" s="34">
        <f t="shared" ref="F2496:G2499" si="1298">ROUNDDOWN($P2496/4*$O2496*10*$N2496/$N2496*$Q2496/400,0)</f>
        <v>84814</v>
      </c>
      <c r="G2496" s="34">
        <f t="shared" si="1298"/>
        <v>84814</v>
      </c>
      <c r="H2496" s="34">
        <f t="shared" si="1295"/>
        <v>12600</v>
      </c>
      <c r="I2496" s="34">
        <f t="shared" si="1295"/>
        <v>12600</v>
      </c>
      <c r="J2496" s="34">
        <f t="shared" ref="J2496:J2499" si="1299">ROUNDDOWN($P2496/4*$O2496*10*$N2496/$Q2496*$N2496/400,0)</f>
        <v>122914</v>
      </c>
      <c r="K2496" s="133">
        <v>1000</v>
      </c>
      <c r="L2496" s="34"/>
      <c r="M2496" s="16">
        <f t="shared" si="1284"/>
        <v>28994.105083575869</v>
      </c>
      <c r="N2496" s="36">
        <v>880</v>
      </c>
      <c r="O2496" s="36">
        <v>1</v>
      </c>
      <c r="P2496" s="73">
        <v>18564.1022229351</v>
      </c>
      <c r="Q2496" s="2" t="s">
        <v>124</v>
      </c>
      <c r="R2496" s="36"/>
      <c r="S2496" s="36">
        <v>5040</v>
      </c>
    </row>
    <row r="2497" spans="1:19" x14ac:dyDescent="0.2">
      <c r="A2497" s="8" t="str">
        <f t="shared" si="1277"/>
        <v>50014112</v>
      </c>
      <c r="B2497" s="8">
        <v>5001</v>
      </c>
      <c r="C2497" s="8">
        <v>41</v>
      </c>
      <c r="D2497" s="8" t="s">
        <v>62</v>
      </c>
      <c r="E2497" s="8">
        <v>2</v>
      </c>
      <c r="F2497" s="34">
        <f t="shared" si="1298"/>
        <v>169629</v>
      </c>
      <c r="G2497" s="34">
        <f t="shared" si="1298"/>
        <v>169629</v>
      </c>
      <c r="H2497" s="34">
        <f t="shared" si="1295"/>
        <v>12600</v>
      </c>
      <c r="I2497" s="34">
        <f t="shared" si="1295"/>
        <v>12600</v>
      </c>
      <c r="J2497" s="34">
        <f t="shared" si="1299"/>
        <v>234781</v>
      </c>
      <c r="K2497" s="133">
        <v>1000</v>
      </c>
      <c r="L2497" s="34"/>
      <c r="M2497" s="16">
        <f t="shared" si="1284"/>
        <v>56670.466085249027</v>
      </c>
      <c r="N2497" s="36">
        <v>860</v>
      </c>
      <c r="O2497" s="36">
        <v>2</v>
      </c>
      <c r="P2497" s="73">
        <v>18564.1022229351</v>
      </c>
      <c r="Q2497" s="2" t="s">
        <v>124</v>
      </c>
      <c r="R2497" s="36"/>
      <c r="S2497" s="36">
        <v>5040</v>
      </c>
    </row>
    <row r="2498" spans="1:19" x14ac:dyDescent="0.2">
      <c r="A2498" s="8" t="str">
        <f t="shared" si="1277"/>
        <v>50014113</v>
      </c>
      <c r="B2498" s="8">
        <v>5001</v>
      </c>
      <c r="C2498" s="8">
        <v>41</v>
      </c>
      <c r="D2498" s="8" t="s">
        <v>62</v>
      </c>
      <c r="E2498" s="8">
        <v>3</v>
      </c>
      <c r="F2498" s="34">
        <f t="shared" si="1298"/>
        <v>254444</v>
      </c>
      <c r="G2498" s="34">
        <f t="shared" si="1298"/>
        <v>254444</v>
      </c>
      <c r="H2498" s="34">
        <f t="shared" si="1295"/>
        <v>12600</v>
      </c>
      <c r="I2498" s="34">
        <f t="shared" si="1295"/>
        <v>12600</v>
      </c>
      <c r="J2498" s="34">
        <f t="shared" si="1299"/>
        <v>335982</v>
      </c>
      <c r="K2498" s="133">
        <v>1000</v>
      </c>
      <c r="L2498" s="34"/>
      <c r="M2498" s="16">
        <f t="shared" si="1284"/>
        <v>83028.916813391712</v>
      </c>
      <c r="N2498" s="36">
        <v>840</v>
      </c>
      <c r="O2498" s="36">
        <v>3</v>
      </c>
      <c r="P2498" s="73">
        <v>18564.1022229351</v>
      </c>
      <c r="Q2498" s="2" t="s">
        <v>124</v>
      </c>
      <c r="R2498" s="36"/>
      <c r="S2498" s="36">
        <v>5040</v>
      </c>
    </row>
    <row r="2499" spans="1:19" x14ac:dyDescent="0.2">
      <c r="A2499" s="8" t="str">
        <f t="shared" si="1277"/>
        <v>50014114</v>
      </c>
      <c r="B2499" s="8">
        <v>5001</v>
      </c>
      <c r="C2499" s="8">
        <v>41</v>
      </c>
      <c r="D2499" s="8" t="s">
        <v>62</v>
      </c>
      <c r="E2499" s="8">
        <v>4</v>
      </c>
      <c r="F2499" s="34">
        <f t="shared" si="1298"/>
        <v>339258</v>
      </c>
      <c r="G2499" s="34">
        <f t="shared" si="1298"/>
        <v>339258</v>
      </c>
      <c r="H2499" s="34">
        <f t="shared" si="1295"/>
        <v>12600</v>
      </c>
      <c r="I2499" s="34">
        <f t="shared" si="1295"/>
        <v>12600</v>
      </c>
      <c r="J2499" s="34">
        <f t="shared" si="1299"/>
        <v>426898</v>
      </c>
      <c r="K2499" s="133">
        <v>1000</v>
      </c>
      <c r="L2499" s="34"/>
      <c r="M2499" s="16">
        <f t="shared" si="1284"/>
        <v>108069.30745682496</v>
      </c>
      <c r="N2499" s="36">
        <v>820</v>
      </c>
      <c r="O2499" s="36">
        <v>4</v>
      </c>
      <c r="P2499" s="73">
        <v>18564.1022229351</v>
      </c>
      <c r="Q2499" s="2" t="s">
        <v>124</v>
      </c>
      <c r="R2499" s="36"/>
      <c r="S2499" s="36">
        <v>5040</v>
      </c>
    </row>
    <row r="2500" spans="1:19" x14ac:dyDescent="0.2">
      <c r="A2500" s="8" t="str">
        <f t="shared" si="1277"/>
        <v>50014210</v>
      </c>
      <c r="B2500" s="8">
        <v>5001</v>
      </c>
      <c r="C2500" s="8">
        <v>42</v>
      </c>
      <c r="D2500" s="8" t="s">
        <v>62</v>
      </c>
      <c r="E2500" s="8">
        <v>0</v>
      </c>
      <c r="F2500" s="34">
        <f>ROUNDDOWN($P2500/4*$O2500*10*$N2500/$N2500*$Q2500/400,0)</f>
        <v>44174</v>
      </c>
      <c r="G2500" s="34">
        <f>ROUNDDOWN($P2500/4*$O2500*10*$N2500/$N2500*$Q2500/400,0)</f>
        <v>44174</v>
      </c>
      <c r="H2500" s="34">
        <f t="shared" si="1295"/>
        <v>12900</v>
      </c>
      <c r="I2500" s="34">
        <f t="shared" si="1295"/>
        <v>12900</v>
      </c>
      <c r="J2500" s="34">
        <f>ROUNDDOWN($P2500/4*$O2500*10*$N2500/$Q2500*$N2500/400,0)</f>
        <v>66960</v>
      </c>
      <c r="K2500" s="133">
        <v>1000</v>
      </c>
      <c r="L2500" s="34"/>
      <c r="M2500" s="16">
        <f t="shared" si="1284"/>
        <v>15627.011366937701</v>
      </c>
      <c r="N2500" s="36">
        <v>900</v>
      </c>
      <c r="O2500" s="36">
        <v>0.5</v>
      </c>
      <c r="P2500" s="73">
        <v>19337.606482224066</v>
      </c>
      <c r="Q2500" s="2" t="s">
        <v>124</v>
      </c>
      <c r="R2500" s="36"/>
      <c r="S2500" s="36">
        <v>5160</v>
      </c>
    </row>
    <row r="2501" spans="1:19" x14ac:dyDescent="0.2">
      <c r="A2501" s="8" t="str">
        <f t="shared" si="1277"/>
        <v>50014211</v>
      </c>
      <c r="B2501" s="8">
        <v>5001</v>
      </c>
      <c r="C2501" s="8">
        <v>42</v>
      </c>
      <c r="D2501" s="8" t="s">
        <v>62</v>
      </c>
      <c r="E2501" s="8">
        <v>1</v>
      </c>
      <c r="F2501" s="34">
        <f t="shared" ref="F2501:G2504" si="1300">ROUNDDOWN($P2501/4*$O2501*10*$N2501/$N2501*$Q2501/400,0)</f>
        <v>88348</v>
      </c>
      <c r="G2501" s="34">
        <f t="shared" si="1300"/>
        <v>88348</v>
      </c>
      <c r="H2501" s="34">
        <f t="shared" si="1295"/>
        <v>12900</v>
      </c>
      <c r="I2501" s="34">
        <f t="shared" si="1295"/>
        <v>12900</v>
      </c>
      <c r="J2501" s="34">
        <f t="shared" ref="J2501:J2504" si="1301">ROUNDDOWN($P2501/4*$O2501*10*$N2501/$Q2501*$N2501/400,0)</f>
        <v>128035</v>
      </c>
      <c r="K2501" s="133">
        <v>1000</v>
      </c>
      <c r="L2501" s="34"/>
      <c r="M2501" s="16">
        <f t="shared" si="1284"/>
        <v>30559.592324191763</v>
      </c>
      <c r="N2501" s="36">
        <v>880</v>
      </c>
      <c r="O2501" s="36">
        <v>1</v>
      </c>
      <c r="P2501" s="73">
        <v>19337.606482224066</v>
      </c>
      <c r="Q2501" s="2" t="s">
        <v>124</v>
      </c>
      <c r="S2501" s="36">
        <v>5160</v>
      </c>
    </row>
    <row r="2502" spans="1:19" x14ac:dyDescent="0.2">
      <c r="A2502" s="8" t="str">
        <f t="shared" si="1277"/>
        <v>50014212</v>
      </c>
      <c r="B2502" s="8">
        <v>5001</v>
      </c>
      <c r="C2502" s="8">
        <v>42</v>
      </c>
      <c r="D2502" s="8" t="s">
        <v>62</v>
      </c>
      <c r="E2502" s="8">
        <v>2</v>
      </c>
      <c r="F2502" s="34">
        <f t="shared" si="1300"/>
        <v>176697</v>
      </c>
      <c r="G2502" s="34">
        <f t="shared" si="1300"/>
        <v>176697</v>
      </c>
      <c r="H2502" s="34">
        <f t="shared" si="1295"/>
        <v>12900</v>
      </c>
      <c r="I2502" s="34">
        <f t="shared" si="1295"/>
        <v>12900</v>
      </c>
      <c r="J2502" s="34">
        <f t="shared" si="1301"/>
        <v>244563</v>
      </c>
      <c r="K2502" s="133">
        <v>1000</v>
      </c>
      <c r="L2502" s="34"/>
      <c r="M2502" s="16">
        <f t="shared" si="1284"/>
        <v>59730.315224449965</v>
      </c>
      <c r="N2502" s="36">
        <v>860</v>
      </c>
      <c r="O2502" s="36">
        <v>2</v>
      </c>
      <c r="P2502" s="73">
        <v>19337.606482224066</v>
      </c>
      <c r="Q2502" s="2" t="s">
        <v>124</v>
      </c>
      <c r="S2502" s="36">
        <v>5160</v>
      </c>
    </row>
    <row r="2503" spans="1:19" x14ac:dyDescent="0.2">
      <c r="A2503" s="8" t="str">
        <f t="shared" si="1277"/>
        <v>50014213</v>
      </c>
      <c r="B2503" s="8">
        <v>5001</v>
      </c>
      <c r="C2503" s="8">
        <v>42</v>
      </c>
      <c r="D2503" s="8" t="s">
        <v>62</v>
      </c>
      <c r="E2503" s="8">
        <v>3</v>
      </c>
      <c r="F2503" s="34">
        <f t="shared" si="1300"/>
        <v>265046</v>
      </c>
      <c r="G2503" s="34">
        <f t="shared" si="1300"/>
        <v>265046</v>
      </c>
      <c r="H2503" s="34">
        <f t="shared" si="1295"/>
        <v>12900</v>
      </c>
      <c r="I2503" s="34">
        <f t="shared" si="1295"/>
        <v>12900</v>
      </c>
      <c r="J2503" s="34">
        <f t="shared" si="1301"/>
        <v>349981</v>
      </c>
      <c r="K2503" s="133">
        <v>1000</v>
      </c>
      <c r="L2503" s="34"/>
      <c r="M2503" s="16">
        <f t="shared" si="1284"/>
        <v>87512.018913075925</v>
      </c>
      <c r="N2503" s="36">
        <v>840</v>
      </c>
      <c r="O2503" s="36">
        <v>3</v>
      </c>
      <c r="P2503" s="73">
        <v>19337.606482224066</v>
      </c>
      <c r="Q2503" s="2" t="s">
        <v>124</v>
      </c>
      <c r="S2503" s="36">
        <v>5160</v>
      </c>
    </row>
    <row r="2504" spans="1:19" x14ac:dyDescent="0.2">
      <c r="A2504" s="8" t="str">
        <f t="shared" si="1277"/>
        <v>50014214</v>
      </c>
      <c r="B2504" s="8">
        <v>5001</v>
      </c>
      <c r="C2504" s="8">
        <v>42</v>
      </c>
      <c r="D2504" s="8" t="s">
        <v>62</v>
      </c>
      <c r="E2504" s="8">
        <v>4</v>
      </c>
      <c r="F2504" s="34">
        <f t="shared" si="1300"/>
        <v>353394</v>
      </c>
      <c r="G2504" s="34">
        <f t="shared" si="1300"/>
        <v>353394</v>
      </c>
      <c r="H2504" s="34">
        <f t="shared" si="1295"/>
        <v>12900</v>
      </c>
      <c r="I2504" s="34">
        <f t="shared" si="1295"/>
        <v>12900</v>
      </c>
      <c r="J2504" s="34">
        <f t="shared" si="1301"/>
        <v>444685</v>
      </c>
      <c r="K2504" s="133">
        <v>1000</v>
      </c>
      <c r="L2504" s="34"/>
      <c r="M2504" s="16">
        <f t="shared" si="1284"/>
        <v>113904.44389521597</v>
      </c>
      <c r="N2504" s="36">
        <v>820</v>
      </c>
      <c r="O2504" s="36">
        <v>4</v>
      </c>
      <c r="P2504" s="73">
        <v>19337.606482224066</v>
      </c>
      <c r="Q2504" s="2" t="s">
        <v>124</v>
      </c>
      <c r="S2504" s="36">
        <v>5160</v>
      </c>
    </row>
    <row r="2505" spans="1:19" x14ac:dyDescent="0.2">
      <c r="A2505" s="8" t="str">
        <f t="shared" si="1277"/>
        <v>50014310</v>
      </c>
      <c r="B2505" s="8">
        <v>5001</v>
      </c>
      <c r="C2505" s="8">
        <v>43</v>
      </c>
      <c r="D2505" s="8" t="s">
        <v>62</v>
      </c>
      <c r="E2505" s="8">
        <v>0</v>
      </c>
      <c r="F2505" s="34">
        <f>ROUNDDOWN($P2505/4*$O2505*10*$N2505/$N2505*$Q2505/400,0)</f>
        <v>46014</v>
      </c>
      <c r="G2505" s="34">
        <f>ROUNDDOWN($P2505/4*$O2505*10*$N2505/$N2505*$Q2505/400,0)</f>
        <v>46014</v>
      </c>
      <c r="H2505" s="34">
        <f t="shared" si="1295"/>
        <v>13800</v>
      </c>
      <c r="I2505" s="34">
        <f t="shared" si="1295"/>
        <v>13800</v>
      </c>
      <c r="J2505" s="34">
        <f>ROUNDDOWN($P2505/4*$O2505*10*$N2505/$Q2505*$N2505/400,0)</f>
        <v>69750</v>
      </c>
      <c r="K2505" s="133">
        <v>1000</v>
      </c>
      <c r="L2505" s="34"/>
      <c r="M2505" s="16">
        <f t="shared" si="1284"/>
        <v>16836.299013738142</v>
      </c>
      <c r="N2505" s="36">
        <v>900</v>
      </c>
      <c r="O2505" s="36">
        <v>0.5</v>
      </c>
      <c r="P2505" s="73">
        <v>20143.34008565007</v>
      </c>
      <c r="Q2505" s="2" t="s">
        <v>124</v>
      </c>
      <c r="S2505" s="36">
        <v>5520</v>
      </c>
    </row>
    <row r="2506" spans="1:19" x14ac:dyDescent="0.2">
      <c r="A2506" s="8" t="str">
        <f t="shared" si="1277"/>
        <v>50014311</v>
      </c>
      <c r="B2506" s="8">
        <v>5001</v>
      </c>
      <c r="C2506" s="8">
        <v>43</v>
      </c>
      <c r="D2506" s="8" t="s">
        <v>62</v>
      </c>
      <c r="E2506" s="8">
        <v>1</v>
      </c>
      <c r="F2506" s="34">
        <f t="shared" ref="F2506:G2509" si="1302">ROUNDDOWN($P2506/4*$O2506*10*$N2506/$N2506*$Q2506/400,0)</f>
        <v>92029</v>
      </c>
      <c r="G2506" s="34">
        <f t="shared" si="1302"/>
        <v>92029</v>
      </c>
      <c r="H2506" s="34">
        <f t="shared" si="1295"/>
        <v>13800</v>
      </c>
      <c r="I2506" s="34">
        <f t="shared" si="1295"/>
        <v>13800</v>
      </c>
      <c r="J2506" s="34">
        <f t="shared" ref="J2506:J2509" si="1303">ROUNDDOWN($P2506/4*$O2506*10*$N2506/$Q2506*$N2506/400,0)</f>
        <v>133370</v>
      </c>
      <c r="K2506" s="133">
        <v>1000</v>
      </c>
      <c r="L2506" s="34"/>
      <c r="M2506" s="16">
        <f t="shared" si="1284"/>
        <v>32924.634101438394</v>
      </c>
      <c r="N2506" s="36">
        <v>880</v>
      </c>
      <c r="O2506" s="36">
        <v>1</v>
      </c>
      <c r="P2506" s="73">
        <v>20143.34008565007</v>
      </c>
      <c r="Q2506" s="2" t="s">
        <v>124</v>
      </c>
      <c r="S2506" s="36">
        <v>5520</v>
      </c>
    </row>
    <row r="2507" spans="1:19" x14ac:dyDescent="0.2">
      <c r="A2507" s="8" t="str">
        <f t="shared" si="1277"/>
        <v>50014312</v>
      </c>
      <c r="B2507" s="8">
        <v>5001</v>
      </c>
      <c r="C2507" s="8">
        <v>43</v>
      </c>
      <c r="D2507" s="8" t="s">
        <v>62</v>
      </c>
      <c r="E2507" s="8">
        <v>2</v>
      </c>
      <c r="F2507" s="34">
        <f t="shared" si="1302"/>
        <v>184059</v>
      </c>
      <c r="G2507" s="34">
        <f t="shared" si="1302"/>
        <v>184059</v>
      </c>
      <c r="H2507" s="34">
        <f t="shared" si="1295"/>
        <v>13800</v>
      </c>
      <c r="I2507" s="34">
        <f t="shared" si="1295"/>
        <v>13800</v>
      </c>
      <c r="J2507" s="34">
        <f t="shared" si="1303"/>
        <v>254754</v>
      </c>
      <c r="K2507" s="133">
        <v>1000</v>
      </c>
      <c r="L2507" s="34"/>
      <c r="M2507" s="16">
        <f t="shared" si="1284"/>
        <v>64352.965557490214</v>
      </c>
      <c r="N2507" s="36">
        <v>860</v>
      </c>
      <c r="O2507" s="36">
        <v>2</v>
      </c>
      <c r="P2507" s="73">
        <v>20143.34008565007</v>
      </c>
      <c r="Q2507" s="2" t="s">
        <v>124</v>
      </c>
      <c r="S2507" s="36">
        <v>5520</v>
      </c>
    </row>
    <row r="2508" spans="1:19" x14ac:dyDescent="0.2">
      <c r="A2508" s="8" t="str">
        <f t="shared" si="1277"/>
        <v>50014313</v>
      </c>
      <c r="B2508" s="8">
        <v>5001</v>
      </c>
      <c r="C2508" s="8">
        <v>43</v>
      </c>
      <c r="D2508" s="8" t="s">
        <v>62</v>
      </c>
      <c r="E2508" s="8">
        <v>3</v>
      </c>
      <c r="F2508" s="34">
        <f t="shared" si="1302"/>
        <v>276089</v>
      </c>
      <c r="G2508" s="34">
        <f t="shared" si="1302"/>
        <v>276089</v>
      </c>
      <c r="H2508" s="34">
        <f t="shared" si="1295"/>
        <v>13800</v>
      </c>
      <c r="I2508" s="34">
        <f t="shared" si="1295"/>
        <v>13800</v>
      </c>
      <c r="J2508" s="34">
        <f t="shared" si="1303"/>
        <v>364564</v>
      </c>
      <c r="K2508" s="133">
        <v>1000</v>
      </c>
      <c r="L2508" s="34"/>
      <c r="M2508" s="16">
        <f t="shared" si="1284"/>
        <v>94284.645475871221</v>
      </c>
      <c r="N2508" s="36">
        <v>840</v>
      </c>
      <c r="O2508" s="36">
        <v>3</v>
      </c>
      <c r="P2508" s="73">
        <v>20143.34008565007</v>
      </c>
      <c r="Q2508" s="2" t="s">
        <v>124</v>
      </c>
      <c r="S2508" s="36">
        <v>5520</v>
      </c>
    </row>
    <row r="2509" spans="1:19" x14ac:dyDescent="0.2">
      <c r="A2509" s="8" t="str">
        <f t="shared" si="1277"/>
        <v>50014314</v>
      </c>
      <c r="B2509" s="8">
        <v>5001</v>
      </c>
      <c r="C2509" s="8">
        <v>43</v>
      </c>
      <c r="D2509" s="8" t="s">
        <v>62</v>
      </c>
      <c r="E2509" s="8">
        <v>4</v>
      </c>
      <c r="F2509" s="34">
        <f t="shared" si="1302"/>
        <v>368119</v>
      </c>
      <c r="G2509" s="34">
        <f t="shared" si="1302"/>
        <v>368119</v>
      </c>
      <c r="H2509" s="34">
        <f t="shared" si="1295"/>
        <v>13800</v>
      </c>
      <c r="I2509" s="34">
        <f t="shared" si="1295"/>
        <v>13800</v>
      </c>
      <c r="J2509" s="34">
        <f t="shared" si="1303"/>
        <v>463214</v>
      </c>
      <c r="K2509" s="133">
        <v>1000</v>
      </c>
      <c r="L2509" s="34"/>
      <c r="M2509" s="16">
        <f t="shared" si="1284"/>
        <v>122719.75665245234</v>
      </c>
      <c r="N2509" s="36">
        <v>820</v>
      </c>
      <c r="O2509" s="36">
        <v>4</v>
      </c>
      <c r="P2509" s="73">
        <v>20143.34008565007</v>
      </c>
      <c r="Q2509" s="2" t="s">
        <v>124</v>
      </c>
      <c r="S2509" s="36">
        <v>5520</v>
      </c>
    </row>
    <row r="2510" spans="1:19" x14ac:dyDescent="0.2">
      <c r="A2510" s="8" t="str">
        <f t="shared" si="1277"/>
        <v>50014410</v>
      </c>
      <c r="B2510" s="8">
        <v>5001</v>
      </c>
      <c r="C2510" s="8">
        <v>44</v>
      </c>
      <c r="D2510" s="8" t="s">
        <v>62</v>
      </c>
      <c r="E2510" s="8">
        <v>0</v>
      </c>
      <c r="F2510" s="34">
        <f>ROUNDDOWN($P2510/4*$O2510*10*$N2510/$N2510*$Q2510/400,0)</f>
        <v>47932</v>
      </c>
      <c r="G2510" s="34">
        <f>ROUNDDOWN($P2510/4*$O2510*10*$N2510/$N2510*$Q2510/400,0)</f>
        <v>47932</v>
      </c>
      <c r="H2510" s="34">
        <f t="shared" si="1295"/>
        <v>14400</v>
      </c>
      <c r="I2510" s="34">
        <f t="shared" si="1295"/>
        <v>14400</v>
      </c>
      <c r="J2510" s="34">
        <f>ROUNDDOWN($P2510/4*$O2510*10*$N2510/$Q2510*$N2510/400,0)</f>
        <v>72657</v>
      </c>
      <c r="K2510" s="133">
        <v>1000</v>
      </c>
      <c r="L2510" s="34"/>
      <c r="M2510" s="16">
        <f t="shared" si="1284"/>
        <v>17915.244487861168</v>
      </c>
      <c r="N2510" s="36">
        <v>900</v>
      </c>
      <c r="O2510" s="36">
        <v>0.5</v>
      </c>
      <c r="P2510" s="73">
        <v>20982.645922552158</v>
      </c>
      <c r="Q2510" s="2" t="s">
        <v>124</v>
      </c>
      <c r="S2510" s="36">
        <v>5760</v>
      </c>
    </row>
    <row r="2511" spans="1:19" x14ac:dyDescent="0.2">
      <c r="A2511" s="8" t="str">
        <f t="shared" si="1277"/>
        <v>50014411</v>
      </c>
      <c r="B2511" s="8">
        <v>5001</v>
      </c>
      <c r="C2511" s="8">
        <v>44</v>
      </c>
      <c r="D2511" s="8" t="s">
        <v>62</v>
      </c>
      <c r="E2511" s="8">
        <v>1</v>
      </c>
      <c r="F2511" s="34">
        <f t="shared" ref="F2511:G2514" si="1304">ROUNDDOWN($P2511/4*$O2511*10*$N2511/$N2511*$Q2511/400,0)</f>
        <v>95864</v>
      </c>
      <c r="G2511" s="34">
        <f t="shared" si="1304"/>
        <v>95864</v>
      </c>
      <c r="H2511" s="34">
        <f t="shared" si="1295"/>
        <v>14400</v>
      </c>
      <c r="I2511" s="34">
        <f t="shared" si="1295"/>
        <v>14400</v>
      </c>
      <c r="J2511" s="34">
        <f t="shared" ref="J2511:J2514" si="1305">ROUNDDOWN($P2511/4*$O2511*10*$N2511/$Q2511*$N2511/400,0)</f>
        <v>138927</v>
      </c>
      <c r="K2511" s="133">
        <v>1000</v>
      </c>
      <c r="L2511" s="34"/>
      <c r="M2511" s="16">
        <f t="shared" si="1284"/>
        <v>35034.210495521096</v>
      </c>
      <c r="N2511" s="36">
        <v>880</v>
      </c>
      <c r="O2511" s="36">
        <v>1</v>
      </c>
      <c r="P2511" s="73">
        <v>20982.645922552158</v>
      </c>
      <c r="Q2511" s="2" t="s">
        <v>124</v>
      </c>
      <c r="S2511" s="36">
        <v>5760</v>
      </c>
    </row>
    <row r="2512" spans="1:19" x14ac:dyDescent="0.2">
      <c r="A2512" s="8" t="str">
        <f t="shared" ref="A2512:A2578" si="1306">IF(B2512="","",CONCATENATE(B2512,CONCATENATE(REPT(0,2-LEN(C2512)),C2512),IF(OR(D2512="Easy",D2512=""),1,IF(D2512="Normal",2,IF(D2512="Hard",3,IF(D2512="Hell",4,"error")))),E2512))</f>
        <v>50014412</v>
      </c>
      <c r="B2512" s="8">
        <v>5001</v>
      </c>
      <c r="C2512" s="8">
        <v>44</v>
      </c>
      <c r="D2512" s="8" t="s">
        <v>62</v>
      </c>
      <c r="E2512" s="8">
        <v>2</v>
      </c>
      <c r="F2512" s="34">
        <f t="shared" si="1304"/>
        <v>191728</v>
      </c>
      <c r="G2512" s="34">
        <f t="shared" si="1304"/>
        <v>191728</v>
      </c>
      <c r="H2512" s="34">
        <f t="shared" si="1295"/>
        <v>14400</v>
      </c>
      <c r="I2512" s="34">
        <f t="shared" si="1295"/>
        <v>14400</v>
      </c>
      <c r="J2512" s="34">
        <f t="shared" si="1305"/>
        <v>265368</v>
      </c>
      <c r="K2512" s="133">
        <v>1000</v>
      </c>
      <c r="L2512" s="34"/>
      <c r="M2512" s="16">
        <f t="shared" si="1284"/>
        <v>68475.983668090819</v>
      </c>
      <c r="N2512" s="36">
        <v>860</v>
      </c>
      <c r="O2512" s="36">
        <v>2</v>
      </c>
      <c r="P2512" s="73">
        <v>20982.645922552158</v>
      </c>
      <c r="Q2512" s="2" t="s">
        <v>124</v>
      </c>
      <c r="S2512" s="36">
        <v>5760</v>
      </c>
    </row>
    <row r="2513" spans="1:19" x14ac:dyDescent="0.2">
      <c r="A2513" s="69" t="str">
        <f t="shared" si="1306"/>
        <v>50014413</v>
      </c>
      <c r="B2513" s="69">
        <v>5001</v>
      </c>
      <c r="C2513" s="69">
        <v>44</v>
      </c>
      <c r="D2513" s="69" t="s">
        <v>62</v>
      </c>
      <c r="E2513" s="69">
        <v>3</v>
      </c>
      <c r="F2513" s="70">
        <f t="shared" si="1304"/>
        <v>287593</v>
      </c>
      <c r="G2513" s="70">
        <f t="shared" si="1304"/>
        <v>287593</v>
      </c>
      <c r="H2513" s="70">
        <f t="shared" si="1295"/>
        <v>14400</v>
      </c>
      <c r="I2513" s="70">
        <f t="shared" si="1295"/>
        <v>14400</v>
      </c>
      <c r="J2513" s="70">
        <f t="shared" si="1305"/>
        <v>379754</v>
      </c>
      <c r="K2513" s="133">
        <v>1000</v>
      </c>
      <c r="L2513" s="70"/>
      <c r="M2513" s="131">
        <f t="shared" si="1284"/>
        <v>100325.55412238461</v>
      </c>
      <c r="N2513" s="71">
        <v>840</v>
      </c>
      <c r="O2513" s="71">
        <v>3</v>
      </c>
      <c r="P2513" s="132">
        <v>20982.645922552158</v>
      </c>
      <c r="Q2513" s="72" t="s">
        <v>124</v>
      </c>
      <c r="R2513" s="72"/>
      <c r="S2513" s="71">
        <v>5760</v>
      </c>
    </row>
    <row r="2514" spans="1:19" x14ac:dyDescent="0.2">
      <c r="A2514" s="8" t="str">
        <f t="shared" si="1306"/>
        <v>50014414</v>
      </c>
      <c r="B2514" s="8">
        <v>5001</v>
      </c>
      <c r="C2514" s="8">
        <v>44</v>
      </c>
      <c r="D2514" s="8" t="s">
        <v>62</v>
      </c>
      <c r="E2514" s="8">
        <v>4</v>
      </c>
      <c r="F2514" s="34">
        <f t="shared" si="1304"/>
        <v>383457</v>
      </c>
      <c r="G2514" s="34">
        <f t="shared" si="1304"/>
        <v>383457</v>
      </c>
      <c r="H2514" s="34">
        <f t="shared" si="1295"/>
        <v>14400</v>
      </c>
      <c r="I2514" s="34">
        <f t="shared" si="1295"/>
        <v>14400</v>
      </c>
      <c r="J2514" s="34">
        <f t="shared" si="1305"/>
        <v>482514</v>
      </c>
      <c r="K2514" s="133">
        <v>1000</v>
      </c>
      <c r="L2514" s="34"/>
      <c r="M2514" s="16">
        <f t="shared" si="1284"/>
        <v>130582.36428384839</v>
      </c>
      <c r="N2514" s="36">
        <v>820</v>
      </c>
      <c r="O2514" s="36">
        <v>4</v>
      </c>
      <c r="P2514" s="73">
        <v>20982.645922552158</v>
      </c>
      <c r="Q2514" s="2" t="s">
        <v>124</v>
      </c>
      <c r="S2514" s="36">
        <v>5760</v>
      </c>
    </row>
    <row r="2515" spans="1:19" x14ac:dyDescent="0.2">
      <c r="A2515" s="8" t="str">
        <f t="shared" si="1306"/>
        <v>50014510</v>
      </c>
      <c r="B2515" s="8">
        <v>5001</v>
      </c>
      <c r="C2515" s="8">
        <v>45</v>
      </c>
      <c r="D2515" s="8" t="s">
        <v>62</v>
      </c>
      <c r="E2515" s="8">
        <v>0</v>
      </c>
      <c r="F2515" s="34">
        <f>ROUNDDOWN($P2515/4*$O2515*10*$N2515/$N2515*$Q2515/400,0)</f>
        <v>49929</v>
      </c>
      <c r="G2515" s="34">
        <f>ROUNDDOWN($P2515/4*$O2515*10*$N2515/$N2515*$Q2515/400,0)</f>
        <v>49929</v>
      </c>
      <c r="H2515" s="34">
        <f t="shared" si="1295"/>
        <v>15300</v>
      </c>
      <c r="I2515" s="34">
        <f t="shared" si="1295"/>
        <v>15300</v>
      </c>
      <c r="J2515" s="34">
        <f>ROUNDDOWN($P2515/4*$O2515*10*$N2515/$Q2515*$N2515/400,0)</f>
        <v>75684</v>
      </c>
      <c r="K2515" s="133">
        <v>1000</v>
      </c>
      <c r="L2515" s="34"/>
      <c r="M2515" s="16">
        <f t="shared" si="1284"/>
        <v>19235.973711073741</v>
      </c>
      <c r="N2515" s="36">
        <v>900</v>
      </c>
      <c r="O2515" s="36">
        <v>0.5</v>
      </c>
      <c r="P2515" s="73">
        <v>21856.922835991834</v>
      </c>
      <c r="Q2515" s="2" t="s">
        <v>124</v>
      </c>
      <c r="S2515" s="36">
        <v>6120</v>
      </c>
    </row>
    <row r="2516" spans="1:19" x14ac:dyDescent="0.2">
      <c r="A2516" s="8" t="str">
        <f t="shared" si="1306"/>
        <v>50014511</v>
      </c>
      <c r="B2516" s="8">
        <v>5001</v>
      </c>
      <c r="C2516" s="8">
        <v>45</v>
      </c>
      <c r="D2516" s="8" t="s">
        <v>62</v>
      </c>
      <c r="E2516" s="8">
        <v>1</v>
      </c>
      <c r="F2516" s="34">
        <f t="shared" ref="F2516:G2520" si="1307">ROUNDDOWN($P2516/4*$O2516*10*$N2516/$N2516*$Q2516/400,0)</f>
        <v>99858</v>
      </c>
      <c r="G2516" s="34">
        <f t="shared" si="1307"/>
        <v>99858</v>
      </c>
      <c r="H2516" s="34">
        <f t="shared" si="1295"/>
        <v>15300</v>
      </c>
      <c r="I2516" s="34">
        <f t="shared" si="1295"/>
        <v>15300</v>
      </c>
      <c r="J2516" s="34">
        <f t="shared" ref="J2516:J2520" si="1308">ROUNDDOWN($P2516/4*$O2516*10*$N2516/$Q2516*$N2516/400,0)</f>
        <v>144716</v>
      </c>
      <c r="K2516" s="133">
        <v>1000</v>
      </c>
      <c r="L2516" s="34"/>
      <c r="M2516" s="16">
        <f t="shared" si="1284"/>
        <v>37617.10844971687</v>
      </c>
      <c r="N2516" s="36">
        <v>880</v>
      </c>
      <c r="O2516" s="36">
        <v>1</v>
      </c>
      <c r="P2516" s="73">
        <v>21856.922835991834</v>
      </c>
      <c r="Q2516" s="2" t="s">
        <v>124</v>
      </c>
      <c r="S2516" s="36">
        <v>6120</v>
      </c>
    </row>
    <row r="2517" spans="1:19" x14ac:dyDescent="0.2">
      <c r="A2517" s="8" t="str">
        <f t="shared" si="1306"/>
        <v>50014512</v>
      </c>
      <c r="B2517" s="8">
        <v>5001</v>
      </c>
      <c r="C2517" s="8">
        <v>45</v>
      </c>
      <c r="D2517" s="8" t="s">
        <v>62</v>
      </c>
      <c r="E2517" s="8">
        <v>2</v>
      </c>
      <c r="F2517" s="34">
        <f t="shared" si="1307"/>
        <v>199717</v>
      </c>
      <c r="G2517" s="34">
        <f t="shared" si="1307"/>
        <v>199717</v>
      </c>
      <c r="H2517" s="34">
        <f t="shared" si="1295"/>
        <v>15300</v>
      </c>
      <c r="I2517" s="34">
        <f t="shared" si="1295"/>
        <v>15300</v>
      </c>
      <c r="J2517" s="34">
        <f t="shared" si="1308"/>
        <v>276425</v>
      </c>
      <c r="K2517" s="133">
        <v>1000</v>
      </c>
      <c r="L2517" s="34"/>
      <c r="M2517" s="16">
        <f t="shared" si="1284"/>
        <v>73524.465909736464</v>
      </c>
      <c r="N2517" s="36">
        <v>860</v>
      </c>
      <c r="O2517" s="36">
        <v>2</v>
      </c>
      <c r="P2517" s="73">
        <v>21856.922835991834</v>
      </c>
      <c r="Q2517" s="2" t="s">
        <v>124</v>
      </c>
      <c r="S2517" s="36">
        <v>6120</v>
      </c>
    </row>
    <row r="2518" spans="1:19" x14ac:dyDescent="0.2">
      <c r="A2518" s="8" t="str">
        <f t="shared" si="1306"/>
        <v>50014513</v>
      </c>
      <c r="B2518" s="8">
        <v>5001</v>
      </c>
      <c r="C2518" s="8">
        <v>45</v>
      </c>
      <c r="D2518" s="8" t="s">
        <v>62</v>
      </c>
      <c r="E2518" s="8">
        <v>3</v>
      </c>
      <c r="F2518" s="34">
        <f t="shared" si="1307"/>
        <v>299576</v>
      </c>
      <c r="G2518" s="34">
        <f t="shared" si="1307"/>
        <v>299576</v>
      </c>
      <c r="H2518" s="34">
        <f t="shared" si="1295"/>
        <v>15300</v>
      </c>
      <c r="I2518" s="34">
        <f t="shared" si="1295"/>
        <v>15300</v>
      </c>
      <c r="J2518" s="34">
        <f t="shared" si="1308"/>
        <v>395577</v>
      </c>
      <c r="K2518" s="133">
        <v>1000</v>
      </c>
      <c r="L2518" s="34"/>
      <c r="M2518" s="16">
        <f t="shared" si="1284"/>
        <v>107722.0792338685</v>
      </c>
      <c r="N2518" s="36">
        <v>840</v>
      </c>
      <c r="O2518" s="36">
        <v>3</v>
      </c>
      <c r="P2518" s="73">
        <v>21856.922835991834</v>
      </c>
      <c r="Q2518" s="2" t="s">
        <v>124</v>
      </c>
      <c r="S2518" s="36">
        <v>6120</v>
      </c>
    </row>
    <row r="2519" spans="1:19" x14ac:dyDescent="0.2">
      <c r="A2519" s="8" t="str">
        <f t="shared" si="1306"/>
        <v>50014514</v>
      </c>
      <c r="B2519" s="8">
        <v>5001</v>
      </c>
      <c r="C2519" s="8">
        <v>45</v>
      </c>
      <c r="D2519" s="8" t="s">
        <v>62</v>
      </c>
      <c r="E2519" s="8">
        <v>4</v>
      </c>
      <c r="F2519" s="34">
        <f t="shared" si="1307"/>
        <v>399435</v>
      </c>
      <c r="G2519" s="34">
        <f t="shared" si="1307"/>
        <v>399435</v>
      </c>
      <c r="H2519" s="34">
        <f t="shared" si="1295"/>
        <v>15300</v>
      </c>
      <c r="I2519" s="34">
        <f t="shared" si="1295"/>
        <v>15300</v>
      </c>
      <c r="J2519" s="34">
        <f t="shared" si="1308"/>
        <v>502619</v>
      </c>
      <c r="K2519" s="133">
        <v>1000</v>
      </c>
      <c r="L2519" s="34"/>
      <c r="M2519" s="16">
        <f t="shared" si="1284"/>
        <v>140209.7489347613</v>
      </c>
      <c r="N2519" s="36">
        <v>820</v>
      </c>
      <c r="O2519" s="36">
        <v>4</v>
      </c>
      <c r="P2519" s="73">
        <v>21856.922835991834</v>
      </c>
      <c r="Q2519" s="2" t="s">
        <v>124</v>
      </c>
      <c r="S2519" s="36">
        <v>6120</v>
      </c>
    </row>
    <row r="2520" spans="1:19" x14ac:dyDescent="0.2">
      <c r="A2520" s="119" t="str">
        <f t="shared" si="1306"/>
        <v>50014515</v>
      </c>
      <c r="B2520" s="119">
        <v>5001</v>
      </c>
      <c r="C2520" s="119">
        <v>45</v>
      </c>
      <c r="D2520" s="119" t="s">
        <v>62</v>
      </c>
      <c r="E2520" s="119">
        <v>5</v>
      </c>
      <c r="F2520" s="120">
        <f t="shared" si="1307"/>
        <v>296055</v>
      </c>
      <c r="G2520" s="120">
        <f t="shared" si="1307"/>
        <v>296055</v>
      </c>
      <c r="H2520" s="120">
        <f t="shared" si="1295"/>
        <v>18000</v>
      </c>
      <c r="I2520" s="120">
        <f t="shared" si="1295"/>
        <v>18000</v>
      </c>
      <c r="J2520" s="120">
        <f t="shared" si="1308"/>
        <v>797811</v>
      </c>
      <c r="K2520" s="133">
        <v>1000</v>
      </c>
      <c r="L2520" s="120"/>
      <c r="M2520" s="121">
        <f t="shared" si="1284"/>
        <v>164953.84742920066</v>
      </c>
      <c r="N2520" s="122">
        <v>1200</v>
      </c>
      <c r="O2520" s="122">
        <v>2</v>
      </c>
      <c r="P2520" s="123">
        <v>32400</v>
      </c>
      <c r="Q2520" s="124" t="s">
        <v>103</v>
      </c>
      <c r="R2520" s="124"/>
      <c r="S2520" s="122">
        <v>7200</v>
      </c>
    </row>
    <row r="2521" spans="1:19" x14ac:dyDescent="0.2">
      <c r="A2521" s="8" t="str">
        <f t="shared" si="1306"/>
        <v>50014610</v>
      </c>
      <c r="B2521" s="8">
        <v>5001</v>
      </c>
      <c r="C2521" s="8">
        <v>46</v>
      </c>
      <c r="D2521" s="8" t="s">
        <v>62</v>
      </c>
      <c r="E2521" s="8">
        <v>0</v>
      </c>
      <c r="F2521" s="34">
        <f>ROUNDDOWN($P2521/4*$O2521*10*$N2521/$N2521*$Q2521/400,0)</f>
        <v>52009</v>
      </c>
      <c r="G2521" s="34">
        <f>ROUNDDOWN($P2521/4*$O2521*10*$N2521/$N2521*$Q2521/400,0)</f>
        <v>52009</v>
      </c>
      <c r="H2521" s="34">
        <f t="shared" si="1295"/>
        <v>15900</v>
      </c>
      <c r="I2521" s="34">
        <f t="shared" si="1295"/>
        <v>15900</v>
      </c>
      <c r="J2521" s="34">
        <f>ROUNDDOWN($P2521/4*$O2521*10*$N2521/$Q2521*$N2521/400,0)</f>
        <v>78837</v>
      </c>
      <c r="K2521" s="133">
        <v>1000</v>
      </c>
      <c r="L2521" s="34"/>
      <c r="M2521" s="16">
        <f t="shared" si="1284"/>
        <v>20426.447667621505</v>
      </c>
      <c r="N2521" s="36">
        <v>900</v>
      </c>
      <c r="O2521" s="36">
        <v>0.5</v>
      </c>
      <c r="P2521" s="73">
        <v>22767.627954158164</v>
      </c>
      <c r="Q2521" s="2" t="s">
        <v>124</v>
      </c>
      <c r="S2521" s="36">
        <v>6360</v>
      </c>
    </row>
    <row r="2522" spans="1:19" x14ac:dyDescent="0.2">
      <c r="A2522" s="8" t="str">
        <f t="shared" si="1306"/>
        <v>50014611</v>
      </c>
      <c r="B2522" s="8">
        <v>5001</v>
      </c>
      <c r="C2522" s="8">
        <v>46</v>
      </c>
      <c r="D2522" s="8" t="s">
        <v>62</v>
      </c>
      <c r="E2522" s="8">
        <v>1</v>
      </c>
      <c r="F2522" s="34">
        <f t="shared" ref="F2522:G2525" si="1309">ROUNDDOWN($P2522/4*$O2522*10*$N2522/$N2522*$Q2522/400,0)</f>
        <v>104019</v>
      </c>
      <c r="G2522" s="34">
        <f t="shared" si="1309"/>
        <v>104019</v>
      </c>
      <c r="H2522" s="34">
        <f t="shared" si="1295"/>
        <v>15900</v>
      </c>
      <c r="I2522" s="34">
        <f t="shared" si="1295"/>
        <v>15900</v>
      </c>
      <c r="J2522" s="34">
        <f t="shared" ref="J2522:J2525" si="1310">ROUNDDOWN($P2522/4*$O2522*10*$N2522/$Q2522*$N2522/400,0)</f>
        <v>150745</v>
      </c>
      <c r="K2522" s="133">
        <v>1000</v>
      </c>
      <c r="L2522" s="34"/>
      <c r="M2522" s="16">
        <f t="shared" si="1284"/>
        <v>39945.360446650127</v>
      </c>
      <c r="N2522" s="36">
        <v>880</v>
      </c>
      <c r="O2522" s="36">
        <v>1</v>
      </c>
      <c r="P2522" s="73">
        <v>22767.627954158164</v>
      </c>
      <c r="Q2522" s="2" t="s">
        <v>124</v>
      </c>
      <c r="S2522" s="36">
        <v>6360</v>
      </c>
    </row>
    <row r="2523" spans="1:19" x14ac:dyDescent="0.2">
      <c r="A2523" s="8" t="str">
        <f t="shared" si="1306"/>
        <v>50014612</v>
      </c>
      <c r="B2523" s="8">
        <v>5001</v>
      </c>
      <c r="C2523" s="8">
        <v>46</v>
      </c>
      <c r="D2523" s="8" t="s">
        <v>62</v>
      </c>
      <c r="E2523" s="8">
        <v>2</v>
      </c>
      <c r="F2523" s="34">
        <f t="shared" si="1309"/>
        <v>208039</v>
      </c>
      <c r="G2523" s="34">
        <f t="shared" si="1309"/>
        <v>208039</v>
      </c>
      <c r="H2523" s="34">
        <f t="shared" si="1295"/>
        <v>15900</v>
      </c>
      <c r="I2523" s="34">
        <f t="shared" si="1295"/>
        <v>15900</v>
      </c>
      <c r="J2523" s="34">
        <f t="shared" si="1310"/>
        <v>287943</v>
      </c>
      <c r="K2523" s="133">
        <v>1000</v>
      </c>
      <c r="L2523" s="34"/>
      <c r="M2523" s="16">
        <f t="shared" si="1284"/>
        <v>78075.395071350882</v>
      </c>
      <c r="N2523" s="36">
        <v>860</v>
      </c>
      <c r="O2523" s="36">
        <v>2</v>
      </c>
      <c r="P2523" s="73">
        <v>22767.627954158164</v>
      </c>
      <c r="Q2523" s="2" t="s">
        <v>124</v>
      </c>
      <c r="S2523" s="36">
        <v>6360</v>
      </c>
    </row>
    <row r="2524" spans="1:19" x14ac:dyDescent="0.2">
      <c r="A2524" s="8" t="str">
        <f t="shared" si="1306"/>
        <v>50014613</v>
      </c>
      <c r="B2524" s="8">
        <v>5001</v>
      </c>
      <c r="C2524" s="8">
        <v>46</v>
      </c>
      <c r="D2524" s="8" t="s">
        <v>62</v>
      </c>
      <c r="E2524" s="8">
        <v>3</v>
      </c>
      <c r="F2524" s="34">
        <f t="shared" si="1309"/>
        <v>312058</v>
      </c>
      <c r="G2524" s="34">
        <f t="shared" si="1309"/>
        <v>312058</v>
      </c>
      <c r="H2524" s="34">
        <f t="shared" si="1295"/>
        <v>15900</v>
      </c>
      <c r="I2524" s="34">
        <f t="shared" si="1295"/>
        <v>15900</v>
      </c>
      <c r="J2524" s="34">
        <f t="shared" si="1310"/>
        <v>412059</v>
      </c>
      <c r="K2524" s="133">
        <v>1000</v>
      </c>
      <c r="L2524" s="34"/>
      <c r="M2524" s="16">
        <f t="shared" si="1284"/>
        <v>114389.43414171923</v>
      </c>
      <c r="N2524" s="36">
        <v>840</v>
      </c>
      <c r="O2524" s="36">
        <v>3</v>
      </c>
      <c r="P2524" s="73">
        <v>22767.627954158164</v>
      </c>
      <c r="Q2524" s="2" t="s">
        <v>124</v>
      </c>
      <c r="S2524" s="36">
        <v>6360</v>
      </c>
    </row>
    <row r="2525" spans="1:19" x14ac:dyDescent="0.2">
      <c r="A2525" s="8" t="str">
        <f t="shared" si="1306"/>
        <v>50014614</v>
      </c>
      <c r="B2525" s="8">
        <v>5001</v>
      </c>
      <c r="C2525" s="8">
        <v>46</v>
      </c>
      <c r="D2525" s="8" t="s">
        <v>62</v>
      </c>
      <c r="E2525" s="8">
        <v>4</v>
      </c>
      <c r="F2525" s="34">
        <f t="shared" si="1309"/>
        <v>416078</v>
      </c>
      <c r="G2525" s="34">
        <f t="shared" si="1309"/>
        <v>416078</v>
      </c>
      <c r="H2525" s="34">
        <f t="shared" si="1295"/>
        <v>15900</v>
      </c>
      <c r="I2525" s="34">
        <f t="shared" si="1295"/>
        <v>15900</v>
      </c>
      <c r="J2525" s="34">
        <f t="shared" si="1310"/>
        <v>523562</v>
      </c>
      <c r="K2525" s="133">
        <v>1000</v>
      </c>
      <c r="L2525" s="34"/>
      <c r="M2525" s="16">
        <f t="shared" si="1284"/>
        <v>148888.09896063339</v>
      </c>
      <c r="N2525" s="36">
        <v>820</v>
      </c>
      <c r="O2525" s="36">
        <v>4</v>
      </c>
      <c r="P2525" s="73">
        <v>22767.627954158164</v>
      </c>
      <c r="Q2525" s="2" t="s">
        <v>124</v>
      </c>
      <c r="S2525" s="36">
        <v>6360</v>
      </c>
    </row>
    <row r="2526" spans="1:19" x14ac:dyDescent="0.2">
      <c r="A2526" s="8" t="str">
        <f t="shared" si="1306"/>
        <v>50014710</v>
      </c>
      <c r="B2526" s="8">
        <v>5001</v>
      </c>
      <c r="C2526" s="8">
        <v>47</v>
      </c>
      <c r="D2526" s="8" t="s">
        <v>62</v>
      </c>
      <c r="E2526" s="8">
        <v>0</v>
      </c>
      <c r="F2526" s="34">
        <f>ROUNDDOWN($P2526/4*$O2526*10*$N2526/$N2526*$Q2526/400,0)</f>
        <v>54176</v>
      </c>
      <c r="G2526" s="34">
        <f>ROUNDDOWN($P2526/4*$O2526*10*$N2526/$N2526*$Q2526/400,0)</f>
        <v>54176</v>
      </c>
      <c r="H2526" s="34">
        <f t="shared" si="1295"/>
        <v>16800</v>
      </c>
      <c r="I2526" s="34">
        <f t="shared" si="1295"/>
        <v>16800</v>
      </c>
      <c r="J2526" s="34">
        <f>ROUNDDOWN($P2526/4*$O2526*10*$N2526/$Q2526*$N2526/400,0)</f>
        <v>82122</v>
      </c>
      <c r="K2526" s="133">
        <v>1000</v>
      </c>
      <c r="L2526" s="34"/>
      <c r="M2526" s="16">
        <f t="shared" si="1284"/>
        <v>21871.464035803365</v>
      </c>
      <c r="N2526" s="36">
        <v>900</v>
      </c>
      <c r="O2526" s="36">
        <v>0.5</v>
      </c>
      <c r="P2526" s="73">
        <v>23716.279118914754</v>
      </c>
      <c r="Q2526" s="2" t="s">
        <v>124</v>
      </c>
      <c r="S2526" s="36">
        <v>6720</v>
      </c>
    </row>
    <row r="2527" spans="1:19" x14ac:dyDescent="0.2">
      <c r="A2527" s="8" t="str">
        <f t="shared" si="1306"/>
        <v>50014711</v>
      </c>
      <c r="B2527" s="8">
        <v>5001</v>
      </c>
      <c r="C2527" s="8">
        <v>47</v>
      </c>
      <c r="D2527" s="8" t="s">
        <v>62</v>
      </c>
      <c r="E2527" s="8">
        <v>1</v>
      </c>
      <c r="F2527" s="34">
        <f t="shared" ref="F2527:G2530" si="1311">ROUNDDOWN($P2527/4*$O2527*10*$N2527/$N2527*$Q2527/400,0)</f>
        <v>108353</v>
      </c>
      <c r="G2527" s="34">
        <f t="shared" si="1311"/>
        <v>108353</v>
      </c>
      <c r="H2527" s="34">
        <f t="shared" si="1295"/>
        <v>16800</v>
      </c>
      <c r="I2527" s="34">
        <f t="shared" si="1295"/>
        <v>16800</v>
      </c>
      <c r="J2527" s="34">
        <f t="shared" ref="J2527:J2530" si="1312">ROUNDDOWN($P2527/4*$O2527*10*$N2527/$Q2527*$N2527/400,0)</f>
        <v>157027</v>
      </c>
      <c r="K2527" s="133">
        <v>1000</v>
      </c>
      <c r="L2527" s="34"/>
      <c r="M2527" s="16">
        <f t="shared" si="1284"/>
        <v>42771.281708795221</v>
      </c>
      <c r="N2527" s="36">
        <v>880</v>
      </c>
      <c r="O2527" s="36">
        <v>1</v>
      </c>
      <c r="P2527" s="73">
        <v>23716.279118914754</v>
      </c>
      <c r="Q2527" s="2" t="s">
        <v>124</v>
      </c>
      <c r="S2527" s="36">
        <v>6720</v>
      </c>
    </row>
    <row r="2528" spans="1:19" x14ac:dyDescent="0.2">
      <c r="A2528" s="8" t="str">
        <f t="shared" si="1306"/>
        <v>50014712</v>
      </c>
      <c r="B2528" s="8">
        <v>5001</v>
      </c>
      <c r="C2528" s="8">
        <v>47</v>
      </c>
      <c r="D2528" s="8" t="s">
        <v>62</v>
      </c>
      <c r="E2528" s="8">
        <v>2</v>
      </c>
      <c r="F2528" s="34">
        <f t="shared" si="1311"/>
        <v>216707</v>
      </c>
      <c r="G2528" s="34">
        <f t="shared" si="1311"/>
        <v>216707</v>
      </c>
      <c r="H2528" s="34">
        <f t="shared" si="1295"/>
        <v>16800</v>
      </c>
      <c r="I2528" s="34">
        <f t="shared" si="1295"/>
        <v>16800</v>
      </c>
      <c r="J2528" s="34">
        <f t="shared" si="1312"/>
        <v>299941</v>
      </c>
      <c r="K2528" s="133">
        <v>1000</v>
      </c>
      <c r="L2528" s="34"/>
      <c r="M2528" s="16">
        <f t="shared" ref="M2528:M2593" si="1313">(F2528*J2528*((H2528+I2528)/2)/1000)^(1/2)/10*0.8</f>
        <v>83598.602094402522</v>
      </c>
      <c r="N2528" s="36">
        <v>860</v>
      </c>
      <c r="O2528" s="36">
        <v>2</v>
      </c>
      <c r="P2528" s="73">
        <v>23716.279118914754</v>
      </c>
      <c r="Q2528" s="2" t="s">
        <v>124</v>
      </c>
      <c r="S2528" s="36">
        <v>6720</v>
      </c>
    </row>
    <row r="2529" spans="1:19" x14ac:dyDescent="0.2">
      <c r="A2529" s="8" t="str">
        <f t="shared" si="1306"/>
        <v>50014713</v>
      </c>
      <c r="B2529" s="8">
        <v>5001</v>
      </c>
      <c r="C2529" s="8">
        <v>47</v>
      </c>
      <c r="D2529" s="8" t="s">
        <v>62</v>
      </c>
      <c r="E2529" s="8">
        <v>3</v>
      </c>
      <c r="F2529" s="34">
        <f t="shared" si="1311"/>
        <v>325061</v>
      </c>
      <c r="G2529" s="34">
        <f t="shared" si="1311"/>
        <v>325061</v>
      </c>
      <c r="H2529" s="34">
        <f t="shared" si="1295"/>
        <v>16800</v>
      </c>
      <c r="I2529" s="34">
        <f t="shared" si="1295"/>
        <v>16800</v>
      </c>
      <c r="J2529" s="34">
        <f t="shared" si="1312"/>
        <v>429228</v>
      </c>
      <c r="K2529" s="133">
        <v>1000</v>
      </c>
      <c r="L2529" s="34"/>
      <c r="M2529" s="16">
        <f t="shared" si="1313"/>
        <v>122481.66564130387</v>
      </c>
      <c r="N2529" s="36">
        <v>840</v>
      </c>
      <c r="O2529" s="36">
        <v>3</v>
      </c>
      <c r="P2529" s="73">
        <v>23716.279118914754</v>
      </c>
      <c r="Q2529" s="2" t="s">
        <v>124</v>
      </c>
      <c r="S2529" s="36">
        <v>6720</v>
      </c>
    </row>
    <row r="2530" spans="1:19" x14ac:dyDescent="0.2">
      <c r="A2530" s="8" t="str">
        <f t="shared" si="1306"/>
        <v>50014714</v>
      </c>
      <c r="B2530" s="8">
        <v>5001</v>
      </c>
      <c r="C2530" s="8">
        <v>47</v>
      </c>
      <c r="D2530" s="8" t="s">
        <v>62</v>
      </c>
      <c r="E2530" s="8">
        <v>4</v>
      </c>
      <c r="F2530" s="34">
        <f t="shared" si="1311"/>
        <v>433415</v>
      </c>
      <c r="G2530" s="34">
        <f t="shared" si="1311"/>
        <v>433415</v>
      </c>
      <c r="H2530" s="34">
        <f t="shared" si="1295"/>
        <v>16800</v>
      </c>
      <c r="I2530" s="34">
        <f t="shared" si="1295"/>
        <v>16800</v>
      </c>
      <c r="J2530" s="34">
        <f t="shared" si="1312"/>
        <v>545377</v>
      </c>
      <c r="K2530" s="133">
        <v>1000</v>
      </c>
      <c r="L2530" s="34"/>
      <c r="M2530" s="16">
        <f t="shared" si="1313"/>
        <v>159420.80802191916</v>
      </c>
      <c r="N2530" s="36">
        <v>820</v>
      </c>
      <c r="O2530" s="36">
        <v>4</v>
      </c>
      <c r="P2530" s="73">
        <v>23716.279118914754</v>
      </c>
      <c r="Q2530" s="2" t="s">
        <v>124</v>
      </c>
      <c r="S2530" s="36">
        <v>6720</v>
      </c>
    </row>
    <row r="2531" spans="1:19" x14ac:dyDescent="0.2">
      <c r="A2531" s="8" t="str">
        <f t="shared" si="1306"/>
        <v>50014810</v>
      </c>
      <c r="B2531" s="8">
        <v>5001</v>
      </c>
      <c r="C2531" s="8">
        <v>48</v>
      </c>
      <c r="D2531" s="8" t="s">
        <v>62</v>
      </c>
      <c r="E2531" s="8">
        <v>0</v>
      </c>
      <c r="F2531" s="34">
        <f>ROUNDDOWN($P2531/4*$O2531*10*$N2531/$N2531*$Q2531/400,0)</f>
        <v>56434</v>
      </c>
      <c r="G2531" s="34">
        <f>ROUNDDOWN($P2531/4*$O2531*10*$N2531/$N2531*$Q2531/400,0)</f>
        <v>56434</v>
      </c>
      <c r="H2531" s="34">
        <f t="shared" si="1295"/>
        <v>17400</v>
      </c>
      <c r="I2531" s="34">
        <f t="shared" si="1295"/>
        <v>17400</v>
      </c>
      <c r="J2531" s="34">
        <f>ROUNDDOWN($P2531/4*$O2531*10*$N2531/$Q2531*$N2531/400,0)</f>
        <v>85544</v>
      </c>
      <c r="K2531" s="133">
        <v>1000</v>
      </c>
      <c r="L2531" s="34"/>
      <c r="M2531" s="16">
        <f t="shared" si="1313"/>
        <v>23186.212133303707</v>
      </c>
      <c r="N2531" s="36">
        <v>900</v>
      </c>
      <c r="O2531" s="36">
        <v>0.5</v>
      </c>
      <c r="P2531" s="73">
        <v>24704.457415536202</v>
      </c>
      <c r="Q2531" s="2" t="s">
        <v>124</v>
      </c>
      <c r="S2531" s="36">
        <v>6960</v>
      </c>
    </row>
    <row r="2532" spans="1:19" x14ac:dyDescent="0.2">
      <c r="A2532" s="8" t="str">
        <f t="shared" si="1306"/>
        <v>50014811</v>
      </c>
      <c r="B2532" s="8">
        <v>5001</v>
      </c>
      <c r="C2532" s="8">
        <v>48</v>
      </c>
      <c r="D2532" s="8" t="s">
        <v>62</v>
      </c>
      <c r="E2532" s="8">
        <v>1</v>
      </c>
      <c r="F2532" s="34">
        <f t="shared" ref="F2532:G2535" si="1314">ROUNDDOWN($P2532/4*$O2532*10*$N2532/$N2532*$Q2532/400,0)</f>
        <v>112868</v>
      </c>
      <c r="G2532" s="34">
        <f t="shared" si="1314"/>
        <v>112868</v>
      </c>
      <c r="H2532" s="34">
        <f t="shared" si="1295"/>
        <v>17400</v>
      </c>
      <c r="I2532" s="34">
        <f t="shared" si="1295"/>
        <v>17400</v>
      </c>
      <c r="J2532" s="34">
        <f t="shared" ref="J2532:J2535" si="1315">ROUNDDOWN($P2532/4*$O2532*10*$N2532/$Q2532*$N2532/400,0)</f>
        <v>163569</v>
      </c>
      <c r="K2532" s="133">
        <v>1000</v>
      </c>
      <c r="L2532" s="34"/>
      <c r="M2532" s="16">
        <f t="shared" si="1313"/>
        <v>45341.984607349514</v>
      </c>
      <c r="N2532" s="36">
        <v>880</v>
      </c>
      <c r="O2532" s="36">
        <v>1</v>
      </c>
      <c r="P2532" s="73">
        <v>24704.457415536202</v>
      </c>
      <c r="Q2532" s="2" t="s">
        <v>124</v>
      </c>
      <c r="S2532" s="36">
        <v>6960</v>
      </c>
    </row>
    <row r="2533" spans="1:19" x14ac:dyDescent="0.2">
      <c r="A2533" s="8" t="str">
        <f t="shared" si="1306"/>
        <v>50014812</v>
      </c>
      <c r="B2533" s="8">
        <v>5001</v>
      </c>
      <c r="C2533" s="8">
        <v>48</v>
      </c>
      <c r="D2533" s="8" t="s">
        <v>62</v>
      </c>
      <c r="E2533" s="8">
        <v>2</v>
      </c>
      <c r="F2533" s="34">
        <f t="shared" si="1314"/>
        <v>225736</v>
      </c>
      <c r="G2533" s="34">
        <f t="shared" si="1314"/>
        <v>225736</v>
      </c>
      <c r="H2533" s="34">
        <f t="shared" si="1295"/>
        <v>17400</v>
      </c>
      <c r="I2533" s="34">
        <f t="shared" si="1295"/>
        <v>17400</v>
      </c>
      <c r="J2533" s="34">
        <f t="shared" si="1315"/>
        <v>312438</v>
      </c>
      <c r="K2533" s="133">
        <v>1000</v>
      </c>
      <c r="L2533" s="34"/>
      <c r="M2533" s="16">
        <f t="shared" si="1313"/>
        <v>88623.102216185594</v>
      </c>
      <c r="N2533" s="36">
        <v>860</v>
      </c>
      <c r="O2533" s="36">
        <v>2</v>
      </c>
      <c r="P2533" s="73">
        <v>24704.457415536202</v>
      </c>
      <c r="Q2533" s="2" t="s">
        <v>124</v>
      </c>
      <c r="S2533" s="36">
        <v>6960</v>
      </c>
    </row>
    <row r="2534" spans="1:19" x14ac:dyDescent="0.2">
      <c r="A2534" s="8" t="str">
        <f t="shared" si="1306"/>
        <v>50014813</v>
      </c>
      <c r="B2534" s="8">
        <v>5001</v>
      </c>
      <c r="C2534" s="8">
        <v>48</v>
      </c>
      <c r="D2534" s="8" t="s">
        <v>62</v>
      </c>
      <c r="E2534" s="8">
        <v>3</v>
      </c>
      <c r="F2534" s="34">
        <f t="shared" si="1314"/>
        <v>338605</v>
      </c>
      <c r="G2534" s="34">
        <f t="shared" si="1314"/>
        <v>338605</v>
      </c>
      <c r="H2534" s="34">
        <f t="shared" si="1295"/>
        <v>17400</v>
      </c>
      <c r="I2534" s="34">
        <f t="shared" si="1295"/>
        <v>17400</v>
      </c>
      <c r="J2534" s="34">
        <f t="shared" si="1315"/>
        <v>447113</v>
      </c>
      <c r="K2534" s="133">
        <v>1000</v>
      </c>
      <c r="L2534" s="34"/>
      <c r="M2534" s="16">
        <f t="shared" si="1313"/>
        <v>129843.41915771627</v>
      </c>
      <c r="N2534" s="36">
        <v>840</v>
      </c>
      <c r="O2534" s="36">
        <v>3</v>
      </c>
      <c r="P2534" s="73">
        <v>24704.457415536202</v>
      </c>
      <c r="Q2534" s="2" t="s">
        <v>124</v>
      </c>
      <c r="S2534" s="36">
        <v>6960</v>
      </c>
    </row>
    <row r="2535" spans="1:19" x14ac:dyDescent="0.2">
      <c r="A2535" s="8" t="str">
        <f t="shared" si="1306"/>
        <v>50014814</v>
      </c>
      <c r="B2535" s="8">
        <v>5001</v>
      </c>
      <c r="C2535" s="8">
        <v>48</v>
      </c>
      <c r="D2535" s="8" t="s">
        <v>62</v>
      </c>
      <c r="E2535" s="8">
        <v>4</v>
      </c>
      <c r="F2535" s="34">
        <f t="shared" si="1314"/>
        <v>451473</v>
      </c>
      <c r="G2535" s="34">
        <f t="shared" si="1314"/>
        <v>451473</v>
      </c>
      <c r="H2535" s="34">
        <f t="shared" si="1295"/>
        <v>17400</v>
      </c>
      <c r="I2535" s="34">
        <f t="shared" si="1295"/>
        <v>17400</v>
      </c>
      <c r="J2535" s="34">
        <f t="shared" si="1315"/>
        <v>568101</v>
      </c>
      <c r="K2535" s="133">
        <v>1000</v>
      </c>
      <c r="L2535" s="34"/>
      <c r="M2535" s="16">
        <f t="shared" si="1313"/>
        <v>169002.55850844769</v>
      </c>
      <c r="N2535" s="36">
        <v>820</v>
      </c>
      <c r="O2535" s="36">
        <v>4</v>
      </c>
      <c r="P2535" s="73">
        <v>24704.457415536202</v>
      </c>
      <c r="Q2535" s="2" t="s">
        <v>124</v>
      </c>
      <c r="S2535" s="36">
        <v>6960</v>
      </c>
    </row>
    <row r="2536" spans="1:19" x14ac:dyDescent="0.2">
      <c r="A2536" s="8" t="str">
        <f t="shared" si="1306"/>
        <v>50014910</v>
      </c>
      <c r="B2536" s="8">
        <v>5001</v>
      </c>
      <c r="C2536" s="8">
        <v>49</v>
      </c>
      <c r="D2536" s="8" t="s">
        <v>62</v>
      </c>
      <c r="E2536" s="8">
        <v>0</v>
      </c>
      <c r="F2536" s="34">
        <f>ROUNDDOWN($P2536/4*$O2536*10*$N2536/$N2536*$Q2536/400,0)</f>
        <v>58785</v>
      </c>
      <c r="G2536" s="34">
        <f>ROUNDDOWN($P2536/4*$O2536*10*$N2536/$N2536*$Q2536/400,0)</f>
        <v>58785</v>
      </c>
      <c r="H2536" s="34">
        <f t="shared" si="1295"/>
        <v>18000</v>
      </c>
      <c r="I2536" s="34">
        <f t="shared" si="1295"/>
        <v>18000</v>
      </c>
      <c r="J2536" s="34">
        <f>ROUNDDOWN($P2536/4*$O2536*10*$N2536/$Q2536*$N2536/400,0)</f>
        <v>89109</v>
      </c>
      <c r="K2536" s="133">
        <v>1000</v>
      </c>
      <c r="L2536" s="34"/>
      <c r="M2536" s="16">
        <f t="shared" si="1313"/>
        <v>24565.198950710739</v>
      </c>
      <c r="N2536" s="36">
        <v>900</v>
      </c>
      <c r="O2536" s="36">
        <v>0.5</v>
      </c>
      <c r="P2536" s="73">
        <v>25733.809807850212</v>
      </c>
      <c r="Q2536" s="2" t="s">
        <v>124</v>
      </c>
      <c r="S2536" s="36">
        <v>7200</v>
      </c>
    </row>
    <row r="2537" spans="1:19" x14ac:dyDescent="0.2">
      <c r="A2537" s="8" t="str">
        <f t="shared" si="1306"/>
        <v>50014911</v>
      </c>
      <c r="B2537" s="8">
        <v>5001</v>
      </c>
      <c r="C2537" s="8">
        <v>49</v>
      </c>
      <c r="D2537" s="8" t="s">
        <v>62</v>
      </c>
      <c r="E2537" s="8">
        <v>1</v>
      </c>
      <c r="F2537" s="34">
        <f t="shared" ref="F2537:G2540" si="1316">ROUNDDOWN($P2537/4*$O2537*10*$N2537/$N2537*$Q2537/400,0)</f>
        <v>117571</v>
      </c>
      <c r="G2537" s="34">
        <f t="shared" si="1316"/>
        <v>117571</v>
      </c>
      <c r="H2537" s="34">
        <f t="shared" si="1295"/>
        <v>18000</v>
      </c>
      <c r="I2537" s="34">
        <f t="shared" si="1295"/>
        <v>18000</v>
      </c>
      <c r="J2537" s="34">
        <f t="shared" ref="J2537:J2540" si="1317">ROUNDDOWN($P2537/4*$O2537*10*$N2537/$Q2537*$N2537/400,0)</f>
        <v>170385</v>
      </c>
      <c r="K2537" s="133">
        <v>1000</v>
      </c>
      <c r="L2537" s="34"/>
      <c r="M2537" s="16">
        <f t="shared" si="1313"/>
        <v>48038.786131541667</v>
      </c>
      <c r="N2537" s="36">
        <v>880</v>
      </c>
      <c r="O2537" s="36">
        <v>1</v>
      </c>
      <c r="P2537" s="73">
        <v>25733.809807850212</v>
      </c>
      <c r="Q2537" s="2" t="s">
        <v>124</v>
      </c>
      <c r="S2537" s="36">
        <v>7200</v>
      </c>
    </row>
    <row r="2538" spans="1:19" x14ac:dyDescent="0.2">
      <c r="A2538" s="8" t="str">
        <f t="shared" si="1306"/>
        <v>50014912</v>
      </c>
      <c r="B2538" s="8">
        <v>5001</v>
      </c>
      <c r="C2538" s="8">
        <v>49</v>
      </c>
      <c r="D2538" s="8" t="s">
        <v>62</v>
      </c>
      <c r="E2538" s="8">
        <v>2</v>
      </c>
      <c r="F2538" s="34">
        <f t="shared" si="1316"/>
        <v>235142</v>
      </c>
      <c r="G2538" s="34">
        <f t="shared" si="1316"/>
        <v>235142</v>
      </c>
      <c r="H2538" s="34">
        <f t="shared" si="1295"/>
        <v>18000</v>
      </c>
      <c r="I2538" s="34">
        <f t="shared" si="1295"/>
        <v>18000</v>
      </c>
      <c r="J2538" s="34">
        <f t="shared" si="1317"/>
        <v>325457</v>
      </c>
      <c r="K2538" s="133">
        <v>1000</v>
      </c>
      <c r="L2538" s="34"/>
      <c r="M2538" s="16">
        <f t="shared" si="1313"/>
        <v>93894.067223594058</v>
      </c>
      <c r="N2538" s="36">
        <v>860</v>
      </c>
      <c r="O2538" s="36">
        <v>2</v>
      </c>
      <c r="P2538" s="73">
        <v>25733.809807850212</v>
      </c>
      <c r="Q2538" s="2" t="s">
        <v>124</v>
      </c>
      <c r="S2538" s="36">
        <v>7200</v>
      </c>
    </row>
    <row r="2539" spans="1:19" x14ac:dyDescent="0.2">
      <c r="A2539" s="8" t="str">
        <f t="shared" si="1306"/>
        <v>50014913</v>
      </c>
      <c r="B2539" s="8">
        <v>5001</v>
      </c>
      <c r="C2539" s="8">
        <v>49</v>
      </c>
      <c r="D2539" s="8" t="s">
        <v>62</v>
      </c>
      <c r="E2539" s="8">
        <v>3</v>
      </c>
      <c r="F2539" s="34">
        <f t="shared" si="1316"/>
        <v>352714</v>
      </c>
      <c r="G2539" s="34">
        <f t="shared" si="1316"/>
        <v>352714</v>
      </c>
      <c r="H2539" s="34">
        <f t="shared" si="1295"/>
        <v>18000</v>
      </c>
      <c r="I2539" s="34">
        <f t="shared" si="1295"/>
        <v>18000</v>
      </c>
      <c r="J2539" s="34">
        <f t="shared" si="1317"/>
        <v>465743</v>
      </c>
      <c r="K2539" s="133">
        <v>1000</v>
      </c>
      <c r="L2539" s="34"/>
      <c r="M2539" s="16">
        <f t="shared" si="1313"/>
        <v>137565.88826097263</v>
      </c>
      <c r="N2539" s="36">
        <v>840</v>
      </c>
      <c r="O2539" s="36">
        <v>3</v>
      </c>
      <c r="P2539" s="73">
        <v>25733.809807850212</v>
      </c>
      <c r="Q2539" s="2" t="s">
        <v>124</v>
      </c>
      <c r="S2539" s="36">
        <v>7200</v>
      </c>
    </row>
    <row r="2540" spans="1:19" x14ac:dyDescent="0.2">
      <c r="A2540" s="8" t="str">
        <f t="shared" si="1306"/>
        <v>50014914</v>
      </c>
      <c r="B2540" s="8">
        <v>5001</v>
      </c>
      <c r="C2540" s="8">
        <v>49</v>
      </c>
      <c r="D2540" s="8" t="s">
        <v>62</v>
      </c>
      <c r="E2540" s="8">
        <v>4</v>
      </c>
      <c r="F2540" s="34">
        <f t="shared" si="1316"/>
        <v>470285</v>
      </c>
      <c r="G2540" s="34">
        <f t="shared" si="1316"/>
        <v>470285</v>
      </c>
      <c r="H2540" s="34">
        <f t="shared" si="1295"/>
        <v>18000</v>
      </c>
      <c r="I2540" s="34">
        <f t="shared" si="1295"/>
        <v>18000</v>
      </c>
      <c r="J2540" s="34">
        <f t="shared" si="1317"/>
        <v>591772</v>
      </c>
      <c r="K2540" s="133">
        <v>1000</v>
      </c>
      <c r="L2540" s="34"/>
      <c r="M2540" s="16">
        <f t="shared" si="1313"/>
        <v>179053.9924891484</v>
      </c>
      <c r="N2540" s="36">
        <v>820</v>
      </c>
      <c r="O2540" s="36">
        <v>4</v>
      </c>
      <c r="P2540" s="73">
        <v>25733.809807850212</v>
      </c>
      <c r="Q2540" s="2" t="s">
        <v>124</v>
      </c>
      <c r="S2540" s="36">
        <v>7200</v>
      </c>
    </row>
    <row r="2541" spans="1:19" x14ac:dyDescent="0.2">
      <c r="A2541" s="8" t="str">
        <f t="shared" si="1306"/>
        <v>50015010</v>
      </c>
      <c r="B2541" s="18">
        <v>5001</v>
      </c>
      <c r="C2541" s="18">
        <v>50</v>
      </c>
      <c r="D2541" s="18" t="s">
        <v>62</v>
      </c>
      <c r="E2541" s="18">
        <v>0</v>
      </c>
      <c r="F2541" s="19">
        <f>ROUNDDOWN($P2541/4*$O2541*10*$N2541/$N2541*$Q2541/400,0)</f>
        <v>61235</v>
      </c>
      <c r="G2541" s="19">
        <f>ROUNDDOWN($P2541/4*$O2541*10*$N2541/$N2541*$Q2541/400,0)</f>
        <v>61235</v>
      </c>
      <c r="H2541" s="19">
        <f t="shared" si="1295"/>
        <v>13800</v>
      </c>
      <c r="I2541" s="19">
        <f t="shared" si="1295"/>
        <v>13800</v>
      </c>
      <c r="J2541" s="19">
        <f>ROUNDDOWN($P2541/4*$O2541*10*$N2541/$Q2541*$N2541/400,0)</f>
        <v>92821</v>
      </c>
      <c r="K2541" s="133">
        <v>1000</v>
      </c>
      <c r="L2541" s="19"/>
      <c r="M2541" s="16">
        <f t="shared" si="1313"/>
        <v>22405.390251883586</v>
      </c>
      <c r="N2541" s="58">
        <v>900</v>
      </c>
      <c r="O2541" s="58">
        <v>0.5</v>
      </c>
      <c r="P2541" s="73">
        <v>26806.051883177308</v>
      </c>
      <c r="Q2541" s="41" t="s">
        <v>103</v>
      </c>
      <c r="R2541" s="41"/>
      <c r="S2541" s="58">
        <v>5520</v>
      </c>
    </row>
    <row r="2542" spans="1:19" x14ac:dyDescent="0.2">
      <c r="A2542" s="8" t="str">
        <f t="shared" si="1306"/>
        <v>50015011</v>
      </c>
      <c r="B2542" s="18">
        <v>5001</v>
      </c>
      <c r="C2542" s="18">
        <v>50</v>
      </c>
      <c r="D2542" s="18" t="s">
        <v>62</v>
      </c>
      <c r="E2542" s="18">
        <v>1</v>
      </c>
      <c r="F2542" s="19">
        <f t="shared" ref="F2542:G2546" si="1318">ROUNDDOWN($P2542/4*$O2542*10*$N2542/$N2542*$Q2542/400,0)</f>
        <v>122470</v>
      </c>
      <c r="G2542" s="19">
        <f t="shared" si="1318"/>
        <v>122470</v>
      </c>
      <c r="H2542" s="19">
        <f t="shared" si="1295"/>
        <v>13800</v>
      </c>
      <c r="I2542" s="19">
        <f t="shared" si="1295"/>
        <v>13800</v>
      </c>
      <c r="J2542" s="19">
        <f t="shared" ref="J2542:J2546" si="1319">ROUNDDOWN($P2542/4*$O2542*10*$N2542/$Q2542*$N2542/400,0)</f>
        <v>177484</v>
      </c>
      <c r="K2542" s="133">
        <v>1000</v>
      </c>
      <c r="L2542" s="19"/>
      <c r="M2542" s="16">
        <f t="shared" si="1313"/>
        <v>43815.118751335132</v>
      </c>
      <c r="N2542" s="58">
        <v>880</v>
      </c>
      <c r="O2542" s="58">
        <v>1</v>
      </c>
      <c r="P2542" s="73">
        <v>26806.051883177308</v>
      </c>
      <c r="Q2542" s="41" t="s">
        <v>103</v>
      </c>
      <c r="R2542" s="41"/>
      <c r="S2542" s="58">
        <v>5520</v>
      </c>
    </row>
    <row r="2543" spans="1:19" x14ac:dyDescent="0.2">
      <c r="A2543" s="8" t="str">
        <f t="shared" si="1306"/>
        <v>50015012</v>
      </c>
      <c r="B2543" s="18">
        <v>5001</v>
      </c>
      <c r="C2543" s="18">
        <v>50</v>
      </c>
      <c r="D2543" s="18" t="s">
        <v>62</v>
      </c>
      <c r="E2543" s="18">
        <v>2</v>
      </c>
      <c r="F2543" s="19">
        <f t="shared" si="1318"/>
        <v>244940</v>
      </c>
      <c r="G2543" s="19">
        <f t="shared" si="1318"/>
        <v>244940</v>
      </c>
      <c r="H2543" s="19">
        <f t="shared" si="1295"/>
        <v>13800</v>
      </c>
      <c r="I2543" s="19">
        <f t="shared" si="1295"/>
        <v>13800</v>
      </c>
      <c r="J2543" s="19">
        <f t="shared" si="1319"/>
        <v>339017</v>
      </c>
      <c r="K2543" s="133">
        <v>1000</v>
      </c>
      <c r="L2543" s="19"/>
      <c r="M2543" s="16">
        <f t="shared" si="1313"/>
        <v>85638.711654914572</v>
      </c>
      <c r="N2543" s="58">
        <v>860</v>
      </c>
      <c r="O2543" s="58">
        <v>2</v>
      </c>
      <c r="P2543" s="73">
        <v>26806.051883177308</v>
      </c>
      <c r="Q2543" s="41" t="s">
        <v>103</v>
      </c>
      <c r="R2543" s="41"/>
      <c r="S2543" s="58">
        <v>5520</v>
      </c>
    </row>
    <row r="2544" spans="1:19" x14ac:dyDescent="0.2">
      <c r="A2544" s="8" t="str">
        <f t="shared" si="1306"/>
        <v>50015013</v>
      </c>
      <c r="B2544" s="18">
        <v>5001</v>
      </c>
      <c r="C2544" s="18">
        <v>50</v>
      </c>
      <c r="D2544" s="18" t="s">
        <v>62</v>
      </c>
      <c r="E2544" s="18">
        <v>3</v>
      </c>
      <c r="F2544" s="19">
        <f t="shared" si="1318"/>
        <v>367410</v>
      </c>
      <c r="G2544" s="19">
        <f t="shared" si="1318"/>
        <v>367410</v>
      </c>
      <c r="H2544" s="19">
        <f t="shared" si="1295"/>
        <v>13800</v>
      </c>
      <c r="I2544" s="19">
        <f t="shared" si="1295"/>
        <v>13800</v>
      </c>
      <c r="J2544" s="19">
        <f t="shared" si="1319"/>
        <v>485149</v>
      </c>
      <c r="K2544" s="133">
        <v>1000</v>
      </c>
      <c r="L2544" s="19"/>
      <c r="M2544" s="16">
        <f t="shared" si="1313"/>
        <v>125470.77679694505</v>
      </c>
      <c r="N2544" s="58">
        <v>840</v>
      </c>
      <c r="O2544" s="58">
        <v>3</v>
      </c>
      <c r="P2544" s="73">
        <v>26806.051883177308</v>
      </c>
      <c r="Q2544" s="41" t="s">
        <v>103</v>
      </c>
      <c r="R2544" s="41"/>
      <c r="S2544" s="58">
        <v>5520</v>
      </c>
    </row>
    <row r="2545" spans="1:19" x14ac:dyDescent="0.2">
      <c r="A2545" s="8" t="str">
        <f t="shared" si="1306"/>
        <v>50015014</v>
      </c>
      <c r="B2545" s="18">
        <v>5001</v>
      </c>
      <c r="C2545" s="18">
        <v>50</v>
      </c>
      <c r="D2545" s="18" t="s">
        <v>62</v>
      </c>
      <c r="E2545" s="18">
        <v>4</v>
      </c>
      <c r="F2545" s="19">
        <f t="shared" si="1318"/>
        <v>489880</v>
      </c>
      <c r="G2545" s="19">
        <f t="shared" si="1318"/>
        <v>489880</v>
      </c>
      <c r="H2545" s="19">
        <f t="shared" si="1295"/>
        <v>13800</v>
      </c>
      <c r="I2545" s="19">
        <f t="shared" si="1295"/>
        <v>13800</v>
      </c>
      <c r="J2545" s="19">
        <f t="shared" si="1319"/>
        <v>616429</v>
      </c>
      <c r="K2545" s="133">
        <v>1000</v>
      </c>
      <c r="L2545" s="19"/>
      <c r="M2545" s="16">
        <f t="shared" si="1313"/>
        <v>163311.17961145955</v>
      </c>
      <c r="N2545" s="58">
        <v>820</v>
      </c>
      <c r="O2545" s="58">
        <v>4</v>
      </c>
      <c r="P2545" s="73">
        <v>26806.051883177308</v>
      </c>
      <c r="Q2545" s="41" t="s">
        <v>103</v>
      </c>
      <c r="R2545" s="41"/>
      <c r="S2545" s="58">
        <v>5520</v>
      </c>
    </row>
    <row r="2546" spans="1:19" x14ac:dyDescent="0.2">
      <c r="A2546" s="119">
        <v>50015015</v>
      </c>
      <c r="B2546" s="119">
        <v>5001</v>
      </c>
      <c r="C2546" s="119">
        <v>50</v>
      </c>
      <c r="D2546" s="119" t="s">
        <v>62</v>
      </c>
      <c r="E2546" s="119">
        <v>5</v>
      </c>
      <c r="F2546" s="120">
        <f t="shared" si="1318"/>
        <v>319812</v>
      </c>
      <c r="G2546" s="120">
        <f t="shared" si="1318"/>
        <v>319812</v>
      </c>
      <c r="H2546" s="120">
        <f t="shared" si="1295"/>
        <v>21000</v>
      </c>
      <c r="I2546" s="120">
        <f t="shared" si="1295"/>
        <v>21000</v>
      </c>
      <c r="J2546" s="120">
        <f t="shared" si="1319"/>
        <v>2275778</v>
      </c>
      <c r="K2546" s="133">
        <v>1000</v>
      </c>
      <c r="L2546" s="120"/>
      <c r="M2546" s="121">
        <f t="shared" si="1313"/>
        <v>312760.54368497059</v>
      </c>
      <c r="N2546" s="122">
        <v>1950</v>
      </c>
      <c r="O2546" s="122">
        <v>2</v>
      </c>
      <c r="P2546" s="123">
        <v>35000</v>
      </c>
      <c r="Q2546" s="124" t="s">
        <v>103</v>
      </c>
      <c r="R2546" s="124"/>
      <c r="S2546" s="122">
        <v>8400</v>
      </c>
    </row>
    <row r="2547" spans="1:19" x14ac:dyDescent="0.2">
      <c r="A2547" s="8" t="str">
        <f t="shared" si="1306"/>
        <v>50015110</v>
      </c>
      <c r="B2547" s="8">
        <v>5001</v>
      </c>
      <c r="C2547" s="8">
        <v>51</v>
      </c>
      <c r="D2547" s="8" t="s">
        <v>62</v>
      </c>
      <c r="E2547" s="8">
        <v>0</v>
      </c>
      <c r="F2547" s="34">
        <f>ROUNDDOWN($P2547/4*$O2547*10*$N2547/$N2547*$Q2547/400,0)</f>
        <v>63786</v>
      </c>
      <c r="G2547" s="34">
        <f>ROUNDDOWN($P2547/4*$O2547*10*$N2547/$N2547*$Q2547/400,0)</f>
        <v>63786</v>
      </c>
      <c r="H2547" s="34">
        <f t="shared" si="1295"/>
        <v>19800</v>
      </c>
      <c r="I2547" s="34">
        <f t="shared" si="1295"/>
        <v>19800</v>
      </c>
      <c r="J2547" s="34">
        <f>ROUNDDOWN($P2547/4*$O2547*10*$N2547/$Q2547*$N2547/400,0)</f>
        <v>96689</v>
      </c>
      <c r="K2547" s="133">
        <v>1000</v>
      </c>
      <c r="L2547" s="34"/>
      <c r="M2547" s="16">
        <f t="shared" si="1313"/>
        <v>27955.920751835023</v>
      </c>
      <c r="N2547" s="36">
        <v>900</v>
      </c>
      <c r="O2547" s="36">
        <v>0.5</v>
      </c>
      <c r="P2547" s="73">
        <v>27922.970711643033</v>
      </c>
      <c r="Q2547" s="2" t="s">
        <v>124</v>
      </c>
      <c r="S2547" s="36">
        <v>7920</v>
      </c>
    </row>
    <row r="2548" spans="1:19" x14ac:dyDescent="0.2">
      <c r="A2548" s="8" t="str">
        <f t="shared" si="1306"/>
        <v>50015111</v>
      </c>
      <c r="B2548" s="8">
        <v>5001</v>
      </c>
      <c r="C2548" s="8">
        <v>51</v>
      </c>
      <c r="D2548" s="8" t="s">
        <v>62</v>
      </c>
      <c r="E2548" s="8">
        <v>1</v>
      </c>
      <c r="F2548" s="34">
        <f t="shared" ref="F2548:G2551" si="1320">ROUNDDOWN($P2548/4*$O2548*10*$N2548/$N2548*$Q2548/400,0)</f>
        <v>127573</v>
      </c>
      <c r="G2548" s="34">
        <f t="shared" si="1320"/>
        <v>127573</v>
      </c>
      <c r="H2548" s="34">
        <f t="shared" ref="H2548:I2563" si="1321">ROUNDDOWN($S2548/4*10,0)</f>
        <v>19800</v>
      </c>
      <c r="I2548" s="34">
        <f t="shared" si="1321"/>
        <v>19800</v>
      </c>
      <c r="J2548" s="34">
        <f t="shared" ref="J2548:J2551" si="1322">ROUNDDOWN($P2548/4*$O2548*10*$N2548/$Q2548*$N2548/400,0)</f>
        <v>184879</v>
      </c>
      <c r="K2548" s="133">
        <v>1000</v>
      </c>
      <c r="L2548" s="34"/>
      <c r="M2548" s="16">
        <f t="shared" si="1313"/>
        <v>54669.582598390494</v>
      </c>
      <c r="N2548" s="36">
        <v>880</v>
      </c>
      <c r="O2548" s="36">
        <v>1</v>
      </c>
      <c r="P2548" s="73">
        <v>27922.970711643033</v>
      </c>
      <c r="Q2548" s="2" t="s">
        <v>124</v>
      </c>
      <c r="S2548" s="36">
        <v>7920</v>
      </c>
    </row>
    <row r="2549" spans="1:19" x14ac:dyDescent="0.2">
      <c r="A2549" s="8" t="str">
        <f t="shared" si="1306"/>
        <v>50015112</v>
      </c>
      <c r="B2549" s="8">
        <v>5001</v>
      </c>
      <c r="C2549" s="8">
        <v>51</v>
      </c>
      <c r="D2549" s="8" t="s">
        <v>62</v>
      </c>
      <c r="E2549" s="8">
        <v>2</v>
      </c>
      <c r="F2549" s="34">
        <f t="shared" si="1320"/>
        <v>255146</v>
      </c>
      <c r="G2549" s="34">
        <f t="shared" si="1320"/>
        <v>255146</v>
      </c>
      <c r="H2549" s="34">
        <f t="shared" si="1321"/>
        <v>19800</v>
      </c>
      <c r="I2549" s="34">
        <f t="shared" si="1321"/>
        <v>19800</v>
      </c>
      <c r="J2549" s="34">
        <f t="shared" si="1322"/>
        <v>353143</v>
      </c>
      <c r="K2549" s="133">
        <v>1000</v>
      </c>
      <c r="L2549" s="34"/>
      <c r="M2549" s="16">
        <f t="shared" si="1313"/>
        <v>106854.36437422741</v>
      </c>
      <c r="N2549" s="36">
        <v>860</v>
      </c>
      <c r="O2549" s="36">
        <v>2</v>
      </c>
      <c r="P2549" s="73">
        <v>27922.970711643033</v>
      </c>
      <c r="Q2549" s="2" t="s">
        <v>124</v>
      </c>
      <c r="S2549" s="36">
        <v>7920</v>
      </c>
    </row>
    <row r="2550" spans="1:19" x14ac:dyDescent="0.2">
      <c r="A2550" s="8" t="str">
        <f t="shared" si="1306"/>
        <v>50015113</v>
      </c>
      <c r="B2550" s="8">
        <v>5001</v>
      </c>
      <c r="C2550" s="8">
        <v>51</v>
      </c>
      <c r="D2550" s="8" t="s">
        <v>62</v>
      </c>
      <c r="E2550" s="8">
        <v>3</v>
      </c>
      <c r="F2550" s="34">
        <f t="shared" si="1320"/>
        <v>382719</v>
      </c>
      <c r="G2550" s="34">
        <f t="shared" si="1320"/>
        <v>382719</v>
      </c>
      <c r="H2550" s="34">
        <f t="shared" si="1321"/>
        <v>19800</v>
      </c>
      <c r="I2550" s="34">
        <f t="shared" si="1321"/>
        <v>19800</v>
      </c>
      <c r="J2550" s="34">
        <f t="shared" si="1322"/>
        <v>505363</v>
      </c>
      <c r="K2550" s="133">
        <v>1000</v>
      </c>
      <c r="L2550" s="34"/>
      <c r="M2550" s="16">
        <f t="shared" si="1313"/>
        <v>156554.05273406321</v>
      </c>
      <c r="N2550" s="36">
        <v>840</v>
      </c>
      <c r="O2550" s="36">
        <v>3</v>
      </c>
      <c r="P2550" s="73">
        <v>27922.970711643033</v>
      </c>
      <c r="Q2550" s="2" t="s">
        <v>124</v>
      </c>
      <c r="S2550" s="36">
        <v>7920</v>
      </c>
    </row>
    <row r="2551" spans="1:19" x14ac:dyDescent="0.2">
      <c r="A2551" s="8" t="str">
        <f t="shared" si="1306"/>
        <v>50015114</v>
      </c>
      <c r="B2551" s="8">
        <v>5001</v>
      </c>
      <c r="C2551" s="8">
        <v>51</v>
      </c>
      <c r="D2551" s="8" t="s">
        <v>62</v>
      </c>
      <c r="E2551" s="8">
        <v>4</v>
      </c>
      <c r="F2551" s="34">
        <f t="shared" si="1320"/>
        <v>510292</v>
      </c>
      <c r="G2551" s="34">
        <f t="shared" si="1320"/>
        <v>510292</v>
      </c>
      <c r="H2551" s="34">
        <f t="shared" si="1321"/>
        <v>19800</v>
      </c>
      <c r="I2551" s="34">
        <f t="shared" si="1321"/>
        <v>19800</v>
      </c>
      <c r="J2551" s="34">
        <f t="shared" si="1322"/>
        <v>642113</v>
      </c>
      <c r="K2551" s="133">
        <v>1000</v>
      </c>
      <c r="L2551" s="34"/>
      <c r="M2551" s="16">
        <f t="shared" si="1313"/>
        <v>203768.80255066801</v>
      </c>
      <c r="N2551" s="36">
        <v>820</v>
      </c>
      <c r="O2551" s="36">
        <v>4</v>
      </c>
      <c r="P2551" s="73">
        <v>27922.970711643033</v>
      </c>
      <c r="Q2551" s="2" t="s">
        <v>124</v>
      </c>
      <c r="S2551" s="36">
        <v>7920</v>
      </c>
    </row>
    <row r="2552" spans="1:19" x14ac:dyDescent="0.2">
      <c r="A2552" s="8" t="str">
        <f t="shared" si="1306"/>
        <v>50015210</v>
      </c>
      <c r="B2552" s="8">
        <v>5001</v>
      </c>
      <c r="C2552" s="8">
        <v>52</v>
      </c>
      <c r="D2552" s="8" t="s">
        <v>62</v>
      </c>
      <c r="E2552" s="8">
        <v>0</v>
      </c>
      <c r="F2552" s="34">
        <f>ROUNDDOWN($P2552/4*$O2552*10*$N2552/$N2552*$Q2552/400,0)</f>
        <v>66444</v>
      </c>
      <c r="G2552" s="34">
        <f>ROUNDDOWN($P2552/4*$O2552*10*$N2552/$N2552*$Q2552/400,0)</f>
        <v>66444</v>
      </c>
      <c r="H2552" s="34">
        <f t="shared" si="1321"/>
        <v>20700</v>
      </c>
      <c r="I2552" s="34">
        <f t="shared" si="1321"/>
        <v>20700</v>
      </c>
      <c r="J2552" s="34">
        <f>ROUNDDOWN($P2552/4*$O2552*10*$N2552/$Q2552*$N2552/400,0)</f>
        <v>100718</v>
      </c>
      <c r="K2552" s="133">
        <v>1000</v>
      </c>
      <c r="L2552" s="34"/>
      <c r="M2552" s="16">
        <f t="shared" si="1313"/>
        <v>29775.330523844066</v>
      </c>
      <c r="N2552" s="36">
        <v>900</v>
      </c>
      <c r="O2552" s="36">
        <v>0.5</v>
      </c>
      <c r="P2552" s="73">
        <v>29086.427824628157</v>
      </c>
      <c r="Q2552" s="2" t="s">
        <v>124</v>
      </c>
      <c r="S2552" s="36">
        <v>8280</v>
      </c>
    </row>
    <row r="2553" spans="1:19" x14ac:dyDescent="0.2">
      <c r="A2553" s="8" t="str">
        <f t="shared" si="1306"/>
        <v>50015211</v>
      </c>
      <c r="B2553" s="8">
        <v>5001</v>
      </c>
      <c r="C2553" s="8">
        <v>52</v>
      </c>
      <c r="D2553" s="8" t="s">
        <v>62</v>
      </c>
      <c r="E2553" s="8">
        <v>1</v>
      </c>
      <c r="F2553" s="34">
        <f t="shared" ref="F2553:G2556" si="1323">ROUNDDOWN($P2553/4*$O2553*10*$N2553/$N2553*$Q2553/400,0)</f>
        <v>132888</v>
      </c>
      <c r="G2553" s="34">
        <f t="shared" si="1323"/>
        <v>132888</v>
      </c>
      <c r="H2553" s="34">
        <f t="shared" si="1321"/>
        <v>20700</v>
      </c>
      <c r="I2553" s="34">
        <f t="shared" si="1321"/>
        <v>20700</v>
      </c>
      <c r="J2553" s="34">
        <f t="shared" ref="J2553:J2556" si="1324">ROUNDDOWN($P2553/4*$O2553*10*$N2553/$Q2553*$N2553/400,0)</f>
        <v>192583</v>
      </c>
      <c r="K2553" s="133">
        <v>1000</v>
      </c>
      <c r="L2553" s="34"/>
      <c r="M2553" s="16">
        <f t="shared" si="1313"/>
        <v>58227.348783762427</v>
      </c>
      <c r="N2553" s="36">
        <v>880</v>
      </c>
      <c r="O2553" s="36">
        <v>1</v>
      </c>
      <c r="P2553" s="73">
        <v>29086.427824628157</v>
      </c>
      <c r="Q2553" s="2" t="s">
        <v>124</v>
      </c>
      <c r="S2553" s="36">
        <v>8280</v>
      </c>
    </row>
    <row r="2554" spans="1:19" x14ac:dyDescent="0.2">
      <c r="A2554" s="8" t="str">
        <f t="shared" si="1306"/>
        <v>50015212</v>
      </c>
      <c r="B2554" s="8">
        <v>5001</v>
      </c>
      <c r="C2554" s="8">
        <v>52</v>
      </c>
      <c r="D2554" s="8" t="s">
        <v>62</v>
      </c>
      <c r="E2554" s="8">
        <v>2</v>
      </c>
      <c r="F2554" s="34">
        <f t="shared" si="1323"/>
        <v>265777</v>
      </c>
      <c r="G2554" s="34">
        <f t="shared" si="1323"/>
        <v>265777</v>
      </c>
      <c r="H2554" s="34">
        <f t="shared" si="1321"/>
        <v>20700</v>
      </c>
      <c r="I2554" s="34">
        <f t="shared" si="1321"/>
        <v>20700</v>
      </c>
      <c r="J2554" s="34">
        <f t="shared" si="1324"/>
        <v>367857</v>
      </c>
      <c r="K2554" s="133">
        <v>1000</v>
      </c>
      <c r="L2554" s="34"/>
      <c r="M2554" s="16">
        <f t="shared" si="1313"/>
        <v>113808.15151690465</v>
      </c>
      <c r="N2554" s="36">
        <v>860</v>
      </c>
      <c r="O2554" s="36">
        <v>2</v>
      </c>
      <c r="P2554" s="73">
        <v>29086.427824628157</v>
      </c>
      <c r="Q2554" s="2" t="s">
        <v>124</v>
      </c>
      <c r="S2554" s="36">
        <v>8280</v>
      </c>
    </row>
    <row r="2555" spans="1:19" x14ac:dyDescent="0.2">
      <c r="A2555" s="8" t="str">
        <f t="shared" si="1306"/>
        <v>50015213</v>
      </c>
      <c r="B2555" s="8">
        <v>5001</v>
      </c>
      <c r="C2555" s="8">
        <v>52</v>
      </c>
      <c r="D2555" s="8" t="s">
        <v>62</v>
      </c>
      <c r="E2555" s="8">
        <v>3</v>
      </c>
      <c r="F2555" s="34">
        <f t="shared" si="1323"/>
        <v>398665</v>
      </c>
      <c r="G2555" s="34">
        <f t="shared" si="1323"/>
        <v>398665</v>
      </c>
      <c r="H2555" s="34">
        <f t="shared" si="1321"/>
        <v>20700</v>
      </c>
      <c r="I2555" s="34">
        <f t="shared" si="1321"/>
        <v>20700</v>
      </c>
      <c r="J2555" s="34">
        <f t="shared" si="1324"/>
        <v>526420</v>
      </c>
      <c r="K2555" s="133">
        <v>1000</v>
      </c>
      <c r="L2555" s="34"/>
      <c r="M2555" s="16">
        <f t="shared" si="1313"/>
        <v>166742.15297177856</v>
      </c>
      <c r="N2555" s="36">
        <v>840</v>
      </c>
      <c r="O2555" s="36">
        <v>3</v>
      </c>
      <c r="P2555" s="73">
        <v>29086.427824628157</v>
      </c>
      <c r="Q2555" s="2" t="s">
        <v>124</v>
      </c>
      <c r="S2555" s="36">
        <v>8280</v>
      </c>
    </row>
    <row r="2556" spans="1:19" x14ac:dyDescent="0.2">
      <c r="A2556" s="8" t="str">
        <f t="shared" si="1306"/>
        <v>50015214</v>
      </c>
      <c r="B2556" s="8">
        <v>5001</v>
      </c>
      <c r="C2556" s="8">
        <v>52</v>
      </c>
      <c r="D2556" s="8" t="s">
        <v>62</v>
      </c>
      <c r="E2556" s="8">
        <v>4</v>
      </c>
      <c r="F2556" s="34">
        <f t="shared" si="1323"/>
        <v>531554</v>
      </c>
      <c r="G2556" s="34">
        <f t="shared" si="1323"/>
        <v>531554</v>
      </c>
      <c r="H2556" s="34">
        <f t="shared" si="1321"/>
        <v>20700</v>
      </c>
      <c r="I2556" s="34">
        <f t="shared" si="1321"/>
        <v>20700</v>
      </c>
      <c r="J2556" s="34">
        <f t="shared" si="1324"/>
        <v>668868</v>
      </c>
      <c r="K2556" s="133">
        <v>1000</v>
      </c>
      <c r="L2556" s="34"/>
      <c r="M2556" s="16">
        <f t="shared" si="1313"/>
        <v>217029.64722895017</v>
      </c>
      <c r="N2556" s="36">
        <v>820</v>
      </c>
      <c r="O2556" s="36">
        <v>4</v>
      </c>
      <c r="P2556" s="73">
        <v>29086.427824628157</v>
      </c>
      <c r="Q2556" s="2" t="s">
        <v>124</v>
      </c>
      <c r="S2556" s="36">
        <v>8280</v>
      </c>
    </row>
    <row r="2557" spans="1:19" x14ac:dyDescent="0.2">
      <c r="A2557" s="8" t="str">
        <f t="shared" si="1306"/>
        <v>50015310</v>
      </c>
      <c r="B2557" s="8">
        <v>5001</v>
      </c>
      <c r="C2557" s="8">
        <v>53</v>
      </c>
      <c r="D2557" s="8" t="s">
        <v>62</v>
      </c>
      <c r="E2557" s="8">
        <v>0</v>
      </c>
      <c r="F2557" s="34">
        <f>ROUNDDOWN($P2557/4*$O2557*10*$N2557/$N2557*$Q2557/400,0)</f>
        <v>69212</v>
      </c>
      <c r="G2557" s="34">
        <f>ROUNDDOWN($P2557/4*$O2557*10*$N2557/$N2557*$Q2557/400,0)</f>
        <v>69212</v>
      </c>
      <c r="H2557" s="34">
        <f t="shared" si="1321"/>
        <v>21600</v>
      </c>
      <c r="I2557" s="34">
        <f t="shared" si="1321"/>
        <v>21600</v>
      </c>
      <c r="J2557" s="34">
        <f>ROUNDDOWN($P2557/4*$O2557*10*$N2557/$Q2557*$N2557/400,0)</f>
        <v>104914</v>
      </c>
      <c r="K2557" s="133">
        <v>1000</v>
      </c>
      <c r="L2557" s="34"/>
      <c r="M2557" s="16">
        <f t="shared" si="1313"/>
        <v>31682.853183517422</v>
      </c>
      <c r="N2557" s="36">
        <v>900</v>
      </c>
      <c r="O2557" s="36">
        <v>0.5</v>
      </c>
      <c r="P2557" s="73">
        <v>30298.362317321</v>
      </c>
      <c r="Q2557" s="2" t="s">
        <v>124</v>
      </c>
      <c r="S2557" s="36">
        <v>8640</v>
      </c>
    </row>
    <row r="2558" spans="1:19" x14ac:dyDescent="0.2">
      <c r="A2558" s="8" t="str">
        <f t="shared" si="1306"/>
        <v>50015311</v>
      </c>
      <c r="B2558" s="8">
        <v>5001</v>
      </c>
      <c r="C2558" s="8">
        <v>53</v>
      </c>
      <c r="D2558" s="8" t="s">
        <v>62</v>
      </c>
      <c r="E2558" s="8">
        <v>1</v>
      </c>
      <c r="F2558" s="34">
        <f t="shared" ref="F2558:G2561" si="1325">ROUNDDOWN($P2558/4*$O2558*10*$N2558/$N2558*$Q2558/400,0)</f>
        <v>138425</v>
      </c>
      <c r="G2558" s="34">
        <f t="shared" si="1325"/>
        <v>138425</v>
      </c>
      <c r="H2558" s="34">
        <f t="shared" si="1321"/>
        <v>21600</v>
      </c>
      <c r="I2558" s="34">
        <f t="shared" si="1321"/>
        <v>21600</v>
      </c>
      <c r="J2558" s="34">
        <f t="shared" ref="J2558:J2561" si="1326">ROUNDDOWN($P2558/4*$O2558*10*$N2558/$Q2558*$N2558/400,0)</f>
        <v>200607</v>
      </c>
      <c r="K2558" s="133">
        <v>1000</v>
      </c>
      <c r="L2558" s="34"/>
      <c r="M2558" s="16">
        <f t="shared" si="1313"/>
        <v>61957.968610211872</v>
      </c>
      <c r="N2558" s="36">
        <v>880</v>
      </c>
      <c r="O2558" s="36">
        <v>1</v>
      </c>
      <c r="P2558" s="73">
        <v>30298.362317321</v>
      </c>
      <c r="Q2558" s="2" t="s">
        <v>124</v>
      </c>
      <c r="S2558" s="36">
        <v>8640</v>
      </c>
    </row>
    <row r="2559" spans="1:19" x14ac:dyDescent="0.2">
      <c r="A2559" s="8" t="str">
        <f t="shared" si="1306"/>
        <v>50015312</v>
      </c>
      <c r="B2559" s="8">
        <v>5001</v>
      </c>
      <c r="C2559" s="8">
        <v>53</v>
      </c>
      <c r="D2559" s="8" t="s">
        <v>62</v>
      </c>
      <c r="E2559" s="8">
        <v>2</v>
      </c>
      <c r="F2559" s="34">
        <f t="shared" si="1325"/>
        <v>276851</v>
      </c>
      <c r="G2559" s="34">
        <f t="shared" si="1325"/>
        <v>276851</v>
      </c>
      <c r="H2559" s="34">
        <f t="shared" si="1321"/>
        <v>21600</v>
      </c>
      <c r="I2559" s="34">
        <f t="shared" si="1321"/>
        <v>21600</v>
      </c>
      <c r="J2559" s="34">
        <f t="shared" si="1326"/>
        <v>383185</v>
      </c>
      <c r="K2559" s="133">
        <v>1000</v>
      </c>
      <c r="L2559" s="34"/>
      <c r="M2559" s="16">
        <f t="shared" si="1313"/>
        <v>121100.00493862253</v>
      </c>
      <c r="N2559" s="36">
        <v>860</v>
      </c>
      <c r="O2559" s="36">
        <v>2</v>
      </c>
      <c r="P2559" s="73">
        <v>30298.362317321</v>
      </c>
      <c r="Q2559" s="2" t="s">
        <v>124</v>
      </c>
      <c r="S2559" s="36">
        <v>8640</v>
      </c>
    </row>
    <row r="2560" spans="1:19" x14ac:dyDescent="0.2">
      <c r="A2560" s="8" t="str">
        <f t="shared" si="1306"/>
        <v>50015313</v>
      </c>
      <c r="B2560" s="8">
        <v>5001</v>
      </c>
      <c r="C2560" s="8">
        <v>53</v>
      </c>
      <c r="D2560" s="8" t="s">
        <v>62</v>
      </c>
      <c r="E2560" s="8">
        <v>3</v>
      </c>
      <c r="F2560" s="34">
        <f t="shared" si="1325"/>
        <v>415276</v>
      </c>
      <c r="G2560" s="34">
        <f t="shared" si="1325"/>
        <v>415276</v>
      </c>
      <c r="H2560" s="34">
        <f t="shared" si="1321"/>
        <v>21600</v>
      </c>
      <c r="I2560" s="34">
        <f t="shared" si="1321"/>
        <v>21600</v>
      </c>
      <c r="J2560" s="34">
        <f t="shared" si="1326"/>
        <v>548354</v>
      </c>
      <c r="K2560" s="133">
        <v>1000</v>
      </c>
      <c r="L2560" s="34"/>
      <c r="M2560" s="16">
        <f t="shared" si="1313"/>
        <v>177425.39747319423</v>
      </c>
      <c r="N2560" s="36">
        <v>840</v>
      </c>
      <c r="O2560" s="36">
        <v>3</v>
      </c>
      <c r="P2560" s="73">
        <v>30298.362317321</v>
      </c>
      <c r="Q2560" s="2" t="s">
        <v>124</v>
      </c>
      <c r="S2560" s="36">
        <v>8640</v>
      </c>
    </row>
    <row r="2561" spans="1:19" x14ac:dyDescent="0.2">
      <c r="A2561" s="8" t="str">
        <f t="shared" si="1306"/>
        <v>50015314</v>
      </c>
      <c r="B2561" s="8">
        <v>5001</v>
      </c>
      <c r="C2561" s="8">
        <v>53</v>
      </c>
      <c r="D2561" s="8" t="s">
        <v>62</v>
      </c>
      <c r="E2561" s="8">
        <v>4</v>
      </c>
      <c r="F2561" s="34">
        <f t="shared" si="1325"/>
        <v>553702</v>
      </c>
      <c r="G2561" s="34">
        <f t="shared" si="1325"/>
        <v>553702</v>
      </c>
      <c r="H2561" s="34">
        <f t="shared" si="1321"/>
        <v>21600</v>
      </c>
      <c r="I2561" s="34">
        <f t="shared" si="1321"/>
        <v>21600</v>
      </c>
      <c r="J2561" s="34">
        <f t="shared" si="1326"/>
        <v>696737</v>
      </c>
      <c r="K2561" s="133">
        <v>1000</v>
      </c>
      <c r="L2561" s="34"/>
      <c r="M2561" s="16">
        <f t="shared" si="1313"/>
        <v>230934.7804738424</v>
      </c>
      <c r="N2561" s="36">
        <v>820</v>
      </c>
      <c r="O2561" s="36">
        <v>4</v>
      </c>
      <c r="P2561" s="73">
        <v>30298.362317321</v>
      </c>
      <c r="Q2561" s="2" t="s">
        <v>124</v>
      </c>
      <c r="S2561" s="36">
        <v>8640</v>
      </c>
    </row>
    <row r="2562" spans="1:19" x14ac:dyDescent="0.2">
      <c r="A2562" s="8" t="str">
        <f t="shared" si="1306"/>
        <v>50015410</v>
      </c>
      <c r="B2562" s="8">
        <v>5001</v>
      </c>
      <c r="C2562" s="8">
        <v>54</v>
      </c>
      <c r="D2562" s="8" t="s">
        <v>62</v>
      </c>
      <c r="E2562" s="8">
        <v>0</v>
      </c>
      <c r="F2562" s="34">
        <f>ROUNDDOWN($P2562/4*$O2562*10*$N2562/$N2562*$Q2562/400,0)</f>
        <v>72096</v>
      </c>
      <c r="G2562" s="34">
        <f>ROUNDDOWN($P2562/4*$O2562*10*$N2562/$N2562*$Q2562/400,0)</f>
        <v>72096</v>
      </c>
      <c r="H2562" s="34">
        <f t="shared" si="1321"/>
        <v>22200</v>
      </c>
      <c r="I2562" s="34">
        <f t="shared" si="1321"/>
        <v>22200</v>
      </c>
      <c r="J2562" s="34">
        <f>ROUNDDOWN($P2562/4*$O2562*10*$N2562/$Q2562*$N2562/400,0)</f>
        <v>109286</v>
      </c>
      <c r="K2562" s="133">
        <v>1000</v>
      </c>
      <c r="L2562" s="34"/>
      <c r="M2562" s="16">
        <f t="shared" si="1313"/>
        <v>33458.334947042422</v>
      </c>
      <c r="N2562" s="36">
        <v>900</v>
      </c>
      <c r="O2562" s="36">
        <v>0.5</v>
      </c>
      <c r="P2562" s="73">
        <v>31560.79408054271</v>
      </c>
      <c r="Q2562" s="2" t="s">
        <v>124</v>
      </c>
      <c r="S2562" s="36">
        <v>8880</v>
      </c>
    </row>
    <row r="2563" spans="1:19" x14ac:dyDescent="0.2">
      <c r="A2563" s="8" t="str">
        <f t="shared" si="1306"/>
        <v>50015411</v>
      </c>
      <c r="B2563" s="8">
        <v>5001</v>
      </c>
      <c r="C2563" s="8">
        <v>54</v>
      </c>
      <c r="D2563" s="8" t="s">
        <v>62</v>
      </c>
      <c r="E2563" s="8">
        <v>1</v>
      </c>
      <c r="F2563" s="34">
        <f t="shared" ref="F2563:G2566" si="1327">ROUNDDOWN($P2563/4*$O2563*10*$N2563/$N2563*$Q2563/400,0)</f>
        <v>144193</v>
      </c>
      <c r="G2563" s="34">
        <f t="shared" si="1327"/>
        <v>144193</v>
      </c>
      <c r="H2563" s="34">
        <f t="shared" si="1321"/>
        <v>22200</v>
      </c>
      <c r="I2563" s="34">
        <f t="shared" si="1321"/>
        <v>22200</v>
      </c>
      <c r="J2563" s="34">
        <f t="shared" ref="J2563:J2566" si="1328">ROUNDDOWN($P2563/4*$O2563*10*$N2563/$Q2563*$N2563/400,0)</f>
        <v>208966</v>
      </c>
      <c r="K2563" s="133">
        <v>1000</v>
      </c>
      <c r="L2563" s="34"/>
      <c r="M2563" s="16">
        <f t="shared" si="1313"/>
        <v>65429.918271009927</v>
      </c>
      <c r="N2563" s="36">
        <v>880</v>
      </c>
      <c r="O2563" s="36">
        <v>1</v>
      </c>
      <c r="P2563" s="73">
        <v>31560.79408054271</v>
      </c>
      <c r="Q2563" s="2" t="s">
        <v>124</v>
      </c>
      <c r="S2563" s="36">
        <v>8880</v>
      </c>
    </row>
    <row r="2564" spans="1:19" x14ac:dyDescent="0.2">
      <c r="A2564" s="8" t="str">
        <f t="shared" si="1306"/>
        <v>50015412</v>
      </c>
      <c r="B2564" s="8">
        <v>5001</v>
      </c>
      <c r="C2564" s="8">
        <v>54</v>
      </c>
      <c r="D2564" s="8" t="s">
        <v>62</v>
      </c>
      <c r="E2564" s="8">
        <v>2</v>
      </c>
      <c r="F2564" s="34">
        <f t="shared" si="1327"/>
        <v>288386</v>
      </c>
      <c r="G2564" s="34">
        <f t="shared" si="1327"/>
        <v>288386</v>
      </c>
      <c r="H2564" s="34">
        <f t="shared" ref="H2564:I2580" si="1329">ROUNDDOWN($S2564/4*10,0)</f>
        <v>22200</v>
      </c>
      <c r="I2564" s="34">
        <f t="shared" si="1329"/>
        <v>22200</v>
      </c>
      <c r="J2564" s="34">
        <f t="shared" si="1328"/>
        <v>399151</v>
      </c>
      <c r="K2564" s="133">
        <v>1000</v>
      </c>
      <c r="L2564" s="34"/>
      <c r="M2564" s="16">
        <f t="shared" si="1313"/>
        <v>127885.75497464478</v>
      </c>
      <c r="N2564" s="36">
        <v>860</v>
      </c>
      <c r="O2564" s="36">
        <v>2</v>
      </c>
      <c r="P2564" s="73">
        <v>31560.79408054271</v>
      </c>
      <c r="Q2564" s="2" t="s">
        <v>124</v>
      </c>
      <c r="S2564" s="36">
        <v>8880</v>
      </c>
    </row>
    <row r="2565" spans="1:19" x14ac:dyDescent="0.2">
      <c r="A2565" s="8" t="str">
        <f t="shared" si="1306"/>
        <v>50015413</v>
      </c>
      <c r="B2565" s="8">
        <v>5001</v>
      </c>
      <c r="C2565" s="8">
        <v>54</v>
      </c>
      <c r="D2565" s="8" t="s">
        <v>62</v>
      </c>
      <c r="E2565" s="8">
        <v>3</v>
      </c>
      <c r="F2565" s="34">
        <f t="shared" si="1327"/>
        <v>432580</v>
      </c>
      <c r="G2565" s="34">
        <f t="shared" si="1327"/>
        <v>432580</v>
      </c>
      <c r="H2565" s="34">
        <f t="shared" si="1329"/>
        <v>22200</v>
      </c>
      <c r="I2565" s="34">
        <f t="shared" si="1329"/>
        <v>22200</v>
      </c>
      <c r="J2565" s="34">
        <f t="shared" si="1328"/>
        <v>571202</v>
      </c>
      <c r="K2565" s="133">
        <v>1000</v>
      </c>
      <c r="L2565" s="34"/>
      <c r="M2565" s="16">
        <f t="shared" si="1313"/>
        <v>187367.62508398513</v>
      </c>
      <c r="N2565" s="36">
        <v>840</v>
      </c>
      <c r="O2565" s="36">
        <v>3</v>
      </c>
      <c r="P2565" s="73">
        <v>31560.79408054271</v>
      </c>
      <c r="Q2565" s="2" t="s">
        <v>124</v>
      </c>
      <c r="S2565" s="36">
        <v>8880</v>
      </c>
    </row>
    <row r="2566" spans="1:19" x14ac:dyDescent="0.2">
      <c r="A2566" s="8" t="str">
        <f t="shared" si="1306"/>
        <v>50015414</v>
      </c>
      <c r="B2566" s="8">
        <v>5001</v>
      </c>
      <c r="C2566" s="8">
        <v>54</v>
      </c>
      <c r="D2566" s="8" t="s">
        <v>62</v>
      </c>
      <c r="E2566" s="8">
        <v>4</v>
      </c>
      <c r="F2566" s="34">
        <f t="shared" si="1327"/>
        <v>576773</v>
      </c>
      <c r="G2566" s="34">
        <f t="shared" si="1327"/>
        <v>576773</v>
      </c>
      <c r="H2566" s="34">
        <f t="shared" si="1329"/>
        <v>22200</v>
      </c>
      <c r="I2566" s="34">
        <f t="shared" si="1329"/>
        <v>22200</v>
      </c>
      <c r="J2566" s="34">
        <f t="shared" si="1328"/>
        <v>725768</v>
      </c>
      <c r="K2566" s="133">
        <v>1000</v>
      </c>
      <c r="L2566" s="34"/>
      <c r="M2566" s="16">
        <f t="shared" si="1313"/>
        <v>243875.31481726706</v>
      </c>
      <c r="N2566" s="36">
        <v>820</v>
      </c>
      <c r="O2566" s="36">
        <v>4</v>
      </c>
      <c r="P2566" s="73">
        <v>31560.79408054271</v>
      </c>
      <c r="Q2566" s="2" t="s">
        <v>124</v>
      </c>
      <c r="S2566" s="36">
        <v>8880</v>
      </c>
    </row>
    <row r="2567" spans="1:19" x14ac:dyDescent="0.2">
      <c r="A2567" s="8" t="str">
        <f t="shared" si="1306"/>
        <v>50015510</v>
      </c>
      <c r="B2567" s="8">
        <v>5001</v>
      </c>
      <c r="C2567" s="8">
        <v>55</v>
      </c>
      <c r="D2567" s="8" t="s">
        <v>62</v>
      </c>
      <c r="E2567" s="8">
        <v>0</v>
      </c>
      <c r="F2567" s="34">
        <f>ROUNDDOWN($P2567/4*$O2567*10*$N2567/$N2567*$Q2567/400,0)</f>
        <v>75100</v>
      </c>
      <c r="G2567" s="34">
        <f>ROUNDDOWN($P2567/4*$O2567*10*$N2567/$N2567*$Q2567/400,0)</f>
        <v>75100</v>
      </c>
      <c r="H2567" s="34">
        <f t="shared" si="1329"/>
        <v>23100</v>
      </c>
      <c r="I2567" s="34">
        <f t="shared" si="1329"/>
        <v>23100</v>
      </c>
      <c r="J2567" s="34">
        <f>ROUNDDOWN($P2567/4*$O2567*10*$N2567/$Q2567*$N2567/400,0)</f>
        <v>113839</v>
      </c>
      <c r="K2567" s="133">
        <v>1000</v>
      </c>
      <c r="L2567" s="34"/>
      <c r="M2567" s="16">
        <f t="shared" si="1313"/>
        <v>35551.790781562609</v>
      </c>
      <c r="N2567" s="36">
        <v>900</v>
      </c>
      <c r="O2567" s="36">
        <v>0.5</v>
      </c>
      <c r="P2567" s="73">
        <v>32875.82716723199</v>
      </c>
      <c r="Q2567" s="2" t="s">
        <v>103</v>
      </c>
      <c r="S2567" s="36">
        <v>9240</v>
      </c>
    </row>
    <row r="2568" spans="1:19" x14ac:dyDescent="0.2">
      <c r="A2568" s="8" t="str">
        <f t="shared" si="1306"/>
        <v>50015511</v>
      </c>
      <c r="B2568" s="8">
        <v>5001</v>
      </c>
      <c r="C2568" s="8">
        <v>55</v>
      </c>
      <c r="D2568" s="8" t="s">
        <v>62</v>
      </c>
      <c r="E2568" s="8">
        <v>1</v>
      </c>
      <c r="F2568" s="34">
        <f t="shared" ref="F2568:G2571" si="1330">ROUNDDOWN($P2568/4*$O2568*10*$N2568/$N2568*$Q2568/400,0)</f>
        <v>150201</v>
      </c>
      <c r="G2568" s="34">
        <f t="shared" si="1330"/>
        <v>150201</v>
      </c>
      <c r="H2568" s="34">
        <f t="shared" si="1329"/>
        <v>23100</v>
      </c>
      <c r="I2568" s="34">
        <f t="shared" si="1329"/>
        <v>23100</v>
      </c>
      <c r="J2568" s="34">
        <f t="shared" ref="J2568:J2571" si="1331">ROUNDDOWN($P2568/4*$O2568*10*$N2568/$Q2568*$N2568/400,0)</f>
        <v>217673</v>
      </c>
      <c r="K2568" s="133">
        <v>1000</v>
      </c>
      <c r="L2568" s="34"/>
      <c r="M2568" s="16">
        <f t="shared" si="1313"/>
        <v>69523.98711265286</v>
      </c>
      <c r="N2568" s="36">
        <v>880</v>
      </c>
      <c r="O2568" s="36">
        <v>1</v>
      </c>
      <c r="P2568" s="73">
        <v>32875.82716723199</v>
      </c>
      <c r="Q2568" s="2" t="s">
        <v>103</v>
      </c>
      <c r="S2568" s="36">
        <v>9240</v>
      </c>
    </row>
    <row r="2569" spans="1:19" x14ac:dyDescent="0.2">
      <c r="A2569" s="8" t="str">
        <f t="shared" si="1306"/>
        <v>50015512</v>
      </c>
      <c r="B2569" s="8">
        <v>5001</v>
      </c>
      <c r="C2569" s="8">
        <v>55</v>
      </c>
      <c r="D2569" s="8" t="s">
        <v>62</v>
      </c>
      <c r="E2569" s="8">
        <v>2</v>
      </c>
      <c r="F2569" s="34">
        <f t="shared" si="1330"/>
        <v>300402</v>
      </c>
      <c r="G2569" s="34">
        <f t="shared" si="1330"/>
        <v>300402</v>
      </c>
      <c r="H2569" s="34">
        <f t="shared" si="1329"/>
        <v>23100</v>
      </c>
      <c r="I2569" s="34">
        <f t="shared" si="1329"/>
        <v>23100</v>
      </c>
      <c r="J2569" s="34">
        <f t="shared" si="1331"/>
        <v>415782</v>
      </c>
      <c r="K2569" s="133">
        <v>1000</v>
      </c>
      <c r="L2569" s="34"/>
      <c r="M2569" s="16">
        <f t="shared" si="1313"/>
        <v>135887.72529840126</v>
      </c>
      <c r="N2569" s="36">
        <v>860</v>
      </c>
      <c r="O2569" s="36">
        <v>2</v>
      </c>
      <c r="P2569" s="73">
        <v>32875.82716723199</v>
      </c>
      <c r="Q2569" s="2" t="s">
        <v>103</v>
      </c>
      <c r="S2569" s="36">
        <v>9240</v>
      </c>
    </row>
    <row r="2570" spans="1:19" x14ac:dyDescent="0.2">
      <c r="A2570" s="8" t="str">
        <f t="shared" si="1306"/>
        <v>50015513</v>
      </c>
      <c r="B2570" s="8">
        <v>5001</v>
      </c>
      <c r="C2570" s="8">
        <v>55</v>
      </c>
      <c r="D2570" s="8" t="s">
        <v>62</v>
      </c>
      <c r="E2570" s="8">
        <v>3</v>
      </c>
      <c r="F2570" s="34">
        <f t="shared" si="1330"/>
        <v>450604</v>
      </c>
      <c r="G2570" s="34">
        <f t="shared" si="1330"/>
        <v>450604</v>
      </c>
      <c r="H2570" s="34">
        <f t="shared" si="1329"/>
        <v>23100</v>
      </c>
      <c r="I2570" s="34">
        <f t="shared" si="1329"/>
        <v>23100</v>
      </c>
      <c r="J2570" s="34">
        <f t="shared" si="1331"/>
        <v>595003</v>
      </c>
      <c r="K2570" s="133">
        <v>1000</v>
      </c>
      <c r="L2570" s="34"/>
      <c r="M2570" s="16">
        <f t="shared" si="1313"/>
        <v>199091.66379104395</v>
      </c>
      <c r="N2570" s="36">
        <v>840</v>
      </c>
      <c r="O2570" s="36">
        <v>3</v>
      </c>
      <c r="P2570" s="73">
        <v>32875.82716723199</v>
      </c>
      <c r="Q2570" s="2" t="s">
        <v>103</v>
      </c>
      <c r="S2570" s="36">
        <v>9240</v>
      </c>
    </row>
    <row r="2571" spans="1:19" x14ac:dyDescent="0.2">
      <c r="A2571" s="8" t="str">
        <f t="shared" si="1306"/>
        <v>50015514</v>
      </c>
      <c r="B2571" s="8">
        <v>5001</v>
      </c>
      <c r="C2571" s="8">
        <v>55</v>
      </c>
      <c r="D2571" s="8" t="s">
        <v>62</v>
      </c>
      <c r="E2571" s="8">
        <v>4</v>
      </c>
      <c r="F2571" s="34">
        <f t="shared" si="1330"/>
        <v>600805</v>
      </c>
      <c r="G2571" s="34">
        <f t="shared" si="1330"/>
        <v>600805</v>
      </c>
      <c r="H2571" s="34">
        <f t="shared" si="1329"/>
        <v>23100</v>
      </c>
      <c r="I2571" s="34">
        <f t="shared" si="1329"/>
        <v>23100</v>
      </c>
      <c r="J2571" s="34">
        <f t="shared" si="1331"/>
        <v>756009</v>
      </c>
      <c r="K2571" s="133">
        <v>1000</v>
      </c>
      <c r="L2571" s="34"/>
      <c r="M2571" s="16">
        <f t="shared" si="1313"/>
        <v>259135.09193912894</v>
      </c>
      <c r="N2571" s="36">
        <v>820</v>
      </c>
      <c r="O2571" s="36">
        <v>4</v>
      </c>
      <c r="P2571" s="73">
        <v>32875.82716723199</v>
      </c>
      <c r="Q2571" s="2" t="s">
        <v>103</v>
      </c>
      <c r="S2571" s="36">
        <v>9240</v>
      </c>
    </row>
    <row r="2572" spans="1:19" x14ac:dyDescent="0.2">
      <c r="A2572" s="119" t="str">
        <f t="shared" si="1306"/>
        <v>50015515</v>
      </c>
      <c r="B2572" s="119">
        <v>5001</v>
      </c>
      <c r="C2572" s="119">
        <v>55</v>
      </c>
      <c r="D2572" s="119" t="s">
        <v>62</v>
      </c>
      <c r="E2572" s="119">
        <v>5</v>
      </c>
      <c r="F2572" s="120">
        <f>ROUNDDOWN($P2572/4*$O2572*10*$N2572/$N2572*$Q2572/400,0)</f>
        <v>50256</v>
      </c>
      <c r="G2572" s="120">
        <f>ROUNDDOWN($P2572/4*$O2572*10*$N2572/$N2572*$Q2572/400,0)</f>
        <v>50256</v>
      </c>
      <c r="H2572" s="120">
        <f t="shared" si="1329"/>
        <v>12500</v>
      </c>
      <c r="I2572" s="120">
        <f t="shared" si="1329"/>
        <v>12500</v>
      </c>
      <c r="J2572" s="120">
        <f>ROUNDDOWN($P2572/4*$O2572*10*$N2572/$Q2572*$N2572/400,0)</f>
        <v>39735</v>
      </c>
      <c r="K2572" s="133">
        <v>1000</v>
      </c>
      <c r="L2572" s="120"/>
      <c r="M2572" s="121">
        <f t="shared" si="1313"/>
        <v>12639.37390854468</v>
      </c>
      <c r="N2572" s="122">
        <v>650</v>
      </c>
      <c r="O2572" s="122">
        <v>0.5</v>
      </c>
      <c r="P2572" s="123">
        <v>22000</v>
      </c>
      <c r="Q2572" s="124" t="s">
        <v>103</v>
      </c>
      <c r="R2572" s="124"/>
      <c r="S2572" s="122">
        <v>5000</v>
      </c>
    </row>
    <row r="2573" spans="1:19" x14ac:dyDescent="0.2">
      <c r="A2573" s="8" t="str">
        <f t="shared" si="1306"/>
        <v>50015610</v>
      </c>
      <c r="B2573" s="8">
        <v>5001</v>
      </c>
      <c r="C2573" s="8">
        <v>56</v>
      </c>
      <c r="D2573" s="8" t="s">
        <v>62</v>
      </c>
      <c r="E2573" s="8">
        <v>0</v>
      </c>
      <c r="F2573" s="34">
        <f>ROUNDDOWN($P2573/4*$O2573*10*$N2573/$N2573*$Q2573/400,0)</f>
        <v>82237</v>
      </c>
      <c r="G2573" s="34">
        <f>ROUNDDOWN($P2573/4*$O2573*10*$N2573/$N2573*$Q2573/400,0)</f>
        <v>82237</v>
      </c>
      <c r="H2573" s="34">
        <f t="shared" si="1329"/>
        <v>5000</v>
      </c>
      <c r="I2573" s="34">
        <f t="shared" si="1329"/>
        <v>5000</v>
      </c>
      <c r="J2573" s="34">
        <f>ROUNDDOWN($P2573/4*$O2573*10*$N2573/$Q2573*$N2573/400,0)</f>
        <v>124658</v>
      </c>
      <c r="K2573" s="133">
        <v>1000</v>
      </c>
      <c r="L2573" s="34"/>
      <c r="M2573" s="16">
        <f t="shared" si="1313"/>
        <v>18112.095358406219</v>
      </c>
      <c r="N2573" s="36">
        <v>900</v>
      </c>
      <c r="O2573" s="36">
        <v>0.5</v>
      </c>
      <c r="P2573" s="73">
        <v>36000</v>
      </c>
      <c r="Q2573" s="2" t="s">
        <v>124</v>
      </c>
      <c r="S2573" s="36">
        <v>2000</v>
      </c>
    </row>
    <row r="2574" spans="1:19" x14ac:dyDescent="0.2">
      <c r="A2574" s="8" t="str">
        <f t="shared" si="1306"/>
        <v>50015611</v>
      </c>
      <c r="B2574" s="8">
        <v>5001</v>
      </c>
      <c r="C2574" s="8">
        <v>56</v>
      </c>
      <c r="D2574" s="8" t="s">
        <v>62</v>
      </c>
      <c r="E2574" s="8">
        <v>1</v>
      </c>
      <c r="F2574" s="34">
        <f t="shared" ref="F2574:G2584" si="1332">ROUNDDOWN($P2574/4*$O2574*10*$N2574/$N2574*$Q2574/400,0)</f>
        <v>156459</v>
      </c>
      <c r="G2574" s="34">
        <f t="shared" si="1332"/>
        <v>156459</v>
      </c>
      <c r="H2574" s="34">
        <f t="shared" si="1329"/>
        <v>24000</v>
      </c>
      <c r="I2574" s="34">
        <f t="shared" si="1329"/>
        <v>24000</v>
      </c>
      <c r="J2574" s="34">
        <f t="shared" ref="J2574:J2687" si="1333">ROUNDDOWN($P2574/4*$O2574*10*$N2574/$Q2574*$N2574/400,0)</f>
        <v>226742</v>
      </c>
      <c r="K2574" s="133">
        <v>1000</v>
      </c>
      <c r="L2574" s="34"/>
      <c r="M2574" s="16">
        <f t="shared" si="1313"/>
        <v>73817.931171096905</v>
      </c>
      <c r="N2574" s="36">
        <v>880</v>
      </c>
      <c r="O2574" s="36">
        <v>1</v>
      </c>
      <c r="P2574" s="73">
        <v>34245.653299199992</v>
      </c>
      <c r="Q2574" s="2" t="s">
        <v>124</v>
      </c>
      <c r="S2574" s="36">
        <v>9600</v>
      </c>
    </row>
    <row r="2575" spans="1:19" x14ac:dyDescent="0.2">
      <c r="A2575" s="8" t="str">
        <f t="shared" si="1306"/>
        <v>50015612</v>
      </c>
      <c r="B2575" s="8">
        <v>5001</v>
      </c>
      <c r="C2575" s="8">
        <v>56</v>
      </c>
      <c r="D2575" s="8" t="s">
        <v>62</v>
      </c>
      <c r="E2575" s="8">
        <v>2</v>
      </c>
      <c r="F2575" s="34">
        <f t="shared" si="1332"/>
        <v>312919</v>
      </c>
      <c r="G2575" s="34">
        <f t="shared" si="1332"/>
        <v>312919</v>
      </c>
      <c r="H2575" s="34">
        <f t="shared" si="1329"/>
        <v>24000</v>
      </c>
      <c r="I2575" s="34">
        <f t="shared" si="1329"/>
        <v>24000</v>
      </c>
      <c r="J2575" s="34">
        <f t="shared" si="1333"/>
        <v>433106</v>
      </c>
      <c r="K2575" s="133">
        <v>1000</v>
      </c>
      <c r="L2575" s="34"/>
      <c r="M2575" s="16">
        <f t="shared" si="1313"/>
        <v>144280.84422122847</v>
      </c>
      <c r="N2575" s="36">
        <v>860</v>
      </c>
      <c r="O2575" s="36">
        <v>2</v>
      </c>
      <c r="P2575" s="73">
        <v>34245.653299199992</v>
      </c>
      <c r="Q2575" s="2" t="s">
        <v>124</v>
      </c>
      <c r="S2575" s="36">
        <v>9600</v>
      </c>
    </row>
    <row r="2576" spans="1:19" x14ac:dyDescent="0.2">
      <c r="A2576" s="8" t="str">
        <f t="shared" si="1306"/>
        <v>50015613</v>
      </c>
      <c r="B2576" s="8">
        <v>5001</v>
      </c>
      <c r="C2576" s="8">
        <v>56</v>
      </c>
      <c r="D2576" s="8" t="s">
        <v>62</v>
      </c>
      <c r="E2576" s="8">
        <v>3</v>
      </c>
      <c r="F2576" s="34">
        <f t="shared" si="1332"/>
        <v>469379</v>
      </c>
      <c r="G2576" s="34">
        <f t="shared" si="1332"/>
        <v>469379</v>
      </c>
      <c r="H2576" s="34">
        <f t="shared" si="1329"/>
        <v>24000</v>
      </c>
      <c r="I2576" s="34">
        <f t="shared" si="1329"/>
        <v>24000</v>
      </c>
      <c r="J2576" s="34">
        <f t="shared" si="1333"/>
        <v>619794</v>
      </c>
      <c r="K2576" s="133">
        <v>1000</v>
      </c>
      <c r="L2576" s="34"/>
      <c r="M2576" s="16">
        <f t="shared" si="1313"/>
        <v>211388.38432003214</v>
      </c>
      <c r="N2576" s="36">
        <v>840</v>
      </c>
      <c r="O2576" s="36">
        <v>3</v>
      </c>
      <c r="P2576" s="73">
        <v>34245.653299199992</v>
      </c>
      <c r="Q2576" s="2" t="s">
        <v>124</v>
      </c>
      <c r="S2576" s="36">
        <v>9600</v>
      </c>
    </row>
    <row r="2577" spans="1:19" x14ac:dyDescent="0.2">
      <c r="A2577" s="8" t="str">
        <f t="shared" si="1306"/>
        <v>50015614</v>
      </c>
      <c r="B2577" s="8">
        <v>5001</v>
      </c>
      <c r="C2577" s="8">
        <v>56</v>
      </c>
      <c r="D2577" s="8" t="s">
        <v>62</v>
      </c>
      <c r="E2577" s="8">
        <v>4</v>
      </c>
      <c r="F2577" s="34">
        <f t="shared" si="1332"/>
        <v>625839</v>
      </c>
      <c r="G2577" s="34">
        <f t="shared" si="1332"/>
        <v>625839</v>
      </c>
      <c r="H2577" s="34">
        <f t="shared" si="1329"/>
        <v>24000</v>
      </c>
      <c r="I2577" s="34">
        <f t="shared" si="1329"/>
        <v>24000</v>
      </c>
      <c r="J2577" s="34">
        <f t="shared" si="1333"/>
        <v>787509</v>
      </c>
      <c r="K2577" s="133">
        <v>1000</v>
      </c>
      <c r="L2577" s="34"/>
      <c r="M2577" s="16">
        <f t="shared" si="1313"/>
        <v>275140.60151099763</v>
      </c>
      <c r="N2577" s="36">
        <v>820</v>
      </c>
      <c r="O2577" s="36">
        <v>4</v>
      </c>
      <c r="P2577" s="73">
        <v>34245.653299199992</v>
      </c>
      <c r="Q2577" s="2" t="s">
        <v>124</v>
      </c>
      <c r="S2577" s="36">
        <v>9600</v>
      </c>
    </row>
    <row r="2578" spans="1:19" x14ac:dyDescent="0.2">
      <c r="A2578" s="8" t="str">
        <f t="shared" si="1306"/>
        <v>50015710</v>
      </c>
      <c r="B2578" s="8">
        <v>5001</v>
      </c>
      <c r="C2578" s="8">
        <v>57</v>
      </c>
      <c r="D2578" s="8" t="s">
        <v>62</v>
      </c>
      <c r="E2578" s="8">
        <v>0</v>
      </c>
      <c r="F2578" s="34">
        <f>ROUNDDOWN($P2578/4*$O2578*10*$N2578/$N2578*$Q2578/400,0)</f>
        <v>81489</v>
      </c>
      <c r="G2578" s="34">
        <f>ROUNDDOWN($P2578/4*$O2578*10*$N2578/$N2578*$Q2578/400,0)</f>
        <v>81489</v>
      </c>
      <c r="H2578" s="34">
        <f t="shared" si="1329"/>
        <v>24900</v>
      </c>
      <c r="I2578" s="34">
        <f t="shared" si="1329"/>
        <v>24900</v>
      </c>
      <c r="J2578" s="34">
        <f>ROUNDDOWN($P2578/4*$O2578*10*$N2578/$Q2578*$N2578/400,0)</f>
        <v>123524</v>
      </c>
      <c r="K2578" s="133">
        <v>1000</v>
      </c>
      <c r="L2578" s="34"/>
      <c r="M2578" s="16">
        <f t="shared" si="1313"/>
        <v>40051.135009247373</v>
      </c>
      <c r="N2578" s="36">
        <v>900</v>
      </c>
      <c r="O2578" s="36">
        <v>0.5</v>
      </c>
      <c r="P2578" s="73">
        <v>35672.555519999994</v>
      </c>
      <c r="Q2578" s="2" t="s">
        <v>124</v>
      </c>
      <c r="S2578" s="36">
        <v>9960</v>
      </c>
    </row>
    <row r="2579" spans="1:19" x14ac:dyDescent="0.2">
      <c r="A2579" s="8" t="str">
        <f t="shared" ref="A2579:A2677" si="1334">IF(B2579="","",CONCATENATE(B2579,CONCATENATE(REPT(0,2-LEN(C2579)),C2579),IF(OR(D2579="Easy",D2579=""),1,IF(D2579="Normal",2,IF(D2579="Hard",3,IF(D2579="Hell",4,"error")))),E2579))</f>
        <v>50015711</v>
      </c>
      <c r="B2579" s="8">
        <v>5001</v>
      </c>
      <c r="C2579" s="8">
        <v>57</v>
      </c>
      <c r="D2579" s="8" t="s">
        <v>62</v>
      </c>
      <c r="E2579" s="8">
        <v>1</v>
      </c>
      <c r="F2579" s="34">
        <f t="shared" si="1332"/>
        <v>162978</v>
      </c>
      <c r="G2579" s="34">
        <f t="shared" si="1332"/>
        <v>162978</v>
      </c>
      <c r="H2579" s="34">
        <f t="shared" si="1329"/>
        <v>24900</v>
      </c>
      <c r="I2579" s="34">
        <f t="shared" si="1329"/>
        <v>24900</v>
      </c>
      <c r="J2579" s="34">
        <f t="shared" si="1333"/>
        <v>236190</v>
      </c>
      <c r="K2579" s="133">
        <v>1000</v>
      </c>
      <c r="L2579" s="34"/>
      <c r="M2579" s="16">
        <f t="shared" si="1313"/>
        <v>78322.204999318041</v>
      </c>
      <c r="N2579" s="36">
        <v>880</v>
      </c>
      <c r="O2579" s="36">
        <v>1</v>
      </c>
      <c r="P2579" s="73">
        <v>35672.555519999994</v>
      </c>
      <c r="Q2579" s="2" t="s">
        <v>124</v>
      </c>
      <c r="S2579" s="36">
        <v>9960</v>
      </c>
    </row>
    <row r="2580" spans="1:19" x14ac:dyDescent="0.2">
      <c r="A2580" s="8" t="str">
        <f t="shared" si="1334"/>
        <v>50015712</v>
      </c>
      <c r="B2580" s="8">
        <v>5001</v>
      </c>
      <c r="C2580" s="8">
        <v>57</v>
      </c>
      <c r="D2580" s="8" t="s">
        <v>62</v>
      </c>
      <c r="E2580" s="8">
        <v>2</v>
      </c>
      <c r="F2580" s="34">
        <f t="shared" si="1332"/>
        <v>325957</v>
      </c>
      <c r="G2580" s="34">
        <f t="shared" si="1332"/>
        <v>325957</v>
      </c>
      <c r="H2580" s="34">
        <f t="shared" si="1329"/>
        <v>24900</v>
      </c>
      <c r="I2580" s="34">
        <f t="shared" si="1329"/>
        <v>24900</v>
      </c>
      <c r="J2580" s="34">
        <f t="shared" si="1333"/>
        <v>451152</v>
      </c>
      <c r="K2580" s="133">
        <v>1000</v>
      </c>
      <c r="L2580" s="34"/>
      <c r="M2580" s="16">
        <f t="shared" si="1313"/>
        <v>153084.51409813811</v>
      </c>
      <c r="N2580" s="36">
        <v>860</v>
      </c>
      <c r="O2580" s="36">
        <v>2</v>
      </c>
      <c r="P2580" s="73">
        <v>35672.555519999994</v>
      </c>
      <c r="Q2580" s="2" t="s">
        <v>124</v>
      </c>
      <c r="S2580" s="36">
        <v>9960</v>
      </c>
    </row>
    <row r="2581" spans="1:19" x14ac:dyDescent="0.2">
      <c r="A2581" s="8" t="str">
        <f t="shared" si="1334"/>
        <v>50015713</v>
      </c>
      <c r="B2581" s="8">
        <v>5001</v>
      </c>
      <c r="C2581" s="8">
        <v>57</v>
      </c>
      <c r="D2581" s="8" t="s">
        <v>62</v>
      </c>
      <c r="E2581" s="8">
        <v>3</v>
      </c>
      <c r="F2581" s="34">
        <f t="shared" si="1332"/>
        <v>488936</v>
      </c>
      <c r="G2581" s="34">
        <f t="shared" si="1332"/>
        <v>488936</v>
      </c>
      <c r="H2581" s="34">
        <f t="shared" ref="H2581:I2600" si="1335">ROUNDDOWN($S2581/4*10,0)</f>
        <v>24900</v>
      </c>
      <c r="I2581" s="34">
        <f t="shared" si="1335"/>
        <v>24900</v>
      </c>
      <c r="J2581" s="34">
        <f t="shared" si="1333"/>
        <v>645619</v>
      </c>
      <c r="K2581" s="133">
        <v>1000</v>
      </c>
      <c r="L2581" s="34"/>
      <c r="M2581" s="16">
        <f t="shared" si="1313"/>
        <v>224286.85414832999</v>
      </c>
      <c r="N2581" s="36">
        <v>840</v>
      </c>
      <c r="O2581" s="36">
        <v>3</v>
      </c>
      <c r="P2581" s="73">
        <v>35672.555519999994</v>
      </c>
      <c r="Q2581" s="2" t="s">
        <v>124</v>
      </c>
      <c r="S2581" s="36">
        <v>9960</v>
      </c>
    </row>
    <row r="2582" spans="1:19" x14ac:dyDescent="0.2">
      <c r="A2582" s="8" t="str">
        <f t="shared" si="1334"/>
        <v>50015714</v>
      </c>
      <c r="B2582" s="8">
        <v>5001</v>
      </c>
      <c r="C2582" s="8">
        <v>57</v>
      </c>
      <c r="D2582" s="8" t="s">
        <v>62</v>
      </c>
      <c r="E2582" s="8">
        <v>4</v>
      </c>
      <c r="F2582" s="34">
        <f t="shared" si="1332"/>
        <v>651915</v>
      </c>
      <c r="G2582" s="34">
        <f t="shared" si="1332"/>
        <v>651915</v>
      </c>
      <c r="H2582" s="34">
        <f t="shared" si="1335"/>
        <v>24900</v>
      </c>
      <c r="I2582" s="34">
        <f t="shared" si="1335"/>
        <v>24900</v>
      </c>
      <c r="J2582" s="34">
        <f t="shared" si="1333"/>
        <v>820322</v>
      </c>
      <c r="K2582" s="133">
        <v>1000</v>
      </c>
      <c r="L2582" s="34"/>
      <c r="M2582" s="16">
        <f t="shared" si="1313"/>
        <v>291929.05871488166</v>
      </c>
      <c r="N2582" s="36">
        <v>820</v>
      </c>
      <c r="O2582" s="36">
        <v>4</v>
      </c>
      <c r="P2582" s="73">
        <v>35672.555519999994</v>
      </c>
      <c r="Q2582" s="2" t="s">
        <v>124</v>
      </c>
      <c r="S2582" s="36">
        <v>9960</v>
      </c>
    </row>
    <row r="2583" spans="1:19" x14ac:dyDescent="0.2">
      <c r="A2583" s="8" t="str">
        <f t="shared" si="1334"/>
        <v>50015810</v>
      </c>
      <c r="B2583" s="8">
        <v>5001</v>
      </c>
      <c r="C2583" s="8">
        <v>58</v>
      </c>
      <c r="D2583" s="8" t="s">
        <v>62</v>
      </c>
      <c r="E2583" s="8">
        <v>0</v>
      </c>
      <c r="F2583" s="34">
        <f>ROUNDDOWN($P2583/4*$O2583*10*$N2583/$N2583*$Q2583/400,0)</f>
        <v>84884</v>
      </c>
      <c r="G2583" s="34">
        <f>ROUNDDOWN($P2583/4*$O2583*10*$N2583/$N2583*$Q2583/400,0)</f>
        <v>84884</v>
      </c>
      <c r="H2583" s="34">
        <f t="shared" si="1335"/>
        <v>25800</v>
      </c>
      <c r="I2583" s="34">
        <f t="shared" si="1335"/>
        <v>25800</v>
      </c>
      <c r="J2583" s="34">
        <f>ROUNDDOWN($P2583/4*$O2583*10*$N2583/$Q2583*$N2583/400,0)</f>
        <v>101665</v>
      </c>
      <c r="K2583" s="133">
        <v>1000</v>
      </c>
      <c r="L2583" s="34"/>
      <c r="M2583" s="16">
        <f t="shared" si="1313"/>
        <v>37748.394995326627</v>
      </c>
      <c r="N2583" s="36">
        <v>800</v>
      </c>
      <c r="O2583" s="36">
        <v>0.5</v>
      </c>
      <c r="P2583" s="73">
        <v>37158.911999999997</v>
      </c>
      <c r="Q2583" s="2" t="s">
        <v>124</v>
      </c>
      <c r="S2583" s="36">
        <v>10320</v>
      </c>
    </row>
    <row r="2584" spans="1:19" x14ac:dyDescent="0.2">
      <c r="A2584" s="8" t="str">
        <f t="shared" si="1334"/>
        <v>50015811</v>
      </c>
      <c r="B2584" s="8">
        <v>5001</v>
      </c>
      <c r="C2584" s="8">
        <v>58</v>
      </c>
      <c r="D2584" s="8" t="s">
        <v>62</v>
      </c>
      <c r="E2584" s="8">
        <v>1</v>
      </c>
      <c r="F2584" s="34">
        <f t="shared" si="1332"/>
        <v>169769</v>
      </c>
      <c r="G2584" s="34">
        <f t="shared" si="1332"/>
        <v>169769</v>
      </c>
      <c r="H2584" s="34">
        <f t="shared" si="1335"/>
        <v>25800</v>
      </c>
      <c r="I2584" s="34">
        <f t="shared" si="1335"/>
        <v>25800</v>
      </c>
      <c r="J2584" s="34">
        <f t="shared" si="1333"/>
        <v>193292</v>
      </c>
      <c r="K2584" s="133">
        <v>1000</v>
      </c>
      <c r="L2584" s="34"/>
      <c r="M2584" s="16">
        <f t="shared" si="1313"/>
        <v>73609.857180718405</v>
      </c>
      <c r="N2584" s="36">
        <v>780</v>
      </c>
      <c r="O2584" s="36">
        <v>1</v>
      </c>
      <c r="P2584" s="73">
        <v>37158.911999999997</v>
      </c>
      <c r="Q2584" s="2" t="s">
        <v>124</v>
      </c>
      <c r="S2584" s="36">
        <v>10320</v>
      </c>
    </row>
    <row r="2585" spans="1:19" x14ac:dyDescent="0.2">
      <c r="A2585" s="8" t="str">
        <f t="shared" si="1334"/>
        <v>50015812</v>
      </c>
      <c r="B2585" s="8">
        <v>5001</v>
      </c>
      <c r="C2585" s="8">
        <v>58</v>
      </c>
      <c r="D2585" s="8" t="s">
        <v>62</v>
      </c>
      <c r="E2585" s="8">
        <v>2</v>
      </c>
      <c r="F2585" s="34">
        <f t="shared" ref="F2585:G2587" si="1336">ROUNDDOWN($P2585/4*$O2585*10*$N2585/$N2585*$Q2585/400,0)</f>
        <v>339539</v>
      </c>
      <c r="G2585" s="34">
        <f t="shared" si="1336"/>
        <v>339539</v>
      </c>
      <c r="H2585" s="34">
        <f t="shared" si="1335"/>
        <v>25800</v>
      </c>
      <c r="I2585" s="34">
        <f t="shared" si="1335"/>
        <v>25800</v>
      </c>
      <c r="J2585" s="34">
        <f t="shared" si="1333"/>
        <v>367014</v>
      </c>
      <c r="K2585" s="133">
        <v>1000</v>
      </c>
      <c r="L2585" s="34"/>
      <c r="M2585" s="16">
        <f t="shared" si="1313"/>
        <v>143445.18935145761</v>
      </c>
      <c r="N2585" s="36">
        <v>760</v>
      </c>
      <c r="O2585" s="36">
        <v>2</v>
      </c>
      <c r="P2585" s="73">
        <v>37158.911999999997</v>
      </c>
      <c r="Q2585" s="2" t="s">
        <v>124</v>
      </c>
      <c r="S2585" s="36">
        <v>10320</v>
      </c>
    </row>
    <row r="2586" spans="1:19" x14ac:dyDescent="0.2">
      <c r="A2586" s="8" t="str">
        <f t="shared" si="1334"/>
        <v>50015813</v>
      </c>
      <c r="B2586" s="8">
        <v>5001</v>
      </c>
      <c r="C2586" s="8">
        <v>58</v>
      </c>
      <c r="D2586" s="8" t="s">
        <v>62</v>
      </c>
      <c r="E2586" s="8">
        <v>3</v>
      </c>
      <c r="F2586" s="34">
        <f t="shared" si="1336"/>
        <v>509309</v>
      </c>
      <c r="G2586" s="34">
        <f t="shared" si="1336"/>
        <v>509309</v>
      </c>
      <c r="H2586" s="34">
        <f t="shared" si="1335"/>
        <v>25800</v>
      </c>
      <c r="I2586" s="34">
        <f t="shared" si="1335"/>
        <v>25800</v>
      </c>
      <c r="J2586" s="34">
        <f t="shared" si="1333"/>
        <v>521927</v>
      </c>
      <c r="K2586" s="133">
        <v>1000</v>
      </c>
      <c r="L2586" s="34"/>
      <c r="M2586" s="16">
        <f t="shared" si="1313"/>
        <v>209505.48488597659</v>
      </c>
      <c r="N2586" s="36">
        <v>740</v>
      </c>
      <c r="O2586" s="36">
        <v>3</v>
      </c>
      <c r="P2586" s="73">
        <v>37158.911999999997</v>
      </c>
      <c r="Q2586" s="2" t="s">
        <v>124</v>
      </c>
      <c r="S2586" s="36">
        <v>10320</v>
      </c>
    </row>
    <row r="2587" spans="1:19" x14ac:dyDescent="0.2">
      <c r="A2587" s="8" t="str">
        <f t="shared" si="1334"/>
        <v>50015814</v>
      </c>
      <c r="B2587" s="8">
        <v>5001</v>
      </c>
      <c r="C2587" s="8">
        <v>58</v>
      </c>
      <c r="D2587" s="8" t="s">
        <v>62</v>
      </c>
      <c r="E2587" s="8">
        <v>4</v>
      </c>
      <c r="F2587" s="34">
        <f t="shared" si="1336"/>
        <v>679079</v>
      </c>
      <c r="G2587" s="34">
        <f t="shared" si="1336"/>
        <v>679079</v>
      </c>
      <c r="H2587" s="34">
        <f t="shared" si="1335"/>
        <v>25800</v>
      </c>
      <c r="I2587" s="34">
        <f t="shared" si="1335"/>
        <v>25800</v>
      </c>
      <c r="J2587" s="34">
        <f t="shared" si="1333"/>
        <v>658795</v>
      </c>
      <c r="K2587" s="133">
        <v>1000</v>
      </c>
      <c r="L2587" s="34"/>
      <c r="M2587" s="16">
        <f t="shared" si="1313"/>
        <v>271791.04120592645</v>
      </c>
      <c r="N2587" s="36">
        <v>720</v>
      </c>
      <c r="O2587" s="36">
        <v>4</v>
      </c>
      <c r="P2587" s="73">
        <v>37158.911999999997</v>
      </c>
      <c r="Q2587" s="2" t="s">
        <v>124</v>
      </c>
      <c r="S2587" s="36">
        <v>10320</v>
      </c>
    </row>
    <row r="2588" spans="1:19" x14ac:dyDescent="0.2">
      <c r="A2588" s="8" t="str">
        <f t="shared" si="1334"/>
        <v>50015910</v>
      </c>
      <c r="B2588" s="8">
        <v>5001</v>
      </c>
      <c r="C2588" s="8">
        <v>59</v>
      </c>
      <c r="D2588" s="8" t="s">
        <v>62</v>
      </c>
      <c r="E2588" s="8">
        <v>0</v>
      </c>
      <c r="F2588" s="34">
        <f>ROUNDDOWN($P2588/4*$O2588*10*$N2588/$N2588*$Q2588/400,0)</f>
        <v>88421</v>
      </c>
      <c r="G2588" s="34">
        <f>ROUNDDOWN($P2588/4*$O2588*10*$N2588/$N2588*$Q2588/400,0)</f>
        <v>88421</v>
      </c>
      <c r="H2588" s="34">
        <f t="shared" si="1335"/>
        <v>26700</v>
      </c>
      <c r="I2588" s="34">
        <f t="shared" si="1335"/>
        <v>26700</v>
      </c>
      <c r="J2588" s="34">
        <f>ROUNDDOWN($P2588/4*$O2588*10*$N2588/$Q2588*$N2588/400,0)</f>
        <v>134032</v>
      </c>
      <c r="K2588" s="133">
        <v>1000</v>
      </c>
      <c r="L2588" s="34"/>
      <c r="M2588" s="16">
        <f t="shared" si="1313"/>
        <v>45001.56091176573</v>
      </c>
      <c r="N2588" s="36">
        <v>900</v>
      </c>
      <c r="O2588" s="36">
        <v>0.5</v>
      </c>
      <c r="P2588" s="73">
        <v>38707.199999999997</v>
      </c>
      <c r="Q2588" s="2" t="s">
        <v>124</v>
      </c>
      <c r="S2588" s="36">
        <v>10680</v>
      </c>
    </row>
    <row r="2589" spans="1:19" x14ac:dyDescent="0.2">
      <c r="A2589" s="8" t="str">
        <f t="shared" si="1334"/>
        <v>50015911</v>
      </c>
      <c r="B2589" s="8">
        <v>5001</v>
      </c>
      <c r="C2589" s="8">
        <v>59</v>
      </c>
      <c r="D2589" s="8" t="s">
        <v>62</v>
      </c>
      <c r="E2589" s="8">
        <v>1</v>
      </c>
      <c r="F2589" s="34">
        <f t="shared" ref="F2589:G2592" si="1337">ROUNDDOWN($P2589/4*$O2589*10*$N2589/$N2589*$Q2589/400,0)</f>
        <v>176843</v>
      </c>
      <c r="G2589" s="34">
        <f t="shared" si="1337"/>
        <v>176843</v>
      </c>
      <c r="H2589" s="34">
        <f t="shared" si="1335"/>
        <v>26700</v>
      </c>
      <c r="I2589" s="34">
        <f t="shared" si="1335"/>
        <v>26700</v>
      </c>
      <c r="J2589" s="34">
        <f t="shared" si="1333"/>
        <v>256282</v>
      </c>
      <c r="K2589" s="133">
        <v>1000</v>
      </c>
      <c r="L2589" s="34"/>
      <c r="M2589" s="16">
        <f t="shared" si="1313"/>
        <v>88003.228860189454</v>
      </c>
      <c r="N2589" s="36">
        <v>880</v>
      </c>
      <c r="O2589" s="36">
        <v>1</v>
      </c>
      <c r="P2589" s="73">
        <v>38707.199999999997</v>
      </c>
      <c r="Q2589" s="2" t="s">
        <v>124</v>
      </c>
      <c r="S2589" s="36">
        <v>10680</v>
      </c>
    </row>
    <row r="2590" spans="1:19" x14ac:dyDescent="0.2">
      <c r="A2590" s="8" t="str">
        <f t="shared" si="1334"/>
        <v>50015912</v>
      </c>
      <c r="B2590" s="8">
        <v>5001</v>
      </c>
      <c r="C2590" s="8">
        <v>59</v>
      </c>
      <c r="D2590" s="8" t="s">
        <v>62</v>
      </c>
      <c r="E2590" s="8">
        <v>2</v>
      </c>
      <c r="F2590" s="34">
        <f t="shared" si="1337"/>
        <v>353687</v>
      </c>
      <c r="G2590" s="34">
        <f t="shared" si="1337"/>
        <v>353687</v>
      </c>
      <c r="H2590" s="34">
        <f t="shared" si="1335"/>
        <v>26700</v>
      </c>
      <c r="I2590" s="34">
        <f t="shared" si="1335"/>
        <v>26700</v>
      </c>
      <c r="J2590" s="34">
        <f t="shared" si="1333"/>
        <v>489532</v>
      </c>
      <c r="K2590" s="133">
        <v>1000</v>
      </c>
      <c r="L2590" s="34"/>
      <c r="M2590" s="16">
        <f t="shared" si="1313"/>
        <v>172006.8368822179</v>
      </c>
      <c r="N2590" s="36">
        <v>860</v>
      </c>
      <c r="O2590" s="36">
        <v>2</v>
      </c>
      <c r="P2590" s="73">
        <v>38707.199999999997</v>
      </c>
      <c r="Q2590" s="2" t="s">
        <v>124</v>
      </c>
      <c r="S2590" s="36">
        <v>10680</v>
      </c>
    </row>
    <row r="2591" spans="1:19" x14ac:dyDescent="0.2">
      <c r="A2591" s="8" t="str">
        <f t="shared" si="1334"/>
        <v>50015913</v>
      </c>
      <c r="B2591" s="8">
        <v>5001</v>
      </c>
      <c r="C2591" s="8">
        <v>59</v>
      </c>
      <c r="D2591" s="8" t="s">
        <v>62</v>
      </c>
      <c r="E2591" s="8">
        <v>3</v>
      </c>
      <c r="F2591" s="34">
        <f t="shared" si="1337"/>
        <v>530530</v>
      </c>
      <c r="G2591" s="34">
        <f t="shared" si="1337"/>
        <v>530530</v>
      </c>
      <c r="H2591" s="34">
        <f t="shared" si="1335"/>
        <v>26700</v>
      </c>
      <c r="I2591" s="34">
        <f t="shared" si="1335"/>
        <v>26700</v>
      </c>
      <c r="J2591" s="34">
        <f t="shared" si="1333"/>
        <v>700542</v>
      </c>
      <c r="K2591" s="133">
        <v>1000</v>
      </c>
      <c r="L2591" s="34"/>
      <c r="M2591" s="16">
        <f t="shared" si="1313"/>
        <v>252009.94535095</v>
      </c>
      <c r="N2591" s="36">
        <v>840</v>
      </c>
      <c r="O2591" s="36">
        <v>3</v>
      </c>
      <c r="P2591" s="73">
        <v>38707.199999999997</v>
      </c>
      <c r="Q2591" s="2" t="s">
        <v>124</v>
      </c>
      <c r="S2591" s="36">
        <v>10680</v>
      </c>
    </row>
    <row r="2592" spans="1:19" x14ac:dyDescent="0.2">
      <c r="A2592" s="8" t="str">
        <f t="shared" si="1334"/>
        <v>50015914</v>
      </c>
      <c r="B2592" s="8">
        <v>5001</v>
      </c>
      <c r="C2592" s="8">
        <v>59</v>
      </c>
      <c r="D2592" s="8" t="s">
        <v>62</v>
      </c>
      <c r="E2592" s="8">
        <v>4</v>
      </c>
      <c r="F2592" s="34">
        <f t="shared" si="1337"/>
        <v>707374</v>
      </c>
      <c r="G2592" s="34">
        <f t="shared" si="1337"/>
        <v>707374</v>
      </c>
      <c r="H2592" s="34">
        <f t="shared" si="1335"/>
        <v>26700</v>
      </c>
      <c r="I2592" s="34">
        <f t="shared" si="1335"/>
        <v>26700</v>
      </c>
      <c r="J2592" s="34">
        <f t="shared" si="1333"/>
        <v>890106</v>
      </c>
      <c r="K2592" s="133">
        <v>1000</v>
      </c>
      <c r="L2592" s="34"/>
      <c r="M2592" s="16">
        <f t="shared" si="1313"/>
        <v>328012.97898120852</v>
      </c>
      <c r="N2592" s="36">
        <v>820</v>
      </c>
      <c r="O2592" s="36">
        <v>4</v>
      </c>
      <c r="P2592" s="73">
        <v>38707.199999999997</v>
      </c>
      <c r="Q2592" s="2" t="s">
        <v>124</v>
      </c>
      <c r="S2592" s="36">
        <v>10680</v>
      </c>
    </row>
    <row r="2593" spans="1:19" x14ac:dyDescent="0.2">
      <c r="A2593" s="18" t="str">
        <f t="shared" si="1334"/>
        <v>50016010</v>
      </c>
      <c r="B2593" s="18">
        <v>5001</v>
      </c>
      <c r="C2593" s="18">
        <v>60</v>
      </c>
      <c r="D2593" s="18" t="s">
        <v>62</v>
      </c>
      <c r="E2593" s="18">
        <v>0</v>
      </c>
      <c r="F2593" s="19">
        <f>ROUNDDOWN($P2593/4*$O2593*10*$N2593/$N2593*$Q2593/400,0)</f>
        <v>92106</v>
      </c>
      <c r="G2593" s="19">
        <f>ROUNDDOWN($P2593/4*$O2593*10*$N2593/$N2593*$Q2593/400,0)</f>
        <v>92106</v>
      </c>
      <c r="H2593" s="19">
        <f t="shared" si="1335"/>
        <v>20400</v>
      </c>
      <c r="I2593" s="19">
        <f t="shared" si="1335"/>
        <v>20400</v>
      </c>
      <c r="J2593" s="19">
        <f>ROUNDDOWN($P2593/4*$O2593*10*$N2593/$Q2593*$N2593/400,0)</f>
        <v>110314</v>
      </c>
      <c r="K2593" s="133">
        <v>1000</v>
      </c>
      <c r="L2593" s="19"/>
      <c r="M2593" s="118">
        <f t="shared" si="1313"/>
        <v>36422.04679090729</v>
      </c>
      <c r="N2593" s="58">
        <v>800</v>
      </c>
      <c r="O2593" s="58">
        <v>0.5</v>
      </c>
      <c r="P2593" s="59">
        <v>40320</v>
      </c>
      <c r="Q2593" s="41" t="s">
        <v>103</v>
      </c>
      <c r="R2593" s="41"/>
      <c r="S2593" s="58">
        <v>8160</v>
      </c>
    </row>
    <row r="2594" spans="1:19" x14ac:dyDescent="0.2">
      <c r="A2594" s="14" t="str">
        <f t="shared" si="1334"/>
        <v>50016011</v>
      </c>
      <c r="B2594" s="14">
        <v>5001</v>
      </c>
      <c r="C2594" s="14">
        <v>60</v>
      </c>
      <c r="D2594" s="14" t="s">
        <v>62</v>
      </c>
      <c r="E2594" s="14">
        <v>1</v>
      </c>
      <c r="F2594" s="15">
        <f t="shared" ref="F2594:G2599" si="1338">ROUNDDOWN($P2594/4*$O2594*10*$N2594/$N2594*$Q2594/400,0)</f>
        <v>184212</v>
      </c>
      <c r="G2594" s="15">
        <f t="shared" si="1338"/>
        <v>184212</v>
      </c>
      <c r="H2594" s="15">
        <f t="shared" si="1335"/>
        <v>20400</v>
      </c>
      <c r="I2594" s="15">
        <f t="shared" si="1335"/>
        <v>20400</v>
      </c>
      <c r="J2594" s="15">
        <f t="shared" ref="J2594:J2599" si="1339">ROUNDDOWN($P2594/4*$O2594*10*$N2594/$Q2594*$N2594/400,0)</f>
        <v>209735</v>
      </c>
      <c r="K2594" s="133">
        <v>1000</v>
      </c>
      <c r="L2594" s="15"/>
      <c r="M2594" s="16">
        <f t="shared" ref="M2594:M2599" si="1340">(F2594*J2594*((H2594+I2594)/2)/1000)^(1/2)/10*0.8</f>
        <v>71023.077170305711</v>
      </c>
      <c r="N2594" s="63">
        <v>780</v>
      </c>
      <c r="O2594" s="63">
        <v>1</v>
      </c>
      <c r="P2594" s="73">
        <v>40320</v>
      </c>
      <c r="Q2594" s="64" t="s">
        <v>103</v>
      </c>
      <c r="R2594" s="64"/>
      <c r="S2594" s="63">
        <v>8160</v>
      </c>
    </row>
    <row r="2595" spans="1:19" x14ac:dyDescent="0.2">
      <c r="A2595" s="14" t="str">
        <f t="shared" si="1334"/>
        <v>50016012</v>
      </c>
      <c r="B2595" s="14">
        <v>5001</v>
      </c>
      <c r="C2595" s="14">
        <v>60</v>
      </c>
      <c r="D2595" s="14" t="s">
        <v>62</v>
      </c>
      <c r="E2595" s="14">
        <v>2</v>
      </c>
      <c r="F2595" s="15">
        <f t="shared" si="1338"/>
        <v>252000</v>
      </c>
      <c r="G2595" s="15">
        <f t="shared" si="1338"/>
        <v>252000</v>
      </c>
      <c r="H2595" s="15">
        <f t="shared" si="1335"/>
        <v>20400</v>
      </c>
      <c r="I2595" s="15">
        <f t="shared" si="1335"/>
        <v>20400</v>
      </c>
      <c r="J2595" s="15">
        <f t="shared" si="1339"/>
        <v>582220</v>
      </c>
      <c r="K2595" s="133">
        <v>1000</v>
      </c>
      <c r="L2595" s="15"/>
      <c r="M2595" s="16">
        <f t="shared" si="1340"/>
        <v>138404.08262186489</v>
      </c>
      <c r="N2595" s="63">
        <v>760</v>
      </c>
      <c r="O2595" s="63">
        <v>2</v>
      </c>
      <c r="P2595" s="73">
        <v>40320</v>
      </c>
      <c r="Q2595" s="64" t="s">
        <v>200</v>
      </c>
      <c r="R2595" s="64"/>
      <c r="S2595" s="63">
        <v>8160</v>
      </c>
    </row>
    <row r="2596" spans="1:19" x14ac:dyDescent="0.2">
      <c r="A2596" s="14" t="str">
        <f t="shared" si="1334"/>
        <v>50016013</v>
      </c>
      <c r="B2596" s="14">
        <v>5001</v>
      </c>
      <c r="C2596" s="14">
        <v>60</v>
      </c>
      <c r="D2596" s="14" t="s">
        <v>62</v>
      </c>
      <c r="E2596" s="14">
        <v>3</v>
      </c>
      <c r="F2596" s="15">
        <f t="shared" si="1338"/>
        <v>548250</v>
      </c>
      <c r="G2596" s="15">
        <f t="shared" si="1338"/>
        <v>548250</v>
      </c>
      <c r="H2596" s="15">
        <f t="shared" si="1335"/>
        <v>20400</v>
      </c>
      <c r="I2596" s="15">
        <f t="shared" si="1335"/>
        <v>20400</v>
      </c>
      <c r="J2596" s="15">
        <f t="shared" si="1339"/>
        <v>561833</v>
      </c>
      <c r="K2596" s="133">
        <v>1000</v>
      </c>
      <c r="L2596" s="15"/>
      <c r="M2596" s="16">
        <f t="shared" si="1340"/>
        <v>200538.6158827272</v>
      </c>
      <c r="N2596" s="63">
        <v>740</v>
      </c>
      <c r="O2596" s="63">
        <v>3</v>
      </c>
      <c r="P2596" s="73">
        <v>40000</v>
      </c>
      <c r="Q2596" s="64" t="s">
        <v>103</v>
      </c>
      <c r="R2596" s="64"/>
      <c r="S2596" s="63">
        <v>8160</v>
      </c>
    </row>
    <row r="2597" spans="1:19" x14ac:dyDescent="0.2">
      <c r="A2597" s="14" t="str">
        <f t="shared" si="1334"/>
        <v>50016014</v>
      </c>
      <c r="B2597" s="14">
        <v>5001</v>
      </c>
      <c r="C2597" s="14">
        <v>60</v>
      </c>
      <c r="D2597" s="14" t="s">
        <v>62</v>
      </c>
      <c r="E2597" s="14">
        <v>4</v>
      </c>
      <c r="F2597" s="15">
        <f t="shared" si="1338"/>
        <v>736848</v>
      </c>
      <c r="G2597" s="15">
        <f t="shared" si="1338"/>
        <v>736848</v>
      </c>
      <c r="H2597" s="15">
        <f t="shared" si="1335"/>
        <v>20400</v>
      </c>
      <c r="I2597" s="15">
        <f t="shared" si="1335"/>
        <v>20400</v>
      </c>
      <c r="J2597" s="15">
        <f t="shared" si="1339"/>
        <v>714838</v>
      </c>
      <c r="K2597" s="133">
        <v>1000</v>
      </c>
      <c r="L2597" s="15"/>
      <c r="M2597" s="16">
        <f t="shared" si="1340"/>
        <v>262239.33853155869</v>
      </c>
      <c r="N2597" s="63">
        <v>720</v>
      </c>
      <c r="O2597" s="63">
        <v>4</v>
      </c>
      <c r="P2597" s="73">
        <v>40320</v>
      </c>
      <c r="Q2597" s="64" t="s">
        <v>103</v>
      </c>
      <c r="R2597" s="64"/>
      <c r="S2597" s="63">
        <v>8160</v>
      </c>
    </row>
    <row r="2598" spans="1:19" x14ac:dyDescent="0.2">
      <c r="A2598" s="14">
        <v>50016015</v>
      </c>
      <c r="B2598" s="14">
        <v>5001</v>
      </c>
      <c r="C2598" s="14">
        <v>60</v>
      </c>
      <c r="D2598" s="14" t="s">
        <v>62</v>
      </c>
      <c r="E2598" s="14">
        <v>5</v>
      </c>
      <c r="F2598" s="15">
        <f t="shared" si="1338"/>
        <v>237500</v>
      </c>
      <c r="G2598" s="15">
        <f t="shared" si="1338"/>
        <v>237500</v>
      </c>
      <c r="H2598" s="15">
        <f t="shared" si="1335"/>
        <v>20400</v>
      </c>
      <c r="I2598" s="15">
        <f t="shared" si="1335"/>
        <v>20400</v>
      </c>
      <c r="J2598" s="15">
        <f t="shared" si="1339"/>
        <v>548720</v>
      </c>
      <c r="K2598" s="133">
        <v>1000</v>
      </c>
      <c r="L2598" s="15"/>
      <c r="M2598" s="16">
        <f t="shared" si="1340"/>
        <v>130440.44526142956</v>
      </c>
      <c r="N2598" s="63">
        <v>760</v>
      </c>
      <c r="O2598" s="63">
        <v>2</v>
      </c>
      <c r="P2598" s="73">
        <v>38000</v>
      </c>
      <c r="Q2598" s="64" t="s">
        <v>200</v>
      </c>
      <c r="R2598" s="64" t="s">
        <v>808</v>
      </c>
      <c r="S2598" s="63">
        <v>8160</v>
      </c>
    </row>
    <row r="2599" spans="1:19" x14ac:dyDescent="0.2">
      <c r="A2599" s="14">
        <v>50016016</v>
      </c>
      <c r="B2599" s="14">
        <v>5001</v>
      </c>
      <c r="C2599" s="14">
        <v>60</v>
      </c>
      <c r="D2599" s="14" t="s">
        <v>62</v>
      </c>
      <c r="E2599" s="14">
        <v>6</v>
      </c>
      <c r="F2599" s="15">
        <f t="shared" si="1338"/>
        <v>187500</v>
      </c>
      <c r="G2599" s="15">
        <f t="shared" si="1338"/>
        <v>187500</v>
      </c>
      <c r="H2599" s="15">
        <f t="shared" si="1335"/>
        <v>20400</v>
      </c>
      <c r="I2599" s="15">
        <f t="shared" si="1335"/>
        <v>20400</v>
      </c>
      <c r="J2599" s="15">
        <f t="shared" si="1339"/>
        <v>367500</v>
      </c>
      <c r="K2599" s="133">
        <v>1000</v>
      </c>
      <c r="L2599" s="15"/>
      <c r="M2599" s="16">
        <f t="shared" si="1340"/>
        <v>94849.354241344205</v>
      </c>
      <c r="N2599" s="63">
        <v>700</v>
      </c>
      <c r="O2599" s="63">
        <v>2</v>
      </c>
      <c r="P2599" s="73">
        <v>30000</v>
      </c>
      <c r="Q2599" s="64" t="s">
        <v>200</v>
      </c>
      <c r="R2599" s="64" t="s">
        <v>807</v>
      </c>
      <c r="S2599" s="63">
        <v>8160</v>
      </c>
    </row>
    <row r="2600" spans="1:19" x14ac:dyDescent="0.2">
      <c r="A2600" s="74" t="str">
        <f t="shared" ref="A2600:A2604" si="1341">IF(B2600="","",CONCATENATE(B2600,CONCATENATE(REPT(0,2-LEN(C2600)),C2600),IF(OR(D2600="Easy",D2600=""),1,IF(D2600="Normal",2,IF(D2600="Hard",3,IF(D2600="Hell",4,"error")))),E2600))</f>
        <v>50016110</v>
      </c>
      <c r="B2600" s="74">
        <v>5001</v>
      </c>
      <c r="C2600" s="74">
        <v>61</v>
      </c>
      <c r="D2600" s="74" t="s">
        <v>62</v>
      </c>
      <c r="E2600" s="74">
        <v>0</v>
      </c>
      <c r="F2600" s="75">
        <f>ROUNDDOWN($P2600/4*$O2600*10*$N2600/$N2600*$Q2600/400,0)</f>
        <v>54687</v>
      </c>
      <c r="G2600" s="75">
        <f>ROUNDDOWN($P2600/4*$O2600*10*$N2600/$N2600*$Q2600/400,0)</f>
        <v>54687</v>
      </c>
      <c r="H2600" s="75">
        <f t="shared" si="1335"/>
        <v>25000</v>
      </c>
      <c r="I2600" s="75">
        <f t="shared" si="1335"/>
        <v>25000</v>
      </c>
      <c r="J2600" s="75">
        <f>ROUNDDOWN($P2600/4*$O2600*10*$N2600/$Q2600*$N2600/400,0)</f>
        <v>140000</v>
      </c>
      <c r="K2600" s="133">
        <v>1000</v>
      </c>
      <c r="L2600" s="75"/>
      <c r="M2600" s="16">
        <f t="shared" ref="M2600:M2667" si="1342">(F2600*J2600*((H2600+I2600)/2)/1000)^(1/2)/10*0.8</f>
        <v>34999.839999634285</v>
      </c>
      <c r="N2600" s="76">
        <v>800</v>
      </c>
      <c r="O2600" s="76">
        <v>0.5</v>
      </c>
      <c r="P2600" s="77">
        <v>35000</v>
      </c>
      <c r="Q2600" s="78" t="s">
        <v>200</v>
      </c>
      <c r="R2600" s="78"/>
      <c r="S2600" s="76">
        <v>10000</v>
      </c>
    </row>
    <row r="2601" spans="1:19" x14ac:dyDescent="0.2">
      <c r="A2601" s="14" t="str">
        <f t="shared" si="1341"/>
        <v>50016111</v>
      </c>
      <c r="B2601" s="14">
        <v>5001</v>
      </c>
      <c r="C2601" s="14">
        <v>61</v>
      </c>
      <c r="D2601" s="14" t="s">
        <v>62</v>
      </c>
      <c r="E2601" s="14">
        <v>1</v>
      </c>
      <c r="F2601" s="15">
        <f t="shared" ref="F2601:G2611" si="1343">ROUNDDOWN($P2601/4*$O2601*10*$N2601/$N2601*$Q2601/400,0)</f>
        <v>109375</v>
      </c>
      <c r="G2601" s="15">
        <f t="shared" si="1343"/>
        <v>109375</v>
      </c>
      <c r="H2601" s="15">
        <f t="shared" ref="H2601:I2616" si="1344">ROUNDDOWN($S2601/4*10,0)</f>
        <v>25000</v>
      </c>
      <c r="I2601" s="15">
        <f t="shared" si="1344"/>
        <v>25000</v>
      </c>
      <c r="J2601" s="15">
        <f t="shared" si="1333"/>
        <v>266175</v>
      </c>
      <c r="K2601" s="133">
        <v>1000</v>
      </c>
      <c r="L2601" s="15"/>
      <c r="M2601" s="16">
        <f t="shared" si="1342"/>
        <v>68250</v>
      </c>
      <c r="N2601" s="63">
        <v>780</v>
      </c>
      <c r="O2601" s="63">
        <v>1</v>
      </c>
      <c r="P2601" s="77">
        <v>35000</v>
      </c>
      <c r="Q2601" s="64" t="s">
        <v>200</v>
      </c>
      <c r="R2601" s="64"/>
      <c r="S2601" s="76">
        <v>10000</v>
      </c>
    </row>
    <row r="2602" spans="1:19" x14ac:dyDescent="0.2">
      <c r="A2602" s="14" t="str">
        <f t="shared" si="1341"/>
        <v>50016112</v>
      </c>
      <c r="B2602" s="14">
        <v>5001</v>
      </c>
      <c r="C2602" s="14">
        <v>61</v>
      </c>
      <c r="D2602" s="14" t="s">
        <v>62</v>
      </c>
      <c r="E2602" s="14">
        <v>2</v>
      </c>
      <c r="F2602" s="15">
        <f t="shared" si="1343"/>
        <v>65625</v>
      </c>
      <c r="G2602" s="15">
        <f t="shared" si="1343"/>
        <v>65625</v>
      </c>
      <c r="H2602" s="15">
        <f t="shared" si="1344"/>
        <v>25000</v>
      </c>
      <c r="I2602" s="15">
        <f t="shared" si="1344"/>
        <v>25000</v>
      </c>
      <c r="J2602" s="15">
        <f t="shared" si="1333"/>
        <v>1684666</v>
      </c>
      <c r="K2602" s="133">
        <v>1000</v>
      </c>
      <c r="L2602" s="15"/>
      <c r="M2602" s="16">
        <f t="shared" si="1342"/>
        <v>132999.97368420794</v>
      </c>
      <c r="N2602" s="63">
        <v>760</v>
      </c>
      <c r="O2602" s="63">
        <v>2</v>
      </c>
      <c r="P2602" s="77">
        <v>35000</v>
      </c>
      <c r="Q2602" s="64" t="s">
        <v>284</v>
      </c>
      <c r="R2602" s="64"/>
      <c r="S2602" s="76">
        <v>10000</v>
      </c>
    </row>
    <row r="2603" spans="1:19" x14ac:dyDescent="0.2">
      <c r="A2603" s="14" t="str">
        <f t="shared" si="1341"/>
        <v>50016113</v>
      </c>
      <c r="B2603" s="14">
        <v>5001</v>
      </c>
      <c r="C2603" s="14">
        <v>61</v>
      </c>
      <c r="D2603" s="14" t="s">
        <v>62</v>
      </c>
      <c r="E2603" s="14">
        <v>3</v>
      </c>
      <c r="F2603" s="15">
        <f t="shared" si="1343"/>
        <v>735000</v>
      </c>
      <c r="G2603" s="15">
        <f t="shared" si="1343"/>
        <v>735000</v>
      </c>
      <c r="H2603" s="15">
        <f t="shared" si="1344"/>
        <v>25000</v>
      </c>
      <c r="I2603" s="15">
        <f t="shared" si="1344"/>
        <v>25000</v>
      </c>
      <c r="J2603" s="15">
        <f t="shared" si="1333"/>
        <v>210937</v>
      </c>
      <c r="K2603" s="133">
        <v>1000</v>
      </c>
      <c r="L2603" s="15"/>
      <c r="M2603" s="16">
        <f t="shared" si="1342"/>
        <v>157499.81333322273</v>
      </c>
      <c r="N2603" s="63">
        <v>750</v>
      </c>
      <c r="O2603" s="63">
        <v>3</v>
      </c>
      <c r="P2603" s="77">
        <v>28000</v>
      </c>
      <c r="Q2603" s="64" t="s">
        <v>286</v>
      </c>
      <c r="R2603" s="64" t="s">
        <v>280</v>
      </c>
      <c r="S2603" s="76">
        <v>10000</v>
      </c>
    </row>
    <row r="2604" spans="1:19" x14ac:dyDescent="0.2">
      <c r="A2604" s="14" t="str">
        <f t="shared" si="1341"/>
        <v>50016114</v>
      </c>
      <c r="B2604" s="14">
        <v>5001</v>
      </c>
      <c r="C2604" s="14">
        <v>61</v>
      </c>
      <c r="D2604" s="14" t="s">
        <v>62</v>
      </c>
      <c r="E2604" s="14">
        <v>4</v>
      </c>
      <c r="F2604" s="15">
        <f t="shared" si="1343"/>
        <v>175000</v>
      </c>
      <c r="G2604" s="15">
        <f t="shared" si="1343"/>
        <v>175000</v>
      </c>
      <c r="H2604" s="15">
        <f t="shared" si="1344"/>
        <v>25000</v>
      </c>
      <c r="I2604" s="15">
        <f t="shared" si="1344"/>
        <v>25000</v>
      </c>
      <c r="J2604" s="15">
        <f t="shared" si="1333"/>
        <v>2395750</v>
      </c>
      <c r="K2604" s="133">
        <v>1000</v>
      </c>
      <c r="L2604" s="15"/>
      <c r="M2604" s="16">
        <f t="shared" si="1342"/>
        <v>259000</v>
      </c>
      <c r="N2604" s="63">
        <v>740</v>
      </c>
      <c r="O2604" s="63">
        <v>4</v>
      </c>
      <c r="P2604" s="77">
        <v>35000</v>
      </c>
      <c r="Q2604" s="64" t="s">
        <v>122</v>
      </c>
      <c r="R2604" s="64"/>
      <c r="S2604" s="76">
        <v>10000</v>
      </c>
    </row>
    <row r="2605" spans="1:19" x14ac:dyDescent="0.2">
      <c r="A2605" s="74" t="str">
        <f t="shared" ref="A2605:A2609" si="1345">IF(B2605="","",CONCATENATE(B2605,CONCATENATE(REPT(0,2-LEN(C2605)),C2605),IF(OR(D2605="Easy",D2605=""),1,IF(D2605="Normal",2,IF(D2605="Hard",3,IF(D2605="Hell",4,"error")))),E2605))</f>
        <v>50016210</v>
      </c>
      <c r="B2605" s="74">
        <v>5001</v>
      </c>
      <c r="C2605" s="74">
        <v>62</v>
      </c>
      <c r="D2605" s="74" t="s">
        <v>62</v>
      </c>
      <c r="E2605" s="74">
        <v>0</v>
      </c>
      <c r="F2605" s="75">
        <f>ROUNDDOWN($P2605/4*$O2605*10*$N2605/$N2605*$Q2605/400,0)</f>
        <v>68750</v>
      </c>
      <c r="G2605" s="75">
        <f>ROUNDDOWN($P2605/4*$O2605*10*$N2605/$N2605*$Q2605/400,0)</f>
        <v>68750</v>
      </c>
      <c r="H2605" s="75">
        <f t="shared" si="1344"/>
        <v>37500</v>
      </c>
      <c r="I2605" s="75">
        <f t="shared" si="1344"/>
        <v>37500</v>
      </c>
      <c r="J2605" s="75">
        <f>ROUNDDOWN($P2605/4*$O2605*10*$N2605/$Q2605*$N2605/400,0)</f>
        <v>176000</v>
      </c>
      <c r="K2605" s="133">
        <v>1000</v>
      </c>
      <c r="L2605" s="75"/>
      <c r="M2605" s="16">
        <f t="shared" si="1342"/>
        <v>53888.774341229924</v>
      </c>
      <c r="N2605" s="76">
        <v>800</v>
      </c>
      <c r="O2605" s="76">
        <v>0.5</v>
      </c>
      <c r="P2605" s="77">
        <v>44000</v>
      </c>
      <c r="Q2605" s="78" t="s">
        <v>200</v>
      </c>
      <c r="R2605" s="78"/>
      <c r="S2605" s="76">
        <v>15000</v>
      </c>
    </row>
    <row r="2606" spans="1:19" x14ac:dyDescent="0.2">
      <c r="A2606" s="14" t="str">
        <f t="shared" si="1345"/>
        <v>50016211</v>
      </c>
      <c r="B2606" s="14">
        <v>5001</v>
      </c>
      <c r="C2606" s="14">
        <v>62</v>
      </c>
      <c r="D2606" s="14" t="s">
        <v>62</v>
      </c>
      <c r="E2606" s="14">
        <v>1</v>
      </c>
      <c r="F2606" s="15">
        <f t="shared" si="1343"/>
        <v>137500</v>
      </c>
      <c r="G2606" s="15">
        <f t="shared" si="1343"/>
        <v>137500</v>
      </c>
      <c r="H2606" s="15">
        <f t="shared" si="1344"/>
        <v>37500</v>
      </c>
      <c r="I2606" s="15">
        <f t="shared" si="1344"/>
        <v>37500</v>
      </c>
      <c r="J2606" s="15">
        <f t="shared" si="1333"/>
        <v>334620</v>
      </c>
      <c r="K2606" s="133">
        <v>1000</v>
      </c>
      <c r="L2606" s="15"/>
      <c r="M2606" s="16">
        <f t="shared" si="1342"/>
        <v>105083.10996539835</v>
      </c>
      <c r="N2606" s="63">
        <v>780</v>
      </c>
      <c r="O2606" s="63">
        <v>1</v>
      </c>
      <c r="P2606" s="77">
        <v>44000</v>
      </c>
      <c r="Q2606" s="78" t="s">
        <v>200</v>
      </c>
      <c r="R2606" s="64"/>
      <c r="S2606" s="76">
        <v>15000</v>
      </c>
    </row>
    <row r="2607" spans="1:19" x14ac:dyDescent="0.2">
      <c r="A2607" s="14" t="str">
        <f t="shared" si="1345"/>
        <v>50016212</v>
      </c>
      <c r="B2607" s="14">
        <v>5001</v>
      </c>
      <c r="C2607" s="14">
        <v>62</v>
      </c>
      <c r="D2607" s="14" t="s">
        <v>62</v>
      </c>
      <c r="E2607" s="14">
        <v>2</v>
      </c>
      <c r="F2607" s="15">
        <f t="shared" si="1343"/>
        <v>275000</v>
      </c>
      <c r="G2607" s="15">
        <f t="shared" si="1343"/>
        <v>275000</v>
      </c>
      <c r="H2607" s="15">
        <f t="shared" si="1344"/>
        <v>37500</v>
      </c>
      <c r="I2607" s="15">
        <f t="shared" si="1344"/>
        <v>37500</v>
      </c>
      <c r="J2607" s="15">
        <f t="shared" si="1333"/>
        <v>635360</v>
      </c>
      <c r="K2607" s="133">
        <v>1000</v>
      </c>
      <c r="L2607" s="15"/>
      <c r="M2607" s="16">
        <f t="shared" si="1342"/>
        <v>204777.34249667369</v>
      </c>
      <c r="N2607" s="63">
        <v>760</v>
      </c>
      <c r="O2607" s="63">
        <v>2</v>
      </c>
      <c r="P2607" s="77">
        <v>44000</v>
      </c>
      <c r="Q2607" s="78" t="s">
        <v>200</v>
      </c>
      <c r="R2607" s="64"/>
      <c r="S2607" s="76">
        <v>15000</v>
      </c>
    </row>
    <row r="2608" spans="1:19" x14ac:dyDescent="0.2">
      <c r="A2608" s="14" t="str">
        <f t="shared" si="1345"/>
        <v>50016213</v>
      </c>
      <c r="B2608" s="14">
        <v>5001</v>
      </c>
      <c r="C2608" s="14">
        <v>62</v>
      </c>
      <c r="D2608" s="14" t="s">
        <v>62</v>
      </c>
      <c r="E2608" s="14">
        <v>3</v>
      </c>
      <c r="F2608" s="15">
        <f t="shared" si="1343"/>
        <v>330000</v>
      </c>
      <c r="G2608" s="15">
        <f t="shared" si="1343"/>
        <v>330000</v>
      </c>
      <c r="H2608" s="15">
        <f t="shared" si="1344"/>
        <v>37500</v>
      </c>
      <c r="I2608" s="15">
        <f t="shared" si="1344"/>
        <v>37500</v>
      </c>
      <c r="J2608" s="15">
        <f t="shared" si="1333"/>
        <v>1129425</v>
      </c>
      <c r="K2608" s="133">
        <v>1000</v>
      </c>
      <c r="L2608" s="15"/>
      <c r="M2608" s="16">
        <f t="shared" si="1342"/>
        <v>299082.69759382604</v>
      </c>
      <c r="N2608" s="63">
        <v>740</v>
      </c>
      <c r="O2608" s="63">
        <v>3</v>
      </c>
      <c r="P2608" s="77">
        <v>44000</v>
      </c>
      <c r="Q2608" s="78" t="s">
        <v>123</v>
      </c>
      <c r="R2608" s="64"/>
      <c r="S2608" s="76">
        <v>15000</v>
      </c>
    </row>
    <row r="2609" spans="1:20" x14ac:dyDescent="0.2">
      <c r="A2609" s="14" t="str">
        <f t="shared" si="1345"/>
        <v>50016214</v>
      </c>
      <c r="B2609" s="14">
        <v>5001</v>
      </c>
      <c r="C2609" s="14">
        <v>62</v>
      </c>
      <c r="D2609" s="14" t="s">
        <v>62</v>
      </c>
      <c r="E2609" s="14">
        <v>4</v>
      </c>
      <c r="F2609" s="15">
        <f t="shared" si="1343"/>
        <v>330000</v>
      </c>
      <c r="G2609" s="15">
        <f t="shared" si="1343"/>
        <v>330000</v>
      </c>
      <c r="H2609" s="15">
        <f t="shared" si="1344"/>
        <v>37500</v>
      </c>
      <c r="I2609" s="15">
        <f t="shared" si="1344"/>
        <v>37500</v>
      </c>
      <c r="J2609" s="15">
        <f t="shared" si="1333"/>
        <v>1900800</v>
      </c>
      <c r="K2609" s="133">
        <v>1000</v>
      </c>
      <c r="L2609" s="15"/>
      <c r="M2609" s="16">
        <f t="shared" si="1342"/>
        <v>387999.17525685544</v>
      </c>
      <c r="N2609" s="63">
        <v>720</v>
      </c>
      <c r="O2609" s="63">
        <v>4</v>
      </c>
      <c r="P2609" s="77">
        <v>44000</v>
      </c>
      <c r="Q2609" s="78" t="s">
        <v>283</v>
      </c>
      <c r="R2609" s="64" t="s">
        <v>282</v>
      </c>
      <c r="S2609" s="76">
        <v>15000</v>
      </c>
    </row>
    <row r="2610" spans="1:20" x14ac:dyDescent="0.2">
      <c r="A2610" s="74" t="str">
        <f t="shared" ref="A2610:A2614" si="1346">IF(B2610="","",CONCATENATE(B2610,CONCATENATE(REPT(0,2-LEN(C2610)),C2610),IF(OR(D2610="Easy",D2610=""),1,IF(D2610="Normal",2,IF(D2610="Hard",3,IF(D2610="Hell",4,"error")))),E2610))</f>
        <v>50016310</v>
      </c>
      <c r="B2610" s="74">
        <v>5001</v>
      </c>
      <c r="C2610" s="74">
        <v>63</v>
      </c>
      <c r="D2610" s="74" t="s">
        <v>62</v>
      </c>
      <c r="E2610" s="74">
        <v>0</v>
      </c>
      <c r="F2610" s="75">
        <f>ROUNDDOWN($P2610/4*$O2610*10*$N2610/$N2610*$Q2610/400,0)</f>
        <v>78125</v>
      </c>
      <c r="G2610" s="75">
        <f>ROUNDDOWN($P2610/4*$O2610*10*$N2610/$N2610*$Q2610/400,0)</f>
        <v>78125</v>
      </c>
      <c r="H2610" s="75">
        <f t="shared" si="1344"/>
        <v>75000</v>
      </c>
      <c r="I2610" s="75">
        <f>ROUNDDOWN($T2610/4*10,0)</f>
        <v>37500</v>
      </c>
      <c r="J2610" s="75">
        <f>ROUNDDOWN($P2610/4*$O2610*10*$N2610/$Q2610*$N2610/400,0)</f>
        <v>200000</v>
      </c>
      <c r="K2610" s="133">
        <v>1000</v>
      </c>
      <c r="L2610" s="75"/>
      <c r="M2610" s="16">
        <f t="shared" si="1342"/>
        <v>75000</v>
      </c>
      <c r="N2610" s="76">
        <v>800</v>
      </c>
      <c r="O2610" s="76">
        <v>0.5</v>
      </c>
      <c r="P2610" s="77">
        <v>50000</v>
      </c>
      <c r="Q2610" s="78" t="s">
        <v>200</v>
      </c>
      <c r="R2610" s="78"/>
      <c r="S2610" s="76">
        <v>30000</v>
      </c>
      <c r="T2610" s="116" t="s">
        <v>287</v>
      </c>
    </row>
    <row r="2611" spans="1:20" x14ac:dyDescent="0.2">
      <c r="A2611" s="14" t="str">
        <f t="shared" si="1346"/>
        <v>50016311</v>
      </c>
      <c r="B2611" s="14">
        <v>5001</v>
      </c>
      <c r="C2611" s="14">
        <v>63</v>
      </c>
      <c r="D2611" s="14" t="s">
        <v>62</v>
      </c>
      <c r="E2611" s="14">
        <v>1</v>
      </c>
      <c r="F2611" s="15">
        <f t="shared" si="1343"/>
        <v>156250</v>
      </c>
      <c r="G2611" s="15">
        <f t="shared" si="1343"/>
        <v>156250</v>
      </c>
      <c r="H2611" s="15">
        <f t="shared" si="1344"/>
        <v>75000</v>
      </c>
      <c r="I2611" s="75">
        <f t="shared" ref="I2611:I2614" si="1347">ROUNDDOWN($T2611/4*10,0)</f>
        <v>37500</v>
      </c>
      <c r="J2611" s="15">
        <f t="shared" si="1333"/>
        <v>380250</v>
      </c>
      <c r="K2611" s="133">
        <v>1000</v>
      </c>
      <c r="L2611" s="15"/>
      <c r="M2611" s="16">
        <f t="shared" si="1342"/>
        <v>146250</v>
      </c>
      <c r="N2611" s="63">
        <v>780</v>
      </c>
      <c r="O2611" s="63">
        <v>1</v>
      </c>
      <c r="P2611" s="77">
        <v>50000</v>
      </c>
      <c r="Q2611" s="78" t="s">
        <v>200</v>
      </c>
      <c r="R2611" s="64"/>
      <c r="S2611" s="76">
        <v>30000</v>
      </c>
      <c r="T2611" s="116" t="s">
        <v>287</v>
      </c>
    </row>
    <row r="2612" spans="1:20" x14ac:dyDescent="0.2">
      <c r="A2612" s="14" t="str">
        <f t="shared" si="1346"/>
        <v>50016312</v>
      </c>
      <c r="B2612" s="14">
        <v>5001</v>
      </c>
      <c r="C2612" s="14">
        <v>63</v>
      </c>
      <c r="D2612" s="14" t="s">
        <v>62</v>
      </c>
      <c r="E2612" s="14">
        <v>2</v>
      </c>
      <c r="F2612" s="15">
        <f t="shared" ref="F2612:G2614" si="1348">ROUNDDOWN($P2612/4*$O2612*10*$N2612/$N2612*$Q2612/400,0)</f>
        <v>312500</v>
      </c>
      <c r="G2612" s="15">
        <f t="shared" si="1348"/>
        <v>312500</v>
      </c>
      <c r="H2612" s="15">
        <f t="shared" si="1344"/>
        <v>75000</v>
      </c>
      <c r="I2612" s="75">
        <f t="shared" si="1347"/>
        <v>37500</v>
      </c>
      <c r="J2612" s="15">
        <f t="shared" si="1333"/>
        <v>722000</v>
      </c>
      <c r="K2612" s="133">
        <v>1000</v>
      </c>
      <c r="L2612" s="15"/>
      <c r="M2612" s="16">
        <f t="shared" si="1342"/>
        <v>285000</v>
      </c>
      <c r="N2612" s="63">
        <v>760</v>
      </c>
      <c r="O2612" s="63">
        <v>2</v>
      </c>
      <c r="P2612" s="77">
        <v>50000</v>
      </c>
      <c r="Q2612" s="78" t="s">
        <v>200</v>
      </c>
      <c r="R2612" s="64"/>
      <c r="S2612" s="76">
        <v>30000</v>
      </c>
      <c r="T2612" s="116" t="s">
        <v>287</v>
      </c>
    </row>
    <row r="2613" spans="1:20" x14ac:dyDescent="0.2">
      <c r="A2613" s="14" t="str">
        <f t="shared" si="1346"/>
        <v>50016313</v>
      </c>
      <c r="B2613" s="14">
        <v>5001</v>
      </c>
      <c r="C2613" s="14">
        <v>63</v>
      </c>
      <c r="D2613" s="14" t="s">
        <v>62</v>
      </c>
      <c r="E2613" s="14">
        <v>3</v>
      </c>
      <c r="F2613" s="15">
        <f t="shared" si="1348"/>
        <v>468750</v>
      </c>
      <c r="G2613" s="15">
        <f t="shared" si="1348"/>
        <v>468750</v>
      </c>
      <c r="H2613" s="15">
        <f t="shared" si="1344"/>
        <v>75000</v>
      </c>
      <c r="I2613" s="75">
        <f t="shared" si="1347"/>
        <v>37500</v>
      </c>
      <c r="J2613" s="15">
        <f t="shared" si="1333"/>
        <v>1026750</v>
      </c>
      <c r="K2613" s="133">
        <v>1000</v>
      </c>
      <c r="L2613" s="15"/>
      <c r="M2613" s="16">
        <f t="shared" si="1342"/>
        <v>416250</v>
      </c>
      <c r="N2613" s="63">
        <v>740</v>
      </c>
      <c r="O2613" s="63">
        <v>3</v>
      </c>
      <c r="P2613" s="77">
        <v>50000</v>
      </c>
      <c r="Q2613" s="78" t="s">
        <v>200</v>
      </c>
      <c r="R2613" s="64"/>
      <c r="S2613" s="76">
        <v>30000</v>
      </c>
      <c r="T2613" s="116" t="s">
        <v>287</v>
      </c>
    </row>
    <row r="2614" spans="1:20" x14ac:dyDescent="0.2">
      <c r="A2614" s="14" t="str">
        <f t="shared" si="1346"/>
        <v>50016314</v>
      </c>
      <c r="B2614" s="14">
        <v>5001</v>
      </c>
      <c r="C2614" s="14">
        <v>63</v>
      </c>
      <c r="D2614" s="14" t="s">
        <v>62</v>
      </c>
      <c r="E2614" s="14">
        <v>4</v>
      </c>
      <c r="F2614" s="15">
        <f t="shared" si="1348"/>
        <v>625000</v>
      </c>
      <c r="G2614" s="15">
        <f t="shared" si="1348"/>
        <v>625000</v>
      </c>
      <c r="H2614" s="15">
        <f t="shared" si="1344"/>
        <v>75000</v>
      </c>
      <c r="I2614" s="75">
        <f t="shared" si="1347"/>
        <v>37500</v>
      </c>
      <c r="J2614" s="15">
        <f t="shared" si="1333"/>
        <v>1296000</v>
      </c>
      <c r="K2614" s="133">
        <v>1000</v>
      </c>
      <c r="L2614" s="15"/>
      <c r="M2614" s="16">
        <f t="shared" si="1342"/>
        <v>540000</v>
      </c>
      <c r="N2614" s="63">
        <v>720</v>
      </c>
      <c r="O2614" s="63">
        <v>4</v>
      </c>
      <c r="P2614" s="77">
        <v>50000</v>
      </c>
      <c r="Q2614" s="78" t="s">
        <v>200</v>
      </c>
      <c r="R2614" s="64"/>
      <c r="S2614" s="76">
        <v>30000</v>
      </c>
      <c r="T2614" s="116" t="s">
        <v>287</v>
      </c>
    </row>
    <row r="2615" spans="1:20" x14ac:dyDescent="0.2">
      <c r="A2615" s="74" t="str">
        <f t="shared" ref="A2615:A2619" si="1349">IF(B2615="","",CONCATENATE(B2615,CONCATENATE(REPT(0,2-LEN(C2615)),C2615),IF(OR(D2615="Easy",D2615=""),1,IF(D2615="Normal",2,IF(D2615="Hard",3,IF(D2615="Hell",4,"error")))),E2615))</f>
        <v>50016410</v>
      </c>
      <c r="B2615" s="74">
        <v>5001</v>
      </c>
      <c r="C2615" s="74">
        <v>64</v>
      </c>
      <c r="D2615" s="74" t="s">
        <v>62</v>
      </c>
      <c r="E2615" s="74">
        <v>0</v>
      </c>
      <c r="F2615" s="75">
        <f>ROUNDDOWN($P2615/4*$O2615*10*$N2615/$N2615*$Q2615/400,0)</f>
        <v>87500</v>
      </c>
      <c r="G2615" s="75">
        <f>ROUNDDOWN($P2615/4*$O2615*10*$N2615/$N2615*$Q2615/400,0)</f>
        <v>87500</v>
      </c>
      <c r="H2615" s="75">
        <f t="shared" si="1344"/>
        <v>47500</v>
      </c>
      <c r="I2615" s="75">
        <f t="shared" si="1344"/>
        <v>47500</v>
      </c>
      <c r="J2615" s="75">
        <f>ROUNDDOWN($P2615/4*$O2615*10*$N2615/$Q2615*$N2615/400,0)</f>
        <v>224000</v>
      </c>
      <c r="K2615" s="133">
        <v>1000</v>
      </c>
      <c r="L2615" s="75"/>
      <c r="M2615" s="16">
        <f t="shared" si="1342"/>
        <v>77190.67301170525</v>
      </c>
      <c r="N2615" s="76">
        <v>800</v>
      </c>
      <c r="O2615" s="76">
        <v>0.5</v>
      </c>
      <c r="P2615" s="77">
        <v>56000</v>
      </c>
      <c r="Q2615" s="78" t="s">
        <v>200</v>
      </c>
      <c r="R2615" s="78"/>
      <c r="S2615" s="76">
        <v>19000</v>
      </c>
    </row>
    <row r="2616" spans="1:20" x14ac:dyDescent="0.2">
      <c r="A2616" s="14" t="str">
        <f t="shared" si="1349"/>
        <v>50016411</v>
      </c>
      <c r="B2616" s="14">
        <v>5001</v>
      </c>
      <c r="C2616" s="14">
        <v>64</v>
      </c>
      <c r="D2616" s="14" t="s">
        <v>62</v>
      </c>
      <c r="E2616" s="14">
        <v>1</v>
      </c>
      <c r="F2616" s="15">
        <f t="shared" ref="F2616:G2624" si="1350">ROUNDDOWN($P2616/4*$O2616*10*$N2616/$N2616*$Q2616/400,0)</f>
        <v>175000</v>
      </c>
      <c r="G2616" s="15">
        <f t="shared" si="1350"/>
        <v>175000</v>
      </c>
      <c r="H2616" s="15">
        <f t="shared" si="1344"/>
        <v>47500</v>
      </c>
      <c r="I2616" s="15">
        <f t="shared" si="1344"/>
        <v>47500</v>
      </c>
      <c r="J2616" s="15">
        <f t="shared" si="1333"/>
        <v>425880</v>
      </c>
      <c r="K2616" s="133">
        <v>1000</v>
      </c>
      <c r="L2616" s="15"/>
      <c r="M2616" s="16">
        <f t="shared" si="1342"/>
        <v>150521.81237282522</v>
      </c>
      <c r="N2616" s="63">
        <v>780</v>
      </c>
      <c r="O2616" s="63">
        <v>1</v>
      </c>
      <c r="P2616" s="77">
        <v>56000</v>
      </c>
      <c r="Q2616" s="78" t="s">
        <v>200</v>
      </c>
      <c r="R2616" s="64"/>
      <c r="S2616" s="76">
        <v>19000</v>
      </c>
    </row>
    <row r="2617" spans="1:20" x14ac:dyDescent="0.2">
      <c r="A2617" s="14" t="str">
        <f t="shared" si="1349"/>
        <v>50016412</v>
      </c>
      <c r="B2617" s="14">
        <v>5001</v>
      </c>
      <c r="C2617" s="14">
        <v>64</v>
      </c>
      <c r="D2617" s="14" t="s">
        <v>62</v>
      </c>
      <c r="E2617" s="14">
        <v>2</v>
      </c>
      <c r="F2617" s="15">
        <f t="shared" si="1350"/>
        <v>350000</v>
      </c>
      <c r="G2617" s="15">
        <f t="shared" si="1350"/>
        <v>350000</v>
      </c>
      <c r="H2617" s="15">
        <f t="shared" ref="H2617:I2641" si="1351">ROUNDDOWN($S2617/4*10,0)</f>
        <v>47500</v>
      </c>
      <c r="I2617" s="15">
        <f t="shared" si="1351"/>
        <v>47500</v>
      </c>
      <c r="J2617" s="15">
        <f t="shared" si="1333"/>
        <v>808640</v>
      </c>
      <c r="K2617" s="133">
        <v>1000</v>
      </c>
      <c r="L2617" s="15"/>
      <c r="M2617" s="16">
        <f t="shared" si="1342"/>
        <v>293324.55744447996</v>
      </c>
      <c r="N2617" s="63">
        <v>760</v>
      </c>
      <c r="O2617" s="63">
        <v>2</v>
      </c>
      <c r="P2617" s="77">
        <v>56000</v>
      </c>
      <c r="Q2617" s="78" t="s">
        <v>200</v>
      </c>
      <c r="R2617" s="64"/>
      <c r="S2617" s="76">
        <v>19000</v>
      </c>
    </row>
    <row r="2618" spans="1:20" x14ac:dyDescent="0.2">
      <c r="A2618" s="14" t="str">
        <f t="shared" si="1349"/>
        <v>50016413</v>
      </c>
      <c r="B2618" s="14">
        <v>5001</v>
      </c>
      <c r="C2618" s="14">
        <v>64</v>
      </c>
      <c r="D2618" s="14" t="s">
        <v>62</v>
      </c>
      <c r="E2618" s="14">
        <v>3</v>
      </c>
      <c r="F2618" s="15">
        <f t="shared" si="1350"/>
        <v>569625</v>
      </c>
      <c r="G2618" s="15">
        <f t="shared" si="1350"/>
        <v>569625</v>
      </c>
      <c r="H2618" s="15">
        <f t="shared" si="1351"/>
        <v>47500</v>
      </c>
      <c r="I2618" s="15">
        <f t="shared" si="1351"/>
        <v>47500</v>
      </c>
      <c r="J2618" s="15">
        <f t="shared" si="1333"/>
        <v>1299153</v>
      </c>
      <c r="K2618" s="133">
        <v>1000</v>
      </c>
      <c r="L2618" s="15"/>
      <c r="M2618" s="16">
        <f t="shared" si="1342"/>
        <v>474309.1063831686</v>
      </c>
      <c r="N2618" s="63">
        <v>740</v>
      </c>
      <c r="O2618" s="63">
        <v>3</v>
      </c>
      <c r="P2618" s="77">
        <v>62000</v>
      </c>
      <c r="Q2618" s="78" t="s">
        <v>294</v>
      </c>
      <c r="R2618" s="64"/>
      <c r="S2618" s="76">
        <v>19000</v>
      </c>
    </row>
    <row r="2619" spans="1:20" x14ac:dyDescent="0.2">
      <c r="A2619" s="14" t="str">
        <f t="shared" si="1349"/>
        <v>50016414</v>
      </c>
      <c r="B2619" s="14">
        <v>5001</v>
      </c>
      <c r="C2619" s="14">
        <v>64</v>
      </c>
      <c r="D2619" s="14" t="s">
        <v>62</v>
      </c>
      <c r="E2619" s="14">
        <v>4</v>
      </c>
      <c r="F2619" s="15">
        <f t="shared" si="1350"/>
        <v>700000</v>
      </c>
      <c r="G2619" s="15">
        <f t="shared" si="1350"/>
        <v>700000</v>
      </c>
      <c r="H2619" s="15">
        <f t="shared" si="1351"/>
        <v>47500</v>
      </c>
      <c r="I2619" s="15">
        <f t="shared" si="1351"/>
        <v>47500</v>
      </c>
      <c r="J2619" s="15">
        <f t="shared" si="1333"/>
        <v>1451520</v>
      </c>
      <c r="K2619" s="133">
        <v>1000</v>
      </c>
      <c r="L2619" s="15"/>
      <c r="M2619" s="16">
        <f t="shared" si="1342"/>
        <v>555772.84568427771</v>
      </c>
      <c r="N2619" s="63">
        <v>720</v>
      </c>
      <c r="O2619" s="63">
        <v>4</v>
      </c>
      <c r="P2619" s="77">
        <v>56000</v>
      </c>
      <c r="Q2619" s="78" t="s">
        <v>200</v>
      </c>
      <c r="R2619" s="64"/>
      <c r="S2619" s="76">
        <v>19000</v>
      </c>
    </row>
    <row r="2620" spans="1:20" x14ac:dyDescent="0.2">
      <c r="A2620" s="74" t="str">
        <f t="shared" ref="A2620:A2640" si="1352">IF(B2620="","",CONCATENATE(B2620,CONCATENATE(REPT(0,2-LEN(C2620)),C2620),IF(OR(D2620="Easy",D2620=""),1,IF(D2620="Normal",2,IF(D2620="Hard",3,IF(D2620="Hell",4,"error")))),E2620))</f>
        <v>50016510</v>
      </c>
      <c r="B2620" s="74">
        <v>5001</v>
      </c>
      <c r="C2620" s="74">
        <v>65</v>
      </c>
      <c r="D2620" s="74" t="s">
        <v>62</v>
      </c>
      <c r="E2620" s="74">
        <v>0</v>
      </c>
      <c r="F2620" s="75">
        <f>ROUNDDOWN($P2620/4*$O2620*10*$N2620/$N2620*$Q2620/400,0)</f>
        <v>13281</v>
      </c>
      <c r="G2620" s="75">
        <f>ROUNDDOWN($P2620/4*$O2620*10*$N2620/$N2620*$Q2620/400,0)</f>
        <v>13281</v>
      </c>
      <c r="H2620" s="75">
        <f t="shared" si="1351"/>
        <v>5250</v>
      </c>
      <c r="I2620" s="75">
        <f>ROUNDDOWN($T2620/4*10,0)</f>
        <v>8750</v>
      </c>
      <c r="J2620" s="75">
        <f>ROUNDDOWN($P2620/4*$O2620*10*$N2620/$Q2620*$N2620/400,0)</f>
        <v>34000</v>
      </c>
      <c r="K2620" s="133">
        <v>1000</v>
      </c>
      <c r="L2620" s="75"/>
      <c r="M2620" s="16">
        <f t="shared" si="1342"/>
        <v>4497.7348965896153</v>
      </c>
      <c r="N2620" s="76">
        <v>800</v>
      </c>
      <c r="O2620" s="76">
        <v>0.5</v>
      </c>
      <c r="P2620" s="77">
        <v>8500</v>
      </c>
      <c r="Q2620" s="78" t="s">
        <v>200</v>
      </c>
      <c r="R2620" s="78"/>
      <c r="S2620" s="76">
        <v>2100</v>
      </c>
      <c r="T2620" s="116" t="s">
        <v>285</v>
      </c>
    </row>
    <row r="2621" spans="1:20" x14ac:dyDescent="0.2">
      <c r="A2621" s="14" t="str">
        <f t="shared" si="1352"/>
        <v>50016511</v>
      </c>
      <c r="B2621" s="14">
        <v>5001</v>
      </c>
      <c r="C2621" s="14">
        <v>65</v>
      </c>
      <c r="D2621" s="14" t="s">
        <v>62</v>
      </c>
      <c r="E2621" s="14">
        <v>1</v>
      </c>
      <c r="F2621" s="15">
        <f t="shared" si="1350"/>
        <v>26562</v>
      </c>
      <c r="G2621" s="15">
        <f t="shared" si="1350"/>
        <v>26562</v>
      </c>
      <c r="H2621" s="15">
        <f t="shared" si="1351"/>
        <v>5250</v>
      </c>
      <c r="I2621" s="75">
        <f t="shared" ref="I2621:I2624" si="1353">ROUNDDOWN($T2621/4*10,0)</f>
        <v>8750</v>
      </c>
      <c r="J2621" s="15">
        <f t="shared" si="1333"/>
        <v>64642</v>
      </c>
      <c r="K2621" s="133">
        <v>1000</v>
      </c>
      <c r="L2621" s="15"/>
      <c r="M2621" s="16">
        <f t="shared" si="1342"/>
        <v>8770.5491287148034</v>
      </c>
      <c r="N2621" s="63">
        <v>780</v>
      </c>
      <c r="O2621" s="63">
        <v>1</v>
      </c>
      <c r="P2621" s="77">
        <v>8500</v>
      </c>
      <c r="Q2621" s="78" t="s">
        <v>200</v>
      </c>
      <c r="R2621" s="64"/>
      <c r="S2621" s="76">
        <v>2100</v>
      </c>
      <c r="T2621" s="116" t="s">
        <v>285</v>
      </c>
    </row>
    <row r="2622" spans="1:20" x14ac:dyDescent="0.2">
      <c r="A2622" s="14" t="str">
        <f t="shared" si="1352"/>
        <v>50016512</v>
      </c>
      <c r="B2622" s="14">
        <v>5001</v>
      </c>
      <c r="C2622" s="14">
        <v>65</v>
      </c>
      <c r="D2622" s="14" t="s">
        <v>62</v>
      </c>
      <c r="E2622" s="14">
        <v>2</v>
      </c>
      <c r="F2622" s="15">
        <f t="shared" si="1350"/>
        <v>26562</v>
      </c>
      <c r="G2622" s="15">
        <f t="shared" si="1350"/>
        <v>26562</v>
      </c>
      <c r="H2622" s="15">
        <f t="shared" si="1351"/>
        <v>5250</v>
      </c>
      <c r="I2622" s="75">
        <f t="shared" si="1353"/>
        <v>8750</v>
      </c>
      <c r="J2622" s="15">
        <f t="shared" si="1333"/>
        <v>245480</v>
      </c>
      <c r="K2622" s="133">
        <v>1000</v>
      </c>
      <c r="L2622" s="15"/>
      <c r="M2622" s="16">
        <f t="shared" si="1342"/>
        <v>17091.39260704054</v>
      </c>
      <c r="N2622" s="63">
        <v>760</v>
      </c>
      <c r="O2622" s="63">
        <v>2</v>
      </c>
      <c r="P2622" s="77">
        <v>8500</v>
      </c>
      <c r="Q2622" s="78" t="s">
        <v>281</v>
      </c>
      <c r="R2622" s="64"/>
      <c r="S2622" s="76">
        <v>2100</v>
      </c>
      <c r="T2622" s="116" t="s">
        <v>285</v>
      </c>
    </row>
    <row r="2623" spans="1:20" x14ac:dyDescent="0.2">
      <c r="A2623" s="14" t="str">
        <f t="shared" si="1352"/>
        <v>50016513</v>
      </c>
      <c r="B2623" s="14">
        <v>5001</v>
      </c>
      <c r="C2623" s="14">
        <v>65</v>
      </c>
      <c r="D2623" s="14" t="s">
        <v>62</v>
      </c>
      <c r="E2623" s="14">
        <v>3</v>
      </c>
      <c r="F2623" s="15">
        <f t="shared" si="1350"/>
        <v>79687</v>
      </c>
      <c r="G2623" s="15">
        <f t="shared" si="1350"/>
        <v>79687</v>
      </c>
      <c r="H2623" s="15">
        <f t="shared" si="1351"/>
        <v>5250</v>
      </c>
      <c r="I2623" s="75">
        <f t="shared" si="1353"/>
        <v>8750</v>
      </c>
      <c r="J2623" s="15">
        <f t="shared" si="1333"/>
        <v>174547</v>
      </c>
      <c r="K2623" s="133">
        <v>1000</v>
      </c>
      <c r="L2623" s="15"/>
      <c r="M2623" s="16">
        <f t="shared" si="1342"/>
        <v>24962.549552223227</v>
      </c>
      <c r="N2623" s="63">
        <v>740</v>
      </c>
      <c r="O2623" s="63">
        <v>3</v>
      </c>
      <c r="P2623" s="77">
        <v>8500</v>
      </c>
      <c r="Q2623" s="78" t="s">
        <v>200</v>
      </c>
      <c r="R2623" s="64"/>
      <c r="S2623" s="76">
        <v>2100</v>
      </c>
      <c r="T2623" s="116" t="s">
        <v>285</v>
      </c>
    </row>
    <row r="2624" spans="1:20" x14ac:dyDescent="0.2">
      <c r="A2624" s="14" t="str">
        <f t="shared" si="1352"/>
        <v>50016514</v>
      </c>
      <c r="B2624" s="14">
        <v>5001</v>
      </c>
      <c r="C2624" s="14">
        <v>65</v>
      </c>
      <c r="D2624" s="14" t="s">
        <v>62</v>
      </c>
      <c r="E2624" s="14">
        <v>4</v>
      </c>
      <c r="F2624" s="15">
        <f t="shared" si="1350"/>
        <v>106250</v>
      </c>
      <c r="G2624" s="15">
        <f t="shared" si="1350"/>
        <v>106250</v>
      </c>
      <c r="H2624" s="15">
        <f t="shared" si="1351"/>
        <v>5250</v>
      </c>
      <c r="I2624" s="75">
        <f t="shared" si="1353"/>
        <v>8750</v>
      </c>
      <c r="J2624" s="15">
        <f t="shared" si="1333"/>
        <v>220320</v>
      </c>
      <c r="K2624" s="133">
        <v>1000</v>
      </c>
      <c r="L2624" s="15"/>
      <c r="M2624" s="16">
        <f t="shared" si="1342"/>
        <v>32383.996047430592</v>
      </c>
      <c r="N2624" s="63">
        <v>720</v>
      </c>
      <c r="O2624" s="63">
        <v>4</v>
      </c>
      <c r="P2624" s="77">
        <v>8500</v>
      </c>
      <c r="Q2624" s="78" t="s">
        <v>200</v>
      </c>
      <c r="R2624" s="64"/>
      <c r="S2624" s="76">
        <v>2100</v>
      </c>
      <c r="T2624" s="116" t="s">
        <v>285</v>
      </c>
    </row>
    <row r="2625" spans="1:20" x14ac:dyDescent="0.2">
      <c r="A2625" s="8" t="str">
        <f t="shared" si="1352"/>
        <v>50016614</v>
      </c>
      <c r="B2625" s="8">
        <v>5001</v>
      </c>
      <c r="C2625" s="8">
        <v>66</v>
      </c>
      <c r="D2625" s="8" t="s">
        <v>62</v>
      </c>
      <c r="E2625" s="8">
        <v>4</v>
      </c>
      <c r="F2625" s="34">
        <f t="shared" ref="F2625:G2641" si="1354">ROUNDDOWN($P2625/4*MIN($O2625,4)*10*$N2625/$N2625*$Q2625/400,0)</f>
        <v>954750</v>
      </c>
      <c r="G2625" s="34">
        <f t="shared" si="1354"/>
        <v>954750</v>
      </c>
      <c r="H2625" s="34">
        <f t="shared" si="1351"/>
        <v>58425</v>
      </c>
      <c r="I2625" s="34">
        <f t="shared" si="1351"/>
        <v>58425</v>
      </c>
      <c r="J2625" s="34">
        <f t="shared" ref="J2625:J2641" si="1355">ROUNDDOWN($P2625/4*$O2625*10*$N2625/$Q2625*$N2625/400*0.8,0)</f>
        <v>8507462</v>
      </c>
      <c r="K2625" s="133">
        <v>1000</v>
      </c>
      <c r="L2625" s="34"/>
      <c r="M2625" s="16">
        <f t="shared" si="1342"/>
        <v>1742746.3828381458</v>
      </c>
      <c r="N2625" s="36">
        <v>1000</v>
      </c>
      <c r="O2625" s="36">
        <v>20</v>
      </c>
      <c r="P2625" s="36">
        <v>57000</v>
      </c>
      <c r="Q2625" s="2" t="s">
        <v>501</v>
      </c>
      <c r="R2625" s="2" t="s">
        <v>493</v>
      </c>
      <c r="S2625" s="56">
        <f>P2625*0.41</f>
        <v>23370</v>
      </c>
      <c r="T2625" s="114"/>
    </row>
    <row r="2626" spans="1:20" x14ac:dyDescent="0.2">
      <c r="A2626" s="8" t="str">
        <f t="shared" si="1352"/>
        <v>50016711</v>
      </c>
      <c r="B2626" s="8">
        <v>5001</v>
      </c>
      <c r="C2626" s="8">
        <v>67</v>
      </c>
      <c r="D2626" s="8" t="s">
        <v>62</v>
      </c>
      <c r="E2626" s="8">
        <v>1</v>
      </c>
      <c r="F2626" s="34">
        <f t="shared" si="1354"/>
        <v>640000</v>
      </c>
      <c r="G2626" s="34">
        <f t="shared" si="1354"/>
        <v>640000</v>
      </c>
      <c r="H2626" s="34">
        <f t="shared" si="1351"/>
        <v>100000</v>
      </c>
      <c r="I2626" s="34">
        <f t="shared" si="1351"/>
        <v>100000</v>
      </c>
      <c r="J2626" s="34">
        <f t="shared" si="1355"/>
        <v>26250000</v>
      </c>
      <c r="K2626" s="133">
        <v>1000</v>
      </c>
      <c r="L2626" s="34"/>
      <c r="M2626" s="16">
        <f t="shared" si="1342"/>
        <v>3279024.2451070715</v>
      </c>
      <c r="N2626" s="36">
        <v>1000</v>
      </c>
      <c r="O2626" s="36">
        <v>21</v>
      </c>
      <c r="P2626" s="36">
        <v>80000</v>
      </c>
      <c r="Q2626" s="2" t="s">
        <v>426</v>
      </c>
      <c r="R2626" s="2" t="s">
        <v>498</v>
      </c>
      <c r="S2626" s="56">
        <f>P2626*0.5</f>
        <v>40000</v>
      </c>
      <c r="T2626" s="114"/>
    </row>
    <row r="2627" spans="1:20" x14ac:dyDescent="0.2">
      <c r="A2627" s="8" t="str">
        <f t="shared" si="1352"/>
        <v>50016712</v>
      </c>
      <c r="B2627" s="8">
        <v>5001</v>
      </c>
      <c r="C2627" s="8">
        <v>67</v>
      </c>
      <c r="D2627" s="8" t="s">
        <v>62</v>
      </c>
      <c r="E2627" s="8">
        <v>2</v>
      </c>
      <c r="F2627" s="34">
        <f t="shared" si="1354"/>
        <v>675000</v>
      </c>
      <c r="G2627" s="34">
        <f t="shared" si="1354"/>
        <v>675000</v>
      </c>
      <c r="H2627" s="34">
        <f t="shared" si="1351"/>
        <v>22500</v>
      </c>
      <c r="I2627" s="34">
        <f t="shared" si="1351"/>
        <v>22500</v>
      </c>
      <c r="J2627" s="34">
        <f t="shared" si="1355"/>
        <v>1260000</v>
      </c>
      <c r="K2627" s="133">
        <v>1000</v>
      </c>
      <c r="L2627" s="34"/>
      <c r="M2627" s="16">
        <f t="shared" si="1342"/>
        <v>349959.9977140245</v>
      </c>
      <c r="N2627" s="36">
        <v>1000</v>
      </c>
      <c r="O2627" s="36">
        <v>21</v>
      </c>
      <c r="P2627" s="36">
        <v>18000</v>
      </c>
      <c r="Q2627" s="2" t="s">
        <v>489</v>
      </c>
      <c r="R2627" s="2" t="s">
        <v>499</v>
      </c>
      <c r="S2627" s="56">
        <f>P2627*0.5</f>
        <v>9000</v>
      </c>
      <c r="T2627" s="114"/>
    </row>
    <row r="2628" spans="1:20" x14ac:dyDescent="0.2">
      <c r="A2628" s="8" t="str">
        <f t="shared" si="1352"/>
        <v>50016813</v>
      </c>
      <c r="B2628" s="8">
        <v>5001</v>
      </c>
      <c r="C2628" s="8">
        <v>68</v>
      </c>
      <c r="D2628" s="8" t="s">
        <v>62</v>
      </c>
      <c r="E2628" s="8">
        <v>3</v>
      </c>
      <c r="F2628" s="34">
        <f t="shared" si="1354"/>
        <v>112500</v>
      </c>
      <c r="G2628" s="34">
        <f t="shared" si="1354"/>
        <v>112500</v>
      </c>
      <c r="H2628" s="34">
        <f t="shared" si="1351"/>
        <v>7500</v>
      </c>
      <c r="I2628" s="34">
        <f t="shared" si="1351"/>
        <v>7500</v>
      </c>
      <c r="J2628" s="34">
        <f t="shared" si="1355"/>
        <v>800000</v>
      </c>
      <c r="K2628" s="133">
        <v>1000</v>
      </c>
      <c r="L2628" s="34"/>
      <c r="M2628" s="16">
        <f t="shared" si="1342"/>
        <v>65726.706900619931</v>
      </c>
      <c r="N2628" s="36">
        <v>1000</v>
      </c>
      <c r="O2628" s="36">
        <v>20</v>
      </c>
      <c r="P2628" s="36">
        <v>6000</v>
      </c>
      <c r="Q2628" s="2" t="s">
        <v>383</v>
      </c>
      <c r="R2628" s="2" t="s">
        <v>491</v>
      </c>
      <c r="S2628" s="56">
        <f>P2628*0.5</f>
        <v>3000</v>
      </c>
      <c r="T2628" s="114"/>
    </row>
    <row r="2629" spans="1:20" x14ac:dyDescent="0.2">
      <c r="A2629" s="8" t="str">
        <f t="shared" ref="A2629:A2639" si="1356">IF(B2629="","",CONCATENATE(B2629,CONCATENATE(REPT(0,2-LEN(C2629)),C2629),IF(OR(D2629="Easy",D2629=""),1,IF(D2629="Normal",2,IF(D2629="Hard",3,IF(D2629="Hell",4,"error")))),E2629))</f>
        <v>50016814</v>
      </c>
      <c r="B2629" s="8">
        <v>5001</v>
      </c>
      <c r="C2629" s="8">
        <v>68</v>
      </c>
      <c r="D2629" s="8" t="s">
        <v>62</v>
      </c>
      <c r="E2629" s="8">
        <v>4</v>
      </c>
      <c r="F2629" s="34">
        <f t="shared" si="1354"/>
        <v>720000</v>
      </c>
      <c r="G2629" s="34">
        <f t="shared" si="1354"/>
        <v>720000</v>
      </c>
      <c r="H2629" s="34">
        <f t="shared" si="1351"/>
        <v>36000</v>
      </c>
      <c r="I2629" s="34">
        <f t="shared" si="1351"/>
        <v>36000</v>
      </c>
      <c r="J2629" s="34">
        <f t="shared" si="1355"/>
        <v>6800000</v>
      </c>
      <c r="K2629" s="133">
        <v>1000</v>
      </c>
      <c r="L2629" s="34"/>
      <c r="M2629" s="16">
        <f t="shared" si="1342"/>
        <v>1062091.5214801407</v>
      </c>
      <c r="N2629" s="36">
        <v>1000</v>
      </c>
      <c r="O2629" s="36">
        <v>17</v>
      </c>
      <c r="P2629" s="36">
        <v>48000</v>
      </c>
      <c r="Q2629" s="2" t="s">
        <v>197</v>
      </c>
      <c r="R2629" s="2" t="s">
        <v>491</v>
      </c>
      <c r="S2629" s="56">
        <f>P2629*0.3</f>
        <v>14400</v>
      </c>
      <c r="T2629" s="114"/>
    </row>
    <row r="2630" spans="1:20" x14ac:dyDescent="0.2">
      <c r="A2630" s="8" t="str">
        <f t="shared" ref="A2630" si="1357">IF(B2630="","",CONCATENATE(B2630,CONCATENATE(REPT(0,2-LEN(C2630)),C2630),IF(OR(D2630="Easy",D2630=""),1,IF(D2630="Normal",2,IF(D2630="Hard",3,IF(D2630="Hell",4,"error")))),E2630))</f>
        <v>50016914</v>
      </c>
      <c r="B2630" s="8">
        <v>5001</v>
      </c>
      <c r="C2630" s="8">
        <v>69</v>
      </c>
      <c r="D2630" s="8" t="s">
        <v>62</v>
      </c>
      <c r="E2630" s="8">
        <v>4</v>
      </c>
      <c r="F2630" s="34">
        <f t="shared" si="1354"/>
        <v>218750</v>
      </c>
      <c r="G2630" s="34">
        <f t="shared" si="1354"/>
        <v>218750</v>
      </c>
      <c r="H2630" s="34">
        <f t="shared" si="1351"/>
        <v>21875</v>
      </c>
      <c r="I2630" s="34">
        <f t="shared" si="1351"/>
        <v>21875</v>
      </c>
      <c r="J2630" s="34">
        <f t="shared" si="1355"/>
        <v>1517857</v>
      </c>
      <c r="K2630" s="133">
        <v>1000</v>
      </c>
      <c r="L2630" s="34"/>
      <c r="M2630" s="16">
        <f t="shared" si="1342"/>
        <v>215602.3437372609</v>
      </c>
      <c r="N2630" s="36">
        <v>1000</v>
      </c>
      <c r="O2630" s="36">
        <v>17</v>
      </c>
      <c r="P2630" s="36">
        <v>12500</v>
      </c>
      <c r="Q2630" s="2" t="s">
        <v>166</v>
      </c>
      <c r="R2630" s="2" t="s">
        <v>492</v>
      </c>
      <c r="S2630" s="56">
        <f>P2630*0.7</f>
        <v>8750</v>
      </c>
      <c r="T2630" s="114"/>
    </row>
    <row r="2631" spans="1:20" x14ac:dyDescent="0.2">
      <c r="A2631" s="74" t="str">
        <f t="shared" si="1356"/>
        <v>50017010</v>
      </c>
      <c r="B2631" s="74">
        <v>5001</v>
      </c>
      <c r="C2631" s="74">
        <v>70</v>
      </c>
      <c r="D2631" s="74" t="s">
        <v>62</v>
      </c>
      <c r="E2631" s="74">
        <v>0</v>
      </c>
      <c r="F2631" s="75">
        <f>ROUNDDOWN($P2631/4*$O2631*10*$N2631/$N2631*$Q2631/400,0)</f>
        <v>31875</v>
      </c>
      <c r="G2631" s="75">
        <f>ROUNDDOWN($P2631/4*$O2631*10*$N2631/$N2631*$Q2631/400,0)</f>
        <v>31875</v>
      </c>
      <c r="H2631" s="75">
        <f t="shared" si="1351"/>
        <v>16250</v>
      </c>
      <c r="I2631" s="75">
        <f>ROUNDDOWN($T2631/4*10,0)</f>
        <v>10000</v>
      </c>
      <c r="J2631" s="75">
        <f>ROUNDDOWN($P2631/4*$O2631*10*$N2631/$Q2631*$N2631/400,0)</f>
        <v>56666</v>
      </c>
      <c r="K2631" s="133">
        <v>1000</v>
      </c>
      <c r="L2631" s="75"/>
      <c r="M2631" s="16">
        <f t="shared" si="1342"/>
        <v>12317.597777164185</v>
      </c>
      <c r="N2631" s="76">
        <v>800</v>
      </c>
      <c r="O2631" s="76">
        <v>0.5</v>
      </c>
      <c r="P2631" s="77">
        <v>17000</v>
      </c>
      <c r="Q2631" s="78" t="s">
        <v>197</v>
      </c>
      <c r="R2631" s="78"/>
      <c r="S2631" s="76">
        <v>6500</v>
      </c>
      <c r="T2631" s="116" t="s">
        <v>177</v>
      </c>
    </row>
    <row r="2632" spans="1:20" x14ac:dyDescent="0.2">
      <c r="A2632" s="14" t="str">
        <f t="shared" si="1356"/>
        <v>50017011</v>
      </c>
      <c r="B2632" s="14">
        <v>5001</v>
      </c>
      <c r="C2632" s="74">
        <v>70</v>
      </c>
      <c r="D2632" s="14" t="s">
        <v>62</v>
      </c>
      <c r="E2632" s="14">
        <v>1</v>
      </c>
      <c r="F2632" s="15">
        <f t="shared" ref="F2632:G2637" si="1358">ROUNDDOWN($P2632/4*$O2632*10*$N2632/$N2632*$Q2632/400,0)</f>
        <v>63750</v>
      </c>
      <c r="G2632" s="15">
        <f t="shared" si="1358"/>
        <v>63750</v>
      </c>
      <c r="H2632" s="15">
        <f t="shared" si="1351"/>
        <v>16250</v>
      </c>
      <c r="I2632" s="75">
        <f t="shared" ref="I2632:I2637" si="1359">ROUNDDOWN($T2632/4*10,0)</f>
        <v>10000</v>
      </c>
      <c r="J2632" s="15">
        <f t="shared" si="1333"/>
        <v>107737</v>
      </c>
      <c r="K2632" s="133">
        <v>1000</v>
      </c>
      <c r="L2632" s="15"/>
      <c r="M2632" s="16">
        <f t="shared" si="1342"/>
        <v>24019.401220679923</v>
      </c>
      <c r="N2632" s="63">
        <v>780</v>
      </c>
      <c r="O2632" s="63">
        <v>1</v>
      </c>
      <c r="P2632" s="77">
        <v>17000</v>
      </c>
      <c r="Q2632" s="78" t="s">
        <v>197</v>
      </c>
      <c r="R2632" s="64"/>
      <c r="S2632" s="76">
        <v>6500</v>
      </c>
      <c r="T2632" s="116" t="s">
        <v>177</v>
      </c>
    </row>
    <row r="2633" spans="1:20" x14ac:dyDescent="0.2">
      <c r="A2633" s="14" t="str">
        <f t="shared" si="1356"/>
        <v>50017012</v>
      </c>
      <c r="B2633" s="14">
        <v>5001</v>
      </c>
      <c r="C2633" s="74">
        <v>70</v>
      </c>
      <c r="D2633" s="14" t="s">
        <v>62</v>
      </c>
      <c r="E2633" s="14">
        <v>2</v>
      </c>
      <c r="F2633" s="15">
        <f t="shared" si="1358"/>
        <v>127500</v>
      </c>
      <c r="G2633" s="15">
        <f t="shared" si="1358"/>
        <v>127500</v>
      </c>
      <c r="H2633" s="15">
        <f t="shared" si="1351"/>
        <v>16250</v>
      </c>
      <c r="I2633" s="75">
        <f t="shared" si="1359"/>
        <v>10000</v>
      </c>
      <c r="J2633" s="15">
        <f t="shared" si="1333"/>
        <v>204566</v>
      </c>
      <c r="K2633" s="133">
        <v>1000</v>
      </c>
      <c r="L2633" s="15"/>
      <c r="M2633" s="16">
        <f t="shared" si="1342"/>
        <v>46807.070619725826</v>
      </c>
      <c r="N2633" s="63">
        <v>760</v>
      </c>
      <c r="O2633" s="63">
        <v>2</v>
      </c>
      <c r="P2633" s="77">
        <v>17000</v>
      </c>
      <c r="Q2633" s="78" t="s">
        <v>197</v>
      </c>
      <c r="R2633" s="64"/>
      <c r="S2633" s="76">
        <v>6500</v>
      </c>
      <c r="T2633" s="116" t="s">
        <v>177</v>
      </c>
    </row>
    <row r="2634" spans="1:20" x14ac:dyDescent="0.2">
      <c r="A2634" s="14" t="str">
        <f t="shared" si="1356"/>
        <v>50017013</v>
      </c>
      <c r="B2634" s="14">
        <v>5001</v>
      </c>
      <c r="C2634" s="74">
        <v>70</v>
      </c>
      <c r="D2634" s="14" t="s">
        <v>62</v>
      </c>
      <c r="E2634" s="14">
        <v>3</v>
      </c>
      <c r="F2634" s="15">
        <f t="shared" si="1358"/>
        <v>191250</v>
      </c>
      <c r="G2634" s="15">
        <f t="shared" si="1358"/>
        <v>191250</v>
      </c>
      <c r="H2634" s="15">
        <f t="shared" si="1351"/>
        <v>16250</v>
      </c>
      <c r="I2634" s="75">
        <f t="shared" si="1359"/>
        <v>10000</v>
      </c>
      <c r="J2634" s="15">
        <f t="shared" si="1333"/>
        <v>290912</v>
      </c>
      <c r="K2634" s="133">
        <v>1000</v>
      </c>
      <c r="L2634" s="15"/>
      <c r="M2634" s="16">
        <f t="shared" si="1342"/>
        <v>68363.011051298803</v>
      </c>
      <c r="N2634" s="63">
        <v>740</v>
      </c>
      <c r="O2634" s="63">
        <v>3</v>
      </c>
      <c r="P2634" s="77">
        <v>17000</v>
      </c>
      <c r="Q2634" s="78" t="s">
        <v>197</v>
      </c>
      <c r="R2634" s="64"/>
      <c r="S2634" s="76">
        <v>6500</v>
      </c>
      <c r="T2634" s="116" t="s">
        <v>177</v>
      </c>
    </row>
    <row r="2635" spans="1:20" x14ac:dyDescent="0.2">
      <c r="A2635" s="14" t="str">
        <f t="shared" si="1356"/>
        <v>50017014</v>
      </c>
      <c r="B2635" s="14">
        <v>5001</v>
      </c>
      <c r="C2635" s="74">
        <v>70</v>
      </c>
      <c r="D2635" s="14" t="s">
        <v>62</v>
      </c>
      <c r="E2635" s="14">
        <v>4</v>
      </c>
      <c r="F2635" s="15">
        <f t="shared" si="1358"/>
        <v>255000</v>
      </c>
      <c r="G2635" s="15">
        <f t="shared" si="1358"/>
        <v>255000</v>
      </c>
      <c r="H2635" s="15">
        <f t="shared" si="1351"/>
        <v>16250</v>
      </c>
      <c r="I2635" s="75">
        <f t="shared" si="1359"/>
        <v>10000</v>
      </c>
      <c r="J2635" s="15">
        <f t="shared" si="1333"/>
        <v>367200</v>
      </c>
      <c r="K2635" s="133">
        <v>1000</v>
      </c>
      <c r="L2635" s="15"/>
      <c r="M2635" s="16">
        <f t="shared" si="1342"/>
        <v>88687.225686679376</v>
      </c>
      <c r="N2635" s="63">
        <v>720</v>
      </c>
      <c r="O2635" s="63">
        <v>4</v>
      </c>
      <c r="P2635" s="77">
        <v>17000</v>
      </c>
      <c r="Q2635" s="78" t="s">
        <v>197</v>
      </c>
      <c r="R2635" s="64"/>
      <c r="S2635" s="76">
        <v>6500</v>
      </c>
      <c r="T2635" s="116" t="s">
        <v>177</v>
      </c>
    </row>
    <row r="2636" spans="1:20" x14ac:dyDescent="0.2">
      <c r="A2636" s="8" t="str">
        <f t="shared" ref="A2636" si="1360">IF(B2636="","",CONCATENATE(B2636,CONCATENATE(REPT(0,2-LEN(C2636)),C2636),IF(OR(D2636="Easy",D2636=""),1,IF(D2636="Normal",2,IF(D2636="Hard",3,IF(D2636="Hell",4,"error")))),E2636))</f>
        <v>50017114</v>
      </c>
      <c r="B2636" s="8">
        <v>5001</v>
      </c>
      <c r="C2636" s="8">
        <v>71</v>
      </c>
      <c r="D2636" s="8" t="s">
        <v>62</v>
      </c>
      <c r="E2636" s="8">
        <v>4</v>
      </c>
      <c r="F2636" s="34">
        <f t="shared" si="1354"/>
        <v>587250</v>
      </c>
      <c r="G2636" s="34">
        <f t="shared" si="1354"/>
        <v>587250</v>
      </c>
      <c r="H2636" s="34">
        <f t="shared" si="1351"/>
        <v>50625</v>
      </c>
      <c r="I2636" s="34">
        <f t="shared" si="1351"/>
        <v>50625</v>
      </c>
      <c r="J2636" s="34">
        <f t="shared" si="1355"/>
        <v>3103448</v>
      </c>
      <c r="K2636" s="133">
        <v>1000</v>
      </c>
      <c r="L2636" s="34"/>
      <c r="M2636" s="16">
        <f t="shared" si="1342"/>
        <v>768433.43726831675</v>
      </c>
      <c r="N2636" s="36">
        <v>1000</v>
      </c>
      <c r="O2636" s="36">
        <v>20</v>
      </c>
      <c r="P2636" s="36">
        <v>27000</v>
      </c>
      <c r="Q2636" s="2" t="s">
        <v>517</v>
      </c>
      <c r="R2636" s="2" t="s">
        <v>516</v>
      </c>
      <c r="S2636" s="56">
        <f>P2636*0.75</f>
        <v>20250</v>
      </c>
      <c r="T2636" s="114"/>
    </row>
    <row r="2637" spans="1:20" x14ac:dyDescent="0.2">
      <c r="A2637" s="14" t="str">
        <f t="shared" si="1356"/>
        <v>50017212</v>
      </c>
      <c r="B2637" s="14">
        <v>5001</v>
      </c>
      <c r="C2637" s="74">
        <v>72</v>
      </c>
      <c r="D2637" s="14" t="s">
        <v>62</v>
      </c>
      <c r="E2637" s="14">
        <v>2</v>
      </c>
      <c r="F2637" s="15">
        <f t="shared" si="1358"/>
        <v>51000</v>
      </c>
      <c r="G2637" s="15">
        <f t="shared" si="1358"/>
        <v>51000</v>
      </c>
      <c r="H2637" s="15">
        <f t="shared" si="1351"/>
        <v>16250</v>
      </c>
      <c r="I2637" s="75">
        <f t="shared" si="1359"/>
        <v>8750</v>
      </c>
      <c r="J2637" s="15">
        <f t="shared" si="1333"/>
        <v>511416</v>
      </c>
      <c r="K2637" s="133">
        <v>1000</v>
      </c>
      <c r="L2637" s="15"/>
      <c r="M2637" s="16">
        <f t="shared" si="1342"/>
        <v>45679.068291724165</v>
      </c>
      <c r="N2637" s="63">
        <v>760</v>
      </c>
      <c r="O2637" s="63">
        <v>2</v>
      </c>
      <c r="P2637" s="77">
        <v>17000</v>
      </c>
      <c r="Q2637" s="78" t="s">
        <v>398</v>
      </c>
      <c r="R2637" s="64" t="s">
        <v>496</v>
      </c>
      <c r="S2637" s="76">
        <v>6500</v>
      </c>
      <c r="T2637" s="116" t="s">
        <v>285</v>
      </c>
    </row>
    <row r="2638" spans="1:20" x14ac:dyDescent="0.2">
      <c r="A2638" s="8" t="str">
        <f t="shared" ref="A2638" si="1361">IF(B2638="","",CONCATENATE(B2638,CONCATENATE(REPT(0,2-LEN(C2638)),C2638),IF(OR(D2638="Easy",D2638=""),1,IF(D2638="Normal",2,IF(D2638="Hard",3,IF(D2638="Hell",4,"error")))),E2638))</f>
        <v>50017411</v>
      </c>
      <c r="B2638" s="8">
        <v>5001</v>
      </c>
      <c r="C2638" s="8">
        <v>74</v>
      </c>
      <c r="D2638" s="8" t="s">
        <v>62</v>
      </c>
      <c r="E2638" s="8">
        <v>1</v>
      </c>
      <c r="F2638" s="34">
        <f t="shared" si="1354"/>
        <v>26250</v>
      </c>
      <c r="G2638" s="34">
        <f t="shared" si="1354"/>
        <v>26250</v>
      </c>
      <c r="H2638" s="34">
        <f t="shared" si="1351"/>
        <v>15000</v>
      </c>
      <c r="I2638" s="34">
        <f t="shared" si="1351"/>
        <v>15000</v>
      </c>
      <c r="J2638" s="34">
        <f t="shared" si="1355"/>
        <v>214285</v>
      </c>
      <c r="K2638" s="133">
        <v>1000</v>
      </c>
      <c r="L2638" s="34"/>
      <c r="M2638" s="16">
        <f t="shared" si="1342"/>
        <v>23237.861347378763</v>
      </c>
      <c r="N2638" s="36">
        <v>1000</v>
      </c>
      <c r="O2638" s="36">
        <v>20</v>
      </c>
      <c r="P2638" s="36">
        <v>1500</v>
      </c>
      <c r="Q2638" s="2" t="s">
        <v>166</v>
      </c>
      <c r="R2638" s="2" t="s">
        <v>520</v>
      </c>
      <c r="S2638" s="56">
        <f>P2638*4</f>
        <v>6000</v>
      </c>
      <c r="T2638" s="114"/>
    </row>
    <row r="2639" spans="1:20" x14ac:dyDescent="0.2">
      <c r="A2639" s="8" t="str">
        <f t="shared" si="1356"/>
        <v>50017414</v>
      </c>
      <c r="B2639" s="8">
        <v>5001</v>
      </c>
      <c r="C2639" s="8">
        <v>74</v>
      </c>
      <c r="D2639" s="8" t="s">
        <v>62</v>
      </c>
      <c r="E2639" s="8">
        <v>4</v>
      </c>
      <c r="F2639" s="34">
        <f t="shared" si="1354"/>
        <v>988000</v>
      </c>
      <c r="G2639" s="34">
        <f t="shared" si="1354"/>
        <v>988000</v>
      </c>
      <c r="H2639" s="34">
        <f t="shared" si="1351"/>
        <v>65000</v>
      </c>
      <c r="I2639" s="34">
        <f t="shared" si="1351"/>
        <v>65000</v>
      </c>
      <c r="J2639" s="34">
        <f t="shared" si="1355"/>
        <v>6842105</v>
      </c>
      <c r="K2639" s="133">
        <v>1000</v>
      </c>
      <c r="L2639" s="34"/>
      <c r="M2639" s="16">
        <f t="shared" si="1342"/>
        <v>1676949.5793970672</v>
      </c>
      <c r="N2639" s="36">
        <v>1000</v>
      </c>
      <c r="O2639" s="36">
        <v>20</v>
      </c>
      <c r="P2639" s="36">
        <v>52000</v>
      </c>
      <c r="Q2639" s="2" t="s">
        <v>500</v>
      </c>
      <c r="R2639" s="2" t="s">
        <v>494</v>
      </c>
      <c r="S2639" s="56">
        <f>P2639*0.5</f>
        <v>26000</v>
      </c>
      <c r="T2639" s="114"/>
    </row>
    <row r="2640" spans="1:20" x14ac:dyDescent="0.2">
      <c r="A2640" s="8" t="str">
        <f t="shared" si="1352"/>
        <v>50017314</v>
      </c>
      <c r="B2640" s="8">
        <v>5001</v>
      </c>
      <c r="C2640" s="8">
        <v>73</v>
      </c>
      <c r="D2640" s="8" t="s">
        <v>62</v>
      </c>
      <c r="E2640" s="8">
        <v>4</v>
      </c>
      <c r="F2640" s="34">
        <f t="shared" si="1354"/>
        <v>1105500</v>
      </c>
      <c r="G2640" s="34">
        <f t="shared" si="1354"/>
        <v>1105500</v>
      </c>
      <c r="H2640" s="34">
        <f t="shared" si="1351"/>
        <v>50250</v>
      </c>
      <c r="I2640" s="34">
        <f t="shared" si="1351"/>
        <v>50250</v>
      </c>
      <c r="J2640" s="34">
        <f t="shared" si="1355"/>
        <v>10151515</v>
      </c>
      <c r="K2640" s="133">
        <v>1000</v>
      </c>
      <c r="L2640" s="34"/>
      <c r="M2640" s="16">
        <f t="shared" si="1342"/>
        <v>1899777.8675761018</v>
      </c>
      <c r="N2640" s="36">
        <v>1000</v>
      </c>
      <c r="O2640" s="36">
        <v>20</v>
      </c>
      <c r="P2640" s="36">
        <v>67000</v>
      </c>
      <c r="Q2640" s="2" t="s">
        <v>510</v>
      </c>
      <c r="R2640" s="2" t="s">
        <v>495</v>
      </c>
      <c r="S2640" s="56">
        <f>P2640*0.3</f>
        <v>20100</v>
      </c>
      <c r="T2640" s="114"/>
    </row>
    <row r="2641" spans="1:20" x14ac:dyDescent="0.2">
      <c r="A2641" s="8" t="str">
        <f t="shared" ref="A2641:A2649" si="1362">IF(B2641="","",CONCATENATE(B2641,CONCATENATE(REPT(0,2-LEN(C2641)),C2641),IF(OR(D2641="Easy",D2641=""),1,IF(D2641="Normal",2,IF(D2641="Hard",3,IF(D2641="Hell",4,"error")))),E2641))</f>
        <v>50017514</v>
      </c>
      <c r="B2641" s="8">
        <v>5001</v>
      </c>
      <c r="C2641" s="8">
        <v>75</v>
      </c>
      <c r="D2641" s="8" t="s">
        <v>62</v>
      </c>
      <c r="E2641" s="8">
        <v>4</v>
      </c>
      <c r="F2641" s="34">
        <f t="shared" si="1354"/>
        <v>1000000</v>
      </c>
      <c r="G2641" s="34">
        <f t="shared" si="1354"/>
        <v>1000000</v>
      </c>
      <c r="H2641" s="34">
        <f t="shared" si="1351"/>
        <v>62500</v>
      </c>
      <c r="I2641" s="34">
        <f t="shared" si="1351"/>
        <v>62500</v>
      </c>
      <c r="J2641" s="34">
        <f t="shared" si="1355"/>
        <v>6250000</v>
      </c>
      <c r="K2641" s="133">
        <v>1000</v>
      </c>
      <c r="L2641" s="34"/>
      <c r="M2641" s="16">
        <f t="shared" si="1342"/>
        <v>1581138.8300841898</v>
      </c>
      <c r="N2641" s="36">
        <v>1000</v>
      </c>
      <c r="O2641" s="36">
        <v>20</v>
      </c>
      <c r="P2641" s="36">
        <v>50000</v>
      </c>
      <c r="Q2641" s="2" t="s">
        <v>400</v>
      </c>
      <c r="R2641" s="2" t="s">
        <v>497</v>
      </c>
      <c r="S2641" s="56">
        <f>P2641*0.5</f>
        <v>25000</v>
      </c>
      <c r="T2641" s="114"/>
    </row>
    <row r="2642" spans="1:20" x14ac:dyDescent="0.2">
      <c r="A2642" s="14" t="str">
        <f t="shared" si="1362"/>
        <v>50017612</v>
      </c>
      <c r="B2642" s="14">
        <v>5001</v>
      </c>
      <c r="C2642" s="74">
        <v>76</v>
      </c>
      <c r="D2642" s="14" t="s">
        <v>62</v>
      </c>
      <c r="E2642" s="14">
        <v>2</v>
      </c>
      <c r="F2642" s="15">
        <f t="shared" ref="F2642:G2647" si="1363">ROUNDDOWN($P2642/4*$O2642*10*$N2642/$N2642*$Q2642/400,0)</f>
        <v>500000</v>
      </c>
      <c r="G2642" s="15">
        <f t="shared" si="1363"/>
        <v>500000</v>
      </c>
      <c r="H2642" s="15">
        <f t="shared" ref="H2642:I2649" si="1364">ROUNDDOWN($S2642/4*10,0)</f>
        <v>10000</v>
      </c>
      <c r="I2642" s="15">
        <f t="shared" si="1364"/>
        <v>10000</v>
      </c>
      <c r="J2642" s="15">
        <f t="shared" ref="J2642:J2647" si="1365">ROUNDDOWN($P2642/4*$O2642*10*$N2642/$Q2642*$N2642/400,0)</f>
        <v>2420000</v>
      </c>
      <c r="K2642" s="133">
        <v>1000</v>
      </c>
      <c r="L2642" s="15"/>
      <c r="M2642" s="16">
        <f t="shared" si="1342"/>
        <v>278280.43409481738</v>
      </c>
      <c r="N2642" s="63">
        <v>2200</v>
      </c>
      <c r="O2642" s="63">
        <v>4</v>
      </c>
      <c r="P2642" s="77">
        <v>20000</v>
      </c>
      <c r="Q2642" s="78" t="s">
        <v>408</v>
      </c>
      <c r="R2642" s="64" t="s">
        <v>799</v>
      </c>
      <c r="S2642" s="76">
        <v>4000</v>
      </c>
    </row>
    <row r="2643" spans="1:20" x14ac:dyDescent="0.2">
      <c r="A2643" s="14" t="str">
        <f t="shared" si="1362"/>
        <v>50017613</v>
      </c>
      <c r="B2643" s="14">
        <v>5001</v>
      </c>
      <c r="C2643" s="74">
        <v>76</v>
      </c>
      <c r="D2643" s="14" t="s">
        <v>62</v>
      </c>
      <c r="E2643" s="14">
        <v>3</v>
      </c>
      <c r="F2643" s="15">
        <f t="shared" si="1363"/>
        <v>200000</v>
      </c>
      <c r="G2643" s="15">
        <f t="shared" si="1363"/>
        <v>200000</v>
      </c>
      <c r="H2643" s="15">
        <f t="shared" si="1364"/>
        <v>16250</v>
      </c>
      <c r="I2643" s="15">
        <f t="shared" si="1364"/>
        <v>16250</v>
      </c>
      <c r="J2643" s="15">
        <f t="shared" si="1365"/>
        <v>648000</v>
      </c>
      <c r="K2643" s="133">
        <v>1000</v>
      </c>
      <c r="L2643" s="15"/>
      <c r="M2643" s="16">
        <f t="shared" si="1342"/>
        <v>116096.51157549914</v>
      </c>
      <c r="N2643" s="63">
        <v>900</v>
      </c>
      <c r="O2643" s="63">
        <v>4</v>
      </c>
      <c r="P2643" s="77">
        <v>16000</v>
      </c>
      <c r="Q2643" s="78" t="s">
        <v>200</v>
      </c>
      <c r="R2643" s="64" t="s">
        <v>800</v>
      </c>
      <c r="S2643" s="76">
        <v>6500</v>
      </c>
    </row>
    <row r="2644" spans="1:20" x14ac:dyDescent="0.2">
      <c r="A2644" s="14" t="str">
        <f t="shared" si="1362"/>
        <v>50017614</v>
      </c>
      <c r="B2644" s="14">
        <v>5001</v>
      </c>
      <c r="C2644" s="74">
        <v>76</v>
      </c>
      <c r="D2644" s="14" t="s">
        <v>62</v>
      </c>
      <c r="E2644" s="14">
        <v>4</v>
      </c>
      <c r="F2644" s="15">
        <f t="shared" si="1363"/>
        <v>90000</v>
      </c>
      <c r="G2644" s="15">
        <f t="shared" si="1363"/>
        <v>90000</v>
      </c>
      <c r="H2644" s="15">
        <f t="shared" si="1364"/>
        <v>16250</v>
      </c>
      <c r="I2644" s="15">
        <f t="shared" si="1364"/>
        <v>16250</v>
      </c>
      <c r="J2644" s="15">
        <f t="shared" si="1365"/>
        <v>1299600</v>
      </c>
      <c r="K2644" s="133">
        <v>1000</v>
      </c>
      <c r="L2644" s="15"/>
      <c r="M2644" s="16">
        <f t="shared" si="1342"/>
        <v>110291.68599672416</v>
      </c>
      <c r="N2644" s="63">
        <v>760</v>
      </c>
      <c r="O2644" s="63">
        <v>4</v>
      </c>
      <c r="P2644" s="77">
        <v>18000</v>
      </c>
      <c r="Q2644" s="78" t="s">
        <v>122</v>
      </c>
      <c r="R2644" s="64" t="s">
        <v>801</v>
      </c>
      <c r="S2644" s="76">
        <v>6500</v>
      </c>
    </row>
    <row r="2645" spans="1:20" x14ac:dyDescent="0.2">
      <c r="A2645" s="8" t="str">
        <f>IF(B2645="","",CONCATENATE(B2645,CONCATENATE(REPT(0,2-LEN(C2645)),C2645),IF(OR(D2645="Easy",D2645=""),1,IF(D2645="Normal",2,IF(D2645="Hard",3,IF(D2645="Hell",4,"error")))),E2645))</f>
        <v>50017714</v>
      </c>
      <c r="B2645" s="8">
        <v>5001</v>
      </c>
      <c r="C2645" s="8">
        <v>77</v>
      </c>
      <c r="D2645" s="8" t="s">
        <v>62</v>
      </c>
      <c r="E2645" s="8">
        <v>4</v>
      </c>
      <c r="F2645" s="34">
        <f>ROUNDDOWN($P2645/4*MIN($O2645,4)*10*$N2645/$N2645*$Q2645/400,0)</f>
        <v>20000</v>
      </c>
      <c r="G2645" s="34">
        <f>ROUNDDOWN($P2645/4*MIN($O2645,4)*10*$N2645/$N2645*$Q2645/400,0)</f>
        <v>20000</v>
      </c>
      <c r="H2645" s="34">
        <f>ROUNDDOWN($S2645/4*10,0)</f>
        <v>75000</v>
      </c>
      <c r="I2645" s="34">
        <f>ROUNDDOWN($S2645/4*10,0)</f>
        <v>75000</v>
      </c>
      <c r="J2645" s="34">
        <f>ROUNDDOWN($P2645/4*$O2645*10*$N2645/$Q2645*$N2645/400*0.8,0)</f>
        <v>10125000</v>
      </c>
      <c r="K2645" s="133">
        <v>1000</v>
      </c>
      <c r="L2645" s="34"/>
      <c r="M2645" s="16">
        <f>(F2645*J2645*((H2645+I2645)/2)/1000)^(1/2)/10*0.8</f>
        <v>311769.14536239795</v>
      </c>
      <c r="N2645" s="36">
        <v>900</v>
      </c>
      <c r="O2645" s="36">
        <v>20</v>
      </c>
      <c r="P2645" s="36">
        <v>10000</v>
      </c>
      <c r="Q2645" s="2" t="s">
        <v>435</v>
      </c>
      <c r="R2645" s="2" t="s">
        <v>802</v>
      </c>
      <c r="S2645" s="56">
        <v>30000</v>
      </c>
      <c r="T2645" s="114"/>
    </row>
    <row r="2646" spans="1:20" x14ac:dyDescent="0.2">
      <c r="A2646" s="8" t="str">
        <f t="shared" si="1362"/>
        <v>50017813</v>
      </c>
      <c r="B2646" s="8">
        <v>5001</v>
      </c>
      <c r="C2646" s="8">
        <v>78</v>
      </c>
      <c r="D2646" s="8" t="s">
        <v>62</v>
      </c>
      <c r="E2646" s="8">
        <v>3</v>
      </c>
      <c r="F2646" s="15">
        <f t="shared" si="1363"/>
        <v>54687</v>
      </c>
      <c r="G2646" s="15">
        <f t="shared" si="1363"/>
        <v>54687</v>
      </c>
      <c r="H2646" s="15">
        <f t="shared" si="1364"/>
        <v>5000</v>
      </c>
      <c r="I2646" s="15">
        <f t="shared" si="1364"/>
        <v>5000</v>
      </c>
      <c r="J2646" s="15">
        <f t="shared" si="1365"/>
        <v>140000</v>
      </c>
      <c r="K2646" s="133">
        <v>1000</v>
      </c>
      <c r="L2646" s="15"/>
      <c r="M2646" s="16">
        <f t="shared" si="1342"/>
        <v>15652.404288159696</v>
      </c>
      <c r="N2646" s="63">
        <v>400</v>
      </c>
      <c r="O2646" s="63">
        <v>1</v>
      </c>
      <c r="P2646" s="77">
        <v>35000</v>
      </c>
      <c r="Q2646" s="78" t="s">
        <v>281</v>
      </c>
      <c r="R2646" s="2" t="s">
        <v>803</v>
      </c>
      <c r="S2646" s="76">
        <v>2000</v>
      </c>
    </row>
    <row r="2647" spans="1:20" x14ac:dyDescent="0.2">
      <c r="A2647" s="8" t="str">
        <f t="shared" si="1362"/>
        <v>50017814</v>
      </c>
      <c r="B2647" s="8">
        <v>5001</v>
      </c>
      <c r="C2647" s="8">
        <v>78</v>
      </c>
      <c r="D2647" s="8" t="s">
        <v>62</v>
      </c>
      <c r="E2647" s="8">
        <v>4</v>
      </c>
      <c r="F2647" s="15">
        <f t="shared" si="1363"/>
        <v>656250</v>
      </c>
      <c r="G2647" s="15">
        <f t="shared" si="1363"/>
        <v>656250</v>
      </c>
      <c r="H2647" s="15">
        <f t="shared" si="1364"/>
        <v>4000</v>
      </c>
      <c r="I2647" s="15">
        <f t="shared" si="1364"/>
        <v>4000</v>
      </c>
      <c r="J2647" s="15">
        <f t="shared" si="1365"/>
        <v>1852200</v>
      </c>
      <c r="K2647" s="133">
        <v>1000</v>
      </c>
      <c r="L2647" s="15"/>
      <c r="M2647" s="16">
        <f t="shared" si="1342"/>
        <v>176400</v>
      </c>
      <c r="N2647" s="63">
        <v>420</v>
      </c>
      <c r="O2647" s="63">
        <v>10</v>
      </c>
      <c r="P2647" s="77">
        <v>42000</v>
      </c>
      <c r="Q2647" s="78" t="s">
        <v>281</v>
      </c>
      <c r="R2647" s="2" t="s">
        <v>804</v>
      </c>
      <c r="S2647" s="76">
        <v>1600</v>
      </c>
    </row>
    <row r="2648" spans="1:20" x14ac:dyDescent="0.2">
      <c r="A2648" s="8" t="str">
        <f t="shared" si="1362"/>
        <v>50017914</v>
      </c>
      <c r="B2648" s="8">
        <v>5001</v>
      </c>
      <c r="C2648" s="8">
        <v>79</v>
      </c>
      <c r="D2648" s="8" t="s">
        <v>62</v>
      </c>
      <c r="E2648" s="8">
        <v>4</v>
      </c>
      <c r="F2648" s="34">
        <v>0</v>
      </c>
      <c r="G2648" s="34">
        <v>0</v>
      </c>
      <c r="H2648" s="34">
        <f t="shared" si="1364"/>
        <v>275000</v>
      </c>
      <c r="I2648" s="34">
        <f t="shared" si="1364"/>
        <v>275000</v>
      </c>
      <c r="J2648" s="34">
        <f t="shared" ref="J2648" si="1366">ROUNDDOWN($P2648/4*$O2648*10*$N2648/$Q2648*$N2648/400*0.8,0)</f>
        <v>6250000</v>
      </c>
      <c r="K2648" s="133">
        <v>1000</v>
      </c>
      <c r="L2648" s="34"/>
      <c r="M2648" s="16">
        <f t="shared" si="1342"/>
        <v>0</v>
      </c>
      <c r="N2648" s="36">
        <v>1000</v>
      </c>
      <c r="O2648" s="36">
        <v>20</v>
      </c>
      <c r="P2648" s="36">
        <v>50000</v>
      </c>
      <c r="Q2648" s="2" t="s">
        <v>400</v>
      </c>
      <c r="R2648" s="2" t="s">
        <v>805</v>
      </c>
      <c r="S2648" s="56">
        <v>110000</v>
      </c>
      <c r="T2648" s="114"/>
    </row>
    <row r="2649" spans="1:20" x14ac:dyDescent="0.2">
      <c r="A2649" s="14" t="str">
        <f t="shared" si="1362"/>
        <v>50018014</v>
      </c>
      <c r="B2649" s="14">
        <v>5001</v>
      </c>
      <c r="C2649" s="74">
        <v>80</v>
      </c>
      <c r="D2649" s="14" t="s">
        <v>62</v>
      </c>
      <c r="E2649" s="14">
        <v>4</v>
      </c>
      <c r="F2649" s="34">
        <f t="shared" ref="F2649:G2649" si="1367">ROUNDDOWN($P2649/4*MIN($O2649,4)*10*$N2649/$N2649*$Q2649/400,0)</f>
        <v>816000</v>
      </c>
      <c r="G2649" s="34">
        <f t="shared" si="1367"/>
        <v>816000</v>
      </c>
      <c r="H2649" s="34">
        <f t="shared" si="1364"/>
        <v>120000</v>
      </c>
      <c r="I2649" s="34">
        <f t="shared" si="1364"/>
        <v>120000</v>
      </c>
      <c r="J2649" s="34">
        <f t="shared" ref="J2649" si="1368">ROUNDDOWN($P2649/4*$O2649*10*$N2649/$Q2649*$N2649/400*0.8,0)</f>
        <v>5845411</v>
      </c>
      <c r="K2649" s="133">
        <v>1000</v>
      </c>
      <c r="L2649" s="34"/>
      <c r="M2649" s="16">
        <f t="shared" si="1342"/>
        <v>1913961.5797523209</v>
      </c>
      <c r="N2649" s="36">
        <v>910</v>
      </c>
      <c r="O2649" s="36">
        <v>20</v>
      </c>
      <c r="P2649" s="36">
        <v>48000</v>
      </c>
      <c r="Q2649" s="2" t="s">
        <v>809</v>
      </c>
      <c r="R2649" s="2" t="s">
        <v>806</v>
      </c>
      <c r="S2649" s="56">
        <v>48000</v>
      </c>
    </row>
    <row r="2650" spans="1:20" ht="38.25" x14ac:dyDescent="0.2">
      <c r="A2650" s="8" t="str">
        <f t="shared" si="1334"/>
        <v/>
      </c>
      <c r="B2650" s="5"/>
      <c r="C2650" s="6" t="s">
        <v>223</v>
      </c>
      <c r="D2650" s="5"/>
      <c r="E2650" s="5"/>
      <c r="F2650" s="5"/>
      <c r="G2650" s="5"/>
      <c r="H2650" s="5"/>
      <c r="I2650" s="5"/>
      <c r="J2650" s="5"/>
      <c r="K2650" s="133"/>
      <c r="L2650" s="5"/>
      <c r="M2650" s="16">
        <f t="shared" si="1342"/>
        <v>0</v>
      </c>
      <c r="N2650" s="5"/>
      <c r="O2650" s="5"/>
      <c r="P2650" s="5"/>
      <c r="Q2650" s="5"/>
      <c r="R2650" s="5"/>
      <c r="S2650" s="30"/>
    </row>
    <row r="2651" spans="1:20" x14ac:dyDescent="0.2">
      <c r="A2651" s="8" t="str">
        <f t="shared" si="1334"/>
        <v>60010110</v>
      </c>
      <c r="B2651" s="8">
        <v>6001</v>
      </c>
      <c r="C2651" s="8">
        <v>1</v>
      </c>
      <c r="D2651" s="8" t="s">
        <v>62</v>
      </c>
      <c r="E2651" s="8">
        <v>0</v>
      </c>
      <c r="F2651" s="34">
        <f t="shared" ref="F2651:G2666" si="1369">ROUNDDOWN($P2651/4*$O2651*10*$N2651/$N2651*$Q2651/400,0)</f>
        <v>191875</v>
      </c>
      <c r="G2651" s="34">
        <f t="shared" si="1369"/>
        <v>191875</v>
      </c>
      <c r="H2651" s="34">
        <f t="shared" ref="H2651:I2666" si="1370">ROUNDDOWN($S2651/4*10,0)</f>
        <v>70000</v>
      </c>
      <c r="I2651" s="34">
        <f t="shared" si="1370"/>
        <v>70000</v>
      </c>
      <c r="J2651" s="34">
        <f t="shared" si="1333"/>
        <v>202667968</v>
      </c>
      <c r="K2651" s="133">
        <v>1000</v>
      </c>
      <c r="L2651" s="34"/>
      <c r="M2651" s="16">
        <f t="shared" si="1342"/>
        <v>4173887.6996488534</v>
      </c>
      <c r="N2651" s="36">
        <v>650</v>
      </c>
      <c r="O2651" s="36">
        <v>50</v>
      </c>
      <c r="P2651" s="36">
        <v>30700</v>
      </c>
      <c r="Q2651" s="2" t="s">
        <v>243</v>
      </c>
      <c r="S2651" s="56">
        <v>28000</v>
      </c>
    </row>
    <row r="2652" spans="1:20" x14ac:dyDescent="0.2">
      <c r="A2652" s="8" t="str">
        <f t="shared" si="1334"/>
        <v>60010111</v>
      </c>
      <c r="B2652" s="8">
        <v>6001</v>
      </c>
      <c r="C2652" s="8">
        <v>1</v>
      </c>
      <c r="D2652" s="8" t="s">
        <v>62</v>
      </c>
      <c r="E2652" s="8">
        <v>1</v>
      </c>
      <c r="F2652" s="34">
        <f t="shared" si="1369"/>
        <v>450000</v>
      </c>
      <c r="G2652" s="34">
        <f t="shared" si="1369"/>
        <v>450000</v>
      </c>
      <c r="H2652" s="34">
        <f t="shared" si="1370"/>
        <v>28125</v>
      </c>
      <c r="I2652" s="34">
        <f t="shared" si="1370"/>
        <v>28125</v>
      </c>
      <c r="J2652" s="34">
        <f t="shared" si="1333"/>
        <v>2420000000</v>
      </c>
      <c r="K2652" s="133">
        <v>1000</v>
      </c>
      <c r="L2652" s="34"/>
      <c r="M2652" s="16">
        <f t="shared" si="1342"/>
        <v>14000714.267493643</v>
      </c>
      <c r="N2652" s="36">
        <v>880</v>
      </c>
      <c r="O2652" s="36">
        <v>400</v>
      </c>
      <c r="P2652" s="36">
        <v>15000</v>
      </c>
      <c r="Q2652" s="2" t="s">
        <v>244</v>
      </c>
      <c r="S2652" s="56">
        <f t="shared" ref="S2652:S2674" si="1371">P2652*0.75</f>
        <v>11250</v>
      </c>
    </row>
    <row r="2653" spans="1:20" x14ac:dyDescent="0.2">
      <c r="A2653" s="8" t="str">
        <f t="shared" si="1334"/>
        <v>60010210</v>
      </c>
      <c r="B2653" s="8">
        <v>6001</v>
      </c>
      <c r="C2653" s="8">
        <v>2</v>
      </c>
      <c r="D2653" s="8" t="s">
        <v>62</v>
      </c>
      <c r="E2653" s="8">
        <v>0</v>
      </c>
      <c r="F2653" s="34">
        <f t="shared" si="1369"/>
        <v>60000</v>
      </c>
      <c r="G2653" s="34">
        <f t="shared" si="1369"/>
        <v>60000</v>
      </c>
      <c r="H2653" s="34">
        <f t="shared" si="1370"/>
        <v>30000</v>
      </c>
      <c r="I2653" s="34">
        <f t="shared" si="1370"/>
        <v>30000</v>
      </c>
      <c r="J2653" s="34">
        <f t="shared" si="1333"/>
        <v>408375000</v>
      </c>
      <c r="K2653" s="133">
        <v>1000</v>
      </c>
      <c r="L2653" s="34"/>
      <c r="M2653" s="16">
        <f t="shared" si="1342"/>
        <v>2168981.3277204582</v>
      </c>
      <c r="N2653" s="36">
        <v>990</v>
      </c>
      <c r="O2653" s="36">
        <v>50</v>
      </c>
      <c r="P2653" s="36">
        <v>16000</v>
      </c>
      <c r="Q2653" s="2" t="s">
        <v>244</v>
      </c>
      <c r="S2653" s="56">
        <f t="shared" si="1371"/>
        <v>12000</v>
      </c>
    </row>
    <row r="2654" spans="1:20" x14ac:dyDescent="0.2">
      <c r="A2654" s="8" t="str">
        <f t="shared" si="1334"/>
        <v>60010211</v>
      </c>
      <c r="B2654" s="8">
        <v>6001</v>
      </c>
      <c r="C2654" s="8">
        <v>2</v>
      </c>
      <c r="D2654" s="8" t="s">
        <v>62</v>
      </c>
      <c r="E2654" s="8">
        <v>1</v>
      </c>
      <c r="F2654" s="34">
        <f t="shared" si="1369"/>
        <v>480000</v>
      </c>
      <c r="G2654" s="34">
        <f t="shared" si="1369"/>
        <v>480000</v>
      </c>
      <c r="H2654" s="34">
        <f t="shared" si="1370"/>
        <v>30000</v>
      </c>
      <c r="I2654" s="34">
        <f t="shared" si="1370"/>
        <v>30000</v>
      </c>
      <c r="J2654" s="34">
        <f t="shared" si="1333"/>
        <v>2581333333</v>
      </c>
      <c r="K2654" s="133">
        <v>1000</v>
      </c>
      <c r="L2654" s="34"/>
      <c r="M2654" s="16">
        <f t="shared" si="1342"/>
        <v>15423867.218349619</v>
      </c>
      <c r="N2654" s="36">
        <v>880</v>
      </c>
      <c r="O2654" s="36">
        <v>400</v>
      </c>
      <c r="P2654" s="36">
        <v>16000</v>
      </c>
      <c r="Q2654" s="2" t="s">
        <v>244</v>
      </c>
      <c r="S2654" s="56">
        <f t="shared" si="1371"/>
        <v>12000</v>
      </c>
    </row>
    <row r="2655" spans="1:20" x14ac:dyDescent="0.2">
      <c r="A2655" s="8" t="str">
        <f t="shared" si="1334"/>
        <v>60010310</v>
      </c>
      <c r="B2655" s="8">
        <v>6001</v>
      </c>
      <c r="C2655" s="8">
        <v>3</v>
      </c>
      <c r="D2655" s="8" t="s">
        <v>62</v>
      </c>
      <c r="E2655" s="8">
        <v>0</v>
      </c>
      <c r="F2655" s="34">
        <f t="shared" si="1369"/>
        <v>63750</v>
      </c>
      <c r="G2655" s="34">
        <f t="shared" si="1369"/>
        <v>63750</v>
      </c>
      <c r="H2655" s="34">
        <f t="shared" si="1370"/>
        <v>31875</v>
      </c>
      <c r="I2655" s="34">
        <f t="shared" si="1370"/>
        <v>31875</v>
      </c>
      <c r="J2655" s="34">
        <f t="shared" si="1333"/>
        <v>433898437</v>
      </c>
      <c r="K2655" s="133">
        <v>1000</v>
      </c>
      <c r="L2655" s="34"/>
      <c r="M2655" s="16">
        <f t="shared" si="1342"/>
        <v>2375468.2008364163</v>
      </c>
      <c r="N2655" s="36">
        <v>990</v>
      </c>
      <c r="O2655" s="36">
        <v>50</v>
      </c>
      <c r="P2655" s="36">
        <v>17000</v>
      </c>
      <c r="Q2655" s="2" t="s">
        <v>244</v>
      </c>
      <c r="S2655" s="56">
        <f t="shared" si="1371"/>
        <v>12750</v>
      </c>
    </row>
    <row r="2656" spans="1:20" x14ac:dyDescent="0.2">
      <c r="A2656" s="8" t="str">
        <f t="shared" si="1334"/>
        <v>60010311</v>
      </c>
      <c r="B2656" s="8">
        <v>6001</v>
      </c>
      <c r="C2656" s="8">
        <v>3</v>
      </c>
      <c r="D2656" s="8" t="s">
        <v>62</v>
      </c>
      <c r="E2656" s="8">
        <v>1</v>
      </c>
      <c r="F2656" s="34">
        <f t="shared" si="1369"/>
        <v>510000</v>
      </c>
      <c r="G2656" s="34">
        <f t="shared" si="1369"/>
        <v>510000</v>
      </c>
      <c r="H2656" s="34">
        <f t="shared" si="1370"/>
        <v>31875</v>
      </c>
      <c r="I2656" s="34">
        <f t="shared" si="1370"/>
        <v>31875</v>
      </c>
      <c r="J2656" s="34">
        <f t="shared" si="1333"/>
        <v>2742666666</v>
      </c>
      <c r="K2656" s="133">
        <v>1000</v>
      </c>
      <c r="L2656" s="34"/>
      <c r="M2656" s="16">
        <f t="shared" si="1342"/>
        <v>16892218.32473876</v>
      </c>
      <c r="N2656" s="36">
        <v>880</v>
      </c>
      <c r="O2656" s="36">
        <v>400</v>
      </c>
      <c r="P2656" s="36">
        <v>17000</v>
      </c>
      <c r="Q2656" s="2" t="s">
        <v>244</v>
      </c>
      <c r="S2656" s="56">
        <f t="shared" si="1371"/>
        <v>12750</v>
      </c>
    </row>
    <row r="2657" spans="1:19" x14ac:dyDescent="0.2">
      <c r="A2657" s="8" t="str">
        <f t="shared" si="1334"/>
        <v>60010410</v>
      </c>
      <c r="B2657" s="8">
        <v>6001</v>
      </c>
      <c r="C2657" s="8">
        <v>4</v>
      </c>
      <c r="D2657" s="8" t="s">
        <v>62</v>
      </c>
      <c r="E2657" s="8">
        <v>0</v>
      </c>
      <c r="F2657" s="34">
        <f t="shared" si="1369"/>
        <v>67500</v>
      </c>
      <c r="G2657" s="34">
        <f t="shared" si="1369"/>
        <v>67500</v>
      </c>
      <c r="H2657" s="34">
        <f t="shared" si="1370"/>
        <v>33750</v>
      </c>
      <c r="I2657" s="34">
        <f t="shared" si="1370"/>
        <v>33750</v>
      </c>
      <c r="J2657" s="34">
        <f t="shared" si="1333"/>
        <v>450187500</v>
      </c>
      <c r="K2657" s="133">
        <v>1000</v>
      </c>
      <c r="L2657" s="34"/>
      <c r="M2657" s="16">
        <f t="shared" si="1342"/>
        <v>2561978.4835162065</v>
      </c>
      <c r="N2657" s="36">
        <v>980</v>
      </c>
      <c r="O2657" s="36">
        <v>50</v>
      </c>
      <c r="P2657" s="36">
        <v>18000</v>
      </c>
      <c r="Q2657" s="2" t="s">
        <v>244</v>
      </c>
      <c r="S2657" s="56">
        <f t="shared" si="1371"/>
        <v>13500</v>
      </c>
    </row>
    <row r="2658" spans="1:19" x14ac:dyDescent="0.2">
      <c r="A2658" s="8" t="str">
        <f t="shared" si="1334"/>
        <v>60010411</v>
      </c>
      <c r="B2658" s="8">
        <v>6001</v>
      </c>
      <c r="C2658" s="8">
        <v>4</v>
      </c>
      <c r="D2658" s="8" t="s">
        <v>62</v>
      </c>
      <c r="E2658" s="8">
        <v>1</v>
      </c>
      <c r="F2658" s="34">
        <f t="shared" si="1369"/>
        <v>570000</v>
      </c>
      <c r="G2658" s="34">
        <f t="shared" si="1369"/>
        <v>570000</v>
      </c>
      <c r="H2658" s="34">
        <f t="shared" si="1370"/>
        <v>35625</v>
      </c>
      <c r="I2658" s="34">
        <f t="shared" si="1370"/>
        <v>35625</v>
      </c>
      <c r="J2658" s="34">
        <f t="shared" si="1333"/>
        <v>3065333333</v>
      </c>
      <c r="K2658" s="133">
        <v>1000</v>
      </c>
      <c r="L2658" s="34"/>
      <c r="M2658" s="16">
        <f t="shared" si="1342"/>
        <v>19959226.436830662</v>
      </c>
      <c r="N2658" s="36">
        <v>880</v>
      </c>
      <c r="O2658" s="36">
        <v>400</v>
      </c>
      <c r="P2658" s="36">
        <v>19000</v>
      </c>
      <c r="Q2658" s="2" t="s">
        <v>244</v>
      </c>
      <c r="S2658" s="56">
        <f t="shared" si="1371"/>
        <v>14250</v>
      </c>
    </row>
    <row r="2659" spans="1:19" x14ac:dyDescent="0.2">
      <c r="A2659" s="8" t="str">
        <f t="shared" si="1334"/>
        <v>60010510</v>
      </c>
      <c r="B2659" s="8">
        <v>6001</v>
      </c>
      <c r="C2659" s="8">
        <v>5</v>
      </c>
      <c r="D2659" s="8" t="s">
        <v>62</v>
      </c>
      <c r="E2659" s="8">
        <v>0</v>
      </c>
      <c r="F2659" s="34">
        <f t="shared" si="1369"/>
        <v>75000</v>
      </c>
      <c r="G2659" s="34">
        <f t="shared" si="1369"/>
        <v>75000</v>
      </c>
      <c r="H2659" s="34">
        <f t="shared" si="1370"/>
        <v>37500</v>
      </c>
      <c r="I2659" s="34">
        <f t="shared" si="1370"/>
        <v>37500</v>
      </c>
      <c r="J2659" s="34">
        <f t="shared" si="1333"/>
        <v>510468750</v>
      </c>
      <c r="K2659" s="133">
        <v>1000</v>
      </c>
      <c r="L2659" s="34"/>
      <c r="M2659" s="16">
        <f t="shared" si="1342"/>
        <v>3031243.556694183</v>
      </c>
      <c r="N2659" s="36">
        <v>990</v>
      </c>
      <c r="O2659" s="36">
        <v>50</v>
      </c>
      <c r="P2659" s="36">
        <v>20000</v>
      </c>
      <c r="Q2659" s="2" t="s">
        <v>244</v>
      </c>
      <c r="S2659" s="56">
        <f t="shared" si="1371"/>
        <v>15000</v>
      </c>
    </row>
    <row r="2660" spans="1:19" x14ac:dyDescent="0.2">
      <c r="A2660" s="8" t="str">
        <f t="shared" si="1334"/>
        <v>60010511</v>
      </c>
      <c r="B2660" s="8">
        <v>6001</v>
      </c>
      <c r="C2660" s="8">
        <v>5</v>
      </c>
      <c r="D2660" s="8" t="s">
        <v>62</v>
      </c>
      <c r="E2660" s="8">
        <v>1</v>
      </c>
      <c r="F2660" s="34">
        <f t="shared" si="1369"/>
        <v>600000</v>
      </c>
      <c r="G2660" s="34">
        <f t="shared" si="1369"/>
        <v>600000</v>
      </c>
      <c r="H2660" s="34">
        <f t="shared" si="1370"/>
        <v>37500</v>
      </c>
      <c r="I2660" s="34">
        <f t="shared" si="1370"/>
        <v>37500</v>
      </c>
      <c r="J2660" s="34">
        <f t="shared" si="1333"/>
        <v>3226666666</v>
      </c>
      <c r="K2660" s="133">
        <v>1000</v>
      </c>
      <c r="L2660" s="34"/>
      <c r="M2660" s="16">
        <f t="shared" si="1342"/>
        <v>21555509.734265164</v>
      </c>
      <c r="N2660" s="36">
        <v>880</v>
      </c>
      <c r="O2660" s="36">
        <v>400</v>
      </c>
      <c r="P2660" s="36">
        <v>20000</v>
      </c>
      <c r="Q2660" s="2" t="s">
        <v>244</v>
      </c>
      <c r="S2660" s="56">
        <f t="shared" si="1371"/>
        <v>15000</v>
      </c>
    </row>
    <row r="2661" spans="1:19" x14ac:dyDescent="0.2">
      <c r="A2661" s="8" t="str">
        <f t="shared" si="1334"/>
        <v>60010610</v>
      </c>
      <c r="B2661" s="8">
        <v>6001</v>
      </c>
      <c r="C2661" s="8">
        <v>6</v>
      </c>
      <c r="D2661" s="8" t="s">
        <v>62</v>
      </c>
      <c r="E2661" s="8">
        <v>0</v>
      </c>
      <c r="F2661" s="34">
        <f t="shared" si="1369"/>
        <v>78750</v>
      </c>
      <c r="G2661" s="34">
        <f t="shared" si="1369"/>
        <v>78750</v>
      </c>
      <c r="H2661" s="34">
        <f t="shared" si="1370"/>
        <v>39375</v>
      </c>
      <c r="I2661" s="34">
        <f t="shared" si="1370"/>
        <v>39375</v>
      </c>
      <c r="J2661" s="34">
        <f t="shared" si="1333"/>
        <v>525218750</v>
      </c>
      <c r="K2661" s="133">
        <v>1000</v>
      </c>
      <c r="L2661" s="34"/>
      <c r="M2661" s="16">
        <f t="shared" si="1342"/>
        <v>3228461.8773883642</v>
      </c>
      <c r="N2661" s="36">
        <v>980</v>
      </c>
      <c r="O2661" s="36">
        <v>50</v>
      </c>
      <c r="P2661" s="36">
        <v>21000</v>
      </c>
      <c r="Q2661" s="2" t="s">
        <v>244</v>
      </c>
      <c r="S2661" s="56">
        <f t="shared" si="1371"/>
        <v>15750</v>
      </c>
    </row>
    <row r="2662" spans="1:19" x14ac:dyDescent="0.2">
      <c r="A2662" s="8" t="str">
        <f t="shared" si="1334"/>
        <v>60010611</v>
      </c>
      <c r="B2662" s="8">
        <v>6001</v>
      </c>
      <c r="C2662" s="8">
        <v>6</v>
      </c>
      <c r="D2662" s="8" t="s">
        <v>62</v>
      </c>
      <c r="E2662" s="8">
        <v>1</v>
      </c>
      <c r="F2662" s="34">
        <f t="shared" si="1369"/>
        <v>630000</v>
      </c>
      <c r="G2662" s="34">
        <f t="shared" si="1369"/>
        <v>630000</v>
      </c>
      <c r="H2662" s="34">
        <f t="shared" si="1370"/>
        <v>39375</v>
      </c>
      <c r="I2662" s="34">
        <f t="shared" si="1370"/>
        <v>39375</v>
      </c>
      <c r="J2662" s="34">
        <f t="shared" si="1333"/>
        <v>3388000000</v>
      </c>
      <c r="K2662" s="133">
        <v>1000</v>
      </c>
      <c r="L2662" s="34"/>
      <c r="M2662" s="16">
        <f t="shared" si="1342"/>
        <v>23192215.935524575</v>
      </c>
      <c r="N2662" s="36">
        <v>880</v>
      </c>
      <c r="O2662" s="36">
        <v>400</v>
      </c>
      <c r="P2662" s="36">
        <v>21000</v>
      </c>
      <c r="Q2662" s="2" t="s">
        <v>244</v>
      </c>
      <c r="S2662" s="56">
        <f t="shared" si="1371"/>
        <v>15750</v>
      </c>
    </row>
    <row r="2663" spans="1:19" x14ac:dyDescent="0.2">
      <c r="A2663" s="8" t="str">
        <f t="shared" si="1334"/>
        <v>60010120</v>
      </c>
      <c r="B2663" s="8">
        <v>6001</v>
      </c>
      <c r="C2663" s="8">
        <v>1</v>
      </c>
      <c r="D2663" s="8" t="s">
        <v>224</v>
      </c>
      <c r="E2663" s="8">
        <v>0</v>
      </c>
      <c r="F2663" s="34">
        <f t="shared" si="1369"/>
        <v>195390</v>
      </c>
      <c r="G2663" s="34">
        <f t="shared" si="1369"/>
        <v>195390</v>
      </c>
      <c r="H2663" s="34">
        <f t="shared" si="1370"/>
        <v>80000</v>
      </c>
      <c r="I2663" s="34">
        <f t="shared" si="1370"/>
        <v>80000</v>
      </c>
      <c r="J2663" s="34">
        <f t="shared" si="1333"/>
        <v>335918445</v>
      </c>
      <c r="K2663" s="133">
        <v>1000</v>
      </c>
      <c r="L2663" s="34"/>
      <c r="M2663" s="16">
        <f t="shared" si="1342"/>
        <v>5796996.959107155</v>
      </c>
      <c r="N2663" s="36">
        <v>850</v>
      </c>
      <c r="O2663" s="36">
        <v>50</v>
      </c>
      <c r="P2663" s="36">
        <v>30500</v>
      </c>
      <c r="Q2663" s="2" t="s">
        <v>254</v>
      </c>
      <c r="S2663" s="56">
        <v>32000</v>
      </c>
    </row>
    <row r="2664" spans="1:19" x14ac:dyDescent="0.2">
      <c r="A2664" s="8" t="str">
        <f t="shared" si="1334"/>
        <v>60010121</v>
      </c>
      <c r="B2664" s="8">
        <v>6001</v>
      </c>
      <c r="C2664" s="8">
        <v>1</v>
      </c>
      <c r="D2664" s="8" t="s">
        <v>224</v>
      </c>
      <c r="E2664" s="8">
        <v>1</v>
      </c>
      <c r="F2664" s="34">
        <f t="shared" si="1369"/>
        <v>750000</v>
      </c>
      <c r="G2664" s="34">
        <f t="shared" si="1369"/>
        <v>750000</v>
      </c>
      <c r="H2664" s="34">
        <f t="shared" si="1370"/>
        <v>46875</v>
      </c>
      <c r="I2664" s="34">
        <f t="shared" si="1370"/>
        <v>46875</v>
      </c>
      <c r="J2664" s="34">
        <f t="shared" si="1333"/>
        <v>4033333333</v>
      </c>
      <c r="K2664" s="133">
        <v>1000</v>
      </c>
      <c r="L2664" s="34"/>
      <c r="M2664" s="16">
        <f t="shared" si="1342"/>
        <v>30124740.661539312</v>
      </c>
      <c r="N2664" s="36">
        <v>880</v>
      </c>
      <c r="O2664" s="36">
        <v>400</v>
      </c>
      <c r="P2664" s="36">
        <v>25000</v>
      </c>
      <c r="Q2664" s="2" t="s">
        <v>244</v>
      </c>
      <c r="S2664" s="56">
        <f t="shared" si="1371"/>
        <v>18750</v>
      </c>
    </row>
    <row r="2665" spans="1:19" x14ac:dyDescent="0.2">
      <c r="A2665" s="8" t="str">
        <f t="shared" si="1334"/>
        <v>60010220</v>
      </c>
      <c r="B2665" s="8">
        <v>6001</v>
      </c>
      <c r="C2665" s="8">
        <v>2</v>
      </c>
      <c r="D2665" s="8" t="s">
        <v>224</v>
      </c>
      <c r="E2665" s="8">
        <v>0</v>
      </c>
      <c r="F2665" s="34">
        <f t="shared" si="1369"/>
        <v>97500</v>
      </c>
      <c r="G2665" s="34">
        <f t="shared" si="1369"/>
        <v>97500</v>
      </c>
      <c r="H2665" s="34">
        <f t="shared" si="1370"/>
        <v>48750</v>
      </c>
      <c r="I2665" s="34">
        <f t="shared" si="1370"/>
        <v>48750</v>
      </c>
      <c r="J2665" s="34">
        <f t="shared" si="1333"/>
        <v>663609375</v>
      </c>
      <c r="K2665" s="133">
        <v>1000</v>
      </c>
      <c r="L2665" s="34"/>
      <c r="M2665" s="16">
        <f t="shared" si="1342"/>
        <v>4492994.2340826569</v>
      </c>
      <c r="N2665" s="36">
        <v>990</v>
      </c>
      <c r="O2665" s="36">
        <v>50</v>
      </c>
      <c r="P2665" s="36">
        <v>26000</v>
      </c>
      <c r="Q2665" s="2" t="s">
        <v>244</v>
      </c>
      <c r="S2665" s="56">
        <f t="shared" si="1371"/>
        <v>19500</v>
      </c>
    </row>
    <row r="2666" spans="1:19" x14ac:dyDescent="0.2">
      <c r="A2666" s="8" t="str">
        <f t="shared" si="1334"/>
        <v>60010221</v>
      </c>
      <c r="B2666" s="8">
        <v>6001</v>
      </c>
      <c r="C2666" s="8">
        <v>2</v>
      </c>
      <c r="D2666" s="8" t="s">
        <v>224</v>
      </c>
      <c r="E2666" s="8">
        <v>1</v>
      </c>
      <c r="F2666" s="34">
        <f t="shared" si="1369"/>
        <v>780000</v>
      </c>
      <c r="G2666" s="34">
        <f t="shared" si="1369"/>
        <v>780000</v>
      </c>
      <c r="H2666" s="34">
        <f t="shared" si="1370"/>
        <v>48750</v>
      </c>
      <c r="I2666" s="34">
        <f t="shared" si="1370"/>
        <v>48750</v>
      </c>
      <c r="J2666" s="34">
        <f t="shared" si="1333"/>
        <v>4194666666</v>
      </c>
      <c r="K2666" s="133">
        <v>1000</v>
      </c>
      <c r="L2666" s="34"/>
      <c r="M2666" s="16">
        <f t="shared" si="1342"/>
        <v>31950181.217604388</v>
      </c>
      <c r="N2666" s="36">
        <v>880</v>
      </c>
      <c r="O2666" s="36">
        <v>400</v>
      </c>
      <c r="P2666" s="36">
        <v>26000</v>
      </c>
      <c r="Q2666" s="2" t="s">
        <v>244</v>
      </c>
      <c r="S2666" s="56">
        <f t="shared" si="1371"/>
        <v>19500</v>
      </c>
    </row>
    <row r="2667" spans="1:19" x14ac:dyDescent="0.2">
      <c r="A2667" s="8" t="str">
        <f t="shared" si="1334"/>
        <v>60010320</v>
      </c>
      <c r="B2667" s="8">
        <v>6001</v>
      </c>
      <c r="C2667" s="8">
        <v>3</v>
      </c>
      <c r="D2667" s="8" t="s">
        <v>224</v>
      </c>
      <c r="E2667" s="8">
        <v>0</v>
      </c>
      <c r="F2667" s="34">
        <f t="shared" ref="F2667:G2676" si="1372">ROUNDDOWN($P2667/4*$O2667*10*$N2667/$N2667*$Q2667/400,0)</f>
        <v>101250</v>
      </c>
      <c r="G2667" s="34">
        <f t="shared" si="1372"/>
        <v>101250</v>
      </c>
      <c r="H2667" s="34">
        <f t="shared" ref="H2667:I2676" si="1373">ROUNDDOWN($S2667/4*10,0)</f>
        <v>50625</v>
      </c>
      <c r="I2667" s="34">
        <f t="shared" si="1373"/>
        <v>50625</v>
      </c>
      <c r="J2667" s="34">
        <f t="shared" si="1333"/>
        <v>689132812</v>
      </c>
      <c r="K2667" s="133">
        <v>1000</v>
      </c>
      <c r="L2667" s="34"/>
      <c r="M2667" s="16">
        <f t="shared" si="1342"/>
        <v>4754682.1026920406</v>
      </c>
      <c r="N2667" s="36">
        <v>990</v>
      </c>
      <c r="O2667" s="36">
        <v>50</v>
      </c>
      <c r="P2667" s="36">
        <v>27000</v>
      </c>
      <c r="Q2667" s="2" t="s">
        <v>244</v>
      </c>
      <c r="S2667" s="56">
        <f t="shared" si="1371"/>
        <v>20250</v>
      </c>
    </row>
    <row r="2668" spans="1:19" x14ac:dyDescent="0.2">
      <c r="A2668" s="8" t="str">
        <f t="shared" si="1334"/>
        <v>60010321</v>
      </c>
      <c r="B2668" s="8">
        <v>6001</v>
      </c>
      <c r="C2668" s="8">
        <v>3</v>
      </c>
      <c r="D2668" s="8" t="s">
        <v>224</v>
      </c>
      <c r="E2668" s="8">
        <v>1</v>
      </c>
      <c r="F2668" s="34">
        <f t="shared" si="1372"/>
        <v>810000</v>
      </c>
      <c r="G2668" s="34">
        <f t="shared" si="1372"/>
        <v>810000</v>
      </c>
      <c r="H2668" s="34">
        <f t="shared" si="1373"/>
        <v>50625</v>
      </c>
      <c r="I2668" s="34">
        <f t="shared" si="1373"/>
        <v>50625</v>
      </c>
      <c r="J2668" s="34">
        <f t="shared" si="1333"/>
        <v>4356000000</v>
      </c>
      <c r="K2668" s="133">
        <v>1000</v>
      </c>
      <c r="L2668" s="34"/>
      <c r="M2668" s="16">
        <f t="shared" ref="M2668:M2739" si="1374">(F2668*J2668*((H2668+I2668)/2)/1000)^(1/2)/10*0.8</f>
        <v>33811072.742520317</v>
      </c>
      <c r="N2668" s="36">
        <v>880</v>
      </c>
      <c r="O2668" s="36">
        <v>400</v>
      </c>
      <c r="P2668" s="36">
        <v>27000</v>
      </c>
      <c r="Q2668" s="2" t="s">
        <v>244</v>
      </c>
      <c r="S2668" s="56">
        <f t="shared" si="1371"/>
        <v>20250</v>
      </c>
    </row>
    <row r="2669" spans="1:19" x14ac:dyDescent="0.2">
      <c r="A2669" s="8" t="str">
        <f t="shared" si="1334"/>
        <v>60010420</v>
      </c>
      <c r="B2669" s="8">
        <v>6001</v>
      </c>
      <c r="C2669" s="8">
        <v>4</v>
      </c>
      <c r="D2669" s="8" t="s">
        <v>224</v>
      </c>
      <c r="E2669" s="8">
        <v>0</v>
      </c>
      <c r="F2669" s="34">
        <f t="shared" si="1372"/>
        <v>105000</v>
      </c>
      <c r="G2669" s="34">
        <f t="shared" si="1372"/>
        <v>105000</v>
      </c>
      <c r="H2669" s="34">
        <f t="shared" si="1373"/>
        <v>52500</v>
      </c>
      <c r="I2669" s="34">
        <f t="shared" si="1373"/>
        <v>52500</v>
      </c>
      <c r="J2669" s="34">
        <f t="shared" si="1333"/>
        <v>714656250</v>
      </c>
      <c r="K2669" s="133">
        <v>1000</v>
      </c>
      <c r="L2669" s="34"/>
      <c r="M2669" s="16">
        <f t="shared" si="1374"/>
        <v>5021262.0425546402</v>
      </c>
      <c r="N2669" s="36">
        <v>990</v>
      </c>
      <c r="O2669" s="36">
        <v>50</v>
      </c>
      <c r="P2669" s="36">
        <v>28000</v>
      </c>
      <c r="Q2669" s="2" t="s">
        <v>244</v>
      </c>
      <c r="S2669" s="56">
        <f t="shared" si="1371"/>
        <v>21000</v>
      </c>
    </row>
    <row r="2670" spans="1:19" x14ac:dyDescent="0.2">
      <c r="A2670" s="8" t="str">
        <f t="shared" si="1334"/>
        <v>60010421</v>
      </c>
      <c r="B2670" s="8">
        <v>6001</v>
      </c>
      <c r="C2670" s="8">
        <v>4</v>
      </c>
      <c r="D2670" s="8" t="s">
        <v>224</v>
      </c>
      <c r="E2670" s="8">
        <v>1</v>
      </c>
      <c r="F2670" s="34">
        <f t="shared" si="1372"/>
        <v>840000</v>
      </c>
      <c r="G2670" s="34">
        <f t="shared" si="1372"/>
        <v>840000</v>
      </c>
      <c r="H2670" s="34">
        <f t="shared" si="1373"/>
        <v>52500</v>
      </c>
      <c r="I2670" s="34">
        <f t="shared" si="1373"/>
        <v>52500</v>
      </c>
      <c r="J2670" s="34">
        <f t="shared" si="1333"/>
        <v>4517333333</v>
      </c>
      <c r="K2670" s="133">
        <v>1000</v>
      </c>
      <c r="L2670" s="34"/>
      <c r="M2670" s="16">
        <f t="shared" si="1374"/>
        <v>35706752.301293381</v>
      </c>
      <c r="N2670" s="36">
        <v>880</v>
      </c>
      <c r="O2670" s="36">
        <v>400</v>
      </c>
      <c r="P2670" s="36">
        <v>28000</v>
      </c>
      <c r="Q2670" s="2" t="s">
        <v>244</v>
      </c>
      <c r="S2670" s="56">
        <f t="shared" si="1371"/>
        <v>21000</v>
      </c>
    </row>
    <row r="2671" spans="1:19" x14ac:dyDescent="0.2">
      <c r="A2671" s="8" t="str">
        <f t="shared" si="1334"/>
        <v>60010520</v>
      </c>
      <c r="B2671" s="8">
        <v>6001</v>
      </c>
      <c r="C2671" s="8">
        <v>5</v>
      </c>
      <c r="D2671" s="8" t="s">
        <v>224</v>
      </c>
      <c r="E2671" s="8">
        <v>0</v>
      </c>
      <c r="F2671" s="34">
        <f t="shared" si="1372"/>
        <v>108750</v>
      </c>
      <c r="G2671" s="34">
        <f t="shared" si="1372"/>
        <v>108750</v>
      </c>
      <c r="H2671" s="34">
        <f t="shared" si="1373"/>
        <v>54375</v>
      </c>
      <c r="I2671" s="34">
        <f t="shared" si="1373"/>
        <v>54375</v>
      </c>
      <c r="J2671" s="34">
        <f t="shared" si="1333"/>
        <v>740179687</v>
      </c>
      <c r="K2671" s="133">
        <v>1000</v>
      </c>
      <c r="L2671" s="34"/>
      <c r="M2671" s="16">
        <f t="shared" si="1374"/>
        <v>5292645.8652091026</v>
      </c>
      <c r="N2671" s="36">
        <v>990</v>
      </c>
      <c r="O2671" s="36">
        <v>50</v>
      </c>
      <c r="P2671" s="36">
        <v>29000</v>
      </c>
      <c r="Q2671" s="2" t="s">
        <v>244</v>
      </c>
      <c r="S2671" s="56">
        <f t="shared" si="1371"/>
        <v>21750</v>
      </c>
    </row>
    <row r="2672" spans="1:19" x14ac:dyDescent="0.2">
      <c r="A2672" s="8" t="str">
        <f t="shared" si="1334"/>
        <v>60010521</v>
      </c>
      <c r="B2672" s="8">
        <v>6001</v>
      </c>
      <c r="C2672" s="8">
        <v>5</v>
      </c>
      <c r="D2672" s="8" t="s">
        <v>224</v>
      </c>
      <c r="E2672" s="8">
        <v>1</v>
      </c>
      <c r="F2672" s="34">
        <f t="shared" si="1372"/>
        <v>870000</v>
      </c>
      <c r="G2672" s="34">
        <f t="shared" si="1372"/>
        <v>870000</v>
      </c>
      <c r="H2672" s="34">
        <f t="shared" si="1373"/>
        <v>54375</v>
      </c>
      <c r="I2672" s="34">
        <f t="shared" si="1373"/>
        <v>54375</v>
      </c>
      <c r="J2672" s="34">
        <f t="shared" si="1333"/>
        <v>4678666666</v>
      </c>
      <c r="K2672" s="133">
        <v>1000</v>
      </c>
      <c r="L2672" s="34"/>
      <c r="M2672" s="16">
        <f t="shared" si="1374"/>
        <v>37636592.82929527</v>
      </c>
      <c r="N2672" s="36">
        <v>880</v>
      </c>
      <c r="O2672" s="36">
        <v>400</v>
      </c>
      <c r="P2672" s="36">
        <v>29000</v>
      </c>
      <c r="Q2672" s="2" t="s">
        <v>244</v>
      </c>
      <c r="S2672" s="56">
        <f t="shared" si="1371"/>
        <v>21750</v>
      </c>
    </row>
    <row r="2673" spans="1:19" x14ac:dyDescent="0.2">
      <c r="A2673" s="8" t="str">
        <f t="shared" si="1334"/>
        <v>60010620</v>
      </c>
      <c r="B2673" s="8">
        <v>6001</v>
      </c>
      <c r="C2673" s="8">
        <v>6</v>
      </c>
      <c r="D2673" s="8" t="s">
        <v>224</v>
      </c>
      <c r="E2673" s="8">
        <v>0</v>
      </c>
      <c r="F2673" s="34">
        <f t="shared" si="1372"/>
        <v>112500</v>
      </c>
      <c r="G2673" s="34">
        <f t="shared" si="1372"/>
        <v>112500</v>
      </c>
      <c r="H2673" s="34">
        <f t="shared" si="1373"/>
        <v>56250</v>
      </c>
      <c r="I2673" s="34">
        <f t="shared" si="1373"/>
        <v>56250</v>
      </c>
      <c r="J2673" s="34">
        <f t="shared" si="1333"/>
        <v>765703125</v>
      </c>
      <c r="K2673" s="133">
        <v>1000</v>
      </c>
      <c r="L2673" s="34"/>
      <c r="M2673" s="16">
        <f t="shared" si="1374"/>
        <v>5568750</v>
      </c>
      <c r="N2673" s="36">
        <v>990</v>
      </c>
      <c r="O2673" s="36">
        <v>50</v>
      </c>
      <c r="P2673" s="36">
        <v>30000</v>
      </c>
      <c r="Q2673" s="2" t="s">
        <v>244</v>
      </c>
      <c r="S2673" s="56">
        <f t="shared" si="1371"/>
        <v>22500</v>
      </c>
    </row>
    <row r="2674" spans="1:19" x14ac:dyDescent="0.2">
      <c r="A2674" s="8" t="str">
        <f t="shared" si="1334"/>
        <v>60010621</v>
      </c>
      <c r="B2674" s="8">
        <v>6001</v>
      </c>
      <c r="C2674" s="8">
        <v>6</v>
      </c>
      <c r="D2674" s="8" t="s">
        <v>224</v>
      </c>
      <c r="E2674" s="8">
        <v>1</v>
      </c>
      <c r="F2674" s="34">
        <f t="shared" si="1372"/>
        <v>900000</v>
      </c>
      <c r="G2674" s="34">
        <f t="shared" si="1372"/>
        <v>900000</v>
      </c>
      <c r="H2674" s="34">
        <f t="shared" si="1373"/>
        <v>56250</v>
      </c>
      <c r="I2674" s="34">
        <f t="shared" si="1373"/>
        <v>56250</v>
      </c>
      <c r="J2674" s="34">
        <f t="shared" si="1333"/>
        <v>4840000000</v>
      </c>
      <c r="K2674" s="133">
        <v>1000</v>
      </c>
      <c r="L2674" s="34"/>
      <c r="M2674" s="16">
        <f t="shared" si="1374"/>
        <v>39600000</v>
      </c>
      <c r="N2674" s="36">
        <v>880</v>
      </c>
      <c r="O2674" s="36">
        <v>400</v>
      </c>
      <c r="P2674" s="36">
        <v>30000</v>
      </c>
      <c r="Q2674" s="2" t="s">
        <v>244</v>
      </c>
      <c r="S2674" s="56">
        <f t="shared" si="1371"/>
        <v>22500</v>
      </c>
    </row>
    <row r="2675" spans="1:19" x14ac:dyDescent="0.2">
      <c r="A2675" s="8" t="str">
        <f t="shared" si="1334"/>
        <v>60011510</v>
      </c>
      <c r="B2675" s="8">
        <v>6001</v>
      </c>
      <c r="C2675" s="8">
        <v>15</v>
      </c>
      <c r="D2675" s="8" t="s">
        <v>62</v>
      </c>
      <c r="E2675" s="8">
        <v>0</v>
      </c>
      <c r="F2675" s="34">
        <f t="shared" si="1372"/>
        <v>135000</v>
      </c>
      <c r="G2675" s="34">
        <f t="shared" si="1372"/>
        <v>135000</v>
      </c>
      <c r="H2675" s="34">
        <f t="shared" si="1373"/>
        <v>25000</v>
      </c>
      <c r="I2675" s="34">
        <f t="shared" si="1373"/>
        <v>25000</v>
      </c>
      <c r="J2675" s="34">
        <f t="shared" si="1333"/>
        <v>118652</v>
      </c>
      <c r="K2675" s="133">
        <v>1000</v>
      </c>
      <c r="L2675" s="34"/>
      <c r="M2675" s="16">
        <f t="shared" si="1374"/>
        <v>50624.926666613559</v>
      </c>
      <c r="N2675" s="36">
        <v>150</v>
      </c>
      <c r="O2675" s="36">
        <v>50</v>
      </c>
      <c r="P2675" s="36">
        <v>2700</v>
      </c>
      <c r="Q2675" s="2" t="s">
        <v>245</v>
      </c>
      <c r="R2675" s="2" t="s">
        <v>225</v>
      </c>
      <c r="S2675" s="56">
        <v>10000</v>
      </c>
    </row>
    <row r="2676" spans="1:19" x14ac:dyDescent="0.2">
      <c r="A2676" s="8" t="str">
        <f t="shared" si="1334"/>
        <v>60011610</v>
      </c>
      <c r="B2676" s="8">
        <v>6001</v>
      </c>
      <c r="C2676" s="8">
        <v>16</v>
      </c>
      <c r="D2676" s="8" t="s">
        <v>62</v>
      </c>
      <c r="E2676" s="8">
        <v>0</v>
      </c>
      <c r="F2676" s="34">
        <f t="shared" si="1372"/>
        <v>185625</v>
      </c>
      <c r="G2676" s="34">
        <f t="shared" si="1372"/>
        <v>185625</v>
      </c>
      <c r="H2676" s="34">
        <f t="shared" si="1373"/>
        <v>25000</v>
      </c>
      <c r="I2676" s="34">
        <f t="shared" si="1373"/>
        <v>25000</v>
      </c>
      <c r="J2676" s="34">
        <f t="shared" si="1333"/>
        <v>185625</v>
      </c>
      <c r="K2676" s="133">
        <v>1000</v>
      </c>
      <c r="L2676" s="34"/>
      <c r="M2676" s="16">
        <f t="shared" si="1374"/>
        <v>74250</v>
      </c>
      <c r="N2676" s="36">
        <v>220</v>
      </c>
      <c r="O2676" s="36">
        <v>50</v>
      </c>
      <c r="P2676" s="36">
        <v>2700</v>
      </c>
      <c r="Q2676" s="2" t="s">
        <v>246</v>
      </c>
      <c r="R2676" s="2" t="s">
        <v>226</v>
      </c>
      <c r="S2676" s="56">
        <v>10000</v>
      </c>
    </row>
    <row r="2677" spans="1:19" x14ac:dyDescent="0.2">
      <c r="A2677" s="8" t="str">
        <f t="shared" si="1334"/>
        <v>60019810</v>
      </c>
      <c r="B2677" s="8">
        <v>6001</v>
      </c>
      <c r="C2677" s="8">
        <v>98</v>
      </c>
      <c r="D2677" s="8" t="s">
        <v>62</v>
      </c>
      <c r="E2677" s="8">
        <v>0</v>
      </c>
      <c r="F2677" s="34">
        <f t="shared" ref="F2677:G2678" si="1375">ROUNDDOWN($P2677/4*$O2677*10*$N2677/$N2677*$Q2677/400,0)</f>
        <v>175156</v>
      </c>
      <c r="G2677" s="34">
        <f t="shared" si="1375"/>
        <v>175156</v>
      </c>
      <c r="H2677" s="34">
        <f t="shared" ref="H2677:I2678" si="1376">ROUNDDOWN($S2677/4*10,0)</f>
        <v>65000</v>
      </c>
      <c r="I2677" s="34">
        <f t="shared" si="1376"/>
        <v>65000</v>
      </c>
      <c r="J2677" s="34">
        <f t="shared" si="1333"/>
        <v>192574835</v>
      </c>
      <c r="K2677" s="133">
        <v>1000</v>
      </c>
      <c r="L2677" s="34"/>
      <c r="M2677" s="16">
        <f t="shared" si="1374"/>
        <v>3745923.8279084321</v>
      </c>
      <c r="N2677" s="36">
        <v>630</v>
      </c>
      <c r="O2677" s="36">
        <v>50</v>
      </c>
      <c r="P2677" s="36">
        <v>29500</v>
      </c>
      <c r="Q2677" s="2" t="s">
        <v>228</v>
      </c>
      <c r="R2677" s="2" t="s">
        <v>227</v>
      </c>
      <c r="S2677" s="56">
        <v>26000</v>
      </c>
    </row>
    <row r="2678" spans="1:19" x14ac:dyDescent="0.2">
      <c r="A2678" s="8" t="str">
        <f t="shared" ref="A2678:A2681" si="1377">IF(B2678="","",CONCATENATE(B2678,CONCATENATE(REPT(0,2-LEN(C2678)),C2678),IF(OR(D2678="Easy",D2678=""),1,IF(D2678="Normal",2,IF(D2678="Hard",3,IF(D2678="Hell",4,"error")))),E2678))</f>
        <v>60019910</v>
      </c>
      <c r="B2678" s="8">
        <v>6001</v>
      </c>
      <c r="C2678" s="8">
        <v>99</v>
      </c>
      <c r="D2678" s="8" t="s">
        <v>62</v>
      </c>
      <c r="E2678" s="8">
        <v>0</v>
      </c>
      <c r="F2678" s="34">
        <f t="shared" si="1375"/>
        <v>178125</v>
      </c>
      <c r="G2678" s="34">
        <f t="shared" si="1375"/>
        <v>178125</v>
      </c>
      <c r="H2678" s="34">
        <f t="shared" si="1376"/>
        <v>65000</v>
      </c>
      <c r="I2678" s="34">
        <f t="shared" si="1376"/>
        <v>65000</v>
      </c>
      <c r="J2678" s="34">
        <f t="shared" si="1333"/>
        <v>285000000</v>
      </c>
      <c r="K2678" s="133">
        <v>1000</v>
      </c>
      <c r="L2678" s="34"/>
      <c r="M2678" s="16">
        <f t="shared" si="1374"/>
        <v>4595486.9165301733</v>
      </c>
      <c r="N2678" s="36">
        <v>600</v>
      </c>
      <c r="O2678" s="36">
        <v>50</v>
      </c>
      <c r="P2678" s="36">
        <v>38000</v>
      </c>
      <c r="Q2678" s="2" t="s">
        <v>253</v>
      </c>
      <c r="R2678" s="2" t="s">
        <v>247</v>
      </c>
      <c r="S2678" s="56">
        <v>26000</v>
      </c>
    </row>
    <row r="2679" spans="1:19" ht="38.25" x14ac:dyDescent="0.2">
      <c r="A2679" s="8" t="str">
        <f t="shared" si="1377"/>
        <v/>
      </c>
      <c r="B2679" s="5"/>
      <c r="C2679" s="6" t="s">
        <v>257</v>
      </c>
      <c r="D2679" s="5"/>
      <c r="E2679" s="5"/>
      <c r="F2679" s="5"/>
      <c r="G2679" s="5"/>
      <c r="H2679" s="5"/>
      <c r="I2679" s="5"/>
      <c r="J2679" s="5"/>
      <c r="K2679" s="133"/>
      <c r="L2679" s="5"/>
      <c r="M2679" s="16">
        <f t="shared" si="1374"/>
        <v>0</v>
      </c>
      <c r="N2679" s="5"/>
      <c r="O2679" s="5"/>
      <c r="P2679" s="5"/>
      <c r="Q2679" s="5"/>
      <c r="R2679" s="5"/>
      <c r="S2679" s="30"/>
    </row>
    <row r="2680" spans="1:19" x14ac:dyDescent="0.2">
      <c r="A2680" s="8" t="str">
        <f t="shared" si="1377"/>
        <v>70010110</v>
      </c>
      <c r="B2680" s="8">
        <v>7001</v>
      </c>
      <c r="C2680" s="8">
        <v>1</v>
      </c>
      <c r="D2680" s="8" t="s">
        <v>258</v>
      </c>
      <c r="E2680" s="8">
        <v>0</v>
      </c>
      <c r="F2680" s="34">
        <f t="shared" ref="F2680:G2692" si="1378">ROUNDDOWN($P2680/4*$O2680*10*$N2680/$N2680*$Q2680/400,0)</f>
        <v>125000</v>
      </c>
      <c r="G2680" s="34">
        <f t="shared" si="1378"/>
        <v>125000</v>
      </c>
      <c r="H2680" s="34">
        <f t="shared" ref="H2680:I2692" si="1379">ROUNDDOWN($S2680/4*10,0)</f>
        <v>50000</v>
      </c>
      <c r="I2680" s="34">
        <f t="shared" si="1379"/>
        <v>50000</v>
      </c>
      <c r="J2680" s="34">
        <f t="shared" si="1333"/>
        <v>2257920000</v>
      </c>
      <c r="K2680" s="133">
        <v>1000</v>
      </c>
      <c r="L2680" s="34"/>
      <c r="M2680" s="16">
        <f t="shared" si="1374"/>
        <v>9503515.1391471978</v>
      </c>
      <c r="N2680" s="36">
        <v>1344</v>
      </c>
      <c r="O2680" s="36">
        <v>40</v>
      </c>
      <c r="P2680" s="36">
        <v>50000</v>
      </c>
      <c r="Q2680" s="2" t="s">
        <v>272</v>
      </c>
      <c r="S2680" s="56">
        <v>20000</v>
      </c>
    </row>
    <row r="2681" spans="1:19" x14ac:dyDescent="0.2">
      <c r="A2681" s="8" t="str">
        <f t="shared" si="1377"/>
        <v>70019910</v>
      </c>
      <c r="B2681" s="8">
        <v>7001</v>
      </c>
      <c r="C2681" s="8">
        <v>99</v>
      </c>
      <c r="D2681" s="8" t="s">
        <v>62</v>
      </c>
      <c r="E2681" s="8">
        <v>0</v>
      </c>
      <c r="F2681" s="34">
        <f t="shared" si="1378"/>
        <v>156250</v>
      </c>
      <c r="G2681" s="34">
        <f t="shared" si="1378"/>
        <v>156250</v>
      </c>
      <c r="H2681" s="34">
        <f t="shared" si="1379"/>
        <v>25000</v>
      </c>
      <c r="I2681" s="34">
        <f t="shared" si="1379"/>
        <v>25000</v>
      </c>
      <c r="J2681" s="34">
        <f t="shared" si="1333"/>
        <v>189062</v>
      </c>
      <c r="K2681" s="133">
        <v>1000</v>
      </c>
      <c r="L2681" s="34"/>
      <c r="M2681" s="16">
        <f t="shared" si="1374"/>
        <v>68749.909090848989</v>
      </c>
      <c r="N2681" s="36">
        <v>220</v>
      </c>
      <c r="O2681" s="36">
        <v>50</v>
      </c>
      <c r="P2681" s="36">
        <v>2500</v>
      </c>
      <c r="Q2681" s="2" t="s">
        <v>271</v>
      </c>
      <c r="R2681" s="2" t="s">
        <v>270</v>
      </c>
      <c r="S2681" s="56">
        <v>10000</v>
      </c>
    </row>
    <row r="2682" spans="1:19" x14ac:dyDescent="0.2">
      <c r="A2682" s="8" t="str">
        <f>IF(B2682="","",CONCATENATE(B2682,CONCATENATE(REPT(0,2-LEN(C2682)),C2682),IF(OR(D2682="Easy",D2682=""),1,IF(D2682="Normal",2,IF(D2682="Hard",3,IF(D2682="Hell",4,"error")))),E2682))</f>
        <v>70012110</v>
      </c>
      <c r="B2682" s="8">
        <v>7001</v>
      </c>
      <c r="C2682" s="8">
        <v>21</v>
      </c>
      <c r="D2682" s="8" t="s">
        <v>62</v>
      </c>
      <c r="E2682" s="8">
        <v>0</v>
      </c>
      <c r="F2682" s="34">
        <f t="shared" si="1378"/>
        <v>625</v>
      </c>
      <c r="G2682" s="34">
        <f t="shared" si="1378"/>
        <v>625</v>
      </c>
      <c r="H2682" s="34">
        <f t="shared" si="1379"/>
        <v>25000</v>
      </c>
      <c r="I2682" s="34">
        <f t="shared" si="1379"/>
        <v>25000</v>
      </c>
      <c r="J2682" s="34">
        <v>1000</v>
      </c>
      <c r="K2682" s="133">
        <v>1000</v>
      </c>
      <c r="L2682" s="34"/>
      <c r="M2682" s="16">
        <f t="shared" si="1374"/>
        <v>316.2277660168379</v>
      </c>
      <c r="N2682" s="36">
        <v>220</v>
      </c>
      <c r="O2682" s="36">
        <v>50</v>
      </c>
      <c r="P2682" s="36">
        <v>10</v>
      </c>
      <c r="Q2682" s="2" t="s">
        <v>122</v>
      </c>
      <c r="R2682" s="2" t="s">
        <v>326</v>
      </c>
      <c r="S2682" s="56">
        <v>10000</v>
      </c>
    </row>
    <row r="2683" spans="1:19" ht="38.25" x14ac:dyDescent="0.2">
      <c r="A2683" s="8" t="str">
        <f t="shared" ref="A2683:A2684" si="1380">IF(B2683="","",CONCATENATE(B2683,CONCATENATE(REPT(0,2-LEN(C2683)),C2683),IF(OR(D2683="Easy",D2683=""),1,IF(D2683="Normal",2,IF(D2683="Hard",3,IF(D2683="Hell",4,"error")))),E2683))</f>
        <v/>
      </c>
      <c r="B2683" s="5"/>
      <c r="C2683" s="6" t="s">
        <v>348</v>
      </c>
      <c r="D2683" s="5"/>
      <c r="E2683" s="5"/>
      <c r="F2683" s="5"/>
      <c r="G2683" s="5"/>
      <c r="H2683" s="5"/>
      <c r="I2683" s="5"/>
      <c r="J2683" s="5"/>
      <c r="K2683" s="133"/>
      <c r="L2683" s="5"/>
      <c r="M2683" s="16">
        <f t="shared" si="1374"/>
        <v>0</v>
      </c>
      <c r="N2683" s="5"/>
      <c r="O2683" s="5"/>
      <c r="P2683" s="5"/>
      <c r="Q2683" s="5"/>
      <c r="R2683" s="5"/>
      <c r="S2683" s="30"/>
    </row>
    <row r="2684" spans="1:19" x14ac:dyDescent="0.2">
      <c r="A2684" s="8" t="str">
        <f t="shared" si="1380"/>
        <v>80010110</v>
      </c>
      <c r="B2684" s="8">
        <v>8001</v>
      </c>
      <c r="C2684" s="8">
        <v>1</v>
      </c>
      <c r="D2684" s="8" t="s">
        <v>258</v>
      </c>
      <c r="E2684" s="8">
        <v>0</v>
      </c>
      <c r="F2684" s="34">
        <f t="shared" si="1378"/>
        <v>1250</v>
      </c>
      <c r="G2684" s="34">
        <f t="shared" si="1378"/>
        <v>1250</v>
      </c>
      <c r="H2684" s="34">
        <f t="shared" si="1379"/>
        <v>50000</v>
      </c>
      <c r="I2684" s="34">
        <f t="shared" si="1379"/>
        <v>50000</v>
      </c>
      <c r="J2684" s="34">
        <f t="shared" si="1333"/>
        <v>90312</v>
      </c>
      <c r="K2684" s="133">
        <v>1000</v>
      </c>
      <c r="L2684" s="34"/>
      <c r="M2684" s="16">
        <f t="shared" si="1374"/>
        <v>6010.3910022560103</v>
      </c>
      <c r="N2684" s="36">
        <v>85</v>
      </c>
      <c r="O2684" s="36">
        <v>4</v>
      </c>
      <c r="P2684" s="36">
        <v>5000</v>
      </c>
      <c r="Q2684" s="2" t="s">
        <v>272</v>
      </c>
      <c r="S2684" s="56">
        <v>20000</v>
      </c>
    </row>
    <row r="2685" spans="1:19" ht="20.25" x14ac:dyDescent="0.2">
      <c r="A2685" s="8" t="str">
        <f t="shared" ref="A2685:A2688" si="1381">IF(B2685="","",CONCATENATE(B2685,CONCATENATE(REPT(0,2-LEN(C2685)),C2685),IF(OR(D2685="Easy",D2685=""),1,IF(D2685="Normal",2,IF(D2685="Hard",3,IF(D2685="Hell",4,"error")))),E2685))</f>
        <v/>
      </c>
      <c r="B2685" s="5"/>
      <c r="C2685" s="79" t="s">
        <v>299</v>
      </c>
      <c r="D2685" s="5"/>
      <c r="E2685" s="5"/>
      <c r="F2685" s="5"/>
      <c r="G2685" s="5"/>
      <c r="H2685" s="5"/>
      <c r="I2685" s="5"/>
      <c r="J2685" s="5"/>
      <c r="K2685" s="133"/>
      <c r="L2685" s="5"/>
      <c r="M2685" s="16">
        <f t="shared" si="1374"/>
        <v>0</v>
      </c>
      <c r="N2685" s="5"/>
      <c r="O2685" s="5"/>
      <c r="P2685" s="5"/>
      <c r="Q2685" s="5"/>
      <c r="R2685" s="5"/>
      <c r="S2685" s="30"/>
    </row>
    <row r="2686" spans="1:19" x14ac:dyDescent="0.2">
      <c r="A2686" s="8" t="str">
        <f t="shared" si="1381"/>
        <v>60010130</v>
      </c>
      <c r="B2686" s="8">
        <v>6001</v>
      </c>
      <c r="C2686" s="8">
        <v>1</v>
      </c>
      <c r="D2686" s="8" t="s">
        <v>300</v>
      </c>
      <c r="E2686" s="8">
        <v>0</v>
      </c>
      <c r="F2686" s="34">
        <f t="shared" si="1378"/>
        <v>270000</v>
      </c>
      <c r="G2686" s="34">
        <f t="shared" si="1378"/>
        <v>270000</v>
      </c>
      <c r="H2686" s="34">
        <f t="shared" si="1379"/>
        <v>100000</v>
      </c>
      <c r="I2686" s="34">
        <f t="shared" si="1379"/>
        <v>100000</v>
      </c>
      <c r="J2686" s="34">
        <f t="shared" si="1333"/>
        <v>408333333</v>
      </c>
      <c r="K2686" s="133">
        <v>1000</v>
      </c>
      <c r="L2686" s="34"/>
      <c r="M2686" s="16">
        <f t="shared" si="1374"/>
        <v>8399999.9965714291</v>
      </c>
      <c r="N2686" s="36">
        <v>1050</v>
      </c>
      <c r="O2686" s="36">
        <v>32</v>
      </c>
      <c r="P2686" s="36">
        <v>50000</v>
      </c>
      <c r="Q2686" s="2" t="s">
        <v>301</v>
      </c>
      <c r="S2686" s="56">
        <v>40000</v>
      </c>
    </row>
    <row r="2687" spans="1:19" x14ac:dyDescent="0.2">
      <c r="A2687" s="8" t="str">
        <f t="shared" si="1381"/>
        <v>60011630</v>
      </c>
      <c r="B2687" s="8">
        <v>6001</v>
      </c>
      <c r="C2687" s="8">
        <v>16</v>
      </c>
      <c r="D2687" s="8" t="s">
        <v>64</v>
      </c>
      <c r="E2687" s="8">
        <v>0</v>
      </c>
      <c r="F2687" s="34">
        <f t="shared" si="1378"/>
        <v>168750</v>
      </c>
      <c r="G2687" s="34">
        <f t="shared" si="1378"/>
        <v>168750</v>
      </c>
      <c r="H2687" s="34">
        <f t="shared" si="1379"/>
        <v>25000</v>
      </c>
      <c r="I2687" s="34">
        <f t="shared" si="1379"/>
        <v>25000</v>
      </c>
      <c r="J2687" s="34">
        <f t="shared" si="1333"/>
        <v>252083</v>
      </c>
      <c r="K2687" s="133">
        <v>1000</v>
      </c>
      <c r="L2687" s="34"/>
      <c r="M2687" s="16">
        <f t="shared" si="1374"/>
        <v>82499.94545452742</v>
      </c>
      <c r="N2687" s="36">
        <v>220</v>
      </c>
      <c r="O2687" s="36">
        <v>50</v>
      </c>
      <c r="P2687" s="36">
        <v>3000</v>
      </c>
      <c r="Q2687" s="2" t="s">
        <v>302</v>
      </c>
      <c r="R2687" s="2" t="s">
        <v>226</v>
      </c>
      <c r="S2687" s="56">
        <v>10000</v>
      </c>
    </row>
    <row r="2688" spans="1:19" x14ac:dyDescent="0.2">
      <c r="A2688" s="8" t="str">
        <f t="shared" si="1381"/>
        <v>60011530</v>
      </c>
      <c r="B2688" s="8">
        <v>6001</v>
      </c>
      <c r="C2688" s="8">
        <v>15</v>
      </c>
      <c r="D2688" s="8" t="s">
        <v>64</v>
      </c>
      <c r="E2688" s="8">
        <v>0</v>
      </c>
      <c r="F2688" s="34">
        <f t="shared" si="1378"/>
        <v>131250</v>
      </c>
      <c r="G2688" s="34">
        <f t="shared" si="1378"/>
        <v>131250</v>
      </c>
      <c r="H2688" s="34">
        <f t="shared" si="1379"/>
        <v>25000</v>
      </c>
      <c r="I2688" s="34">
        <f t="shared" si="1379"/>
        <v>25000</v>
      </c>
      <c r="J2688" s="34">
        <f t="shared" ref="J2688" si="1382">ROUNDDOWN($P2688/4*$O2688*10*$N2688/$Q2688*$N2688/400,0)</f>
        <v>150669</v>
      </c>
      <c r="K2688" s="133">
        <v>1000</v>
      </c>
      <c r="L2688" s="34"/>
      <c r="M2688" s="16">
        <f t="shared" si="1374"/>
        <v>56249.879999871999</v>
      </c>
      <c r="N2688" s="36">
        <v>150</v>
      </c>
      <c r="O2688" s="36">
        <v>50</v>
      </c>
      <c r="P2688" s="36">
        <v>3000</v>
      </c>
      <c r="Q2688" s="2" t="s">
        <v>303</v>
      </c>
      <c r="R2688" s="2" t="s">
        <v>225</v>
      </c>
      <c r="S2688" s="56">
        <v>10000</v>
      </c>
    </row>
    <row r="2689" spans="1:20" ht="20.25" x14ac:dyDescent="0.2">
      <c r="A2689" s="8" t="str">
        <f t="shared" ref="A2689:A2698" si="1383">IF(B2689="","",CONCATENATE(B2689,CONCATENATE(REPT(0,2-LEN(C2689)),C2689),IF(OR(D2689="Easy",D2689=""),1,IF(D2689="Normal",2,IF(D2689="Hard",3,IF(D2689="Hell",4,"error")))),E2689))</f>
        <v/>
      </c>
      <c r="B2689" s="5"/>
      <c r="C2689" s="79" t="s">
        <v>559</v>
      </c>
      <c r="D2689" s="5"/>
      <c r="E2689" s="5"/>
      <c r="F2689" s="5"/>
      <c r="G2689" s="5"/>
      <c r="H2689" s="5"/>
      <c r="I2689" s="5"/>
      <c r="J2689" s="5"/>
      <c r="K2689" s="133"/>
      <c r="L2689" s="5"/>
      <c r="M2689" s="16">
        <f t="shared" si="1374"/>
        <v>0</v>
      </c>
      <c r="N2689" s="5"/>
      <c r="O2689" s="5"/>
      <c r="P2689" s="5"/>
      <c r="Q2689" s="5"/>
      <c r="R2689" s="5"/>
      <c r="S2689" s="30"/>
    </row>
    <row r="2690" spans="1:20" x14ac:dyDescent="0.2">
      <c r="A2690" s="8" t="str">
        <f t="shared" si="1383"/>
        <v>60010140</v>
      </c>
      <c r="B2690" s="8">
        <v>6001</v>
      </c>
      <c r="C2690" s="8">
        <v>1</v>
      </c>
      <c r="D2690" s="8" t="s">
        <v>237</v>
      </c>
      <c r="E2690" s="8">
        <v>0</v>
      </c>
      <c r="F2690" s="34">
        <f t="shared" si="1378"/>
        <v>909562</v>
      </c>
      <c r="G2690" s="34">
        <f t="shared" si="1378"/>
        <v>909562</v>
      </c>
      <c r="H2690" s="34">
        <f t="shared" si="1379"/>
        <v>150000</v>
      </c>
      <c r="I2690" s="34">
        <f t="shared" si="1379"/>
        <v>150000</v>
      </c>
      <c r="J2690" s="34">
        <f t="shared" ref="J2690:J2692" si="1384">ROUNDDOWN($P2690/4*$O2690*10*$N2690/$Q2690*$N2690/400,0)</f>
        <v>611365740</v>
      </c>
      <c r="K2690" s="133">
        <v>1000</v>
      </c>
      <c r="L2690" s="34"/>
      <c r="M2690" s="16">
        <f t="shared" si="1374"/>
        <v>23104805.634275414</v>
      </c>
      <c r="N2690" s="36">
        <v>700</v>
      </c>
      <c r="O2690" s="36">
        <v>70</v>
      </c>
      <c r="P2690" s="36">
        <v>77000</v>
      </c>
      <c r="Q2690" s="2" t="s">
        <v>301</v>
      </c>
      <c r="S2690" s="56">
        <v>60000</v>
      </c>
    </row>
    <row r="2691" spans="1:20" x14ac:dyDescent="0.2">
      <c r="A2691" s="8" t="str">
        <f t="shared" si="1383"/>
        <v>60011640</v>
      </c>
      <c r="B2691" s="8">
        <v>6001</v>
      </c>
      <c r="C2691" s="8">
        <v>16</v>
      </c>
      <c r="D2691" s="8" t="s">
        <v>237</v>
      </c>
      <c r="E2691" s="8">
        <v>0</v>
      </c>
      <c r="F2691" s="34">
        <f t="shared" si="1378"/>
        <v>375000</v>
      </c>
      <c r="G2691" s="34">
        <f t="shared" si="1378"/>
        <v>375000</v>
      </c>
      <c r="H2691" s="34">
        <f t="shared" si="1379"/>
        <v>25000</v>
      </c>
      <c r="I2691" s="34">
        <f t="shared" si="1379"/>
        <v>25000</v>
      </c>
      <c r="J2691" s="34">
        <f t="shared" si="1384"/>
        <v>453750</v>
      </c>
      <c r="K2691" s="133">
        <v>1000</v>
      </c>
      <c r="L2691" s="34"/>
      <c r="M2691" s="16">
        <f t="shared" si="1374"/>
        <v>165000</v>
      </c>
      <c r="N2691" s="36">
        <v>220</v>
      </c>
      <c r="O2691" s="36">
        <v>50</v>
      </c>
      <c r="P2691" s="36">
        <v>6000</v>
      </c>
      <c r="Q2691" s="2" t="s">
        <v>122</v>
      </c>
      <c r="R2691" s="2" t="s">
        <v>226</v>
      </c>
      <c r="S2691" s="56">
        <v>10000</v>
      </c>
    </row>
    <row r="2692" spans="1:20" x14ac:dyDescent="0.2">
      <c r="A2692" s="8" t="str">
        <f t="shared" si="1383"/>
        <v>60011540</v>
      </c>
      <c r="B2692" s="8">
        <v>6001</v>
      </c>
      <c r="C2692" s="8">
        <v>15</v>
      </c>
      <c r="D2692" s="8" t="s">
        <v>237</v>
      </c>
      <c r="E2692" s="8">
        <v>0</v>
      </c>
      <c r="F2692" s="34">
        <f t="shared" si="1378"/>
        <v>262500</v>
      </c>
      <c r="G2692" s="34">
        <f t="shared" si="1378"/>
        <v>262500</v>
      </c>
      <c r="H2692" s="34">
        <f t="shared" si="1379"/>
        <v>25000</v>
      </c>
      <c r="I2692" s="34">
        <f t="shared" si="1379"/>
        <v>25000</v>
      </c>
      <c r="J2692" s="34">
        <f t="shared" si="1384"/>
        <v>301339</v>
      </c>
      <c r="K2692" s="133">
        <v>1000</v>
      </c>
      <c r="L2692" s="34"/>
      <c r="M2692" s="16">
        <f t="shared" si="1374"/>
        <v>112499.94666665404</v>
      </c>
      <c r="N2692" s="36">
        <v>150</v>
      </c>
      <c r="O2692" s="36">
        <v>50</v>
      </c>
      <c r="P2692" s="36">
        <v>6000</v>
      </c>
      <c r="Q2692" s="2" t="s">
        <v>303</v>
      </c>
      <c r="R2692" s="2" t="s">
        <v>225</v>
      </c>
      <c r="S2692" s="56">
        <v>10000</v>
      </c>
    </row>
    <row r="2693" spans="1:20" s="223" customFormat="1" ht="20.25" x14ac:dyDescent="0.2">
      <c r="A2693" s="8" t="str">
        <f t="shared" si="1383"/>
        <v/>
      </c>
      <c r="B2693" s="5"/>
      <c r="C2693" s="79" t="s">
        <v>1081</v>
      </c>
      <c r="D2693" s="5"/>
      <c r="E2693" s="5"/>
      <c r="F2693" s="5"/>
      <c r="G2693" s="5"/>
      <c r="H2693" s="5"/>
      <c r="I2693" s="5"/>
      <c r="J2693" s="5"/>
      <c r="K2693" s="133"/>
      <c r="L2693" s="5"/>
      <c r="M2693" s="16">
        <f t="shared" si="1374"/>
        <v>0</v>
      </c>
      <c r="N2693" s="5"/>
      <c r="O2693" s="5"/>
      <c r="P2693" s="5"/>
      <c r="Q2693" s="5"/>
      <c r="R2693" s="5"/>
      <c r="S2693" s="30"/>
      <c r="T2693" s="116"/>
    </row>
    <row r="2694" spans="1:20" s="223" customFormat="1" x14ac:dyDescent="0.2">
      <c r="A2694" s="8" t="str">
        <f t="shared" si="1383"/>
        <v>60020120</v>
      </c>
      <c r="B2694" s="8">
        <v>6002</v>
      </c>
      <c r="C2694" s="8">
        <v>1</v>
      </c>
      <c r="D2694" s="8" t="s">
        <v>63</v>
      </c>
      <c r="E2694" s="8">
        <v>0</v>
      </c>
      <c r="F2694" s="34">
        <v>195390</v>
      </c>
      <c r="G2694" s="34">
        <v>195390</v>
      </c>
      <c r="H2694" s="34">
        <v>80000</v>
      </c>
      <c r="I2694" s="34">
        <v>80000</v>
      </c>
      <c r="J2694" s="34">
        <v>335918445</v>
      </c>
      <c r="K2694" s="133">
        <v>1000</v>
      </c>
      <c r="L2694" s="34"/>
      <c r="M2694" s="16">
        <v>5796996.959107155</v>
      </c>
      <c r="N2694" s="36">
        <v>850</v>
      </c>
      <c r="O2694" s="36">
        <v>50</v>
      </c>
      <c r="P2694" s="36">
        <v>30500</v>
      </c>
      <c r="Q2694" s="2" t="s">
        <v>1082</v>
      </c>
      <c r="R2694" s="2"/>
      <c r="S2694" s="56">
        <v>32000</v>
      </c>
      <c r="T2694" s="116"/>
    </row>
    <row r="2695" spans="1:20" s="223" customFormat="1" x14ac:dyDescent="0.2">
      <c r="A2695" s="8" t="str">
        <f t="shared" si="1383"/>
        <v>60020220</v>
      </c>
      <c r="B2695" s="8">
        <v>6002</v>
      </c>
      <c r="C2695" s="8">
        <v>2</v>
      </c>
      <c r="D2695" s="8" t="s">
        <v>63</v>
      </c>
      <c r="E2695" s="8">
        <v>0</v>
      </c>
      <c r="F2695" s="34">
        <v>270000</v>
      </c>
      <c r="G2695" s="34">
        <v>270000</v>
      </c>
      <c r="H2695" s="34">
        <v>100000</v>
      </c>
      <c r="I2695" s="34">
        <v>100000</v>
      </c>
      <c r="J2695" s="34">
        <v>408333333</v>
      </c>
      <c r="K2695" s="133">
        <v>1000</v>
      </c>
      <c r="L2695" s="34"/>
      <c r="M2695" s="16">
        <v>8399999.9965714291</v>
      </c>
      <c r="N2695" s="36">
        <v>1050</v>
      </c>
      <c r="O2695" s="36">
        <v>32</v>
      </c>
      <c r="P2695" s="36">
        <v>50000</v>
      </c>
      <c r="Q2695" s="2" t="s">
        <v>1083</v>
      </c>
      <c r="R2695" s="2"/>
      <c r="S2695" s="56">
        <v>40000</v>
      </c>
      <c r="T2695" s="116"/>
    </row>
    <row r="2696" spans="1:20" s="223" customFormat="1" x14ac:dyDescent="0.2">
      <c r="A2696" s="8" t="str">
        <f t="shared" si="1383"/>
        <v>60020320</v>
      </c>
      <c r="B2696" s="8">
        <v>6002</v>
      </c>
      <c r="C2696" s="8">
        <v>3</v>
      </c>
      <c r="D2696" s="8" t="s">
        <v>63</v>
      </c>
      <c r="E2696" s="8">
        <v>0</v>
      </c>
      <c r="F2696" s="34">
        <v>909562</v>
      </c>
      <c r="G2696" s="34">
        <v>909562</v>
      </c>
      <c r="H2696" s="34">
        <v>150000</v>
      </c>
      <c r="I2696" s="34">
        <v>150000</v>
      </c>
      <c r="J2696" s="34">
        <v>611365740</v>
      </c>
      <c r="K2696" s="133">
        <v>1000</v>
      </c>
      <c r="L2696" s="34"/>
      <c r="M2696" s="16">
        <v>23104805.634275414</v>
      </c>
      <c r="N2696" s="36">
        <v>700</v>
      </c>
      <c r="O2696" s="36">
        <v>70</v>
      </c>
      <c r="P2696" s="36">
        <v>77000</v>
      </c>
      <c r="Q2696" s="2" t="s">
        <v>1083</v>
      </c>
      <c r="R2696" s="2"/>
      <c r="S2696" s="56">
        <v>60000</v>
      </c>
      <c r="T2696" s="116"/>
    </row>
    <row r="2697" spans="1:20" s="223" customFormat="1" x14ac:dyDescent="0.2">
      <c r="A2697" s="8" t="str">
        <f t="shared" si="1383"/>
        <v>60020420</v>
      </c>
      <c r="B2697" s="8">
        <v>6002</v>
      </c>
      <c r="C2697" s="8">
        <v>4</v>
      </c>
      <c r="D2697" s="8" t="s">
        <v>63</v>
      </c>
      <c r="E2697" s="8">
        <v>0</v>
      </c>
      <c r="F2697" s="34">
        <f t="shared" ref="F2697:G2699" si="1385">ROUNDDOWN($P2697/4*$O2697*10*$N2697/$N2697*$Q2697/400,0)</f>
        <v>1312500</v>
      </c>
      <c r="G2697" s="34">
        <f t="shared" si="1385"/>
        <v>1312500</v>
      </c>
      <c r="H2697" s="34">
        <f t="shared" ref="H2697:I2699" si="1386">ROUNDDOWN($S2697/4*10,0)</f>
        <v>200000</v>
      </c>
      <c r="I2697" s="34">
        <f t="shared" si="1386"/>
        <v>200000</v>
      </c>
      <c r="J2697" s="34">
        <f t="shared" ref="J2697:J2698" si="1387">ROUNDDOWN($P2697/4*$O2697*10*$N2697/$Q2697*$N2697/400,0)</f>
        <v>1209542410</v>
      </c>
      <c r="K2697" s="133">
        <v>1000</v>
      </c>
      <c r="L2697" s="34"/>
      <c r="M2697" s="16">
        <v>23104805.634275414</v>
      </c>
      <c r="N2697" s="36">
        <v>850</v>
      </c>
      <c r="O2697" s="36">
        <v>75</v>
      </c>
      <c r="P2697" s="36">
        <v>100000</v>
      </c>
      <c r="Q2697" s="2" t="s">
        <v>1084</v>
      </c>
      <c r="R2697" s="2"/>
      <c r="S2697" s="56">
        <v>80000</v>
      </c>
      <c r="T2697" s="116"/>
    </row>
    <row r="2698" spans="1:20" s="223" customFormat="1" x14ac:dyDescent="0.2">
      <c r="A2698" s="8" t="str">
        <f t="shared" si="1383"/>
        <v>60020520</v>
      </c>
      <c r="B2698" s="8">
        <v>6002</v>
      </c>
      <c r="C2698" s="8">
        <v>5</v>
      </c>
      <c r="D2698" s="8" t="s">
        <v>63</v>
      </c>
      <c r="E2698" s="8">
        <v>0</v>
      </c>
      <c r="F2698" s="34">
        <f t="shared" si="1385"/>
        <v>2175000</v>
      </c>
      <c r="G2698" s="34">
        <f t="shared" si="1385"/>
        <v>2175000</v>
      </c>
      <c r="H2698" s="34">
        <f t="shared" si="1386"/>
        <v>250000</v>
      </c>
      <c r="I2698" s="34">
        <f t="shared" si="1386"/>
        <v>250000</v>
      </c>
      <c r="J2698" s="34">
        <f t="shared" si="1387"/>
        <v>1957500000</v>
      </c>
      <c r="K2698" s="133">
        <v>1000</v>
      </c>
      <c r="L2698" s="34"/>
      <c r="M2698" s="16">
        <v>23104805.634275414</v>
      </c>
      <c r="N2698" s="36">
        <v>900</v>
      </c>
      <c r="O2698" s="36">
        <v>80</v>
      </c>
      <c r="P2698" s="36">
        <v>145000</v>
      </c>
      <c r="Q2698" s="2" t="s">
        <v>1085</v>
      </c>
      <c r="R2698" s="2"/>
      <c r="S2698" s="56">
        <v>100000</v>
      </c>
      <c r="T2698" s="116"/>
    </row>
    <row r="2699" spans="1:20" s="223" customFormat="1" x14ac:dyDescent="0.2">
      <c r="A2699" s="8" t="str">
        <f t="shared" ref="A2699" si="1388">IF(B2699="","",CONCATENATE(B2699,CONCATENATE(REPT(0,2-LEN(C2699)),C2699),IF(OR(D2699="Easy",D2699=""),1,IF(D2699="Normal",2,IF(D2699="Hard",3,IF(D2699="Hell",4,"error")))),E2699))</f>
        <v>60100120</v>
      </c>
      <c r="B2699" s="8">
        <v>6010</v>
      </c>
      <c r="C2699" s="8">
        <v>1</v>
      </c>
      <c r="D2699" s="8" t="s">
        <v>63</v>
      </c>
      <c r="E2699" s="8">
        <v>0</v>
      </c>
      <c r="F2699" s="34">
        <f t="shared" si="1385"/>
        <v>21</v>
      </c>
      <c r="G2699" s="34">
        <f t="shared" si="1385"/>
        <v>21</v>
      </c>
      <c r="H2699" s="34">
        <f t="shared" si="1386"/>
        <v>0</v>
      </c>
      <c r="I2699" s="34">
        <f t="shared" si="1386"/>
        <v>0</v>
      </c>
      <c r="J2699" s="34">
        <v>40</v>
      </c>
      <c r="K2699" s="133">
        <v>1000</v>
      </c>
      <c r="L2699" s="34"/>
      <c r="M2699" s="16">
        <v>23104805.634275414</v>
      </c>
      <c r="N2699" s="36">
        <v>60</v>
      </c>
      <c r="O2699" s="36">
        <v>100</v>
      </c>
      <c r="P2699" s="36">
        <v>1</v>
      </c>
      <c r="Q2699" s="2" t="s">
        <v>1086</v>
      </c>
      <c r="R2699" s="2"/>
      <c r="S2699" s="56">
        <v>0</v>
      </c>
      <c r="T2699" s="116"/>
    </row>
    <row r="2700" spans="1:20" s="223" customFormat="1" x14ac:dyDescent="0.2">
      <c r="A2700" s="8" t="str">
        <f t="shared" ref="A2700" si="1389">IF(B2700="","",CONCATENATE(B2700,CONCATENATE(REPT(0,2-LEN(C2700)),C2700),IF(OR(D2700="Easy",D2700=""),1,IF(D2700="Normal",2,IF(D2700="Hard",3,IF(D2700="Hell",4,"error")))),E2700))</f>
        <v>60110120</v>
      </c>
      <c r="B2700" s="8">
        <v>6011</v>
      </c>
      <c r="C2700" s="8">
        <v>1</v>
      </c>
      <c r="D2700" s="8" t="s">
        <v>63</v>
      </c>
      <c r="E2700" s="8">
        <v>0</v>
      </c>
      <c r="F2700" s="34">
        <v>270000</v>
      </c>
      <c r="G2700" s="34">
        <v>270000</v>
      </c>
      <c r="H2700" s="34">
        <v>100000</v>
      </c>
      <c r="I2700" s="34">
        <v>100000</v>
      </c>
      <c r="J2700" s="34">
        <v>408333333</v>
      </c>
      <c r="K2700" s="133">
        <v>1000</v>
      </c>
      <c r="L2700" s="34"/>
      <c r="M2700" s="16">
        <v>23104805.634275414</v>
      </c>
      <c r="N2700" s="36">
        <v>700</v>
      </c>
      <c r="O2700" s="36">
        <v>70</v>
      </c>
      <c r="P2700" s="36">
        <v>77000</v>
      </c>
      <c r="Q2700" s="2" t="s">
        <v>1083</v>
      </c>
      <c r="R2700" s="2"/>
      <c r="S2700" s="56">
        <v>50000</v>
      </c>
      <c r="T2700" s="116"/>
    </row>
    <row r="2701" spans="1:20" ht="20.25" x14ac:dyDescent="0.2">
      <c r="A2701" s="8" t="str">
        <f t="shared" ref="A2701:A2712" si="1390">IF(B2701="","",CONCATENATE(B2701,CONCATENATE(REPT(0,2-LEN(C2701)),C2701),IF(OR(D2701="Easy",D2701=""),1,IF(D2701="Normal",2,IF(D2701="Hard",3,IF(D2701="Hell",4,"error")))),E2701))</f>
        <v/>
      </c>
      <c r="B2701" s="5"/>
      <c r="C2701" s="79" t="s">
        <v>359</v>
      </c>
      <c r="D2701" s="5"/>
      <c r="E2701" s="5"/>
      <c r="F2701" s="5"/>
      <c r="G2701" s="5"/>
      <c r="H2701" s="5"/>
      <c r="I2701" s="5"/>
      <c r="J2701" s="5"/>
      <c r="K2701" s="133"/>
      <c r="L2701" s="5"/>
      <c r="M2701" s="16">
        <f t="shared" si="1374"/>
        <v>0</v>
      </c>
      <c r="N2701" s="5"/>
      <c r="O2701" s="5"/>
      <c r="P2701" s="5"/>
      <c r="Q2701" s="5"/>
      <c r="R2701" s="5"/>
      <c r="S2701" s="30"/>
    </row>
    <row r="2702" spans="1:20" x14ac:dyDescent="0.2">
      <c r="A2702" s="8" t="str">
        <f t="shared" si="1390"/>
        <v>9134919</v>
      </c>
      <c r="B2702" s="8">
        <v>913</v>
      </c>
      <c r="C2702" s="8">
        <v>49</v>
      </c>
      <c r="D2702" s="8" t="s">
        <v>62</v>
      </c>
      <c r="E2702" s="8">
        <v>9</v>
      </c>
      <c r="F2702" s="34">
        <f t="shared" ref="F2702:G2705" si="1391">ROUNDDOWN($P2702/4*MIN($O2702,4)*10*$N2702/$N2702*$Q2702/400,0)</f>
        <v>1137500</v>
      </c>
      <c r="G2702" s="34">
        <f t="shared" si="1391"/>
        <v>1137500</v>
      </c>
      <c r="H2702" s="34">
        <f t="shared" ref="H2702:I2705" si="1392">ROUNDDOWN($S2702/4*10,0)</f>
        <v>137500</v>
      </c>
      <c r="I2702" s="34">
        <f t="shared" si="1392"/>
        <v>137500</v>
      </c>
      <c r="J2702" s="34">
        <f t="shared" ref="J2702:J2705" si="1393">ROUNDDOWN($P2702/4*$O2702*10*$N2702/$Q2702*$N2702/400*0.8,0)</f>
        <v>13300219</v>
      </c>
      <c r="K2702" s="133">
        <v>1000</v>
      </c>
      <c r="L2702" s="34"/>
      <c r="M2702" s="16">
        <f t="shared" si="1374"/>
        <v>3648769.5486286879</v>
      </c>
      <c r="N2702" s="36">
        <v>820</v>
      </c>
      <c r="O2702" s="36">
        <v>18</v>
      </c>
      <c r="P2702" s="36">
        <v>100000</v>
      </c>
      <c r="Q2702" s="2" t="s">
        <v>361</v>
      </c>
      <c r="R2702" s="2" t="s">
        <v>170</v>
      </c>
      <c r="S2702" s="56">
        <f>P2702*0.55</f>
        <v>55000.000000000007</v>
      </c>
      <c r="T2702" s="114"/>
    </row>
    <row r="2703" spans="1:20" x14ac:dyDescent="0.2">
      <c r="A2703" s="8" t="str">
        <f t="shared" si="1390"/>
        <v>9134911</v>
      </c>
      <c r="B2703" s="8">
        <v>913</v>
      </c>
      <c r="C2703" s="8">
        <v>49</v>
      </c>
      <c r="D2703" s="8" t="s">
        <v>62</v>
      </c>
      <c r="E2703" s="8">
        <v>1</v>
      </c>
      <c r="F2703" s="34">
        <f t="shared" si="1391"/>
        <v>292187</v>
      </c>
      <c r="G2703" s="34">
        <f t="shared" si="1391"/>
        <v>292187</v>
      </c>
      <c r="H2703" s="34">
        <f t="shared" si="1392"/>
        <v>116875</v>
      </c>
      <c r="I2703" s="34">
        <f t="shared" si="1392"/>
        <v>116875</v>
      </c>
      <c r="J2703" s="34">
        <f t="shared" si="1393"/>
        <v>682781</v>
      </c>
      <c r="K2703" s="133">
        <v>1000</v>
      </c>
      <c r="L2703" s="34"/>
      <c r="M2703" s="16">
        <f t="shared" si="1374"/>
        <v>386297.55315191427</v>
      </c>
      <c r="N2703" s="36">
        <v>940</v>
      </c>
      <c r="O2703" s="36">
        <v>1</v>
      </c>
      <c r="P2703" s="36">
        <v>85000</v>
      </c>
      <c r="Q2703" s="2" t="s">
        <v>360</v>
      </c>
      <c r="R2703" s="2" t="s">
        <v>170</v>
      </c>
      <c r="S2703" s="56">
        <f>P2703*0.55</f>
        <v>46750.000000000007</v>
      </c>
      <c r="T2703" s="114"/>
    </row>
    <row r="2704" spans="1:20" x14ac:dyDescent="0.2">
      <c r="A2704" s="8" t="str">
        <f t="shared" ref="A2704" si="1394">IF(B2704="","",CONCATENATE(B2704,CONCATENATE(REPT(0,2-LEN(C2704)),C2704),IF(OR(D2704="Easy",D2704=""),1,IF(D2704="Normal",2,IF(D2704="Hard",3,IF(D2704="Hell",4,"error")))),E2704))</f>
        <v>9134912</v>
      </c>
      <c r="B2704" s="8">
        <v>913</v>
      </c>
      <c r="C2704" s="8">
        <v>49</v>
      </c>
      <c r="D2704" s="8" t="s">
        <v>62</v>
      </c>
      <c r="E2704" s="8">
        <v>2</v>
      </c>
      <c r="F2704" s="34">
        <f t="shared" si="1391"/>
        <v>292187</v>
      </c>
      <c r="G2704" s="34">
        <f t="shared" si="1391"/>
        <v>292187</v>
      </c>
      <c r="H2704" s="34">
        <f t="shared" si="1392"/>
        <v>116875</v>
      </c>
      <c r="I2704" s="34">
        <f t="shared" si="1392"/>
        <v>116875</v>
      </c>
      <c r="J2704" s="34">
        <f t="shared" si="1393"/>
        <v>935000</v>
      </c>
      <c r="K2704" s="133">
        <v>1000</v>
      </c>
      <c r="L2704" s="34"/>
      <c r="M2704" s="16">
        <f t="shared" si="1374"/>
        <v>452050.59900413809</v>
      </c>
      <c r="N2704" s="36">
        <v>1100</v>
      </c>
      <c r="O2704" s="36">
        <v>1</v>
      </c>
      <c r="P2704" s="36">
        <v>85000</v>
      </c>
      <c r="Q2704" s="2" t="s">
        <v>360</v>
      </c>
      <c r="R2704" s="2" t="s">
        <v>305</v>
      </c>
      <c r="S2704" s="56">
        <f>P2704*0.55</f>
        <v>46750.000000000007</v>
      </c>
      <c r="T2704" s="114"/>
    </row>
    <row r="2705" spans="1:20" x14ac:dyDescent="0.2">
      <c r="A2705" s="8" t="str">
        <f t="shared" ref="A2705" si="1395">IF(B2705="","",CONCATENATE(B2705,CONCATENATE(REPT(0,2-LEN(C2705)),C2705),IF(OR(D2705="Easy",D2705=""),1,IF(D2705="Normal",2,IF(D2705="Hard",3,IF(D2705="Hell",4,"error")))),E2705))</f>
        <v>9134914</v>
      </c>
      <c r="B2705" s="8">
        <v>913</v>
      </c>
      <c r="C2705" s="8">
        <v>49</v>
      </c>
      <c r="D2705" s="8" t="s">
        <v>62</v>
      </c>
      <c r="E2705" s="8">
        <v>4</v>
      </c>
      <c r="F2705" s="34">
        <f t="shared" si="1391"/>
        <v>286875</v>
      </c>
      <c r="G2705" s="34">
        <f t="shared" si="1391"/>
        <v>286875</v>
      </c>
      <c r="H2705" s="34">
        <f t="shared" si="1392"/>
        <v>116875</v>
      </c>
      <c r="I2705" s="34">
        <f t="shared" si="1392"/>
        <v>116875</v>
      </c>
      <c r="J2705" s="34">
        <f t="shared" si="1393"/>
        <v>952314</v>
      </c>
      <c r="K2705" s="133">
        <v>1000</v>
      </c>
      <c r="L2705" s="34"/>
      <c r="M2705" s="16">
        <f t="shared" si="1374"/>
        <v>452050.7923950582</v>
      </c>
      <c r="N2705" s="36">
        <v>1100</v>
      </c>
      <c r="O2705" s="36">
        <v>1</v>
      </c>
      <c r="P2705" s="36">
        <v>85000</v>
      </c>
      <c r="Q2705" s="2" t="s">
        <v>250</v>
      </c>
      <c r="R2705" s="2" t="s">
        <v>362</v>
      </c>
      <c r="S2705" s="56">
        <f>P2705*0.55</f>
        <v>46750.000000000007</v>
      </c>
      <c r="T2705" s="114"/>
    </row>
    <row r="2706" spans="1:20" ht="20.25" x14ac:dyDescent="0.2">
      <c r="A2706" s="8" t="str">
        <f t="shared" si="1390"/>
        <v/>
      </c>
      <c r="B2706" s="5"/>
      <c r="C2706" s="79" t="s">
        <v>349</v>
      </c>
      <c r="D2706" s="5"/>
      <c r="E2706" s="5"/>
      <c r="F2706" s="5"/>
      <c r="G2706" s="5"/>
      <c r="H2706" s="5"/>
      <c r="I2706" s="5"/>
      <c r="J2706" s="5"/>
      <c r="K2706" s="133"/>
      <c r="L2706" s="5"/>
      <c r="M2706" s="16">
        <f t="shared" si="1374"/>
        <v>0</v>
      </c>
      <c r="N2706" s="5"/>
      <c r="O2706" s="5"/>
      <c r="P2706" s="5"/>
      <c r="Q2706" s="5"/>
      <c r="R2706" s="5"/>
      <c r="S2706" s="30"/>
    </row>
    <row r="2707" spans="1:20" x14ac:dyDescent="0.2">
      <c r="A2707" s="110" t="str">
        <f t="shared" si="1390"/>
        <v>9211111</v>
      </c>
      <c r="B2707" s="8">
        <v>921</v>
      </c>
      <c r="C2707" s="8">
        <v>11</v>
      </c>
      <c r="D2707" s="8" t="s">
        <v>259</v>
      </c>
      <c r="E2707" s="8">
        <v>1</v>
      </c>
      <c r="F2707" s="34">
        <f t="shared" ref="F2707:G2722" si="1396">ROUNDDOWN($P2707/4*MIN($O2707,4)*10*$N2707/$N2707*$Q2707/400,0)</f>
        <v>27500</v>
      </c>
      <c r="G2707" s="34">
        <f t="shared" si="1396"/>
        <v>27500</v>
      </c>
      <c r="H2707" s="34">
        <f t="shared" ref="H2707:I2722" si="1397">ROUNDDOWN($S2707/4*10,0)</f>
        <v>15802</v>
      </c>
      <c r="I2707" s="34">
        <f t="shared" si="1397"/>
        <v>15802</v>
      </c>
      <c r="J2707" s="34">
        <f t="shared" ref="J2707:J2777" si="1398">ROUNDDOWN($P2707/4*$O2707*10*$N2707/$Q2707*$N2707/400*0.8,0)</f>
        <v>85227</v>
      </c>
      <c r="K2707" s="133">
        <v>1000</v>
      </c>
      <c r="L2707" s="34"/>
      <c r="M2707" s="16">
        <f t="shared" si="1374"/>
        <v>15395.754008946751</v>
      </c>
      <c r="N2707" s="36">
        <v>500</v>
      </c>
      <c r="O2707" s="2" t="s">
        <v>332</v>
      </c>
      <c r="P2707" s="2" t="s">
        <v>334</v>
      </c>
      <c r="Q2707" s="2" t="s">
        <v>333</v>
      </c>
      <c r="R2707" s="2" t="s">
        <v>453</v>
      </c>
      <c r="S2707" s="36">
        <v>6321</v>
      </c>
    </row>
    <row r="2708" spans="1:20" x14ac:dyDescent="0.2">
      <c r="A2708" s="110" t="str">
        <f t="shared" si="1390"/>
        <v>9211119</v>
      </c>
      <c r="B2708" s="8">
        <v>921</v>
      </c>
      <c r="C2708" s="8">
        <v>11</v>
      </c>
      <c r="D2708" s="8" t="s">
        <v>259</v>
      </c>
      <c r="E2708" s="8">
        <v>9</v>
      </c>
      <c r="F2708" s="34">
        <f t="shared" si="1396"/>
        <v>182750</v>
      </c>
      <c r="G2708" s="34">
        <f t="shared" si="1396"/>
        <v>182750</v>
      </c>
      <c r="H2708" s="34">
        <f t="shared" si="1397"/>
        <v>15802</v>
      </c>
      <c r="I2708" s="34">
        <f t="shared" si="1397"/>
        <v>15802</v>
      </c>
      <c r="J2708" s="34">
        <f t="shared" si="1398"/>
        <v>919835</v>
      </c>
      <c r="K2708" s="133">
        <v>1000</v>
      </c>
      <c r="L2708" s="34"/>
      <c r="M2708" s="16">
        <f t="shared" si="1374"/>
        <v>130385.61320495448</v>
      </c>
      <c r="N2708" s="36">
        <v>820</v>
      </c>
      <c r="O2708" s="2" t="s">
        <v>329</v>
      </c>
      <c r="P2708" s="2" t="s">
        <v>399</v>
      </c>
      <c r="Q2708" s="2" t="s">
        <v>102</v>
      </c>
      <c r="R2708" s="2" t="s">
        <v>167</v>
      </c>
      <c r="S2708" s="36">
        <v>6321</v>
      </c>
    </row>
    <row r="2709" spans="1:20" x14ac:dyDescent="0.2">
      <c r="A2709" s="110" t="str">
        <f t="shared" si="1390"/>
        <v>9212111</v>
      </c>
      <c r="B2709" s="8">
        <v>921</v>
      </c>
      <c r="C2709" s="8">
        <v>21</v>
      </c>
      <c r="D2709" s="8" t="s">
        <v>62</v>
      </c>
      <c r="E2709" s="8">
        <v>1</v>
      </c>
      <c r="F2709" s="34">
        <f t="shared" si="1396"/>
        <v>104500</v>
      </c>
      <c r="G2709" s="34">
        <f t="shared" si="1396"/>
        <v>104500</v>
      </c>
      <c r="H2709" s="34">
        <f t="shared" si="1397"/>
        <v>25775</v>
      </c>
      <c r="I2709" s="34">
        <f t="shared" si="1397"/>
        <v>25775</v>
      </c>
      <c r="J2709" s="34">
        <f t="shared" si="1398"/>
        <v>466363</v>
      </c>
      <c r="K2709" s="133">
        <v>1000</v>
      </c>
      <c r="L2709" s="34"/>
      <c r="M2709" s="16">
        <f t="shared" si="1374"/>
        <v>89662.22521307398</v>
      </c>
      <c r="N2709" s="36">
        <v>600</v>
      </c>
      <c r="O2709" s="2" t="s">
        <v>332</v>
      </c>
      <c r="P2709" s="54">
        <v>19000</v>
      </c>
      <c r="Q2709" s="2" t="s">
        <v>333</v>
      </c>
      <c r="R2709" s="2" t="s">
        <v>452</v>
      </c>
      <c r="S2709" s="36">
        <v>10310</v>
      </c>
      <c r="T2709" s="114"/>
    </row>
    <row r="2710" spans="1:20" x14ac:dyDescent="0.2">
      <c r="A2710" s="110" t="str">
        <f t="shared" si="1390"/>
        <v>9212119</v>
      </c>
      <c r="B2710" s="8">
        <v>921</v>
      </c>
      <c r="C2710" s="8">
        <v>21</v>
      </c>
      <c r="D2710" s="8" t="s">
        <v>62</v>
      </c>
      <c r="E2710" s="8">
        <v>9</v>
      </c>
      <c r="F2710" s="34">
        <f t="shared" si="1396"/>
        <v>511700</v>
      </c>
      <c r="G2710" s="34">
        <f t="shared" si="1396"/>
        <v>511700</v>
      </c>
      <c r="H2710" s="34">
        <f t="shared" si="1397"/>
        <v>25775</v>
      </c>
      <c r="I2710" s="34">
        <f t="shared" si="1397"/>
        <v>25775</v>
      </c>
      <c r="J2710" s="34">
        <f t="shared" si="1398"/>
        <v>2575540</v>
      </c>
      <c r="K2710" s="133">
        <v>1000</v>
      </c>
      <c r="L2710" s="34"/>
      <c r="M2710" s="16">
        <f t="shared" si="1374"/>
        <v>466263.24519232701</v>
      </c>
      <c r="N2710" s="36">
        <v>820</v>
      </c>
      <c r="O2710" s="36">
        <v>20</v>
      </c>
      <c r="P2710" s="36">
        <v>28000</v>
      </c>
      <c r="Q2710" s="2" t="s">
        <v>103</v>
      </c>
      <c r="R2710" s="2" t="s">
        <v>168</v>
      </c>
      <c r="S2710" s="36">
        <v>10310</v>
      </c>
      <c r="T2710" s="114"/>
    </row>
    <row r="2711" spans="1:20" x14ac:dyDescent="0.2">
      <c r="A2711" s="110" t="str">
        <f t="shared" si="1390"/>
        <v>9213611</v>
      </c>
      <c r="B2711" s="8">
        <v>921</v>
      </c>
      <c r="C2711" s="8">
        <v>36</v>
      </c>
      <c r="D2711" s="8" t="s">
        <v>62</v>
      </c>
      <c r="E2711" s="8">
        <v>1</v>
      </c>
      <c r="F2711" s="34">
        <f t="shared" si="1396"/>
        <v>385000</v>
      </c>
      <c r="G2711" s="34">
        <f t="shared" si="1396"/>
        <v>385000</v>
      </c>
      <c r="H2711" s="34">
        <f t="shared" si="1397"/>
        <v>131250</v>
      </c>
      <c r="I2711" s="34">
        <f t="shared" si="1397"/>
        <v>131250</v>
      </c>
      <c r="J2711" s="34">
        <f t="shared" si="1398"/>
        <v>2142477</v>
      </c>
      <c r="K2711" s="133">
        <v>1000</v>
      </c>
      <c r="L2711" s="34"/>
      <c r="M2711" s="16">
        <f t="shared" si="1374"/>
        <v>832392.37250229542</v>
      </c>
      <c r="N2711" s="36">
        <v>670</v>
      </c>
      <c r="O2711" s="2" t="s">
        <v>332</v>
      </c>
      <c r="P2711" s="36">
        <v>70000</v>
      </c>
      <c r="Q2711" s="2" t="s">
        <v>333</v>
      </c>
      <c r="R2711" s="2" t="s">
        <v>451</v>
      </c>
      <c r="S2711" s="56">
        <f t="shared" ref="S2711:S2713" si="1399">P2711*0.75</f>
        <v>52500</v>
      </c>
      <c r="T2711" s="114"/>
    </row>
    <row r="2712" spans="1:20" x14ac:dyDescent="0.2">
      <c r="A2712" s="110" t="str">
        <f t="shared" si="1390"/>
        <v>9213619</v>
      </c>
      <c r="B2712" s="8">
        <v>921</v>
      </c>
      <c r="C2712" s="8">
        <v>36</v>
      </c>
      <c r="D2712" s="8" t="s">
        <v>62</v>
      </c>
      <c r="E2712" s="8">
        <v>9</v>
      </c>
      <c r="F2712" s="34">
        <f t="shared" si="1396"/>
        <v>2356250</v>
      </c>
      <c r="G2712" s="34">
        <f t="shared" si="1396"/>
        <v>2356250</v>
      </c>
      <c r="H2712" s="34">
        <f t="shared" si="1397"/>
        <v>182812</v>
      </c>
      <c r="I2712" s="34">
        <f t="shared" si="1397"/>
        <v>182812</v>
      </c>
      <c r="J2712" s="34">
        <f t="shared" si="1398"/>
        <v>25285560</v>
      </c>
      <c r="K2712" s="133">
        <v>1000</v>
      </c>
      <c r="L2712" s="34"/>
      <c r="M2712" s="16">
        <f t="shared" si="1374"/>
        <v>8349093.1977297757</v>
      </c>
      <c r="N2712" s="36">
        <v>950</v>
      </c>
      <c r="O2712" s="36">
        <v>20</v>
      </c>
      <c r="P2712" s="36">
        <v>162500</v>
      </c>
      <c r="Q2712" s="2" t="s">
        <v>613</v>
      </c>
      <c r="R2712" s="2" t="s">
        <v>454</v>
      </c>
      <c r="S2712" s="56">
        <f>P2712*0.45</f>
        <v>73125</v>
      </c>
      <c r="T2712" s="114"/>
    </row>
    <row r="2713" spans="1:20" x14ac:dyDescent="0.2">
      <c r="A2713" s="110" t="str">
        <f t="shared" ref="A2713:A2714" si="1400">IF(B2713="","",CONCATENATE(B2713,CONCATENATE(REPT(0,2-LEN(C2713)),C2713),IF(OR(D2713="Easy",D2713=""),1,IF(D2713="Normal",2,IF(D2713="Hard",3,IF(D2713="Hell",4,"error")))),E2713))</f>
        <v>9214911</v>
      </c>
      <c r="B2713" s="8">
        <v>921</v>
      </c>
      <c r="C2713" s="8">
        <v>49</v>
      </c>
      <c r="D2713" s="8" t="s">
        <v>62</v>
      </c>
      <c r="E2713" s="8">
        <v>1</v>
      </c>
      <c r="F2713" s="34">
        <f t="shared" si="1396"/>
        <v>623437</v>
      </c>
      <c r="G2713" s="34">
        <f t="shared" si="1396"/>
        <v>623437</v>
      </c>
      <c r="H2713" s="34">
        <f t="shared" si="1397"/>
        <v>222656</v>
      </c>
      <c r="I2713" s="34">
        <f t="shared" si="1397"/>
        <v>222656</v>
      </c>
      <c r="J2713" s="34">
        <f t="shared" si="1398"/>
        <v>2042782</v>
      </c>
      <c r="K2713" s="133">
        <v>1000</v>
      </c>
      <c r="L2713" s="34"/>
      <c r="M2713" s="16">
        <f t="shared" si="1374"/>
        <v>1347145.4427037712</v>
      </c>
      <c r="N2713" s="36">
        <v>850</v>
      </c>
      <c r="O2713" s="2" t="s">
        <v>87</v>
      </c>
      <c r="P2713" s="36">
        <v>118750</v>
      </c>
      <c r="Q2713" s="2" t="s">
        <v>484</v>
      </c>
      <c r="R2713" s="2" t="s">
        <v>331</v>
      </c>
      <c r="S2713" s="56">
        <f t="shared" si="1399"/>
        <v>89062.5</v>
      </c>
      <c r="T2713" s="114"/>
    </row>
    <row r="2714" spans="1:20" x14ac:dyDescent="0.2">
      <c r="A2714" s="110" t="str">
        <f t="shared" si="1400"/>
        <v>9214919</v>
      </c>
      <c r="B2714" s="8">
        <v>921</v>
      </c>
      <c r="C2714" s="8">
        <v>49</v>
      </c>
      <c r="D2714" s="8" t="s">
        <v>62</v>
      </c>
      <c r="E2714" s="8">
        <v>9</v>
      </c>
      <c r="F2714" s="34">
        <f t="shared" si="1396"/>
        <v>2681250</v>
      </c>
      <c r="G2714" s="34">
        <f t="shared" si="1396"/>
        <v>2681250</v>
      </c>
      <c r="H2714" s="34">
        <f t="shared" si="1397"/>
        <v>195937</v>
      </c>
      <c r="I2714" s="34">
        <f t="shared" si="1397"/>
        <v>195937</v>
      </c>
      <c r="J2714" s="34">
        <f t="shared" si="1398"/>
        <v>35796274</v>
      </c>
      <c r="K2714" s="133">
        <v>1000</v>
      </c>
      <c r="L2714" s="34"/>
      <c r="M2714" s="16">
        <f t="shared" si="1374"/>
        <v>10970736.414878635</v>
      </c>
      <c r="N2714" s="36">
        <v>950</v>
      </c>
      <c r="O2714" s="36">
        <v>20</v>
      </c>
      <c r="P2714" s="36">
        <v>206250</v>
      </c>
      <c r="Q2714" s="2" t="s">
        <v>515</v>
      </c>
      <c r="R2714" s="2" t="s">
        <v>170</v>
      </c>
      <c r="S2714" s="56">
        <f>P2714*0.38</f>
        <v>78375</v>
      </c>
      <c r="T2714" s="114"/>
    </row>
    <row r="2715" spans="1:20" x14ac:dyDescent="0.2">
      <c r="A2715" s="110" t="str">
        <f>IF(B2715="","",CONCATENATE(B2715,CONCATENATE(REPT(0,2-LEN(C2715)),C2715),IF(OR(D2715="Easy",D2715=""),1,IF(D2715="Normal",2,IF(D2715="Hard",3,IF(D2715="Hell",4,"error")))),E2715))</f>
        <v>9214912</v>
      </c>
      <c r="B2715" s="8">
        <v>921</v>
      </c>
      <c r="C2715" s="8">
        <v>49</v>
      </c>
      <c r="D2715" s="8" t="s">
        <v>62</v>
      </c>
      <c r="E2715" s="8">
        <v>2</v>
      </c>
      <c r="F2715" s="34">
        <f t="shared" si="1396"/>
        <v>843750</v>
      </c>
      <c r="G2715" s="34">
        <f t="shared" si="1396"/>
        <v>843750</v>
      </c>
      <c r="H2715" s="34">
        <f t="shared" si="1397"/>
        <v>234375</v>
      </c>
      <c r="I2715" s="34">
        <f t="shared" si="1397"/>
        <v>234375</v>
      </c>
      <c r="J2715" s="34">
        <f t="shared" si="1398"/>
        <v>2089120</v>
      </c>
      <c r="K2715" s="133">
        <v>1000</v>
      </c>
      <c r="L2715" s="34"/>
      <c r="M2715" s="16">
        <f t="shared" si="1374"/>
        <v>1626051.1984559407</v>
      </c>
      <c r="N2715" s="36">
        <v>950</v>
      </c>
      <c r="O2715" s="2" t="s">
        <v>87</v>
      </c>
      <c r="P2715" s="36">
        <v>125000</v>
      </c>
      <c r="Q2715" s="2" t="s">
        <v>532</v>
      </c>
      <c r="R2715" s="2" t="s">
        <v>330</v>
      </c>
      <c r="S2715" s="56">
        <f t="shared" ref="S2715" si="1401">P2715*0.75</f>
        <v>93750</v>
      </c>
      <c r="T2715" s="114"/>
    </row>
    <row r="2716" spans="1:20" ht="20.25" x14ac:dyDescent="0.2">
      <c r="A2716" s="8" t="str">
        <f t="shared" ref="A2716:A2724" si="1402">IF(B2716="","",CONCATENATE(B2716,CONCATENATE(REPT(0,2-LEN(C2716)),C2716),IF(OR(D2716="Easy",D2716=""),1,IF(D2716="Normal",2,IF(D2716="Hard",3,IF(D2716="Hell",4,"error")))),E2716))</f>
        <v/>
      </c>
      <c r="B2716" s="5"/>
      <c r="C2716" s="79" t="s">
        <v>350</v>
      </c>
      <c r="D2716" s="5"/>
      <c r="E2716" s="5"/>
      <c r="F2716" s="5"/>
      <c r="G2716" s="5"/>
      <c r="H2716" s="5"/>
      <c r="I2716" s="5"/>
      <c r="J2716" s="5"/>
      <c r="K2716" s="133"/>
      <c r="L2716" s="5"/>
      <c r="M2716" s="16">
        <f t="shared" si="1374"/>
        <v>0</v>
      </c>
      <c r="N2716" s="5"/>
      <c r="O2716" s="5"/>
      <c r="P2716" s="5"/>
      <c r="Q2716" s="5"/>
      <c r="R2716" s="5"/>
      <c r="S2716" s="30"/>
    </row>
    <row r="2717" spans="1:20" x14ac:dyDescent="0.2">
      <c r="A2717" s="8" t="str">
        <f t="shared" si="1402"/>
        <v>9221111</v>
      </c>
      <c r="B2717" s="8">
        <v>922</v>
      </c>
      <c r="C2717" s="8">
        <v>11</v>
      </c>
      <c r="D2717" s="8" t="s">
        <v>259</v>
      </c>
      <c r="E2717" s="8">
        <v>1</v>
      </c>
      <c r="F2717" s="34">
        <f t="shared" si="1396"/>
        <v>27500</v>
      </c>
      <c r="G2717" s="34">
        <f t="shared" si="1396"/>
        <v>27500</v>
      </c>
      <c r="H2717" s="34">
        <f t="shared" si="1397"/>
        <v>15802</v>
      </c>
      <c r="I2717" s="34">
        <f t="shared" si="1397"/>
        <v>15802</v>
      </c>
      <c r="J2717" s="34">
        <f t="shared" si="1398"/>
        <v>85227</v>
      </c>
      <c r="K2717" s="133">
        <v>1000</v>
      </c>
      <c r="L2717" s="34"/>
      <c r="M2717" s="16">
        <f t="shared" si="1374"/>
        <v>15395.754008946751</v>
      </c>
      <c r="N2717" s="36">
        <v>500</v>
      </c>
      <c r="O2717" s="2" t="s">
        <v>332</v>
      </c>
      <c r="P2717" s="2" t="s">
        <v>180</v>
      </c>
      <c r="Q2717" s="2" t="s">
        <v>246</v>
      </c>
      <c r="R2717" s="2" t="s">
        <v>167</v>
      </c>
      <c r="S2717" s="36">
        <v>6321</v>
      </c>
    </row>
    <row r="2718" spans="1:20" x14ac:dyDescent="0.2">
      <c r="A2718" s="8" t="str">
        <f t="shared" si="1402"/>
        <v>9221119</v>
      </c>
      <c r="B2718" s="8">
        <v>922</v>
      </c>
      <c r="C2718" s="8">
        <v>11</v>
      </c>
      <c r="D2718" s="8" t="s">
        <v>259</v>
      </c>
      <c r="E2718" s="8">
        <v>9</v>
      </c>
      <c r="F2718" s="34">
        <f t="shared" si="1396"/>
        <v>113750</v>
      </c>
      <c r="G2718" s="34">
        <f t="shared" si="1396"/>
        <v>113750</v>
      </c>
      <c r="H2718" s="34">
        <f t="shared" si="1397"/>
        <v>15802</v>
      </c>
      <c r="I2718" s="34">
        <f t="shared" si="1397"/>
        <v>15802</v>
      </c>
      <c r="J2718" s="34">
        <f t="shared" si="1398"/>
        <v>724123</v>
      </c>
      <c r="K2718" s="133">
        <v>1000</v>
      </c>
      <c r="L2718" s="34"/>
      <c r="M2718" s="16">
        <f t="shared" si="1374"/>
        <v>91269.966135021648</v>
      </c>
      <c r="N2718" s="36">
        <v>820</v>
      </c>
      <c r="O2718" s="2" t="s">
        <v>329</v>
      </c>
      <c r="P2718" s="2" t="s">
        <v>363</v>
      </c>
      <c r="Q2718" s="2" t="s">
        <v>351</v>
      </c>
      <c r="R2718" s="2" t="s">
        <v>461</v>
      </c>
      <c r="S2718" s="36">
        <v>6321</v>
      </c>
    </row>
    <row r="2719" spans="1:20" x14ac:dyDescent="0.2">
      <c r="A2719" s="8" t="str">
        <f t="shared" si="1402"/>
        <v>9222111</v>
      </c>
      <c r="B2719" s="8">
        <v>922</v>
      </c>
      <c r="C2719" s="8">
        <v>21</v>
      </c>
      <c r="D2719" s="8" t="s">
        <v>62</v>
      </c>
      <c r="E2719" s="8">
        <v>1</v>
      </c>
      <c r="F2719" s="34">
        <f t="shared" si="1396"/>
        <v>104500</v>
      </c>
      <c r="G2719" s="34">
        <f t="shared" si="1396"/>
        <v>104500</v>
      </c>
      <c r="H2719" s="34">
        <f t="shared" si="1397"/>
        <v>25775</v>
      </c>
      <c r="I2719" s="34">
        <f t="shared" si="1397"/>
        <v>25775</v>
      </c>
      <c r="J2719" s="34">
        <f t="shared" si="1398"/>
        <v>466363</v>
      </c>
      <c r="K2719" s="133">
        <v>1000</v>
      </c>
      <c r="L2719" s="34"/>
      <c r="M2719" s="16">
        <f t="shared" si="1374"/>
        <v>89662.22521307398</v>
      </c>
      <c r="N2719" s="36">
        <v>600</v>
      </c>
      <c r="O2719" s="2" t="s">
        <v>332</v>
      </c>
      <c r="P2719" s="54">
        <v>19000</v>
      </c>
      <c r="Q2719" s="2" t="s">
        <v>246</v>
      </c>
      <c r="R2719" s="2" t="s">
        <v>168</v>
      </c>
      <c r="S2719" s="36">
        <v>10310</v>
      </c>
      <c r="T2719" s="114"/>
    </row>
    <row r="2720" spans="1:20" x14ac:dyDescent="0.2">
      <c r="A2720" s="8" t="str">
        <f t="shared" si="1402"/>
        <v>9222119</v>
      </c>
      <c r="B2720" s="8">
        <v>922</v>
      </c>
      <c r="C2720" s="8">
        <v>21</v>
      </c>
      <c r="D2720" s="8" t="s">
        <v>62</v>
      </c>
      <c r="E2720" s="8">
        <v>9</v>
      </c>
      <c r="F2720" s="34">
        <f t="shared" si="1396"/>
        <v>432000</v>
      </c>
      <c r="G2720" s="34">
        <f t="shared" si="1396"/>
        <v>432000</v>
      </c>
      <c r="H2720" s="34">
        <f t="shared" si="1397"/>
        <v>25775</v>
      </c>
      <c r="I2720" s="34">
        <f t="shared" si="1397"/>
        <v>25775</v>
      </c>
      <c r="J2720" s="34">
        <f t="shared" si="1398"/>
        <v>2836687</v>
      </c>
      <c r="K2720" s="133">
        <v>1000</v>
      </c>
      <c r="L2720" s="34"/>
      <c r="M2720" s="16">
        <f t="shared" si="1374"/>
        <v>449610.97785601276</v>
      </c>
      <c r="N2720" s="36">
        <v>820</v>
      </c>
      <c r="O2720" s="36">
        <v>20</v>
      </c>
      <c r="P2720" s="36">
        <v>27000</v>
      </c>
      <c r="Q2720" s="2" t="s">
        <v>364</v>
      </c>
      <c r="R2720" s="2" t="s">
        <v>462</v>
      </c>
      <c r="S2720" s="36">
        <v>10310</v>
      </c>
      <c r="T2720" s="114"/>
    </row>
    <row r="2721" spans="1:20" x14ac:dyDescent="0.2">
      <c r="A2721" s="8" t="str">
        <f t="shared" si="1402"/>
        <v>9223611</v>
      </c>
      <c r="B2721" s="8">
        <v>922</v>
      </c>
      <c r="C2721" s="8">
        <v>36</v>
      </c>
      <c r="D2721" s="8" t="s">
        <v>62</v>
      </c>
      <c r="E2721" s="8">
        <v>1</v>
      </c>
      <c r="F2721" s="34">
        <f t="shared" si="1396"/>
        <v>280500</v>
      </c>
      <c r="G2721" s="34">
        <f t="shared" si="1396"/>
        <v>280500</v>
      </c>
      <c r="H2721" s="34">
        <f t="shared" si="1397"/>
        <v>95625</v>
      </c>
      <c r="I2721" s="34">
        <f t="shared" si="1397"/>
        <v>95625</v>
      </c>
      <c r="J2721" s="34">
        <f t="shared" si="1398"/>
        <v>1703863</v>
      </c>
      <c r="K2721" s="133">
        <v>1000</v>
      </c>
      <c r="L2721" s="34"/>
      <c r="M2721" s="16">
        <f t="shared" si="1374"/>
        <v>540828.3884542305</v>
      </c>
      <c r="N2721" s="36">
        <v>700</v>
      </c>
      <c r="O2721" s="2" t="s">
        <v>332</v>
      </c>
      <c r="P2721" s="36">
        <v>51000</v>
      </c>
      <c r="Q2721" s="2" t="s">
        <v>246</v>
      </c>
      <c r="R2721" s="2" t="s">
        <v>169</v>
      </c>
      <c r="S2721" s="56">
        <f t="shared" ref="S2721:S2725" si="1403">P2721*0.75</f>
        <v>38250</v>
      </c>
      <c r="T2721" s="114"/>
    </row>
    <row r="2722" spans="1:20" x14ac:dyDescent="0.2">
      <c r="A2722" s="8" t="str">
        <f t="shared" si="1402"/>
        <v>9223619</v>
      </c>
      <c r="B2722" s="8">
        <v>922</v>
      </c>
      <c r="C2722" s="8">
        <v>36</v>
      </c>
      <c r="D2722" s="8" t="s">
        <v>62</v>
      </c>
      <c r="E2722" s="8">
        <v>9</v>
      </c>
      <c r="F2722" s="34">
        <f t="shared" si="1396"/>
        <v>2062500</v>
      </c>
      <c r="G2722" s="34">
        <f t="shared" si="1396"/>
        <v>2062500</v>
      </c>
      <c r="H2722" s="34">
        <f t="shared" si="1397"/>
        <v>157500</v>
      </c>
      <c r="I2722" s="34">
        <f t="shared" si="1397"/>
        <v>157500</v>
      </c>
      <c r="J2722" s="34">
        <f t="shared" si="1398"/>
        <v>27613636</v>
      </c>
      <c r="K2722" s="133">
        <v>1000</v>
      </c>
      <c r="L2722" s="34"/>
      <c r="M2722" s="16">
        <f t="shared" si="1374"/>
        <v>7576856.1583284661</v>
      </c>
      <c r="N2722" s="36">
        <v>900</v>
      </c>
      <c r="O2722" s="36">
        <v>25</v>
      </c>
      <c r="P2722" s="36">
        <v>150000</v>
      </c>
      <c r="Q2722" s="2" t="s">
        <v>360</v>
      </c>
      <c r="R2722" s="2" t="s">
        <v>463</v>
      </c>
      <c r="S2722" s="56">
        <f>P2722*0.42</f>
        <v>63000</v>
      </c>
      <c r="T2722" s="114"/>
    </row>
    <row r="2723" spans="1:20" x14ac:dyDescent="0.2">
      <c r="A2723" s="8" t="str">
        <f t="shared" si="1402"/>
        <v>9224911</v>
      </c>
      <c r="B2723" s="8">
        <v>922</v>
      </c>
      <c r="C2723" s="8">
        <v>49</v>
      </c>
      <c r="D2723" s="8" t="s">
        <v>62</v>
      </c>
      <c r="E2723" s="8">
        <v>1</v>
      </c>
      <c r="F2723" s="34">
        <f t="shared" ref="F2723:G2725" si="1404">ROUNDDOWN($P2723/4*MIN($O2723,4)*10*$N2723/$N2723*$Q2723/400,0)</f>
        <v>250000</v>
      </c>
      <c r="G2723" s="34">
        <f t="shared" si="1404"/>
        <v>250000</v>
      </c>
      <c r="H2723" s="34">
        <f t="shared" ref="H2723:I2725" si="1405">ROUNDDOWN($S2723/4*10,0)</f>
        <v>93750</v>
      </c>
      <c r="I2723" s="34">
        <f t="shared" si="1405"/>
        <v>93750</v>
      </c>
      <c r="J2723" s="34">
        <f t="shared" si="1398"/>
        <v>1012500</v>
      </c>
      <c r="K2723" s="133">
        <v>1000</v>
      </c>
      <c r="L2723" s="34"/>
      <c r="M2723" s="16">
        <f t="shared" si="1374"/>
        <v>389711.43170299742</v>
      </c>
      <c r="N2723" s="36">
        <v>900</v>
      </c>
      <c r="O2723" s="2" t="s">
        <v>87</v>
      </c>
      <c r="P2723" s="36">
        <v>50000</v>
      </c>
      <c r="Q2723" s="2" t="s">
        <v>271</v>
      </c>
      <c r="S2723" s="56">
        <f t="shared" si="1403"/>
        <v>37500</v>
      </c>
      <c r="T2723" s="114"/>
    </row>
    <row r="2724" spans="1:20" x14ac:dyDescent="0.2">
      <c r="A2724" s="8" t="str">
        <f t="shared" si="1402"/>
        <v>9224919</v>
      </c>
      <c r="B2724" s="8">
        <v>922</v>
      </c>
      <c r="C2724" s="8">
        <v>49</v>
      </c>
      <c r="D2724" s="8" t="s">
        <v>62</v>
      </c>
      <c r="E2724" s="8">
        <v>9</v>
      </c>
      <c r="F2724" s="34">
        <f t="shared" si="1404"/>
        <v>2524500</v>
      </c>
      <c r="G2724" s="34">
        <f t="shared" si="1404"/>
        <v>2524500</v>
      </c>
      <c r="H2724" s="34">
        <f t="shared" si="1405"/>
        <v>177650</v>
      </c>
      <c r="I2724" s="34">
        <f t="shared" si="1405"/>
        <v>177650</v>
      </c>
      <c r="J2724" s="34">
        <f t="shared" si="1398"/>
        <v>46750000</v>
      </c>
      <c r="K2724" s="133">
        <v>1000</v>
      </c>
      <c r="L2724" s="34"/>
      <c r="M2724" s="16">
        <f t="shared" si="1374"/>
        <v>11583800.997945365</v>
      </c>
      <c r="N2724" s="36">
        <v>1000</v>
      </c>
      <c r="O2724" s="36">
        <v>27</v>
      </c>
      <c r="P2724" s="36">
        <v>187000</v>
      </c>
      <c r="Q2724" s="2" t="s">
        <v>250</v>
      </c>
      <c r="R2724" s="2" t="s">
        <v>464</v>
      </c>
      <c r="S2724" s="56">
        <f>P2724*0.38</f>
        <v>71060</v>
      </c>
      <c r="T2724" s="114"/>
    </row>
    <row r="2725" spans="1:20" x14ac:dyDescent="0.2">
      <c r="A2725" s="8" t="str">
        <f t="shared" ref="A2725:A2730" si="1406">IF(B2725="","",CONCATENATE(B2725,CONCATENATE(REPT(0,2-LEN(C2725)),C2725),IF(OR(D2725="Easy",D2725=""),1,IF(D2725="Normal",2,IF(D2725="Hard",3,IF(D2725="Hell",4,"error")))),E2725))</f>
        <v>9224912</v>
      </c>
      <c r="B2725" s="8">
        <v>922</v>
      </c>
      <c r="C2725" s="8">
        <v>49</v>
      </c>
      <c r="D2725" s="8" t="s">
        <v>62</v>
      </c>
      <c r="E2725" s="8">
        <v>2</v>
      </c>
      <c r="F2725" s="34">
        <f t="shared" si="1404"/>
        <v>487500</v>
      </c>
      <c r="G2725" s="34">
        <f t="shared" si="1404"/>
        <v>487500</v>
      </c>
      <c r="H2725" s="34">
        <f t="shared" si="1405"/>
        <v>121875</v>
      </c>
      <c r="I2725" s="34">
        <f t="shared" si="1405"/>
        <v>121875</v>
      </c>
      <c r="J2725" s="34">
        <f t="shared" si="1398"/>
        <v>877500</v>
      </c>
      <c r="K2725" s="133">
        <v>1000</v>
      </c>
      <c r="L2725" s="34"/>
      <c r="M2725" s="16">
        <f t="shared" si="1374"/>
        <v>577641.21650034643</v>
      </c>
      <c r="N2725" s="36">
        <v>900</v>
      </c>
      <c r="O2725" s="2" t="s">
        <v>87</v>
      </c>
      <c r="P2725" s="36">
        <v>65000</v>
      </c>
      <c r="Q2725" s="2" t="s">
        <v>283</v>
      </c>
      <c r="S2725" s="56">
        <f t="shared" si="1403"/>
        <v>48750</v>
      </c>
      <c r="T2725" s="114"/>
    </row>
    <row r="2726" spans="1:20" ht="20.25" x14ac:dyDescent="0.2">
      <c r="A2726" s="8" t="str">
        <f t="shared" si="1406"/>
        <v/>
      </c>
      <c r="B2726" s="5"/>
      <c r="C2726" s="79" t="s">
        <v>365</v>
      </c>
      <c r="D2726" s="5"/>
      <c r="E2726" s="5"/>
      <c r="F2726" s="5"/>
      <c r="G2726" s="5"/>
      <c r="H2726" s="5"/>
      <c r="I2726" s="5"/>
      <c r="J2726" s="5"/>
      <c r="K2726" s="133"/>
      <c r="L2726" s="5"/>
      <c r="M2726" s="16">
        <f t="shared" si="1374"/>
        <v>0</v>
      </c>
      <c r="N2726" s="5"/>
      <c r="O2726" s="5"/>
      <c r="P2726" s="5"/>
      <c r="Q2726" s="5"/>
      <c r="R2726" s="5"/>
      <c r="S2726" s="30"/>
    </row>
    <row r="2727" spans="1:20" ht="11.25" customHeight="1" x14ac:dyDescent="0.2">
      <c r="A2727" s="8" t="str">
        <f t="shared" si="1406"/>
        <v>9231119</v>
      </c>
      <c r="B2727" s="8">
        <v>923</v>
      </c>
      <c r="C2727" s="8">
        <v>11</v>
      </c>
      <c r="D2727" s="8" t="s">
        <v>259</v>
      </c>
      <c r="E2727" s="8">
        <v>9</v>
      </c>
      <c r="F2727" s="34">
        <f t="shared" ref="F2727:G2737" si="1407">ROUNDDOWN($P2727/4*MIN($O2727,4)*10*$N2727/$N2727*$Q2727/400,0)</f>
        <v>274125</v>
      </c>
      <c r="G2727" s="34">
        <f t="shared" si="1407"/>
        <v>274125</v>
      </c>
      <c r="H2727" s="34">
        <f t="shared" ref="H2727:I2737" si="1408">ROUNDDOWN($S2727/4*10,0)</f>
        <v>15802</v>
      </c>
      <c r="I2727" s="34">
        <f t="shared" si="1408"/>
        <v>15802</v>
      </c>
      <c r="J2727" s="34">
        <f t="shared" si="1398"/>
        <v>1310766</v>
      </c>
      <c r="K2727" s="133">
        <v>1000</v>
      </c>
      <c r="L2727" s="34"/>
      <c r="M2727" s="16">
        <f t="shared" si="1374"/>
        <v>190626.34541967383</v>
      </c>
      <c r="N2727" s="36">
        <v>820</v>
      </c>
      <c r="O2727" s="2" t="s">
        <v>228</v>
      </c>
      <c r="P2727" s="2" t="s">
        <v>287</v>
      </c>
      <c r="Q2727" s="2" t="s">
        <v>102</v>
      </c>
      <c r="R2727" s="2" t="s">
        <v>167</v>
      </c>
      <c r="S2727" s="36">
        <v>6321</v>
      </c>
    </row>
    <row r="2728" spans="1:20" x14ac:dyDescent="0.2">
      <c r="A2728" s="8" t="str">
        <f t="shared" si="1406"/>
        <v>9232119</v>
      </c>
      <c r="B2728" s="8">
        <v>923</v>
      </c>
      <c r="C2728" s="8">
        <v>21</v>
      </c>
      <c r="D2728" s="8" t="s">
        <v>62</v>
      </c>
      <c r="E2728" s="8">
        <v>9</v>
      </c>
      <c r="F2728" s="34">
        <f t="shared" si="1407"/>
        <v>1279250</v>
      </c>
      <c r="G2728" s="34">
        <f t="shared" si="1407"/>
        <v>1279250</v>
      </c>
      <c r="H2728" s="34">
        <f t="shared" si="1408"/>
        <v>25775</v>
      </c>
      <c r="I2728" s="34">
        <f t="shared" si="1408"/>
        <v>25775</v>
      </c>
      <c r="J2728" s="34">
        <f t="shared" si="1398"/>
        <v>6116908</v>
      </c>
      <c r="K2728" s="133">
        <v>1000</v>
      </c>
      <c r="L2728" s="34"/>
      <c r="M2728" s="16">
        <f t="shared" si="1374"/>
        <v>1136143.0367927446</v>
      </c>
      <c r="N2728" s="36">
        <v>820</v>
      </c>
      <c r="O2728" s="36">
        <v>19</v>
      </c>
      <c r="P2728" s="36">
        <v>70000</v>
      </c>
      <c r="Q2728" s="2" t="s">
        <v>103</v>
      </c>
      <c r="R2728" s="2" t="s">
        <v>168</v>
      </c>
      <c r="S2728" s="36">
        <v>10310</v>
      </c>
      <c r="T2728" s="114"/>
    </row>
    <row r="2729" spans="1:20" x14ac:dyDescent="0.2">
      <c r="A2729" s="8" t="str">
        <f t="shared" si="1406"/>
        <v>9233619</v>
      </c>
      <c r="B2729" s="8">
        <v>923</v>
      </c>
      <c r="C2729" s="8">
        <v>36</v>
      </c>
      <c r="D2729" s="8" t="s">
        <v>62</v>
      </c>
      <c r="E2729" s="8">
        <v>9</v>
      </c>
      <c r="F2729" s="34">
        <f t="shared" si="1407"/>
        <v>3180000</v>
      </c>
      <c r="G2729" s="34">
        <f t="shared" si="1407"/>
        <v>3180000</v>
      </c>
      <c r="H2729" s="34">
        <f t="shared" si="1408"/>
        <v>87500</v>
      </c>
      <c r="I2729" s="34">
        <f t="shared" si="1408"/>
        <v>87500</v>
      </c>
      <c r="J2729" s="34">
        <f t="shared" si="1398"/>
        <v>44718750</v>
      </c>
      <c r="K2729" s="133">
        <v>1000</v>
      </c>
      <c r="L2729" s="34"/>
      <c r="M2729" s="16">
        <f t="shared" si="1374"/>
        <v>8923852.8674558494</v>
      </c>
      <c r="N2729" s="36">
        <v>900</v>
      </c>
      <c r="O2729" s="36">
        <v>20</v>
      </c>
      <c r="P2729" s="36">
        <v>265000</v>
      </c>
      <c r="Q2729" s="2" t="s">
        <v>448</v>
      </c>
      <c r="R2729" s="2" t="s">
        <v>169</v>
      </c>
      <c r="S2729" s="56">
        <v>35000</v>
      </c>
      <c r="T2729" s="114"/>
    </row>
    <row r="2730" spans="1:20" x14ac:dyDescent="0.2">
      <c r="A2730" s="8" t="str">
        <f t="shared" si="1406"/>
        <v>9234919</v>
      </c>
      <c r="B2730" s="8">
        <v>923</v>
      </c>
      <c r="C2730" s="8">
        <v>49</v>
      </c>
      <c r="D2730" s="8" t="s">
        <v>62</v>
      </c>
      <c r="E2730" s="8">
        <v>9</v>
      </c>
      <c r="F2730" s="34">
        <f t="shared" si="1407"/>
        <v>4796000</v>
      </c>
      <c r="G2730" s="34">
        <f t="shared" si="1407"/>
        <v>4796000</v>
      </c>
      <c r="H2730" s="34">
        <f t="shared" si="1408"/>
        <v>93500</v>
      </c>
      <c r="I2730" s="34">
        <f t="shared" si="1408"/>
        <v>93500</v>
      </c>
      <c r="J2730" s="34">
        <f t="shared" si="1398"/>
        <v>65130979</v>
      </c>
      <c r="K2730" s="133">
        <v>1000</v>
      </c>
      <c r="L2730" s="34"/>
      <c r="M2730" s="16">
        <f t="shared" si="1374"/>
        <v>13671909.745531006</v>
      </c>
      <c r="N2730" s="36">
        <v>980</v>
      </c>
      <c r="O2730" s="36">
        <v>21</v>
      </c>
      <c r="P2730" s="36">
        <v>352000</v>
      </c>
      <c r="Q2730" s="2" t="s">
        <v>771</v>
      </c>
      <c r="R2730" s="2" t="s">
        <v>170</v>
      </c>
      <c r="S2730" s="56">
        <v>37400</v>
      </c>
      <c r="T2730" s="114"/>
    </row>
    <row r="2731" spans="1:20" ht="20.25" x14ac:dyDescent="0.2">
      <c r="A2731" s="8" t="str">
        <f t="shared" ref="A2731:A2739" si="1409">IF(B2731="","",CONCATENATE(B2731,CONCATENATE(REPT(0,2-LEN(C2731)),C2731),IF(OR(D2731="Easy",D2731=""),1,IF(D2731="Normal",2,IF(D2731="Hard",3,IF(D2731="Hell",4,"error")))),E2731))</f>
        <v/>
      </c>
      <c r="B2731" s="5"/>
      <c r="C2731" s="79" t="s">
        <v>355</v>
      </c>
      <c r="D2731" s="5"/>
      <c r="E2731" s="5"/>
      <c r="F2731" s="5"/>
      <c r="G2731" s="5"/>
      <c r="H2731" s="5"/>
      <c r="I2731" s="5"/>
      <c r="J2731" s="5"/>
      <c r="K2731" s="133"/>
      <c r="L2731" s="5"/>
      <c r="M2731" s="16">
        <f t="shared" si="1374"/>
        <v>0</v>
      </c>
      <c r="N2731" s="5"/>
      <c r="O2731" s="5"/>
      <c r="P2731" s="5"/>
      <c r="Q2731" s="5"/>
      <c r="R2731" s="5"/>
      <c r="S2731" s="30"/>
    </row>
    <row r="2732" spans="1:20" x14ac:dyDescent="0.2">
      <c r="A2732" s="8" t="str">
        <f t="shared" si="1409"/>
        <v>9240111</v>
      </c>
      <c r="B2732" s="8">
        <v>924</v>
      </c>
      <c r="C2732" s="8">
        <v>1</v>
      </c>
      <c r="D2732" s="8" t="s">
        <v>259</v>
      </c>
      <c r="E2732" s="8">
        <v>1</v>
      </c>
      <c r="F2732" s="34">
        <f t="shared" si="1407"/>
        <v>41250</v>
      </c>
      <c r="G2732" s="34">
        <f t="shared" si="1407"/>
        <v>41250</v>
      </c>
      <c r="H2732" s="34">
        <f t="shared" si="1408"/>
        <v>10312</v>
      </c>
      <c r="I2732" s="34">
        <f t="shared" si="1408"/>
        <v>10312</v>
      </c>
      <c r="J2732" s="34">
        <f t="shared" si="1398"/>
        <v>33000</v>
      </c>
      <c r="K2732" s="133">
        <v>1000</v>
      </c>
      <c r="L2732" s="34"/>
      <c r="M2732" s="16">
        <f t="shared" si="1374"/>
        <v>9478.2985814965778</v>
      </c>
      <c r="N2732" s="36">
        <v>300</v>
      </c>
      <c r="O2732" s="2" t="s">
        <v>557</v>
      </c>
      <c r="P2732" s="2" t="s">
        <v>392</v>
      </c>
      <c r="Q2732" s="2" t="s">
        <v>558</v>
      </c>
      <c r="R2732" s="2" t="s">
        <v>167</v>
      </c>
      <c r="S2732" s="56">
        <f>P2732*0.375</f>
        <v>4125</v>
      </c>
    </row>
    <row r="2733" spans="1:20" x14ac:dyDescent="0.2">
      <c r="A2733" s="8" t="str">
        <f t="shared" si="1409"/>
        <v>9240119</v>
      </c>
      <c r="B2733" s="8">
        <v>924</v>
      </c>
      <c r="C2733" s="8">
        <v>1</v>
      </c>
      <c r="D2733" s="8" t="s">
        <v>259</v>
      </c>
      <c r="E2733" s="8">
        <v>9</v>
      </c>
      <c r="F2733" s="34">
        <f t="shared" si="1407"/>
        <v>41250</v>
      </c>
      <c r="G2733" s="34">
        <f t="shared" si="1407"/>
        <v>41250</v>
      </c>
      <c r="H2733" s="34">
        <f t="shared" si="1408"/>
        <v>13750</v>
      </c>
      <c r="I2733" s="34">
        <f t="shared" si="1408"/>
        <v>13750</v>
      </c>
      <c r="J2733" s="34">
        <f t="shared" si="1398"/>
        <v>519750</v>
      </c>
      <c r="K2733" s="133">
        <v>1000</v>
      </c>
      <c r="L2733" s="34"/>
      <c r="M2733" s="16">
        <f t="shared" si="1374"/>
        <v>43436.073717591011</v>
      </c>
      <c r="N2733" s="36">
        <v>450</v>
      </c>
      <c r="O2733" s="2" t="s">
        <v>358</v>
      </c>
      <c r="P2733" s="2" t="s">
        <v>392</v>
      </c>
      <c r="Q2733" s="2" t="s">
        <v>556</v>
      </c>
      <c r="R2733" s="2" t="s">
        <v>167</v>
      </c>
      <c r="S2733" s="56">
        <f>P2733*0.5</f>
        <v>5500</v>
      </c>
    </row>
    <row r="2734" spans="1:20" x14ac:dyDescent="0.2">
      <c r="A2734" s="8" t="str">
        <f t="shared" si="1409"/>
        <v>9241111</v>
      </c>
      <c r="B2734" s="8">
        <v>924</v>
      </c>
      <c r="C2734" s="8">
        <v>11</v>
      </c>
      <c r="D2734" s="8" t="s">
        <v>62</v>
      </c>
      <c r="E2734" s="8">
        <v>1</v>
      </c>
      <c r="F2734" s="34">
        <f t="shared" si="1407"/>
        <v>105000</v>
      </c>
      <c r="G2734" s="34">
        <f t="shared" si="1407"/>
        <v>105000</v>
      </c>
      <c r="H2734" s="34">
        <f t="shared" si="1408"/>
        <v>7000</v>
      </c>
      <c r="I2734" s="34">
        <f t="shared" si="1408"/>
        <v>7000</v>
      </c>
      <c r="J2734" s="34">
        <f t="shared" si="1398"/>
        <v>95573</v>
      </c>
      <c r="K2734" s="133">
        <v>1000</v>
      </c>
      <c r="L2734" s="34"/>
      <c r="M2734" s="16">
        <f t="shared" si="1374"/>
        <v>21203.192967098144</v>
      </c>
      <c r="N2734" s="36">
        <v>320</v>
      </c>
      <c r="O2734" s="2" t="s">
        <v>381</v>
      </c>
      <c r="P2734" s="54">
        <v>28000</v>
      </c>
      <c r="Q2734" s="2" t="s">
        <v>284</v>
      </c>
      <c r="R2734" s="2" t="s">
        <v>168</v>
      </c>
      <c r="S2734" s="56">
        <f>P2734*0.1</f>
        <v>2800</v>
      </c>
      <c r="T2734" s="114"/>
    </row>
    <row r="2735" spans="1:20" x14ac:dyDescent="0.2">
      <c r="A2735" s="8" t="str">
        <f t="shared" si="1409"/>
        <v>9241119</v>
      </c>
      <c r="B2735" s="8">
        <v>924</v>
      </c>
      <c r="C2735" s="8">
        <v>11</v>
      </c>
      <c r="D2735" s="8" t="s">
        <v>62</v>
      </c>
      <c r="E2735" s="8">
        <v>9</v>
      </c>
      <c r="F2735" s="34">
        <f t="shared" si="1407"/>
        <v>105000</v>
      </c>
      <c r="G2735" s="34">
        <f t="shared" si="1407"/>
        <v>105000</v>
      </c>
      <c r="H2735" s="34">
        <f t="shared" si="1408"/>
        <v>35000</v>
      </c>
      <c r="I2735" s="34">
        <f t="shared" si="1408"/>
        <v>35000</v>
      </c>
      <c r="J2735" s="34">
        <f t="shared" si="1398"/>
        <v>2258666</v>
      </c>
      <c r="K2735" s="133">
        <v>1000</v>
      </c>
      <c r="L2735" s="34"/>
      <c r="M2735" s="16">
        <f t="shared" si="1374"/>
        <v>230486.0610102051</v>
      </c>
      <c r="N2735" s="36">
        <v>550</v>
      </c>
      <c r="O2735" s="36">
        <v>8</v>
      </c>
      <c r="P2735" s="54">
        <v>28000</v>
      </c>
      <c r="Q2735" s="2" t="s">
        <v>284</v>
      </c>
      <c r="R2735" s="2" t="s">
        <v>168</v>
      </c>
      <c r="S2735" s="56">
        <f>P2735*0.5</f>
        <v>14000</v>
      </c>
      <c r="T2735" s="114"/>
    </row>
    <row r="2736" spans="1:20" x14ac:dyDescent="0.2">
      <c r="A2736" s="8" t="str">
        <f t="shared" si="1409"/>
        <v>9242111</v>
      </c>
      <c r="B2736" s="8">
        <v>924</v>
      </c>
      <c r="C2736" s="8">
        <v>21</v>
      </c>
      <c r="D2736" s="8" t="s">
        <v>62</v>
      </c>
      <c r="E2736" s="8">
        <v>1</v>
      </c>
      <c r="F2736" s="34">
        <f t="shared" si="1407"/>
        <v>300000</v>
      </c>
      <c r="G2736" s="34">
        <f t="shared" si="1407"/>
        <v>300000</v>
      </c>
      <c r="H2736" s="34">
        <f t="shared" si="1408"/>
        <v>20000</v>
      </c>
      <c r="I2736" s="34">
        <f t="shared" si="1408"/>
        <v>20000</v>
      </c>
      <c r="J2736" s="34">
        <f t="shared" si="1398"/>
        <v>308266</v>
      </c>
      <c r="K2736" s="133">
        <v>1000</v>
      </c>
      <c r="L2736" s="34"/>
      <c r="M2736" s="16">
        <f t="shared" si="1374"/>
        <v>108799.88235287758</v>
      </c>
      <c r="N2736" s="36">
        <v>340</v>
      </c>
      <c r="O2736" s="2" t="s">
        <v>557</v>
      </c>
      <c r="P2736" s="36">
        <v>80000</v>
      </c>
      <c r="Q2736" s="2" t="s">
        <v>284</v>
      </c>
      <c r="R2736" s="2" t="s">
        <v>169</v>
      </c>
      <c r="S2736" s="56">
        <f>P2736*0.1</f>
        <v>8000</v>
      </c>
      <c r="T2736" s="114"/>
    </row>
    <row r="2737" spans="1:20" x14ac:dyDescent="0.2">
      <c r="A2737" s="8" t="str">
        <f t="shared" si="1409"/>
        <v>9242119</v>
      </c>
      <c r="B2737" s="8">
        <v>924</v>
      </c>
      <c r="C2737" s="8">
        <v>21</v>
      </c>
      <c r="D2737" s="8" t="s">
        <v>62</v>
      </c>
      <c r="E2737" s="8">
        <v>9</v>
      </c>
      <c r="F2737" s="34">
        <f t="shared" si="1407"/>
        <v>330000</v>
      </c>
      <c r="G2737" s="34">
        <f t="shared" si="1407"/>
        <v>330000</v>
      </c>
      <c r="H2737" s="34">
        <f t="shared" si="1408"/>
        <v>110000</v>
      </c>
      <c r="I2737" s="34">
        <f t="shared" si="1408"/>
        <v>110000</v>
      </c>
      <c r="J2737" s="34">
        <f t="shared" si="1398"/>
        <v>21384000</v>
      </c>
      <c r="K2737" s="133">
        <v>1000</v>
      </c>
      <c r="L2737" s="34"/>
      <c r="M2737" s="16">
        <f t="shared" si="1374"/>
        <v>2228885.5690680938</v>
      </c>
      <c r="N2737" s="36">
        <v>900</v>
      </c>
      <c r="O2737" s="36">
        <v>9</v>
      </c>
      <c r="P2737" s="36">
        <v>88000</v>
      </c>
      <c r="Q2737" s="2" t="s">
        <v>555</v>
      </c>
      <c r="R2737" s="2" t="s">
        <v>169</v>
      </c>
      <c r="S2737" s="56">
        <f>P2737*0.5</f>
        <v>44000</v>
      </c>
      <c r="T2737" s="114"/>
    </row>
    <row r="2738" spans="1:20" x14ac:dyDescent="0.2">
      <c r="A2738" s="8" t="str">
        <f t="shared" si="1409"/>
        <v>9243111</v>
      </c>
      <c r="B2738" s="8">
        <v>924</v>
      </c>
      <c r="C2738" s="8">
        <v>31</v>
      </c>
      <c r="D2738" s="8" t="s">
        <v>62</v>
      </c>
      <c r="E2738" s="8">
        <v>1</v>
      </c>
      <c r="F2738" s="34">
        <f t="shared" ref="F2738:G2739" si="1410">ROUNDDOWN($P2738/4*MIN($O2738,4)*10*$N2738/$N2738*$Q2738/400,0)</f>
        <v>562500</v>
      </c>
      <c r="G2738" s="34">
        <f t="shared" si="1410"/>
        <v>562500</v>
      </c>
      <c r="H2738" s="34">
        <f t="shared" ref="H2738:I2739" si="1411">ROUNDDOWN($S2738/4*10,0)</f>
        <v>37500</v>
      </c>
      <c r="I2738" s="34">
        <f t="shared" si="1411"/>
        <v>37500</v>
      </c>
      <c r="J2738" s="34">
        <f t="shared" si="1398"/>
        <v>882000</v>
      </c>
      <c r="K2738" s="133">
        <v>1000</v>
      </c>
      <c r="L2738" s="34"/>
      <c r="M2738" s="16">
        <f t="shared" si="1374"/>
        <v>345065.21122825472</v>
      </c>
      <c r="N2738" s="36">
        <v>420</v>
      </c>
      <c r="O2738" s="2" t="s">
        <v>557</v>
      </c>
      <c r="P2738" s="36">
        <v>150000</v>
      </c>
      <c r="Q2738" s="2" t="s">
        <v>558</v>
      </c>
      <c r="S2738" s="56">
        <f>P2738*0.1</f>
        <v>15000</v>
      </c>
      <c r="T2738" s="114"/>
    </row>
    <row r="2739" spans="1:20" x14ac:dyDescent="0.2">
      <c r="A2739" s="8" t="str">
        <f t="shared" si="1409"/>
        <v>9243119</v>
      </c>
      <c r="B2739" s="8">
        <v>924</v>
      </c>
      <c r="C2739" s="8">
        <v>31</v>
      </c>
      <c r="D2739" s="8" t="s">
        <v>62</v>
      </c>
      <c r="E2739" s="8">
        <v>9</v>
      </c>
      <c r="F2739" s="34">
        <f t="shared" si="1410"/>
        <v>618750</v>
      </c>
      <c r="G2739" s="34">
        <f t="shared" si="1410"/>
        <v>618750</v>
      </c>
      <c r="H2739" s="34">
        <f t="shared" si="1411"/>
        <v>140250</v>
      </c>
      <c r="I2739" s="34">
        <f t="shared" si="1411"/>
        <v>140250</v>
      </c>
      <c r="J2739" s="34">
        <f t="shared" si="1398"/>
        <v>92950000</v>
      </c>
      <c r="K2739" s="133">
        <v>1000</v>
      </c>
      <c r="L2739" s="34"/>
      <c r="M2739" s="16">
        <f t="shared" si="1374"/>
        <v>7184949.582286573</v>
      </c>
      <c r="N2739" s="36">
        <v>1300</v>
      </c>
      <c r="O2739" s="36">
        <v>10</v>
      </c>
      <c r="P2739" s="36">
        <v>165000</v>
      </c>
      <c r="Q2739" s="2" t="s">
        <v>558</v>
      </c>
      <c r="R2739" s="2" t="s">
        <v>170</v>
      </c>
      <c r="S2739" s="56">
        <f>P2739*0.34</f>
        <v>56100.000000000007</v>
      </c>
      <c r="T2739" s="114"/>
    </row>
    <row r="2740" spans="1:20" ht="20.25" x14ac:dyDescent="0.2">
      <c r="A2740" s="8" t="str">
        <f t="shared" ref="A2740:A2802" si="1412">IF(B2740="","",CONCATENATE(B2740,CONCATENATE(REPT(0,2-LEN(C2740)),C2740),IF(OR(D2740="Easy",D2740=""),1,IF(D2740="Normal",2,IF(D2740="Hard",3,IF(D2740="Hell",4,"error")))),E2740))</f>
        <v/>
      </c>
      <c r="B2740" s="5"/>
      <c r="C2740" s="79" t="s">
        <v>380</v>
      </c>
      <c r="D2740" s="5"/>
      <c r="E2740" s="5"/>
      <c r="F2740" s="5"/>
      <c r="G2740" s="5"/>
      <c r="H2740" s="5"/>
      <c r="I2740" s="5"/>
      <c r="J2740" s="5"/>
      <c r="K2740" s="133"/>
      <c r="L2740" s="5"/>
      <c r="M2740" s="16">
        <f t="shared" ref="M2740:M2828" si="1413">(F2740*J2740*((H2740+I2740)/2)/1000)^(1/2)/10*0.8</f>
        <v>0</v>
      </c>
      <c r="N2740" s="5"/>
      <c r="O2740" s="5"/>
      <c r="P2740" s="5"/>
      <c r="Q2740" s="5"/>
      <c r="R2740" s="5"/>
      <c r="S2740" s="30"/>
    </row>
    <row r="2741" spans="1:20" x14ac:dyDescent="0.2">
      <c r="A2741" s="14" t="str">
        <f t="shared" si="1412"/>
        <v>9250111</v>
      </c>
      <c r="B2741" s="14">
        <v>925</v>
      </c>
      <c r="C2741" s="14">
        <v>1</v>
      </c>
      <c r="D2741" s="14" t="s">
        <v>259</v>
      </c>
      <c r="E2741" s="14">
        <v>1</v>
      </c>
      <c r="F2741" s="15">
        <f t="shared" ref="F2741:G2756" si="1414">ROUNDDOWN($P2741/4*MIN($O2741,4)*10*$N2741/$N2741*$Q2741/400,0)</f>
        <v>30000</v>
      </c>
      <c r="G2741" s="15">
        <f t="shared" si="1414"/>
        <v>30000</v>
      </c>
      <c r="H2741" s="15">
        <f t="shared" ref="H2741:I2756" si="1415">ROUNDDOWN($S2741/4*10,0)</f>
        <v>6000</v>
      </c>
      <c r="I2741" s="15">
        <f t="shared" si="1415"/>
        <v>6000</v>
      </c>
      <c r="J2741" s="15">
        <f t="shared" si="1398"/>
        <v>220500</v>
      </c>
      <c r="K2741" s="133">
        <v>1000</v>
      </c>
      <c r="L2741" s="15"/>
      <c r="M2741" s="16">
        <f t="shared" si="1413"/>
        <v>15937.879407248633</v>
      </c>
      <c r="N2741" s="63">
        <v>700</v>
      </c>
      <c r="O2741" s="64" t="s">
        <v>332</v>
      </c>
      <c r="P2741" s="101">
        <v>6000</v>
      </c>
      <c r="Q2741" s="64" t="s">
        <v>122</v>
      </c>
      <c r="R2741" s="64" t="s">
        <v>167</v>
      </c>
      <c r="S2741" s="101">
        <f t="shared" ref="S2741:S2747" si="1416">P2741/2.5</f>
        <v>2400</v>
      </c>
    </row>
    <row r="2742" spans="1:20" s="222" customFormat="1" x14ac:dyDescent="0.2">
      <c r="A2742" s="103" t="str">
        <f t="shared" si="1412"/>
        <v>9250119</v>
      </c>
      <c r="B2742" s="103">
        <v>925</v>
      </c>
      <c r="C2742" s="103">
        <v>1</v>
      </c>
      <c r="D2742" s="103" t="s">
        <v>259</v>
      </c>
      <c r="E2742" s="103">
        <v>9</v>
      </c>
      <c r="F2742" s="103">
        <f t="shared" si="1414"/>
        <v>95625</v>
      </c>
      <c r="G2742" s="103">
        <f t="shared" si="1414"/>
        <v>95625</v>
      </c>
      <c r="H2742" s="103">
        <f t="shared" si="1415"/>
        <v>8500</v>
      </c>
      <c r="I2742" s="103">
        <f t="shared" si="1415"/>
        <v>8500</v>
      </c>
      <c r="J2742" s="103">
        <f t="shared" si="1398"/>
        <v>879277</v>
      </c>
      <c r="K2742" s="133">
        <v>1000</v>
      </c>
      <c r="L2742" s="103"/>
      <c r="M2742" s="104">
        <f t="shared" si="1413"/>
        <v>67631.345942543543</v>
      </c>
      <c r="N2742" s="105">
        <v>700</v>
      </c>
      <c r="O2742" s="106" t="s">
        <v>228</v>
      </c>
      <c r="P2742" s="106" t="s">
        <v>1006</v>
      </c>
      <c r="Q2742" s="106" t="s">
        <v>412</v>
      </c>
      <c r="R2742" s="106" t="s">
        <v>167</v>
      </c>
      <c r="S2742" s="101">
        <f t="shared" si="1416"/>
        <v>3400</v>
      </c>
      <c r="T2742" s="273"/>
    </row>
    <row r="2743" spans="1:20" x14ac:dyDescent="0.2">
      <c r="A2743" s="14" t="str">
        <f t="shared" si="1412"/>
        <v>9251111</v>
      </c>
      <c r="B2743" s="14">
        <v>925</v>
      </c>
      <c r="C2743" s="14">
        <v>11</v>
      </c>
      <c r="D2743" s="14" t="s">
        <v>62</v>
      </c>
      <c r="E2743" s="14">
        <v>1</v>
      </c>
      <c r="F2743" s="15">
        <f t="shared" si="1414"/>
        <v>143000</v>
      </c>
      <c r="G2743" s="15">
        <f t="shared" si="1414"/>
        <v>143000</v>
      </c>
      <c r="H2743" s="15">
        <f t="shared" si="1415"/>
        <v>26000</v>
      </c>
      <c r="I2743" s="15">
        <f t="shared" si="1415"/>
        <v>26000</v>
      </c>
      <c r="J2743" s="15">
        <f t="shared" si="1398"/>
        <v>997159</v>
      </c>
      <c r="K2743" s="133">
        <v>1000</v>
      </c>
      <c r="L2743" s="15"/>
      <c r="M2743" s="16">
        <f t="shared" si="1413"/>
        <v>154037.65071176595</v>
      </c>
      <c r="N2743" s="63">
        <v>750</v>
      </c>
      <c r="O2743" s="64" t="s">
        <v>332</v>
      </c>
      <c r="P2743" s="102">
        <v>26000</v>
      </c>
      <c r="Q2743" s="64" t="s">
        <v>246</v>
      </c>
      <c r="R2743" s="64" t="s">
        <v>168</v>
      </c>
      <c r="S2743" s="101">
        <f t="shared" si="1416"/>
        <v>10400</v>
      </c>
      <c r="T2743" s="114"/>
    </row>
    <row r="2744" spans="1:20" s="222" customFormat="1" x14ac:dyDescent="0.2">
      <c r="A2744" s="107" t="str">
        <f t="shared" si="1412"/>
        <v>9251119</v>
      </c>
      <c r="B2744" s="107">
        <v>925</v>
      </c>
      <c r="C2744" s="107">
        <v>11</v>
      </c>
      <c r="D2744" s="107" t="s">
        <v>62</v>
      </c>
      <c r="E2744" s="107">
        <v>9</v>
      </c>
      <c r="F2744" s="107">
        <f t="shared" si="1414"/>
        <v>393750</v>
      </c>
      <c r="G2744" s="107">
        <f t="shared" si="1414"/>
        <v>393750</v>
      </c>
      <c r="H2744" s="107">
        <f t="shared" si="1415"/>
        <v>35000</v>
      </c>
      <c r="I2744" s="107">
        <f t="shared" si="1415"/>
        <v>35000</v>
      </c>
      <c r="J2744" s="107">
        <f t="shared" si="1398"/>
        <v>4156250</v>
      </c>
      <c r="K2744" s="133">
        <v>1000</v>
      </c>
      <c r="L2744" s="107"/>
      <c r="M2744" s="104">
        <f t="shared" si="1413"/>
        <v>605459.53622021677</v>
      </c>
      <c r="N2744" s="108">
        <v>750</v>
      </c>
      <c r="O2744" s="108">
        <v>19</v>
      </c>
      <c r="P2744" s="108">
        <v>35000</v>
      </c>
      <c r="Q2744" s="109" t="s">
        <v>412</v>
      </c>
      <c r="R2744" s="109" t="s">
        <v>168</v>
      </c>
      <c r="S2744" s="101">
        <f t="shared" si="1416"/>
        <v>14000</v>
      </c>
      <c r="T2744" s="274"/>
    </row>
    <row r="2745" spans="1:20" x14ac:dyDescent="0.2">
      <c r="A2745" s="14" t="str">
        <f t="shared" si="1412"/>
        <v>9252111</v>
      </c>
      <c r="B2745" s="14">
        <v>925</v>
      </c>
      <c r="C2745" s="14">
        <v>21</v>
      </c>
      <c r="D2745" s="14" t="s">
        <v>62</v>
      </c>
      <c r="E2745" s="14">
        <v>1</v>
      </c>
      <c r="F2745" s="15">
        <f t="shared" si="1414"/>
        <v>550000</v>
      </c>
      <c r="G2745" s="15">
        <f t="shared" si="1414"/>
        <v>550000</v>
      </c>
      <c r="H2745" s="15">
        <f t="shared" si="1415"/>
        <v>100000</v>
      </c>
      <c r="I2745" s="15">
        <f t="shared" si="1415"/>
        <v>100000</v>
      </c>
      <c r="J2745" s="15">
        <f t="shared" si="1398"/>
        <v>9818181</v>
      </c>
      <c r="K2745" s="133">
        <v>1000</v>
      </c>
      <c r="L2745" s="15"/>
      <c r="M2745" s="16">
        <f t="shared" si="1413"/>
        <v>1859031.9287198917</v>
      </c>
      <c r="N2745" s="63">
        <v>1200</v>
      </c>
      <c r="O2745" s="64" t="s">
        <v>332</v>
      </c>
      <c r="P2745" s="63">
        <v>100000</v>
      </c>
      <c r="Q2745" s="64" t="s">
        <v>246</v>
      </c>
      <c r="R2745" s="64" t="s">
        <v>169</v>
      </c>
      <c r="S2745" s="101">
        <f t="shared" si="1416"/>
        <v>40000</v>
      </c>
      <c r="T2745" s="114"/>
    </row>
    <row r="2746" spans="1:20" s="222" customFormat="1" x14ac:dyDescent="0.2">
      <c r="A2746" s="107" t="str">
        <f t="shared" si="1412"/>
        <v>9252119</v>
      </c>
      <c r="B2746" s="107">
        <v>925</v>
      </c>
      <c r="C2746" s="107">
        <v>21</v>
      </c>
      <c r="D2746" s="107" t="s">
        <v>62</v>
      </c>
      <c r="E2746" s="107">
        <v>9</v>
      </c>
      <c r="F2746" s="107">
        <f t="shared" si="1414"/>
        <v>1950000</v>
      </c>
      <c r="G2746" s="107">
        <f t="shared" si="1414"/>
        <v>1950000</v>
      </c>
      <c r="H2746" s="107">
        <f t="shared" si="1415"/>
        <v>130000</v>
      </c>
      <c r="I2746" s="107">
        <f t="shared" si="1415"/>
        <v>130000</v>
      </c>
      <c r="J2746" s="107">
        <f t="shared" si="1398"/>
        <v>31200000</v>
      </c>
      <c r="K2746" s="133">
        <v>1000</v>
      </c>
      <c r="L2746" s="107"/>
      <c r="M2746" s="104">
        <f t="shared" si="1413"/>
        <v>7114694.6526186205</v>
      </c>
      <c r="N2746" s="108">
        <v>1200</v>
      </c>
      <c r="O2746" s="108">
        <v>20</v>
      </c>
      <c r="P2746" s="108">
        <v>130000</v>
      </c>
      <c r="Q2746" s="109" t="s">
        <v>197</v>
      </c>
      <c r="R2746" s="109" t="s">
        <v>169</v>
      </c>
      <c r="S2746" s="101">
        <f t="shared" si="1416"/>
        <v>52000</v>
      </c>
      <c r="T2746" s="274"/>
    </row>
    <row r="2747" spans="1:20" x14ac:dyDescent="0.2">
      <c r="A2747" s="14" t="str">
        <f t="shared" si="1412"/>
        <v>9253111</v>
      </c>
      <c r="B2747" s="14">
        <v>925</v>
      </c>
      <c r="C2747" s="14">
        <v>31</v>
      </c>
      <c r="D2747" s="14" t="s">
        <v>62</v>
      </c>
      <c r="E2747" s="14">
        <v>1</v>
      </c>
      <c r="F2747" s="15">
        <f t="shared" si="1414"/>
        <v>715000</v>
      </c>
      <c r="G2747" s="15">
        <f t="shared" si="1414"/>
        <v>715000</v>
      </c>
      <c r="H2747" s="15">
        <f t="shared" si="1415"/>
        <v>130000</v>
      </c>
      <c r="I2747" s="15">
        <f t="shared" si="1415"/>
        <v>130000</v>
      </c>
      <c r="J2747" s="15">
        <f t="shared" si="1398"/>
        <v>12763636</v>
      </c>
      <c r="K2747" s="133">
        <v>1000</v>
      </c>
      <c r="L2747" s="15"/>
      <c r="M2747" s="16">
        <f t="shared" si="1413"/>
        <v>2755509.3510420173</v>
      </c>
      <c r="N2747" s="63">
        <v>1200</v>
      </c>
      <c r="O2747" s="64" t="s">
        <v>332</v>
      </c>
      <c r="P2747" s="63">
        <v>130000</v>
      </c>
      <c r="Q2747" s="64" t="s">
        <v>246</v>
      </c>
      <c r="R2747" s="64" t="s">
        <v>411</v>
      </c>
      <c r="S2747" s="101">
        <f t="shared" si="1416"/>
        <v>52000</v>
      </c>
      <c r="T2747" s="114"/>
    </row>
    <row r="2748" spans="1:20" s="222" customFormat="1" x14ac:dyDescent="0.2">
      <c r="A2748" s="107" t="str">
        <f t="shared" si="1412"/>
        <v>9253119</v>
      </c>
      <c r="B2748" s="107">
        <v>925</v>
      </c>
      <c r="C2748" s="107">
        <v>31</v>
      </c>
      <c r="D2748" s="107" t="s">
        <v>62</v>
      </c>
      <c r="E2748" s="107">
        <v>9</v>
      </c>
      <c r="F2748" s="107">
        <f t="shared" si="1414"/>
        <v>3168000</v>
      </c>
      <c r="G2748" s="107">
        <f t="shared" si="1414"/>
        <v>3168000</v>
      </c>
      <c r="H2748" s="107">
        <f t="shared" si="1415"/>
        <v>264000</v>
      </c>
      <c r="I2748" s="107">
        <f t="shared" si="1415"/>
        <v>264000</v>
      </c>
      <c r="J2748" s="107">
        <f t="shared" si="1398"/>
        <v>63669375</v>
      </c>
      <c r="K2748" s="133">
        <v>1000</v>
      </c>
      <c r="L2748" s="107"/>
      <c r="M2748" s="104">
        <f t="shared" si="1413"/>
        <v>18460770.795608725</v>
      </c>
      <c r="N2748" s="108">
        <v>1050</v>
      </c>
      <c r="O2748" s="108">
        <v>21</v>
      </c>
      <c r="P2748" s="108">
        <v>264000</v>
      </c>
      <c r="Q2748" s="109" t="s">
        <v>448</v>
      </c>
      <c r="R2748" s="109" t="s">
        <v>170</v>
      </c>
      <c r="S2748" s="101">
        <f>P2748/2.5</f>
        <v>105600</v>
      </c>
      <c r="T2748" s="274"/>
    </row>
    <row r="2749" spans="1:20" ht="20.25" x14ac:dyDescent="0.2">
      <c r="A2749" s="8" t="str">
        <f t="shared" ref="A2749:A2766" si="1417">IF(B2749="","",CONCATENATE(B2749,CONCATENATE(REPT(0,2-LEN(C2749)),C2749),IF(OR(D2749="Easy",D2749=""),1,IF(D2749="Normal",2,IF(D2749="Hard",3,IF(D2749="Hell",4,"error")))),E2749))</f>
        <v/>
      </c>
      <c r="B2749" s="5"/>
      <c r="C2749" s="79" t="s">
        <v>566</v>
      </c>
      <c r="D2749" s="5"/>
      <c r="E2749" s="5"/>
      <c r="F2749" s="5"/>
      <c r="G2749" s="5"/>
      <c r="H2749" s="5"/>
      <c r="I2749" s="5"/>
      <c r="J2749" s="5"/>
      <c r="K2749" s="133"/>
      <c r="L2749" s="5"/>
      <c r="M2749" s="16">
        <f t="shared" si="1413"/>
        <v>0</v>
      </c>
      <c r="N2749" s="5"/>
      <c r="O2749" s="5"/>
      <c r="P2749" s="5"/>
      <c r="Q2749" s="5"/>
      <c r="R2749" s="5"/>
      <c r="S2749" s="30"/>
    </row>
    <row r="2750" spans="1:20" x14ac:dyDescent="0.2">
      <c r="A2750" s="8" t="str">
        <f t="shared" si="1417"/>
        <v>9260111</v>
      </c>
      <c r="B2750" s="8">
        <v>926</v>
      </c>
      <c r="C2750" s="8">
        <v>1</v>
      </c>
      <c r="D2750" s="8" t="s">
        <v>259</v>
      </c>
      <c r="E2750" s="8">
        <v>1</v>
      </c>
      <c r="F2750" s="34">
        <f t="shared" si="1414"/>
        <v>30000</v>
      </c>
      <c r="G2750" s="34">
        <f t="shared" si="1414"/>
        <v>30000</v>
      </c>
      <c r="H2750" s="34">
        <f t="shared" si="1415"/>
        <v>15802</v>
      </c>
      <c r="I2750" s="34">
        <f t="shared" si="1415"/>
        <v>15802</v>
      </c>
      <c r="J2750" s="34">
        <f t="shared" si="1398"/>
        <v>220500</v>
      </c>
      <c r="K2750" s="133">
        <v>1000</v>
      </c>
      <c r="L2750" s="34"/>
      <c r="M2750" s="16">
        <f t="shared" si="1413"/>
        <v>25864.908118916646</v>
      </c>
      <c r="N2750" s="36">
        <v>700</v>
      </c>
      <c r="O2750" s="2" t="s">
        <v>332</v>
      </c>
      <c r="P2750" s="2" t="s">
        <v>181</v>
      </c>
      <c r="Q2750" s="2" t="s">
        <v>122</v>
      </c>
      <c r="R2750" s="2" t="s">
        <v>167</v>
      </c>
      <c r="S2750" s="36">
        <v>6321</v>
      </c>
    </row>
    <row r="2751" spans="1:20" x14ac:dyDescent="0.2">
      <c r="A2751" s="8" t="str">
        <f t="shared" si="1417"/>
        <v>9260119</v>
      </c>
      <c r="B2751" s="8">
        <v>926</v>
      </c>
      <c r="C2751" s="8">
        <v>1</v>
      </c>
      <c r="D2751" s="8" t="s">
        <v>259</v>
      </c>
      <c r="E2751" s="8">
        <v>9</v>
      </c>
      <c r="F2751" s="34">
        <f t="shared" si="1414"/>
        <v>157500</v>
      </c>
      <c r="G2751" s="34">
        <f t="shared" si="1414"/>
        <v>157500</v>
      </c>
      <c r="H2751" s="34">
        <f t="shared" si="1415"/>
        <v>15802</v>
      </c>
      <c r="I2751" s="34">
        <f t="shared" si="1415"/>
        <v>15802</v>
      </c>
      <c r="J2751" s="34">
        <f t="shared" si="1398"/>
        <v>1448222</v>
      </c>
      <c r="K2751" s="133">
        <v>1000</v>
      </c>
      <c r="L2751" s="34"/>
      <c r="M2751" s="16">
        <f t="shared" si="1413"/>
        <v>151881.14588832943</v>
      </c>
      <c r="N2751" s="36">
        <v>700</v>
      </c>
      <c r="O2751" s="2" t="s">
        <v>228</v>
      </c>
      <c r="P2751" s="2" t="s">
        <v>810</v>
      </c>
      <c r="Q2751" s="2" t="s">
        <v>412</v>
      </c>
      <c r="R2751" s="2" t="s">
        <v>167</v>
      </c>
      <c r="S2751" s="36">
        <v>6321</v>
      </c>
    </row>
    <row r="2752" spans="1:20" x14ac:dyDescent="0.2">
      <c r="A2752" s="8" t="str">
        <f t="shared" si="1417"/>
        <v>9261111</v>
      </c>
      <c r="B2752" s="8">
        <v>926</v>
      </c>
      <c r="C2752" s="8">
        <v>11</v>
      </c>
      <c r="D2752" s="8" t="s">
        <v>62</v>
      </c>
      <c r="E2752" s="8">
        <v>1</v>
      </c>
      <c r="F2752" s="34">
        <f t="shared" si="1414"/>
        <v>121000</v>
      </c>
      <c r="G2752" s="34">
        <f t="shared" si="1414"/>
        <v>121000</v>
      </c>
      <c r="H2752" s="34">
        <f t="shared" si="1415"/>
        <v>25775</v>
      </c>
      <c r="I2752" s="34">
        <f t="shared" si="1415"/>
        <v>25775</v>
      </c>
      <c r="J2752" s="34">
        <f t="shared" si="1398"/>
        <v>843750</v>
      </c>
      <c r="K2752" s="133">
        <v>1000</v>
      </c>
      <c r="L2752" s="34"/>
      <c r="M2752" s="16">
        <f t="shared" si="1413"/>
        <v>129774.36187475553</v>
      </c>
      <c r="N2752" s="36">
        <v>750</v>
      </c>
      <c r="O2752" s="2" t="s">
        <v>332</v>
      </c>
      <c r="P2752" s="54">
        <v>22000</v>
      </c>
      <c r="Q2752" s="2" t="s">
        <v>246</v>
      </c>
      <c r="R2752" s="2" t="s">
        <v>168</v>
      </c>
      <c r="S2752" s="36">
        <v>10310</v>
      </c>
      <c r="T2752" s="114"/>
    </row>
    <row r="2753" spans="1:20" x14ac:dyDescent="0.2">
      <c r="A2753" s="8" t="str">
        <f t="shared" si="1417"/>
        <v>9261119</v>
      </c>
      <c r="B2753" s="8">
        <v>926</v>
      </c>
      <c r="C2753" s="8">
        <v>11</v>
      </c>
      <c r="D2753" s="8" t="s">
        <v>62</v>
      </c>
      <c r="E2753" s="8">
        <v>9</v>
      </c>
      <c r="F2753" s="34">
        <f t="shared" si="1414"/>
        <v>450000</v>
      </c>
      <c r="G2753" s="34">
        <f t="shared" si="1414"/>
        <v>450000</v>
      </c>
      <c r="H2753" s="34">
        <f t="shared" si="1415"/>
        <v>25775</v>
      </c>
      <c r="I2753" s="34">
        <f t="shared" si="1415"/>
        <v>25775</v>
      </c>
      <c r="J2753" s="34">
        <f t="shared" si="1398"/>
        <v>4750000</v>
      </c>
      <c r="K2753" s="133">
        <v>1000</v>
      </c>
      <c r="L2753" s="34"/>
      <c r="M2753" s="16">
        <f t="shared" si="1413"/>
        <v>593802.9976347374</v>
      </c>
      <c r="N2753" s="36">
        <v>750</v>
      </c>
      <c r="O2753" s="36">
        <v>19</v>
      </c>
      <c r="P2753" s="36">
        <v>40000</v>
      </c>
      <c r="Q2753" s="2" t="s">
        <v>412</v>
      </c>
      <c r="R2753" s="2" t="s">
        <v>168</v>
      </c>
      <c r="S2753" s="36">
        <v>10310</v>
      </c>
      <c r="T2753" s="114"/>
    </row>
    <row r="2754" spans="1:20" x14ac:dyDescent="0.2">
      <c r="A2754" s="8" t="str">
        <f t="shared" si="1417"/>
        <v>9262111</v>
      </c>
      <c r="B2754" s="8">
        <v>926</v>
      </c>
      <c r="C2754" s="8">
        <v>21</v>
      </c>
      <c r="D2754" s="8" t="s">
        <v>62</v>
      </c>
      <c r="E2754" s="8">
        <v>1</v>
      </c>
      <c r="F2754" s="34">
        <f t="shared" si="1414"/>
        <v>280500</v>
      </c>
      <c r="G2754" s="34">
        <f t="shared" si="1414"/>
        <v>280500</v>
      </c>
      <c r="H2754" s="34">
        <f t="shared" si="1415"/>
        <v>99928</v>
      </c>
      <c r="I2754" s="34">
        <f t="shared" si="1415"/>
        <v>99928</v>
      </c>
      <c r="J2754" s="34">
        <f t="shared" si="1398"/>
        <v>5520518</v>
      </c>
      <c r="K2754" s="133">
        <v>1000</v>
      </c>
      <c r="L2754" s="34"/>
      <c r="M2754" s="16">
        <f>(F2754*J2754*((H2754+I2754)/2)/1000)^(1/2)/10*0.8</f>
        <v>995153.17419893749</v>
      </c>
      <c r="N2754" s="36">
        <v>1260</v>
      </c>
      <c r="O2754" s="2" t="s">
        <v>332</v>
      </c>
      <c r="P2754" s="36">
        <v>51000</v>
      </c>
      <c r="Q2754" s="2" t="s">
        <v>246</v>
      </c>
      <c r="R2754" s="2" t="s">
        <v>169</v>
      </c>
      <c r="S2754" s="56">
        <v>39971.25</v>
      </c>
      <c r="T2754" s="114"/>
    </row>
    <row r="2755" spans="1:20" x14ac:dyDescent="0.2">
      <c r="A2755" s="8" t="str">
        <f t="shared" si="1417"/>
        <v>9262119</v>
      </c>
      <c r="B2755" s="8">
        <v>926</v>
      </c>
      <c r="C2755" s="8">
        <v>21</v>
      </c>
      <c r="D2755" s="8" t="s">
        <v>62</v>
      </c>
      <c r="E2755" s="8">
        <v>9</v>
      </c>
      <c r="F2755" s="34">
        <f t="shared" si="1414"/>
        <v>1912500</v>
      </c>
      <c r="G2755" s="34">
        <f t="shared" si="1414"/>
        <v>1912500</v>
      </c>
      <c r="H2755" s="34">
        <f t="shared" si="1415"/>
        <v>42500</v>
      </c>
      <c r="I2755" s="34">
        <f t="shared" si="1415"/>
        <v>42500</v>
      </c>
      <c r="J2755" s="34">
        <f t="shared" si="1398"/>
        <v>46694117</v>
      </c>
      <c r="K2755" s="133">
        <v>1000</v>
      </c>
      <c r="L2755" s="34"/>
      <c r="M2755" s="16">
        <f t="shared" si="1413"/>
        <v>4928516.984185</v>
      </c>
      <c r="N2755" s="36">
        <v>1260</v>
      </c>
      <c r="O2755" s="36">
        <v>20</v>
      </c>
      <c r="P2755" s="36">
        <v>150000</v>
      </c>
      <c r="Q2755" s="2" t="s">
        <v>414</v>
      </c>
      <c r="R2755" s="2" t="s">
        <v>169</v>
      </c>
      <c r="S2755" s="56">
        <v>17000</v>
      </c>
      <c r="T2755" s="114"/>
    </row>
    <row r="2756" spans="1:20" x14ac:dyDescent="0.2">
      <c r="A2756" s="8" t="str">
        <f t="shared" si="1417"/>
        <v>9263111</v>
      </c>
      <c r="B2756" s="8">
        <v>926</v>
      </c>
      <c r="C2756" s="8">
        <v>31</v>
      </c>
      <c r="D2756" s="8" t="s">
        <v>62</v>
      </c>
      <c r="E2756" s="8">
        <v>1</v>
      </c>
      <c r="F2756" s="34">
        <f t="shared" si="1414"/>
        <v>250000</v>
      </c>
      <c r="G2756" s="34">
        <f t="shared" si="1414"/>
        <v>250000</v>
      </c>
      <c r="H2756" s="34">
        <f t="shared" si="1415"/>
        <v>97968</v>
      </c>
      <c r="I2756" s="34">
        <f t="shared" si="1415"/>
        <v>97968</v>
      </c>
      <c r="J2756" s="34">
        <f t="shared" si="1398"/>
        <v>1378125</v>
      </c>
      <c r="K2756" s="133">
        <v>1000</v>
      </c>
      <c r="L2756" s="34"/>
      <c r="M2756" s="16">
        <f t="shared" si="1413"/>
        <v>464778.91518441332</v>
      </c>
      <c r="N2756" s="36">
        <v>1050</v>
      </c>
      <c r="O2756" s="2" t="s">
        <v>87</v>
      </c>
      <c r="P2756" s="36">
        <v>50000</v>
      </c>
      <c r="Q2756" s="2" t="s">
        <v>122</v>
      </c>
      <c r="R2756" s="2" t="s">
        <v>411</v>
      </c>
      <c r="S2756" s="56">
        <v>39187.5</v>
      </c>
      <c r="T2756" s="114"/>
    </row>
    <row r="2757" spans="1:20" x14ac:dyDescent="0.2">
      <c r="A2757" s="8" t="str">
        <f t="shared" si="1417"/>
        <v>9263119</v>
      </c>
      <c r="B2757" s="8">
        <v>926</v>
      </c>
      <c r="C2757" s="8">
        <v>31</v>
      </c>
      <c r="D2757" s="8" t="s">
        <v>62</v>
      </c>
      <c r="E2757" s="8">
        <v>9</v>
      </c>
      <c r="F2757" s="34">
        <f t="shared" ref="F2757:G2757" si="1418">ROUNDDOWN($P2757/4*MIN($O2757,4)*10*$N2757/$N2757*$Q2757/400,0)</f>
        <v>2200000</v>
      </c>
      <c r="G2757" s="34">
        <f t="shared" si="1418"/>
        <v>2200000</v>
      </c>
      <c r="H2757" s="34">
        <f t="shared" ref="H2757:I2757" si="1419">ROUNDDOWN($S2757/4*10,0)</f>
        <v>49500</v>
      </c>
      <c r="I2757" s="34">
        <f t="shared" si="1419"/>
        <v>49500</v>
      </c>
      <c r="J2757" s="34">
        <f t="shared" si="1398"/>
        <v>63669375</v>
      </c>
      <c r="K2757" s="133">
        <v>1000</v>
      </c>
      <c r="L2757" s="34"/>
      <c r="M2757" s="16">
        <f t="shared" si="1413"/>
        <v>6661456.8676829245</v>
      </c>
      <c r="N2757" s="36">
        <v>1050</v>
      </c>
      <c r="O2757" s="36">
        <v>21</v>
      </c>
      <c r="P2757" s="36">
        <v>220000</v>
      </c>
      <c r="Q2757" s="2" t="s">
        <v>90</v>
      </c>
      <c r="R2757" s="2" t="s">
        <v>170</v>
      </c>
      <c r="S2757" s="56">
        <v>19800</v>
      </c>
      <c r="T2757" s="114"/>
    </row>
    <row r="2758" spans="1:20" ht="20.25" x14ac:dyDescent="0.2">
      <c r="A2758" s="8" t="str">
        <f t="shared" si="1417"/>
        <v/>
      </c>
      <c r="B2758" s="5"/>
      <c r="C2758" s="79" t="s">
        <v>598</v>
      </c>
      <c r="D2758" s="5"/>
      <c r="E2758" s="5"/>
      <c r="F2758" s="5"/>
      <c r="G2758" s="5"/>
      <c r="H2758" s="5"/>
      <c r="I2758" s="5"/>
      <c r="J2758" s="5"/>
      <c r="K2758" s="133"/>
      <c r="L2758" s="5"/>
      <c r="M2758" s="16"/>
      <c r="N2758" s="5"/>
      <c r="O2758" s="5"/>
      <c r="P2758" s="5"/>
      <c r="Q2758" s="5"/>
      <c r="R2758" s="5"/>
      <c r="S2758" s="30"/>
    </row>
    <row r="2759" spans="1:20" x14ac:dyDescent="0.2">
      <c r="A2759" s="8" t="str">
        <f t="shared" si="1417"/>
        <v>9270111</v>
      </c>
      <c r="B2759" s="8">
        <v>927</v>
      </c>
      <c r="C2759" s="8">
        <v>1</v>
      </c>
      <c r="D2759" s="8" t="s">
        <v>259</v>
      </c>
      <c r="E2759" s="8">
        <v>1</v>
      </c>
      <c r="F2759" s="34">
        <f t="shared" ref="F2759:G2777" si="1420">ROUNDDOWN($P2759/4*MIN($O2759,4)*10*$N2759/$N2759*$Q2759/400,0)</f>
        <v>25000</v>
      </c>
      <c r="G2759" s="34">
        <f t="shared" si="1420"/>
        <v>25000</v>
      </c>
      <c r="H2759" s="34">
        <f t="shared" ref="H2759:I2777" si="1421">ROUNDDOWN($S2759/4*10,0)</f>
        <v>15802</v>
      </c>
      <c r="I2759" s="34">
        <f t="shared" si="1421"/>
        <v>15802</v>
      </c>
      <c r="J2759" s="34">
        <f t="shared" si="1398"/>
        <v>183750</v>
      </c>
      <c r="K2759" s="133">
        <v>1000</v>
      </c>
      <c r="L2759" s="34"/>
      <c r="M2759" s="16">
        <f t="shared" si="1413"/>
        <v>21554.0900990972</v>
      </c>
      <c r="N2759" s="36">
        <v>700</v>
      </c>
      <c r="O2759" s="2" t="s">
        <v>332</v>
      </c>
      <c r="P2759" s="2" t="s">
        <v>180</v>
      </c>
      <c r="Q2759" s="2" t="s">
        <v>122</v>
      </c>
      <c r="R2759" s="2" t="s">
        <v>167</v>
      </c>
      <c r="S2759" s="36">
        <v>6321</v>
      </c>
    </row>
    <row r="2760" spans="1:20" x14ac:dyDescent="0.2">
      <c r="A2760" s="8" t="str">
        <f t="shared" si="1417"/>
        <v>9270119</v>
      </c>
      <c r="B2760" s="8">
        <v>927</v>
      </c>
      <c r="C2760" s="8">
        <v>1</v>
      </c>
      <c r="D2760" s="8" t="s">
        <v>259</v>
      </c>
      <c r="E2760" s="8">
        <v>9</v>
      </c>
      <c r="F2760" s="34">
        <f t="shared" si="1420"/>
        <v>61875</v>
      </c>
      <c r="G2760" s="34">
        <f t="shared" si="1420"/>
        <v>61875</v>
      </c>
      <c r="H2760" s="34">
        <f t="shared" si="1421"/>
        <v>15802</v>
      </c>
      <c r="I2760" s="34">
        <f t="shared" si="1421"/>
        <v>15802</v>
      </c>
      <c r="J2760" s="34">
        <f t="shared" si="1398"/>
        <v>568944</v>
      </c>
      <c r="K2760" s="133">
        <v>1000</v>
      </c>
      <c r="L2760" s="34"/>
      <c r="M2760" s="16">
        <f t="shared" si="1413"/>
        <v>59667.574300016582</v>
      </c>
      <c r="N2760" s="36">
        <v>700</v>
      </c>
      <c r="O2760" s="2" t="s">
        <v>228</v>
      </c>
      <c r="P2760" s="2" t="s">
        <v>352</v>
      </c>
      <c r="Q2760" s="2" t="s">
        <v>412</v>
      </c>
      <c r="R2760" s="2" t="s">
        <v>167</v>
      </c>
      <c r="S2760" s="36">
        <v>6321</v>
      </c>
    </row>
    <row r="2761" spans="1:20" x14ac:dyDescent="0.2">
      <c r="A2761" s="8" t="str">
        <f t="shared" si="1417"/>
        <v>9271111</v>
      </c>
      <c r="B2761" s="8">
        <v>927</v>
      </c>
      <c r="C2761" s="8">
        <v>11</v>
      </c>
      <c r="D2761" s="8" t="s">
        <v>62</v>
      </c>
      <c r="E2761" s="8">
        <v>1</v>
      </c>
      <c r="F2761" s="34">
        <f t="shared" si="1420"/>
        <v>104500</v>
      </c>
      <c r="G2761" s="34">
        <f t="shared" si="1420"/>
        <v>104500</v>
      </c>
      <c r="H2761" s="34">
        <f t="shared" si="1421"/>
        <v>25775</v>
      </c>
      <c r="I2761" s="34">
        <f t="shared" si="1421"/>
        <v>25775</v>
      </c>
      <c r="J2761" s="34">
        <f t="shared" si="1398"/>
        <v>728693</v>
      </c>
      <c r="K2761" s="133">
        <v>1000</v>
      </c>
      <c r="L2761" s="34"/>
      <c r="M2761" s="16">
        <f t="shared" si="1413"/>
        <v>112077.84400031972</v>
      </c>
      <c r="N2761" s="36">
        <v>750</v>
      </c>
      <c r="O2761" s="2" t="s">
        <v>332</v>
      </c>
      <c r="P2761" s="54">
        <v>19000</v>
      </c>
      <c r="Q2761" s="2" t="s">
        <v>246</v>
      </c>
      <c r="R2761" s="2" t="s">
        <v>168</v>
      </c>
      <c r="S2761" s="36">
        <v>10310</v>
      </c>
      <c r="T2761" s="114"/>
    </row>
    <row r="2762" spans="1:20" x14ac:dyDescent="0.2">
      <c r="A2762" s="8" t="str">
        <f t="shared" si="1417"/>
        <v>9271119</v>
      </c>
      <c r="B2762" s="8">
        <v>927</v>
      </c>
      <c r="C2762" s="8">
        <v>11</v>
      </c>
      <c r="D2762" s="8" t="s">
        <v>62</v>
      </c>
      <c r="E2762" s="8">
        <v>9</v>
      </c>
      <c r="F2762" s="34">
        <f t="shared" si="1420"/>
        <v>247500</v>
      </c>
      <c r="G2762" s="34">
        <f t="shared" si="1420"/>
        <v>247500</v>
      </c>
      <c r="H2762" s="34">
        <f t="shared" si="1421"/>
        <v>25775</v>
      </c>
      <c r="I2762" s="34">
        <f t="shared" si="1421"/>
        <v>25775</v>
      </c>
      <c r="J2762" s="34">
        <f t="shared" si="1398"/>
        <v>2612500</v>
      </c>
      <c r="K2762" s="133">
        <v>1000</v>
      </c>
      <c r="L2762" s="34"/>
      <c r="M2762" s="16">
        <f t="shared" si="1413"/>
        <v>326591.64869910566</v>
      </c>
      <c r="N2762" s="36">
        <v>750</v>
      </c>
      <c r="O2762" s="36">
        <v>19</v>
      </c>
      <c r="P2762" s="36">
        <v>22000</v>
      </c>
      <c r="Q2762" s="2" t="s">
        <v>412</v>
      </c>
      <c r="R2762" s="2" t="s">
        <v>168</v>
      </c>
      <c r="S2762" s="36">
        <v>10310</v>
      </c>
      <c r="T2762" s="114"/>
    </row>
    <row r="2763" spans="1:20" x14ac:dyDescent="0.2">
      <c r="A2763" s="8" t="str">
        <f t="shared" si="1417"/>
        <v>9272111</v>
      </c>
      <c r="B2763" s="8">
        <v>927</v>
      </c>
      <c r="C2763" s="8">
        <v>21</v>
      </c>
      <c r="D2763" s="8" t="s">
        <v>62</v>
      </c>
      <c r="E2763" s="8">
        <v>1</v>
      </c>
      <c r="F2763" s="34">
        <f t="shared" si="1420"/>
        <v>280500</v>
      </c>
      <c r="G2763" s="34">
        <f t="shared" si="1420"/>
        <v>280500</v>
      </c>
      <c r="H2763" s="34">
        <f t="shared" si="1421"/>
        <v>99928</v>
      </c>
      <c r="I2763" s="34">
        <f t="shared" si="1421"/>
        <v>99928</v>
      </c>
      <c r="J2763" s="34">
        <f t="shared" si="1398"/>
        <v>5007272</v>
      </c>
      <c r="K2763" s="133">
        <v>1000</v>
      </c>
      <c r="L2763" s="34"/>
      <c r="M2763" s="16">
        <f t="shared" si="1413"/>
        <v>947764.87458757579</v>
      </c>
      <c r="N2763" s="36">
        <v>1200</v>
      </c>
      <c r="O2763" s="2" t="s">
        <v>332</v>
      </c>
      <c r="P2763" s="36">
        <v>51000</v>
      </c>
      <c r="Q2763" s="2" t="s">
        <v>246</v>
      </c>
      <c r="R2763" s="2" t="s">
        <v>169</v>
      </c>
      <c r="S2763" s="56">
        <v>39971.25</v>
      </c>
      <c r="T2763" s="114"/>
    </row>
    <row r="2764" spans="1:20" x14ac:dyDescent="0.2">
      <c r="A2764" s="8" t="str">
        <f t="shared" si="1417"/>
        <v>9272119</v>
      </c>
      <c r="B2764" s="8">
        <v>927</v>
      </c>
      <c r="C2764" s="8">
        <v>21</v>
      </c>
      <c r="D2764" s="8" t="s">
        <v>62</v>
      </c>
      <c r="E2764" s="8">
        <v>9</v>
      </c>
      <c r="F2764" s="34">
        <f t="shared" si="1420"/>
        <v>2137500</v>
      </c>
      <c r="G2764" s="34">
        <f t="shared" si="1420"/>
        <v>2137500</v>
      </c>
      <c r="H2764" s="34">
        <f t="shared" si="1421"/>
        <v>137156</v>
      </c>
      <c r="I2764" s="34">
        <f t="shared" si="1421"/>
        <v>137156</v>
      </c>
      <c r="J2764" s="34">
        <f t="shared" si="1398"/>
        <v>38528947</v>
      </c>
      <c r="K2764" s="133">
        <v>1000</v>
      </c>
      <c r="L2764" s="34"/>
      <c r="M2764" s="16">
        <f t="shared" si="1413"/>
        <v>8502448.7746021599</v>
      </c>
      <c r="N2764" s="36">
        <v>1210</v>
      </c>
      <c r="O2764" s="36">
        <v>20</v>
      </c>
      <c r="P2764" s="36">
        <v>150000</v>
      </c>
      <c r="Q2764" s="2" t="s">
        <v>519</v>
      </c>
      <c r="R2764" s="2" t="s">
        <v>599</v>
      </c>
      <c r="S2764" s="56">
        <v>54862.500000000007</v>
      </c>
      <c r="T2764" s="114"/>
    </row>
    <row r="2765" spans="1:20" x14ac:dyDescent="0.2">
      <c r="A2765" s="8" t="str">
        <f t="shared" si="1417"/>
        <v>9273111</v>
      </c>
      <c r="B2765" s="8">
        <v>927</v>
      </c>
      <c r="C2765" s="8">
        <v>31</v>
      </c>
      <c r="D2765" s="8" t="s">
        <v>62</v>
      </c>
      <c r="E2765" s="8">
        <v>1</v>
      </c>
      <c r="F2765" s="34">
        <f t="shared" si="1420"/>
        <v>250000</v>
      </c>
      <c r="G2765" s="34">
        <f t="shared" si="1420"/>
        <v>250000</v>
      </c>
      <c r="H2765" s="34">
        <f t="shared" si="1421"/>
        <v>97968</v>
      </c>
      <c r="I2765" s="34">
        <f t="shared" si="1421"/>
        <v>97968</v>
      </c>
      <c r="J2765" s="34">
        <f t="shared" si="1398"/>
        <v>1250000</v>
      </c>
      <c r="K2765" s="133">
        <v>1000</v>
      </c>
      <c r="L2765" s="34"/>
      <c r="M2765" s="16">
        <f t="shared" si="1413"/>
        <v>442646.58588991745</v>
      </c>
      <c r="N2765" s="36">
        <v>1000</v>
      </c>
      <c r="O2765" s="2" t="s">
        <v>87</v>
      </c>
      <c r="P2765" s="36">
        <v>50000</v>
      </c>
      <c r="Q2765" s="2" t="s">
        <v>122</v>
      </c>
      <c r="R2765" s="2" t="s">
        <v>411</v>
      </c>
      <c r="S2765" s="56">
        <v>39187.5</v>
      </c>
      <c r="T2765" s="114"/>
    </row>
    <row r="2766" spans="1:20" x14ac:dyDescent="0.2">
      <c r="A2766" s="8" t="str">
        <f t="shared" si="1417"/>
        <v>9273119</v>
      </c>
      <c r="B2766" s="8">
        <v>927</v>
      </c>
      <c r="C2766" s="8">
        <v>31</v>
      </c>
      <c r="D2766" s="8" t="s">
        <v>62</v>
      </c>
      <c r="E2766" s="8">
        <v>9</v>
      </c>
      <c r="F2766" s="34">
        <f t="shared" si="1420"/>
        <v>2455750</v>
      </c>
      <c r="G2766" s="34">
        <f t="shared" si="1420"/>
        <v>2455750</v>
      </c>
      <c r="H2766" s="34">
        <f t="shared" si="1421"/>
        <v>193977</v>
      </c>
      <c r="I2766" s="34">
        <f t="shared" si="1421"/>
        <v>193977</v>
      </c>
      <c r="J2766" s="34">
        <f t="shared" si="1398"/>
        <v>65013229</v>
      </c>
      <c r="K2766" s="133">
        <v>1000</v>
      </c>
      <c r="L2766" s="34"/>
      <c r="M2766" s="16">
        <f t="shared" si="1413"/>
        <v>14078553.995565496</v>
      </c>
      <c r="N2766" s="36">
        <v>1180</v>
      </c>
      <c r="O2766" s="36">
        <v>21</v>
      </c>
      <c r="P2766" s="36">
        <v>209000</v>
      </c>
      <c r="Q2766" s="2" t="s">
        <v>535</v>
      </c>
      <c r="R2766" s="2" t="s">
        <v>600</v>
      </c>
      <c r="S2766" s="56">
        <v>77591</v>
      </c>
      <c r="T2766" s="114"/>
    </row>
    <row r="2767" spans="1:20" ht="20.25" x14ac:dyDescent="0.2">
      <c r="A2767" s="8" t="str">
        <f t="shared" ref="A2767:A2775" si="1422">IF(B2767="","",CONCATENATE(B2767,CONCATENATE(REPT(0,2-LEN(C2767)),C2767),IF(OR(D2767="Easy",D2767=""),1,IF(D2767="Normal",2,IF(D2767="Hard",3,IF(D2767="Hell",4,"error")))),E2767))</f>
        <v/>
      </c>
      <c r="B2767" s="5"/>
      <c r="C2767" s="79" t="s">
        <v>761</v>
      </c>
      <c r="D2767" s="5"/>
      <c r="E2767" s="5"/>
      <c r="F2767" s="5"/>
      <c r="G2767" s="5"/>
      <c r="H2767" s="5"/>
      <c r="I2767" s="5"/>
      <c r="J2767" s="5"/>
      <c r="K2767" s="133"/>
      <c r="L2767" s="5"/>
      <c r="M2767" s="16">
        <f t="shared" ref="M2767:M2775" si="1423">(F2767*J2767*((H2767+I2767)/2)/1000)^(1/2)/10*0.8</f>
        <v>0</v>
      </c>
      <c r="N2767" s="5"/>
      <c r="O2767" s="5"/>
      <c r="P2767" s="5"/>
      <c r="Q2767" s="5"/>
      <c r="R2767" s="5"/>
      <c r="S2767" s="30"/>
    </row>
    <row r="2768" spans="1:20" x14ac:dyDescent="0.2">
      <c r="A2768" s="8" t="str">
        <f t="shared" si="1422"/>
        <v>9280111</v>
      </c>
      <c r="B2768" s="8">
        <v>928</v>
      </c>
      <c r="C2768" s="8">
        <v>1</v>
      </c>
      <c r="D2768" s="8" t="s">
        <v>259</v>
      </c>
      <c r="E2768" s="8">
        <v>1</v>
      </c>
      <c r="F2768" s="34">
        <f t="shared" si="1420"/>
        <v>25000</v>
      </c>
      <c r="G2768" s="34">
        <f t="shared" si="1420"/>
        <v>25000</v>
      </c>
      <c r="H2768" s="34">
        <f t="shared" si="1421"/>
        <v>15802</v>
      </c>
      <c r="I2768" s="34">
        <f t="shared" si="1421"/>
        <v>15802</v>
      </c>
      <c r="J2768" s="34">
        <f t="shared" si="1398"/>
        <v>183750</v>
      </c>
      <c r="K2768" s="133">
        <v>1000</v>
      </c>
      <c r="L2768" s="34"/>
      <c r="M2768" s="16">
        <f t="shared" si="1423"/>
        <v>21554.0900990972</v>
      </c>
      <c r="N2768" s="36">
        <v>700</v>
      </c>
      <c r="O2768" s="2" t="s">
        <v>332</v>
      </c>
      <c r="P2768" s="2" t="s">
        <v>180</v>
      </c>
      <c r="Q2768" s="2" t="s">
        <v>122</v>
      </c>
      <c r="R2768" s="2" t="s">
        <v>167</v>
      </c>
      <c r="S2768" s="36">
        <v>6321</v>
      </c>
    </row>
    <row r="2769" spans="1:20" x14ac:dyDescent="0.2">
      <c r="A2769" s="8" t="str">
        <f t="shared" si="1422"/>
        <v>9280119</v>
      </c>
      <c r="B2769" s="8">
        <v>928</v>
      </c>
      <c r="C2769" s="8">
        <v>1</v>
      </c>
      <c r="D2769" s="8" t="s">
        <v>259</v>
      </c>
      <c r="E2769" s="8">
        <v>9</v>
      </c>
      <c r="F2769" s="34">
        <f t="shared" si="1420"/>
        <v>61875</v>
      </c>
      <c r="G2769" s="34">
        <f t="shared" si="1420"/>
        <v>61875</v>
      </c>
      <c r="H2769" s="34">
        <f t="shared" si="1421"/>
        <v>15802</v>
      </c>
      <c r="I2769" s="34">
        <f t="shared" si="1421"/>
        <v>15802</v>
      </c>
      <c r="J2769" s="34">
        <f t="shared" si="1398"/>
        <v>568944</v>
      </c>
      <c r="K2769" s="133">
        <v>1000</v>
      </c>
      <c r="L2769" s="34"/>
      <c r="M2769" s="16">
        <f t="shared" si="1423"/>
        <v>59667.574300016582</v>
      </c>
      <c r="N2769" s="36">
        <v>700</v>
      </c>
      <c r="O2769" s="2" t="s">
        <v>228</v>
      </c>
      <c r="P2769" s="2" t="s">
        <v>352</v>
      </c>
      <c r="Q2769" s="2" t="s">
        <v>412</v>
      </c>
      <c r="R2769" s="2" t="s">
        <v>167</v>
      </c>
      <c r="S2769" s="36">
        <v>6321</v>
      </c>
    </row>
    <row r="2770" spans="1:20" x14ac:dyDescent="0.2">
      <c r="A2770" s="8" t="str">
        <f t="shared" si="1422"/>
        <v>9281111</v>
      </c>
      <c r="B2770" s="8">
        <v>928</v>
      </c>
      <c r="C2770" s="8">
        <v>11</v>
      </c>
      <c r="D2770" s="8" t="s">
        <v>62</v>
      </c>
      <c r="E2770" s="8">
        <v>1</v>
      </c>
      <c r="F2770" s="34">
        <f t="shared" si="1420"/>
        <v>104500</v>
      </c>
      <c r="G2770" s="34">
        <f t="shared" si="1420"/>
        <v>104500</v>
      </c>
      <c r="H2770" s="34">
        <f t="shared" si="1421"/>
        <v>25775</v>
      </c>
      <c r="I2770" s="34">
        <f t="shared" si="1421"/>
        <v>25775</v>
      </c>
      <c r="J2770" s="34">
        <f t="shared" si="1398"/>
        <v>728693</v>
      </c>
      <c r="K2770" s="133">
        <v>1000</v>
      </c>
      <c r="L2770" s="34"/>
      <c r="M2770" s="16">
        <f t="shared" si="1423"/>
        <v>112077.84400031972</v>
      </c>
      <c r="N2770" s="36">
        <v>750</v>
      </c>
      <c r="O2770" s="2" t="s">
        <v>332</v>
      </c>
      <c r="P2770" s="54">
        <v>19000</v>
      </c>
      <c r="Q2770" s="2" t="s">
        <v>246</v>
      </c>
      <c r="R2770" s="2" t="s">
        <v>168</v>
      </c>
      <c r="S2770" s="36">
        <v>10310</v>
      </c>
      <c r="T2770" s="114"/>
    </row>
    <row r="2771" spans="1:20" x14ac:dyDescent="0.2">
      <c r="A2771" s="8" t="str">
        <f t="shared" si="1422"/>
        <v>9281119</v>
      </c>
      <c r="B2771" s="8">
        <v>928</v>
      </c>
      <c r="C2771" s="8">
        <v>11</v>
      </c>
      <c r="D2771" s="8" t="s">
        <v>62</v>
      </c>
      <c r="E2771" s="8">
        <v>9</v>
      </c>
      <c r="F2771" s="34">
        <f t="shared" si="1420"/>
        <v>247500</v>
      </c>
      <c r="G2771" s="34">
        <f t="shared" si="1420"/>
        <v>247500</v>
      </c>
      <c r="H2771" s="34">
        <f t="shared" si="1421"/>
        <v>25775</v>
      </c>
      <c r="I2771" s="34">
        <f t="shared" si="1421"/>
        <v>25775</v>
      </c>
      <c r="J2771" s="34">
        <f t="shared" si="1398"/>
        <v>2612500</v>
      </c>
      <c r="K2771" s="133">
        <v>1000</v>
      </c>
      <c r="L2771" s="34"/>
      <c r="M2771" s="16">
        <f t="shared" si="1423"/>
        <v>326591.64869910566</v>
      </c>
      <c r="N2771" s="36">
        <v>750</v>
      </c>
      <c r="O2771" s="36">
        <v>19</v>
      </c>
      <c r="P2771" s="36">
        <v>22000</v>
      </c>
      <c r="Q2771" s="2" t="s">
        <v>412</v>
      </c>
      <c r="R2771" s="2" t="s">
        <v>168</v>
      </c>
      <c r="S2771" s="36">
        <v>10310</v>
      </c>
      <c r="T2771" s="114"/>
    </row>
    <row r="2772" spans="1:20" x14ac:dyDescent="0.2">
      <c r="A2772" s="8" t="str">
        <f t="shared" si="1422"/>
        <v>9282111</v>
      </c>
      <c r="B2772" s="8">
        <v>928</v>
      </c>
      <c r="C2772" s="8">
        <v>21</v>
      </c>
      <c r="D2772" s="8" t="s">
        <v>62</v>
      </c>
      <c r="E2772" s="8">
        <v>1</v>
      </c>
      <c r="F2772" s="34">
        <f t="shared" si="1420"/>
        <v>280500</v>
      </c>
      <c r="G2772" s="34">
        <f t="shared" si="1420"/>
        <v>280500</v>
      </c>
      <c r="H2772" s="34">
        <f t="shared" si="1421"/>
        <v>99928</v>
      </c>
      <c r="I2772" s="34">
        <f t="shared" si="1421"/>
        <v>99928</v>
      </c>
      <c r="J2772" s="34">
        <f t="shared" si="1398"/>
        <v>5007272</v>
      </c>
      <c r="K2772" s="133">
        <v>1000</v>
      </c>
      <c r="L2772" s="34"/>
      <c r="M2772" s="16">
        <f t="shared" si="1423"/>
        <v>947764.87458757579</v>
      </c>
      <c r="N2772" s="36">
        <v>1200</v>
      </c>
      <c r="O2772" s="2" t="s">
        <v>332</v>
      </c>
      <c r="P2772" s="36">
        <v>51000</v>
      </c>
      <c r="Q2772" s="2" t="s">
        <v>246</v>
      </c>
      <c r="R2772" s="2" t="s">
        <v>169</v>
      </c>
      <c r="S2772" s="56">
        <v>39971.25</v>
      </c>
      <c r="T2772" s="114"/>
    </row>
    <row r="2773" spans="1:20" x14ac:dyDescent="0.2">
      <c r="A2773" s="8" t="str">
        <f t="shared" si="1422"/>
        <v>9282119</v>
      </c>
      <c r="B2773" s="8">
        <v>928</v>
      </c>
      <c r="C2773" s="8">
        <v>21</v>
      </c>
      <c r="D2773" s="8" t="s">
        <v>62</v>
      </c>
      <c r="E2773" s="8">
        <v>9</v>
      </c>
      <c r="F2773" s="34">
        <f t="shared" si="1420"/>
        <v>1485000</v>
      </c>
      <c r="G2773" s="34">
        <f t="shared" si="1420"/>
        <v>1485000</v>
      </c>
      <c r="H2773" s="34">
        <f t="shared" si="1421"/>
        <v>87500</v>
      </c>
      <c r="I2773" s="34">
        <f t="shared" si="1421"/>
        <v>87500</v>
      </c>
      <c r="J2773" s="34">
        <f t="shared" si="1398"/>
        <v>34425925</v>
      </c>
      <c r="K2773" s="133">
        <v>1000</v>
      </c>
      <c r="L2773" s="34"/>
      <c r="M2773" s="16">
        <f t="shared" si="1423"/>
        <v>5350569.9911317863</v>
      </c>
      <c r="N2773" s="36">
        <v>1300</v>
      </c>
      <c r="O2773" s="36">
        <v>20</v>
      </c>
      <c r="P2773" s="36">
        <v>110000</v>
      </c>
      <c r="Q2773" s="2" t="s">
        <v>250</v>
      </c>
      <c r="R2773" s="2" t="s">
        <v>762</v>
      </c>
      <c r="S2773" s="56">
        <v>35000</v>
      </c>
      <c r="T2773" s="114"/>
    </row>
    <row r="2774" spans="1:20" x14ac:dyDescent="0.2">
      <c r="A2774" s="8" t="str">
        <f t="shared" si="1422"/>
        <v>9283111</v>
      </c>
      <c r="B2774" s="8">
        <v>928</v>
      </c>
      <c r="C2774" s="8">
        <v>31</v>
      </c>
      <c r="D2774" s="8" t="s">
        <v>62</v>
      </c>
      <c r="E2774" s="8">
        <v>1</v>
      </c>
      <c r="F2774" s="34">
        <f t="shared" si="1420"/>
        <v>250000</v>
      </c>
      <c r="G2774" s="34">
        <f t="shared" si="1420"/>
        <v>250000</v>
      </c>
      <c r="H2774" s="34">
        <f t="shared" si="1421"/>
        <v>97968</v>
      </c>
      <c r="I2774" s="34">
        <f t="shared" si="1421"/>
        <v>97968</v>
      </c>
      <c r="J2774" s="34">
        <f t="shared" si="1398"/>
        <v>1250000</v>
      </c>
      <c r="K2774" s="133">
        <v>1000</v>
      </c>
      <c r="L2774" s="34"/>
      <c r="M2774" s="16">
        <f t="shared" si="1423"/>
        <v>442646.58588991745</v>
      </c>
      <c r="N2774" s="36">
        <v>1000</v>
      </c>
      <c r="O2774" s="2" t="s">
        <v>87</v>
      </c>
      <c r="P2774" s="36">
        <v>50000</v>
      </c>
      <c r="Q2774" s="2" t="s">
        <v>122</v>
      </c>
      <c r="R2774" s="2" t="s">
        <v>411</v>
      </c>
      <c r="S2774" s="56">
        <v>39187.5</v>
      </c>
      <c r="T2774" s="114"/>
    </row>
    <row r="2775" spans="1:20" x14ac:dyDescent="0.2">
      <c r="A2775" s="8" t="str">
        <f t="shared" si="1422"/>
        <v>9283119</v>
      </c>
      <c r="B2775" s="8">
        <v>928</v>
      </c>
      <c r="C2775" s="8">
        <v>31</v>
      </c>
      <c r="D2775" s="8" t="s">
        <v>62</v>
      </c>
      <c r="E2775" s="8">
        <v>9</v>
      </c>
      <c r="F2775" s="34">
        <f t="shared" si="1420"/>
        <v>2332000</v>
      </c>
      <c r="G2775" s="34">
        <f t="shared" si="1420"/>
        <v>2332000</v>
      </c>
      <c r="H2775" s="34">
        <f t="shared" si="1421"/>
        <v>137500</v>
      </c>
      <c r="I2775" s="34">
        <f t="shared" si="1421"/>
        <v>137500</v>
      </c>
      <c r="J2775" s="34">
        <f t="shared" si="1398"/>
        <v>50209811</v>
      </c>
      <c r="K2775" s="133">
        <v>1000</v>
      </c>
      <c r="L2775" s="34"/>
      <c r="M2775" s="16">
        <f t="shared" si="1423"/>
        <v>10150791.384998512</v>
      </c>
      <c r="N2775" s="36">
        <v>1200</v>
      </c>
      <c r="O2775" s="36">
        <v>21</v>
      </c>
      <c r="P2775" s="36">
        <v>176000</v>
      </c>
      <c r="Q2775" s="2" t="s">
        <v>251</v>
      </c>
      <c r="R2775" s="2" t="s">
        <v>763</v>
      </c>
      <c r="S2775" s="56">
        <v>55000</v>
      </c>
      <c r="T2775" s="114"/>
    </row>
    <row r="2776" spans="1:20" ht="20.25" x14ac:dyDescent="0.2">
      <c r="A2776" s="8" t="str">
        <f t="shared" ref="A2776:A2784" si="1424">IF(B2776="","",CONCATENATE(B2776,CONCATENATE(REPT(0,2-LEN(C2776)),C2776),IF(OR(D2776="Easy",D2776=""),1,IF(D2776="Normal",2,IF(D2776="Hard",3,IF(D2776="Hell",4,"error")))),E2776))</f>
        <v/>
      </c>
      <c r="B2776" s="5"/>
      <c r="C2776" s="79" t="s">
        <v>983</v>
      </c>
      <c r="D2776" s="5"/>
      <c r="E2776" s="5"/>
      <c r="F2776" s="5"/>
      <c r="G2776" s="5"/>
      <c r="H2776" s="5"/>
      <c r="I2776" s="5"/>
      <c r="J2776" s="5"/>
      <c r="K2776" s="133"/>
      <c r="L2776" s="5"/>
      <c r="M2776" s="16">
        <f t="shared" ref="M2776:M2784" si="1425">(F2776*J2776*((H2776+I2776)/2)/1000)^(1/2)/10*0.8</f>
        <v>0</v>
      </c>
      <c r="N2776" s="5"/>
      <c r="O2776" s="5"/>
      <c r="P2776" s="5"/>
      <c r="Q2776" s="5"/>
      <c r="R2776" s="5"/>
      <c r="S2776" s="30"/>
    </row>
    <row r="2777" spans="1:20" x14ac:dyDescent="0.2">
      <c r="A2777" s="8" t="str">
        <f t="shared" si="1424"/>
        <v>9290111</v>
      </c>
      <c r="B2777" s="8">
        <v>929</v>
      </c>
      <c r="C2777" s="8">
        <v>1</v>
      </c>
      <c r="D2777" s="8" t="s">
        <v>259</v>
      </c>
      <c r="E2777" s="8">
        <v>1</v>
      </c>
      <c r="F2777" s="34">
        <f t="shared" si="1420"/>
        <v>281250</v>
      </c>
      <c r="G2777" s="34">
        <f t="shared" si="1420"/>
        <v>281250</v>
      </c>
      <c r="H2777" s="34">
        <f t="shared" si="1421"/>
        <v>31250</v>
      </c>
      <c r="I2777" s="34">
        <f t="shared" si="1421"/>
        <v>31250</v>
      </c>
      <c r="J2777" s="34">
        <f t="shared" si="1398"/>
        <v>1769444</v>
      </c>
      <c r="K2777" s="133">
        <v>3000</v>
      </c>
      <c r="L2777" s="34"/>
      <c r="M2777" s="16">
        <f t="shared" si="1425"/>
        <v>315485.69698165404</v>
      </c>
      <c r="N2777" s="36">
        <v>700</v>
      </c>
      <c r="O2777" s="2" t="s">
        <v>994</v>
      </c>
      <c r="P2777" s="2" t="s">
        <v>743</v>
      </c>
      <c r="Q2777" s="2" t="s">
        <v>412</v>
      </c>
      <c r="R2777" s="2" t="s">
        <v>984</v>
      </c>
      <c r="S2777" s="2">
        <f>P2777/2</f>
        <v>12500</v>
      </c>
      <c r="T2777" s="275"/>
    </row>
    <row r="2778" spans="1:20" x14ac:dyDescent="0.2">
      <c r="A2778" s="8" t="str">
        <f t="shared" si="1424"/>
        <v>9290112</v>
      </c>
      <c r="B2778" s="8">
        <v>929</v>
      </c>
      <c r="C2778" s="8">
        <v>1</v>
      </c>
      <c r="D2778" s="8" t="s">
        <v>259</v>
      </c>
      <c r="E2778" s="8">
        <v>2</v>
      </c>
      <c r="F2778" s="34">
        <f t="shared" ref="F2778:G2784" si="1426">ROUNDDOWN($P2778/4*MIN($O2778,4)*10*$N2778/$N2778*$Q2778/400,0)</f>
        <v>281250</v>
      </c>
      <c r="G2778" s="34">
        <f t="shared" si="1426"/>
        <v>281250</v>
      </c>
      <c r="H2778" s="34">
        <f t="shared" ref="H2778:I2784" si="1427">ROUNDDOWN($S2778/4*10,0)</f>
        <v>31250</v>
      </c>
      <c r="I2778" s="34">
        <f t="shared" si="1427"/>
        <v>31250</v>
      </c>
      <c r="J2778" s="34">
        <f t="shared" ref="J2778:J2784" si="1428">ROUNDDOWN($P2778/4*$O2778*10*$N2778/$Q2778*$N2778/400*0.8,0)</f>
        <v>1769444</v>
      </c>
      <c r="K2778" s="133">
        <v>3000</v>
      </c>
      <c r="L2778" s="34"/>
      <c r="M2778" s="16">
        <f t="shared" si="1425"/>
        <v>315485.69698165404</v>
      </c>
      <c r="N2778" s="36">
        <v>700</v>
      </c>
      <c r="O2778" s="2" t="s">
        <v>994</v>
      </c>
      <c r="P2778" s="2" t="s">
        <v>743</v>
      </c>
      <c r="Q2778" s="2" t="s">
        <v>412</v>
      </c>
      <c r="R2778" s="2" t="s">
        <v>985</v>
      </c>
      <c r="S2778" s="2">
        <f t="shared" ref="S2778:S2784" si="1429">P2778/2</f>
        <v>12500</v>
      </c>
    </row>
    <row r="2779" spans="1:20" x14ac:dyDescent="0.2">
      <c r="A2779" s="8" t="str">
        <f t="shared" si="1424"/>
        <v>9291111</v>
      </c>
      <c r="B2779" s="8">
        <v>929</v>
      </c>
      <c r="C2779" s="8">
        <v>11</v>
      </c>
      <c r="D2779" s="8" t="s">
        <v>62</v>
      </c>
      <c r="E2779" s="8">
        <v>1</v>
      </c>
      <c r="F2779" s="34">
        <f t="shared" si="1426"/>
        <v>562500</v>
      </c>
      <c r="G2779" s="34">
        <f t="shared" si="1426"/>
        <v>562500</v>
      </c>
      <c r="H2779" s="34">
        <f t="shared" si="1427"/>
        <v>62500</v>
      </c>
      <c r="I2779" s="34">
        <f t="shared" si="1427"/>
        <v>62500</v>
      </c>
      <c r="J2779" s="34">
        <f t="shared" si="1428"/>
        <v>4687500</v>
      </c>
      <c r="K2779" s="133">
        <v>5000</v>
      </c>
      <c r="L2779" s="34"/>
      <c r="M2779" s="16">
        <f t="shared" si="1425"/>
        <v>1026979.7953221865</v>
      </c>
      <c r="N2779" s="36">
        <v>750</v>
      </c>
      <c r="O2779" s="36">
        <v>15</v>
      </c>
      <c r="P2779" s="36">
        <v>50000</v>
      </c>
      <c r="Q2779" s="2" t="s">
        <v>412</v>
      </c>
      <c r="R2779" s="2" t="s">
        <v>986</v>
      </c>
      <c r="S2779" s="2">
        <f t="shared" si="1429"/>
        <v>25000</v>
      </c>
      <c r="T2779" s="114"/>
    </row>
    <row r="2780" spans="1:20" x14ac:dyDescent="0.2">
      <c r="A2780" s="8" t="str">
        <f t="shared" si="1424"/>
        <v>9291112</v>
      </c>
      <c r="B2780" s="8">
        <v>929</v>
      </c>
      <c r="C2780" s="8">
        <v>11</v>
      </c>
      <c r="D2780" s="8" t="s">
        <v>62</v>
      </c>
      <c r="E2780" s="8">
        <v>2</v>
      </c>
      <c r="F2780" s="34">
        <f t="shared" si="1426"/>
        <v>562500</v>
      </c>
      <c r="G2780" s="34">
        <f t="shared" si="1426"/>
        <v>562500</v>
      </c>
      <c r="H2780" s="34">
        <f t="shared" si="1427"/>
        <v>62500</v>
      </c>
      <c r="I2780" s="34">
        <f t="shared" si="1427"/>
        <v>62500</v>
      </c>
      <c r="J2780" s="34">
        <f t="shared" si="1428"/>
        <v>4687500</v>
      </c>
      <c r="K2780" s="133">
        <v>5000</v>
      </c>
      <c r="L2780" s="34"/>
      <c r="M2780" s="16">
        <f t="shared" si="1425"/>
        <v>1026979.7953221865</v>
      </c>
      <c r="N2780" s="36">
        <v>750</v>
      </c>
      <c r="O2780" s="36">
        <v>15</v>
      </c>
      <c r="P2780" s="36">
        <v>50000</v>
      </c>
      <c r="Q2780" s="2" t="s">
        <v>412</v>
      </c>
      <c r="R2780" s="2" t="s">
        <v>987</v>
      </c>
      <c r="S2780" s="2">
        <f t="shared" si="1429"/>
        <v>25000</v>
      </c>
      <c r="T2780" s="114"/>
    </row>
    <row r="2781" spans="1:20" x14ac:dyDescent="0.2">
      <c r="A2781" s="8" t="str">
        <f t="shared" si="1424"/>
        <v>9292111</v>
      </c>
      <c r="B2781" s="8">
        <v>929</v>
      </c>
      <c r="C2781" s="8">
        <v>21</v>
      </c>
      <c r="D2781" s="8" t="s">
        <v>62</v>
      </c>
      <c r="E2781" s="8">
        <v>1</v>
      </c>
      <c r="F2781" s="34">
        <f t="shared" si="1426"/>
        <v>1755000</v>
      </c>
      <c r="G2781" s="34">
        <f t="shared" si="1426"/>
        <v>1755000</v>
      </c>
      <c r="H2781" s="34">
        <f t="shared" si="1427"/>
        <v>162500</v>
      </c>
      <c r="I2781" s="34">
        <f t="shared" si="1427"/>
        <v>162500</v>
      </c>
      <c r="J2781" s="34">
        <f t="shared" si="1428"/>
        <v>152569444</v>
      </c>
      <c r="K2781" s="133">
        <v>7000</v>
      </c>
      <c r="L2781" s="34"/>
      <c r="M2781" s="16">
        <f t="shared" si="1425"/>
        <v>16687412.896815373</v>
      </c>
      <c r="N2781" s="36">
        <v>1300</v>
      </c>
      <c r="O2781" s="36">
        <v>75</v>
      </c>
      <c r="P2781" s="36">
        <v>130000</v>
      </c>
      <c r="Q2781" s="2" t="s">
        <v>250</v>
      </c>
      <c r="R2781" s="2" t="s">
        <v>988</v>
      </c>
      <c r="S2781" s="2">
        <f t="shared" si="1429"/>
        <v>65000</v>
      </c>
      <c r="T2781" s="114"/>
    </row>
    <row r="2782" spans="1:20" x14ac:dyDescent="0.2">
      <c r="A2782" s="8" t="str">
        <f t="shared" si="1424"/>
        <v>9292112</v>
      </c>
      <c r="B2782" s="8">
        <v>929</v>
      </c>
      <c r="C2782" s="8">
        <v>21</v>
      </c>
      <c r="D2782" s="8" t="s">
        <v>62</v>
      </c>
      <c r="E2782" s="8">
        <v>2</v>
      </c>
      <c r="F2782" s="34">
        <f t="shared" si="1426"/>
        <v>1755000</v>
      </c>
      <c r="G2782" s="34">
        <f t="shared" si="1426"/>
        <v>1755000</v>
      </c>
      <c r="H2782" s="34">
        <f t="shared" si="1427"/>
        <v>162500</v>
      </c>
      <c r="I2782" s="34">
        <f t="shared" si="1427"/>
        <v>162500</v>
      </c>
      <c r="J2782" s="34">
        <f t="shared" si="1428"/>
        <v>152569444</v>
      </c>
      <c r="K2782" s="133">
        <v>7000</v>
      </c>
      <c r="L2782" s="34"/>
      <c r="M2782" s="16">
        <f t="shared" si="1425"/>
        <v>16687412.896815373</v>
      </c>
      <c r="N2782" s="36">
        <v>1300</v>
      </c>
      <c r="O2782" s="36">
        <v>75</v>
      </c>
      <c r="P2782" s="36">
        <v>130000</v>
      </c>
      <c r="Q2782" s="2" t="s">
        <v>250</v>
      </c>
      <c r="R2782" s="2" t="s">
        <v>989</v>
      </c>
      <c r="S2782" s="2">
        <f t="shared" si="1429"/>
        <v>65000</v>
      </c>
      <c r="T2782" s="114"/>
    </row>
    <row r="2783" spans="1:20" x14ac:dyDescent="0.2">
      <c r="A2783" s="8" t="str">
        <f t="shared" si="1424"/>
        <v>9293111</v>
      </c>
      <c r="B2783" s="8">
        <v>929</v>
      </c>
      <c r="C2783" s="8">
        <v>31</v>
      </c>
      <c r="D2783" s="8" t="s">
        <v>62</v>
      </c>
      <c r="E2783" s="8">
        <v>1</v>
      </c>
      <c r="F2783" s="34">
        <f t="shared" si="1426"/>
        <v>2385000</v>
      </c>
      <c r="G2783" s="34">
        <f t="shared" si="1426"/>
        <v>2385000</v>
      </c>
      <c r="H2783" s="34">
        <f t="shared" si="1427"/>
        <v>225000</v>
      </c>
      <c r="I2783" s="34">
        <f t="shared" si="1427"/>
        <v>225000</v>
      </c>
      <c r="J2783" s="34">
        <f t="shared" si="1428"/>
        <v>268981132</v>
      </c>
      <c r="K2783" s="133">
        <v>9000</v>
      </c>
      <c r="L2783" s="34"/>
      <c r="M2783" s="16">
        <f t="shared" si="1425"/>
        <v>30393894.119391814</v>
      </c>
      <c r="N2783" s="36">
        <v>1200</v>
      </c>
      <c r="O2783" s="36">
        <v>110</v>
      </c>
      <c r="P2783" s="36">
        <v>180000</v>
      </c>
      <c r="Q2783" s="2" t="s">
        <v>251</v>
      </c>
      <c r="R2783" s="2" t="s">
        <v>990</v>
      </c>
      <c r="S2783" s="2">
        <f t="shared" si="1429"/>
        <v>90000</v>
      </c>
      <c r="T2783" s="114"/>
    </row>
    <row r="2784" spans="1:20" x14ac:dyDescent="0.2">
      <c r="A2784" s="8" t="str">
        <f t="shared" si="1424"/>
        <v>9293112</v>
      </c>
      <c r="B2784" s="8">
        <v>929</v>
      </c>
      <c r="C2784" s="8">
        <v>31</v>
      </c>
      <c r="D2784" s="8" t="s">
        <v>62</v>
      </c>
      <c r="E2784" s="8">
        <v>2</v>
      </c>
      <c r="F2784" s="34">
        <f t="shared" si="1426"/>
        <v>2385000</v>
      </c>
      <c r="G2784" s="34">
        <f t="shared" si="1426"/>
        <v>2385000</v>
      </c>
      <c r="H2784" s="34">
        <f t="shared" si="1427"/>
        <v>225000</v>
      </c>
      <c r="I2784" s="34">
        <f t="shared" si="1427"/>
        <v>225000</v>
      </c>
      <c r="J2784" s="34">
        <f t="shared" si="1428"/>
        <v>268981132</v>
      </c>
      <c r="K2784" s="133">
        <v>9000</v>
      </c>
      <c r="L2784" s="34"/>
      <c r="M2784" s="16">
        <f t="shared" si="1425"/>
        <v>30393894.119391814</v>
      </c>
      <c r="N2784" s="36">
        <v>1200</v>
      </c>
      <c r="O2784" s="36">
        <v>110</v>
      </c>
      <c r="P2784" s="36">
        <v>180000</v>
      </c>
      <c r="Q2784" s="2" t="s">
        <v>251</v>
      </c>
      <c r="R2784" s="2" t="s">
        <v>991</v>
      </c>
      <c r="S2784" s="2">
        <f t="shared" si="1429"/>
        <v>90000</v>
      </c>
      <c r="T2784" s="114"/>
    </row>
    <row r="2785" spans="1:20" ht="20.25" x14ac:dyDescent="0.2">
      <c r="A2785" s="8" t="str">
        <f t="shared" ref="A2785:A2790" si="1430">IF(B2785="","",CONCATENATE(B2785,CONCATENATE(REPT(0,2-LEN(C2785)),C2785),IF(OR(D2785="Easy",D2785=""),1,IF(D2785="Normal",2,IF(D2785="Hard",3,IF(D2785="Hell",4,"error")))),E2785))</f>
        <v/>
      </c>
      <c r="B2785" s="5"/>
      <c r="C2785" s="79" t="s">
        <v>384</v>
      </c>
      <c r="D2785" s="5"/>
      <c r="E2785" s="5"/>
      <c r="F2785" s="5"/>
      <c r="G2785" s="5"/>
      <c r="H2785" s="5"/>
      <c r="I2785" s="5"/>
      <c r="J2785" s="5"/>
      <c r="K2785" s="133"/>
      <c r="L2785" s="5"/>
      <c r="M2785" s="16">
        <f t="shared" si="1413"/>
        <v>0</v>
      </c>
      <c r="N2785" s="5"/>
      <c r="O2785" s="5"/>
      <c r="P2785" s="5"/>
      <c r="Q2785" s="5"/>
      <c r="R2785" s="5"/>
      <c r="S2785" s="30"/>
    </row>
    <row r="2786" spans="1:20" x14ac:dyDescent="0.2">
      <c r="A2786" s="8" t="str">
        <f t="shared" si="1430"/>
        <v>90010119</v>
      </c>
      <c r="B2786" s="8">
        <v>9001</v>
      </c>
      <c r="C2786" s="8">
        <v>1</v>
      </c>
      <c r="D2786" s="8" t="s">
        <v>62</v>
      </c>
      <c r="E2786" s="8">
        <v>9</v>
      </c>
      <c r="F2786" s="34">
        <f t="shared" ref="F2786:G2790" si="1431">ROUNDDOWN($P2786/4*MIN($O2786,4)*10*$N2786/$N2786*$Q2786/400,0)</f>
        <v>562500</v>
      </c>
      <c r="G2786" s="34">
        <f t="shared" si="1431"/>
        <v>562500</v>
      </c>
      <c r="H2786" s="34">
        <f t="shared" ref="H2786:I2790" si="1432">ROUNDDOWN($S2786/4*10,0)</f>
        <v>45000</v>
      </c>
      <c r="I2786" s="34">
        <f t="shared" si="1432"/>
        <v>45000</v>
      </c>
      <c r="J2786" s="34">
        <f t="shared" ref="J2786:J2790" si="1433">ROUNDDOWN($P2786/4*$O2786*10*$N2786/$Q2786*$N2786/400*0.8,0)</f>
        <v>36000000</v>
      </c>
      <c r="K2786" s="133">
        <v>1000</v>
      </c>
      <c r="L2786" s="34"/>
      <c r="M2786" s="16">
        <f t="shared" si="1413"/>
        <v>2414953.415699773</v>
      </c>
      <c r="N2786" s="36">
        <v>1000</v>
      </c>
      <c r="O2786" s="36">
        <v>20</v>
      </c>
      <c r="P2786" s="36">
        <v>90000</v>
      </c>
      <c r="Q2786" s="2" t="s">
        <v>281</v>
      </c>
      <c r="R2786" s="2" t="s">
        <v>169</v>
      </c>
      <c r="S2786" s="56">
        <f>P2786*0.2</f>
        <v>18000</v>
      </c>
      <c r="T2786" s="114"/>
    </row>
    <row r="2787" spans="1:20" x14ac:dyDescent="0.2">
      <c r="A2787" s="8" t="str">
        <f t="shared" si="1430"/>
        <v>90010219</v>
      </c>
      <c r="B2787" s="8">
        <v>9001</v>
      </c>
      <c r="C2787" s="8">
        <v>2</v>
      </c>
      <c r="D2787" s="8" t="s">
        <v>62</v>
      </c>
      <c r="E2787" s="8">
        <v>9</v>
      </c>
      <c r="F2787" s="34">
        <f t="shared" si="1431"/>
        <v>800000</v>
      </c>
      <c r="G2787" s="34">
        <f t="shared" si="1431"/>
        <v>800000</v>
      </c>
      <c r="H2787" s="34">
        <f t="shared" si="1432"/>
        <v>64000</v>
      </c>
      <c r="I2787" s="34">
        <f t="shared" si="1432"/>
        <v>64000</v>
      </c>
      <c r="J2787" s="34">
        <f t="shared" si="1433"/>
        <v>46208000</v>
      </c>
      <c r="K2787" s="133">
        <v>1000</v>
      </c>
      <c r="L2787" s="34"/>
      <c r="M2787" s="16">
        <f t="shared" si="1413"/>
        <v>3891200</v>
      </c>
      <c r="N2787" s="36">
        <v>950</v>
      </c>
      <c r="O2787" s="36">
        <v>20</v>
      </c>
      <c r="P2787" s="36">
        <v>128000</v>
      </c>
      <c r="Q2787" s="2" t="s">
        <v>281</v>
      </c>
      <c r="R2787" s="2" t="s">
        <v>169</v>
      </c>
      <c r="S2787" s="56">
        <f t="shared" ref="S2787:S2788" si="1434">P2787*0.2</f>
        <v>25600</v>
      </c>
      <c r="T2787" s="114"/>
    </row>
    <row r="2788" spans="1:20" x14ac:dyDescent="0.2">
      <c r="A2788" s="8" t="str">
        <f t="shared" si="1430"/>
        <v>90010319</v>
      </c>
      <c r="B2788" s="8">
        <v>9001</v>
      </c>
      <c r="C2788" s="8">
        <v>3</v>
      </c>
      <c r="D2788" s="8" t="s">
        <v>62</v>
      </c>
      <c r="E2788" s="8">
        <v>9</v>
      </c>
      <c r="F2788" s="34">
        <f t="shared" si="1431"/>
        <v>1200000</v>
      </c>
      <c r="G2788" s="34">
        <f t="shared" si="1431"/>
        <v>1200000</v>
      </c>
      <c r="H2788" s="34">
        <f t="shared" si="1432"/>
        <v>100000</v>
      </c>
      <c r="I2788" s="34">
        <f t="shared" si="1432"/>
        <v>100000</v>
      </c>
      <c r="J2788" s="34">
        <f t="shared" si="1433"/>
        <v>83333333</v>
      </c>
      <c r="K2788" s="133">
        <v>1000</v>
      </c>
      <c r="L2788" s="34"/>
      <c r="M2788" s="16">
        <f t="shared" si="1413"/>
        <v>7999999.9840000011</v>
      </c>
      <c r="N2788" s="36">
        <v>1000</v>
      </c>
      <c r="O2788" s="36">
        <v>20</v>
      </c>
      <c r="P2788" s="36">
        <v>200000</v>
      </c>
      <c r="Q2788" s="2" t="s">
        <v>398</v>
      </c>
      <c r="R2788" s="2" t="s">
        <v>169</v>
      </c>
      <c r="S2788" s="56">
        <f t="shared" si="1434"/>
        <v>40000</v>
      </c>
      <c r="T2788" s="114"/>
    </row>
    <row r="2789" spans="1:20" x14ac:dyDescent="0.2">
      <c r="A2789" s="8" t="str">
        <f t="shared" si="1430"/>
        <v>90010419</v>
      </c>
      <c r="B2789" s="8">
        <v>9001</v>
      </c>
      <c r="C2789" s="8">
        <v>4</v>
      </c>
      <c r="D2789" s="8" t="s">
        <v>62</v>
      </c>
      <c r="E2789" s="8">
        <v>9</v>
      </c>
      <c r="F2789" s="34">
        <f t="shared" si="1431"/>
        <v>2875000</v>
      </c>
      <c r="G2789" s="34">
        <f t="shared" si="1431"/>
        <v>2875000</v>
      </c>
      <c r="H2789" s="34">
        <f t="shared" si="1432"/>
        <v>175000</v>
      </c>
      <c r="I2789" s="34">
        <f t="shared" si="1432"/>
        <v>175000</v>
      </c>
      <c r="J2789" s="34">
        <f t="shared" si="1433"/>
        <v>128396739</v>
      </c>
      <c r="K2789" s="133">
        <v>1000</v>
      </c>
      <c r="L2789" s="34"/>
      <c r="M2789" s="16">
        <f t="shared" si="1413"/>
        <v>20333162.557260986</v>
      </c>
      <c r="N2789" s="36">
        <v>750</v>
      </c>
      <c r="O2789" s="36">
        <v>21</v>
      </c>
      <c r="P2789" s="36">
        <v>500000</v>
      </c>
      <c r="Q2789" s="2" t="s">
        <v>397</v>
      </c>
      <c r="R2789" s="2" t="s">
        <v>170</v>
      </c>
      <c r="S2789" s="56">
        <v>70000</v>
      </c>
      <c r="T2789" s="114"/>
    </row>
    <row r="2790" spans="1:20" x14ac:dyDescent="0.2">
      <c r="A2790" s="8" t="str">
        <f t="shared" si="1430"/>
        <v>90010519</v>
      </c>
      <c r="B2790" s="8">
        <v>9001</v>
      </c>
      <c r="C2790" s="8">
        <v>5</v>
      </c>
      <c r="D2790" s="8" t="s">
        <v>62</v>
      </c>
      <c r="E2790" s="8">
        <v>9</v>
      </c>
      <c r="F2790" s="34">
        <f t="shared" si="1431"/>
        <v>4485000</v>
      </c>
      <c r="G2790" s="34">
        <f t="shared" si="1431"/>
        <v>4485000</v>
      </c>
      <c r="H2790" s="34">
        <f t="shared" si="1432"/>
        <v>212500</v>
      </c>
      <c r="I2790" s="34">
        <f t="shared" si="1432"/>
        <v>212500</v>
      </c>
      <c r="J2790" s="34">
        <f t="shared" si="1433"/>
        <v>227895652</v>
      </c>
      <c r="K2790" s="133">
        <v>1000</v>
      </c>
      <c r="L2790" s="34"/>
      <c r="M2790" s="16">
        <f t="shared" si="1413"/>
        <v>37283673.624512918</v>
      </c>
      <c r="N2790" s="36">
        <v>800</v>
      </c>
      <c r="O2790" s="36">
        <v>21</v>
      </c>
      <c r="P2790" s="36">
        <v>780000</v>
      </c>
      <c r="Q2790" s="2" t="s">
        <v>397</v>
      </c>
      <c r="R2790" s="2" t="s">
        <v>775</v>
      </c>
      <c r="S2790" s="56">
        <v>85000</v>
      </c>
      <c r="T2790" s="114"/>
    </row>
    <row r="2791" spans="1:20" ht="20.25" x14ac:dyDescent="0.2">
      <c r="A2791" s="8" t="str">
        <f t="shared" si="1412"/>
        <v/>
      </c>
      <c r="B2791" s="5"/>
      <c r="C2791" s="79" t="s">
        <v>382</v>
      </c>
      <c r="D2791" s="5"/>
      <c r="E2791" s="5"/>
      <c r="F2791" s="5"/>
      <c r="G2791" s="5"/>
      <c r="H2791" s="5"/>
      <c r="I2791" s="5"/>
      <c r="J2791" s="5"/>
      <c r="K2791" s="133"/>
      <c r="L2791" s="5"/>
      <c r="M2791" s="16">
        <f t="shared" si="1413"/>
        <v>0</v>
      </c>
      <c r="N2791" s="5"/>
      <c r="O2791" s="5"/>
      <c r="P2791" s="5"/>
      <c r="Q2791" s="5"/>
      <c r="R2791" s="5"/>
      <c r="S2791" s="30"/>
    </row>
    <row r="2792" spans="1:20" x14ac:dyDescent="0.2">
      <c r="A2792" s="8" t="str">
        <f t="shared" si="1412"/>
        <v>90020119</v>
      </c>
      <c r="B2792" s="8">
        <v>9002</v>
      </c>
      <c r="C2792" s="8">
        <v>1</v>
      </c>
      <c r="D2792" s="8" t="s">
        <v>62</v>
      </c>
      <c r="E2792" s="8">
        <v>9</v>
      </c>
      <c r="F2792" s="34">
        <f t="shared" ref="F2792:G2796" si="1435">ROUNDDOWN($P2792/4*MIN($O2792,4)*10*$N2792/$N2792*$Q2792/400,0)</f>
        <v>647500</v>
      </c>
      <c r="G2792" s="34">
        <f t="shared" si="1435"/>
        <v>647500</v>
      </c>
      <c r="H2792" s="34">
        <f t="shared" ref="H2792:I2796" si="1436">ROUNDDOWN($S2792/4*10,0)</f>
        <v>46250</v>
      </c>
      <c r="I2792" s="34">
        <f t="shared" si="1436"/>
        <v>46250</v>
      </c>
      <c r="J2792" s="34">
        <f t="shared" ref="J2792:J2796" si="1437">ROUNDDOWN($P2792/4*$O2792*10*$N2792/$Q2792*$N2792/400*0.8,0)</f>
        <v>4770357</v>
      </c>
      <c r="K2792" s="133">
        <v>1000</v>
      </c>
      <c r="L2792" s="34"/>
      <c r="M2792" s="16">
        <f t="shared" si="1413"/>
        <v>956183.36244676413</v>
      </c>
      <c r="N2792" s="36">
        <v>950</v>
      </c>
      <c r="O2792" s="36">
        <v>20</v>
      </c>
      <c r="P2792" s="36">
        <v>37000</v>
      </c>
      <c r="Q2792" s="2" t="s">
        <v>166</v>
      </c>
      <c r="R2792" s="2" t="s">
        <v>169</v>
      </c>
      <c r="S2792" s="56">
        <v>18500</v>
      </c>
      <c r="T2792" s="114"/>
    </row>
    <row r="2793" spans="1:20" x14ac:dyDescent="0.2">
      <c r="A2793" s="8" t="str">
        <f t="shared" si="1412"/>
        <v>90020219</v>
      </c>
      <c r="B2793" s="8">
        <v>9002</v>
      </c>
      <c r="C2793" s="8">
        <v>2</v>
      </c>
      <c r="D2793" s="8" t="s">
        <v>62</v>
      </c>
      <c r="E2793" s="8">
        <v>9</v>
      </c>
      <c r="F2793" s="34">
        <f t="shared" si="1435"/>
        <v>999000</v>
      </c>
      <c r="G2793" s="34">
        <f t="shared" si="1435"/>
        <v>999000</v>
      </c>
      <c r="H2793" s="34">
        <f t="shared" si="1436"/>
        <v>67500</v>
      </c>
      <c r="I2793" s="34">
        <f t="shared" si="1436"/>
        <v>67500</v>
      </c>
      <c r="J2793" s="34">
        <f t="shared" si="1437"/>
        <v>6585810</v>
      </c>
      <c r="K2793" s="133">
        <v>1000</v>
      </c>
      <c r="L2793" s="34"/>
      <c r="M2793" s="16">
        <f t="shared" si="1413"/>
        <v>1685889.9282218874</v>
      </c>
      <c r="N2793" s="36">
        <v>950</v>
      </c>
      <c r="O2793" s="36">
        <v>20</v>
      </c>
      <c r="P2793" s="36">
        <v>54000</v>
      </c>
      <c r="Q2793" s="2" t="s">
        <v>395</v>
      </c>
      <c r="R2793" s="2" t="s">
        <v>169</v>
      </c>
      <c r="S2793" s="56">
        <v>27000</v>
      </c>
      <c r="T2793" s="114"/>
    </row>
    <row r="2794" spans="1:20" x14ac:dyDescent="0.2">
      <c r="A2794" s="8" t="str">
        <f t="shared" si="1412"/>
        <v>90020319</v>
      </c>
      <c r="B2794" s="8">
        <v>9002</v>
      </c>
      <c r="C2794" s="8">
        <v>3</v>
      </c>
      <c r="D2794" s="8" t="s">
        <v>62</v>
      </c>
      <c r="E2794" s="8">
        <v>9</v>
      </c>
      <c r="F2794" s="34">
        <f t="shared" si="1435"/>
        <v>1026000</v>
      </c>
      <c r="G2794" s="34">
        <f t="shared" si="1435"/>
        <v>1026000</v>
      </c>
      <c r="H2794" s="34">
        <f t="shared" si="1436"/>
        <v>71250</v>
      </c>
      <c r="I2794" s="34">
        <f t="shared" si="1436"/>
        <v>71250</v>
      </c>
      <c r="J2794" s="34">
        <f t="shared" si="1437"/>
        <v>7144791</v>
      </c>
      <c r="K2794" s="133">
        <v>1000</v>
      </c>
      <c r="L2794" s="34"/>
      <c r="M2794" s="16">
        <f t="shared" si="1413"/>
        <v>1828314.3433490866</v>
      </c>
      <c r="N2794" s="36">
        <v>950</v>
      </c>
      <c r="O2794" s="36">
        <v>20</v>
      </c>
      <c r="P2794" s="36">
        <v>57000</v>
      </c>
      <c r="Q2794" s="2" t="s">
        <v>248</v>
      </c>
      <c r="R2794" s="2" t="s">
        <v>169</v>
      </c>
      <c r="S2794" s="56">
        <f>P2794*0.5</f>
        <v>28500</v>
      </c>
      <c r="T2794" s="114"/>
    </row>
    <row r="2795" spans="1:20" x14ac:dyDescent="0.2">
      <c r="A2795" s="8" t="str">
        <f t="shared" si="1412"/>
        <v>90020419</v>
      </c>
      <c r="B2795" s="8">
        <v>9002</v>
      </c>
      <c r="C2795" s="8">
        <v>4</v>
      </c>
      <c r="D2795" s="8" t="s">
        <v>62</v>
      </c>
      <c r="E2795" s="8">
        <v>9</v>
      </c>
      <c r="F2795" s="34">
        <f t="shared" si="1435"/>
        <v>1170000</v>
      </c>
      <c r="G2795" s="34">
        <f t="shared" si="1435"/>
        <v>1170000</v>
      </c>
      <c r="H2795" s="34">
        <f t="shared" si="1436"/>
        <v>81250</v>
      </c>
      <c r="I2795" s="34">
        <f t="shared" si="1436"/>
        <v>81250</v>
      </c>
      <c r="J2795" s="34">
        <f t="shared" si="1437"/>
        <v>17694444</v>
      </c>
      <c r="K2795" s="133">
        <v>1000</v>
      </c>
      <c r="L2795" s="34"/>
      <c r="M2795" s="16">
        <f t="shared" si="1413"/>
        <v>3281051.6194659304</v>
      </c>
      <c r="N2795" s="36">
        <v>1400</v>
      </c>
      <c r="O2795" s="36">
        <v>20</v>
      </c>
      <c r="P2795" s="36">
        <v>65000</v>
      </c>
      <c r="Q2795" s="2" t="s">
        <v>248</v>
      </c>
      <c r="R2795" s="2" t="s">
        <v>169</v>
      </c>
      <c r="S2795" s="56">
        <f>P2795*0.5</f>
        <v>32500</v>
      </c>
      <c r="T2795" s="114"/>
    </row>
    <row r="2796" spans="1:20" x14ac:dyDescent="0.2">
      <c r="A2796" s="8" t="str">
        <f t="shared" si="1412"/>
        <v>90020519</v>
      </c>
      <c r="B2796" s="8">
        <v>9002</v>
      </c>
      <c r="C2796" s="8">
        <v>5</v>
      </c>
      <c r="D2796" s="8" t="s">
        <v>62</v>
      </c>
      <c r="E2796" s="8">
        <v>9</v>
      </c>
      <c r="F2796" s="34">
        <f t="shared" si="1435"/>
        <v>1331250</v>
      </c>
      <c r="G2796" s="34">
        <f t="shared" si="1435"/>
        <v>1331250</v>
      </c>
      <c r="H2796" s="34">
        <f t="shared" si="1436"/>
        <v>112500</v>
      </c>
      <c r="I2796" s="34">
        <f t="shared" si="1436"/>
        <v>112500</v>
      </c>
      <c r="J2796" s="34">
        <f t="shared" si="1437"/>
        <v>53683098</v>
      </c>
      <c r="K2796" s="133">
        <v>1000</v>
      </c>
      <c r="L2796" s="34"/>
      <c r="M2796" s="16">
        <f t="shared" si="1413"/>
        <v>7173231.4498418365</v>
      </c>
      <c r="N2796" s="36">
        <v>2200</v>
      </c>
      <c r="O2796" s="36">
        <v>21</v>
      </c>
      <c r="P2796" s="36">
        <v>75000</v>
      </c>
      <c r="Q2796" s="2" t="s">
        <v>104</v>
      </c>
      <c r="R2796" s="2" t="s">
        <v>170</v>
      </c>
      <c r="S2796" s="56">
        <v>45000</v>
      </c>
      <c r="T2796" s="114"/>
    </row>
    <row r="2797" spans="1:20" ht="20.25" x14ac:dyDescent="0.2">
      <c r="A2797" s="8" t="str">
        <f t="shared" si="1412"/>
        <v/>
      </c>
      <c r="B2797" s="5"/>
      <c r="C2797" s="79" t="s">
        <v>385</v>
      </c>
      <c r="D2797" s="5"/>
      <c r="E2797" s="5"/>
      <c r="F2797" s="5"/>
      <c r="G2797" s="5"/>
      <c r="H2797" s="5"/>
      <c r="I2797" s="5"/>
      <c r="J2797" s="5"/>
      <c r="K2797" s="133"/>
      <c r="L2797" s="5"/>
      <c r="M2797" s="16">
        <f t="shared" si="1413"/>
        <v>0</v>
      </c>
      <c r="N2797" s="5"/>
      <c r="O2797" s="5"/>
      <c r="P2797" s="5"/>
      <c r="Q2797" s="5"/>
      <c r="R2797" s="5"/>
      <c r="S2797" s="30"/>
    </row>
    <row r="2798" spans="1:20" x14ac:dyDescent="0.2">
      <c r="A2798" s="8" t="str">
        <f t="shared" si="1412"/>
        <v>90030119</v>
      </c>
      <c r="B2798" s="8">
        <v>9003</v>
      </c>
      <c r="C2798" s="8">
        <v>1</v>
      </c>
      <c r="D2798" s="8" t="s">
        <v>62</v>
      </c>
      <c r="E2798" s="8">
        <v>9</v>
      </c>
      <c r="F2798" s="34">
        <f t="shared" ref="F2798:G2802" si="1438">ROUNDDOWN($P2798/4*MIN($O2798,4)*10*$N2798/$N2798*$Q2798/400,0)</f>
        <v>630000</v>
      </c>
      <c r="G2798" s="34">
        <f t="shared" si="1438"/>
        <v>630000</v>
      </c>
      <c r="H2798" s="34">
        <f t="shared" ref="H2798:I2802" si="1439">ROUNDDOWN($S2798/4*10,0)</f>
        <v>45000</v>
      </c>
      <c r="I2798" s="34">
        <f t="shared" si="1439"/>
        <v>45000</v>
      </c>
      <c r="J2798" s="34">
        <f t="shared" ref="J2798:J2802" si="1440">ROUNDDOWN($P2798/4*$O2798*10*$N2798/$Q2798*$N2798/400*0.8,0)</f>
        <v>4641428</v>
      </c>
      <c r="K2798" s="133">
        <v>1000</v>
      </c>
      <c r="L2798" s="34"/>
      <c r="M2798" s="16">
        <f t="shared" si="1413"/>
        <v>917682.24147577363</v>
      </c>
      <c r="N2798" s="36">
        <v>950</v>
      </c>
      <c r="O2798" s="36">
        <v>20</v>
      </c>
      <c r="P2798" s="36">
        <v>36000</v>
      </c>
      <c r="Q2798" s="2" t="s">
        <v>166</v>
      </c>
      <c r="R2798" s="2" t="s">
        <v>169</v>
      </c>
      <c r="S2798" s="56">
        <f>P2798*0.5</f>
        <v>18000</v>
      </c>
      <c r="T2798" s="114"/>
    </row>
    <row r="2799" spans="1:20" x14ac:dyDescent="0.2">
      <c r="A2799" s="8" t="str">
        <f t="shared" si="1412"/>
        <v>90030219</v>
      </c>
      <c r="B2799" s="8">
        <v>9003</v>
      </c>
      <c r="C2799" s="8">
        <v>2</v>
      </c>
      <c r="D2799" s="8" t="s">
        <v>62</v>
      </c>
      <c r="E2799" s="8">
        <v>9</v>
      </c>
      <c r="F2799" s="34">
        <f t="shared" si="1438"/>
        <v>975000</v>
      </c>
      <c r="G2799" s="34">
        <f t="shared" si="1438"/>
        <v>975000</v>
      </c>
      <c r="H2799" s="34">
        <f t="shared" si="1439"/>
        <v>65000</v>
      </c>
      <c r="I2799" s="34">
        <f t="shared" si="1439"/>
        <v>65000</v>
      </c>
      <c r="J2799" s="34">
        <f t="shared" si="1440"/>
        <v>6257333</v>
      </c>
      <c r="K2799" s="133">
        <v>1000</v>
      </c>
      <c r="L2799" s="34"/>
      <c r="M2799" s="16">
        <f t="shared" si="1413"/>
        <v>1593102.0886308576</v>
      </c>
      <c r="N2799" s="36">
        <v>950</v>
      </c>
      <c r="O2799" s="36">
        <v>20</v>
      </c>
      <c r="P2799" s="36">
        <v>52000</v>
      </c>
      <c r="Q2799" s="2" t="s">
        <v>383</v>
      </c>
      <c r="R2799" s="2" t="s">
        <v>169</v>
      </c>
      <c r="S2799" s="56">
        <f>P2799*0.5</f>
        <v>26000</v>
      </c>
      <c r="T2799" s="114"/>
    </row>
    <row r="2800" spans="1:20" x14ac:dyDescent="0.2">
      <c r="A2800" s="8" t="str">
        <f t="shared" si="1412"/>
        <v>90030319</v>
      </c>
      <c r="B2800" s="8">
        <v>9003</v>
      </c>
      <c r="C2800" s="8">
        <v>3</v>
      </c>
      <c r="D2800" s="8" t="s">
        <v>62</v>
      </c>
      <c r="E2800" s="8">
        <v>9</v>
      </c>
      <c r="F2800" s="34">
        <f t="shared" si="1438"/>
        <v>1018725</v>
      </c>
      <c r="G2800" s="34">
        <f t="shared" si="1438"/>
        <v>1018725</v>
      </c>
      <c r="H2800" s="34">
        <f t="shared" si="1439"/>
        <v>72250</v>
      </c>
      <c r="I2800" s="34">
        <f t="shared" si="1439"/>
        <v>72250</v>
      </c>
      <c r="J2800" s="34">
        <f t="shared" si="1440"/>
        <v>8198581</v>
      </c>
      <c r="K2800" s="133">
        <v>1000</v>
      </c>
      <c r="L2800" s="34"/>
      <c r="M2800" s="16">
        <f t="shared" si="1413"/>
        <v>1965199.9328499988</v>
      </c>
      <c r="N2800" s="36">
        <v>1000</v>
      </c>
      <c r="O2800" s="36">
        <v>20</v>
      </c>
      <c r="P2800" s="36">
        <v>57800</v>
      </c>
      <c r="Q2800" s="2" t="s">
        <v>396</v>
      </c>
      <c r="R2800" s="2" t="s">
        <v>169</v>
      </c>
      <c r="S2800" s="56">
        <f>P2800*0.5</f>
        <v>28900</v>
      </c>
      <c r="T2800" s="114"/>
    </row>
    <row r="2801" spans="1:20" x14ac:dyDescent="0.2">
      <c r="A2801" s="8" t="str">
        <f t="shared" si="1412"/>
        <v>90030419</v>
      </c>
      <c r="B2801" s="8">
        <v>9003</v>
      </c>
      <c r="C2801" s="8">
        <v>4</v>
      </c>
      <c r="D2801" s="8" t="s">
        <v>62</v>
      </c>
      <c r="E2801" s="8">
        <v>9</v>
      </c>
      <c r="F2801" s="34">
        <f t="shared" si="1438"/>
        <v>1188000</v>
      </c>
      <c r="G2801" s="34">
        <f t="shared" si="1438"/>
        <v>1188000</v>
      </c>
      <c r="H2801" s="34">
        <f t="shared" si="1439"/>
        <v>77550</v>
      </c>
      <c r="I2801" s="34">
        <f t="shared" si="1439"/>
        <v>77550</v>
      </c>
      <c r="J2801" s="34">
        <f t="shared" si="1440"/>
        <v>13860000</v>
      </c>
      <c r="K2801" s="133">
        <v>1000</v>
      </c>
      <c r="L2801" s="34"/>
      <c r="M2801" s="16">
        <f t="shared" si="1413"/>
        <v>2858714.0986114722</v>
      </c>
      <c r="N2801" s="36">
        <v>1200</v>
      </c>
      <c r="O2801" s="36">
        <v>21</v>
      </c>
      <c r="P2801" s="36">
        <v>66000</v>
      </c>
      <c r="Q2801" s="2" t="s">
        <v>248</v>
      </c>
      <c r="R2801" s="2" t="s">
        <v>170</v>
      </c>
      <c r="S2801" s="56">
        <f>P2801*0.47</f>
        <v>31020</v>
      </c>
      <c r="T2801" s="114"/>
    </row>
    <row r="2802" spans="1:20" x14ac:dyDescent="0.2">
      <c r="A2802" s="8" t="str">
        <f t="shared" si="1412"/>
        <v>90030519</v>
      </c>
      <c r="B2802" s="8">
        <v>9003</v>
      </c>
      <c r="C2802" s="8">
        <v>5</v>
      </c>
      <c r="D2802" s="8" t="s">
        <v>62</v>
      </c>
      <c r="E2802" s="8">
        <v>9</v>
      </c>
      <c r="F2802" s="34">
        <f t="shared" si="1438"/>
        <v>1400000</v>
      </c>
      <c r="G2802" s="34">
        <f t="shared" si="1438"/>
        <v>1400000</v>
      </c>
      <c r="H2802" s="34">
        <f t="shared" si="1439"/>
        <v>82250</v>
      </c>
      <c r="I2802" s="34">
        <f t="shared" si="1439"/>
        <v>82250</v>
      </c>
      <c r="J2802" s="34">
        <f t="shared" si="1440"/>
        <v>23520000</v>
      </c>
      <c r="K2802" s="133">
        <v>1000</v>
      </c>
      <c r="L2802" s="34"/>
      <c r="M2802" s="16">
        <f t="shared" si="1413"/>
        <v>4163327.8996495102</v>
      </c>
      <c r="N2802" s="36">
        <v>1600</v>
      </c>
      <c r="O2802" s="36">
        <v>21</v>
      </c>
      <c r="P2802" s="36">
        <v>70000</v>
      </c>
      <c r="Q2802" s="2" t="s">
        <v>400</v>
      </c>
      <c r="R2802" s="2" t="s">
        <v>776</v>
      </c>
      <c r="S2802" s="56">
        <f>P2802*0.47</f>
        <v>32900</v>
      </c>
      <c r="T2802" s="114"/>
    </row>
    <row r="2803" spans="1:20" ht="20.25" x14ac:dyDescent="0.2">
      <c r="A2803" s="8" t="str">
        <f t="shared" ref="A2803:A2829" si="1441">IF(B2803="","",CONCATENATE(B2803,CONCATENATE(REPT(0,2-LEN(C2803)),C2803),IF(OR(D2803="Easy",D2803=""),1,IF(D2803="Normal",2,IF(D2803="Hard",3,IF(D2803="Hell",4,"error")))),E2803))</f>
        <v/>
      </c>
      <c r="B2803" s="5"/>
      <c r="C2803" s="79" t="s">
        <v>387</v>
      </c>
      <c r="D2803" s="5"/>
      <c r="E2803" s="5"/>
      <c r="F2803" s="5"/>
      <c r="G2803" s="5"/>
      <c r="H2803" s="5"/>
      <c r="I2803" s="5"/>
      <c r="J2803" s="5"/>
      <c r="K2803" s="133"/>
      <c r="L2803" s="5"/>
      <c r="M2803" s="16">
        <f t="shared" si="1413"/>
        <v>0</v>
      </c>
      <c r="N2803" s="5"/>
      <c r="O2803" s="5"/>
      <c r="P2803" s="5"/>
      <c r="Q2803" s="5"/>
      <c r="R2803" s="5"/>
      <c r="S2803" s="30"/>
    </row>
    <row r="2804" spans="1:20" x14ac:dyDescent="0.2">
      <c r="A2804" s="8" t="str">
        <f t="shared" si="1441"/>
        <v>90040119</v>
      </c>
      <c r="B2804" s="8">
        <v>9004</v>
      </c>
      <c r="C2804" s="8">
        <v>1</v>
      </c>
      <c r="D2804" s="8" t="s">
        <v>62</v>
      </c>
      <c r="E2804" s="8">
        <v>9</v>
      </c>
      <c r="F2804" s="34">
        <f t="shared" ref="F2804:G2819" si="1442">ROUNDDOWN($P2804/4*MIN($O2804,4)*10*$N2804/$N2804*$Q2804/400,0)</f>
        <v>612500</v>
      </c>
      <c r="G2804" s="34">
        <f t="shared" si="1442"/>
        <v>612500</v>
      </c>
      <c r="H2804" s="34">
        <f t="shared" ref="H2804:I2819" si="1443">ROUNDDOWN($S2804/4*10,0)</f>
        <v>43750</v>
      </c>
      <c r="I2804" s="34">
        <f t="shared" si="1443"/>
        <v>43750</v>
      </c>
      <c r="J2804" s="34">
        <f t="shared" ref="J2804:J2823" si="1444">ROUNDDOWN($P2804/4*$O2804*10*$N2804/$Q2804*$N2804/400*0.8,0)</f>
        <v>4512500</v>
      </c>
      <c r="K2804" s="133">
        <v>1000</v>
      </c>
      <c r="L2804" s="34"/>
      <c r="M2804" s="16">
        <f t="shared" si="1413"/>
        <v>879712.3109289764</v>
      </c>
      <c r="N2804" s="36">
        <v>950</v>
      </c>
      <c r="O2804" s="36">
        <v>20</v>
      </c>
      <c r="P2804" s="36">
        <v>35000</v>
      </c>
      <c r="Q2804" s="2" t="s">
        <v>166</v>
      </c>
      <c r="R2804" s="2" t="s">
        <v>169</v>
      </c>
      <c r="S2804" s="56">
        <f t="shared" ref="S2804:S2818" si="1445">P2804*0.5</f>
        <v>17500</v>
      </c>
      <c r="T2804" s="114"/>
    </row>
    <row r="2805" spans="1:20" x14ac:dyDescent="0.2">
      <c r="A2805" s="8" t="str">
        <f t="shared" si="1441"/>
        <v>90040219</v>
      </c>
      <c r="B2805" s="8">
        <v>9004</v>
      </c>
      <c r="C2805" s="8">
        <v>2</v>
      </c>
      <c r="D2805" s="8" t="s">
        <v>62</v>
      </c>
      <c r="E2805" s="8">
        <v>9</v>
      </c>
      <c r="F2805" s="34">
        <f t="shared" si="1442"/>
        <v>900000</v>
      </c>
      <c r="G2805" s="34">
        <f t="shared" si="1442"/>
        <v>900000</v>
      </c>
      <c r="H2805" s="34">
        <f t="shared" si="1443"/>
        <v>60000</v>
      </c>
      <c r="I2805" s="34">
        <f t="shared" si="1443"/>
        <v>60000</v>
      </c>
      <c r="J2805" s="34">
        <f t="shared" si="1444"/>
        <v>5776000</v>
      </c>
      <c r="K2805" s="133">
        <v>1000</v>
      </c>
      <c r="L2805" s="34"/>
      <c r="M2805" s="16">
        <f t="shared" si="1413"/>
        <v>1412864.3246964659</v>
      </c>
      <c r="N2805" s="36">
        <v>950</v>
      </c>
      <c r="O2805" s="36">
        <v>20</v>
      </c>
      <c r="P2805" s="36">
        <v>48000</v>
      </c>
      <c r="Q2805" s="2" t="s">
        <v>383</v>
      </c>
      <c r="R2805" s="2" t="s">
        <v>169</v>
      </c>
      <c r="S2805" s="56">
        <f t="shared" si="1445"/>
        <v>24000</v>
      </c>
      <c r="T2805" s="114"/>
    </row>
    <row r="2806" spans="1:20" x14ac:dyDescent="0.2">
      <c r="A2806" s="8" t="str">
        <f t="shared" si="1441"/>
        <v>90040319</v>
      </c>
      <c r="B2806" s="8">
        <v>9004</v>
      </c>
      <c r="C2806" s="8">
        <v>3</v>
      </c>
      <c r="D2806" s="8" t="s">
        <v>62</v>
      </c>
      <c r="E2806" s="8">
        <v>9</v>
      </c>
      <c r="F2806" s="34">
        <f t="shared" si="1442"/>
        <v>945000</v>
      </c>
      <c r="G2806" s="34">
        <f t="shared" si="1442"/>
        <v>945000</v>
      </c>
      <c r="H2806" s="34">
        <f t="shared" si="1443"/>
        <v>67500</v>
      </c>
      <c r="I2806" s="34">
        <f t="shared" si="1443"/>
        <v>67500</v>
      </c>
      <c r="J2806" s="34">
        <f t="shared" si="1444"/>
        <v>6962142</v>
      </c>
      <c r="K2806" s="133">
        <v>1000</v>
      </c>
      <c r="L2806" s="34"/>
      <c r="M2806" s="16">
        <f t="shared" si="1413"/>
        <v>1685889.9282218874</v>
      </c>
      <c r="N2806" s="36">
        <v>950</v>
      </c>
      <c r="O2806" s="36">
        <v>20</v>
      </c>
      <c r="P2806" s="36">
        <v>54000</v>
      </c>
      <c r="Q2806" s="2" t="s">
        <v>166</v>
      </c>
      <c r="R2806" s="2" t="s">
        <v>169</v>
      </c>
      <c r="S2806" s="56">
        <f t="shared" si="1445"/>
        <v>27000</v>
      </c>
      <c r="T2806" s="114"/>
    </row>
    <row r="2807" spans="1:20" x14ac:dyDescent="0.2">
      <c r="A2807" s="8" t="str">
        <f t="shared" si="1441"/>
        <v>90040419</v>
      </c>
      <c r="B2807" s="8">
        <v>9004</v>
      </c>
      <c r="C2807" s="8">
        <v>4</v>
      </c>
      <c r="D2807" s="8" t="s">
        <v>62</v>
      </c>
      <c r="E2807" s="8">
        <v>9</v>
      </c>
      <c r="F2807" s="34">
        <f t="shared" si="1442"/>
        <v>1207500</v>
      </c>
      <c r="G2807" s="34">
        <f t="shared" si="1442"/>
        <v>1207500</v>
      </c>
      <c r="H2807" s="34">
        <f t="shared" si="1443"/>
        <v>87500</v>
      </c>
      <c r="I2807" s="34">
        <f t="shared" si="1443"/>
        <v>87500</v>
      </c>
      <c r="J2807" s="34">
        <f t="shared" si="1444"/>
        <v>18002173</v>
      </c>
      <c r="K2807" s="133">
        <v>1000</v>
      </c>
      <c r="L2807" s="34"/>
      <c r="M2807" s="16">
        <f t="shared" si="1413"/>
        <v>3488992.6028296482</v>
      </c>
      <c r="N2807" s="36">
        <v>1300</v>
      </c>
      <c r="O2807" s="36">
        <v>21</v>
      </c>
      <c r="P2807" s="36">
        <v>70000</v>
      </c>
      <c r="Q2807" s="2" t="s">
        <v>394</v>
      </c>
      <c r="R2807" s="2" t="s">
        <v>170</v>
      </c>
      <c r="S2807" s="56">
        <f t="shared" si="1445"/>
        <v>35000</v>
      </c>
      <c r="T2807" s="114"/>
    </row>
    <row r="2808" spans="1:20" x14ac:dyDescent="0.2">
      <c r="A2808" s="18" t="str">
        <f t="shared" si="1441"/>
        <v>90040519</v>
      </c>
      <c r="B2808" s="18">
        <v>9004</v>
      </c>
      <c r="C2808" s="18">
        <v>5</v>
      </c>
      <c r="D2808" s="18" t="s">
        <v>62</v>
      </c>
      <c r="E2808" s="18">
        <v>9</v>
      </c>
      <c r="F2808" s="19">
        <f t="shared" si="1442"/>
        <v>1380000</v>
      </c>
      <c r="G2808" s="19">
        <f t="shared" si="1442"/>
        <v>1380000</v>
      </c>
      <c r="H2808" s="19">
        <f t="shared" si="1443"/>
        <v>100000</v>
      </c>
      <c r="I2808" s="19">
        <f t="shared" si="1443"/>
        <v>100000</v>
      </c>
      <c r="J2808" s="19">
        <f t="shared" si="1444"/>
        <v>27391304</v>
      </c>
      <c r="K2808" s="133">
        <v>1000</v>
      </c>
      <c r="L2808" s="19"/>
      <c r="M2808" s="118">
        <f t="shared" si="1413"/>
        <v>4918536.336431805</v>
      </c>
      <c r="N2808" s="58">
        <v>1500</v>
      </c>
      <c r="O2808" s="58">
        <v>21</v>
      </c>
      <c r="P2808" s="58">
        <v>80000</v>
      </c>
      <c r="Q2808" s="41" t="s">
        <v>394</v>
      </c>
      <c r="R2808" s="41" t="s">
        <v>170</v>
      </c>
      <c r="S2808" s="94">
        <f t="shared" si="1445"/>
        <v>40000</v>
      </c>
      <c r="T2808" s="114"/>
    </row>
    <row r="2809" spans="1:20" x14ac:dyDescent="0.2">
      <c r="A2809" s="8" t="str">
        <f t="shared" si="1441"/>
        <v>90040118</v>
      </c>
      <c r="B2809" s="8">
        <v>9004</v>
      </c>
      <c r="C2809" s="8">
        <v>1</v>
      </c>
      <c r="D2809" s="8" t="s">
        <v>62</v>
      </c>
      <c r="E2809" s="8">
        <v>8</v>
      </c>
      <c r="F2809" s="34">
        <f t="shared" si="1442"/>
        <v>172500</v>
      </c>
      <c r="G2809" s="34">
        <f t="shared" si="1442"/>
        <v>172500</v>
      </c>
      <c r="H2809" s="34">
        <f t="shared" si="1443"/>
        <v>12500</v>
      </c>
      <c r="I2809" s="34">
        <f t="shared" si="1443"/>
        <v>12500</v>
      </c>
      <c r="J2809" s="34">
        <f t="shared" si="1444"/>
        <v>1307971</v>
      </c>
      <c r="K2809" s="133">
        <v>1000</v>
      </c>
      <c r="L2809" s="34"/>
      <c r="M2809" s="16">
        <f t="shared" si="1413"/>
        <v>134350.28768112112</v>
      </c>
      <c r="N2809" s="36">
        <v>950</v>
      </c>
      <c r="O2809" s="36">
        <v>20</v>
      </c>
      <c r="P2809" s="36">
        <v>10000</v>
      </c>
      <c r="Q2809" s="2" t="s">
        <v>394</v>
      </c>
      <c r="R2809" s="2" t="s">
        <v>169</v>
      </c>
      <c r="S2809" s="56">
        <f t="shared" si="1445"/>
        <v>5000</v>
      </c>
      <c r="T2809" s="114"/>
    </row>
    <row r="2810" spans="1:20" x14ac:dyDescent="0.2">
      <c r="A2810" s="8" t="str">
        <f t="shared" si="1441"/>
        <v>90041118</v>
      </c>
      <c r="B2810" s="8">
        <v>9004</v>
      </c>
      <c r="C2810" s="8">
        <v>11</v>
      </c>
      <c r="D2810" s="8" t="s">
        <v>62</v>
      </c>
      <c r="E2810" s="8">
        <v>8</v>
      </c>
      <c r="F2810" s="34">
        <f t="shared" si="1442"/>
        <v>54250</v>
      </c>
      <c r="G2810" s="34">
        <f t="shared" si="1442"/>
        <v>54250</v>
      </c>
      <c r="H2810" s="34">
        <f t="shared" si="1443"/>
        <v>6200</v>
      </c>
      <c r="I2810" s="34">
        <f t="shared" si="1443"/>
        <v>6200</v>
      </c>
      <c r="J2810" s="34">
        <f t="shared" si="1444"/>
        <v>399678</v>
      </c>
      <c r="K2810" s="133">
        <v>1000</v>
      </c>
      <c r="L2810" s="34"/>
      <c r="M2810" s="16">
        <f t="shared" si="1413"/>
        <v>29331.942484602008</v>
      </c>
      <c r="N2810" s="36">
        <v>950</v>
      </c>
      <c r="O2810" s="36">
        <v>20</v>
      </c>
      <c r="P2810" s="36">
        <v>3100</v>
      </c>
      <c r="Q2810" s="2" t="s">
        <v>166</v>
      </c>
      <c r="R2810" s="2" t="s">
        <v>391</v>
      </c>
      <c r="S2810" s="56">
        <f>P2810*0.8</f>
        <v>2480</v>
      </c>
      <c r="T2810" s="114"/>
    </row>
    <row r="2811" spans="1:20" x14ac:dyDescent="0.2">
      <c r="A2811" s="8" t="str">
        <f t="shared" si="1441"/>
        <v>90040218</v>
      </c>
      <c r="B2811" s="8">
        <v>9004</v>
      </c>
      <c r="C2811" s="8">
        <v>2</v>
      </c>
      <c r="D2811" s="8" t="s">
        <v>62</v>
      </c>
      <c r="E2811" s="8">
        <v>8</v>
      </c>
      <c r="F2811" s="34">
        <f t="shared" si="1442"/>
        <v>225000</v>
      </c>
      <c r="G2811" s="34">
        <f t="shared" si="1442"/>
        <v>225000</v>
      </c>
      <c r="H2811" s="34">
        <f t="shared" si="1443"/>
        <v>15625</v>
      </c>
      <c r="I2811" s="34">
        <f t="shared" si="1443"/>
        <v>15625</v>
      </c>
      <c r="J2811" s="34">
        <f t="shared" si="1444"/>
        <v>1566840</v>
      </c>
      <c r="K2811" s="133">
        <v>1000</v>
      </c>
      <c r="L2811" s="34"/>
      <c r="M2811" s="16">
        <f t="shared" si="1413"/>
        <v>187760.2194289302</v>
      </c>
      <c r="N2811" s="36">
        <v>950</v>
      </c>
      <c r="O2811" s="36">
        <v>20</v>
      </c>
      <c r="P2811" s="36">
        <v>12500</v>
      </c>
      <c r="Q2811" s="2" t="s">
        <v>248</v>
      </c>
      <c r="R2811" s="2" t="s">
        <v>169</v>
      </c>
      <c r="S2811" s="56">
        <f t="shared" si="1445"/>
        <v>6250</v>
      </c>
      <c r="T2811" s="114"/>
    </row>
    <row r="2812" spans="1:20" x14ac:dyDescent="0.2">
      <c r="A2812" s="8" t="str">
        <f t="shared" si="1441"/>
        <v>90042118</v>
      </c>
      <c r="B2812" s="8">
        <v>9004</v>
      </c>
      <c r="C2812" s="8">
        <v>21</v>
      </c>
      <c r="D2812" s="8" t="s">
        <v>62</v>
      </c>
      <c r="E2812" s="8">
        <v>8</v>
      </c>
      <c r="F2812" s="34">
        <f t="shared" si="1442"/>
        <v>121875</v>
      </c>
      <c r="G2812" s="34">
        <f t="shared" si="1442"/>
        <v>121875</v>
      </c>
      <c r="H2812" s="34">
        <f t="shared" si="1443"/>
        <v>8125</v>
      </c>
      <c r="I2812" s="34">
        <f t="shared" si="1443"/>
        <v>8125</v>
      </c>
      <c r="J2812" s="34">
        <f t="shared" si="1444"/>
        <v>782166</v>
      </c>
      <c r="K2812" s="133">
        <v>1000</v>
      </c>
      <c r="L2812" s="34"/>
      <c r="M2812" s="16">
        <f t="shared" si="1413"/>
        <v>70405.802495248921</v>
      </c>
      <c r="N2812" s="36">
        <v>950</v>
      </c>
      <c r="O2812" s="36">
        <v>20</v>
      </c>
      <c r="P2812" s="36">
        <v>6500</v>
      </c>
      <c r="Q2812" s="2" t="s">
        <v>383</v>
      </c>
      <c r="R2812" s="2" t="s">
        <v>391</v>
      </c>
      <c r="S2812" s="56">
        <f t="shared" si="1445"/>
        <v>3250</v>
      </c>
      <c r="T2812" s="114"/>
    </row>
    <row r="2813" spans="1:20" x14ac:dyDescent="0.2">
      <c r="A2813" s="8" t="str">
        <f t="shared" si="1441"/>
        <v>90040318</v>
      </c>
      <c r="B2813" s="8">
        <v>9004</v>
      </c>
      <c r="C2813" s="8">
        <v>3</v>
      </c>
      <c r="D2813" s="8" t="s">
        <v>62</v>
      </c>
      <c r="E2813" s="8">
        <v>8</v>
      </c>
      <c r="F2813" s="34">
        <f t="shared" si="1442"/>
        <v>245000</v>
      </c>
      <c r="G2813" s="34">
        <f t="shared" si="1442"/>
        <v>245000</v>
      </c>
      <c r="H2813" s="34">
        <f t="shared" si="1443"/>
        <v>17500</v>
      </c>
      <c r="I2813" s="34">
        <f t="shared" si="1443"/>
        <v>17500</v>
      </c>
      <c r="J2813" s="34">
        <f t="shared" si="1444"/>
        <v>1805000</v>
      </c>
      <c r="K2813" s="133">
        <v>1000</v>
      </c>
      <c r="L2813" s="34"/>
      <c r="M2813" s="16">
        <f t="shared" si="1413"/>
        <v>222551.5670580641</v>
      </c>
      <c r="N2813" s="36">
        <v>950</v>
      </c>
      <c r="O2813" s="36">
        <v>20</v>
      </c>
      <c r="P2813" s="36">
        <v>14000</v>
      </c>
      <c r="Q2813" s="2" t="s">
        <v>166</v>
      </c>
      <c r="R2813" s="2" t="s">
        <v>169</v>
      </c>
      <c r="S2813" s="56">
        <f t="shared" si="1445"/>
        <v>7000</v>
      </c>
      <c r="T2813" s="114"/>
    </row>
    <row r="2814" spans="1:20" x14ac:dyDescent="0.2">
      <c r="A2814" s="8" t="str">
        <f t="shared" si="1441"/>
        <v>90043118</v>
      </c>
      <c r="B2814" s="8">
        <v>9004</v>
      </c>
      <c r="C2814" s="8">
        <v>31</v>
      </c>
      <c r="D2814" s="8" t="s">
        <v>62</v>
      </c>
      <c r="E2814" s="8">
        <v>8</v>
      </c>
      <c r="F2814" s="34">
        <f t="shared" si="1442"/>
        <v>117000</v>
      </c>
      <c r="G2814" s="34">
        <f t="shared" si="1442"/>
        <v>117000</v>
      </c>
      <c r="H2814" s="34">
        <f t="shared" si="1443"/>
        <v>8125</v>
      </c>
      <c r="I2814" s="34">
        <f t="shared" si="1443"/>
        <v>8125</v>
      </c>
      <c r="J2814" s="34">
        <f t="shared" si="1444"/>
        <v>814756</v>
      </c>
      <c r="K2814" s="133">
        <v>1000</v>
      </c>
      <c r="L2814" s="34"/>
      <c r="M2814" s="16">
        <f t="shared" si="1413"/>
        <v>70405.791693581574</v>
      </c>
      <c r="N2814" s="36">
        <v>950</v>
      </c>
      <c r="O2814" s="36">
        <v>20</v>
      </c>
      <c r="P2814" s="36">
        <v>6500</v>
      </c>
      <c r="Q2814" s="2" t="s">
        <v>248</v>
      </c>
      <c r="R2814" s="2" t="s">
        <v>391</v>
      </c>
      <c r="S2814" s="56">
        <f t="shared" si="1445"/>
        <v>3250</v>
      </c>
      <c r="T2814" s="114"/>
    </row>
    <row r="2815" spans="1:20" x14ac:dyDescent="0.2">
      <c r="A2815" s="8" t="str">
        <f t="shared" si="1441"/>
        <v>90040418</v>
      </c>
      <c r="B2815" s="8">
        <v>9004</v>
      </c>
      <c r="C2815" s="8">
        <v>4</v>
      </c>
      <c r="D2815" s="8" t="s">
        <v>62</v>
      </c>
      <c r="E2815" s="8">
        <v>8</v>
      </c>
      <c r="F2815" s="34">
        <f t="shared" si="1442"/>
        <v>240500</v>
      </c>
      <c r="G2815" s="34">
        <f t="shared" si="1442"/>
        <v>240500</v>
      </c>
      <c r="H2815" s="34">
        <f t="shared" si="1443"/>
        <v>16250</v>
      </c>
      <c r="I2815" s="34">
        <f t="shared" si="1443"/>
        <v>16250</v>
      </c>
      <c r="J2815" s="34">
        <f t="shared" si="1444"/>
        <v>2231959</v>
      </c>
      <c r="K2815" s="133">
        <v>1000</v>
      </c>
      <c r="L2815" s="34"/>
      <c r="M2815" s="16">
        <f t="shared" si="1413"/>
        <v>236274.75215942986</v>
      </c>
      <c r="N2815" s="36">
        <v>1100</v>
      </c>
      <c r="O2815" s="36">
        <v>21</v>
      </c>
      <c r="P2815" s="36">
        <v>13000</v>
      </c>
      <c r="Q2815" s="2" t="s">
        <v>395</v>
      </c>
      <c r="R2815" s="2" t="s">
        <v>170</v>
      </c>
      <c r="S2815" s="56">
        <f t="shared" si="1445"/>
        <v>6500</v>
      </c>
      <c r="T2815" s="114"/>
    </row>
    <row r="2816" spans="1:20" x14ac:dyDescent="0.2">
      <c r="A2816" s="8" t="str">
        <f t="shared" si="1441"/>
        <v>90044118</v>
      </c>
      <c r="B2816" s="8">
        <v>9004</v>
      </c>
      <c r="C2816" s="8">
        <v>41</v>
      </c>
      <c r="D2816" s="8" t="s">
        <v>62</v>
      </c>
      <c r="E2816" s="8">
        <v>8</v>
      </c>
      <c r="F2816" s="34">
        <f t="shared" si="1442"/>
        <v>120700</v>
      </c>
      <c r="G2816" s="34">
        <f t="shared" si="1442"/>
        <v>120700</v>
      </c>
      <c r="H2816" s="34">
        <f t="shared" si="1443"/>
        <v>8500</v>
      </c>
      <c r="I2816" s="34">
        <f t="shared" si="1443"/>
        <v>8500</v>
      </c>
      <c r="J2816" s="34">
        <f t="shared" si="1444"/>
        <v>1448112</v>
      </c>
      <c r="K2816" s="133">
        <v>1000</v>
      </c>
      <c r="L2816" s="34"/>
      <c r="M2816" s="16">
        <f t="shared" si="1413"/>
        <v>97511.123678070711</v>
      </c>
      <c r="N2816" s="36">
        <v>1200</v>
      </c>
      <c r="O2816" s="36">
        <v>21</v>
      </c>
      <c r="P2816" s="36">
        <v>6800</v>
      </c>
      <c r="Q2816" s="2" t="s">
        <v>104</v>
      </c>
      <c r="R2816" s="2" t="s">
        <v>391</v>
      </c>
      <c r="S2816" s="56">
        <f t="shared" si="1445"/>
        <v>3400</v>
      </c>
      <c r="T2816" s="114"/>
    </row>
    <row r="2817" spans="1:20" x14ac:dyDescent="0.2">
      <c r="A2817" s="18" t="str">
        <f t="shared" si="1441"/>
        <v>90040518</v>
      </c>
      <c r="B2817" s="18">
        <v>9004</v>
      </c>
      <c r="C2817" s="18">
        <v>5</v>
      </c>
      <c r="D2817" s="18" t="s">
        <v>62</v>
      </c>
      <c r="E2817" s="18">
        <v>8</v>
      </c>
      <c r="F2817" s="19">
        <f t="shared" si="1442"/>
        <v>277500</v>
      </c>
      <c r="G2817" s="19">
        <f t="shared" si="1442"/>
        <v>277500</v>
      </c>
      <c r="H2817" s="19">
        <f t="shared" si="1443"/>
        <v>18750</v>
      </c>
      <c r="I2817" s="19">
        <f t="shared" si="1443"/>
        <v>18750</v>
      </c>
      <c r="J2817" s="19">
        <f t="shared" si="1444"/>
        <v>2575337</v>
      </c>
      <c r="K2817" s="133">
        <v>1000</v>
      </c>
      <c r="L2817" s="19"/>
      <c r="M2817" s="118">
        <f t="shared" si="1413"/>
        <v>292845.90162746003</v>
      </c>
      <c r="N2817" s="58">
        <v>1100</v>
      </c>
      <c r="O2817" s="58">
        <v>21</v>
      </c>
      <c r="P2817" s="58">
        <v>15000</v>
      </c>
      <c r="Q2817" s="41" t="s">
        <v>395</v>
      </c>
      <c r="R2817" s="41" t="s">
        <v>170</v>
      </c>
      <c r="S2817" s="94">
        <f t="shared" si="1445"/>
        <v>7500</v>
      </c>
      <c r="T2817" s="114"/>
    </row>
    <row r="2818" spans="1:20" x14ac:dyDescent="0.2">
      <c r="A2818" s="18" t="str">
        <f t="shared" si="1441"/>
        <v>90045118</v>
      </c>
      <c r="B2818" s="18">
        <v>9004</v>
      </c>
      <c r="C2818" s="18">
        <v>51</v>
      </c>
      <c r="D2818" s="18" t="s">
        <v>62</v>
      </c>
      <c r="E2818" s="18">
        <v>8</v>
      </c>
      <c r="F2818" s="19">
        <f t="shared" si="1442"/>
        <v>230750</v>
      </c>
      <c r="G2818" s="19">
        <f t="shared" si="1442"/>
        <v>230750</v>
      </c>
      <c r="H2818" s="19">
        <f t="shared" si="1443"/>
        <v>16250</v>
      </c>
      <c r="I2818" s="19">
        <f t="shared" si="1443"/>
        <v>16250</v>
      </c>
      <c r="J2818" s="19">
        <f t="shared" si="1444"/>
        <v>2326267</v>
      </c>
      <c r="K2818" s="133">
        <v>1000</v>
      </c>
      <c r="L2818" s="19"/>
      <c r="M2818" s="118">
        <f t="shared" si="1413"/>
        <v>236274.74572200899</v>
      </c>
      <c r="N2818" s="58">
        <v>1100</v>
      </c>
      <c r="O2818" s="58">
        <v>21</v>
      </c>
      <c r="P2818" s="58">
        <v>13000</v>
      </c>
      <c r="Q2818" s="41" t="s">
        <v>104</v>
      </c>
      <c r="R2818" s="41" t="s">
        <v>391</v>
      </c>
      <c r="S2818" s="94">
        <f t="shared" si="1445"/>
        <v>6500</v>
      </c>
      <c r="T2818" s="114"/>
    </row>
    <row r="2819" spans="1:20" x14ac:dyDescent="0.2">
      <c r="A2819" s="8" t="str">
        <f t="shared" si="1441"/>
        <v>90041218</v>
      </c>
      <c r="B2819" s="8">
        <v>9004</v>
      </c>
      <c r="C2819" s="8">
        <v>12</v>
      </c>
      <c r="D2819" s="8" t="s">
        <v>62</v>
      </c>
      <c r="E2819" s="8">
        <v>8</v>
      </c>
      <c r="F2819" s="34">
        <f t="shared" si="1442"/>
        <v>70000</v>
      </c>
      <c r="G2819" s="34">
        <f t="shared" si="1442"/>
        <v>70000</v>
      </c>
      <c r="H2819" s="34">
        <f t="shared" si="1443"/>
        <v>8000</v>
      </c>
      <c r="I2819" s="34">
        <f t="shared" si="1443"/>
        <v>8000</v>
      </c>
      <c r="J2819" s="34">
        <f t="shared" si="1444"/>
        <v>515714</v>
      </c>
      <c r="K2819" s="133">
        <v>1000</v>
      </c>
      <c r="L2819" s="34"/>
      <c r="M2819" s="16">
        <f t="shared" si="1413"/>
        <v>42992.080386973605</v>
      </c>
      <c r="N2819" s="36">
        <v>950</v>
      </c>
      <c r="O2819" s="36">
        <v>20</v>
      </c>
      <c r="P2819" s="36">
        <v>4000</v>
      </c>
      <c r="Q2819" s="2" t="s">
        <v>166</v>
      </c>
      <c r="R2819" s="2" t="s">
        <v>393</v>
      </c>
      <c r="S2819" s="56">
        <f>P2819*0.8</f>
        <v>3200</v>
      </c>
      <c r="T2819" s="114"/>
    </row>
    <row r="2820" spans="1:20" x14ac:dyDescent="0.2">
      <c r="A2820" s="8" t="str">
        <f t="shared" si="1441"/>
        <v>90042218</v>
      </c>
      <c r="B2820" s="8">
        <v>9004</v>
      </c>
      <c r="C2820" s="8">
        <v>22</v>
      </c>
      <c r="D2820" s="8" t="s">
        <v>62</v>
      </c>
      <c r="E2820" s="8">
        <v>8</v>
      </c>
      <c r="F2820" s="34">
        <f t="shared" ref="F2820:G2823" si="1446">ROUNDDOWN($P2820/4*MIN($O2820,4)*10*$N2820/$N2820*$Q2820/400,0)</f>
        <v>118125</v>
      </c>
      <c r="G2820" s="34">
        <f t="shared" si="1446"/>
        <v>118125</v>
      </c>
      <c r="H2820" s="34">
        <f t="shared" ref="H2820:I2823" si="1447">ROUNDDOWN($S2820/4*10,0)</f>
        <v>7875</v>
      </c>
      <c r="I2820" s="34">
        <f t="shared" si="1447"/>
        <v>7875</v>
      </c>
      <c r="J2820" s="34">
        <f t="shared" si="1444"/>
        <v>758100</v>
      </c>
      <c r="K2820" s="133">
        <v>1000</v>
      </c>
      <c r="L2820" s="34"/>
      <c r="M2820" s="16">
        <f t="shared" si="1413"/>
        <v>67181.458379526128</v>
      </c>
      <c r="N2820" s="36">
        <v>950</v>
      </c>
      <c r="O2820" s="36">
        <v>20</v>
      </c>
      <c r="P2820" s="36">
        <v>6300</v>
      </c>
      <c r="Q2820" s="2" t="s">
        <v>383</v>
      </c>
      <c r="R2820" s="2" t="s">
        <v>393</v>
      </c>
      <c r="S2820" s="56">
        <f t="shared" ref="S2820:S2823" si="1448">P2820*0.5</f>
        <v>3150</v>
      </c>
      <c r="T2820" s="114"/>
    </row>
    <row r="2821" spans="1:20" x14ac:dyDescent="0.2">
      <c r="A2821" s="8" t="str">
        <f t="shared" si="1441"/>
        <v>90043218</v>
      </c>
      <c r="B2821" s="8">
        <v>9004</v>
      </c>
      <c r="C2821" s="8">
        <v>32</v>
      </c>
      <c r="D2821" s="8" t="s">
        <v>62</v>
      </c>
      <c r="E2821" s="8">
        <v>8</v>
      </c>
      <c r="F2821" s="34">
        <f t="shared" si="1446"/>
        <v>138700</v>
      </c>
      <c r="G2821" s="34">
        <f t="shared" si="1446"/>
        <v>138700</v>
      </c>
      <c r="H2821" s="34">
        <f t="shared" si="1447"/>
        <v>9500</v>
      </c>
      <c r="I2821" s="34">
        <f t="shared" si="1447"/>
        <v>9500</v>
      </c>
      <c r="J2821" s="34">
        <f t="shared" si="1444"/>
        <v>939589</v>
      </c>
      <c r="K2821" s="133">
        <v>1000</v>
      </c>
      <c r="L2821" s="34"/>
      <c r="M2821" s="16">
        <f t="shared" si="1413"/>
        <v>89014.136256214944</v>
      </c>
      <c r="N2821" s="36">
        <v>950</v>
      </c>
      <c r="O2821" s="36">
        <v>20</v>
      </c>
      <c r="P2821" s="36">
        <v>7600</v>
      </c>
      <c r="Q2821" s="2" t="s">
        <v>185</v>
      </c>
      <c r="R2821" s="2" t="s">
        <v>393</v>
      </c>
      <c r="S2821" s="56">
        <f t="shared" si="1448"/>
        <v>3800</v>
      </c>
      <c r="T2821" s="114"/>
    </row>
    <row r="2822" spans="1:20" x14ac:dyDescent="0.2">
      <c r="A2822" s="8" t="str">
        <f t="shared" si="1441"/>
        <v>90044218</v>
      </c>
      <c r="B2822" s="8">
        <v>9004</v>
      </c>
      <c r="C2822" s="8">
        <v>42</v>
      </c>
      <c r="D2822" s="8" t="s">
        <v>62</v>
      </c>
      <c r="E2822" s="8">
        <v>8</v>
      </c>
      <c r="F2822" s="34">
        <f t="shared" si="1446"/>
        <v>148000</v>
      </c>
      <c r="G2822" s="34">
        <f t="shared" si="1446"/>
        <v>148000</v>
      </c>
      <c r="H2822" s="34">
        <f t="shared" si="1447"/>
        <v>10000</v>
      </c>
      <c r="I2822" s="34">
        <f t="shared" si="1447"/>
        <v>10000</v>
      </c>
      <c r="J2822" s="34">
        <f t="shared" si="1444"/>
        <v>1918378</v>
      </c>
      <c r="K2822" s="133">
        <v>1000</v>
      </c>
      <c r="L2822" s="34"/>
      <c r="M2822" s="16">
        <f t="shared" si="1413"/>
        <v>134799.39323305577</v>
      </c>
      <c r="N2822" s="36">
        <v>1300</v>
      </c>
      <c r="O2822" s="36">
        <v>21</v>
      </c>
      <c r="P2822" s="36">
        <v>8000</v>
      </c>
      <c r="Q2822" s="2" t="s">
        <v>395</v>
      </c>
      <c r="R2822" s="2" t="s">
        <v>393</v>
      </c>
      <c r="S2822" s="56">
        <f t="shared" si="1448"/>
        <v>4000</v>
      </c>
      <c r="T2822" s="114"/>
    </row>
    <row r="2823" spans="1:20" x14ac:dyDescent="0.2">
      <c r="A2823" s="18" t="str">
        <f t="shared" si="1441"/>
        <v>90045218</v>
      </c>
      <c r="B2823" s="18">
        <v>9004</v>
      </c>
      <c r="C2823" s="18">
        <v>52</v>
      </c>
      <c r="D2823" s="18" t="s">
        <v>62</v>
      </c>
      <c r="E2823" s="18">
        <v>8</v>
      </c>
      <c r="F2823" s="19">
        <f t="shared" si="1446"/>
        <v>240500</v>
      </c>
      <c r="G2823" s="19">
        <f t="shared" si="1446"/>
        <v>240500</v>
      </c>
      <c r="H2823" s="19">
        <f t="shared" si="1447"/>
        <v>16250</v>
      </c>
      <c r="I2823" s="19">
        <f t="shared" si="1447"/>
        <v>16250</v>
      </c>
      <c r="J2823" s="19">
        <f t="shared" si="1444"/>
        <v>3361773</v>
      </c>
      <c r="K2823" s="133">
        <v>1000</v>
      </c>
      <c r="L2823" s="19"/>
      <c r="M2823" s="118">
        <f t="shared" si="1413"/>
        <v>289973.56133965042</v>
      </c>
      <c r="N2823" s="58">
        <v>1350</v>
      </c>
      <c r="O2823" s="58">
        <v>21</v>
      </c>
      <c r="P2823" s="58">
        <v>13000</v>
      </c>
      <c r="Q2823" s="41" t="s">
        <v>395</v>
      </c>
      <c r="R2823" s="41" t="s">
        <v>393</v>
      </c>
      <c r="S2823" s="94">
        <f t="shared" si="1448"/>
        <v>6500</v>
      </c>
      <c r="T2823" s="114"/>
    </row>
    <row r="2824" spans="1:20" ht="20.25" x14ac:dyDescent="0.2">
      <c r="A2824" s="8" t="str">
        <f t="shared" si="1441"/>
        <v/>
      </c>
      <c r="B2824" s="5"/>
      <c r="C2824" s="79" t="s">
        <v>386</v>
      </c>
      <c r="D2824" s="5"/>
      <c r="E2824" s="5"/>
      <c r="F2824" s="5"/>
      <c r="G2824" s="5"/>
      <c r="H2824" s="5"/>
      <c r="I2824" s="5"/>
      <c r="J2824" s="5"/>
      <c r="K2824" s="133"/>
      <c r="L2824" s="5"/>
      <c r="M2824" s="16">
        <f t="shared" si="1413"/>
        <v>0</v>
      </c>
      <c r="N2824" s="5"/>
      <c r="O2824" s="5"/>
      <c r="P2824" s="5"/>
      <c r="Q2824" s="5"/>
      <c r="R2824" s="5"/>
      <c r="S2824" s="30"/>
    </row>
    <row r="2825" spans="1:20" x14ac:dyDescent="0.2">
      <c r="A2825" s="8" t="str">
        <f t="shared" si="1441"/>
        <v>90050119</v>
      </c>
      <c r="B2825" s="8">
        <v>9005</v>
      </c>
      <c r="C2825" s="8">
        <v>1</v>
      </c>
      <c r="D2825" s="8" t="s">
        <v>62</v>
      </c>
      <c r="E2825" s="8">
        <v>9</v>
      </c>
      <c r="F2825" s="34">
        <f t="shared" ref="F2825:G2829" si="1449">ROUNDDOWN($P2825/4*MIN($O2825,4)*10*$N2825/$N2825*$Q2825/400,0)</f>
        <v>750000</v>
      </c>
      <c r="G2825" s="34">
        <f t="shared" si="1449"/>
        <v>750000</v>
      </c>
      <c r="H2825" s="34">
        <f t="shared" ref="H2825:I2829" si="1450">ROUNDDOWN($S2825/4*10,0)</f>
        <v>50000</v>
      </c>
      <c r="I2825" s="34">
        <f t="shared" si="1450"/>
        <v>50000</v>
      </c>
      <c r="J2825" s="34">
        <f t="shared" ref="J2825:J2829" si="1451">ROUNDDOWN($P2825/4*$O2825*10*$N2825/$Q2825*$N2825/400*0.8,0)</f>
        <v>6453333</v>
      </c>
      <c r="K2825" s="133">
        <v>1000</v>
      </c>
      <c r="L2825" s="34"/>
      <c r="M2825" s="16">
        <f t="shared" si="1413"/>
        <v>1244507.902747106</v>
      </c>
      <c r="N2825" s="36">
        <v>1100</v>
      </c>
      <c r="O2825" s="36">
        <v>20</v>
      </c>
      <c r="P2825" s="36">
        <v>40000</v>
      </c>
      <c r="Q2825" s="2" t="s">
        <v>383</v>
      </c>
      <c r="R2825" s="2" t="s">
        <v>169</v>
      </c>
      <c r="S2825" s="56">
        <f>P2825*0.5</f>
        <v>20000</v>
      </c>
      <c r="T2825" s="114"/>
    </row>
    <row r="2826" spans="1:20" x14ac:dyDescent="0.2">
      <c r="A2826" s="8" t="str">
        <f t="shared" si="1441"/>
        <v>90050219</v>
      </c>
      <c r="B2826" s="8">
        <v>9005</v>
      </c>
      <c r="C2826" s="8">
        <v>2</v>
      </c>
      <c r="D2826" s="8" t="s">
        <v>62</v>
      </c>
      <c r="E2826" s="8">
        <v>9</v>
      </c>
      <c r="F2826" s="34">
        <f t="shared" si="1449"/>
        <v>937500</v>
      </c>
      <c r="G2826" s="34">
        <f t="shared" si="1449"/>
        <v>937500</v>
      </c>
      <c r="H2826" s="34">
        <f t="shared" si="1450"/>
        <v>62500</v>
      </c>
      <c r="I2826" s="34">
        <f t="shared" si="1450"/>
        <v>62500</v>
      </c>
      <c r="J2826" s="34">
        <f t="shared" si="1451"/>
        <v>7350000</v>
      </c>
      <c r="K2826" s="133">
        <v>1000</v>
      </c>
      <c r="L2826" s="34"/>
      <c r="M2826" s="16">
        <f t="shared" si="1413"/>
        <v>1660195.7715883991</v>
      </c>
      <c r="N2826" s="36">
        <v>1050</v>
      </c>
      <c r="O2826" s="36">
        <v>20</v>
      </c>
      <c r="P2826" s="36">
        <v>50000</v>
      </c>
      <c r="Q2826" s="2" t="s">
        <v>383</v>
      </c>
      <c r="R2826" s="2" t="s">
        <v>169</v>
      </c>
      <c r="S2826" s="56">
        <f>P2826*0.5</f>
        <v>25000</v>
      </c>
      <c r="T2826" s="114"/>
    </row>
    <row r="2827" spans="1:20" x14ac:dyDescent="0.2">
      <c r="A2827" s="8" t="str">
        <f t="shared" si="1441"/>
        <v>90050319</v>
      </c>
      <c r="B2827" s="8">
        <v>9005</v>
      </c>
      <c r="C2827" s="8">
        <v>3</v>
      </c>
      <c r="D2827" s="8" t="s">
        <v>62</v>
      </c>
      <c r="E2827" s="8">
        <v>9</v>
      </c>
      <c r="F2827" s="34">
        <f t="shared" si="1449"/>
        <v>1080000</v>
      </c>
      <c r="G2827" s="34">
        <f t="shared" si="1449"/>
        <v>1080000</v>
      </c>
      <c r="H2827" s="34">
        <f t="shared" si="1450"/>
        <v>75000</v>
      </c>
      <c r="I2827" s="34">
        <f t="shared" si="1450"/>
        <v>75000</v>
      </c>
      <c r="J2827" s="34">
        <f t="shared" si="1451"/>
        <v>8333333</v>
      </c>
      <c r="K2827" s="133">
        <v>1000</v>
      </c>
      <c r="L2827" s="34"/>
      <c r="M2827" s="16">
        <f t="shared" si="1413"/>
        <v>2078460.9275134334</v>
      </c>
      <c r="N2827" s="36">
        <v>1000</v>
      </c>
      <c r="O2827" s="36">
        <v>20</v>
      </c>
      <c r="P2827" s="36">
        <v>60000</v>
      </c>
      <c r="Q2827" s="2" t="s">
        <v>248</v>
      </c>
      <c r="R2827" s="2" t="s">
        <v>169</v>
      </c>
      <c r="S2827" s="56">
        <f>P2827*0.5</f>
        <v>30000</v>
      </c>
      <c r="T2827" s="114"/>
    </row>
    <row r="2828" spans="1:20" x14ac:dyDescent="0.2">
      <c r="A2828" s="8" t="str">
        <f t="shared" si="1441"/>
        <v>90050419</v>
      </c>
      <c r="B2828" s="8">
        <v>9005</v>
      </c>
      <c r="C2828" s="8">
        <v>4</v>
      </c>
      <c r="D2828" s="8" t="s">
        <v>62</v>
      </c>
      <c r="E2828" s="8">
        <v>9</v>
      </c>
      <c r="F2828" s="34">
        <f t="shared" si="1449"/>
        <v>1440000</v>
      </c>
      <c r="G2828" s="34">
        <f t="shared" si="1449"/>
        <v>1440000</v>
      </c>
      <c r="H2828" s="34">
        <f t="shared" si="1450"/>
        <v>100000</v>
      </c>
      <c r="I2828" s="34">
        <f t="shared" si="1450"/>
        <v>100000</v>
      </c>
      <c r="J2828" s="34">
        <f t="shared" si="1451"/>
        <v>21262500</v>
      </c>
      <c r="K2828" s="133">
        <v>1000</v>
      </c>
      <c r="L2828" s="34"/>
      <c r="M2828" s="16">
        <f t="shared" si="1413"/>
        <v>4426682.730894546</v>
      </c>
      <c r="N2828" s="36">
        <v>1350</v>
      </c>
      <c r="O2828" s="36">
        <v>21</v>
      </c>
      <c r="P2828" s="36">
        <v>80000</v>
      </c>
      <c r="Q2828" s="2" t="s">
        <v>248</v>
      </c>
      <c r="R2828" s="2" t="s">
        <v>170</v>
      </c>
      <c r="S2828" s="56">
        <f>P2828*0.5</f>
        <v>40000</v>
      </c>
      <c r="T2828" s="114"/>
    </row>
    <row r="2829" spans="1:20" x14ac:dyDescent="0.2">
      <c r="A2829" s="8" t="str">
        <f t="shared" si="1441"/>
        <v>90050519</v>
      </c>
      <c r="B2829" s="8">
        <v>9005</v>
      </c>
      <c r="C2829" s="8">
        <v>5</v>
      </c>
      <c r="D2829" s="8" t="s">
        <v>62</v>
      </c>
      <c r="E2829" s="8">
        <v>9</v>
      </c>
      <c r="F2829" s="34">
        <f t="shared" si="1449"/>
        <v>1980000</v>
      </c>
      <c r="G2829" s="34">
        <f t="shared" si="1449"/>
        <v>1980000</v>
      </c>
      <c r="H2829" s="34">
        <f t="shared" si="1450"/>
        <v>137500</v>
      </c>
      <c r="I2829" s="34">
        <f t="shared" si="1450"/>
        <v>137500</v>
      </c>
      <c r="J2829" s="34">
        <f t="shared" si="1451"/>
        <v>36093750</v>
      </c>
      <c r="K2829" s="133">
        <v>1000</v>
      </c>
      <c r="L2829" s="34"/>
      <c r="M2829" s="16">
        <f t="shared" ref="M2829" si="1452">(F2829*J2829*((H2829+I2829)/2)/1000)^(1/2)/10*0.8</f>
        <v>7930305.7948606238</v>
      </c>
      <c r="N2829" s="36">
        <v>1500</v>
      </c>
      <c r="O2829" s="36">
        <v>21</v>
      </c>
      <c r="P2829" s="36">
        <v>110000</v>
      </c>
      <c r="Q2829" s="2" t="s">
        <v>248</v>
      </c>
      <c r="R2829" s="2" t="s">
        <v>170</v>
      </c>
      <c r="S2829" s="56">
        <v>55000</v>
      </c>
      <c r="T2829" s="114"/>
    </row>
    <row r="2830" spans="1:20" ht="20.25" x14ac:dyDescent="0.2">
      <c r="A2830" s="8" t="str">
        <f t="shared" ref="A2830:A2996" si="1453">IF(B2830="","",CONCATENATE(B2830,CONCATENATE(REPT(0,2-LEN(C2830)),C2830),IF(OR(D2830="Easy",D2830=""),1,IF(D2830="Normal",2,IF(D2830="Hard",3,IF(D2830="Hell",4,"error")))),E2830))</f>
        <v/>
      </c>
      <c r="B2830" s="5"/>
      <c r="C2830" s="79" t="s">
        <v>388</v>
      </c>
      <c r="D2830" s="5"/>
      <c r="E2830" s="5"/>
      <c r="F2830" s="5"/>
      <c r="G2830" s="5"/>
      <c r="H2830" s="5"/>
      <c r="I2830" s="5"/>
      <c r="J2830" s="5"/>
      <c r="K2830" s="133"/>
      <c r="L2830" s="5"/>
      <c r="M2830" s="16">
        <f t="shared" ref="M2830:M3021" si="1454">(F2830*J2830*((H2830+I2830)/2)/1000)^(1/2)/10*0.8</f>
        <v>0</v>
      </c>
      <c r="N2830" s="5"/>
      <c r="O2830" s="5"/>
      <c r="P2830" s="5"/>
      <c r="Q2830" s="5"/>
      <c r="R2830" s="5"/>
      <c r="S2830" s="30"/>
    </row>
    <row r="2831" spans="1:20" x14ac:dyDescent="0.2">
      <c r="A2831" s="8" t="str">
        <f t="shared" si="1453"/>
        <v>90060113</v>
      </c>
      <c r="B2831" s="8">
        <v>9006</v>
      </c>
      <c r="C2831" s="8">
        <v>1</v>
      </c>
      <c r="D2831" s="8" t="s">
        <v>62</v>
      </c>
      <c r="E2831" s="8">
        <v>3</v>
      </c>
      <c r="F2831" s="34">
        <f t="shared" ref="F2831:G2840" si="1455">ROUNDDOWN($P2831/4*MIN($O2831,4)*10*$N2831/$N2831*$Q2831/400,0)</f>
        <v>306250</v>
      </c>
      <c r="G2831" s="34">
        <f t="shared" si="1455"/>
        <v>306250</v>
      </c>
      <c r="H2831" s="34">
        <f t="shared" ref="H2831:I2840" si="1456">ROUNDDOWN($S2831/4*10,0)</f>
        <v>26250</v>
      </c>
      <c r="I2831" s="34">
        <f t="shared" si="1456"/>
        <v>26250</v>
      </c>
      <c r="J2831" s="34">
        <f t="shared" ref="J2831:J2840" si="1457">ROUNDDOWN($P2831/4*$O2831*10*$N2831/$Q2831*$N2831/400*0.8,0)</f>
        <v>1225000</v>
      </c>
      <c r="K2831" s="133">
        <v>1000</v>
      </c>
      <c r="L2831" s="34"/>
      <c r="M2831" s="16">
        <f t="shared" si="1454"/>
        <v>251050.29376601015</v>
      </c>
      <c r="N2831" s="36">
        <v>350</v>
      </c>
      <c r="O2831" s="36">
        <v>20</v>
      </c>
      <c r="P2831" s="36">
        <v>35000</v>
      </c>
      <c r="Q2831" s="2" t="s">
        <v>390</v>
      </c>
      <c r="R2831" s="2" t="s">
        <v>169</v>
      </c>
      <c r="S2831" s="56">
        <f>P2831*0.3</f>
        <v>10500</v>
      </c>
      <c r="T2831" s="114"/>
    </row>
    <row r="2832" spans="1:20" x14ac:dyDescent="0.2">
      <c r="A2832" s="8" t="str">
        <f t="shared" si="1453"/>
        <v>90060213</v>
      </c>
      <c r="B2832" s="8">
        <v>9006</v>
      </c>
      <c r="C2832" s="8">
        <v>2</v>
      </c>
      <c r="D2832" s="8" t="s">
        <v>62</v>
      </c>
      <c r="E2832" s="8">
        <v>3</v>
      </c>
      <c r="F2832" s="34">
        <f t="shared" si="1455"/>
        <v>393750</v>
      </c>
      <c r="G2832" s="34">
        <f t="shared" si="1455"/>
        <v>393750</v>
      </c>
      <c r="H2832" s="34">
        <f t="shared" si="1456"/>
        <v>33750</v>
      </c>
      <c r="I2832" s="34">
        <f t="shared" si="1456"/>
        <v>33750</v>
      </c>
      <c r="J2832" s="34">
        <f t="shared" si="1457"/>
        <v>1575000</v>
      </c>
      <c r="K2832" s="133">
        <v>1000</v>
      </c>
      <c r="L2832" s="34"/>
      <c r="M2832" s="16">
        <f t="shared" si="1454"/>
        <v>365996.92621660093</v>
      </c>
      <c r="N2832" s="36">
        <v>350</v>
      </c>
      <c r="O2832" s="36">
        <v>20</v>
      </c>
      <c r="P2832" s="36">
        <v>45000</v>
      </c>
      <c r="Q2832" s="2" t="s">
        <v>390</v>
      </c>
      <c r="R2832" s="2" t="s">
        <v>169</v>
      </c>
      <c r="S2832" s="56">
        <f t="shared" ref="S2832:S2839" si="1458">P2832*0.3</f>
        <v>13500</v>
      </c>
      <c r="T2832" s="114"/>
    </row>
    <row r="2833" spans="1:20" x14ac:dyDescent="0.2">
      <c r="A2833" s="8" t="str">
        <f t="shared" si="1453"/>
        <v>90060313</v>
      </c>
      <c r="B2833" s="8">
        <v>9006</v>
      </c>
      <c r="C2833" s="8">
        <v>3</v>
      </c>
      <c r="D2833" s="8" t="s">
        <v>62</v>
      </c>
      <c r="E2833" s="8">
        <v>3</v>
      </c>
      <c r="F2833" s="34">
        <f t="shared" si="1455"/>
        <v>481250</v>
      </c>
      <c r="G2833" s="34">
        <f t="shared" si="1455"/>
        <v>481250</v>
      </c>
      <c r="H2833" s="34">
        <f t="shared" si="1456"/>
        <v>41250</v>
      </c>
      <c r="I2833" s="34">
        <f t="shared" si="1456"/>
        <v>41250</v>
      </c>
      <c r="J2833" s="34">
        <f t="shared" si="1457"/>
        <v>1925000</v>
      </c>
      <c r="K2833" s="133">
        <v>1000</v>
      </c>
      <c r="L2833" s="34"/>
      <c r="M2833" s="16">
        <f t="shared" si="1454"/>
        <v>494541.4542786075</v>
      </c>
      <c r="N2833" s="36">
        <v>350</v>
      </c>
      <c r="O2833" s="36">
        <v>20</v>
      </c>
      <c r="P2833" s="36">
        <v>55000</v>
      </c>
      <c r="Q2833" s="2" t="s">
        <v>390</v>
      </c>
      <c r="R2833" s="2" t="s">
        <v>169</v>
      </c>
      <c r="S2833" s="56">
        <f t="shared" si="1458"/>
        <v>16500</v>
      </c>
      <c r="T2833" s="114"/>
    </row>
    <row r="2834" spans="1:20" x14ac:dyDescent="0.2">
      <c r="A2834" s="8" t="str">
        <f t="shared" si="1453"/>
        <v>90060413</v>
      </c>
      <c r="B2834" s="8">
        <v>9006</v>
      </c>
      <c r="C2834" s="8">
        <v>4</v>
      </c>
      <c r="D2834" s="8" t="s">
        <v>62</v>
      </c>
      <c r="E2834" s="8">
        <v>3</v>
      </c>
      <c r="F2834" s="34">
        <f t="shared" si="1455"/>
        <v>656250</v>
      </c>
      <c r="G2834" s="34">
        <f t="shared" si="1455"/>
        <v>656250</v>
      </c>
      <c r="H2834" s="34">
        <f t="shared" si="1456"/>
        <v>56250</v>
      </c>
      <c r="I2834" s="34">
        <f t="shared" si="1456"/>
        <v>56250</v>
      </c>
      <c r="J2834" s="34">
        <f t="shared" si="1457"/>
        <v>4970250</v>
      </c>
      <c r="K2834" s="133">
        <v>1000</v>
      </c>
      <c r="L2834" s="34"/>
      <c r="M2834" s="16">
        <f t="shared" si="1454"/>
        <v>1083615.0435002276</v>
      </c>
      <c r="N2834" s="36">
        <v>470</v>
      </c>
      <c r="O2834" s="36">
        <v>21</v>
      </c>
      <c r="P2834" s="36">
        <v>75000</v>
      </c>
      <c r="Q2834" s="2" t="s">
        <v>390</v>
      </c>
      <c r="R2834" s="2" t="s">
        <v>170</v>
      </c>
      <c r="S2834" s="56">
        <f t="shared" si="1458"/>
        <v>22500</v>
      </c>
      <c r="T2834" s="114"/>
    </row>
    <row r="2835" spans="1:20" x14ac:dyDescent="0.2">
      <c r="A2835" s="18" t="str">
        <f t="shared" si="1453"/>
        <v>90060513</v>
      </c>
      <c r="B2835" s="18">
        <v>9006</v>
      </c>
      <c r="C2835" s="18">
        <v>5</v>
      </c>
      <c r="D2835" s="18" t="s">
        <v>62</v>
      </c>
      <c r="E2835" s="18">
        <v>3</v>
      </c>
      <c r="F2835" s="19">
        <f t="shared" si="1455"/>
        <v>1000000</v>
      </c>
      <c r="G2835" s="19">
        <f t="shared" si="1455"/>
        <v>1000000</v>
      </c>
      <c r="H2835" s="19">
        <f t="shared" si="1456"/>
        <v>75000</v>
      </c>
      <c r="I2835" s="19">
        <f t="shared" si="1456"/>
        <v>75000</v>
      </c>
      <c r="J2835" s="19">
        <f t="shared" si="1457"/>
        <v>7940625</v>
      </c>
      <c r="K2835" s="133">
        <v>1000</v>
      </c>
      <c r="L2835" s="19"/>
      <c r="M2835" s="118">
        <f t="shared" si="1454"/>
        <v>1952306.3284228735</v>
      </c>
      <c r="N2835" s="58">
        <v>550</v>
      </c>
      <c r="O2835" s="58">
        <v>21</v>
      </c>
      <c r="P2835" s="58">
        <v>100000</v>
      </c>
      <c r="Q2835" s="41" t="s">
        <v>90</v>
      </c>
      <c r="R2835" s="41" t="s">
        <v>170</v>
      </c>
      <c r="S2835" s="94">
        <v>30000</v>
      </c>
      <c r="T2835" s="114"/>
    </row>
    <row r="2836" spans="1:20" x14ac:dyDescent="0.2">
      <c r="A2836" s="8" t="str">
        <f t="shared" si="1453"/>
        <v>90060119</v>
      </c>
      <c r="B2836" s="8">
        <v>9006</v>
      </c>
      <c r="C2836" s="8">
        <v>1</v>
      </c>
      <c r="D2836" s="8" t="s">
        <v>62</v>
      </c>
      <c r="E2836" s="8">
        <v>9</v>
      </c>
      <c r="F2836" s="34">
        <f t="shared" si="1455"/>
        <v>350000</v>
      </c>
      <c r="G2836" s="34">
        <f t="shared" si="1455"/>
        <v>350000</v>
      </c>
      <c r="H2836" s="34">
        <f t="shared" si="1456"/>
        <v>30000</v>
      </c>
      <c r="I2836" s="34">
        <f t="shared" si="1456"/>
        <v>30000</v>
      </c>
      <c r="J2836" s="34">
        <f t="shared" si="1457"/>
        <v>7314285</v>
      </c>
      <c r="K2836" s="133">
        <v>1000</v>
      </c>
      <c r="L2836" s="34"/>
      <c r="M2836" s="16">
        <f t="shared" si="1454"/>
        <v>701084.83937395201</v>
      </c>
      <c r="N2836" s="36">
        <v>800</v>
      </c>
      <c r="O2836" s="36">
        <v>20</v>
      </c>
      <c r="P2836" s="36">
        <v>40000</v>
      </c>
      <c r="Q2836" s="2" t="s">
        <v>390</v>
      </c>
      <c r="R2836" s="2" t="s">
        <v>169</v>
      </c>
      <c r="S2836" s="56">
        <f t="shared" si="1458"/>
        <v>12000</v>
      </c>
      <c r="T2836" s="114"/>
    </row>
    <row r="2837" spans="1:20" x14ac:dyDescent="0.2">
      <c r="A2837" s="8" t="str">
        <f t="shared" si="1453"/>
        <v>90060219</v>
      </c>
      <c r="B2837" s="8">
        <v>9006</v>
      </c>
      <c r="C2837" s="8">
        <v>2</v>
      </c>
      <c r="D2837" s="8" t="s">
        <v>62</v>
      </c>
      <c r="E2837" s="8">
        <v>9</v>
      </c>
      <c r="F2837" s="34">
        <f t="shared" si="1455"/>
        <v>437500</v>
      </c>
      <c r="G2837" s="34">
        <f t="shared" si="1455"/>
        <v>437500</v>
      </c>
      <c r="H2837" s="34">
        <f t="shared" si="1456"/>
        <v>37500</v>
      </c>
      <c r="I2837" s="34">
        <f t="shared" si="1456"/>
        <v>37500</v>
      </c>
      <c r="J2837" s="34">
        <f t="shared" si="1457"/>
        <v>9142857</v>
      </c>
      <c r="K2837" s="133">
        <v>1000</v>
      </c>
      <c r="L2837" s="34"/>
      <c r="M2837" s="16">
        <f t="shared" si="1454"/>
        <v>979795.8894586158</v>
      </c>
      <c r="N2837" s="36">
        <v>800</v>
      </c>
      <c r="O2837" s="36">
        <v>20</v>
      </c>
      <c r="P2837" s="36">
        <v>50000</v>
      </c>
      <c r="Q2837" s="2" t="s">
        <v>390</v>
      </c>
      <c r="R2837" s="2" t="s">
        <v>169</v>
      </c>
      <c r="S2837" s="56">
        <f t="shared" si="1458"/>
        <v>15000</v>
      </c>
      <c r="T2837" s="114"/>
    </row>
    <row r="2838" spans="1:20" x14ac:dyDescent="0.2">
      <c r="A2838" s="8" t="str">
        <f t="shared" si="1453"/>
        <v>90060319</v>
      </c>
      <c r="B2838" s="8">
        <v>9006</v>
      </c>
      <c r="C2838" s="8">
        <v>3</v>
      </c>
      <c r="D2838" s="8" t="s">
        <v>62</v>
      </c>
      <c r="E2838" s="8">
        <v>9</v>
      </c>
      <c r="F2838" s="34">
        <f t="shared" si="1455"/>
        <v>612500</v>
      </c>
      <c r="G2838" s="34">
        <f t="shared" si="1455"/>
        <v>612500</v>
      </c>
      <c r="H2838" s="34">
        <f t="shared" si="1456"/>
        <v>52500</v>
      </c>
      <c r="I2838" s="34">
        <f t="shared" si="1456"/>
        <v>52500</v>
      </c>
      <c r="J2838" s="34">
        <f t="shared" si="1457"/>
        <v>12800000</v>
      </c>
      <c r="K2838" s="133">
        <v>1000</v>
      </c>
      <c r="L2838" s="34"/>
      <c r="M2838" s="16">
        <f t="shared" si="1454"/>
        <v>1623034.1955732172</v>
      </c>
      <c r="N2838" s="36">
        <v>800</v>
      </c>
      <c r="O2838" s="36">
        <v>20</v>
      </c>
      <c r="P2838" s="36">
        <v>70000</v>
      </c>
      <c r="Q2838" s="2" t="s">
        <v>390</v>
      </c>
      <c r="R2838" s="2" t="s">
        <v>169</v>
      </c>
      <c r="S2838" s="56">
        <f t="shared" si="1458"/>
        <v>21000</v>
      </c>
      <c r="T2838" s="114"/>
    </row>
    <row r="2839" spans="1:20" ht="11.25" customHeight="1" x14ac:dyDescent="0.2">
      <c r="A2839" s="8" t="str">
        <f t="shared" si="1453"/>
        <v>90060419</v>
      </c>
      <c r="B2839" s="8">
        <v>9006</v>
      </c>
      <c r="C2839" s="8">
        <v>4</v>
      </c>
      <c r="D2839" s="8" t="s">
        <v>62</v>
      </c>
      <c r="E2839" s="8">
        <v>9</v>
      </c>
      <c r="F2839" s="34">
        <f t="shared" si="1455"/>
        <v>743750</v>
      </c>
      <c r="G2839" s="34">
        <f t="shared" si="1455"/>
        <v>743750</v>
      </c>
      <c r="H2839" s="34">
        <f t="shared" si="1456"/>
        <v>63750</v>
      </c>
      <c r="I2839" s="34">
        <f t="shared" si="1456"/>
        <v>63750</v>
      </c>
      <c r="J2839" s="34">
        <f t="shared" si="1457"/>
        <v>23013750</v>
      </c>
      <c r="K2839" s="133">
        <v>1000</v>
      </c>
      <c r="L2839" s="34"/>
      <c r="M2839" s="16">
        <f t="shared" si="1454"/>
        <v>2642635.5097705019</v>
      </c>
      <c r="N2839" s="36">
        <v>950</v>
      </c>
      <c r="O2839" s="36">
        <v>21</v>
      </c>
      <c r="P2839" s="36">
        <v>85000</v>
      </c>
      <c r="Q2839" s="2" t="s">
        <v>390</v>
      </c>
      <c r="R2839" s="2" t="s">
        <v>170</v>
      </c>
      <c r="S2839" s="56">
        <f t="shared" si="1458"/>
        <v>25500</v>
      </c>
      <c r="T2839" s="114"/>
    </row>
    <row r="2840" spans="1:20" ht="11.25" customHeight="1" x14ac:dyDescent="0.2">
      <c r="A2840" s="18" t="str">
        <f t="shared" si="1453"/>
        <v>90060519</v>
      </c>
      <c r="B2840" s="18">
        <v>9006</v>
      </c>
      <c r="C2840" s="18">
        <v>5</v>
      </c>
      <c r="D2840" s="18" t="s">
        <v>62</v>
      </c>
      <c r="E2840" s="18">
        <v>9</v>
      </c>
      <c r="F2840" s="19">
        <f t="shared" si="1455"/>
        <v>1312500</v>
      </c>
      <c r="G2840" s="19">
        <f t="shared" si="1455"/>
        <v>1312500</v>
      </c>
      <c r="H2840" s="19">
        <f t="shared" si="1456"/>
        <v>75000</v>
      </c>
      <c r="I2840" s="19">
        <f t="shared" si="1456"/>
        <v>75000</v>
      </c>
      <c r="J2840" s="19">
        <f t="shared" si="1457"/>
        <v>36450000</v>
      </c>
      <c r="K2840" s="133">
        <v>1000</v>
      </c>
      <c r="L2840" s="19"/>
      <c r="M2840" s="118">
        <f t="shared" si="1454"/>
        <v>4792024.624310689</v>
      </c>
      <c r="N2840" s="58">
        <v>900</v>
      </c>
      <c r="O2840" s="58">
        <v>21</v>
      </c>
      <c r="P2840" s="58">
        <v>150000</v>
      </c>
      <c r="Q2840" s="41" t="s">
        <v>390</v>
      </c>
      <c r="R2840" s="41" t="s">
        <v>170</v>
      </c>
      <c r="S2840" s="94">
        <v>30000</v>
      </c>
      <c r="T2840" s="114"/>
    </row>
    <row r="2841" spans="1:20" ht="20.25" x14ac:dyDescent="0.2">
      <c r="A2841" s="8" t="str">
        <f t="shared" si="1453"/>
        <v/>
      </c>
      <c r="B2841" s="5"/>
      <c r="C2841" s="79" t="s">
        <v>389</v>
      </c>
      <c r="D2841" s="5"/>
      <c r="E2841" s="5"/>
      <c r="F2841" s="5"/>
      <c r="G2841" s="5"/>
      <c r="H2841" s="5"/>
      <c r="I2841" s="5"/>
      <c r="J2841" s="5"/>
      <c r="K2841" s="133"/>
      <c r="L2841" s="5"/>
      <c r="M2841" s="16">
        <f t="shared" si="1454"/>
        <v>0</v>
      </c>
      <c r="N2841" s="5"/>
      <c r="O2841" s="5"/>
      <c r="P2841" s="5"/>
      <c r="Q2841" s="5"/>
      <c r="R2841" s="5"/>
      <c r="S2841" s="30"/>
    </row>
    <row r="2842" spans="1:20" x14ac:dyDescent="0.2">
      <c r="A2842" s="8" t="str">
        <f t="shared" si="1453"/>
        <v>90070119</v>
      </c>
      <c r="B2842" s="8">
        <v>9007</v>
      </c>
      <c r="C2842" s="8">
        <v>1</v>
      </c>
      <c r="D2842" s="8" t="s">
        <v>62</v>
      </c>
      <c r="E2842" s="8">
        <v>9</v>
      </c>
      <c r="F2842" s="34">
        <f t="shared" ref="F2842:G2846" si="1459">ROUNDDOWN($P2842/4*MIN($O2842,4)*10*$N2842/$N2842*$Q2842/400,0)</f>
        <v>370000</v>
      </c>
      <c r="G2842" s="34">
        <f t="shared" si="1459"/>
        <v>370000</v>
      </c>
      <c r="H2842" s="34">
        <f t="shared" ref="H2842:I2846" si="1460">ROUNDDOWN($S2842/4*10,0)</f>
        <v>37000</v>
      </c>
      <c r="I2842" s="34">
        <f t="shared" si="1460"/>
        <v>37000</v>
      </c>
      <c r="J2842" s="34">
        <f t="shared" ref="J2842:J2846" si="1461">ROUNDDOWN($P2842/4*$O2842*10*$N2842/$Q2842*$N2842/400*0.8,0)</f>
        <v>12233125</v>
      </c>
      <c r="K2842" s="133">
        <v>1000</v>
      </c>
      <c r="L2842" s="34"/>
      <c r="M2842" s="16">
        <f t="shared" si="1454"/>
        <v>1035286.1826567571</v>
      </c>
      <c r="N2842" s="36">
        <v>1150</v>
      </c>
      <c r="O2842" s="36">
        <v>20</v>
      </c>
      <c r="P2842" s="36">
        <v>37000</v>
      </c>
      <c r="Q2842" s="2" t="s">
        <v>90</v>
      </c>
      <c r="R2842" s="2" t="s">
        <v>169</v>
      </c>
      <c r="S2842" s="56">
        <f>P2842*0.4</f>
        <v>14800</v>
      </c>
      <c r="T2842" s="114"/>
    </row>
    <row r="2843" spans="1:20" x14ac:dyDescent="0.2">
      <c r="A2843" s="8" t="str">
        <f t="shared" si="1453"/>
        <v>90070219</v>
      </c>
      <c r="B2843" s="8">
        <v>9007</v>
      </c>
      <c r="C2843" s="8">
        <v>2</v>
      </c>
      <c r="D2843" s="8" t="s">
        <v>62</v>
      </c>
      <c r="E2843" s="8">
        <v>9</v>
      </c>
      <c r="F2843" s="34">
        <f t="shared" si="1459"/>
        <v>470000</v>
      </c>
      <c r="G2843" s="34">
        <f t="shared" si="1459"/>
        <v>470000</v>
      </c>
      <c r="H2843" s="34">
        <f t="shared" si="1460"/>
        <v>47000</v>
      </c>
      <c r="I2843" s="34">
        <f t="shared" si="1460"/>
        <v>47000</v>
      </c>
      <c r="J2843" s="34">
        <f t="shared" si="1461"/>
        <v>14739200</v>
      </c>
      <c r="K2843" s="133">
        <v>1000</v>
      </c>
      <c r="L2843" s="34"/>
      <c r="M2843" s="16">
        <f t="shared" si="1454"/>
        <v>1443526.6326604439</v>
      </c>
      <c r="N2843" s="36">
        <v>1120</v>
      </c>
      <c r="O2843" s="36">
        <v>20</v>
      </c>
      <c r="P2843" s="36">
        <v>47000</v>
      </c>
      <c r="Q2843" s="2" t="s">
        <v>90</v>
      </c>
      <c r="R2843" s="2" t="s">
        <v>169</v>
      </c>
      <c r="S2843" s="56">
        <f t="shared" ref="S2843:S2845" si="1462">P2843*0.4</f>
        <v>18800</v>
      </c>
      <c r="T2843" s="114"/>
    </row>
    <row r="2844" spans="1:20" x14ac:dyDescent="0.2">
      <c r="A2844" s="8" t="str">
        <f t="shared" si="1453"/>
        <v>90070319</v>
      </c>
      <c r="B2844" s="8">
        <v>9007</v>
      </c>
      <c r="C2844" s="8">
        <v>3</v>
      </c>
      <c r="D2844" s="8" t="s">
        <v>62</v>
      </c>
      <c r="E2844" s="8">
        <v>9</v>
      </c>
      <c r="F2844" s="34">
        <f t="shared" si="1459"/>
        <v>570000</v>
      </c>
      <c r="G2844" s="34">
        <f t="shared" si="1459"/>
        <v>570000</v>
      </c>
      <c r="H2844" s="34">
        <f t="shared" si="1460"/>
        <v>57000</v>
      </c>
      <c r="I2844" s="34">
        <f t="shared" si="1460"/>
        <v>57000</v>
      </c>
      <c r="J2844" s="34">
        <f t="shared" si="1461"/>
        <v>17242500</v>
      </c>
      <c r="K2844" s="133">
        <v>1000</v>
      </c>
      <c r="L2844" s="34"/>
      <c r="M2844" s="16">
        <f t="shared" si="1454"/>
        <v>1893498.4763659039</v>
      </c>
      <c r="N2844" s="36">
        <v>1100</v>
      </c>
      <c r="O2844" s="36">
        <v>20</v>
      </c>
      <c r="P2844" s="36">
        <v>57000</v>
      </c>
      <c r="Q2844" s="2" t="s">
        <v>90</v>
      </c>
      <c r="R2844" s="2" t="s">
        <v>169</v>
      </c>
      <c r="S2844" s="56">
        <f t="shared" si="1462"/>
        <v>22800</v>
      </c>
      <c r="T2844" s="114"/>
    </row>
    <row r="2845" spans="1:20" x14ac:dyDescent="0.2">
      <c r="A2845" s="8" t="str">
        <f t="shared" si="1453"/>
        <v>90070419</v>
      </c>
      <c r="B2845" s="8">
        <v>9007</v>
      </c>
      <c r="C2845" s="8">
        <v>4</v>
      </c>
      <c r="D2845" s="8" t="s">
        <v>62</v>
      </c>
      <c r="E2845" s="8">
        <v>9</v>
      </c>
      <c r="F2845" s="34">
        <f t="shared" si="1459"/>
        <v>650000</v>
      </c>
      <c r="G2845" s="34">
        <f t="shared" si="1459"/>
        <v>650000</v>
      </c>
      <c r="H2845" s="34">
        <f t="shared" si="1460"/>
        <v>65000</v>
      </c>
      <c r="I2845" s="34">
        <f t="shared" si="1460"/>
        <v>65000</v>
      </c>
      <c r="J2845" s="34">
        <f t="shared" si="1461"/>
        <v>28835625</v>
      </c>
      <c r="K2845" s="133">
        <v>1000</v>
      </c>
      <c r="L2845" s="34"/>
      <c r="M2845" s="16">
        <f t="shared" si="1454"/>
        <v>2792338.2674740534</v>
      </c>
      <c r="N2845" s="36">
        <v>1300</v>
      </c>
      <c r="O2845" s="36">
        <v>21</v>
      </c>
      <c r="P2845" s="36">
        <v>65000</v>
      </c>
      <c r="Q2845" s="2" t="s">
        <v>90</v>
      </c>
      <c r="R2845" s="2" t="s">
        <v>170</v>
      </c>
      <c r="S2845" s="56">
        <f t="shared" si="1462"/>
        <v>26000</v>
      </c>
      <c r="T2845" s="114"/>
    </row>
    <row r="2846" spans="1:20" x14ac:dyDescent="0.2">
      <c r="A2846" s="8" t="str">
        <f t="shared" si="1453"/>
        <v>90070519</v>
      </c>
      <c r="B2846" s="8">
        <v>9007</v>
      </c>
      <c r="C2846" s="8">
        <v>5</v>
      </c>
      <c r="D2846" s="8" t="s">
        <v>62</v>
      </c>
      <c r="E2846" s="8">
        <v>9</v>
      </c>
      <c r="F2846" s="34">
        <f t="shared" si="1459"/>
        <v>720000</v>
      </c>
      <c r="G2846" s="34">
        <f t="shared" si="1459"/>
        <v>720000</v>
      </c>
      <c r="H2846" s="34">
        <f t="shared" si="1460"/>
        <v>125000</v>
      </c>
      <c r="I2846" s="34">
        <f t="shared" si="1460"/>
        <v>125000</v>
      </c>
      <c r="J2846" s="34">
        <f t="shared" si="1461"/>
        <v>34445250</v>
      </c>
      <c r="K2846" s="133">
        <v>1000</v>
      </c>
      <c r="L2846" s="34"/>
      <c r="M2846" s="16">
        <f t="shared" si="1454"/>
        <v>4454263.5754970768</v>
      </c>
      <c r="N2846" s="36">
        <v>1350</v>
      </c>
      <c r="O2846" s="36">
        <v>21</v>
      </c>
      <c r="P2846" s="36">
        <v>72000</v>
      </c>
      <c r="Q2846" s="2" t="s">
        <v>90</v>
      </c>
      <c r="R2846" s="2" t="s">
        <v>170</v>
      </c>
      <c r="S2846" s="56">
        <v>50000</v>
      </c>
      <c r="T2846" s="114"/>
    </row>
    <row r="2847" spans="1:20" ht="20.25" x14ac:dyDescent="0.2">
      <c r="A2847" s="8" t="str">
        <f t="shared" si="1453"/>
        <v/>
      </c>
      <c r="B2847" s="5"/>
      <c r="C2847" s="79" t="s">
        <v>349</v>
      </c>
      <c r="D2847" s="5"/>
      <c r="E2847" s="5"/>
      <c r="F2847" s="5"/>
      <c r="G2847" s="5"/>
      <c r="H2847" s="5"/>
      <c r="I2847" s="5"/>
      <c r="J2847" s="5"/>
      <c r="K2847" s="133"/>
      <c r="L2847" s="5"/>
      <c r="M2847" s="16">
        <f t="shared" si="1454"/>
        <v>0</v>
      </c>
      <c r="N2847" s="5"/>
      <c r="O2847" s="5"/>
      <c r="P2847" s="5"/>
      <c r="Q2847" s="5"/>
      <c r="R2847" s="5"/>
      <c r="S2847" s="30"/>
    </row>
    <row r="2848" spans="1:20" x14ac:dyDescent="0.2">
      <c r="A2848" s="8" t="str">
        <f t="shared" si="1453"/>
        <v>9414911</v>
      </c>
      <c r="B2848" s="8">
        <v>941</v>
      </c>
      <c r="C2848" s="8">
        <v>49</v>
      </c>
      <c r="D2848" s="8" t="s">
        <v>62</v>
      </c>
      <c r="E2848" s="8">
        <v>1</v>
      </c>
      <c r="F2848" s="34">
        <f t="shared" ref="F2848:G2865" si="1463">ROUNDDOWN($P2848/4*MIN($O2848,4)*10*$N2848/$N2848*$Q2848/400,0)</f>
        <v>172000</v>
      </c>
      <c r="G2848" s="34">
        <f t="shared" si="1463"/>
        <v>172000</v>
      </c>
      <c r="H2848" s="34">
        <f t="shared" ref="H2848:I2865" si="1464">ROUNDDOWN($S2848/4*10,0)</f>
        <v>80625</v>
      </c>
      <c r="I2848" s="34">
        <f t="shared" si="1464"/>
        <v>80625</v>
      </c>
      <c r="J2848" s="34">
        <f t="shared" ref="J2848:J2865" si="1465">ROUNDDOWN($P2848/4*$O2848*10*$N2848/$Q2848*$N2848/400*0.8,0)</f>
        <v>1088437</v>
      </c>
      <c r="K2848" s="133">
        <v>1000</v>
      </c>
      <c r="L2848" s="34"/>
      <c r="M2848" s="16">
        <f t="shared" si="1454"/>
        <v>310806.95073308767</v>
      </c>
      <c r="N2848" s="36">
        <v>900</v>
      </c>
      <c r="O2848" s="2" t="s">
        <v>87</v>
      </c>
      <c r="P2848" s="36">
        <v>43000</v>
      </c>
      <c r="Q2848" s="2" t="s">
        <v>413</v>
      </c>
      <c r="R2848" s="2" t="s">
        <v>331</v>
      </c>
      <c r="S2848" s="56">
        <f t="shared" ref="S2848:S2851" si="1466">P2848*0.75</f>
        <v>32250</v>
      </c>
      <c r="T2848" s="114"/>
    </row>
    <row r="2849" spans="1:20" x14ac:dyDescent="0.2">
      <c r="A2849" s="8" t="str">
        <f>IF(B2849="","",CONCATENATE(B2849,CONCATENATE(REPT(0,2-LEN(C2849)),C2849),IF(OR(D2849="Easy",D2849=""),1,IF(D2849="Normal",2,IF(D2849="Hard",3,IF(D2849="Hell",4,"error")))),E2849))</f>
        <v>9414918</v>
      </c>
      <c r="B2849" s="8">
        <v>941</v>
      </c>
      <c r="C2849" s="8">
        <v>49</v>
      </c>
      <c r="D2849" s="8" t="s">
        <v>62</v>
      </c>
      <c r="E2849" s="8">
        <v>8</v>
      </c>
      <c r="F2849" s="34">
        <f t="shared" si="1463"/>
        <v>1587000</v>
      </c>
      <c r="G2849" s="34">
        <f t="shared" si="1463"/>
        <v>1587000</v>
      </c>
      <c r="H2849" s="34">
        <f t="shared" si="1464"/>
        <v>247968</v>
      </c>
      <c r="I2849" s="34">
        <f t="shared" si="1464"/>
        <v>247968</v>
      </c>
      <c r="J2849" s="34">
        <f t="shared" si="1465"/>
        <v>46563020</v>
      </c>
      <c r="K2849" s="133">
        <v>1000</v>
      </c>
      <c r="L2849" s="34"/>
      <c r="M2849" s="16">
        <f t="shared" ref="M2849" si="1467">(F2849*J2849*((H2849+I2849)/2)/1000)^(1/2)/10*0.8</f>
        <v>10829211.606572239</v>
      </c>
      <c r="N2849" s="36">
        <v>1300</v>
      </c>
      <c r="O2849" s="36">
        <v>20</v>
      </c>
      <c r="P2849" s="36">
        <v>132250</v>
      </c>
      <c r="Q2849" s="2" t="s">
        <v>448</v>
      </c>
      <c r="R2849" s="2" t="s">
        <v>170</v>
      </c>
      <c r="S2849" s="56">
        <f t="shared" ref="S2849" si="1468">P2849*0.75</f>
        <v>99187.5</v>
      </c>
      <c r="T2849" s="114"/>
    </row>
    <row r="2850" spans="1:20" x14ac:dyDescent="0.2">
      <c r="A2850" s="8" t="str">
        <f t="shared" si="1453"/>
        <v>9414919</v>
      </c>
      <c r="B2850" s="8">
        <v>941</v>
      </c>
      <c r="C2850" s="8">
        <v>49</v>
      </c>
      <c r="D2850" s="8" t="s">
        <v>62</v>
      </c>
      <c r="E2850" s="8">
        <v>9</v>
      </c>
      <c r="F2850" s="34">
        <f t="shared" si="1463"/>
        <v>1200000</v>
      </c>
      <c r="G2850" s="34">
        <f t="shared" si="1463"/>
        <v>1200000</v>
      </c>
      <c r="H2850" s="34">
        <f t="shared" si="1464"/>
        <v>187500</v>
      </c>
      <c r="I2850" s="34">
        <f t="shared" si="1464"/>
        <v>187500</v>
      </c>
      <c r="J2850" s="34">
        <f t="shared" si="1465"/>
        <v>20833333</v>
      </c>
      <c r="K2850" s="133">
        <v>1000</v>
      </c>
      <c r="L2850" s="34"/>
      <c r="M2850" s="16">
        <f t="shared" si="1454"/>
        <v>5477225.5312338555</v>
      </c>
      <c r="N2850" s="36">
        <v>1000</v>
      </c>
      <c r="O2850" s="36">
        <v>20</v>
      </c>
      <c r="P2850" s="36">
        <v>100000</v>
      </c>
      <c r="Q2850" s="2" t="s">
        <v>448</v>
      </c>
      <c r="R2850" s="2" t="s">
        <v>170</v>
      </c>
      <c r="S2850" s="56">
        <f t="shared" si="1466"/>
        <v>75000</v>
      </c>
      <c r="T2850" s="114"/>
    </row>
    <row r="2851" spans="1:20" x14ac:dyDescent="0.2">
      <c r="A2851" s="8" t="str">
        <f t="shared" si="1453"/>
        <v>9414912</v>
      </c>
      <c r="B2851" s="8">
        <v>941</v>
      </c>
      <c r="C2851" s="8">
        <v>49</v>
      </c>
      <c r="D2851" s="8" t="s">
        <v>62</v>
      </c>
      <c r="E2851" s="8">
        <v>2</v>
      </c>
      <c r="F2851" s="34">
        <f t="shared" si="1463"/>
        <v>243000</v>
      </c>
      <c r="G2851" s="34">
        <f t="shared" si="1463"/>
        <v>243000</v>
      </c>
      <c r="H2851" s="34">
        <f t="shared" si="1464"/>
        <v>151875</v>
      </c>
      <c r="I2851" s="34">
        <f t="shared" si="1464"/>
        <v>151875</v>
      </c>
      <c r="J2851" s="34">
        <f t="shared" si="1465"/>
        <v>4860000</v>
      </c>
      <c r="K2851" s="133">
        <v>1000</v>
      </c>
      <c r="L2851" s="34"/>
      <c r="M2851" s="16">
        <f t="shared" si="1454"/>
        <v>1071406.8134933622</v>
      </c>
      <c r="N2851" s="36">
        <v>1200</v>
      </c>
      <c r="O2851" s="2" t="s">
        <v>87</v>
      </c>
      <c r="P2851" s="36">
        <v>81000</v>
      </c>
      <c r="Q2851" s="2" t="s">
        <v>774</v>
      </c>
      <c r="R2851" s="2" t="s">
        <v>330</v>
      </c>
      <c r="S2851" s="56">
        <f t="shared" si="1466"/>
        <v>60750</v>
      </c>
      <c r="T2851" s="114"/>
    </row>
    <row r="2852" spans="1:20" x14ac:dyDescent="0.2">
      <c r="A2852" s="8" t="str">
        <f t="shared" ref="A2852:A2854" si="1469">IF(B2852="","",CONCATENATE(B2852,CONCATENATE(REPT(0,2-LEN(C2852)),C2852),IF(OR(D2852="Easy",D2852=""),1,IF(D2852="Normal",2,IF(D2852="Hard",3,IF(D2852="Hell",4,"error")))),E2852))</f>
        <v>9414913</v>
      </c>
      <c r="B2852" s="8">
        <v>941</v>
      </c>
      <c r="C2852" s="8">
        <v>49</v>
      </c>
      <c r="D2852" s="8" t="s">
        <v>62</v>
      </c>
      <c r="E2852" s="8">
        <v>3</v>
      </c>
      <c r="F2852" s="34">
        <f t="shared" si="1463"/>
        <v>120250</v>
      </c>
      <c r="G2852" s="34">
        <f t="shared" si="1463"/>
        <v>120250</v>
      </c>
      <c r="H2852" s="34">
        <f t="shared" si="1464"/>
        <v>69375</v>
      </c>
      <c r="I2852" s="34">
        <f t="shared" si="1464"/>
        <v>69375</v>
      </c>
      <c r="J2852" s="34">
        <f t="shared" si="1465"/>
        <v>1152692</v>
      </c>
      <c r="K2852" s="133">
        <v>1000</v>
      </c>
      <c r="L2852" s="34"/>
      <c r="M2852" s="16">
        <f t="shared" si="1454"/>
        <v>248079.37957839223</v>
      </c>
      <c r="N2852" s="36">
        <v>900</v>
      </c>
      <c r="O2852" s="2" t="s">
        <v>87</v>
      </c>
      <c r="P2852" s="36">
        <v>37000</v>
      </c>
      <c r="Q2852" s="2" t="s">
        <v>415</v>
      </c>
      <c r="R2852" s="2" t="s">
        <v>331</v>
      </c>
      <c r="S2852" s="56">
        <f t="shared" ref="S2852" si="1470">P2852*0.75</f>
        <v>27750</v>
      </c>
      <c r="T2852" s="114"/>
    </row>
    <row r="2853" spans="1:20" ht="20.25" x14ac:dyDescent="0.2">
      <c r="A2853" s="8" t="str">
        <f t="shared" si="1469"/>
        <v/>
      </c>
      <c r="B2853" s="5"/>
      <c r="C2853" s="79" t="s">
        <v>416</v>
      </c>
      <c r="D2853" s="5"/>
      <c r="E2853" s="5"/>
      <c r="F2853" s="5"/>
      <c r="G2853" s="5"/>
      <c r="H2853" s="5"/>
      <c r="I2853" s="5"/>
      <c r="J2853" s="5"/>
      <c r="K2853" s="133"/>
      <c r="L2853" s="5"/>
      <c r="M2853" s="16">
        <f t="shared" si="1454"/>
        <v>0</v>
      </c>
      <c r="N2853" s="5"/>
      <c r="O2853" s="5"/>
      <c r="P2853" s="5"/>
      <c r="Q2853" s="5"/>
      <c r="R2853" s="5"/>
      <c r="S2853" s="30"/>
    </row>
    <row r="2854" spans="1:20" x14ac:dyDescent="0.2">
      <c r="A2854" s="8" t="str">
        <f t="shared" si="1469"/>
        <v>9424919</v>
      </c>
      <c r="B2854" s="8">
        <v>942</v>
      </c>
      <c r="C2854" s="8">
        <v>49</v>
      </c>
      <c r="D2854" s="8" t="s">
        <v>62</v>
      </c>
      <c r="E2854" s="8">
        <v>9</v>
      </c>
      <c r="F2854" s="34">
        <f t="shared" si="1463"/>
        <v>1600000</v>
      </c>
      <c r="G2854" s="34">
        <f t="shared" si="1463"/>
        <v>1600000</v>
      </c>
      <c r="H2854" s="34">
        <f t="shared" si="1464"/>
        <v>220000</v>
      </c>
      <c r="I2854" s="34">
        <f t="shared" si="1464"/>
        <v>220000</v>
      </c>
      <c r="J2854" s="34">
        <f t="shared" si="1465"/>
        <v>57600000</v>
      </c>
      <c r="K2854" s="133">
        <v>1000</v>
      </c>
      <c r="L2854" s="34"/>
      <c r="M2854" s="16">
        <f t="shared" si="1454"/>
        <v>11391280.876178941</v>
      </c>
      <c r="N2854" s="36">
        <v>1200</v>
      </c>
      <c r="O2854" s="36">
        <v>20</v>
      </c>
      <c r="P2854" s="36">
        <v>160000</v>
      </c>
      <c r="Q2854" s="2" t="s">
        <v>90</v>
      </c>
      <c r="R2854" s="2" t="s">
        <v>170</v>
      </c>
      <c r="S2854" s="56">
        <f>P2854*0.55</f>
        <v>88000</v>
      </c>
      <c r="T2854" s="114"/>
    </row>
    <row r="2855" spans="1:20" ht="20.25" x14ac:dyDescent="0.2">
      <c r="A2855" s="8" t="str">
        <f t="shared" ref="A2855:A2858" si="1471">IF(B2855="","",CONCATENATE(B2855,CONCATENATE(REPT(0,2-LEN(C2855)),C2855),IF(OR(D2855="Easy",D2855=""),1,IF(D2855="Normal",2,IF(D2855="Hard",3,IF(D2855="Hell",4,"error")))),E2855))</f>
        <v/>
      </c>
      <c r="B2855" s="5"/>
      <c r="C2855" s="79" t="s">
        <v>365</v>
      </c>
      <c r="D2855" s="5"/>
      <c r="E2855" s="5"/>
      <c r="F2855" s="5"/>
      <c r="G2855" s="5"/>
      <c r="H2855" s="5"/>
      <c r="I2855" s="5"/>
      <c r="J2855" s="5"/>
      <c r="K2855" s="133"/>
      <c r="L2855" s="5"/>
      <c r="M2855" s="16">
        <f t="shared" si="1454"/>
        <v>0</v>
      </c>
      <c r="N2855" s="5"/>
      <c r="O2855" s="5"/>
      <c r="P2855" s="5"/>
      <c r="Q2855" s="5"/>
      <c r="R2855" s="5"/>
      <c r="S2855" s="30"/>
    </row>
    <row r="2856" spans="1:20" x14ac:dyDescent="0.2">
      <c r="A2856" s="8" t="str">
        <f t="shared" si="1471"/>
        <v>9434919</v>
      </c>
      <c r="B2856" s="8">
        <v>943</v>
      </c>
      <c r="C2856" s="8">
        <v>49</v>
      </c>
      <c r="D2856" s="8" t="s">
        <v>62</v>
      </c>
      <c r="E2856" s="8">
        <v>9</v>
      </c>
      <c r="F2856" s="34">
        <f t="shared" si="1463"/>
        <v>1080000</v>
      </c>
      <c r="G2856" s="34">
        <f t="shared" si="1463"/>
        <v>1080000</v>
      </c>
      <c r="H2856" s="34">
        <f t="shared" si="1464"/>
        <v>101250</v>
      </c>
      <c r="I2856" s="34">
        <f t="shared" si="1464"/>
        <v>101250</v>
      </c>
      <c r="J2856" s="34">
        <f t="shared" si="1465"/>
        <v>22500000</v>
      </c>
      <c r="K2856" s="133">
        <v>1000</v>
      </c>
      <c r="L2856" s="34"/>
      <c r="M2856" s="16">
        <f t="shared" si="1454"/>
        <v>3968173.3833087492</v>
      </c>
      <c r="N2856" s="36">
        <v>1000</v>
      </c>
      <c r="O2856" s="36">
        <v>24</v>
      </c>
      <c r="P2856" s="36">
        <v>90000</v>
      </c>
      <c r="Q2856" s="2" t="s">
        <v>448</v>
      </c>
      <c r="R2856" s="2" t="s">
        <v>170</v>
      </c>
      <c r="S2856" s="56">
        <f>P2856*0.45</f>
        <v>40500</v>
      </c>
      <c r="T2856" s="114"/>
    </row>
    <row r="2857" spans="1:20" x14ac:dyDescent="0.2">
      <c r="A2857" s="8" t="str">
        <f t="shared" si="1471"/>
        <v>9430119</v>
      </c>
      <c r="B2857" s="8">
        <v>943</v>
      </c>
      <c r="C2857" s="8">
        <v>1</v>
      </c>
      <c r="D2857" s="8" t="s">
        <v>62</v>
      </c>
      <c r="E2857" s="8">
        <v>9</v>
      </c>
      <c r="F2857" s="34">
        <f t="shared" si="1463"/>
        <v>1188000</v>
      </c>
      <c r="G2857" s="34">
        <f t="shared" si="1463"/>
        <v>1188000</v>
      </c>
      <c r="H2857" s="34">
        <f t="shared" si="1464"/>
        <v>79200</v>
      </c>
      <c r="I2857" s="34">
        <f t="shared" si="1464"/>
        <v>79200</v>
      </c>
      <c r="J2857" s="34">
        <f t="shared" si="1465"/>
        <v>5800781250</v>
      </c>
      <c r="K2857" s="133">
        <v>1000</v>
      </c>
      <c r="L2857" s="34"/>
      <c r="M2857" s="16">
        <f t="shared" si="1454"/>
        <v>59102253.76413323</v>
      </c>
      <c r="N2857" s="36">
        <v>7500</v>
      </c>
      <c r="O2857" s="36">
        <v>25</v>
      </c>
      <c r="P2857" s="36">
        <v>198000</v>
      </c>
      <c r="Q2857" s="2" t="s">
        <v>398</v>
      </c>
      <c r="R2857" s="2" t="s">
        <v>170</v>
      </c>
      <c r="S2857" s="56">
        <f>P2857*0.16</f>
        <v>31680</v>
      </c>
      <c r="T2857" s="114"/>
    </row>
    <row r="2858" spans="1:20" x14ac:dyDescent="0.2">
      <c r="A2858" s="8" t="str">
        <f t="shared" si="1471"/>
        <v>9430219</v>
      </c>
      <c r="B2858" s="8">
        <v>943</v>
      </c>
      <c r="C2858" s="8">
        <v>2</v>
      </c>
      <c r="D2858" s="8" t="s">
        <v>62</v>
      </c>
      <c r="E2858" s="8">
        <v>9</v>
      </c>
      <c r="F2858" s="34">
        <f t="shared" si="1463"/>
        <v>820000</v>
      </c>
      <c r="G2858" s="34">
        <f t="shared" si="1463"/>
        <v>820000</v>
      </c>
      <c r="H2858" s="34">
        <f t="shared" si="1464"/>
        <v>42000</v>
      </c>
      <c r="I2858" s="34">
        <f t="shared" si="1464"/>
        <v>42000</v>
      </c>
      <c r="J2858" s="34">
        <f t="shared" si="1465"/>
        <v>91795121</v>
      </c>
      <c r="K2858" s="133">
        <v>1000</v>
      </c>
      <c r="L2858" s="34"/>
      <c r="M2858" s="16">
        <f t="shared" ref="M2858" si="1472">(F2858*J2858*((H2858+I2858)/2)/1000)^(1/2)/10*0.8</f>
        <v>4498123.318711482</v>
      </c>
      <c r="N2858" s="36">
        <v>970</v>
      </c>
      <c r="O2858" s="36">
        <v>25</v>
      </c>
      <c r="P2858" s="36">
        <v>160000</v>
      </c>
      <c r="Q2858" s="2" t="s">
        <v>740</v>
      </c>
      <c r="R2858" s="2" t="s">
        <v>170</v>
      </c>
      <c r="S2858" s="56">
        <f>P2858*0.105</f>
        <v>16800</v>
      </c>
      <c r="T2858" s="114"/>
    </row>
    <row r="2859" spans="1:20" ht="20.25" x14ac:dyDescent="0.2">
      <c r="A2859" s="8" t="str">
        <f t="shared" ref="A2859:A2861" si="1473">IF(B2859="","",CONCATENATE(B2859,CONCATENATE(REPT(0,2-LEN(C2859)),C2859),IF(OR(D2859="Easy",D2859=""),1,IF(D2859="Normal",2,IF(D2859="Hard",3,IF(D2859="Hell",4,"error")))),E2859))</f>
        <v/>
      </c>
      <c r="B2859" s="5"/>
      <c r="C2859" s="79" t="s">
        <v>450</v>
      </c>
      <c r="D2859" s="5"/>
      <c r="E2859" s="5"/>
      <c r="F2859" s="5"/>
      <c r="G2859" s="5"/>
      <c r="H2859" s="5"/>
      <c r="I2859" s="5"/>
      <c r="J2859" s="5"/>
      <c r="K2859" s="133"/>
      <c r="L2859" s="5"/>
      <c r="M2859" s="16">
        <f t="shared" si="1454"/>
        <v>0</v>
      </c>
      <c r="N2859" s="5"/>
      <c r="O2859" s="5"/>
      <c r="P2859" s="5"/>
      <c r="Q2859" s="5"/>
      <c r="R2859" s="5"/>
      <c r="S2859" s="30"/>
    </row>
    <row r="2860" spans="1:20" x14ac:dyDescent="0.2">
      <c r="A2860" s="8" t="str">
        <f t="shared" ref="A2860" si="1474">IF(B2860="","",CONCATENATE(B2860,CONCATENATE(REPT(0,2-LEN(C2860)),C2860),IF(OR(D2860="Easy",D2860=""),1,IF(D2860="Normal",2,IF(D2860="Hard",3,IF(D2860="Hell",4,"error")))),E2860))</f>
        <v>9440111</v>
      </c>
      <c r="B2860" s="8">
        <v>944</v>
      </c>
      <c r="C2860" s="8">
        <v>1</v>
      </c>
      <c r="D2860" s="8" t="s">
        <v>62</v>
      </c>
      <c r="E2860" s="8">
        <v>1</v>
      </c>
      <c r="F2860" s="34">
        <f t="shared" si="1463"/>
        <v>356250</v>
      </c>
      <c r="G2860" s="34">
        <f t="shared" si="1463"/>
        <v>356250</v>
      </c>
      <c r="H2860" s="34">
        <f t="shared" si="1464"/>
        <v>95000</v>
      </c>
      <c r="I2860" s="34">
        <f t="shared" si="1464"/>
        <v>95000</v>
      </c>
      <c r="J2860" s="34">
        <f t="shared" si="1465"/>
        <v>387916</v>
      </c>
      <c r="K2860" s="133">
        <v>1000</v>
      </c>
      <c r="L2860" s="34"/>
      <c r="M2860" s="16">
        <f t="shared" si="1454"/>
        <v>289866.53066540818</v>
      </c>
      <c r="N2860" s="36">
        <v>350</v>
      </c>
      <c r="O2860" s="36">
        <v>2</v>
      </c>
      <c r="P2860" s="36">
        <v>95000</v>
      </c>
      <c r="Q2860" s="2" t="s">
        <v>283</v>
      </c>
      <c r="R2860" s="2" t="s">
        <v>170</v>
      </c>
      <c r="S2860" s="56">
        <f>P2860*0.4</f>
        <v>38000</v>
      </c>
      <c r="T2860" s="114"/>
    </row>
    <row r="2861" spans="1:20" x14ac:dyDescent="0.2">
      <c r="A2861" s="8" t="str">
        <f t="shared" si="1473"/>
        <v>9440119</v>
      </c>
      <c r="B2861" s="8">
        <v>944</v>
      </c>
      <c r="C2861" s="8">
        <v>1</v>
      </c>
      <c r="D2861" s="8" t="s">
        <v>62</v>
      </c>
      <c r="E2861" s="8">
        <v>9</v>
      </c>
      <c r="F2861" s="34">
        <f t="shared" si="1463"/>
        <v>411125</v>
      </c>
      <c r="G2861" s="34">
        <f t="shared" si="1463"/>
        <v>411125</v>
      </c>
      <c r="H2861" s="34">
        <f t="shared" si="1464"/>
        <v>110687</v>
      </c>
      <c r="I2861" s="34">
        <f t="shared" si="1464"/>
        <v>110687</v>
      </c>
      <c r="J2861" s="34">
        <f>ROUNDDOWN($P2861/4*$O2861*10*$N2861/$Q2861*$N2861/400*0.8,0)</f>
        <v>90082596</v>
      </c>
      <c r="K2861" s="133">
        <v>1000</v>
      </c>
      <c r="L2861" s="34"/>
      <c r="M2861" s="16">
        <f t="shared" si="1454"/>
        <v>5122072.0733744958</v>
      </c>
      <c r="N2861" s="36">
        <v>1150</v>
      </c>
      <c r="O2861" s="36">
        <v>14</v>
      </c>
      <c r="P2861" s="36">
        <v>126500</v>
      </c>
      <c r="Q2861" s="2" t="s">
        <v>415</v>
      </c>
      <c r="R2861" s="2" t="s">
        <v>170</v>
      </c>
      <c r="S2861" s="56">
        <f>P2861*0.35</f>
        <v>44275</v>
      </c>
      <c r="T2861" s="114"/>
    </row>
    <row r="2862" spans="1:20" ht="20.25" x14ac:dyDescent="0.2">
      <c r="A2862" s="8" t="str">
        <f t="shared" ref="A2862:A2863" si="1475">IF(B2862="","",CONCATENATE(B2862,CONCATENATE(REPT(0,2-LEN(C2862)),C2862),IF(OR(D2862="Easy",D2862=""),1,IF(D2862="Normal",2,IF(D2862="Hard",3,IF(D2862="Hell",4,"error")))),E2862))</f>
        <v/>
      </c>
      <c r="B2862" s="5"/>
      <c r="C2862" s="79" t="s">
        <v>455</v>
      </c>
      <c r="D2862" s="5"/>
      <c r="E2862" s="5"/>
      <c r="F2862" s="5"/>
      <c r="G2862" s="5"/>
      <c r="H2862" s="5"/>
      <c r="I2862" s="5"/>
      <c r="J2862" s="5"/>
      <c r="K2862" s="133"/>
      <c r="L2862" s="5"/>
      <c r="M2862" s="16">
        <f t="shared" si="1454"/>
        <v>0</v>
      </c>
      <c r="N2862" s="5"/>
      <c r="O2862" s="5"/>
      <c r="P2862" s="5"/>
      <c r="Q2862" s="5"/>
      <c r="R2862" s="5"/>
      <c r="S2862" s="30"/>
    </row>
    <row r="2863" spans="1:20" x14ac:dyDescent="0.2">
      <c r="A2863" s="8" t="str">
        <f t="shared" si="1475"/>
        <v>9450119</v>
      </c>
      <c r="B2863" s="8">
        <v>945</v>
      </c>
      <c r="C2863" s="8">
        <v>1</v>
      </c>
      <c r="D2863" s="8" t="s">
        <v>62</v>
      </c>
      <c r="E2863" s="8">
        <v>9</v>
      </c>
      <c r="F2863" s="34">
        <f t="shared" si="1463"/>
        <v>783750</v>
      </c>
      <c r="G2863" s="34">
        <f t="shared" si="1463"/>
        <v>783750</v>
      </c>
      <c r="H2863" s="34">
        <f t="shared" si="1464"/>
        <v>78375</v>
      </c>
      <c r="I2863" s="34">
        <f t="shared" si="1464"/>
        <v>78375</v>
      </c>
      <c r="J2863" s="34">
        <f t="shared" si="1465"/>
        <v>74064375000</v>
      </c>
      <c r="K2863" s="133">
        <v>1000</v>
      </c>
      <c r="L2863" s="34"/>
      <c r="M2863" s="16">
        <f t="shared" si="1454"/>
        <v>170636612.95095789</v>
      </c>
      <c r="N2863" s="36">
        <v>45000</v>
      </c>
      <c r="O2863" s="36">
        <v>21</v>
      </c>
      <c r="P2863" s="36">
        <v>104500</v>
      </c>
      <c r="Q2863" s="2" t="s">
        <v>283</v>
      </c>
      <c r="R2863" s="2" t="s">
        <v>170</v>
      </c>
      <c r="S2863" s="56">
        <f>P2863*0.3</f>
        <v>31350</v>
      </c>
      <c r="T2863" s="114"/>
    </row>
    <row r="2864" spans="1:20" ht="19.5" customHeight="1" x14ac:dyDescent="0.2">
      <c r="A2864" s="8" t="str">
        <f t="shared" ref="A2864:A2865" si="1476">IF(B2864="","",CONCATENATE(B2864,CONCATENATE(REPT(0,2-LEN(C2864)),C2864),IF(OR(D2864="Easy",D2864=""),1,IF(D2864="Normal",2,IF(D2864="Hard",3,IF(D2864="Hell",4,"error")))),E2864))</f>
        <v/>
      </c>
      <c r="B2864" s="5"/>
      <c r="C2864" s="79" t="s">
        <v>490</v>
      </c>
      <c r="D2864" s="5"/>
      <c r="E2864" s="5"/>
      <c r="F2864" s="5"/>
      <c r="G2864" s="5"/>
      <c r="H2864" s="5"/>
      <c r="I2864" s="5"/>
      <c r="J2864" s="5"/>
      <c r="K2864" s="133"/>
      <c r="L2864" s="5"/>
      <c r="M2864" s="16">
        <f t="shared" si="1454"/>
        <v>0</v>
      </c>
      <c r="N2864" s="5"/>
      <c r="O2864" s="5"/>
      <c r="P2864" s="5"/>
      <c r="Q2864" s="5"/>
      <c r="R2864" s="5"/>
      <c r="S2864" s="30"/>
    </row>
    <row r="2865" spans="1:88" x14ac:dyDescent="0.2">
      <c r="A2865" s="8" t="str">
        <f t="shared" si="1476"/>
        <v>9460119</v>
      </c>
      <c r="B2865" s="8">
        <v>946</v>
      </c>
      <c r="C2865" s="8">
        <v>1</v>
      </c>
      <c r="D2865" s="8" t="s">
        <v>62</v>
      </c>
      <c r="E2865" s="8">
        <v>9</v>
      </c>
      <c r="F2865" s="34">
        <f t="shared" si="1463"/>
        <v>1630200</v>
      </c>
      <c r="G2865" s="34">
        <f t="shared" si="1463"/>
        <v>1630200</v>
      </c>
      <c r="H2865" s="34">
        <f t="shared" si="1464"/>
        <v>94380</v>
      </c>
      <c r="I2865" s="34">
        <f t="shared" si="1464"/>
        <v>94380</v>
      </c>
      <c r="J2865" s="34">
        <f t="shared" si="1465"/>
        <v>121384421</v>
      </c>
      <c r="K2865" s="133">
        <v>1000</v>
      </c>
      <c r="L2865" s="34"/>
      <c r="M2865" s="16">
        <f t="shared" si="1454"/>
        <v>10932812.336687962</v>
      </c>
      <c r="N2865" s="36">
        <v>1600</v>
      </c>
      <c r="O2865" s="36">
        <v>21</v>
      </c>
      <c r="P2865" s="36">
        <v>171600</v>
      </c>
      <c r="Q2865" s="2" t="s">
        <v>755</v>
      </c>
      <c r="R2865" s="2" t="s">
        <v>170</v>
      </c>
      <c r="S2865" s="56">
        <f>P2865*0.22</f>
        <v>37752</v>
      </c>
      <c r="T2865" s="114"/>
    </row>
    <row r="2866" spans="1:88" ht="20.25" x14ac:dyDescent="0.2">
      <c r="A2866" s="8" t="str">
        <f t="shared" ref="A2866:A2994" si="1477">IF(B2866="","",CONCATENATE(B2866,CONCATENATE(REPT(0,2-LEN(C2866)),C2866),IF(OR(D2866="Easy",D2866=""),1,IF(D2866="Normal",2,IF(D2866="Hard",3,IF(D2866="Hell",4,"error")))),E2866))</f>
        <v/>
      </c>
      <c r="B2866" s="5"/>
      <c r="C2866" s="79" t="s">
        <v>536</v>
      </c>
      <c r="D2866" s="5"/>
      <c r="E2866" s="5"/>
      <c r="F2866" s="5"/>
      <c r="G2866" s="5"/>
      <c r="H2866" s="5"/>
      <c r="I2866" s="5"/>
      <c r="J2866" s="5"/>
      <c r="K2866" s="133"/>
      <c r="L2866" s="5"/>
      <c r="M2866" s="16">
        <f t="shared" si="1454"/>
        <v>0</v>
      </c>
      <c r="N2866" s="5"/>
      <c r="O2866" s="5"/>
      <c r="P2866" s="5"/>
      <c r="Q2866" s="5"/>
      <c r="R2866" s="5"/>
      <c r="S2866" s="30"/>
    </row>
    <row r="2867" spans="1:88" s="223" customFormat="1" x14ac:dyDescent="0.2">
      <c r="A2867" s="8" t="str">
        <f t="shared" si="1477"/>
        <v>9470119</v>
      </c>
      <c r="B2867" s="8">
        <v>947</v>
      </c>
      <c r="C2867" s="8">
        <v>1</v>
      </c>
      <c r="D2867" s="8" t="s">
        <v>62</v>
      </c>
      <c r="E2867" s="8">
        <v>9</v>
      </c>
      <c r="F2867" s="34">
        <f t="shared" ref="F2867:G2868" si="1478">ROUNDDOWN($P2867/4*MIN($O2867,4)*10*$N2867/$N2867*$Q2867/400,0)</f>
        <v>1000000</v>
      </c>
      <c r="G2867" s="34">
        <f t="shared" si="1478"/>
        <v>1000000</v>
      </c>
      <c r="H2867" s="34">
        <f t="shared" ref="H2867:I2868" si="1479">ROUNDDOWN($S2867/4*10,0)</f>
        <v>108000</v>
      </c>
      <c r="I2867" s="34">
        <f t="shared" si="1479"/>
        <v>108000</v>
      </c>
      <c r="J2867" s="34">
        <f t="shared" ref="J2867:J2868" si="1480">ROUNDDOWN($P2867/4*$O2867*10*$N2867/$Q2867*$N2867/400*0.8,0)</f>
        <v>3780000000</v>
      </c>
      <c r="K2867" s="133">
        <v>1000</v>
      </c>
      <c r="L2867" s="34"/>
      <c r="M2867" s="16">
        <f t="shared" si="1454"/>
        <v>51114929.325980686</v>
      </c>
      <c r="N2867" s="36">
        <v>7500</v>
      </c>
      <c r="O2867" s="36">
        <v>21</v>
      </c>
      <c r="P2867" s="36">
        <v>160000</v>
      </c>
      <c r="Q2867" s="2" t="s">
        <v>281</v>
      </c>
      <c r="R2867" s="2" t="s">
        <v>170</v>
      </c>
      <c r="S2867" s="56">
        <f>P2867*0.27</f>
        <v>43200</v>
      </c>
      <c r="T2867" s="114"/>
    </row>
    <row r="2868" spans="1:88" s="223" customFormat="1" x14ac:dyDescent="0.2">
      <c r="A2868" s="8" t="str">
        <f t="shared" si="1477"/>
        <v>9470219</v>
      </c>
      <c r="B2868" s="8">
        <v>947</v>
      </c>
      <c r="C2868" s="8">
        <v>2</v>
      </c>
      <c r="D2868" s="8" t="s">
        <v>62</v>
      </c>
      <c r="E2868" s="8">
        <v>9</v>
      </c>
      <c r="F2868" s="34">
        <f t="shared" si="1478"/>
        <v>2090000</v>
      </c>
      <c r="G2868" s="34">
        <f t="shared" si="1478"/>
        <v>2090000</v>
      </c>
      <c r="H2868" s="34">
        <f t="shared" si="1479"/>
        <v>121000</v>
      </c>
      <c r="I2868" s="34">
        <f t="shared" si="1479"/>
        <v>121000</v>
      </c>
      <c r="J2868" s="34">
        <f t="shared" si="1480"/>
        <v>136776315</v>
      </c>
      <c r="K2868" s="133">
        <v>1000</v>
      </c>
      <c r="L2868" s="34"/>
      <c r="M2868" s="16">
        <f t="shared" si="1454"/>
        <v>14878572.469233735</v>
      </c>
      <c r="N2868" s="36">
        <v>1500</v>
      </c>
      <c r="O2868" s="36">
        <v>21</v>
      </c>
      <c r="P2868" s="36">
        <v>220000</v>
      </c>
      <c r="Q2868" s="2" t="s">
        <v>755</v>
      </c>
      <c r="R2868" s="2" t="s">
        <v>772</v>
      </c>
      <c r="S2868" s="56">
        <f>P2868*0.22</f>
        <v>48400</v>
      </c>
      <c r="T2868" s="114"/>
    </row>
    <row r="2869" spans="1:88" ht="20.25" x14ac:dyDescent="0.2">
      <c r="A2869" s="8" t="str">
        <f t="shared" ref="A2869" si="1481">IF(B2869="","",CONCATENATE(B2869,CONCATENATE(REPT(0,2-LEN(C2869)),C2869),IF(OR(D2869="Easy",D2869=""),1,IF(D2869="Normal",2,IF(D2869="Hard",3,IF(D2869="Hell",4,"error")))),E2869))</f>
        <v/>
      </c>
      <c r="B2869" s="5"/>
      <c r="C2869" s="79" t="s">
        <v>981</v>
      </c>
      <c r="D2869" s="5"/>
      <c r="E2869" s="5"/>
      <c r="F2869" s="5"/>
      <c r="G2869" s="5"/>
      <c r="H2869" s="5"/>
      <c r="I2869" s="5"/>
      <c r="J2869" s="5"/>
      <c r="K2869" s="133"/>
      <c r="L2869" s="5"/>
      <c r="M2869" s="16">
        <f t="shared" ref="M2869:M2870" si="1482">(F2869*J2869*((H2869+I2869)/2)/1000)^(1/2)/10*0.8</f>
        <v>0</v>
      </c>
      <c r="N2869" s="5"/>
      <c r="O2869" s="5"/>
      <c r="P2869" s="5"/>
      <c r="Q2869" s="5"/>
      <c r="R2869" s="5"/>
      <c r="S2869" s="30"/>
    </row>
    <row r="2870" spans="1:88" x14ac:dyDescent="0.2">
      <c r="A2870" s="8">
        <v>9480119</v>
      </c>
      <c r="B2870" s="8">
        <v>948</v>
      </c>
      <c r="C2870" s="8">
        <v>1</v>
      </c>
      <c r="D2870" s="8" t="s">
        <v>62</v>
      </c>
      <c r="E2870" s="8">
        <v>9</v>
      </c>
      <c r="F2870" s="34">
        <f t="shared" ref="F2870:G2870" si="1483">ROUNDDOWN($P2870/4*MIN($O2870,4)*10*$N2870/$N2870*$Q2870/400,0)</f>
        <v>1379400</v>
      </c>
      <c r="G2870" s="34">
        <f t="shared" si="1483"/>
        <v>1379400</v>
      </c>
      <c r="H2870" s="34">
        <f t="shared" ref="H2870:I2870" si="1484">ROUNDDOWN($S2870/4*10,0)</f>
        <v>79860</v>
      </c>
      <c r="I2870" s="34">
        <f t="shared" si="1484"/>
        <v>79860</v>
      </c>
      <c r="J2870" s="34">
        <f t="shared" ref="J2870" si="1485">ROUNDDOWN($P2870/4*$O2870*10*$N2870/$Q2870*$N2870/400*0.8,0)</f>
        <v>40020750</v>
      </c>
      <c r="K2870" s="133">
        <v>1000</v>
      </c>
      <c r="L2870" s="34"/>
      <c r="M2870" s="16">
        <f t="shared" si="1482"/>
        <v>5311807.9223363493</v>
      </c>
      <c r="N2870" s="36">
        <v>1050</v>
      </c>
      <c r="O2870" s="36">
        <v>19</v>
      </c>
      <c r="P2870" s="36">
        <v>145200</v>
      </c>
      <c r="Q2870" s="2" t="s">
        <v>755</v>
      </c>
      <c r="R2870" s="2" t="s">
        <v>772</v>
      </c>
      <c r="S2870" s="56">
        <f>P2870*0.22</f>
        <v>31944</v>
      </c>
      <c r="T2870" s="114"/>
    </row>
    <row r="2871" spans="1:88" ht="20.25" x14ac:dyDescent="0.2">
      <c r="A2871" s="8" t="str">
        <f t="shared" ref="A2871:A2885" si="1486">IF(B2871="","",CONCATENATE(B2871,CONCATENATE(REPT(0,2-LEN(C2871)),C2871),IF(OR(D2871="Easy",D2871=""),1,IF(D2871="Normal",2,IF(D2871="Hard",3,IF(D2871="Hell",4,"error")))),E2871))</f>
        <v/>
      </c>
      <c r="B2871" s="5"/>
      <c r="C2871" s="79" t="s">
        <v>982</v>
      </c>
      <c r="D2871" s="5"/>
      <c r="E2871" s="5"/>
      <c r="F2871" s="5"/>
      <c r="G2871" s="5"/>
      <c r="H2871" s="5"/>
      <c r="I2871" s="5"/>
      <c r="J2871" s="5"/>
      <c r="K2871" s="133"/>
      <c r="L2871" s="5"/>
      <c r="M2871" s="16">
        <f t="shared" ref="M2871:M2873" si="1487">(F2871*J2871*((H2871+I2871)/2)/1000)^(1/2)/10*0.8</f>
        <v>0</v>
      </c>
      <c r="N2871" s="5"/>
      <c r="O2871" s="5"/>
      <c r="P2871" s="5"/>
      <c r="Q2871" s="5"/>
      <c r="R2871" s="5"/>
      <c r="S2871" s="30"/>
    </row>
    <row r="2872" spans="1:88" x14ac:dyDescent="0.2">
      <c r="A2872" s="8" t="str">
        <f t="shared" si="1486"/>
        <v>9490111</v>
      </c>
      <c r="B2872" s="8">
        <v>949</v>
      </c>
      <c r="C2872" s="8">
        <v>1</v>
      </c>
      <c r="D2872" s="8" t="s">
        <v>62</v>
      </c>
      <c r="E2872" s="8">
        <v>1</v>
      </c>
      <c r="F2872" s="34">
        <f t="shared" ref="F2872:G2873" si="1488">ROUNDDOWN($P2872/4*MIN($O2872,4)*10*$N2872/$N2872*$Q2872/400,0)</f>
        <v>1040000</v>
      </c>
      <c r="G2872" s="34">
        <f t="shared" si="1488"/>
        <v>1040000</v>
      </c>
      <c r="H2872" s="34">
        <f t="shared" ref="H2872:I2873" si="1489">ROUNDDOWN($S2872/4*10,0)</f>
        <v>162500</v>
      </c>
      <c r="I2872" s="34">
        <f t="shared" si="1489"/>
        <v>162500</v>
      </c>
      <c r="J2872" s="34">
        <f t="shared" ref="J2872:J2873" si="1490">ROUNDDOWN($P2872/4*$O2872*10*$N2872/$Q2872*$N2872/400*0.8,0)</f>
        <v>95214843750</v>
      </c>
      <c r="K2872" s="133">
        <v>5000</v>
      </c>
      <c r="L2872" s="34"/>
      <c r="M2872" s="16">
        <f t="shared" si="1487"/>
        <v>320911786.94463688</v>
      </c>
      <c r="N2872" s="36">
        <v>25000</v>
      </c>
      <c r="O2872" s="36">
        <v>75</v>
      </c>
      <c r="P2872" s="36">
        <v>130000</v>
      </c>
      <c r="Q2872" s="2" t="s">
        <v>426</v>
      </c>
      <c r="R2872" s="2" t="s">
        <v>988</v>
      </c>
      <c r="S2872" s="2">
        <f t="shared" ref="S2872:S2873" si="1491">P2872/2</f>
        <v>65000</v>
      </c>
      <c r="T2872" s="114"/>
    </row>
    <row r="2873" spans="1:88" x14ac:dyDescent="0.2">
      <c r="A2873" s="8" t="str">
        <f t="shared" si="1486"/>
        <v>9490112</v>
      </c>
      <c r="B2873" s="8">
        <v>949</v>
      </c>
      <c r="C2873" s="8">
        <v>1</v>
      </c>
      <c r="D2873" s="8" t="s">
        <v>62</v>
      </c>
      <c r="E2873" s="8">
        <v>2</v>
      </c>
      <c r="F2873" s="34">
        <f t="shared" si="1488"/>
        <v>1235000</v>
      </c>
      <c r="G2873" s="34">
        <f t="shared" si="1488"/>
        <v>1235000</v>
      </c>
      <c r="H2873" s="34">
        <f t="shared" si="1489"/>
        <v>162500</v>
      </c>
      <c r="I2873" s="34">
        <f t="shared" si="1489"/>
        <v>162500</v>
      </c>
      <c r="J2873" s="34">
        <f t="shared" si="1490"/>
        <v>216809210</v>
      </c>
      <c r="K2873" s="133">
        <v>5000</v>
      </c>
      <c r="L2873" s="34"/>
      <c r="M2873" s="16">
        <f t="shared" si="1487"/>
        <v>16687412.90086633</v>
      </c>
      <c r="N2873" s="36">
        <v>1300</v>
      </c>
      <c r="O2873" s="36">
        <v>75</v>
      </c>
      <c r="P2873" s="36">
        <v>130000</v>
      </c>
      <c r="Q2873" s="2" t="s">
        <v>755</v>
      </c>
      <c r="R2873" s="2" t="s">
        <v>989</v>
      </c>
      <c r="S2873" s="2">
        <f t="shared" si="1491"/>
        <v>65000</v>
      </c>
      <c r="T2873" s="266"/>
    </row>
    <row r="2874" spans="1:88" ht="30.75" customHeight="1" x14ac:dyDescent="0.2">
      <c r="A2874" s="8" t="str">
        <f t="shared" ref="A2874" si="1492">IF(B2874="","",CONCATENATE(B2874,CONCATENATE(REPT(0,2-LEN(C2874)),C2874),IF(OR(D2874="Easy",D2874=""),1,IF(D2874="Normal",2,IF(D2874="Hard",3,IF(D2874="Hell",4,"error")))),E2874))</f>
        <v/>
      </c>
      <c r="B2874" s="259"/>
      <c r="C2874" s="260" t="s">
        <v>1103</v>
      </c>
      <c r="D2874" s="259"/>
      <c r="E2874" s="259"/>
      <c r="F2874" s="259"/>
      <c r="G2874" s="259"/>
      <c r="H2874" s="259"/>
      <c r="I2874" s="259"/>
      <c r="J2874" s="259"/>
      <c r="K2874" s="261"/>
      <c r="L2874" s="259"/>
      <c r="M2874" s="262"/>
      <c r="N2874" s="259"/>
      <c r="O2874" s="259"/>
      <c r="P2874" s="259"/>
      <c r="Q2874" s="259"/>
      <c r="R2874" s="259"/>
      <c r="S2874" s="263"/>
    </row>
    <row r="2875" spans="1:88" x14ac:dyDescent="0.2">
      <c r="A2875" s="8" t="str">
        <f t="shared" si="1486"/>
        <v>9510119</v>
      </c>
      <c r="B2875" s="8">
        <v>951</v>
      </c>
      <c r="C2875" s="8">
        <v>1</v>
      </c>
      <c r="D2875" s="8" t="s">
        <v>259</v>
      </c>
      <c r="E2875" s="8">
        <v>9</v>
      </c>
      <c r="F2875" s="34">
        <f t="shared" ref="F2875:G2886" si="1493">ROUNDDOWN($P2875/4*MIN($O2875,4)*10*$N2875/$N2875*$Q2875/400,0)</f>
        <v>671058</v>
      </c>
      <c r="G2875" s="34">
        <f t="shared" si="1493"/>
        <v>671058</v>
      </c>
      <c r="H2875" s="34">
        <f t="shared" ref="H2875:I2886" si="1494">ROUNDDOWN($S2875/4*10,0)</f>
        <v>64470</v>
      </c>
      <c r="I2875" s="34">
        <f t="shared" si="1494"/>
        <v>64470</v>
      </c>
      <c r="J2875" s="34">
        <v>7881153</v>
      </c>
      <c r="K2875" s="133">
        <v>1000</v>
      </c>
      <c r="L2875" s="34"/>
      <c r="M2875" s="16">
        <f t="shared" ref="M2875:M2886" si="1495">(F2875*J2875*((H2875+I2875)/2)/1000)^(1/2)/10*0.8</f>
        <v>1477215.0734866511</v>
      </c>
      <c r="N2875" s="36">
        <v>820</v>
      </c>
      <c r="O2875" s="2" t="s">
        <v>243</v>
      </c>
      <c r="P2875" s="2" t="s">
        <v>1159</v>
      </c>
      <c r="Q2875" s="2" t="s">
        <v>102</v>
      </c>
      <c r="R2875" s="2" t="s">
        <v>1105</v>
      </c>
      <c r="S2875" s="36">
        <v>25788</v>
      </c>
    </row>
    <row r="2876" spans="1:88" s="223" customFormat="1" x14ac:dyDescent="0.2">
      <c r="A2876" s="8" t="str">
        <f t="shared" si="1486"/>
        <v>9510111</v>
      </c>
      <c r="B2876" s="8">
        <v>951</v>
      </c>
      <c r="C2876" s="8">
        <v>1</v>
      </c>
      <c r="D2876" s="8" t="s">
        <v>259</v>
      </c>
      <c r="E2876" s="8">
        <v>1</v>
      </c>
      <c r="F2876" s="34">
        <f t="shared" si="1493"/>
        <v>112200</v>
      </c>
      <c r="G2876" s="34">
        <f t="shared" si="1493"/>
        <v>112200</v>
      </c>
      <c r="H2876" s="34">
        <f t="shared" si="1494"/>
        <v>100000</v>
      </c>
      <c r="I2876" s="34">
        <f t="shared" si="1494"/>
        <v>100000</v>
      </c>
      <c r="J2876" s="34">
        <v>1095336</v>
      </c>
      <c r="K2876" s="133">
        <v>1000</v>
      </c>
      <c r="L2876" s="34"/>
      <c r="M2876" s="16">
        <f t="shared" si="1495"/>
        <v>280453.00406306935</v>
      </c>
      <c r="N2876" s="36">
        <v>500</v>
      </c>
      <c r="O2876" s="2" t="s">
        <v>332</v>
      </c>
      <c r="P2876" s="2" t="s">
        <v>1160</v>
      </c>
      <c r="Q2876" s="2" t="s">
        <v>246</v>
      </c>
      <c r="R2876" s="2" t="s">
        <v>1106</v>
      </c>
      <c r="S2876" s="36">
        <v>40000</v>
      </c>
      <c r="T2876" s="116"/>
      <c r="U2876" s="293"/>
      <c r="V2876" s="293"/>
      <c r="W2876" s="293"/>
      <c r="X2876" s="293"/>
      <c r="Y2876" s="293"/>
      <c r="Z2876" s="293"/>
      <c r="AA2876" s="293"/>
      <c r="AB2876" s="293"/>
      <c r="AC2876" s="293"/>
      <c r="AD2876" s="293"/>
      <c r="AE2876" s="293"/>
      <c r="AF2876" s="293"/>
      <c r="AG2876" s="293"/>
      <c r="AH2876" s="293"/>
      <c r="AI2876" s="293"/>
      <c r="AJ2876" s="293"/>
      <c r="AK2876" s="293"/>
      <c r="AL2876" s="293"/>
      <c r="AM2876" s="293"/>
      <c r="AN2876" s="293"/>
      <c r="AO2876" s="293"/>
      <c r="AP2876" s="293"/>
      <c r="AQ2876" s="293"/>
      <c r="AR2876" s="293"/>
      <c r="AS2876" s="293"/>
      <c r="AT2876" s="293"/>
      <c r="AU2876" s="293"/>
      <c r="AV2876" s="293"/>
      <c r="AW2876" s="293"/>
      <c r="AX2876" s="293"/>
      <c r="AY2876" s="293"/>
      <c r="AZ2876" s="293"/>
      <c r="BA2876" s="293"/>
      <c r="BB2876" s="293"/>
      <c r="BC2876" s="293"/>
      <c r="BD2876" s="293"/>
      <c r="BE2876" s="293"/>
      <c r="BF2876" s="293"/>
      <c r="BG2876" s="293"/>
      <c r="BH2876" s="293"/>
      <c r="BI2876" s="293"/>
      <c r="BJ2876" s="293"/>
      <c r="BK2876" s="293"/>
      <c r="BL2876" s="293"/>
      <c r="BM2876" s="293"/>
      <c r="BN2876" s="293"/>
      <c r="BO2876" s="293"/>
      <c r="BP2876" s="293"/>
      <c r="BQ2876" s="293"/>
      <c r="BR2876" s="293"/>
      <c r="BS2876" s="293"/>
      <c r="BT2876" s="293"/>
      <c r="BU2876" s="293"/>
      <c r="BV2876" s="293"/>
      <c r="BW2876" s="293"/>
      <c r="BX2876" s="293"/>
      <c r="BY2876" s="293"/>
      <c r="BZ2876" s="293"/>
      <c r="CA2876" s="293"/>
      <c r="CB2876" s="293"/>
      <c r="CC2876" s="293"/>
      <c r="CD2876" s="293"/>
      <c r="CE2876" s="293"/>
      <c r="CF2876" s="293"/>
      <c r="CG2876" s="293"/>
      <c r="CH2876" s="293"/>
      <c r="CI2876" s="293"/>
      <c r="CJ2876" s="293"/>
    </row>
    <row r="2877" spans="1:88" s="292" customFormat="1" x14ac:dyDescent="0.2">
      <c r="A2877" s="285" t="str">
        <f t="shared" si="1486"/>
        <v>9510113</v>
      </c>
      <c r="B2877" s="285">
        <v>951</v>
      </c>
      <c r="C2877" s="285">
        <v>1</v>
      </c>
      <c r="D2877" s="285" t="s">
        <v>62</v>
      </c>
      <c r="E2877" s="285">
        <v>3</v>
      </c>
      <c r="F2877" s="286">
        <f t="shared" si="1493"/>
        <v>99206</v>
      </c>
      <c r="G2877" s="286">
        <f t="shared" si="1493"/>
        <v>99206</v>
      </c>
      <c r="H2877" s="286">
        <f t="shared" si="1494"/>
        <v>57234</v>
      </c>
      <c r="I2877" s="286">
        <f t="shared" si="1494"/>
        <v>57234</v>
      </c>
      <c r="J2877" s="286">
        <f t="shared" ref="J2877" si="1496">ROUNDDOWN($P2877/4*$O2877*10*$N2877/$Q2877*$N2877/400*0.8,0)</f>
        <v>950971</v>
      </c>
      <c r="K2877" s="287">
        <v>1000</v>
      </c>
      <c r="L2877" s="286"/>
      <c r="M2877" s="288">
        <f t="shared" si="1495"/>
        <v>185895.82784816378</v>
      </c>
      <c r="N2877" s="289">
        <v>900</v>
      </c>
      <c r="O2877" s="290" t="s">
        <v>87</v>
      </c>
      <c r="P2877" s="289">
        <v>30525</v>
      </c>
      <c r="Q2877" s="290" t="s">
        <v>415</v>
      </c>
      <c r="R2877" s="290" t="s">
        <v>1161</v>
      </c>
      <c r="S2877" s="291">
        <f t="shared" ref="S2877" si="1497">P2877*0.75</f>
        <v>22893.75</v>
      </c>
      <c r="T2877" s="116"/>
      <c r="U2877" s="293"/>
      <c r="V2877" s="293"/>
      <c r="W2877" s="293"/>
      <c r="X2877" s="293"/>
      <c r="Y2877" s="293"/>
      <c r="Z2877" s="293"/>
      <c r="AA2877" s="293"/>
      <c r="AB2877" s="293"/>
      <c r="AC2877" s="293"/>
      <c r="AD2877" s="293"/>
      <c r="AE2877" s="293"/>
      <c r="AF2877" s="293"/>
      <c r="AG2877" s="293"/>
      <c r="AH2877" s="293"/>
      <c r="AI2877" s="293"/>
      <c r="AJ2877" s="293"/>
      <c r="AK2877" s="293"/>
      <c r="AL2877" s="293"/>
      <c r="AM2877" s="293"/>
      <c r="AN2877" s="293"/>
      <c r="AO2877" s="293"/>
      <c r="AP2877" s="293"/>
      <c r="AQ2877" s="293"/>
      <c r="AR2877" s="293"/>
      <c r="AS2877" s="293"/>
      <c r="AT2877" s="293"/>
      <c r="AU2877" s="293"/>
      <c r="AV2877" s="293"/>
      <c r="AW2877" s="293"/>
      <c r="AX2877" s="293"/>
      <c r="AY2877" s="293"/>
      <c r="AZ2877" s="293"/>
      <c r="BA2877" s="293"/>
      <c r="BB2877" s="293"/>
      <c r="BC2877" s="293"/>
      <c r="BD2877" s="293"/>
      <c r="BE2877" s="293"/>
      <c r="BF2877" s="293"/>
      <c r="BG2877" s="293"/>
      <c r="BH2877" s="293"/>
      <c r="BI2877" s="293"/>
      <c r="BJ2877" s="293"/>
      <c r="BK2877" s="293"/>
      <c r="BL2877" s="293"/>
      <c r="BM2877" s="293"/>
      <c r="BN2877" s="293"/>
      <c r="BO2877" s="293"/>
      <c r="BP2877" s="293"/>
      <c r="BQ2877" s="293"/>
      <c r="BR2877" s="293"/>
      <c r="BS2877" s="293"/>
      <c r="BT2877" s="293"/>
      <c r="BU2877" s="293"/>
      <c r="BV2877" s="293"/>
      <c r="BW2877" s="293"/>
      <c r="BX2877" s="293"/>
      <c r="BY2877" s="293"/>
      <c r="BZ2877" s="293"/>
      <c r="CA2877" s="293"/>
      <c r="CB2877" s="293"/>
      <c r="CC2877" s="293"/>
      <c r="CD2877" s="293"/>
      <c r="CE2877" s="293"/>
      <c r="CF2877" s="293"/>
      <c r="CG2877" s="293"/>
      <c r="CH2877" s="293"/>
      <c r="CI2877" s="293"/>
      <c r="CJ2877" s="293"/>
    </row>
    <row r="2878" spans="1:88" x14ac:dyDescent="0.2">
      <c r="A2878" s="8" t="str">
        <f t="shared" ref="A2878" si="1498">IF(B2878="","",CONCATENATE(B2878,CONCATENATE(REPT(0,2-LEN(C2878)),C2878),IF(OR(D2878="Easy",D2878=""),1,IF(D2878="Normal",2,IF(D2878="Hard",3,IF(D2878="Hell",4,"error")))),E2878))</f>
        <v>9511119</v>
      </c>
      <c r="B2878" s="8">
        <v>951</v>
      </c>
      <c r="C2878" s="8">
        <v>11</v>
      </c>
      <c r="D2878" s="8" t="s">
        <v>259</v>
      </c>
      <c r="E2878" s="8">
        <v>9</v>
      </c>
      <c r="F2878" s="34">
        <f t="shared" si="1493"/>
        <v>3382117</v>
      </c>
      <c r="G2878" s="34">
        <f t="shared" si="1493"/>
        <v>3382117</v>
      </c>
      <c r="H2878" s="34">
        <f t="shared" si="1494"/>
        <v>315000</v>
      </c>
      <c r="I2878" s="34">
        <f t="shared" si="1494"/>
        <v>315000</v>
      </c>
      <c r="J2878" s="34">
        <v>147535182</v>
      </c>
      <c r="K2878" s="133">
        <v>1000</v>
      </c>
      <c r="L2878" s="34"/>
      <c r="M2878" s="16">
        <f t="shared" si="1495"/>
        <v>31716654.839923341</v>
      </c>
      <c r="N2878" s="36">
        <v>820</v>
      </c>
      <c r="O2878" s="36">
        <v>20</v>
      </c>
      <c r="P2878" s="36">
        <v>185068</v>
      </c>
      <c r="Q2878" s="2" t="s">
        <v>103</v>
      </c>
      <c r="R2878" s="2" t="s">
        <v>1107</v>
      </c>
      <c r="S2878" s="36">
        <v>126000</v>
      </c>
      <c r="T2878" s="114"/>
    </row>
    <row r="2879" spans="1:88" s="223" customFormat="1" x14ac:dyDescent="0.2">
      <c r="A2879" s="8" t="str">
        <f t="shared" si="1486"/>
        <v>9511111</v>
      </c>
      <c r="B2879" s="8">
        <v>951</v>
      </c>
      <c r="C2879" s="8">
        <v>11</v>
      </c>
      <c r="D2879" s="8" t="s">
        <v>259</v>
      </c>
      <c r="E2879" s="8">
        <v>1</v>
      </c>
      <c r="F2879" s="34">
        <f t="shared" si="1493"/>
        <v>596904</v>
      </c>
      <c r="G2879" s="34">
        <f t="shared" si="1493"/>
        <v>596904</v>
      </c>
      <c r="H2879" s="34">
        <f t="shared" si="1494"/>
        <v>411750</v>
      </c>
      <c r="I2879" s="34">
        <f t="shared" si="1494"/>
        <v>411750</v>
      </c>
      <c r="J2879" s="34">
        <v>20036081</v>
      </c>
      <c r="K2879" s="133">
        <v>1000</v>
      </c>
      <c r="L2879" s="34"/>
      <c r="M2879" s="16">
        <f t="shared" si="1495"/>
        <v>5613909.7282574736</v>
      </c>
      <c r="N2879" s="36">
        <v>600</v>
      </c>
      <c r="O2879" s="2" t="s">
        <v>332</v>
      </c>
      <c r="P2879" s="54">
        <v>108528</v>
      </c>
      <c r="Q2879" s="2" t="s">
        <v>246</v>
      </c>
      <c r="R2879" s="2" t="s">
        <v>1108</v>
      </c>
      <c r="S2879" s="36">
        <v>164700</v>
      </c>
      <c r="T2879" s="114"/>
      <c r="U2879" s="293"/>
      <c r="V2879" s="293"/>
      <c r="W2879" s="293"/>
      <c r="X2879" s="293"/>
      <c r="Y2879" s="293"/>
      <c r="Z2879" s="293"/>
      <c r="AA2879" s="293"/>
      <c r="AB2879" s="293"/>
      <c r="AC2879" s="293"/>
      <c r="AD2879" s="293"/>
      <c r="AE2879" s="293"/>
      <c r="AF2879" s="293"/>
      <c r="AG2879" s="293"/>
      <c r="AH2879" s="293"/>
      <c r="AI2879" s="293"/>
      <c r="AJ2879" s="293"/>
      <c r="AK2879" s="293"/>
      <c r="AL2879" s="293"/>
      <c r="AM2879" s="293"/>
      <c r="AN2879" s="293"/>
      <c r="AO2879" s="293"/>
      <c r="AP2879" s="293"/>
      <c r="AQ2879" s="293"/>
      <c r="AR2879" s="293"/>
      <c r="AS2879" s="293"/>
      <c r="AT2879" s="293"/>
      <c r="AU2879" s="293"/>
      <c r="AV2879" s="293"/>
      <c r="AW2879" s="293"/>
      <c r="AX2879" s="293"/>
      <c r="AY2879" s="293"/>
      <c r="AZ2879" s="293"/>
      <c r="BA2879" s="293"/>
      <c r="BB2879" s="293"/>
      <c r="BC2879" s="293"/>
      <c r="BD2879" s="293"/>
      <c r="BE2879" s="293"/>
      <c r="BF2879" s="293"/>
      <c r="BG2879" s="293"/>
      <c r="BH2879" s="293"/>
      <c r="BI2879" s="293"/>
      <c r="BJ2879" s="293"/>
      <c r="BK2879" s="293"/>
      <c r="BL2879" s="293"/>
      <c r="BM2879" s="293"/>
      <c r="BN2879" s="293"/>
      <c r="BO2879" s="293"/>
      <c r="BP2879" s="293"/>
      <c r="BQ2879" s="293"/>
      <c r="BR2879" s="293"/>
      <c r="BS2879" s="293"/>
      <c r="BT2879" s="293"/>
      <c r="BU2879" s="293"/>
      <c r="BV2879" s="293"/>
      <c r="BW2879" s="293"/>
      <c r="BX2879" s="293"/>
      <c r="BY2879" s="293"/>
      <c r="BZ2879" s="293"/>
      <c r="CA2879" s="293"/>
      <c r="CB2879" s="293"/>
      <c r="CC2879" s="293"/>
      <c r="CD2879" s="293"/>
      <c r="CE2879" s="293"/>
      <c r="CF2879" s="293"/>
      <c r="CG2879" s="293"/>
      <c r="CH2879" s="293"/>
      <c r="CI2879" s="293"/>
      <c r="CJ2879" s="293"/>
    </row>
    <row r="2880" spans="1:88" s="292" customFormat="1" x14ac:dyDescent="0.2">
      <c r="A2880" s="285" t="str">
        <f t="shared" ref="A2880" si="1499">IF(B2880="","",CONCATENATE(B2880,CONCATENATE(REPT(0,2-LEN(C2880)),C2880),IF(OR(D2880="Easy",D2880=""),1,IF(D2880="Normal",2,IF(D2880="Hard",3,IF(D2880="Hell",4,"error")))),E2880))</f>
        <v>9511113</v>
      </c>
      <c r="B2880" s="285">
        <v>951</v>
      </c>
      <c r="C2880" s="285">
        <v>11</v>
      </c>
      <c r="D2880" s="285" t="s">
        <v>62</v>
      </c>
      <c r="E2880" s="285">
        <v>3</v>
      </c>
      <c r="F2880" s="286">
        <f t="shared" si="1493"/>
        <v>113750</v>
      </c>
      <c r="G2880" s="286">
        <f t="shared" si="1493"/>
        <v>113750</v>
      </c>
      <c r="H2880" s="286">
        <f t="shared" si="1494"/>
        <v>65625</v>
      </c>
      <c r="I2880" s="286">
        <f t="shared" si="1494"/>
        <v>65625</v>
      </c>
      <c r="J2880" s="286">
        <f t="shared" ref="J2880" si="1500">ROUNDDOWN($P2880/4*$O2880*10*$N2880/$Q2880*$N2880/400*0.8,0)</f>
        <v>1090384</v>
      </c>
      <c r="K2880" s="287">
        <v>1000</v>
      </c>
      <c r="L2880" s="286"/>
      <c r="M2880" s="288">
        <f t="shared" si="1495"/>
        <v>228239.1193463557</v>
      </c>
      <c r="N2880" s="289">
        <v>900</v>
      </c>
      <c r="O2880" s="290" t="s">
        <v>87</v>
      </c>
      <c r="P2880" s="289">
        <v>35000</v>
      </c>
      <c r="Q2880" s="290" t="s">
        <v>415</v>
      </c>
      <c r="R2880" s="290" t="s">
        <v>1162</v>
      </c>
      <c r="S2880" s="291">
        <f t="shared" ref="S2880" si="1501">P2880*0.75</f>
        <v>26250</v>
      </c>
      <c r="T2880" s="116"/>
      <c r="U2880" s="293"/>
      <c r="V2880" s="293"/>
      <c r="W2880" s="293"/>
      <c r="X2880" s="293"/>
      <c r="Y2880" s="293"/>
      <c r="Z2880" s="293"/>
      <c r="AA2880" s="293"/>
      <c r="AB2880" s="293"/>
      <c r="AC2880" s="293"/>
      <c r="AD2880" s="293"/>
      <c r="AE2880" s="293"/>
      <c r="AF2880" s="293"/>
      <c r="AG2880" s="293"/>
      <c r="AH2880" s="293"/>
      <c r="AI2880" s="293"/>
      <c r="AJ2880" s="293"/>
      <c r="AK2880" s="293"/>
      <c r="AL2880" s="293"/>
      <c r="AM2880" s="293"/>
      <c r="AN2880" s="293"/>
      <c r="AO2880" s="293"/>
      <c r="AP2880" s="293"/>
      <c r="AQ2880" s="293"/>
      <c r="AR2880" s="293"/>
      <c r="AS2880" s="293"/>
      <c r="AT2880" s="293"/>
      <c r="AU2880" s="293"/>
      <c r="AV2880" s="293"/>
      <c r="AW2880" s="293"/>
      <c r="AX2880" s="293"/>
      <c r="AY2880" s="293"/>
      <c r="AZ2880" s="293"/>
      <c r="BA2880" s="293"/>
      <c r="BB2880" s="293"/>
      <c r="BC2880" s="293"/>
      <c r="BD2880" s="293"/>
      <c r="BE2880" s="293"/>
      <c r="BF2880" s="293"/>
      <c r="BG2880" s="293"/>
      <c r="BH2880" s="293"/>
      <c r="BI2880" s="293"/>
      <c r="BJ2880" s="293"/>
      <c r="BK2880" s="293"/>
      <c r="BL2880" s="293"/>
      <c r="BM2880" s="293"/>
      <c r="BN2880" s="293"/>
      <c r="BO2880" s="293"/>
      <c r="BP2880" s="293"/>
      <c r="BQ2880" s="293"/>
      <c r="BR2880" s="293"/>
      <c r="BS2880" s="293"/>
      <c r="BT2880" s="293"/>
      <c r="BU2880" s="293"/>
      <c r="BV2880" s="293"/>
      <c r="BW2880" s="293"/>
      <c r="BX2880" s="293"/>
      <c r="BY2880" s="293"/>
      <c r="BZ2880" s="293"/>
      <c r="CA2880" s="293"/>
      <c r="CB2880" s="293"/>
      <c r="CC2880" s="293"/>
      <c r="CD2880" s="293"/>
      <c r="CE2880" s="293"/>
      <c r="CF2880" s="293"/>
      <c r="CG2880" s="293"/>
      <c r="CH2880" s="293"/>
      <c r="CI2880" s="293"/>
      <c r="CJ2880" s="293"/>
    </row>
    <row r="2881" spans="1:88" x14ac:dyDescent="0.2">
      <c r="A2881" s="8" t="str">
        <f t="shared" ref="A2881" si="1502">IF(B2881="","",CONCATENATE(B2881,CONCATENATE(REPT(0,2-LEN(C2881)),C2881),IF(OR(D2881="Easy",D2881=""),1,IF(D2881="Normal",2,IF(D2881="Hard",3,IF(D2881="Hell",4,"error")))),E2881))</f>
        <v>9512119</v>
      </c>
      <c r="B2881" s="8">
        <v>951</v>
      </c>
      <c r="C2881" s="8">
        <v>21</v>
      </c>
      <c r="D2881" s="8" t="s">
        <v>259</v>
      </c>
      <c r="E2881" s="8">
        <v>9</v>
      </c>
      <c r="F2881" s="34">
        <f t="shared" si="1493"/>
        <v>3110250</v>
      </c>
      <c r="G2881" s="34">
        <f t="shared" si="1493"/>
        <v>3110250</v>
      </c>
      <c r="H2881" s="34">
        <f t="shared" si="1494"/>
        <v>167500</v>
      </c>
      <c r="I2881" s="34">
        <f t="shared" si="1494"/>
        <v>167500</v>
      </c>
      <c r="J2881" s="34">
        <v>273084048</v>
      </c>
      <c r="K2881" s="133">
        <v>1000</v>
      </c>
      <c r="L2881" s="34"/>
      <c r="M2881" s="16">
        <f t="shared" si="1495"/>
        <v>30174717.162436236</v>
      </c>
      <c r="N2881" s="36">
        <v>950</v>
      </c>
      <c r="O2881" s="36">
        <v>20</v>
      </c>
      <c r="P2881" s="36">
        <v>214500</v>
      </c>
      <c r="Q2881" s="2" t="s">
        <v>613</v>
      </c>
      <c r="R2881" s="2" t="s">
        <v>1109</v>
      </c>
      <c r="S2881" s="56">
        <v>67000</v>
      </c>
      <c r="T2881" s="114"/>
    </row>
    <row r="2882" spans="1:88" s="223" customFormat="1" x14ac:dyDescent="0.2">
      <c r="A2882" s="8" t="str">
        <f t="shared" si="1486"/>
        <v>9512111</v>
      </c>
      <c r="B2882" s="8">
        <v>951</v>
      </c>
      <c r="C2882" s="8">
        <v>21</v>
      </c>
      <c r="D2882" s="8" t="s">
        <v>259</v>
      </c>
      <c r="E2882" s="8">
        <v>1</v>
      </c>
      <c r="F2882" s="34">
        <f t="shared" si="1493"/>
        <v>462000</v>
      </c>
      <c r="G2882" s="34">
        <f t="shared" si="1493"/>
        <v>462000</v>
      </c>
      <c r="H2882" s="34">
        <f t="shared" si="1494"/>
        <v>268000</v>
      </c>
      <c r="I2882" s="34">
        <f t="shared" si="1494"/>
        <v>268000</v>
      </c>
      <c r="J2882" s="34">
        <v>38564580</v>
      </c>
      <c r="K2882" s="133">
        <v>1000</v>
      </c>
      <c r="L2882" s="34"/>
      <c r="M2882" s="16">
        <f t="shared" si="1495"/>
        <v>5528059.0661272788</v>
      </c>
      <c r="N2882" s="36">
        <v>670</v>
      </c>
      <c r="O2882" s="2" t="s">
        <v>332</v>
      </c>
      <c r="P2882" s="36">
        <v>84000</v>
      </c>
      <c r="Q2882" s="2" t="s">
        <v>246</v>
      </c>
      <c r="R2882" s="2" t="s">
        <v>1110</v>
      </c>
      <c r="S2882" s="56">
        <v>107200</v>
      </c>
      <c r="T2882" s="114"/>
      <c r="U2882" s="293"/>
      <c r="V2882" s="293"/>
      <c r="W2882" s="293"/>
      <c r="X2882" s="293"/>
      <c r="Y2882" s="293"/>
      <c r="Z2882" s="293"/>
      <c r="AA2882" s="293"/>
      <c r="AB2882" s="293"/>
      <c r="AC2882" s="293"/>
      <c r="AD2882" s="293"/>
      <c r="AE2882" s="293"/>
      <c r="AF2882" s="293"/>
      <c r="AG2882" s="293"/>
      <c r="AH2882" s="293"/>
      <c r="AI2882" s="293"/>
      <c r="AJ2882" s="293"/>
      <c r="AK2882" s="293"/>
      <c r="AL2882" s="293"/>
      <c r="AM2882" s="293"/>
      <c r="AN2882" s="293"/>
      <c r="AO2882" s="293"/>
      <c r="AP2882" s="293"/>
      <c r="AQ2882" s="293"/>
      <c r="AR2882" s="293"/>
      <c r="AS2882" s="293"/>
      <c r="AT2882" s="293"/>
      <c r="AU2882" s="293"/>
      <c r="AV2882" s="293"/>
      <c r="AW2882" s="293"/>
      <c r="AX2882" s="293"/>
      <c r="AY2882" s="293"/>
      <c r="AZ2882" s="293"/>
      <c r="BA2882" s="293"/>
      <c r="BB2882" s="293"/>
      <c r="BC2882" s="293"/>
      <c r="BD2882" s="293"/>
      <c r="BE2882" s="293"/>
      <c r="BF2882" s="293"/>
      <c r="BG2882" s="293"/>
      <c r="BH2882" s="293"/>
      <c r="BI2882" s="293"/>
      <c r="BJ2882" s="293"/>
      <c r="BK2882" s="293"/>
      <c r="BL2882" s="293"/>
      <c r="BM2882" s="293"/>
      <c r="BN2882" s="293"/>
      <c r="BO2882" s="293"/>
      <c r="BP2882" s="293"/>
      <c r="BQ2882" s="293"/>
      <c r="BR2882" s="293"/>
      <c r="BS2882" s="293"/>
      <c r="BT2882" s="293"/>
      <c r="BU2882" s="293"/>
      <c r="BV2882" s="293"/>
      <c r="BW2882" s="293"/>
      <c r="BX2882" s="293"/>
      <c r="BY2882" s="293"/>
      <c r="BZ2882" s="293"/>
      <c r="CA2882" s="293"/>
      <c r="CB2882" s="293"/>
      <c r="CC2882" s="293"/>
      <c r="CD2882" s="293"/>
      <c r="CE2882" s="293"/>
      <c r="CF2882" s="293"/>
      <c r="CG2882" s="293"/>
      <c r="CH2882" s="293"/>
      <c r="CI2882" s="293"/>
      <c r="CJ2882" s="293"/>
    </row>
    <row r="2883" spans="1:88" s="292" customFormat="1" x14ac:dyDescent="0.2">
      <c r="A2883" s="285" t="str">
        <f t="shared" ref="A2883" si="1503">IF(B2883="","",CONCATENATE(B2883,CONCATENATE(REPT(0,2-LEN(C2883)),C2883),IF(OR(D2883="Easy",D2883=""),1,IF(D2883="Normal",2,IF(D2883="Hard",3,IF(D2883="Hell",4,"error")))),E2883))</f>
        <v>9512113</v>
      </c>
      <c r="B2883" s="285">
        <v>951</v>
      </c>
      <c r="C2883" s="285">
        <v>21</v>
      </c>
      <c r="D2883" s="285" t="s">
        <v>62</v>
      </c>
      <c r="E2883" s="285">
        <v>3</v>
      </c>
      <c r="F2883" s="286">
        <f t="shared" si="1493"/>
        <v>120250</v>
      </c>
      <c r="G2883" s="286">
        <f t="shared" si="1493"/>
        <v>120250</v>
      </c>
      <c r="H2883" s="286">
        <f t="shared" si="1494"/>
        <v>69375</v>
      </c>
      <c r="I2883" s="286">
        <f t="shared" si="1494"/>
        <v>69375</v>
      </c>
      <c r="J2883" s="286">
        <f t="shared" ref="J2883" si="1504">ROUNDDOWN($P2883/4*$O2883*10*$N2883/$Q2883*$N2883/400*0.8,0)</f>
        <v>1152692</v>
      </c>
      <c r="K2883" s="287">
        <v>1000</v>
      </c>
      <c r="L2883" s="286"/>
      <c r="M2883" s="288">
        <f t="shared" si="1495"/>
        <v>248079.37957839223</v>
      </c>
      <c r="N2883" s="289">
        <v>900</v>
      </c>
      <c r="O2883" s="290" t="s">
        <v>87</v>
      </c>
      <c r="P2883" s="289">
        <v>37000</v>
      </c>
      <c r="Q2883" s="290" t="s">
        <v>415</v>
      </c>
      <c r="R2883" s="290" t="s">
        <v>1163</v>
      </c>
      <c r="S2883" s="291">
        <f t="shared" ref="S2883" si="1505">P2883*0.75</f>
        <v>27750</v>
      </c>
      <c r="T2883" s="116"/>
      <c r="U2883" s="293"/>
      <c r="V2883" s="293"/>
      <c r="W2883" s="293"/>
      <c r="X2883" s="293"/>
      <c r="Y2883" s="293"/>
      <c r="Z2883" s="293"/>
      <c r="AA2883" s="293"/>
      <c r="AB2883" s="293"/>
      <c r="AC2883" s="293"/>
      <c r="AD2883" s="293"/>
      <c r="AE2883" s="293"/>
      <c r="AF2883" s="293"/>
      <c r="AG2883" s="293"/>
      <c r="AH2883" s="293"/>
      <c r="AI2883" s="293"/>
      <c r="AJ2883" s="293"/>
      <c r="AK2883" s="293"/>
      <c r="AL2883" s="293"/>
      <c r="AM2883" s="293"/>
      <c r="AN2883" s="293"/>
      <c r="AO2883" s="293"/>
      <c r="AP2883" s="293"/>
      <c r="AQ2883" s="293"/>
      <c r="AR2883" s="293"/>
      <c r="AS2883" s="293"/>
      <c r="AT2883" s="293"/>
      <c r="AU2883" s="293"/>
      <c r="AV2883" s="293"/>
      <c r="AW2883" s="293"/>
      <c r="AX2883" s="293"/>
      <c r="AY2883" s="293"/>
      <c r="AZ2883" s="293"/>
      <c r="BA2883" s="293"/>
      <c r="BB2883" s="293"/>
      <c r="BC2883" s="293"/>
      <c r="BD2883" s="293"/>
      <c r="BE2883" s="293"/>
      <c r="BF2883" s="293"/>
      <c r="BG2883" s="293"/>
      <c r="BH2883" s="293"/>
      <c r="BI2883" s="293"/>
      <c r="BJ2883" s="293"/>
      <c r="BK2883" s="293"/>
      <c r="BL2883" s="293"/>
      <c r="BM2883" s="293"/>
      <c r="BN2883" s="293"/>
      <c r="BO2883" s="293"/>
      <c r="BP2883" s="293"/>
      <c r="BQ2883" s="293"/>
      <c r="BR2883" s="293"/>
      <c r="BS2883" s="293"/>
      <c r="BT2883" s="293"/>
      <c r="BU2883" s="293"/>
      <c r="BV2883" s="293"/>
      <c r="BW2883" s="293"/>
      <c r="BX2883" s="293"/>
      <c r="BY2883" s="293"/>
      <c r="BZ2883" s="293"/>
      <c r="CA2883" s="293"/>
      <c r="CB2883" s="293"/>
      <c r="CC2883" s="293"/>
      <c r="CD2883" s="293"/>
      <c r="CE2883" s="293"/>
      <c r="CF2883" s="293"/>
      <c r="CG2883" s="293"/>
      <c r="CH2883" s="293"/>
      <c r="CI2883" s="293"/>
      <c r="CJ2883" s="293"/>
    </row>
    <row r="2884" spans="1:88" x14ac:dyDescent="0.2">
      <c r="A2884" s="8" t="str">
        <f t="shared" ref="A2884" si="1506">IF(B2884="","",CONCATENATE(B2884,CONCATENATE(REPT(0,2-LEN(C2884)),C2884),IF(OR(D2884="Easy",D2884=""),1,IF(D2884="Normal",2,IF(D2884="Hard",3,IF(D2884="Hell",4,"error")))),E2884))</f>
        <v>9513119</v>
      </c>
      <c r="B2884" s="8">
        <v>951</v>
      </c>
      <c r="C2884" s="8">
        <v>31</v>
      </c>
      <c r="D2884" s="8" t="s">
        <v>259</v>
      </c>
      <c r="E2884" s="8">
        <v>9</v>
      </c>
      <c r="F2884" s="34">
        <f t="shared" si="1493"/>
        <v>4247100</v>
      </c>
      <c r="G2884" s="34">
        <f t="shared" si="1493"/>
        <v>4247100</v>
      </c>
      <c r="H2884" s="34">
        <f t="shared" si="1494"/>
        <v>197505</v>
      </c>
      <c r="I2884" s="34">
        <f t="shared" si="1494"/>
        <v>197505</v>
      </c>
      <c r="J2884" s="34">
        <v>1480934793</v>
      </c>
      <c r="K2884" s="133">
        <v>1000</v>
      </c>
      <c r="L2884" s="34"/>
      <c r="M2884" s="16">
        <f t="shared" si="1495"/>
        <v>89164760.208951831</v>
      </c>
      <c r="N2884" s="36">
        <v>950</v>
      </c>
      <c r="O2884" s="36">
        <v>20</v>
      </c>
      <c r="P2884" s="36">
        <v>326700</v>
      </c>
      <c r="Q2884" s="2" t="s">
        <v>515</v>
      </c>
      <c r="R2884" s="2" t="s">
        <v>1111</v>
      </c>
      <c r="S2884" s="56">
        <v>79002</v>
      </c>
      <c r="T2884" s="114"/>
    </row>
    <row r="2885" spans="1:88" s="223" customFormat="1" x14ac:dyDescent="0.2">
      <c r="A2885" s="8" t="str">
        <f t="shared" si="1486"/>
        <v>9513111</v>
      </c>
      <c r="B2885" s="8">
        <v>951</v>
      </c>
      <c r="C2885" s="8">
        <v>31</v>
      </c>
      <c r="D2885" s="8" t="s">
        <v>259</v>
      </c>
      <c r="E2885" s="8">
        <v>1</v>
      </c>
      <c r="F2885" s="34">
        <f t="shared" si="1493"/>
        <v>987525</v>
      </c>
      <c r="G2885" s="34">
        <f t="shared" si="1493"/>
        <v>987525</v>
      </c>
      <c r="H2885" s="34">
        <f t="shared" si="1494"/>
        <v>352687</v>
      </c>
      <c r="I2885" s="34">
        <f t="shared" si="1494"/>
        <v>352687</v>
      </c>
      <c r="J2885" s="34">
        <v>200029276</v>
      </c>
      <c r="K2885" s="133">
        <v>1000</v>
      </c>
      <c r="L2885" s="34"/>
      <c r="M2885" s="16">
        <f t="shared" si="1495"/>
        <v>21115702.955582377</v>
      </c>
      <c r="N2885" s="36">
        <v>850</v>
      </c>
      <c r="O2885" s="2" t="s">
        <v>87</v>
      </c>
      <c r="P2885" s="36">
        <v>188100</v>
      </c>
      <c r="Q2885" s="2" t="s">
        <v>484</v>
      </c>
      <c r="R2885" s="2" t="s">
        <v>1112</v>
      </c>
      <c r="S2885" s="56">
        <f t="shared" ref="S2885:S2886" si="1507">P2885*0.75</f>
        <v>141075</v>
      </c>
      <c r="T2885" s="114"/>
      <c r="U2885" s="293"/>
      <c r="V2885" s="293"/>
      <c r="W2885" s="293"/>
      <c r="X2885" s="293"/>
      <c r="Y2885" s="293"/>
      <c r="Z2885" s="293"/>
      <c r="AA2885" s="293"/>
      <c r="AB2885" s="293"/>
      <c r="AC2885" s="293"/>
      <c r="AD2885" s="293"/>
      <c r="AE2885" s="293"/>
      <c r="AF2885" s="293"/>
      <c r="AG2885" s="293"/>
      <c r="AH2885" s="293"/>
      <c r="AI2885" s="293"/>
      <c r="AJ2885" s="293"/>
      <c r="AK2885" s="293"/>
      <c r="AL2885" s="293"/>
      <c r="AM2885" s="293"/>
      <c r="AN2885" s="293"/>
      <c r="AO2885" s="293"/>
      <c r="AP2885" s="293"/>
      <c r="AQ2885" s="293"/>
      <c r="AR2885" s="293"/>
      <c r="AS2885" s="293"/>
      <c r="AT2885" s="293"/>
      <c r="AU2885" s="293"/>
      <c r="AV2885" s="293"/>
      <c r="AW2885" s="293"/>
      <c r="AX2885" s="293"/>
      <c r="AY2885" s="293"/>
      <c r="AZ2885" s="293"/>
      <c r="BA2885" s="293"/>
      <c r="BB2885" s="293"/>
      <c r="BC2885" s="293"/>
      <c r="BD2885" s="293"/>
      <c r="BE2885" s="293"/>
      <c r="BF2885" s="293"/>
      <c r="BG2885" s="293"/>
      <c r="BH2885" s="293"/>
      <c r="BI2885" s="293"/>
      <c r="BJ2885" s="293"/>
      <c r="BK2885" s="293"/>
      <c r="BL2885" s="293"/>
      <c r="BM2885" s="293"/>
      <c r="BN2885" s="293"/>
      <c r="BO2885" s="293"/>
      <c r="BP2885" s="293"/>
      <c r="BQ2885" s="293"/>
      <c r="BR2885" s="293"/>
      <c r="BS2885" s="293"/>
      <c r="BT2885" s="293"/>
      <c r="BU2885" s="293"/>
      <c r="BV2885" s="293"/>
      <c r="BW2885" s="293"/>
      <c r="BX2885" s="293"/>
      <c r="BY2885" s="293"/>
      <c r="BZ2885" s="293"/>
      <c r="CA2885" s="293"/>
      <c r="CB2885" s="293"/>
      <c r="CC2885" s="293"/>
      <c r="CD2885" s="293"/>
      <c r="CE2885" s="293"/>
      <c r="CF2885" s="293"/>
      <c r="CG2885" s="293"/>
      <c r="CH2885" s="293"/>
      <c r="CI2885" s="293"/>
      <c r="CJ2885" s="293"/>
    </row>
    <row r="2886" spans="1:88" s="292" customFormat="1" x14ac:dyDescent="0.2">
      <c r="A2886" s="285" t="str">
        <f t="shared" ref="A2886" si="1508">IF(B2886="","",CONCATENATE(B2886,CONCATENATE(REPT(0,2-LEN(C2886)),C2886),IF(OR(D2886="Easy",D2886=""),1,IF(D2886="Normal",2,IF(D2886="Hard",3,IF(D2886="Hell",4,"error")))),E2886))</f>
        <v>9513113</v>
      </c>
      <c r="B2886" s="285">
        <v>951</v>
      </c>
      <c r="C2886" s="285">
        <v>31</v>
      </c>
      <c r="D2886" s="285" t="s">
        <v>62</v>
      </c>
      <c r="E2886" s="285">
        <v>3</v>
      </c>
      <c r="F2886" s="286">
        <f t="shared" si="1493"/>
        <v>240500</v>
      </c>
      <c r="G2886" s="286">
        <f t="shared" si="1493"/>
        <v>240500</v>
      </c>
      <c r="H2886" s="286">
        <f t="shared" si="1494"/>
        <v>138750</v>
      </c>
      <c r="I2886" s="286">
        <f t="shared" si="1494"/>
        <v>138750</v>
      </c>
      <c r="J2886" s="286">
        <f t="shared" ref="J2886" si="1509">ROUNDDOWN($P2886/4*$O2886*10*$N2886/$Q2886*$N2886/400*0.8,0)</f>
        <v>2305384</v>
      </c>
      <c r="K2886" s="287">
        <v>1000</v>
      </c>
      <c r="L2886" s="286"/>
      <c r="M2886" s="288">
        <f t="shared" si="1495"/>
        <v>701674.44628973061</v>
      </c>
      <c r="N2886" s="289">
        <v>900</v>
      </c>
      <c r="O2886" s="290" t="s">
        <v>87</v>
      </c>
      <c r="P2886" s="289">
        <v>74000</v>
      </c>
      <c r="Q2886" s="290" t="s">
        <v>415</v>
      </c>
      <c r="R2886" s="290" t="s">
        <v>1164</v>
      </c>
      <c r="S2886" s="291">
        <f t="shared" si="1507"/>
        <v>55500</v>
      </c>
      <c r="T2886" s="116"/>
      <c r="U2886" s="293"/>
      <c r="V2886" s="293"/>
      <c r="W2886" s="293"/>
      <c r="X2886" s="293"/>
      <c r="Y2886" s="293"/>
      <c r="Z2886" s="293"/>
      <c r="AA2886" s="293"/>
      <c r="AB2886" s="293"/>
      <c r="AC2886" s="293"/>
      <c r="AD2886" s="293"/>
      <c r="AE2886" s="293"/>
      <c r="AF2886" s="293"/>
      <c r="AG2886" s="293"/>
      <c r="AH2886" s="293"/>
      <c r="AI2886" s="293"/>
      <c r="AJ2886" s="293"/>
      <c r="AK2886" s="293"/>
      <c r="AL2886" s="293"/>
      <c r="AM2886" s="293"/>
      <c r="AN2886" s="293"/>
      <c r="AO2886" s="293"/>
      <c r="AP2886" s="293"/>
      <c r="AQ2886" s="293"/>
      <c r="AR2886" s="293"/>
      <c r="AS2886" s="293"/>
      <c r="AT2886" s="293"/>
      <c r="AU2886" s="293"/>
      <c r="AV2886" s="293"/>
      <c r="AW2886" s="293"/>
      <c r="AX2886" s="293"/>
      <c r="AY2886" s="293"/>
      <c r="AZ2886" s="293"/>
      <c r="BA2886" s="293"/>
      <c r="BB2886" s="293"/>
      <c r="BC2886" s="293"/>
      <c r="BD2886" s="293"/>
      <c r="BE2886" s="293"/>
      <c r="BF2886" s="293"/>
      <c r="BG2886" s="293"/>
      <c r="BH2886" s="293"/>
      <c r="BI2886" s="293"/>
      <c r="BJ2886" s="293"/>
      <c r="BK2886" s="293"/>
      <c r="BL2886" s="293"/>
      <c r="BM2886" s="293"/>
      <c r="BN2886" s="293"/>
      <c r="BO2886" s="293"/>
      <c r="BP2886" s="293"/>
      <c r="BQ2886" s="293"/>
      <c r="BR2886" s="293"/>
      <c r="BS2886" s="293"/>
      <c r="BT2886" s="293"/>
      <c r="BU2886" s="293"/>
      <c r="BV2886" s="293"/>
      <c r="BW2886" s="293"/>
      <c r="BX2886" s="293"/>
      <c r="BY2886" s="293"/>
      <c r="BZ2886" s="293"/>
      <c r="CA2886" s="293"/>
      <c r="CB2886" s="293"/>
      <c r="CC2886" s="293"/>
      <c r="CD2886" s="293"/>
      <c r="CE2886" s="293"/>
      <c r="CF2886" s="293"/>
      <c r="CG2886" s="293"/>
      <c r="CH2886" s="293"/>
      <c r="CI2886" s="293"/>
      <c r="CJ2886" s="293"/>
    </row>
    <row r="2887" spans="1:88" ht="30.75" customHeight="1" x14ac:dyDescent="0.2">
      <c r="A2887" s="8" t="str">
        <f t="shared" ref="A2887:A2904" si="1510">IF(B2887="","",CONCATENATE(B2887,CONCATENATE(REPT(0,2-LEN(C2887)),C2887),IF(OR(D2887="Easy",D2887=""),1,IF(D2887="Normal",2,IF(D2887="Hard",3,IF(D2887="Hell",4,"error")))),E2887))</f>
        <v/>
      </c>
      <c r="B2887" s="259"/>
      <c r="C2887" s="260" t="s">
        <v>1104</v>
      </c>
      <c r="D2887" s="259"/>
      <c r="E2887" s="259"/>
      <c r="F2887" s="259"/>
      <c r="G2887" s="259"/>
      <c r="H2887" s="259"/>
      <c r="I2887" s="259"/>
      <c r="J2887" s="259"/>
      <c r="K2887" s="261"/>
      <c r="L2887" s="259"/>
      <c r="M2887" s="262"/>
      <c r="N2887" s="259"/>
      <c r="O2887" s="259"/>
      <c r="P2887" s="259"/>
      <c r="Q2887" s="259"/>
      <c r="R2887" s="259"/>
      <c r="S2887" s="263"/>
    </row>
    <row r="2888" spans="1:88" x14ac:dyDescent="0.2">
      <c r="A2888" s="8" t="str">
        <f t="shared" si="1510"/>
        <v>9610119</v>
      </c>
      <c r="B2888" s="8">
        <v>961</v>
      </c>
      <c r="C2888" s="8">
        <v>1</v>
      </c>
      <c r="D2888" s="8" t="s">
        <v>259</v>
      </c>
      <c r="E2888" s="8">
        <v>9</v>
      </c>
      <c r="F2888" s="34">
        <f t="shared" ref="F2888:G2899" si="1511">ROUNDDOWN($P2888/4*MIN($O2888,4)*10*$N2888/$N2888*$Q2888/400,0)</f>
        <v>671058</v>
      </c>
      <c r="G2888" s="34">
        <f t="shared" si="1511"/>
        <v>671058</v>
      </c>
      <c r="H2888" s="34">
        <f t="shared" ref="H2888:I2899" si="1512">ROUNDDOWN($S2888/4*10,0)</f>
        <v>64470</v>
      </c>
      <c r="I2888" s="34">
        <f t="shared" si="1512"/>
        <v>64470</v>
      </c>
      <c r="J2888" s="34">
        <v>7881153</v>
      </c>
      <c r="K2888" s="133">
        <v>1000</v>
      </c>
      <c r="L2888" s="34"/>
      <c r="M2888" s="16">
        <f t="shared" ref="M2888:M2898" si="1513">(F2888*J2888*((H2888+I2888)/2)/1000)^(1/2)/10*0.8</f>
        <v>1477215.0734866511</v>
      </c>
      <c r="N2888" s="36">
        <v>820</v>
      </c>
      <c r="O2888" s="2" t="s">
        <v>243</v>
      </c>
      <c r="P2888" s="2" t="s">
        <v>1159</v>
      </c>
      <c r="Q2888" s="2" t="s">
        <v>102</v>
      </c>
      <c r="R2888" s="2" t="s">
        <v>1105</v>
      </c>
      <c r="S2888" s="36">
        <v>25788</v>
      </c>
      <c r="T2888" s="114"/>
    </row>
    <row r="2889" spans="1:88" s="223" customFormat="1" x14ac:dyDescent="0.2">
      <c r="A2889" s="8" t="str">
        <f t="shared" si="1510"/>
        <v>9610111</v>
      </c>
      <c r="B2889" s="8">
        <v>961</v>
      </c>
      <c r="C2889" s="8">
        <v>1</v>
      </c>
      <c r="D2889" s="8" t="s">
        <v>259</v>
      </c>
      <c r="E2889" s="8">
        <v>1</v>
      </c>
      <c r="F2889" s="34">
        <f t="shared" si="1511"/>
        <v>112200</v>
      </c>
      <c r="G2889" s="34">
        <f t="shared" si="1511"/>
        <v>112200</v>
      </c>
      <c r="H2889" s="34">
        <f t="shared" si="1512"/>
        <v>100000</v>
      </c>
      <c r="I2889" s="34">
        <f t="shared" si="1512"/>
        <v>100000</v>
      </c>
      <c r="J2889" s="34">
        <v>1095336</v>
      </c>
      <c r="K2889" s="133">
        <v>1000</v>
      </c>
      <c r="L2889" s="34"/>
      <c r="M2889" s="16">
        <f t="shared" si="1513"/>
        <v>280453.00406306935</v>
      </c>
      <c r="N2889" s="36">
        <v>500</v>
      </c>
      <c r="O2889" s="2" t="s">
        <v>332</v>
      </c>
      <c r="P2889" s="2" t="s">
        <v>1160</v>
      </c>
      <c r="Q2889" s="2" t="s">
        <v>246</v>
      </c>
      <c r="R2889" s="2" t="s">
        <v>1106</v>
      </c>
      <c r="S2889" s="36">
        <v>40000</v>
      </c>
      <c r="T2889" s="116"/>
      <c r="U2889" s="293"/>
      <c r="V2889" s="293"/>
      <c r="W2889" s="293"/>
      <c r="X2889" s="293"/>
      <c r="Y2889" s="293"/>
      <c r="Z2889" s="293"/>
      <c r="AA2889" s="293"/>
      <c r="AB2889" s="293"/>
      <c r="AC2889" s="293"/>
      <c r="AD2889" s="293"/>
      <c r="AE2889" s="293"/>
      <c r="AF2889" s="293"/>
      <c r="AG2889" s="293"/>
      <c r="AH2889" s="293"/>
      <c r="AI2889" s="293"/>
      <c r="AJ2889" s="293"/>
      <c r="AK2889" s="293"/>
      <c r="AL2889" s="293"/>
      <c r="AM2889" s="293"/>
      <c r="AN2889" s="293"/>
      <c r="AO2889" s="293"/>
      <c r="AP2889" s="293"/>
      <c r="AQ2889" s="293"/>
      <c r="AR2889" s="293"/>
      <c r="AS2889" s="293"/>
      <c r="AT2889" s="293"/>
      <c r="AU2889" s="293"/>
      <c r="AV2889" s="293"/>
      <c r="AW2889" s="293"/>
      <c r="AX2889" s="293"/>
      <c r="AY2889" s="293"/>
      <c r="AZ2889" s="293"/>
      <c r="BA2889" s="293"/>
      <c r="BB2889" s="293"/>
      <c r="BC2889" s="293"/>
      <c r="BD2889" s="293"/>
      <c r="BE2889" s="293"/>
      <c r="BF2889" s="293"/>
      <c r="BG2889" s="293"/>
      <c r="BH2889" s="293"/>
      <c r="BI2889" s="293"/>
      <c r="BJ2889" s="293"/>
      <c r="BK2889" s="293"/>
      <c r="BL2889" s="293"/>
      <c r="BM2889" s="293"/>
      <c r="BN2889" s="293"/>
      <c r="BO2889" s="293"/>
      <c r="BP2889" s="293"/>
      <c r="BQ2889" s="293"/>
      <c r="BR2889" s="293"/>
      <c r="BS2889" s="293"/>
      <c r="BT2889" s="293"/>
      <c r="BU2889" s="293"/>
      <c r="BV2889" s="293"/>
      <c r="BW2889" s="293"/>
      <c r="BX2889" s="293"/>
      <c r="BY2889" s="293"/>
      <c r="BZ2889" s="293"/>
      <c r="CA2889" s="293"/>
      <c r="CB2889" s="293"/>
      <c r="CC2889" s="293"/>
      <c r="CD2889" s="293"/>
      <c r="CE2889" s="293"/>
      <c r="CF2889" s="293"/>
      <c r="CG2889" s="293"/>
      <c r="CH2889" s="293"/>
      <c r="CI2889" s="293"/>
      <c r="CJ2889" s="293"/>
    </row>
    <row r="2890" spans="1:88" s="292" customFormat="1" x14ac:dyDescent="0.2">
      <c r="A2890" s="285" t="str">
        <f t="shared" si="1510"/>
        <v>9610113</v>
      </c>
      <c r="B2890" s="285">
        <v>961</v>
      </c>
      <c r="C2890" s="285">
        <v>1</v>
      </c>
      <c r="D2890" s="285" t="s">
        <v>62</v>
      </c>
      <c r="E2890" s="285">
        <v>3</v>
      </c>
      <c r="F2890" s="286">
        <f t="shared" si="1511"/>
        <v>99206</v>
      </c>
      <c r="G2890" s="286">
        <f t="shared" si="1511"/>
        <v>99206</v>
      </c>
      <c r="H2890" s="286">
        <f t="shared" si="1512"/>
        <v>57234</v>
      </c>
      <c r="I2890" s="286">
        <f t="shared" si="1512"/>
        <v>57234</v>
      </c>
      <c r="J2890" s="286">
        <f t="shared" ref="J2890" si="1514">ROUNDDOWN($P2890/4*$O2890*10*$N2890/$Q2890*$N2890/400*0.8,0)</f>
        <v>950971</v>
      </c>
      <c r="K2890" s="287">
        <v>1000</v>
      </c>
      <c r="L2890" s="286"/>
      <c r="M2890" s="288">
        <f t="shared" si="1513"/>
        <v>185895.82784816378</v>
      </c>
      <c r="N2890" s="289">
        <v>900</v>
      </c>
      <c r="O2890" s="290" t="s">
        <v>87</v>
      </c>
      <c r="P2890" s="289">
        <v>30525</v>
      </c>
      <c r="Q2890" s="290" t="s">
        <v>415</v>
      </c>
      <c r="R2890" s="290" t="s">
        <v>1161</v>
      </c>
      <c r="S2890" s="291">
        <f t="shared" ref="S2890" si="1515">P2890*0.75</f>
        <v>22893.75</v>
      </c>
      <c r="T2890" s="116"/>
      <c r="U2890" s="293"/>
      <c r="V2890" s="293"/>
      <c r="W2890" s="293"/>
      <c r="X2890" s="293"/>
      <c r="Y2890" s="293"/>
      <c r="Z2890" s="293"/>
      <c r="AA2890" s="293"/>
      <c r="AB2890" s="293"/>
      <c r="AC2890" s="293"/>
      <c r="AD2890" s="293"/>
      <c r="AE2890" s="293"/>
      <c r="AF2890" s="293"/>
      <c r="AG2890" s="293"/>
      <c r="AH2890" s="293"/>
      <c r="AI2890" s="293"/>
      <c r="AJ2890" s="293"/>
      <c r="AK2890" s="293"/>
      <c r="AL2890" s="293"/>
      <c r="AM2890" s="293"/>
      <c r="AN2890" s="293"/>
      <c r="AO2890" s="293"/>
      <c r="AP2890" s="293"/>
      <c r="AQ2890" s="293"/>
      <c r="AR2890" s="293"/>
      <c r="AS2890" s="293"/>
      <c r="AT2890" s="293"/>
      <c r="AU2890" s="293"/>
      <c r="AV2890" s="293"/>
      <c r="AW2890" s="293"/>
      <c r="AX2890" s="293"/>
      <c r="AY2890" s="293"/>
      <c r="AZ2890" s="293"/>
      <c r="BA2890" s="293"/>
      <c r="BB2890" s="293"/>
      <c r="BC2890" s="293"/>
      <c r="BD2890" s="293"/>
      <c r="BE2890" s="293"/>
      <c r="BF2890" s="293"/>
      <c r="BG2890" s="293"/>
      <c r="BH2890" s="293"/>
      <c r="BI2890" s="293"/>
      <c r="BJ2890" s="293"/>
      <c r="BK2890" s="293"/>
      <c r="BL2890" s="293"/>
      <c r="BM2890" s="293"/>
      <c r="BN2890" s="293"/>
      <c r="BO2890" s="293"/>
      <c r="BP2890" s="293"/>
      <c r="BQ2890" s="293"/>
      <c r="BR2890" s="293"/>
      <c r="BS2890" s="293"/>
      <c r="BT2890" s="293"/>
      <c r="BU2890" s="293"/>
      <c r="BV2890" s="293"/>
      <c r="BW2890" s="293"/>
      <c r="BX2890" s="293"/>
      <c r="BY2890" s="293"/>
      <c r="BZ2890" s="293"/>
      <c r="CA2890" s="293"/>
      <c r="CB2890" s="293"/>
      <c r="CC2890" s="293"/>
      <c r="CD2890" s="293"/>
      <c r="CE2890" s="293"/>
      <c r="CF2890" s="293"/>
      <c r="CG2890" s="293"/>
      <c r="CH2890" s="293"/>
      <c r="CI2890" s="293"/>
      <c r="CJ2890" s="293"/>
    </row>
    <row r="2891" spans="1:88" x14ac:dyDescent="0.2">
      <c r="A2891" s="8" t="str">
        <f t="shared" si="1510"/>
        <v>9611119</v>
      </c>
      <c r="B2891" s="8">
        <v>961</v>
      </c>
      <c r="C2891" s="8">
        <v>11</v>
      </c>
      <c r="D2891" s="8" t="s">
        <v>259</v>
      </c>
      <c r="E2891" s="8">
        <v>9</v>
      </c>
      <c r="F2891" s="34">
        <f t="shared" si="1511"/>
        <v>3382117</v>
      </c>
      <c r="G2891" s="34">
        <f t="shared" si="1511"/>
        <v>3382117</v>
      </c>
      <c r="H2891" s="34">
        <f t="shared" si="1512"/>
        <v>315000</v>
      </c>
      <c r="I2891" s="34">
        <f t="shared" si="1512"/>
        <v>315000</v>
      </c>
      <c r="J2891" s="34">
        <v>147535182</v>
      </c>
      <c r="K2891" s="133">
        <v>1000</v>
      </c>
      <c r="L2891" s="34"/>
      <c r="M2891" s="16">
        <f t="shared" si="1513"/>
        <v>31716654.839923341</v>
      </c>
      <c r="N2891" s="36">
        <v>820</v>
      </c>
      <c r="O2891" s="36">
        <v>20</v>
      </c>
      <c r="P2891" s="36">
        <v>185068</v>
      </c>
      <c r="Q2891" s="2" t="s">
        <v>103</v>
      </c>
      <c r="R2891" s="2" t="s">
        <v>1107</v>
      </c>
      <c r="S2891" s="36">
        <v>126000</v>
      </c>
      <c r="T2891" s="114"/>
    </row>
    <row r="2892" spans="1:88" s="223" customFormat="1" x14ac:dyDescent="0.2">
      <c r="A2892" s="8" t="str">
        <f t="shared" si="1510"/>
        <v>9611111</v>
      </c>
      <c r="B2892" s="8">
        <v>961</v>
      </c>
      <c r="C2892" s="8">
        <v>11</v>
      </c>
      <c r="D2892" s="8" t="s">
        <v>259</v>
      </c>
      <c r="E2892" s="8">
        <v>1</v>
      </c>
      <c r="F2892" s="34">
        <f t="shared" si="1511"/>
        <v>596904</v>
      </c>
      <c r="G2892" s="34">
        <f t="shared" si="1511"/>
        <v>596904</v>
      </c>
      <c r="H2892" s="34">
        <f t="shared" si="1512"/>
        <v>411750</v>
      </c>
      <c r="I2892" s="34">
        <f t="shared" si="1512"/>
        <v>411750</v>
      </c>
      <c r="J2892" s="34">
        <v>20036081</v>
      </c>
      <c r="K2892" s="133">
        <v>1000</v>
      </c>
      <c r="L2892" s="34"/>
      <c r="M2892" s="16">
        <f t="shared" si="1513"/>
        <v>5613909.7282574736</v>
      </c>
      <c r="N2892" s="36">
        <v>600</v>
      </c>
      <c r="O2892" s="2" t="s">
        <v>332</v>
      </c>
      <c r="P2892" s="54">
        <v>108528</v>
      </c>
      <c r="Q2892" s="2" t="s">
        <v>246</v>
      </c>
      <c r="R2892" s="2" t="s">
        <v>1108</v>
      </c>
      <c r="S2892" s="36">
        <v>164700</v>
      </c>
      <c r="T2892" s="114"/>
      <c r="U2892" s="293"/>
      <c r="V2892" s="293"/>
      <c r="W2892" s="293"/>
      <c r="X2892" s="293"/>
      <c r="Y2892" s="293"/>
      <c r="Z2892" s="293"/>
      <c r="AA2892" s="293"/>
      <c r="AB2892" s="293"/>
      <c r="AC2892" s="293"/>
      <c r="AD2892" s="293"/>
      <c r="AE2892" s="293"/>
      <c r="AF2892" s="293"/>
      <c r="AG2892" s="293"/>
      <c r="AH2892" s="293"/>
      <c r="AI2892" s="293"/>
      <c r="AJ2892" s="293"/>
      <c r="AK2892" s="293"/>
      <c r="AL2892" s="293"/>
      <c r="AM2892" s="293"/>
      <c r="AN2892" s="293"/>
      <c r="AO2892" s="293"/>
      <c r="AP2892" s="293"/>
      <c r="AQ2892" s="293"/>
      <c r="AR2892" s="293"/>
      <c r="AS2892" s="293"/>
      <c r="AT2892" s="293"/>
      <c r="AU2892" s="293"/>
      <c r="AV2892" s="293"/>
      <c r="AW2892" s="293"/>
      <c r="AX2892" s="293"/>
      <c r="AY2892" s="293"/>
      <c r="AZ2892" s="293"/>
      <c r="BA2892" s="293"/>
      <c r="BB2892" s="293"/>
      <c r="BC2892" s="293"/>
      <c r="BD2892" s="293"/>
      <c r="BE2892" s="293"/>
      <c r="BF2892" s="293"/>
      <c r="BG2892" s="293"/>
      <c r="BH2892" s="293"/>
      <c r="BI2892" s="293"/>
      <c r="BJ2892" s="293"/>
      <c r="BK2892" s="293"/>
      <c r="BL2892" s="293"/>
      <c r="BM2892" s="293"/>
      <c r="BN2892" s="293"/>
      <c r="BO2892" s="293"/>
      <c r="BP2892" s="293"/>
      <c r="BQ2892" s="293"/>
      <c r="BR2892" s="293"/>
      <c r="BS2892" s="293"/>
      <c r="BT2892" s="293"/>
      <c r="BU2892" s="293"/>
      <c r="BV2892" s="293"/>
      <c r="BW2892" s="293"/>
      <c r="BX2892" s="293"/>
      <c r="BY2892" s="293"/>
      <c r="BZ2892" s="293"/>
      <c r="CA2892" s="293"/>
      <c r="CB2892" s="293"/>
      <c r="CC2892" s="293"/>
      <c r="CD2892" s="293"/>
      <c r="CE2892" s="293"/>
      <c r="CF2892" s="293"/>
      <c r="CG2892" s="293"/>
      <c r="CH2892" s="293"/>
      <c r="CI2892" s="293"/>
      <c r="CJ2892" s="293"/>
    </row>
    <row r="2893" spans="1:88" s="292" customFormat="1" x14ac:dyDescent="0.2">
      <c r="A2893" s="285" t="str">
        <f t="shared" ref="A2893" si="1516">IF(B2893="","",CONCATENATE(B2893,CONCATENATE(REPT(0,2-LEN(C2893)),C2893),IF(OR(D2893="Easy",D2893=""),1,IF(D2893="Normal",2,IF(D2893="Hard",3,IF(D2893="Hell",4,"error")))),E2893))</f>
        <v>9611113</v>
      </c>
      <c r="B2893" s="285">
        <v>961</v>
      </c>
      <c r="C2893" s="285">
        <v>11</v>
      </c>
      <c r="D2893" s="285" t="s">
        <v>62</v>
      </c>
      <c r="E2893" s="285">
        <v>3</v>
      </c>
      <c r="F2893" s="286">
        <f t="shared" si="1511"/>
        <v>113750</v>
      </c>
      <c r="G2893" s="286">
        <f t="shared" si="1511"/>
        <v>113750</v>
      </c>
      <c r="H2893" s="286">
        <f t="shared" si="1512"/>
        <v>65625</v>
      </c>
      <c r="I2893" s="286">
        <f t="shared" si="1512"/>
        <v>65625</v>
      </c>
      <c r="J2893" s="286">
        <f t="shared" ref="J2893" si="1517">ROUNDDOWN($P2893/4*$O2893*10*$N2893/$Q2893*$N2893/400*0.8,0)</f>
        <v>1090384</v>
      </c>
      <c r="K2893" s="287">
        <v>1000</v>
      </c>
      <c r="L2893" s="286"/>
      <c r="M2893" s="288">
        <f t="shared" ref="M2893" si="1518">(F2893*J2893*((H2893+I2893)/2)/1000)^(1/2)/10*0.8</f>
        <v>228239.1193463557</v>
      </c>
      <c r="N2893" s="289">
        <v>900</v>
      </c>
      <c r="O2893" s="290" t="s">
        <v>87</v>
      </c>
      <c r="P2893" s="289">
        <v>35000</v>
      </c>
      <c r="Q2893" s="290" t="s">
        <v>415</v>
      </c>
      <c r="R2893" s="290" t="s">
        <v>1162</v>
      </c>
      <c r="S2893" s="291">
        <f t="shared" ref="S2893" si="1519">P2893*0.75</f>
        <v>26250</v>
      </c>
      <c r="T2893" s="116"/>
      <c r="U2893" s="293"/>
      <c r="V2893" s="293"/>
      <c r="W2893" s="293"/>
      <c r="X2893" s="293"/>
      <c r="Y2893" s="293"/>
      <c r="Z2893" s="293"/>
      <c r="AA2893" s="293"/>
      <c r="AB2893" s="293"/>
      <c r="AC2893" s="293"/>
      <c r="AD2893" s="293"/>
      <c r="AE2893" s="293"/>
      <c r="AF2893" s="293"/>
      <c r="AG2893" s="293"/>
      <c r="AH2893" s="293"/>
      <c r="AI2893" s="293"/>
      <c r="AJ2893" s="293"/>
      <c r="AK2893" s="293"/>
      <c r="AL2893" s="293"/>
      <c r="AM2893" s="293"/>
      <c r="AN2893" s="293"/>
      <c r="AO2893" s="293"/>
      <c r="AP2893" s="293"/>
      <c r="AQ2893" s="293"/>
      <c r="AR2893" s="293"/>
      <c r="AS2893" s="293"/>
      <c r="AT2893" s="293"/>
      <c r="AU2893" s="293"/>
      <c r="AV2893" s="293"/>
      <c r="AW2893" s="293"/>
      <c r="AX2893" s="293"/>
      <c r="AY2893" s="293"/>
      <c r="AZ2893" s="293"/>
      <c r="BA2893" s="293"/>
      <c r="BB2893" s="293"/>
      <c r="BC2893" s="293"/>
      <c r="BD2893" s="293"/>
      <c r="BE2893" s="293"/>
      <c r="BF2893" s="293"/>
      <c r="BG2893" s="293"/>
      <c r="BH2893" s="293"/>
      <c r="BI2893" s="293"/>
      <c r="BJ2893" s="293"/>
      <c r="BK2893" s="293"/>
      <c r="BL2893" s="293"/>
      <c r="BM2893" s="293"/>
      <c r="BN2893" s="293"/>
      <c r="BO2893" s="293"/>
      <c r="BP2893" s="293"/>
      <c r="BQ2893" s="293"/>
      <c r="BR2893" s="293"/>
      <c r="BS2893" s="293"/>
      <c r="BT2893" s="293"/>
      <c r="BU2893" s="293"/>
      <c r="BV2893" s="293"/>
      <c r="BW2893" s="293"/>
      <c r="BX2893" s="293"/>
      <c r="BY2893" s="293"/>
      <c r="BZ2893" s="293"/>
      <c r="CA2893" s="293"/>
      <c r="CB2893" s="293"/>
      <c r="CC2893" s="293"/>
      <c r="CD2893" s="293"/>
      <c r="CE2893" s="293"/>
      <c r="CF2893" s="293"/>
      <c r="CG2893" s="293"/>
      <c r="CH2893" s="293"/>
      <c r="CI2893" s="293"/>
      <c r="CJ2893" s="293"/>
    </row>
    <row r="2894" spans="1:88" x14ac:dyDescent="0.2">
      <c r="A2894" s="8" t="str">
        <f t="shared" si="1510"/>
        <v>9612119</v>
      </c>
      <c r="B2894" s="8">
        <v>961</v>
      </c>
      <c r="C2894" s="8">
        <v>21</v>
      </c>
      <c r="D2894" s="8" t="s">
        <v>259</v>
      </c>
      <c r="E2894" s="8">
        <v>9</v>
      </c>
      <c r="F2894" s="34">
        <f t="shared" si="1511"/>
        <v>3110250</v>
      </c>
      <c r="G2894" s="34">
        <f t="shared" si="1511"/>
        <v>3110250</v>
      </c>
      <c r="H2894" s="34">
        <f t="shared" si="1512"/>
        <v>167500</v>
      </c>
      <c r="I2894" s="34">
        <f t="shared" si="1512"/>
        <v>167500</v>
      </c>
      <c r="J2894" s="34">
        <v>273084048</v>
      </c>
      <c r="K2894" s="133">
        <v>1000</v>
      </c>
      <c r="L2894" s="34"/>
      <c r="M2894" s="16">
        <f t="shared" si="1513"/>
        <v>30174717.162436236</v>
      </c>
      <c r="N2894" s="36">
        <v>950</v>
      </c>
      <c r="O2894" s="36">
        <v>20</v>
      </c>
      <c r="P2894" s="36">
        <v>214500</v>
      </c>
      <c r="Q2894" s="2" t="s">
        <v>613</v>
      </c>
      <c r="R2894" s="2" t="s">
        <v>1109</v>
      </c>
      <c r="S2894" s="56">
        <v>67000</v>
      </c>
      <c r="T2894" s="114"/>
    </row>
    <row r="2895" spans="1:88" s="223" customFormat="1" x14ac:dyDescent="0.2">
      <c r="A2895" s="8" t="str">
        <f t="shared" si="1510"/>
        <v>9612111</v>
      </c>
      <c r="B2895" s="8">
        <v>961</v>
      </c>
      <c r="C2895" s="8">
        <v>21</v>
      </c>
      <c r="D2895" s="8" t="s">
        <v>259</v>
      </c>
      <c r="E2895" s="8">
        <v>1</v>
      </c>
      <c r="F2895" s="34">
        <f t="shared" si="1511"/>
        <v>462000</v>
      </c>
      <c r="G2895" s="34">
        <f t="shared" si="1511"/>
        <v>462000</v>
      </c>
      <c r="H2895" s="34">
        <f t="shared" si="1512"/>
        <v>268000</v>
      </c>
      <c r="I2895" s="34">
        <f t="shared" si="1512"/>
        <v>268000</v>
      </c>
      <c r="J2895" s="34">
        <v>38564580</v>
      </c>
      <c r="K2895" s="133">
        <v>1000</v>
      </c>
      <c r="L2895" s="34"/>
      <c r="M2895" s="16">
        <f t="shared" si="1513"/>
        <v>5528059.0661272788</v>
      </c>
      <c r="N2895" s="36">
        <v>670</v>
      </c>
      <c r="O2895" s="2" t="s">
        <v>332</v>
      </c>
      <c r="P2895" s="36">
        <v>84000</v>
      </c>
      <c r="Q2895" s="2" t="s">
        <v>246</v>
      </c>
      <c r="R2895" s="2" t="s">
        <v>1110</v>
      </c>
      <c r="S2895" s="56">
        <v>107200</v>
      </c>
      <c r="T2895" s="114"/>
      <c r="U2895" s="293"/>
      <c r="V2895" s="293"/>
      <c r="W2895" s="293"/>
      <c r="X2895" s="293"/>
      <c r="Y2895" s="293"/>
      <c r="Z2895" s="293"/>
      <c r="AA2895" s="293"/>
      <c r="AB2895" s="293"/>
      <c r="AC2895" s="293"/>
      <c r="AD2895" s="293"/>
      <c r="AE2895" s="293"/>
      <c r="AF2895" s="293"/>
      <c r="AG2895" s="293"/>
      <c r="AH2895" s="293"/>
      <c r="AI2895" s="293"/>
      <c r="AJ2895" s="293"/>
      <c r="AK2895" s="293"/>
      <c r="AL2895" s="293"/>
      <c r="AM2895" s="293"/>
      <c r="AN2895" s="293"/>
      <c r="AO2895" s="293"/>
      <c r="AP2895" s="293"/>
      <c r="AQ2895" s="293"/>
      <c r="AR2895" s="293"/>
      <c r="AS2895" s="293"/>
      <c r="AT2895" s="293"/>
      <c r="AU2895" s="293"/>
      <c r="AV2895" s="293"/>
      <c r="AW2895" s="293"/>
      <c r="AX2895" s="293"/>
      <c r="AY2895" s="293"/>
      <c r="AZ2895" s="293"/>
      <c r="BA2895" s="293"/>
      <c r="BB2895" s="293"/>
      <c r="BC2895" s="293"/>
      <c r="BD2895" s="293"/>
      <c r="BE2895" s="293"/>
      <c r="BF2895" s="293"/>
      <c r="BG2895" s="293"/>
      <c r="BH2895" s="293"/>
      <c r="BI2895" s="293"/>
      <c r="BJ2895" s="293"/>
      <c r="BK2895" s="293"/>
      <c r="BL2895" s="293"/>
      <c r="BM2895" s="293"/>
      <c r="BN2895" s="293"/>
      <c r="BO2895" s="293"/>
      <c r="BP2895" s="293"/>
      <c r="BQ2895" s="293"/>
      <c r="BR2895" s="293"/>
      <c r="BS2895" s="293"/>
      <c r="BT2895" s="293"/>
      <c r="BU2895" s="293"/>
      <c r="BV2895" s="293"/>
      <c r="BW2895" s="293"/>
      <c r="BX2895" s="293"/>
      <c r="BY2895" s="293"/>
      <c r="BZ2895" s="293"/>
      <c r="CA2895" s="293"/>
      <c r="CB2895" s="293"/>
      <c r="CC2895" s="293"/>
      <c r="CD2895" s="293"/>
      <c r="CE2895" s="293"/>
      <c r="CF2895" s="293"/>
      <c r="CG2895" s="293"/>
      <c r="CH2895" s="293"/>
      <c r="CI2895" s="293"/>
      <c r="CJ2895" s="293"/>
    </row>
    <row r="2896" spans="1:88" s="292" customFormat="1" x14ac:dyDescent="0.2">
      <c r="A2896" s="285" t="str">
        <f t="shared" ref="A2896" si="1520">IF(B2896="","",CONCATENATE(B2896,CONCATENATE(REPT(0,2-LEN(C2896)),C2896),IF(OR(D2896="Easy",D2896=""),1,IF(D2896="Normal",2,IF(D2896="Hard",3,IF(D2896="Hell",4,"error")))),E2896))</f>
        <v>9612113</v>
      </c>
      <c r="B2896" s="285">
        <v>961</v>
      </c>
      <c r="C2896" s="285">
        <v>21</v>
      </c>
      <c r="D2896" s="285" t="s">
        <v>62</v>
      </c>
      <c r="E2896" s="285">
        <v>3</v>
      </c>
      <c r="F2896" s="286">
        <f t="shared" si="1511"/>
        <v>120250</v>
      </c>
      <c r="G2896" s="286">
        <f t="shared" si="1511"/>
        <v>120250</v>
      </c>
      <c r="H2896" s="286">
        <f t="shared" si="1512"/>
        <v>69375</v>
      </c>
      <c r="I2896" s="286">
        <f t="shared" si="1512"/>
        <v>69375</v>
      </c>
      <c r="J2896" s="286">
        <f t="shared" ref="J2896" si="1521">ROUNDDOWN($P2896/4*$O2896*10*$N2896/$Q2896*$N2896/400*0.8,0)</f>
        <v>1152692</v>
      </c>
      <c r="K2896" s="287">
        <v>1000</v>
      </c>
      <c r="L2896" s="286"/>
      <c r="M2896" s="288">
        <f t="shared" ref="M2896" si="1522">(F2896*J2896*((H2896+I2896)/2)/1000)^(1/2)/10*0.8</f>
        <v>248079.37957839223</v>
      </c>
      <c r="N2896" s="289">
        <v>900</v>
      </c>
      <c r="O2896" s="290" t="s">
        <v>87</v>
      </c>
      <c r="P2896" s="289">
        <v>37000</v>
      </c>
      <c r="Q2896" s="290" t="s">
        <v>415</v>
      </c>
      <c r="R2896" s="290" t="s">
        <v>1163</v>
      </c>
      <c r="S2896" s="291">
        <f t="shared" ref="S2896" si="1523">P2896*0.75</f>
        <v>27750</v>
      </c>
      <c r="T2896" s="116"/>
      <c r="U2896" s="293"/>
      <c r="V2896" s="293"/>
      <c r="W2896" s="293"/>
      <c r="X2896" s="293"/>
      <c r="Y2896" s="293"/>
      <c r="Z2896" s="293"/>
      <c r="AA2896" s="293"/>
      <c r="AB2896" s="293"/>
      <c r="AC2896" s="293"/>
      <c r="AD2896" s="293"/>
      <c r="AE2896" s="293"/>
      <c r="AF2896" s="293"/>
      <c r="AG2896" s="293"/>
      <c r="AH2896" s="293"/>
      <c r="AI2896" s="293"/>
      <c r="AJ2896" s="293"/>
      <c r="AK2896" s="293"/>
      <c r="AL2896" s="293"/>
      <c r="AM2896" s="293"/>
      <c r="AN2896" s="293"/>
      <c r="AO2896" s="293"/>
      <c r="AP2896" s="293"/>
      <c r="AQ2896" s="293"/>
      <c r="AR2896" s="293"/>
      <c r="AS2896" s="293"/>
      <c r="AT2896" s="293"/>
      <c r="AU2896" s="293"/>
      <c r="AV2896" s="293"/>
      <c r="AW2896" s="293"/>
      <c r="AX2896" s="293"/>
      <c r="AY2896" s="293"/>
      <c r="AZ2896" s="293"/>
      <c r="BA2896" s="293"/>
      <c r="BB2896" s="293"/>
      <c r="BC2896" s="293"/>
      <c r="BD2896" s="293"/>
      <c r="BE2896" s="293"/>
      <c r="BF2896" s="293"/>
      <c r="BG2896" s="293"/>
      <c r="BH2896" s="293"/>
      <c r="BI2896" s="293"/>
      <c r="BJ2896" s="293"/>
      <c r="BK2896" s="293"/>
      <c r="BL2896" s="293"/>
      <c r="BM2896" s="293"/>
      <c r="BN2896" s="293"/>
      <c r="BO2896" s="293"/>
      <c r="BP2896" s="293"/>
      <c r="BQ2896" s="293"/>
      <c r="BR2896" s="293"/>
      <c r="BS2896" s="293"/>
      <c r="BT2896" s="293"/>
      <c r="BU2896" s="293"/>
      <c r="BV2896" s="293"/>
      <c r="BW2896" s="293"/>
      <c r="BX2896" s="293"/>
      <c r="BY2896" s="293"/>
      <c r="BZ2896" s="293"/>
      <c r="CA2896" s="293"/>
      <c r="CB2896" s="293"/>
      <c r="CC2896" s="293"/>
      <c r="CD2896" s="293"/>
      <c r="CE2896" s="293"/>
      <c r="CF2896" s="293"/>
      <c r="CG2896" s="293"/>
      <c r="CH2896" s="293"/>
      <c r="CI2896" s="293"/>
      <c r="CJ2896" s="293"/>
    </row>
    <row r="2897" spans="1:88" x14ac:dyDescent="0.2">
      <c r="A2897" s="8" t="str">
        <f t="shared" si="1510"/>
        <v>9613119</v>
      </c>
      <c r="B2897" s="8">
        <v>961</v>
      </c>
      <c r="C2897" s="8">
        <v>31</v>
      </c>
      <c r="D2897" s="8" t="s">
        <v>259</v>
      </c>
      <c r="E2897" s="8">
        <v>9</v>
      </c>
      <c r="F2897" s="34">
        <f t="shared" si="1511"/>
        <v>4247100</v>
      </c>
      <c r="G2897" s="34">
        <f t="shared" si="1511"/>
        <v>4247100</v>
      </c>
      <c r="H2897" s="34">
        <f t="shared" si="1512"/>
        <v>197505</v>
      </c>
      <c r="I2897" s="34">
        <f t="shared" si="1512"/>
        <v>197505</v>
      </c>
      <c r="J2897" s="34">
        <v>1480934793</v>
      </c>
      <c r="K2897" s="133">
        <v>1000</v>
      </c>
      <c r="L2897" s="34"/>
      <c r="M2897" s="16">
        <f t="shared" si="1513"/>
        <v>89164760.208951831</v>
      </c>
      <c r="N2897" s="36">
        <v>950</v>
      </c>
      <c r="O2897" s="36">
        <v>20</v>
      </c>
      <c r="P2897" s="36">
        <v>326700</v>
      </c>
      <c r="Q2897" s="2" t="s">
        <v>515</v>
      </c>
      <c r="R2897" s="2" t="s">
        <v>1111</v>
      </c>
      <c r="S2897" s="56">
        <v>79002</v>
      </c>
      <c r="T2897" s="114"/>
    </row>
    <row r="2898" spans="1:88" s="223" customFormat="1" x14ac:dyDescent="0.2">
      <c r="A2898" s="8" t="str">
        <f t="shared" si="1510"/>
        <v>9613111</v>
      </c>
      <c r="B2898" s="8">
        <v>961</v>
      </c>
      <c r="C2898" s="8">
        <v>31</v>
      </c>
      <c r="D2898" s="8" t="s">
        <v>259</v>
      </c>
      <c r="E2898" s="8">
        <v>1</v>
      </c>
      <c r="F2898" s="34">
        <f t="shared" si="1511"/>
        <v>987525</v>
      </c>
      <c r="G2898" s="34">
        <f t="shared" si="1511"/>
        <v>987525</v>
      </c>
      <c r="H2898" s="34">
        <f t="shared" si="1512"/>
        <v>352687</v>
      </c>
      <c r="I2898" s="34">
        <f t="shared" si="1512"/>
        <v>352687</v>
      </c>
      <c r="J2898" s="34">
        <v>200029276</v>
      </c>
      <c r="K2898" s="133">
        <v>1000</v>
      </c>
      <c r="L2898" s="34"/>
      <c r="M2898" s="16">
        <f t="shared" si="1513"/>
        <v>21115702.955582377</v>
      </c>
      <c r="N2898" s="36">
        <v>850</v>
      </c>
      <c r="O2898" s="2" t="s">
        <v>87</v>
      </c>
      <c r="P2898" s="36">
        <v>188100</v>
      </c>
      <c r="Q2898" s="2" t="s">
        <v>484</v>
      </c>
      <c r="R2898" s="2" t="s">
        <v>1112</v>
      </c>
      <c r="S2898" s="56">
        <f t="shared" ref="S2898" si="1524">P2898*0.75</f>
        <v>141075</v>
      </c>
      <c r="T2898" s="114"/>
      <c r="U2898" s="293"/>
      <c r="V2898" s="293"/>
      <c r="W2898" s="293"/>
      <c r="X2898" s="293"/>
      <c r="Y2898" s="293"/>
      <c r="Z2898" s="293"/>
      <c r="AA2898" s="293"/>
      <c r="AB2898" s="293"/>
      <c r="AC2898" s="293"/>
      <c r="AD2898" s="293"/>
      <c r="AE2898" s="293"/>
      <c r="AF2898" s="293"/>
      <c r="AG2898" s="293"/>
      <c r="AH2898" s="293"/>
      <c r="AI2898" s="293"/>
      <c r="AJ2898" s="293"/>
      <c r="AK2898" s="293"/>
      <c r="AL2898" s="293"/>
      <c r="AM2898" s="293"/>
      <c r="AN2898" s="293"/>
      <c r="AO2898" s="293"/>
      <c r="AP2898" s="293"/>
      <c r="AQ2898" s="293"/>
      <c r="AR2898" s="293"/>
      <c r="AS2898" s="293"/>
      <c r="AT2898" s="293"/>
      <c r="AU2898" s="293"/>
      <c r="AV2898" s="293"/>
      <c r="AW2898" s="293"/>
      <c r="AX2898" s="293"/>
      <c r="AY2898" s="293"/>
      <c r="AZ2898" s="293"/>
      <c r="BA2898" s="293"/>
      <c r="BB2898" s="293"/>
      <c r="BC2898" s="293"/>
      <c r="BD2898" s="293"/>
      <c r="BE2898" s="293"/>
      <c r="BF2898" s="293"/>
      <c r="BG2898" s="293"/>
      <c r="BH2898" s="293"/>
      <c r="BI2898" s="293"/>
      <c r="BJ2898" s="293"/>
      <c r="BK2898" s="293"/>
      <c r="BL2898" s="293"/>
      <c r="BM2898" s="293"/>
      <c r="BN2898" s="293"/>
      <c r="BO2898" s="293"/>
      <c r="BP2898" s="293"/>
      <c r="BQ2898" s="293"/>
      <c r="BR2898" s="293"/>
      <c r="BS2898" s="293"/>
      <c r="BT2898" s="293"/>
      <c r="BU2898" s="293"/>
      <c r="BV2898" s="293"/>
      <c r="BW2898" s="293"/>
      <c r="BX2898" s="293"/>
      <c r="BY2898" s="293"/>
      <c r="BZ2898" s="293"/>
      <c r="CA2898" s="293"/>
      <c r="CB2898" s="293"/>
      <c r="CC2898" s="293"/>
      <c r="CD2898" s="293"/>
      <c r="CE2898" s="293"/>
      <c r="CF2898" s="293"/>
      <c r="CG2898" s="293"/>
      <c r="CH2898" s="293"/>
      <c r="CI2898" s="293"/>
      <c r="CJ2898" s="293"/>
    </row>
    <row r="2899" spans="1:88" s="292" customFormat="1" x14ac:dyDescent="0.2">
      <c r="A2899" s="285" t="str">
        <f t="shared" ref="A2899" si="1525">IF(B2899="","",CONCATENATE(B2899,CONCATENATE(REPT(0,2-LEN(C2899)),C2899),IF(OR(D2899="Easy",D2899=""),1,IF(D2899="Normal",2,IF(D2899="Hard",3,IF(D2899="Hell",4,"error")))),E2899))</f>
        <v>9613113</v>
      </c>
      <c r="B2899" s="285">
        <v>961</v>
      </c>
      <c r="C2899" s="285">
        <v>31</v>
      </c>
      <c r="D2899" s="285" t="s">
        <v>62</v>
      </c>
      <c r="E2899" s="285">
        <v>3</v>
      </c>
      <c r="F2899" s="286">
        <f t="shared" si="1511"/>
        <v>240500</v>
      </c>
      <c r="G2899" s="286">
        <f t="shared" si="1511"/>
        <v>240500</v>
      </c>
      <c r="H2899" s="286">
        <f t="shared" si="1512"/>
        <v>138750</v>
      </c>
      <c r="I2899" s="286">
        <f t="shared" si="1512"/>
        <v>138750</v>
      </c>
      <c r="J2899" s="286">
        <f t="shared" ref="J2899" si="1526">ROUNDDOWN($P2899/4*$O2899*10*$N2899/$Q2899*$N2899/400*0.8,0)</f>
        <v>2305384</v>
      </c>
      <c r="K2899" s="287">
        <v>1000</v>
      </c>
      <c r="L2899" s="286"/>
      <c r="M2899" s="288">
        <f t="shared" ref="M2899" si="1527">(F2899*J2899*((H2899+I2899)/2)/1000)^(1/2)/10*0.8</f>
        <v>701674.44628973061</v>
      </c>
      <c r="N2899" s="289">
        <v>900</v>
      </c>
      <c r="O2899" s="290" t="s">
        <v>87</v>
      </c>
      <c r="P2899" s="289">
        <v>74000</v>
      </c>
      <c r="Q2899" s="290" t="s">
        <v>415</v>
      </c>
      <c r="R2899" s="290" t="s">
        <v>1164</v>
      </c>
      <c r="S2899" s="291">
        <v>55500</v>
      </c>
      <c r="T2899" s="116"/>
      <c r="U2899" s="293"/>
      <c r="V2899" s="293"/>
      <c r="W2899" s="293"/>
      <c r="X2899" s="293"/>
      <c r="Y2899" s="293"/>
      <c r="Z2899" s="293"/>
      <c r="AA2899" s="293"/>
      <c r="AB2899" s="293"/>
      <c r="AC2899" s="293"/>
      <c r="AD2899" s="293"/>
      <c r="AE2899" s="293"/>
      <c r="AF2899" s="293"/>
      <c r="AG2899" s="293"/>
      <c r="AH2899" s="293"/>
      <c r="AI2899" s="293"/>
      <c r="AJ2899" s="293"/>
      <c r="AK2899" s="293"/>
      <c r="AL2899" s="293"/>
      <c r="AM2899" s="293"/>
      <c r="AN2899" s="293"/>
      <c r="AO2899" s="293"/>
      <c r="AP2899" s="293"/>
      <c r="AQ2899" s="293"/>
      <c r="AR2899" s="293"/>
      <c r="AS2899" s="293"/>
      <c r="AT2899" s="293"/>
      <c r="AU2899" s="293"/>
      <c r="AV2899" s="293"/>
      <c r="AW2899" s="293"/>
      <c r="AX2899" s="293"/>
      <c r="AY2899" s="293"/>
      <c r="AZ2899" s="293"/>
      <c r="BA2899" s="293"/>
      <c r="BB2899" s="293"/>
      <c r="BC2899" s="293"/>
      <c r="BD2899" s="293"/>
      <c r="BE2899" s="293"/>
      <c r="BF2899" s="293"/>
      <c r="BG2899" s="293"/>
      <c r="BH2899" s="293"/>
      <c r="BI2899" s="293"/>
      <c r="BJ2899" s="293"/>
      <c r="BK2899" s="293"/>
      <c r="BL2899" s="293"/>
      <c r="BM2899" s="293"/>
      <c r="BN2899" s="293"/>
      <c r="BO2899" s="293"/>
      <c r="BP2899" s="293"/>
      <c r="BQ2899" s="293"/>
      <c r="BR2899" s="293"/>
      <c r="BS2899" s="293"/>
      <c r="BT2899" s="293"/>
      <c r="BU2899" s="293"/>
      <c r="BV2899" s="293"/>
      <c r="BW2899" s="293"/>
      <c r="BX2899" s="293"/>
      <c r="BY2899" s="293"/>
      <c r="BZ2899" s="293"/>
      <c r="CA2899" s="293"/>
      <c r="CB2899" s="293"/>
      <c r="CC2899" s="293"/>
      <c r="CD2899" s="293"/>
      <c r="CE2899" s="293"/>
      <c r="CF2899" s="293"/>
      <c r="CG2899" s="293"/>
      <c r="CH2899" s="293"/>
      <c r="CI2899" s="293"/>
      <c r="CJ2899" s="293"/>
    </row>
    <row r="2900" spans="1:88" ht="30.75" customHeight="1" x14ac:dyDescent="0.2">
      <c r="A2900" s="8" t="str">
        <f t="shared" si="1510"/>
        <v/>
      </c>
      <c r="B2900" s="259"/>
      <c r="C2900" s="260" t="s">
        <v>1113</v>
      </c>
      <c r="D2900" s="259"/>
      <c r="E2900" s="259"/>
      <c r="F2900" s="259"/>
      <c r="G2900" s="259"/>
      <c r="H2900" s="259"/>
      <c r="I2900" s="259"/>
      <c r="J2900" s="259"/>
      <c r="K2900" s="261"/>
      <c r="L2900" s="259"/>
      <c r="M2900" s="262"/>
      <c r="N2900" s="259"/>
      <c r="O2900" s="259"/>
      <c r="P2900" s="259"/>
      <c r="Q2900" s="259"/>
      <c r="R2900" s="259"/>
      <c r="S2900" s="263"/>
    </row>
    <row r="2901" spans="1:88" x14ac:dyDescent="0.2">
      <c r="A2901" s="8" t="str">
        <f t="shared" si="1510"/>
        <v>9520119</v>
      </c>
      <c r="B2901" s="8">
        <v>952</v>
      </c>
      <c r="C2901" s="8">
        <v>1</v>
      </c>
      <c r="D2901" s="8" t="s">
        <v>259</v>
      </c>
      <c r="E2901" s="8">
        <v>9</v>
      </c>
      <c r="F2901" s="294">
        <v>1347049</v>
      </c>
      <c r="G2901" s="294">
        <v>1347049</v>
      </c>
      <c r="H2901" s="294">
        <v>165749</v>
      </c>
      <c r="I2901" s="294">
        <v>165749</v>
      </c>
      <c r="J2901" s="294">
        <v>4132630</v>
      </c>
      <c r="K2901" s="133">
        <v>1000</v>
      </c>
      <c r="L2901" s="34"/>
      <c r="M2901" s="16">
        <f t="shared" ref="M2901:M2904" si="1528">(F2901*J2901*((H2901+I2901)/2)/1000)^(1/2)/10*0.8</f>
        <v>2430079.0669475342</v>
      </c>
      <c r="N2901" s="36">
        <v>820</v>
      </c>
      <c r="O2901" s="2" t="s">
        <v>243</v>
      </c>
      <c r="P2901" s="2" t="s">
        <v>363</v>
      </c>
      <c r="Q2901" s="2" t="s">
        <v>196</v>
      </c>
      <c r="R2901" s="2" t="s">
        <v>1115</v>
      </c>
      <c r="S2901" s="36">
        <v>7585</v>
      </c>
    </row>
    <row r="2902" spans="1:88" x14ac:dyDescent="0.2">
      <c r="A2902" s="8" t="str">
        <f t="shared" si="1510"/>
        <v>9521119</v>
      </c>
      <c r="B2902" s="8">
        <v>952</v>
      </c>
      <c r="C2902" s="8">
        <v>11</v>
      </c>
      <c r="D2902" s="8" t="s">
        <v>62</v>
      </c>
      <c r="E2902" s="8">
        <v>9</v>
      </c>
      <c r="F2902" s="294">
        <v>5823484</v>
      </c>
      <c r="G2902" s="294">
        <v>5823484</v>
      </c>
      <c r="H2902" s="294">
        <v>305679</v>
      </c>
      <c r="I2902" s="294">
        <v>305679</v>
      </c>
      <c r="J2902" s="294">
        <v>72162962</v>
      </c>
      <c r="K2902" s="133">
        <v>1000</v>
      </c>
      <c r="L2902" s="34"/>
      <c r="M2902" s="16">
        <f t="shared" si="1528"/>
        <v>28672885.981194552</v>
      </c>
      <c r="N2902" s="36">
        <v>820</v>
      </c>
      <c r="O2902" s="36">
        <v>20</v>
      </c>
      <c r="P2902" s="36">
        <v>27000</v>
      </c>
      <c r="Q2902" s="2" t="s">
        <v>364</v>
      </c>
      <c r="R2902" s="2" t="s">
        <v>1116</v>
      </c>
      <c r="S2902" s="36">
        <v>12372</v>
      </c>
      <c r="T2902" s="114"/>
    </row>
    <row r="2903" spans="1:88" x14ac:dyDescent="0.2">
      <c r="A2903" s="8" t="str">
        <f t="shared" si="1510"/>
        <v>9522119</v>
      </c>
      <c r="B2903" s="8">
        <v>952</v>
      </c>
      <c r="C2903" s="8">
        <v>21</v>
      </c>
      <c r="D2903" s="8" t="s">
        <v>62</v>
      </c>
      <c r="E2903" s="8">
        <v>9</v>
      </c>
      <c r="F2903" s="294">
        <v>5816987</v>
      </c>
      <c r="G2903" s="294">
        <v>5816987</v>
      </c>
      <c r="H2903" s="294">
        <v>143989</v>
      </c>
      <c r="I2903" s="294">
        <v>143989</v>
      </c>
      <c r="J2903" s="34">
        <v>142826738</v>
      </c>
      <c r="K2903" s="133">
        <v>1000</v>
      </c>
      <c r="L2903" s="34"/>
      <c r="M2903" s="16">
        <f t="shared" si="1528"/>
        <v>27669954.827748921</v>
      </c>
      <c r="N2903" s="36">
        <v>900</v>
      </c>
      <c r="O2903" s="36">
        <v>25</v>
      </c>
      <c r="P2903" s="36">
        <v>150000</v>
      </c>
      <c r="Q2903" s="2" t="s">
        <v>360</v>
      </c>
      <c r="R2903" s="2" t="s">
        <v>1117</v>
      </c>
      <c r="S2903" s="56">
        <f>P2903*0.45</f>
        <v>67500</v>
      </c>
      <c r="T2903" s="114"/>
    </row>
    <row r="2904" spans="1:88" x14ac:dyDescent="0.2">
      <c r="A2904" s="8" t="str">
        <f t="shared" si="1510"/>
        <v>9523119</v>
      </c>
      <c r="B2904" s="8">
        <v>952</v>
      </c>
      <c r="C2904" s="8">
        <v>31</v>
      </c>
      <c r="D2904" s="8" t="s">
        <v>62</v>
      </c>
      <c r="E2904" s="8">
        <v>9</v>
      </c>
      <c r="F2904" s="34">
        <f t="shared" ref="F2904:G2909" si="1529">ROUNDDOWN($P2904/4*MIN($O2904,4)*10*$N2904/$N2904*$Q2904/400,0)</f>
        <v>4544100</v>
      </c>
      <c r="G2904" s="34">
        <f t="shared" si="1529"/>
        <v>4544100</v>
      </c>
      <c r="H2904" s="34">
        <v>113696</v>
      </c>
      <c r="I2904" s="34">
        <v>113696</v>
      </c>
      <c r="J2904" s="294">
        <v>468610312</v>
      </c>
      <c r="K2904" s="133">
        <v>1000</v>
      </c>
      <c r="L2904" s="34"/>
      <c r="M2904" s="16">
        <f t="shared" si="1528"/>
        <v>39363385.240962885</v>
      </c>
      <c r="N2904" s="36">
        <v>1000</v>
      </c>
      <c r="O2904" s="36">
        <v>27</v>
      </c>
      <c r="P2904" s="36">
        <v>336600</v>
      </c>
      <c r="Q2904" s="2" t="s">
        <v>250</v>
      </c>
      <c r="R2904" s="2" t="s">
        <v>1118</v>
      </c>
      <c r="S2904" s="56">
        <f>P2904*0.38</f>
        <v>127908</v>
      </c>
      <c r="T2904" s="114"/>
    </row>
    <row r="2905" spans="1:88" ht="30.75" customHeight="1" x14ac:dyDescent="0.2">
      <c r="A2905" s="8" t="str">
        <f t="shared" ref="A2905:A2914" si="1530">IF(B2905="","",CONCATENATE(B2905,CONCATENATE(REPT(0,2-LEN(C2905)),C2905),IF(OR(D2905="Easy",D2905=""),1,IF(D2905="Normal",2,IF(D2905="Hard",3,IF(D2905="Hell",4,"error")))),E2905))</f>
        <v/>
      </c>
      <c r="B2905" s="259"/>
      <c r="C2905" s="260" t="s">
        <v>1114</v>
      </c>
      <c r="D2905" s="259"/>
      <c r="E2905" s="259"/>
      <c r="F2905" s="259"/>
      <c r="G2905" s="259"/>
      <c r="H2905" s="259"/>
      <c r="I2905" s="259"/>
      <c r="J2905" s="259"/>
      <c r="K2905" s="261"/>
      <c r="L2905" s="259"/>
      <c r="M2905" s="262"/>
      <c r="N2905" s="259"/>
      <c r="O2905" s="259"/>
      <c r="P2905" s="259"/>
      <c r="Q2905" s="259"/>
      <c r="R2905" s="259"/>
      <c r="S2905" s="263"/>
    </row>
    <row r="2906" spans="1:88" x14ac:dyDescent="0.2">
      <c r="A2906" s="8" t="str">
        <f t="shared" si="1530"/>
        <v>9620119</v>
      </c>
      <c r="B2906" s="8">
        <v>962</v>
      </c>
      <c r="C2906" s="8">
        <v>1</v>
      </c>
      <c r="D2906" s="8" t="s">
        <v>259</v>
      </c>
      <c r="E2906" s="8">
        <v>9</v>
      </c>
      <c r="F2906" s="294">
        <v>1347049</v>
      </c>
      <c r="G2906" s="294">
        <v>1347049</v>
      </c>
      <c r="H2906" s="294">
        <v>165749</v>
      </c>
      <c r="I2906" s="294">
        <v>165749</v>
      </c>
      <c r="J2906" s="294">
        <v>4132630</v>
      </c>
      <c r="K2906" s="133">
        <v>1000</v>
      </c>
      <c r="L2906" s="34"/>
      <c r="M2906" s="16">
        <f t="shared" ref="M2906:M2909" si="1531">(F2906*J2906*((H2906+I2906)/2)/1000)^(1/2)/10*0.8</f>
        <v>2430079.0669475342</v>
      </c>
      <c r="N2906" s="36">
        <v>820</v>
      </c>
      <c r="O2906" s="2" t="s">
        <v>243</v>
      </c>
      <c r="P2906" s="2" t="s">
        <v>363</v>
      </c>
      <c r="Q2906" s="2" t="s">
        <v>196</v>
      </c>
      <c r="R2906" s="2" t="s">
        <v>1115</v>
      </c>
      <c r="S2906" s="36">
        <v>7585</v>
      </c>
      <c r="T2906" s="114"/>
    </row>
    <row r="2907" spans="1:88" x14ac:dyDescent="0.2">
      <c r="A2907" s="8" t="str">
        <f t="shared" si="1530"/>
        <v>9621119</v>
      </c>
      <c r="B2907" s="8">
        <v>962</v>
      </c>
      <c r="C2907" s="8">
        <v>11</v>
      </c>
      <c r="D2907" s="8" t="s">
        <v>62</v>
      </c>
      <c r="E2907" s="8">
        <v>9</v>
      </c>
      <c r="F2907" s="294">
        <v>5823484</v>
      </c>
      <c r="G2907" s="294">
        <v>5823484</v>
      </c>
      <c r="H2907" s="294">
        <v>305679</v>
      </c>
      <c r="I2907" s="294">
        <v>305679</v>
      </c>
      <c r="J2907" s="294">
        <v>72162962</v>
      </c>
      <c r="K2907" s="133">
        <v>1000</v>
      </c>
      <c r="L2907" s="34"/>
      <c r="M2907" s="16">
        <f t="shared" si="1531"/>
        <v>28672885.981194552</v>
      </c>
      <c r="N2907" s="36">
        <v>820</v>
      </c>
      <c r="O2907" s="36">
        <v>20</v>
      </c>
      <c r="P2907" s="36">
        <v>27000</v>
      </c>
      <c r="Q2907" s="2" t="s">
        <v>364</v>
      </c>
      <c r="R2907" s="2" t="s">
        <v>1116</v>
      </c>
      <c r="S2907" s="36">
        <v>12372</v>
      </c>
      <c r="T2907" s="114"/>
    </row>
    <row r="2908" spans="1:88" x14ac:dyDescent="0.2">
      <c r="A2908" s="8" t="str">
        <f t="shared" si="1530"/>
        <v>9622119</v>
      </c>
      <c r="B2908" s="8">
        <v>962</v>
      </c>
      <c r="C2908" s="8">
        <v>21</v>
      </c>
      <c r="D2908" s="8" t="s">
        <v>62</v>
      </c>
      <c r="E2908" s="8">
        <v>9</v>
      </c>
      <c r="F2908" s="294">
        <v>5816987</v>
      </c>
      <c r="G2908" s="294">
        <v>5816987</v>
      </c>
      <c r="H2908" s="294">
        <v>143989</v>
      </c>
      <c r="I2908" s="294">
        <v>143989</v>
      </c>
      <c r="J2908" s="294">
        <v>142826738</v>
      </c>
      <c r="K2908" s="133">
        <v>1000</v>
      </c>
      <c r="L2908" s="34"/>
      <c r="M2908" s="16">
        <f t="shared" si="1531"/>
        <v>27669954.827748921</v>
      </c>
      <c r="N2908" s="36">
        <v>900</v>
      </c>
      <c r="O2908" s="36">
        <v>25</v>
      </c>
      <c r="P2908" s="36">
        <v>150000</v>
      </c>
      <c r="Q2908" s="2" t="s">
        <v>360</v>
      </c>
      <c r="R2908" s="2" t="s">
        <v>1117</v>
      </c>
      <c r="S2908" s="56">
        <f>P2908*0.45</f>
        <v>67500</v>
      </c>
      <c r="T2908" s="114"/>
    </row>
    <row r="2909" spans="1:88" x14ac:dyDescent="0.2">
      <c r="A2909" s="8" t="str">
        <f t="shared" si="1530"/>
        <v>9623119</v>
      </c>
      <c r="B2909" s="8">
        <v>962</v>
      </c>
      <c r="C2909" s="8">
        <v>31</v>
      </c>
      <c r="D2909" s="8" t="s">
        <v>62</v>
      </c>
      <c r="E2909" s="8">
        <v>9</v>
      </c>
      <c r="F2909" s="34">
        <f t="shared" si="1529"/>
        <v>4544100</v>
      </c>
      <c r="G2909" s="34">
        <f t="shared" si="1529"/>
        <v>4544100</v>
      </c>
      <c r="H2909" s="34">
        <v>113696</v>
      </c>
      <c r="I2909" s="34">
        <v>113696</v>
      </c>
      <c r="J2909" s="294">
        <v>468610312</v>
      </c>
      <c r="K2909" s="133">
        <v>1000</v>
      </c>
      <c r="L2909" s="34"/>
      <c r="M2909" s="16">
        <f t="shared" si="1531"/>
        <v>39363385.240962885</v>
      </c>
      <c r="N2909" s="36">
        <v>1000</v>
      </c>
      <c r="O2909" s="36">
        <v>27</v>
      </c>
      <c r="P2909" s="36">
        <v>336600</v>
      </c>
      <c r="Q2909" s="2" t="s">
        <v>250</v>
      </c>
      <c r="R2909" s="2" t="s">
        <v>1118</v>
      </c>
      <c r="S2909" s="56">
        <f>P2909*0.38</f>
        <v>127908</v>
      </c>
      <c r="T2909" s="114"/>
    </row>
    <row r="2910" spans="1:88" ht="30.75" customHeight="1" x14ac:dyDescent="0.2">
      <c r="A2910" s="8" t="str">
        <f t="shared" si="1530"/>
        <v/>
      </c>
      <c r="B2910" s="259"/>
      <c r="C2910" s="260" t="s">
        <v>1119</v>
      </c>
      <c r="D2910" s="259"/>
      <c r="E2910" s="259"/>
      <c r="F2910" s="259"/>
      <c r="G2910" s="259"/>
      <c r="H2910" s="259"/>
      <c r="I2910" s="259"/>
      <c r="J2910" s="259"/>
      <c r="K2910" s="261"/>
      <c r="L2910" s="259"/>
      <c r="M2910" s="262"/>
      <c r="N2910" s="259"/>
      <c r="O2910" s="259"/>
      <c r="P2910" s="259"/>
      <c r="Q2910" s="259"/>
      <c r="R2910" s="259"/>
      <c r="S2910" s="263"/>
    </row>
    <row r="2911" spans="1:88" x14ac:dyDescent="0.2">
      <c r="A2911" s="8" t="str">
        <f t="shared" si="1530"/>
        <v>9530119</v>
      </c>
      <c r="B2911" s="8">
        <v>953</v>
      </c>
      <c r="C2911" s="8">
        <v>1</v>
      </c>
      <c r="D2911" s="8" t="s">
        <v>259</v>
      </c>
      <c r="E2911" s="8">
        <v>9</v>
      </c>
      <c r="F2911" s="294">
        <v>404233</v>
      </c>
      <c r="G2911" s="294">
        <v>404233</v>
      </c>
      <c r="H2911" s="294">
        <v>44184</v>
      </c>
      <c r="I2911" s="294">
        <v>44184</v>
      </c>
      <c r="J2911" s="294">
        <v>1157239</v>
      </c>
      <c r="K2911" s="133">
        <v>1000</v>
      </c>
      <c r="L2911" s="34"/>
      <c r="M2911" s="16">
        <f t="shared" ref="M2911:M2914" si="1532">(F2911*J2911*((H2911+I2911)/2)/1000)^(1/2)/10*0.8</f>
        <v>363705.53900369379</v>
      </c>
      <c r="N2911" s="36">
        <v>820</v>
      </c>
      <c r="O2911" s="2" t="s">
        <v>243</v>
      </c>
      <c r="P2911" s="2" t="s">
        <v>363</v>
      </c>
      <c r="Q2911" s="2" t="s">
        <v>196</v>
      </c>
      <c r="R2911" s="2" t="s">
        <v>1121</v>
      </c>
      <c r="S2911" s="36">
        <v>6321</v>
      </c>
    </row>
    <row r="2912" spans="1:88" x14ac:dyDescent="0.2">
      <c r="A2912" s="8" t="str">
        <f t="shared" si="1530"/>
        <v>9531119</v>
      </c>
      <c r="B2912" s="8">
        <v>953</v>
      </c>
      <c r="C2912" s="8">
        <v>11</v>
      </c>
      <c r="D2912" s="8" t="s">
        <v>62</v>
      </c>
      <c r="E2912" s="8">
        <v>9</v>
      </c>
      <c r="F2912" s="294">
        <v>624188</v>
      </c>
      <c r="G2912" s="294">
        <v>624188</v>
      </c>
      <c r="H2912" s="294">
        <v>40743</v>
      </c>
      <c r="I2912" s="294">
        <v>40743</v>
      </c>
      <c r="J2912" s="294">
        <v>54124491</v>
      </c>
      <c r="K2912" s="133">
        <v>1000</v>
      </c>
      <c r="L2912" s="34"/>
      <c r="M2912" s="16">
        <f t="shared" si="1532"/>
        <v>2968049.2910936996</v>
      </c>
      <c r="N2912" s="36">
        <v>820</v>
      </c>
      <c r="O2912" s="36">
        <v>20</v>
      </c>
      <c r="P2912" s="36">
        <v>27000</v>
      </c>
      <c r="Q2912" s="2" t="s">
        <v>364</v>
      </c>
      <c r="R2912" s="2" t="s">
        <v>1122</v>
      </c>
      <c r="S2912" s="36">
        <v>10310</v>
      </c>
      <c r="T2912" s="114"/>
    </row>
    <row r="2913" spans="1:20" x14ac:dyDescent="0.2">
      <c r="A2913" s="8" t="str">
        <f t="shared" si="1530"/>
        <v>9532119</v>
      </c>
      <c r="B2913" s="8">
        <v>953</v>
      </c>
      <c r="C2913" s="8">
        <v>21</v>
      </c>
      <c r="D2913" s="8" t="s">
        <v>62</v>
      </c>
      <c r="E2913" s="8">
        <v>9</v>
      </c>
      <c r="F2913" s="294">
        <v>1346667</v>
      </c>
      <c r="G2913" s="294">
        <v>1346667</v>
      </c>
      <c r="H2913" s="294">
        <v>46676</v>
      </c>
      <c r="I2913" s="294">
        <v>46676</v>
      </c>
      <c r="J2913" s="294">
        <v>403707896</v>
      </c>
      <c r="K2913" s="133">
        <v>1000</v>
      </c>
      <c r="L2913" s="34"/>
      <c r="M2913" s="16">
        <f t="shared" si="1532"/>
        <v>12743846.548429692</v>
      </c>
      <c r="N2913" s="36">
        <v>900</v>
      </c>
      <c r="O2913" s="36">
        <v>25</v>
      </c>
      <c r="P2913" s="36">
        <v>150000</v>
      </c>
      <c r="Q2913" s="2" t="s">
        <v>360</v>
      </c>
      <c r="R2913" s="2" t="s">
        <v>1123</v>
      </c>
      <c r="S2913" s="56">
        <v>35000</v>
      </c>
      <c r="T2913" s="114"/>
    </row>
    <row r="2914" spans="1:20" x14ac:dyDescent="0.2">
      <c r="A2914" s="8" t="str">
        <f t="shared" si="1530"/>
        <v>9533119</v>
      </c>
      <c r="B2914" s="8">
        <v>953</v>
      </c>
      <c r="C2914" s="8">
        <v>31</v>
      </c>
      <c r="D2914" s="8" t="s">
        <v>62</v>
      </c>
      <c r="E2914" s="8">
        <v>9</v>
      </c>
      <c r="F2914" s="294">
        <v>1948305</v>
      </c>
      <c r="G2914" s="294">
        <v>1948305</v>
      </c>
      <c r="H2914" s="294">
        <v>43299</v>
      </c>
      <c r="I2914" s="294">
        <v>43299</v>
      </c>
      <c r="J2914" s="294">
        <v>1315044366</v>
      </c>
      <c r="K2914" s="133">
        <v>1000</v>
      </c>
      <c r="L2914" s="34"/>
      <c r="M2914" s="16">
        <f t="shared" si="1532"/>
        <v>26645728.300291047</v>
      </c>
      <c r="N2914" s="36">
        <v>1000</v>
      </c>
      <c r="O2914" s="36">
        <v>27</v>
      </c>
      <c r="P2914" s="36">
        <v>336600</v>
      </c>
      <c r="Q2914" s="2" t="s">
        <v>250</v>
      </c>
      <c r="R2914" s="2" t="s">
        <v>1124</v>
      </c>
      <c r="S2914" s="56">
        <v>37400</v>
      </c>
      <c r="T2914" s="114"/>
    </row>
    <row r="2915" spans="1:20" ht="30.75" customHeight="1" x14ac:dyDescent="0.2">
      <c r="A2915" s="8" t="str">
        <f t="shared" ref="A2915:A2922" si="1533">IF(B2915="","",CONCATENATE(B2915,CONCATENATE(REPT(0,2-LEN(C2915)),C2915),IF(OR(D2915="Easy",D2915=""),1,IF(D2915="Normal",2,IF(D2915="Hard",3,IF(D2915="Hell",4,"error")))),E2915))</f>
        <v/>
      </c>
      <c r="B2915" s="259"/>
      <c r="C2915" s="260" t="s">
        <v>1120</v>
      </c>
      <c r="D2915" s="259"/>
      <c r="E2915" s="259"/>
      <c r="F2915" s="259"/>
      <c r="G2915" s="259"/>
      <c r="H2915" s="259"/>
      <c r="I2915" s="259"/>
      <c r="J2915" s="259"/>
      <c r="K2915" s="261"/>
      <c r="L2915" s="259"/>
      <c r="M2915" s="262"/>
      <c r="N2915" s="259"/>
      <c r="O2915" s="259"/>
      <c r="P2915" s="259"/>
      <c r="Q2915" s="259"/>
      <c r="R2915" s="259"/>
      <c r="S2915" s="263"/>
    </row>
    <row r="2916" spans="1:20" x14ac:dyDescent="0.2">
      <c r="A2916" s="8" t="str">
        <f t="shared" si="1533"/>
        <v>9630119</v>
      </c>
      <c r="B2916" s="8">
        <v>963</v>
      </c>
      <c r="C2916" s="8">
        <v>1</v>
      </c>
      <c r="D2916" s="8" t="s">
        <v>259</v>
      </c>
      <c r="E2916" s="8">
        <v>9</v>
      </c>
      <c r="F2916" s="294">
        <v>404233</v>
      </c>
      <c r="G2916" s="294">
        <v>404233</v>
      </c>
      <c r="H2916" s="294">
        <v>44184</v>
      </c>
      <c r="I2916" s="294">
        <v>44184</v>
      </c>
      <c r="J2916" s="294">
        <v>1157239</v>
      </c>
      <c r="K2916" s="133">
        <v>1000</v>
      </c>
      <c r="L2916" s="34"/>
      <c r="M2916" s="16">
        <f t="shared" ref="M2916:M2919" si="1534">(F2916*J2916*((H2916+I2916)/2)/1000)^(1/2)/10*0.8</f>
        <v>363705.53900369379</v>
      </c>
      <c r="N2916" s="36">
        <v>820</v>
      </c>
      <c r="O2916" s="2" t="s">
        <v>243</v>
      </c>
      <c r="P2916" s="2" t="s">
        <v>363</v>
      </c>
      <c r="Q2916" s="2" t="s">
        <v>196</v>
      </c>
      <c r="R2916" s="2" t="s">
        <v>1121</v>
      </c>
      <c r="S2916" s="36">
        <v>6321</v>
      </c>
      <c r="T2916" s="114"/>
    </row>
    <row r="2917" spans="1:20" x14ac:dyDescent="0.2">
      <c r="A2917" s="8" t="str">
        <f t="shared" si="1533"/>
        <v>9631119</v>
      </c>
      <c r="B2917" s="8">
        <v>963</v>
      </c>
      <c r="C2917" s="8">
        <v>11</v>
      </c>
      <c r="D2917" s="8" t="s">
        <v>62</v>
      </c>
      <c r="E2917" s="8">
        <v>9</v>
      </c>
      <c r="F2917" s="294">
        <v>624188</v>
      </c>
      <c r="G2917" s="294">
        <v>624188</v>
      </c>
      <c r="H2917" s="294">
        <v>40743</v>
      </c>
      <c r="I2917" s="294">
        <v>40743</v>
      </c>
      <c r="J2917" s="294">
        <v>54124491</v>
      </c>
      <c r="K2917" s="133">
        <v>1000</v>
      </c>
      <c r="L2917" s="34"/>
      <c r="M2917" s="16">
        <f t="shared" si="1534"/>
        <v>2968049.2910936996</v>
      </c>
      <c r="N2917" s="36">
        <v>820</v>
      </c>
      <c r="O2917" s="36">
        <v>20</v>
      </c>
      <c r="P2917" s="36">
        <v>27000</v>
      </c>
      <c r="Q2917" s="2" t="s">
        <v>364</v>
      </c>
      <c r="R2917" s="2" t="s">
        <v>1122</v>
      </c>
      <c r="S2917" s="36">
        <v>10310</v>
      </c>
      <c r="T2917" s="114"/>
    </row>
    <row r="2918" spans="1:20" x14ac:dyDescent="0.2">
      <c r="A2918" s="8" t="str">
        <f t="shared" si="1533"/>
        <v>9632119</v>
      </c>
      <c r="B2918" s="8">
        <v>963</v>
      </c>
      <c r="C2918" s="8">
        <v>21</v>
      </c>
      <c r="D2918" s="8" t="s">
        <v>62</v>
      </c>
      <c r="E2918" s="8">
        <v>9</v>
      </c>
      <c r="F2918" s="294">
        <v>1346667</v>
      </c>
      <c r="G2918" s="294">
        <v>1346667</v>
      </c>
      <c r="H2918" s="294">
        <v>46676</v>
      </c>
      <c r="I2918" s="294">
        <v>46676</v>
      </c>
      <c r="J2918" s="294">
        <v>403707896</v>
      </c>
      <c r="K2918" s="133">
        <v>1000</v>
      </c>
      <c r="L2918" s="34"/>
      <c r="M2918" s="16">
        <f t="shared" si="1534"/>
        <v>12743846.548429692</v>
      </c>
      <c r="N2918" s="36">
        <v>900</v>
      </c>
      <c r="O2918" s="36">
        <v>25</v>
      </c>
      <c r="P2918" s="36">
        <v>150000</v>
      </c>
      <c r="Q2918" s="2" t="s">
        <v>360</v>
      </c>
      <c r="R2918" s="2" t="s">
        <v>1123</v>
      </c>
      <c r="S2918" s="56">
        <v>35000</v>
      </c>
      <c r="T2918" s="114"/>
    </row>
    <row r="2919" spans="1:20" x14ac:dyDescent="0.2">
      <c r="A2919" s="8" t="str">
        <f t="shared" si="1533"/>
        <v>9633119</v>
      </c>
      <c r="B2919" s="8">
        <v>963</v>
      </c>
      <c r="C2919" s="8">
        <v>31</v>
      </c>
      <c r="D2919" s="8" t="s">
        <v>62</v>
      </c>
      <c r="E2919" s="8">
        <v>9</v>
      </c>
      <c r="F2919" s="294">
        <v>1948305</v>
      </c>
      <c r="G2919" s="294">
        <v>1948305</v>
      </c>
      <c r="H2919" s="294">
        <v>43299</v>
      </c>
      <c r="I2919" s="294">
        <v>43299</v>
      </c>
      <c r="J2919" s="294">
        <v>1315044366</v>
      </c>
      <c r="K2919" s="133">
        <v>1000</v>
      </c>
      <c r="L2919" s="34"/>
      <c r="M2919" s="16">
        <f t="shared" si="1534"/>
        <v>26645728.300291047</v>
      </c>
      <c r="N2919" s="36">
        <v>1000</v>
      </c>
      <c r="O2919" s="36">
        <v>27</v>
      </c>
      <c r="P2919" s="36">
        <v>336600</v>
      </c>
      <c r="Q2919" s="2" t="s">
        <v>250</v>
      </c>
      <c r="R2919" s="2" t="s">
        <v>1124</v>
      </c>
      <c r="S2919" s="56">
        <v>37400</v>
      </c>
      <c r="T2919" s="114"/>
    </row>
    <row r="2920" spans="1:20" ht="30.75" customHeight="1" x14ac:dyDescent="0.2">
      <c r="A2920" s="8" t="str">
        <f t="shared" si="1533"/>
        <v/>
      </c>
      <c r="B2920" s="259"/>
      <c r="C2920" s="260" t="s">
        <v>1125</v>
      </c>
      <c r="D2920" s="259"/>
      <c r="E2920" s="259"/>
      <c r="F2920" s="259"/>
      <c r="G2920" s="259"/>
      <c r="H2920" s="259"/>
      <c r="I2920" s="259"/>
      <c r="J2920" s="259"/>
      <c r="K2920" s="261"/>
      <c r="L2920" s="259"/>
      <c r="M2920" s="262"/>
      <c r="N2920" s="259"/>
      <c r="O2920" s="259"/>
      <c r="P2920" s="259"/>
      <c r="Q2920" s="259"/>
      <c r="R2920" s="259"/>
      <c r="S2920" s="263"/>
    </row>
    <row r="2921" spans="1:20" s="223" customFormat="1" x14ac:dyDescent="0.2">
      <c r="A2921" s="285" t="str">
        <f t="shared" si="1533"/>
        <v>9540119</v>
      </c>
      <c r="B2921" s="285">
        <v>954</v>
      </c>
      <c r="C2921" s="285">
        <v>1</v>
      </c>
      <c r="D2921" s="285" t="s">
        <v>259</v>
      </c>
      <c r="E2921" s="285">
        <v>9</v>
      </c>
      <c r="F2921" s="286">
        <f t="shared" ref="F2921:G2936" si="1535">ROUNDDOWN($P2921/4*MIN($O2921,4)*10*$N2921/$N2921*$Q2921/400,0)</f>
        <v>331597</v>
      </c>
      <c r="G2921" s="286">
        <f t="shared" si="1535"/>
        <v>331597</v>
      </c>
      <c r="H2921" s="286">
        <f t="shared" ref="H2921:I2936" si="1536">ROUNDDOWN($S2921/4*10,0)</f>
        <v>268750</v>
      </c>
      <c r="I2921" s="286">
        <f t="shared" si="1536"/>
        <v>268750</v>
      </c>
      <c r="J2921" s="286">
        <v>1001669750</v>
      </c>
      <c r="K2921" s="287">
        <v>1000</v>
      </c>
      <c r="L2921" s="286"/>
      <c r="M2921" s="288">
        <f t="shared" ref="M2921:M2932" si="1537">(F2921*J2921*((H2921+I2921)/2)/1000)^(1/2)/10*0.8</f>
        <v>23901865.547192965</v>
      </c>
      <c r="N2921" s="289">
        <v>1300</v>
      </c>
      <c r="O2921" s="289">
        <v>10</v>
      </c>
      <c r="P2921" s="289">
        <v>88426</v>
      </c>
      <c r="Q2921" s="290" t="s">
        <v>284</v>
      </c>
      <c r="R2921" s="290" t="s">
        <v>1131</v>
      </c>
      <c r="S2921" s="291">
        <v>107500</v>
      </c>
      <c r="T2921" s="2"/>
    </row>
    <row r="2922" spans="1:20" s="223" customFormat="1" x14ac:dyDescent="0.2">
      <c r="A2922" s="8" t="str">
        <f t="shared" si="1533"/>
        <v>9540111</v>
      </c>
      <c r="B2922" s="8">
        <v>954</v>
      </c>
      <c r="C2922" s="8">
        <v>1</v>
      </c>
      <c r="D2922" s="8" t="s">
        <v>259</v>
      </c>
      <c r="E2922" s="8">
        <v>1</v>
      </c>
      <c r="F2922" s="34">
        <f t="shared" si="1535"/>
        <v>307275</v>
      </c>
      <c r="G2922" s="34">
        <f t="shared" si="1535"/>
        <v>307275</v>
      </c>
      <c r="H2922" s="34">
        <f t="shared" si="1536"/>
        <v>139500</v>
      </c>
      <c r="I2922" s="34">
        <f t="shared" si="1536"/>
        <v>139500</v>
      </c>
      <c r="J2922" s="34">
        <v>218971200</v>
      </c>
      <c r="K2922" s="133">
        <v>1000</v>
      </c>
      <c r="L2922" s="34"/>
      <c r="M2922" s="16">
        <f t="shared" si="1537"/>
        <v>7750580.0059443302</v>
      </c>
      <c r="N2922" s="36">
        <v>420</v>
      </c>
      <c r="O2922" s="2" t="s">
        <v>87</v>
      </c>
      <c r="P2922" s="36">
        <v>81940</v>
      </c>
      <c r="Q2922" s="2" t="s">
        <v>284</v>
      </c>
      <c r="R2922" s="2" t="s">
        <v>1129</v>
      </c>
      <c r="S2922" s="56">
        <v>55800</v>
      </c>
      <c r="T2922" s="2"/>
    </row>
    <row r="2923" spans="1:20" s="223" customFormat="1" x14ac:dyDescent="0.2">
      <c r="A2923" s="8" t="str">
        <f>IF(B2923="","",CONCATENATE(B2923,CONCATENATE(REPT(0,2-LEN(C2923)),C2923),IF(OR(D2923="Easy",D2923=""),1,IF(D2923="Normal",2,IF(D2923="Hard",3,IF(D2923="Hell",4,"error")))),E2923))</f>
        <v>9540112</v>
      </c>
      <c r="B2923" s="8">
        <v>954</v>
      </c>
      <c r="C2923" s="8">
        <v>1</v>
      </c>
      <c r="D2923" s="8" t="s">
        <v>259</v>
      </c>
      <c r="E2923" s="8">
        <v>2</v>
      </c>
      <c r="F2923" s="34">
        <f t="shared" si="1535"/>
        <v>307275</v>
      </c>
      <c r="G2923" s="34">
        <f t="shared" si="1535"/>
        <v>307275</v>
      </c>
      <c r="H2923" s="34">
        <f t="shared" si="1536"/>
        <v>139500</v>
      </c>
      <c r="I2923" s="34">
        <f t="shared" si="1536"/>
        <v>139500</v>
      </c>
      <c r="J2923" s="34">
        <v>437942400</v>
      </c>
      <c r="K2923" s="133">
        <v>1000</v>
      </c>
      <c r="L2923" s="34"/>
      <c r="M2923" s="16">
        <f t="shared" si="1537"/>
        <v>10960975.360664217</v>
      </c>
      <c r="N2923" s="36">
        <v>420</v>
      </c>
      <c r="O2923" s="2" t="s">
        <v>87</v>
      </c>
      <c r="P2923" s="36">
        <v>81940</v>
      </c>
      <c r="Q2923" s="2" t="s">
        <v>284</v>
      </c>
      <c r="R2923" s="2" t="s">
        <v>1185</v>
      </c>
      <c r="S2923" s="56">
        <v>55800</v>
      </c>
      <c r="T2923" s="2"/>
    </row>
    <row r="2924" spans="1:20" s="223" customFormat="1" ht="13.5" customHeight="1" x14ac:dyDescent="0.2">
      <c r="A2924" s="285" t="str">
        <f t="shared" ref="A2924:A2932" si="1538">IF(B2924="","",CONCATENATE(B2924,CONCATENATE(REPT(0,2-LEN(C2924)),C2924),IF(OR(D2924="Easy",D2924=""),1,IF(D2924="Normal",2,IF(D2924="Hard",3,IF(D2924="Hell",4,"error")))),E2924))</f>
        <v>9541119</v>
      </c>
      <c r="B2924" s="285">
        <v>954</v>
      </c>
      <c r="C2924" s="285">
        <v>11</v>
      </c>
      <c r="D2924" s="285" t="s">
        <v>62</v>
      </c>
      <c r="E2924" s="285">
        <v>9</v>
      </c>
      <c r="F2924" s="286">
        <f t="shared" si="1535"/>
        <v>1320165</v>
      </c>
      <c r="G2924" s="286">
        <f t="shared" si="1535"/>
        <v>1320165</v>
      </c>
      <c r="H2924" s="286">
        <f t="shared" si="1536"/>
        <v>198000</v>
      </c>
      <c r="I2924" s="286">
        <f t="shared" si="1536"/>
        <v>198000</v>
      </c>
      <c r="J2924" s="286">
        <v>489387225</v>
      </c>
      <c r="K2924" s="287">
        <v>1000</v>
      </c>
      <c r="L2924" s="286"/>
      <c r="M2924" s="288">
        <f t="shared" si="1537"/>
        <v>28612974.221539795</v>
      </c>
      <c r="N2924" s="289">
        <v>1300</v>
      </c>
      <c r="O2924" s="289">
        <v>10</v>
      </c>
      <c r="P2924" s="289">
        <v>352044</v>
      </c>
      <c r="Q2924" s="290" t="s">
        <v>284</v>
      </c>
      <c r="R2924" s="290" t="s">
        <v>1132</v>
      </c>
      <c r="S2924" s="291">
        <v>79200</v>
      </c>
      <c r="T2924" s="36"/>
    </row>
    <row r="2925" spans="1:20" s="223" customFormat="1" x14ac:dyDescent="0.2">
      <c r="A2925" s="8" t="str">
        <f t="shared" si="1538"/>
        <v>9541111</v>
      </c>
      <c r="B2925" s="8">
        <v>954</v>
      </c>
      <c r="C2925" s="8">
        <v>11</v>
      </c>
      <c r="D2925" s="8" t="s">
        <v>62</v>
      </c>
      <c r="E2925" s="8">
        <v>1</v>
      </c>
      <c r="F2925" s="34">
        <f t="shared" si="1535"/>
        <v>1249687</v>
      </c>
      <c r="G2925" s="34">
        <f t="shared" si="1535"/>
        <v>1249687</v>
      </c>
      <c r="H2925" s="34">
        <f t="shared" si="1536"/>
        <v>173250</v>
      </c>
      <c r="I2925" s="34">
        <f t="shared" si="1536"/>
        <v>173250</v>
      </c>
      <c r="J2925" s="34">
        <v>108662400</v>
      </c>
      <c r="K2925" s="133">
        <v>1000</v>
      </c>
      <c r="L2925" s="34"/>
      <c r="M2925" s="16">
        <f t="shared" si="1537"/>
        <v>12270630.57205967</v>
      </c>
      <c r="N2925" s="36">
        <v>420</v>
      </c>
      <c r="O2925" s="2" t="s">
        <v>87</v>
      </c>
      <c r="P2925" s="36">
        <v>333250</v>
      </c>
      <c r="Q2925" s="2" t="s">
        <v>284</v>
      </c>
      <c r="R2925" s="2" t="s">
        <v>1127</v>
      </c>
      <c r="S2925" s="56">
        <v>69300</v>
      </c>
      <c r="T2925" s="36"/>
    </row>
    <row r="2926" spans="1:20" s="223" customFormat="1" x14ac:dyDescent="0.2">
      <c r="A2926" s="8" t="str">
        <f t="shared" si="1538"/>
        <v>9541112</v>
      </c>
      <c r="B2926" s="8">
        <v>954</v>
      </c>
      <c r="C2926" s="8">
        <v>11</v>
      </c>
      <c r="D2926" s="8" t="s">
        <v>62</v>
      </c>
      <c r="E2926" s="8">
        <v>2</v>
      </c>
      <c r="F2926" s="34">
        <f t="shared" si="1535"/>
        <v>1249687</v>
      </c>
      <c r="G2926" s="34">
        <f t="shared" si="1535"/>
        <v>1249687</v>
      </c>
      <c r="H2926" s="34">
        <f t="shared" si="1536"/>
        <v>173250</v>
      </c>
      <c r="I2926" s="34">
        <f t="shared" si="1536"/>
        <v>173250</v>
      </c>
      <c r="J2926" s="34">
        <v>217324800</v>
      </c>
      <c r="K2926" s="133">
        <v>1000</v>
      </c>
      <c r="L2926" s="34"/>
      <c r="M2926" s="16">
        <f t="shared" si="1537"/>
        <v>17353292.173876718</v>
      </c>
      <c r="N2926" s="36">
        <v>420</v>
      </c>
      <c r="O2926" s="2" t="s">
        <v>87</v>
      </c>
      <c r="P2926" s="36">
        <v>333250</v>
      </c>
      <c r="Q2926" s="2" t="s">
        <v>284</v>
      </c>
      <c r="R2926" s="2" t="s">
        <v>1186</v>
      </c>
      <c r="S2926" s="56">
        <v>69300</v>
      </c>
      <c r="T2926" s="36"/>
    </row>
    <row r="2927" spans="1:20" s="223" customFormat="1" x14ac:dyDescent="0.2">
      <c r="A2927" s="285" t="str">
        <f t="shared" si="1538"/>
        <v>9542119</v>
      </c>
      <c r="B2927" s="285">
        <v>954</v>
      </c>
      <c r="C2927" s="285">
        <v>21</v>
      </c>
      <c r="D2927" s="285" t="s">
        <v>62</v>
      </c>
      <c r="E2927" s="285">
        <v>9</v>
      </c>
      <c r="F2927" s="286">
        <f t="shared" si="1535"/>
        <v>787500</v>
      </c>
      <c r="G2927" s="286">
        <f t="shared" si="1535"/>
        <v>787500</v>
      </c>
      <c r="H2927" s="286">
        <f t="shared" si="1536"/>
        <v>55000</v>
      </c>
      <c r="I2927" s="286">
        <f t="shared" si="1536"/>
        <v>55000</v>
      </c>
      <c r="J2927" s="286">
        <v>113568000</v>
      </c>
      <c r="K2927" s="287">
        <v>1000</v>
      </c>
      <c r="L2927" s="286"/>
      <c r="M2927" s="288">
        <f t="shared" si="1537"/>
        <v>5610797.5903609293</v>
      </c>
      <c r="N2927" s="289">
        <v>1300</v>
      </c>
      <c r="O2927" s="289">
        <v>10</v>
      </c>
      <c r="P2927" s="289">
        <v>210000</v>
      </c>
      <c r="Q2927" s="290" t="s">
        <v>284</v>
      </c>
      <c r="R2927" s="290" t="s">
        <v>1133</v>
      </c>
      <c r="S2927" s="291">
        <v>22000</v>
      </c>
      <c r="T2927" s="36"/>
    </row>
    <row r="2928" spans="1:20" s="223" customFormat="1" x14ac:dyDescent="0.2">
      <c r="A2928" s="8" t="str">
        <f t="shared" si="1538"/>
        <v>9542111</v>
      </c>
      <c r="B2928" s="8">
        <v>954</v>
      </c>
      <c r="C2928" s="8">
        <v>21</v>
      </c>
      <c r="D2928" s="8" t="s">
        <v>62</v>
      </c>
      <c r="E2928" s="8">
        <v>1</v>
      </c>
      <c r="F2928" s="34">
        <f t="shared" si="1535"/>
        <v>742500</v>
      </c>
      <c r="G2928" s="34">
        <f t="shared" si="1535"/>
        <v>742500</v>
      </c>
      <c r="H2928" s="34">
        <f t="shared" si="1536"/>
        <v>67500</v>
      </c>
      <c r="I2928" s="34">
        <f t="shared" si="1536"/>
        <v>67500</v>
      </c>
      <c r="J2928" s="34">
        <v>2650000</v>
      </c>
      <c r="K2928" s="133">
        <v>1000</v>
      </c>
      <c r="L2928" s="34"/>
      <c r="M2928" s="16">
        <f t="shared" si="1537"/>
        <v>921962.03826404922</v>
      </c>
      <c r="N2928" s="36">
        <v>420</v>
      </c>
      <c r="O2928" s="2" t="s">
        <v>87</v>
      </c>
      <c r="P2928" s="36">
        <v>198000</v>
      </c>
      <c r="Q2928" s="2" t="s">
        <v>284</v>
      </c>
      <c r="R2928" s="2" t="s">
        <v>1128</v>
      </c>
      <c r="S2928" s="56">
        <v>27000</v>
      </c>
      <c r="T2928" s="36"/>
    </row>
    <row r="2929" spans="1:20" s="223" customFormat="1" x14ac:dyDescent="0.2">
      <c r="A2929" s="8" t="str">
        <f t="shared" si="1538"/>
        <v>9542112</v>
      </c>
      <c r="B2929" s="8">
        <v>954</v>
      </c>
      <c r="C2929" s="8">
        <v>21</v>
      </c>
      <c r="D2929" s="8" t="s">
        <v>62</v>
      </c>
      <c r="E2929" s="8">
        <v>2</v>
      </c>
      <c r="F2929" s="34">
        <f t="shared" si="1535"/>
        <v>742500</v>
      </c>
      <c r="G2929" s="34">
        <f t="shared" si="1535"/>
        <v>742500</v>
      </c>
      <c r="H2929" s="34">
        <f t="shared" si="1536"/>
        <v>67500</v>
      </c>
      <c r="I2929" s="34">
        <f t="shared" si="1536"/>
        <v>67500</v>
      </c>
      <c r="J2929" s="34">
        <v>5300000</v>
      </c>
      <c r="K2929" s="133">
        <v>1000</v>
      </c>
      <c r="L2929" s="34"/>
      <c r="M2929" s="16">
        <f t="shared" si="1537"/>
        <v>1303851.2185061609</v>
      </c>
      <c r="N2929" s="36">
        <v>420</v>
      </c>
      <c r="O2929" s="2" t="s">
        <v>87</v>
      </c>
      <c r="P2929" s="36">
        <v>198000</v>
      </c>
      <c r="Q2929" s="2" t="s">
        <v>284</v>
      </c>
      <c r="R2929" s="2" t="s">
        <v>1187</v>
      </c>
      <c r="S2929" s="56">
        <v>27000</v>
      </c>
      <c r="T2929" s="36"/>
    </row>
    <row r="2930" spans="1:20" s="223" customFormat="1" x14ac:dyDescent="0.2">
      <c r="A2930" s="285" t="str">
        <f t="shared" si="1538"/>
        <v>9543119</v>
      </c>
      <c r="B2930" s="285">
        <v>954</v>
      </c>
      <c r="C2930" s="285">
        <v>31</v>
      </c>
      <c r="D2930" s="285" t="s">
        <v>62</v>
      </c>
      <c r="E2930" s="285">
        <v>9</v>
      </c>
      <c r="F2930" s="286">
        <f t="shared" si="1535"/>
        <v>1125000</v>
      </c>
      <c r="G2930" s="286">
        <f t="shared" si="1535"/>
        <v>1125000</v>
      </c>
      <c r="H2930" s="286">
        <f t="shared" si="1536"/>
        <v>70125</v>
      </c>
      <c r="I2930" s="286">
        <f t="shared" si="1536"/>
        <v>70125</v>
      </c>
      <c r="J2930" s="286">
        <v>135200000</v>
      </c>
      <c r="K2930" s="287">
        <v>1000</v>
      </c>
      <c r="L2930" s="286"/>
      <c r="M2930" s="288">
        <f t="shared" si="1537"/>
        <v>8262111.1103639863</v>
      </c>
      <c r="N2930" s="289">
        <v>1300</v>
      </c>
      <c r="O2930" s="289">
        <v>10</v>
      </c>
      <c r="P2930" s="289">
        <v>300000</v>
      </c>
      <c r="Q2930" s="290" t="s">
        <v>284</v>
      </c>
      <c r="R2930" s="290" t="s">
        <v>1134</v>
      </c>
      <c r="S2930" s="291">
        <v>28050</v>
      </c>
      <c r="T2930" s="36"/>
    </row>
    <row r="2931" spans="1:20" s="223" customFormat="1" x14ac:dyDescent="0.2">
      <c r="A2931" s="8" t="str">
        <f t="shared" si="1538"/>
        <v>9543111</v>
      </c>
      <c r="B2931" s="8">
        <v>954</v>
      </c>
      <c r="C2931" s="8">
        <v>31</v>
      </c>
      <c r="D2931" s="8" t="s">
        <v>62</v>
      </c>
      <c r="E2931" s="8">
        <v>1</v>
      </c>
      <c r="F2931" s="34">
        <f t="shared" si="1535"/>
        <v>1050000</v>
      </c>
      <c r="G2931" s="34">
        <f t="shared" si="1535"/>
        <v>1050000</v>
      </c>
      <c r="H2931" s="34">
        <f t="shared" si="1536"/>
        <v>84000</v>
      </c>
      <c r="I2931" s="34">
        <f t="shared" si="1536"/>
        <v>84000</v>
      </c>
      <c r="J2931" s="34">
        <v>3292800</v>
      </c>
      <c r="K2931" s="133">
        <v>1000</v>
      </c>
      <c r="L2931" s="34"/>
      <c r="M2931" s="16">
        <f t="shared" si="1537"/>
        <v>1363348.7242815024</v>
      </c>
      <c r="N2931" s="36">
        <v>420</v>
      </c>
      <c r="O2931" s="2" t="s">
        <v>87</v>
      </c>
      <c r="P2931" s="36">
        <v>280000</v>
      </c>
      <c r="Q2931" s="2" t="s">
        <v>284</v>
      </c>
      <c r="R2931" s="2" t="s">
        <v>1130</v>
      </c>
      <c r="S2931" s="56">
        <v>33600</v>
      </c>
      <c r="T2931" s="36"/>
    </row>
    <row r="2932" spans="1:20" s="223" customFormat="1" x14ac:dyDescent="0.2">
      <c r="A2932" s="8" t="str">
        <f t="shared" si="1538"/>
        <v>9543112</v>
      </c>
      <c r="B2932" s="8">
        <v>954</v>
      </c>
      <c r="C2932" s="8">
        <v>31</v>
      </c>
      <c r="D2932" s="8" t="s">
        <v>62</v>
      </c>
      <c r="E2932" s="8">
        <v>2</v>
      </c>
      <c r="F2932" s="34">
        <f t="shared" si="1535"/>
        <v>1050000</v>
      </c>
      <c r="G2932" s="34">
        <f t="shared" si="1535"/>
        <v>1050000</v>
      </c>
      <c r="H2932" s="34">
        <f t="shared" si="1536"/>
        <v>84000</v>
      </c>
      <c r="I2932" s="34">
        <f t="shared" si="1536"/>
        <v>84000</v>
      </c>
      <c r="J2932" s="34">
        <v>6585600</v>
      </c>
      <c r="K2932" s="133">
        <v>1000</v>
      </c>
      <c r="L2932" s="34"/>
      <c r="M2932" s="16">
        <f t="shared" si="1537"/>
        <v>1928066.2561229579</v>
      </c>
      <c r="N2932" s="36">
        <v>420</v>
      </c>
      <c r="O2932" s="2" t="s">
        <v>87</v>
      </c>
      <c r="P2932" s="36">
        <v>280000</v>
      </c>
      <c r="Q2932" s="2" t="s">
        <v>284</v>
      </c>
      <c r="R2932" s="2" t="s">
        <v>1188</v>
      </c>
      <c r="S2932" s="56">
        <v>33600</v>
      </c>
      <c r="T2932" s="36"/>
    </row>
    <row r="2933" spans="1:20" ht="30.75" customHeight="1" x14ac:dyDescent="0.2">
      <c r="A2933" s="8" t="str">
        <f t="shared" ref="A2933:A2951" si="1539">IF(B2933="","",CONCATENATE(B2933,CONCATENATE(REPT(0,2-LEN(C2933)),C2933),IF(OR(D2933="Easy",D2933=""),1,IF(D2933="Normal",2,IF(D2933="Hard",3,IF(D2933="Hell",4,"error")))),E2933))</f>
        <v/>
      </c>
      <c r="B2933" s="259"/>
      <c r="C2933" s="260" t="s">
        <v>1126</v>
      </c>
      <c r="D2933" s="259"/>
      <c r="E2933" s="259"/>
      <c r="F2933" s="259"/>
      <c r="G2933" s="259"/>
      <c r="H2933" s="259"/>
      <c r="I2933" s="259"/>
      <c r="J2933" s="259"/>
      <c r="K2933" s="261"/>
      <c r="L2933" s="259"/>
      <c r="M2933" s="262"/>
      <c r="N2933" s="259"/>
      <c r="O2933" s="259"/>
      <c r="P2933" s="259"/>
      <c r="Q2933" s="259"/>
      <c r="R2933" s="259"/>
      <c r="S2933" s="263"/>
    </row>
    <row r="2934" spans="1:20" s="223" customFormat="1" x14ac:dyDescent="0.2">
      <c r="A2934" s="285" t="str">
        <f t="shared" si="1539"/>
        <v>9640119</v>
      </c>
      <c r="B2934" s="285">
        <v>964</v>
      </c>
      <c r="C2934" s="285">
        <v>1</v>
      </c>
      <c r="D2934" s="285" t="s">
        <v>259</v>
      </c>
      <c r="E2934" s="285">
        <v>9</v>
      </c>
      <c r="F2934" s="286">
        <f t="shared" si="1535"/>
        <v>331597</v>
      </c>
      <c r="G2934" s="286">
        <f t="shared" si="1535"/>
        <v>331597</v>
      </c>
      <c r="H2934" s="286">
        <f t="shared" si="1536"/>
        <v>268750</v>
      </c>
      <c r="I2934" s="286">
        <f t="shared" si="1536"/>
        <v>268750</v>
      </c>
      <c r="J2934" s="286">
        <v>1001669750</v>
      </c>
      <c r="K2934" s="287">
        <v>1000</v>
      </c>
      <c r="L2934" s="286"/>
      <c r="M2934" s="288">
        <f t="shared" ref="M2934:M2945" si="1540">(F2934*J2934*((H2934+I2934)/2)/1000)^(1/2)/10*0.8</f>
        <v>23901865.547192965</v>
      </c>
      <c r="N2934" s="289">
        <v>1300</v>
      </c>
      <c r="O2934" s="289">
        <v>10</v>
      </c>
      <c r="P2934" s="289">
        <v>88426</v>
      </c>
      <c r="Q2934" s="290" t="s">
        <v>284</v>
      </c>
      <c r="R2934" s="290" t="s">
        <v>1131</v>
      </c>
      <c r="S2934" s="291">
        <v>107500</v>
      </c>
      <c r="T2934" s="2"/>
    </row>
    <row r="2935" spans="1:20" s="223" customFormat="1" x14ac:dyDescent="0.2">
      <c r="A2935" s="8" t="str">
        <f t="shared" si="1539"/>
        <v>9640111</v>
      </c>
      <c r="B2935" s="8">
        <v>964</v>
      </c>
      <c r="C2935" s="8">
        <v>1</v>
      </c>
      <c r="D2935" s="8" t="s">
        <v>259</v>
      </c>
      <c r="E2935" s="8">
        <v>1</v>
      </c>
      <c r="F2935" s="34">
        <f t="shared" si="1535"/>
        <v>307275</v>
      </c>
      <c r="G2935" s="34">
        <f t="shared" si="1535"/>
        <v>307275</v>
      </c>
      <c r="H2935" s="34">
        <f t="shared" si="1536"/>
        <v>139500</v>
      </c>
      <c r="I2935" s="34">
        <f t="shared" si="1536"/>
        <v>139500</v>
      </c>
      <c r="J2935" s="34">
        <v>218971200</v>
      </c>
      <c r="K2935" s="133">
        <v>1000</v>
      </c>
      <c r="L2935" s="34"/>
      <c r="M2935" s="16">
        <f t="shared" si="1540"/>
        <v>7750580.0059443302</v>
      </c>
      <c r="N2935" s="36">
        <v>420</v>
      </c>
      <c r="O2935" s="2" t="s">
        <v>87</v>
      </c>
      <c r="P2935" s="36">
        <v>81940</v>
      </c>
      <c r="Q2935" s="2" t="s">
        <v>284</v>
      </c>
      <c r="R2935" s="2" t="s">
        <v>1129</v>
      </c>
      <c r="S2935" s="56">
        <v>55800</v>
      </c>
      <c r="T2935" s="2"/>
    </row>
    <row r="2936" spans="1:20" s="223" customFormat="1" x14ac:dyDescent="0.2">
      <c r="A2936" s="8" t="str">
        <f>IF(B2936="","",CONCATENATE(B2936,CONCATENATE(REPT(0,2-LEN(C2936)),C2936),IF(OR(D2936="Easy",D2936=""),1,IF(D2936="Normal",2,IF(D2936="Hard",3,IF(D2936="Hell",4,"error")))),E2936))</f>
        <v>9640112</v>
      </c>
      <c r="B2936" s="8">
        <v>964</v>
      </c>
      <c r="C2936" s="8">
        <v>1</v>
      </c>
      <c r="D2936" s="8" t="s">
        <v>259</v>
      </c>
      <c r="E2936" s="8">
        <v>2</v>
      </c>
      <c r="F2936" s="34">
        <f t="shared" si="1535"/>
        <v>307275</v>
      </c>
      <c r="G2936" s="34">
        <f t="shared" si="1535"/>
        <v>307275</v>
      </c>
      <c r="H2936" s="34">
        <f t="shared" si="1536"/>
        <v>139500</v>
      </c>
      <c r="I2936" s="34">
        <f t="shared" si="1536"/>
        <v>139500</v>
      </c>
      <c r="J2936" s="34">
        <v>437942400</v>
      </c>
      <c r="K2936" s="133">
        <v>1000</v>
      </c>
      <c r="L2936" s="34"/>
      <c r="M2936" s="16">
        <f t="shared" si="1540"/>
        <v>10960975.360664217</v>
      </c>
      <c r="N2936" s="36">
        <v>420</v>
      </c>
      <c r="O2936" s="2" t="s">
        <v>87</v>
      </c>
      <c r="P2936" s="36">
        <v>81940</v>
      </c>
      <c r="Q2936" s="2" t="s">
        <v>284</v>
      </c>
      <c r="R2936" s="2" t="s">
        <v>1185</v>
      </c>
      <c r="S2936" s="56">
        <v>55800</v>
      </c>
      <c r="T2936" s="2"/>
    </row>
    <row r="2937" spans="1:20" s="223" customFormat="1" ht="13.5" customHeight="1" x14ac:dyDescent="0.2">
      <c r="A2937" s="285" t="str">
        <f t="shared" ref="A2937:A2945" si="1541">IF(B2937="","",CONCATENATE(B2937,CONCATENATE(REPT(0,2-LEN(C2937)),C2937),IF(OR(D2937="Easy",D2937=""),1,IF(D2937="Normal",2,IF(D2937="Hard",3,IF(D2937="Hell",4,"error")))),E2937))</f>
        <v>9641119</v>
      </c>
      <c r="B2937" s="285">
        <v>964</v>
      </c>
      <c r="C2937" s="285">
        <v>11</v>
      </c>
      <c r="D2937" s="285" t="s">
        <v>62</v>
      </c>
      <c r="E2937" s="285">
        <v>9</v>
      </c>
      <c r="F2937" s="286">
        <f t="shared" ref="F2937:G2945" si="1542">ROUNDDOWN($P2937/4*MIN($O2937,4)*10*$N2937/$N2937*$Q2937/400,0)</f>
        <v>1320165</v>
      </c>
      <c r="G2937" s="286">
        <f t="shared" si="1542"/>
        <v>1320165</v>
      </c>
      <c r="H2937" s="286">
        <f t="shared" ref="H2937:I2945" si="1543">ROUNDDOWN($S2937/4*10,0)</f>
        <v>198000</v>
      </c>
      <c r="I2937" s="286">
        <f t="shared" si="1543"/>
        <v>198000</v>
      </c>
      <c r="J2937" s="286">
        <v>489387225</v>
      </c>
      <c r="K2937" s="287">
        <v>1000</v>
      </c>
      <c r="L2937" s="286"/>
      <c r="M2937" s="288">
        <f t="shared" si="1540"/>
        <v>28612974.221539795</v>
      </c>
      <c r="N2937" s="289">
        <v>1300</v>
      </c>
      <c r="O2937" s="289">
        <v>10</v>
      </c>
      <c r="P2937" s="289">
        <v>352044</v>
      </c>
      <c r="Q2937" s="290" t="s">
        <v>284</v>
      </c>
      <c r="R2937" s="290" t="s">
        <v>1132</v>
      </c>
      <c r="S2937" s="291">
        <v>79200</v>
      </c>
      <c r="T2937" s="36"/>
    </row>
    <row r="2938" spans="1:20" s="223" customFormat="1" x14ac:dyDescent="0.2">
      <c r="A2938" s="8" t="str">
        <f t="shared" si="1541"/>
        <v>9641111</v>
      </c>
      <c r="B2938" s="8">
        <v>964</v>
      </c>
      <c r="C2938" s="8">
        <v>11</v>
      </c>
      <c r="D2938" s="8" t="s">
        <v>62</v>
      </c>
      <c r="E2938" s="8">
        <v>1</v>
      </c>
      <c r="F2938" s="34">
        <f t="shared" si="1542"/>
        <v>1249687</v>
      </c>
      <c r="G2938" s="34">
        <f t="shared" si="1542"/>
        <v>1249687</v>
      </c>
      <c r="H2938" s="34">
        <f t="shared" si="1543"/>
        <v>173250</v>
      </c>
      <c r="I2938" s="34">
        <f t="shared" si="1543"/>
        <v>173250</v>
      </c>
      <c r="J2938" s="34">
        <v>108662400</v>
      </c>
      <c r="K2938" s="133">
        <v>1000</v>
      </c>
      <c r="L2938" s="34"/>
      <c r="M2938" s="16">
        <f t="shared" si="1540"/>
        <v>12270630.57205967</v>
      </c>
      <c r="N2938" s="36">
        <v>420</v>
      </c>
      <c r="O2938" s="2" t="s">
        <v>87</v>
      </c>
      <c r="P2938" s="36">
        <v>333250</v>
      </c>
      <c r="Q2938" s="2" t="s">
        <v>284</v>
      </c>
      <c r="R2938" s="2" t="s">
        <v>1127</v>
      </c>
      <c r="S2938" s="56">
        <v>69300</v>
      </c>
      <c r="T2938" s="36"/>
    </row>
    <row r="2939" spans="1:20" s="223" customFormat="1" x14ac:dyDescent="0.2">
      <c r="A2939" s="8" t="str">
        <f t="shared" si="1541"/>
        <v>9641112</v>
      </c>
      <c r="B2939" s="8">
        <v>964</v>
      </c>
      <c r="C2939" s="8">
        <v>11</v>
      </c>
      <c r="D2939" s="8" t="s">
        <v>62</v>
      </c>
      <c r="E2939" s="8">
        <v>2</v>
      </c>
      <c r="F2939" s="34">
        <f t="shared" si="1542"/>
        <v>1249687</v>
      </c>
      <c r="G2939" s="34">
        <f t="shared" si="1542"/>
        <v>1249687</v>
      </c>
      <c r="H2939" s="34">
        <f t="shared" si="1543"/>
        <v>173250</v>
      </c>
      <c r="I2939" s="34">
        <f t="shared" si="1543"/>
        <v>173250</v>
      </c>
      <c r="J2939" s="34">
        <v>217324800</v>
      </c>
      <c r="K2939" s="133">
        <v>1000</v>
      </c>
      <c r="L2939" s="34"/>
      <c r="M2939" s="16">
        <f t="shared" si="1540"/>
        <v>17353292.173876718</v>
      </c>
      <c r="N2939" s="36">
        <v>420</v>
      </c>
      <c r="O2939" s="2" t="s">
        <v>87</v>
      </c>
      <c r="P2939" s="36">
        <v>333250</v>
      </c>
      <c r="Q2939" s="2" t="s">
        <v>284</v>
      </c>
      <c r="R2939" s="2" t="s">
        <v>1186</v>
      </c>
      <c r="S2939" s="56">
        <v>69300</v>
      </c>
      <c r="T2939" s="36"/>
    </row>
    <row r="2940" spans="1:20" s="223" customFormat="1" x14ac:dyDescent="0.2">
      <c r="A2940" s="285" t="str">
        <f t="shared" si="1541"/>
        <v>9642119</v>
      </c>
      <c r="B2940" s="285">
        <v>964</v>
      </c>
      <c r="C2940" s="285">
        <v>21</v>
      </c>
      <c r="D2940" s="285" t="s">
        <v>62</v>
      </c>
      <c r="E2940" s="285">
        <v>9</v>
      </c>
      <c r="F2940" s="286">
        <f t="shared" si="1542"/>
        <v>787500</v>
      </c>
      <c r="G2940" s="286">
        <f t="shared" si="1542"/>
        <v>787500</v>
      </c>
      <c r="H2940" s="286">
        <f t="shared" si="1543"/>
        <v>55000</v>
      </c>
      <c r="I2940" s="286">
        <f t="shared" si="1543"/>
        <v>55000</v>
      </c>
      <c r="J2940" s="286">
        <v>113568000</v>
      </c>
      <c r="K2940" s="287">
        <v>1000</v>
      </c>
      <c r="L2940" s="286"/>
      <c r="M2940" s="288">
        <f t="shared" si="1540"/>
        <v>5610797.5903609293</v>
      </c>
      <c r="N2940" s="289">
        <v>1300</v>
      </c>
      <c r="O2940" s="289">
        <v>10</v>
      </c>
      <c r="P2940" s="289">
        <v>210000</v>
      </c>
      <c r="Q2940" s="290" t="s">
        <v>284</v>
      </c>
      <c r="R2940" s="290" t="s">
        <v>1133</v>
      </c>
      <c r="S2940" s="291">
        <v>22000</v>
      </c>
      <c r="T2940" s="36"/>
    </row>
    <row r="2941" spans="1:20" s="223" customFormat="1" x14ac:dyDescent="0.2">
      <c r="A2941" s="8" t="str">
        <f t="shared" si="1541"/>
        <v>9642111</v>
      </c>
      <c r="B2941" s="8">
        <v>964</v>
      </c>
      <c r="C2941" s="8">
        <v>21</v>
      </c>
      <c r="D2941" s="8" t="s">
        <v>62</v>
      </c>
      <c r="E2941" s="8">
        <v>1</v>
      </c>
      <c r="F2941" s="34">
        <f t="shared" si="1542"/>
        <v>742500</v>
      </c>
      <c r="G2941" s="34">
        <f t="shared" si="1542"/>
        <v>742500</v>
      </c>
      <c r="H2941" s="34">
        <f t="shared" si="1543"/>
        <v>67500</v>
      </c>
      <c r="I2941" s="34">
        <f t="shared" si="1543"/>
        <v>67500</v>
      </c>
      <c r="J2941" s="34">
        <v>2650000</v>
      </c>
      <c r="K2941" s="133">
        <v>1000</v>
      </c>
      <c r="L2941" s="34"/>
      <c r="M2941" s="16">
        <f t="shared" si="1540"/>
        <v>921962.03826404922</v>
      </c>
      <c r="N2941" s="36">
        <v>420</v>
      </c>
      <c r="O2941" s="2" t="s">
        <v>87</v>
      </c>
      <c r="P2941" s="36">
        <v>198000</v>
      </c>
      <c r="Q2941" s="2" t="s">
        <v>284</v>
      </c>
      <c r="R2941" s="2" t="s">
        <v>1128</v>
      </c>
      <c r="S2941" s="56">
        <v>27000</v>
      </c>
      <c r="T2941" s="36"/>
    </row>
    <row r="2942" spans="1:20" s="223" customFormat="1" x14ac:dyDescent="0.2">
      <c r="A2942" s="8" t="str">
        <f t="shared" si="1541"/>
        <v>9642112</v>
      </c>
      <c r="B2942" s="8">
        <v>964</v>
      </c>
      <c r="C2942" s="8">
        <v>21</v>
      </c>
      <c r="D2942" s="8" t="s">
        <v>62</v>
      </c>
      <c r="E2942" s="8">
        <v>2</v>
      </c>
      <c r="F2942" s="34">
        <f t="shared" si="1542"/>
        <v>742500</v>
      </c>
      <c r="G2942" s="34">
        <f t="shared" si="1542"/>
        <v>742500</v>
      </c>
      <c r="H2942" s="34">
        <f t="shared" si="1543"/>
        <v>67500</v>
      </c>
      <c r="I2942" s="34">
        <f t="shared" si="1543"/>
        <v>67500</v>
      </c>
      <c r="J2942" s="34">
        <v>5300000</v>
      </c>
      <c r="K2942" s="133">
        <v>1000</v>
      </c>
      <c r="L2942" s="34"/>
      <c r="M2942" s="16">
        <f t="shared" si="1540"/>
        <v>1303851.2185061609</v>
      </c>
      <c r="N2942" s="36">
        <v>420</v>
      </c>
      <c r="O2942" s="2" t="s">
        <v>87</v>
      </c>
      <c r="P2942" s="36">
        <v>198000</v>
      </c>
      <c r="Q2942" s="2" t="s">
        <v>284</v>
      </c>
      <c r="R2942" s="2" t="s">
        <v>1187</v>
      </c>
      <c r="S2942" s="56">
        <v>27000</v>
      </c>
      <c r="T2942" s="36"/>
    </row>
    <row r="2943" spans="1:20" s="223" customFormat="1" x14ac:dyDescent="0.2">
      <c r="A2943" s="285" t="str">
        <f t="shared" si="1541"/>
        <v>9643119</v>
      </c>
      <c r="B2943" s="285">
        <v>964</v>
      </c>
      <c r="C2943" s="285">
        <v>31</v>
      </c>
      <c r="D2943" s="285" t="s">
        <v>62</v>
      </c>
      <c r="E2943" s="285">
        <v>9</v>
      </c>
      <c r="F2943" s="286">
        <f t="shared" si="1542"/>
        <v>1125000</v>
      </c>
      <c r="G2943" s="286">
        <f t="shared" si="1542"/>
        <v>1125000</v>
      </c>
      <c r="H2943" s="286">
        <f t="shared" si="1543"/>
        <v>70125</v>
      </c>
      <c r="I2943" s="286">
        <f t="shared" si="1543"/>
        <v>70125</v>
      </c>
      <c r="J2943" s="286">
        <v>135200000</v>
      </c>
      <c r="K2943" s="287">
        <v>1000</v>
      </c>
      <c r="L2943" s="286"/>
      <c r="M2943" s="288">
        <f t="shared" si="1540"/>
        <v>8262111.1103639863</v>
      </c>
      <c r="N2943" s="289">
        <v>1300</v>
      </c>
      <c r="O2943" s="289">
        <v>10</v>
      </c>
      <c r="P2943" s="289">
        <v>300000</v>
      </c>
      <c r="Q2943" s="290" t="s">
        <v>284</v>
      </c>
      <c r="R2943" s="290" t="s">
        <v>1134</v>
      </c>
      <c r="S2943" s="291">
        <v>28050</v>
      </c>
      <c r="T2943" s="36"/>
    </row>
    <row r="2944" spans="1:20" s="223" customFormat="1" x14ac:dyDescent="0.2">
      <c r="A2944" s="8" t="str">
        <f t="shared" si="1541"/>
        <v>9643111</v>
      </c>
      <c r="B2944" s="8">
        <v>964</v>
      </c>
      <c r="C2944" s="8">
        <v>31</v>
      </c>
      <c r="D2944" s="8" t="s">
        <v>62</v>
      </c>
      <c r="E2944" s="8">
        <v>1</v>
      </c>
      <c r="F2944" s="34">
        <f t="shared" si="1542"/>
        <v>1050000</v>
      </c>
      <c r="G2944" s="34">
        <f t="shared" si="1542"/>
        <v>1050000</v>
      </c>
      <c r="H2944" s="34">
        <f t="shared" si="1543"/>
        <v>84000</v>
      </c>
      <c r="I2944" s="34">
        <f t="shared" si="1543"/>
        <v>84000</v>
      </c>
      <c r="J2944" s="34">
        <v>3292800</v>
      </c>
      <c r="K2944" s="133">
        <v>1000</v>
      </c>
      <c r="L2944" s="34"/>
      <c r="M2944" s="16">
        <f t="shared" si="1540"/>
        <v>1363348.7242815024</v>
      </c>
      <c r="N2944" s="36">
        <v>420</v>
      </c>
      <c r="O2944" s="2" t="s">
        <v>87</v>
      </c>
      <c r="P2944" s="36">
        <v>280000</v>
      </c>
      <c r="Q2944" s="2" t="s">
        <v>284</v>
      </c>
      <c r="R2944" s="2" t="s">
        <v>1130</v>
      </c>
      <c r="S2944" s="56">
        <v>33600</v>
      </c>
      <c r="T2944" s="36"/>
    </row>
    <row r="2945" spans="1:20" s="223" customFormat="1" x14ac:dyDescent="0.2">
      <c r="A2945" s="8" t="str">
        <f t="shared" si="1541"/>
        <v>9643112</v>
      </c>
      <c r="B2945" s="8">
        <v>964</v>
      </c>
      <c r="C2945" s="8">
        <v>31</v>
      </c>
      <c r="D2945" s="8" t="s">
        <v>62</v>
      </c>
      <c r="E2945" s="8">
        <v>2</v>
      </c>
      <c r="F2945" s="34">
        <f t="shared" si="1542"/>
        <v>1050000</v>
      </c>
      <c r="G2945" s="34">
        <f t="shared" si="1542"/>
        <v>1050000</v>
      </c>
      <c r="H2945" s="34">
        <f t="shared" si="1543"/>
        <v>84000</v>
      </c>
      <c r="I2945" s="34">
        <f t="shared" si="1543"/>
        <v>84000</v>
      </c>
      <c r="J2945" s="34">
        <v>6585600</v>
      </c>
      <c r="K2945" s="133">
        <v>1000</v>
      </c>
      <c r="L2945" s="34"/>
      <c r="M2945" s="16">
        <f t="shared" si="1540"/>
        <v>1928066.2561229579</v>
      </c>
      <c r="N2945" s="36">
        <v>420</v>
      </c>
      <c r="O2945" s="2" t="s">
        <v>87</v>
      </c>
      <c r="P2945" s="36">
        <v>280000</v>
      </c>
      <c r="Q2945" s="2" t="s">
        <v>284</v>
      </c>
      <c r="R2945" s="2" t="s">
        <v>1188</v>
      </c>
      <c r="S2945" s="56">
        <v>33600</v>
      </c>
      <c r="T2945" s="36"/>
    </row>
    <row r="2946" spans="1:20" ht="30.75" customHeight="1" x14ac:dyDescent="0.2">
      <c r="A2946" s="8" t="str">
        <f t="shared" si="1539"/>
        <v/>
      </c>
      <c r="B2946" s="259"/>
      <c r="C2946" s="260" t="s">
        <v>1135</v>
      </c>
      <c r="D2946" s="259"/>
      <c r="E2946" s="259"/>
      <c r="F2946" s="259"/>
      <c r="G2946" s="259"/>
      <c r="H2946" s="259"/>
      <c r="I2946" s="259"/>
      <c r="J2946" s="259"/>
      <c r="K2946" s="261"/>
      <c r="L2946" s="259"/>
      <c r="M2946" s="262"/>
      <c r="N2946" s="259"/>
      <c r="O2946" s="259"/>
      <c r="P2946" s="259"/>
      <c r="Q2946" s="259"/>
      <c r="R2946" s="259"/>
      <c r="S2946" s="263"/>
    </row>
    <row r="2947" spans="1:20" s="283" customFormat="1" x14ac:dyDescent="0.2">
      <c r="A2947" s="276" t="str">
        <f t="shared" si="1539"/>
        <v>9550119</v>
      </c>
      <c r="B2947" s="276">
        <v>955</v>
      </c>
      <c r="C2947" s="276">
        <v>1</v>
      </c>
      <c r="D2947" s="276" t="s">
        <v>259</v>
      </c>
      <c r="E2947" s="276">
        <v>9</v>
      </c>
      <c r="F2947" s="276">
        <v>1600832</v>
      </c>
      <c r="G2947" s="276">
        <v>1600832</v>
      </c>
      <c r="H2947" s="276">
        <v>104171</v>
      </c>
      <c r="I2947" s="276">
        <v>104171</v>
      </c>
      <c r="J2947" s="276">
        <v>9620809</v>
      </c>
      <c r="K2947" s="277">
        <v>1000</v>
      </c>
      <c r="L2947" s="276"/>
      <c r="M2947" s="278">
        <f t="shared" ref="M2947:M2950" si="1544">(F2947*J2947*((H2947+I2947)/2)/1000)^(1/2)/10*0.8</f>
        <v>3204365.7310116552</v>
      </c>
      <c r="N2947" s="279">
        <v>700</v>
      </c>
      <c r="O2947" s="280" t="s">
        <v>228</v>
      </c>
      <c r="P2947" s="280" t="s">
        <v>1006</v>
      </c>
      <c r="Q2947" s="280" t="s">
        <v>412</v>
      </c>
      <c r="R2947" s="281" t="s">
        <v>1137</v>
      </c>
      <c r="S2947" s="282">
        <f t="shared" ref="S2947:S2949" si="1545">P2947/2.5</f>
        <v>3400</v>
      </c>
      <c r="T2947" s="281"/>
    </row>
    <row r="2948" spans="1:20" s="283" customFormat="1" x14ac:dyDescent="0.2">
      <c r="A2948" s="32" t="str">
        <f t="shared" si="1539"/>
        <v>9551119</v>
      </c>
      <c r="B2948" s="32">
        <v>955</v>
      </c>
      <c r="C2948" s="32">
        <v>11</v>
      </c>
      <c r="D2948" s="32" t="s">
        <v>259</v>
      </c>
      <c r="E2948" s="32">
        <v>9</v>
      </c>
      <c r="F2948" s="32">
        <v>6353134</v>
      </c>
      <c r="G2948" s="32">
        <v>6353134</v>
      </c>
      <c r="H2948" s="32">
        <v>123714</v>
      </c>
      <c r="I2948" s="32">
        <v>123714</v>
      </c>
      <c r="J2948" s="32">
        <v>22908185</v>
      </c>
      <c r="K2948" s="277">
        <v>1000</v>
      </c>
      <c r="L2948" s="32"/>
      <c r="M2948" s="278">
        <f t="shared" si="1544"/>
        <v>10734671.532796878</v>
      </c>
      <c r="N2948" s="284">
        <v>750</v>
      </c>
      <c r="O2948" s="284">
        <v>19</v>
      </c>
      <c r="P2948" s="284">
        <v>35000</v>
      </c>
      <c r="Q2948" s="281" t="s">
        <v>412</v>
      </c>
      <c r="R2948" s="281" t="s">
        <v>1138</v>
      </c>
      <c r="S2948" s="282">
        <f t="shared" si="1545"/>
        <v>14000</v>
      </c>
      <c r="T2948" s="284"/>
    </row>
    <row r="2949" spans="1:20" s="283" customFormat="1" x14ac:dyDescent="0.2">
      <c r="A2949" s="32" t="str">
        <f t="shared" si="1539"/>
        <v>9552119</v>
      </c>
      <c r="B2949" s="32">
        <v>955</v>
      </c>
      <c r="C2949" s="32">
        <v>21</v>
      </c>
      <c r="D2949" s="32" t="s">
        <v>259</v>
      </c>
      <c r="E2949" s="32">
        <v>9</v>
      </c>
      <c r="F2949" s="308">
        <v>4988123</v>
      </c>
      <c r="G2949" s="32">
        <v>4988123</v>
      </c>
      <c r="H2949" s="32">
        <v>43197</v>
      </c>
      <c r="I2949" s="32">
        <v>43197</v>
      </c>
      <c r="J2949" s="32">
        <v>35987327</v>
      </c>
      <c r="K2949" s="277">
        <v>1000</v>
      </c>
      <c r="L2949" s="32"/>
      <c r="M2949" s="278">
        <f t="shared" si="1544"/>
        <v>7044661.8638754934</v>
      </c>
      <c r="N2949" s="284">
        <v>1200</v>
      </c>
      <c r="O2949" s="284">
        <v>20</v>
      </c>
      <c r="P2949" s="284">
        <v>130000</v>
      </c>
      <c r="Q2949" s="281" t="s">
        <v>197</v>
      </c>
      <c r="R2949" s="281" t="s">
        <v>1139</v>
      </c>
      <c r="S2949" s="282">
        <f t="shared" si="1545"/>
        <v>52000</v>
      </c>
      <c r="T2949" s="284"/>
    </row>
    <row r="2950" spans="1:20" s="283" customFormat="1" x14ac:dyDescent="0.2">
      <c r="A2950" s="32" t="str">
        <f t="shared" si="1539"/>
        <v>9553119</v>
      </c>
      <c r="B2950" s="32">
        <v>955</v>
      </c>
      <c r="C2950" s="32">
        <v>31</v>
      </c>
      <c r="D2950" s="32" t="s">
        <v>259</v>
      </c>
      <c r="E2950" s="32">
        <v>9</v>
      </c>
      <c r="F2950" s="32">
        <v>4701524</v>
      </c>
      <c r="G2950" s="32">
        <v>4701524</v>
      </c>
      <c r="H2950" s="308">
        <v>35625</v>
      </c>
      <c r="I2950" s="308">
        <v>35625</v>
      </c>
      <c r="J2950" s="308">
        <v>142456839</v>
      </c>
      <c r="K2950" s="277">
        <v>1000</v>
      </c>
      <c r="L2950" s="32"/>
      <c r="M2950" s="278">
        <f t="shared" si="1544"/>
        <v>12357436.968690597</v>
      </c>
      <c r="N2950" s="284">
        <v>1050</v>
      </c>
      <c r="O2950" s="284">
        <v>21</v>
      </c>
      <c r="P2950" s="284">
        <v>264000</v>
      </c>
      <c r="Q2950" s="281" t="s">
        <v>448</v>
      </c>
      <c r="R2950" s="281" t="s">
        <v>1140</v>
      </c>
      <c r="S2950" s="282">
        <f>P2950/2.5</f>
        <v>105600</v>
      </c>
      <c r="T2950" s="284"/>
    </row>
    <row r="2951" spans="1:20" ht="30.75" customHeight="1" x14ac:dyDescent="0.2">
      <c r="A2951" s="8" t="str">
        <f t="shared" si="1539"/>
        <v/>
      </c>
      <c r="B2951" s="259"/>
      <c r="C2951" s="260" t="s">
        <v>1136</v>
      </c>
      <c r="D2951" s="259"/>
      <c r="E2951" s="259"/>
      <c r="F2951" s="259"/>
      <c r="G2951" s="259"/>
      <c r="H2951" s="259"/>
      <c r="I2951" s="259"/>
      <c r="J2951" s="259"/>
      <c r="K2951" s="261"/>
      <c r="L2951" s="259"/>
      <c r="M2951" s="262"/>
      <c r="N2951" s="259"/>
      <c r="O2951" s="259"/>
      <c r="P2951" s="259"/>
      <c r="Q2951" s="259"/>
      <c r="R2951" s="259"/>
      <c r="S2951" s="263"/>
    </row>
    <row r="2952" spans="1:20" s="283" customFormat="1" x14ac:dyDescent="0.2">
      <c r="A2952" s="276" t="str">
        <f t="shared" ref="A2952:A2961" si="1546">IF(B2952="","",CONCATENATE(B2952,CONCATENATE(REPT(0,2-LEN(C2952)),C2952),IF(OR(D2952="Easy",D2952=""),1,IF(D2952="Normal",2,IF(D2952="Hard",3,IF(D2952="Hell",4,"error")))),E2952))</f>
        <v>9650119</v>
      </c>
      <c r="B2952" s="276">
        <v>965</v>
      </c>
      <c r="C2952" s="276">
        <v>1</v>
      </c>
      <c r="D2952" s="276" t="s">
        <v>259</v>
      </c>
      <c r="E2952" s="276">
        <v>9</v>
      </c>
      <c r="F2952" s="276">
        <v>1600832</v>
      </c>
      <c r="G2952" s="276">
        <v>1600832</v>
      </c>
      <c r="H2952" s="276">
        <v>104171</v>
      </c>
      <c r="I2952" s="276">
        <v>104171</v>
      </c>
      <c r="J2952" s="276">
        <v>9620809</v>
      </c>
      <c r="K2952" s="277">
        <v>1000</v>
      </c>
      <c r="L2952" s="276"/>
      <c r="M2952" s="278">
        <f t="shared" ref="M2952:M2955" si="1547">(F2952*J2952*((H2952+I2952)/2)/1000)^(1/2)/10*0.8</f>
        <v>3204365.7310116552</v>
      </c>
      <c r="N2952" s="279">
        <v>700</v>
      </c>
      <c r="O2952" s="280" t="s">
        <v>228</v>
      </c>
      <c r="P2952" s="280" t="s">
        <v>1006</v>
      </c>
      <c r="Q2952" s="280" t="s">
        <v>412</v>
      </c>
      <c r="R2952" s="281" t="s">
        <v>1137</v>
      </c>
      <c r="S2952" s="282">
        <f t="shared" ref="S2952:S2954" si="1548">P2952/2.5</f>
        <v>3400</v>
      </c>
      <c r="T2952" s="281"/>
    </row>
    <row r="2953" spans="1:20" s="283" customFormat="1" x14ac:dyDescent="0.2">
      <c r="A2953" s="32" t="str">
        <f t="shared" si="1546"/>
        <v>9651119</v>
      </c>
      <c r="B2953" s="32">
        <v>965</v>
      </c>
      <c r="C2953" s="32">
        <v>11</v>
      </c>
      <c r="D2953" s="32" t="s">
        <v>62</v>
      </c>
      <c r="E2953" s="32">
        <v>9</v>
      </c>
      <c r="F2953" s="32">
        <v>6353134</v>
      </c>
      <c r="G2953" s="32">
        <v>6353134</v>
      </c>
      <c r="H2953" s="32">
        <v>123714</v>
      </c>
      <c r="I2953" s="32">
        <v>123714</v>
      </c>
      <c r="J2953" s="32">
        <v>22908185</v>
      </c>
      <c r="K2953" s="277">
        <v>1000</v>
      </c>
      <c r="L2953" s="32"/>
      <c r="M2953" s="278">
        <f t="shared" si="1547"/>
        <v>10734671.532796878</v>
      </c>
      <c r="N2953" s="284">
        <v>750</v>
      </c>
      <c r="O2953" s="284">
        <v>19</v>
      </c>
      <c r="P2953" s="284">
        <v>35000</v>
      </c>
      <c r="Q2953" s="281" t="s">
        <v>412</v>
      </c>
      <c r="R2953" s="281" t="s">
        <v>1138</v>
      </c>
      <c r="S2953" s="282">
        <f t="shared" si="1548"/>
        <v>14000</v>
      </c>
      <c r="T2953" s="284"/>
    </row>
    <row r="2954" spans="1:20" s="283" customFormat="1" x14ac:dyDescent="0.2">
      <c r="A2954" s="32" t="str">
        <f t="shared" si="1546"/>
        <v>9652119</v>
      </c>
      <c r="B2954" s="32">
        <v>965</v>
      </c>
      <c r="C2954" s="32">
        <v>21</v>
      </c>
      <c r="D2954" s="32" t="s">
        <v>62</v>
      </c>
      <c r="E2954" s="32">
        <v>9</v>
      </c>
      <c r="F2954" s="308">
        <v>4988123</v>
      </c>
      <c r="G2954" s="32">
        <v>4988123</v>
      </c>
      <c r="H2954" s="32">
        <v>43197</v>
      </c>
      <c r="I2954" s="32">
        <v>43197</v>
      </c>
      <c r="J2954" s="32">
        <v>35987327</v>
      </c>
      <c r="K2954" s="277">
        <v>1000</v>
      </c>
      <c r="L2954" s="32"/>
      <c r="M2954" s="278">
        <f t="shared" si="1547"/>
        <v>7044661.8638754934</v>
      </c>
      <c r="N2954" s="284">
        <v>1200</v>
      </c>
      <c r="O2954" s="284">
        <v>20</v>
      </c>
      <c r="P2954" s="284">
        <v>130000</v>
      </c>
      <c r="Q2954" s="281" t="s">
        <v>197</v>
      </c>
      <c r="R2954" s="281" t="s">
        <v>1139</v>
      </c>
      <c r="S2954" s="282">
        <f t="shared" si="1548"/>
        <v>52000</v>
      </c>
      <c r="T2954" s="284"/>
    </row>
    <row r="2955" spans="1:20" s="283" customFormat="1" x14ac:dyDescent="0.2">
      <c r="A2955" s="32" t="str">
        <f t="shared" si="1546"/>
        <v>9653119</v>
      </c>
      <c r="B2955" s="32">
        <v>965</v>
      </c>
      <c r="C2955" s="32">
        <v>31</v>
      </c>
      <c r="D2955" s="32" t="s">
        <v>62</v>
      </c>
      <c r="E2955" s="32">
        <v>9</v>
      </c>
      <c r="F2955" s="32">
        <v>4701524</v>
      </c>
      <c r="G2955" s="32">
        <v>4701524</v>
      </c>
      <c r="H2955" s="308">
        <v>35625</v>
      </c>
      <c r="I2955" s="308">
        <v>35625</v>
      </c>
      <c r="J2955" s="308">
        <v>142456839</v>
      </c>
      <c r="K2955" s="277">
        <v>1000</v>
      </c>
      <c r="L2955" s="32"/>
      <c r="M2955" s="278">
        <f t="shared" si="1547"/>
        <v>12357436.968690597</v>
      </c>
      <c r="N2955" s="284">
        <v>1050</v>
      </c>
      <c r="O2955" s="284">
        <v>21</v>
      </c>
      <c r="P2955" s="284">
        <v>264000</v>
      </c>
      <c r="Q2955" s="281" t="s">
        <v>448</v>
      </c>
      <c r="R2955" s="281" t="s">
        <v>1140</v>
      </c>
      <c r="S2955" s="282">
        <f>P2955/2.5</f>
        <v>105600</v>
      </c>
      <c r="T2955" s="284"/>
    </row>
    <row r="2956" spans="1:20" ht="30.75" customHeight="1" x14ac:dyDescent="0.2">
      <c r="A2956" s="8" t="str">
        <f t="shared" si="1546"/>
        <v/>
      </c>
      <c r="B2956" s="259"/>
      <c r="C2956" s="260" t="s">
        <v>1141</v>
      </c>
      <c r="D2956" s="259"/>
      <c r="E2956" s="259"/>
      <c r="F2956" s="259"/>
      <c r="G2956" s="259"/>
      <c r="H2956" s="259"/>
      <c r="I2956" s="259"/>
      <c r="J2956" s="259"/>
      <c r="K2956" s="261"/>
      <c r="L2956" s="259"/>
      <c r="M2956" s="262"/>
      <c r="N2956" s="259"/>
      <c r="O2956" s="259"/>
      <c r="P2956" s="259"/>
      <c r="Q2956" s="259"/>
      <c r="R2956" s="259"/>
      <c r="S2956" s="263"/>
    </row>
    <row r="2957" spans="1:20" s="223" customFormat="1" x14ac:dyDescent="0.2">
      <c r="A2957" s="8" t="str">
        <f t="shared" si="1546"/>
        <v>9560119</v>
      </c>
      <c r="B2957" s="8">
        <v>956</v>
      </c>
      <c r="C2957" s="8">
        <v>1</v>
      </c>
      <c r="D2957" s="8" t="s">
        <v>259</v>
      </c>
      <c r="E2957" s="8">
        <v>9</v>
      </c>
      <c r="F2957" s="309">
        <v>2134055</v>
      </c>
      <c r="G2957" s="309">
        <v>2134055</v>
      </c>
      <c r="H2957" s="276">
        <v>138890</v>
      </c>
      <c r="I2957" s="276">
        <v>185185</v>
      </c>
      <c r="J2957" s="276">
        <v>99949124</v>
      </c>
      <c r="K2957" s="133">
        <v>1000</v>
      </c>
      <c r="L2957" s="34"/>
      <c r="M2957" s="16">
        <f t="shared" ref="M2957:M2960" si="1549">(F2957*J2957*((H2957+I2957)/2)/1000)^(1/2)/10*0.8</f>
        <v>14872708.093154795</v>
      </c>
      <c r="N2957" s="36">
        <v>700</v>
      </c>
      <c r="O2957" s="2" t="s">
        <v>228</v>
      </c>
      <c r="P2957" s="2" t="s">
        <v>810</v>
      </c>
      <c r="Q2957" s="2" t="s">
        <v>412</v>
      </c>
      <c r="R2957" s="281" t="s">
        <v>1143</v>
      </c>
      <c r="S2957" s="36">
        <v>6321</v>
      </c>
      <c r="T2957" s="2"/>
    </row>
    <row r="2958" spans="1:20" s="223" customFormat="1" x14ac:dyDescent="0.2">
      <c r="A2958" s="8" t="str">
        <f t="shared" si="1546"/>
        <v>9561119</v>
      </c>
      <c r="B2958" s="8">
        <v>956</v>
      </c>
      <c r="C2958" s="8">
        <v>11</v>
      </c>
      <c r="D2958" s="8" t="s">
        <v>62</v>
      </c>
      <c r="E2958" s="8">
        <v>9</v>
      </c>
      <c r="F2958" s="32">
        <v>5717821</v>
      </c>
      <c r="G2958" s="32">
        <v>5717821</v>
      </c>
      <c r="H2958" s="32">
        <v>76149</v>
      </c>
      <c r="I2958" s="32">
        <v>101892</v>
      </c>
      <c r="J2958" s="32">
        <v>188891361</v>
      </c>
      <c r="K2958" s="133">
        <v>1000</v>
      </c>
      <c r="L2958" s="34"/>
      <c r="M2958" s="16">
        <f t="shared" si="1549"/>
        <v>24805976.458027452</v>
      </c>
      <c r="N2958" s="36">
        <v>750</v>
      </c>
      <c r="O2958" s="36">
        <v>19</v>
      </c>
      <c r="P2958" s="36">
        <v>40000</v>
      </c>
      <c r="Q2958" s="2" t="s">
        <v>412</v>
      </c>
      <c r="R2958" s="281" t="s">
        <v>1144</v>
      </c>
      <c r="S2958" s="36">
        <v>10310</v>
      </c>
      <c r="T2958" s="36"/>
    </row>
    <row r="2959" spans="1:20" s="223" customFormat="1" x14ac:dyDescent="0.2">
      <c r="A2959" s="8" t="str">
        <f t="shared" si="1546"/>
        <v>9562119</v>
      </c>
      <c r="B2959" s="8">
        <v>956</v>
      </c>
      <c r="C2959" s="8">
        <v>21</v>
      </c>
      <c r="D2959" s="8" t="s">
        <v>62</v>
      </c>
      <c r="E2959" s="8">
        <v>9</v>
      </c>
      <c r="F2959" s="32">
        <v>14401123</v>
      </c>
      <c r="G2959" s="32">
        <v>14401123</v>
      </c>
      <c r="H2959" s="32">
        <v>47640</v>
      </c>
      <c r="I2959" s="32">
        <v>63511</v>
      </c>
      <c r="J2959" s="32">
        <v>2497617118</v>
      </c>
      <c r="K2959" s="133">
        <v>1000</v>
      </c>
      <c r="L2959" s="34"/>
      <c r="M2959" s="16">
        <f t="shared" si="1549"/>
        <v>113107860.43868203</v>
      </c>
      <c r="N2959" s="36">
        <v>1260</v>
      </c>
      <c r="O2959" s="36">
        <v>20</v>
      </c>
      <c r="P2959" s="36">
        <v>150000</v>
      </c>
      <c r="Q2959" s="2" t="s">
        <v>414</v>
      </c>
      <c r="R2959" s="281" t="s">
        <v>1145</v>
      </c>
      <c r="S2959" s="56">
        <v>17000</v>
      </c>
      <c r="T2959" s="36"/>
    </row>
    <row r="2960" spans="1:20" s="223" customFormat="1" x14ac:dyDescent="0.2">
      <c r="A2960" s="8" t="str">
        <f t="shared" si="1546"/>
        <v>9563119</v>
      </c>
      <c r="B2960" s="8">
        <v>956</v>
      </c>
      <c r="C2960" s="8">
        <v>31</v>
      </c>
      <c r="D2960" s="8" t="s">
        <v>62</v>
      </c>
      <c r="E2960" s="8">
        <v>9</v>
      </c>
      <c r="F2960" s="32">
        <v>13860000</v>
      </c>
      <c r="G2960" s="32">
        <v>13860000</v>
      </c>
      <c r="H2960" s="308">
        <v>40917</v>
      </c>
      <c r="I2960" s="308">
        <v>54565</v>
      </c>
      <c r="J2960" s="308">
        <v>17000000000</v>
      </c>
      <c r="K2960" s="133">
        <v>1000</v>
      </c>
      <c r="L2960" s="34"/>
      <c r="M2960" s="16">
        <f t="shared" si="1549"/>
        <v>268313063.95328575</v>
      </c>
      <c r="N2960" s="36">
        <v>1050</v>
      </c>
      <c r="O2960" s="36">
        <v>21</v>
      </c>
      <c r="P2960" s="36">
        <v>220000</v>
      </c>
      <c r="Q2960" s="2" t="s">
        <v>90</v>
      </c>
      <c r="R2960" s="281" t="s">
        <v>1146</v>
      </c>
      <c r="S2960" s="56">
        <v>19800</v>
      </c>
      <c r="T2960" s="36"/>
    </row>
    <row r="2961" spans="1:20" ht="31.5" customHeight="1" x14ac:dyDescent="0.2">
      <c r="A2961" s="8" t="str">
        <f t="shared" si="1546"/>
        <v/>
      </c>
      <c r="B2961" s="259"/>
      <c r="C2961" s="260" t="s">
        <v>1142</v>
      </c>
      <c r="D2961" s="259"/>
      <c r="E2961" s="259"/>
      <c r="F2961" s="259"/>
      <c r="G2961" s="259"/>
      <c r="H2961" s="259"/>
      <c r="I2961" s="259"/>
      <c r="J2961" s="259"/>
      <c r="K2961" s="261"/>
      <c r="L2961" s="259"/>
      <c r="M2961" s="262"/>
      <c r="N2961" s="259"/>
      <c r="O2961" s="259"/>
      <c r="P2961" s="259"/>
      <c r="Q2961" s="259"/>
      <c r="R2961" s="259"/>
      <c r="S2961" s="263"/>
    </row>
    <row r="2962" spans="1:20" s="223" customFormat="1" x14ac:dyDescent="0.2">
      <c r="A2962" s="8" t="str">
        <f t="shared" ref="A2962:A2971" si="1550">IF(B2962="","",CONCATENATE(B2962,CONCATENATE(REPT(0,2-LEN(C2962)),C2962),IF(OR(D2962="Easy",D2962=""),1,IF(D2962="Normal",2,IF(D2962="Hard",3,IF(D2962="Hell",4,"error")))),E2962))</f>
        <v>9660119</v>
      </c>
      <c r="B2962" s="8">
        <v>966</v>
      </c>
      <c r="C2962" s="8">
        <v>1</v>
      </c>
      <c r="D2962" s="8" t="s">
        <v>259</v>
      </c>
      <c r="E2962" s="8">
        <v>9</v>
      </c>
      <c r="F2962" s="309">
        <v>2134055</v>
      </c>
      <c r="G2962" s="309">
        <v>2134055</v>
      </c>
      <c r="H2962" s="276">
        <v>138890</v>
      </c>
      <c r="I2962" s="276">
        <v>185185</v>
      </c>
      <c r="J2962" s="276">
        <v>99949124</v>
      </c>
      <c r="K2962" s="133">
        <v>1000</v>
      </c>
      <c r="L2962" s="34"/>
      <c r="M2962" s="16">
        <f t="shared" ref="M2962:M2965" si="1551">(F2962*J2962*((H2962+I2962)/2)/1000)^(1/2)/10*0.8</f>
        <v>14872708.093154795</v>
      </c>
      <c r="N2962" s="36">
        <v>700</v>
      </c>
      <c r="O2962" s="2" t="s">
        <v>228</v>
      </c>
      <c r="P2962" s="2" t="s">
        <v>810</v>
      </c>
      <c r="Q2962" s="2" t="s">
        <v>412</v>
      </c>
      <c r="R2962" s="281" t="s">
        <v>1143</v>
      </c>
      <c r="S2962" s="36">
        <v>6321</v>
      </c>
      <c r="T2962" s="2"/>
    </row>
    <row r="2963" spans="1:20" s="223" customFormat="1" x14ac:dyDescent="0.2">
      <c r="A2963" s="8" t="str">
        <f t="shared" si="1550"/>
        <v>9661119</v>
      </c>
      <c r="B2963" s="8">
        <v>966</v>
      </c>
      <c r="C2963" s="8">
        <v>11</v>
      </c>
      <c r="D2963" s="8" t="s">
        <v>62</v>
      </c>
      <c r="E2963" s="8">
        <v>9</v>
      </c>
      <c r="F2963" s="32">
        <v>5717821</v>
      </c>
      <c r="G2963" s="32">
        <v>5717821</v>
      </c>
      <c r="H2963" s="32">
        <v>76149</v>
      </c>
      <c r="I2963" s="32">
        <v>101892</v>
      </c>
      <c r="J2963" s="32">
        <v>188891361</v>
      </c>
      <c r="K2963" s="133">
        <v>1000</v>
      </c>
      <c r="L2963" s="34"/>
      <c r="M2963" s="16">
        <f t="shared" si="1551"/>
        <v>24805976.458027452</v>
      </c>
      <c r="N2963" s="36">
        <v>750</v>
      </c>
      <c r="O2963" s="36">
        <v>19</v>
      </c>
      <c r="P2963" s="36">
        <v>40000</v>
      </c>
      <c r="Q2963" s="2" t="s">
        <v>412</v>
      </c>
      <c r="R2963" s="281" t="s">
        <v>1144</v>
      </c>
      <c r="S2963" s="36">
        <v>10310</v>
      </c>
      <c r="T2963" s="36"/>
    </row>
    <row r="2964" spans="1:20" s="223" customFormat="1" x14ac:dyDescent="0.2">
      <c r="A2964" s="8" t="str">
        <f t="shared" si="1550"/>
        <v>9662119</v>
      </c>
      <c r="B2964" s="8">
        <v>966</v>
      </c>
      <c r="C2964" s="8">
        <v>21</v>
      </c>
      <c r="D2964" s="8" t="s">
        <v>62</v>
      </c>
      <c r="E2964" s="8">
        <v>9</v>
      </c>
      <c r="F2964" s="32">
        <v>14401123</v>
      </c>
      <c r="G2964" s="32">
        <v>14401123</v>
      </c>
      <c r="H2964" s="32">
        <v>47640</v>
      </c>
      <c r="I2964" s="32">
        <v>63511</v>
      </c>
      <c r="J2964" s="32">
        <v>2497617118</v>
      </c>
      <c r="K2964" s="133">
        <v>1000</v>
      </c>
      <c r="L2964" s="34"/>
      <c r="M2964" s="16">
        <f t="shared" si="1551"/>
        <v>113107860.43868203</v>
      </c>
      <c r="N2964" s="36">
        <v>1260</v>
      </c>
      <c r="O2964" s="36">
        <v>20</v>
      </c>
      <c r="P2964" s="36">
        <v>150000</v>
      </c>
      <c r="Q2964" s="2" t="s">
        <v>414</v>
      </c>
      <c r="R2964" s="281" t="s">
        <v>1145</v>
      </c>
      <c r="S2964" s="56">
        <v>17000</v>
      </c>
      <c r="T2964" s="36"/>
    </row>
    <row r="2965" spans="1:20" s="223" customFormat="1" x14ac:dyDescent="0.2">
      <c r="A2965" s="8" t="str">
        <f t="shared" si="1550"/>
        <v>9663119</v>
      </c>
      <c r="B2965" s="8">
        <v>966</v>
      </c>
      <c r="C2965" s="8">
        <v>31</v>
      </c>
      <c r="D2965" s="8" t="s">
        <v>62</v>
      </c>
      <c r="E2965" s="8">
        <v>9</v>
      </c>
      <c r="F2965" s="32">
        <v>13860000</v>
      </c>
      <c r="G2965" s="32">
        <v>13860000</v>
      </c>
      <c r="H2965" s="308">
        <v>40917</v>
      </c>
      <c r="I2965" s="308">
        <v>54565</v>
      </c>
      <c r="J2965" s="308">
        <v>17000000000</v>
      </c>
      <c r="K2965" s="133">
        <v>1000</v>
      </c>
      <c r="L2965" s="34"/>
      <c r="M2965" s="16">
        <f t="shared" si="1551"/>
        <v>268313063.95328575</v>
      </c>
      <c r="N2965" s="36">
        <v>1050</v>
      </c>
      <c r="O2965" s="36">
        <v>21</v>
      </c>
      <c r="P2965" s="36">
        <v>220000</v>
      </c>
      <c r="Q2965" s="2" t="s">
        <v>90</v>
      </c>
      <c r="R2965" s="281" t="s">
        <v>1146</v>
      </c>
      <c r="S2965" s="56">
        <v>19800</v>
      </c>
      <c r="T2965" s="36"/>
    </row>
    <row r="2966" spans="1:20" ht="30.75" customHeight="1" x14ac:dyDescent="0.2">
      <c r="A2966" s="8" t="str">
        <f t="shared" si="1550"/>
        <v/>
      </c>
      <c r="B2966" s="259"/>
      <c r="C2966" s="260" t="s">
        <v>1147</v>
      </c>
      <c r="D2966" s="259"/>
      <c r="E2966" s="259"/>
      <c r="F2966" s="259"/>
      <c r="G2966" s="259"/>
      <c r="H2966" s="259"/>
      <c r="I2966" s="259"/>
      <c r="J2966" s="259"/>
      <c r="K2966" s="261"/>
      <c r="L2966" s="259"/>
      <c r="M2966" s="262"/>
      <c r="N2966" s="259"/>
      <c r="O2966" s="259"/>
      <c r="P2966" s="259"/>
      <c r="Q2966" s="259"/>
      <c r="R2966" s="259"/>
      <c r="S2966" s="263"/>
    </row>
    <row r="2967" spans="1:20" s="223" customFormat="1" x14ac:dyDescent="0.2">
      <c r="A2967" s="8" t="str">
        <f t="shared" si="1550"/>
        <v>9570119</v>
      </c>
      <c r="B2967" s="8">
        <v>957</v>
      </c>
      <c r="C2967" s="8">
        <v>1</v>
      </c>
      <c r="D2967" s="8" t="s">
        <v>259</v>
      </c>
      <c r="E2967" s="8">
        <v>9</v>
      </c>
      <c r="F2967" s="276">
        <v>1600832</v>
      </c>
      <c r="G2967" s="276">
        <v>1600832</v>
      </c>
      <c r="H2967" s="276">
        <v>104171</v>
      </c>
      <c r="I2967" s="276">
        <v>104171</v>
      </c>
      <c r="J2967" s="276">
        <v>9620809</v>
      </c>
      <c r="K2967" s="133">
        <v>1000</v>
      </c>
      <c r="L2967" s="34"/>
      <c r="M2967" s="16">
        <f t="shared" ref="M2967:M2970" si="1552">(F2967*J2967*((H2967+I2967)/2)/1000)^(1/2)/10*0.8</f>
        <v>3204365.7310116552</v>
      </c>
      <c r="N2967" s="36">
        <v>700</v>
      </c>
      <c r="O2967" s="2" t="s">
        <v>228</v>
      </c>
      <c r="P2967" s="2" t="s">
        <v>352</v>
      </c>
      <c r="Q2967" s="2" t="s">
        <v>412</v>
      </c>
      <c r="R2967" s="281" t="s">
        <v>1149</v>
      </c>
      <c r="S2967" s="36">
        <v>6321</v>
      </c>
      <c r="T2967" s="2"/>
    </row>
    <row r="2968" spans="1:20" s="223" customFormat="1" x14ac:dyDescent="0.2">
      <c r="A2968" s="8" t="str">
        <f t="shared" si="1550"/>
        <v>9571119</v>
      </c>
      <c r="B2968" s="8">
        <v>957</v>
      </c>
      <c r="C2968" s="8">
        <v>11</v>
      </c>
      <c r="D2968" s="8" t="s">
        <v>62</v>
      </c>
      <c r="E2968" s="8">
        <v>9</v>
      </c>
      <c r="F2968" s="32">
        <v>6353134</v>
      </c>
      <c r="G2968" s="32">
        <v>6353134</v>
      </c>
      <c r="H2968" s="32">
        <v>123714</v>
      </c>
      <c r="I2968" s="32">
        <v>123714</v>
      </c>
      <c r="J2968" s="32">
        <v>22908185</v>
      </c>
      <c r="K2968" s="133">
        <v>1000</v>
      </c>
      <c r="L2968" s="34"/>
      <c r="M2968" s="16">
        <f t="shared" si="1552"/>
        <v>10734671.532796878</v>
      </c>
      <c r="N2968" s="36">
        <v>750</v>
      </c>
      <c r="O2968" s="36">
        <v>19</v>
      </c>
      <c r="P2968" s="36">
        <v>22000</v>
      </c>
      <c r="Q2968" s="2" t="s">
        <v>412</v>
      </c>
      <c r="R2968" s="281" t="s">
        <v>1150</v>
      </c>
      <c r="S2968" s="36">
        <v>10310</v>
      </c>
      <c r="T2968" s="36"/>
    </row>
    <row r="2969" spans="1:20" s="223" customFormat="1" x14ac:dyDescent="0.2">
      <c r="A2969" s="8" t="str">
        <f t="shared" si="1550"/>
        <v>9572119</v>
      </c>
      <c r="B2969" s="8">
        <v>957</v>
      </c>
      <c r="C2969" s="8">
        <v>21</v>
      </c>
      <c r="D2969" s="8" t="s">
        <v>62</v>
      </c>
      <c r="E2969" s="8">
        <v>9</v>
      </c>
      <c r="F2969" s="308">
        <v>4988123</v>
      </c>
      <c r="G2969" s="32">
        <v>4988123</v>
      </c>
      <c r="H2969" s="32">
        <v>43197</v>
      </c>
      <c r="I2969" s="32">
        <v>43197</v>
      </c>
      <c r="J2969" s="32">
        <v>35987327</v>
      </c>
      <c r="K2969" s="133">
        <v>1000</v>
      </c>
      <c r="L2969" s="34"/>
      <c r="M2969" s="16">
        <f t="shared" si="1552"/>
        <v>7044661.8638754934</v>
      </c>
      <c r="N2969" s="36">
        <v>1210</v>
      </c>
      <c r="O2969" s="36">
        <v>20</v>
      </c>
      <c r="P2969" s="36">
        <v>150000</v>
      </c>
      <c r="Q2969" s="2" t="s">
        <v>519</v>
      </c>
      <c r="R2969" s="281" t="s">
        <v>1151</v>
      </c>
      <c r="S2969" s="56">
        <v>54862.500000000007</v>
      </c>
      <c r="T2969" s="36"/>
    </row>
    <row r="2970" spans="1:20" s="223" customFormat="1" x14ac:dyDescent="0.2">
      <c r="A2970" s="8" t="str">
        <f t="shared" si="1550"/>
        <v>9573119</v>
      </c>
      <c r="B2970" s="8">
        <v>957</v>
      </c>
      <c r="C2970" s="8">
        <v>31</v>
      </c>
      <c r="D2970" s="8" t="s">
        <v>62</v>
      </c>
      <c r="E2970" s="8">
        <v>9</v>
      </c>
      <c r="F2970" s="32">
        <v>4701524</v>
      </c>
      <c r="G2970" s="32">
        <v>4701524</v>
      </c>
      <c r="H2970" s="308">
        <v>35625</v>
      </c>
      <c r="I2970" s="308">
        <v>35625</v>
      </c>
      <c r="J2970" s="308">
        <v>142456839</v>
      </c>
      <c r="K2970" s="133">
        <v>1000</v>
      </c>
      <c r="L2970" s="34"/>
      <c r="M2970" s="16">
        <f t="shared" si="1552"/>
        <v>12357436.968690597</v>
      </c>
      <c r="N2970" s="36">
        <v>1180</v>
      </c>
      <c r="O2970" s="36">
        <v>21</v>
      </c>
      <c r="P2970" s="36">
        <v>209000</v>
      </c>
      <c r="Q2970" s="2" t="s">
        <v>535</v>
      </c>
      <c r="R2970" s="281" t="s">
        <v>1152</v>
      </c>
      <c r="S2970" s="56">
        <v>77591</v>
      </c>
      <c r="T2970" s="36"/>
    </row>
    <row r="2971" spans="1:20" ht="31.5" customHeight="1" x14ac:dyDescent="0.2">
      <c r="A2971" s="8" t="str">
        <f t="shared" si="1550"/>
        <v/>
      </c>
      <c r="B2971" s="259"/>
      <c r="C2971" s="260" t="s">
        <v>1148</v>
      </c>
      <c r="D2971" s="259"/>
      <c r="E2971" s="259"/>
      <c r="F2971" s="259"/>
      <c r="G2971" s="259"/>
      <c r="H2971" s="259"/>
      <c r="I2971" s="259"/>
      <c r="J2971" s="259"/>
      <c r="K2971" s="261"/>
      <c r="L2971" s="259"/>
      <c r="M2971" s="262"/>
      <c r="N2971" s="259"/>
      <c r="O2971" s="259"/>
      <c r="P2971" s="259"/>
      <c r="Q2971" s="259"/>
      <c r="R2971" s="259"/>
      <c r="S2971" s="263"/>
    </row>
    <row r="2972" spans="1:20" s="223" customFormat="1" x14ac:dyDescent="0.2">
      <c r="A2972" s="8" t="str">
        <f t="shared" ref="A2972:A2981" si="1553">IF(B2972="","",CONCATENATE(B2972,CONCATENATE(REPT(0,2-LEN(C2972)),C2972),IF(OR(D2972="Easy",D2972=""),1,IF(D2972="Normal",2,IF(D2972="Hard",3,IF(D2972="Hell",4,"error")))),E2972))</f>
        <v>9670119</v>
      </c>
      <c r="B2972" s="8">
        <v>967</v>
      </c>
      <c r="C2972" s="8">
        <v>1</v>
      </c>
      <c r="D2972" s="8" t="s">
        <v>259</v>
      </c>
      <c r="E2972" s="8">
        <v>9</v>
      </c>
      <c r="F2972" s="276">
        <v>1600832</v>
      </c>
      <c r="G2972" s="276">
        <v>1600832</v>
      </c>
      <c r="H2972" s="276">
        <v>104171</v>
      </c>
      <c r="I2972" s="276">
        <v>104171</v>
      </c>
      <c r="J2972" s="276">
        <v>9620809</v>
      </c>
      <c r="K2972" s="133">
        <v>1000</v>
      </c>
      <c r="L2972" s="34"/>
      <c r="M2972" s="16">
        <f t="shared" ref="M2972:M2975" si="1554">(F2972*J2972*((H2972+I2972)/2)/1000)^(1/2)/10*0.8</f>
        <v>3204365.7310116552</v>
      </c>
      <c r="N2972" s="36">
        <v>700</v>
      </c>
      <c r="O2972" s="2" t="s">
        <v>228</v>
      </c>
      <c r="P2972" s="2" t="s">
        <v>352</v>
      </c>
      <c r="Q2972" s="2" t="s">
        <v>412</v>
      </c>
      <c r="R2972" s="281" t="s">
        <v>1149</v>
      </c>
      <c r="S2972" s="36">
        <v>6321</v>
      </c>
      <c r="T2972" s="2"/>
    </row>
    <row r="2973" spans="1:20" s="223" customFormat="1" x14ac:dyDescent="0.2">
      <c r="A2973" s="8" t="str">
        <f t="shared" si="1553"/>
        <v>9671119</v>
      </c>
      <c r="B2973" s="8">
        <v>967</v>
      </c>
      <c r="C2973" s="8">
        <v>11</v>
      </c>
      <c r="D2973" s="8" t="s">
        <v>62</v>
      </c>
      <c r="E2973" s="8">
        <v>9</v>
      </c>
      <c r="F2973" s="32">
        <v>6353134</v>
      </c>
      <c r="G2973" s="32">
        <v>6353134</v>
      </c>
      <c r="H2973" s="32">
        <v>123714</v>
      </c>
      <c r="I2973" s="32">
        <v>123714</v>
      </c>
      <c r="J2973" s="32">
        <v>22908185</v>
      </c>
      <c r="K2973" s="133">
        <v>1000</v>
      </c>
      <c r="L2973" s="34"/>
      <c r="M2973" s="16">
        <f t="shared" si="1554"/>
        <v>10734671.532796878</v>
      </c>
      <c r="N2973" s="36">
        <v>750</v>
      </c>
      <c r="O2973" s="36">
        <v>19</v>
      </c>
      <c r="P2973" s="36">
        <v>22000</v>
      </c>
      <c r="Q2973" s="2" t="s">
        <v>412</v>
      </c>
      <c r="R2973" s="281" t="s">
        <v>1150</v>
      </c>
      <c r="S2973" s="36">
        <v>10310</v>
      </c>
      <c r="T2973" s="36"/>
    </row>
    <row r="2974" spans="1:20" s="223" customFormat="1" x14ac:dyDescent="0.2">
      <c r="A2974" s="8" t="str">
        <f t="shared" si="1553"/>
        <v>9672119</v>
      </c>
      <c r="B2974" s="8">
        <v>967</v>
      </c>
      <c r="C2974" s="8">
        <v>21</v>
      </c>
      <c r="D2974" s="8" t="s">
        <v>62</v>
      </c>
      <c r="E2974" s="8">
        <v>9</v>
      </c>
      <c r="F2974" s="308">
        <v>4988123</v>
      </c>
      <c r="G2974" s="32">
        <v>4988123</v>
      </c>
      <c r="H2974" s="32">
        <v>43197</v>
      </c>
      <c r="I2974" s="32">
        <v>43197</v>
      </c>
      <c r="J2974" s="32">
        <v>35987327</v>
      </c>
      <c r="K2974" s="133">
        <v>1000</v>
      </c>
      <c r="L2974" s="34"/>
      <c r="M2974" s="16">
        <f t="shared" si="1554"/>
        <v>7044661.8638754934</v>
      </c>
      <c r="N2974" s="36">
        <v>1210</v>
      </c>
      <c r="O2974" s="36">
        <v>20</v>
      </c>
      <c r="P2974" s="36">
        <v>150000</v>
      </c>
      <c r="Q2974" s="2" t="s">
        <v>519</v>
      </c>
      <c r="R2974" s="281" t="s">
        <v>1151</v>
      </c>
      <c r="S2974" s="56">
        <v>54862.500000000007</v>
      </c>
      <c r="T2974" s="36"/>
    </row>
    <row r="2975" spans="1:20" s="223" customFormat="1" x14ac:dyDescent="0.2">
      <c r="A2975" s="8" t="str">
        <f t="shared" si="1553"/>
        <v>9673119</v>
      </c>
      <c r="B2975" s="8">
        <v>967</v>
      </c>
      <c r="C2975" s="8">
        <v>31</v>
      </c>
      <c r="D2975" s="8" t="s">
        <v>62</v>
      </c>
      <c r="E2975" s="8">
        <v>9</v>
      </c>
      <c r="F2975" s="32">
        <v>4701524</v>
      </c>
      <c r="G2975" s="32">
        <v>4701524</v>
      </c>
      <c r="H2975" s="308">
        <v>35625</v>
      </c>
      <c r="I2975" s="308">
        <v>35625</v>
      </c>
      <c r="J2975" s="308">
        <v>142456839</v>
      </c>
      <c r="K2975" s="133">
        <v>1000</v>
      </c>
      <c r="L2975" s="34"/>
      <c r="M2975" s="16">
        <f t="shared" si="1554"/>
        <v>12357436.968690597</v>
      </c>
      <c r="N2975" s="36">
        <v>1180</v>
      </c>
      <c r="O2975" s="36">
        <v>21</v>
      </c>
      <c r="P2975" s="36">
        <v>209000</v>
      </c>
      <c r="Q2975" s="2" t="s">
        <v>535</v>
      </c>
      <c r="R2975" s="281" t="s">
        <v>1152</v>
      </c>
      <c r="S2975" s="56">
        <v>77591</v>
      </c>
      <c r="T2975" s="36"/>
    </row>
    <row r="2976" spans="1:20" ht="30.75" customHeight="1" x14ac:dyDescent="0.2">
      <c r="A2976" s="8" t="str">
        <f t="shared" si="1553"/>
        <v/>
      </c>
      <c r="B2976" s="259"/>
      <c r="C2976" s="260" t="s">
        <v>1153</v>
      </c>
      <c r="D2976" s="259"/>
      <c r="E2976" s="259"/>
      <c r="F2976" s="259"/>
      <c r="G2976" s="259"/>
      <c r="H2976" s="259"/>
      <c r="I2976" s="259"/>
      <c r="J2976" s="259"/>
      <c r="K2976" s="261"/>
      <c r="L2976" s="259"/>
      <c r="M2976" s="262"/>
      <c r="N2976" s="259"/>
      <c r="O2976" s="259"/>
      <c r="P2976" s="259"/>
      <c r="Q2976" s="259"/>
      <c r="R2976" s="259"/>
      <c r="S2976" s="263"/>
    </row>
    <row r="2977" spans="1:20" s="223" customFormat="1" x14ac:dyDescent="0.2">
      <c r="A2977" s="8" t="str">
        <f t="shared" si="1553"/>
        <v>9580119</v>
      </c>
      <c r="B2977" s="8">
        <v>958</v>
      </c>
      <c r="C2977" s="8">
        <v>1</v>
      </c>
      <c r="D2977" s="8" t="s">
        <v>259</v>
      </c>
      <c r="E2977" s="8">
        <v>9</v>
      </c>
      <c r="F2977" s="34">
        <f t="shared" ref="F2977:G2985" si="1555">ROUNDDOWN($P2977/4*MIN($O2977,4)*10*$N2977/$N2977*$Q2977/400,0)</f>
        <v>61875</v>
      </c>
      <c r="G2977" s="34">
        <f t="shared" si="1555"/>
        <v>61875</v>
      </c>
      <c r="H2977" s="34">
        <f t="shared" ref="H2977:I2985" si="1556">ROUNDDOWN($S2977/4*10,0)</f>
        <v>15802</v>
      </c>
      <c r="I2977" s="34">
        <f t="shared" si="1556"/>
        <v>15802</v>
      </c>
      <c r="J2977" s="34">
        <f t="shared" ref="J2977:J2985" si="1557">ROUNDDOWN($P2977/4*$O2977*10*$N2977/$Q2977*$N2977/400*0.8,0)</f>
        <v>568944</v>
      </c>
      <c r="K2977" s="133">
        <v>1000</v>
      </c>
      <c r="L2977" s="34"/>
      <c r="M2977" s="16">
        <f t="shared" ref="M2977:M2980" si="1558">(F2977*J2977*((H2977+I2977)/2)/1000)^(1/2)/10*0.8</f>
        <v>59667.574300016582</v>
      </c>
      <c r="N2977" s="36">
        <v>700</v>
      </c>
      <c r="O2977" s="2" t="s">
        <v>228</v>
      </c>
      <c r="P2977" s="2" t="s">
        <v>352</v>
      </c>
      <c r="Q2977" s="2" t="s">
        <v>412</v>
      </c>
      <c r="R2977" s="281" t="s">
        <v>1155</v>
      </c>
      <c r="S2977" s="36">
        <v>6321</v>
      </c>
      <c r="T2977" s="2"/>
    </row>
    <row r="2978" spans="1:20" s="223" customFormat="1" x14ac:dyDescent="0.2">
      <c r="A2978" s="8" t="str">
        <f t="shared" si="1553"/>
        <v>9581119</v>
      </c>
      <c r="B2978" s="8">
        <v>958</v>
      </c>
      <c r="C2978" s="8">
        <v>11</v>
      </c>
      <c r="D2978" s="8" t="s">
        <v>62</v>
      </c>
      <c r="E2978" s="8">
        <v>9</v>
      </c>
      <c r="F2978" s="34">
        <f t="shared" si="1555"/>
        <v>247500</v>
      </c>
      <c r="G2978" s="34">
        <f t="shared" si="1555"/>
        <v>247500</v>
      </c>
      <c r="H2978" s="34">
        <f t="shared" si="1556"/>
        <v>25775</v>
      </c>
      <c r="I2978" s="34">
        <f t="shared" si="1556"/>
        <v>25775</v>
      </c>
      <c r="J2978" s="34">
        <f t="shared" si="1557"/>
        <v>2612500</v>
      </c>
      <c r="K2978" s="133">
        <v>1000</v>
      </c>
      <c r="L2978" s="34"/>
      <c r="M2978" s="16">
        <f t="shared" si="1558"/>
        <v>326591.64869910566</v>
      </c>
      <c r="N2978" s="36">
        <v>750</v>
      </c>
      <c r="O2978" s="36">
        <v>19</v>
      </c>
      <c r="P2978" s="36">
        <v>22000</v>
      </c>
      <c r="Q2978" s="2" t="s">
        <v>412</v>
      </c>
      <c r="R2978" s="281" t="s">
        <v>1156</v>
      </c>
      <c r="S2978" s="36">
        <v>10310</v>
      </c>
      <c r="T2978" s="36"/>
    </row>
    <row r="2979" spans="1:20" s="223" customFormat="1" x14ac:dyDescent="0.2">
      <c r="A2979" s="8" t="str">
        <f t="shared" si="1553"/>
        <v>9582119</v>
      </c>
      <c r="B2979" s="8">
        <v>958</v>
      </c>
      <c r="C2979" s="8">
        <v>21</v>
      </c>
      <c r="D2979" s="8" t="s">
        <v>62</v>
      </c>
      <c r="E2979" s="8">
        <v>9</v>
      </c>
      <c r="F2979" s="34">
        <f t="shared" si="1555"/>
        <v>1485000</v>
      </c>
      <c r="G2979" s="34">
        <f t="shared" si="1555"/>
        <v>1485000</v>
      </c>
      <c r="H2979" s="34">
        <f t="shared" si="1556"/>
        <v>87500</v>
      </c>
      <c r="I2979" s="34">
        <f t="shared" si="1556"/>
        <v>87500</v>
      </c>
      <c r="J2979" s="34">
        <f t="shared" si="1557"/>
        <v>34425925</v>
      </c>
      <c r="K2979" s="133">
        <v>1000</v>
      </c>
      <c r="L2979" s="34"/>
      <c r="M2979" s="16">
        <f t="shared" si="1558"/>
        <v>5350569.9911317863</v>
      </c>
      <c r="N2979" s="36">
        <v>1300</v>
      </c>
      <c r="O2979" s="36">
        <v>20</v>
      </c>
      <c r="P2979" s="36">
        <v>110000</v>
      </c>
      <c r="Q2979" s="2" t="s">
        <v>250</v>
      </c>
      <c r="R2979" s="281" t="s">
        <v>1157</v>
      </c>
      <c r="S2979" s="56">
        <v>35000</v>
      </c>
      <c r="T2979" s="36"/>
    </row>
    <row r="2980" spans="1:20" s="223" customFormat="1" x14ac:dyDescent="0.2">
      <c r="A2980" s="8" t="str">
        <f t="shared" si="1553"/>
        <v>9583119</v>
      </c>
      <c r="B2980" s="8">
        <v>958</v>
      </c>
      <c r="C2980" s="8">
        <v>31</v>
      </c>
      <c r="D2980" s="8" t="s">
        <v>62</v>
      </c>
      <c r="E2980" s="8">
        <v>9</v>
      </c>
      <c r="F2980" s="34">
        <f t="shared" si="1555"/>
        <v>2332000</v>
      </c>
      <c r="G2980" s="34">
        <f t="shared" si="1555"/>
        <v>2332000</v>
      </c>
      <c r="H2980" s="34">
        <f t="shared" si="1556"/>
        <v>137500</v>
      </c>
      <c r="I2980" s="34">
        <f t="shared" si="1556"/>
        <v>137500</v>
      </c>
      <c r="J2980" s="34">
        <f t="shared" si="1557"/>
        <v>50209811</v>
      </c>
      <c r="K2980" s="133">
        <v>1000</v>
      </c>
      <c r="L2980" s="34"/>
      <c r="M2980" s="16">
        <f t="shared" si="1558"/>
        <v>10150791.384998512</v>
      </c>
      <c r="N2980" s="36">
        <v>1200</v>
      </c>
      <c r="O2980" s="36">
        <v>21</v>
      </c>
      <c r="P2980" s="36">
        <v>176000</v>
      </c>
      <c r="Q2980" s="2" t="s">
        <v>251</v>
      </c>
      <c r="R2980" s="281" t="s">
        <v>1158</v>
      </c>
      <c r="S2980" s="56">
        <v>55000</v>
      </c>
      <c r="T2980" s="36"/>
    </row>
    <row r="2981" spans="1:20" ht="31.5" customHeight="1" x14ac:dyDescent="0.2">
      <c r="A2981" s="8" t="str">
        <f t="shared" si="1553"/>
        <v/>
      </c>
      <c r="B2981" s="259"/>
      <c r="C2981" s="260" t="s">
        <v>1154</v>
      </c>
      <c r="D2981" s="259"/>
      <c r="E2981" s="259"/>
      <c r="F2981" s="259"/>
      <c r="G2981" s="259"/>
      <c r="H2981" s="259"/>
      <c r="I2981" s="259"/>
      <c r="J2981" s="259"/>
      <c r="K2981" s="261"/>
      <c r="L2981" s="259"/>
      <c r="M2981" s="262"/>
      <c r="N2981" s="259"/>
      <c r="O2981" s="259"/>
      <c r="P2981" s="259"/>
      <c r="Q2981" s="259"/>
      <c r="R2981" s="259"/>
      <c r="S2981" s="263"/>
    </row>
    <row r="2982" spans="1:20" s="223" customFormat="1" x14ac:dyDescent="0.2">
      <c r="A2982" s="8" t="str">
        <f t="shared" ref="A2982:A2985" si="1559">IF(B2982="","",CONCATENATE(B2982,CONCATENATE(REPT(0,2-LEN(C2982)),C2982),IF(OR(D2982="Easy",D2982=""),1,IF(D2982="Normal",2,IF(D2982="Hard",3,IF(D2982="Hell",4,"error")))),E2982))</f>
        <v>9680119</v>
      </c>
      <c r="B2982" s="8">
        <v>968</v>
      </c>
      <c r="C2982" s="8">
        <v>1</v>
      </c>
      <c r="D2982" s="8" t="s">
        <v>259</v>
      </c>
      <c r="E2982" s="8">
        <v>9</v>
      </c>
      <c r="F2982" s="34">
        <f t="shared" si="1555"/>
        <v>61875</v>
      </c>
      <c r="G2982" s="34">
        <f t="shared" si="1555"/>
        <v>61875</v>
      </c>
      <c r="H2982" s="34">
        <f t="shared" si="1556"/>
        <v>15802</v>
      </c>
      <c r="I2982" s="34">
        <f t="shared" si="1556"/>
        <v>15802</v>
      </c>
      <c r="J2982" s="34">
        <f t="shared" si="1557"/>
        <v>568944</v>
      </c>
      <c r="K2982" s="133">
        <v>1000</v>
      </c>
      <c r="L2982" s="34"/>
      <c r="M2982" s="16">
        <f t="shared" ref="M2982:M2985" si="1560">(F2982*J2982*((H2982+I2982)/2)/1000)^(1/2)/10*0.8</f>
        <v>59667.574300016582</v>
      </c>
      <c r="N2982" s="36">
        <v>700</v>
      </c>
      <c r="O2982" s="2" t="s">
        <v>228</v>
      </c>
      <c r="P2982" s="2" t="s">
        <v>352</v>
      </c>
      <c r="Q2982" s="2" t="s">
        <v>412</v>
      </c>
      <c r="R2982" s="281" t="s">
        <v>1155</v>
      </c>
      <c r="S2982" s="36">
        <v>6321</v>
      </c>
      <c r="T2982" s="2"/>
    </row>
    <row r="2983" spans="1:20" s="223" customFormat="1" x14ac:dyDescent="0.2">
      <c r="A2983" s="8" t="str">
        <f t="shared" si="1559"/>
        <v>9681119</v>
      </c>
      <c r="B2983" s="8">
        <v>968</v>
      </c>
      <c r="C2983" s="8">
        <v>11</v>
      </c>
      <c r="D2983" s="8" t="s">
        <v>62</v>
      </c>
      <c r="E2983" s="8">
        <v>9</v>
      </c>
      <c r="F2983" s="34">
        <f t="shared" si="1555"/>
        <v>247500</v>
      </c>
      <c r="G2983" s="34">
        <f t="shared" si="1555"/>
        <v>247500</v>
      </c>
      <c r="H2983" s="34">
        <f t="shared" si="1556"/>
        <v>25775</v>
      </c>
      <c r="I2983" s="34">
        <f t="shared" si="1556"/>
        <v>25775</v>
      </c>
      <c r="J2983" s="34">
        <f t="shared" si="1557"/>
        <v>2612500</v>
      </c>
      <c r="K2983" s="133">
        <v>1000</v>
      </c>
      <c r="L2983" s="34"/>
      <c r="M2983" s="16">
        <f t="shared" si="1560"/>
        <v>326591.64869910566</v>
      </c>
      <c r="N2983" s="36">
        <v>750</v>
      </c>
      <c r="O2983" s="36">
        <v>19</v>
      </c>
      <c r="P2983" s="36">
        <v>22000</v>
      </c>
      <c r="Q2983" s="2" t="s">
        <v>412</v>
      </c>
      <c r="R2983" s="281" t="s">
        <v>1156</v>
      </c>
      <c r="S2983" s="36">
        <v>10310</v>
      </c>
      <c r="T2983" s="36"/>
    </row>
    <row r="2984" spans="1:20" s="223" customFormat="1" x14ac:dyDescent="0.2">
      <c r="A2984" s="8" t="str">
        <f t="shared" si="1559"/>
        <v>9682119</v>
      </c>
      <c r="B2984" s="8">
        <v>968</v>
      </c>
      <c r="C2984" s="8">
        <v>21</v>
      </c>
      <c r="D2984" s="8" t="s">
        <v>62</v>
      </c>
      <c r="E2984" s="8">
        <v>9</v>
      </c>
      <c r="F2984" s="34">
        <f t="shared" si="1555"/>
        <v>1485000</v>
      </c>
      <c r="G2984" s="34">
        <f t="shared" si="1555"/>
        <v>1485000</v>
      </c>
      <c r="H2984" s="34">
        <f t="shared" si="1556"/>
        <v>87500</v>
      </c>
      <c r="I2984" s="34">
        <f t="shared" si="1556"/>
        <v>87500</v>
      </c>
      <c r="J2984" s="34">
        <f t="shared" si="1557"/>
        <v>34425925</v>
      </c>
      <c r="K2984" s="133">
        <v>1000</v>
      </c>
      <c r="L2984" s="34"/>
      <c r="M2984" s="16">
        <f t="shared" si="1560"/>
        <v>5350569.9911317863</v>
      </c>
      <c r="N2984" s="36">
        <v>1300</v>
      </c>
      <c r="O2984" s="36">
        <v>20</v>
      </c>
      <c r="P2984" s="36">
        <v>110000</v>
      </c>
      <c r="Q2984" s="2" t="s">
        <v>250</v>
      </c>
      <c r="R2984" s="281" t="s">
        <v>1157</v>
      </c>
      <c r="S2984" s="56">
        <v>35000</v>
      </c>
      <c r="T2984" s="36"/>
    </row>
    <row r="2985" spans="1:20" s="223" customFormat="1" x14ac:dyDescent="0.2">
      <c r="A2985" s="8" t="str">
        <f t="shared" si="1559"/>
        <v>9683119</v>
      </c>
      <c r="B2985" s="8">
        <v>968</v>
      </c>
      <c r="C2985" s="8">
        <v>31</v>
      </c>
      <c r="D2985" s="8" t="s">
        <v>62</v>
      </c>
      <c r="E2985" s="8">
        <v>9</v>
      </c>
      <c r="F2985" s="34">
        <f t="shared" si="1555"/>
        <v>2332000</v>
      </c>
      <c r="G2985" s="34">
        <f t="shared" si="1555"/>
        <v>2332000</v>
      </c>
      <c r="H2985" s="34">
        <f t="shared" si="1556"/>
        <v>137500</v>
      </c>
      <c r="I2985" s="34">
        <f t="shared" si="1556"/>
        <v>137500</v>
      </c>
      <c r="J2985" s="34">
        <f t="shared" si="1557"/>
        <v>50209811</v>
      </c>
      <c r="K2985" s="133">
        <v>1000</v>
      </c>
      <c r="L2985" s="34"/>
      <c r="M2985" s="16">
        <f t="shared" si="1560"/>
        <v>10150791.384998512</v>
      </c>
      <c r="N2985" s="36">
        <v>1200</v>
      </c>
      <c r="O2985" s="36">
        <v>21</v>
      </c>
      <c r="P2985" s="36">
        <v>176000</v>
      </c>
      <c r="Q2985" s="2" t="s">
        <v>251</v>
      </c>
      <c r="R2985" s="281" t="s">
        <v>1158</v>
      </c>
      <c r="S2985" s="56">
        <v>55000</v>
      </c>
      <c r="T2985" s="36"/>
    </row>
    <row r="2986" spans="1:20" ht="38.25" x14ac:dyDescent="0.2">
      <c r="A2986" s="8" t="str">
        <f t="shared" si="1477"/>
        <v/>
      </c>
      <c r="B2986" s="5"/>
      <c r="C2986" s="6" t="s">
        <v>708</v>
      </c>
      <c r="D2986" s="5"/>
      <c r="E2986" s="5"/>
      <c r="F2986" s="5"/>
      <c r="G2986" s="5"/>
      <c r="H2986" s="5"/>
      <c r="I2986" s="5"/>
      <c r="J2986" s="5"/>
      <c r="K2986" s="133"/>
      <c r="L2986" s="5"/>
      <c r="M2986" s="16"/>
      <c r="N2986" s="5"/>
      <c r="O2986" s="5"/>
      <c r="P2986" s="5"/>
      <c r="Q2986" s="5"/>
      <c r="R2986" s="5"/>
      <c r="S2986" s="30"/>
    </row>
    <row r="2987" spans="1:20" x14ac:dyDescent="0.2">
      <c r="A2987" s="8" t="str">
        <f t="shared" si="1477"/>
        <v>91739</v>
      </c>
      <c r="B2987" s="8">
        <v>9</v>
      </c>
      <c r="C2987" s="8">
        <v>17</v>
      </c>
      <c r="D2987" s="8" t="s">
        <v>64</v>
      </c>
      <c r="E2987" s="8">
        <v>9</v>
      </c>
      <c r="F2987" s="34">
        <f t="shared" ref="F2987:G2991" si="1561">ROUNDDOWN($P2987/4*$O2987*10*$N2987/$N2987*$Q2987/400,0)</f>
        <v>54534</v>
      </c>
      <c r="G2987" s="34">
        <f t="shared" si="1561"/>
        <v>54534</v>
      </c>
      <c r="H2987" s="34">
        <f t="shared" ref="H2987:I2994" si="1562">ROUNDDOWN($S2987/4*10,0)</f>
        <v>3290</v>
      </c>
      <c r="I2987" s="34">
        <f t="shared" si="1562"/>
        <v>3290</v>
      </c>
      <c r="J2987" s="34">
        <f>ROUNDDOWN($P2987/4*$O2987*10*$N2987/$Q2987*$N2987/400,0)</f>
        <v>154783</v>
      </c>
      <c r="K2987" s="133">
        <v>1000</v>
      </c>
      <c r="L2987" s="34"/>
      <c r="M2987" s="16">
        <f t="shared" si="1454"/>
        <v>13331.62971976165</v>
      </c>
      <c r="N2987" s="36">
        <v>1400</v>
      </c>
      <c r="O2987" s="36">
        <v>0.5</v>
      </c>
      <c r="P2987" s="90" t="s">
        <v>1090</v>
      </c>
      <c r="Q2987" s="90" t="s">
        <v>375</v>
      </c>
      <c r="R2987" s="2" t="s">
        <v>709</v>
      </c>
      <c r="S2987" s="36" t="s">
        <v>127</v>
      </c>
    </row>
    <row r="2988" spans="1:20" x14ac:dyDescent="0.2">
      <c r="A2988" s="8" t="str">
        <f t="shared" si="1477"/>
        <v>91738</v>
      </c>
      <c r="B2988" s="8">
        <v>9</v>
      </c>
      <c r="C2988" s="8">
        <v>17</v>
      </c>
      <c r="D2988" s="8" t="s">
        <v>64</v>
      </c>
      <c r="E2988" s="8">
        <v>8</v>
      </c>
      <c r="F2988" s="34">
        <f t="shared" si="1561"/>
        <v>131250</v>
      </c>
      <c r="G2988" s="34">
        <f t="shared" si="1561"/>
        <v>131250</v>
      </c>
      <c r="H2988" s="34">
        <f t="shared" si="1562"/>
        <v>3290</v>
      </c>
      <c r="I2988" s="34">
        <f t="shared" si="1562"/>
        <v>3290</v>
      </c>
      <c r="J2988" s="34">
        <f>ROUNDDOWN($P2988/4*$O2988*10*$N2988/$Q2988*$N2988/400,0)</f>
        <v>119047</v>
      </c>
      <c r="K2988" s="133">
        <v>1000</v>
      </c>
      <c r="L2988" s="34"/>
      <c r="M2988" s="16">
        <f t="shared" si="1454"/>
        <v>18138.309987427165</v>
      </c>
      <c r="N2988" s="36">
        <v>2000</v>
      </c>
      <c r="O2988" s="36">
        <v>0.5</v>
      </c>
      <c r="P2988" s="90" t="s">
        <v>594</v>
      </c>
      <c r="Q2988" s="90" t="s">
        <v>523</v>
      </c>
      <c r="R2988" s="2" t="s">
        <v>527</v>
      </c>
      <c r="S2988" s="36" t="s">
        <v>127</v>
      </c>
    </row>
    <row r="2989" spans="1:20" x14ac:dyDescent="0.2">
      <c r="A2989" s="8" t="str">
        <f t="shared" si="1477"/>
        <v>91737</v>
      </c>
      <c r="B2989" s="8">
        <v>9</v>
      </c>
      <c r="C2989" s="8">
        <v>17</v>
      </c>
      <c r="D2989" s="8" t="s">
        <v>64</v>
      </c>
      <c r="E2989" s="8">
        <v>7</v>
      </c>
      <c r="F2989" s="34">
        <f t="shared" si="1561"/>
        <v>131250</v>
      </c>
      <c r="G2989" s="34">
        <f t="shared" si="1561"/>
        <v>131250</v>
      </c>
      <c r="H2989" s="34">
        <f t="shared" si="1562"/>
        <v>3290</v>
      </c>
      <c r="I2989" s="34">
        <f t="shared" si="1562"/>
        <v>3290</v>
      </c>
      <c r="J2989" s="34">
        <f>ROUNDDOWN($P2989/4*$O2989*10*$N2989/$Q2989*$N2989/400,0)</f>
        <v>119047</v>
      </c>
      <c r="K2989" s="133">
        <v>1000</v>
      </c>
      <c r="L2989" s="34"/>
      <c r="M2989" s="16">
        <f t="shared" si="1454"/>
        <v>18138.309987427165</v>
      </c>
      <c r="N2989" s="36">
        <v>2000</v>
      </c>
      <c r="O2989" s="36">
        <v>0.5</v>
      </c>
      <c r="P2989" s="90" t="s">
        <v>594</v>
      </c>
      <c r="Q2989" s="90" t="s">
        <v>523</v>
      </c>
      <c r="R2989" s="2" t="s">
        <v>710</v>
      </c>
      <c r="S2989" s="36" t="s">
        <v>127</v>
      </c>
      <c r="T2989" s="114"/>
    </row>
    <row r="2990" spans="1:20" x14ac:dyDescent="0.2">
      <c r="A2990" s="8" t="str">
        <f t="shared" si="1477"/>
        <v>91736</v>
      </c>
      <c r="B2990" s="8">
        <v>9</v>
      </c>
      <c r="C2990" s="8">
        <v>17</v>
      </c>
      <c r="D2990" s="8" t="s">
        <v>64</v>
      </c>
      <c r="E2990" s="8">
        <v>6</v>
      </c>
      <c r="F2990" s="34">
        <f t="shared" si="1561"/>
        <v>350000</v>
      </c>
      <c r="G2990" s="34">
        <f t="shared" si="1561"/>
        <v>350000</v>
      </c>
      <c r="H2990" s="34">
        <f t="shared" si="1562"/>
        <v>4000</v>
      </c>
      <c r="I2990" s="34">
        <f t="shared" si="1562"/>
        <v>4000</v>
      </c>
      <c r="J2990" s="34">
        <f t="shared" ref="J2990:J2991" si="1563">ROUNDDOWN($P2990/4*$O2990*10*$N2990/$Q2990*$N2990/400,0)</f>
        <v>36160</v>
      </c>
      <c r="K2990" s="133">
        <v>1000</v>
      </c>
      <c r="L2990" s="34"/>
      <c r="M2990" s="16">
        <f t="shared" si="1454"/>
        <v>17999.8222213443</v>
      </c>
      <c r="N2990" s="36">
        <v>900</v>
      </c>
      <c r="O2990" s="36">
        <v>0.5</v>
      </c>
      <c r="P2990" s="90" t="s">
        <v>289</v>
      </c>
      <c r="Q2990" s="90" t="s">
        <v>587</v>
      </c>
      <c r="R2990" s="2" t="s">
        <v>726</v>
      </c>
      <c r="S2990" s="36">
        <v>1600</v>
      </c>
      <c r="T2990" s="114"/>
    </row>
    <row r="2991" spans="1:20" x14ac:dyDescent="0.2">
      <c r="A2991" s="8" t="str">
        <f t="shared" si="1477"/>
        <v>91715</v>
      </c>
      <c r="B2991" s="8">
        <v>9</v>
      </c>
      <c r="C2991" s="8">
        <v>17</v>
      </c>
      <c r="D2991" s="8" t="s">
        <v>62</v>
      </c>
      <c r="E2991" s="8">
        <v>5</v>
      </c>
      <c r="F2991" s="34">
        <f t="shared" si="1561"/>
        <v>225802</v>
      </c>
      <c r="G2991" s="34">
        <f t="shared" si="1561"/>
        <v>225802</v>
      </c>
      <c r="H2991" s="34">
        <f t="shared" si="1562"/>
        <v>60375</v>
      </c>
      <c r="I2991" s="34">
        <f t="shared" si="1562"/>
        <v>60375</v>
      </c>
      <c r="J2991" s="34">
        <f t="shared" si="1563"/>
        <v>312529</v>
      </c>
      <c r="K2991" s="133">
        <v>1000</v>
      </c>
      <c r="L2991" s="34">
        <v>1500</v>
      </c>
      <c r="M2991" s="16">
        <f t="shared" si="1454"/>
        <v>165130.620258301</v>
      </c>
      <c r="N2991" s="36">
        <v>880</v>
      </c>
      <c r="O2991" s="36">
        <v>1</v>
      </c>
      <c r="P2991" s="66">
        <v>48300</v>
      </c>
      <c r="Q2991" s="41" t="s">
        <v>537</v>
      </c>
      <c r="R2991" s="2" t="s">
        <v>730</v>
      </c>
      <c r="S2991" s="36">
        <f t="shared" ref="S2991" si="1564">P2991*0.5</f>
        <v>24150</v>
      </c>
    </row>
    <row r="2992" spans="1:20" x14ac:dyDescent="0.2">
      <c r="A2992" s="8" t="str">
        <f t="shared" si="1477"/>
        <v>91619</v>
      </c>
      <c r="B2992" s="8">
        <v>9</v>
      </c>
      <c r="C2992" s="8">
        <v>16</v>
      </c>
      <c r="D2992" s="8" t="s">
        <v>62</v>
      </c>
      <c r="E2992" s="8">
        <v>9</v>
      </c>
      <c r="F2992" s="34">
        <f t="shared" ref="F2992:G2992" si="1565">ROUNDDOWN($P2992/4*MIN($O2992,4)*10*$N2992/$N2992*$Q2992/400,0)</f>
        <v>245000</v>
      </c>
      <c r="G2992" s="34">
        <f t="shared" si="1565"/>
        <v>245000</v>
      </c>
      <c r="H2992" s="34">
        <f t="shared" si="1562"/>
        <v>17500</v>
      </c>
      <c r="I2992" s="34">
        <f t="shared" si="1562"/>
        <v>17500</v>
      </c>
      <c r="J2992" s="34">
        <f t="shared" ref="J2992" si="1566">ROUNDDOWN($P2992/4*$O2992*10*$N2992/$Q2992*$N2992/400*0.8,0)</f>
        <v>2100000</v>
      </c>
      <c r="K2992" s="133">
        <v>1000</v>
      </c>
      <c r="L2992" s="34"/>
      <c r="M2992" s="16">
        <f t="shared" si="1454"/>
        <v>240049.99479275147</v>
      </c>
      <c r="N2992" s="36">
        <v>1000</v>
      </c>
      <c r="O2992" s="36">
        <v>21</v>
      </c>
      <c r="P2992" s="36">
        <v>14000</v>
      </c>
      <c r="Q2992" s="2" t="s">
        <v>166</v>
      </c>
      <c r="S2992" s="56">
        <f>P2992*0.5</f>
        <v>7000</v>
      </c>
    </row>
    <row r="2993" spans="1:20" x14ac:dyDescent="0.2">
      <c r="A2993" s="8" t="str">
        <f t="shared" si="1477"/>
        <v>91533</v>
      </c>
      <c r="B2993" s="8">
        <v>9</v>
      </c>
      <c r="C2993" s="8">
        <v>15</v>
      </c>
      <c r="D2993" s="8" t="s">
        <v>64</v>
      </c>
      <c r="E2993" s="8">
        <v>3</v>
      </c>
      <c r="F2993" s="34">
        <f t="shared" ref="F2993:G2994" si="1567">ROUNDDOWN($P2993/4*$O2993*10*$N2993/$N2993*$Q2993/400,0)</f>
        <v>202343</v>
      </c>
      <c r="G2993" s="34">
        <f t="shared" si="1567"/>
        <v>202343</v>
      </c>
      <c r="H2993" s="34">
        <f t="shared" si="1562"/>
        <v>10500</v>
      </c>
      <c r="I2993" s="34">
        <f t="shared" si="1562"/>
        <v>10500</v>
      </c>
      <c r="J2993" s="34">
        <f>ROUNDDOWN($P2993/4*$O2993*10*$N2993/$Q2993*$N2993/400,0)</f>
        <v>191554</v>
      </c>
      <c r="K2993" s="133">
        <v>1000</v>
      </c>
      <c r="L2993" s="34"/>
      <c r="M2993" s="16">
        <f t="shared" si="1454"/>
        <v>51035.731215280932</v>
      </c>
      <c r="N2993" s="36">
        <v>900</v>
      </c>
      <c r="O2993" s="36">
        <v>0.5</v>
      </c>
      <c r="P2993" s="90" t="s">
        <v>345</v>
      </c>
      <c r="Q2993" s="90" t="s">
        <v>405</v>
      </c>
      <c r="S2993" s="36">
        <v>4200</v>
      </c>
      <c r="T2993" s="266"/>
    </row>
    <row r="2994" spans="1:20" x14ac:dyDescent="0.2">
      <c r="A2994" s="8" t="str">
        <f t="shared" si="1477"/>
        <v>91432</v>
      </c>
      <c r="B2994" s="8">
        <v>9</v>
      </c>
      <c r="C2994" s="8">
        <v>14</v>
      </c>
      <c r="D2994" s="8" t="s">
        <v>64</v>
      </c>
      <c r="E2994" s="8">
        <v>2</v>
      </c>
      <c r="F2994" s="34">
        <f t="shared" si="1567"/>
        <v>259687</v>
      </c>
      <c r="G2994" s="34">
        <f t="shared" si="1567"/>
        <v>259687</v>
      </c>
      <c r="H2994" s="34">
        <f t="shared" si="1562"/>
        <v>3290</v>
      </c>
      <c r="I2994" s="34">
        <f t="shared" si="1562"/>
        <v>3290</v>
      </c>
      <c r="J2994" s="34">
        <f>ROUNDDOWN($P2994/4*$O2994*10*$N2994/$Q2994*$N2994/400,0)</f>
        <v>9401323</v>
      </c>
      <c r="K2994" s="133">
        <v>1000</v>
      </c>
      <c r="L2994" s="34"/>
      <c r="M2994" s="16">
        <f t="shared" si="1454"/>
        <v>226729.23755089781</v>
      </c>
      <c r="N2994" s="36">
        <v>5000</v>
      </c>
      <c r="O2994" s="36">
        <v>0.5</v>
      </c>
      <c r="P2994" s="90" t="s">
        <v>460</v>
      </c>
      <c r="Q2994" s="90" t="s">
        <v>375</v>
      </c>
      <c r="R2994" s="2" t="s">
        <v>729</v>
      </c>
      <c r="S2994" s="36" t="s">
        <v>127</v>
      </c>
    </row>
    <row r="2995" spans="1:20" ht="38.25" x14ac:dyDescent="0.2">
      <c r="A2995" s="8" t="str">
        <f t="shared" si="1453"/>
        <v/>
      </c>
      <c r="B2995" s="5"/>
      <c r="C2995" s="6" t="s">
        <v>436</v>
      </c>
      <c r="D2995" s="5"/>
      <c r="E2995" s="5"/>
      <c r="F2995" s="5"/>
      <c r="G2995" s="5"/>
      <c r="H2995" s="5"/>
      <c r="I2995" s="5"/>
      <c r="J2995" s="5"/>
      <c r="K2995" s="133"/>
      <c r="L2995" s="5"/>
      <c r="M2995" s="16">
        <f t="shared" si="1454"/>
        <v>0</v>
      </c>
      <c r="N2995" s="5"/>
      <c r="O2995" s="5"/>
      <c r="P2995" s="5"/>
      <c r="Q2995" s="5"/>
      <c r="R2995" s="5"/>
      <c r="S2995" s="30"/>
    </row>
    <row r="2996" spans="1:20" x14ac:dyDescent="0.2">
      <c r="A2996" s="8" t="str">
        <f t="shared" si="1453"/>
        <v>1000400130</v>
      </c>
      <c r="B2996" s="8">
        <v>100040</v>
      </c>
      <c r="C2996" s="8">
        <v>1</v>
      </c>
      <c r="D2996" s="8" t="s">
        <v>64</v>
      </c>
      <c r="E2996" s="8">
        <v>0</v>
      </c>
      <c r="F2996" s="34">
        <f t="shared" ref="F2996:G2999" si="1568">ROUNDDOWN($P2996/4*$O2996*10*$N2996/$N2996*$Q2996/400,0)</f>
        <v>25968</v>
      </c>
      <c r="G2996" s="34">
        <f t="shared" si="1568"/>
        <v>25968</v>
      </c>
      <c r="H2996" s="34">
        <f t="shared" ref="H2996:I3021" si="1569">ROUNDDOWN($S2996/4*10,0)</f>
        <v>3290</v>
      </c>
      <c r="I2996" s="34">
        <f t="shared" si="1569"/>
        <v>3290</v>
      </c>
      <c r="J2996" s="34">
        <f>ROUNDDOWN($P2996/4*$O2996*10*$N2996/$Q2996*$N2996/400,0)</f>
        <v>30460</v>
      </c>
      <c r="K2996" s="133">
        <v>1000</v>
      </c>
      <c r="L2996" s="34"/>
      <c r="M2996" s="16">
        <f t="shared" si="1454"/>
        <v>4081.0520770605217</v>
      </c>
      <c r="N2996" s="36">
        <v>900</v>
      </c>
      <c r="O2996" s="36">
        <v>0.5</v>
      </c>
      <c r="P2996" s="90" t="s">
        <v>399</v>
      </c>
      <c r="Q2996" s="90" t="s">
        <v>375</v>
      </c>
      <c r="S2996" s="36" t="s">
        <v>127</v>
      </c>
    </row>
    <row r="2997" spans="1:20" x14ac:dyDescent="0.2">
      <c r="A2997" s="8" t="str">
        <f t="shared" ref="A2997:A3002" si="1570">IF(B2997="","",CONCATENATE(B2997,CONCATENATE(REPT(0,2-LEN(C2997)),C2997),IF(OR(D2997="Easy",D2997=""),1,IF(D2997="Normal",2,IF(D2997="Hard",3,IF(D2997="Hell",4,"error")))),E2997))</f>
        <v>1000400131</v>
      </c>
      <c r="B2997" s="8">
        <v>100040</v>
      </c>
      <c r="C2997" s="8">
        <v>1</v>
      </c>
      <c r="D2997" s="8" t="s">
        <v>64</v>
      </c>
      <c r="E2997" s="8">
        <v>1</v>
      </c>
      <c r="F2997" s="34">
        <f t="shared" si="1568"/>
        <v>82250</v>
      </c>
      <c r="G2997" s="34">
        <f t="shared" si="1568"/>
        <v>82250</v>
      </c>
      <c r="H2997" s="34">
        <f t="shared" si="1569"/>
        <v>10500</v>
      </c>
      <c r="I2997" s="34">
        <f t="shared" si="1569"/>
        <v>10500</v>
      </c>
      <c r="J2997" s="34">
        <f>ROUNDDOWN($P2997/4*$O2997*10*$N2997/$Q2997*$N2997/400,0)</f>
        <v>104097</v>
      </c>
      <c r="K2997" s="133">
        <v>1000</v>
      </c>
      <c r="L2997" s="34"/>
      <c r="M2997" s="16">
        <f t="shared" si="1454"/>
        <v>23986.765901221446</v>
      </c>
      <c r="N2997" s="36">
        <v>900</v>
      </c>
      <c r="O2997" s="36">
        <v>0.5</v>
      </c>
      <c r="P2997" s="90" t="s">
        <v>1089</v>
      </c>
      <c r="Q2997" s="90" t="s">
        <v>400</v>
      </c>
      <c r="S2997" s="36">
        <v>4200</v>
      </c>
    </row>
    <row r="2998" spans="1:20" x14ac:dyDescent="0.2">
      <c r="A2998" s="8" t="str">
        <f t="shared" si="1570"/>
        <v>1000400132</v>
      </c>
      <c r="B2998" s="8">
        <v>100040</v>
      </c>
      <c r="C2998" s="8">
        <v>1</v>
      </c>
      <c r="D2998" s="8" t="s">
        <v>64</v>
      </c>
      <c r="E2998" s="8">
        <v>2</v>
      </c>
      <c r="F2998" s="34">
        <f t="shared" si="1568"/>
        <v>37718</v>
      </c>
      <c r="G2998" s="34">
        <f t="shared" si="1568"/>
        <v>37718</v>
      </c>
      <c r="H2998" s="34">
        <f t="shared" si="1569"/>
        <v>3290</v>
      </c>
      <c r="I2998" s="34">
        <f t="shared" si="1569"/>
        <v>3290</v>
      </c>
      <c r="J2998" s="34">
        <f>ROUNDDOWN($P2998/4*$O2998*10*$N2998/$Q2998*$N2998/400,0)</f>
        <v>42286</v>
      </c>
      <c r="K2998" s="133">
        <v>1000</v>
      </c>
      <c r="L2998" s="34"/>
      <c r="M2998" s="16">
        <f t="shared" si="1454"/>
        <v>5795.095092877079</v>
      </c>
      <c r="N2998" s="36">
        <v>900</v>
      </c>
      <c r="O2998" s="36">
        <v>0.5</v>
      </c>
      <c r="P2998" s="90" t="s">
        <v>407</v>
      </c>
      <c r="Q2998" s="90" t="s">
        <v>402</v>
      </c>
      <c r="S2998" s="36" t="s">
        <v>127</v>
      </c>
      <c r="T2998" s="114"/>
    </row>
    <row r="2999" spans="1:20" x14ac:dyDescent="0.2">
      <c r="A2999" s="8" t="str">
        <f t="shared" si="1570"/>
        <v>1000400133</v>
      </c>
      <c r="B2999" s="8">
        <v>100040</v>
      </c>
      <c r="C2999" s="8">
        <v>1</v>
      </c>
      <c r="D2999" s="8" t="s">
        <v>64</v>
      </c>
      <c r="E2999" s="8">
        <v>3</v>
      </c>
      <c r="F2999" s="34">
        <f t="shared" si="1568"/>
        <v>26875</v>
      </c>
      <c r="G2999" s="34">
        <f t="shared" si="1568"/>
        <v>26875</v>
      </c>
      <c r="H2999" s="34">
        <f t="shared" si="1569"/>
        <v>3290</v>
      </c>
      <c r="I2999" s="34">
        <f t="shared" si="1569"/>
        <v>3290</v>
      </c>
      <c r="J2999" s="34">
        <f>ROUNDDOWN($P2999/4*$O2999*10*$N2999/$Q2999*$N2999/400,0)</f>
        <v>29433</v>
      </c>
      <c r="K2999" s="133">
        <v>1000</v>
      </c>
      <c r="L2999" s="34"/>
      <c r="M2999" s="16">
        <f t="shared" si="1454"/>
        <v>4081.1206843218933</v>
      </c>
      <c r="N2999" s="36">
        <v>900</v>
      </c>
      <c r="O2999" s="36">
        <v>0.5</v>
      </c>
      <c r="P2999" s="90" t="s">
        <v>399</v>
      </c>
      <c r="Q2999" s="90" t="s">
        <v>403</v>
      </c>
      <c r="S2999" s="36" t="s">
        <v>127</v>
      </c>
      <c r="T2999" s="114"/>
    </row>
    <row r="3000" spans="1:20" x14ac:dyDescent="0.2">
      <c r="A3000" s="211">
        <v>1000400219</v>
      </c>
      <c r="B3000" s="211">
        <v>100040</v>
      </c>
      <c r="C3000" s="211">
        <v>4</v>
      </c>
      <c r="D3000" s="211" t="s">
        <v>62</v>
      </c>
      <c r="E3000" s="211">
        <v>9</v>
      </c>
      <c r="F3000" s="212">
        <f t="shared" ref="F3000:G3003" si="1571">ROUNDDOWN($P3000/4*MIN($O3000,4)*10*$N3000/$N3000*$Q3000/400,0)</f>
        <v>32450</v>
      </c>
      <c r="G3000" s="212">
        <f t="shared" si="1571"/>
        <v>32450</v>
      </c>
      <c r="H3000" s="212">
        <f t="shared" si="1569"/>
        <v>2750</v>
      </c>
      <c r="I3000" s="212">
        <f t="shared" si="1569"/>
        <v>2750</v>
      </c>
      <c r="J3000" s="212">
        <f t="shared" ref="J3000:J3003" si="1572">ROUNDDOWN($P3000/4*$O3000*10*$N3000/$Q3000*$N3000/400*0.8,0)</f>
        <v>391525</v>
      </c>
      <c r="K3000" s="133">
        <v>1000</v>
      </c>
      <c r="L3000" s="212"/>
      <c r="M3000" s="213">
        <f t="shared" ref="M3000:M3001" si="1573">(F3000*J3000*((H3000+I3000)/2)/1000)^(1/2)/10*0.8</f>
        <v>14953.519920072329</v>
      </c>
      <c r="N3000" s="214">
        <v>1000</v>
      </c>
      <c r="O3000" s="214">
        <v>21</v>
      </c>
      <c r="P3000" s="214">
        <v>2200</v>
      </c>
      <c r="Q3000" s="215" t="s">
        <v>249</v>
      </c>
      <c r="R3000" s="215" t="s">
        <v>949</v>
      </c>
      <c r="S3000" s="216">
        <f>P3000*0.5</f>
        <v>1100</v>
      </c>
      <c r="T3000" s="114"/>
    </row>
    <row r="3001" spans="1:20" x14ac:dyDescent="0.2">
      <c r="A3001" s="211">
        <v>1000400319</v>
      </c>
      <c r="B3001" s="211">
        <v>100040</v>
      </c>
      <c r="C3001" s="211">
        <v>5</v>
      </c>
      <c r="D3001" s="211" t="s">
        <v>62</v>
      </c>
      <c r="E3001" s="211">
        <v>9</v>
      </c>
      <c r="F3001" s="212">
        <f t="shared" si="1571"/>
        <v>35000</v>
      </c>
      <c r="G3001" s="212">
        <f t="shared" si="1571"/>
        <v>35000</v>
      </c>
      <c r="H3001" s="212">
        <f t="shared" si="1569"/>
        <v>2500</v>
      </c>
      <c r="I3001" s="212">
        <f t="shared" si="1569"/>
        <v>2500</v>
      </c>
      <c r="J3001" s="212">
        <f t="shared" si="1572"/>
        <v>300000</v>
      </c>
      <c r="K3001" s="133">
        <v>1000</v>
      </c>
      <c r="L3001" s="212"/>
      <c r="M3001" s="213">
        <f t="shared" si="1573"/>
        <v>12961.481396815721</v>
      </c>
      <c r="N3001" s="214">
        <v>1000</v>
      </c>
      <c r="O3001" s="214">
        <v>21</v>
      </c>
      <c r="P3001" s="214">
        <v>2000</v>
      </c>
      <c r="Q3001" s="215" t="s">
        <v>166</v>
      </c>
      <c r="R3001" s="215" t="s">
        <v>950</v>
      </c>
      <c r="S3001" s="216">
        <f>P3001*0.5</f>
        <v>1000</v>
      </c>
      <c r="T3001" s="114"/>
    </row>
    <row r="3002" spans="1:20" x14ac:dyDescent="0.2">
      <c r="A3002" s="18" t="str">
        <f t="shared" si="1570"/>
        <v>1000400419</v>
      </c>
      <c r="B3002" s="18">
        <v>100040</v>
      </c>
      <c r="C3002" s="18">
        <v>4</v>
      </c>
      <c r="D3002" s="18" t="s">
        <v>62</v>
      </c>
      <c r="E3002" s="18">
        <v>9</v>
      </c>
      <c r="F3002" s="19">
        <f t="shared" si="1571"/>
        <v>47200</v>
      </c>
      <c r="G3002" s="19">
        <f t="shared" si="1571"/>
        <v>47200</v>
      </c>
      <c r="H3002" s="19">
        <f t="shared" si="1569"/>
        <v>4000</v>
      </c>
      <c r="I3002" s="19">
        <f t="shared" si="1569"/>
        <v>4000</v>
      </c>
      <c r="J3002" s="19">
        <f t="shared" si="1572"/>
        <v>569491</v>
      </c>
      <c r="K3002" s="133">
        <v>1000</v>
      </c>
      <c r="L3002" s="19"/>
      <c r="M3002" s="118">
        <f t="shared" si="1454"/>
        <v>26232.181859692875</v>
      </c>
      <c r="N3002" s="58">
        <v>1000</v>
      </c>
      <c r="O3002" s="58">
        <v>21</v>
      </c>
      <c r="P3002" s="58">
        <v>3200</v>
      </c>
      <c r="Q3002" s="41" t="s">
        <v>409</v>
      </c>
      <c r="R3002" s="41" t="s">
        <v>949</v>
      </c>
      <c r="S3002" s="94">
        <f>P3002*0.5</f>
        <v>1600</v>
      </c>
    </row>
    <row r="3003" spans="1:20" x14ac:dyDescent="0.2">
      <c r="A3003" s="18" t="str">
        <f t="shared" ref="A3003:A3018" si="1574">IF(B3003="","",CONCATENATE(B3003,CONCATENATE(REPT(0,2-LEN(C3003)),C3003),IF(OR(D3003="Easy",D3003=""),1,IF(D3003="Normal",2,IF(D3003="Hard",3,IF(D3003="Hell",4,"error")))),E3003))</f>
        <v>1000400519</v>
      </c>
      <c r="B3003" s="18">
        <v>100040</v>
      </c>
      <c r="C3003" s="18">
        <v>5</v>
      </c>
      <c r="D3003" s="18" t="s">
        <v>62</v>
      </c>
      <c r="E3003" s="18">
        <v>9</v>
      </c>
      <c r="F3003" s="19">
        <f t="shared" si="1571"/>
        <v>49000</v>
      </c>
      <c r="G3003" s="19">
        <f t="shared" si="1571"/>
        <v>49000</v>
      </c>
      <c r="H3003" s="19">
        <f t="shared" si="1569"/>
        <v>3500</v>
      </c>
      <c r="I3003" s="19">
        <f t="shared" si="1569"/>
        <v>3500</v>
      </c>
      <c r="J3003" s="19">
        <f t="shared" si="1572"/>
        <v>420000</v>
      </c>
      <c r="K3003" s="133">
        <v>1000</v>
      </c>
      <c r="L3003" s="19"/>
      <c r="M3003" s="118">
        <f t="shared" si="1454"/>
        <v>21470.724254202512</v>
      </c>
      <c r="N3003" s="58">
        <v>1000</v>
      </c>
      <c r="O3003" s="58">
        <v>21</v>
      </c>
      <c r="P3003" s="58">
        <v>2800</v>
      </c>
      <c r="Q3003" s="41" t="s">
        <v>410</v>
      </c>
      <c r="R3003" s="41" t="s">
        <v>950</v>
      </c>
      <c r="S3003" s="94">
        <f>P3003*0.5</f>
        <v>1400</v>
      </c>
    </row>
    <row r="3004" spans="1:20" x14ac:dyDescent="0.2">
      <c r="A3004" s="8" t="str">
        <f t="shared" si="1574"/>
        <v>1000401131</v>
      </c>
      <c r="B3004" s="8">
        <v>100040</v>
      </c>
      <c r="C3004" s="8">
        <v>11</v>
      </c>
      <c r="D3004" s="8" t="s">
        <v>64</v>
      </c>
      <c r="E3004" s="8">
        <v>1</v>
      </c>
      <c r="F3004" s="34">
        <f t="shared" ref="F3004:G3005" si="1575">ROUNDDOWN($P3004/4*$O3004*10*$N3004/$N3004*$Q3004/400,0)</f>
        <v>202343</v>
      </c>
      <c r="G3004" s="34">
        <f t="shared" si="1575"/>
        <v>202343</v>
      </c>
      <c r="H3004" s="34">
        <f t="shared" si="1569"/>
        <v>10500</v>
      </c>
      <c r="I3004" s="34">
        <f t="shared" si="1569"/>
        <v>10500</v>
      </c>
      <c r="J3004" s="34">
        <f>ROUNDDOWN($P3004/4*$O3004*10*$N3004/$Q3004*$N3004/400,0)</f>
        <v>191554</v>
      </c>
      <c r="K3004" s="133">
        <v>1000</v>
      </c>
      <c r="L3004" s="34"/>
      <c r="M3004" s="16">
        <f t="shared" si="1454"/>
        <v>51035.731215280932</v>
      </c>
      <c r="N3004" s="36">
        <v>900</v>
      </c>
      <c r="O3004" s="36">
        <v>0.5</v>
      </c>
      <c r="P3004" s="90" t="s">
        <v>406</v>
      </c>
      <c r="Q3004" s="90" t="s">
        <v>405</v>
      </c>
      <c r="R3004" s="2" t="s">
        <v>404</v>
      </c>
      <c r="S3004" s="36">
        <v>4200</v>
      </c>
      <c r="T3004" s="266"/>
    </row>
    <row r="3005" spans="1:20" x14ac:dyDescent="0.2">
      <c r="A3005" s="8" t="str">
        <f t="shared" si="1574"/>
        <v>1000400830</v>
      </c>
      <c r="B3005" s="8">
        <v>100040</v>
      </c>
      <c r="C3005" s="8">
        <v>8</v>
      </c>
      <c r="D3005" s="8" t="s">
        <v>64</v>
      </c>
      <c r="E3005" s="8">
        <v>0</v>
      </c>
      <c r="F3005" s="34">
        <f t="shared" si="1575"/>
        <v>2596</v>
      </c>
      <c r="G3005" s="34">
        <f t="shared" si="1575"/>
        <v>2596</v>
      </c>
      <c r="H3005" s="34">
        <f t="shared" si="1569"/>
        <v>3290</v>
      </c>
      <c r="I3005" s="34">
        <f t="shared" si="1569"/>
        <v>3290</v>
      </c>
      <c r="J3005" s="34">
        <f>ROUNDDOWN($P3005/4*$O3005*10*$N3005/$Q3005*$N3005/400,0)</f>
        <v>3046</v>
      </c>
      <c r="K3005" s="133">
        <v>1000</v>
      </c>
      <c r="L3005" s="34"/>
      <c r="M3005" s="16">
        <f t="shared" si="1454"/>
        <v>408.04234007759538</v>
      </c>
      <c r="N3005" s="36">
        <v>900</v>
      </c>
      <c r="O3005" s="36">
        <v>0.5</v>
      </c>
      <c r="P3005" s="90" t="s">
        <v>408</v>
      </c>
      <c r="Q3005" s="90" t="s">
        <v>375</v>
      </c>
      <c r="S3005" s="36" t="s">
        <v>127</v>
      </c>
    </row>
    <row r="3006" spans="1:20" ht="38.25" x14ac:dyDescent="0.2">
      <c r="A3006" s="8" t="str">
        <f t="shared" si="1574"/>
        <v/>
      </c>
      <c r="B3006" s="5"/>
      <c r="C3006" s="6" t="s">
        <v>417</v>
      </c>
      <c r="D3006" s="5"/>
      <c r="E3006" s="5"/>
      <c r="F3006" s="5"/>
      <c r="G3006" s="5"/>
      <c r="H3006" s="5"/>
      <c r="I3006" s="5"/>
      <c r="J3006" s="5"/>
      <c r="K3006" s="133"/>
      <c r="L3006" s="5"/>
      <c r="M3006" s="16">
        <f t="shared" si="1454"/>
        <v>0</v>
      </c>
      <c r="N3006" s="5"/>
      <c r="O3006" s="5"/>
      <c r="P3006" s="5"/>
      <c r="Q3006" s="5"/>
      <c r="R3006" s="5"/>
      <c r="S3006" s="30"/>
    </row>
    <row r="3007" spans="1:20" s="223" customFormat="1" x14ac:dyDescent="0.2">
      <c r="A3007" s="8" t="str">
        <f t="shared" si="1574"/>
        <v>1000410130</v>
      </c>
      <c r="B3007" s="8">
        <v>100041</v>
      </c>
      <c r="C3007" s="8">
        <v>1</v>
      </c>
      <c r="D3007" s="8" t="s">
        <v>64</v>
      </c>
      <c r="E3007" s="8">
        <v>0</v>
      </c>
      <c r="F3007" s="34">
        <f t="shared" ref="F3007:G3011" si="1576">ROUNDDOWN($P3007/4*$O3007*10*$N3007/$N3007*$Q3007/400,0)</f>
        <v>43750</v>
      </c>
      <c r="G3007" s="34">
        <f t="shared" si="1576"/>
        <v>43750</v>
      </c>
      <c r="H3007" s="34">
        <f t="shared" ref="H3007:I3018" si="1577">ROUNDDOWN($S3007/4*10,0)</f>
        <v>3290</v>
      </c>
      <c r="I3007" s="34">
        <f t="shared" si="1577"/>
        <v>3290</v>
      </c>
      <c r="J3007" s="34">
        <f>ROUNDDOWN($P3007/4*$O3007*10*$N3007/$Q3007*$N3007/400,0)</f>
        <v>18080</v>
      </c>
      <c r="K3007" s="133">
        <v>1000</v>
      </c>
      <c r="L3007" s="34"/>
      <c r="M3007" s="16">
        <f t="shared" si="1454"/>
        <v>4081.0900504644592</v>
      </c>
      <c r="N3007" s="36">
        <v>900</v>
      </c>
      <c r="O3007" s="36">
        <v>0.5</v>
      </c>
      <c r="P3007" s="90" t="s">
        <v>399</v>
      </c>
      <c r="Q3007" s="90" t="s">
        <v>286</v>
      </c>
      <c r="R3007" s="2"/>
      <c r="S3007" s="36" t="s">
        <v>127</v>
      </c>
      <c r="T3007" s="116"/>
    </row>
    <row r="3008" spans="1:20" s="223" customFormat="1" x14ac:dyDescent="0.2">
      <c r="A3008" s="8" t="str">
        <f t="shared" si="1574"/>
        <v>1000410132</v>
      </c>
      <c r="B3008" s="8">
        <v>100041</v>
      </c>
      <c r="C3008" s="8">
        <v>1</v>
      </c>
      <c r="D3008" s="8" t="s">
        <v>64</v>
      </c>
      <c r="E3008" s="8">
        <v>2</v>
      </c>
      <c r="F3008" s="34">
        <f t="shared" si="1576"/>
        <v>112500</v>
      </c>
      <c r="G3008" s="34">
        <f t="shared" si="1576"/>
        <v>112500</v>
      </c>
      <c r="H3008" s="34">
        <f t="shared" si="1577"/>
        <v>3290</v>
      </c>
      <c r="I3008" s="34">
        <f t="shared" si="1577"/>
        <v>3290</v>
      </c>
      <c r="J3008" s="34">
        <f>ROUNDDOWN($P3008/4*$O3008*10*$N3008/$Q3008*$N3008/400,0)</f>
        <v>28125</v>
      </c>
      <c r="K3008" s="133">
        <v>1000</v>
      </c>
      <c r="L3008" s="34"/>
      <c r="M3008" s="16">
        <f t="shared" si="1454"/>
        <v>8162.2607162476752</v>
      </c>
      <c r="N3008" s="36">
        <v>900</v>
      </c>
      <c r="O3008" s="36">
        <v>0.5</v>
      </c>
      <c r="P3008" s="90" t="s">
        <v>594</v>
      </c>
      <c r="Q3008" s="90" t="s">
        <v>425</v>
      </c>
      <c r="R3008" s="2"/>
      <c r="S3008" s="36" t="s">
        <v>127</v>
      </c>
      <c r="T3008" s="116"/>
    </row>
    <row r="3009" spans="1:20" s="223" customFormat="1" x14ac:dyDescent="0.2">
      <c r="A3009" s="8" t="str">
        <f t="shared" si="1574"/>
        <v>1000410230</v>
      </c>
      <c r="B3009" s="8">
        <v>100041</v>
      </c>
      <c r="C3009" s="8">
        <v>2</v>
      </c>
      <c r="D3009" s="8" t="s">
        <v>64</v>
      </c>
      <c r="E3009" s="8">
        <v>0</v>
      </c>
      <c r="F3009" s="34">
        <f t="shared" si="1576"/>
        <v>5193</v>
      </c>
      <c r="G3009" s="34">
        <f t="shared" si="1576"/>
        <v>5193</v>
      </c>
      <c r="H3009" s="34">
        <f t="shared" si="1577"/>
        <v>3290</v>
      </c>
      <c r="I3009" s="34">
        <f t="shared" si="1577"/>
        <v>3290</v>
      </c>
      <c r="J3009" s="34">
        <f>ROUNDDOWN($P3009/4*$O3009*10*$N3009/$Q3009*$N3009/400,0)</f>
        <v>6092</v>
      </c>
      <c r="K3009" s="133">
        <v>1000</v>
      </c>
      <c r="L3009" s="34"/>
      <c r="M3009" s="16">
        <f t="shared" si="1454"/>
        <v>816.16326696072269</v>
      </c>
      <c r="N3009" s="36">
        <v>900</v>
      </c>
      <c r="O3009" s="36">
        <v>0.5</v>
      </c>
      <c r="P3009" s="90" t="s">
        <v>202</v>
      </c>
      <c r="Q3009" s="90" t="s">
        <v>375</v>
      </c>
      <c r="R3009" s="2"/>
      <c r="S3009" s="36" t="s">
        <v>127</v>
      </c>
      <c r="T3009" s="116"/>
    </row>
    <row r="3010" spans="1:20" s="223" customFormat="1" x14ac:dyDescent="0.2">
      <c r="A3010" s="8" t="str">
        <f t="shared" si="1574"/>
        <v>1000410330</v>
      </c>
      <c r="B3010" s="8">
        <v>100041</v>
      </c>
      <c r="C3010" s="8">
        <v>3</v>
      </c>
      <c r="D3010" s="8" t="s">
        <v>64</v>
      </c>
      <c r="E3010" s="8">
        <v>0</v>
      </c>
      <c r="F3010" s="34">
        <f t="shared" si="1576"/>
        <v>25968</v>
      </c>
      <c r="G3010" s="34">
        <f t="shared" si="1576"/>
        <v>25968</v>
      </c>
      <c r="H3010" s="34">
        <f t="shared" si="1577"/>
        <v>7500</v>
      </c>
      <c r="I3010" s="34">
        <f t="shared" si="1577"/>
        <v>7500</v>
      </c>
      <c r="J3010" s="34">
        <f>ROUNDDOWN($P3010/4*$O3010*10*$N3010/$Q3010*$N3010/400,0)</f>
        <v>30460</v>
      </c>
      <c r="K3010" s="133">
        <v>1000</v>
      </c>
      <c r="L3010" s="34"/>
      <c r="M3010" s="16">
        <f t="shared" si="1454"/>
        <v>6161.7605795746404</v>
      </c>
      <c r="N3010" s="36">
        <v>900</v>
      </c>
      <c r="O3010" s="36">
        <v>0.5</v>
      </c>
      <c r="P3010" s="90" t="s">
        <v>399</v>
      </c>
      <c r="Q3010" s="90" t="s">
        <v>375</v>
      </c>
      <c r="R3010" s="2"/>
      <c r="S3010" s="36">
        <v>3000</v>
      </c>
      <c r="T3010" s="114"/>
    </row>
    <row r="3011" spans="1:20" s="223" customFormat="1" x14ac:dyDescent="0.2">
      <c r="A3011" s="8" t="str">
        <f t="shared" si="1574"/>
        <v>1000410430</v>
      </c>
      <c r="B3011" s="8">
        <v>100041</v>
      </c>
      <c r="C3011" s="8">
        <v>4</v>
      </c>
      <c r="D3011" s="8" t="s">
        <v>64</v>
      </c>
      <c r="E3011" s="8">
        <v>0</v>
      </c>
      <c r="F3011" s="34">
        <f t="shared" si="1576"/>
        <v>433125</v>
      </c>
      <c r="G3011" s="34">
        <f t="shared" si="1576"/>
        <v>433125</v>
      </c>
      <c r="H3011" s="34">
        <f t="shared" si="1577"/>
        <v>500</v>
      </c>
      <c r="I3011" s="34">
        <f t="shared" si="1577"/>
        <v>500</v>
      </c>
      <c r="J3011" s="34">
        <f>ROUNDDOWN($P3011/4*$O3011*10*$N3011/$Q3011*$N3011/400,0)</f>
        <v>8839</v>
      </c>
      <c r="K3011" s="133">
        <v>1000</v>
      </c>
      <c r="L3011" s="34"/>
      <c r="M3011" s="16">
        <f t="shared" si="1454"/>
        <v>3500.1219978737886</v>
      </c>
      <c r="N3011" s="36">
        <v>900</v>
      </c>
      <c r="O3011" s="36">
        <v>0.5</v>
      </c>
      <c r="P3011" s="90" t="s">
        <v>418</v>
      </c>
      <c r="Q3011" s="90" t="s">
        <v>419</v>
      </c>
      <c r="R3011" s="2"/>
      <c r="S3011" s="36">
        <v>200</v>
      </c>
      <c r="T3011" s="114"/>
    </row>
    <row r="3012" spans="1:20" s="223" customFormat="1" x14ac:dyDescent="0.2">
      <c r="A3012" s="196">
        <v>1000410319</v>
      </c>
      <c r="B3012" s="196">
        <v>100041</v>
      </c>
      <c r="C3012" s="196">
        <v>4</v>
      </c>
      <c r="D3012" s="196" t="s">
        <v>62</v>
      </c>
      <c r="E3012" s="196">
        <v>9</v>
      </c>
      <c r="F3012" s="208">
        <f t="shared" ref="F3012:G3018" si="1578">ROUNDDOWN($P3012/4*MIN($O3012,4)*10*$N3012/$N3012*$Q3012/400,0)</f>
        <v>560000</v>
      </c>
      <c r="G3012" s="208">
        <f t="shared" si="1578"/>
        <v>560000</v>
      </c>
      <c r="H3012" s="208">
        <f t="shared" si="1577"/>
        <v>87500</v>
      </c>
      <c r="I3012" s="208">
        <f t="shared" si="1577"/>
        <v>87500</v>
      </c>
      <c r="J3012" s="208">
        <f t="shared" ref="J3012:J3018" si="1579">ROUNDDOWN($P3012/4*$O3012*10*$N3012/$Q3012*$N3012/400*0.8,0)</f>
        <v>22968750</v>
      </c>
      <c r="K3012" s="133">
        <v>1000</v>
      </c>
      <c r="L3012" s="208"/>
      <c r="M3012" s="209">
        <f t="shared" si="1454"/>
        <v>2683840.5317753144</v>
      </c>
      <c r="N3012" s="197">
        <v>1000</v>
      </c>
      <c r="O3012" s="197">
        <v>21</v>
      </c>
      <c r="P3012" s="197">
        <v>70000</v>
      </c>
      <c r="Q3012" s="198" t="s">
        <v>426</v>
      </c>
      <c r="R3012" s="198" t="s">
        <v>421</v>
      </c>
      <c r="S3012" s="210">
        <f t="shared" ref="S3012:S3018" si="1580">P3012*0.5</f>
        <v>35000</v>
      </c>
      <c r="T3012" s="114"/>
    </row>
    <row r="3013" spans="1:20" s="223" customFormat="1" x14ac:dyDescent="0.2">
      <c r="A3013" s="196">
        <v>1000410719</v>
      </c>
      <c r="B3013" s="196">
        <v>100041</v>
      </c>
      <c r="C3013" s="196">
        <v>5</v>
      </c>
      <c r="D3013" s="196" t="s">
        <v>62</v>
      </c>
      <c r="E3013" s="196">
        <v>9</v>
      </c>
      <c r="F3013" s="208">
        <f t="shared" si="1578"/>
        <v>133000</v>
      </c>
      <c r="G3013" s="208">
        <f t="shared" si="1578"/>
        <v>133000</v>
      </c>
      <c r="H3013" s="208">
        <f t="shared" si="1577"/>
        <v>4750</v>
      </c>
      <c r="I3013" s="208">
        <f t="shared" si="1577"/>
        <v>4750</v>
      </c>
      <c r="J3013" s="208">
        <f t="shared" si="1579"/>
        <v>285000</v>
      </c>
      <c r="K3013" s="133">
        <v>1000</v>
      </c>
      <c r="L3013" s="208"/>
      <c r="M3013" s="209">
        <f t="shared" si="1454"/>
        <v>33945.721379873488</v>
      </c>
      <c r="N3013" s="197">
        <v>1000</v>
      </c>
      <c r="O3013" s="197">
        <v>21</v>
      </c>
      <c r="P3013" s="197">
        <v>3800</v>
      </c>
      <c r="Q3013" s="198" t="s">
        <v>286</v>
      </c>
      <c r="R3013" s="198" t="s">
        <v>420</v>
      </c>
      <c r="S3013" s="210">
        <f t="shared" si="1580"/>
        <v>1900</v>
      </c>
      <c r="T3013" s="114"/>
    </row>
    <row r="3014" spans="1:20" s="223" customFormat="1" x14ac:dyDescent="0.2">
      <c r="A3014" s="196">
        <v>1000410739</v>
      </c>
      <c r="B3014" s="196">
        <v>100041</v>
      </c>
      <c r="C3014" s="196">
        <v>5</v>
      </c>
      <c r="D3014" s="196" t="s">
        <v>64</v>
      </c>
      <c r="E3014" s="196">
        <v>9</v>
      </c>
      <c r="F3014" s="208">
        <f t="shared" si="1578"/>
        <v>29050</v>
      </c>
      <c r="G3014" s="208">
        <f t="shared" si="1578"/>
        <v>29050</v>
      </c>
      <c r="H3014" s="208">
        <f t="shared" si="1577"/>
        <v>1750</v>
      </c>
      <c r="I3014" s="208">
        <v>8750</v>
      </c>
      <c r="J3014" s="208">
        <f t="shared" si="1579"/>
        <v>177108</v>
      </c>
      <c r="K3014" s="133">
        <v>1000</v>
      </c>
      <c r="L3014" s="208"/>
      <c r="M3014" s="209">
        <f t="shared" si="1454"/>
        <v>13148.063607999467</v>
      </c>
      <c r="N3014" s="197">
        <v>1000</v>
      </c>
      <c r="O3014" s="197">
        <v>21</v>
      </c>
      <c r="P3014" s="197">
        <v>1400</v>
      </c>
      <c r="Q3014" s="198" t="s">
        <v>187</v>
      </c>
      <c r="R3014" s="198" t="s">
        <v>423</v>
      </c>
      <c r="S3014" s="210">
        <f t="shared" si="1580"/>
        <v>700</v>
      </c>
      <c r="T3014" s="114"/>
    </row>
    <row r="3015" spans="1:20" s="223" customFormat="1" x14ac:dyDescent="0.2">
      <c r="A3015" s="18" t="str">
        <f t="shared" si="1574"/>
        <v>1000410419</v>
      </c>
      <c r="B3015" s="18">
        <v>100041</v>
      </c>
      <c r="C3015" s="18">
        <v>4</v>
      </c>
      <c r="D3015" s="18" t="s">
        <v>62</v>
      </c>
      <c r="E3015" s="18">
        <v>9</v>
      </c>
      <c r="F3015" s="19">
        <f t="shared" si="1578"/>
        <v>800000</v>
      </c>
      <c r="G3015" s="19">
        <f t="shared" si="1578"/>
        <v>800000</v>
      </c>
      <c r="H3015" s="19">
        <f t="shared" si="1577"/>
        <v>125000</v>
      </c>
      <c r="I3015" s="19">
        <f t="shared" si="1577"/>
        <v>125000</v>
      </c>
      <c r="J3015" s="19">
        <f t="shared" si="1579"/>
        <v>32812500</v>
      </c>
      <c r="K3015" s="133">
        <v>1000</v>
      </c>
      <c r="L3015" s="19"/>
      <c r="M3015" s="118">
        <f t="shared" si="1454"/>
        <v>4582575.6949558398</v>
      </c>
      <c r="N3015" s="58">
        <v>1000</v>
      </c>
      <c r="O3015" s="58">
        <v>21</v>
      </c>
      <c r="P3015" s="58">
        <v>100000</v>
      </c>
      <c r="Q3015" s="41" t="s">
        <v>426</v>
      </c>
      <c r="R3015" s="41" t="s">
        <v>421</v>
      </c>
      <c r="S3015" s="94">
        <f t="shared" si="1580"/>
        <v>50000</v>
      </c>
      <c r="T3015" s="114"/>
    </row>
    <row r="3016" spans="1:20" s="223" customFormat="1" x14ac:dyDescent="0.2">
      <c r="A3016" s="18" t="str">
        <f t="shared" si="1574"/>
        <v>1000410519</v>
      </c>
      <c r="B3016" s="18">
        <v>100041</v>
      </c>
      <c r="C3016" s="18">
        <v>5</v>
      </c>
      <c r="D3016" s="18" t="s">
        <v>62</v>
      </c>
      <c r="E3016" s="18">
        <v>9</v>
      </c>
      <c r="F3016" s="19">
        <f t="shared" si="1578"/>
        <v>189000</v>
      </c>
      <c r="G3016" s="19">
        <f t="shared" si="1578"/>
        <v>189000</v>
      </c>
      <c r="H3016" s="19">
        <f t="shared" si="1577"/>
        <v>6750</v>
      </c>
      <c r="I3016" s="19">
        <f t="shared" si="1577"/>
        <v>6750</v>
      </c>
      <c r="J3016" s="19">
        <f t="shared" si="1579"/>
        <v>405000</v>
      </c>
      <c r="K3016" s="133">
        <v>1000</v>
      </c>
      <c r="L3016" s="19"/>
      <c r="M3016" s="118">
        <f t="shared" si="1454"/>
        <v>57504.29549172827</v>
      </c>
      <c r="N3016" s="58">
        <v>1000</v>
      </c>
      <c r="O3016" s="58">
        <v>21</v>
      </c>
      <c r="P3016" s="58">
        <v>5400</v>
      </c>
      <c r="Q3016" s="41" t="s">
        <v>286</v>
      </c>
      <c r="R3016" s="41" t="s">
        <v>420</v>
      </c>
      <c r="S3016" s="94">
        <f t="shared" si="1580"/>
        <v>2700</v>
      </c>
      <c r="T3016" s="114"/>
    </row>
    <row r="3017" spans="1:20" s="223" customFormat="1" x14ac:dyDescent="0.2">
      <c r="A3017" s="18" t="str">
        <f t="shared" si="1574"/>
        <v>1000410539</v>
      </c>
      <c r="B3017" s="18">
        <v>100041</v>
      </c>
      <c r="C3017" s="18">
        <v>5</v>
      </c>
      <c r="D3017" s="18" t="s">
        <v>64</v>
      </c>
      <c r="E3017" s="18">
        <v>9</v>
      </c>
      <c r="F3017" s="19">
        <f t="shared" si="1578"/>
        <v>43575</v>
      </c>
      <c r="G3017" s="19">
        <f t="shared" si="1578"/>
        <v>43575</v>
      </c>
      <c r="H3017" s="19">
        <f t="shared" si="1577"/>
        <v>2625</v>
      </c>
      <c r="I3017" s="19">
        <v>13125</v>
      </c>
      <c r="J3017" s="19">
        <f t="shared" si="1579"/>
        <v>265662</v>
      </c>
      <c r="K3017" s="133">
        <v>1000</v>
      </c>
      <c r="L3017" s="19"/>
      <c r="M3017" s="118">
        <f t="shared" si="1454"/>
        <v>24154.535208941612</v>
      </c>
      <c r="N3017" s="58">
        <v>1000</v>
      </c>
      <c r="O3017" s="58">
        <v>21</v>
      </c>
      <c r="P3017" s="58">
        <v>2100</v>
      </c>
      <c r="Q3017" s="41" t="s">
        <v>187</v>
      </c>
      <c r="R3017" s="41" t="s">
        <v>423</v>
      </c>
      <c r="S3017" s="94">
        <f t="shared" si="1580"/>
        <v>1050</v>
      </c>
      <c r="T3017" s="266"/>
    </row>
    <row r="3018" spans="1:20" s="223" customFormat="1" x14ac:dyDescent="0.2">
      <c r="A3018" s="8" t="str">
        <f t="shared" si="1574"/>
        <v>1000410619</v>
      </c>
      <c r="B3018" s="8">
        <v>100041</v>
      </c>
      <c r="C3018" s="8">
        <v>6</v>
      </c>
      <c r="D3018" s="8" t="s">
        <v>62</v>
      </c>
      <c r="E3018" s="8">
        <v>9</v>
      </c>
      <c r="F3018" s="34">
        <f t="shared" si="1578"/>
        <v>178750</v>
      </c>
      <c r="G3018" s="34">
        <f t="shared" si="1578"/>
        <v>178750</v>
      </c>
      <c r="H3018" s="34">
        <f t="shared" si="1577"/>
        <v>13750</v>
      </c>
      <c r="I3018" s="34">
        <f t="shared" si="1577"/>
        <v>13750</v>
      </c>
      <c r="J3018" s="34">
        <f t="shared" si="1579"/>
        <v>1776923</v>
      </c>
      <c r="K3018" s="133">
        <v>1000</v>
      </c>
      <c r="L3018" s="34"/>
      <c r="M3018" s="16">
        <f t="shared" si="1454"/>
        <v>167185.52207054297</v>
      </c>
      <c r="N3018" s="36">
        <v>1000</v>
      </c>
      <c r="O3018" s="36">
        <v>21</v>
      </c>
      <c r="P3018" s="36">
        <v>11000</v>
      </c>
      <c r="Q3018" s="2" t="s">
        <v>196</v>
      </c>
      <c r="R3018" s="2" t="s">
        <v>424</v>
      </c>
      <c r="S3018" s="56">
        <f t="shared" si="1580"/>
        <v>5500</v>
      </c>
      <c r="T3018" s="116"/>
    </row>
    <row r="3019" spans="1:20" ht="38.25" x14ac:dyDescent="0.2">
      <c r="A3019" s="8" t="str">
        <f t="shared" ref="A3019:A3122" si="1581">IF(B3019="","",CONCATENATE(B3019,CONCATENATE(REPT(0,2-LEN(C3019)),C3019),IF(OR(D3019="Easy",D3019=""),1,IF(D3019="Normal",2,IF(D3019="Hard",3,IF(D3019="Hell",4,"error")))),E3019))</f>
        <v/>
      </c>
      <c r="B3019" s="5"/>
      <c r="C3019" s="6" t="s">
        <v>437</v>
      </c>
      <c r="D3019" s="5"/>
      <c r="E3019" s="5"/>
      <c r="F3019" s="5"/>
      <c r="G3019" s="5"/>
      <c r="H3019" s="5"/>
      <c r="I3019" s="5"/>
      <c r="J3019" s="5"/>
      <c r="K3019" s="133"/>
      <c r="L3019" s="5"/>
      <c r="M3019" s="16">
        <f t="shared" si="1454"/>
        <v>0</v>
      </c>
      <c r="N3019" s="5"/>
      <c r="O3019" s="5"/>
      <c r="P3019" s="5"/>
      <c r="Q3019" s="5"/>
      <c r="R3019" s="5"/>
      <c r="S3019" s="30"/>
    </row>
    <row r="3020" spans="1:20" x14ac:dyDescent="0.2">
      <c r="A3020" s="8" t="str">
        <f t="shared" si="1581"/>
        <v>1000440110</v>
      </c>
      <c r="B3020" s="8">
        <v>100044</v>
      </c>
      <c r="C3020" s="8">
        <v>1</v>
      </c>
      <c r="D3020" s="8" t="s">
        <v>62</v>
      </c>
      <c r="E3020" s="8">
        <v>0</v>
      </c>
      <c r="F3020" s="34">
        <f>ROUNDDOWN($P3020/4*$O3020*10*$N3020/$N3020*$Q3020/400,0)</f>
        <v>38750</v>
      </c>
      <c r="G3020" s="34">
        <f>ROUNDDOWN($P3020/4*$O3020*10*$N3020/$N3020*$Q3020/400,0)</f>
        <v>38750</v>
      </c>
      <c r="H3020" s="34">
        <f t="shared" ref="H3020:I3020" si="1582">ROUNDDOWN($S3020/4*10,0)</f>
        <v>2140</v>
      </c>
      <c r="I3020" s="34">
        <f t="shared" si="1582"/>
        <v>2140</v>
      </c>
      <c r="J3020" s="34">
        <f>ROUNDDOWN($P3020/4*$O3020*10*$N3020/$Q3020*$N3020/400,0)</f>
        <v>2580</v>
      </c>
      <c r="K3020" s="133">
        <v>1000</v>
      </c>
      <c r="L3020" s="34"/>
      <c r="M3020" s="16">
        <f t="shared" si="1454"/>
        <v>1170.1528105337354</v>
      </c>
      <c r="N3020" s="36">
        <v>800</v>
      </c>
      <c r="O3020" s="36">
        <v>0.5</v>
      </c>
      <c r="P3020" s="90" t="s">
        <v>177</v>
      </c>
      <c r="Q3020" s="2" t="s">
        <v>446</v>
      </c>
      <c r="R3020" s="2" t="s">
        <v>445</v>
      </c>
      <c r="S3020" s="36" t="s">
        <v>130</v>
      </c>
    </row>
    <row r="3021" spans="1:20" x14ac:dyDescent="0.2">
      <c r="A3021" s="8" t="str">
        <f t="shared" si="1581"/>
        <v>1000440130</v>
      </c>
      <c r="B3021" s="8">
        <v>100044</v>
      </c>
      <c r="C3021" s="8">
        <v>1</v>
      </c>
      <c r="D3021" s="8" t="s">
        <v>64</v>
      </c>
      <c r="E3021" s="8">
        <v>0</v>
      </c>
      <c r="F3021" s="34">
        <f t="shared" ref="F3021:G3027" si="1583">ROUNDDOWN($P3021/4*$O3021*10*$N3021/$N3021*$Q3021/400,0)</f>
        <v>25968</v>
      </c>
      <c r="G3021" s="34">
        <f t="shared" si="1583"/>
        <v>25968</v>
      </c>
      <c r="H3021" s="34">
        <f t="shared" si="1569"/>
        <v>3290</v>
      </c>
      <c r="I3021" s="34">
        <f t="shared" si="1569"/>
        <v>3290</v>
      </c>
      <c r="J3021" s="34">
        <f t="shared" ref="J3021:J3027" si="1584">ROUNDDOWN($P3021/4*$O3021*10*$N3021/$Q3021*$N3021/400,0)</f>
        <v>30460</v>
      </c>
      <c r="K3021" s="133">
        <v>1000</v>
      </c>
      <c r="L3021" s="34"/>
      <c r="M3021" s="16">
        <f t="shared" si="1454"/>
        <v>4081.0520770605217</v>
      </c>
      <c r="N3021" s="36">
        <v>900</v>
      </c>
      <c r="O3021" s="36">
        <v>0.5</v>
      </c>
      <c r="P3021" s="90" t="s">
        <v>399</v>
      </c>
      <c r="Q3021" s="90" t="s">
        <v>375</v>
      </c>
      <c r="S3021" s="36" t="s">
        <v>127</v>
      </c>
    </row>
    <row r="3022" spans="1:20" x14ac:dyDescent="0.2">
      <c r="A3022" s="8" t="str">
        <f t="shared" si="1581"/>
        <v>1000440131</v>
      </c>
      <c r="B3022" s="8">
        <v>100044</v>
      </c>
      <c r="C3022" s="8">
        <v>1</v>
      </c>
      <c r="D3022" s="8" t="s">
        <v>64</v>
      </c>
      <c r="E3022" s="8">
        <v>1</v>
      </c>
      <c r="F3022" s="34">
        <f t="shared" si="1583"/>
        <v>117500</v>
      </c>
      <c r="G3022" s="34">
        <f t="shared" si="1583"/>
        <v>117500</v>
      </c>
      <c r="H3022" s="34">
        <f t="shared" ref="H3022:I3035" si="1585">ROUNDDOWN($S3022/4*10,0)</f>
        <v>10500</v>
      </c>
      <c r="I3022" s="34">
        <f t="shared" si="1585"/>
        <v>10500</v>
      </c>
      <c r="J3022" s="34">
        <f t="shared" si="1584"/>
        <v>148710</v>
      </c>
      <c r="K3022" s="133">
        <v>1000</v>
      </c>
      <c r="L3022" s="34"/>
      <c r="M3022" s="16">
        <f t="shared" ref="M3022:M3130" si="1586">(F3022*J3022*((H3022+I3022)/2)/1000)^(1/2)/10*0.8</f>
        <v>34266.808430316356</v>
      </c>
      <c r="N3022" s="36">
        <v>900</v>
      </c>
      <c r="O3022" s="36">
        <v>0.5</v>
      </c>
      <c r="P3022" s="90" t="s">
        <v>401</v>
      </c>
      <c r="Q3022" s="90" t="s">
        <v>400</v>
      </c>
      <c r="S3022" s="36">
        <v>4200</v>
      </c>
    </row>
    <row r="3023" spans="1:20" x14ac:dyDescent="0.2">
      <c r="A3023" s="8" t="str">
        <f t="shared" si="1581"/>
        <v>1000440132</v>
      </c>
      <c r="B3023" s="8">
        <v>100044</v>
      </c>
      <c r="C3023" s="8">
        <v>1</v>
      </c>
      <c r="D3023" s="8" t="s">
        <v>64</v>
      </c>
      <c r="E3023" s="8">
        <v>2</v>
      </c>
      <c r="F3023" s="34">
        <f t="shared" si="1583"/>
        <v>37718</v>
      </c>
      <c r="G3023" s="34">
        <f t="shared" si="1583"/>
        <v>37718</v>
      </c>
      <c r="H3023" s="34">
        <f t="shared" si="1585"/>
        <v>3290</v>
      </c>
      <c r="I3023" s="34">
        <f t="shared" si="1585"/>
        <v>3290</v>
      </c>
      <c r="J3023" s="34">
        <f t="shared" si="1584"/>
        <v>42286</v>
      </c>
      <c r="K3023" s="133">
        <v>1000</v>
      </c>
      <c r="L3023" s="34"/>
      <c r="M3023" s="16">
        <f t="shared" si="1586"/>
        <v>5795.095092877079</v>
      </c>
      <c r="N3023" s="36">
        <v>900</v>
      </c>
      <c r="O3023" s="36">
        <v>0.5</v>
      </c>
      <c r="P3023" s="90" t="s">
        <v>407</v>
      </c>
      <c r="Q3023" s="90" t="s">
        <v>402</v>
      </c>
      <c r="S3023" s="36" t="s">
        <v>127</v>
      </c>
    </row>
    <row r="3024" spans="1:20" x14ac:dyDescent="0.2">
      <c r="A3024" s="8" t="str">
        <f t="shared" ref="A3024:A3025" si="1587">IF(B3024="","",CONCATENATE(B3024,CONCATENATE(REPT(0,2-LEN(C3024)),C3024),IF(OR(D3024="Easy",D3024=""),1,IF(D3024="Normal",2,IF(D3024="Hard",3,IF(D3024="Hell",4,"error")))),E3024))</f>
        <v>1000440133</v>
      </c>
      <c r="B3024" s="8">
        <v>100044</v>
      </c>
      <c r="C3024" s="8">
        <v>1</v>
      </c>
      <c r="D3024" s="8" t="s">
        <v>64</v>
      </c>
      <c r="E3024" s="8">
        <v>3</v>
      </c>
      <c r="F3024" s="34">
        <f t="shared" si="1583"/>
        <v>62500</v>
      </c>
      <c r="G3024" s="34">
        <f t="shared" si="1583"/>
        <v>62500</v>
      </c>
      <c r="H3024" s="34">
        <f t="shared" si="1585"/>
        <v>3290</v>
      </c>
      <c r="I3024" s="34">
        <f t="shared" si="1585"/>
        <v>3290</v>
      </c>
      <c r="J3024" s="34">
        <f t="shared" si="1584"/>
        <v>12656</v>
      </c>
      <c r="K3024" s="133">
        <v>1000</v>
      </c>
      <c r="L3024" s="34"/>
      <c r="M3024" s="16">
        <f t="shared" si="1586"/>
        <v>4081.0900504644592</v>
      </c>
      <c r="N3024" s="36">
        <v>900</v>
      </c>
      <c r="O3024" s="36">
        <v>0.5</v>
      </c>
      <c r="P3024" s="90" t="s">
        <v>399</v>
      </c>
      <c r="Q3024" s="90" t="s">
        <v>442</v>
      </c>
      <c r="R3024" s="2" t="s">
        <v>441</v>
      </c>
      <c r="S3024" s="36" t="s">
        <v>127</v>
      </c>
    </row>
    <row r="3025" spans="1:20" x14ac:dyDescent="0.2">
      <c r="A3025" s="8" t="str">
        <f t="shared" si="1587"/>
        <v>1000440134</v>
      </c>
      <c r="B3025" s="8">
        <v>100044</v>
      </c>
      <c r="C3025" s="8">
        <v>1</v>
      </c>
      <c r="D3025" s="8" t="s">
        <v>64</v>
      </c>
      <c r="E3025" s="8">
        <v>4</v>
      </c>
      <c r="F3025" s="34">
        <f t="shared" si="1583"/>
        <v>37500</v>
      </c>
      <c r="G3025" s="34">
        <f t="shared" si="1583"/>
        <v>37500</v>
      </c>
      <c r="H3025" s="34">
        <f t="shared" si="1585"/>
        <v>3290</v>
      </c>
      <c r="I3025" s="34">
        <f t="shared" si="1585"/>
        <v>3290</v>
      </c>
      <c r="J3025" s="34">
        <f t="shared" si="1584"/>
        <v>4166</v>
      </c>
      <c r="K3025" s="133">
        <v>1000</v>
      </c>
      <c r="L3025" s="34"/>
      <c r="M3025" s="16">
        <f t="shared" si="1586"/>
        <v>1813.6906020597889</v>
      </c>
      <c r="N3025" s="36">
        <v>400</v>
      </c>
      <c r="O3025" s="36">
        <v>0.5</v>
      </c>
      <c r="P3025" s="90" t="s">
        <v>399</v>
      </c>
      <c r="Q3025" s="90" t="s">
        <v>443</v>
      </c>
      <c r="S3025" s="36" t="s">
        <v>127</v>
      </c>
    </row>
    <row r="3026" spans="1:20" x14ac:dyDescent="0.2">
      <c r="A3026" s="8" t="str">
        <f t="shared" ref="A3026" si="1588">IF(B3026="","",CONCATENATE(B3026,CONCATENATE(REPT(0,2-LEN(C3026)),C3026),IF(OR(D3026="Easy",D3026=""),1,IF(D3026="Normal",2,IF(D3026="Hard",3,IF(D3026="Hell",4,"error")))),E3026))</f>
        <v>1000440135</v>
      </c>
      <c r="B3026" s="8">
        <v>100044</v>
      </c>
      <c r="C3026" s="8">
        <v>1</v>
      </c>
      <c r="D3026" s="8" t="s">
        <v>64</v>
      </c>
      <c r="E3026" s="8">
        <v>5</v>
      </c>
      <c r="F3026" s="34">
        <f t="shared" si="1583"/>
        <v>37500</v>
      </c>
      <c r="G3026" s="34">
        <f t="shared" si="1583"/>
        <v>37500</v>
      </c>
      <c r="H3026" s="34">
        <f t="shared" si="1585"/>
        <v>3290</v>
      </c>
      <c r="I3026" s="34">
        <f t="shared" si="1585"/>
        <v>3290</v>
      </c>
      <c r="J3026" s="34">
        <f t="shared" si="1584"/>
        <v>234375</v>
      </c>
      <c r="K3026" s="133">
        <v>1000</v>
      </c>
      <c r="L3026" s="34"/>
      <c r="M3026" s="16">
        <f t="shared" si="1586"/>
        <v>13603.76786041279</v>
      </c>
      <c r="N3026" s="36">
        <v>3000</v>
      </c>
      <c r="O3026" s="36">
        <v>0.5</v>
      </c>
      <c r="P3026" s="90" t="s">
        <v>399</v>
      </c>
      <c r="Q3026" s="90" t="s">
        <v>443</v>
      </c>
      <c r="S3026" s="36" t="s">
        <v>127</v>
      </c>
      <c r="T3026" s="114"/>
    </row>
    <row r="3027" spans="1:20" x14ac:dyDescent="0.2">
      <c r="A3027" s="8" t="str">
        <f t="shared" si="1581"/>
        <v>1000440633</v>
      </c>
      <c r="B3027" s="8">
        <v>100044</v>
      </c>
      <c r="C3027" s="8">
        <v>6</v>
      </c>
      <c r="D3027" s="8" t="s">
        <v>64</v>
      </c>
      <c r="E3027" s="8">
        <v>3</v>
      </c>
      <c r="F3027" s="34">
        <f t="shared" si="1583"/>
        <v>28125</v>
      </c>
      <c r="G3027" s="34">
        <f t="shared" si="1583"/>
        <v>28125</v>
      </c>
      <c r="H3027" s="34">
        <f t="shared" si="1585"/>
        <v>0</v>
      </c>
      <c r="I3027" s="34">
        <f t="shared" si="1585"/>
        <v>0</v>
      </c>
      <c r="J3027" s="34">
        <f t="shared" si="1584"/>
        <v>138888</v>
      </c>
      <c r="K3027" s="133">
        <v>1000</v>
      </c>
      <c r="L3027" s="34"/>
      <c r="M3027" s="16">
        <f t="shared" si="1586"/>
        <v>0</v>
      </c>
      <c r="N3027" s="36">
        <v>2000</v>
      </c>
      <c r="O3027" s="36">
        <v>0.5</v>
      </c>
      <c r="P3027" s="90" t="s">
        <v>399</v>
      </c>
      <c r="Q3027" s="90" t="s">
        <v>439</v>
      </c>
      <c r="R3027" s="2" t="s">
        <v>438</v>
      </c>
      <c r="S3027" s="36">
        <v>0</v>
      </c>
      <c r="T3027" s="114"/>
    </row>
    <row r="3028" spans="1:20" x14ac:dyDescent="0.2">
      <c r="A3028" s="8" t="str">
        <f t="shared" si="1581"/>
        <v>1000440614</v>
      </c>
      <c r="B3028" s="8">
        <v>100044</v>
      </c>
      <c r="C3028" s="8">
        <v>6</v>
      </c>
      <c r="D3028" s="8" t="s">
        <v>62</v>
      </c>
      <c r="E3028" s="8">
        <v>4</v>
      </c>
      <c r="F3028" s="34">
        <f t="shared" ref="F3028:G3029" si="1589">ROUNDDOWN($P3028/4*MIN($O3028,4)*10*$N3028/$N3028*$Q3028/400,0)</f>
        <v>382500</v>
      </c>
      <c r="G3028" s="34">
        <f t="shared" si="1589"/>
        <v>382500</v>
      </c>
      <c r="H3028" s="34">
        <f t="shared" si="1585"/>
        <v>75000</v>
      </c>
      <c r="I3028" s="34">
        <f t="shared" si="1585"/>
        <v>75000</v>
      </c>
      <c r="J3028" s="34">
        <f t="shared" ref="J3028:J3029" si="1590">ROUNDDOWN($P3028/4*$O3028*10*$N3028/$Q3028*$N3028/400*0.8,0)</f>
        <v>2186625</v>
      </c>
      <c r="K3028" s="133">
        <v>1000</v>
      </c>
      <c r="L3028" s="34"/>
      <c r="M3028" s="16">
        <f t="shared" si="1586"/>
        <v>633612.14476996893</v>
      </c>
      <c r="N3028" s="36">
        <v>1050</v>
      </c>
      <c r="O3028" s="36">
        <v>21</v>
      </c>
      <c r="P3028" s="36">
        <v>17000</v>
      </c>
      <c r="Q3028" s="2" t="s">
        <v>439</v>
      </c>
      <c r="R3028" s="2" t="s">
        <v>440</v>
      </c>
      <c r="S3028" s="56">
        <v>30000</v>
      </c>
    </row>
    <row r="3029" spans="1:20" x14ac:dyDescent="0.2">
      <c r="A3029" s="8" t="str">
        <f t="shared" si="1581"/>
        <v>1000440519</v>
      </c>
      <c r="B3029" s="8">
        <v>100044</v>
      </c>
      <c r="C3029" s="8">
        <v>5</v>
      </c>
      <c r="D3029" s="8" t="s">
        <v>62</v>
      </c>
      <c r="E3029" s="8">
        <v>9</v>
      </c>
      <c r="F3029" s="34">
        <f t="shared" si="1589"/>
        <v>245000</v>
      </c>
      <c r="G3029" s="34">
        <f t="shared" si="1589"/>
        <v>245000</v>
      </c>
      <c r="H3029" s="34">
        <f t="shared" si="1585"/>
        <v>17500</v>
      </c>
      <c r="I3029" s="34">
        <f t="shared" si="1585"/>
        <v>17500</v>
      </c>
      <c r="J3029" s="34">
        <f t="shared" si="1590"/>
        <v>2100000</v>
      </c>
      <c r="K3029" s="133">
        <v>1000</v>
      </c>
      <c r="L3029" s="34"/>
      <c r="M3029" s="16">
        <f t="shared" si="1586"/>
        <v>240049.99479275147</v>
      </c>
      <c r="N3029" s="36">
        <v>1000</v>
      </c>
      <c r="O3029" s="36">
        <v>21</v>
      </c>
      <c r="P3029" s="36">
        <v>14000</v>
      </c>
      <c r="Q3029" s="2" t="s">
        <v>166</v>
      </c>
      <c r="R3029" s="2" t="s">
        <v>422</v>
      </c>
      <c r="S3029" s="56">
        <f>P3029*0.5</f>
        <v>7000</v>
      </c>
    </row>
    <row r="3030" spans="1:20" x14ac:dyDescent="0.2">
      <c r="A3030" s="8" t="str">
        <f t="shared" si="1581"/>
        <v>1000441131</v>
      </c>
      <c r="B3030" s="8">
        <v>100044</v>
      </c>
      <c r="C3030" s="8">
        <v>11</v>
      </c>
      <c r="D3030" s="8" t="s">
        <v>64</v>
      </c>
      <c r="E3030" s="8">
        <v>1</v>
      </c>
      <c r="F3030" s="34">
        <f t="shared" ref="F3030:G3032" si="1591">ROUNDDOWN($P3030/4*$O3030*10*$N3030/$N3030*$Q3030/400,0)</f>
        <v>173437</v>
      </c>
      <c r="G3030" s="34">
        <f t="shared" si="1591"/>
        <v>173437</v>
      </c>
      <c r="H3030" s="34">
        <f t="shared" si="1585"/>
        <v>10500</v>
      </c>
      <c r="I3030" s="34">
        <f t="shared" si="1585"/>
        <v>10500</v>
      </c>
      <c r="J3030" s="34">
        <f>ROUNDDOWN($P3030/4*$O3030*10*$N3030/$Q3030*$N3030/400,0)</f>
        <v>164189</v>
      </c>
      <c r="K3030" s="133">
        <v>1000</v>
      </c>
      <c r="L3030" s="34"/>
      <c r="M3030" s="16">
        <f t="shared" si="1586"/>
        <v>43744.911455500747</v>
      </c>
      <c r="N3030" s="36">
        <v>900</v>
      </c>
      <c r="O3030" s="36">
        <v>0.5</v>
      </c>
      <c r="P3030" s="90" t="s">
        <v>346</v>
      </c>
      <c r="Q3030" s="90" t="s">
        <v>405</v>
      </c>
      <c r="R3030" s="2" t="s">
        <v>404</v>
      </c>
      <c r="S3030" s="36">
        <v>4200</v>
      </c>
    </row>
    <row r="3031" spans="1:20" x14ac:dyDescent="0.2">
      <c r="A3031" s="8" t="str">
        <f t="shared" si="1581"/>
        <v>1000440830</v>
      </c>
      <c r="B3031" s="8">
        <v>100044</v>
      </c>
      <c r="C3031" s="8">
        <v>8</v>
      </c>
      <c r="D3031" s="8" t="s">
        <v>64</v>
      </c>
      <c r="E3031" s="8">
        <v>0</v>
      </c>
      <c r="F3031" s="34">
        <f t="shared" si="1591"/>
        <v>2596</v>
      </c>
      <c r="G3031" s="34">
        <f t="shared" si="1591"/>
        <v>2596</v>
      </c>
      <c r="H3031" s="34">
        <f t="shared" si="1585"/>
        <v>3290</v>
      </c>
      <c r="I3031" s="34">
        <f t="shared" si="1585"/>
        <v>3290</v>
      </c>
      <c r="J3031" s="34">
        <f>ROUNDDOWN($P3031/4*$O3031*10*$N3031/$Q3031*$N3031/400,0)</f>
        <v>3046</v>
      </c>
      <c r="K3031" s="133">
        <v>1000</v>
      </c>
      <c r="L3031" s="34"/>
      <c r="M3031" s="16">
        <f t="shared" si="1586"/>
        <v>408.04234007759538</v>
      </c>
      <c r="N3031" s="36">
        <v>900</v>
      </c>
      <c r="O3031" s="36">
        <v>0.5</v>
      </c>
      <c r="P3031" s="90" t="s">
        <v>408</v>
      </c>
      <c r="Q3031" s="90" t="s">
        <v>375</v>
      </c>
      <c r="S3031" s="36" t="s">
        <v>127</v>
      </c>
    </row>
    <row r="3032" spans="1:20" x14ac:dyDescent="0.2">
      <c r="A3032" s="8" t="str">
        <f t="shared" si="1581"/>
        <v>1000440230</v>
      </c>
      <c r="B3032" s="8">
        <v>100044</v>
      </c>
      <c r="C3032" s="8">
        <v>2</v>
      </c>
      <c r="D3032" s="8" t="s">
        <v>64</v>
      </c>
      <c r="E3032" s="8">
        <v>0</v>
      </c>
      <c r="F3032" s="34">
        <f t="shared" si="1591"/>
        <v>28437</v>
      </c>
      <c r="G3032" s="34">
        <f t="shared" si="1591"/>
        <v>28437</v>
      </c>
      <c r="H3032" s="34">
        <f t="shared" si="1585"/>
        <v>3290</v>
      </c>
      <c r="I3032" s="34">
        <f t="shared" si="1585"/>
        <v>3290</v>
      </c>
      <c r="J3032" s="34">
        <f>ROUNDDOWN($P3032/4*$O3032*10*$N3032/$Q3032*$N3032/400,0)</f>
        <v>3407</v>
      </c>
      <c r="K3032" s="133">
        <v>1000</v>
      </c>
      <c r="L3032" s="34"/>
      <c r="M3032" s="16">
        <f t="shared" si="1586"/>
        <v>1428.2883431240346</v>
      </c>
      <c r="N3032" s="36">
        <v>900</v>
      </c>
      <c r="O3032" s="36">
        <v>0.5</v>
      </c>
      <c r="P3032" s="90" t="s">
        <v>285</v>
      </c>
      <c r="Q3032" s="90" t="s">
        <v>447</v>
      </c>
      <c r="R3032" s="2" t="s">
        <v>444</v>
      </c>
      <c r="S3032" s="36" t="s">
        <v>127</v>
      </c>
      <c r="T3032" s="114"/>
    </row>
    <row r="3033" spans="1:20" x14ac:dyDescent="0.2">
      <c r="A3033" s="8" t="str">
        <f t="shared" ref="A3033:A3044" si="1592">IF(B3033="","",CONCATENATE(B3033,CONCATENATE(REPT(0,2-LEN(C3033)),C3033),IF(OR(D3033="Easy",D3033=""),1,IF(D3033="Normal",2,IF(D3033="Hard",3,IF(D3033="Hell",4,"error")))),E3033))</f>
        <v>1000441110</v>
      </c>
      <c r="B3033" s="8">
        <v>100044</v>
      </c>
      <c r="C3033" s="8">
        <v>11</v>
      </c>
      <c r="D3033" s="8" t="s">
        <v>62</v>
      </c>
      <c r="E3033" s="8">
        <v>0</v>
      </c>
      <c r="F3033" s="34">
        <f>ROUNDDOWN($P3033/4*$O3033*10*$N3033/$N3033*$Q3033/400,0)</f>
        <v>125000</v>
      </c>
      <c r="G3033" s="34">
        <f>ROUNDDOWN($P3033/4*$O3033*10*$N3033/$N3033*$Q3033/400,0)</f>
        <v>125000</v>
      </c>
      <c r="H3033" s="34">
        <f t="shared" si="1585"/>
        <v>2140</v>
      </c>
      <c r="I3033" s="34">
        <f t="shared" si="1585"/>
        <v>2140</v>
      </c>
      <c r="J3033" s="34">
        <f>ROUNDDOWN($P3033/4*$O3033*10*$N3033/$Q3033*$N3033/400,0)</f>
        <v>1280000</v>
      </c>
      <c r="K3033" s="133">
        <v>1000</v>
      </c>
      <c r="L3033" s="34"/>
      <c r="M3033" s="16">
        <f t="shared" si="1586"/>
        <v>46811.964282648936</v>
      </c>
      <c r="N3033" s="36">
        <v>800</v>
      </c>
      <c r="O3033" s="36">
        <v>0.5</v>
      </c>
      <c r="P3033" s="90" t="s">
        <v>760</v>
      </c>
      <c r="Q3033" s="2" t="s">
        <v>281</v>
      </c>
      <c r="R3033" s="2" t="s">
        <v>449</v>
      </c>
      <c r="S3033" s="36" t="s">
        <v>130</v>
      </c>
      <c r="T3033" s="114"/>
    </row>
    <row r="3034" spans="1:20" x14ac:dyDescent="0.2">
      <c r="A3034" s="18">
        <v>1000440539</v>
      </c>
      <c r="B3034" s="18">
        <v>100044</v>
      </c>
      <c r="C3034" s="18">
        <v>5</v>
      </c>
      <c r="D3034" s="18" t="s">
        <v>63</v>
      </c>
      <c r="E3034" s="18">
        <v>9</v>
      </c>
      <c r="F3034" s="19">
        <f t="shared" ref="F3034:G3035" si="1593">ROUNDDOWN($P3034/4*MIN($O3034,4)*10*$N3034/$N3034*$Q3034/400,0)</f>
        <v>10780</v>
      </c>
      <c r="G3034" s="19">
        <f t="shared" si="1593"/>
        <v>10780</v>
      </c>
      <c r="H3034" s="19">
        <f t="shared" si="1585"/>
        <v>5000</v>
      </c>
      <c r="I3034" s="19">
        <v>5000</v>
      </c>
      <c r="J3034" s="19">
        <f t="shared" ref="J3034:J3035" si="1594">ROUNDDOWN($P3034/4*$O3034*10*$N3034/$Q3034*$N3034/400*0.8,0)</f>
        <v>935454</v>
      </c>
      <c r="K3034" s="133">
        <v>1000</v>
      </c>
      <c r="L3034" s="19"/>
      <c r="M3034" s="118">
        <f t="shared" ref="M3034" si="1595">(F3034*J3034*((H3034+I3034)/2)/1000)^(1/2)/10*0.8</f>
        <v>17963.691486996766</v>
      </c>
      <c r="N3034" s="58">
        <v>1000</v>
      </c>
      <c r="O3034" s="58">
        <v>21</v>
      </c>
      <c r="P3034" s="58">
        <v>1960</v>
      </c>
      <c r="Q3034" s="41" t="s">
        <v>246</v>
      </c>
      <c r="R3034" s="41" t="s">
        <v>947</v>
      </c>
      <c r="S3034" s="94">
        <v>2000</v>
      </c>
      <c r="T3034" s="266"/>
    </row>
    <row r="3035" spans="1:20" x14ac:dyDescent="0.2">
      <c r="A3035" s="18" t="str">
        <f t="shared" si="1592"/>
        <v>1000440549</v>
      </c>
      <c r="B3035" s="18">
        <v>100044</v>
      </c>
      <c r="C3035" s="18">
        <v>5</v>
      </c>
      <c r="D3035" s="18" t="s">
        <v>237</v>
      </c>
      <c r="E3035" s="18">
        <v>9</v>
      </c>
      <c r="F3035" s="19">
        <f t="shared" si="1593"/>
        <v>15400</v>
      </c>
      <c r="G3035" s="19">
        <f t="shared" si="1593"/>
        <v>15400</v>
      </c>
      <c r="H3035" s="19">
        <f t="shared" si="1585"/>
        <v>2100</v>
      </c>
      <c r="I3035" s="19">
        <v>11000</v>
      </c>
      <c r="J3035" s="19">
        <f t="shared" si="1594"/>
        <v>1336363</v>
      </c>
      <c r="K3035" s="133">
        <v>1000</v>
      </c>
      <c r="L3035" s="19"/>
      <c r="M3035" s="118">
        <f t="shared" si="1586"/>
        <v>29371.979660622132</v>
      </c>
      <c r="N3035" s="58">
        <v>1000</v>
      </c>
      <c r="O3035" s="58">
        <v>21</v>
      </c>
      <c r="P3035" s="58">
        <v>2800</v>
      </c>
      <c r="Q3035" s="41" t="s">
        <v>246</v>
      </c>
      <c r="R3035" s="41" t="s">
        <v>948</v>
      </c>
      <c r="S3035" s="94">
        <f>P3035*0.3</f>
        <v>840</v>
      </c>
    </row>
    <row r="3036" spans="1:20" ht="38.25" x14ac:dyDescent="0.2">
      <c r="A3036" s="8" t="str">
        <f t="shared" si="1592"/>
        <v/>
      </c>
      <c r="B3036" s="5"/>
      <c r="C3036" s="6" t="s">
        <v>456</v>
      </c>
      <c r="D3036" s="5"/>
      <c r="E3036" s="5"/>
      <c r="F3036" s="5"/>
      <c r="G3036" s="5"/>
      <c r="H3036" s="5"/>
      <c r="I3036" s="5"/>
      <c r="J3036" s="5"/>
      <c r="K3036" s="133"/>
      <c r="L3036" s="5"/>
      <c r="M3036" s="16">
        <f t="shared" si="1586"/>
        <v>0</v>
      </c>
      <c r="N3036" s="5"/>
      <c r="O3036" s="5"/>
      <c r="P3036" s="5"/>
      <c r="Q3036" s="5"/>
      <c r="R3036" s="5"/>
      <c r="S3036" s="30"/>
    </row>
    <row r="3037" spans="1:20" x14ac:dyDescent="0.2">
      <c r="A3037" s="8" t="str">
        <f t="shared" si="1592"/>
        <v>1000170130</v>
      </c>
      <c r="B3037" s="8">
        <v>100017</v>
      </c>
      <c r="C3037" s="8">
        <v>1</v>
      </c>
      <c r="D3037" s="8" t="s">
        <v>64</v>
      </c>
      <c r="E3037" s="8">
        <v>0</v>
      </c>
      <c r="F3037" s="34">
        <f t="shared" ref="F3037:G3040" si="1596">ROUNDDOWN($P3037/4*$O3037*10*$N3037/$N3037*$Q3037/400,0)</f>
        <v>25968</v>
      </c>
      <c r="G3037" s="34">
        <f t="shared" si="1596"/>
        <v>25968</v>
      </c>
      <c r="H3037" s="34">
        <f t="shared" ref="H3037:I3055" si="1597">ROUNDDOWN($S3037/4*10,0)</f>
        <v>3290</v>
      </c>
      <c r="I3037" s="34">
        <f t="shared" si="1597"/>
        <v>3290</v>
      </c>
      <c r="J3037" s="34">
        <f>ROUNDDOWN($P3037/4*$O3037*10*$N3037/$Q3037*$N3037/400,0)</f>
        <v>30460</v>
      </c>
      <c r="K3037" s="133">
        <v>1000</v>
      </c>
      <c r="L3037" s="34"/>
      <c r="M3037" s="16">
        <f t="shared" si="1586"/>
        <v>4081.0520770605217</v>
      </c>
      <c r="N3037" s="36">
        <v>900</v>
      </c>
      <c r="O3037" s="36">
        <v>0.5</v>
      </c>
      <c r="P3037" s="90" t="s">
        <v>399</v>
      </c>
      <c r="Q3037" s="90" t="s">
        <v>375</v>
      </c>
      <c r="S3037" s="36" t="s">
        <v>127</v>
      </c>
    </row>
    <row r="3038" spans="1:20" x14ac:dyDescent="0.2">
      <c r="A3038" s="8" t="str">
        <f t="shared" si="1592"/>
        <v>1000170230</v>
      </c>
      <c r="B3038" s="8">
        <v>100017</v>
      </c>
      <c r="C3038" s="8">
        <v>2</v>
      </c>
      <c r="D3038" s="8" t="s">
        <v>64</v>
      </c>
      <c r="E3038" s="8">
        <v>0</v>
      </c>
      <c r="F3038" s="34">
        <f t="shared" si="1596"/>
        <v>122053</v>
      </c>
      <c r="G3038" s="34">
        <f t="shared" si="1596"/>
        <v>122053</v>
      </c>
      <c r="H3038" s="34">
        <f t="shared" si="1597"/>
        <v>3290</v>
      </c>
      <c r="I3038" s="34">
        <f t="shared" si="1597"/>
        <v>3290</v>
      </c>
      <c r="J3038" s="34">
        <f>ROUNDDOWN($P3038/4*$O3038*10*$N3038/$Q3038*$N3038/400,0)</f>
        <v>143163</v>
      </c>
      <c r="K3038" s="133">
        <v>1000</v>
      </c>
      <c r="L3038" s="34"/>
      <c r="M3038" s="16">
        <f t="shared" si="1586"/>
        <v>19181.278918330343</v>
      </c>
      <c r="N3038" s="36">
        <v>900</v>
      </c>
      <c r="O3038" s="36">
        <v>0.5</v>
      </c>
      <c r="P3038" s="90" t="s">
        <v>401</v>
      </c>
      <c r="Q3038" s="90" t="s">
        <v>375</v>
      </c>
      <c r="S3038" s="36" t="s">
        <v>127</v>
      </c>
    </row>
    <row r="3039" spans="1:20" x14ac:dyDescent="0.2">
      <c r="A3039" s="8" t="str">
        <f t="shared" si="1592"/>
        <v>1000170330</v>
      </c>
      <c r="B3039" s="8">
        <v>100017</v>
      </c>
      <c r="C3039" s="8">
        <v>3</v>
      </c>
      <c r="D3039" s="8" t="s">
        <v>64</v>
      </c>
      <c r="E3039" s="8">
        <v>0</v>
      </c>
      <c r="F3039" s="34">
        <f t="shared" si="1596"/>
        <v>44062</v>
      </c>
      <c r="G3039" s="34">
        <f t="shared" si="1596"/>
        <v>44062</v>
      </c>
      <c r="H3039" s="34">
        <f t="shared" si="1597"/>
        <v>3290</v>
      </c>
      <c r="I3039" s="34">
        <f t="shared" si="1597"/>
        <v>3290</v>
      </c>
      <c r="J3039" s="34">
        <f>ROUNDDOWN($P3039/4*$O3039*10*$N3039/$Q3039*$N3039/400,0)</f>
        <v>1958333</v>
      </c>
      <c r="K3039" s="133">
        <v>1000</v>
      </c>
      <c r="L3039" s="34"/>
      <c r="M3039" s="16">
        <f t="shared" si="1586"/>
        <v>42624.893822861028</v>
      </c>
      <c r="N3039" s="36">
        <v>2000</v>
      </c>
      <c r="O3039" s="36">
        <v>0.5</v>
      </c>
      <c r="P3039" s="90" t="s">
        <v>401</v>
      </c>
      <c r="Q3039" s="90" t="s">
        <v>457</v>
      </c>
      <c r="S3039" s="36" t="s">
        <v>127</v>
      </c>
      <c r="T3039" s="114"/>
    </row>
    <row r="3040" spans="1:20" x14ac:dyDescent="0.2">
      <c r="A3040" s="8" t="str">
        <f t="shared" si="1592"/>
        <v>1000170430</v>
      </c>
      <c r="B3040" s="8">
        <v>100017</v>
      </c>
      <c r="C3040" s="8">
        <v>4</v>
      </c>
      <c r="D3040" s="8" t="s">
        <v>64</v>
      </c>
      <c r="E3040" s="8">
        <v>0</v>
      </c>
      <c r="F3040" s="34">
        <f t="shared" si="1596"/>
        <v>25968</v>
      </c>
      <c r="G3040" s="34">
        <f t="shared" si="1596"/>
        <v>25968</v>
      </c>
      <c r="H3040" s="34">
        <f t="shared" si="1597"/>
        <v>3290</v>
      </c>
      <c r="I3040" s="34">
        <f t="shared" si="1597"/>
        <v>3290</v>
      </c>
      <c r="J3040" s="34">
        <f>ROUNDDOWN($P3040/4*$O3040*10*$N3040/$Q3040*$N3040/400,0)</f>
        <v>30460</v>
      </c>
      <c r="K3040" s="133">
        <v>1000</v>
      </c>
      <c r="L3040" s="34"/>
      <c r="M3040" s="16">
        <f t="shared" si="1586"/>
        <v>4081.0520770605217</v>
      </c>
      <c r="N3040" s="36">
        <v>900</v>
      </c>
      <c r="O3040" s="36">
        <v>0.5</v>
      </c>
      <c r="P3040" s="90" t="s">
        <v>399</v>
      </c>
      <c r="Q3040" s="90" t="s">
        <v>375</v>
      </c>
      <c r="S3040" s="36" t="s">
        <v>127</v>
      </c>
      <c r="T3040" s="114"/>
    </row>
    <row r="3041" spans="1:20" x14ac:dyDescent="0.2">
      <c r="A3041" s="8" t="str">
        <f t="shared" si="1592"/>
        <v>1000170510</v>
      </c>
      <c r="B3041" s="8">
        <v>100017</v>
      </c>
      <c r="C3041" s="8">
        <v>5</v>
      </c>
      <c r="D3041" s="8" t="s">
        <v>62</v>
      </c>
      <c r="E3041" s="8">
        <v>0</v>
      </c>
      <c r="F3041" s="34">
        <f t="shared" ref="F3041:G3042" si="1598">ROUNDDOWN($P3041/4*MIN($O3041,4)*10*$N3041/$N3041*$Q3041/400,0)</f>
        <v>41550</v>
      </c>
      <c r="G3041" s="34">
        <f t="shared" si="1598"/>
        <v>41550</v>
      </c>
      <c r="H3041" s="34">
        <f t="shared" si="1597"/>
        <v>3290</v>
      </c>
      <c r="I3041" s="34">
        <f t="shared" si="1597"/>
        <v>3290</v>
      </c>
      <c r="J3041" s="34">
        <f t="shared" ref="J3041:J3042" si="1599">ROUNDDOWN($P3041/4*$O3041*10*$N3041/$Q3041*$N3041/400*0.8,0)</f>
        <v>38989</v>
      </c>
      <c r="K3041" s="133">
        <v>1000</v>
      </c>
      <c r="L3041" s="34"/>
      <c r="M3041" s="16">
        <f t="shared" si="1586"/>
        <v>5840.4256313388669</v>
      </c>
      <c r="N3041" s="36">
        <v>900</v>
      </c>
      <c r="O3041" s="36">
        <v>0.5</v>
      </c>
      <c r="P3041" s="36">
        <v>16000</v>
      </c>
      <c r="Q3041" s="90" t="s">
        <v>375</v>
      </c>
      <c r="S3041" s="36" t="s">
        <v>127</v>
      </c>
    </row>
    <row r="3042" spans="1:20" x14ac:dyDescent="0.2">
      <c r="A3042" s="8" t="str">
        <f t="shared" si="1592"/>
        <v>1000170610</v>
      </c>
      <c r="B3042" s="8">
        <v>100017</v>
      </c>
      <c r="C3042" s="8">
        <v>6</v>
      </c>
      <c r="D3042" s="8" t="s">
        <v>62</v>
      </c>
      <c r="E3042" s="8">
        <v>0</v>
      </c>
      <c r="F3042" s="34">
        <f t="shared" si="1598"/>
        <v>36356</v>
      </c>
      <c r="G3042" s="34">
        <f t="shared" si="1598"/>
        <v>36356</v>
      </c>
      <c r="H3042" s="34">
        <f t="shared" si="1597"/>
        <v>3290</v>
      </c>
      <c r="I3042" s="34">
        <f t="shared" si="1597"/>
        <v>3290</v>
      </c>
      <c r="J3042" s="34">
        <f t="shared" si="1599"/>
        <v>34115</v>
      </c>
      <c r="K3042" s="133">
        <v>1000</v>
      </c>
      <c r="L3042" s="34"/>
      <c r="M3042" s="16">
        <f t="shared" si="1586"/>
        <v>5110.3267700451415</v>
      </c>
      <c r="N3042" s="36">
        <v>900</v>
      </c>
      <c r="O3042" s="36">
        <v>0.5</v>
      </c>
      <c r="P3042" s="36">
        <v>14000</v>
      </c>
      <c r="Q3042" s="90" t="s">
        <v>375</v>
      </c>
      <c r="S3042" s="36" t="s">
        <v>127</v>
      </c>
    </row>
    <row r="3043" spans="1:20" x14ac:dyDescent="0.2">
      <c r="A3043" s="8" t="str">
        <f t="shared" si="1592"/>
        <v>1000170730</v>
      </c>
      <c r="B3043" s="8">
        <v>100017</v>
      </c>
      <c r="C3043" s="8">
        <v>7</v>
      </c>
      <c r="D3043" s="8" t="s">
        <v>64</v>
      </c>
      <c r="E3043" s="8">
        <v>0</v>
      </c>
      <c r="F3043" s="34">
        <f t="shared" ref="F3043:G3045" si="1600">ROUNDDOWN($P3043/4*$O3043*10*$N3043/$N3043*$Q3043/400,0)</f>
        <v>181781</v>
      </c>
      <c r="G3043" s="34">
        <f t="shared" si="1600"/>
        <v>181781</v>
      </c>
      <c r="H3043" s="34">
        <f t="shared" si="1597"/>
        <v>3290</v>
      </c>
      <c r="I3043" s="34">
        <f t="shared" si="1597"/>
        <v>3290</v>
      </c>
      <c r="J3043" s="34">
        <f>ROUNDDOWN($P3043/4*$O3043*10*$N3043/$Q3043*$N3043/400,0)</f>
        <v>213222</v>
      </c>
      <c r="K3043" s="133">
        <v>1000</v>
      </c>
      <c r="L3043" s="34"/>
      <c r="M3043" s="16">
        <f t="shared" si="1586"/>
        <v>28567.891411362376</v>
      </c>
      <c r="N3043" s="36">
        <v>900</v>
      </c>
      <c r="O3043" s="36">
        <v>0.5</v>
      </c>
      <c r="P3043" s="90" t="s">
        <v>345</v>
      </c>
      <c r="Q3043" s="90" t="s">
        <v>375</v>
      </c>
      <c r="S3043" s="36" t="s">
        <v>127</v>
      </c>
    </row>
    <row r="3044" spans="1:20" x14ac:dyDescent="0.2">
      <c r="A3044" s="8" t="str">
        <f t="shared" si="1592"/>
        <v>1000170830</v>
      </c>
      <c r="B3044" s="8">
        <v>100017</v>
      </c>
      <c r="C3044" s="8">
        <v>8</v>
      </c>
      <c r="D3044" s="8" t="s">
        <v>64</v>
      </c>
      <c r="E3044" s="8">
        <v>0</v>
      </c>
      <c r="F3044" s="34">
        <f t="shared" si="1600"/>
        <v>2596</v>
      </c>
      <c r="G3044" s="34">
        <f t="shared" si="1600"/>
        <v>2596</v>
      </c>
      <c r="H3044" s="34">
        <f t="shared" si="1597"/>
        <v>3290</v>
      </c>
      <c r="I3044" s="34">
        <f t="shared" si="1597"/>
        <v>3290</v>
      </c>
      <c r="J3044" s="34">
        <f>ROUNDDOWN($P3044/4*$O3044*10*$N3044/$Q3044*$N3044/400,0)</f>
        <v>3046</v>
      </c>
      <c r="K3044" s="133">
        <v>1000</v>
      </c>
      <c r="L3044" s="34"/>
      <c r="M3044" s="16">
        <f t="shared" si="1586"/>
        <v>408.04234007759538</v>
      </c>
      <c r="N3044" s="36">
        <v>900</v>
      </c>
      <c r="O3044" s="36">
        <v>0.5</v>
      </c>
      <c r="P3044" s="90" t="s">
        <v>408</v>
      </c>
      <c r="Q3044" s="90" t="s">
        <v>375</v>
      </c>
      <c r="S3044" s="36" t="s">
        <v>127</v>
      </c>
      <c r="T3044" s="114"/>
    </row>
    <row r="3045" spans="1:20" x14ac:dyDescent="0.2">
      <c r="A3045" s="8" t="str">
        <f t="shared" ref="A3045:A3049" si="1601">IF(B3045="","",CONCATENATE(B3045,CONCATENATE(REPT(0,2-LEN(C3045)),C3045),IF(OR(D3045="Easy",D3045=""),1,IF(D3045="Normal",2,IF(D3045="Hard",3,IF(D3045="Hell",4,"error")))),E3045))</f>
        <v>1000170810</v>
      </c>
      <c r="B3045" s="8">
        <v>100017</v>
      </c>
      <c r="C3045" s="8">
        <v>8</v>
      </c>
      <c r="D3045" s="8" t="s">
        <v>62</v>
      </c>
      <c r="E3045" s="8">
        <v>0</v>
      </c>
      <c r="F3045" s="34">
        <f t="shared" si="1600"/>
        <v>125000</v>
      </c>
      <c r="G3045" s="34">
        <f t="shared" si="1600"/>
        <v>125000</v>
      </c>
      <c r="H3045" s="34">
        <f t="shared" si="1597"/>
        <v>3290</v>
      </c>
      <c r="I3045" s="34">
        <f t="shared" si="1597"/>
        <v>3290</v>
      </c>
      <c r="J3045" s="34">
        <f>ROUNDDOWN($P3045/4*$O3045*10*$N3045/$Q3045*$N3045/400,0)</f>
        <v>632812</v>
      </c>
      <c r="K3045" s="133">
        <v>1000</v>
      </c>
      <c r="L3045" s="34"/>
      <c r="M3045" s="16">
        <f t="shared" si="1586"/>
        <v>40811.287458251056</v>
      </c>
      <c r="N3045" s="36">
        <v>900</v>
      </c>
      <c r="O3045" s="36">
        <v>0.5</v>
      </c>
      <c r="P3045" s="90" t="s">
        <v>460</v>
      </c>
      <c r="Q3045" s="90" t="s">
        <v>459</v>
      </c>
      <c r="R3045" s="2" t="s">
        <v>458</v>
      </c>
      <c r="S3045" s="36" t="s">
        <v>127</v>
      </c>
      <c r="T3045" s="114"/>
    </row>
    <row r="3046" spans="1:20" x14ac:dyDescent="0.2">
      <c r="A3046" s="202">
        <v>1000170939</v>
      </c>
      <c r="B3046" s="202">
        <v>100017</v>
      </c>
      <c r="C3046" s="202">
        <v>9</v>
      </c>
      <c r="D3046" s="202" t="s">
        <v>63</v>
      </c>
      <c r="E3046" s="202">
        <v>9</v>
      </c>
      <c r="F3046" s="203">
        <f t="shared" ref="F3046:G3048" si="1602">ROUNDDOWN($P3046/4*MIN($O3046,4)*10*$N3046/$N3046*$Q3046/400,0)</f>
        <v>42000</v>
      </c>
      <c r="G3046" s="203">
        <f t="shared" si="1602"/>
        <v>42000</v>
      </c>
      <c r="H3046" s="203">
        <f t="shared" si="1597"/>
        <v>3960</v>
      </c>
      <c r="I3046" s="203">
        <f t="shared" si="1597"/>
        <v>3960</v>
      </c>
      <c r="J3046" s="203">
        <f t="shared" ref="J3046:J3048" si="1603">ROUNDDOWN($P3046/4*$O3046*10*$N3046/$Q3046*$N3046/400*0.8,0)</f>
        <v>685714</v>
      </c>
      <c r="K3046" s="133">
        <v>1000</v>
      </c>
      <c r="L3046" s="203"/>
      <c r="M3046" s="204">
        <f t="shared" ref="M3046:M3048" si="1604">(F3046*J3046*((H3046+I3046)/2)/1000)^(1/2)/10*0.8</f>
        <v>27016.789148083459</v>
      </c>
      <c r="N3046" s="205">
        <v>1000</v>
      </c>
      <c r="O3046" s="205">
        <v>10</v>
      </c>
      <c r="P3046" s="205">
        <v>4800</v>
      </c>
      <c r="Q3046" s="206" t="s">
        <v>390</v>
      </c>
      <c r="R3046" s="206" t="s">
        <v>422</v>
      </c>
      <c r="S3046" s="207">
        <f>P3046*0.33</f>
        <v>1584</v>
      </c>
      <c r="T3046" s="114"/>
    </row>
    <row r="3047" spans="1:20" x14ac:dyDescent="0.2">
      <c r="A3047" s="202">
        <v>1000170932</v>
      </c>
      <c r="B3047" s="202">
        <v>100017</v>
      </c>
      <c r="C3047" s="202">
        <v>9</v>
      </c>
      <c r="D3047" s="202" t="s">
        <v>63</v>
      </c>
      <c r="E3047" s="202">
        <v>0</v>
      </c>
      <c r="F3047" s="203">
        <f t="shared" si="1602"/>
        <v>250</v>
      </c>
      <c r="G3047" s="203">
        <f t="shared" si="1602"/>
        <v>250</v>
      </c>
      <c r="H3047" s="203">
        <f t="shared" si="1597"/>
        <v>1750</v>
      </c>
      <c r="I3047" s="203">
        <f t="shared" si="1597"/>
        <v>1750</v>
      </c>
      <c r="J3047" s="203">
        <f t="shared" si="1603"/>
        <v>105000</v>
      </c>
      <c r="K3047" s="133">
        <v>1000</v>
      </c>
      <c r="L3047" s="203"/>
      <c r="M3047" s="204">
        <f t="shared" si="1604"/>
        <v>542.21766846903836</v>
      </c>
      <c r="N3047" s="205">
        <v>1000</v>
      </c>
      <c r="O3047" s="205">
        <v>21</v>
      </c>
      <c r="P3047" s="205">
        <v>100</v>
      </c>
      <c r="Q3047" s="206" t="s">
        <v>482</v>
      </c>
      <c r="R3047" s="206" t="s">
        <v>475</v>
      </c>
      <c r="S3047" s="207">
        <f>P3047*7</f>
        <v>700</v>
      </c>
      <c r="T3047" s="114"/>
    </row>
    <row r="3048" spans="1:20" x14ac:dyDescent="0.2">
      <c r="A3048" s="202">
        <v>1000170931</v>
      </c>
      <c r="B3048" s="202">
        <v>100017</v>
      </c>
      <c r="C3048" s="202">
        <v>9</v>
      </c>
      <c r="D3048" s="202" t="s">
        <v>63</v>
      </c>
      <c r="E3048" s="202">
        <v>1</v>
      </c>
      <c r="F3048" s="203">
        <f t="shared" si="1602"/>
        <v>250</v>
      </c>
      <c r="G3048" s="203">
        <f t="shared" si="1602"/>
        <v>250</v>
      </c>
      <c r="H3048" s="203">
        <f t="shared" si="1597"/>
        <v>1750</v>
      </c>
      <c r="I3048" s="203">
        <f t="shared" si="1597"/>
        <v>1750</v>
      </c>
      <c r="J3048" s="203">
        <f t="shared" si="1603"/>
        <v>105000</v>
      </c>
      <c r="K3048" s="133">
        <v>1000</v>
      </c>
      <c r="L3048" s="203"/>
      <c r="M3048" s="204">
        <f t="shared" si="1604"/>
        <v>542.21766846903836</v>
      </c>
      <c r="N3048" s="205">
        <v>1000</v>
      </c>
      <c r="O3048" s="205">
        <v>21</v>
      </c>
      <c r="P3048" s="205">
        <v>100</v>
      </c>
      <c r="Q3048" s="206" t="s">
        <v>482</v>
      </c>
      <c r="R3048" s="206" t="s">
        <v>476</v>
      </c>
      <c r="S3048" s="207">
        <f>P3048*7</f>
        <v>700</v>
      </c>
      <c r="T3048" s="114"/>
    </row>
    <row r="3049" spans="1:20" x14ac:dyDescent="0.2">
      <c r="A3049" s="18" t="str">
        <f t="shared" si="1601"/>
        <v>1000170949</v>
      </c>
      <c r="B3049" s="18">
        <v>100017</v>
      </c>
      <c r="C3049" s="18">
        <v>9</v>
      </c>
      <c r="D3049" s="18" t="s">
        <v>237</v>
      </c>
      <c r="E3049" s="18">
        <v>9</v>
      </c>
      <c r="F3049" s="19">
        <f t="shared" ref="F3049:G3051" si="1605">ROUNDDOWN($P3049/4*MIN($O3049,4)*10*$N3049/$N3049*$Q3049/400,0)</f>
        <v>61250</v>
      </c>
      <c r="G3049" s="19">
        <f t="shared" si="1605"/>
        <v>61250</v>
      </c>
      <c r="H3049" s="19">
        <f t="shared" si="1597"/>
        <v>5775</v>
      </c>
      <c r="I3049" s="19">
        <f t="shared" si="1597"/>
        <v>5775</v>
      </c>
      <c r="J3049" s="19">
        <f t="shared" ref="J3049:J3051" si="1606">ROUNDDOWN($P3049/4*$O3049*10*$N3049/$Q3049*$N3049/400*0.8,0)</f>
        <v>1000000</v>
      </c>
      <c r="K3049" s="133">
        <v>1000</v>
      </c>
      <c r="L3049" s="19"/>
      <c r="M3049" s="118">
        <f t="shared" si="1586"/>
        <v>47579.407310306007</v>
      </c>
      <c r="N3049" s="58">
        <v>1000</v>
      </c>
      <c r="O3049" s="58">
        <v>10</v>
      </c>
      <c r="P3049" s="58">
        <v>7000</v>
      </c>
      <c r="Q3049" s="41" t="s">
        <v>390</v>
      </c>
      <c r="R3049" s="41" t="s">
        <v>422</v>
      </c>
      <c r="S3049" s="94">
        <f>P3049*0.33</f>
        <v>2310</v>
      </c>
      <c r="T3049" s="114"/>
    </row>
    <row r="3050" spans="1:20" x14ac:dyDescent="0.2">
      <c r="A3050" s="18" t="str">
        <f t="shared" ref="A3050" si="1607">IF(B3050="","",CONCATENATE(B3050,CONCATENATE(REPT(0,2-LEN(C3050)),C3050),IF(OR(D3050="Easy",D3050=""),1,IF(D3050="Normal",2,IF(D3050="Hard",3,IF(D3050="Hell",4,"error")))),E3050))</f>
        <v>1000170940</v>
      </c>
      <c r="B3050" s="18">
        <v>100017</v>
      </c>
      <c r="C3050" s="18">
        <v>9</v>
      </c>
      <c r="D3050" s="18" t="s">
        <v>237</v>
      </c>
      <c r="E3050" s="18">
        <v>0</v>
      </c>
      <c r="F3050" s="19">
        <f t="shared" si="1605"/>
        <v>375</v>
      </c>
      <c r="G3050" s="19">
        <f t="shared" si="1605"/>
        <v>375</v>
      </c>
      <c r="H3050" s="19">
        <f t="shared" si="1597"/>
        <v>2625</v>
      </c>
      <c r="I3050" s="19">
        <f t="shared" si="1597"/>
        <v>2625</v>
      </c>
      <c r="J3050" s="19">
        <f t="shared" si="1606"/>
        <v>157500</v>
      </c>
      <c r="K3050" s="133">
        <v>1000</v>
      </c>
      <c r="L3050" s="19"/>
      <c r="M3050" s="118">
        <f t="shared" si="1586"/>
        <v>996.11746295303954</v>
      </c>
      <c r="N3050" s="58">
        <v>1000</v>
      </c>
      <c r="O3050" s="58">
        <v>21</v>
      </c>
      <c r="P3050" s="58">
        <v>150</v>
      </c>
      <c r="Q3050" s="41" t="s">
        <v>482</v>
      </c>
      <c r="R3050" s="41" t="s">
        <v>475</v>
      </c>
      <c r="S3050" s="94">
        <f>P3050*7</f>
        <v>1050</v>
      </c>
    </row>
    <row r="3051" spans="1:20" x14ac:dyDescent="0.2">
      <c r="A3051" s="18" t="str">
        <f t="shared" ref="A3051:A3053" si="1608">IF(B3051="","",CONCATENATE(B3051,CONCATENATE(REPT(0,2-LEN(C3051)),C3051),IF(OR(D3051="Easy",D3051=""),1,IF(D3051="Normal",2,IF(D3051="Hard",3,IF(D3051="Hell",4,"error")))),E3051))</f>
        <v>1000170941</v>
      </c>
      <c r="B3051" s="18">
        <v>100017</v>
      </c>
      <c r="C3051" s="18">
        <v>9</v>
      </c>
      <c r="D3051" s="18" t="s">
        <v>237</v>
      </c>
      <c r="E3051" s="18">
        <v>1</v>
      </c>
      <c r="F3051" s="19">
        <f t="shared" si="1605"/>
        <v>375</v>
      </c>
      <c r="G3051" s="19">
        <f t="shared" si="1605"/>
        <v>375</v>
      </c>
      <c r="H3051" s="19">
        <f t="shared" si="1597"/>
        <v>2625</v>
      </c>
      <c r="I3051" s="19">
        <f t="shared" si="1597"/>
        <v>2625</v>
      </c>
      <c r="J3051" s="19">
        <f t="shared" si="1606"/>
        <v>157500</v>
      </c>
      <c r="K3051" s="133">
        <v>1000</v>
      </c>
      <c r="L3051" s="19"/>
      <c r="M3051" s="118">
        <f t="shared" si="1586"/>
        <v>996.11746295303954</v>
      </c>
      <c r="N3051" s="58">
        <v>1000</v>
      </c>
      <c r="O3051" s="58">
        <v>21</v>
      </c>
      <c r="P3051" s="58">
        <v>150</v>
      </c>
      <c r="Q3051" s="41" t="s">
        <v>482</v>
      </c>
      <c r="R3051" s="41" t="s">
        <v>476</v>
      </c>
      <c r="S3051" s="94">
        <f>P3051*7</f>
        <v>1050</v>
      </c>
    </row>
    <row r="3052" spans="1:20" x14ac:dyDescent="0.2">
      <c r="A3052" s="8" t="str">
        <f t="shared" si="1608"/>
        <v>1000170910</v>
      </c>
      <c r="B3052" s="8">
        <v>100017</v>
      </c>
      <c r="C3052" s="8">
        <v>9</v>
      </c>
      <c r="D3052" s="8" t="s">
        <v>62</v>
      </c>
      <c r="E3052" s="8">
        <v>0</v>
      </c>
      <c r="F3052" s="34">
        <f t="shared" ref="F3052:G3055" si="1609">ROUNDDOWN($P3052/4*$O3052*10*$N3052/$N3052*$Q3052/400,0)</f>
        <v>70000</v>
      </c>
      <c r="G3052" s="34">
        <f t="shared" si="1609"/>
        <v>70000</v>
      </c>
      <c r="H3052" s="34">
        <f t="shared" si="1597"/>
        <v>5000</v>
      </c>
      <c r="I3052" s="34">
        <f t="shared" si="1597"/>
        <v>5000</v>
      </c>
      <c r="J3052" s="34">
        <f>ROUNDDOWN($P3052/4*$O3052*10*$N3052/$Q3052*$N3052/400,0)</f>
        <v>723214</v>
      </c>
      <c r="K3052" s="133">
        <v>1000</v>
      </c>
      <c r="L3052" s="34"/>
      <c r="M3052" s="16">
        <f t="shared" si="1586"/>
        <v>40249.215644531512</v>
      </c>
      <c r="N3052" s="36">
        <v>900</v>
      </c>
      <c r="O3052" s="36">
        <v>0.5</v>
      </c>
      <c r="P3052" s="90" t="s">
        <v>481</v>
      </c>
      <c r="Q3052" s="90" t="s">
        <v>480</v>
      </c>
      <c r="R3052" s="2" t="s">
        <v>477</v>
      </c>
      <c r="S3052" s="36">
        <v>2000</v>
      </c>
    </row>
    <row r="3053" spans="1:20" x14ac:dyDescent="0.2">
      <c r="A3053" s="8" t="str">
        <f t="shared" si="1608"/>
        <v>1000170930</v>
      </c>
      <c r="B3053" s="8">
        <v>100017</v>
      </c>
      <c r="C3053" s="8">
        <v>9</v>
      </c>
      <c r="D3053" s="8" t="s">
        <v>64</v>
      </c>
      <c r="E3053" s="8">
        <v>0</v>
      </c>
      <c r="F3053" s="34">
        <f t="shared" si="1609"/>
        <v>50781</v>
      </c>
      <c r="G3053" s="34">
        <f t="shared" si="1609"/>
        <v>50781</v>
      </c>
      <c r="H3053" s="34">
        <f t="shared" si="1597"/>
        <v>3290</v>
      </c>
      <c r="I3053" s="34">
        <f t="shared" si="1597"/>
        <v>3290</v>
      </c>
      <c r="J3053" s="34">
        <f>ROUNDDOWN($P3053/4*$O3053*10*$N3053/$Q3053*$N3053/400,0)</f>
        <v>658125</v>
      </c>
      <c r="K3053" s="133">
        <v>1000</v>
      </c>
      <c r="L3053" s="34"/>
      <c r="M3053" s="16">
        <f t="shared" si="1586"/>
        <v>26527.282029638849</v>
      </c>
      <c r="N3053" s="36">
        <v>900</v>
      </c>
      <c r="O3053" s="36">
        <v>0.5</v>
      </c>
      <c r="P3053" s="90" t="s">
        <v>479</v>
      </c>
      <c r="Q3053" s="90" t="s">
        <v>281</v>
      </c>
      <c r="R3053" s="2" t="s">
        <v>478</v>
      </c>
      <c r="S3053" s="36" t="s">
        <v>127</v>
      </c>
    </row>
    <row r="3054" spans="1:20" x14ac:dyDescent="0.2">
      <c r="A3054" s="8" t="str">
        <f t="shared" ref="A3054:A3057" si="1610">IF(B3054="","",CONCATENATE(B3054,CONCATENATE(REPT(0,2-LEN(C3054)),C3054),IF(OR(D3054="Easy",D3054=""),1,IF(D3054="Normal",2,IF(D3054="Hard",3,IF(D3054="Hell",4,"error")))),E3054))</f>
        <v>1000170110</v>
      </c>
      <c r="B3054" s="8">
        <v>100017</v>
      </c>
      <c r="C3054" s="8">
        <v>1</v>
      </c>
      <c r="D3054" s="8" t="s">
        <v>62</v>
      </c>
      <c r="E3054" s="8">
        <v>0</v>
      </c>
      <c r="F3054" s="34">
        <f t="shared" si="1609"/>
        <v>45937</v>
      </c>
      <c r="G3054" s="34">
        <f t="shared" si="1609"/>
        <v>45937</v>
      </c>
      <c r="H3054" s="34">
        <f t="shared" si="1597"/>
        <v>3290</v>
      </c>
      <c r="I3054" s="34">
        <f t="shared" si="1597"/>
        <v>3290</v>
      </c>
      <c r="J3054" s="34">
        <f>ROUNDDOWN($P3054/4*$O3054*10*$N3054/$Q3054*$N3054/400,0)</f>
        <v>843750</v>
      </c>
      <c r="K3054" s="133">
        <v>1000</v>
      </c>
      <c r="L3054" s="34"/>
      <c r="M3054" s="16">
        <f t="shared" si="1586"/>
        <v>28567.757034811119</v>
      </c>
      <c r="N3054" s="36">
        <v>900</v>
      </c>
      <c r="O3054" s="36">
        <v>0.5</v>
      </c>
      <c r="P3054" s="90" t="s">
        <v>345</v>
      </c>
      <c r="Q3054" s="90" t="s">
        <v>484</v>
      </c>
      <c r="R3054" s="2" t="s">
        <v>483</v>
      </c>
      <c r="S3054" s="36" t="s">
        <v>127</v>
      </c>
      <c r="T3054" s="266"/>
    </row>
    <row r="3055" spans="1:20" x14ac:dyDescent="0.2">
      <c r="A3055" s="8" t="str">
        <f t="shared" si="1610"/>
        <v>1000170140</v>
      </c>
      <c r="B3055" s="8">
        <v>100017</v>
      </c>
      <c r="C3055" s="8">
        <v>1</v>
      </c>
      <c r="D3055" s="8" t="s">
        <v>237</v>
      </c>
      <c r="E3055" s="8">
        <v>0</v>
      </c>
      <c r="F3055" s="34">
        <f t="shared" si="1609"/>
        <v>12500</v>
      </c>
      <c r="G3055" s="34">
        <f t="shared" si="1609"/>
        <v>12500</v>
      </c>
      <c r="H3055" s="34">
        <f t="shared" si="1597"/>
        <v>3290</v>
      </c>
      <c r="I3055" s="34">
        <f t="shared" si="1597"/>
        <v>3290</v>
      </c>
      <c r="J3055" s="34">
        <f>ROUNDDOWN($P3055/4*$O3055*10*$N3055/$Q3055*$N3055/400,0)</f>
        <v>40500</v>
      </c>
      <c r="K3055" s="133">
        <v>1000</v>
      </c>
      <c r="L3055" s="34"/>
      <c r="M3055" s="16">
        <f t="shared" si="1586"/>
        <v>3264.9042864990702</v>
      </c>
      <c r="N3055" s="36">
        <v>900</v>
      </c>
      <c r="O3055" s="36">
        <v>0.5</v>
      </c>
      <c r="P3055" s="90" t="s">
        <v>88</v>
      </c>
      <c r="Q3055" s="90" t="s">
        <v>486</v>
      </c>
      <c r="R3055" s="2" t="s">
        <v>485</v>
      </c>
      <c r="S3055" s="36" t="s">
        <v>127</v>
      </c>
    </row>
    <row r="3056" spans="1:20" ht="38.25" x14ac:dyDescent="0.2">
      <c r="A3056" s="8" t="str">
        <f t="shared" si="1610"/>
        <v/>
      </c>
      <c r="B3056" s="5"/>
      <c r="C3056" s="6" t="s">
        <v>521</v>
      </c>
      <c r="D3056" s="5"/>
      <c r="E3056" s="5"/>
      <c r="F3056" s="5"/>
      <c r="G3056" s="5"/>
      <c r="H3056" s="5"/>
      <c r="I3056" s="5"/>
      <c r="J3056" s="5"/>
      <c r="K3056" s="133"/>
      <c r="L3056" s="5"/>
      <c r="M3056" s="16">
        <f t="shared" si="1586"/>
        <v>0</v>
      </c>
      <c r="N3056" s="5"/>
      <c r="O3056" s="5"/>
      <c r="P3056" s="5"/>
      <c r="Q3056" s="5"/>
      <c r="R3056" s="5"/>
      <c r="S3056" s="30"/>
    </row>
    <row r="3057" spans="1:20" x14ac:dyDescent="0.2">
      <c r="A3057" s="8" t="str">
        <f t="shared" si="1610"/>
        <v>1000160110</v>
      </c>
      <c r="B3057" s="8">
        <v>100016</v>
      </c>
      <c r="C3057" s="8">
        <v>1</v>
      </c>
      <c r="D3057" s="8" t="s">
        <v>62</v>
      </c>
      <c r="E3057" s="8">
        <v>0</v>
      </c>
      <c r="F3057" s="34">
        <f t="shared" ref="F3057:G3061" si="1611">ROUNDDOWN($P3057/4*$O3057*10*$N3057/$N3057*$Q3057/400,0)</f>
        <v>110000</v>
      </c>
      <c r="G3057" s="34">
        <f t="shared" si="1611"/>
        <v>110000</v>
      </c>
      <c r="H3057" s="34">
        <f t="shared" ref="H3057:I3083" si="1612">ROUNDDOWN($S3057/4*10,0)</f>
        <v>3290</v>
      </c>
      <c r="I3057" s="34">
        <f t="shared" si="1612"/>
        <v>3290</v>
      </c>
      <c r="J3057" s="34">
        <f>ROUNDDOWN($P3057/4*$O3057*10*$N3057/$Q3057*$N3057/400,0)</f>
        <v>18409</v>
      </c>
      <c r="K3057" s="133">
        <v>1000</v>
      </c>
      <c r="L3057" s="34"/>
      <c r="M3057" s="16">
        <f t="shared" si="1586"/>
        <v>6529.7924499941037</v>
      </c>
      <c r="N3057" s="36">
        <v>900</v>
      </c>
      <c r="O3057" s="36">
        <v>0.5</v>
      </c>
      <c r="P3057" s="90" t="s">
        <v>524</v>
      </c>
      <c r="Q3057" s="90" t="s">
        <v>525</v>
      </c>
      <c r="R3057" s="2" t="s">
        <v>526</v>
      </c>
      <c r="S3057" s="36" t="s">
        <v>127</v>
      </c>
    </row>
    <row r="3058" spans="1:20" x14ac:dyDescent="0.2">
      <c r="A3058" s="8" t="str">
        <f t="shared" ref="A3058:A3059" si="1613">IF(B3058="","",CONCATENATE(B3058,CONCATENATE(REPT(0,2-LEN(C3058)),C3058),IF(OR(D3058="Easy",D3058=""),1,IF(D3058="Normal",2,IF(D3058="Hard",3,IF(D3058="Hell",4,"error")))),E3058))</f>
        <v>1000160120</v>
      </c>
      <c r="B3058" s="8">
        <v>100016</v>
      </c>
      <c r="C3058" s="8">
        <v>1</v>
      </c>
      <c r="D3058" s="8" t="s">
        <v>63</v>
      </c>
      <c r="E3058" s="8">
        <v>0</v>
      </c>
      <c r="F3058" s="34">
        <f t="shared" si="1611"/>
        <v>118125</v>
      </c>
      <c r="G3058" s="34">
        <f t="shared" si="1611"/>
        <v>118125</v>
      </c>
      <c r="H3058" s="34">
        <f t="shared" si="1612"/>
        <v>3290</v>
      </c>
      <c r="I3058" s="34">
        <f t="shared" si="1612"/>
        <v>3290</v>
      </c>
      <c r="J3058" s="34">
        <f>ROUNDDOWN($P3058/4*$O3058*10*$N3058/$Q3058*$N3058/400,0)</f>
        <v>21696</v>
      </c>
      <c r="K3058" s="133">
        <v>1000</v>
      </c>
      <c r="L3058" s="34"/>
      <c r="M3058" s="16">
        <f t="shared" si="1586"/>
        <v>7345.9620908360266</v>
      </c>
      <c r="N3058" s="36">
        <v>900</v>
      </c>
      <c r="O3058" s="36">
        <v>0.5</v>
      </c>
      <c r="P3058" s="90" t="s">
        <v>522</v>
      </c>
      <c r="Q3058" s="90" t="s">
        <v>523</v>
      </c>
      <c r="R3058" s="2" t="s">
        <v>527</v>
      </c>
      <c r="S3058" s="36" t="s">
        <v>127</v>
      </c>
    </row>
    <row r="3059" spans="1:20" x14ac:dyDescent="0.2">
      <c r="A3059" s="8" t="str">
        <f t="shared" si="1613"/>
        <v>1000160130</v>
      </c>
      <c r="B3059" s="8">
        <v>100016</v>
      </c>
      <c r="C3059" s="8">
        <v>1</v>
      </c>
      <c r="D3059" s="8" t="s">
        <v>64</v>
      </c>
      <c r="E3059" s="8">
        <v>0</v>
      </c>
      <c r="F3059" s="34">
        <f t="shared" si="1611"/>
        <v>50875</v>
      </c>
      <c r="G3059" s="34">
        <f t="shared" si="1611"/>
        <v>50875</v>
      </c>
      <c r="H3059" s="34">
        <f t="shared" si="1612"/>
        <v>3290</v>
      </c>
      <c r="I3059" s="34">
        <f t="shared" si="1612"/>
        <v>3290</v>
      </c>
      <c r="J3059" s="34">
        <f>ROUNDDOWN($P3059/4*$O3059*10*$N3059/$Q3059*$N3059/400,0)</f>
        <v>75253</v>
      </c>
      <c r="K3059" s="133">
        <v>1000</v>
      </c>
      <c r="L3059" s="34"/>
      <c r="M3059" s="16">
        <f t="shared" si="1586"/>
        <v>8978.4642156662867</v>
      </c>
      <c r="N3059" s="36">
        <v>900</v>
      </c>
      <c r="O3059" s="36">
        <v>0.5</v>
      </c>
      <c r="P3059" s="90" t="s">
        <v>418</v>
      </c>
      <c r="Q3059" s="90" t="s">
        <v>395</v>
      </c>
      <c r="R3059" s="2" t="s">
        <v>528</v>
      </c>
      <c r="S3059" s="36" t="s">
        <v>127</v>
      </c>
    </row>
    <row r="3060" spans="1:20" x14ac:dyDescent="0.2">
      <c r="A3060" s="8" t="str">
        <f t="shared" ref="A3060:A3064" si="1614">IF(B3060="","",CONCATENATE(B3060,CONCATENATE(REPT(0,2-LEN(C3060)),C3060),IF(OR(D3060="Easy",D3060=""),1,IF(D3060="Normal",2,IF(D3060="Hard",3,IF(D3060="Hell",4,"error")))),E3060))</f>
        <v>1000160140</v>
      </c>
      <c r="B3060" s="8">
        <v>100016</v>
      </c>
      <c r="C3060" s="8">
        <v>1</v>
      </c>
      <c r="D3060" s="8" t="s">
        <v>237</v>
      </c>
      <c r="E3060" s="8">
        <v>0</v>
      </c>
      <c r="F3060" s="34">
        <f t="shared" si="1611"/>
        <v>6562</v>
      </c>
      <c r="G3060" s="34">
        <f t="shared" si="1611"/>
        <v>6562</v>
      </c>
      <c r="H3060" s="34">
        <f t="shared" si="1612"/>
        <v>3290</v>
      </c>
      <c r="I3060" s="34">
        <f t="shared" si="1612"/>
        <v>3290</v>
      </c>
      <c r="J3060" s="34">
        <f>ROUNDDOWN($P3060/4*$O3060*10*$N3060/$Q3060*$N3060/400,0)</f>
        <v>10848</v>
      </c>
      <c r="K3060" s="133">
        <v>1000</v>
      </c>
      <c r="L3060" s="34"/>
      <c r="M3060" s="16">
        <f t="shared" si="1586"/>
        <v>1224.2803732217551</v>
      </c>
      <c r="N3060" s="36">
        <v>900</v>
      </c>
      <c r="O3060" s="36">
        <v>0.5</v>
      </c>
      <c r="P3060" s="90" t="s">
        <v>529</v>
      </c>
      <c r="Q3060" s="90" t="s">
        <v>166</v>
      </c>
      <c r="R3060" s="2" t="s">
        <v>528</v>
      </c>
      <c r="S3060" s="36" t="s">
        <v>127</v>
      </c>
      <c r="T3060" s="114"/>
    </row>
    <row r="3061" spans="1:20" x14ac:dyDescent="0.2">
      <c r="A3061" s="8" t="str">
        <f t="shared" si="1614"/>
        <v>1000160220</v>
      </c>
      <c r="B3061" s="8">
        <v>100016</v>
      </c>
      <c r="C3061" s="8">
        <v>2</v>
      </c>
      <c r="D3061" s="8" t="s">
        <v>63</v>
      </c>
      <c r="E3061" s="8">
        <v>0</v>
      </c>
      <c r="F3061" s="34">
        <f t="shared" si="1611"/>
        <v>137500</v>
      </c>
      <c r="G3061" s="34">
        <f t="shared" si="1611"/>
        <v>137500</v>
      </c>
      <c r="H3061" s="34">
        <f t="shared" si="1612"/>
        <v>3290</v>
      </c>
      <c r="I3061" s="34">
        <f t="shared" si="1612"/>
        <v>3290</v>
      </c>
      <c r="J3061" s="34">
        <f>ROUNDDOWN($P3061/4*$O3061*10*$N3061/$Q3061*$N3061/400,0)</f>
        <v>27843</v>
      </c>
      <c r="K3061" s="133">
        <v>1000</v>
      </c>
      <c r="L3061" s="34"/>
      <c r="M3061" s="16">
        <f t="shared" si="1586"/>
        <v>8978.3658646771582</v>
      </c>
      <c r="N3061" s="36">
        <v>900</v>
      </c>
      <c r="O3061" s="36">
        <v>0.5</v>
      </c>
      <c r="P3061" s="90" t="s">
        <v>418</v>
      </c>
      <c r="Q3061" s="90" t="s">
        <v>202</v>
      </c>
      <c r="R3061" s="2" t="s">
        <v>530</v>
      </c>
      <c r="S3061" s="36" t="s">
        <v>127</v>
      </c>
      <c r="T3061" s="114"/>
    </row>
    <row r="3062" spans="1:20" x14ac:dyDescent="0.2">
      <c r="A3062" s="18">
        <v>1000160919</v>
      </c>
      <c r="B3062" s="18">
        <v>100016</v>
      </c>
      <c r="C3062" s="18">
        <v>9</v>
      </c>
      <c r="D3062" s="18" t="s">
        <v>63</v>
      </c>
      <c r="E3062" s="18">
        <v>9</v>
      </c>
      <c r="F3062" s="19">
        <f t="shared" ref="F3062:G3065" si="1615">ROUNDDOWN($P3062/4*MIN($O3062,4)*10*$N3062/$N3062*$Q3062/400,0)</f>
        <v>30550</v>
      </c>
      <c r="G3062" s="19">
        <f t="shared" si="1615"/>
        <v>30550</v>
      </c>
      <c r="H3062" s="19">
        <f t="shared" si="1612"/>
        <v>1625</v>
      </c>
      <c r="I3062" s="19">
        <f t="shared" si="1612"/>
        <v>1625</v>
      </c>
      <c r="J3062" s="19">
        <f t="shared" ref="J3062:J3065" si="1616">ROUNDDOWN($P3062/4*$O3062*10*$N3062/$Q3062*$N3062/400*0.8,0)</f>
        <v>276595</v>
      </c>
      <c r="K3062" s="133">
        <v>1000</v>
      </c>
      <c r="L3062" s="19"/>
      <c r="M3062" s="118">
        <f t="shared" si="1586"/>
        <v>9374.4206967684131</v>
      </c>
      <c r="N3062" s="58">
        <v>1000</v>
      </c>
      <c r="O3062" s="58">
        <v>10</v>
      </c>
      <c r="P3062" s="58">
        <v>2600</v>
      </c>
      <c r="Q3062" s="41" t="s">
        <v>535</v>
      </c>
      <c r="R3062" s="41" t="s">
        <v>946</v>
      </c>
      <c r="S3062" s="94">
        <f>P3062*0.25</f>
        <v>650</v>
      </c>
      <c r="T3062" s="114"/>
    </row>
    <row r="3063" spans="1:20" x14ac:dyDescent="0.2">
      <c r="A3063" s="18">
        <v>1000160929</v>
      </c>
      <c r="B3063" s="18">
        <v>100016</v>
      </c>
      <c r="C3063" s="18">
        <v>9</v>
      </c>
      <c r="D3063" s="18" t="s">
        <v>63</v>
      </c>
      <c r="E3063" s="18">
        <v>9</v>
      </c>
      <c r="F3063" s="19">
        <f t="shared" si="1615"/>
        <v>28350</v>
      </c>
      <c r="G3063" s="19">
        <f t="shared" si="1615"/>
        <v>28350</v>
      </c>
      <c r="H3063" s="19">
        <f t="shared" si="1612"/>
        <v>52500</v>
      </c>
      <c r="I3063" s="19">
        <f t="shared" si="1612"/>
        <v>52500</v>
      </c>
      <c r="J3063" s="19">
        <f t="shared" si="1616"/>
        <v>777777</v>
      </c>
      <c r="K3063" s="133">
        <v>1000</v>
      </c>
      <c r="L3063" s="19"/>
      <c r="M3063" s="118">
        <f t="shared" si="1586"/>
        <v>86074.343396856668</v>
      </c>
      <c r="N3063" s="58">
        <v>1000</v>
      </c>
      <c r="O3063" s="58">
        <v>10</v>
      </c>
      <c r="P3063" s="58">
        <v>4200</v>
      </c>
      <c r="Q3063" s="41" t="s">
        <v>532</v>
      </c>
      <c r="R3063" s="41" t="s">
        <v>531</v>
      </c>
      <c r="S3063" s="94">
        <f>P3063*5</f>
        <v>21000</v>
      </c>
      <c r="T3063" s="114"/>
    </row>
    <row r="3064" spans="1:20" x14ac:dyDescent="0.2">
      <c r="A3064" s="14" t="str">
        <f t="shared" si="1614"/>
        <v>1000160949</v>
      </c>
      <c r="B3064" s="14">
        <v>100016</v>
      </c>
      <c r="C3064" s="14">
        <v>9</v>
      </c>
      <c r="D3064" s="14" t="s">
        <v>237</v>
      </c>
      <c r="E3064" s="14">
        <v>9</v>
      </c>
      <c r="F3064" s="15">
        <f t="shared" si="1615"/>
        <v>44650</v>
      </c>
      <c r="G3064" s="15">
        <f t="shared" si="1615"/>
        <v>44650</v>
      </c>
      <c r="H3064" s="15">
        <f t="shared" si="1612"/>
        <v>2375</v>
      </c>
      <c r="I3064" s="15">
        <f t="shared" si="1612"/>
        <v>2375</v>
      </c>
      <c r="J3064" s="15">
        <f t="shared" si="1616"/>
        <v>404255</v>
      </c>
      <c r="K3064" s="133">
        <v>1000</v>
      </c>
      <c r="L3064" s="15"/>
      <c r="M3064" s="16">
        <f t="shared" si="1586"/>
        <v>16563.809447104853</v>
      </c>
      <c r="N3064" s="63">
        <v>1000</v>
      </c>
      <c r="O3064" s="63">
        <v>10</v>
      </c>
      <c r="P3064" s="63">
        <v>3800</v>
      </c>
      <c r="Q3064" s="64" t="s">
        <v>535</v>
      </c>
      <c r="R3064" s="64" t="s">
        <v>946</v>
      </c>
      <c r="S3064" s="101">
        <f>P3064*0.25</f>
        <v>950</v>
      </c>
    </row>
    <row r="3065" spans="1:20" x14ac:dyDescent="0.2">
      <c r="A3065" s="14" t="str">
        <f t="shared" ref="A3065:A3066" si="1617">IF(B3065="","",CONCATENATE(B3065,CONCATENATE(REPT(0,2-LEN(C3065)),C3065),IF(OR(D3065="Easy",D3065=""),1,IF(D3065="Normal",2,IF(D3065="Hard",3,IF(D3065="Hell",4,"error")))),E3065))</f>
        <v>1000160939</v>
      </c>
      <c r="B3065" s="14">
        <v>100016</v>
      </c>
      <c r="C3065" s="14">
        <v>9</v>
      </c>
      <c r="D3065" s="14" t="s">
        <v>64</v>
      </c>
      <c r="E3065" s="14">
        <v>9</v>
      </c>
      <c r="F3065" s="15">
        <f t="shared" si="1615"/>
        <v>40500</v>
      </c>
      <c r="G3065" s="15">
        <f t="shared" si="1615"/>
        <v>40500</v>
      </c>
      <c r="H3065" s="15">
        <f t="shared" si="1612"/>
        <v>75000</v>
      </c>
      <c r="I3065" s="15">
        <f t="shared" si="1612"/>
        <v>75000</v>
      </c>
      <c r="J3065" s="15">
        <f t="shared" si="1616"/>
        <v>1111111</v>
      </c>
      <c r="K3065" s="133">
        <v>1000</v>
      </c>
      <c r="L3065" s="15"/>
      <c r="M3065" s="16">
        <f t="shared" si="1586"/>
        <v>146969.37721852129</v>
      </c>
      <c r="N3065" s="63">
        <v>1000</v>
      </c>
      <c r="O3065" s="63">
        <v>10</v>
      </c>
      <c r="P3065" s="63">
        <v>6000</v>
      </c>
      <c r="Q3065" s="64" t="s">
        <v>532</v>
      </c>
      <c r="R3065" s="64" t="s">
        <v>531</v>
      </c>
      <c r="S3065" s="101">
        <f>P3065*5</f>
        <v>30000</v>
      </c>
      <c r="T3065" s="266"/>
    </row>
    <row r="3066" spans="1:20" x14ac:dyDescent="0.2">
      <c r="A3066" s="8" t="str">
        <f t="shared" si="1617"/>
        <v>1000160910</v>
      </c>
      <c r="B3066" s="8">
        <v>100016</v>
      </c>
      <c r="C3066" s="8">
        <v>9</v>
      </c>
      <c r="D3066" s="8" t="s">
        <v>62</v>
      </c>
      <c r="E3066" s="8">
        <v>0</v>
      </c>
      <c r="F3066" s="34">
        <f t="shared" ref="F3066:G3066" si="1618">ROUNDDOWN($P3066/4*$O3066*10*$N3066/$N3066*$Q3066/400,0)</f>
        <v>130625</v>
      </c>
      <c r="G3066" s="34">
        <f t="shared" si="1618"/>
        <v>130625</v>
      </c>
      <c r="H3066" s="34">
        <f t="shared" si="1612"/>
        <v>3290</v>
      </c>
      <c r="I3066" s="34">
        <f t="shared" si="1612"/>
        <v>3290</v>
      </c>
      <c r="J3066" s="34">
        <f>ROUNDDOWN($P3066/4*$O3066*10*$N3066/$Q3066*$N3066/400,0)</f>
        <v>21860</v>
      </c>
      <c r="K3066" s="133">
        <v>1000</v>
      </c>
      <c r="L3066" s="34"/>
      <c r="M3066" s="16">
        <f t="shared" si="1586"/>
        <v>7754.0066030407797</v>
      </c>
      <c r="N3066" s="36">
        <v>900</v>
      </c>
      <c r="O3066" s="36">
        <v>0.5</v>
      </c>
      <c r="P3066" s="90" t="s">
        <v>534</v>
      </c>
      <c r="Q3066" s="90" t="s">
        <v>525</v>
      </c>
      <c r="R3066" s="2" t="s">
        <v>533</v>
      </c>
      <c r="S3066" s="36" t="s">
        <v>127</v>
      </c>
    </row>
    <row r="3067" spans="1:20" ht="38.25" x14ac:dyDescent="0.2">
      <c r="A3067" s="8"/>
      <c r="B3067" s="5"/>
      <c r="C3067" s="6" t="s">
        <v>576</v>
      </c>
      <c r="D3067" s="5"/>
      <c r="E3067" s="5"/>
      <c r="F3067" s="5"/>
      <c r="G3067" s="5"/>
      <c r="H3067" s="5"/>
      <c r="I3067" s="5"/>
      <c r="J3067" s="5"/>
      <c r="K3067" s="133"/>
      <c r="L3067" s="5"/>
      <c r="M3067" s="16">
        <f t="shared" si="1586"/>
        <v>0</v>
      </c>
      <c r="N3067" s="5"/>
      <c r="O3067" s="5"/>
      <c r="P3067" s="5"/>
      <c r="Q3067" s="5"/>
      <c r="R3067" s="5"/>
      <c r="S3067" s="30"/>
    </row>
    <row r="3068" spans="1:20" x14ac:dyDescent="0.2">
      <c r="A3068" s="8">
        <v>1000520110</v>
      </c>
      <c r="B3068" s="8">
        <v>100052</v>
      </c>
      <c r="C3068" s="8">
        <v>1</v>
      </c>
      <c r="D3068" s="8" t="s">
        <v>259</v>
      </c>
      <c r="E3068" s="8">
        <v>0</v>
      </c>
      <c r="F3068" s="34">
        <f t="shared" ref="F3068:G3113" si="1619">ROUNDDOWN($P3068/4*$O3068*10*$N3068/$N3068*$Q3068/400,0)</f>
        <v>110000</v>
      </c>
      <c r="G3068" s="34">
        <f t="shared" si="1619"/>
        <v>110000</v>
      </c>
      <c r="H3068" s="34">
        <f t="shared" si="1612"/>
        <v>3290</v>
      </c>
      <c r="I3068" s="34">
        <f t="shared" si="1612"/>
        <v>3290</v>
      </c>
      <c r="J3068" s="34">
        <f t="shared" ref="J3068:J3083" si="1620">ROUNDDOWN($P3068/4*$O3068*10*$N3068/$Q3068*$N3068/400,0)</f>
        <v>18409</v>
      </c>
      <c r="K3068" s="133">
        <v>1000</v>
      </c>
      <c r="L3068" s="34"/>
      <c r="M3068" s="16">
        <f t="shared" si="1586"/>
        <v>6529.7924499941037</v>
      </c>
      <c r="N3068" s="36">
        <v>900</v>
      </c>
      <c r="O3068" s="36">
        <v>0.5</v>
      </c>
      <c r="P3068" s="90" t="s">
        <v>567</v>
      </c>
      <c r="Q3068" s="90" t="s">
        <v>568</v>
      </c>
      <c r="R3068" s="2" t="s">
        <v>569</v>
      </c>
      <c r="S3068" s="36">
        <v>1316</v>
      </c>
    </row>
    <row r="3069" spans="1:20" x14ac:dyDescent="0.2">
      <c r="A3069" s="8">
        <v>1000520120</v>
      </c>
      <c r="B3069" s="8">
        <v>100052</v>
      </c>
      <c r="C3069" s="8">
        <v>1</v>
      </c>
      <c r="D3069" s="8" t="s">
        <v>262</v>
      </c>
      <c r="E3069" s="8">
        <v>0</v>
      </c>
      <c r="F3069" s="34">
        <f t="shared" si="1619"/>
        <v>70000</v>
      </c>
      <c r="G3069" s="34">
        <f t="shared" si="1619"/>
        <v>70000</v>
      </c>
      <c r="H3069" s="34">
        <f t="shared" si="1612"/>
        <v>4000</v>
      </c>
      <c r="I3069" s="34">
        <f t="shared" si="1612"/>
        <v>4000</v>
      </c>
      <c r="J3069" s="34">
        <f t="shared" si="1620"/>
        <v>25803</v>
      </c>
      <c r="K3069" s="133">
        <v>1000</v>
      </c>
      <c r="L3069" s="34"/>
      <c r="M3069" s="16">
        <f t="shared" si="1586"/>
        <v>6799.9247054654961</v>
      </c>
      <c r="N3069" s="36">
        <v>1700</v>
      </c>
      <c r="O3069" s="36">
        <v>0.5</v>
      </c>
      <c r="P3069" s="90" t="s">
        <v>88</v>
      </c>
      <c r="Q3069" s="90" t="s">
        <v>587</v>
      </c>
      <c r="R3069" s="2" t="s">
        <v>570</v>
      </c>
      <c r="S3069" s="36">
        <v>1600</v>
      </c>
    </row>
    <row r="3070" spans="1:20" x14ac:dyDescent="0.2">
      <c r="A3070" s="8">
        <v>1000520130</v>
      </c>
      <c r="B3070" s="8">
        <v>100052</v>
      </c>
      <c r="C3070" s="8">
        <v>1</v>
      </c>
      <c r="D3070" s="8" t="s">
        <v>264</v>
      </c>
      <c r="E3070" s="8">
        <v>0</v>
      </c>
      <c r="F3070" s="34">
        <f t="shared" si="1619"/>
        <v>50875</v>
      </c>
      <c r="G3070" s="34">
        <f t="shared" si="1619"/>
        <v>50875</v>
      </c>
      <c r="H3070" s="34">
        <f t="shared" si="1612"/>
        <v>3290</v>
      </c>
      <c r="I3070" s="34">
        <f t="shared" si="1612"/>
        <v>3290</v>
      </c>
      <c r="J3070" s="34">
        <f t="shared" si="1620"/>
        <v>75253</v>
      </c>
      <c r="K3070" s="133">
        <v>1000</v>
      </c>
      <c r="L3070" s="34"/>
      <c r="M3070" s="16">
        <f t="shared" si="1586"/>
        <v>8978.4642156662867</v>
      </c>
      <c r="N3070" s="36">
        <v>900</v>
      </c>
      <c r="O3070" s="36">
        <v>0.5</v>
      </c>
      <c r="P3070" s="90" t="s">
        <v>571</v>
      </c>
      <c r="Q3070" s="90" t="s">
        <v>572</v>
      </c>
      <c r="R3070" s="2" t="s">
        <v>573</v>
      </c>
      <c r="S3070" s="36">
        <v>1316</v>
      </c>
    </row>
    <row r="3071" spans="1:20" x14ac:dyDescent="0.2">
      <c r="A3071" s="8">
        <v>1000520131</v>
      </c>
      <c r="B3071" s="8">
        <v>100052</v>
      </c>
      <c r="C3071" s="8">
        <v>1</v>
      </c>
      <c r="D3071" s="8" t="s">
        <v>264</v>
      </c>
      <c r="E3071" s="8">
        <v>0</v>
      </c>
      <c r="F3071" s="34">
        <f t="shared" si="1619"/>
        <v>84375</v>
      </c>
      <c r="G3071" s="34">
        <f t="shared" si="1619"/>
        <v>84375</v>
      </c>
      <c r="H3071" s="34">
        <f t="shared" si="1612"/>
        <v>3290</v>
      </c>
      <c r="I3071" s="34">
        <f t="shared" si="1612"/>
        <v>3290</v>
      </c>
      <c r="J3071" s="34">
        <f t="shared" si="1620"/>
        <v>121500</v>
      </c>
      <c r="K3071" s="133">
        <v>1000</v>
      </c>
      <c r="L3071" s="34"/>
      <c r="M3071" s="16">
        <f t="shared" si="1586"/>
        <v>14692.069289245816</v>
      </c>
      <c r="N3071" s="36">
        <v>1800</v>
      </c>
      <c r="O3071" s="36">
        <v>0.5</v>
      </c>
      <c r="P3071" s="90" t="s">
        <v>581</v>
      </c>
      <c r="Q3071" s="90" t="s">
        <v>489</v>
      </c>
      <c r="R3071" s="2" t="s">
        <v>580</v>
      </c>
      <c r="S3071" s="36">
        <v>1316</v>
      </c>
    </row>
    <row r="3072" spans="1:20" x14ac:dyDescent="0.2">
      <c r="A3072" s="8">
        <v>1000520132</v>
      </c>
      <c r="B3072" s="8">
        <v>100052</v>
      </c>
      <c r="C3072" s="8">
        <v>1</v>
      </c>
      <c r="D3072" s="8" t="s">
        <v>264</v>
      </c>
      <c r="E3072" s="8">
        <v>0</v>
      </c>
      <c r="F3072" s="34">
        <f t="shared" si="1619"/>
        <v>534375</v>
      </c>
      <c r="G3072" s="34">
        <f t="shared" si="1619"/>
        <v>534375</v>
      </c>
      <c r="H3072" s="34">
        <f t="shared" si="1612"/>
        <v>3290</v>
      </c>
      <c r="I3072" s="34">
        <f t="shared" si="1612"/>
        <v>3290</v>
      </c>
      <c r="J3072" s="34">
        <f t="shared" si="1620"/>
        <v>164930</v>
      </c>
      <c r="K3072" s="133">
        <v>1000</v>
      </c>
      <c r="L3072" s="34"/>
      <c r="M3072" s="16">
        <f t="shared" si="1586"/>
        <v>43078.525671150819</v>
      </c>
      <c r="N3072" s="36">
        <v>2500</v>
      </c>
      <c r="O3072" s="36">
        <v>0.5</v>
      </c>
      <c r="P3072" s="90" t="s">
        <v>586</v>
      </c>
      <c r="Q3072" s="90" t="s">
        <v>584</v>
      </c>
      <c r="R3072" s="2" t="s">
        <v>582</v>
      </c>
      <c r="S3072" s="36">
        <v>1316</v>
      </c>
    </row>
    <row r="3073" spans="1:20" x14ac:dyDescent="0.2">
      <c r="A3073" s="8">
        <v>1000520133</v>
      </c>
      <c r="B3073" s="8">
        <v>100052</v>
      </c>
      <c r="C3073" s="8">
        <v>1</v>
      </c>
      <c r="D3073" s="8" t="s">
        <v>264</v>
      </c>
      <c r="E3073" s="8">
        <v>0</v>
      </c>
      <c r="F3073" s="34">
        <f t="shared" si="1619"/>
        <v>625000</v>
      </c>
      <c r="G3073" s="34">
        <f t="shared" si="1619"/>
        <v>625000</v>
      </c>
      <c r="H3073" s="34">
        <f t="shared" si="1612"/>
        <v>3290</v>
      </c>
      <c r="I3073" s="34">
        <f t="shared" si="1612"/>
        <v>3290</v>
      </c>
      <c r="J3073" s="34">
        <f t="shared" si="1620"/>
        <v>4900000</v>
      </c>
      <c r="K3073" s="133">
        <v>1000</v>
      </c>
      <c r="L3073" s="34"/>
      <c r="M3073" s="16">
        <f t="shared" si="1586"/>
        <v>253937.00006103879</v>
      </c>
      <c r="N3073" s="36">
        <v>7000</v>
      </c>
      <c r="O3073" s="36">
        <v>0.5</v>
      </c>
      <c r="P3073" s="90" t="s">
        <v>481</v>
      </c>
      <c r="Q3073" s="90" t="s">
        <v>585</v>
      </c>
      <c r="R3073" s="2" t="s">
        <v>583</v>
      </c>
      <c r="S3073" s="36">
        <v>1316</v>
      </c>
    </row>
    <row r="3074" spans="1:20" x14ac:dyDescent="0.2">
      <c r="A3074" s="8">
        <v>1000520134</v>
      </c>
      <c r="B3074" s="8">
        <v>100052</v>
      </c>
      <c r="C3074" s="8">
        <v>1</v>
      </c>
      <c r="D3074" s="8" t="s">
        <v>264</v>
      </c>
      <c r="E3074" s="8">
        <v>0</v>
      </c>
      <c r="F3074" s="34">
        <f t="shared" si="1619"/>
        <v>75000</v>
      </c>
      <c r="G3074" s="34">
        <f t="shared" si="1619"/>
        <v>75000</v>
      </c>
      <c r="H3074" s="34">
        <f t="shared" si="1612"/>
        <v>3290</v>
      </c>
      <c r="I3074" s="34">
        <f t="shared" si="1612"/>
        <v>3290</v>
      </c>
      <c r="J3074" s="34">
        <f t="shared" si="1620"/>
        <v>56333</v>
      </c>
      <c r="K3074" s="133">
        <v>1000</v>
      </c>
      <c r="L3074" s="34"/>
      <c r="M3074" s="16">
        <f t="shared" si="1586"/>
        <v>9431.9178113467478</v>
      </c>
      <c r="N3074" s="36">
        <v>1300</v>
      </c>
      <c r="O3074" s="36">
        <v>0.5</v>
      </c>
      <c r="P3074" s="90" t="s">
        <v>567</v>
      </c>
      <c r="Q3074" s="90" t="s">
        <v>593</v>
      </c>
      <c r="R3074" s="2" t="s">
        <v>591</v>
      </c>
      <c r="S3074" s="36">
        <v>1316</v>
      </c>
    </row>
    <row r="3075" spans="1:20" x14ac:dyDescent="0.2">
      <c r="A3075" s="8">
        <v>1000520135</v>
      </c>
      <c r="B3075" s="8">
        <v>100052</v>
      </c>
      <c r="C3075" s="8">
        <v>1</v>
      </c>
      <c r="D3075" s="8" t="s">
        <v>264</v>
      </c>
      <c r="E3075" s="8">
        <v>0</v>
      </c>
      <c r="F3075" s="34">
        <f t="shared" si="1619"/>
        <v>75000</v>
      </c>
      <c r="G3075" s="34">
        <f t="shared" si="1619"/>
        <v>75000</v>
      </c>
      <c r="H3075" s="34">
        <f t="shared" si="1612"/>
        <v>3290</v>
      </c>
      <c r="I3075" s="34">
        <f t="shared" si="1612"/>
        <v>3290</v>
      </c>
      <c r="J3075" s="34">
        <f t="shared" si="1620"/>
        <v>88020</v>
      </c>
      <c r="K3075" s="133">
        <v>1000</v>
      </c>
      <c r="L3075" s="34"/>
      <c r="M3075" s="16">
        <f t="shared" si="1586"/>
        <v>11789.876335229306</v>
      </c>
      <c r="N3075" s="36">
        <v>1300</v>
      </c>
      <c r="O3075" s="36">
        <v>0.5</v>
      </c>
      <c r="P3075" s="90" t="s">
        <v>594</v>
      </c>
      <c r="Q3075" s="90" t="s">
        <v>443</v>
      </c>
      <c r="R3075" s="2" t="s">
        <v>592</v>
      </c>
      <c r="S3075" s="36">
        <v>1316</v>
      </c>
    </row>
    <row r="3076" spans="1:20" x14ac:dyDescent="0.2">
      <c r="A3076" s="8">
        <v>1000520136</v>
      </c>
      <c r="B3076" s="8">
        <v>100052</v>
      </c>
      <c r="C3076" s="8">
        <v>1</v>
      </c>
      <c r="D3076" s="8" t="s">
        <v>264</v>
      </c>
      <c r="E3076" s="8">
        <v>0</v>
      </c>
      <c r="F3076" s="34">
        <f t="shared" si="1619"/>
        <v>42187</v>
      </c>
      <c r="G3076" s="34">
        <f t="shared" si="1619"/>
        <v>42187</v>
      </c>
      <c r="H3076" s="34">
        <f t="shared" si="1612"/>
        <v>3290</v>
      </c>
      <c r="I3076" s="34">
        <f t="shared" si="1612"/>
        <v>3290</v>
      </c>
      <c r="J3076" s="34">
        <f t="shared" si="1620"/>
        <v>60750</v>
      </c>
      <c r="K3076" s="133">
        <v>1000</v>
      </c>
      <c r="L3076" s="34"/>
      <c r="M3076" s="16">
        <f t="shared" ref="M3076" si="1621">(F3076*J3076*((H3076+I3076)/2)/1000)^(1/2)/10*0.8</f>
        <v>7345.9911124367691</v>
      </c>
      <c r="N3076" s="36">
        <v>1800</v>
      </c>
      <c r="O3076" s="36">
        <v>0.5</v>
      </c>
      <c r="P3076" s="90" t="s">
        <v>758</v>
      </c>
      <c r="Q3076" s="90" t="s">
        <v>489</v>
      </c>
      <c r="R3076" s="2" t="s">
        <v>1087</v>
      </c>
      <c r="S3076" s="36">
        <v>1316</v>
      </c>
    </row>
    <row r="3077" spans="1:20" x14ac:dyDescent="0.2">
      <c r="A3077" s="8">
        <v>1000520140</v>
      </c>
      <c r="B3077" s="8">
        <v>100052</v>
      </c>
      <c r="C3077" s="8">
        <v>1</v>
      </c>
      <c r="D3077" s="8" t="s">
        <v>230</v>
      </c>
      <c r="E3077" s="8">
        <v>0</v>
      </c>
      <c r="F3077" s="34">
        <f t="shared" si="1619"/>
        <v>6562</v>
      </c>
      <c r="G3077" s="34">
        <f t="shared" si="1619"/>
        <v>6562</v>
      </c>
      <c r="H3077" s="34">
        <f t="shared" si="1612"/>
        <v>3290</v>
      </c>
      <c r="I3077" s="34">
        <f t="shared" si="1612"/>
        <v>3290</v>
      </c>
      <c r="J3077" s="34">
        <f t="shared" si="1620"/>
        <v>10848</v>
      </c>
      <c r="K3077" s="133">
        <v>1000</v>
      </c>
      <c r="L3077" s="34"/>
      <c r="M3077" s="16">
        <f t="shared" si="1586"/>
        <v>1224.2803732217551</v>
      </c>
      <c r="N3077" s="36">
        <v>900</v>
      </c>
      <c r="O3077" s="36">
        <v>0.5</v>
      </c>
      <c r="P3077" s="90" t="s">
        <v>574</v>
      </c>
      <c r="Q3077" s="90" t="s">
        <v>575</v>
      </c>
      <c r="R3077" s="2" t="s">
        <v>573</v>
      </c>
      <c r="S3077" s="36">
        <v>1316</v>
      </c>
    </row>
    <row r="3078" spans="1:20" x14ac:dyDescent="0.2">
      <c r="A3078" s="8" t="str">
        <f t="shared" ref="A3078" si="1622">IF(B3078="","",CONCATENATE(B3078,CONCATENATE(REPT(0,2-LEN(C3078)),C3078),IF(OR(D3078="Easy",D3078=""),1,IF(D3078="Normal",2,IF(D3078="Hard",3,IF(D3078="Hell",4,"error")))),E3078))</f>
        <v>1000521110</v>
      </c>
      <c r="B3078" s="8">
        <v>100052</v>
      </c>
      <c r="C3078" s="8">
        <v>11</v>
      </c>
      <c r="D3078" s="8" t="s">
        <v>62</v>
      </c>
      <c r="E3078" s="8">
        <v>0</v>
      </c>
      <c r="F3078" s="34">
        <f t="shared" si="1619"/>
        <v>121875</v>
      </c>
      <c r="G3078" s="34">
        <f t="shared" si="1619"/>
        <v>121875</v>
      </c>
      <c r="H3078" s="34">
        <f t="shared" si="1612"/>
        <v>3290</v>
      </c>
      <c r="I3078" s="34">
        <f t="shared" si="1612"/>
        <v>3290</v>
      </c>
      <c r="J3078" s="34">
        <f t="shared" si="1620"/>
        <v>10968</v>
      </c>
      <c r="K3078" s="133">
        <v>1000</v>
      </c>
      <c r="L3078" s="34"/>
      <c r="M3078" s="16">
        <f t="shared" si="1586"/>
        <v>5305.288078888836</v>
      </c>
      <c r="N3078" s="36">
        <v>900</v>
      </c>
      <c r="O3078" s="36">
        <v>0.5</v>
      </c>
      <c r="P3078" s="90" t="s">
        <v>590</v>
      </c>
      <c r="Q3078" s="90" t="s">
        <v>529</v>
      </c>
      <c r="R3078" s="2" t="s">
        <v>588</v>
      </c>
      <c r="S3078" s="36">
        <v>1316</v>
      </c>
    </row>
    <row r="3079" spans="1:20" x14ac:dyDescent="0.2">
      <c r="A3079" s="8" t="str">
        <f t="shared" ref="A3079:A3082" si="1623">IF(B3079="","",CONCATENATE(B3079,CONCATENATE(REPT(0,2-LEN(C3079)),C3079),IF(OR(D3079="Easy",D3079=""),1,IF(D3079="Normal",2,IF(D3079="Hard",3,IF(D3079="Hell",4,"error")))),E3079))</f>
        <v>1000520710</v>
      </c>
      <c r="B3079" s="8">
        <v>100052</v>
      </c>
      <c r="C3079" s="8">
        <v>7</v>
      </c>
      <c r="D3079" s="8" t="s">
        <v>62</v>
      </c>
      <c r="E3079" s="8">
        <v>0</v>
      </c>
      <c r="F3079" s="34">
        <f t="shared" si="1619"/>
        <v>68750</v>
      </c>
      <c r="G3079" s="34">
        <f t="shared" si="1619"/>
        <v>68750</v>
      </c>
      <c r="H3079" s="34">
        <f t="shared" si="1612"/>
        <v>3290</v>
      </c>
      <c r="I3079" s="34">
        <f t="shared" si="1612"/>
        <v>3290</v>
      </c>
      <c r="J3079" s="34">
        <f t="shared" si="1620"/>
        <v>55687</v>
      </c>
      <c r="K3079" s="133">
        <v>1000</v>
      </c>
      <c r="L3079" s="34"/>
      <c r="M3079" s="16">
        <f t="shared" si="1586"/>
        <v>8978.4464803216379</v>
      </c>
      <c r="N3079" s="36">
        <v>900</v>
      </c>
      <c r="O3079" s="36">
        <v>0.5</v>
      </c>
      <c r="P3079" s="90" t="s">
        <v>571</v>
      </c>
      <c r="Q3079" s="90" t="s">
        <v>408</v>
      </c>
      <c r="R3079" s="2" t="s">
        <v>589</v>
      </c>
      <c r="S3079" s="36">
        <v>1316</v>
      </c>
      <c r="T3079" s="114"/>
    </row>
    <row r="3080" spans="1:20" x14ac:dyDescent="0.2">
      <c r="A3080" s="8" t="str">
        <f t="shared" si="1623"/>
        <v>1000521230</v>
      </c>
      <c r="B3080" s="8">
        <v>100052</v>
      </c>
      <c r="C3080" s="8">
        <v>12</v>
      </c>
      <c r="D3080" s="8" t="s">
        <v>264</v>
      </c>
      <c r="E3080" s="8">
        <v>0</v>
      </c>
      <c r="F3080" s="34">
        <f t="shared" si="1619"/>
        <v>65625</v>
      </c>
      <c r="G3080" s="34">
        <f t="shared" si="1619"/>
        <v>65625</v>
      </c>
      <c r="H3080" s="34">
        <f t="shared" si="1612"/>
        <v>3290</v>
      </c>
      <c r="I3080" s="34">
        <f t="shared" si="1612"/>
        <v>3290</v>
      </c>
      <c r="J3080" s="34">
        <f t="shared" si="1620"/>
        <v>433928</v>
      </c>
      <c r="K3080" s="133">
        <v>1000</v>
      </c>
      <c r="L3080" s="34"/>
      <c r="M3080" s="16">
        <f t="shared" si="1586"/>
        <v>24486.766025753586</v>
      </c>
      <c r="N3080" s="36">
        <v>900</v>
      </c>
      <c r="O3080" s="36">
        <v>0.5</v>
      </c>
      <c r="P3080" s="90" t="s">
        <v>346</v>
      </c>
      <c r="Q3080" s="90" t="s">
        <v>390</v>
      </c>
      <c r="R3080" s="2" t="s">
        <v>573</v>
      </c>
      <c r="S3080" s="36">
        <v>1316</v>
      </c>
      <c r="T3080" s="114"/>
    </row>
    <row r="3081" spans="1:20" x14ac:dyDescent="0.2">
      <c r="A3081" s="18" t="str">
        <f t="shared" si="1623"/>
        <v>1000521529</v>
      </c>
      <c r="B3081" s="18">
        <v>100052</v>
      </c>
      <c r="C3081" s="18">
        <v>15</v>
      </c>
      <c r="D3081" s="18" t="s">
        <v>262</v>
      </c>
      <c r="E3081" s="18">
        <v>9</v>
      </c>
      <c r="F3081" s="19">
        <f t="shared" ref="F3081:G3082" si="1624">ROUNDDOWN($P3081/4*MIN($O3081,4)*10*$N3081/$N3081*$Q3081/400,0)</f>
        <v>17850</v>
      </c>
      <c r="G3081" s="19">
        <f t="shared" si="1624"/>
        <v>17850</v>
      </c>
      <c r="H3081" s="19">
        <f t="shared" ref="H3081:I3082" si="1625">ROUNDDOWN($S3081/4*10,0)</f>
        <v>4900</v>
      </c>
      <c r="I3081" s="19">
        <f t="shared" si="1625"/>
        <v>4900</v>
      </c>
      <c r="J3081" s="19">
        <f t="shared" ref="J3081:J3082" si="1626">ROUNDDOWN($P3081/4*$O3081*10*$N3081/$Q3081*$N3081/400*0.8,0)</f>
        <v>1874250</v>
      </c>
      <c r="K3081" s="133">
        <v>1000</v>
      </c>
      <c r="L3081" s="19"/>
      <c r="M3081" s="118">
        <f t="shared" ref="M3081" si="1627">(F3081*J3081*((H3081+I3081)/2)/1000)^(1/2)/10*0.8</f>
        <v>32390.742010642483</v>
      </c>
      <c r="N3081" s="58">
        <v>1000</v>
      </c>
      <c r="O3081" s="58">
        <v>21</v>
      </c>
      <c r="P3081" s="58">
        <v>3570</v>
      </c>
      <c r="Q3081" s="41" t="s">
        <v>122</v>
      </c>
      <c r="R3081" s="41" t="s">
        <v>944</v>
      </c>
      <c r="S3081" s="94">
        <v>1960</v>
      </c>
    </row>
    <row r="3082" spans="1:20" x14ac:dyDescent="0.2">
      <c r="A3082" s="8" t="str">
        <f t="shared" si="1623"/>
        <v>1000521549</v>
      </c>
      <c r="B3082" s="8">
        <v>100052</v>
      </c>
      <c r="C3082" s="8">
        <v>15</v>
      </c>
      <c r="D3082" s="8" t="s">
        <v>237</v>
      </c>
      <c r="E3082" s="8">
        <v>9</v>
      </c>
      <c r="F3082" s="34">
        <f t="shared" si="1624"/>
        <v>25500</v>
      </c>
      <c r="G3082" s="34">
        <f t="shared" si="1624"/>
        <v>25500</v>
      </c>
      <c r="H3082" s="34">
        <f t="shared" si="1625"/>
        <v>7000</v>
      </c>
      <c r="I3082" s="34">
        <f t="shared" si="1625"/>
        <v>7000</v>
      </c>
      <c r="J3082" s="34">
        <f t="shared" si="1626"/>
        <v>2677500</v>
      </c>
      <c r="K3082" s="133">
        <v>1000</v>
      </c>
      <c r="L3082" s="34"/>
      <c r="M3082" s="16">
        <f t="shared" si="1586"/>
        <v>55306.202183841917</v>
      </c>
      <c r="N3082" s="36">
        <v>1000</v>
      </c>
      <c r="O3082" s="36">
        <v>21</v>
      </c>
      <c r="P3082" s="36">
        <v>5100</v>
      </c>
      <c r="Q3082" s="2" t="s">
        <v>122</v>
      </c>
      <c r="R3082" s="2" t="s">
        <v>945</v>
      </c>
      <c r="S3082" s="56">
        <v>2800</v>
      </c>
      <c r="T3082" s="266"/>
    </row>
    <row r="3083" spans="1:20" x14ac:dyDescent="0.2">
      <c r="A3083" s="8" t="str">
        <f t="shared" ref="A3083:A3111" si="1628">IF(B3083="","",CONCATENATE(B3083,CONCATENATE(REPT(0,2-LEN(C3083)),C3083),IF(OR(D3083="Easy",D3083=""),1,IF(D3083="Normal",2,IF(D3083="Hard",3,IF(D3083="Hell",4,"error")))),E3083))</f>
        <v>1000521240</v>
      </c>
      <c r="B3083" s="8">
        <v>100052</v>
      </c>
      <c r="C3083" s="8">
        <v>12</v>
      </c>
      <c r="D3083" s="8" t="s">
        <v>237</v>
      </c>
      <c r="E3083" s="8">
        <v>0</v>
      </c>
      <c r="F3083" s="34">
        <f t="shared" si="1619"/>
        <v>122187</v>
      </c>
      <c r="G3083" s="34">
        <f t="shared" si="1619"/>
        <v>122187</v>
      </c>
      <c r="H3083" s="34">
        <f t="shared" si="1612"/>
        <v>3290</v>
      </c>
      <c r="I3083" s="34">
        <f t="shared" si="1612"/>
        <v>3290</v>
      </c>
      <c r="J3083" s="34">
        <f t="shared" si="1620"/>
        <v>3424632</v>
      </c>
      <c r="K3083" s="133">
        <v>1000</v>
      </c>
      <c r="L3083" s="34"/>
      <c r="M3083" s="16">
        <f t="shared" si="1586"/>
        <v>93865.801346572989</v>
      </c>
      <c r="N3083" s="36">
        <v>900</v>
      </c>
      <c r="O3083" s="36">
        <v>0.5</v>
      </c>
      <c r="P3083" s="90" t="s">
        <v>596</v>
      </c>
      <c r="Q3083" s="90" t="s">
        <v>597</v>
      </c>
      <c r="R3083" s="2" t="s">
        <v>595</v>
      </c>
      <c r="S3083" s="36">
        <v>1316</v>
      </c>
    </row>
    <row r="3084" spans="1:20" ht="38.25" x14ac:dyDescent="0.2">
      <c r="A3084" s="8"/>
      <c r="B3084" s="5"/>
      <c r="C3084" s="6" t="s">
        <v>932</v>
      </c>
      <c r="D3084" s="5"/>
      <c r="E3084" s="5"/>
      <c r="F3084" s="5"/>
      <c r="G3084" s="5"/>
      <c r="H3084" s="5"/>
      <c r="I3084" s="5"/>
      <c r="J3084" s="5"/>
      <c r="K3084" s="133"/>
      <c r="L3084" s="5"/>
      <c r="M3084" s="16">
        <f t="shared" ref="M3084:M3094" si="1629">(F3084*J3084*((H3084+I3084)/2)/1000)^(1/2)/10*0.8</f>
        <v>0</v>
      </c>
      <c r="N3084" s="5"/>
      <c r="O3084" s="5"/>
      <c r="P3084" s="5"/>
      <c r="Q3084" s="5"/>
      <c r="R3084" s="5"/>
      <c r="S3084" s="30"/>
    </row>
    <row r="3085" spans="1:20" x14ac:dyDescent="0.2">
      <c r="A3085" s="8" t="str">
        <f t="shared" ref="A3085:A3096" si="1630">IF(B3085="","",CONCATENATE(B3085,CONCATENATE(REPT(0,2-LEN(C3085)),C3085),IF(OR(D3085="Easy",D3085=""),1,IF(D3085="Normal",2,IF(D3085="Hard",3,IF(D3085="Hell",4,"error")))),E3085))</f>
        <v>1000490110</v>
      </c>
      <c r="B3085" s="8">
        <v>100049</v>
      </c>
      <c r="C3085" s="8">
        <v>1</v>
      </c>
      <c r="D3085" s="8" t="s">
        <v>259</v>
      </c>
      <c r="E3085" s="8">
        <v>0</v>
      </c>
      <c r="F3085" s="34">
        <f t="shared" ref="F3085:G3100" si="1631">ROUNDDOWN($P3085/4*$O3085*10*$N3085/$N3085*$Q3085/400,0)</f>
        <v>110000</v>
      </c>
      <c r="G3085" s="34">
        <f t="shared" si="1631"/>
        <v>110000</v>
      </c>
      <c r="H3085" s="34">
        <f t="shared" ref="H3085:I3100" si="1632">ROUNDDOWN($S3085/4*10,0)</f>
        <v>3290</v>
      </c>
      <c r="I3085" s="34">
        <f t="shared" si="1632"/>
        <v>3290</v>
      </c>
      <c r="J3085" s="34">
        <f t="shared" ref="J3085:J3109" si="1633">ROUNDDOWN($P3085/4*$O3085*10*$N3085/$Q3085*$N3085/400,0)</f>
        <v>18409</v>
      </c>
      <c r="K3085" s="133">
        <v>1000</v>
      </c>
      <c r="L3085" s="34"/>
      <c r="M3085" s="16">
        <f t="shared" si="1629"/>
        <v>6529.7924499941037</v>
      </c>
      <c r="N3085" s="36">
        <v>900</v>
      </c>
      <c r="O3085" s="36">
        <v>0.5</v>
      </c>
      <c r="P3085" s="90" t="s">
        <v>567</v>
      </c>
      <c r="Q3085" s="90" t="s">
        <v>568</v>
      </c>
      <c r="R3085" s="2" t="s">
        <v>569</v>
      </c>
      <c r="S3085" s="36">
        <v>1316</v>
      </c>
    </row>
    <row r="3086" spans="1:20" x14ac:dyDescent="0.2">
      <c r="A3086" s="8" t="str">
        <f t="shared" si="1630"/>
        <v>1000490120</v>
      </c>
      <c r="B3086" s="8">
        <v>100049</v>
      </c>
      <c r="C3086" s="8">
        <v>1</v>
      </c>
      <c r="D3086" s="8" t="s">
        <v>262</v>
      </c>
      <c r="E3086" s="8">
        <v>0</v>
      </c>
      <c r="F3086" s="34">
        <f t="shared" si="1631"/>
        <v>70000</v>
      </c>
      <c r="G3086" s="34">
        <f t="shared" si="1631"/>
        <v>70000</v>
      </c>
      <c r="H3086" s="34">
        <f t="shared" si="1632"/>
        <v>4000</v>
      </c>
      <c r="I3086" s="34">
        <f t="shared" si="1632"/>
        <v>4000</v>
      </c>
      <c r="J3086" s="34">
        <f t="shared" si="1633"/>
        <v>35714</v>
      </c>
      <c r="K3086" s="133">
        <v>1000</v>
      </c>
      <c r="L3086" s="34"/>
      <c r="M3086" s="16">
        <f t="shared" si="1629"/>
        <v>7999.9679999360005</v>
      </c>
      <c r="N3086" s="36">
        <v>2000</v>
      </c>
      <c r="O3086" s="36">
        <v>0.5</v>
      </c>
      <c r="P3086" s="90" t="s">
        <v>88</v>
      </c>
      <c r="Q3086" s="90" t="s">
        <v>587</v>
      </c>
      <c r="R3086" s="2" t="s">
        <v>931</v>
      </c>
      <c r="S3086" s="36">
        <v>1600</v>
      </c>
    </row>
    <row r="3087" spans="1:20" x14ac:dyDescent="0.2">
      <c r="A3087" s="8" t="str">
        <f t="shared" ref="A3087" si="1634">IF(B3087="","",CONCATENATE(B3087,CONCATENATE(REPT(0,2-LEN(C3087)),C3087),IF(OR(D3087="Easy",D3087=""),1,IF(D3087="Normal",2,IF(D3087="Hard",3,IF(D3087="Hell",4,"error")))),E3087))</f>
        <v>1000490121</v>
      </c>
      <c r="B3087" s="8">
        <v>100049</v>
      </c>
      <c r="C3087" s="8">
        <v>1</v>
      </c>
      <c r="D3087" s="8" t="s">
        <v>262</v>
      </c>
      <c r="E3087" s="8">
        <v>1</v>
      </c>
      <c r="F3087" s="34">
        <f t="shared" si="1631"/>
        <v>70000</v>
      </c>
      <c r="G3087" s="34">
        <f t="shared" si="1631"/>
        <v>70000</v>
      </c>
      <c r="H3087" s="34">
        <f t="shared" si="1632"/>
        <v>4000</v>
      </c>
      <c r="I3087" s="34">
        <f t="shared" si="1632"/>
        <v>4000</v>
      </c>
      <c r="J3087" s="34">
        <f t="shared" si="1633"/>
        <v>10803</v>
      </c>
      <c r="K3087" s="133">
        <v>1000</v>
      </c>
      <c r="L3087" s="34"/>
      <c r="M3087" s="16">
        <f t="shared" ref="M3087" si="1635">(F3087*J3087*((H3087+I3087)/2)/1000)^(1/2)/10*0.8</f>
        <v>4399.8836348249033</v>
      </c>
      <c r="N3087" s="36">
        <v>1100</v>
      </c>
      <c r="O3087" s="36">
        <v>0.5</v>
      </c>
      <c r="P3087" s="90" t="s">
        <v>88</v>
      </c>
      <c r="Q3087" s="90" t="s">
        <v>587</v>
      </c>
      <c r="R3087" s="2" t="s">
        <v>934</v>
      </c>
      <c r="S3087" s="36">
        <v>1600</v>
      </c>
    </row>
    <row r="3088" spans="1:20" x14ac:dyDescent="0.2">
      <c r="A3088" s="8" t="str">
        <f t="shared" si="1630"/>
        <v>1000490130</v>
      </c>
      <c r="B3088" s="8">
        <v>100049</v>
      </c>
      <c r="C3088" s="8">
        <v>1</v>
      </c>
      <c r="D3088" s="8" t="s">
        <v>264</v>
      </c>
      <c r="E3088" s="8">
        <v>0</v>
      </c>
      <c r="F3088" s="34">
        <f t="shared" si="1631"/>
        <v>50875</v>
      </c>
      <c r="G3088" s="34">
        <f t="shared" si="1631"/>
        <v>50875</v>
      </c>
      <c r="H3088" s="34">
        <f t="shared" si="1632"/>
        <v>3290</v>
      </c>
      <c r="I3088" s="34">
        <f t="shared" si="1632"/>
        <v>3290</v>
      </c>
      <c r="J3088" s="34">
        <f t="shared" si="1633"/>
        <v>75253</v>
      </c>
      <c r="K3088" s="133">
        <v>1000</v>
      </c>
      <c r="L3088" s="34"/>
      <c r="M3088" s="16">
        <f t="shared" si="1629"/>
        <v>8978.4642156662867</v>
      </c>
      <c r="N3088" s="36">
        <v>900</v>
      </c>
      <c r="O3088" s="36">
        <v>0.5</v>
      </c>
      <c r="P3088" s="90" t="s">
        <v>571</v>
      </c>
      <c r="Q3088" s="90" t="s">
        <v>572</v>
      </c>
      <c r="R3088" s="2" t="s">
        <v>569</v>
      </c>
      <c r="S3088" s="36">
        <v>1316</v>
      </c>
    </row>
    <row r="3089" spans="1:20" x14ac:dyDescent="0.2">
      <c r="A3089" s="8" t="str">
        <f t="shared" si="1630"/>
        <v>1000490131</v>
      </c>
      <c r="B3089" s="8">
        <v>100049</v>
      </c>
      <c r="C3089" s="8">
        <v>1</v>
      </c>
      <c r="D3089" s="8" t="s">
        <v>264</v>
      </c>
      <c r="E3089" s="8">
        <v>1</v>
      </c>
      <c r="F3089" s="34">
        <f t="shared" si="1631"/>
        <v>84375</v>
      </c>
      <c r="G3089" s="34">
        <f t="shared" si="1631"/>
        <v>84375</v>
      </c>
      <c r="H3089" s="34">
        <f t="shared" si="1632"/>
        <v>3290</v>
      </c>
      <c r="I3089" s="34">
        <f t="shared" si="1632"/>
        <v>3290</v>
      </c>
      <c r="J3089" s="34">
        <f t="shared" si="1633"/>
        <v>234375</v>
      </c>
      <c r="K3089" s="133">
        <v>1000</v>
      </c>
      <c r="L3089" s="34"/>
      <c r="M3089" s="16">
        <f t="shared" si="1629"/>
        <v>20405.651790619188</v>
      </c>
      <c r="N3089" s="36">
        <v>2500</v>
      </c>
      <c r="O3089" s="36">
        <v>0.5</v>
      </c>
      <c r="P3089" s="90" t="s">
        <v>522</v>
      </c>
      <c r="Q3089" s="90" t="s">
        <v>489</v>
      </c>
      <c r="R3089" s="2" t="s">
        <v>933</v>
      </c>
      <c r="S3089" s="36">
        <v>1316</v>
      </c>
    </row>
    <row r="3090" spans="1:20" x14ac:dyDescent="0.2">
      <c r="A3090" s="8" t="str">
        <f t="shared" si="1630"/>
        <v>1000490132</v>
      </c>
      <c r="B3090" s="8">
        <v>100049</v>
      </c>
      <c r="C3090" s="8">
        <v>1</v>
      </c>
      <c r="D3090" s="8" t="s">
        <v>264</v>
      </c>
      <c r="E3090" s="8">
        <v>2</v>
      </c>
      <c r="F3090" s="34">
        <f t="shared" si="1631"/>
        <v>50875</v>
      </c>
      <c r="G3090" s="34">
        <f t="shared" si="1631"/>
        <v>50875</v>
      </c>
      <c r="H3090" s="34">
        <f t="shared" si="1632"/>
        <v>3290</v>
      </c>
      <c r="I3090" s="34">
        <f t="shared" si="1632"/>
        <v>3290</v>
      </c>
      <c r="J3090" s="34">
        <f t="shared" si="1633"/>
        <v>23226</v>
      </c>
      <c r="K3090" s="133">
        <v>1000</v>
      </c>
      <c r="L3090" s="34"/>
      <c r="M3090" s="16">
        <f t="shared" ref="M3090" si="1636">(F3090*J3090*((H3090+I3090)/2)/1000)^(1/2)/10*0.8</f>
        <v>4988.0104875591433</v>
      </c>
      <c r="N3090" s="36">
        <v>500</v>
      </c>
      <c r="O3090" s="36">
        <v>0.5</v>
      </c>
      <c r="P3090" s="90" t="s">
        <v>571</v>
      </c>
      <c r="Q3090" s="90" t="s">
        <v>572</v>
      </c>
      <c r="R3090" s="2" t="s">
        <v>935</v>
      </c>
      <c r="S3090" s="36">
        <v>1316</v>
      </c>
    </row>
    <row r="3091" spans="1:20" x14ac:dyDescent="0.2">
      <c r="A3091" s="8" t="str">
        <f t="shared" si="1630"/>
        <v>1000490133</v>
      </c>
      <c r="B3091" s="8">
        <v>100049</v>
      </c>
      <c r="C3091" s="8">
        <v>1</v>
      </c>
      <c r="D3091" s="8" t="s">
        <v>264</v>
      </c>
      <c r="E3091" s="8">
        <v>3</v>
      </c>
      <c r="F3091" s="34">
        <f t="shared" si="1631"/>
        <v>50875</v>
      </c>
      <c r="G3091" s="34">
        <f t="shared" si="1631"/>
        <v>50875</v>
      </c>
      <c r="H3091" s="34">
        <f t="shared" si="1632"/>
        <v>225000</v>
      </c>
      <c r="I3091" s="34">
        <f t="shared" si="1632"/>
        <v>225000</v>
      </c>
      <c r="J3091" s="34">
        <f t="shared" si="1633"/>
        <v>92905</v>
      </c>
      <c r="K3091" s="133">
        <v>1000</v>
      </c>
      <c r="L3091" s="34"/>
      <c r="M3091" s="16">
        <f t="shared" si="1629"/>
        <v>82499.819999803643</v>
      </c>
      <c r="N3091" s="36">
        <v>1000</v>
      </c>
      <c r="O3091" s="36">
        <v>0.5</v>
      </c>
      <c r="P3091" s="90" t="s">
        <v>571</v>
      </c>
      <c r="Q3091" s="90" t="s">
        <v>572</v>
      </c>
      <c r="R3091" s="2" t="s">
        <v>936</v>
      </c>
      <c r="S3091" s="36">
        <v>90000</v>
      </c>
    </row>
    <row r="3092" spans="1:20" x14ac:dyDescent="0.2">
      <c r="A3092" s="8" t="str">
        <f t="shared" si="1630"/>
        <v>1000490134</v>
      </c>
      <c r="B3092" s="8">
        <v>100049</v>
      </c>
      <c r="C3092" s="8">
        <v>1</v>
      </c>
      <c r="D3092" s="8" t="s">
        <v>264</v>
      </c>
      <c r="E3092" s="8">
        <v>4</v>
      </c>
      <c r="F3092" s="34">
        <f t="shared" si="1631"/>
        <v>75000</v>
      </c>
      <c r="G3092" s="34">
        <f t="shared" si="1631"/>
        <v>75000</v>
      </c>
      <c r="H3092" s="34">
        <f t="shared" si="1632"/>
        <v>3290</v>
      </c>
      <c r="I3092" s="34">
        <f t="shared" si="1632"/>
        <v>3290</v>
      </c>
      <c r="J3092" s="34">
        <f t="shared" si="1633"/>
        <v>5633333</v>
      </c>
      <c r="K3092" s="133">
        <v>1000</v>
      </c>
      <c r="L3092" s="34"/>
      <c r="M3092" s="16">
        <f t="shared" si="1629"/>
        <v>94319.454375012167</v>
      </c>
      <c r="N3092" s="36">
        <v>13000</v>
      </c>
      <c r="O3092" s="36">
        <v>0.5</v>
      </c>
      <c r="P3092" s="90" t="s">
        <v>567</v>
      </c>
      <c r="Q3092" s="90" t="s">
        <v>489</v>
      </c>
      <c r="R3092" s="2" t="s">
        <v>937</v>
      </c>
      <c r="S3092" s="36">
        <v>1316</v>
      </c>
    </row>
    <row r="3093" spans="1:20" x14ac:dyDescent="0.2">
      <c r="A3093" s="8" t="str">
        <f t="shared" si="1630"/>
        <v>1000490135</v>
      </c>
      <c r="B3093" s="8">
        <v>100049</v>
      </c>
      <c r="C3093" s="8">
        <v>1</v>
      </c>
      <c r="D3093" s="8" t="s">
        <v>264</v>
      </c>
      <c r="E3093" s="8">
        <v>5</v>
      </c>
      <c r="F3093" s="34">
        <f t="shared" si="1631"/>
        <v>27750</v>
      </c>
      <c r="G3093" s="34">
        <f t="shared" si="1631"/>
        <v>27750</v>
      </c>
      <c r="H3093" s="34">
        <f t="shared" si="1632"/>
        <v>3250</v>
      </c>
      <c r="I3093" s="34">
        <f t="shared" si="1632"/>
        <v>3250</v>
      </c>
      <c r="J3093" s="34">
        <f t="shared" si="1633"/>
        <v>50675</v>
      </c>
      <c r="K3093" s="133">
        <v>1000</v>
      </c>
      <c r="L3093" s="34"/>
      <c r="M3093" s="16">
        <f t="shared" ref="M3093" si="1637">(F3093*J3093*((H3093+I3093)/2)/1000)^(1/2)/10*0.8</f>
        <v>5408.2908575630436</v>
      </c>
      <c r="N3093" s="36">
        <v>1000</v>
      </c>
      <c r="O3093" s="36">
        <v>0.5</v>
      </c>
      <c r="P3093" s="90" t="s">
        <v>939</v>
      </c>
      <c r="Q3093" s="90" t="s">
        <v>572</v>
      </c>
      <c r="R3093" s="2" t="s">
        <v>938</v>
      </c>
      <c r="S3093" s="36">
        <v>1300</v>
      </c>
    </row>
    <row r="3094" spans="1:20" x14ac:dyDescent="0.2">
      <c r="A3094" s="8" t="str">
        <f t="shared" si="1630"/>
        <v>1000490140</v>
      </c>
      <c r="B3094" s="8">
        <v>100049</v>
      </c>
      <c r="C3094" s="8">
        <v>1</v>
      </c>
      <c r="D3094" s="8" t="s">
        <v>230</v>
      </c>
      <c r="E3094" s="8">
        <v>0</v>
      </c>
      <c r="F3094" s="34">
        <f t="shared" si="1631"/>
        <v>44687</v>
      </c>
      <c r="G3094" s="34">
        <f t="shared" si="1631"/>
        <v>44687</v>
      </c>
      <c r="H3094" s="34">
        <f t="shared" si="1632"/>
        <v>32500</v>
      </c>
      <c r="I3094" s="34">
        <f t="shared" si="1632"/>
        <v>32500</v>
      </c>
      <c r="J3094" s="34">
        <f t="shared" si="1633"/>
        <v>609230</v>
      </c>
      <c r="K3094" s="133">
        <v>1000</v>
      </c>
      <c r="L3094" s="34"/>
      <c r="M3094" s="16">
        <f t="shared" si="1629"/>
        <v>75251.10956045764</v>
      </c>
      <c r="N3094" s="36">
        <v>2400</v>
      </c>
      <c r="O3094" s="36">
        <v>0.5</v>
      </c>
      <c r="P3094" s="90" t="s">
        <v>571</v>
      </c>
      <c r="Q3094" s="90" t="s">
        <v>941</v>
      </c>
      <c r="R3094" s="2" t="s">
        <v>940</v>
      </c>
      <c r="S3094" s="36">
        <v>13000</v>
      </c>
    </row>
    <row r="3095" spans="1:20" x14ac:dyDescent="0.2">
      <c r="A3095" s="8" t="str">
        <f t="shared" si="1630"/>
        <v>1000491720</v>
      </c>
      <c r="B3095" s="8">
        <v>100049</v>
      </c>
      <c r="C3095" s="8">
        <v>17</v>
      </c>
      <c r="D3095" s="8" t="s">
        <v>63</v>
      </c>
      <c r="E3095" s="8">
        <v>0</v>
      </c>
      <c r="F3095" s="34">
        <f t="shared" si="1631"/>
        <v>4468</v>
      </c>
      <c r="G3095" s="34">
        <f t="shared" si="1631"/>
        <v>4468</v>
      </c>
      <c r="H3095" s="34">
        <f t="shared" si="1632"/>
        <v>15000</v>
      </c>
      <c r="I3095" s="34">
        <f t="shared" si="1632"/>
        <v>15000</v>
      </c>
      <c r="J3095" s="34">
        <f t="shared" si="1633"/>
        <v>446875</v>
      </c>
      <c r="K3095" s="133">
        <v>1000</v>
      </c>
      <c r="L3095" s="34"/>
      <c r="M3095" s="16">
        <v>93865.801346572989</v>
      </c>
      <c r="N3095" s="36">
        <v>1100</v>
      </c>
      <c r="O3095" s="36">
        <v>0.5</v>
      </c>
      <c r="P3095" s="90" t="s">
        <v>347</v>
      </c>
      <c r="Q3095" s="90" t="s">
        <v>686</v>
      </c>
      <c r="R3095" s="2" t="s">
        <v>942</v>
      </c>
      <c r="S3095" s="36">
        <v>6000</v>
      </c>
      <c r="T3095" s="266"/>
    </row>
    <row r="3096" spans="1:20" x14ac:dyDescent="0.2">
      <c r="A3096" s="8" t="str">
        <f t="shared" si="1630"/>
        <v>1000491740</v>
      </c>
      <c r="B3096" s="8">
        <v>100049</v>
      </c>
      <c r="C3096" s="8">
        <v>17</v>
      </c>
      <c r="D3096" s="8" t="s">
        <v>237</v>
      </c>
      <c r="E3096" s="8">
        <v>0</v>
      </c>
      <c r="F3096" s="34">
        <f t="shared" si="1631"/>
        <v>5625</v>
      </c>
      <c r="G3096" s="34">
        <f t="shared" si="1631"/>
        <v>5625</v>
      </c>
      <c r="H3096" s="34">
        <f t="shared" si="1632"/>
        <v>22500</v>
      </c>
      <c r="I3096" s="34">
        <f t="shared" si="1632"/>
        <v>22500</v>
      </c>
      <c r="J3096" s="34">
        <f t="shared" si="1633"/>
        <v>507656</v>
      </c>
      <c r="K3096" s="133">
        <v>1000</v>
      </c>
      <c r="L3096" s="34"/>
      <c r="M3096" s="16">
        <v>93865.801346572989</v>
      </c>
      <c r="N3096" s="36">
        <v>950</v>
      </c>
      <c r="O3096" s="36">
        <v>0.5</v>
      </c>
      <c r="P3096" s="90" t="s">
        <v>522</v>
      </c>
      <c r="Q3096" s="90" t="s">
        <v>482</v>
      </c>
      <c r="R3096" s="2" t="s">
        <v>943</v>
      </c>
      <c r="S3096" s="36">
        <v>9000</v>
      </c>
    </row>
    <row r="3097" spans="1:20" ht="38.25" x14ac:dyDescent="0.2">
      <c r="A3097" s="8"/>
      <c r="B3097" s="5"/>
      <c r="C3097" s="6" t="s">
        <v>1088</v>
      </c>
      <c r="D3097" s="5"/>
      <c r="E3097" s="5"/>
      <c r="F3097" s="5"/>
      <c r="G3097" s="5"/>
      <c r="H3097" s="5"/>
      <c r="I3097" s="5"/>
      <c r="J3097" s="5"/>
      <c r="K3097" s="133"/>
      <c r="L3097" s="5"/>
      <c r="M3097" s="16">
        <f t="shared" ref="M3097:M3108" si="1638">(F3097*J3097*((H3097+I3097)/2)/1000)^(1/2)/10*0.8</f>
        <v>0</v>
      </c>
      <c r="N3097" s="5"/>
      <c r="O3097" s="5"/>
      <c r="P3097" s="5"/>
      <c r="Q3097" s="5"/>
      <c r="R3097" s="5"/>
      <c r="S3097" s="30"/>
    </row>
    <row r="3098" spans="1:20" x14ac:dyDescent="0.2">
      <c r="A3098" s="8" t="str">
        <f t="shared" ref="A3098:A3107" si="1639">IF(B3098="","",CONCATENATE(B3098,CONCATENATE(REPT(0,2-LEN(C3098)),C3098),IF(OR(D3098="Easy",D3098=""),1,IF(D3098="Normal",2,IF(D3098="Hard",3,IF(D3098="Hell",4,"error")))),E3098))</f>
        <v>1000040110</v>
      </c>
      <c r="B3098" s="8">
        <v>100004</v>
      </c>
      <c r="C3098" s="8">
        <v>1</v>
      </c>
      <c r="D3098" s="8" t="s">
        <v>259</v>
      </c>
      <c r="E3098" s="8">
        <v>0</v>
      </c>
      <c r="F3098" s="34">
        <f t="shared" si="1631"/>
        <v>110000</v>
      </c>
      <c r="G3098" s="34">
        <f t="shared" si="1631"/>
        <v>110000</v>
      </c>
      <c r="H3098" s="34">
        <f t="shared" si="1632"/>
        <v>3290</v>
      </c>
      <c r="I3098" s="34">
        <f t="shared" si="1632"/>
        <v>3290</v>
      </c>
      <c r="J3098" s="34">
        <f t="shared" si="1633"/>
        <v>18409</v>
      </c>
      <c r="K3098" s="133">
        <v>1000</v>
      </c>
      <c r="L3098" s="34"/>
      <c r="M3098" s="16">
        <f t="shared" si="1638"/>
        <v>6529.7924499941037</v>
      </c>
      <c r="N3098" s="36">
        <v>900</v>
      </c>
      <c r="O3098" s="36">
        <v>0.5</v>
      </c>
      <c r="P3098" s="90" t="s">
        <v>567</v>
      </c>
      <c r="Q3098" s="90" t="s">
        <v>568</v>
      </c>
      <c r="R3098" s="2" t="s">
        <v>569</v>
      </c>
      <c r="S3098" s="36">
        <v>1316</v>
      </c>
    </row>
    <row r="3099" spans="1:20" x14ac:dyDescent="0.2">
      <c r="A3099" s="8" t="str">
        <f t="shared" si="1639"/>
        <v>1000040120</v>
      </c>
      <c r="B3099" s="8">
        <v>100004</v>
      </c>
      <c r="C3099" s="8">
        <v>1</v>
      </c>
      <c r="D3099" s="8" t="s">
        <v>262</v>
      </c>
      <c r="E3099" s="8">
        <v>0</v>
      </c>
      <c r="F3099" s="34">
        <f t="shared" si="1631"/>
        <v>70000</v>
      </c>
      <c r="G3099" s="34">
        <f t="shared" si="1631"/>
        <v>70000</v>
      </c>
      <c r="H3099" s="34">
        <f t="shared" si="1632"/>
        <v>4000</v>
      </c>
      <c r="I3099" s="34">
        <f t="shared" si="1632"/>
        <v>4000</v>
      </c>
      <c r="J3099" s="34">
        <f t="shared" si="1633"/>
        <v>35714</v>
      </c>
      <c r="K3099" s="133">
        <v>1000</v>
      </c>
      <c r="L3099" s="34"/>
      <c r="M3099" s="16">
        <f t="shared" si="1638"/>
        <v>7999.9679999360005</v>
      </c>
      <c r="N3099" s="36">
        <v>2000</v>
      </c>
      <c r="O3099" s="36">
        <v>0.5</v>
      </c>
      <c r="P3099" s="90" t="s">
        <v>88</v>
      </c>
      <c r="Q3099" s="90" t="s">
        <v>587</v>
      </c>
      <c r="R3099" s="2" t="s">
        <v>931</v>
      </c>
      <c r="S3099" s="36">
        <v>1600</v>
      </c>
    </row>
    <row r="3100" spans="1:20" x14ac:dyDescent="0.2">
      <c r="A3100" s="8" t="str">
        <f t="shared" si="1639"/>
        <v>1000040121</v>
      </c>
      <c r="B3100" s="8">
        <v>100004</v>
      </c>
      <c r="C3100" s="8">
        <v>1</v>
      </c>
      <c r="D3100" s="8" t="s">
        <v>262</v>
      </c>
      <c r="E3100" s="8">
        <v>1</v>
      </c>
      <c r="F3100" s="34">
        <f t="shared" si="1631"/>
        <v>70000</v>
      </c>
      <c r="G3100" s="34">
        <f t="shared" si="1631"/>
        <v>70000</v>
      </c>
      <c r="H3100" s="34">
        <f t="shared" si="1632"/>
        <v>4000</v>
      </c>
      <c r="I3100" s="34">
        <f t="shared" si="1632"/>
        <v>4000</v>
      </c>
      <c r="J3100" s="34">
        <f t="shared" si="1633"/>
        <v>10803</v>
      </c>
      <c r="K3100" s="133">
        <v>1000</v>
      </c>
      <c r="L3100" s="34"/>
      <c r="M3100" s="16">
        <f t="shared" si="1638"/>
        <v>4399.8836348249033</v>
      </c>
      <c r="N3100" s="36">
        <v>1100</v>
      </c>
      <c r="O3100" s="36">
        <v>0.5</v>
      </c>
      <c r="P3100" s="90" t="s">
        <v>88</v>
      </c>
      <c r="Q3100" s="90" t="s">
        <v>587</v>
      </c>
      <c r="R3100" s="2" t="s">
        <v>934</v>
      </c>
      <c r="S3100" s="36">
        <v>1600</v>
      </c>
    </row>
    <row r="3101" spans="1:20" x14ac:dyDescent="0.2">
      <c r="A3101" s="8" t="str">
        <f t="shared" si="1639"/>
        <v>1000040130</v>
      </c>
      <c r="B3101" s="8">
        <v>100004</v>
      </c>
      <c r="C3101" s="8">
        <v>1</v>
      </c>
      <c r="D3101" s="8" t="s">
        <v>264</v>
      </c>
      <c r="E3101" s="8">
        <v>0</v>
      </c>
      <c r="F3101" s="34">
        <f t="shared" ref="F3101:G3107" si="1640">ROUNDDOWN($P3101/4*$O3101*10*$N3101/$N3101*$Q3101/400,0)</f>
        <v>50875</v>
      </c>
      <c r="G3101" s="34">
        <f t="shared" si="1640"/>
        <v>50875</v>
      </c>
      <c r="H3101" s="34">
        <f t="shared" ref="H3101:I3109" si="1641">ROUNDDOWN($S3101/4*10,0)</f>
        <v>3290</v>
      </c>
      <c r="I3101" s="34">
        <f t="shared" si="1641"/>
        <v>3290</v>
      </c>
      <c r="J3101" s="34">
        <f t="shared" si="1633"/>
        <v>75253</v>
      </c>
      <c r="K3101" s="133">
        <v>1000</v>
      </c>
      <c r="L3101" s="34"/>
      <c r="M3101" s="16">
        <f t="shared" si="1638"/>
        <v>8978.4642156662867</v>
      </c>
      <c r="N3101" s="36">
        <v>900</v>
      </c>
      <c r="O3101" s="36">
        <v>0.5</v>
      </c>
      <c r="P3101" s="90" t="s">
        <v>571</v>
      </c>
      <c r="Q3101" s="90" t="s">
        <v>572</v>
      </c>
      <c r="R3101" s="2" t="s">
        <v>569</v>
      </c>
      <c r="S3101" s="36">
        <v>1316</v>
      </c>
    </row>
    <row r="3102" spans="1:20" x14ac:dyDescent="0.2">
      <c r="A3102" s="8" t="str">
        <f t="shared" si="1639"/>
        <v>1000040131</v>
      </c>
      <c r="B3102" s="8">
        <v>100004</v>
      </c>
      <c r="C3102" s="8">
        <v>1</v>
      </c>
      <c r="D3102" s="8" t="s">
        <v>264</v>
      </c>
      <c r="E3102" s="8">
        <v>1</v>
      </c>
      <c r="F3102" s="34">
        <f t="shared" si="1640"/>
        <v>84375</v>
      </c>
      <c r="G3102" s="34">
        <f t="shared" si="1640"/>
        <v>84375</v>
      </c>
      <c r="H3102" s="34">
        <f t="shared" si="1641"/>
        <v>3290</v>
      </c>
      <c r="I3102" s="34">
        <f t="shared" si="1641"/>
        <v>3290</v>
      </c>
      <c r="J3102" s="34">
        <f t="shared" si="1633"/>
        <v>234375</v>
      </c>
      <c r="K3102" s="133">
        <v>1000</v>
      </c>
      <c r="L3102" s="34"/>
      <c r="M3102" s="16">
        <f t="shared" si="1638"/>
        <v>20405.651790619188</v>
      </c>
      <c r="N3102" s="36">
        <v>2500</v>
      </c>
      <c r="O3102" s="36">
        <v>0.5</v>
      </c>
      <c r="P3102" s="90" t="s">
        <v>522</v>
      </c>
      <c r="Q3102" s="90" t="s">
        <v>489</v>
      </c>
      <c r="R3102" s="2" t="s">
        <v>933</v>
      </c>
      <c r="S3102" s="36">
        <v>1316</v>
      </c>
    </row>
    <row r="3103" spans="1:20" x14ac:dyDescent="0.2">
      <c r="A3103" s="8" t="str">
        <f t="shared" si="1639"/>
        <v>1000040132</v>
      </c>
      <c r="B3103" s="8">
        <v>100004</v>
      </c>
      <c r="C3103" s="8">
        <v>1</v>
      </c>
      <c r="D3103" s="8" t="s">
        <v>264</v>
      </c>
      <c r="E3103" s="8">
        <v>2</v>
      </c>
      <c r="F3103" s="34">
        <f t="shared" si="1640"/>
        <v>50875</v>
      </c>
      <c r="G3103" s="34">
        <f t="shared" si="1640"/>
        <v>50875</v>
      </c>
      <c r="H3103" s="34">
        <f t="shared" si="1641"/>
        <v>3290</v>
      </c>
      <c r="I3103" s="34">
        <f t="shared" si="1641"/>
        <v>3290</v>
      </c>
      <c r="J3103" s="34">
        <f t="shared" si="1633"/>
        <v>23226</v>
      </c>
      <c r="K3103" s="133">
        <v>1000</v>
      </c>
      <c r="L3103" s="34"/>
      <c r="M3103" s="16">
        <f t="shared" si="1638"/>
        <v>4988.0104875591433</v>
      </c>
      <c r="N3103" s="36">
        <v>500</v>
      </c>
      <c r="O3103" s="36">
        <v>0.5</v>
      </c>
      <c r="P3103" s="90" t="s">
        <v>571</v>
      </c>
      <c r="Q3103" s="90" t="s">
        <v>572</v>
      </c>
      <c r="R3103" s="2" t="s">
        <v>935</v>
      </c>
      <c r="S3103" s="36">
        <v>1316</v>
      </c>
    </row>
    <row r="3104" spans="1:20" x14ac:dyDescent="0.2">
      <c r="A3104" s="8" t="str">
        <f t="shared" si="1639"/>
        <v>1000040133</v>
      </c>
      <c r="B3104" s="8">
        <v>100004</v>
      </c>
      <c r="C3104" s="8">
        <v>1</v>
      </c>
      <c r="D3104" s="8" t="s">
        <v>264</v>
      </c>
      <c r="E3104" s="8">
        <v>3</v>
      </c>
      <c r="F3104" s="34">
        <f t="shared" si="1640"/>
        <v>50875</v>
      </c>
      <c r="G3104" s="34">
        <f t="shared" si="1640"/>
        <v>50875</v>
      </c>
      <c r="H3104" s="34">
        <f t="shared" si="1641"/>
        <v>225000</v>
      </c>
      <c r="I3104" s="34">
        <f t="shared" si="1641"/>
        <v>225000</v>
      </c>
      <c r="J3104" s="34">
        <f t="shared" si="1633"/>
        <v>92905</v>
      </c>
      <c r="K3104" s="133">
        <v>1000</v>
      </c>
      <c r="L3104" s="34"/>
      <c r="M3104" s="16">
        <f t="shared" si="1638"/>
        <v>82499.819999803643</v>
      </c>
      <c r="N3104" s="36">
        <v>1000</v>
      </c>
      <c r="O3104" s="36">
        <v>0.5</v>
      </c>
      <c r="P3104" s="90" t="s">
        <v>571</v>
      </c>
      <c r="Q3104" s="90" t="s">
        <v>572</v>
      </c>
      <c r="R3104" s="2" t="s">
        <v>936</v>
      </c>
      <c r="S3104" s="36">
        <v>90000</v>
      </c>
    </row>
    <row r="3105" spans="1:20" x14ac:dyDescent="0.2">
      <c r="A3105" s="8" t="str">
        <f t="shared" si="1639"/>
        <v>1000040134</v>
      </c>
      <c r="B3105" s="8">
        <v>100004</v>
      </c>
      <c r="C3105" s="8">
        <v>1</v>
      </c>
      <c r="D3105" s="8" t="s">
        <v>264</v>
      </c>
      <c r="E3105" s="8">
        <v>4</v>
      </c>
      <c r="F3105" s="34">
        <f t="shared" si="1640"/>
        <v>75000</v>
      </c>
      <c r="G3105" s="34">
        <f t="shared" si="1640"/>
        <v>75000</v>
      </c>
      <c r="H3105" s="34">
        <f t="shared" si="1641"/>
        <v>3290</v>
      </c>
      <c r="I3105" s="34">
        <f t="shared" si="1641"/>
        <v>3290</v>
      </c>
      <c r="J3105" s="34">
        <f t="shared" si="1633"/>
        <v>5633333</v>
      </c>
      <c r="K3105" s="133">
        <v>1000</v>
      </c>
      <c r="L3105" s="34"/>
      <c r="M3105" s="16">
        <f t="shared" si="1638"/>
        <v>94319.454375012167</v>
      </c>
      <c r="N3105" s="36">
        <v>13000</v>
      </c>
      <c r="O3105" s="36">
        <v>0.5</v>
      </c>
      <c r="P3105" s="90" t="s">
        <v>567</v>
      </c>
      <c r="Q3105" s="90" t="s">
        <v>489</v>
      </c>
      <c r="R3105" s="2" t="s">
        <v>937</v>
      </c>
      <c r="S3105" s="36">
        <v>1316</v>
      </c>
    </row>
    <row r="3106" spans="1:20" x14ac:dyDescent="0.2">
      <c r="A3106" s="8" t="str">
        <f t="shared" si="1639"/>
        <v>1000040135</v>
      </c>
      <c r="B3106" s="8">
        <v>100004</v>
      </c>
      <c r="C3106" s="8">
        <v>1</v>
      </c>
      <c r="D3106" s="8" t="s">
        <v>264</v>
      </c>
      <c r="E3106" s="8">
        <v>5</v>
      </c>
      <c r="F3106" s="34">
        <f t="shared" si="1640"/>
        <v>27750</v>
      </c>
      <c r="G3106" s="34">
        <f t="shared" si="1640"/>
        <v>27750</v>
      </c>
      <c r="H3106" s="34">
        <f t="shared" si="1641"/>
        <v>3250</v>
      </c>
      <c r="I3106" s="34">
        <f t="shared" si="1641"/>
        <v>3250</v>
      </c>
      <c r="J3106" s="34">
        <f t="shared" si="1633"/>
        <v>50675</v>
      </c>
      <c r="K3106" s="133">
        <v>1000</v>
      </c>
      <c r="L3106" s="34"/>
      <c r="M3106" s="16">
        <f t="shared" si="1638"/>
        <v>5408.2908575630436</v>
      </c>
      <c r="N3106" s="36">
        <v>1000</v>
      </c>
      <c r="O3106" s="36">
        <v>0.5</v>
      </c>
      <c r="P3106" s="90" t="s">
        <v>748</v>
      </c>
      <c r="Q3106" s="90" t="s">
        <v>572</v>
      </c>
      <c r="R3106" s="2" t="s">
        <v>938</v>
      </c>
      <c r="S3106" s="36">
        <v>1300</v>
      </c>
    </row>
    <row r="3107" spans="1:20" x14ac:dyDescent="0.2">
      <c r="A3107" s="8" t="str">
        <f t="shared" si="1639"/>
        <v>1000040140</v>
      </c>
      <c r="B3107" s="8">
        <v>100004</v>
      </c>
      <c r="C3107" s="8">
        <v>1</v>
      </c>
      <c r="D3107" s="8" t="s">
        <v>230</v>
      </c>
      <c r="E3107" s="8">
        <v>0</v>
      </c>
      <c r="F3107" s="34">
        <f t="shared" si="1640"/>
        <v>44687</v>
      </c>
      <c r="G3107" s="34">
        <f t="shared" si="1640"/>
        <v>44687</v>
      </c>
      <c r="H3107" s="34">
        <f t="shared" si="1641"/>
        <v>32500</v>
      </c>
      <c r="I3107" s="34">
        <f t="shared" si="1641"/>
        <v>32500</v>
      </c>
      <c r="J3107" s="34">
        <f t="shared" si="1633"/>
        <v>609230</v>
      </c>
      <c r="K3107" s="133">
        <v>1000</v>
      </c>
      <c r="L3107" s="34"/>
      <c r="M3107" s="16">
        <f t="shared" si="1638"/>
        <v>75251.10956045764</v>
      </c>
      <c r="N3107" s="36">
        <v>2400</v>
      </c>
      <c r="O3107" s="36">
        <v>0.5</v>
      </c>
      <c r="P3107" s="90" t="s">
        <v>571</v>
      </c>
      <c r="Q3107" s="90" t="s">
        <v>196</v>
      </c>
      <c r="R3107" s="2" t="s">
        <v>940</v>
      </c>
      <c r="S3107" s="36">
        <v>13000</v>
      </c>
    </row>
    <row r="3108" spans="1:20" x14ac:dyDescent="0.2">
      <c r="A3108" s="8">
        <v>1000041720</v>
      </c>
      <c r="B3108" s="8">
        <v>100004</v>
      </c>
      <c r="C3108" s="8">
        <v>17</v>
      </c>
      <c r="D3108" s="8" t="s">
        <v>63</v>
      </c>
      <c r="E3108" s="8">
        <v>0</v>
      </c>
      <c r="F3108" s="34">
        <f t="shared" si="1619"/>
        <v>50875</v>
      </c>
      <c r="G3108" s="34">
        <f t="shared" si="1619"/>
        <v>50875</v>
      </c>
      <c r="H3108" s="34">
        <f t="shared" si="1641"/>
        <v>3290</v>
      </c>
      <c r="I3108" s="34">
        <f t="shared" si="1641"/>
        <v>3290</v>
      </c>
      <c r="J3108" s="34">
        <f t="shared" si="1633"/>
        <v>75253</v>
      </c>
      <c r="K3108" s="133">
        <v>1000</v>
      </c>
      <c r="L3108" s="34"/>
      <c r="M3108" s="16">
        <f t="shared" si="1638"/>
        <v>8978.4642156662867</v>
      </c>
      <c r="N3108" s="36">
        <v>900</v>
      </c>
      <c r="O3108" s="36">
        <v>0.5</v>
      </c>
      <c r="P3108" s="90" t="s">
        <v>571</v>
      </c>
      <c r="Q3108" s="90" t="s">
        <v>572</v>
      </c>
      <c r="R3108" s="2" t="s">
        <v>1100</v>
      </c>
      <c r="S3108" s="36">
        <v>1316</v>
      </c>
    </row>
    <row r="3109" spans="1:20" x14ac:dyDescent="0.2">
      <c r="A3109" s="8">
        <v>1000041740</v>
      </c>
      <c r="B3109" s="8">
        <v>100004</v>
      </c>
      <c r="C3109" s="8">
        <v>17</v>
      </c>
      <c r="D3109" s="8" t="s">
        <v>237</v>
      </c>
      <c r="E3109" s="8">
        <v>0</v>
      </c>
      <c r="F3109" s="34">
        <f t="shared" si="1619"/>
        <v>57812</v>
      </c>
      <c r="G3109" s="34">
        <f t="shared" si="1619"/>
        <v>57812</v>
      </c>
      <c r="H3109" s="34">
        <f t="shared" si="1641"/>
        <v>3290</v>
      </c>
      <c r="I3109" s="34">
        <f t="shared" si="1641"/>
        <v>3290</v>
      </c>
      <c r="J3109" s="34">
        <f t="shared" si="1633"/>
        <v>85515</v>
      </c>
      <c r="K3109" s="133">
        <v>1000</v>
      </c>
      <c r="L3109" s="34"/>
      <c r="M3109" s="16">
        <f t="shared" ref="M3109" si="1642">(F3109*J3109*((H3109+I3109)/2)/1000)^(1/2)/10*0.8</f>
        <v>10202.76968269303</v>
      </c>
      <c r="N3109" s="36">
        <v>900</v>
      </c>
      <c r="O3109" s="36">
        <v>0.5</v>
      </c>
      <c r="P3109" s="90" t="s">
        <v>1101</v>
      </c>
      <c r="Q3109" s="90" t="s">
        <v>572</v>
      </c>
      <c r="R3109" s="2" t="s">
        <v>1102</v>
      </c>
      <c r="S3109" s="36">
        <v>1316</v>
      </c>
    </row>
    <row r="3110" spans="1:20" ht="38.25" x14ac:dyDescent="0.2">
      <c r="A3110" s="8"/>
      <c r="B3110" s="5"/>
      <c r="C3110" s="6" t="s">
        <v>741</v>
      </c>
      <c r="D3110" s="5"/>
      <c r="E3110" s="5"/>
      <c r="F3110" s="5"/>
      <c r="G3110" s="5"/>
      <c r="H3110" s="5"/>
      <c r="I3110" s="5"/>
      <c r="J3110" s="5"/>
      <c r="K3110" s="133"/>
      <c r="L3110" s="5"/>
      <c r="M3110" s="16">
        <f t="shared" ref="M3110" si="1643">(F3110*J3110*((H3110+I3110)/2)/1000)^(1/2)/10*0.8</f>
        <v>0</v>
      </c>
      <c r="N3110" s="5"/>
      <c r="O3110" s="5"/>
      <c r="P3110" s="5"/>
      <c r="Q3110" s="5"/>
      <c r="R3110" s="5"/>
      <c r="S3110" s="30"/>
    </row>
    <row r="3111" spans="1:20" x14ac:dyDescent="0.2">
      <c r="A3111" s="8" t="str">
        <f t="shared" si="1628"/>
        <v>1000950131</v>
      </c>
      <c r="B3111" s="8">
        <v>100095</v>
      </c>
      <c r="C3111" s="8">
        <v>1</v>
      </c>
      <c r="D3111" s="8" t="s">
        <v>64</v>
      </c>
      <c r="E3111" s="8">
        <v>1</v>
      </c>
      <c r="F3111" s="34">
        <f t="shared" si="1619"/>
        <v>300000</v>
      </c>
      <c r="G3111" s="34">
        <f t="shared" si="1619"/>
        <v>300000</v>
      </c>
      <c r="H3111" s="34">
        <f t="shared" ref="H3111:I3113" si="1644">ROUNDDOWN($S3111/4*10,0)</f>
        <v>10500</v>
      </c>
      <c r="I3111" s="34">
        <f t="shared" si="1644"/>
        <v>10500</v>
      </c>
      <c r="J3111" s="34">
        <f t="shared" ref="J3111:J3117" si="1645">ROUNDDOWN($P3111/4*$O3111*10*$N3111/$Q3111*$N3111/400,0)</f>
        <v>300000</v>
      </c>
      <c r="K3111" s="133">
        <v>1000</v>
      </c>
      <c r="L3111" s="34"/>
      <c r="M3111" s="16">
        <f t="shared" si="1586"/>
        <v>77768.888380894321</v>
      </c>
      <c r="N3111" s="36">
        <v>1200</v>
      </c>
      <c r="O3111" s="36">
        <v>0.5</v>
      </c>
      <c r="P3111" s="90" t="s">
        <v>481</v>
      </c>
      <c r="Q3111" s="90" t="s">
        <v>443</v>
      </c>
      <c r="S3111" s="36">
        <v>4200</v>
      </c>
    </row>
    <row r="3112" spans="1:20" x14ac:dyDescent="0.2">
      <c r="A3112" s="8" t="str">
        <f t="shared" ref="A3112" si="1646">IF(B3112="","",CONCATENATE(B3112,CONCATENATE(REPT(0,2-LEN(C3112)),C3112),IF(OR(D3112="Easy",D3112=""),1,IF(D3112="Normal",2,IF(D3112="Hard",3,IF(D3112="Hell",4,"error")))),E3112))</f>
        <v>1000950231</v>
      </c>
      <c r="B3112" s="8">
        <v>100095</v>
      </c>
      <c r="C3112" s="8">
        <v>2</v>
      </c>
      <c r="D3112" s="8" t="s">
        <v>64</v>
      </c>
      <c r="E3112" s="8">
        <v>1</v>
      </c>
      <c r="F3112" s="34">
        <f t="shared" si="1619"/>
        <v>27343</v>
      </c>
      <c r="G3112" s="34">
        <f t="shared" si="1619"/>
        <v>27343</v>
      </c>
      <c r="H3112" s="34">
        <f t="shared" si="1644"/>
        <v>10500</v>
      </c>
      <c r="I3112" s="34">
        <f t="shared" si="1644"/>
        <v>10500</v>
      </c>
      <c r="J3112" s="34">
        <f t="shared" si="1645"/>
        <v>80357</v>
      </c>
      <c r="K3112" s="133">
        <v>1000</v>
      </c>
      <c r="L3112" s="34"/>
      <c r="M3112" s="16">
        <f t="shared" ref="M3112" si="1647">(F3112*J3112*((H3112+I3112)/2)/1000)^(1/2)/10*0.8</f>
        <v>12151.21135966287</v>
      </c>
      <c r="N3112" s="36">
        <v>1200</v>
      </c>
      <c r="O3112" s="36">
        <v>0.5</v>
      </c>
      <c r="P3112" s="90" t="s">
        <v>1091</v>
      </c>
      <c r="Q3112" s="90" t="s">
        <v>166</v>
      </c>
      <c r="S3112" s="36">
        <v>4200</v>
      </c>
      <c r="T3112" s="114"/>
    </row>
    <row r="3113" spans="1:20" x14ac:dyDescent="0.2">
      <c r="A3113" s="8" t="str">
        <f t="shared" ref="A3113" si="1648">IF(B3113="","",CONCATENATE(B3113,CONCATENATE(REPT(0,2-LEN(C3113)),C3113),IF(OR(D3113="Easy",D3113=""),1,IF(D3113="Normal",2,IF(D3113="Hard",3,IF(D3113="Hell",4,"error")))),E3113))</f>
        <v>1000950331</v>
      </c>
      <c r="B3113" s="8">
        <v>100095</v>
      </c>
      <c r="C3113" s="8">
        <v>3</v>
      </c>
      <c r="D3113" s="8" t="s">
        <v>64</v>
      </c>
      <c r="E3113" s="8">
        <v>1</v>
      </c>
      <c r="F3113" s="34">
        <f t="shared" si="1619"/>
        <v>27343</v>
      </c>
      <c r="G3113" s="34">
        <f t="shared" si="1619"/>
        <v>27343</v>
      </c>
      <c r="H3113" s="34">
        <f t="shared" si="1644"/>
        <v>15000</v>
      </c>
      <c r="I3113" s="34">
        <f t="shared" si="1644"/>
        <v>15000</v>
      </c>
      <c r="J3113" s="34">
        <f t="shared" si="1645"/>
        <v>80357</v>
      </c>
      <c r="K3113" s="133">
        <v>1000</v>
      </c>
      <c r="L3113" s="34"/>
      <c r="M3113" s="16">
        <f t="shared" ref="M3113:M3114" si="1649">(F3113*J3113*((H3113+I3113)/2)/1000)^(1/2)/10*0.8</f>
        <v>14523.475455138141</v>
      </c>
      <c r="N3113" s="36">
        <v>1200</v>
      </c>
      <c r="O3113" s="36">
        <v>0.5</v>
      </c>
      <c r="P3113" s="90" t="s">
        <v>1091</v>
      </c>
      <c r="Q3113" s="90" t="s">
        <v>166</v>
      </c>
      <c r="R3113" s="2" t="s">
        <v>742</v>
      </c>
      <c r="S3113" s="36">
        <v>6000</v>
      </c>
      <c r="T3113" s="114"/>
    </row>
    <row r="3114" spans="1:20" x14ac:dyDescent="0.2">
      <c r="A3114" s="8" t="str">
        <f t="shared" ref="A3114" si="1650">IF(B3114="","",CONCATENATE(B3114,CONCATENATE(REPT(0,2-LEN(C3114)),C3114),IF(OR(D3114="Easy",D3114=""),1,IF(D3114="Normal",2,IF(D3114="Hard",3,IF(D3114="Hell",4,"error")))),E3114))</f>
        <v>1000950332</v>
      </c>
      <c r="B3114" s="8">
        <v>100095</v>
      </c>
      <c r="C3114" s="8">
        <v>3</v>
      </c>
      <c r="D3114" s="8" t="s">
        <v>64</v>
      </c>
      <c r="E3114" s="8">
        <v>2</v>
      </c>
      <c r="F3114" s="34">
        <f t="shared" ref="F3114:G3120" si="1651">ROUNDDOWN($P3114/4*$O3114*10*$N3114/$N3114*$Q3114/400,0)</f>
        <v>131250</v>
      </c>
      <c r="G3114" s="34">
        <f t="shared" si="1651"/>
        <v>131250</v>
      </c>
      <c r="H3114" s="34">
        <f t="shared" ref="H3114:I3120" si="1652">ROUNDDOWN($S3114/4*10,0)</f>
        <v>3290</v>
      </c>
      <c r="I3114" s="34">
        <f t="shared" si="1652"/>
        <v>3290</v>
      </c>
      <c r="J3114" s="34">
        <f t="shared" si="1645"/>
        <v>476190</v>
      </c>
      <c r="K3114" s="133">
        <v>1000</v>
      </c>
      <c r="L3114" s="34"/>
      <c r="M3114" s="16">
        <f t="shared" si="1649"/>
        <v>36276.696156072423</v>
      </c>
      <c r="N3114" s="36">
        <v>4000</v>
      </c>
      <c r="O3114" s="36">
        <v>0.5</v>
      </c>
      <c r="P3114" s="90" t="s">
        <v>594</v>
      </c>
      <c r="Q3114" s="90" t="s">
        <v>523</v>
      </c>
      <c r="R3114" s="2" t="s">
        <v>744</v>
      </c>
      <c r="S3114" s="36" t="s">
        <v>127</v>
      </c>
      <c r="T3114" s="114"/>
    </row>
    <row r="3115" spans="1:20" x14ac:dyDescent="0.2">
      <c r="A3115" s="8" t="str">
        <f t="shared" ref="A3115:A3118" si="1653">IF(B3115="","",CONCATENATE(B3115,CONCATENATE(REPT(0,2-LEN(C3115)),C3115),IF(OR(D3115="Easy",D3115=""),1,IF(D3115="Normal",2,IF(D3115="Hard",3,IF(D3115="Hell",4,"error")))),E3115))</f>
        <v>1000950333</v>
      </c>
      <c r="B3115" s="8">
        <v>100095</v>
      </c>
      <c r="C3115" s="8">
        <v>3</v>
      </c>
      <c r="D3115" s="8" t="s">
        <v>64</v>
      </c>
      <c r="E3115" s="8">
        <v>3</v>
      </c>
      <c r="F3115" s="34">
        <f t="shared" si="1651"/>
        <v>312500</v>
      </c>
      <c r="G3115" s="34">
        <f t="shared" si="1651"/>
        <v>312500</v>
      </c>
      <c r="H3115" s="34">
        <f t="shared" si="1652"/>
        <v>3290</v>
      </c>
      <c r="I3115" s="34">
        <f t="shared" si="1652"/>
        <v>3290</v>
      </c>
      <c r="J3115" s="34">
        <f t="shared" si="1645"/>
        <v>4050000</v>
      </c>
      <c r="K3115" s="133">
        <v>1000</v>
      </c>
      <c r="L3115" s="34"/>
      <c r="M3115" s="16">
        <f t="shared" ref="M3115:M3118" si="1654">(F3115*J3115*((H3115+I3115)/2)/1000)^(1/2)/10*0.8</f>
        <v>163245.2143249535</v>
      </c>
      <c r="N3115" s="36">
        <v>18000</v>
      </c>
      <c r="O3115" s="36">
        <v>0.5</v>
      </c>
      <c r="P3115" s="90" t="s">
        <v>594</v>
      </c>
      <c r="Q3115" s="90" t="s">
        <v>180</v>
      </c>
      <c r="R3115" s="2" t="s">
        <v>745</v>
      </c>
      <c r="S3115" s="36" t="s">
        <v>127</v>
      </c>
      <c r="T3115" s="114"/>
    </row>
    <row r="3116" spans="1:20" x14ac:dyDescent="0.2">
      <c r="A3116" s="8" t="str">
        <f t="shared" ref="A3116:A3117" si="1655">IF(B3116="","",CONCATENATE(B3116,CONCATENATE(REPT(0,2-LEN(C3116)),C3116),IF(OR(D3116="Easy",D3116=""),1,IF(D3116="Normal",2,IF(D3116="Hard",3,IF(D3116="Hell",4,"error")))),E3116))</f>
        <v>1000950334</v>
      </c>
      <c r="B3116" s="8">
        <v>100095</v>
      </c>
      <c r="C3116" s="8">
        <v>3</v>
      </c>
      <c r="D3116" s="8" t="s">
        <v>64</v>
      </c>
      <c r="E3116" s="8">
        <v>4</v>
      </c>
      <c r="F3116" s="34">
        <f t="shared" si="1651"/>
        <v>125000</v>
      </c>
      <c r="G3116" s="34">
        <f t="shared" si="1651"/>
        <v>125000</v>
      </c>
      <c r="H3116" s="34">
        <f t="shared" si="1652"/>
        <v>3290</v>
      </c>
      <c r="I3116" s="34">
        <f t="shared" si="1652"/>
        <v>3290</v>
      </c>
      <c r="J3116" s="34">
        <f t="shared" si="1645"/>
        <v>2000000</v>
      </c>
      <c r="K3116" s="133">
        <v>1000</v>
      </c>
      <c r="L3116" s="34"/>
      <c r="M3116" s="16">
        <f t="shared" ref="M3116:M3117" si="1656">(F3116*J3116*((H3116+I3116)/2)/1000)^(1/2)/10*0.8</f>
        <v>72553.428588868221</v>
      </c>
      <c r="N3116" s="36">
        <v>8000</v>
      </c>
      <c r="O3116" s="36">
        <v>0.5</v>
      </c>
      <c r="P3116" s="90" t="s">
        <v>594</v>
      </c>
      <c r="Q3116" s="90" t="s">
        <v>202</v>
      </c>
      <c r="R3116" s="2" t="s">
        <v>746</v>
      </c>
      <c r="S3116" s="36" t="s">
        <v>127</v>
      </c>
      <c r="T3116" s="114">
        <f>S3118</f>
        <v>43350</v>
      </c>
    </row>
    <row r="3117" spans="1:20" x14ac:dyDescent="0.2">
      <c r="A3117" s="8" t="str">
        <f t="shared" si="1655"/>
        <v>1000950335</v>
      </c>
      <c r="B3117" s="8">
        <v>100095</v>
      </c>
      <c r="C3117" s="8">
        <v>3</v>
      </c>
      <c r="D3117" s="8" t="s">
        <v>64</v>
      </c>
      <c r="E3117" s="8">
        <v>5</v>
      </c>
      <c r="F3117" s="34">
        <f t="shared" si="1651"/>
        <v>1500000</v>
      </c>
      <c r="G3117" s="34">
        <f t="shared" si="1651"/>
        <v>1500000</v>
      </c>
      <c r="H3117" s="34">
        <f t="shared" si="1652"/>
        <v>3290</v>
      </c>
      <c r="I3117" s="34">
        <f t="shared" si="1652"/>
        <v>3290</v>
      </c>
      <c r="J3117" s="34">
        <f t="shared" si="1645"/>
        <v>1041666</v>
      </c>
      <c r="K3117" s="133">
        <v>1000</v>
      </c>
      <c r="L3117" s="34"/>
      <c r="M3117" s="16">
        <f t="shared" si="1656"/>
        <v>181383.51342941841</v>
      </c>
      <c r="N3117" s="36">
        <v>10000</v>
      </c>
      <c r="O3117" s="36">
        <v>0.5</v>
      </c>
      <c r="P3117" s="90" t="s">
        <v>289</v>
      </c>
      <c r="Q3117" s="90" t="s">
        <v>748</v>
      </c>
      <c r="R3117" s="2" t="s">
        <v>747</v>
      </c>
      <c r="S3117" s="36" t="s">
        <v>127</v>
      </c>
      <c r="T3117" s="114">
        <f>S3119</f>
        <v>43350</v>
      </c>
    </row>
    <row r="3118" spans="1:20" x14ac:dyDescent="0.2">
      <c r="A3118" s="8" t="str">
        <f t="shared" si="1653"/>
        <v>1000951731</v>
      </c>
      <c r="B3118" s="8">
        <v>100095</v>
      </c>
      <c r="C3118" s="8">
        <v>17</v>
      </c>
      <c r="D3118" s="8" t="s">
        <v>64</v>
      </c>
      <c r="E3118" s="8">
        <v>1</v>
      </c>
      <c r="F3118" s="34">
        <f t="shared" si="1651"/>
        <v>376125</v>
      </c>
      <c r="G3118" s="34">
        <f t="shared" si="1651"/>
        <v>376125</v>
      </c>
      <c r="H3118" s="34">
        <f t="shared" si="1652"/>
        <v>108375</v>
      </c>
      <c r="I3118" s="34">
        <f t="shared" si="1652"/>
        <v>108375</v>
      </c>
      <c r="J3118" s="34">
        <f t="shared" ref="J3118:J3120" si="1657">ROUNDDOWN($P3118/4*$O3118*10*$N3118/$Q3118*$N3118/400,0)</f>
        <v>5229661</v>
      </c>
      <c r="K3118" s="133">
        <v>1000</v>
      </c>
      <c r="L3118" s="34">
        <v>900</v>
      </c>
      <c r="M3118" s="16">
        <f t="shared" si="1654"/>
        <v>1168039.181953371</v>
      </c>
      <c r="N3118" s="36">
        <v>880</v>
      </c>
      <c r="O3118" s="36">
        <v>1</v>
      </c>
      <c r="P3118" s="66">
        <v>255000</v>
      </c>
      <c r="Q3118" s="41" t="s">
        <v>750</v>
      </c>
      <c r="S3118" s="36">
        <f>P3118*0.17</f>
        <v>43350</v>
      </c>
      <c r="T3118" s="114">
        <f>S3120</f>
        <v>34340</v>
      </c>
    </row>
    <row r="3119" spans="1:20" x14ac:dyDescent="0.2">
      <c r="A3119" s="8" t="str">
        <f t="shared" ref="A3119" si="1658">IF(B3119="","",CONCATENATE(B3119,CONCATENATE(REPT(0,2-LEN(C3119)),C3119),IF(OR(D3119="Easy",D3119=""),1,IF(D3119="Normal",2,IF(D3119="Hard",3,IF(D3119="Hell",4,"error")))),E3119))</f>
        <v>1000951831</v>
      </c>
      <c r="B3119" s="8">
        <v>100095</v>
      </c>
      <c r="C3119" s="8">
        <v>18</v>
      </c>
      <c r="D3119" s="8" t="s">
        <v>64</v>
      </c>
      <c r="E3119" s="8">
        <v>1</v>
      </c>
      <c r="F3119" s="34">
        <f t="shared" si="1651"/>
        <v>376125</v>
      </c>
      <c r="G3119" s="34">
        <f t="shared" si="1651"/>
        <v>376125</v>
      </c>
      <c r="H3119" s="34">
        <f t="shared" si="1652"/>
        <v>108375</v>
      </c>
      <c r="I3119" s="34">
        <f t="shared" si="1652"/>
        <v>108375</v>
      </c>
      <c r="J3119" s="34">
        <f t="shared" si="1657"/>
        <v>5229661</v>
      </c>
      <c r="K3119" s="133">
        <v>1000</v>
      </c>
      <c r="L3119" s="34">
        <v>900</v>
      </c>
      <c r="M3119" s="16">
        <f t="shared" ref="M3119" si="1659">(F3119*J3119*((H3119+I3119)/2)/1000)^(1/2)/10*0.8</f>
        <v>1168039.181953371</v>
      </c>
      <c r="N3119" s="36">
        <v>880</v>
      </c>
      <c r="O3119" s="36">
        <v>1</v>
      </c>
      <c r="P3119" s="66">
        <v>255000</v>
      </c>
      <c r="Q3119" s="41" t="s">
        <v>750</v>
      </c>
      <c r="S3119" s="36">
        <f>P3119*0.17</f>
        <v>43350</v>
      </c>
      <c r="T3119" s="266"/>
    </row>
    <row r="3120" spans="1:20" x14ac:dyDescent="0.2">
      <c r="A3120" s="8" t="str">
        <f t="shared" ref="A3120" si="1660">IF(B3120="","",CONCATENATE(B3120,CONCATENATE(REPT(0,2-LEN(C3120)),C3120),IF(OR(D3120="Easy",D3120=""),1,IF(D3120="Normal",2,IF(D3120="Hard",3,IF(D3120="Hell",4,"error")))),E3120))</f>
        <v>1000951931</v>
      </c>
      <c r="B3120" s="8">
        <v>100095</v>
      </c>
      <c r="C3120" s="8">
        <v>19</v>
      </c>
      <c r="D3120" s="8" t="s">
        <v>64</v>
      </c>
      <c r="E3120" s="8">
        <v>1</v>
      </c>
      <c r="F3120" s="34">
        <f t="shared" si="1651"/>
        <v>315625</v>
      </c>
      <c r="G3120" s="34">
        <f t="shared" si="1651"/>
        <v>315625</v>
      </c>
      <c r="H3120" s="34">
        <f t="shared" si="1652"/>
        <v>85850</v>
      </c>
      <c r="I3120" s="34">
        <f t="shared" si="1652"/>
        <v>85850</v>
      </c>
      <c r="J3120" s="34">
        <f t="shared" si="1657"/>
        <v>3910720</v>
      </c>
      <c r="K3120" s="133">
        <v>1000</v>
      </c>
      <c r="L3120" s="34">
        <v>900</v>
      </c>
      <c r="M3120" s="16">
        <f t="shared" ref="M3120" si="1661">(F3120*J3120*((H3120+I3120)/2)/1000)^(1/2)/10*0.8</f>
        <v>823520.08490382321</v>
      </c>
      <c r="N3120" s="36">
        <v>880</v>
      </c>
      <c r="O3120" s="36">
        <v>1</v>
      </c>
      <c r="P3120" s="66">
        <v>202000</v>
      </c>
      <c r="Q3120" s="41" t="s">
        <v>281</v>
      </c>
      <c r="R3120" s="2" t="s">
        <v>749</v>
      </c>
      <c r="S3120" s="36">
        <f>P3120*0.17</f>
        <v>34340</v>
      </c>
      <c r="T3120" s="114"/>
    </row>
    <row r="3121" spans="1:20" ht="38.25" x14ac:dyDescent="0.2">
      <c r="A3121" s="8" t="str">
        <f t="shared" si="1581"/>
        <v/>
      </c>
      <c r="B3121" s="5"/>
      <c r="C3121" s="6" t="s">
        <v>427</v>
      </c>
      <c r="D3121" s="5"/>
      <c r="E3121" s="5"/>
      <c r="F3121" s="5"/>
      <c r="G3121" s="5"/>
      <c r="H3121" s="5"/>
      <c r="I3121" s="5"/>
      <c r="J3121" s="5"/>
      <c r="K3121" s="133"/>
      <c r="L3121" s="5"/>
      <c r="M3121" s="16">
        <f t="shared" si="1586"/>
        <v>0</v>
      </c>
      <c r="N3121" s="5"/>
      <c r="O3121" s="5"/>
      <c r="P3121" s="5"/>
      <c r="Q3121" s="5"/>
      <c r="R3121" s="5"/>
      <c r="S3121" s="30"/>
      <c r="T3121" s="114"/>
    </row>
    <row r="3122" spans="1:20" x14ac:dyDescent="0.2">
      <c r="A3122" s="8" t="str">
        <f t="shared" si="1581"/>
        <v>99000149</v>
      </c>
      <c r="B3122" s="8">
        <v>9900</v>
      </c>
      <c r="C3122" s="8">
        <v>1</v>
      </c>
      <c r="D3122" s="8" t="s">
        <v>434</v>
      </c>
      <c r="E3122" s="8">
        <v>9</v>
      </c>
      <c r="F3122" s="34">
        <f t="shared" ref="F3122:G3122" si="1662">ROUNDDOWN($P3122/4*MIN($O3122,4)*10*$N3122/$N3122*$Q3122/400,0)</f>
        <v>187500</v>
      </c>
      <c r="G3122" s="34">
        <f t="shared" si="1662"/>
        <v>187500</v>
      </c>
      <c r="H3122" s="34">
        <f t="shared" ref="H3122:I3122" si="1663">ROUNDDOWN($S3122/4*10,0)</f>
        <v>125000</v>
      </c>
      <c r="I3122" s="34">
        <f t="shared" si="1663"/>
        <v>125000</v>
      </c>
      <c r="J3122" s="34">
        <v>5669927442</v>
      </c>
      <c r="K3122" s="133">
        <v>1000</v>
      </c>
      <c r="L3122" s="34"/>
      <c r="M3122" s="16">
        <f t="shared" si="1586"/>
        <v>29163146.543197289</v>
      </c>
      <c r="N3122" s="36">
        <v>9000</v>
      </c>
      <c r="O3122" s="36">
        <v>21</v>
      </c>
      <c r="P3122" s="36">
        <v>50000</v>
      </c>
      <c r="Q3122" s="2" t="s">
        <v>284</v>
      </c>
      <c r="R3122" s="2" t="s">
        <v>170</v>
      </c>
      <c r="S3122" s="56">
        <v>50000</v>
      </c>
      <c r="T3122" s="266"/>
    </row>
    <row r="3123" spans="1:20" x14ac:dyDescent="0.2">
      <c r="A3123" s="8" t="str">
        <f t="shared" ref="A3123:A3124" si="1664">IF(B3123="","",CONCATENATE(B3123,CONCATENATE(REPT(0,2-LEN(C3123)),C3123),IF(OR(D3123="Easy",D3123=""),1,IF(D3123="Normal",2,IF(D3123="Hard",3,IF(D3123="Hell",4,"error")))),E3123))</f>
        <v>99000249</v>
      </c>
      <c r="B3123" s="8">
        <v>9900</v>
      </c>
      <c r="C3123" s="8">
        <v>2</v>
      </c>
      <c r="D3123" s="8" t="s">
        <v>428</v>
      </c>
      <c r="E3123" s="8">
        <v>9</v>
      </c>
      <c r="F3123" s="34">
        <f t="shared" ref="F3123:G3123" si="1665">ROUNDDOWN($P3123/4*MIN($O3123,4)*10*$N3123/$N3123*$Q3123/400,0)</f>
        <v>960000</v>
      </c>
      <c r="G3123" s="34">
        <f t="shared" si="1665"/>
        <v>960000</v>
      </c>
      <c r="H3123" s="34">
        <f t="shared" ref="H3123:I3123" si="1666">ROUNDDOWN($S3123/4*10,0)</f>
        <v>186000</v>
      </c>
      <c r="I3123" s="34">
        <f t="shared" si="1666"/>
        <v>186000</v>
      </c>
      <c r="J3123" s="34">
        <f t="shared" ref="J3123" si="1667">ROUNDDOWN($P3123/4*$O3123*10*$N3123/$Q3123*$N3123/400*0.8,0)</f>
        <v>5460295680</v>
      </c>
      <c r="K3123" s="133">
        <v>1000</v>
      </c>
      <c r="L3123" s="34"/>
      <c r="M3123" s="16">
        <f t="shared" si="1586"/>
        <v>78993281.602761135</v>
      </c>
      <c r="N3123" s="36">
        <v>2944</v>
      </c>
      <c r="O3123" s="36">
        <v>21</v>
      </c>
      <c r="P3123" s="36">
        <v>480000</v>
      </c>
      <c r="Q3123" s="2" t="s">
        <v>435</v>
      </c>
      <c r="R3123" s="2" t="s">
        <v>170</v>
      </c>
      <c r="S3123" s="56">
        <f>P3123*0.155</f>
        <v>74400</v>
      </c>
      <c r="T3123" s="114">
        <f>INT($P3125/2.8)</f>
        <v>107</v>
      </c>
    </row>
    <row r="3124" spans="1:20" ht="38.25" x14ac:dyDescent="0.2">
      <c r="A3124" s="8" t="str">
        <f t="shared" si="1664"/>
        <v/>
      </c>
      <c r="B3124" s="5"/>
      <c r="C3124" s="6" t="s">
        <v>487</v>
      </c>
      <c r="D3124" s="5"/>
      <c r="E3124" s="5"/>
      <c r="F3124" s="5"/>
      <c r="G3124" s="5"/>
      <c r="H3124" s="5"/>
      <c r="I3124" s="5"/>
      <c r="J3124" s="5"/>
      <c r="K3124" s="133"/>
      <c r="L3124" s="5"/>
      <c r="M3124" s="16">
        <f t="shared" si="1586"/>
        <v>0</v>
      </c>
      <c r="N3124" s="5"/>
      <c r="O3124" s="5"/>
      <c r="P3124" s="5"/>
      <c r="Q3124" s="5"/>
      <c r="R3124" s="5"/>
      <c r="S3124" s="30"/>
      <c r="T3124" s="266"/>
    </row>
    <row r="3125" spans="1:20" x14ac:dyDescent="0.2">
      <c r="A3125" s="8" t="str">
        <f t="shared" ref="A3125:A3188" si="1668">IF(B3125="","",CONCATENATE(B3125,CONCATENATE(REPT(0,2-LEN(C3125)),C3125),IF(OR(D3125="Easy",D3125=""),1,IF(D3125="Normal",2,IF(D3125="Hard",3,IF(D3125="Hell",4,"error")))),E3125))</f>
        <v>50010113</v>
      </c>
      <c r="B3125" s="8">
        <v>5001</v>
      </c>
      <c r="C3125" s="8">
        <v>1</v>
      </c>
      <c r="D3125" s="8" t="s">
        <v>62</v>
      </c>
      <c r="E3125" s="8">
        <v>3</v>
      </c>
      <c r="F3125" s="34">
        <f t="shared" ref="F3125:G3125" si="1669">ROUNDDOWN($P3125/4*$O3125*10*$N3125/$N3125*$Q3125/400,0)</f>
        <v>8437</v>
      </c>
      <c r="G3125" s="34">
        <f t="shared" si="1669"/>
        <v>8437</v>
      </c>
      <c r="H3125" s="34">
        <f t="shared" ref="H3125" si="1670">ROUNDDOWN($S3125/4*10,0)</f>
        <v>267</v>
      </c>
      <c r="I3125" s="34">
        <f t="shared" ref="I3125" si="1671">ROUNDDOWN($T3123/4*10,0)</f>
        <v>267</v>
      </c>
      <c r="J3125" s="34">
        <f t="shared" ref="J3125" si="1672">ROUNDDOWN($P3125/4*$O3125*10*$N3125/$Q3125*$N3125/400,0)</f>
        <v>2646</v>
      </c>
      <c r="K3125" s="133">
        <v>1000</v>
      </c>
      <c r="L3125" s="34"/>
      <c r="M3125" s="16">
        <f t="shared" si="1586"/>
        <v>195.31453416886313</v>
      </c>
      <c r="N3125" s="36">
        <v>840</v>
      </c>
      <c r="O3125" s="36">
        <v>3</v>
      </c>
      <c r="P3125" s="2" t="s">
        <v>488</v>
      </c>
      <c r="Q3125" s="2" t="s">
        <v>489</v>
      </c>
      <c r="S3125" s="36">
        <f t="shared" ref="S3125" si="1673">INT($P3125/2.8)</f>
        <v>107</v>
      </c>
    </row>
    <row r="3126" spans="1:20" ht="33.75" x14ac:dyDescent="0.2">
      <c r="A3126" s="30" t="str">
        <f t="shared" si="1668"/>
        <v/>
      </c>
      <c r="B3126" s="5"/>
      <c r="C3126" s="93" t="s">
        <v>614</v>
      </c>
      <c r="D3126" s="5"/>
      <c r="E3126" s="5"/>
      <c r="F3126" s="5"/>
      <c r="G3126" s="5"/>
      <c r="H3126" s="5"/>
      <c r="I3126" s="5"/>
      <c r="J3126" s="5"/>
      <c r="K3126" s="133"/>
      <c r="L3126" s="5"/>
      <c r="M3126" s="16">
        <f t="shared" si="1586"/>
        <v>0</v>
      </c>
      <c r="N3126" s="5"/>
      <c r="O3126" s="5"/>
      <c r="P3126" s="5"/>
      <c r="Q3126" s="5"/>
      <c r="R3126" s="5"/>
      <c r="S3126" s="30"/>
    </row>
    <row r="3127" spans="1:20" x14ac:dyDescent="0.2">
      <c r="A3127" s="8" t="str">
        <f t="shared" si="1668"/>
        <v>9010110</v>
      </c>
      <c r="B3127" s="8">
        <v>901</v>
      </c>
      <c r="C3127" s="8">
        <v>1</v>
      </c>
      <c r="D3127" s="8" t="s">
        <v>62</v>
      </c>
      <c r="E3127" s="8">
        <v>0</v>
      </c>
      <c r="F3127" s="34">
        <f t="shared" ref="F3127:G3146" si="1674">ROUNDDOWN($P3127/4*MIN($O3127,4)*10*$N3127/$N3127*$Q3127/400,0)</f>
        <v>13099</v>
      </c>
      <c r="G3127" s="34">
        <f t="shared" si="1674"/>
        <v>13099</v>
      </c>
      <c r="H3127" s="34">
        <f t="shared" ref="H3127:I3143" si="1675">ROUNDDOWN($S3127/4*10,0)</f>
        <v>8002</v>
      </c>
      <c r="I3127" s="34">
        <f t="shared" si="1675"/>
        <v>8002</v>
      </c>
      <c r="J3127" s="34">
        <f>ROUNDDOWN($P3127/4*$O3127*10*$N3127/$Q3127*$N3127/400*0.8,0)</f>
        <v>12867</v>
      </c>
      <c r="K3127" s="133">
        <v>1000</v>
      </c>
      <c r="L3127" s="34"/>
      <c r="M3127" s="16">
        <f t="shared" si="1586"/>
        <v>2937.9674646704989</v>
      </c>
      <c r="N3127" s="36">
        <v>810</v>
      </c>
      <c r="O3127" s="36">
        <v>1</v>
      </c>
      <c r="P3127" s="56">
        <v>2867.2</v>
      </c>
      <c r="Q3127" s="2" t="s">
        <v>103</v>
      </c>
      <c r="R3127" s="2" t="s">
        <v>615</v>
      </c>
      <c r="S3127" s="36">
        <v>3201</v>
      </c>
    </row>
    <row r="3128" spans="1:20" x14ac:dyDescent="0.2">
      <c r="A3128" s="8" t="str">
        <f t="shared" si="1668"/>
        <v>9010116</v>
      </c>
      <c r="B3128" s="8">
        <v>901</v>
      </c>
      <c r="C3128" s="8">
        <v>1</v>
      </c>
      <c r="D3128" s="8" t="s">
        <v>62</v>
      </c>
      <c r="E3128" s="8">
        <v>6</v>
      </c>
      <c r="F3128" s="34">
        <f t="shared" si="1674"/>
        <v>52398</v>
      </c>
      <c r="G3128" s="34">
        <f t="shared" si="1674"/>
        <v>52398</v>
      </c>
      <c r="H3128" s="34">
        <f t="shared" si="1675"/>
        <v>8002</v>
      </c>
      <c r="I3128" s="34">
        <f t="shared" si="1675"/>
        <v>8002</v>
      </c>
      <c r="J3128" s="34">
        <f t="shared" ref="J3128:J3191" si="1676">ROUNDDOWN($P3128/4*$O3128*10*$N3128/$Q3128*$N3128/400*0.8,0)</f>
        <v>190703</v>
      </c>
      <c r="K3128" s="133">
        <v>1000</v>
      </c>
      <c r="L3128" s="34"/>
      <c r="M3128" s="16">
        <f t="shared" si="1586"/>
        <v>22621.707276131114</v>
      </c>
      <c r="N3128" s="36">
        <v>735</v>
      </c>
      <c r="O3128" s="36">
        <v>18</v>
      </c>
      <c r="P3128" s="56">
        <v>2867.2</v>
      </c>
      <c r="Q3128" s="2" t="s">
        <v>103</v>
      </c>
      <c r="R3128" s="2" t="s">
        <v>615</v>
      </c>
      <c r="S3128" s="36">
        <v>3201</v>
      </c>
    </row>
    <row r="3129" spans="1:20" x14ac:dyDescent="0.2">
      <c r="A3129" s="8" t="str">
        <f t="shared" si="1668"/>
        <v>9010210</v>
      </c>
      <c r="B3129" s="8">
        <v>901</v>
      </c>
      <c r="C3129" s="8">
        <v>2</v>
      </c>
      <c r="D3129" s="8" t="s">
        <v>62</v>
      </c>
      <c r="E3129" s="8">
        <v>0</v>
      </c>
      <c r="F3129" s="34">
        <f t="shared" si="1674"/>
        <v>13358</v>
      </c>
      <c r="G3129" s="34">
        <f t="shared" si="1674"/>
        <v>13358</v>
      </c>
      <c r="H3129" s="34">
        <f t="shared" si="1675"/>
        <v>8567</v>
      </c>
      <c r="I3129" s="34">
        <f t="shared" si="1675"/>
        <v>8567</v>
      </c>
      <c r="J3129" s="34">
        <f t="shared" si="1676"/>
        <v>13121</v>
      </c>
      <c r="K3129" s="133">
        <v>1000</v>
      </c>
      <c r="L3129" s="34"/>
      <c r="M3129" s="16">
        <f t="shared" si="1586"/>
        <v>3099.9776146866607</v>
      </c>
      <c r="N3129" s="36">
        <v>810</v>
      </c>
      <c r="O3129" s="36">
        <v>1</v>
      </c>
      <c r="P3129" s="56">
        <v>2923.8999999999996</v>
      </c>
      <c r="Q3129" s="2" t="s">
        <v>103</v>
      </c>
      <c r="R3129" s="2" t="s">
        <v>616</v>
      </c>
      <c r="S3129" s="36">
        <v>3427</v>
      </c>
    </row>
    <row r="3130" spans="1:20" x14ac:dyDescent="0.2">
      <c r="A3130" s="8" t="str">
        <f t="shared" si="1668"/>
        <v>9010216</v>
      </c>
      <c r="B3130" s="8">
        <v>901</v>
      </c>
      <c r="C3130" s="8">
        <v>2</v>
      </c>
      <c r="D3130" s="8" t="s">
        <v>62</v>
      </c>
      <c r="E3130" s="8">
        <v>6</v>
      </c>
      <c r="F3130" s="34">
        <f t="shared" si="1674"/>
        <v>53434</v>
      </c>
      <c r="G3130" s="34">
        <f t="shared" si="1674"/>
        <v>53434</v>
      </c>
      <c r="H3130" s="34">
        <f t="shared" si="1675"/>
        <v>8567</v>
      </c>
      <c r="I3130" s="34">
        <f t="shared" si="1675"/>
        <v>8567</v>
      </c>
      <c r="J3130" s="34">
        <f t="shared" si="1676"/>
        <v>194474</v>
      </c>
      <c r="K3130" s="133">
        <v>1000</v>
      </c>
      <c r="L3130" s="34"/>
      <c r="M3130" s="16">
        <f t="shared" si="1586"/>
        <v>23869.536558547188</v>
      </c>
      <c r="N3130" s="36">
        <v>735</v>
      </c>
      <c r="O3130" s="36">
        <v>18</v>
      </c>
      <c r="P3130" s="56">
        <v>2923.8999999999996</v>
      </c>
      <c r="Q3130" s="2" t="s">
        <v>103</v>
      </c>
      <c r="R3130" s="2" t="s">
        <v>616</v>
      </c>
      <c r="S3130" s="36">
        <v>3427</v>
      </c>
    </row>
    <row r="3131" spans="1:20" x14ac:dyDescent="0.2">
      <c r="A3131" s="8" t="str">
        <f t="shared" si="1668"/>
        <v>9010310</v>
      </c>
      <c r="B3131" s="8">
        <v>901</v>
      </c>
      <c r="C3131" s="8">
        <v>3</v>
      </c>
      <c r="D3131" s="8" t="s">
        <v>62</v>
      </c>
      <c r="E3131" s="8">
        <v>0</v>
      </c>
      <c r="F3131" s="34">
        <f t="shared" si="1674"/>
        <v>13624</v>
      </c>
      <c r="G3131" s="34">
        <f t="shared" si="1674"/>
        <v>13624</v>
      </c>
      <c r="H3131" s="34">
        <f t="shared" si="1675"/>
        <v>9155</v>
      </c>
      <c r="I3131" s="34">
        <f t="shared" si="1675"/>
        <v>9155</v>
      </c>
      <c r="J3131" s="34">
        <f t="shared" si="1676"/>
        <v>13382</v>
      </c>
      <c r="K3131" s="133">
        <v>1000</v>
      </c>
      <c r="L3131" s="34"/>
      <c r="M3131" s="16">
        <f t="shared" ref="M3131:M3194" si="1677">(F3131*J3131*((H3131+I3131)/2)/1000)^(1/2)/10*0.8</f>
        <v>3268.3758403610809</v>
      </c>
      <c r="N3131" s="36">
        <v>810</v>
      </c>
      <c r="O3131" s="36">
        <v>1</v>
      </c>
      <c r="P3131" s="56">
        <v>2982</v>
      </c>
      <c r="Q3131" s="2" t="s">
        <v>103</v>
      </c>
      <c r="R3131" s="2" t="s">
        <v>617</v>
      </c>
      <c r="S3131" s="36">
        <v>3662</v>
      </c>
    </row>
    <row r="3132" spans="1:20" x14ac:dyDescent="0.2">
      <c r="A3132" s="8" t="str">
        <f t="shared" si="1668"/>
        <v>9010316</v>
      </c>
      <c r="B3132" s="8">
        <v>901</v>
      </c>
      <c r="C3132" s="8">
        <v>3</v>
      </c>
      <c r="D3132" s="8" t="s">
        <v>62</v>
      </c>
      <c r="E3132" s="8">
        <v>6</v>
      </c>
      <c r="F3132" s="34">
        <f t="shared" si="1674"/>
        <v>54496</v>
      </c>
      <c r="G3132" s="34">
        <f t="shared" si="1674"/>
        <v>54496</v>
      </c>
      <c r="H3132" s="34">
        <f t="shared" si="1675"/>
        <v>9155</v>
      </c>
      <c r="I3132" s="34">
        <f t="shared" si="1675"/>
        <v>9155</v>
      </c>
      <c r="J3132" s="34">
        <f t="shared" si="1676"/>
        <v>198338</v>
      </c>
      <c r="K3132" s="133">
        <v>1000</v>
      </c>
      <c r="L3132" s="34"/>
      <c r="M3132" s="16">
        <f t="shared" si="1677"/>
        <v>25165.434849245423</v>
      </c>
      <c r="N3132" s="36">
        <v>735</v>
      </c>
      <c r="O3132" s="36">
        <v>18</v>
      </c>
      <c r="P3132" s="56">
        <v>2982</v>
      </c>
      <c r="Q3132" s="2" t="s">
        <v>103</v>
      </c>
      <c r="R3132" s="2" t="s">
        <v>617</v>
      </c>
      <c r="S3132" s="36">
        <v>3662</v>
      </c>
    </row>
    <row r="3133" spans="1:20" x14ac:dyDescent="0.2">
      <c r="A3133" s="8" t="str">
        <f t="shared" si="1668"/>
        <v>9010410</v>
      </c>
      <c r="B3133" s="8">
        <v>901</v>
      </c>
      <c r="C3133" s="8">
        <v>4</v>
      </c>
      <c r="D3133" s="8" t="s">
        <v>62</v>
      </c>
      <c r="E3133" s="8">
        <v>0</v>
      </c>
      <c r="F3133" s="34">
        <f t="shared" si="1674"/>
        <v>13895</v>
      </c>
      <c r="G3133" s="34">
        <f t="shared" si="1674"/>
        <v>13895</v>
      </c>
      <c r="H3133" s="34">
        <f t="shared" si="1675"/>
        <v>9767</v>
      </c>
      <c r="I3133" s="34">
        <f t="shared" si="1675"/>
        <v>9767</v>
      </c>
      <c r="J3133" s="34">
        <f t="shared" si="1676"/>
        <v>13649</v>
      </c>
      <c r="K3133" s="133">
        <v>1000</v>
      </c>
      <c r="L3133" s="34"/>
      <c r="M3133" s="16">
        <f t="shared" si="1677"/>
        <v>3443.1050496062417</v>
      </c>
      <c r="N3133" s="36">
        <v>810</v>
      </c>
      <c r="O3133" s="36">
        <v>1</v>
      </c>
      <c r="P3133" s="56">
        <v>3041.5</v>
      </c>
      <c r="Q3133" s="2" t="s">
        <v>103</v>
      </c>
      <c r="R3133" s="2" t="s">
        <v>618</v>
      </c>
      <c r="S3133" s="36">
        <v>3907</v>
      </c>
    </row>
    <row r="3134" spans="1:20" x14ac:dyDescent="0.2">
      <c r="A3134" s="8" t="str">
        <f t="shared" si="1668"/>
        <v>9010416</v>
      </c>
      <c r="B3134" s="8">
        <v>901</v>
      </c>
      <c r="C3134" s="8">
        <v>4</v>
      </c>
      <c r="D3134" s="8" t="s">
        <v>62</v>
      </c>
      <c r="E3134" s="8">
        <v>6</v>
      </c>
      <c r="F3134" s="34">
        <f t="shared" si="1674"/>
        <v>55583</v>
      </c>
      <c r="G3134" s="34">
        <f t="shared" si="1674"/>
        <v>55583</v>
      </c>
      <c r="H3134" s="34">
        <f t="shared" si="1675"/>
        <v>9767</v>
      </c>
      <c r="I3134" s="34">
        <f t="shared" si="1675"/>
        <v>9767</v>
      </c>
      <c r="J3134" s="34">
        <f t="shared" si="1676"/>
        <v>202296</v>
      </c>
      <c r="K3134" s="133">
        <v>1000</v>
      </c>
      <c r="L3134" s="34"/>
      <c r="M3134" s="16">
        <f t="shared" si="1677"/>
        <v>26511.55615242905</v>
      </c>
      <c r="N3134" s="36">
        <v>735</v>
      </c>
      <c r="O3134" s="36">
        <v>18</v>
      </c>
      <c r="P3134" s="56">
        <v>3041.5</v>
      </c>
      <c r="Q3134" s="2" t="s">
        <v>103</v>
      </c>
      <c r="R3134" s="2" t="s">
        <v>618</v>
      </c>
      <c r="S3134" s="36">
        <v>3907</v>
      </c>
    </row>
    <row r="3135" spans="1:20" x14ac:dyDescent="0.2">
      <c r="A3135" s="8" t="str">
        <f t="shared" si="1668"/>
        <v>9010510</v>
      </c>
      <c r="B3135" s="8">
        <v>901</v>
      </c>
      <c r="C3135" s="8">
        <v>5</v>
      </c>
      <c r="D3135" s="8" t="s">
        <v>62</v>
      </c>
      <c r="E3135" s="8">
        <v>0</v>
      </c>
      <c r="F3135" s="34">
        <f t="shared" si="1674"/>
        <v>14170</v>
      </c>
      <c r="G3135" s="34">
        <f t="shared" si="1674"/>
        <v>14170</v>
      </c>
      <c r="H3135" s="34">
        <f t="shared" si="1675"/>
        <v>10570</v>
      </c>
      <c r="I3135" s="34">
        <f t="shared" si="1675"/>
        <v>10570</v>
      </c>
      <c r="J3135" s="34">
        <f t="shared" si="1676"/>
        <v>13919</v>
      </c>
      <c r="K3135" s="133">
        <v>1000</v>
      </c>
      <c r="L3135" s="34"/>
      <c r="M3135" s="16">
        <f t="shared" si="1677"/>
        <v>3652.720341750789</v>
      </c>
      <c r="N3135" s="36">
        <v>810</v>
      </c>
      <c r="O3135" s="36">
        <v>1</v>
      </c>
      <c r="P3135" s="56">
        <v>3101.7</v>
      </c>
      <c r="Q3135" s="2" t="s">
        <v>103</v>
      </c>
      <c r="R3135" s="2" t="s">
        <v>619</v>
      </c>
      <c r="S3135" s="36">
        <v>4228</v>
      </c>
    </row>
    <row r="3136" spans="1:20" x14ac:dyDescent="0.2">
      <c r="A3136" s="8" t="str">
        <f t="shared" si="1668"/>
        <v>9010516</v>
      </c>
      <c r="B3136" s="8">
        <v>901</v>
      </c>
      <c r="C3136" s="8">
        <v>5</v>
      </c>
      <c r="D3136" s="8" t="s">
        <v>62</v>
      </c>
      <c r="E3136" s="8">
        <v>6</v>
      </c>
      <c r="F3136" s="34">
        <f t="shared" si="1674"/>
        <v>56683</v>
      </c>
      <c r="G3136" s="34">
        <f t="shared" si="1674"/>
        <v>56683</v>
      </c>
      <c r="H3136" s="34">
        <f t="shared" si="1675"/>
        <v>10570</v>
      </c>
      <c r="I3136" s="34">
        <f t="shared" si="1675"/>
        <v>10570</v>
      </c>
      <c r="J3136" s="34">
        <f t="shared" si="1676"/>
        <v>206300</v>
      </c>
      <c r="K3136" s="133">
        <v>1000</v>
      </c>
      <c r="L3136" s="34"/>
      <c r="M3136" s="16">
        <f t="shared" si="1677"/>
        <v>28125.710902645646</v>
      </c>
      <c r="N3136" s="36">
        <v>735</v>
      </c>
      <c r="O3136" s="36">
        <v>18</v>
      </c>
      <c r="P3136" s="56">
        <v>3101.7</v>
      </c>
      <c r="Q3136" s="2" t="s">
        <v>103</v>
      </c>
      <c r="R3136" s="2" t="s">
        <v>619</v>
      </c>
      <c r="S3136" s="36">
        <v>4228</v>
      </c>
    </row>
    <row r="3137" spans="1:19" x14ac:dyDescent="0.2">
      <c r="A3137" s="8" t="str">
        <f t="shared" si="1668"/>
        <v>9010610</v>
      </c>
      <c r="B3137" s="8">
        <v>901</v>
      </c>
      <c r="C3137" s="8">
        <v>6</v>
      </c>
      <c r="D3137" s="8" t="s">
        <v>62</v>
      </c>
      <c r="E3137" s="8">
        <v>0</v>
      </c>
      <c r="F3137" s="34">
        <f t="shared" si="1674"/>
        <v>17589</v>
      </c>
      <c r="G3137" s="34">
        <f t="shared" si="1674"/>
        <v>17589</v>
      </c>
      <c r="H3137" s="34">
        <f t="shared" si="1675"/>
        <v>12660</v>
      </c>
      <c r="I3137" s="34">
        <f t="shared" si="1675"/>
        <v>12660</v>
      </c>
      <c r="J3137" s="34">
        <f t="shared" si="1676"/>
        <v>17277</v>
      </c>
      <c r="K3137" s="133">
        <v>1000</v>
      </c>
      <c r="L3137" s="34"/>
      <c r="M3137" s="16">
        <f t="shared" si="1677"/>
        <v>4962.0550819868986</v>
      </c>
      <c r="N3137" s="36">
        <v>810</v>
      </c>
      <c r="O3137" s="36">
        <v>1</v>
      </c>
      <c r="P3137" s="56">
        <v>3849.9999999999995</v>
      </c>
      <c r="Q3137" s="2" t="s">
        <v>103</v>
      </c>
      <c r="R3137" s="2" t="s">
        <v>620</v>
      </c>
      <c r="S3137" s="36">
        <v>5064</v>
      </c>
    </row>
    <row r="3138" spans="1:19" x14ac:dyDescent="0.2">
      <c r="A3138" s="8" t="str">
        <f t="shared" si="1668"/>
        <v>9010616</v>
      </c>
      <c r="B3138" s="8">
        <v>901</v>
      </c>
      <c r="C3138" s="8">
        <v>6</v>
      </c>
      <c r="D3138" s="8" t="s">
        <v>62</v>
      </c>
      <c r="E3138" s="8">
        <v>6</v>
      </c>
      <c r="F3138" s="34">
        <f t="shared" si="1674"/>
        <v>70358</v>
      </c>
      <c r="G3138" s="34">
        <f t="shared" si="1674"/>
        <v>70358</v>
      </c>
      <c r="H3138" s="34">
        <f t="shared" si="1675"/>
        <v>12660</v>
      </c>
      <c r="I3138" s="34">
        <f t="shared" si="1675"/>
        <v>12660</v>
      </c>
      <c r="J3138" s="34">
        <f t="shared" si="1676"/>
        <v>256071</v>
      </c>
      <c r="K3138" s="133">
        <v>1000</v>
      </c>
      <c r="L3138" s="34"/>
      <c r="M3138" s="16">
        <f t="shared" si="1677"/>
        <v>38207.074165657228</v>
      </c>
      <c r="N3138" s="36">
        <v>735</v>
      </c>
      <c r="O3138" s="36">
        <v>18</v>
      </c>
      <c r="P3138" s="56">
        <v>3849.9999999999995</v>
      </c>
      <c r="Q3138" s="2" t="s">
        <v>103</v>
      </c>
      <c r="R3138" s="2" t="s">
        <v>620</v>
      </c>
      <c r="S3138" s="36">
        <v>5064</v>
      </c>
    </row>
    <row r="3139" spans="1:19" x14ac:dyDescent="0.2">
      <c r="A3139" s="8" t="str">
        <f t="shared" si="1668"/>
        <v>9010710</v>
      </c>
      <c r="B3139" s="8">
        <v>901</v>
      </c>
      <c r="C3139" s="8">
        <v>7</v>
      </c>
      <c r="D3139" s="8" t="s">
        <v>62</v>
      </c>
      <c r="E3139" s="8">
        <v>0</v>
      </c>
      <c r="F3139" s="34">
        <f t="shared" si="1674"/>
        <v>18293</v>
      </c>
      <c r="G3139" s="34">
        <f t="shared" si="1674"/>
        <v>18293</v>
      </c>
      <c r="H3139" s="34">
        <f t="shared" si="1675"/>
        <v>12780</v>
      </c>
      <c r="I3139" s="34">
        <f t="shared" si="1675"/>
        <v>12780</v>
      </c>
      <c r="J3139" s="34">
        <f t="shared" si="1676"/>
        <v>17968</v>
      </c>
      <c r="K3139" s="133">
        <v>1000</v>
      </c>
      <c r="L3139" s="34"/>
      <c r="M3139" s="16">
        <f t="shared" si="1677"/>
        <v>5184.98793963959</v>
      </c>
      <c r="N3139" s="36">
        <v>810</v>
      </c>
      <c r="O3139" s="36">
        <v>1</v>
      </c>
      <c r="P3139" s="56">
        <v>4003.9999999999995</v>
      </c>
      <c r="Q3139" s="2" t="s">
        <v>103</v>
      </c>
      <c r="R3139" s="2" t="s">
        <v>621</v>
      </c>
      <c r="S3139" s="36">
        <v>5112</v>
      </c>
    </row>
    <row r="3140" spans="1:19" x14ac:dyDescent="0.2">
      <c r="A3140" s="8" t="str">
        <f t="shared" si="1668"/>
        <v>9010716</v>
      </c>
      <c r="B3140" s="8">
        <v>901</v>
      </c>
      <c r="C3140" s="8">
        <v>7</v>
      </c>
      <c r="D3140" s="8" t="s">
        <v>62</v>
      </c>
      <c r="E3140" s="8">
        <v>6</v>
      </c>
      <c r="F3140" s="34">
        <f t="shared" si="1674"/>
        <v>73173</v>
      </c>
      <c r="G3140" s="34">
        <f t="shared" si="1674"/>
        <v>73173</v>
      </c>
      <c r="H3140" s="34">
        <f t="shared" si="1675"/>
        <v>12780</v>
      </c>
      <c r="I3140" s="34">
        <f t="shared" si="1675"/>
        <v>12780</v>
      </c>
      <c r="J3140" s="34">
        <f t="shared" si="1676"/>
        <v>266313</v>
      </c>
      <c r="K3140" s="133">
        <v>1000</v>
      </c>
      <c r="L3140" s="34"/>
      <c r="M3140" s="16">
        <f t="shared" si="1677"/>
        <v>39923.354751561244</v>
      </c>
      <c r="N3140" s="36">
        <v>735</v>
      </c>
      <c r="O3140" s="36">
        <v>18</v>
      </c>
      <c r="P3140" s="56">
        <v>4003.9999999999995</v>
      </c>
      <c r="Q3140" s="2" t="s">
        <v>103</v>
      </c>
      <c r="R3140" s="2" t="s">
        <v>621</v>
      </c>
      <c r="S3140" s="36">
        <v>5112</v>
      </c>
    </row>
    <row r="3141" spans="1:19" x14ac:dyDescent="0.2">
      <c r="A3141" s="8" t="str">
        <f t="shared" si="1668"/>
        <v>9010810</v>
      </c>
      <c r="B3141" s="8">
        <v>901</v>
      </c>
      <c r="C3141" s="8">
        <v>8</v>
      </c>
      <c r="D3141" s="8" t="s">
        <v>62</v>
      </c>
      <c r="E3141" s="8">
        <v>0</v>
      </c>
      <c r="F3141" s="34">
        <f t="shared" si="1674"/>
        <v>19022</v>
      </c>
      <c r="G3141" s="34">
        <f t="shared" si="1674"/>
        <v>19022</v>
      </c>
      <c r="H3141" s="34">
        <f t="shared" si="1675"/>
        <v>14290</v>
      </c>
      <c r="I3141" s="34">
        <f t="shared" si="1675"/>
        <v>14290</v>
      </c>
      <c r="J3141" s="34">
        <f t="shared" si="1676"/>
        <v>18684</v>
      </c>
      <c r="K3141" s="133">
        <v>1000</v>
      </c>
      <c r="L3141" s="34"/>
      <c r="M3141" s="16">
        <f t="shared" si="1677"/>
        <v>5701.2373202567178</v>
      </c>
      <c r="N3141" s="36">
        <v>810</v>
      </c>
      <c r="O3141" s="36">
        <v>1</v>
      </c>
      <c r="P3141" s="56">
        <v>4163.5999999999995</v>
      </c>
      <c r="Q3141" s="2" t="s">
        <v>103</v>
      </c>
      <c r="R3141" s="2" t="s">
        <v>622</v>
      </c>
      <c r="S3141" s="36">
        <v>5716</v>
      </c>
    </row>
    <row r="3142" spans="1:19" x14ac:dyDescent="0.2">
      <c r="A3142" s="8" t="str">
        <f t="shared" si="1668"/>
        <v>9010816</v>
      </c>
      <c r="B3142" s="8">
        <v>901</v>
      </c>
      <c r="C3142" s="8">
        <v>8</v>
      </c>
      <c r="D3142" s="8" t="s">
        <v>62</v>
      </c>
      <c r="E3142" s="8">
        <v>6</v>
      </c>
      <c r="F3142" s="34">
        <f t="shared" si="1674"/>
        <v>76089</v>
      </c>
      <c r="G3142" s="34">
        <f t="shared" si="1674"/>
        <v>76089</v>
      </c>
      <c r="H3142" s="34">
        <f t="shared" si="1675"/>
        <v>14290</v>
      </c>
      <c r="I3142" s="34">
        <f t="shared" si="1675"/>
        <v>14290</v>
      </c>
      <c r="J3142" s="34">
        <f t="shared" si="1676"/>
        <v>276929</v>
      </c>
      <c r="K3142" s="133">
        <v>1000</v>
      </c>
      <c r="L3142" s="34"/>
      <c r="M3142" s="16">
        <f t="shared" si="1677"/>
        <v>43898.659458821021</v>
      </c>
      <c r="N3142" s="36">
        <v>735</v>
      </c>
      <c r="O3142" s="36">
        <v>18</v>
      </c>
      <c r="P3142" s="56">
        <v>4163.5999999999995</v>
      </c>
      <c r="Q3142" s="2" t="s">
        <v>103</v>
      </c>
      <c r="R3142" s="2" t="s">
        <v>622</v>
      </c>
      <c r="S3142" s="36">
        <v>5716</v>
      </c>
    </row>
    <row r="3143" spans="1:19" x14ac:dyDescent="0.2">
      <c r="A3143" s="8" t="str">
        <f t="shared" si="1668"/>
        <v>9010910</v>
      </c>
      <c r="B3143" s="8">
        <v>901</v>
      </c>
      <c r="C3143" s="8">
        <v>9</v>
      </c>
      <c r="D3143" s="8" t="s">
        <v>62</v>
      </c>
      <c r="E3143" s="8">
        <v>0</v>
      </c>
      <c r="F3143" s="34">
        <f t="shared" si="1674"/>
        <v>19780</v>
      </c>
      <c r="G3143" s="34">
        <f t="shared" si="1674"/>
        <v>19780</v>
      </c>
      <c r="H3143" s="34">
        <f t="shared" si="1675"/>
        <v>14530</v>
      </c>
      <c r="I3143" s="34">
        <f t="shared" si="1675"/>
        <v>14530</v>
      </c>
      <c r="J3143" s="34">
        <f t="shared" si="1676"/>
        <v>19429</v>
      </c>
      <c r="K3143" s="133">
        <v>1000</v>
      </c>
      <c r="L3143" s="34"/>
      <c r="M3143" s="16">
        <f t="shared" si="1677"/>
        <v>5978.0722825205121</v>
      </c>
      <c r="N3143" s="36">
        <v>810</v>
      </c>
      <c r="O3143" s="36">
        <v>1</v>
      </c>
      <c r="P3143" s="56">
        <v>4329.5</v>
      </c>
      <c r="Q3143" s="2" t="s">
        <v>103</v>
      </c>
      <c r="R3143" s="2" t="s">
        <v>623</v>
      </c>
      <c r="S3143" s="36">
        <v>5812</v>
      </c>
    </row>
    <row r="3144" spans="1:19" x14ac:dyDescent="0.2">
      <c r="A3144" s="8" t="str">
        <f t="shared" si="1668"/>
        <v>9010916</v>
      </c>
      <c r="B3144" s="8">
        <v>901</v>
      </c>
      <c r="C3144" s="8">
        <v>9</v>
      </c>
      <c r="D3144" s="8" t="s">
        <v>62</v>
      </c>
      <c r="E3144" s="8">
        <v>6</v>
      </c>
      <c r="F3144" s="34">
        <f t="shared" si="1674"/>
        <v>79121</v>
      </c>
      <c r="G3144" s="34">
        <f t="shared" si="1674"/>
        <v>79121</v>
      </c>
      <c r="H3144" s="34">
        <f t="shared" ref="H3144:I3224" si="1678">ROUNDDOWN($S3144/4*10,0)</f>
        <v>14530</v>
      </c>
      <c r="I3144" s="34">
        <f t="shared" si="1678"/>
        <v>14530</v>
      </c>
      <c r="J3144" s="34">
        <f t="shared" si="1676"/>
        <v>287963</v>
      </c>
      <c r="K3144" s="133">
        <v>1000</v>
      </c>
      <c r="L3144" s="34"/>
      <c r="M3144" s="16">
        <f t="shared" si="1677"/>
        <v>46029.581111224725</v>
      </c>
      <c r="N3144" s="36">
        <v>735</v>
      </c>
      <c r="O3144" s="36">
        <v>18</v>
      </c>
      <c r="P3144" s="56">
        <v>4329.5</v>
      </c>
      <c r="Q3144" s="2" t="s">
        <v>103</v>
      </c>
      <c r="R3144" s="2" t="s">
        <v>623</v>
      </c>
      <c r="S3144" s="36">
        <v>5812</v>
      </c>
    </row>
    <row r="3145" spans="1:19" x14ac:dyDescent="0.2">
      <c r="A3145" s="8" t="str">
        <f t="shared" si="1668"/>
        <v>9011010</v>
      </c>
      <c r="B3145" s="8">
        <v>901</v>
      </c>
      <c r="C3145" s="8">
        <v>10</v>
      </c>
      <c r="D3145" s="8" t="s">
        <v>62</v>
      </c>
      <c r="E3145" s="8">
        <v>0</v>
      </c>
      <c r="F3145" s="34">
        <f t="shared" si="1674"/>
        <v>20570</v>
      </c>
      <c r="G3145" s="34">
        <f t="shared" si="1674"/>
        <v>20570</v>
      </c>
      <c r="H3145" s="34">
        <f t="shared" si="1678"/>
        <v>15155</v>
      </c>
      <c r="I3145" s="34">
        <f t="shared" si="1678"/>
        <v>15155</v>
      </c>
      <c r="J3145" s="34">
        <f t="shared" si="1676"/>
        <v>20205</v>
      </c>
      <c r="K3145" s="133">
        <v>1000</v>
      </c>
      <c r="L3145" s="34"/>
      <c r="M3145" s="16">
        <f t="shared" si="1677"/>
        <v>6349.1345485191923</v>
      </c>
      <c r="N3145" s="36">
        <v>810</v>
      </c>
      <c r="O3145" s="36">
        <v>1</v>
      </c>
      <c r="P3145" s="56">
        <v>4502.3999999999996</v>
      </c>
      <c r="Q3145" s="2" t="s">
        <v>103</v>
      </c>
      <c r="R3145" s="2" t="s">
        <v>624</v>
      </c>
      <c r="S3145" s="36">
        <v>6062</v>
      </c>
    </row>
    <row r="3146" spans="1:19" x14ac:dyDescent="0.2">
      <c r="A3146" s="8" t="str">
        <f t="shared" si="1668"/>
        <v>9011016</v>
      </c>
      <c r="B3146" s="8">
        <v>901</v>
      </c>
      <c r="C3146" s="8">
        <v>10</v>
      </c>
      <c r="D3146" s="8" t="s">
        <v>62</v>
      </c>
      <c r="E3146" s="8">
        <v>6</v>
      </c>
      <c r="F3146" s="34">
        <f t="shared" si="1674"/>
        <v>82281</v>
      </c>
      <c r="G3146" s="34">
        <f t="shared" si="1674"/>
        <v>82281</v>
      </c>
      <c r="H3146" s="34">
        <f t="shared" si="1678"/>
        <v>15155</v>
      </c>
      <c r="I3146" s="34">
        <f t="shared" si="1678"/>
        <v>15155</v>
      </c>
      <c r="J3146" s="34">
        <f t="shared" si="1676"/>
        <v>299463</v>
      </c>
      <c r="K3146" s="133">
        <v>1000</v>
      </c>
      <c r="L3146" s="34"/>
      <c r="M3146" s="16">
        <f t="shared" si="1677"/>
        <v>48886.542566131393</v>
      </c>
      <c r="N3146" s="36">
        <v>735</v>
      </c>
      <c r="O3146" s="36">
        <v>18</v>
      </c>
      <c r="P3146" s="56">
        <v>4502.3999999999996</v>
      </c>
      <c r="Q3146" s="2" t="s">
        <v>103</v>
      </c>
      <c r="R3146" s="2" t="s">
        <v>624</v>
      </c>
      <c r="S3146" s="36">
        <v>6062</v>
      </c>
    </row>
    <row r="3147" spans="1:19" x14ac:dyDescent="0.2">
      <c r="A3147" s="8" t="str">
        <f t="shared" si="1668"/>
        <v>9011110</v>
      </c>
      <c r="B3147" s="8">
        <v>901</v>
      </c>
      <c r="C3147" s="8">
        <v>11</v>
      </c>
      <c r="D3147" s="8" t="s">
        <v>62</v>
      </c>
      <c r="E3147" s="8">
        <v>0</v>
      </c>
      <c r="F3147" s="34">
        <f t="shared" ref="F3147:G3166" si="1679">ROUNDDOWN($P3147/4*MIN($O3147,4)*10*$N3147/$N3147*$Q3147/400,0)</f>
        <v>25585</v>
      </c>
      <c r="G3147" s="34">
        <f t="shared" si="1679"/>
        <v>25585</v>
      </c>
      <c r="H3147" s="34">
        <f t="shared" si="1678"/>
        <v>15802</v>
      </c>
      <c r="I3147" s="34">
        <f t="shared" si="1678"/>
        <v>15802</v>
      </c>
      <c r="J3147" s="34">
        <f t="shared" si="1676"/>
        <v>25131</v>
      </c>
      <c r="K3147" s="133">
        <v>1000</v>
      </c>
      <c r="L3147" s="34"/>
      <c r="M3147" s="16">
        <f t="shared" si="1677"/>
        <v>8063.871739563323</v>
      </c>
      <c r="N3147" s="36">
        <v>810</v>
      </c>
      <c r="O3147" s="36">
        <v>1</v>
      </c>
      <c r="P3147" s="56">
        <v>5600</v>
      </c>
      <c r="Q3147" s="2" t="s">
        <v>103</v>
      </c>
      <c r="R3147" s="2" t="s">
        <v>167</v>
      </c>
      <c r="S3147" s="36">
        <v>6321</v>
      </c>
    </row>
    <row r="3148" spans="1:19" x14ac:dyDescent="0.2">
      <c r="A3148" s="8" t="str">
        <f t="shared" si="1668"/>
        <v>9011116</v>
      </c>
      <c r="B3148" s="8">
        <v>901</v>
      </c>
      <c r="C3148" s="8">
        <v>11</v>
      </c>
      <c r="D3148" s="8" t="s">
        <v>62</v>
      </c>
      <c r="E3148" s="8">
        <v>6</v>
      </c>
      <c r="F3148" s="34">
        <f t="shared" si="1679"/>
        <v>102340</v>
      </c>
      <c r="G3148" s="34">
        <f t="shared" si="1679"/>
        <v>102340</v>
      </c>
      <c r="H3148" s="34">
        <f t="shared" si="1678"/>
        <v>15802</v>
      </c>
      <c r="I3148" s="34">
        <f t="shared" si="1678"/>
        <v>15802</v>
      </c>
      <c r="J3148" s="34">
        <f t="shared" si="1676"/>
        <v>372467</v>
      </c>
      <c r="K3148" s="133">
        <v>1000</v>
      </c>
      <c r="L3148" s="34"/>
      <c r="M3148" s="16">
        <f t="shared" si="1677"/>
        <v>62088.707970171075</v>
      </c>
      <c r="N3148" s="36">
        <v>735</v>
      </c>
      <c r="O3148" s="36">
        <v>18</v>
      </c>
      <c r="P3148" s="56">
        <v>5600</v>
      </c>
      <c r="Q3148" s="2" t="s">
        <v>103</v>
      </c>
      <c r="R3148" s="2" t="s">
        <v>167</v>
      </c>
      <c r="S3148" s="36">
        <v>6321</v>
      </c>
    </row>
    <row r="3149" spans="1:19" x14ac:dyDescent="0.2">
      <c r="A3149" s="8" t="str">
        <f t="shared" si="1668"/>
        <v>9011210</v>
      </c>
      <c r="B3149" s="8">
        <v>901</v>
      </c>
      <c r="C3149" s="8">
        <v>12</v>
      </c>
      <c r="D3149" s="8" t="s">
        <v>62</v>
      </c>
      <c r="E3149" s="8">
        <v>0</v>
      </c>
      <c r="F3149" s="34">
        <f t="shared" si="1679"/>
        <v>26352</v>
      </c>
      <c r="G3149" s="34">
        <f t="shared" si="1679"/>
        <v>26352</v>
      </c>
      <c r="H3149" s="34">
        <f t="shared" si="1678"/>
        <v>16247</v>
      </c>
      <c r="I3149" s="34">
        <f t="shared" si="1678"/>
        <v>16247</v>
      </c>
      <c r="J3149" s="34">
        <f t="shared" si="1676"/>
        <v>25884</v>
      </c>
      <c r="K3149" s="133">
        <v>1000</v>
      </c>
      <c r="L3149" s="34"/>
      <c r="M3149" s="16">
        <f t="shared" si="1677"/>
        <v>8421.6863658518178</v>
      </c>
      <c r="N3149" s="36">
        <v>810</v>
      </c>
      <c r="O3149" s="36">
        <v>1</v>
      </c>
      <c r="P3149" s="56">
        <v>5768</v>
      </c>
      <c r="Q3149" s="2" t="s">
        <v>103</v>
      </c>
      <c r="R3149" s="2" t="s">
        <v>625</v>
      </c>
      <c r="S3149" s="36">
        <v>6499</v>
      </c>
    </row>
    <row r="3150" spans="1:19" x14ac:dyDescent="0.2">
      <c r="A3150" s="8" t="str">
        <f t="shared" si="1668"/>
        <v>9011216</v>
      </c>
      <c r="B3150" s="8">
        <v>901</v>
      </c>
      <c r="C3150" s="8">
        <v>12</v>
      </c>
      <c r="D3150" s="8" t="s">
        <v>62</v>
      </c>
      <c r="E3150" s="8">
        <v>6</v>
      </c>
      <c r="F3150" s="34">
        <f t="shared" si="1679"/>
        <v>105410</v>
      </c>
      <c r="G3150" s="34">
        <f t="shared" si="1679"/>
        <v>105410</v>
      </c>
      <c r="H3150" s="34">
        <f t="shared" si="1678"/>
        <v>16247</v>
      </c>
      <c r="I3150" s="34">
        <f t="shared" si="1678"/>
        <v>16247</v>
      </c>
      <c r="J3150" s="34">
        <f t="shared" si="1676"/>
        <v>383641</v>
      </c>
      <c r="K3150" s="133">
        <v>1000</v>
      </c>
      <c r="L3150" s="34"/>
      <c r="M3150" s="16">
        <f t="shared" si="1677"/>
        <v>64845.522065614117</v>
      </c>
      <c r="N3150" s="36">
        <v>735</v>
      </c>
      <c r="O3150" s="36">
        <v>18</v>
      </c>
      <c r="P3150" s="56">
        <v>5768</v>
      </c>
      <c r="Q3150" s="2" t="s">
        <v>103</v>
      </c>
      <c r="R3150" s="2" t="s">
        <v>625</v>
      </c>
      <c r="S3150" s="36">
        <v>6499</v>
      </c>
    </row>
    <row r="3151" spans="1:19" x14ac:dyDescent="0.2">
      <c r="A3151" s="8" t="str">
        <f t="shared" si="1668"/>
        <v>9011310</v>
      </c>
      <c r="B3151" s="8">
        <v>901</v>
      </c>
      <c r="C3151" s="8">
        <v>13</v>
      </c>
      <c r="D3151" s="8" t="s">
        <v>62</v>
      </c>
      <c r="E3151" s="8">
        <v>0</v>
      </c>
      <c r="F3151" s="34">
        <f t="shared" si="1679"/>
        <v>27142</v>
      </c>
      <c r="G3151" s="34">
        <f t="shared" si="1679"/>
        <v>27142</v>
      </c>
      <c r="H3151" s="34">
        <f t="shared" si="1678"/>
        <v>17100</v>
      </c>
      <c r="I3151" s="34">
        <f t="shared" si="1678"/>
        <v>17100</v>
      </c>
      <c r="J3151" s="34">
        <f t="shared" si="1676"/>
        <v>26660</v>
      </c>
      <c r="K3151" s="133">
        <v>1000</v>
      </c>
      <c r="L3151" s="34"/>
      <c r="M3151" s="16">
        <f t="shared" si="1677"/>
        <v>8898.9555565133614</v>
      </c>
      <c r="N3151" s="36">
        <v>810</v>
      </c>
      <c r="O3151" s="36">
        <v>1</v>
      </c>
      <c r="P3151" s="56">
        <v>5940.9</v>
      </c>
      <c r="Q3151" s="2" t="s">
        <v>103</v>
      </c>
      <c r="R3151" s="2" t="s">
        <v>626</v>
      </c>
      <c r="S3151" s="36">
        <v>6840</v>
      </c>
    </row>
    <row r="3152" spans="1:19" x14ac:dyDescent="0.2">
      <c r="A3152" s="8" t="str">
        <f t="shared" si="1668"/>
        <v>9011316</v>
      </c>
      <c r="B3152" s="8">
        <v>901</v>
      </c>
      <c r="C3152" s="8">
        <v>13</v>
      </c>
      <c r="D3152" s="8" t="s">
        <v>62</v>
      </c>
      <c r="E3152" s="8">
        <v>6</v>
      </c>
      <c r="F3152" s="34">
        <f t="shared" si="1679"/>
        <v>108569</v>
      </c>
      <c r="G3152" s="34">
        <f t="shared" si="1679"/>
        <v>108569</v>
      </c>
      <c r="H3152" s="34">
        <f t="shared" si="1678"/>
        <v>17100</v>
      </c>
      <c r="I3152" s="34">
        <f t="shared" si="1678"/>
        <v>17100</v>
      </c>
      <c r="J3152" s="34">
        <f t="shared" si="1676"/>
        <v>395140</v>
      </c>
      <c r="K3152" s="133">
        <v>1000</v>
      </c>
      <c r="L3152" s="34"/>
      <c r="M3152" s="16">
        <f t="shared" si="1677"/>
        <v>68519.858712568865</v>
      </c>
      <c r="N3152" s="36">
        <v>735</v>
      </c>
      <c r="O3152" s="36">
        <v>18</v>
      </c>
      <c r="P3152" s="56">
        <v>5940.9</v>
      </c>
      <c r="Q3152" s="2" t="s">
        <v>103</v>
      </c>
      <c r="R3152" s="2" t="s">
        <v>626</v>
      </c>
      <c r="S3152" s="36">
        <v>6840</v>
      </c>
    </row>
    <row r="3153" spans="1:19" x14ac:dyDescent="0.2">
      <c r="A3153" s="8" t="str">
        <f t="shared" si="1668"/>
        <v>9011410</v>
      </c>
      <c r="B3153" s="8">
        <v>901</v>
      </c>
      <c r="C3153" s="8">
        <v>14</v>
      </c>
      <c r="D3153" s="8" t="s">
        <v>62</v>
      </c>
      <c r="E3153" s="8">
        <v>0</v>
      </c>
      <c r="F3153" s="34">
        <f t="shared" si="1679"/>
        <v>27954</v>
      </c>
      <c r="G3153" s="34">
        <f t="shared" si="1679"/>
        <v>27954</v>
      </c>
      <c r="H3153" s="34">
        <f t="shared" si="1678"/>
        <v>17087</v>
      </c>
      <c r="I3153" s="34">
        <f t="shared" si="1678"/>
        <v>17087</v>
      </c>
      <c r="J3153" s="34">
        <f t="shared" si="1676"/>
        <v>27458</v>
      </c>
      <c r="K3153" s="133">
        <v>1000</v>
      </c>
      <c r="L3153" s="34"/>
      <c r="M3153" s="16">
        <f t="shared" si="1677"/>
        <v>9161.7687882055616</v>
      </c>
      <c r="N3153" s="36">
        <v>810</v>
      </c>
      <c r="O3153" s="36">
        <v>1</v>
      </c>
      <c r="P3153" s="56">
        <v>6118.7</v>
      </c>
      <c r="Q3153" s="2" t="s">
        <v>103</v>
      </c>
      <c r="R3153" s="2" t="s">
        <v>627</v>
      </c>
      <c r="S3153" s="36">
        <v>6835</v>
      </c>
    </row>
    <row r="3154" spans="1:19" x14ac:dyDescent="0.2">
      <c r="A3154" s="8" t="str">
        <f t="shared" si="1668"/>
        <v>9011416</v>
      </c>
      <c r="B3154" s="8">
        <v>901</v>
      </c>
      <c r="C3154" s="8">
        <v>14</v>
      </c>
      <c r="D3154" s="8" t="s">
        <v>62</v>
      </c>
      <c r="E3154" s="8">
        <v>6</v>
      </c>
      <c r="F3154" s="34">
        <f t="shared" si="1679"/>
        <v>111819</v>
      </c>
      <c r="G3154" s="34">
        <f t="shared" si="1679"/>
        <v>111819</v>
      </c>
      <c r="H3154" s="34">
        <f t="shared" si="1678"/>
        <v>17087</v>
      </c>
      <c r="I3154" s="34">
        <f t="shared" si="1678"/>
        <v>17087</v>
      </c>
      <c r="J3154" s="34">
        <f t="shared" si="1676"/>
        <v>406966</v>
      </c>
      <c r="K3154" s="133">
        <v>1000</v>
      </c>
      <c r="L3154" s="34"/>
      <c r="M3154" s="16">
        <f t="shared" si="1677"/>
        <v>70543.948189066839</v>
      </c>
      <c r="N3154" s="36">
        <v>735</v>
      </c>
      <c r="O3154" s="36">
        <v>18</v>
      </c>
      <c r="P3154" s="56">
        <v>6118.7</v>
      </c>
      <c r="Q3154" s="2" t="s">
        <v>103</v>
      </c>
      <c r="R3154" s="2" t="s">
        <v>627</v>
      </c>
      <c r="S3154" s="36">
        <v>6835</v>
      </c>
    </row>
    <row r="3155" spans="1:19" x14ac:dyDescent="0.2">
      <c r="A3155" s="8" t="str">
        <f t="shared" si="1668"/>
        <v>9011510</v>
      </c>
      <c r="B3155" s="8">
        <v>901</v>
      </c>
      <c r="C3155" s="8">
        <v>15</v>
      </c>
      <c r="D3155" s="8" t="s">
        <v>62</v>
      </c>
      <c r="E3155" s="8">
        <v>0</v>
      </c>
      <c r="F3155" s="34">
        <f t="shared" si="1679"/>
        <v>28792</v>
      </c>
      <c r="G3155" s="34">
        <f t="shared" si="1679"/>
        <v>28792</v>
      </c>
      <c r="H3155" s="34">
        <f t="shared" si="1678"/>
        <v>18490</v>
      </c>
      <c r="I3155" s="34">
        <f t="shared" si="1678"/>
        <v>18490</v>
      </c>
      <c r="J3155" s="34">
        <f t="shared" si="1676"/>
        <v>28281</v>
      </c>
      <c r="K3155" s="133">
        <v>1000</v>
      </c>
      <c r="L3155" s="34"/>
      <c r="M3155" s="16">
        <f t="shared" si="1677"/>
        <v>9816.1625239943951</v>
      </c>
      <c r="N3155" s="36">
        <v>810</v>
      </c>
      <c r="O3155" s="36">
        <v>1</v>
      </c>
      <c r="P3155" s="56">
        <v>6302.0999999999995</v>
      </c>
      <c r="Q3155" s="2" t="s">
        <v>103</v>
      </c>
      <c r="R3155" s="2" t="s">
        <v>628</v>
      </c>
      <c r="S3155" s="36">
        <v>7396</v>
      </c>
    </row>
    <row r="3156" spans="1:19" x14ac:dyDescent="0.2">
      <c r="A3156" s="8" t="str">
        <f t="shared" si="1668"/>
        <v>9011516</v>
      </c>
      <c r="B3156" s="8">
        <v>901</v>
      </c>
      <c r="C3156" s="8">
        <v>15</v>
      </c>
      <c r="D3156" s="8" t="s">
        <v>62</v>
      </c>
      <c r="E3156" s="8">
        <v>6</v>
      </c>
      <c r="F3156" s="34">
        <f t="shared" si="1679"/>
        <v>115170</v>
      </c>
      <c r="G3156" s="34">
        <f t="shared" si="1679"/>
        <v>115170</v>
      </c>
      <c r="H3156" s="34">
        <f t="shared" si="1678"/>
        <v>18490</v>
      </c>
      <c r="I3156" s="34">
        <f t="shared" si="1678"/>
        <v>18490</v>
      </c>
      <c r="J3156" s="34">
        <f t="shared" si="1676"/>
        <v>419165</v>
      </c>
      <c r="K3156" s="133">
        <v>1000</v>
      </c>
      <c r="L3156" s="34"/>
      <c r="M3156" s="16">
        <f t="shared" si="1677"/>
        <v>75582.391985202485</v>
      </c>
      <c r="N3156" s="36">
        <v>735</v>
      </c>
      <c r="O3156" s="36">
        <v>18</v>
      </c>
      <c r="P3156" s="56">
        <v>6302.0999999999995</v>
      </c>
      <c r="Q3156" s="2" t="s">
        <v>103</v>
      </c>
      <c r="R3156" s="2" t="s">
        <v>628</v>
      </c>
      <c r="S3156" s="36">
        <v>7396</v>
      </c>
    </row>
    <row r="3157" spans="1:19" x14ac:dyDescent="0.2">
      <c r="A3157" s="8" t="str">
        <f t="shared" si="1668"/>
        <v>9011610</v>
      </c>
      <c r="B3157" s="8">
        <v>901</v>
      </c>
      <c r="C3157" s="8">
        <v>16</v>
      </c>
      <c r="D3157" s="8" t="s">
        <v>62</v>
      </c>
      <c r="E3157" s="8">
        <v>0</v>
      </c>
      <c r="F3157" s="34">
        <f t="shared" si="1679"/>
        <v>35499</v>
      </c>
      <c r="G3157" s="34">
        <f t="shared" si="1679"/>
        <v>35499</v>
      </c>
      <c r="H3157" s="34">
        <f t="shared" si="1678"/>
        <v>21550</v>
      </c>
      <c r="I3157" s="34">
        <f t="shared" si="1678"/>
        <v>21550</v>
      </c>
      <c r="J3157" s="34">
        <f t="shared" si="1676"/>
        <v>34869</v>
      </c>
      <c r="K3157" s="133">
        <v>1000</v>
      </c>
      <c r="L3157" s="34"/>
      <c r="M3157" s="16">
        <f t="shared" si="1677"/>
        <v>13065.963183306465</v>
      </c>
      <c r="N3157" s="36">
        <v>810</v>
      </c>
      <c r="O3157" s="36">
        <v>1</v>
      </c>
      <c r="P3157" s="244">
        <v>7769.9999999999991</v>
      </c>
      <c r="Q3157" s="2" t="s">
        <v>103</v>
      </c>
      <c r="R3157" s="2" t="s">
        <v>629</v>
      </c>
      <c r="S3157" s="36">
        <v>8620</v>
      </c>
    </row>
    <row r="3158" spans="1:19" x14ac:dyDescent="0.2">
      <c r="A3158" s="8" t="str">
        <f t="shared" si="1668"/>
        <v>9011616</v>
      </c>
      <c r="B3158" s="8">
        <v>901</v>
      </c>
      <c r="C3158" s="8">
        <v>16</v>
      </c>
      <c r="D3158" s="8" t="s">
        <v>62</v>
      </c>
      <c r="E3158" s="8">
        <v>6</v>
      </c>
      <c r="F3158" s="34">
        <f t="shared" si="1679"/>
        <v>141996</v>
      </c>
      <c r="G3158" s="34">
        <f t="shared" si="1679"/>
        <v>141996</v>
      </c>
      <c r="H3158" s="34">
        <f t="shared" si="1678"/>
        <v>21550</v>
      </c>
      <c r="I3158" s="34">
        <f t="shared" si="1678"/>
        <v>21550</v>
      </c>
      <c r="J3158" s="34">
        <f t="shared" si="1676"/>
        <v>516798</v>
      </c>
      <c r="K3158" s="133">
        <v>1000</v>
      </c>
      <c r="L3158" s="34"/>
      <c r="M3158" s="16">
        <f t="shared" si="1677"/>
        <v>100603.26871230059</v>
      </c>
      <c r="N3158" s="36">
        <v>735</v>
      </c>
      <c r="O3158" s="36">
        <v>18</v>
      </c>
      <c r="P3158" s="56">
        <v>7769.9999999999991</v>
      </c>
      <c r="Q3158" s="2" t="s">
        <v>103</v>
      </c>
      <c r="R3158" s="2" t="s">
        <v>629</v>
      </c>
      <c r="S3158" s="36">
        <v>8620</v>
      </c>
    </row>
    <row r="3159" spans="1:19" x14ac:dyDescent="0.2">
      <c r="A3159" s="8" t="str">
        <f t="shared" si="1668"/>
        <v>9011710</v>
      </c>
      <c r="B3159" s="8">
        <v>901</v>
      </c>
      <c r="C3159" s="8">
        <v>17</v>
      </c>
      <c r="D3159" s="8" t="s">
        <v>62</v>
      </c>
      <c r="E3159" s="8">
        <v>0</v>
      </c>
      <c r="F3159" s="34">
        <f t="shared" si="1679"/>
        <v>36919</v>
      </c>
      <c r="G3159" s="34">
        <f t="shared" si="1679"/>
        <v>36919</v>
      </c>
      <c r="H3159" s="34">
        <f t="shared" si="1678"/>
        <v>22020</v>
      </c>
      <c r="I3159" s="34">
        <f t="shared" si="1678"/>
        <v>22020</v>
      </c>
      <c r="J3159" s="34">
        <f t="shared" si="1676"/>
        <v>36264</v>
      </c>
      <c r="K3159" s="133">
        <v>1000</v>
      </c>
      <c r="L3159" s="34"/>
      <c r="M3159" s="16">
        <f t="shared" si="1677"/>
        <v>13736.037312545712</v>
      </c>
      <c r="N3159" s="36">
        <v>810</v>
      </c>
      <c r="O3159" s="36">
        <v>1</v>
      </c>
      <c r="P3159" s="244">
        <v>8080.7999999999993</v>
      </c>
      <c r="Q3159" s="2" t="s">
        <v>103</v>
      </c>
      <c r="R3159" s="2" t="s">
        <v>630</v>
      </c>
      <c r="S3159" s="36">
        <v>8808</v>
      </c>
    </row>
    <row r="3160" spans="1:19" x14ac:dyDescent="0.2">
      <c r="A3160" s="8" t="str">
        <f t="shared" si="1668"/>
        <v>9011716</v>
      </c>
      <c r="B3160" s="8">
        <v>901</v>
      </c>
      <c r="C3160" s="8">
        <v>17</v>
      </c>
      <c r="D3160" s="8" t="s">
        <v>62</v>
      </c>
      <c r="E3160" s="8">
        <v>6</v>
      </c>
      <c r="F3160" s="34">
        <f t="shared" si="1679"/>
        <v>147676</v>
      </c>
      <c r="G3160" s="34">
        <f t="shared" si="1679"/>
        <v>147676</v>
      </c>
      <c r="H3160" s="34">
        <f t="shared" si="1678"/>
        <v>22020</v>
      </c>
      <c r="I3160" s="34">
        <f t="shared" si="1678"/>
        <v>22020</v>
      </c>
      <c r="J3160" s="34">
        <f t="shared" si="1676"/>
        <v>537469</v>
      </c>
      <c r="K3160" s="133">
        <v>1000</v>
      </c>
      <c r="L3160" s="34"/>
      <c r="M3160" s="16">
        <f t="shared" si="1677"/>
        <v>105762.16065595877</v>
      </c>
      <c r="N3160" s="36">
        <v>735</v>
      </c>
      <c r="O3160" s="36">
        <v>18</v>
      </c>
      <c r="P3160" s="56">
        <v>8080.7999999999993</v>
      </c>
      <c r="Q3160" s="2" t="s">
        <v>103</v>
      </c>
      <c r="R3160" s="2" t="s">
        <v>630</v>
      </c>
      <c r="S3160" s="36">
        <v>8808</v>
      </c>
    </row>
    <row r="3161" spans="1:19" x14ac:dyDescent="0.2">
      <c r="A3161" s="8" t="str">
        <f t="shared" si="1668"/>
        <v>9011810</v>
      </c>
      <c r="B3161" s="8">
        <v>901</v>
      </c>
      <c r="C3161" s="8">
        <v>18</v>
      </c>
      <c r="D3161" s="8" t="s">
        <v>62</v>
      </c>
      <c r="E3161" s="8">
        <v>0</v>
      </c>
      <c r="F3161" s="34">
        <f t="shared" si="1679"/>
        <v>38393</v>
      </c>
      <c r="G3161" s="34">
        <f t="shared" si="1679"/>
        <v>38393</v>
      </c>
      <c r="H3161" s="34">
        <f t="shared" si="1678"/>
        <v>23087</v>
      </c>
      <c r="I3161" s="34">
        <f t="shared" si="1678"/>
        <v>23087</v>
      </c>
      <c r="J3161" s="34">
        <f t="shared" si="1676"/>
        <v>37712</v>
      </c>
      <c r="K3161" s="133">
        <v>1000</v>
      </c>
      <c r="L3161" s="34"/>
      <c r="M3161" s="16">
        <f t="shared" si="1677"/>
        <v>14626.470699603129</v>
      </c>
      <c r="N3161" s="36">
        <v>810</v>
      </c>
      <c r="O3161" s="36">
        <v>1</v>
      </c>
      <c r="P3161" s="244">
        <v>8403.5</v>
      </c>
      <c r="Q3161" s="2" t="s">
        <v>103</v>
      </c>
      <c r="R3161" s="2" t="s">
        <v>631</v>
      </c>
      <c r="S3161" s="36">
        <v>9235</v>
      </c>
    </row>
    <row r="3162" spans="1:19" x14ac:dyDescent="0.2">
      <c r="A3162" s="8" t="str">
        <f t="shared" si="1668"/>
        <v>9011816</v>
      </c>
      <c r="B3162" s="8">
        <v>901</v>
      </c>
      <c r="C3162" s="8">
        <v>18</v>
      </c>
      <c r="D3162" s="8" t="s">
        <v>62</v>
      </c>
      <c r="E3162" s="8">
        <v>6</v>
      </c>
      <c r="F3162" s="34">
        <f t="shared" si="1679"/>
        <v>153573</v>
      </c>
      <c r="G3162" s="34">
        <f t="shared" si="1679"/>
        <v>153573</v>
      </c>
      <c r="H3162" s="34">
        <f t="shared" si="1678"/>
        <v>23087</v>
      </c>
      <c r="I3162" s="34">
        <f t="shared" si="1678"/>
        <v>23087</v>
      </c>
      <c r="J3162" s="34">
        <f t="shared" si="1676"/>
        <v>558933</v>
      </c>
      <c r="K3162" s="133">
        <v>1000</v>
      </c>
      <c r="L3162" s="34"/>
      <c r="M3162" s="16">
        <f t="shared" si="1677"/>
        <v>112618.8396470568</v>
      </c>
      <c r="N3162" s="36">
        <v>735</v>
      </c>
      <c r="O3162" s="36">
        <v>18</v>
      </c>
      <c r="P3162" s="56">
        <v>8403.5</v>
      </c>
      <c r="Q3162" s="2" t="s">
        <v>103</v>
      </c>
      <c r="R3162" s="2" t="s">
        <v>631</v>
      </c>
      <c r="S3162" s="36">
        <v>9235</v>
      </c>
    </row>
    <row r="3163" spans="1:19" x14ac:dyDescent="0.2">
      <c r="A3163" s="8" t="str">
        <f t="shared" si="1668"/>
        <v>9011910</v>
      </c>
      <c r="B3163" s="8">
        <v>901</v>
      </c>
      <c r="C3163" s="8">
        <v>19</v>
      </c>
      <c r="D3163" s="8" t="s">
        <v>62</v>
      </c>
      <c r="E3163" s="8">
        <v>0</v>
      </c>
      <c r="F3163" s="34">
        <f t="shared" si="1679"/>
        <v>39928</v>
      </c>
      <c r="G3163" s="34">
        <f t="shared" si="1679"/>
        <v>39928</v>
      </c>
      <c r="H3163" s="34">
        <f t="shared" si="1678"/>
        <v>23447</v>
      </c>
      <c r="I3163" s="34">
        <f t="shared" si="1678"/>
        <v>23447</v>
      </c>
      <c r="J3163" s="34">
        <f t="shared" si="1676"/>
        <v>39220</v>
      </c>
      <c r="K3163" s="133">
        <v>1000</v>
      </c>
      <c r="L3163" s="34"/>
      <c r="M3163" s="16">
        <f t="shared" si="1677"/>
        <v>15329.436889544508</v>
      </c>
      <c r="N3163" s="36">
        <v>810</v>
      </c>
      <c r="O3163" s="36">
        <v>1</v>
      </c>
      <c r="P3163" s="244">
        <v>8739.5</v>
      </c>
      <c r="Q3163" s="2" t="s">
        <v>103</v>
      </c>
      <c r="R3163" s="2" t="s">
        <v>632</v>
      </c>
      <c r="S3163" s="36">
        <v>9379</v>
      </c>
    </row>
    <row r="3164" spans="1:19" x14ac:dyDescent="0.2">
      <c r="A3164" s="8" t="str">
        <f t="shared" si="1668"/>
        <v>9011916</v>
      </c>
      <c r="B3164" s="8">
        <v>901</v>
      </c>
      <c r="C3164" s="8">
        <v>19</v>
      </c>
      <c r="D3164" s="8" t="s">
        <v>62</v>
      </c>
      <c r="E3164" s="8">
        <v>6</v>
      </c>
      <c r="F3164" s="34">
        <f t="shared" si="1679"/>
        <v>159714</v>
      </c>
      <c r="G3164" s="34">
        <f t="shared" si="1679"/>
        <v>159714</v>
      </c>
      <c r="H3164" s="34">
        <f t="shared" si="1678"/>
        <v>23447</v>
      </c>
      <c r="I3164" s="34">
        <f t="shared" si="1678"/>
        <v>23447</v>
      </c>
      <c r="J3164" s="34">
        <f t="shared" si="1676"/>
        <v>581281</v>
      </c>
      <c r="K3164" s="133">
        <v>1000</v>
      </c>
      <c r="L3164" s="34"/>
      <c r="M3164" s="16">
        <f t="shared" si="1677"/>
        <v>118031.57051775999</v>
      </c>
      <c r="N3164" s="36">
        <v>735</v>
      </c>
      <c r="O3164" s="36">
        <v>18</v>
      </c>
      <c r="P3164" s="56">
        <v>8739.5</v>
      </c>
      <c r="Q3164" s="2" t="s">
        <v>103</v>
      </c>
      <c r="R3164" s="2" t="s">
        <v>632</v>
      </c>
      <c r="S3164" s="36">
        <v>9379</v>
      </c>
    </row>
    <row r="3165" spans="1:19" x14ac:dyDescent="0.2">
      <c r="A3165" s="8" t="str">
        <f t="shared" si="1668"/>
        <v>9012010</v>
      </c>
      <c r="B3165" s="8">
        <v>901</v>
      </c>
      <c r="C3165" s="8">
        <v>20</v>
      </c>
      <c r="D3165" s="8" t="s">
        <v>62</v>
      </c>
      <c r="E3165" s="8">
        <v>0</v>
      </c>
      <c r="F3165" s="34">
        <f t="shared" si="1679"/>
        <v>41524</v>
      </c>
      <c r="G3165" s="34">
        <f t="shared" si="1679"/>
        <v>41524</v>
      </c>
      <c r="H3165" s="34">
        <f t="shared" si="1678"/>
        <v>24407</v>
      </c>
      <c r="I3165" s="34">
        <f t="shared" si="1678"/>
        <v>24407</v>
      </c>
      <c r="J3165" s="34">
        <f t="shared" si="1676"/>
        <v>40787</v>
      </c>
      <c r="K3165" s="133">
        <v>1000</v>
      </c>
      <c r="L3165" s="34"/>
      <c r="M3165" s="16">
        <f t="shared" si="1677"/>
        <v>16265.134548311071</v>
      </c>
      <c r="N3165" s="36">
        <v>810</v>
      </c>
      <c r="O3165" s="36">
        <v>1</v>
      </c>
      <c r="P3165" s="244">
        <v>9088.7999999999993</v>
      </c>
      <c r="Q3165" s="2" t="s">
        <v>103</v>
      </c>
      <c r="R3165" s="2" t="s">
        <v>633</v>
      </c>
      <c r="S3165" s="36">
        <v>9763</v>
      </c>
    </row>
    <row r="3166" spans="1:19" x14ac:dyDescent="0.2">
      <c r="A3166" s="8" t="str">
        <f t="shared" si="1668"/>
        <v>9012016</v>
      </c>
      <c r="B3166" s="8">
        <v>901</v>
      </c>
      <c r="C3166" s="8">
        <v>20</v>
      </c>
      <c r="D3166" s="8" t="s">
        <v>62</v>
      </c>
      <c r="E3166" s="8">
        <v>6</v>
      </c>
      <c r="F3166" s="34">
        <f t="shared" si="1679"/>
        <v>166097</v>
      </c>
      <c r="G3166" s="34">
        <f t="shared" si="1679"/>
        <v>166097</v>
      </c>
      <c r="H3166" s="34">
        <f t="shared" si="1678"/>
        <v>24407</v>
      </c>
      <c r="I3166" s="34">
        <f t="shared" si="1678"/>
        <v>24407</v>
      </c>
      <c r="J3166" s="34">
        <f t="shared" si="1676"/>
        <v>604513</v>
      </c>
      <c r="K3166" s="133">
        <v>1000</v>
      </c>
      <c r="L3166" s="34"/>
      <c r="M3166" s="16">
        <f t="shared" si="1677"/>
        <v>125236.49490179711</v>
      </c>
      <c r="N3166" s="36">
        <v>735</v>
      </c>
      <c r="O3166" s="36">
        <v>18</v>
      </c>
      <c r="P3166" s="56">
        <v>9088.7999999999993</v>
      </c>
      <c r="Q3166" s="2" t="s">
        <v>103</v>
      </c>
      <c r="R3166" s="2" t="s">
        <v>633</v>
      </c>
      <c r="S3166" s="36">
        <v>9763</v>
      </c>
    </row>
    <row r="3167" spans="1:19" x14ac:dyDescent="0.2">
      <c r="A3167" s="8" t="str">
        <f t="shared" si="1668"/>
        <v>9012110</v>
      </c>
      <c r="B3167" s="8">
        <v>901</v>
      </c>
      <c r="C3167" s="8">
        <v>21</v>
      </c>
      <c r="D3167" s="8" t="s">
        <v>62</v>
      </c>
      <c r="E3167" s="8">
        <v>0</v>
      </c>
      <c r="F3167" s="34">
        <f t="shared" ref="F3167:G3186" si="1680">ROUNDDOWN($P3167/4*MIN($O3167,4)*10*$N3167/$N3167*$Q3167/400,0)</f>
        <v>46372</v>
      </c>
      <c r="G3167" s="34">
        <f t="shared" si="1680"/>
        <v>46372</v>
      </c>
      <c r="H3167" s="34">
        <f t="shared" si="1678"/>
        <v>25775</v>
      </c>
      <c r="I3167" s="34">
        <f t="shared" si="1678"/>
        <v>25775</v>
      </c>
      <c r="J3167" s="34">
        <f t="shared" si="1676"/>
        <v>45550</v>
      </c>
      <c r="K3167" s="133">
        <v>1000</v>
      </c>
      <c r="L3167" s="34"/>
      <c r="M3167" s="16">
        <f t="shared" si="1677"/>
        <v>18666.436971634412</v>
      </c>
      <c r="N3167" s="36">
        <v>810</v>
      </c>
      <c r="O3167" s="36">
        <v>1</v>
      </c>
      <c r="P3167" s="244">
        <v>10150</v>
      </c>
      <c r="Q3167" s="2" t="s">
        <v>103</v>
      </c>
      <c r="R3167" s="2" t="s">
        <v>168</v>
      </c>
      <c r="S3167" s="36">
        <v>10310</v>
      </c>
    </row>
    <row r="3168" spans="1:19" x14ac:dyDescent="0.2">
      <c r="A3168" s="8" t="str">
        <f t="shared" si="1668"/>
        <v>9012116</v>
      </c>
      <c r="B3168" s="8">
        <v>901</v>
      </c>
      <c r="C3168" s="8">
        <v>21</v>
      </c>
      <c r="D3168" s="8" t="s">
        <v>62</v>
      </c>
      <c r="E3168" s="8">
        <v>6</v>
      </c>
      <c r="F3168" s="34">
        <f t="shared" si="1680"/>
        <v>185491</v>
      </c>
      <c r="G3168" s="34">
        <f t="shared" si="1680"/>
        <v>185491</v>
      </c>
      <c r="H3168" s="34">
        <f t="shared" si="1678"/>
        <v>25775</v>
      </c>
      <c r="I3168" s="34">
        <f t="shared" si="1678"/>
        <v>25775</v>
      </c>
      <c r="J3168" s="34">
        <f t="shared" si="1676"/>
        <v>675096</v>
      </c>
      <c r="K3168" s="133">
        <v>1000</v>
      </c>
      <c r="L3168" s="34"/>
      <c r="M3168" s="16">
        <f t="shared" si="1677"/>
        <v>143725.3955748759</v>
      </c>
      <c r="N3168" s="36">
        <v>735</v>
      </c>
      <c r="O3168" s="36">
        <v>18</v>
      </c>
      <c r="P3168" s="56">
        <v>10150</v>
      </c>
      <c r="Q3168" s="2" t="s">
        <v>103</v>
      </c>
      <c r="R3168" s="2" t="s">
        <v>168</v>
      </c>
      <c r="S3168" s="36">
        <v>10310</v>
      </c>
    </row>
    <row r="3169" spans="1:19" x14ac:dyDescent="0.2">
      <c r="A3169" s="8" t="str">
        <f t="shared" si="1668"/>
        <v>9012210</v>
      </c>
      <c r="B3169" s="8">
        <v>901</v>
      </c>
      <c r="C3169" s="8">
        <v>22</v>
      </c>
      <c r="D3169" s="8" t="s">
        <v>62</v>
      </c>
      <c r="E3169" s="8">
        <v>0</v>
      </c>
      <c r="F3169" s="34">
        <f t="shared" si="1680"/>
        <v>48227</v>
      </c>
      <c r="G3169" s="34">
        <f t="shared" si="1680"/>
        <v>48227</v>
      </c>
      <c r="H3169" s="34">
        <f t="shared" si="1678"/>
        <v>26495</v>
      </c>
      <c r="I3169" s="34">
        <f t="shared" si="1678"/>
        <v>26495</v>
      </c>
      <c r="J3169" s="34">
        <f t="shared" si="1676"/>
        <v>47372</v>
      </c>
      <c r="K3169" s="133">
        <v>1000</v>
      </c>
      <c r="L3169" s="34"/>
      <c r="M3169" s="16">
        <f t="shared" si="1677"/>
        <v>19682.3945240459</v>
      </c>
      <c r="N3169" s="36">
        <v>810</v>
      </c>
      <c r="O3169" s="36">
        <v>1</v>
      </c>
      <c r="P3169" s="244">
        <v>10556</v>
      </c>
      <c r="Q3169" s="2" t="s">
        <v>103</v>
      </c>
      <c r="R3169" s="2" t="s">
        <v>634</v>
      </c>
      <c r="S3169" s="36">
        <v>10598</v>
      </c>
    </row>
    <row r="3170" spans="1:19" x14ac:dyDescent="0.2">
      <c r="A3170" s="8" t="str">
        <f t="shared" si="1668"/>
        <v>9012216</v>
      </c>
      <c r="B3170" s="8">
        <v>901</v>
      </c>
      <c r="C3170" s="8">
        <v>22</v>
      </c>
      <c r="D3170" s="8" t="s">
        <v>62</v>
      </c>
      <c r="E3170" s="8">
        <v>6</v>
      </c>
      <c r="F3170" s="34">
        <f t="shared" si="1680"/>
        <v>192910</v>
      </c>
      <c r="G3170" s="34">
        <f t="shared" si="1680"/>
        <v>192910</v>
      </c>
      <c r="H3170" s="34">
        <f t="shared" si="1678"/>
        <v>26495</v>
      </c>
      <c r="I3170" s="34">
        <f t="shared" si="1678"/>
        <v>26495</v>
      </c>
      <c r="J3170" s="34">
        <f t="shared" si="1676"/>
        <v>702100</v>
      </c>
      <c r="K3170" s="133">
        <v>1000</v>
      </c>
      <c r="L3170" s="34"/>
      <c r="M3170" s="16">
        <f t="shared" si="1677"/>
        <v>151547.51029973407</v>
      </c>
      <c r="N3170" s="36">
        <v>735</v>
      </c>
      <c r="O3170" s="36">
        <v>18</v>
      </c>
      <c r="P3170" s="56">
        <v>10556</v>
      </c>
      <c r="Q3170" s="2" t="s">
        <v>103</v>
      </c>
      <c r="R3170" s="2" t="s">
        <v>634</v>
      </c>
      <c r="S3170" s="36">
        <v>10598</v>
      </c>
    </row>
    <row r="3171" spans="1:19" x14ac:dyDescent="0.2">
      <c r="A3171" s="8" t="str">
        <f t="shared" si="1668"/>
        <v>9012310</v>
      </c>
      <c r="B3171" s="8">
        <v>901</v>
      </c>
      <c r="C3171" s="8">
        <v>23</v>
      </c>
      <c r="D3171" s="8" t="s">
        <v>62</v>
      </c>
      <c r="E3171" s="8">
        <v>0</v>
      </c>
      <c r="F3171" s="34">
        <f t="shared" si="1680"/>
        <v>50156</v>
      </c>
      <c r="G3171" s="34">
        <f t="shared" si="1680"/>
        <v>50156</v>
      </c>
      <c r="H3171" s="34">
        <f t="shared" si="1678"/>
        <v>28080</v>
      </c>
      <c r="I3171" s="34">
        <f t="shared" si="1678"/>
        <v>28080</v>
      </c>
      <c r="J3171" s="34">
        <f t="shared" si="1676"/>
        <v>49266</v>
      </c>
      <c r="K3171" s="133">
        <v>1000</v>
      </c>
      <c r="L3171" s="34"/>
      <c r="M3171" s="16">
        <f t="shared" si="1677"/>
        <v>21072.867518616255</v>
      </c>
      <c r="N3171" s="36">
        <v>810</v>
      </c>
      <c r="O3171" s="36">
        <v>1</v>
      </c>
      <c r="P3171" s="244">
        <v>10978.099999999999</v>
      </c>
      <c r="Q3171" s="2" t="s">
        <v>103</v>
      </c>
      <c r="R3171" s="2" t="s">
        <v>635</v>
      </c>
      <c r="S3171" s="36">
        <v>11232</v>
      </c>
    </row>
    <row r="3172" spans="1:19" x14ac:dyDescent="0.2">
      <c r="A3172" s="8" t="str">
        <f t="shared" si="1668"/>
        <v>9012316</v>
      </c>
      <c r="B3172" s="8">
        <v>901</v>
      </c>
      <c r="C3172" s="8">
        <v>23</v>
      </c>
      <c r="D3172" s="8" t="s">
        <v>62</v>
      </c>
      <c r="E3172" s="8">
        <v>6</v>
      </c>
      <c r="F3172" s="34">
        <f t="shared" si="1680"/>
        <v>200624</v>
      </c>
      <c r="G3172" s="34">
        <f t="shared" si="1680"/>
        <v>200624</v>
      </c>
      <c r="H3172" s="34">
        <f t="shared" si="1678"/>
        <v>28080</v>
      </c>
      <c r="I3172" s="34">
        <f t="shared" si="1678"/>
        <v>28080</v>
      </c>
      <c r="J3172" s="34">
        <f t="shared" si="1676"/>
        <v>730175</v>
      </c>
      <c r="K3172" s="133">
        <v>1000</v>
      </c>
      <c r="L3172" s="34"/>
      <c r="M3172" s="16">
        <f t="shared" si="1677"/>
        <v>162253.27101414753</v>
      </c>
      <c r="N3172" s="36">
        <v>735</v>
      </c>
      <c r="O3172" s="36">
        <v>18</v>
      </c>
      <c r="P3172" s="56">
        <v>10978.099999999999</v>
      </c>
      <c r="Q3172" s="2" t="s">
        <v>103</v>
      </c>
      <c r="R3172" s="2" t="s">
        <v>635</v>
      </c>
      <c r="S3172" s="36">
        <v>11232</v>
      </c>
    </row>
    <row r="3173" spans="1:19" x14ac:dyDescent="0.2">
      <c r="A3173" s="8" t="str">
        <f t="shared" si="1668"/>
        <v>9012410</v>
      </c>
      <c r="B3173" s="8">
        <v>901</v>
      </c>
      <c r="C3173" s="8">
        <v>24</v>
      </c>
      <c r="D3173" s="8" t="s">
        <v>62</v>
      </c>
      <c r="E3173" s="8">
        <v>0</v>
      </c>
      <c r="F3173" s="34">
        <f t="shared" si="1680"/>
        <v>52161</v>
      </c>
      <c r="G3173" s="34">
        <f t="shared" si="1680"/>
        <v>52161</v>
      </c>
      <c r="H3173" s="34">
        <f t="shared" si="1678"/>
        <v>28642</v>
      </c>
      <c r="I3173" s="34">
        <f t="shared" si="1678"/>
        <v>28642</v>
      </c>
      <c r="J3173" s="34">
        <f t="shared" si="1676"/>
        <v>51235</v>
      </c>
      <c r="K3173" s="133">
        <v>1000</v>
      </c>
      <c r="L3173" s="34"/>
      <c r="M3173" s="16">
        <f t="shared" si="1677"/>
        <v>22133.392310742795</v>
      </c>
      <c r="N3173" s="36">
        <v>810</v>
      </c>
      <c r="O3173" s="36">
        <v>1</v>
      </c>
      <c r="P3173" s="244">
        <v>11417</v>
      </c>
      <c r="Q3173" s="2" t="s">
        <v>103</v>
      </c>
      <c r="R3173" s="2" t="s">
        <v>636</v>
      </c>
      <c r="S3173" s="36">
        <v>11457</v>
      </c>
    </row>
    <row r="3174" spans="1:19" x14ac:dyDescent="0.2">
      <c r="A3174" s="8" t="str">
        <f t="shared" si="1668"/>
        <v>9012416</v>
      </c>
      <c r="B3174" s="8">
        <v>901</v>
      </c>
      <c r="C3174" s="8">
        <v>24</v>
      </c>
      <c r="D3174" s="8" t="s">
        <v>62</v>
      </c>
      <c r="E3174" s="8">
        <v>6</v>
      </c>
      <c r="F3174" s="34">
        <f t="shared" si="1680"/>
        <v>208645</v>
      </c>
      <c r="G3174" s="34">
        <f t="shared" si="1680"/>
        <v>208645</v>
      </c>
      <c r="H3174" s="34">
        <f t="shared" si="1678"/>
        <v>28642</v>
      </c>
      <c r="I3174" s="34">
        <f t="shared" si="1678"/>
        <v>28642</v>
      </c>
      <c r="J3174" s="34">
        <f t="shared" si="1676"/>
        <v>759367</v>
      </c>
      <c r="K3174" s="133">
        <v>1000</v>
      </c>
      <c r="L3174" s="34"/>
      <c r="M3174" s="16">
        <f t="shared" si="1677"/>
        <v>170420.3716275827</v>
      </c>
      <c r="N3174" s="36">
        <v>735</v>
      </c>
      <c r="O3174" s="36">
        <v>18</v>
      </c>
      <c r="P3174" s="56">
        <v>11417</v>
      </c>
      <c r="Q3174" s="2" t="s">
        <v>103</v>
      </c>
      <c r="R3174" s="2" t="s">
        <v>636</v>
      </c>
      <c r="S3174" s="36">
        <v>11457</v>
      </c>
    </row>
    <row r="3175" spans="1:19" x14ac:dyDescent="0.2">
      <c r="A3175" s="8" t="str">
        <f t="shared" si="1668"/>
        <v>9012510</v>
      </c>
      <c r="B3175" s="8">
        <v>901</v>
      </c>
      <c r="C3175" s="8">
        <v>25</v>
      </c>
      <c r="D3175" s="8" t="s">
        <v>62</v>
      </c>
      <c r="E3175" s="8">
        <v>0</v>
      </c>
      <c r="F3175" s="34">
        <f t="shared" si="1680"/>
        <v>54246</v>
      </c>
      <c r="G3175" s="34">
        <f t="shared" si="1680"/>
        <v>54246</v>
      </c>
      <c r="H3175" s="34">
        <f t="shared" si="1678"/>
        <v>30095</v>
      </c>
      <c r="I3175" s="34">
        <f t="shared" si="1678"/>
        <v>30095</v>
      </c>
      <c r="J3175" s="34">
        <f t="shared" si="1676"/>
        <v>53284</v>
      </c>
      <c r="K3175" s="133">
        <v>1000</v>
      </c>
      <c r="L3175" s="34"/>
      <c r="M3175" s="16">
        <f t="shared" si="1677"/>
        <v>23594.970052053726</v>
      </c>
      <c r="N3175" s="36">
        <v>810</v>
      </c>
      <c r="O3175" s="36">
        <v>1</v>
      </c>
      <c r="P3175" s="244">
        <v>11873.4</v>
      </c>
      <c r="Q3175" s="2" t="s">
        <v>103</v>
      </c>
      <c r="R3175" s="2" t="s">
        <v>637</v>
      </c>
      <c r="S3175" s="36">
        <v>12038</v>
      </c>
    </row>
    <row r="3176" spans="1:19" x14ac:dyDescent="0.2">
      <c r="A3176" s="8" t="str">
        <f t="shared" si="1668"/>
        <v>9012516</v>
      </c>
      <c r="B3176" s="8">
        <v>901</v>
      </c>
      <c r="C3176" s="8">
        <v>25</v>
      </c>
      <c r="D3176" s="8" t="s">
        <v>62</v>
      </c>
      <c r="E3176" s="8">
        <v>6</v>
      </c>
      <c r="F3176" s="34">
        <f t="shared" si="1680"/>
        <v>216986</v>
      </c>
      <c r="G3176" s="34">
        <f t="shared" si="1680"/>
        <v>216986</v>
      </c>
      <c r="H3176" s="34">
        <f t="shared" si="1678"/>
        <v>30095</v>
      </c>
      <c r="I3176" s="34">
        <f t="shared" si="1678"/>
        <v>30095</v>
      </c>
      <c r="J3176" s="34">
        <f t="shared" si="1676"/>
        <v>789723</v>
      </c>
      <c r="K3176" s="133">
        <v>1000</v>
      </c>
      <c r="L3176" s="34"/>
      <c r="M3176" s="16">
        <f t="shared" si="1677"/>
        <v>181673.0097405276</v>
      </c>
      <c r="N3176" s="36">
        <v>735</v>
      </c>
      <c r="O3176" s="36">
        <v>18</v>
      </c>
      <c r="P3176" s="56">
        <v>11873.4</v>
      </c>
      <c r="Q3176" s="2" t="s">
        <v>103</v>
      </c>
      <c r="R3176" s="2" t="s">
        <v>637</v>
      </c>
      <c r="S3176" s="36">
        <v>12038</v>
      </c>
    </row>
    <row r="3177" spans="1:19" x14ac:dyDescent="0.2">
      <c r="A3177" s="8" t="str">
        <f t="shared" si="1668"/>
        <v>9012610</v>
      </c>
      <c r="B3177" s="8">
        <v>901</v>
      </c>
      <c r="C3177" s="8">
        <v>26</v>
      </c>
      <c r="D3177" s="8" t="s">
        <v>62</v>
      </c>
      <c r="E3177" s="8">
        <v>0</v>
      </c>
      <c r="F3177" s="34">
        <f t="shared" si="1680"/>
        <v>78925</v>
      </c>
      <c r="G3177" s="34">
        <f t="shared" si="1680"/>
        <v>78925</v>
      </c>
      <c r="H3177" s="34">
        <f t="shared" si="1678"/>
        <v>28875</v>
      </c>
      <c r="I3177" s="34">
        <f t="shared" si="1678"/>
        <v>28875</v>
      </c>
      <c r="J3177" s="34">
        <f t="shared" si="1676"/>
        <v>61609</v>
      </c>
      <c r="K3177" s="133">
        <v>1000</v>
      </c>
      <c r="L3177" s="34"/>
      <c r="M3177" s="16">
        <f t="shared" si="1677"/>
        <v>29976.460966231491</v>
      </c>
      <c r="N3177" s="36">
        <v>810</v>
      </c>
      <c r="O3177" s="36">
        <v>1</v>
      </c>
      <c r="P3177" s="56">
        <v>15399.999999999998</v>
      </c>
      <c r="Q3177" s="2" t="s">
        <v>183</v>
      </c>
      <c r="R3177" s="2" t="s">
        <v>638</v>
      </c>
      <c r="S3177" s="56">
        <f>P3177*0.75</f>
        <v>11549.999999999998</v>
      </c>
    </row>
    <row r="3178" spans="1:19" x14ac:dyDescent="0.2">
      <c r="A3178" s="8" t="str">
        <f t="shared" si="1668"/>
        <v>9012616</v>
      </c>
      <c r="B3178" s="8">
        <v>901</v>
      </c>
      <c r="C3178" s="8">
        <v>26</v>
      </c>
      <c r="D3178" s="8" t="s">
        <v>62</v>
      </c>
      <c r="E3178" s="8">
        <v>6</v>
      </c>
      <c r="F3178" s="34">
        <f t="shared" si="1680"/>
        <v>315700</v>
      </c>
      <c r="G3178" s="34">
        <f t="shared" si="1680"/>
        <v>315700</v>
      </c>
      <c r="H3178" s="34">
        <f t="shared" si="1678"/>
        <v>28875</v>
      </c>
      <c r="I3178" s="34">
        <f t="shared" si="1678"/>
        <v>28875</v>
      </c>
      <c r="J3178" s="34">
        <f t="shared" si="1676"/>
        <v>913112</v>
      </c>
      <c r="K3178" s="133">
        <v>1000</v>
      </c>
      <c r="L3178" s="34"/>
      <c r="M3178" s="16">
        <f t="shared" si="1677"/>
        <v>230807.70332101139</v>
      </c>
      <c r="N3178" s="36">
        <v>735</v>
      </c>
      <c r="O3178" s="36">
        <v>18</v>
      </c>
      <c r="P3178" s="56">
        <v>15399.999999999998</v>
      </c>
      <c r="Q3178" s="2" t="s">
        <v>183</v>
      </c>
      <c r="R3178" s="2" t="s">
        <v>638</v>
      </c>
      <c r="S3178" s="56">
        <f t="shared" ref="S3178:S3216" si="1681">P3178*0.75</f>
        <v>11549.999999999998</v>
      </c>
    </row>
    <row r="3179" spans="1:19" x14ac:dyDescent="0.2">
      <c r="A3179" s="8" t="str">
        <f t="shared" si="1668"/>
        <v>9012710</v>
      </c>
      <c r="B3179" s="8">
        <v>901</v>
      </c>
      <c r="C3179" s="8">
        <v>27</v>
      </c>
      <c r="D3179" s="8" t="s">
        <v>62</v>
      </c>
      <c r="E3179" s="8">
        <v>0</v>
      </c>
      <c r="F3179" s="34">
        <f t="shared" si="1680"/>
        <v>82082</v>
      </c>
      <c r="G3179" s="34">
        <f t="shared" si="1680"/>
        <v>82082</v>
      </c>
      <c r="H3179" s="34">
        <f t="shared" si="1678"/>
        <v>30030</v>
      </c>
      <c r="I3179" s="34">
        <f t="shared" si="1678"/>
        <v>30030</v>
      </c>
      <c r="J3179" s="34">
        <f t="shared" si="1676"/>
        <v>64073</v>
      </c>
      <c r="K3179" s="133">
        <v>1000</v>
      </c>
      <c r="L3179" s="34"/>
      <c r="M3179" s="16">
        <f t="shared" si="1677"/>
        <v>31792.827043050325</v>
      </c>
      <c r="N3179" s="36">
        <v>810</v>
      </c>
      <c r="O3179" s="36">
        <v>1</v>
      </c>
      <c r="P3179" s="56">
        <v>16015.999999999998</v>
      </c>
      <c r="Q3179" s="2" t="s">
        <v>183</v>
      </c>
      <c r="R3179" s="2" t="s">
        <v>639</v>
      </c>
      <c r="S3179" s="56">
        <f t="shared" si="1681"/>
        <v>12011.999999999998</v>
      </c>
    </row>
    <row r="3180" spans="1:19" x14ac:dyDescent="0.2">
      <c r="A3180" s="8" t="str">
        <f t="shared" si="1668"/>
        <v>9012716</v>
      </c>
      <c r="B3180" s="8">
        <v>901</v>
      </c>
      <c r="C3180" s="8">
        <v>27</v>
      </c>
      <c r="D3180" s="8" t="s">
        <v>62</v>
      </c>
      <c r="E3180" s="8">
        <v>6</v>
      </c>
      <c r="F3180" s="34">
        <f t="shared" si="1680"/>
        <v>328328</v>
      </c>
      <c r="G3180" s="34">
        <f t="shared" si="1680"/>
        <v>328328</v>
      </c>
      <c r="H3180" s="34">
        <f t="shared" si="1678"/>
        <v>30030</v>
      </c>
      <c r="I3180" s="34">
        <f t="shared" si="1678"/>
        <v>30030</v>
      </c>
      <c r="J3180" s="34">
        <f t="shared" si="1676"/>
        <v>949636</v>
      </c>
      <c r="K3180" s="133">
        <v>1000</v>
      </c>
      <c r="L3180" s="34"/>
      <c r="M3180" s="16">
        <f t="shared" si="1677"/>
        <v>244793.67862293488</v>
      </c>
      <c r="N3180" s="36">
        <v>735</v>
      </c>
      <c r="O3180" s="36">
        <v>18</v>
      </c>
      <c r="P3180" s="56">
        <v>16015.999999999998</v>
      </c>
      <c r="Q3180" s="2" t="s">
        <v>183</v>
      </c>
      <c r="R3180" s="2" t="s">
        <v>639</v>
      </c>
      <c r="S3180" s="56">
        <f t="shared" si="1681"/>
        <v>12011.999999999998</v>
      </c>
    </row>
    <row r="3181" spans="1:19" x14ac:dyDescent="0.2">
      <c r="A3181" s="8" t="str">
        <f t="shared" si="1668"/>
        <v>9012810</v>
      </c>
      <c r="B3181" s="8">
        <v>901</v>
      </c>
      <c r="C3181" s="8">
        <v>28</v>
      </c>
      <c r="D3181" s="8" t="s">
        <v>62</v>
      </c>
      <c r="E3181" s="8">
        <v>0</v>
      </c>
      <c r="F3181" s="34">
        <f t="shared" si="1680"/>
        <v>85364</v>
      </c>
      <c r="G3181" s="34">
        <f t="shared" si="1680"/>
        <v>85364</v>
      </c>
      <c r="H3181" s="34">
        <f t="shared" si="1678"/>
        <v>31230</v>
      </c>
      <c r="I3181" s="34">
        <f t="shared" si="1678"/>
        <v>31230</v>
      </c>
      <c r="J3181" s="34">
        <f t="shared" si="1676"/>
        <v>66636</v>
      </c>
      <c r="K3181" s="133">
        <v>1000</v>
      </c>
      <c r="L3181" s="34"/>
      <c r="M3181" s="16">
        <f t="shared" si="1677"/>
        <v>33718.466697278629</v>
      </c>
      <c r="N3181" s="36">
        <v>810</v>
      </c>
      <c r="O3181" s="36">
        <v>1</v>
      </c>
      <c r="P3181" s="56">
        <v>16656.5</v>
      </c>
      <c r="Q3181" s="2" t="s">
        <v>183</v>
      </c>
      <c r="R3181" s="2" t="s">
        <v>640</v>
      </c>
      <c r="S3181" s="56">
        <f t="shared" si="1681"/>
        <v>12492.375</v>
      </c>
    </row>
    <row r="3182" spans="1:19" x14ac:dyDescent="0.2">
      <c r="A3182" s="8" t="str">
        <f t="shared" si="1668"/>
        <v>9012816</v>
      </c>
      <c r="B3182" s="8">
        <v>901</v>
      </c>
      <c r="C3182" s="8">
        <v>28</v>
      </c>
      <c r="D3182" s="8" t="s">
        <v>62</v>
      </c>
      <c r="E3182" s="8">
        <v>6</v>
      </c>
      <c r="F3182" s="34">
        <f t="shared" si="1680"/>
        <v>341458</v>
      </c>
      <c r="G3182" s="34">
        <f t="shared" si="1680"/>
        <v>341458</v>
      </c>
      <c r="H3182" s="34">
        <f t="shared" si="1678"/>
        <v>31230</v>
      </c>
      <c r="I3182" s="34">
        <f t="shared" si="1678"/>
        <v>31230</v>
      </c>
      <c r="J3182" s="34">
        <f t="shared" si="1676"/>
        <v>987613</v>
      </c>
      <c r="K3182" s="133">
        <v>1000</v>
      </c>
      <c r="L3182" s="34"/>
      <c r="M3182" s="16">
        <f t="shared" si="1677"/>
        <v>259619.92743383837</v>
      </c>
      <c r="N3182" s="36">
        <v>735</v>
      </c>
      <c r="O3182" s="36">
        <v>18</v>
      </c>
      <c r="P3182" s="56">
        <v>16656.5</v>
      </c>
      <c r="Q3182" s="2" t="s">
        <v>183</v>
      </c>
      <c r="R3182" s="2" t="s">
        <v>640</v>
      </c>
      <c r="S3182" s="56">
        <f t="shared" si="1681"/>
        <v>12492.375</v>
      </c>
    </row>
    <row r="3183" spans="1:19" x14ac:dyDescent="0.2">
      <c r="A3183" s="8" t="str">
        <f t="shared" si="1668"/>
        <v>9012910</v>
      </c>
      <c r="B3183" s="8">
        <v>901</v>
      </c>
      <c r="C3183" s="8">
        <v>29</v>
      </c>
      <c r="D3183" s="8" t="s">
        <v>62</v>
      </c>
      <c r="E3183" s="8">
        <v>0</v>
      </c>
      <c r="F3183" s="34">
        <f t="shared" si="1680"/>
        <v>88776</v>
      </c>
      <c r="G3183" s="34">
        <f t="shared" si="1680"/>
        <v>88776</v>
      </c>
      <c r="H3183" s="34">
        <f t="shared" si="1678"/>
        <v>32479</v>
      </c>
      <c r="I3183" s="34">
        <f t="shared" si="1678"/>
        <v>32479</v>
      </c>
      <c r="J3183" s="34">
        <f t="shared" si="1676"/>
        <v>69299</v>
      </c>
      <c r="K3183" s="133">
        <v>1000</v>
      </c>
      <c r="L3183" s="34"/>
      <c r="M3183" s="16">
        <f t="shared" si="1677"/>
        <v>35760.417620066662</v>
      </c>
      <c r="N3183" s="36">
        <v>810</v>
      </c>
      <c r="O3183" s="36">
        <v>1</v>
      </c>
      <c r="P3183" s="56">
        <v>17322.199999999997</v>
      </c>
      <c r="Q3183" s="2" t="s">
        <v>183</v>
      </c>
      <c r="R3183" s="2" t="s">
        <v>641</v>
      </c>
      <c r="S3183" s="56">
        <f t="shared" si="1681"/>
        <v>12991.649999999998</v>
      </c>
    </row>
    <row r="3184" spans="1:19" x14ac:dyDescent="0.2">
      <c r="A3184" s="8" t="str">
        <f t="shared" si="1668"/>
        <v>9012916</v>
      </c>
      <c r="B3184" s="8">
        <v>901</v>
      </c>
      <c r="C3184" s="8">
        <v>29</v>
      </c>
      <c r="D3184" s="8" t="s">
        <v>62</v>
      </c>
      <c r="E3184" s="8">
        <v>6</v>
      </c>
      <c r="F3184" s="34">
        <f t="shared" si="1680"/>
        <v>355105</v>
      </c>
      <c r="G3184" s="34">
        <f t="shared" si="1680"/>
        <v>355105</v>
      </c>
      <c r="H3184" s="34">
        <f t="shared" si="1678"/>
        <v>32479</v>
      </c>
      <c r="I3184" s="34">
        <f t="shared" si="1678"/>
        <v>32479</v>
      </c>
      <c r="J3184" s="34">
        <f t="shared" si="1676"/>
        <v>1027084</v>
      </c>
      <c r="K3184" s="133">
        <v>1000</v>
      </c>
      <c r="L3184" s="34"/>
      <c r="M3184" s="16">
        <f t="shared" si="1677"/>
        <v>275342.14234029379</v>
      </c>
      <c r="N3184" s="36">
        <v>735</v>
      </c>
      <c r="O3184" s="36">
        <v>18</v>
      </c>
      <c r="P3184" s="56">
        <v>17322.199999999997</v>
      </c>
      <c r="Q3184" s="2" t="s">
        <v>183</v>
      </c>
      <c r="R3184" s="2" t="s">
        <v>641</v>
      </c>
      <c r="S3184" s="56">
        <f t="shared" si="1681"/>
        <v>12991.649999999998</v>
      </c>
    </row>
    <row r="3185" spans="1:20" x14ac:dyDescent="0.2">
      <c r="A3185" s="8" t="str">
        <f t="shared" si="1668"/>
        <v>9013010</v>
      </c>
      <c r="B3185" s="8">
        <v>901</v>
      </c>
      <c r="C3185" s="8">
        <v>30</v>
      </c>
      <c r="D3185" s="8" t="s">
        <v>62</v>
      </c>
      <c r="E3185" s="8">
        <v>0</v>
      </c>
      <c r="F3185" s="34">
        <f t="shared" si="1680"/>
        <v>92324</v>
      </c>
      <c r="G3185" s="34">
        <f t="shared" si="1680"/>
        <v>92324</v>
      </c>
      <c r="H3185" s="34">
        <f t="shared" si="1678"/>
        <v>33777</v>
      </c>
      <c r="I3185" s="34">
        <f t="shared" si="1678"/>
        <v>33777</v>
      </c>
      <c r="J3185" s="34">
        <f t="shared" si="1676"/>
        <v>72068</v>
      </c>
      <c r="K3185" s="133">
        <v>1000</v>
      </c>
      <c r="L3185" s="34"/>
      <c r="M3185" s="16">
        <f t="shared" si="1677"/>
        <v>37925.303506159711</v>
      </c>
      <c r="N3185" s="36">
        <v>810</v>
      </c>
      <c r="O3185" s="36">
        <v>1</v>
      </c>
      <c r="P3185" s="56">
        <v>18014.5</v>
      </c>
      <c r="Q3185" s="2" t="s">
        <v>183</v>
      </c>
      <c r="R3185" s="2" t="s">
        <v>642</v>
      </c>
      <c r="S3185" s="56">
        <f t="shared" si="1681"/>
        <v>13510.875</v>
      </c>
    </row>
    <row r="3186" spans="1:20" x14ac:dyDescent="0.2">
      <c r="A3186" s="8" t="str">
        <f t="shared" si="1668"/>
        <v>9013016</v>
      </c>
      <c r="B3186" s="8">
        <v>901</v>
      </c>
      <c r="C3186" s="8">
        <v>30</v>
      </c>
      <c r="D3186" s="8" t="s">
        <v>62</v>
      </c>
      <c r="E3186" s="8">
        <v>6</v>
      </c>
      <c r="F3186" s="34">
        <f t="shared" si="1680"/>
        <v>369297</v>
      </c>
      <c r="G3186" s="34">
        <f t="shared" si="1680"/>
        <v>369297</v>
      </c>
      <c r="H3186" s="34">
        <f t="shared" si="1678"/>
        <v>33777</v>
      </c>
      <c r="I3186" s="34">
        <f t="shared" si="1678"/>
        <v>33777</v>
      </c>
      <c r="J3186" s="34">
        <f t="shared" si="1676"/>
        <v>1068133</v>
      </c>
      <c r="K3186" s="133">
        <v>1000</v>
      </c>
      <c r="L3186" s="34"/>
      <c r="M3186" s="16">
        <f t="shared" si="1677"/>
        <v>292012.25641506247</v>
      </c>
      <c r="N3186" s="36">
        <v>735</v>
      </c>
      <c r="O3186" s="36">
        <v>18</v>
      </c>
      <c r="P3186" s="56">
        <v>18014.5</v>
      </c>
      <c r="Q3186" s="2" t="s">
        <v>183</v>
      </c>
      <c r="R3186" s="2" t="s">
        <v>642</v>
      </c>
      <c r="S3186" s="56">
        <f t="shared" si="1681"/>
        <v>13510.875</v>
      </c>
    </row>
    <row r="3187" spans="1:20" x14ac:dyDescent="0.2">
      <c r="A3187" s="8" t="str">
        <f t="shared" si="1668"/>
        <v>9013110</v>
      </c>
      <c r="B3187" s="8">
        <v>901</v>
      </c>
      <c r="C3187" s="8">
        <v>31</v>
      </c>
      <c r="D3187" s="8" t="s">
        <v>62</v>
      </c>
      <c r="E3187" s="8">
        <v>0</v>
      </c>
      <c r="F3187" s="34">
        <f t="shared" ref="F3187:G3206" si="1682">ROUNDDOWN($P3187/4*MIN($O3187,4)*10*$N3187/$N3187*$Q3187/400,0)</f>
        <v>100450</v>
      </c>
      <c r="G3187" s="34">
        <f t="shared" si="1682"/>
        <v>100450</v>
      </c>
      <c r="H3187" s="34">
        <f t="shared" si="1678"/>
        <v>36750</v>
      </c>
      <c r="I3187" s="34">
        <f t="shared" si="1678"/>
        <v>36750</v>
      </c>
      <c r="J3187" s="34">
        <f t="shared" si="1676"/>
        <v>78411</v>
      </c>
      <c r="K3187" s="133">
        <v>1000</v>
      </c>
      <c r="L3187" s="34"/>
      <c r="M3187" s="16">
        <f t="shared" si="1677"/>
        <v>43040.977454514214</v>
      </c>
      <c r="N3187" s="36">
        <v>810</v>
      </c>
      <c r="O3187" s="36">
        <v>1</v>
      </c>
      <c r="P3187" s="56">
        <v>19600</v>
      </c>
      <c r="Q3187" s="2" t="s">
        <v>183</v>
      </c>
      <c r="R3187" s="2" t="s">
        <v>643</v>
      </c>
      <c r="S3187" s="56">
        <f t="shared" si="1681"/>
        <v>14700</v>
      </c>
    </row>
    <row r="3188" spans="1:20" x14ac:dyDescent="0.2">
      <c r="A3188" s="8" t="str">
        <f t="shared" si="1668"/>
        <v>9013116</v>
      </c>
      <c r="B3188" s="8">
        <v>901</v>
      </c>
      <c r="C3188" s="8">
        <v>31</v>
      </c>
      <c r="D3188" s="8" t="s">
        <v>62</v>
      </c>
      <c r="E3188" s="8">
        <v>6</v>
      </c>
      <c r="F3188" s="34">
        <f t="shared" si="1682"/>
        <v>401800</v>
      </c>
      <c r="G3188" s="34">
        <f t="shared" si="1682"/>
        <v>401800</v>
      </c>
      <c r="H3188" s="34">
        <f t="shared" si="1678"/>
        <v>36750</v>
      </c>
      <c r="I3188" s="34">
        <f t="shared" si="1678"/>
        <v>36750</v>
      </c>
      <c r="J3188" s="34">
        <f t="shared" si="1676"/>
        <v>1162142</v>
      </c>
      <c r="K3188" s="133">
        <v>1000</v>
      </c>
      <c r="L3188" s="34"/>
      <c r="M3188" s="16">
        <f t="shared" si="1677"/>
        <v>331400.54887872469</v>
      </c>
      <c r="N3188" s="36">
        <v>735</v>
      </c>
      <c r="O3188" s="36">
        <v>18</v>
      </c>
      <c r="P3188" s="56">
        <v>19600</v>
      </c>
      <c r="Q3188" s="2" t="s">
        <v>183</v>
      </c>
      <c r="R3188" s="2" t="s">
        <v>643</v>
      </c>
      <c r="S3188" s="56">
        <f t="shared" si="1681"/>
        <v>14700</v>
      </c>
    </row>
    <row r="3189" spans="1:20" x14ac:dyDescent="0.2">
      <c r="A3189" s="8" t="str">
        <f t="shared" ref="A3189:A3252" si="1683">IF(B3189="","",CONCATENATE(B3189,CONCATENATE(REPT(0,2-LEN(C3189)),C3189),IF(OR(D3189="Easy",D3189=""),1,IF(D3189="Normal",2,IF(D3189="Hard",3,IF(D3189="Hell",4,"error")))),E3189))</f>
        <v>9013210</v>
      </c>
      <c r="B3189" s="8">
        <v>901</v>
      </c>
      <c r="C3189" s="8">
        <v>32</v>
      </c>
      <c r="D3189" s="8" t="s">
        <v>62</v>
      </c>
      <c r="E3189" s="8">
        <v>0</v>
      </c>
      <c r="F3189" s="34">
        <f t="shared" si="1682"/>
        <v>104468</v>
      </c>
      <c r="G3189" s="34">
        <f t="shared" si="1682"/>
        <v>104468</v>
      </c>
      <c r="H3189" s="34">
        <f t="shared" si="1678"/>
        <v>38220</v>
      </c>
      <c r="I3189" s="34">
        <f t="shared" si="1678"/>
        <v>38220</v>
      </c>
      <c r="J3189" s="34">
        <f t="shared" si="1676"/>
        <v>81548</v>
      </c>
      <c r="K3189" s="133">
        <v>1000</v>
      </c>
      <c r="L3189" s="34"/>
      <c r="M3189" s="16">
        <f t="shared" si="1677"/>
        <v>45649.247796060255</v>
      </c>
      <c r="N3189" s="36">
        <v>810</v>
      </c>
      <c r="O3189" s="36">
        <v>1</v>
      </c>
      <c r="P3189" s="56">
        <v>20384</v>
      </c>
      <c r="Q3189" s="2" t="s">
        <v>183</v>
      </c>
      <c r="R3189" s="2" t="s">
        <v>644</v>
      </c>
      <c r="S3189" s="56">
        <f t="shared" si="1681"/>
        <v>15288</v>
      </c>
    </row>
    <row r="3190" spans="1:20" x14ac:dyDescent="0.2">
      <c r="A3190" s="8" t="str">
        <f t="shared" si="1683"/>
        <v>9013216</v>
      </c>
      <c r="B3190" s="8">
        <v>901</v>
      </c>
      <c r="C3190" s="8">
        <v>32</v>
      </c>
      <c r="D3190" s="8" t="s">
        <v>62</v>
      </c>
      <c r="E3190" s="8">
        <v>6</v>
      </c>
      <c r="F3190" s="34">
        <f t="shared" si="1682"/>
        <v>417872</v>
      </c>
      <c r="G3190" s="34">
        <f t="shared" si="1682"/>
        <v>417872</v>
      </c>
      <c r="H3190" s="34">
        <f t="shared" si="1678"/>
        <v>38220</v>
      </c>
      <c r="I3190" s="34">
        <f t="shared" si="1678"/>
        <v>38220</v>
      </c>
      <c r="J3190" s="34">
        <f t="shared" si="1676"/>
        <v>1208628</v>
      </c>
      <c r="K3190" s="133">
        <v>1000</v>
      </c>
      <c r="L3190" s="34"/>
      <c r="M3190" s="16">
        <f t="shared" si="1677"/>
        <v>351482.16256372177</v>
      </c>
      <c r="N3190" s="36">
        <v>735</v>
      </c>
      <c r="O3190" s="36">
        <v>18</v>
      </c>
      <c r="P3190" s="56">
        <v>20384</v>
      </c>
      <c r="Q3190" s="2" t="s">
        <v>183</v>
      </c>
      <c r="R3190" s="2" t="s">
        <v>644</v>
      </c>
      <c r="S3190" s="56">
        <f t="shared" si="1681"/>
        <v>15288</v>
      </c>
    </row>
    <row r="3191" spans="1:20" x14ac:dyDescent="0.2">
      <c r="A3191" s="8" t="str">
        <f t="shared" si="1683"/>
        <v>9013310</v>
      </c>
      <c r="B3191" s="8">
        <v>901</v>
      </c>
      <c r="C3191" s="8">
        <v>33</v>
      </c>
      <c r="D3191" s="8" t="s">
        <v>62</v>
      </c>
      <c r="E3191" s="8">
        <v>0</v>
      </c>
      <c r="F3191" s="34">
        <f t="shared" si="1682"/>
        <v>108643</v>
      </c>
      <c r="G3191" s="34">
        <f t="shared" si="1682"/>
        <v>108643</v>
      </c>
      <c r="H3191" s="34">
        <f t="shared" si="1678"/>
        <v>39747</v>
      </c>
      <c r="I3191" s="34">
        <f t="shared" si="1678"/>
        <v>39747</v>
      </c>
      <c r="J3191" s="34">
        <f t="shared" si="1676"/>
        <v>84808</v>
      </c>
      <c r="K3191" s="133">
        <v>1000</v>
      </c>
      <c r="L3191" s="34"/>
      <c r="M3191" s="16">
        <f t="shared" si="1677"/>
        <v>48412.939195210565</v>
      </c>
      <c r="N3191" s="36">
        <v>810</v>
      </c>
      <c r="O3191" s="36">
        <v>1</v>
      </c>
      <c r="P3191" s="56">
        <v>21198.799999999999</v>
      </c>
      <c r="Q3191" s="2" t="s">
        <v>183</v>
      </c>
      <c r="R3191" s="2" t="s">
        <v>645</v>
      </c>
      <c r="S3191" s="56">
        <f t="shared" si="1681"/>
        <v>15899.099999999999</v>
      </c>
    </row>
    <row r="3192" spans="1:20" x14ac:dyDescent="0.2">
      <c r="A3192" s="8" t="str">
        <f t="shared" si="1683"/>
        <v>9013316</v>
      </c>
      <c r="B3192" s="8">
        <v>901</v>
      </c>
      <c r="C3192" s="8">
        <v>33</v>
      </c>
      <c r="D3192" s="8" t="s">
        <v>62</v>
      </c>
      <c r="E3192" s="8">
        <v>6</v>
      </c>
      <c r="F3192" s="34">
        <f t="shared" si="1682"/>
        <v>434575</v>
      </c>
      <c r="G3192" s="34">
        <f t="shared" si="1682"/>
        <v>434575</v>
      </c>
      <c r="H3192" s="34">
        <f t="shared" si="1678"/>
        <v>39747</v>
      </c>
      <c r="I3192" s="34">
        <f t="shared" si="1678"/>
        <v>39747</v>
      </c>
      <c r="J3192" s="34">
        <f t="shared" ref="J3192:J3255" si="1684">ROUNDDOWN($P3192/4*$O3192*10*$N3192/$Q3192*$N3192/400*0.8,0)</f>
        <v>1256940</v>
      </c>
      <c r="K3192" s="133">
        <v>1000</v>
      </c>
      <c r="L3192" s="34"/>
      <c r="M3192" s="16">
        <f t="shared" si="1677"/>
        <v>372762.14950146218</v>
      </c>
      <c r="N3192" s="36">
        <v>735</v>
      </c>
      <c r="O3192" s="36">
        <v>18</v>
      </c>
      <c r="P3192" s="56">
        <v>21198.799999999999</v>
      </c>
      <c r="Q3192" s="2" t="s">
        <v>183</v>
      </c>
      <c r="R3192" s="2" t="s">
        <v>645</v>
      </c>
      <c r="S3192" s="56">
        <f t="shared" si="1681"/>
        <v>15899.099999999999</v>
      </c>
    </row>
    <row r="3193" spans="1:20" x14ac:dyDescent="0.2">
      <c r="A3193" s="8" t="str">
        <f t="shared" si="1683"/>
        <v>9013410</v>
      </c>
      <c r="B3193" s="8">
        <v>901</v>
      </c>
      <c r="C3193" s="8">
        <v>34</v>
      </c>
      <c r="D3193" s="8" t="s">
        <v>62</v>
      </c>
      <c r="E3193" s="8">
        <v>0</v>
      </c>
      <c r="F3193" s="34">
        <f t="shared" si="1682"/>
        <v>112988</v>
      </c>
      <c r="G3193" s="34">
        <f t="shared" si="1682"/>
        <v>112988</v>
      </c>
      <c r="H3193" s="34">
        <f t="shared" si="1678"/>
        <v>41337</v>
      </c>
      <c r="I3193" s="34">
        <f t="shared" si="1678"/>
        <v>41337</v>
      </c>
      <c r="J3193" s="34">
        <f t="shared" si="1684"/>
        <v>88199</v>
      </c>
      <c r="K3193" s="133">
        <v>1000</v>
      </c>
      <c r="L3193" s="34"/>
      <c r="M3193" s="16">
        <f t="shared" si="1677"/>
        <v>51346.099211324348</v>
      </c>
      <c r="N3193" s="36">
        <v>810</v>
      </c>
      <c r="O3193" s="36">
        <v>1</v>
      </c>
      <c r="P3193" s="56">
        <v>22046.5</v>
      </c>
      <c r="Q3193" s="2" t="s">
        <v>183</v>
      </c>
      <c r="R3193" s="2" t="s">
        <v>646</v>
      </c>
      <c r="S3193" s="56">
        <f t="shared" si="1681"/>
        <v>16534.875</v>
      </c>
    </row>
    <row r="3194" spans="1:20" x14ac:dyDescent="0.2">
      <c r="A3194" s="8" t="str">
        <f t="shared" si="1683"/>
        <v>9013416</v>
      </c>
      <c r="B3194" s="8">
        <v>901</v>
      </c>
      <c r="C3194" s="8">
        <v>34</v>
      </c>
      <c r="D3194" s="8" t="s">
        <v>62</v>
      </c>
      <c r="E3194" s="8">
        <v>6</v>
      </c>
      <c r="F3194" s="34">
        <f t="shared" si="1682"/>
        <v>451953</v>
      </c>
      <c r="G3194" s="34">
        <f t="shared" si="1682"/>
        <v>451953</v>
      </c>
      <c r="H3194" s="34">
        <f t="shared" si="1678"/>
        <v>41337</v>
      </c>
      <c r="I3194" s="34">
        <f t="shared" si="1678"/>
        <v>41337</v>
      </c>
      <c r="J3194" s="34">
        <f t="shared" si="1684"/>
        <v>1307202</v>
      </c>
      <c r="K3194" s="133">
        <v>1000</v>
      </c>
      <c r="L3194" s="34"/>
      <c r="M3194" s="16">
        <f t="shared" si="1677"/>
        <v>395346.09460306767</v>
      </c>
      <c r="N3194" s="36">
        <v>735</v>
      </c>
      <c r="O3194" s="36">
        <v>18</v>
      </c>
      <c r="P3194" s="56">
        <v>22046.5</v>
      </c>
      <c r="Q3194" s="2" t="s">
        <v>183</v>
      </c>
      <c r="R3194" s="2" t="s">
        <v>646</v>
      </c>
      <c r="S3194" s="56">
        <f t="shared" si="1681"/>
        <v>16534.875</v>
      </c>
    </row>
    <row r="3195" spans="1:20" s="232" customFormat="1" x14ac:dyDescent="0.2">
      <c r="A3195" s="8" t="str">
        <f t="shared" si="1683"/>
        <v>9013510</v>
      </c>
      <c r="B3195" s="8">
        <v>901</v>
      </c>
      <c r="C3195" s="8">
        <v>35</v>
      </c>
      <c r="D3195" s="8" t="s">
        <v>62</v>
      </c>
      <c r="E3195" s="8">
        <v>0</v>
      </c>
      <c r="F3195" s="34">
        <f t="shared" si="1682"/>
        <v>117504</v>
      </c>
      <c r="G3195" s="34">
        <f t="shared" si="1682"/>
        <v>117504</v>
      </c>
      <c r="H3195" s="34">
        <f t="shared" si="1678"/>
        <v>42989</v>
      </c>
      <c r="I3195" s="34">
        <f t="shared" si="1678"/>
        <v>42989</v>
      </c>
      <c r="J3195" s="34">
        <f t="shared" si="1684"/>
        <v>91725</v>
      </c>
      <c r="K3195" s="133">
        <v>1000</v>
      </c>
      <c r="L3195" s="34"/>
      <c r="M3195" s="16">
        <f t="shared" ref="M3195:M3258" si="1685">(F3195*J3195*((H3195+I3195)/2)/1000)^(1/2)/10*0.8</f>
        <v>54455.135624202056</v>
      </c>
      <c r="N3195" s="36">
        <v>810</v>
      </c>
      <c r="O3195" s="36">
        <v>1</v>
      </c>
      <c r="P3195" s="56">
        <v>22927.8</v>
      </c>
      <c r="Q3195" s="2" t="s">
        <v>183</v>
      </c>
      <c r="R3195" s="2" t="s">
        <v>647</v>
      </c>
      <c r="S3195" s="56">
        <f t="shared" si="1681"/>
        <v>17195.849999999999</v>
      </c>
      <c r="T3195" s="116"/>
    </row>
    <row r="3196" spans="1:20" s="232" customFormat="1" x14ac:dyDescent="0.2">
      <c r="A3196" s="8" t="str">
        <f t="shared" si="1683"/>
        <v>9013516</v>
      </c>
      <c r="B3196" s="8">
        <v>901</v>
      </c>
      <c r="C3196" s="8">
        <v>35</v>
      </c>
      <c r="D3196" s="8" t="s">
        <v>62</v>
      </c>
      <c r="E3196" s="8">
        <v>6</v>
      </c>
      <c r="F3196" s="34">
        <f t="shared" si="1682"/>
        <v>470019</v>
      </c>
      <c r="G3196" s="34">
        <f t="shared" si="1682"/>
        <v>470019</v>
      </c>
      <c r="H3196" s="34">
        <f t="shared" si="1678"/>
        <v>42989</v>
      </c>
      <c r="I3196" s="34">
        <f t="shared" si="1678"/>
        <v>42989</v>
      </c>
      <c r="J3196" s="34">
        <f t="shared" si="1684"/>
        <v>1359457</v>
      </c>
      <c r="K3196" s="133">
        <v>1000</v>
      </c>
      <c r="L3196" s="34"/>
      <c r="M3196" s="16">
        <f t="shared" si="1685"/>
        <v>419284.78508662339</v>
      </c>
      <c r="N3196" s="36">
        <v>735</v>
      </c>
      <c r="O3196" s="36">
        <v>18</v>
      </c>
      <c r="P3196" s="56">
        <v>22927.8</v>
      </c>
      <c r="Q3196" s="2" t="s">
        <v>183</v>
      </c>
      <c r="R3196" s="2" t="s">
        <v>647</v>
      </c>
      <c r="S3196" s="56">
        <f t="shared" si="1681"/>
        <v>17195.849999999999</v>
      </c>
      <c r="T3196" s="116"/>
    </row>
    <row r="3197" spans="1:20" s="232" customFormat="1" x14ac:dyDescent="0.2">
      <c r="A3197" s="43" t="str">
        <f t="shared" si="1683"/>
        <v>9013610</v>
      </c>
      <c r="B3197" s="43">
        <v>901</v>
      </c>
      <c r="C3197" s="43">
        <v>36</v>
      </c>
      <c r="D3197" s="43" t="s">
        <v>62</v>
      </c>
      <c r="E3197" s="43">
        <v>0</v>
      </c>
      <c r="F3197" s="44">
        <f t="shared" si="1682"/>
        <v>114800</v>
      </c>
      <c r="G3197" s="44">
        <f t="shared" si="1682"/>
        <v>114800</v>
      </c>
      <c r="H3197" s="44">
        <f t="shared" si="1678"/>
        <v>42000</v>
      </c>
      <c r="I3197" s="44">
        <f t="shared" si="1678"/>
        <v>42000</v>
      </c>
      <c r="J3197" s="44">
        <f t="shared" si="1684"/>
        <v>89613</v>
      </c>
      <c r="K3197" s="228">
        <v>1000</v>
      </c>
      <c r="L3197" s="44"/>
      <c r="M3197" s="229">
        <f t="shared" si="1685"/>
        <v>52586.114717860641</v>
      </c>
      <c r="N3197" s="36">
        <v>810</v>
      </c>
      <c r="O3197" s="230">
        <v>1</v>
      </c>
      <c r="P3197" s="231">
        <v>22400</v>
      </c>
      <c r="Q3197" s="51" t="s">
        <v>183</v>
      </c>
      <c r="R3197" s="51" t="s">
        <v>169</v>
      </c>
      <c r="S3197" s="231">
        <f t="shared" si="1681"/>
        <v>16800</v>
      </c>
      <c r="T3197" s="116"/>
    </row>
    <row r="3198" spans="1:20" s="232" customFormat="1" x14ac:dyDescent="0.2">
      <c r="A3198" s="43" t="str">
        <f t="shared" si="1683"/>
        <v>9013616</v>
      </c>
      <c r="B3198" s="43">
        <v>901</v>
      </c>
      <c r="C3198" s="43">
        <v>36</v>
      </c>
      <c r="D3198" s="43" t="s">
        <v>62</v>
      </c>
      <c r="E3198" s="43">
        <v>6</v>
      </c>
      <c r="F3198" s="44">
        <f t="shared" si="1682"/>
        <v>459200</v>
      </c>
      <c r="G3198" s="44">
        <f t="shared" si="1682"/>
        <v>459200</v>
      </c>
      <c r="H3198" s="44">
        <f t="shared" si="1678"/>
        <v>42000</v>
      </c>
      <c r="I3198" s="44">
        <f t="shared" si="1678"/>
        <v>42000</v>
      </c>
      <c r="J3198" s="44">
        <f t="shared" si="1684"/>
        <v>1328162</v>
      </c>
      <c r="K3198" s="228">
        <v>1000</v>
      </c>
      <c r="L3198" s="44"/>
      <c r="M3198" s="229">
        <f t="shared" si="1685"/>
        <v>404893.77251264313</v>
      </c>
      <c r="N3198" s="36">
        <v>735</v>
      </c>
      <c r="O3198" s="230">
        <v>18</v>
      </c>
      <c r="P3198" s="231">
        <v>22400</v>
      </c>
      <c r="Q3198" s="51" t="s">
        <v>183</v>
      </c>
      <c r="R3198" s="51" t="s">
        <v>169</v>
      </c>
      <c r="S3198" s="231">
        <f t="shared" si="1681"/>
        <v>16800</v>
      </c>
      <c r="T3198" s="116"/>
    </row>
    <row r="3199" spans="1:20" x14ac:dyDescent="0.2">
      <c r="A3199" s="43" t="str">
        <f t="shared" si="1683"/>
        <v>9013710</v>
      </c>
      <c r="B3199" s="43">
        <v>901</v>
      </c>
      <c r="C3199" s="43">
        <v>37</v>
      </c>
      <c r="D3199" s="43" t="s">
        <v>62</v>
      </c>
      <c r="E3199" s="43">
        <v>0</v>
      </c>
      <c r="F3199" s="44">
        <f t="shared" si="1682"/>
        <v>161437</v>
      </c>
      <c r="G3199" s="44">
        <f t="shared" si="1682"/>
        <v>161437</v>
      </c>
      <c r="H3199" s="44">
        <f t="shared" si="1678"/>
        <v>59062</v>
      </c>
      <c r="I3199" s="44">
        <f t="shared" si="1678"/>
        <v>59062</v>
      </c>
      <c r="J3199" s="44">
        <f t="shared" si="1684"/>
        <v>126019</v>
      </c>
      <c r="K3199" s="228">
        <v>1000</v>
      </c>
      <c r="L3199" s="44"/>
      <c r="M3199" s="229">
        <f t="shared" si="1685"/>
        <v>87692.735020184147</v>
      </c>
      <c r="N3199" s="36">
        <v>810</v>
      </c>
      <c r="O3199" s="230">
        <v>1</v>
      </c>
      <c r="P3199" s="231">
        <v>31499.999999999996</v>
      </c>
      <c r="Q3199" s="51" t="s">
        <v>183</v>
      </c>
      <c r="R3199" s="51" t="s">
        <v>648</v>
      </c>
      <c r="S3199" s="231">
        <f t="shared" si="1681"/>
        <v>23624.999999999996</v>
      </c>
    </row>
    <row r="3200" spans="1:20" x14ac:dyDescent="0.2">
      <c r="A3200" s="43" t="str">
        <f t="shared" si="1683"/>
        <v>9013716</v>
      </c>
      <c r="B3200" s="43">
        <v>901</v>
      </c>
      <c r="C3200" s="43">
        <v>37</v>
      </c>
      <c r="D3200" s="43" t="s">
        <v>62</v>
      </c>
      <c r="E3200" s="43">
        <v>6</v>
      </c>
      <c r="F3200" s="44">
        <f t="shared" si="1682"/>
        <v>645750</v>
      </c>
      <c r="G3200" s="44">
        <f t="shared" si="1682"/>
        <v>645750</v>
      </c>
      <c r="H3200" s="44">
        <f t="shared" si="1678"/>
        <v>59062</v>
      </c>
      <c r="I3200" s="44">
        <f t="shared" si="1678"/>
        <v>59062</v>
      </c>
      <c r="J3200" s="44">
        <f t="shared" si="1684"/>
        <v>1867729</v>
      </c>
      <c r="K3200" s="228">
        <v>1000</v>
      </c>
      <c r="L3200" s="44"/>
      <c r="M3200" s="229">
        <f t="shared" si="1685"/>
        <v>675201.19163571869</v>
      </c>
      <c r="N3200" s="36">
        <v>735</v>
      </c>
      <c r="O3200" s="230">
        <v>18</v>
      </c>
      <c r="P3200" s="231">
        <v>31499.999999999996</v>
      </c>
      <c r="Q3200" s="51" t="s">
        <v>183</v>
      </c>
      <c r="R3200" s="51" t="s">
        <v>648</v>
      </c>
      <c r="S3200" s="231">
        <f t="shared" si="1681"/>
        <v>23624.999999999996</v>
      </c>
    </row>
    <row r="3201" spans="1:19" x14ac:dyDescent="0.2">
      <c r="A3201" s="8" t="str">
        <f t="shared" si="1683"/>
        <v>9013810</v>
      </c>
      <c r="B3201" s="8">
        <v>901</v>
      </c>
      <c r="C3201" s="8">
        <v>38</v>
      </c>
      <c r="D3201" s="8" t="s">
        <v>62</v>
      </c>
      <c r="E3201" s="8">
        <v>0</v>
      </c>
      <c r="F3201" s="34">
        <f t="shared" si="1682"/>
        <v>185921</v>
      </c>
      <c r="G3201" s="34">
        <f t="shared" si="1682"/>
        <v>185921</v>
      </c>
      <c r="H3201" s="34">
        <f t="shared" si="1678"/>
        <v>68020</v>
      </c>
      <c r="I3201" s="34">
        <f t="shared" si="1678"/>
        <v>68020</v>
      </c>
      <c r="J3201" s="34">
        <f t="shared" si="1684"/>
        <v>145131</v>
      </c>
      <c r="K3201" s="133">
        <v>1000</v>
      </c>
      <c r="L3201" s="34"/>
      <c r="M3201" s="16">
        <f t="shared" si="1685"/>
        <v>108380.86627536491</v>
      </c>
      <c r="N3201" s="36">
        <v>810</v>
      </c>
      <c r="O3201" s="36">
        <v>1</v>
      </c>
      <c r="P3201" s="56">
        <v>36277.409</v>
      </c>
      <c r="Q3201" s="2" t="s">
        <v>183</v>
      </c>
      <c r="R3201" s="2" t="s">
        <v>649</v>
      </c>
      <c r="S3201" s="56">
        <f t="shared" si="1681"/>
        <v>27208.05675</v>
      </c>
    </row>
    <row r="3202" spans="1:19" x14ac:dyDescent="0.2">
      <c r="A3202" s="8" t="str">
        <f t="shared" si="1683"/>
        <v>9013816</v>
      </c>
      <c r="B3202" s="8">
        <v>901</v>
      </c>
      <c r="C3202" s="8">
        <v>38</v>
      </c>
      <c r="D3202" s="8" t="s">
        <v>62</v>
      </c>
      <c r="E3202" s="8">
        <v>6</v>
      </c>
      <c r="F3202" s="34">
        <f t="shared" si="1682"/>
        <v>743686</v>
      </c>
      <c r="G3202" s="34">
        <f t="shared" si="1682"/>
        <v>743686</v>
      </c>
      <c r="H3202" s="34">
        <f t="shared" si="1678"/>
        <v>68020</v>
      </c>
      <c r="I3202" s="34">
        <f t="shared" si="1678"/>
        <v>68020</v>
      </c>
      <c r="J3202" s="34">
        <f t="shared" si="1684"/>
        <v>2150995</v>
      </c>
      <c r="K3202" s="133">
        <v>1000</v>
      </c>
      <c r="L3202" s="34"/>
      <c r="M3202" s="16">
        <f t="shared" si="1685"/>
        <v>834493.2039684403</v>
      </c>
      <c r="N3202" s="36">
        <v>735</v>
      </c>
      <c r="O3202" s="36">
        <v>18</v>
      </c>
      <c r="P3202" s="56">
        <v>36277.409</v>
      </c>
      <c r="Q3202" s="2" t="s">
        <v>183</v>
      </c>
      <c r="R3202" s="2" t="s">
        <v>649</v>
      </c>
      <c r="S3202" s="56">
        <f t="shared" si="1681"/>
        <v>27208.05675</v>
      </c>
    </row>
    <row r="3203" spans="1:19" x14ac:dyDescent="0.2">
      <c r="A3203" s="8" t="str">
        <f t="shared" si="1683"/>
        <v>9013910</v>
      </c>
      <c r="B3203" s="8">
        <v>901</v>
      </c>
      <c r="C3203" s="8">
        <v>39</v>
      </c>
      <c r="D3203" s="8" t="s">
        <v>62</v>
      </c>
      <c r="E3203" s="8">
        <v>0</v>
      </c>
      <c r="F3203" s="34">
        <f t="shared" si="1682"/>
        <v>191499</v>
      </c>
      <c r="G3203" s="34">
        <f t="shared" si="1682"/>
        <v>191499</v>
      </c>
      <c r="H3203" s="34">
        <f t="shared" si="1678"/>
        <v>70060</v>
      </c>
      <c r="I3203" s="34">
        <f t="shared" si="1678"/>
        <v>70060</v>
      </c>
      <c r="J3203" s="34">
        <f t="shared" si="1684"/>
        <v>149485</v>
      </c>
      <c r="K3203" s="133">
        <v>1000</v>
      </c>
      <c r="L3203" s="34"/>
      <c r="M3203" s="16">
        <f t="shared" si="1685"/>
        <v>113294.05378164275</v>
      </c>
      <c r="N3203" s="36">
        <v>810</v>
      </c>
      <c r="O3203" s="36">
        <v>1</v>
      </c>
      <c r="P3203" s="56">
        <v>37365.733999999997</v>
      </c>
      <c r="Q3203" s="2" t="s">
        <v>183</v>
      </c>
      <c r="R3203" s="2" t="s">
        <v>650</v>
      </c>
      <c r="S3203" s="56">
        <f t="shared" si="1681"/>
        <v>28024.300499999998</v>
      </c>
    </row>
    <row r="3204" spans="1:19" x14ac:dyDescent="0.2">
      <c r="A3204" s="8" t="str">
        <f t="shared" si="1683"/>
        <v>9013916</v>
      </c>
      <c r="B3204" s="8">
        <v>901</v>
      </c>
      <c r="C3204" s="8">
        <v>39</v>
      </c>
      <c r="D3204" s="8" t="s">
        <v>62</v>
      </c>
      <c r="E3204" s="8">
        <v>6</v>
      </c>
      <c r="F3204" s="34">
        <f t="shared" si="1682"/>
        <v>765997</v>
      </c>
      <c r="G3204" s="34">
        <f t="shared" si="1682"/>
        <v>765997</v>
      </c>
      <c r="H3204" s="34">
        <f t="shared" si="1678"/>
        <v>70060</v>
      </c>
      <c r="I3204" s="34">
        <f t="shared" si="1678"/>
        <v>70060</v>
      </c>
      <c r="J3204" s="34">
        <f t="shared" si="1684"/>
        <v>2215526</v>
      </c>
      <c r="K3204" s="133">
        <v>1000</v>
      </c>
      <c r="L3204" s="34"/>
      <c r="M3204" s="16">
        <f t="shared" si="1685"/>
        <v>872322.37723705906</v>
      </c>
      <c r="N3204" s="36">
        <v>735</v>
      </c>
      <c r="O3204" s="36">
        <v>18</v>
      </c>
      <c r="P3204" s="56">
        <v>37365.733999999997</v>
      </c>
      <c r="Q3204" s="2" t="s">
        <v>183</v>
      </c>
      <c r="R3204" s="2" t="s">
        <v>650</v>
      </c>
      <c r="S3204" s="56">
        <f t="shared" si="1681"/>
        <v>28024.300499999998</v>
      </c>
    </row>
    <row r="3205" spans="1:19" x14ac:dyDescent="0.2">
      <c r="A3205" s="8" t="str">
        <f t="shared" si="1683"/>
        <v>9014010</v>
      </c>
      <c r="B3205" s="8">
        <v>901</v>
      </c>
      <c r="C3205" s="8">
        <v>40</v>
      </c>
      <c r="D3205" s="8" t="s">
        <v>62</v>
      </c>
      <c r="E3205" s="8">
        <v>0</v>
      </c>
      <c r="F3205" s="34">
        <f t="shared" si="1682"/>
        <v>197244</v>
      </c>
      <c r="G3205" s="34">
        <f t="shared" si="1682"/>
        <v>197244</v>
      </c>
      <c r="H3205" s="34">
        <f t="shared" si="1678"/>
        <v>72162</v>
      </c>
      <c r="I3205" s="34">
        <f t="shared" si="1678"/>
        <v>72162</v>
      </c>
      <c r="J3205" s="34">
        <f t="shared" si="1684"/>
        <v>153970</v>
      </c>
      <c r="K3205" s="133">
        <v>1000</v>
      </c>
      <c r="L3205" s="34"/>
      <c r="M3205" s="16">
        <f t="shared" si="1685"/>
        <v>118430.68007008753</v>
      </c>
      <c r="N3205" s="36">
        <v>810</v>
      </c>
      <c r="O3205" s="36">
        <v>1</v>
      </c>
      <c r="P3205" s="56">
        <v>38486.699999999997</v>
      </c>
      <c r="Q3205" s="2" t="s">
        <v>183</v>
      </c>
      <c r="R3205" s="2" t="s">
        <v>651</v>
      </c>
      <c r="S3205" s="56">
        <f t="shared" si="1681"/>
        <v>28865.024999999998</v>
      </c>
    </row>
    <row r="3206" spans="1:19" x14ac:dyDescent="0.2">
      <c r="A3206" s="8" t="str">
        <f t="shared" si="1683"/>
        <v>9014016</v>
      </c>
      <c r="B3206" s="8">
        <v>901</v>
      </c>
      <c r="C3206" s="8">
        <v>40</v>
      </c>
      <c r="D3206" s="8" t="s">
        <v>62</v>
      </c>
      <c r="E3206" s="8">
        <v>6</v>
      </c>
      <c r="F3206" s="34">
        <f t="shared" si="1682"/>
        <v>788977</v>
      </c>
      <c r="G3206" s="34">
        <f t="shared" si="1682"/>
        <v>788977</v>
      </c>
      <c r="H3206" s="34">
        <f t="shared" si="1678"/>
        <v>72162</v>
      </c>
      <c r="I3206" s="34">
        <f t="shared" si="1678"/>
        <v>72162</v>
      </c>
      <c r="J3206" s="34">
        <f t="shared" si="1684"/>
        <v>2281991</v>
      </c>
      <c r="K3206" s="133">
        <v>1000</v>
      </c>
      <c r="L3206" s="34"/>
      <c r="M3206" s="16">
        <f t="shared" si="1685"/>
        <v>911870.99710024707</v>
      </c>
      <c r="N3206" s="36">
        <v>735</v>
      </c>
      <c r="O3206" s="36">
        <v>18</v>
      </c>
      <c r="P3206" s="56">
        <v>38486.699999999997</v>
      </c>
      <c r="Q3206" s="2" t="s">
        <v>183</v>
      </c>
      <c r="R3206" s="2" t="s">
        <v>651</v>
      </c>
      <c r="S3206" s="56">
        <f t="shared" si="1681"/>
        <v>28865.024999999998</v>
      </c>
    </row>
    <row r="3207" spans="1:19" x14ac:dyDescent="0.2">
      <c r="A3207" s="8" t="str">
        <f t="shared" si="1683"/>
        <v>9014110</v>
      </c>
      <c r="B3207" s="8">
        <v>901</v>
      </c>
      <c r="C3207" s="8">
        <v>41</v>
      </c>
      <c r="D3207" s="8" t="s">
        <v>62</v>
      </c>
      <c r="E3207" s="8">
        <v>0</v>
      </c>
      <c r="F3207" s="34">
        <f t="shared" ref="F3207:G3226" si="1686">ROUNDDOWN($P3207/4*MIN($O3207,4)*10*$N3207/$N3207*$Q3207/400,0)</f>
        <v>211051</v>
      </c>
      <c r="G3207" s="34">
        <f t="shared" si="1686"/>
        <v>211051</v>
      </c>
      <c r="H3207" s="34">
        <f t="shared" si="1678"/>
        <v>77213</v>
      </c>
      <c r="I3207" s="34">
        <f t="shared" si="1678"/>
        <v>77213</v>
      </c>
      <c r="J3207" s="34">
        <f t="shared" si="1684"/>
        <v>164748</v>
      </c>
      <c r="K3207" s="133">
        <v>1000</v>
      </c>
      <c r="L3207" s="34"/>
      <c r="M3207" s="16">
        <f t="shared" si="1685"/>
        <v>131080.76973634292</v>
      </c>
      <c r="N3207" s="36">
        <v>810</v>
      </c>
      <c r="O3207" s="36">
        <v>1</v>
      </c>
      <c r="P3207" s="56">
        <v>41180.768999999993</v>
      </c>
      <c r="Q3207" s="2" t="s">
        <v>183</v>
      </c>
      <c r="R3207" s="2" t="s">
        <v>652</v>
      </c>
      <c r="S3207" s="56">
        <f t="shared" si="1681"/>
        <v>30885.576749999993</v>
      </c>
    </row>
    <row r="3208" spans="1:19" x14ac:dyDescent="0.2">
      <c r="A3208" s="8" t="str">
        <f t="shared" si="1683"/>
        <v>9014116</v>
      </c>
      <c r="B3208" s="8">
        <v>901</v>
      </c>
      <c r="C3208" s="8">
        <v>41</v>
      </c>
      <c r="D3208" s="8" t="s">
        <v>62</v>
      </c>
      <c r="E3208" s="8">
        <v>6</v>
      </c>
      <c r="F3208" s="34">
        <f t="shared" si="1686"/>
        <v>844205</v>
      </c>
      <c r="G3208" s="34">
        <f t="shared" si="1686"/>
        <v>844205</v>
      </c>
      <c r="H3208" s="34">
        <f t="shared" si="1678"/>
        <v>77213</v>
      </c>
      <c r="I3208" s="34">
        <f t="shared" si="1678"/>
        <v>77213</v>
      </c>
      <c r="J3208" s="34">
        <f t="shared" si="1684"/>
        <v>2441730</v>
      </c>
      <c r="K3208" s="133">
        <v>1000</v>
      </c>
      <c r="L3208" s="34"/>
      <c r="M3208" s="16">
        <f t="shared" si="1685"/>
        <v>1009271.4306920627</v>
      </c>
      <c r="N3208" s="36">
        <v>735</v>
      </c>
      <c r="O3208" s="36">
        <v>18</v>
      </c>
      <c r="P3208" s="56">
        <v>41180.768999999993</v>
      </c>
      <c r="Q3208" s="2" t="s">
        <v>183</v>
      </c>
      <c r="R3208" s="2" t="s">
        <v>652</v>
      </c>
      <c r="S3208" s="56">
        <f t="shared" si="1681"/>
        <v>30885.576749999993</v>
      </c>
    </row>
    <row r="3209" spans="1:19" x14ac:dyDescent="0.2">
      <c r="A3209" s="8" t="str">
        <f t="shared" si="1683"/>
        <v>9014210</v>
      </c>
      <c r="B3209" s="8">
        <v>901</v>
      </c>
      <c r="C3209" s="8">
        <v>42</v>
      </c>
      <c r="D3209" s="8" t="s">
        <v>62</v>
      </c>
      <c r="E3209" s="8">
        <v>0</v>
      </c>
      <c r="F3209" s="34">
        <f t="shared" si="1686"/>
        <v>217382</v>
      </c>
      <c r="G3209" s="34">
        <f t="shared" si="1686"/>
        <v>217382</v>
      </c>
      <c r="H3209" s="34">
        <f t="shared" si="1678"/>
        <v>79530</v>
      </c>
      <c r="I3209" s="34">
        <f t="shared" si="1678"/>
        <v>79530</v>
      </c>
      <c r="J3209" s="34">
        <f t="shared" si="1684"/>
        <v>169690</v>
      </c>
      <c r="K3209" s="133">
        <v>1000</v>
      </c>
      <c r="L3209" s="34"/>
      <c r="M3209" s="16">
        <f t="shared" si="1685"/>
        <v>137023.60619180682</v>
      </c>
      <c r="N3209" s="36">
        <v>810</v>
      </c>
      <c r="O3209" s="36">
        <v>1</v>
      </c>
      <c r="P3209" s="56">
        <v>42416.191999999995</v>
      </c>
      <c r="Q3209" s="2" t="s">
        <v>183</v>
      </c>
      <c r="R3209" s="2" t="s">
        <v>653</v>
      </c>
      <c r="S3209" s="56">
        <f t="shared" si="1681"/>
        <v>31812.143999999997</v>
      </c>
    </row>
    <row r="3210" spans="1:19" x14ac:dyDescent="0.2">
      <c r="A3210" s="8" t="str">
        <f t="shared" si="1683"/>
        <v>9014216</v>
      </c>
      <c r="B3210" s="8">
        <v>901</v>
      </c>
      <c r="C3210" s="8">
        <v>42</v>
      </c>
      <c r="D3210" s="8" t="s">
        <v>62</v>
      </c>
      <c r="E3210" s="8">
        <v>6</v>
      </c>
      <c r="F3210" s="34">
        <f t="shared" si="1686"/>
        <v>869531</v>
      </c>
      <c r="G3210" s="34">
        <f t="shared" si="1686"/>
        <v>869531</v>
      </c>
      <c r="H3210" s="34">
        <f t="shared" si="1678"/>
        <v>79530</v>
      </c>
      <c r="I3210" s="34">
        <f t="shared" si="1678"/>
        <v>79530</v>
      </c>
      <c r="J3210" s="34">
        <f t="shared" si="1684"/>
        <v>2514982</v>
      </c>
      <c r="K3210" s="133">
        <v>1000</v>
      </c>
      <c r="L3210" s="34"/>
      <c r="M3210" s="16">
        <f t="shared" si="1685"/>
        <v>1055031.5659749098</v>
      </c>
      <c r="N3210" s="36">
        <v>735</v>
      </c>
      <c r="O3210" s="36">
        <v>18</v>
      </c>
      <c r="P3210" s="56">
        <v>42416.191999999995</v>
      </c>
      <c r="Q3210" s="2" t="s">
        <v>183</v>
      </c>
      <c r="R3210" s="2" t="s">
        <v>653</v>
      </c>
      <c r="S3210" s="56">
        <f t="shared" si="1681"/>
        <v>31812.143999999997</v>
      </c>
    </row>
    <row r="3211" spans="1:19" x14ac:dyDescent="0.2">
      <c r="A3211" s="8" t="str">
        <f t="shared" si="1683"/>
        <v>9014310</v>
      </c>
      <c r="B3211" s="8">
        <v>901</v>
      </c>
      <c r="C3211" s="8">
        <v>43</v>
      </c>
      <c r="D3211" s="8" t="s">
        <v>62</v>
      </c>
      <c r="E3211" s="8">
        <v>0</v>
      </c>
      <c r="F3211" s="34">
        <f t="shared" si="1686"/>
        <v>223904</v>
      </c>
      <c r="G3211" s="34">
        <f t="shared" si="1686"/>
        <v>223904</v>
      </c>
      <c r="H3211" s="34">
        <f t="shared" si="1678"/>
        <v>81916</v>
      </c>
      <c r="I3211" s="34">
        <f t="shared" si="1678"/>
        <v>81916</v>
      </c>
      <c r="J3211" s="34">
        <f t="shared" si="1684"/>
        <v>174781</v>
      </c>
      <c r="K3211" s="133">
        <v>1000</v>
      </c>
      <c r="L3211" s="34"/>
      <c r="M3211" s="16">
        <f t="shared" si="1685"/>
        <v>143236.06835388319</v>
      </c>
      <c r="N3211" s="36">
        <v>810</v>
      </c>
      <c r="O3211" s="36">
        <v>1</v>
      </c>
      <c r="P3211" s="56">
        <v>43688.68</v>
      </c>
      <c r="Q3211" s="2" t="s">
        <v>183</v>
      </c>
      <c r="R3211" s="2" t="s">
        <v>654</v>
      </c>
      <c r="S3211" s="56">
        <f t="shared" si="1681"/>
        <v>32766.510000000002</v>
      </c>
    </row>
    <row r="3212" spans="1:19" x14ac:dyDescent="0.2">
      <c r="A3212" s="8" t="str">
        <f t="shared" si="1683"/>
        <v>9014316</v>
      </c>
      <c r="B3212" s="8">
        <v>901</v>
      </c>
      <c r="C3212" s="8">
        <v>43</v>
      </c>
      <c r="D3212" s="8" t="s">
        <v>62</v>
      </c>
      <c r="E3212" s="8">
        <v>6</v>
      </c>
      <c r="F3212" s="34">
        <f t="shared" si="1686"/>
        <v>895617</v>
      </c>
      <c r="G3212" s="34">
        <f t="shared" si="1686"/>
        <v>895617</v>
      </c>
      <c r="H3212" s="34">
        <f t="shared" si="1678"/>
        <v>81916</v>
      </c>
      <c r="I3212" s="34">
        <f t="shared" si="1678"/>
        <v>81916</v>
      </c>
      <c r="J3212" s="34">
        <f t="shared" si="1684"/>
        <v>2590432</v>
      </c>
      <c r="K3212" s="133">
        <v>1000</v>
      </c>
      <c r="L3212" s="34"/>
      <c r="M3212" s="16">
        <f t="shared" si="1685"/>
        <v>1102863.13018271</v>
      </c>
      <c r="N3212" s="36">
        <v>735</v>
      </c>
      <c r="O3212" s="36">
        <v>18</v>
      </c>
      <c r="P3212" s="56">
        <v>43688.68</v>
      </c>
      <c r="Q3212" s="2" t="s">
        <v>183</v>
      </c>
      <c r="R3212" s="2" t="s">
        <v>654</v>
      </c>
      <c r="S3212" s="56">
        <f t="shared" si="1681"/>
        <v>32766.510000000002</v>
      </c>
    </row>
    <row r="3213" spans="1:19" x14ac:dyDescent="0.2">
      <c r="A3213" s="8" t="str">
        <f t="shared" si="1683"/>
        <v>9014410</v>
      </c>
      <c r="B3213" s="8">
        <v>901</v>
      </c>
      <c r="C3213" s="8">
        <v>44</v>
      </c>
      <c r="D3213" s="8" t="s">
        <v>62</v>
      </c>
      <c r="E3213" s="8">
        <v>0</v>
      </c>
      <c r="F3213" s="34">
        <f t="shared" si="1686"/>
        <v>230621</v>
      </c>
      <c r="G3213" s="34">
        <f t="shared" si="1686"/>
        <v>230621</v>
      </c>
      <c r="H3213" s="34">
        <f t="shared" si="1678"/>
        <v>84373</v>
      </c>
      <c r="I3213" s="34">
        <f t="shared" si="1678"/>
        <v>84373</v>
      </c>
      <c r="J3213" s="34">
        <f t="shared" si="1684"/>
        <v>180024</v>
      </c>
      <c r="K3213" s="133">
        <v>1000</v>
      </c>
      <c r="L3213" s="34"/>
      <c r="M3213" s="16">
        <f t="shared" si="1685"/>
        <v>149729.15089096455</v>
      </c>
      <c r="N3213" s="36">
        <v>810</v>
      </c>
      <c r="O3213" s="36">
        <v>1</v>
      </c>
      <c r="P3213" s="56">
        <v>44999.338999999993</v>
      </c>
      <c r="Q3213" s="2" t="s">
        <v>183</v>
      </c>
      <c r="R3213" s="2" t="s">
        <v>655</v>
      </c>
      <c r="S3213" s="56">
        <f t="shared" si="1681"/>
        <v>33749.504249999998</v>
      </c>
    </row>
    <row r="3214" spans="1:19" x14ac:dyDescent="0.2">
      <c r="A3214" s="8" t="str">
        <f t="shared" si="1683"/>
        <v>9014416</v>
      </c>
      <c r="B3214" s="8">
        <v>901</v>
      </c>
      <c r="C3214" s="8">
        <v>44</v>
      </c>
      <c r="D3214" s="8" t="s">
        <v>62</v>
      </c>
      <c r="E3214" s="8">
        <v>6</v>
      </c>
      <c r="F3214" s="34">
        <f t="shared" si="1686"/>
        <v>922486</v>
      </c>
      <c r="G3214" s="34">
        <f t="shared" si="1686"/>
        <v>922486</v>
      </c>
      <c r="H3214" s="34">
        <f t="shared" si="1678"/>
        <v>84373</v>
      </c>
      <c r="I3214" s="34">
        <f t="shared" si="1678"/>
        <v>84373</v>
      </c>
      <c r="J3214" s="34">
        <f t="shared" si="1684"/>
        <v>2668145</v>
      </c>
      <c r="K3214" s="133">
        <v>1000</v>
      </c>
      <c r="L3214" s="34"/>
      <c r="M3214" s="16">
        <f t="shared" si="1685"/>
        <v>1152859.3824034964</v>
      </c>
      <c r="N3214" s="36">
        <v>735</v>
      </c>
      <c r="O3214" s="36">
        <v>18</v>
      </c>
      <c r="P3214" s="56">
        <v>44999.338999999993</v>
      </c>
      <c r="Q3214" s="2" t="s">
        <v>183</v>
      </c>
      <c r="R3214" s="2" t="s">
        <v>655</v>
      </c>
      <c r="S3214" s="56">
        <f t="shared" si="1681"/>
        <v>33749.504249999998</v>
      </c>
    </row>
    <row r="3215" spans="1:19" x14ac:dyDescent="0.2">
      <c r="A3215" s="8" t="str">
        <f t="shared" si="1683"/>
        <v>9014510</v>
      </c>
      <c r="B3215" s="8">
        <v>901</v>
      </c>
      <c r="C3215" s="8">
        <v>45</v>
      </c>
      <c r="D3215" s="8" t="s">
        <v>62</v>
      </c>
      <c r="E3215" s="8">
        <v>0</v>
      </c>
      <c r="F3215" s="34">
        <f t="shared" si="1686"/>
        <v>237540</v>
      </c>
      <c r="G3215" s="34">
        <f t="shared" si="1686"/>
        <v>237540</v>
      </c>
      <c r="H3215" s="34">
        <f t="shared" si="1678"/>
        <v>86904</v>
      </c>
      <c r="I3215" s="34">
        <f t="shared" si="1678"/>
        <v>86904</v>
      </c>
      <c r="J3215" s="34">
        <f t="shared" si="1684"/>
        <v>185425</v>
      </c>
      <c r="K3215" s="133">
        <v>1000</v>
      </c>
      <c r="L3215" s="34"/>
      <c r="M3215" s="16">
        <f t="shared" si="1685"/>
        <v>156517.31537627138</v>
      </c>
      <c r="N3215" s="36">
        <v>810</v>
      </c>
      <c r="O3215" s="36">
        <v>1</v>
      </c>
      <c r="P3215" s="56">
        <v>46349.324000000001</v>
      </c>
      <c r="Q3215" s="2" t="s">
        <v>183</v>
      </c>
      <c r="R3215" s="2" t="s">
        <v>656</v>
      </c>
      <c r="S3215" s="56">
        <f t="shared" si="1681"/>
        <v>34761.993000000002</v>
      </c>
    </row>
    <row r="3216" spans="1:19" x14ac:dyDescent="0.2">
      <c r="A3216" s="8" t="str">
        <f t="shared" si="1683"/>
        <v>9014516</v>
      </c>
      <c r="B3216" s="8">
        <v>901</v>
      </c>
      <c r="C3216" s="8">
        <v>45</v>
      </c>
      <c r="D3216" s="8" t="s">
        <v>62</v>
      </c>
      <c r="E3216" s="8">
        <v>6</v>
      </c>
      <c r="F3216" s="34">
        <f t="shared" si="1686"/>
        <v>950161</v>
      </c>
      <c r="G3216" s="34">
        <f t="shared" si="1686"/>
        <v>950161</v>
      </c>
      <c r="H3216" s="34">
        <f t="shared" si="1678"/>
        <v>86904</v>
      </c>
      <c r="I3216" s="34">
        <f t="shared" si="1678"/>
        <v>86904</v>
      </c>
      <c r="J3216" s="34">
        <f t="shared" si="1684"/>
        <v>2748189</v>
      </c>
      <c r="K3216" s="133">
        <v>1000</v>
      </c>
      <c r="L3216" s="34"/>
      <c r="M3216" s="16">
        <f t="shared" si="1685"/>
        <v>1205124.0929843236</v>
      </c>
      <c r="N3216" s="36">
        <v>735</v>
      </c>
      <c r="O3216" s="36">
        <v>18</v>
      </c>
      <c r="P3216" s="56">
        <v>46349.324000000001</v>
      </c>
      <c r="Q3216" s="2" t="s">
        <v>183</v>
      </c>
      <c r="R3216" s="2" t="s">
        <v>656</v>
      </c>
      <c r="S3216" s="56">
        <f t="shared" si="1681"/>
        <v>34761.993000000002</v>
      </c>
    </row>
    <row r="3217" spans="1:19" x14ac:dyDescent="0.2">
      <c r="A3217" s="8" t="str">
        <f t="shared" si="1683"/>
        <v>9014610</v>
      </c>
      <c r="B3217" s="8">
        <v>901</v>
      </c>
      <c r="C3217" s="8">
        <v>46</v>
      </c>
      <c r="D3217" s="8" t="s">
        <v>62</v>
      </c>
      <c r="E3217" s="8">
        <v>0</v>
      </c>
      <c r="F3217" s="19">
        <f t="shared" si="1686"/>
        <v>241718</v>
      </c>
      <c r="G3217" s="19">
        <f t="shared" si="1686"/>
        <v>241718</v>
      </c>
      <c r="H3217" s="19">
        <f t="shared" si="1678"/>
        <v>45500</v>
      </c>
      <c r="I3217" s="19">
        <f t="shared" si="1678"/>
        <v>45500</v>
      </c>
      <c r="J3217" s="19">
        <f t="shared" si="1684"/>
        <v>175603</v>
      </c>
      <c r="K3217" s="133">
        <v>1000</v>
      </c>
      <c r="L3217" s="19"/>
      <c r="M3217" s="16">
        <f t="shared" si="1685"/>
        <v>111177.30619962333</v>
      </c>
      <c r="N3217" s="36">
        <v>810</v>
      </c>
      <c r="O3217" s="58">
        <v>1</v>
      </c>
      <c r="P3217" s="94">
        <v>45500</v>
      </c>
      <c r="Q3217" s="41" t="s">
        <v>402</v>
      </c>
      <c r="R3217" s="41" t="s">
        <v>657</v>
      </c>
      <c r="S3217" s="94">
        <f t="shared" ref="S3217:S3280" si="1687">P3217*0.4</f>
        <v>18200</v>
      </c>
    </row>
    <row r="3218" spans="1:19" x14ac:dyDescent="0.2">
      <c r="A3218" s="8" t="str">
        <f t="shared" si="1683"/>
        <v>9014616</v>
      </c>
      <c r="B3218" s="8">
        <v>901</v>
      </c>
      <c r="C3218" s="8">
        <v>46</v>
      </c>
      <c r="D3218" s="8" t="s">
        <v>62</v>
      </c>
      <c r="E3218" s="8">
        <v>6</v>
      </c>
      <c r="F3218" s="19">
        <f t="shared" si="1686"/>
        <v>966875</v>
      </c>
      <c r="G3218" s="19">
        <f t="shared" si="1686"/>
        <v>966875</v>
      </c>
      <c r="H3218" s="19">
        <f t="shared" si="1678"/>
        <v>45500</v>
      </c>
      <c r="I3218" s="19">
        <f t="shared" si="1678"/>
        <v>45500</v>
      </c>
      <c r="J3218" s="19">
        <f t="shared" si="1684"/>
        <v>2602613</v>
      </c>
      <c r="K3218" s="133">
        <v>1000</v>
      </c>
      <c r="L3218" s="19"/>
      <c r="M3218" s="16">
        <f t="shared" si="1685"/>
        <v>856023.42292836832</v>
      </c>
      <c r="N3218" s="36">
        <v>735</v>
      </c>
      <c r="O3218" s="58">
        <v>18</v>
      </c>
      <c r="P3218" s="94">
        <v>45500</v>
      </c>
      <c r="Q3218" s="41" t="s">
        <v>402</v>
      </c>
      <c r="R3218" s="41" t="s">
        <v>657</v>
      </c>
      <c r="S3218" s="94">
        <f t="shared" si="1687"/>
        <v>18200</v>
      </c>
    </row>
    <row r="3219" spans="1:19" x14ac:dyDescent="0.2">
      <c r="A3219" s="8" t="str">
        <f t="shared" si="1683"/>
        <v>9014710</v>
      </c>
      <c r="B3219" s="8">
        <v>901</v>
      </c>
      <c r="C3219" s="8">
        <v>47</v>
      </c>
      <c r="D3219" s="8" t="s">
        <v>62</v>
      </c>
      <c r="E3219" s="8">
        <v>0</v>
      </c>
      <c r="F3219" s="19">
        <f t="shared" si="1686"/>
        <v>297500</v>
      </c>
      <c r="G3219" s="19">
        <f t="shared" si="1686"/>
        <v>297500</v>
      </c>
      <c r="H3219" s="19">
        <f t="shared" si="1678"/>
        <v>56000</v>
      </c>
      <c r="I3219" s="19">
        <f t="shared" si="1678"/>
        <v>56000</v>
      </c>
      <c r="J3219" s="19">
        <f t="shared" si="1684"/>
        <v>216127</v>
      </c>
      <c r="K3219" s="133">
        <v>1000</v>
      </c>
      <c r="L3219" s="19"/>
      <c r="M3219" s="16">
        <f t="shared" si="1685"/>
        <v>151803.57455606901</v>
      </c>
      <c r="N3219" s="36">
        <v>810</v>
      </c>
      <c r="O3219" s="58">
        <v>1</v>
      </c>
      <c r="P3219" s="94">
        <v>56000</v>
      </c>
      <c r="Q3219" s="41" t="s">
        <v>402</v>
      </c>
      <c r="R3219" s="41" t="s">
        <v>658</v>
      </c>
      <c r="S3219" s="94">
        <f t="shared" si="1687"/>
        <v>22400</v>
      </c>
    </row>
    <row r="3220" spans="1:19" x14ac:dyDescent="0.2">
      <c r="A3220" s="8" t="str">
        <f t="shared" si="1683"/>
        <v>9014716</v>
      </c>
      <c r="B3220" s="8">
        <v>901</v>
      </c>
      <c r="C3220" s="8">
        <v>47</v>
      </c>
      <c r="D3220" s="8" t="s">
        <v>62</v>
      </c>
      <c r="E3220" s="8">
        <v>6</v>
      </c>
      <c r="F3220" s="19">
        <f t="shared" si="1686"/>
        <v>1190000</v>
      </c>
      <c r="G3220" s="19">
        <f t="shared" si="1686"/>
        <v>1190000</v>
      </c>
      <c r="H3220" s="19">
        <f t="shared" si="1678"/>
        <v>56000</v>
      </c>
      <c r="I3220" s="19">
        <f t="shared" si="1678"/>
        <v>56000</v>
      </c>
      <c r="J3220" s="19">
        <f t="shared" si="1684"/>
        <v>3203216</v>
      </c>
      <c r="K3220" s="133">
        <v>1000</v>
      </c>
      <c r="L3220" s="19"/>
      <c r="M3220" s="16">
        <f t="shared" si="1685"/>
        <v>1168827.9647304816</v>
      </c>
      <c r="N3220" s="36">
        <v>735</v>
      </c>
      <c r="O3220" s="58">
        <v>18</v>
      </c>
      <c r="P3220" s="94">
        <v>56000</v>
      </c>
      <c r="Q3220" s="41" t="s">
        <v>402</v>
      </c>
      <c r="R3220" s="41" t="s">
        <v>658</v>
      </c>
      <c r="S3220" s="94">
        <f t="shared" si="1687"/>
        <v>22400</v>
      </c>
    </row>
    <row r="3221" spans="1:19" x14ac:dyDescent="0.2">
      <c r="A3221" s="8" t="str">
        <f t="shared" si="1683"/>
        <v>9014810</v>
      </c>
      <c r="B3221" s="8">
        <v>901</v>
      </c>
      <c r="C3221" s="8">
        <v>48</v>
      </c>
      <c r="D3221" s="8" t="s">
        <v>62</v>
      </c>
      <c r="E3221" s="8">
        <v>0</v>
      </c>
      <c r="F3221" s="34">
        <f t="shared" si="1686"/>
        <v>422331</v>
      </c>
      <c r="G3221" s="34">
        <f t="shared" si="1686"/>
        <v>422331</v>
      </c>
      <c r="H3221" s="34">
        <f t="shared" si="1678"/>
        <v>79497</v>
      </c>
      <c r="I3221" s="34">
        <f t="shared" si="1678"/>
        <v>79497</v>
      </c>
      <c r="J3221" s="34">
        <f t="shared" si="1684"/>
        <v>306813</v>
      </c>
      <c r="K3221" s="133">
        <v>1000</v>
      </c>
      <c r="L3221" s="34"/>
      <c r="M3221" s="16">
        <f t="shared" si="1685"/>
        <v>256760.79747830902</v>
      </c>
      <c r="N3221" s="36">
        <v>810</v>
      </c>
      <c r="O3221" s="36">
        <v>1</v>
      </c>
      <c r="P3221" s="56">
        <v>79497.599999999991</v>
      </c>
      <c r="Q3221" s="2" t="s">
        <v>402</v>
      </c>
      <c r="R3221" s="2" t="s">
        <v>659</v>
      </c>
      <c r="S3221" s="56">
        <f t="shared" si="1687"/>
        <v>31799.039999999997</v>
      </c>
    </row>
    <row r="3222" spans="1:19" x14ac:dyDescent="0.2">
      <c r="A3222" s="8" t="str">
        <f t="shared" si="1683"/>
        <v>9014816</v>
      </c>
      <c r="B3222" s="8">
        <v>901</v>
      </c>
      <c r="C3222" s="8">
        <v>48</v>
      </c>
      <c r="D3222" s="8" t="s">
        <v>62</v>
      </c>
      <c r="E3222" s="8">
        <v>6</v>
      </c>
      <c r="F3222" s="34">
        <f t="shared" si="1686"/>
        <v>1689324</v>
      </c>
      <c r="G3222" s="34">
        <f t="shared" si="1686"/>
        <v>1689324</v>
      </c>
      <c r="H3222" s="34">
        <f t="shared" si="1678"/>
        <v>79497</v>
      </c>
      <c r="I3222" s="34">
        <f t="shared" si="1678"/>
        <v>79497</v>
      </c>
      <c r="J3222" s="34">
        <f t="shared" si="1684"/>
        <v>4547286</v>
      </c>
      <c r="K3222" s="133">
        <v>1000</v>
      </c>
      <c r="L3222" s="34"/>
      <c r="M3222" s="16">
        <f t="shared" si="1685"/>
        <v>1976960.3897177735</v>
      </c>
      <c r="N3222" s="36">
        <v>735</v>
      </c>
      <c r="O3222" s="36">
        <v>18</v>
      </c>
      <c r="P3222" s="56">
        <v>79497.599999999991</v>
      </c>
      <c r="Q3222" s="2" t="s">
        <v>402</v>
      </c>
      <c r="R3222" s="2" t="s">
        <v>659</v>
      </c>
      <c r="S3222" s="56">
        <f t="shared" si="1687"/>
        <v>31799.039999999997</v>
      </c>
    </row>
    <row r="3223" spans="1:19" x14ac:dyDescent="0.2">
      <c r="A3223" s="8" t="str">
        <f t="shared" si="1683"/>
        <v>9014910</v>
      </c>
      <c r="B3223" s="8">
        <v>901</v>
      </c>
      <c r="C3223" s="8">
        <v>49</v>
      </c>
      <c r="D3223" s="8" t="s">
        <v>62</v>
      </c>
      <c r="E3223" s="8">
        <v>0</v>
      </c>
      <c r="F3223" s="34">
        <f t="shared" si="1686"/>
        <v>439224</v>
      </c>
      <c r="G3223" s="34">
        <f t="shared" si="1686"/>
        <v>439224</v>
      </c>
      <c r="H3223" s="34">
        <f t="shared" si="1678"/>
        <v>82677</v>
      </c>
      <c r="I3223" s="34">
        <f t="shared" si="1678"/>
        <v>82677</v>
      </c>
      <c r="J3223" s="34">
        <f t="shared" si="1684"/>
        <v>319086</v>
      </c>
      <c r="K3223" s="133">
        <v>1000</v>
      </c>
      <c r="L3223" s="34"/>
      <c r="M3223" s="16">
        <f t="shared" si="1685"/>
        <v>272319.81791838486</v>
      </c>
      <c r="N3223" s="36">
        <v>810</v>
      </c>
      <c r="O3223" s="36">
        <v>1</v>
      </c>
      <c r="P3223" s="56">
        <v>82677.504000000001</v>
      </c>
      <c r="Q3223" s="2" t="s">
        <v>402</v>
      </c>
      <c r="R3223" s="2" t="s">
        <v>170</v>
      </c>
      <c r="S3223" s="56">
        <f t="shared" si="1687"/>
        <v>33071.001600000003</v>
      </c>
    </row>
    <row r="3224" spans="1:19" x14ac:dyDescent="0.2">
      <c r="A3224" s="8" t="str">
        <f t="shared" si="1683"/>
        <v>9014916</v>
      </c>
      <c r="B3224" s="8">
        <v>901</v>
      </c>
      <c r="C3224" s="8">
        <v>49</v>
      </c>
      <c r="D3224" s="8" t="s">
        <v>62</v>
      </c>
      <c r="E3224" s="8">
        <v>6</v>
      </c>
      <c r="F3224" s="34">
        <f t="shared" si="1686"/>
        <v>1756896</v>
      </c>
      <c r="G3224" s="34">
        <f t="shared" si="1686"/>
        <v>1756896</v>
      </c>
      <c r="H3224" s="34">
        <f t="shared" si="1678"/>
        <v>82677</v>
      </c>
      <c r="I3224" s="34">
        <f t="shared" si="1678"/>
        <v>82677</v>
      </c>
      <c r="J3224" s="34">
        <f t="shared" si="1684"/>
        <v>4729177</v>
      </c>
      <c r="K3224" s="133">
        <v>1000</v>
      </c>
      <c r="L3224" s="34"/>
      <c r="M3224" s="16">
        <f t="shared" si="1685"/>
        <v>2096757.2490494214</v>
      </c>
      <c r="N3224" s="36">
        <v>735</v>
      </c>
      <c r="O3224" s="36">
        <v>18</v>
      </c>
      <c r="P3224" s="56">
        <v>82677.504000000001</v>
      </c>
      <c r="Q3224" s="2" t="s">
        <v>402</v>
      </c>
      <c r="R3224" s="2" t="s">
        <v>170</v>
      </c>
      <c r="S3224" s="56">
        <f t="shared" si="1687"/>
        <v>33071.001600000003</v>
      </c>
    </row>
    <row r="3225" spans="1:19" x14ac:dyDescent="0.2">
      <c r="A3225" s="8" t="str">
        <f t="shared" si="1683"/>
        <v>9015010</v>
      </c>
      <c r="B3225" s="8">
        <v>901</v>
      </c>
      <c r="C3225" s="8">
        <v>50</v>
      </c>
      <c r="D3225" s="8" t="s">
        <v>62</v>
      </c>
      <c r="E3225" s="8">
        <v>0</v>
      </c>
      <c r="F3225" s="34">
        <f t="shared" si="1686"/>
        <v>456793</v>
      </c>
      <c r="G3225" s="34">
        <f t="shared" si="1686"/>
        <v>456793</v>
      </c>
      <c r="H3225" s="34">
        <f t="shared" ref="H3225:I3245" si="1688">ROUNDDOWN($S3225/4*10,0)</f>
        <v>85984</v>
      </c>
      <c r="I3225" s="34">
        <f t="shared" si="1688"/>
        <v>85984</v>
      </c>
      <c r="J3225" s="34">
        <f t="shared" si="1684"/>
        <v>331849</v>
      </c>
      <c r="K3225" s="133">
        <v>1000</v>
      </c>
      <c r="L3225" s="34"/>
      <c r="M3225" s="16">
        <f t="shared" si="1685"/>
        <v>288821.01243556797</v>
      </c>
      <c r="N3225" s="36">
        <v>810</v>
      </c>
      <c r="O3225" s="36">
        <v>1</v>
      </c>
      <c r="P3225" s="56">
        <v>85984.604160000003</v>
      </c>
      <c r="Q3225" s="2" t="s">
        <v>402</v>
      </c>
      <c r="R3225" s="2" t="s">
        <v>660</v>
      </c>
      <c r="S3225" s="56">
        <f t="shared" si="1687"/>
        <v>34393.841664</v>
      </c>
    </row>
    <row r="3226" spans="1:19" x14ac:dyDescent="0.2">
      <c r="A3226" s="8" t="str">
        <f t="shared" si="1683"/>
        <v>9015016</v>
      </c>
      <c r="B3226" s="8">
        <v>901</v>
      </c>
      <c r="C3226" s="8">
        <v>50</v>
      </c>
      <c r="D3226" s="8" t="s">
        <v>62</v>
      </c>
      <c r="E3226" s="8">
        <v>6</v>
      </c>
      <c r="F3226" s="34">
        <f t="shared" si="1686"/>
        <v>1827172</v>
      </c>
      <c r="G3226" s="34">
        <f t="shared" si="1686"/>
        <v>1827172</v>
      </c>
      <c r="H3226" s="34">
        <f t="shared" si="1688"/>
        <v>85984</v>
      </c>
      <c r="I3226" s="34">
        <f t="shared" si="1688"/>
        <v>85984</v>
      </c>
      <c r="J3226" s="34">
        <f t="shared" si="1684"/>
        <v>4918344</v>
      </c>
      <c r="K3226" s="133">
        <v>1000</v>
      </c>
      <c r="L3226" s="34"/>
      <c r="M3226" s="16">
        <f t="shared" si="1685"/>
        <v>2223811.5194166717</v>
      </c>
      <c r="N3226" s="36">
        <v>735</v>
      </c>
      <c r="O3226" s="36">
        <v>18</v>
      </c>
      <c r="P3226" s="56">
        <v>85984.604160000003</v>
      </c>
      <c r="Q3226" s="2" t="s">
        <v>402</v>
      </c>
      <c r="R3226" s="2" t="s">
        <v>660</v>
      </c>
      <c r="S3226" s="56">
        <f t="shared" si="1687"/>
        <v>34393.841664</v>
      </c>
    </row>
    <row r="3227" spans="1:19" x14ac:dyDescent="0.2">
      <c r="A3227" s="8" t="str">
        <f t="shared" si="1683"/>
        <v>9015110</v>
      </c>
      <c r="B3227" s="8">
        <v>901</v>
      </c>
      <c r="C3227" s="8">
        <v>51</v>
      </c>
      <c r="D3227" s="8" t="s">
        <v>62</v>
      </c>
      <c r="E3227" s="8">
        <v>0</v>
      </c>
      <c r="F3227" s="19">
        <f t="shared" ref="F3227:G3246" si="1689">ROUNDDOWN($P3227/4*MIN($O3227,4)*10*$N3227/$N3227*$Q3227/400,0)</f>
        <v>446250</v>
      </c>
      <c r="G3227" s="19">
        <f t="shared" si="1689"/>
        <v>446250</v>
      </c>
      <c r="H3227" s="19">
        <f t="shared" si="1688"/>
        <v>84000</v>
      </c>
      <c r="I3227" s="19">
        <f t="shared" si="1688"/>
        <v>84000</v>
      </c>
      <c r="J3227" s="19">
        <f t="shared" si="1684"/>
        <v>324190</v>
      </c>
      <c r="K3227" s="133">
        <v>1000</v>
      </c>
      <c r="L3227" s="19"/>
      <c r="M3227" s="16">
        <f t="shared" si="1685"/>
        <v>278880.75903511164</v>
      </c>
      <c r="N3227" s="36">
        <v>810</v>
      </c>
      <c r="O3227" s="58">
        <v>1</v>
      </c>
      <c r="P3227" s="94">
        <v>84000</v>
      </c>
      <c r="Q3227" s="41" t="s">
        <v>402</v>
      </c>
      <c r="R3227" s="41" t="s">
        <v>661</v>
      </c>
      <c r="S3227" s="94">
        <f t="shared" si="1687"/>
        <v>33600</v>
      </c>
    </row>
    <row r="3228" spans="1:19" x14ac:dyDescent="0.2">
      <c r="A3228" s="8" t="str">
        <f t="shared" si="1683"/>
        <v>9015116</v>
      </c>
      <c r="B3228" s="8">
        <v>901</v>
      </c>
      <c r="C3228" s="8">
        <v>51</v>
      </c>
      <c r="D3228" s="8" t="s">
        <v>62</v>
      </c>
      <c r="E3228" s="8">
        <v>6</v>
      </c>
      <c r="F3228" s="19">
        <f t="shared" si="1689"/>
        <v>1785000</v>
      </c>
      <c r="G3228" s="19">
        <f t="shared" si="1689"/>
        <v>1785000</v>
      </c>
      <c r="H3228" s="19">
        <f t="shared" si="1688"/>
        <v>84000</v>
      </c>
      <c r="I3228" s="19">
        <f t="shared" si="1688"/>
        <v>84000</v>
      </c>
      <c r="J3228" s="19">
        <f t="shared" si="1684"/>
        <v>4804824</v>
      </c>
      <c r="K3228" s="133">
        <v>1000</v>
      </c>
      <c r="L3228" s="19"/>
      <c r="M3228" s="16">
        <f t="shared" si="1685"/>
        <v>2147274.0830140896</v>
      </c>
      <c r="N3228" s="36">
        <v>735</v>
      </c>
      <c r="O3228" s="58">
        <v>18</v>
      </c>
      <c r="P3228" s="94">
        <v>84000</v>
      </c>
      <c r="Q3228" s="41" t="s">
        <v>402</v>
      </c>
      <c r="R3228" s="41" t="s">
        <v>661</v>
      </c>
      <c r="S3228" s="94">
        <f t="shared" si="1687"/>
        <v>33600</v>
      </c>
    </row>
    <row r="3229" spans="1:19" x14ac:dyDescent="0.2">
      <c r="A3229" s="8" t="str">
        <f t="shared" si="1683"/>
        <v>9015210</v>
      </c>
      <c r="B3229" s="8">
        <v>901</v>
      </c>
      <c r="C3229" s="8">
        <v>52</v>
      </c>
      <c r="D3229" s="8" t="s">
        <v>62</v>
      </c>
      <c r="E3229" s="8">
        <v>0</v>
      </c>
      <c r="F3229" s="34">
        <f t="shared" si="1689"/>
        <v>503614</v>
      </c>
      <c r="G3229" s="34">
        <f t="shared" si="1689"/>
        <v>503614</v>
      </c>
      <c r="H3229" s="34">
        <f t="shared" si="1688"/>
        <v>94798</v>
      </c>
      <c r="I3229" s="34">
        <f t="shared" si="1688"/>
        <v>94798</v>
      </c>
      <c r="J3229" s="34">
        <f t="shared" si="1684"/>
        <v>365864</v>
      </c>
      <c r="K3229" s="133">
        <v>1000</v>
      </c>
      <c r="L3229" s="34"/>
      <c r="M3229" s="16">
        <f t="shared" si="1685"/>
        <v>334347.67755406525</v>
      </c>
      <c r="N3229" s="36">
        <v>810</v>
      </c>
      <c r="O3229" s="36">
        <v>1</v>
      </c>
      <c r="P3229" s="56">
        <v>94798.026086400016</v>
      </c>
      <c r="Q3229" s="2" t="s">
        <v>402</v>
      </c>
      <c r="R3229" s="2" t="s">
        <v>662</v>
      </c>
      <c r="S3229" s="56">
        <f t="shared" si="1687"/>
        <v>37919.210434560009</v>
      </c>
    </row>
    <row r="3230" spans="1:19" x14ac:dyDescent="0.2">
      <c r="A3230" s="8" t="str">
        <f t="shared" si="1683"/>
        <v>9015216</v>
      </c>
      <c r="B3230" s="8">
        <v>901</v>
      </c>
      <c r="C3230" s="8">
        <v>52</v>
      </c>
      <c r="D3230" s="8" t="s">
        <v>62</v>
      </c>
      <c r="E3230" s="8">
        <v>6</v>
      </c>
      <c r="F3230" s="34">
        <f t="shared" si="1689"/>
        <v>2014458</v>
      </c>
      <c r="G3230" s="34">
        <f t="shared" si="1689"/>
        <v>2014458</v>
      </c>
      <c r="H3230" s="34">
        <f t="shared" si="1688"/>
        <v>94798</v>
      </c>
      <c r="I3230" s="34">
        <f t="shared" si="1688"/>
        <v>94798</v>
      </c>
      <c r="J3230" s="34">
        <f t="shared" si="1684"/>
        <v>5422474</v>
      </c>
      <c r="K3230" s="133">
        <v>1000</v>
      </c>
      <c r="L3230" s="34"/>
      <c r="M3230" s="16">
        <f t="shared" si="1685"/>
        <v>2574348.9943308476</v>
      </c>
      <c r="N3230" s="36">
        <v>735</v>
      </c>
      <c r="O3230" s="36">
        <v>18</v>
      </c>
      <c r="P3230" s="56">
        <v>94798.026086400016</v>
      </c>
      <c r="Q3230" s="2" t="s">
        <v>402</v>
      </c>
      <c r="R3230" s="2" t="s">
        <v>662</v>
      </c>
      <c r="S3230" s="56">
        <f t="shared" si="1687"/>
        <v>37919.210434560009</v>
      </c>
    </row>
    <row r="3231" spans="1:19" x14ac:dyDescent="0.2">
      <c r="A3231" s="8" t="str">
        <f t="shared" si="1683"/>
        <v>9015310</v>
      </c>
      <c r="B3231" s="8">
        <v>901</v>
      </c>
      <c r="C3231" s="8">
        <v>53</v>
      </c>
      <c r="D3231" s="8" t="s">
        <v>62</v>
      </c>
      <c r="E3231" s="8">
        <v>0</v>
      </c>
      <c r="F3231" s="34">
        <f t="shared" si="1689"/>
        <v>528795</v>
      </c>
      <c r="G3231" s="34">
        <f t="shared" si="1689"/>
        <v>528795</v>
      </c>
      <c r="H3231" s="34">
        <f t="shared" si="1688"/>
        <v>99537</v>
      </c>
      <c r="I3231" s="34">
        <f t="shared" si="1688"/>
        <v>99537</v>
      </c>
      <c r="J3231" s="34">
        <f t="shared" si="1684"/>
        <v>384157</v>
      </c>
      <c r="K3231" s="133">
        <v>1000</v>
      </c>
      <c r="L3231" s="34"/>
      <c r="M3231" s="16">
        <f t="shared" si="1685"/>
        <v>359733.02209030662</v>
      </c>
      <c r="N3231" s="36">
        <v>810</v>
      </c>
      <c r="O3231" s="36">
        <v>1</v>
      </c>
      <c r="P3231" s="56">
        <v>99537.927390720026</v>
      </c>
      <c r="Q3231" s="2" t="s">
        <v>402</v>
      </c>
      <c r="R3231" s="2" t="s">
        <v>663</v>
      </c>
      <c r="S3231" s="56">
        <f t="shared" si="1687"/>
        <v>39815.170956288013</v>
      </c>
    </row>
    <row r="3232" spans="1:19" x14ac:dyDescent="0.2">
      <c r="A3232" s="8" t="str">
        <f t="shared" si="1683"/>
        <v>9015316</v>
      </c>
      <c r="B3232" s="8">
        <v>901</v>
      </c>
      <c r="C3232" s="8">
        <v>53</v>
      </c>
      <c r="D3232" s="8" t="s">
        <v>62</v>
      </c>
      <c r="E3232" s="8">
        <v>6</v>
      </c>
      <c r="F3232" s="34">
        <f t="shared" si="1689"/>
        <v>2115180</v>
      </c>
      <c r="G3232" s="34">
        <f t="shared" si="1689"/>
        <v>2115180</v>
      </c>
      <c r="H3232" s="34">
        <f t="shared" si="1688"/>
        <v>99537</v>
      </c>
      <c r="I3232" s="34">
        <f t="shared" si="1688"/>
        <v>99537</v>
      </c>
      <c r="J3232" s="34">
        <f t="shared" si="1684"/>
        <v>5693598</v>
      </c>
      <c r="K3232" s="133">
        <v>1000</v>
      </c>
      <c r="L3232" s="34"/>
      <c r="M3232" s="16">
        <f t="shared" si="1685"/>
        <v>2769805.8385508917</v>
      </c>
      <c r="N3232" s="36">
        <v>735</v>
      </c>
      <c r="O3232" s="36">
        <v>18</v>
      </c>
      <c r="P3232" s="56">
        <v>99537.927390720026</v>
      </c>
      <c r="Q3232" s="2" t="s">
        <v>402</v>
      </c>
      <c r="R3232" s="2" t="s">
        <v>663</v>
      </c>
      <c r="S3232" s="56">
        <f t="shared" si="1687"/>
        <v>39815.170956288013</v>
      </c>
    </row>
    <row r="3233" spans="1:19" x14ac:dyDescent="0.2">
      <c r="A3233" s="8" t="str">
        <f t="shared" si="1683"/>
        <v>9015410</v>
      </c>
      <c r="B3233" s="8">
        <v>901</v>
      </c>
      <c r="C3233" s="8">
        <v>54</v>
      </c>
      <c r="D3233" s="8" t="s">
        <v>62</v>
      </c>
      <c r="E3233" s="8">
        <v>0</v>
      </c>
      <c r="F3233" s="34">
        <f t="shared" si="1689"/>
        <v>555235</v>
      </c>
      <c r="G3233" s="34">
        <f t="shared" si="1689"/>
        <v>555235</v>
      </c>
      <c r="H3233" s="34">
        <f t="shared" si="1688"/>
        <v>104514</v>
      </c>
      <c r="I3233" s="34">
        <f t="shared" si="1688"/>
        <v>104514</v>
      </c>
      <c r="J3233" s="34">
        <f t="shared" si="1684"/>
        <v>403365</v>
      </c>
      <c r="K3233" s="133">
        <v>1000</v>
      </c>
      <c r="L3233" s="34"/>
      <c r="M3233" s="16">
        <f t="shared" si="1685"/>
        <v>387047.92630667007</v>
      </c>
      <c r="N3233" s="36">
        <v>810</v>
      </c>
      <c r="O3233" s="36">
        <v>1</v>
      </c>
      <c r="P3233" s="56">
        <v>104514.82376025603</v>
      </c>
      <c r="Q3233" s="2" t="s">
        <v>402</v>
      </c>
      <c r="R3233" s="2" t="s">
        <v>664</v>
      </c>
      <c r="S3233" s="56">
        <f t="shared" si="1687"/>
        <v>41805.929504102416</v>
      </c>
    </row>
    <row r="3234" spans="1:19" x14ac:dyDescent="0.2">
      <c r="A3234" s="8" t="str">
        <f t="shared" si="1683"/>
        <v>9015416</v>
      </c>
      <c r="B3234" s="8">
        <v>901</v>
      </c>
      <c r="C3234" s="8">
        <v>54</v>
      </c>
      <c r="D3234" s="8" t="s">
        <v>62</v>
      </c>
      <c r="E3234" s="8">
        <v>6</v>
      </c>
      <c r="F3234" s="34">
        <f t="shared" si="1689"/>
        <v>2220940</v>
      </c>
      <c r="G3234" s="34">
        <f t="shared" si="1689"/>
        <v>2220940</v>
      </c>
      <c r="H3234" s="34">
        <f t="shared" si="1688"/>
        <v>104514</v>
      </c>
      <c r="I3234" s="34">
        <f t="shared" si="1688"/>
        <v>104514</v>
      </c>
      <c r="J3234" s="34">
        <f t="shared" si="1684"/>
        <v>5978278</v>
      </c>
      <c r="K3234" s="133">
        <v>1000</v>
      </c>
      <c r="L3234" s="34"/>
      <c r="M3234" s="16">
        <f t="shared" si="1685"/>
        <v>2980119.5605785414</v>
      </c>
      <c r="N3234" s="36">
        <v>735</v>
      </c>
      <c r="O3234" s="36">
        <v>18</v>
      </c>
      <c r="P3234" s="56">
        <v>104514.82376025603</v>
      </c>
      <c r="Q3234" s="2" t="s">
        <v>402</v>
      </c>
      <c r="R3234" s="2" t="s">
        <v>664</v>
      </c>
      <c r="S3234" s="56">
        <f t="shared" si="1687"/>
        <v>41805.929504102416</v>
      </c>
    </row>
    <row r="3235" spans="1:19" x14ac:dyDescent="0.2">
      <c r="A3235" s="8" t="str">
        <f t="shared" si="1683"/>
        <v>9015510</v>
      </c>
      <c r="B3235" s="8">
        <v>901</v>
      </c>
      <c r="C3235" s="8">
        <v>55</v>
      </c>
      <c r="D3235" s="8" t="s">
        <v>62</v>
      </c>
      <c r="E3235" s="8">
        <v>0</v>
      </c>
      <c r="F3235" s="19">
        <f t="shared" si="1689"/>
        <v>557812</v>
      </c>
      <c r="G3235" s="19">
        <f t="shared" si="1689"/>
        <v>557812</v>
      </c>
      <c r="H3235" s="19">
        <f t="shared" si="1688"/>
        <v>105000</v>
      </c>
      <c r="I3235" s="19">
        <f t="shared" si="1688"/>
        <v>105000</v>
      </c>
      <c r="J3235" s="19">
        <f t="shared" si="1684"/>
        <v>405238</v>
      </c>
      <c r="K3235" s="133">
        <v>1000</v>
      </c>
      <c r="L3235" s="19"/>
      <c r="M3235" s="16">
        <f t="shared" si="1685"/>
        <v>389747.77502896922</v>
      </c>
      <c r="N3235" s="36">
        <v>810</v>
      </c>
      <c r="O3235" s="58">
        <v>1</v>
      </c>
      <c r="P3235" s="94">
        <v>105000</v>
      </c>
      <c r="Q3235" s="41" t="s">
        <v>402</v>
      </c>
      <c r="R3235" s="41" t="s">
        <v>665</v>
      </c>
      <c r="S3235" s="94">
        <f t="shared" si="1687"/>
        <v>42000</v>
      </c>
    </row>
    <row r="3236" spans="1:19" x14ac:dyDescent="0.2">
      <c r="A3236" s="8" t="str">
        <f t="shared" si="1683"/>
        <v>9015516</v>
      </c>
      <c r="B3236" s="8">
        <v>901</v>
      </c>
      <c r="C3236" s="8">
        <v>55</v>
      </c>
      <c r="D3236" s="8" t="s">
        <v>62</v>
      </c>
      <c r="E3236" s="8">
        <v>6</v>
      </c>
      <c r="F3236" s="19">
        <f t="shared" si="1689"/>
        <v>2231250</v>
      </c>
      <c r="G3236" s="19">
        <f t="shared" si="1689"/>
        <v>2231250</v>
      </c>
      <c r="H3236" s="19">
        <f t="shared" si="1688"/>
        <v>105000</v>
      </c>
      <c r="I3236" s="19">
        <f t="shared" si="1688"/>
        <v>105000</v>
      </c>
      <c r="J3236" s="19">
        <f t="shared" si="1684"/>
        <v>6006030</v>
      </c>
      <c r="K3236" s="133">
        <v>1000</v>
      </c>
      <c r="L3236" s="19"/>
      <c r="M3236" s="16">
        <f t="shared" si="1685"/>
        <v>3000906.7599643948</v>
      </c>
      <c r="N3236" s="36">
        <v>735</v>
      </c>
      <c r="O3236" s="58">
        <v>18</v>
      </c>
      <c r="P3236" s="94">
        <v>105000</v>
      </c>
      <c r="Q3236" s="41" t="s">
        <v>402</v>
      </c>
      <c r="R3236" s="41" t="s">
        <v>665</v>
      </c>
      <c r="S3236" s="94">
        <f t="shared" si="1687"/>
        <v>42000</v>
      </c>
    </row>
    <row r="3237" spans="1:19" x14ac:dyDescent="0.2">
      <c r="A3237" s="8" t="str">
        <f t="shared" si="1683"/>
        <v>9015610</v>
      </c>
      <c r="B3237" s="8">
        <v>901</v>
      </c>
      <c r="C3237" s="8">
        <v>56</v>
      </c>
      <c r="D3237" s="8" t="s">
        <v>62</v>
      </c>
      <c r="E3237" s="8">
        <v>0</v>
      </c>
      <c r="F3237" s="34">
        <f t="shared" si="1689"/>
        <v>617976</v>
      </c>
      <c r="G3237" s="34">
        <f t="shared" si="1689"/>
        <v>617976</v>
      </c>
      <c r="H3237" s="34">
        <f t="shared" si="1688"/>
        <v>116324</v>
      </c>
      <c r="I3237" s="34">
        <f t="shared" si="1688"/>
        <v>116324</v>
      </c>
      <c r="J3237" s="34">
        <f t="shared" si="1684"/>
        <v>448946</v>
      </c>
      <c r="K3237" s="133">
        <v>1000</v>
      </c>
      <c r="L3237" s="34"/>
      <c r="M3237" s="16">
        <f t="shared" si="1685"/>
        <v>454472.39456268959</v>
      </c>
      <c r="N3237" s="36">
        <v>810</v>
      </c>
      <c r="O3237" s="36">
        <v>1</v>
      </c>
      <c r="P3237" s="56">
        <v>116324.99884516497</v>
      </c>
      <c r="Q3237" s="2" t="s">
        <v>402</v>
      </c>
      <c r="R3237" s="2" t="s">
        <v>666</v>
      </c>
      <c r="S3237" s="56">
        <f t="shared" si="1687"/>
        <v>46529.999538065989</v>
      </c>
    </row>
    <row r="3238" spans="1:19" x14ac:dyDescent="0.2">
      <c r="A3238" s="8" t="str">
        <f t="shared" si="1683"/>
        <v>9015616</v>
      </c>
      <c r="B3238" s="8">
        <v>901</v>
      </c>
      <c r="C3238" s="8">
        <v>56</v>
      </c>
      <c r="D3238" s="8" t="s">
        <v>62</v>
      </c>
      <c r="E3238" s="8">
        <v>6</v>
      </c>
      <c r="F3238" s="34">
        <f t="shared" si="1689"/>
        <v>2471906</v>
      </c>
      <c r="G3238" s="34">
        <f t="shared" si="1689"/>
        <v>2471906</v>
      </c>
      <c r="H3238" s="34">
        <f t="shared" si="1688"/>
        <v>116324</v>
      </c>
      <c r="I3238" s="34">
        <f t="shared" si="1688"/>
        <v>116324</v>
      </c>
      <c r="J3238" s="34">
        <f t="shared" si="1684"/>
        <v>6653824</v>
      </c>
      <c r="K3238" s="133">
        <v>1000</v>
      </c>
      <c r="L3238" s="34"/>
      <c r="M3238" s="16">
        <f t="shared" si="1685"/>
        <v>3499260.5551695973</v>
      </c>
      <c r="N3238" s="36">
        <v>735</v>
      </c>
      <c r="O3238" s="36">
        <v>18</v>
      </c>
      <c r="P3238" s="56">
        <v>116324.99884516497</v>
      </c>
      <c r="Q3238" s="2" t="s">
        <v>402</v>
      </c>
      <c r="R3238" s="2" t="s">
        <v>666</v>
      </c>
      <c r="S3238" s="56">
        <f t="shared" si="1687"/>
        <v>46529.999538065989</v>
      </c>
    </row>
    <row r="3239" spans="1:19" x14ac:dyDescent="0.2">
      <c r="A3239" s="8" t="str">
        <f t="shared" si="1683"/>
        <v>9015710</v>
      </c>
      <c r="B3239" s="8">
        <v>901</v>
      </c>
      <c r="C3239" s="8">
        <v>57</v>
      </c>
      <c r="D3239" s="8" t="s">
        <v>62</v>
      </c>
      <c r="E3239" s="8">
        <v>0</v>
      </c>
      <c r="F3239" s="34">
        <f t="shared" si="1689"/>
        <v>655055</v>
      </c>
      <c r="G3239" s="34">
        <f t="shared" si="1689"/>
        <v>655055</v>
      </c>
      <c r="H3239" s="34">
        <f t="shared" si="1688"/>
        <v>123304</v>
      </c>
      <c r="I3239" s="34">
        <f t="shared" si="1688"/>
        <v>123304</v>
      </c>
      <c r="J3239" s="34">
        <f t="shared" si="1684"/>
        <v>475882</v>
      </c>
      <c r="K3239" s="133">
        <v>1000</v>
      </c>
      <c r="L3239" s="34"/>
      <c r="M3239" s="16">
        <f t="shared" si="1685"/>
        <v>495983.3432836521</v>
      </c>
      <c r="N3239" s="36">
        <v>810</v>
      </c>
      <c r="O3239" s="36">
        <v>1</v>
      </c>
      <c r="P3239" s="56">
        <v>123304.49877587488</v>
      </c>
      <c r="Q3239" s="2" t="s">
        <v>402</v>
      </c>
      <c r="R3239" s="2" t="s">
        <v>667</v>
      </c>
      <c r="S3239" s="56">
        <f t="shared" si="1687"/>
        <v>49321.799510349956</v>
      </c>
    </row>
    <row r="3240" spans="1:19" x14ac:dyDescent="0.2">
      <c r="A3240" s="8" t="str">
        <f t="shared" si="1683"/>
        <v>9015716</v>
      </c>
      <c r="B3240" s="8">
        <v>901</v>
      </c>
      <c r="C3240" s="8">
        <v>57</v>
      </c>
      <c r="D3240" s="8" t="s">
        <v>62</v>
      </c>
      <c r="E3240" s="8">
        <v>6</v>
      </c>
      <c r="F3240" s="34">
        <f t="shared" si="1689"/>
        <v>2620220</v>
      </c>
      <c r="G3240" s="34">
        <f t="shared" si="1689"/>
        <v>2620220</v>
      </c>
      <c r="H3240" s="34">
        <f t="shared" si="1688"/>
        <v>123304</v>
      </c>
      <c r="I3240" s="34">
        <f t="shared" si="1688"/>
        <v>123304</v>
      </c>
      <c r="J3240" s="34">
        <f t="shared" si="1684"/>
        <v>7053053</v>
      </c>
      <c r="K3240" s="133">
        <v>1000</v>
      </c>
      <c r="L3240" s="34"/>
      <c r="M3240" s="16">
        <f t="shared" si="1685"/>
        <v>3818880.0894551734</v>
      </c>
      <c r="N3240" s="36">
        <v>735</v>
      </c>
      <c r="O3240" s="36">
        <v>18</v>
      </c>
      <c r="P3240" s="56">
        <v>123304.49877587488</v>
      </c>
      <c r="Q3240" s="2" t="s">
        <v>402</v>
      </c>
      <c r="R3240" s="2" t="s">
        <v>667</v>
      </c>
      <c r="S3240" s="56">
        <f t="shared" si="1687"/>
        <v>49321.799510349956</v>
      </c>
    </row>
    <row r="3241" spans="1:19" x14ac:dyDescent="0.2">
      <c r="A3241" s="8" t="str">
        <f t="shared" si="1683"/>
        <v>9015810</v>
      </c>
      <c r="B3241" s="8">
        <v>901</v>
      </c>
      <c r="C3241" s="8">
        <v>58</v>
      </c>
      <c r="D3241" s="8" t="s">
        <v>62</v>
      </c>
      <c r="E3241" s="8">
        <v>0</v>
      </c>
      <c r="F3241" s="34">
        <f t="shared" si="1689"/>
        <v>694358</v>
      </c>
      <c r="G3241" s="34">
        <f t="shared" si="1689"/>
        <v>694358</v>
      </c>
      <c r="H3241" s="34">
        <f t="shared" si="1688"/>
        <v>130702</v>
      </c>
      <c r="I3241" s="34">
        <f t="shared" si="1688"/>
        <v>130702</v>
      </c>
      <c r="J3241" s="34">
        <f t="shared" si="1684"/>
        <v>504435</v>
      </c>
      <c r="K3241" s="133">
        <v>1000</v>
      </c>
      <c r="L3241" s="34"/>
      <c r="M3241" s="16">
        <f t="shared" si="1685"/>
        <v>541284.30123189918</v>
      </c>
      <c r="N3241" s="36">
        <v>810</v>
      </c>
      <c r="O3241" s="36">
        <v>1</v>
      </c>
      <c r="P3241" s="56">
        <v>130702.76870242738</v>
      </c>
      <c r="Q3241" s="2" t="s">
        <v>402</v>
      </c>
      <c r="R3241" s="2" t="s">
        <v>668</v>
      </c>
      <c r="S3241" s="56">
        <f t="shared" si="1687"/>
        <v>52281.107480970953</v>
      </c>
    </row>
    <row r="3242" spans="1:19" x14ac:dyDescent="0.2">
      <c r="A3242" s="8" t="str">
        <f t="shared" si="1683"/>
        <v>9015816</v>
      </c>
      <c r="B3242" s="8">
        <v>901</v>
      </c>
      <c r="C3242" s="8">
        <v>58</v>
      </c>
      <c r="D3242" s="8" t="s">
        <v>62</v>
      </c>
      <c r="E3242" s="8">
        <v>6</v>
      </c>
      <c r="F3242" s="34">
        <f t="shared" si="1689"/>
        <v>2777433</v>
      </c>
      <c r="G3242" s="34">
        <f t="shared" si="1689"/>
        <v>2777433</v>
      </c>
      <c r="H3242" s="34">
        <f t="shared" si="1688"/>
        <v>130702</v>
      </c>
      <c r="I3242" s="34">
        <f t="shared" si="1688"/>
        <v>130702</v>
      </c>
      <c r="J3242" s="34">
        <f t="shared" si="1684"/>
        <v>7476236</v>
      </c>
      <c r="K3242" s="133">
        <v>1000</v>
      </c>
      <c r="L3242" s="34"/>
      <c r="M3242" s="16">
        <f t="shared" si="1685"/>
        <v>4167680.3304523337</v>
      </c>
      <c r="N3242" s="36">
        <v>735</v>
      </c>
      <c r="O3242" s="36">
        <v>18</v>
      </c>
      <c r="P3242" s="56">
        <v>130702.76870242738</v>
      </c>
      <c r="Q3242" s="2" t="s">
        <v>402</v>
      </c>
      <c r="R3242" s="2" t="s">
        <v>668</v>
      </c>
      <c r="S3242" s="56">
        <f t="shared" si="1687"/>
        <v>52281.107480970953</v>
      </c>
    </row>
    <row r="3243" spans="1:19" x14ac:dyDescent="0.2">
      <c r="A3243" s="8" t="str">
        <f t="shared" si="1683"/>
        <v>9015910</v>
      </c>
      <c r="B3243" s="8">
        <v>901</v>
      </c>
      <c r="C3243" s="8">
        <v>59</v>
      </c>
      <c r="D3243" s="8" t="s">
        <v>62</v>
      </c>
      <c r="E3243" s="8">
        <v>0</v>
      </c>
      <c r="F3243" s="19">
        <f t="shared" si="1689"/>
        <v>762343</v>
      </c>
      <c r="G3243" s="19">
        <f t="shared" si="1689"/>
        <v>762343</v>
      </c>
      <c r="H3243" s="19">
        <f t="shared" si="1688"/>
        <v>143500</v>
      </c>
      <c r="I3243" s="19">
        <f t="shared" si="1688"/>
        <v>143500</v>
      </c>
      <c r="J3243" s="19">
        <f t="shared" si="1684"/>
        <v>553825</v>
      </c>
      <c r="K3243" s="133">
        <v>1000</v>
      </c>
      <c r="L3243" s="19"/>
      <c r="M3243" s="16">
        <f t="shared" si="1685"/>
        <v>622697.93289992528</v>
      </c>
      <c r="N3243" s="36">
        <v>810</v>
      </c>
      <c r="O3243" s="58">
        <v>1</v>
      </c>
      <c r="P3243" s="94">
        <v>143500</v>
      </c>
      <c r="Q3243" s="41" t="s">
        <v>402</v>
      </c>
      <c r="R3243" s="41" t="s">
        <v>669</v>
      </c>
      <c r="S3243" s="94">
        <f t="shared" si="1687"/>
        <v>57400</v>
      </c>
    </row>
    <row r="3244" spans="1:19" x14ac:dyDescent="0.2">
      <c r="A3244" s="8" t="str">
        <f t="shared" si="1683"/>
        <v>9015916</v>
      </c>
      <c r="B3244" s="8">
        <v>901</v>
      </c>
      <c r="C3244" s="8">
        <v>59</v>
      </c>
      <c r="D3244" s="8" t="s">
        <v>62</v>
      </c>
      <c r="E3244" s="8">
        <v>6</v>
      </c>
      <c r="F3244" s="19">
        <f t="shared" si="1689"/>
        <v>3049375</v>
      </c>
      <c r="G3244" s="19">
        <f t="shared" si="1689"/>
        <v>3049375</v>
      </c>
      <c r="H3244" s="19">
        <f t="shared" si="1688"/>
        <v>143500</v>
      </c>
      <c r="I3244" s="19">
        <f t="shared" si="1688"/>
        <v>143500</v>
      </c>
      <c r="J3244" s="19">
        <f t="shared" si="1684"/>
        <v>8208242</v>
      </c>
      <c r="K3244" s="133">
        <v>1000</v>
      </c>
      <c r="L3244" s="19"/>
      <c r="M3244" s="16">
        <f t="shared" si="1685"/>
        <v>4794534.3152523171</v>
      </c>
      <c r="N3244" s="36">
        <v>735</v>
      </c>
      <c r="O3244" s="58">
        <v>18</v>
      </c>
      <c r="P3244" s="94">
        <v>143500</v>
      </c>
      <c r="Q3244" s="41" t="s">
        <v>402</v>
      </c>
      <c r="R3244" s="41" t="s">
        <v>669</v>
      </c>
      <c r="S3244" s="94">
        <f t="shared" si="1687"/>
        <v>57400</v>
      </c>
    </row>
    <row r="3245" spans="1:19" x14ac:dyDescent="0.2">
      <c r="A3245" s="8" t="str">
        <f t="shared" si="1683"/>
        <v>9016010</v>
      </c>
      <c r="B3245" s="8">
        <v>901</v>
      </c>
      <c r="C3245" s="8">
        <v>60</v>
      </c>
      <c r="D3245" s="8" t="s">
        <v>62</v>
      </c>
      <c r="E3245" s="8">
        <v>0</v>
      </c>
      <c r="F3245" s="34">
        <f t="shared" si="1689"/>
        <v>780181</v>
      </c>
      <c r="G3245" s="34">
        <f t="shared" si="1689"/>
        <v>780181</v>
      </c>
      <c r="H3245" s="34">
        <f t="shared" si="1688"/>
        <v>146857</v>
      </c>
      <c r="I3245" s="34">
        <f t="shared" si="1688"/>
        <v>146857</v>
      </c>
      <c r="J3245" s="34">
        <f t="shared" si="1684"/>
        <v>566784</v>
      </c>
      <c r="K3245" s="133">
        <v>1000</v>
      </c>
      <c r="L3245" s="34"/>
      <c r="M3245" s="16">
        <f t="shared" si="1685"/>
        <v>644679.39370552986</v>
      </c>
      <c r="N3245" s="36">
        <v>810</v>
      </c>
      <c r="O3245" s="36">
        <v>1</v>
      </c>
      <c r="P3245" s="56">
        <v>146857.63091404742</v>
      </c>
      <c r="Q3245" s="2" t="s">
        <v>402</v>
      </c>
      <c r="R3245" s="2" t="s">
        <v>670</v>
      </c>
      <c r="S3245" s="56">
        <f t="shared" si="1687"/>
        <v>58743.052365618969</v>
      </c>
    </row>
    <row r="3246" spans="1:19" x14ac:dyDescent="0.2">
      <c r="A3246" s="8" t="str">
        <f t="shared" si="1683"/>
        <v>9016016</v>
      </c>
      <c r="B3246" s="8">
        <v>901</v>
      </c>
      <c r="C3246" s="8">
        <v>60</v>
      </c>
      <c r="D3246" s="8" t="s">
        <v>62</v>
      </c>
      <c r="E3246" s="8">
        <v>6</v>
      </c>
      <c r="F3246" s="34">
        <f t="shared" si="1689"/>
        <v>3120724</v>
      </c>
      <c r="G3246" s="34">
        <f t="shared" si="1689"/>
        <v>3120724</v>
      </c>
      <c r="H3246" s="34">
        <f t="shared" ref="H3246:I3263" si="1690">ROUNDDOWN($S3246/4*10,0)</f>
        <v>146857</v>
      </c>
      <c r="I3246" s="34">
        <f t="shared" si="1690"/>
        <v>146857</v>
      </c>
      <c r="J3246" s="34">
        <f t="shared" si="1684"/>
        <v>8400299</v>
      </c>
      <c r="K3246" s="133">
        <v>1000</v>
      </c>
      <c r="L3246" s="34"/>
      <c r="M3246" s="16">
        <f t="shared" si="1685"/>
        <v>4963778.1824930897</v>
      </c>
      <c r="N3246" s="36">
        <v>735</v>
      </c>
      <c r="O3246" s="36">
        <v>18</v>
      </c>
      <c r="P3246" s="56">
        <v>146857.63091404742</v>
      </c>
      <c r="Q3246" s="2" t="s">
        <v>402</v>
      </c>
      <c r="R3246" s="2" t="s">
        <v>670</v>
      </c>
      <c r="S3246" s="56">
        <f t="shared" si="1687"/>
        <v>58743.052365618969</v>
      </c>
    </row>
    <row r="3247" spans="1:19" x14ac:dyDescent="0.2">
      <c r="A3247" s="8" t="str">
        <f t="shared" si="1683"/>
        <v>9016110</v>
      </c>
      <c r="B3247" s="8">
        <v>901</v>
      </c>
      <c r="C3247" s="8">
        <v>61</v>
      </c>
      <c r="D3247" s="8" t="s">
        <v>62</v>
      </c>
      <c r="E3247" s="8">
        <v>0</v>
      </c>
      <c r="F3247" s="34">
        <f t="shared" ref="F3247:G3266" si="1691">ROUNDDOWN($P3247/4*MIN($O3247,4)*10*$N3247/$N3247*$Q3247/400,0)</f>
        <v>826992</v>
      </c>
      <c r="G3247" s="34">
        <f t="shared" si="1691"/>
        <v>826992</v>
      </c>
      <c r="H3247" s="34">
        <f t="shared" si="1690"/>
        <v>155669</v>
      </c>
      <c r="I3247" s="34">
        <f t="shared" si="1690"/>
        <v>155669</v>
      </c>
      <c r="J3247" s="34">
        <f t="shared" si="1684"/>
        <v>600791</v>
      </c>
      <c r="K3247" s="133">
        <v>1000</v>
      </c>
      <c r="L3247" s="34"/>
      <c r="M3247" s="16">
        <f t="shared" si="1685"/>
        <v>703563.69011373899</v>
      </c>
      <c r="N3247" s="36">
        <v>810</v>
      </c>
      <c r="O3247" s="36">
        <v>1</v>
      </c>
      <c r="P3247" s="56">
        <v>155669.08876889027</v>
      </c>
      <c r="Q3247" s="2" t="s">
        <v>402</v>
      </c>
      <c r="R3247" s="2" t="s">
        <v>671</v>
      </c>
      <c r="S3247" s="56">
        <f t="shared" si="1687"/>
        <v>62267.635507556115</v>
      </c>
    </row>
    <row r="3248" spans="1:19" x14ac:dyDescent="0.2">
      <c r="A3248" s="8" t="str">
        <f t="shared" si="1683"/>
        <v>9016116</v>
      </c>
      <c r="B3248" s="8">
        <v>901</v>
      </c>
      <c r="C3248" s="8">
        <v>61</v>
      </c>
      <c r="D3248" s="8" t="s">
        <v>62</v>
      </c>
      <c r="E3248" s="8">
        <v>6</v>
      </c>
      <c r="F3248" s="34">
        <f t="shared" si="1691"/>
        <v>3307968</v>
      </c>
      <c r="G3248" s="34">
        <f t="shared" si="1691"/>
        <v>3307968</v>
      </c>
      <c r="H3248" s="34">
        <f t="shared" si="1690"/>
        <v>155669</v>
      </c>
      <c r="I3248" s="34">
        <f t="shared" si="1690"/>
        <v>155669</v>
      </c>
      <c r="J3248" s="34">
        <f t="shared" si="1684"/>
        <v>8904317</v>
      </c>
      <c r="K3248" s="133">
        <v>1000</v>
      </c>
      <c r="L3248" s="34"/>
      <c r="M3248" s="16">
        <f t="shared" si="1685"/>
        <v>5417164.3410711745</v>
      </c>
      <c r="N3248" s="36">
        <v>735</v>
      </c>
      <c r="O3248" s="36">
        <v>18</v>
      </c>
      <c r="P3248" s="56">
        <v>155669.08876889027</v>
      </c>
      <c r="Q3248" s="2" t="s">
        <v>402</v>
      </c>
      <c r="R3248" s="2" t="s">
        <v>671</v>
      </c>
      <c r="S3248" s="56">
        <f t="shared" si="1687"/>
        <v>62267.635507556115</v>
      </c>
    </row>
    <row r="3249" spans="1:19" x14ac:dyDescent="0.2">
      <c r="A3249" s="8" t="str">
        <f t="shared" si="1683"/>
        <v>9016210</v>
      </c>
      <c r="B3249" s="8">
        <v>901</v>
      </c>
      <c r="C3249" s="8">
        <v>62</v>
      </c>
      <c r="D3249" s="8" t="s">
        <v>62</v>
      </c>
      <c r="E3249" s="8">
        <v>0</v>
      </c>
      <c r="F3249" s="34">
        <f t="shared" si="1691"/>
        <v>876611</v>
      </c>
      <c r="G3249" s="34">
        <f t="shared" si="1691"/>
        <v>876611</v>
      </c>
      <c r="H3249" s="34">
        <f t="shared" si="1690"/>
        <v>165009</v>
      </c>
      <c r="I3249" s="34">
        <f t="shared" si="1690"/>
        <v>165009</v>
      </c>
      <c r="J3249" s="34">
        <f t="shared" si="1684"/>
        <v>636838</v>
      </c>
      <c r="K3249" s="133">
        <v>1000</v>
      </c>
      <c r="L3249" s="34"/>
      <c r="M3249" s="16">
        <f t="shared" si="1685"/>
        <v>767824.11184118118</v>
      </c>
      <c r="N3249" s="36">
        <v>810</v>
      </c>
      <c r="O3249" s="36">
        <v>1</v>
      </c>
      <c r="P3249" s="56">
        <v>165009.23409502371</v>
      </c>
      <c r="Q3249" s="2" t="s">
        <v>402</v>
      </c>
      <c r="R3249" s="2" t="s">
        <v>672</v>
      </c>
      <c r="S3249" s="56">
        <f t="shared" si="1687"/>
        <v>66003.693638009485</v>
      </c>
    </row>
    <row r="3250" spans="1:19" x14ac:dyDescent="0.2">
      <c r="A3250" s="8" t="str">
        <f t="shared" si="1683"/>
        <v>9016216</v>
      </c>
      <c r="B3250" s="8">
        <v>901</v>
      </c>
      <c r="C3250" s="8">
        <v>62</v>
      </c>
      <c r="D3250" s="8" t="s">
        <v>62</v>
      </c>
      <c r="E3250" s="8">
        <v>6</v>
      </c>
      <c r="F3250" s="34">
        <f t="shared" si="1691"/>
        <v>3506446</v>
      </c>
      <c r="G3250" s="34">
        <f t="shared" si="1691"/>
        <v>3506446</v>
      </c>
      <c r="H3250" s="34">
        <f t="shared" si="1690"/>
        <v>165009</v>
      </c>
      <c r="I3250" s="34">
        <f t="shared" si="1690"/>
        <v>165009</v>
      </c>
      <c r="J3250" s="34">
        <f t="shared" si="1684"/>
        <v>9438576</v>
      </c>
      <c r="K3250" s="133">
        <v>1000</v>
      </c>
      <c r="L3250" s="34"/>
      <c r="M3250" s="16">
        <f t="shared" si="1685"/>
        <v>5911948.1880064625</v>
      </c>
      <c r="N3250" s="36">
        <v>735</v>
      </c>
      <c r="O3250" s="36">
        <v>18</v>
      </c>
      <c r="P3250" s="56">
        <v>165009.23409502371</v>
      </c>
      <c r="Q3250" s="2" t="s">
        <v>402</v>
      </c>
      <c r="R3250" s="2" t="s">
        <v>672</v>
      </c>
      <c r="S3250" s="56">
        <f t="shared" si="1687"/>
        <v>66003.693638009485</v>
      </c>
    </row>
    <row r="3251" spans="1:19" x14ac:dyDescent="0.2">
      <c r="A3251" s="8" t="str">
        <f t="shared" si="1683"/>
        <v>9016310</v>
      </c>
      <c r="B3251" s="8">
        <v>901</v>
      </c>
      <c r="C3251" s="8">
        <v>63</v>
      </c>
      <c r="D3251" s="8" t="s">
        <v>62</v>
      </c>
      <c r="E3251" s="8">
        <v>0</v>
      </c>
      <c r="F3251" s="19">
        <f t="shared" si="1691"/>
        <v>948281</v>
      </c>
      <c r="G3251" s="19">
        <f t="shared" si="1691"/>
        <v>948281</v>
      </c>
      <c r="H3251" s="19">
        <f t="shared" si="1690"/>
        <v>178500</v>
      </c>
      <c r="I3251" s="19">
        <f t="shared" si="1690"/>
        <v>178500</v>
      </c>
      <c r="J3251" s="19">
        <f t="shared" si="1684"/>
        <v>688905</v>
      </c>
      <c r="K3251" s="133">
        <v>1000</v>
      </c>
      <c r="L3251" s="19"/>
      <c r="M3251" s="16">
        <f t="shared" si="1685"/>
        <v>863887.69911443489</v>
      </c>
      <c r="N3251" s="36">
        <v>810</v>
      </c>
      <c r="O3251" s="58">
        <v>1</v>
      </c>
      <c r="P3251" s="94">
        <v>178500</v>
      </c>
      <c r="Q3251" s="41" t="s">
        <v>402</v>
      </c>
      <c r="R3251" s="41" t="s">
        <v>673</v>
      </c>
      <c r="S3251" s="94">
        <f t="shared" si="1687"/>
        <v>71400</v>
      </c>
    </row>
    <row r="3252" spans="1:19" x14ac:dyDescent="0.2">
      <c r="A3252" s="8" t="str">
        <f t="shared" si="1683"/>
        <v>9016316</v>
      </c>
      <c r="B3252" s="8">
        <v>901</v>
      </c>
      <c r="C3252" s="8">
        <v>63</v>
      </c>
      <c r="D3252" s="8" t="s">
        <v>62</v>
      </c>
      <c r="E3252" s="8">
        <v>6</v>
      </c>
      <c r="F3252" s="19">
        <f t="shared" si="1691"/>
        <v>3793125</v>
      </c>
      <c r="G3252" s="19">
        <f t="shared" si="1691"/>
        <v>3793125</v>
      </c>
      <c r="H3252" s="19">
        <f t="shared" si="1690"/>
        <v>178500</v>
      </c>
      <c r="I3252" s="19">
        <f t="shared" si="1690"/>
        <v>178500</v>
      </c>
      <c r="J3252" s="19">
        <f t="shared" si="1684"/>
        <v>10210252</v>
      </c>
      <c r="K3252" s="133">
        <v>1000</v>
      </c>
      <c r="L3252" s="19"/>
      <c r="M3252" s="16">
        <f t="shared" si="1685"/>
        <v>6651596.6386298565</v>
      </c>
      <c r="N3252" s="36">
        <v>735</v>
      </c>
      <c r="O3252" s="58">
        <v>18</v>
      </c>
      <c r="P3252" s="94">
        <v>178500</v>
      </c>
      <c r="Q3252" s="41" t="s">
        <v>402</v>
      </c>
      <c r="R3252" s="41" t="s">
        <v>673</v>
      </c>
      <c r="S3252" s="94">
        <f t="shared" si="1687"/>
        <v>71400</v>
      </c>
    </row>
    <row r="3253" spans="1:19" x14ac:dyDescent="0.2">
      <c r="A3253" s="8" t="str">
        <f t="shared" ref="A3253:A3317" si="1692">IF(B3253="","",CONCATENATE(B3253,CONCATENATE(REPT(0,2-LEN(C3253)),C3253),IF(OR(D3253="Easy",D3253=""),1,IF(D3253="Normal",2,IF(D3253="Hard",3,IF(D3253="Hell",4,"error")))),E3253))</f>
        <v>9016410</v>
      </c>
      <c r="B3253" s="8">
        <v>901</v>
      </c>
      <c r="C3253" s="8">
        <v>64</v>
      </c>
      <c r="D3253" s="8" t="s">
        <v>62</v>
      </c>
      <c r="E3253" s="8">
        <v>0</v>
      </c>
      <c r="F3253" s="34">
        <f t="shared" si="1691"/>
        <v>984960</v>
      </c>
      <c r="G3253" s="34">
        <f t="shared" si="1691"/>
        <v>984960</v>
      </c>
      <c r="H3253" s="34">
        <f t="shared" si="1690"/>
        <v>185404</v>
      </c>
      <c r="I3253" s="34">
        <f t="shared" si="1690"/>
        <v>185404</v>
      </c>
      <c r="J3253" s="34">
        <f t="shared" si="1684"/>
        <v>715551</v>
      </c>
      <c r="K3253" s="133">
        <v>1000</v>
      </c>
      <c r="L3253" s="34"/>
      <c r="M3253" s="16">
        <f t="shared" si="1685"/>
        <v>914490.35668787104</v>
      </c>
      <c r="N3253" s="36">
        <v>810</v>
      </c>
      <c r="O3253" s="36">
        <v>1</v>
      </c>
      <c r="P3253" s="56">
        <v>185404.37542916863</v>
      </c>
      <c r="Q3253" s="2" t="s">
        <v>402</v>
      </c>
      <c r="R3253" s="2" t="s">
        <v>674</v>
      </c>
      <c r="S3253" s="56">
        <f t="shared" si="1687"/>
        <v>74161.75017166746</v>
      </c>
    </row>
    <row r="3254" spans="1:19" x14ac:dyDescent="0.2">
      <c r="A3254" s="8" t="str">
        <f t="shared" si="1692"/>
        <v>9016416</v>
      </c>
      <c r="B3254" s="8">
        <v>901</v>
      </c>
      <c r="C3254" s="8">
        <v>64</v>
      </c>
      <c r="D3254" s="8" t="s">
        <v>62</v>
      </c>
      <c r="E3254" s="8">
        <v>6</v>
      </c>
      <c r="F3254" s="34">
        <f t="shared" si="1691"/>
        <v>3939842</v>
      </c>
      <c r="G3254" s="34">
        <f t="shared" si="1691"/>
        <v>3939842</v>
      </c>
      <c r="H3254" s="34">
        <f t="shared" si="1690"/>
        <v>185404</v>
      </c>
      <c r="I3254" s="34">
        <f t="shared" si="1690"/>
        <v>185404</v>
      </c>
      <c r="J3254" s="34">
        <f t="shared" si="1684"/>
        <v>10605184</v>
      </c>
      <c r="K3254" s="133">
        <v>1000</v>
      </c>
      <c r="L3254" s="34"/>
      <c r="M3254" s="16">
        <f t="shared" si="1685"/>
        <v>7041222.1024730252</v>
      </c>
      <c r="N3254" s="36">
        <v>735</v>
      </c>
      <c r="O3254" s="36">
        <v>18</v>
      </c>
      <c r="P3254" s="56">
        <v>185404.37542916863</v>
      </c>
      <c r="Q3254" s="2" t="s">
        <v>402</v>
      </c>
      <c r="R3254" s="2" t="s">
        <v>674</v>
      </c>
      <c r="S3254" s="56">
        <f t="shared" si="1687"/>
        <v>74161.75017166746</v>
      </c>
    </row>
    <row r="3255" spans="1:19" x14ac:dyDescent="0.2">
      <c r="A3255" s="8" t="str">
        <f t="shared" si="1692"/>
        <v>9016510</v>
      </c>
      <c r="B3255" s="8">
        <v>901</v>
      </c>
      <c r="C3255" s="8">
        <v>65</v>
      </c>
      <c r="D3255" s="8" t="s">
        <v>62</v>
      </c>
      <c r="E3255" s="8">
        <v>0</v>
      </c>
      <c r="F3255" s="34">
        <f t="shared" si="1691"/>
        <v>1044058</v>
      </c>
      <c r="G3255" s="34">
        <f t="shared" si="1691"/>
        <v>1044058</v>
      </c>
      <c r="H3255" s="34">
        <f t="shared" si="1690"/>
        <v>196528</v>
      </c>
      <c r="I3255" s="34">
        <f t="shared" si="1690"/>
        <v>196528</v>
      </c>
      <c r="J3255" s="34">
        <f t="shared" si="1684"/>
        <v>758484</v>
      </c>
      <c r="K3255" s="133">
        <v>1000</v>
      </c>
      <c r="L3255" s="34"/>
      <c r="M3255" s="16">
        <f t="shared" si="1685"/>
        <v>998016.51719306223</v>
      </c>
      <c r="N3255" s="36">
        <v>810</v>
      </c>
      <c r="O3255" s="36">
        <v>1</v>
      </c>
      <c r="P3255" s="56">
        <v>196528.63795491878</v>
      </c>
      <c r="Q3255" s="2" t="s">
        <v>402</v>
      </c>
      <c r="R3255" s="2" t="s">
        <v>675</v>
      </c>
      <c r="S3255" s="56">
        <f t="shared" si="1687"/>
        <v>78611.455181967525</v>
      </c>
    </row>
    <row r="3256" spans="1:19" x14ac:dyDescent="0.2">
      <c r="A3256" s="8" t="str">
        <f t="shared" si="1692"/>
        <v>9016516</v>
      </c>
      <c r="B3256" s="8">
        <v>901</v>
      </c>
      <c r="C3256" s="8">
        <v>65</v>
      </c>
      <c r="D3256" s="8" t="s">
        <v>62</v>
      </c>
      <c r="E3256" s="8">
        <v>6</v>
      </c>
      <c r="F3256" s="34">
        <f t="shared" si="1691"/>
        <v>4176233</v>
      </c>
      <c r="G3256" s="34">
        <f t="shared" si="1691"/>
        <v>4176233</v>
      </c>
      <c r="H3256" s="34">
        <f t="shared" si="1690"/>
        <v>196528</v>
      </c>
      <c r="I3256" s="34">
        <f t="shared" si="1690"/>
        <v>196528</v>
      </c>
      <c r="J3256" s="34">
        <f t="shared" ref="J3256:J3308" si="1693">ROUNDDOWN($P3256/4*$O3256*10*$N3256/$Q3256*$N3256/400*0.8,0)</f>
        <v>11241495</v>
      </c>
      <c r="K3256" s="133">
        <v>1000</v>
      </c>
      <c r="L3256" s="34"/>
      <c r="M3256" s="16">
        <f t="shared" si="1685"/>
        <v>7684340.4976821588</v>
      </c>
      <c r="N3256" s="36">
        <v>735</v>
      </c>
      <c r="O3256" s="36">
        <v>18</v>
      </c>
      <c r="P3256" s="56">
        <v>196528.63795491878</v>
      </c>
      <c r="Q3256" s="2" t="s">
        <v>402</v>
      </c>
      <c r="R3256" s="2" t="s">
        <v>675</v>
      </c>
      <c r="S3256" s="56">
        <f t="shared" si="1687"/>
        <v>78611.455181967525</v>
      </c>
    </row>
    <row r="3257" spans="1:19" x14ac:dyDescent="0.2">
      <c r="A3257" s="8" t="str">
        <f t="shared" si="1692"/>
        <v>9016610</v>
      </c>
      <c r="B3257" s="8">
        <v>901</v>
      </c>
      <c r="C3257" s="8">
        <v>66</v>
      </c>
      <c r="D3257" s="8" t="s">
        <v>62</v>
      </c>
      <c r="E3257" s="8">
        <v>0</v>
      </c>
      <c r="F3257" s="34">
        <f t="shared" si="1691"/>
        <v>1106701</v>
      </c>
      <c r="G3257" s="34">
        <f t="shared" si="1691"/>
        <v>1106701</v>
      </c>
      <c r="H3257" s="34">
        <f t="shared" si="1690"/>
        <v>208320</v>
      </c>
      <c r="I3257" s="34">
        <f t="shared" si="1690"/>
        <v>208320</v>
      </c>
      <c r="J3257" s="34">
        <f t="shared" si="1693"/>
        <v>803994</v>
      </c>
      <c r="K3257" s="133">
        <v>1000</v>
      </c>
      <c r="L3257" s="34"/>
      <c r="M3257" s="16">
        <f t="shared" si="1685"/>
        <v>1089173.3977730188</v>
      </c>
      <c r="N3257" s="36">
        <v>810</v>
      </c>
      <c r="O3257" s="36">
        <v>1</v>
      </c>
      <c r="P3257" s="56">
        <v>208320.3562322139</v>
      </c>
      <c r="Q3257" s="2" t="s">
        <v>402</v>
      </c>
      <c r="R3257" s="2" t="s">
        <v>676</v>
      </c>
      <c r="S3257" s="56">
        <f t="shared" si="1687"/>
        <v>83328.14249288557</v>
      </c>
    </row>
    <row r="3258" spans="1:19" x14ac:dyDescent="0.2">
      <c r="A3258" s="8" t="str">
        <f t="shared" si="1692"/>
        <v>9016616</v>
      </c>
      <c r="B3258" s="8">
        <v>901</v>
      </c>
      <c r="C3258" s="8">
        <v>66</v>
      </c>
      <c r="D3258" s="8" t="s">
        <v>62</v>
      </c>
      <c r="E3258" s="8">
        <v>6</v>
      </c>
      <c r="F3258" s="34">
        <f t="shared" si="1691"/>
        <v>4426807</v>
      </c>
      <c r="G3258" s="34">
        <f t="shared" si="1691"/>
        <v>4426807</v>
      </c>
      <c r="H3258" s="34">
        <f t="shared" si="1690"/>
        <v>208320</v>
      </c>
      <c r="I3258" s="34">
        <f t="shared" si="1690"/>
        <v>208320</v>
      </c>
      <c r="J3258" s="34">
        <f t="shared" si="1693"/>
        <v>11915985</v>
      </c>
      <c r="K3258" s="133">
        <v>1000</v>
      </c>
      <c r="L3258" s="34"/>
      <c r="M3258" s="16">
        <f t="shared" si="1685"/>
        <v>8386210.095538442</v>
      </c>
      <c r="N3258" s="36">
        <v>735</v>
      </c>
      <c r="O3258" s="36">
        <v>18</v>
      </c>
      <c r="P3258" s="56">
        <v>208320.3562322139</v>
      </c>
      <c r="Q3258" s="2" t="s">
        <v>402</v>
      </c>
      <c r="R3258" s="2" t="s">
        <v>676</v>
      </c>
      <c r="S3258" s="56">
        <f t="shared" si="1687"/>
        <v>83328.14249288557</v>
      </c>
    </row>
    <row r="3259" spans="1:19" x14ac:dyDescent="0.2">
      <c r="A3259" s="8" t="str">
        <f t="shared" si="1692"/>
        <v>9016710</v>
      </c>
      <c r="B3259" s="8">
        <v>901</v>
      </c>
      <c r="C3259" s="8">
        <v>67</v>
      </c>
      <c r="D3259" s="8" t="s">
        <v>62</v>
      </c>
      <c r="E3259" s="8">
        <v>0</v>
      </c>
      <c r="F3259" s="19">
        <f t="shared" si="1691"/>
        <v>1227187</v>
      </c>
      <c r="G3259" s="19">
        <f t="shared" si="1691"/>
        <v>1227187</v>
      </c>
      <c r="H3259" s="19">
        <f t="shared" si="1690"/>
        <v>190575</v>
      </c>
      <c r="I3259" s="19">
        <f t="shared" si="1690"/>
        <v>190575</v>
      </c>
      <c r="J3259" s="19">
        <f t="shared" si="1693"/>
        <v>891524</v>
      </c>
      <c r="K3259" s="133">
        <v>1000</v>
      </c>
      <c r="L3259" s="19"/>
      <c r="M3259" s="16">
        <f t="shared" ref="M3259:M3322" si="1694">(F3259*J3259*((H3259+I3259)/2)/1000)^(1/2)/10*0.8</f>
        <v>1155167.1859576015</v>
      </c>
      <c r="N3259" s="36">
        <v>810</v>
      </c>
      <c r="O3259" s="58">
        <v>1</v>
      </c>
      <c r="P3259" s="94">
        <v>230999.99999999997</v>
      </c>
      <c r="Q3259" s="41" t="s">
        <v>402</v>
      </c>
      <c r="R3259" s="41" t="s">
        <v>677</v>
      </c>
      <c r="S3259" s="94">
        <f>P3259*0.33</f>
        <v>76230</v>
      </c>
    </row>
    <row r="3260" spans="1:19" x14ac:dyDescent="0.2">
      <c r="A3260" s="8" t="str">
        <f t="shared" si="1692"/>
        <v>9016716</v>
      </c>
      <c r="B3260" s="8">
        <v>901</v>
      </c>
      <c r="C3260" s="8">
        <v>67</v>
      </c>
      <c r="D3260" s="8" t="s">
        <v>62</v>
      </c>
      <c r="E3260" s="8">
        <v>6</v>
      </c>
      <c r="F3260" s="19">
        <f t="shared" si="1691"/>
        <v>4908750</v>
      </c>
      <c r="G3260" s="19">
        <f t="shared" si="1691"/>
        <v>4908750</v>
      </c>
      <c r="H3260" s="19">
        <f t="shared" si="1690"/>
        <v>190575</v>
      </c>
      <c r="I3260" s="19">
        <f t="shared" si="1690"/>
        <v>190575</v>
      </c>
      <c r="J3260" s="19">
        <f t="shared" si="1693"/>
        <v>13213267</v>
      </c>
      <c r="K3260" s="133">
        <v>1000</v>
      </c>
      <c r="L3260" s="19"/>
      <c r="M3260" s="16">
        <f t="shared" si="1694"/>
        <v>8894335.6329419799</v>
      </c>
      <c r="N3260" s="36">
        <v>735</v>
      </c>
      <c r="O3260" s="58">
        <v>18</v>
      </c>
      <c r="P3260" s="94">
        <v>230999.99999999997</v>
      </c>
      <c r="Q3260" s="41" t="s">
        <v>402</v>
      </c>
      <c r="R3260" s="41" t="s">
        <v>677</v>
      </c>
      <c r="S3260" s="94">
        <f>P3260*0.33</f>
        <v>76230</v>
      </c>
    </row>
    <row r="3261" spans="1:19" x14ac:dyDescent="0.2">
      <c r="A3261" s="8" t="str">
        <f t="shared" si="1692"/>
        <v>9016810</v>
      </c>
      <c r="B3261" s="8">
        <v>901</v>
      </c>
      <c r="C3261" s="8">
        <v>68</v>
      </c>
      <c r="D3261" s="8" t="s">
        <v>62</v>
      </c>
      <c r="E3261" s="8">
        <v>0</v>
      </c>
      <c r="F3261" s="34">
        <f t="shared" si="1691"/>
        <v>1243490</v>
      </c>
      <c r="G3261" s="34">
        <f t="shared" si="1691"/>
        <v>1243490</v>
      </c>
      <c r="H3261" s="34">
        <f t="shared" si="1690"/>
        <v>234068</v>
      </c>
      <c r="I3261" s="34">
        <f t="shared" si="1690"/>
        <v>234068</v>
      </c>
      <c r="J3261" s="34">
        <f t="shared" si="1693"/>
        <v>903367</v>
      </c>
      <c r="K3261" s="133">
        <v>1000</v>
      </c>
      <c r="L3261" s="34"/>
      <c r="M3261" s="16">
        <f t="shared" si="1694"/>
        <v>1297221.8899336327</v>
      </c>
      <c r="N3261" s="36">
        <v>810</v>
      </c>
      <c r="O3261" s="36">
        <v>1</v>
      </c>
      <c r="P3261" s="56">
        <v>234068.75226251554</v>
      </c>
      <c r="Q3261" s="2" t="s">
        <v>402</v>
      </c>
      <c r="R3261" s="2" t="s">
        <v>678</v>
      </c>
      <c r="S3261" s="56">
        <f t="shared" si="1687"/>
        <v>93627.500905006222</v>
      </c>
    </row>
    <row r="3262" spans="1:19" x14ac:dyDescent="0.2">
      <c r="A3262" s="8" t="str">
        <f t="shared" si="1692"/>
        <v>9016816</v>
      </c>
      <c r="B3262" s="8">
        <v>901</v>
      </c>
      <c r="C3262" s="8">
        <v>68</v>
      </c>
      <c r="D3262" s="8" t="s">
        <v>62</v>
      </c>
      <c r="E3262" s="8">
        <v>6</v>
      </c>
      <c r="F3262" s="34">
        <f t="shared" si="1691"/>
        <v>4973960</v>
      </c>
      <c r="G3262" s="34">
        <f t="shared" si="1691"/>
        <v>4973960</v>
      </c>
      <c r="H3262" s="34">
        <f t="shared" si="1690"/>
        <v>234068</v>
      </c>
      <c r="I3262" s="34">
        <f t="shared" si="1690"/>
        <v>234068</v>
      </c>
      <c r="J3262" s="34">
        <f t="shared" si="1693"/>
        <v>13388801</v>
      </c>
      <c r="K3262" s="133">
        <v>1000</v>
      </c>
      <c r="L3262" s="34"/>
      <c r="M3262" s="16">
        <f t="shared" si="1694"/>
        <v>9988102.6410620138</v>
      </c>
      <c r="N3262" s="36">
        <v>735</v>
      </c>
      <c r="O3262" s="36">
        <v>18</v>
      </c>
      <c r="P3262" s="56">
        <v>234068.75226251554</v>
      </c>
      <c r="Q3262" s="2" t="s">
        <v>402</v>
      </c>
      <c r="R3262" s="2" t="s">
        <v>678</v>
      </c>
      <c r="S3262" s="56">
        <f t="shared" si="1687"/>
        <v>93627.500905006222</v>
      </c>
    </row>
    <row r="3263" spans="1:19" x14ac:dyDescent="0.2">
      <c r="A3263" s="8" t="str">
        <f t="shared" si="1692"/>
        <v>9016910</v>
      </c>
      <c r="B3263" s="8">
        <v>901</v>
      </c>
      <c r="C3263" s="8">
        <v>69</v>
      </c>
      <c r="D3263" s="8" t="s">
        <v>62</v>
      </c>
      <c r="E3263" s="8">
        <v>0</v>
      </c>
      <c r="F3263" s="34">
        <f t="shared" si="1691"/>
        <v>1318099</v>
      </c>
      <c r="G3263" s="34">
        <f t="shared" si="1691"/>
        <v>1318099</v>
      </c>
      <c r="H3263" s="34">
        <f t="shared" si="1690"/>
        <v>248112</v>
      </c>
      <c r="I3263" s="34">
        <f t="shared" si="1690"/>
        <v>248112</v>
      </c>
      <c r="J3263" s="34">
        <f t="shared" si="1693"/>
        <v>957569</v>
      </c>
      <c r="K3263" s="133">
        <v>1000</v>
      </c>
      <c r="L3263" s="34"/>
      <c r="M3263" s="16">
        <f t="shared" si="1694"/>
        <v>1415705.5218610789</v>
      </c>
      <c r="N3263" s="36">
        <v>810</v>
      </c>
      <c r="O3263" s="36">
        <v>1</v>
      </c>
      <c r="P3263" s="56">
        <v>248112.87739826646</v>
      </c>
      <c r="Q3263" s="2" t="s">
        <v>402</v>
      </c>
      <c r="R3263" s="2" t="s">
        <v>679</v>
      </c>
      <c r="S3263" s="56">
        <f t="shared" si="1687"/>
        <v>99245.150959306586</v>
      </c>
    </row>
    <row r="3264" spans="1:19" x14ac:dyDescent="0.2">
      <c r="A3264" s="8" t="str">
        <f t="shared" si="1692"/>
        <v>9016916</v>
      </c>
      <c r="B3264" s="8">
        <v>901</v>
      </c>
      <c r="C3264" s="8">
        <v>69</v>
      </c>
      <c r="D3264" s="8" t="s">
        <v>62</v>
      </c>
      <c r="E3264" s="8">
        <v>6</v>
      </c>
      <c r="F3264" s="34">
        <f t="shared" si="1691"/>
        <v>5272398</v>
      </c>
      <c r="G3264" s="34">
        <f t="shared" si="1691"/>
        <v>5272398</v>
      </c>
      <c r="H3264" s="34">
        <f t="shared" ref="H3264:I3279" si="1695">ROUNDDOWN($S3264/4*10,0)</f>
        <v>248112</v>
      </c>
      <c r="I3264" s="34">
        <f t="shared" si="1695"/>
        <v>248112</v>
      </c>
      <c r="J3264" s="34">
        <f t="shared" si="1693"/>
        <v>14192129</v>
      </c>
      <c r="K3264" s="133">
        <v>1000</v>
      </c>
      <c r="L3264" s="34"/>
      <c r="M3264" s="16">
        <f t="shared" si="1694"/>
        <v>10900382.556989022</v>
      </c>
      <c r="N3264" s="36">
        <v>735</v>
      </c>
      <c r="O3264" s="36">
        <v>18</v>
      </c>
      <c r="P3264" s="56">
        <v>248112.87739826646</v>
      </c>
      <c r="Q3264" s="2" t="s">
        <v>402</v>
      </c>
      <c r="R3264" s="2" t="s">
        <v>679</v>
      </c>
      <c r="S3264" s="56">
        <f t="shared" si="1687"/>
        <v>99245.150959306586</v>
      </c>
    </row>
    <row r="3265" spans="1:19" x14ac:dyDescent="0.2">
      <c r="A3265" s="8" t="str">
        <f t="shared" si="1692"/>
        <v>9017010</v>
      </c>
      <c r="B3265" s="8">
        <v>901</v>
      </c>
      <c r="C3265" s="8">
        <v>70</v>
      </c>
      <c r="D3265" s="8" t="s">
        <v>62</v>
      </c>
      <c r="E3265" s="8">
        <v>0</v>
      </c>
      <c r="F3265" s="34">
        <f t="shared" si="1691"/>
        <v>1397185</v>
      </c>
      <c r="G3265" s="34">
        <f t="shared" si="1691"/>
        <v>1397185</v>
      </c>
      <c r="H3265" s="34">
        <f t="shared" si="1695"/>
        <v>262999</v>
      </c>
      <c r="I3265" s="34">
        <f t="shared" si="1695"/>
        <v>262999</v>
      </c>
      <c r="J3265" s="34">
        <f t="shared" si="1693"/>
        <v>1015023</v>
      </c>
      <c r="K3265" s="133">
        <v>1000</v>
      </c>
      <c r="L3265" s="34"/>
      <c r="M3265" s="16">
        <f t="shared" si="1694"/>
        <v>1545012.2758806129</v>
      </c>
      <c r="N3265" s="36">
        <v>810</v>
      </c>
      <c r="O3265" s="36">
        <v>1</v>
      </c>
      <c r="P3265" s="56">
        <v>262999.65004216251</v>
      </c>
      <c r="Q3265" s="2" t="s">
        <v>402</v>
      </c>
      <c r="R3265" s="2" t="s">
        <v>680</v>
      </c>
      <c r="S3265" s="56">
        <f t="shared" si="1687"/>
        <v>105199.86001686502</v>
      </c>
    </row>
    <row r="3266" spans="1:19" x14ac:dyDescent="0.2">
      <c r="A3266" s="8" t="str">
        <f t="shared" si="1692"/>
        <v>9017016</v>
      </c>
      <c r="B3266" s="8">
        <v>901</v>
      </c>
      <c r="C3266" s="8">
        <v>70</v>
      </c>
      <c r="D3266" s="8" t="s">
        <v>62</v>
      </c>
      <c r="E3266" s="8">
        <v>6</v>
      </c>
      <c r="F3266" s="34">
        <f t="shared" si="1691"/>
        <v>5588742</v>
      </c>
      <c r="G3266" s="34">
        <f t="shared" si="1691"/>
        <v>5588742</v>
      </c>
      <c r="H3266" s="34">
        <f t="shared" si="1695"/>
        <v>262999</v>
      </c>
      <c r="I3266" s="34">
        <f t="shared" si="1695"/>
        <v>262999</v>
      </c>
      <c r="J3266" s="34">
        <f t="shared" si="1693"/>
        <v>15043657</v>
      </c>
      <c r="K3266" s="133">
        <v>1000</v>
      </c>
      <c r="L3266" s="34"/>
      <c r="M3266" s="16">
        <f t="shared" si="1694"/>
        <v>11895995.126422463</v>
      </c>
      <c r="N3266" s="36">
        <v>735</v>
      </c>
      <c r="O3266" s="36">
        <v>18</v>
      </c>
      <c r="P3266" s="56">
        <v>262999.65004216251</v>
      </c>
      <c r="Q3266" s="2" t="s">
        <v>402</v>
      </c>
      <c r="R3266" s="2" t="s">
        <v>680</v>
      </c>
      <c r="S3266" s="56">
        <f t="shared" si="1687"/>
        <v>105199.86001686502</v>
      </c>
    </row>
    <row r="3267" spans="1:19" x14ac:dyDescent="0.2">
      <c r="A3267" s="8" t="str">
        <f t="shared" si="1692"/>
        <v>9017110</v>
      </c>
      <c r="B3267" s="8">
        <v>901</v>
      </c>
      <c r="C3267" s="8">
        <v>71</v>
      </c>
      <c r="D3267" s="8" t="s">
        <v>62</v>
      </c>
      <c r="E3267" s="8">
        <v>0</v>
      </c>
      <c r="F3267" s="19">
        <f t="shared" ref="F3267:G3286" si="1696">ROUNDDOWN($P3267/4*MIN($O3267,4)*10*$N3267/$N3267*$Q3267/400,0)</f>
        <v>1487500</v>
      </c>
      <c r="G3267" s="19">
        <f t="shared" si="1696"/>
        <v>1487500</v>
      </c>
      <c r="H3267" s="19">
        <f t="shared" si="1695"/>
        <v>210000</v>
      </c>
      <c r="I3267" s="19">
        <f t="shared" si="1695"/>
        <v>210000</v>
      </c>
      <c r="J3267" s="19">
        <f t="shared" si="1693"/>
        <v>1080635</v>
      </c>
      <c r="K3267" s="133">
        <v>1000</v>
      </c>
      <c r="L3267" s="19"/>
      <c r="M3267" s="16">
        <f t="shared" si="1694"/>
        <v>1469831.790376028</v>
      </c>
      <c r="N3267" s="36">
        <v>810</v>
      </c>
      <c r="O3267" s="58">
        <v>1</v>
      </c>
      <c r="P3267" s="94">
        <v>280000</v>
      </c>
      <c r="Q3267" s="41" t="s">
        <v>402</v>
      </c>
      <c r="R3267" s="41" t="s">
        <v>681</v>
      </c>
      <c r="S3267" s="94">
        <f>P3267*0.3</f>
        <v>84000</v>
      </c>
    </row>
    <row r="3268" spans="1:19" x14ac:dyDescent="0.2">
      <c r="A3268" s="8" t="str">
        <f t="shared" si="1692"/>
        <v>9017116</v>
      </c>
      <c r="B3268" s="8">
        <v>901</v>
      </c>
      <c r="C3268" s="8">
        <v>71</v>
      </c>
      <c r="D3268" s="8" t="s">
        <v>62</v>
      </c>
      <c r="E3268" s="8">
        <v>6</v>
      </c>
      <c r="F3268" s="19">
        <f t="shared" si="1696"/>
        <v>5950000</v>
      </c>
      <c r="G3268" s="19">
        <f t="shared" si="1696"/>
        <v>5950000</v>
      </c>
      <c r="H3268" s="19">
        <f t="shared" si="1695"/>
        <v>210000</v>
      </c>
      <c r="I3268" s="19">
        <f t="shared" si="1695"/>
        <v>210000</v>
      </c>
      <c r="J3268" s="19">
        <f t="shared" si="1693"/>
        <v>16016082</v>
      </c>
      <c r="K3268" s="133">
        <v>1000</v>
      </c>
      <c r="L3268" s="19"/>
      <c r="M3268" s="16">
        <f t="shared" si="1694"/>
        <v>11317128.811567005</v>
      </c>
      <c r="N3268" s="36">
        <v>735</v>
      </c>
      <c r="O3268" s="58">
        <v>18</v>
      </c>
      <c r="P3268" s="94">
        <v>280000</v>
      </c>
      <c r="Q3268" s="41" t="s">
        <v>402</v>
      </c>
      <c r="R3268" s="41" t="s">
        <v>681</v>
      </c>
      <c r="S3268" s="94">
        <f>P3268*0.3</f>
        <v>84000</v>
      </c>
    </row>
    <row r="3269" spans="1:19" x14ac:dyDescent="0.2">
      <c r="A3269" s="8" t="str">
        <f t="shared" si="1692"/>
        <v>9017210</v>
      </c>
      <c r="B3269" s="8">
        <v>901</v>
      </c>
      <c r="C3269" s="8">
        <v>72</v>
      </c>
      <c r="D3269" s="8" t="s">
        <v>62</v>
      </c>
      <c r="E3269" s="8">
        <v>0</v>
      </c>
      <c r="F3269" s="34">
        <f t="shared" si="1696"/>
        <v>1569877</v>
      </c>
      <c r="G3269" s="34">
        <f t="shared" si="1696"/>
        <v>1569877</v>
      </c>
      <c r="H3269" s="34">
        <f t="shared" si="1695"/>
        <v>295506</v>
      </c>
      <c r="I3269" s="34">
        <f t="shared" si="1695"/>
        <v>295506</v>
      </c>
      <c r="J3269" s="34">
        <f t="shared" si="1693"/>
        <v>1140480</v>
      </c>
      <c r="K3269" s="133">
        <v>1000</v>
      </c>
      <c r="L3269" s="34"/>
      <c r="M3269" s="16">
        <f t="shared" si="1694"/>
        <v>1840135.4364478388</v>
      </c>
      <c r="N3269" s="36">
        <v>810</v>
      </c>
      <c r="O3269" s="36">
        <v>1</v>
      </c>
      <c r="P3269" s="56">
        <v>295506.40678737377</v>
      </c>
      <c r="Q3269" s="2" t="s">
        <v>402</v>
      </c>
      <c r="R3269" s="2" t="s">
        <v>682</v>
      </c>
      <c r="S3269" s="56">
        <f t="shared" si="1687"/>
        <v>118202.56271494951</v>
      </c>
    </row>
    <row r="3270" spans="1:19" x14ac:dyDescent="0.2">
      <c r="A3270" s="8" t="str">
        <f t="shared" si="1692"/>
        <v>9017216</v>
      </c>
      <c r="B3270" s="8">
        <v>901</v>
      </c>
      <c r="C3270" s="8">
        <v>72</v>
      </c>
      <c r="D3270" s="8" t="s">
        <v>62</v>
      </c>
      <c r="E3270" s="8">
        <v>6</v>
      </c>
      <c r="F3270" s="34">
        <f t="shared" si="1696"/>
        <v>6279511</v>
      </c>
      <c r="G3270" s="34">
        <f t="shared" si="1696"/>
        <v>6279511</v>
      </c>
      <c r="H3270" s="34">
        <f t="shared" si="1695"/>
        <v>295506</v>
      </c>
      <c r="I3270" s="34">
        <f t="shared" si="1695"/>
        <v>295506</v>
      </c>
      <c r="J3270" s="34">
        <f t="shared" si="1693"/>
        <v>16903053</v>
      </c>
      <c r="K3270" s="133">
        <v>1000</v>
      </c>
      <c r="L3270" s="34"/>
      <c r="M3270" s="16">
        <f t="shared" si="1694"/>
        <v>14168328.838410042</v>
      </c>
      <c r="N3270" s="36">
        <v>735</v>
      </c>
      <c r="O3270" s="36">
        <v>18</v>
      </c>
      <c r="P3270" s="56">
        <v>295506.40678737377</v>
      </c>
      <c r="Q3270" s="2" t="s">
        <v>402</v>
      </c>
      <c r="R3270" s="2" t="s">
        <v>682</v>
      </c>
      <c r="S3270" s="56">
        <f t="shared" si="1687"/>
        <v>118202.56271494951</v>
      </c>
    </row>
    <row r="3271" spans="1:19" x14ac:dyDescent="0.2">
      <c r="A3271" s="8" t="str">
        <f t="shared" si="1692"/>
        <v>9017310</v>
      </c>
      <c r="B3271" s="8">
        <v>901</v>
      </c>
      <c r="C3271" s="8">
        <v>73</v>
      </c>
      <c r="D3271" s="8" t="s">
        <v>62</v>
      </c>
      <c r="E3271" s="8">
        <v>0</v>
      </c>
      <c r="F3271" s="34">
        <f t="shared" si="1696"/>
        <v>1664070</v>
      </c>
      <c r="G3271" s="34">
        <f t="shared" si="1696"/>
        <v>1664070</v>
      </c>
      <c r="H3271" s="34">
        <f t="shared" si="1695"/>
        <v>313236</v>
      </c>
      <c r="I3271" s="34">
        <f t="shared" si="1695"/>
        <v>313236</v>
      </c>
      <c r="J3271" s="34">
        <f t="shared" si="1693"/>
        <v>1208909</v>
      </c>
      <c r="K3271" s="133">
        <v>1000</v>
      </c>
      <c r="L3271" s="34"/>
      <c r="M3271" s="16">
        <f t="shared" si="1694"/>
        <v>2008206.7508784886</v>
      </c>
      <c r="N3271" s="36">
        <v>810</v>
      </c>
      <c r="O3271" s="36">
        <v>1</v>
      </c>
      <c r="P3271" s="56">
        <v>313236.79119461623</v>
      </c>
      <c r="Q3271" s="2" t="s">
        <v>402</v>
      </c>
      <c r="R3271" s="2" t="s">
        <v>683</v>
      </c>
      <c r="S3271" s="56">
        <f t="shared" si="1687"/>
        <v>125294.71647784649</v>
      </c>
    </row>
    <row r="3272" spans="1:19" x14ac:dyDescent="0.2">
      <c r="A3272" s="8" t="str">
        <f t="shared" si="1692"/>
        <v>9017316</v>
      </c>
      <c r="B3272" s="8">
        <v>901</v>
      </c>
      <c r="C3272" s="8">
        <v>73</v>
      </c>
      <c r="D3272" s="8" t="s">
        <v>62</v>
      </c>
      <c r="E3272" s="8">
        <v>6</v>
      </c>
      <c r="F3272" s="34">
        <f t="shared" si="1696"/>
        <v>6656281</v>
      </c>
      <c r="G3272" s="34">
        <f t="shared" si="1696"/>
        <v>6656281</v>
      </c>
      <c r="H3272" s="34">
        <f t="shared" si="1695"/>
        <v>313236</v>
      </c>
      <c r="I3272" s="34">
        <f t="shared" si="1695"/>
        <v>313236</v>
      </c>
      <c r="J3272" s="34">
        <f t="shared" si="1693"/>
        <v>17917236</v>
      </c>
      <c r="K3272" s="133">
        <v>1000</v>
      </c>
      <c r="L3272" s="34"/>
      <c r="M3272" s="16">
        <f t="shared" si="1694"/>
        <v>15462408.854560776</v>
      </c>
      <c r="N3272" s="36">
        <v>735</v>
      </c>
      <c r="O3272" s="36">
        <v>18</v>
      </c>
      <c r="P3272" s="56">
        <v>313236.79119461623</v>
      </c>
      <c r="Q3272" s="2" t="s">
        <v>402</v>
      </c>
      <c r="R3272" s="2" t="s">
        <v>683</v>
      </c>
      <c r="S3272" s="56">
        <f t="shared" si="1687"/>
        <v>125294.71647784649</v>
      </c>
    </row>
    <row r="3273" spans="1:19" x14ac:dyDescent="0.2">
      <c r="A3273" s="8" t="str">
        <f t="shared" si="1692"/>
        <v>9017410</v>
      </c>
      <c r="B3273" s="8">
        <v>901</v>
      </c>
      <c r="C3273" s="8">
        <v>74</v>
      </c>
      <c r="D3273" s="8" t="s">
        <v>62</v>
      </c>
      <c r="E3273" s="8">
        <v>0</v>
      </c>
      <c r="F3273" s="34">
        <f t="shared" si="1696"/>
        <v>1763914</v>
      </c>
      <c r="G3273" s="34">
        <f t="shared" si="1696"/>
        <v>1763914</v>
      </c>
      <c r="H3273" s="34">
        <f t="shared" si="1695"/>
        <v>332030</v>
      </c>
      <c r="I3273" s="34">
        <f t="shared" si="1695"/>
        <v>332030</v>
      </c>
      <c r="J3273" s="34">
        <f t="shared" si="1693"/>
        <v>1281444</v>
      </c>
      <c r="K3273" s="133">
        <v>1000</v>
      </c>
      <c r="L3273" s="34"/>
      <c r="M3273" s="16">
        <f t="shared" si="1694"/>
        <v>2191629.6601508441</v>
      </c>
      <c r="N3273" s="36">
        <v>810</v>
      </c>
      <c r="O3273" s="36">
        <v>1</v>
      </c>
      <c r="P3273" s="56">
        <v>332030.99866629316</v>
      </c>
      <c r="Q3273" s="2" t="s">
        <v>402</v>
      </c>
      <c r="R3273" s="2" t="s">
        <v>684</v>
      </c>
      <c r="S3273" s="56">
        <f t="shared" si="1687"/>
        <v>132812.39946651726</v>
      </c>
    </row>
    <row r="3274" spans="1:19" x14ac:dyDescent="0.2">
      <c r="A3274" s="8" t="str">
        <f t="shared" si="1692"/>
        <v>9017416</v>
      </c>
      <c r="B3274" s="8">
        <v>901</v>
      </c>
      <c r="C3274" s="8">
        <v>74</v>
      </c>
      <c r="D3274" s="8" t="s">
        <v>62</v>
      </c>
      <c r="E3274" s="8">
        <v>6</v>
      </c>
      <c r="F3274" s="34">
        <f t="shared" si="1696"/>
        <v>7055658</v>
      </c>
      <c r="G3274" s="34">
        <f t="shared" si="1696"/>
        <v>7055658</v>
      </c>
      <c r="H3274" s="34">
        <f t="shared" si="1695"/>
        <v>332030</v>
      </c>
      <c r="I3274" s="34">
        <f t="shared" si="1695"/>
        <v>332030</v>
      </c>
      <c r="J3274" s="34">
        <f t="shared" si="1693"/>
        <v>18992270</v>
      </c>
      <c r="K3274" s="133">
        <v>1000</v>
      </c>
      <c r="L3274" s="34"/>
      <c r="M3274" s="16">
        <f t="shared" si="1694"/>
        <v>16874691.751972344</v>
      </c>
      <c r="N3274" s="36">
        <v>735</v>
      </c>
      <c r="O3274" s="36">
        <v>18</v>
      </c>
      <c r="P3274" s="56">
        <v>332030.99866629316</v>
      </c>
      <c r="Q3274" s="2" t="s">
        <v>402</v>
      </c>
      <c r="R3274" s="2" t="s">
        <v>684</v>
      </c>
      <c r="S3274" s="56">
        <f t="shared" si="1687"/>
        <v>132812.39946651726</v>
      </c>
    </row>
    <row r="3275" spans="1:19" x14ac:dyDescent="0.2">
      <c r="A3275" s="8" t="str">
        <f t="shared" si="1692"/>
        <v>9017510</v>
      </c>
      <c r="B3275" s="8">
        <v>901</v>
      </c>
      <c r="C3275" s="8">
        <v>75</v>
      </c>
      <c r="D3275" s="8" t="s">
        <v>62</v>
      </c>
      <c r="E3275" s="8">
        <v>0</v>
      </c>
      <c r="F3275" s="19">
        <f t="shared" si="1696"/>
        <v>1673437</v>
      </c>
      <c r="G3275" s="19">
        <f t="shared" si="1696"/>
        <v>1673437</v>
      </c>
      <c r="H3275" s="19">
        <f t="shared" si="1695"/>
        <v>236250</v>
      </c>
      <c r="I3275" s="19">
        <f t="shared" si="1695"/>
        <v>236250</v>
      </c>
      <c r="J3275" s="19">
        <f t="shared" si="1693"/>
        <v>1215714</v>
      </c>
      <c r="K3275" s="133">
        <v>1000</v>
      </c>
      <c r="L3275" s="19"/>
      <c r="M3275" s="16">
        <f t="shared" si="1694"/>
        <v>1753865.5116613749</v>
      </c>
      <c r="N3275" s="36">
        <v>810</v>
      </c>
      <c r="O3275" s="58">
        <v>1</v>
      </c>
      <c r="P3275" s="94">
        <v>315000</v>
      </c>
      <c r="Q3275" s="41" t="s">
        <v>402</v>
      </c>
      <c r="R3275" s="41" t="s">
        <v>685</v>
      </c>
      <c r="S3275" s="94">
        <f>P3275*0.3</f>
        <v>94500</v>
      </c>
    </row>
    <row r="3276" spans="1:19" x14ac:dyDescent="0.2">
      <c r="A3276" s="8" t="str">
        <f t="shared" si="1692"/>
        <v>9017516</v>
      </c>
      <c r="B3276" s="8">
        <v>901</v>
      </c>
      <c r="C3276" s="8">
        <v>75</v>
      </c>
      <c r="D3276" s="8" t="s">
        <v>62</v>
      </c>
      <c r="E3276" s="8">
        <v>6</v>
      </c>
      <c r="F3276" s="19">
        <f t="shared" si="1696"/>
        <v>6693750</v>
      </c>
      <c r="G3276" s="19">
        <f t="shared" si="1696"/>
        <v>6693750</v>
      </c>
      <c r="H3276" s="19">
        <f t="shared" si="1695"/>
        <v>236250</v>
      </c>
      <c r="I3276" s="19">
        <f t="shared" si="1695"/>
        <v>236250</v>
      </c>
      <c r="J3276" s="19">
        <f t="shared" si="1693"/>
        <v>18018092</v>
      </c>
      <c r="K3276" s="133">
        <v>1000</v>
      </c>
      <c r="L3276" s="19"/>
      <c r="M3276" s="16">
        <f t="shared" si="1694"/>
        <v>13504081.169313222</v>
      </c>
      <c r="N3276" s="36">
        <v>735</v>
      </c>
      <c r="O3276" s="58">
        <v>18</v>
      </c>
      <c r="P3276" s="94">
        <v>315000</v>
      </c>
      <c r="Q3276" s="41" t="s">
        <v>402</v>
      </c>
      <c r="R3276" s="41" t="s">
        <v>685</v>
      </c>
      <c r="S3276" s="94">
        <f>P3276*0.3</f>
        <v>94500</v>
      </c>
    </row>
    <row r="3277" spans="1:19" x14ac:dyDescent="0.2">
      <c r="A3277" s="8" t="str">
        <f t="shared" si="1692"/>
        <v>9017610</v>
      </c>
      <c r="B3277" s="8">
        <v>901</v>
      </c>
      <c r="C3277" s="8">
        <v>76</v>
      </c>
      <c r="D3277" s="8" t="s">
        <v>62</v>
      </c>
      <c r="E3277" s="8">
        <v>0</v>
      </c>
      <c r="F3277" s="34">
        <f t="shared" si="1696"/>
        <v>1981934</v>
      </c>
      <c r="G3277" s="34">
        <f t="shared" si="1696"/>
        <v>1981934</v>
      </c>
      <c r="H3277" s="34">
        <f t="shared" si="1695"/>
        <v>373070</v>
      </c>
      <c r="I3277" s="34">
        <f t="shared" si="1695"/>
        <v>373070</v>
      </c>
      <c r="J3277" s="34">
        <f t="shared" si="1693"/>
        <v>1439830</v>
      </c>
      <c r="K3277" s="133">
        <v>1000</v>
      </c>
      <c r="L3277" s="34"/>
      <c r="M3277" s="16">
        <f t="shared" si="1694"/>
        <v>2610269.5290805455</v>
      </c>
      <c r="N3277" s="36">
        <v>810</v>
      </c>
      <c r="O3277" s="36">
        <v>1</v>
      </c>
      <c r="P3277" s="56">
        <v>373070.03010144702</v>
      </c>
      <c r="Q3277" s="2" t="s">
        <v>402</v>
      </c>
      <c r="R3277" s="2" t="s">
        <v>686</v>
      </c>
      <c r="S3277" s="56">
        <f t="shared" si="1687"/>
        <v>149228.01204057882</v>
      </c>
    </row>
    <row r="3278" spans="1:19" x14ac:dyDescent="0.2">
      <c r="A3278" s="8" t="str">
        <f t="shared" si="1692"/>
        <v>9017616</v>
      </c>
      <c r="B3278" s="8">
        <v>901</v>
      </c>
      <c r="C3278" s="8">
        <v>76</v>
      </c>
      <c r="D3278" s="8" t="s">
        <v>62</v>
      </c>
      <c r="E3278" s="8">
        <v>6</v>
      </c>
      <c r="F3278" s="34">
        <f t="shared" si="1696"/>
        <v>7927738</v>
      </c>
      <c r="G3278" s="34">
        <f t="shared" si="1696"/>
        <v>7927738</v>
      </c>
      <c r="H3278" s="34">
        <f t="shared" si="1695"/>
        <v>373070</v>
      </c>
      <c r="I3278" s="34">
        <f t="shared" si="1695"/>
        <v>373070</v>
      </c>
      <c r="J3278" s="34">
        <f t="shared" si="1693"/>
        <v>21339715</v>
      </c>
      <c r="K3278" s="133">
        <v>1000</v>
      </c>
      <c r="L3278" s="34"/>
      <c r="M3278" s="16">
        <f t="shared" si="1694"/>
        <v>20098058.338191848</v>
      </c>
      <c r="N3278" s="36">
        <v>735</v>
      </c>
      <c r="O3278" s="36">
        <v>18</v>
      </c>
      <c r="P3278" s="56">
        <v>373070.03010144702</v>
      </c>
      <c r="Q3278" s="2" t="s">
        <v>402</v>
      </c>
      <c r="R3278" s="2" t="s">
        <v>686</v>
      </c>
      <c r="S3278" s="56">
        <f t="shared" si="1687"/>
        <v>149228.01204057882</v>
      </c>
    </row>
    <row r="3279" spans="1:19" x14ac:dyDescent="0.2">
      <c r="A3279" s="8" t="str">
        <f t="shared" si="1692"/>
        <v>9017710</v>
      </c>
      <c r="B3279" s="8">
        <v>901</v>
      </c>
      <c r="C3279" s="8">
        <v>77</v>
      </c>
      <c r="D3279" s="8" t="s">
        <v>62</v>
      </c>
      <c r="E3279" s="8">
        <v>0</v>
      </c>
      <c r="F3279" s="34">
        <f t="shared" si="1696"/>
        <v>2100850</v>
      </c>
      <c r="G3279" s="34">
        <f t="shared" si="1696"/>
        <v>2100850</v>
      </c>
      <c r="H3279" s="34">
        <f t="shared" si="1695"/>
        <v>395454</v>
      </c>
      <c r="I3279" s="34">
        <f t="shared" si="1695"/>
        <v>395454</v>
      </c>
      <c r="J3279" s="34">
        <f t="shared" si="1693"/>
        <v>1526220</v>
      </c>
      <c r="K3279" s="133">
        <v>1000</v>
      </c>
      <c r="L3279" s="34"/>
      <c r="M3279" s="16">
        <f t="shared" si="1694"/>
        <v>2848682.6209811978</v>
      </c>
      <c r="N3279" s="36">
        <v>810</v>
      </c>
      <c r="O3279" s="36">
        <v>1</v>
      </c>
      <c r="P3279" s="56">
        <v>395454.23190753383</v>
      </c>
      <c r="Q3279" s="2" t="s">
        <v>402</v>
      </c>
      <c r="R3279" s="2" t="s">
        <v>687</v>
      </c>
      <c r="S3279" s="56">
        <f t="shared" si="1687"/>
        <v>158181.69276301353</v>
      </c>
    </row>
    <row r="3280" spans="1:19" x14ac:dyDescent="0.2">
      <c r="A3280" s="8" t="str">
        <f t="shared" si="1692"/>
        <v>9017716</v>
      </c>
      <c r="B3280" s="8">
        <v>901</v>
      </c>
      <c r="C3280" s="8">
        <v>77</v>
      </c>
      <c r="D3280" s="8" t="s">
        <v>62</v>
      </c>
      <c r="E3280" s="8">
        <v>6</v>
      </c>
      <c r="F3280" s="34">
        <f t="shared" si="1696"/>
        <v>8403402</v>
      </c>
      <c r="G3280" s="34">
        <f t="shared" si="1696"/>
        <v>8403402</v>
      </c>
      <c r="H3280" s="34">
        <f t="shared" ref="H3280:I3295" si="1697">ROUNDDOWN($S3280/4*10,0)</f>
        <v>395454</v>
      </c>
      <c r="I3280" s="34">
        <f t="shared" si="1697"/>
        <v>395454</v>
      </c>
      <c r="J3280" s="34">
        <f t="shared" si="1693"/>
        <v>22620098</v>
      </c>
      <c r="K3280" s="133">
        <v>1000</v>
      </c>
      <c r="L3280" s="34"/>
      <c r="M3280" s="16">
        <f t="shared" si="1694"/>
        <v>21933744.708009571</v>
      </c>
      <c r="N3280" s="36">
        <v>735</v>
      </c>
      <c r="O3280" s="36">
        <v>18</v>
      </c>
      <c r="P3280" s="56">
        <v>395454.23190753383</v>
      </c>
      <c r="Q3280" s="2" t="s">
        <v>402</v>
      </c>
      <c r="R3280" s="2" t="s">
        <v>687</v>
      </c>
      <c r="S3280" s="56">
        <f t="shared" si="1687"/>
        <v>158181.69276301353</v>
      </c>
    </row>
    <row r="3281" spans="1:19" x14ac:dyDescent="0.2">
      <c r="A3281" s="8" t="str">
        <f t="shared" si="1692"/>
        <v>9017810</v>
      </c>
      <c r="B3281" s="8">
        <v>901</v>
      </c>
      <c r="C3281" s="8">
        <v>78</v>
      </c>
      <c r="D3281" s="8" t="s">
        <v>62</v>
      </c>
      <c r="E3281" s="8">
        <v>0</v>
      </c>
      <c r="F3281" s="34">
        <f t="shared" si="1696"/>
        <v>2226901</v>
      </c>
      <c r="G3281" s="34">
        <f t="shared" si="1696"/>
        <v>2226901</v>
      </c>
      <c r="H3281" s="34">
        <f t="shared" si="1697"/>
        <v>419181</v>
      </c>
      <c r="I3281" s="34">
        <f t="shared" si="1697"/>
        <v>419181</v>
      </c>
      <c r="J3281" s="34">
        <f t="shared" si="1693"/>
        <v>1617793</v>
      </c>
      <c r="K3281" s="133">
        <v>1000</v>
      </c>
      <c r="L3281" s="34"/>
      <c r="M3281" s="16">
        <f t="shared" si="1694"/>
        <v>3108871.0792443748</v>
      </c>
      <c r="N3281" s="36">
        <v>810</v>
      </c>
      <c r="O3281" s="36">
        <v>1</v>
      </c>
      <c r="P3281" s="56">
        <v>419181.48582198593</v>
      </c>
      <c r="Q3281" s="2" t="s">
        <v>402</v>
      </c>
      <c r="R3281" s="2" t="s">
        <v>688</v>
      </c>
      <c r="S3281" s="56">
        <f t="shared" ref="S3281:S3308" si="1698">P3281*0.4</f>
        <v>167672.5943287944</v>
      </c>
    </row>
    <row r="3282" spans="1:19" x14ac:dyDescent="0.2">
      <c r="A3282" s="8" t="str">
        <f t="shared" si="1692"/>
        <v>9017816</v>
      </c>
      <c r="B3282" s="8">
        <v>901</v>
      </c>
      <c r="C3282" s="8">
        <v>78</v>
      </c>
      <c r="D3282" s="8" t="s">
        <v>62</v>
      </c>
      <c r="E3282" s="8">
        <v>6</v>
      </c>
      <c r="F3282" s="34">
        <f t="shared" si="1696"/>
        <v>8907606</v>
      </c>
      <c r="G3282" s="34">
        <f t="shared" si="1696"/>
        <v>8907606</v>
      </c>
      <c r="H3282" s="34">
        <f t="shared" si="1697"/>
        <v>419181</v>
      </c>
      <c r="I3282" s="34">
        <f t="shared" si="1697"/>
        <v>419181</v>
      </c>
      <c r="J3282" s="34">
        <f t="shared" si="1693"/>
        <v>23977304</v>
      </c>
      <c r="K3282" s="133">
        <v>1000</v>
      </c>
      <c r="L3282" s="34"/>
      <c r="M3282" s="16">
        <f t="shared" si="1694"/>
        <v>23937095.696904548</v>
      </c>
      <c r="N3282" s="36">
        <v>735</v>
      </c>
      <c r="O3282" s="36">
        <v>18</v>
      </c>
      <c r="P3282" s="56">
        <v>419181.48582198593</v>
      </c>
      <c r="Q3282" s="2" t="s">
        <v>402</v>
      </c>
      <c r="R3282" s="2" t="s">
        <v>688</v>
      </c>
      <c r="S3282" s="56">
        <f t="shared" si="1698"/>
        <v>167672.5943287944</v>
      </c>
    </row>
    <row r="3283" spans="1:19" x14ac:dyDescent="0.2">
      <c r="A3283" s="8" t="str">
        <f t="shared" si="1692"/>
        <v>9017910</v>
      </c>
      <c r="B3283" s="8">
        <v>901</v>
      </c>
      <c r="C3283" s="8">
        <v>79</v>
      </c>
      <c r="D3283" s="8" t="s">
        <v>62</v>
      </c>
      <c r="E3283" s="8">
        <v>0</v>
      </c>
      <c r="F3283" s="19">
        <f t="shared" si="1696"/>
        <v>1859375</v>
      </c>
      <c r="G3283" s="19">
        <f t="shared" si="1696"/>
        <v>1859375</v>
      </c>
      <c r="H3283" s="19">
        <f t="shared" si="1697"/>
        <v>262500</v>
      </c>
      <c r="I3283" s="19">
        <f t="shared" si="1697"/>
        <v>262500</v>
      </c>
      <c r="J3283" s="19">
        <f t="shared" si="1693"/>
        <v>1350794</v>
      </c>
      <c r="K3283" s="133">
        <v>1000</v>
      </c>
      <c r="L3283" s="19"/>
      <c r="M3283" s="16">
        <f t="shared" si="1694"/>
        <v>2054152.5643194085</v>
      </c>
      <c r="N3283" s="36">
        <v>810</v>
      </c>
      <c r="O3283" s="58">
        <v>1</v>
      </c>
      <c r="P3283" s="94">
        <v>350000</v>
      </c>
      <c r="Q3283" s="41" t="s">
        <v>402</v>
      </c>
      <c r="R3283" s="41" t="s">
        <v>689</v>
      </c>
      <c r="S3283" s="94">
        <f>P3283*0.3</f>
        <v>105000</v>
      </c>
    </row>
    <row r="3284" spans="1:19" x14ac:dyDescent="0.2">
      <c r="A3284" s="8" t="str">
        <f t="shared" si="1692"/>
        <v>9017916</v>
      </c>
      <c r="B3284" s="8">
        <v>901</v>
      </c>
      <c r="C3284" s="8">
        <v>79</v>
      </c>
      <c r="D3284" s="8" t="s">
        <v>62</v>
      </c>
      <c r="E3284" s="8">
        <v>6</v>
      </c>
      <c r="F3284" s="19">
        <f t="shared" si="1696"/>
        <v>7437500</v>
      </c>
      <c r="G3284" s="19">
        <f t="shared" si="1696"/>
        <v>7437500</v>
      </c>
      <c r="H3284" s="19">
        <f t="shared" si="1697"/>
        <v>262500</v>
      </c>
      <c r="I3284" s="19">
        <f t="shared" si="1697"/>
        <v>262500</v>
      </c>
      <c r="J3284" s="19">
        <f t="shared" si="1693"/>
        <v>20020102</v>
      </c>
      <c r="K3284" s="133">
        <v>1000</v>
      </c>
      <c r="L3284" s="19"/>
      <c r="M3284" s="16">
        <f t="shared" si="1694"/>
        <v>15816168.135487182</v>
      </c>
      <c r="N3284" s="36">
        <v>735</v>
      </c>
      <c r="O3284" s="58">
        <v>18</v>
      </c>
      <c r="P3284" s="94">
        <v>350000</v>
      </c>
      <c r="Q3284" s="41" t="s">
        <v>402</v>
      </c>
      <c r="R3284" s="41" t="s">
        <v>689</v>
      </c>
      <c r="S3284" s="94">
        <f>P3284*0.3</f>
        <v>105000</v>
      </c>
    </row>
    <row r="3285" spans="1:19" x14ac:dyDescent="0.2">
      <c r="A3285" s="8" t="str">
        <f t="shared" si="1692"/>
        <v>9018010</v>
      </c>
      <c r="B3285" s="8">
        <v>901</v>
      </c>
      <c r="C3285" s="8">
        <v>80</v>
      </c>
      <c r="D3285" s="8" t="s">
        <v>62</v>
      </c>
      <c r="E3285" s="8">
        <v>0</v>
      </c>
      <c r="F3285" s="34">
        <f t="shared" si="1696"/>
        <v>2502146</v>
      </c>
      <c r="G3285" s="34">
        <f t="shared" si="1696"/>
        <v>2502146</v>
      </c>
      <c r="H3285" s="34">
        <f t="shared" si="1697"/>
        <v>470992</v>
      </c>
      <c r="I3285" s="34">
        <f t="shared" si="1697"/>
        <v>470992</v>
      </c>
      <c r="J3285" s="34">
        <f t="shared" si="1693"/>
        <v>1817753</v>
      </c>
      <c r="K3285" s="133">
        <v>1000</v>
      </c>
      <c r="L3285" s="34"/>
      <c r="M3285" s="16">
        <f t="shared" si="1694"/>
        <v>3702716.9217527732</v>
      </c>
      <c r="N3285" s="36">
        <v>810</v>
      </c>
      <c r="O3285" s="36">
        <v>1</v>
      </c>
      <c r="P3285" s="56">
        <v>470992.31746958342</v>
      </c>
      <c r="Q3285" s="2" t="s">
        <v>402</v>
      </c>
      <c r="R3285" s="2" t="s">
        <v>690</v>
      </c>
      <c r="S3285" s="56">
        <f t="shared" si="1698"/>
        <v>188396.92698783337</v>
      </c>
    </row>
    <row r="3286" spans="1:19" x14ac:dyDescent="0.2">
      <c r="A3286" s="8" t="str">
        <f t="shared" si="1692"/>
        <v>9018016</v>
      </c>
      <c r="B3286" s="8">
        <v>901</v>
      </c>
      <c r="C3286" s="8">
        <v>80</v>
      </c>
      <c r="D3286" s="8" t="s">
        <v>62</v>
      </c>
      <c r="E3286" s="8">
        <v>6</v>
      </c>
      <c r="F3286" s="34">
        <f t="shared" si="1696"/>
        <v>10008586</v>
      </c>
      <c r="G3286" s="34">
        <f t="shared" si="1696"/>
        <v>10008586</v>
      </c>
      <c r="H3286" s="34">
        <f t="shared" si="1697"/>
        <v>470992</v>
      </c>
      <c r="I3286" s="34">
        <f t="shared" si="1697"/>
        <v>470992</v>
      </c>
      <c r="J3286" s="34">
        <f t="shared" si="1693"/>
        <v>26940899</v>
      </c>
      <c r="K3286" s="133">
        <v>1000</v>
      </c>
      <c r="L3286" s="34"/>
      <c r="M3286" s="16">
        <f t="shared" si="1694"/>
        <v>28509470.855813786</v>
      </c>
      <c r="N3286" s="36">
        <v>735</v>
      </c>
      <c r="O3286" s="36">
        <v>18</v>
      </c>
      <c r="P3286" s="56">
        <v>470992.31746958342</v>
      </c>
      <c r="Q3286" s="2" t="s">
        <v>402</v>
      </c>
      <c r="R3286" s="2" t="s">
        <v>690</v>
      </c>
      <c r="S3286" s="56">
        <f t="shared" si="1698"/>
        <v>188396.92698783337</v>
      </c>
    </row>
    <row r="3287" spans="1:19" x14ac:dyDescent="0.2">
      <c r="A3287" s="8" t="str">
        <f t="shared" si="1692"/>
        <v>9018110</v>
      </c>
      <c r="B3287" s="8">
        <v>901</v>
      </c>
      <c r="C3287" s="8">
        <v>81</v>
      </c>
      <c r="D3287" s="8" t="s">
        <v>62</v>
      </c>
      <c r="E3287" s="8">
        <v>0</v>
      </c>
      <c r="F3287" s="34">
        <f t="shared" ref="F3287:G3308" si="1699">ROUNDDOWN($P3287/4*MIN($O3287,4)*10*$N3287/$N3287*$Q3287/400,0)</f>
        <v>2652275</v>
      </c>
      <c r="G3287" s="34">
        <f t="shared" si="1699"/>
        <v>2652275</v>
      </c>
      <c r="H3287" s="34">
        <f t="shared" si="1697"/>
        <v>499251</v>
      </c>
      <c r="I3287" s="34">
        <f t="shared" si="1697"/>
        <v>499251</v>
      </c>
      <c r="J3287" s="34">
        <f t="shared" si="1693"/>
        <v>1926818</v>
      </c>
      <c r="K3287" s="133">
        <v>1000</v>
      </c>
      <c r="L3287" s="34"/>
      <c r="M3287" s="16">
        <f t="shared" si="1694"/>
        <v>4040909.107628529</v>
      </c>
      <c r="N3287" s="36">
        <v>810</v>
      </c>
      <c r="O3287" s="36">
        <v>1</v>
      </c>
      <c r="P3287" s="56">
        <v>499251.85651775845</v>
      </c>
      <c r="Q3287" s="2" t="s">
        <v>402</v>
      </c>
      <c r="R3287" s="2" t="s">
        <v>691</v>
      </c>
      <c r="S3287" s="56">
        <f t="shared" si="1698"/>
        <v>199700.7426071034</v>
      </c>
    </row>
    <row r="3288" spans="1:19" x14ac:dyDescent="0.2">
      <c r="A3288" s="8" t="str">
        <f t="shared" si="1692"/>
        <v>9018116</v>
      </c>
      <c r="B3288" s="8">
        <v>901</v>
      </c>
      <c r="C3288" s="8">
        <v>81</v>
      </c>
      <c r="D3288" s="8" t="s">
        <v>62</v>
      </c>
      <c r="E3288" s="8">
        <v>6</v>
      </c>
      <c r="F3288" s="34">
        <f t="shared" si="1699"/>
        <v>10609101</v>
      </c>
      <c r="G3288" s="34">
        <f t="shared" si="1699"/>
        <v>10609101</v>
      </c>
      <c r="H3288" s="34">
        <f t="shared" si="1697"/>
        <v>499251</v>
      </c>
      <c r="I3288" s="34">
        <f t="shared" si="1697"/>
        <v>499251</v>
      </c>
      <c r="J3288" s="34">
        <f t="shared" si="1693"/>
        <v>28557353</v>
      </c>
      <c r="K3288" s="133">
        <v>1000</v>
      </c>
      <c r="L3288" s="34"/>
      <c r="M3288" s="16">
        <f t="shared" si="1694"/>
        <v>31113418.144173518</v>
      </c>
      <c r="N3288" s="36">
        <v>735</v>
      </c>
      <c r="O3288" s="36">
        <v>18</v>
      </c>
      <c r="P3288" s="56">
        <v>499251.85651775845</v>
      </c>
      <c r="Q3288" s="2" t="s">
        <v>402</v>
      </c>
      <c r="R3288" s="2" t="s">
        <v>691</v>
      </c>
      <c r="S3288" s="56">
        <f t="shared" si="1698"/>
        <v>199700.7426071034</v>
      </c>
    </row>
    <row r="3289" spans="1:19" x14ac:dyDescent="0.2">
      <c r="A3289" s="8" t="str">
        <f t="shared" si="1692"/>
        <v>9018210</v>
      </c>
      <c r="B3289" s="8">
        <v>901</v>
      </c>
      <c r="C3289" s="8">
        <v>82</v>
      </c>
      <c r="D3289" s="8" t="s">
        <v>62</v>
      </c>
      <c r="E3289" s="8">
        <v>0</v>
      </c>
      <c r="F3289" s="34">
        <f t="shared" si="1699"/>
        <v>2811412</v>
      </c>
      <c r="G3289" s="34">
        <f t="shared" si="1699"/>
        <v>2811412</v>
      </c>
      <c r="H3289" s="34">
        <f t="shared" si="1697"/>
        <v>529206</v>
      </c>
      <c r="I3289" s="34">
        <f t="shared" si="1697"/>
        <v>529206</v>
      </c>
      <c r="J3289" s="34">
        <f t="shared" si="1693"/>
        <v>2042427</v>
      </c>
      <c r="K3289" s="133">
        <v>1000</v>
      </c>
      <c r="L3289" s="34"/>
      <c r="M3289" s="16">
        <f t="shared" si="1694"/>
        <v>4409992.8499685107</v>
      </c>
      <c r="N3289" s="36">
        <v>810</v>
      </c>
      <c r="O3289" s="36">
        <v>1</v>
      </c>
      <c r="P3289" s="56">
        <v>529206.96790882398</v>
      </c>
      <c r="Q3289" s="2" t="s">
        <v>402</v>
      </c>
      <c r="R3289" s="2" t="s">
        <v>692</v>
      </c>
      <c r="S3289" s="56">
        <f t="shared" si="1698"/>
        <v>211682.7871635296</v>
      </c>
    </row>
    <row r="3290" spans="1:19" x14ac:dyDescent="0.2">
      <c r="A3290" s="8" t="str">
        <f t="shared" si="1692"/>
        <v>9018216</v>
      </c>
      <c r="B3290" s="8">
        <v>901</v>
      </c>
      <c r="C3290" s="8">
        <v>82</v>
      </c>
      <c r="D3290" s="8" t="s">
        <v>62</v>
      </c>
      <c r="E3290" s="8">
        <v>6</v>
      </c>
      <c r="F3290" s="34">
        <f t="shared" si="1699"/>
        <v>11245648</v>
      </c>
      <c r="G3290" s="34">
        <f t="shared" si="1699"/>
        <v>11245648</v>
      </c>
      <c r="H3290" s="34">
        <f t="shared" si="1697"/>
        <v>529206</v>
      </c>
      <c r="I3290" s="34">
        <f t="shared" si="1697"/>
        <v>529206</v>
      </c>
      <c r="J3290" s="34">
        <f t="shared" si="1693"/>
        <v>30270794</v>
      </c>
      <c r="K3290" s="133">
        <v>1000</v>
      </c>
      <c r="L3290" s="34"/>
      <c r="M3290" s="16">
        <f t="shared" si="1694"/>
        <v>33955217.43052534</v>
      </c>
      <c r="N3290" s="36">
        <v>735</v>
      </c>
      <c r="O3290" s="36">
        <v>18</v>
      </c>
      <c r="P3290" s="56">
        <v>529206.96790882398</v>
      </c>
      <c r="Q3290" s="2" t="s">
        <v>402</v>
      </c>
      <c r="R3290" s="2" t="s">
        <v>692</v>
      </c>
      <c r="S3290" s="56">
        <f t="shared" si="1698"/>
        <v>211682.7871635296</v>
      </c>
    </row>
    <row r="3291" spans="1:19" x14ac:dyDescent="0.2">
      <c r="A3291" s="8" t="str">
        <f t="shared" si="1692"/>
        <v>9018310</v>
      </c>
      <c r="B3291" s="8">
        <v>901</v>
      </c>
      <c r="C3291" s="8">
        <v>83</v>
      </c>
      <c r="D3291" s="8" t="s">
        <v>62</v>
      </c>
      <c r="E3291" s="8">
        <v>0</v>
      </c>
      <c r="F3291" s="19">
        <f t="shared" si="1699"/>
        <v>2231250</v>
      </c>
      <c r="G3291" s="19">
        <f t="shared" si="1699"/>
        <v>2231250</v>
      </c>
      <c r="H3291" s="19">
        <f t="shared" si="1697"/>
        <v>315000</v>
      </c>
      <c r="I3291" s="19">
        <f t="shared" si="1697"/>
        <v>315000</v>
      </c>
      <c r="J3291" s="19">
        <f t="shared" si="1693"/>
        <v>1620952</v>
      </c>
      <c r="K3291" s="133">
        <v>1000</v>
      </c>
      <c r="L3291" s="19"/>
      <c r="M3291" s="16">
        <f t="shared" si="1694"/>
        <v>2700253.0041460935</v>
      </c>
      <c r="N3291" s="36">
        <v>810</v>
      </c>
      <c r="O3291" s="58">
        <v>1</v>
      </c>
      <c r="P3291" s="94">
        <v>420000</v>
      </c>
      <c r="Q3291" s="41" t="s">
        <v>402</v>
      </c>
      <c r="R3291" s="41" t="s">
        <v>693</v>
      </c>
      <c r="S3291" s="94">
        <f>P3291*0.3</f>
        <v>126000</v>
      </c>
    </row>
    <row r="3292" spans="1:19" x14ac:dyDescent="0.2">
      <c r="A3292" s="8" t="str">
        <f t="shared" si="1692"/>
        <v>9018316</v>
      </c>
      <c r="B3292" s="8">
        <v>901</v>
      </c>
      <c r="C3292" s="8">
        <v>83</v>
      </c>
      <c r="D3292" s="8" t="s">
        <v>62</v>
      </c>
      <c r="E3292" s="8">
        <v>6</v>
      </c>
      <c r="F3292" s="19">
        <f t="shared" si="1699"/>
        <v>8925000</v>
      </c>
      <c r="G3292" s="19">
        <f t="shared" si="1699"/>
        <v>8925000</v>
      </c>
      <c r="H3292" s="19">
        <f t="shared" si="1697"/>
        <v>315000</v>
      </c>
      <c r="I3292" s="19">
        <f t="shared" si="1697"/>
        <v>315000</v>
      </c>
      <c r="J3292" s="19">
        <f t="shared" si="1693"/>
        <v>24024123</v>
      </c>
      <c r="K3292" s="133">
        <v>1000</v>
      </c>
      <c r="L3292" s="19"/>
      <c r="M3292" s="16">
        <f t="shared" si="1694"/>
        <v>20790893.206267018</v>
      </c>
      <c r="N3292" s="36">
        <v>735</v>
      </c>
      <c r="O3292" s="58">
        <v>18</v>
      </c>
      <c r="P3292" s="94">
        <v>420000</v>
      </c>
      <c r="Q3292" s="41" t="s">
        <v>402</v>
      </c>
      <c r="R3292" s="41" t="s">
        <v>693</v>
      </c>
      <c r="S3292" s="94">
        <f>P3292*0.3</f>
        <v>126000</v>
      </c>
    </row>
    <row r="3293" spans="1:19" x14ac:dyDescent="0.2">
      <c r="A3293" s="8" t="str">
        <f t="shared" si="1692"/>
        <v>9018410</v>
      </c>
      <c r="B3293" s="8">
        <v>901</v>
      </c>
      <c r="C3293" s="8">
        <v>84</v>
      </c>
      <c r="D3293" s="8" t="s">
        <v>62</v>
      </c>
      <c r="E3293" s="8">
        <v>0</v>
      </c>
      <c r="F3293" s="34">
        <f t="shared" si="1699"/>
        <v>3158902</v>
      </c>
      <c r="G3293" s="34">
        <f t="shared" si="1699"/>
        <v>3158902</v>
      </c>
      <c r="H3293" s="34">
        <f t="shared" si="1697"/>
        <v>594616</v>
      </c>
      <c r="I3293" s="34">
        <f t="shared" si="1697"/>
        <v>594616</v>
      </c>
      <c r="J3293" s="34">
        <f t="shared" si="1693"/>
        <v>2294871</v>
      </c>
      <c r="K3293" s="133">
        <v>1000</v>
      </c>
      <c r="L3293" s="34"/>
      <c r="M3293" s="16">
        <f t="shared" si="1694"/>
        <v>5252372.2465807311</v>
      </c>
      <c r="N3293" s="36">
        <v>810</v>
      </c>
      <c r="O3293" s="36">
        <v>1</v>
      </c>
      <c r="P3293" s="56">
        <v>594616.94914235466</v>
      </c>
      <c r="Q3293" s="2" t="s">
        <v>402</v>
      </c>
      <c r="R3293" s="2" t="s">
        <v>694</v>
      </c>
      <c r="S3293" s="56">
        <f t="shared" si="1698"/>
        <v>237846.77965694189</v>
      </c>
    </row>
    <row r="3294" spans="1:19" x14ac:dyDescent="0.2">
      <c r="A3294" s="8" t="str">
        <f t="shared" si="1692"/>
        <v>9018416</v>
      </c>
      <c r="B3294" s="8">
        <v>901</v>
      </c>
      <c r="C3294" s="8">
        <v>84</v>
      </c>
      <c r="D3294" s="8" t="s">
        <v>62</v>
      </c>
      <c r="E3294" s="8">
        <v>6</v>
      </c>
      <c r="F3294" s="34">
        <f t="shared" si="1699"/>
        <v>12635610</v>
      </c>
      <c r="G3294" s="34">
        <f t="shared" si="1699"/>
        <v>12635610</v>
      </c>
      <c r="H3294" s="34">
        <f t="shared" si="1697"/>
        <v>594616</v>
      </c>
      <c r="I3294" s="34">
        <f t="shared" si="1697"/>
        <v>594616</v>
      </c>
      <c r="J3294" s="34">
        <f t="shared" si="1693"/>
        <v>34012264</v>
      </c>
      <c r="K3294" s="133">
        <v>1000</v>
      </c>
      <c r="L3294" s="34"/>
      <c r="M3294" s="16">
        <f t="shared" si="1694"/>
        <v>40441211.718900442</v>
      </c>
      <c r="N3294" s="36">
        <v>735</v>
      </c>
      <c r="O3294" s="36">
        <v>18</v>
      </c>
      <c r="P3294" s="56">
        <v>594616.94914235466</v>
      </c>
      <c r="Q3294" s="2" t="s">
        <v>402</v>
      </c>
      <c r="R3294" s="2" t="s">
        <v>694</v>
      </c>
      <c r="S3294" s="56">
        <f t="shared" si="1698"/>
        <v>237846.77965694189</v>
      </c>
    </row>
    <row r="3295" spans="1:19" x14ac:dyDescent="0.2">
      <c r="A3295" s="8" t="str">
        <f t="shared" si="1692"/>
        <v>9018510</v>
      </c>
      <c r="B3295" s="8">
        <v>901</v>
      </c>
      <c r="C3295" s="8">
        <v>85</v>
      </c>
      <c r="D3295" s="8" t="s">
        <v>62</v>
      </c>
      <c r="E3295" s="8">
        <v>0</v>
      </c>
      <c r="F3295" s="34">
        <f t="shared" si="1699"/>
        <v>3348436</v>
      </c>
      <c r="G3295" s="34">
        <f t="shared" si="1699"/>
        <v>3348436</v>
      </c>
      <c r="H3295" s="34">
        <f t="shared" si="1697"/>
        <v>630293</v>
      </c>
      <c r="I3295" s="34">
        <f t="shared" si="1697"/>
        <v>630293</v>
      </c>
      <c r="J3295" s="34">
        <f t="shared" si="1693"/>
        <v>2432563</v>
      </c>
      <c r="K3295" s="133">
        <v>1000</v>
      </c>
      <c r="L3295" s="34"/>
      <c r="M3295" s="16">
        <f t="shared" si="1694"/>
        <v>5732106.8662811965</v>
      </c>
      <c r="N3295" s="36">
        <v>810</v>
      </c>
      <c r="O3295" s="36">
        <v>1</v>
      </c>
      <c r="P3295" s="56">
        <v>630293.96609089605</v>
      </c>
      <c r="Q3295" s="2" t="s">
        <v>402</v>
      </c>
      <c r="R3295" s="2" t="s">
        <v>695</v>
      </c>
      <c r="S3295" s="56">
        <f t="shared" si="1698"/>
        <v>252117.58643635843</v>
      </c>
    </row>
    <row r="3296" spans="1:19" x14ac:dyDescent="0.2">
      <c r="A3296" s="8" t="str">
        <f t="shared" si="1692"/>
        <v>9018516</v>
      </c>
      <c r="B3296" s="8">
        <v>901</v>
      </c>
      <c r="C3296" s="8">
        <v>85</v>
      </c>
      <c r="D3296" s="8" t="s">
        <v>62</v>
      </c>
      <c r="E3296" s="8">
        <v>6</v>
      </c>
      <c r="F3296" s="34">
        <f t="shared" si="1699"/>
        <v>13393746</v>
      </c>
      <c r="G3296" s="34">
        <f t="shared" si="1699"/>
        <v>13393746</v>
      </c>
      <c r="H3296" s="34">
        <f t="shared" ref="H3296:I3308" si="1700">ROUNDDOWN($S3296/4*10,0)</f>
        <v>630293</v>
      </c>
      <c r="I3296" s="34">
        <f t="shared" si="1700"/>
        <v>630293</v>
      </c>
      <c r="J3296" s="34">
        <f t="shared" si="1693"/>
        <v>36053000</v>
      </c>
      <c r="K3296" s="133">
        <v>1000</v>
      </c>
      <c r="L3296" s="34"/>
      <c r="M3296" s="16">
        <f t="shared" si="1694"/>
        <v>44134982.890816562</v>
      </c>
      <c r="N3296" s="36">
        <v>735</v>
      </c>
      <c r="O3296" s="36">
        <v>18</v>
      </c>
      <c r="P3296" s="56">
        <v>630293.96609089605</v>
      </c>
      <c r="Q3296" s="2" t="s">
        <v>402</v>
      </c>
      <c r="R3296" s="2" t="s">
        <v>695</v>
      </c>
      <c r="S3296" s="56">
        <f t="shared" si="1698"/>
        <v>252117.58643635843</v>
      </c>
    </row>
    <row r="3297" spans="1:20" x14ac:dyDescent="0.2">
      <c r="A3297" s="8" t="str">
        <f t="shared" si="1692"/>
        <v>9018610</v>
      </c>
      <c r="B3297" s="8">
        <v>901</v>
      </c>
      <c r="C3297" s="8">
        <v>86</v>
      </c>
      <c r="D3297" s="8" t="s">
        <v>62</v>
      </c>
      <c r="E3297" s="8">
        <v>0</v>
      </c>
      <c r="F3297" s="34">
        <f t="shared" si="1699"/>
        <v>3549342</v>
      </c>
      <c r="G3297" s="34">
        <f t="shared" si="1699"/>
        <v>3549342</v>
      </c>
      <c r="H3297" s="34">
        <f t="shared" si="1700"/>
        <v>668111</v>
      </c>
      <c r="I3297" s="34">
        <f t="shared" si="1700"/>
        <v>668111</v>
      </c>
      <c r="J3297" s="34">
        <f t="shared" si="1693"/>
        <v>2578517</v>
      </c>
      <c r="K3297" s="133">
        <v>1000</v>
      </c>
      <c r="L3297" s="34"/>
      <c r="M3297" s="16">
        <f t="shared" si="1694"/>
        <v>6255661.2278698729</v>
      </c>
      <c r="N3297" s="36">
        <v>810</v>
      </c>
      <c r="O3297" s="36">
        <v>1</v>
      </c>
      <c r="P3297" s="56">
        <v>668111.60405634984</v>
      </c>
      <c r="Q3297" s="2" t="s">
        <v>402</v>
      </c>
      <c r="R3297" s="2" t="s">
        <v>696</v>
      </c>
      <c r="S3297" s="56">
        <f t="shared" si="1698"/>
        <v>267244.64162253996</v>
      </c>
    </row>
    <row r="3298" spans="1:20" x14ac:dyDescent="0.2">
      <c r="A3298" s="8" t="str">
        <f t="shared" si="1692"/>
        <v>9018616</v>
      </c>
      <c r="B3298" s="8">
        <v>901</v>
      </c>
      <c r="C3298" s="8">
        <v>86</v>
      </c>
      <c r="D3298" s="8" t="s">
        <v>62</v>
      </c>
      <c r="E3298" s="8">
        <v>6</v>
      </c>
      <c r="F3298" s="34">
        <f t="shared" si="1699"/>
        <v>14197371</v>
      </c>
      <c r="G3298" s="34">
        <f t="shared" si="1699"/>
        <v>14197371</v>
      </c>
      <c r="H3298" s="34">
        <f t="shared" si="1700"/>
        <v>668111</v>
      </c>
      <c r="I3298" s="34">
        <f t="shared" si="1700"/>
        <v>668111</v>
      </c>
      <c r="J3298" s="34">
        <f t="shared" si="1693"/>
        <v>38216180</v>
      </c>
      <c r="K3298" s="133">
        <v>1000</v>
      </c>
      <c r="L3298" s="34"/>
      <c r="M3298" s="16">
        <f t="shared" si="1694"/>
        <v>48166146.319651239</v>
      </c>
      <c r="N3298" s="36">
        <v>735</v>
      </c>
      <c r="O3298" s="36">
        <v>18</v>
      </c>
      <c r="P3298" s="56">
        <v>668111.60405634984</v>
      </c>
      <c r="Q3298" s="2" t="s">
        <v>402</v>
      </c>
      <c r="R3298" s="2" t="s">
        <v>696</v>
      </c>
      <c r="S3298" s="56">
        <f t="shared" si="1698"/>
        <v>267244.64162253996</v>
      </c>
    </row>
    <row r="3299" spans="1:20" x14ac:dyDescent="0.2">
      <c r="A3299" s="8" t="str">
        <f t="shared" si="1692"/>
        <v>9018710</v>
      </c>
      <c r="B3299" s="8">
        <v>901</v>
      </c>
      <c r="C3299" s="8">
        <v>87</v>
      </c>
      <c r="D3299" s="8" t="s">
        <v>62</v>
      </c>
      <c r="E3299" s="8">
        <v>0</v>
      </c>
      <c r="F3299" s="34">
        <f t="shared" si="1699"/>
        <v>3762303</v>
      </c>
      <c r="G3299" s="34">
        <f t="shared" si="1699"/>
        <v>3762303</v>
      </c>
      <c r="H3299" s="34">
        <f t="shared" si="1700"/>
        <v>708198</v>
      </c>
      <c r="I3299" s="34">
        <f t="shared" si="1700"/>
        <v>708198</v>
      </c>
      <c r="J3299" s="34">
        <f t="shared" si="1693"/>
        <v>2733228</v>
      </c>
      <c r="K3299" s="133">
        <v>1000</v>
      </c>
      <c r="L3299" s="34"/>
      <c r="M3299" s="16">
        <f t="shared" si="1694"/>
        <v>6827035.3240080923</v>
      </c>
      <c r="N3299" s="36">
        <v>810</v>
      </c>
      <c r="O3299" s="36">
        <v>1</v>
      </c>
      <c r="P3299" s="56">
        <v>708198.30029973085</v>
      </c>
      <c r="Q3299" s="2" t="s">
        <v>402</v>
      </c>
      <c r="R3299" s="2" t="s">
        <v>697</v>
      </c>
      <c r="S3299" s="56">
        <f t="shared" si="1698"/>
        <v>283279.32011989236</v>
      </c>
    </row>
    <row r="3300" spans="1:20" x14ac:dyDescent="0.2">
      <c r="A3300" s="8" t="str">
        <f t="shared" si="1692"/>
        <v>9018716</v>
      </c>
      <c r="B3300" s="8">
        <v>901</v>
      </c>
      <c r="C3300" s="8">
        <v>87</v>
      </c>
      <c r="D3300" s="8" t="s">
        <v>62</v>
      </c>
      <c r="E3300" s="8">
        <v>6</v>
      </c>
      <c r="F3300" s="34">
        <f t="shared" si="1699"/>
        <v>15049213</v>
      </c>
      <c r="G3300" s="34">
        <f t="shared" si="1699"/>
        <v>15049213</v>
      </c>
      <c r="H3300" s="34">
        <f t="shared" si="1700"/>
        <v>708198</v>
      </c>
      <c r="I3300" s="34">
        <f t="shared" si="1700"/>
        <v>708198</v>
      </c>
      <c r="J3300" s="34">
        <f t="shared" si="1693"/>
        <v>40509151</v>
      </c>
      <c r="K3300" s="133">
        <v>1000</v>
      </c>
      <c r="L3300" s="34"/>
      <c r="M3300" s="16">
        <f t="shared" si="1694"/>
        <v>52565500.04313843</v>
      </c>
      <c r="N3300" s="36">
        <v>735</v>
      </c>
      <c r="O3300" s="36">
        <v>18</v>
      </c>
      <c r="P3300" s="56">
        <v>708198.30029973085</v>
      </c>
      <c r="Q3300" s="2" t="s">
        <v>402</v>
      </c>
      <c r="R3300" s="2" t="s">
        <v>697</v>
      </c>
      <c r="S3300" s="56">
        <f t="shared" si="1698"/>
        <v>283279.32011989236</v>
      </c>
    </row>
    <row r="3301" spans="1:20" x14ac:dyDescent="0.2">
      <c r="A3301" s="8" t="str">
        <f t="shared" si="1692"/>
        <v>9018810</v>
      </c>
      <c r="B3301" s="8">
        <v>901</v>
      </c>
      <c r="C3301" s="8">
        <v>88</v>
      </c>
      <c r="D3301" s="8" t="s">
        <v>62</v>
      </c>
      <c r="E3301" s="8">
        <v>0</v>
      </c>
      <c r="F3301" s="34">
        <f t="shared" si="1699"/>
        <v>3988041</v>
      </c>
      <c r="G3301" s="34">
        <f t="shared" si="1699"/>
        <v>3988041</v>
      </c>
      <c r="H3301" s="34">
        <f t="shared" si="1700"/>
        <v>750690</v>
      </c>
      <c r="I3301" s="34">
        <f t="shared" si="1700"/>
        <v>750690</v>
      </c>
      <c r="J3301" s="34">
        <f t="shared" si="1693"/>
        <v>2897222</v>
      </c>
      <c r="K3301" s="133">
        <v>1000</v>
      </c>
      <c r="L3301" s="34"/>
      <c r="M3301" s="16">
        <f t="shared" si="1694"/>
        <v>7450595.688296929</v>
      </c>
      <c r="N3301" s="36">
        <v>810</v>
      </c>
      <c r="O3301" s="36">
        <v>1</v>
      </c>
      <c r="P3301" s="56">
        <v>750690.19831771462</v>
      </c>
      <c r="Q3301" s="2" t="s">
        <v>402</v>
      </c>
      <c r="R3301" s="2" t="s">
        <v>698</v>
      </c>
      <c r="S3301" s="56">
        <f t="shared" si="1698"/>
        <v>300276.07932708587</v>
      </c>
    </row>
    <row r="3302" spans="1:20" x14ac:dyDescent="0.2">
      <c r="A3302" s="8" t="str">
        <f t="shared" si="1692"/>
        <v>9018816</v>
      </c>
      <c r="B3302" s="8">
        <v>901</v>
      </c>
      <c r="C3302" s="8">
        <v>88</v>
      </c>
      <c r="D3302" s="8" t="s">
        <v>62</v>
      </c>
      <c r="E3302" s="8">
        <v>6</v>
      </c>
      <c r="F3302" s="34">
        <f t="shared" si="1699"/>
        <v>15952166</v>
      </c>
      <c r="G3302" s="34">
        <f t="shared" si="1699"/>
        <v>15952166</v>
      </c>
      <c r="H3302" s="34">
        <f t="shared" si="1700"/>
        <v>750690</v>
      </c>
      <c r="I3302" s="34">
        <f t="shared" si="1700"/>
        <v>750690</v>
      </c>
      <c r="J3302" s="34">
        <f t="shared" si="1693"/>
        <v>42939700</v>
      </c>
      <c r="K3302" s="133">
        <v>1000</v>
      </c>
      <c r="L3302" s="34"/>
      <c r="M3302" s="16">
        <f t="shared" si="1694"/>
        <v>57366669.282354504</v>
      </c>
      <c r="N3302" s="36">
        <v>735</v>
      </c>
      <c r="O3302" s="36">
        <v>18</v>
      </c>
      <c r="P3302" s="56">
        <v>750690.19831771462</v>
      </c>
      <c r="Q3302" s="2" t="s">
        <v>402</v>
      </c>
      <c r="R3302" s="2" t="s">
        <v>698</v>
      </c>
      <c r="S3302" s="56">
        <f t="shared" si="1698"/>
        <v>300276.07932708587</v>
      </c>
    </row>
    <row r="3303" spans="1:20" x14ac:dyDescent="0.2">
      <c r="A3303" s="8" t="str">
        <f t="shared" si="1692"/>
        <v>9018910</v>
      </c>
      <c r="B3303" s="8">
        <v>901</v>
      </c>
      <c r="C3303" s="8">
        <v>89</v>
      </c>
      <c r="D3303" s="8" t="s">
        <v>62</v>
      </c>
      <c r="E3303" s="8">
        <v>0</v>
      </c>
      <c r="F3303" s="34">
        <f t="shared" si="1699"/>
        <v>4227324</v>
      </c>
      <c r="G3303" s="34">
        <f t="shared" si="1699"/>
        <v>4227324</v>
      </c>
      <c r="H3303" s="34">
        <f t="shared" si="1700"/>
        <v>795731</v>
      </c>
      <c r="I3303" s="34">
        <f t="shared" si="1700"/>
        <v>795731</v>
      </c>
      <c r="J3303" s="34">
        <f t="shared" si="1693"/>
        <v>3071055</v>
      </c>
      <c r="K3303" s="133">
        <v>1000</v>
      </c>
      <c r="L3303" s="34"/>
      <c r="M3303" s="16">
        <f t="shared" si="1694"/>
        <v>8131107.2709220164</v>
      </c>
      <c r="N3303" s="36">
        <v>810</v>
      </c>
      <c r="O3303" s="36">
        <v>1</v>
      </c>
      <c r="P3303" s="56">
        <v>795731.61021677766</v>
      </c>
      <c r="Q3303" s="2" t="s">
        <v>402</v>
      </c>
      <c r="R3303" s="2" t="s">
        <v>699</v>
      </c>
      <c r="S3303" s="56">
        <f t="shared" si="1698"/>
        <v>318292.64408671111</v>
      </c>
    </row>
    <row r="3304" spans="1:20" x14ac:dyDescent="0.2">
      <c r="A3304" s="8" t="str">
        <f t="shared" si="1692"/>
        <v>9018916</v>
      </c>
      <c r="B3304" s="8">
        <v>901</v>
      </c>
      <c r="C3304" s="8">
        <v>89</v>
      </c>
      <c r="D3304" s="8" t="s">
        <v>62</v>
      </c>
      <c r="E3304" s="8">
        <v>6</v>
      </c>
      <c r="F3304" s="34">
        <f t="shared" si="1699"/>
        <v>16909296</v>
      </c>
      <c r="G3304" s="34">
        <f t="shared" si="1699"/>
        <v>16909296</v>
      </c>
      <c r="H3304" s="34">
        <f t="shared" si="1700"/>
        <v>795731</v>
      </c>
      <c r="I3304" s="34">
        <f t="shared" si="1700"/>
        <v>795731</v>
      </c>
      <c r="J3304" s="34">
        <f t="shared" si="1693"/>
        <v>45516082</v>
      </c>
      <c r="K3304" s="133">
        <v>1000</v>
      </c>
      <c r="L3304" s="34"/>
      <c r="M3304" s="16">
        <f t="shared" si="1694"/>
        <v>62606341.329750292</v>
      </c>
      <c r="N3304" s="36">
        <v>735</v>
      </c>
      <c r="O3304" s="36">
        <v>18</v>
      </c>
      <c r="P3304" s="56">
        <v>795731.61021677766</v>
      </c>
      <c r="Q3304" s="2" t="s">
        <v>402</v>
      </c>
      <c r="R3304" s="2" t="s">
        <v>699</v>
      </c>
      <c r="S3304" s="56">
        <f t="shared" si="1698"/>
        <v>318292.64408671111</v>
      </c>
    </row>
    <row r="3305" spans="1:20" x14ac:dyDescent="0.2">
      <c r="A3305" s="8" t="str">
        <f t="shared" si="1692"/>
        <v>9019010</v>
      </c>
      <c r="B3305" s="8">
        <v>901</v>
      </c>
      <c r="C3305" s="8">
        <v>90</v>
      </c>
      <c r="D3305" s="8" t="s">
        <v>62</v>
      </c>
      <c r="E3305" s="8">
        <v>0</v>
      </c>
      <c r="F3305" s="34">
        <f t="shared" si="1699"/>
        <v>4480963</v>
      </c>
      <c r="G3305" s="34">
        <f t="shared" si="1699"/>
        <v>4480963</v>
      </c>
      <c r="H3305" s="34">
        <f t="shared" si="1700"/>
        <v>843475</v>
      </c>
      <c r="I3305" s="34">
        <f t="shared" si="1700"/>
        <v>843475</v>
      </c>
      <c r="J3305" s="34">
        <f t="shared" si="1693"/>
        <v>3255319</v>
      </c>
      <c r="K3305" s="133">
        <v>1000</v>
      </c>
      <c r="L3305" s="34"/>
      <c r="M3305" s="16">
        <f t="shared" si="1694"/>
        <v>8873777.8032378945</v>
      </c>
      <c r="N3305" s="36">
        <v>810</v>
      </c>
      <c r="O3305" s="36">
        <v>1</v>
      </c>
      <c r="P3305" s="56">
        <v>843475.50682978425</v>
      </c>
      <c r="Q3305" s="2" t="s">
        <v>402</v>
      </c>
      <c r="R3305" s="2" t="s">
        <v>700</v>
      </c>
      <c r="S3305" s="56">
        <f t="shared" si="1698"/>
        <v>337390.20273191371</v>
      </c>
    </row>
    <row r="3306" spans="1:20" x14ac:dyDescent="0.2">
      <c r="A3306" s="8" t="str">
        <f t="shared" si="1692"/>
        <v>9019016</v>
      </c>
      <c r="B3306" s="8">
        <v>901</v>
      </c>
      <c r="C3306" s="8">
        <v>90</v>
      </c>
      <c r="D3306" s="8" t="s">
        <v>62</v>
      </c>
      <c r="E3306" s="8">
        <v>6</v>
      </c>
      <c r="F3306" s="34">
        <f t="shared" si="1699"/>
        <v>17923854</v>
      </c>
      <c r="G3306" s="34">
        <f t="shared" si="1699"/>
        <v>17923854</v>
      </c>
      <c r="H3306" s="34">
        <f t="shared" si="1700"/>
        <v>843475</v>
      </c>
      <c r="I3306" s="34">
        <f t="shared" si="1700"/>
        <v>843475</v>
      </c>
      <c r="J3306" s="34">
        <f t="shared" si="1693"/>
        <v>48247047</v>
      </c>
      <c r="K3306" s="133">
        <v>1000</v>
      </c>
      <c r="L3306" s="34"/>
      <c r="M3306" s="16">
        <f t="shared" si="1694"/>
        <v>68324610.074357197</v>
      </c>
      <c r="N3306" s="36">
        <v>735</v>
      </c>
      <c r="O3306" s="36">
        <v>18</v>
      </c>
      <c r="P3306" s="56">
        <v>843475.50682978425</v>
      </c>
      <c r="Q3306" s="2" t="s">
        <v>402</v>
      </c>
      <c r="R3306" s="2" t="s">
        <v>700</v>
      </c>
      <c r="S3306" s="56">
        <f t="shared" si="1698"/>
        <v>337390.20273191371</v>
      </c>
    </row>
    <row r="3307" spans="1:20" x14ac:dyDescent="0.2">
      <c r="A3307" s="8" t="str">
        <f t="shared" si="1692"/>
        <v>9019110</v>
      </c>
      <c r="B3307" s="8">
        <v>901</v>
      </c>
      <c r="C3307" s="8">
        <v>91</v>
      </c>
      <c r="D3307" s="8" t="s">
        <v>62</v>
      </c>
      <c r="E3307" s="8">
        <v>0</v>
      </c>
      <c r="F3307" s="34">
        <f t="shared" si="1699"/>
        <v>4749821</v>
      </c>
      <c r="G3307" s="34">
        <f t="shared" si="1699"/>
        <v>4749821</v>
      </c>
      <c r="H3307" s="34">
        <f t="shared" si="1700"/>
        <v>894084</v>
      </c>
      <c r="I3307" s="34">
        <f t="shared" si="1700"/>
        <v>894084</v>
      </c>
      <c r="J3307" s="34">
        <f t="shared" si="1693"/>
        <v>3450638</v>
      </c>
      <c r="K3307" s="133">
        <v>1000</v>
      </c>
      <c r="L3307" s="34"/>
      <c r="M3307" s="16">
        <f t="shared" si="1694"/>
        <v>9684282.96253483</v>
      </c>
      <c r="N3307" s="36">
        <v>810</v>
      </c>
      <c r="O3307" s="36">
        <v>1</v>
      </c>
      <c r="P3307" s="56">
        <v>894084.03723957133</v>
      </c>
      <c r="Q3307" s="2" t="s">
        <v>402</v>
      </c>
      <c r="R3307" s="2" t="s">
        <v>701</v>
      </c>
      <c r="S3307" s="56">
        <f t="shared" si="1698"/>
        <v>357633.61489582853</v>
      </c>
      <c r="T3307" s="266"/>
    </row>
    <row r="3308" spans="1:20" x14ac:dyDescent="0.2">
      <c r="A3308" s="8" t="str">
        <f t="shared" si="1692"/>
        <v>9019116</v>
      </c>
      <c r="B3308" s="8">
        <v>901</v>
      </c>
      <c r="C3308" s="8">
        <v>91</v>
      </c>
      <c r="D3308" s="8" t="s">
        <v>62</v>
      </c>
      <c r="E3308" s="8">
        <v>6</v>
      </c>
      <c r="F3308" s="34">
        <f t="shared" si="1699"/>
        <v>18999285</v>
      </c>
      <c r="G3308" s="34">
        <f t="shared" si="1699"/>
        <v>18999285</v>
      </c>
      <c r="H3308" s="34">
        <f t="shared" si="1700"/>
        <v>894084</v>
      </c>
      <c r="I3308" s="34">
        <f t="shared" si="1700"/>
        <v>894084</v>
      </c>
      <c r="J3308" s="34">
        <f t="shared" si="1693"/>
        <v>51141869</v>
      </c>
      <c r="K3308" s="133">
        <v>1000</v>
      </c>
      <c r="L3308" s="34"/>
      <c r="M3308" s="16">
        <f t="shared" si="1694"/>
        <v>74565180.755256429</v>
      </c>
      <c r="N3308" s="36">
        <v>735</v>
      </c>
      <c r="O3308" s="36">
        <v>18</v>
      </c>
      <c r="P3308" s="56">
        <v>894084.03723957133</v>
      </c>
      <c r="Q3308" s="2" t="s">
        <v>402</v>
      </c>
      <c r="R3308" s="2" t="s">
        <v>701</v>
      </c>
      <c r="S3308" s="56">
        <f t="shared" si="1698"/>
        <v>357633.61489582853</v>
      </c>
    </row>
    <row r="3309" spans="1:20" ht="33.75" x14ac:dyDescent="0.2">
      <c r="A3309" s="30" t="str">
        <f t="shared" si="1692"/>
        <v/>
      </c>
      <c r="B3309" s="5"/>
      <c r="C3309" s="93" t="s">
        <v>702</v>
      </c>
      <c r="D3309" s="5"/>
      <c r="E3309" s="5"/>
      <c r="F3309" s="5"/>
      <c r="G3309" s="5"/>
      <c r="H3309" s="5"/>
      <c r="I3309" s="5"/>
      <c r="J3309" s="5"/>
      <c r="K3309" s="133"/>
      <c r="L3309" s="5"/>
      <c r="M3309" s="16">
        <f t="shared" si="1694"/>
        <v>0</v>
      </c>
      <c r="N3309" s="5"/>
      <c r="O3309" s="5"/>
      <c r="P3309" s="5"/>
      <c r="Q3309" s="5"/>
      <c r="R3309" s="5"/>
      <c r="S3309" s="30"/>
    </row>
    <row r="3310" spans="1:20" x14ac:dyDescent="0.2">
      <c r="A3310" s="8" t="str">
        <f t="shared" si="1692"/>
        <v>9020111</v>
      </c>
      <c r="B3310" s="8">
        <v>902</v>
      </c>
      <c r="C3310" s="8">
        <v>1</v>
      </c>
      <c r="D3310" s="8" t="s">
        <v>62</v>
      </c>
      <c r="E3310" s="8">
        <v>1</v>
      </c>
      <c r="F3310" s="34">
        <f t="shared" ref="F3310:G3329" si="1701">ROUNDDOWN($P3310/4*MIN($O3310,4)*10*$N3310/$N3310*$Q3310/400,0)</f>
        <v>13099</v>
      </c>
      <c r="G3310" s="34">
        <f t="shared" si="1701"/>
        <v>13099</v>
      </c>
      <c r="H3310" s="34">
        <f t="shared" ref="H3310:I3390" si="1702">ROUNDDOWN($S3310/4*10,0)</f>
        <v>8002</v>
      </c>
      <c r="I3310" s="34">
        <f t="shared" si="1702"/>
        <v>8002</v>
      </c>
      <c r="J3310" s="34">
        <f>ROUNDDOWN($P3310/4*$O3310*10*$N3310/$Q3310*$N3310/400*0.8,0)</f>
        <v>12867</v>
      </c>
      <c r="K3310" s="133">
        <v>1000</v>
      </c>
      <c r="L3310" s="34"/>
      <c r="M3310" s="16">
        <f t="shared" si="1694"/>
        <v>2937.9674646704989</v>
      </c>
      <c r="N3310" s="36">
        <v>810</v>
      </c>
      <c r="O3310" s="36">
        <v>1</v>
      </c>
      <c r="P3310" s="56">
        <v>2867.2</v>
      </c>
      <c r="Q3310" s="2" t="s">
        <v>103</v>
      </c>
      <c r="R3310" s="2" t="s">
        <v>615</v>
      </c>
      <c r="S3310" s="36">
        <v>3201</v>
      </c>
    </row>
    <row r="3311" spans="1:20" x14ac:dyDescent="0.2">
      <c r="A3311" s="8" t="str">
        <f t="shared" si="1692"/>
        <v>9020119</v>
      </c>
      <c r="B3311" s="8">
        <v>902</v>
      </c>
      <c r="C3311" s="8">
        <v>1</v>
      </c>
      <c r="D3311" s="8" t="s">
        <v>62</v>
      </c>
      <c r="E3311" s="8">
        <v>9</v>
      </c>
      <c r="F3311" s="34">
        <f t="shared" si="1701"/>
        <v>52398</v>
      </c>
      <c r="G3311" s="34">
        <f t="shared" si="1701"/>
        <v>52398</v>
      </c>
      <c r="H3311" s="34">
        <f t="shared" si="1702"/>
        <v>8002</v>
      </c>
      <c r="I3311" s="34">
        <f t="shared" si="1702"/>
        <v>8002</v>
      </c>
      <c r="J3311" s="34">
        <f t="shared" ref="J3311:J3374" si="1703">ROUNDDOWN($P3311/4*$O3311*10*$N3311/$Q3311*$N3311/400*0.8,0)</f>
        <v>190703</v>
      </c>
      <c r="K3311" s="133">
        <v>1000</v>
      </c>
      <c r="L3311" s="34"/>
      <c r="M3311" s="16">
        <f t="shared" si="1694"/>
        <v>22621.707276131114</v>
      </c>
      <c r="N3311" s="36">
        <v>735</v>
      </c>
      <c r="O3311" s="36">
        <v>18</v>
      </c>
      <c r="P3311" s="56">
        <v>2867.2</v>
      </c>
      <c r="Q3311" s="2" t="s">
        <v>103</v>
      </c>
      <c r="R3311" s="2" t="s">
        <v>615</v>
      </c>
      <c r="S3311" s="36">
        <v>3201</v>
      </c>
    </row>
    <row r="3312" spans="1:20" x14ac:dyDescent="0.2">
      <c r="A3312" s="8" t="str">
        <f t="shared" si="1692"/>
        <v>9020211</v>
      </c>
      <c r="B3312" s="8">
        <v>902</v>
      </c>
      <c r="C3312" s="8">
        <v>2</v>
      </c>
      <c r="D3312" s="8" t="s">
        <v>62</v>
      </c>
      <c r="E3312" s="8">
        <v>1</v>
      </c>
      <c r="F3312" s="34">
        <f t="shared" si="1701"/>
        <v>13358</v>
      </c>
      <c r="G3312" s="34">
        <f t="shared" si="1701"/>
        <v>13358</v>
      </c>
      <c r="H3312" s="34">
        <f t="shared" si="1702"/>
        <v>8567</v>
      </c>
      <c r="I3312" s="34">
        <f t="shared" si="1702"/>
        <v>8567</v>
      </c>
      <c r="J3312" s="34">
        <f t="shared" si="1703"/>
        <v>13121</v>
      </c>
      <c r="K3312" s="133">
        <v>1000</v>
      </c>
      <c r="L3312" s="34"/>
      <c r="M3312" s="16">
        <f t="shared" si="1694"/>
        <v>3099.9776146866607</v>
      </c>
      <c r="N3312" s="36">
        <v>810</v>
      </c>
      <c r="O3312" s="36">
        <v>1</v>
      </c>
      <c r="P3312" s="56">
        <v>2923.8999999999996</v>
      </c>
      <c r="Q3312" s="2" t="s">
        <v>103</v>
      </c>
      <c r="R3312" s="2" t="s">
        <v>616</v>
      </c>
      <c r="S3312" s="36">
        <v>3427</v>
      </c>
    </row>
    <row r="3313" spans="1:19" x14ac:dyDescent="0.2">
      <c r="A3313" s="8" t="str">
        <f t="shared" si="1692"/>
        <v>9020219</v>
      </c>
      <c r="B3313" s="8">
        <v>902</v>
      </c>
      <c r="C3313" s="8">
        <v>2</v>
      </c>
      <c r="D3313" s="8" t="s">
        <v>62</v>
      </c>
      <c r="E3313" s="8">
        <v>9</v>
      </c>
      <c r="F3313" s="34">
        <f t="shared" si="1701"/>
        <v>53434</v>
      </c>
      <c r="G3313" s="34">
        <f t="shared" si="1701"/>
        <v>53434</v>
      </c>
      <c r="H3313" s="34">
        <f t="shared" si="1702"/>
        <v>8567</v>
      </c>
      <c r="I3313" s="34">
        <f t="shared" si="1702"/>
        <v>8567</v>
      </c>
      <c r="J3313" s="34">
        <f t="shared" si="1703"/>
        <v>194474</v>
      </c>
      <c r="K3313" s="133">
        <v>1000</v>
      </c>
      <c r="L3313" s="34"/>
      <c r="M3313" s="16">
        <f t="shared" si="1694"/>
        <v>23869.536558547188</v>
      </c>
      <c r="N3313" s="36">
        <v>735</v>
      </c>
      <c r="O3313" s="36">
        <v>18</v>
      </c>
      <c r="P3313" s="56">
        <v>2923.8999999999996</v>
      </c>
      <c r="Q3313" s="2" t="s">
        <v>103</v>
      </c>
      <c r="R3313" s="2" t="s">
        <v>616</v>
      </c>
      <c r="S3313" s="36">
        <v>3427</v>
      </c>
    </row>
    <row r="3314" spans="1:19" x14ac:dyDescent="0.2">
      <c r="A3314" s="8" t="str">
        <f t="shared" si="1692"/>
        <v>9020311</v>
      </c>
      <c r="B3314" s="8">
        <v>902</v>
      </c>
      <c r="C3314" s="8">
        <v>3</v>
      </c>
      <c r="D3314" s="8" t="s">
        <v>62</v>
      </c>
      <c r="E3314" s="8">
        <v>1</v>
      </c>
      <c r="F3314" s="34">
        <f t="shared" si="1701"/>
        <v>13624</v>
      </c>
      <c r="G3314" s="34">
        <f t="shared" si="1701"/>
        <v>13624</v>
      </c>
      <c r="H3314" s="34">
        <f t="shared" si="1702"/>
        <v>9155</v>
      </c>
      <c r="I3314" s="34">
        <f t="shared" si="1702"/>
        <v>9155</v>
      </c>
      <c r="J3314" s="34">
        <f t="shared" si="1703"/>
        <v>13382</v>
      </c>
      <c r="K3314" s="133">
        <v>1000</v>
      </c>
      <c r="L3314" s="34"/>
      <c r="M3314" s="16">
        <f t="shared" si="1694"/>
        <v>3268.3758403610809</v>
      </c>
      <c r="N3314" s="36">
        <v>810</v>
      </c>
      <c r="O3314" s="36">
        <v>1</v>
      </c>
      <c r="P3314" s="56">
        <v>2982</v>
      </c>
      <c r="Q3314" s="2" t="s">
        <v>103</v>
      </c>
      <c r="R3314" s="2" t="s">
        <v>617</v>
      </c>
      <c r="S3314" s="36">
        <v>3662</v>
      </c>
    </row>
    <row r="3315" spans="1:19" x14ac:dyDescent="0.2">
      <c r="A3315" s="8" t="str">
        <f t="shared" si="1692"/>
        <v>9020319</v>
      </c>
      <c r="B3315" s="8">
        <v>902</v>
      </c>
      <c r="C3315" s="8">
        <v>3</v>
      </c>
      <c r="D3315" s="8" t="s">
        <v>62</v>
      </c>
      <c r="E3315" s="8">
        <v>9</v>
      </c>
      <c r="F3315" s="34">
        <f t="shared" si="1701"/>
        <v>54496</v>
      </c>
      <c r="G3315" s="34">
        <f t="shared" si="1701"/>
        <v>54496</v>
      </c>
      <c r="H3315" s="34">
        <f t="shared" si="1702"/>
        <v>9155</v>
      </c>
      <c r="I3315" s="34">
        <f t="shared" si="1702"/>
        <v>9155</v>
      </c>
      <c r="J3315" s="34">
        <f t="shared" si="1703"/>
        <v>198338</v>
      </c>
      <c r="K3315" s="133">
        <v>1000</v>
      </c>
      <c r="L3315" s="34"/>
      <c r="M3315" s="16">
        <f t="shared" si="1694"/>
        <v>25165.434849245423</v>
      </c>
      <c r="N3315" s="36">
        <v>735</v>
      </c>
      <c r="O3315" s="36">
        <v>18</v>
      </c>
      <c r="P3315" s="56">
        <v>2982</v>
      </c>
      <c r="Q3315" s="2" t="s">
        <v>103</v>
      </c>
      <c r="R3315" s="2" t="s">
        <v>617</v>
      </c>
      <c r="S3315" s="36">
        <v>3662</v>
      </c>
    </row>
    <row r="3316" spans="1:19" x14ac:dyDescent="0.2">
      <c r="A3316" s="8" t="str">
        <f t="shared" si="1692"/>
        <v>9020411</v>
      </c>
      <c r="B3316" s="8">
        <v>902</v>
      </c>
      <c r="C3316" s="8">
        <v>4</v>
      </c>
      <c r="D3316" s="8" t="s">
        <v>62</v>
      </c>
      <c r="E3316" s="8">
        <v>1</v>
      </c>
      <c r="F3316" s="34">
        <f t="shared" si="1701"/>
        <v>13895</v>
      </c>
      <c r="G3316" s="34">
        <f t="shared" si="1701"/>
        <v>13895</v>
      </c>
      <c r="H3316" s="34">
        <f t="shared" si="1702"/>
        <v>9767</v>
      </c>
      <c r="I3316" s="34">
        <f t="shared" si="1702"/>
        <v>9767</v>
      </c>
      <c r="J3316" s="34">
        <f t="shared" si="1703"/>
        <v>13649</v>
      </c>
      <c r="K3316" s="133">
        <v>1000</v>
      </c>
      <c r="L3316" s="34"/>
      <c r="M3316" s="16">
        <f t="shared" si="1694"/>
        <v>3443.1050496062417</v>
      </c>
      <c r="N3316" s="36">
        <v>810</v>
      </c>
      <c r="O3316" s="36">
        <v>1</v>
      </c>
      <c r="P3316" s="56">
        <v>3041.5</v>
      </c>
      <c r="Q3316" s="2" t="s">
        <v>103</v>
      </c>
      <c r="R3316" s="2" t="s">
        <v>618</v>
      </c>
      <c r="S3316" s="36">
        <v>3907</v>
      </c>
    </row>
    <row r="3317" spans="1:19" x14ac:dyDescent="0.2">
      <c r="A3317" s="8" t="str">
        <f t="shared" si="1692"/>
        <v>9020419</v>
      </c>
      <c r="B3317" s="8">
        <v>902</v>
      </c>
      <c r="C3317" s="8">
        <v>4</v>
      </c>
      <c r="D3317" s="8" t="s">
        <v>62</v>
      </c>
      <c r="E3317" s="8">
        <v>9</v>
      </c>
      <c r="F3317" s="34">
        <f t="shared" si="1701"/>
        <v>55583</v>
      </c>
      <c r="G3317" s="34">
        <f t="shared" si="1701"/>
        <v>55583</v>
      </c>
      <c r="H3317" s="34">
        <f t="shared" si="1702"/>
        <v>9767</v>
      </c>
      <c r="I3317" s="34">
        <f t="shared" si="1702"/>
        <v>9767</v>
      </c>
      <c r="J3317" s="34">
        <f t="shared" si="1703"/>
        <v>202296</v>
      </c>
      <c r="K3317" s="133">
        <v>1000</v>
      </c>
      <c r="L3317" s="34"/>
      <c r="M3317" s="16">
        <f t="shared" si="1694"/>
        <v>26511.55615242905</v>
      </c>
      <c r="N3317" s="36">
        <v>735</v>
      </c>
      <c r="O3317" s="36">
        <v>18</v>
      </c>
      <c r="P3317" s="56">
        <v>3041.5</v>
      </c>
      <c r="Q3317" s="2" t="s">
        <v>103</v>
      </c>
      <c r="R3317" s="2" t="s">
        <v>618</v>
      </c>
      <c r="S3317" s="36">
        <v>3907</v>
      </c>
    </row>
    <row r="3318" spans="1:19" x14ac:dyDescent="0.2">
      <c r="A3318" s="8" t="str">
        <f t="shared" ref="A3318:A3381" si="1704">IF(B3318="","",CONCATENATE(B3318,CONCATENATE(REPT(0,2-LEN(C3318)),C3318),IF(OR(D3318="Easy",D3318=""),1,IF(D3318="Normal",2,IF(D3318="Hard",3,IF(D3318="Hell",4,"error")))),E3318))</f>
        <v>9020511</v>
      </c>
      <c r="B3318" s="8">
        <v>902</v>
      </c>
      <c r="C3318" s="8">
        <v>5</v>
      </c>
      <c r="D3318" s="8" t="s">
        <v>62</v>
      </c>
      <c r="E3318" s="8">
        <v>1</v>
      </c>
      <c r="F3318" s="34">
        <f t="shared" si="1701"/>
        <v>14170</v>
      </c>
      <c r="G3318" s="34">
        <f t="shared" si="1701"/>
        <v>14170</v>
      </c>
      <c r="H3318" s="34">
        <f t="shared" si="1702"/>
        <v>10570</v>
      </c>
      <c r="I3318" s="34">
        <f t="shared" si="1702"/>
        <v>10570</v>
      </c>
      <c r="J3318" s="34">
        <f t="shared" si="1703"/>
        <v>13919</v>
      </c>
      <c r="K3318" s="133">
        <v>1000</v>
      </c>
      <c r="L3318" s="34"/>
      <c r="M3318" s="16">
        <f t="shared" si="1694"/>
        <v>3652.720341750789</v>
      </c>
      <c r="N3318" s="36">
        <v>810</v>
      </c>
      <c r="O3318" s="36">
        <v>1</v>
      </c>
      <c r="P3318" s="56">
        <v>3101.7</v>
      </c>
      <c r="Q3318" s="2" t="s">
        <v>103</v>
      </c>
      <c r="R3318" s="2" t="s">
        <v>619</v>
      </c>
      <c r="S3318" s="36">
        <v>4228</v>
      </c>
    </row>
    <row r="3319" spans="1:19" x14ac:dyDescent="0.2">
      <c r="A3319" s="8" t="str">
        <f t="shared" si="1704"/>
        <v>9020519</v>
      </c>
      <c r="B3319" s="8">
        <v>902</v>
      </c>
      <c r="C3319" s="8">
        <v>5</v>
      </c>
      <c r="D3319" s="8" t="s">
        <v>62</v>
      </c>
      <c r="E3319" s="8">
        <v>9</v>
      </c>
      <c r="F3319" s="34">
        <f t="shared" si="1701"/>
        <v>56683</v>
      </c>
      <c r="G3319" s="34">
        <f t="shared" si="1701"/>
        <v>56683</v>
      </c>
      <c r="H3319" s="34">
        <f t="shared" si="1702"/>
        <v>10570</v>
      </c>
      <c r="I3319" s="34">
        <f t="shared" si="1702"/>
        <v>10570</v>
      </c>
      <c r="J3319" s="34">
        <f t="shared" si="1703"/>
        <v>206300</v>
      </c>
      <c r="K3319" s="133">
        <v>1000</v>
      </c>
      <c r="L3319" s="34"/>
      <c r="M3319" s="16">
        <f t="shared" si="1694"/>
        <v>28125.710902645646</v>
      </c>
      <c r="N3319" s="36">
        <v>735</v>
      </c>
      <c r="O3319" s="36">
        <v>18</v>
      </c>
      <c r="P3319" s="56">
        <v>3101.7</v>
      </c>
      <c r="Q3319" s="2" t="s">
        <v>103</v>
      </c>
      <c r="R3319" s="2" t="s">
        <v>619</v>
      </c>
      <c r="S3319" s="36">
        <v>4228</v>
      </c>
    </row>
    <row r="3320" spans="1:19" x14ac:dyDescent="0.2">
      <c r="A3320" s="8" t="str">
        <f t="shared" si="1704"/>
        <v>9020611</v>
      </c>
      <c r="B3320" s="8">
        <v>902</v>
      </c>
      <c r="C3320" s="8">
        <v>6</v>
      </c>
      <c r="D3320" s="8" t="s">
        <v>62</v>
      </c>
      <c r="E3320" s="8">
        <v>1</v>
      </c>
      <c r="F3320" s="34">
        <f t="shared" si="1701"/>
        <v>17589</v>
      </c>
      <c r="G3320" s="34">
        <f t="shared" si="1701"/>
        <v>17589</v>
      </c>
      <c r="H3320" s="34">
        <f t="shared" si="1702"/>
        <v>12660</v>
      </c>
      <c r="I3320" s="34">
        <f t="shared" si="1702"/>
        <v>12660</v>
      </c>
      <c r="J3320" s="34">
        <f t="shared" si="1703"/>
        <v>17277</v>
      </c>
      <c r="K3320" s="133">
        <v>1000</v>
      </c>
      <c r="L3320" s="34"/>
      <c r="M3320" s="16">
        <f t="shared" si="1694"/>
        <v>4962.0550819868986</v>
      </c>
      <c r="N3320" s="36">
        <v>810</v>
      </c>
      <c r="O3320" s="36">
        <v>1</v>
      </c>
      <c r="P3320" s="56">
        <v>3849.9999999999995</v>
      </c>
      <c r="Q3320" s="2" t="s">
        <v>103</v>
      </c>
      <c r="R3320" s="2" t="s">
        <v>620</v>
      </c>
      <c r="S3320" s="36">
        <v>5064</v>
      </c>
    </row>
    <row r="3321" spans="1:19" x14ac:dyDescent="0.2">
      <c r="A3321" s="8" t="str">
        <f t="shared" si="1704"/>
        <v>9020619</v>
      </c>
      <c r="B3321" s="8">
        <v>902</v>
      </c>
      <c r="C3321" s="8">
        <v>6</v>
      </c>
      <c r="D3321" s="8" t="s">
        <v>62</v>
      </c>
      <c r="E3321" s="8">
        <v>9</v>
      </c>
      <c r="F3321" s="34">
        <f t="shared" si="1701"/>
        <v>70358</v>
      </c>
      <c r="G3321" s="34">
        <f t="shared" si="1701"/>
        <v>70358</v>
      </c>
      <c r="H3321" s="34">
        <f t="shared" si="1702"/>
        <v>12660</v>
      </c>
      <c r="I3321" s="34">
        <f t="shared" si="1702"/>
        <v>12660</v>
      </c>
      <c r="J3321" s="34">
        <f t="shared" si="1703"/>
        <v>256071</v>
      </c>
      <c r="K3321" s="133">
        <v>1000</v>
      </c>
      <c r="L3321" s="34"/>
      <c r="M3321" s="16">
        <f t="shared" si="1694"/>
        <v>38207.074165657228</v>
      </c>
      <c r="N3321" s="36">
        <v>735</v>
      </c>
      <c r="O3321" s="36">
        <v>18</v>
      </c>
      <c r="P3321" s="56">
        <v>3849.9999999999995</v>
      </c>
      <c r="Q3321" s="2" t="s">
        <v>103</v>
      </c>
      <c r="R3321" s="2" t="s">
        <v>620</v>
      </c>
      <c r="S3321" s="36">
        <v>5064</v>
      </c>
    </row>
    <row r="3322" spans="1:19" x14ac:dyDescent="0.2">
      <c r="A3322" s="8" t="str">
        <f t="shared" si="1704"/>
        <v>9020711</v>
      </c>
      <c r="B3322" s="8">
        <v>902</v>
      </c>
      <c r="C3322" s="8">
        <v>7</v>
      </c>
      <c r="D3322" s="8" t="s">
        <v>62</v>
      </c>
      <c r="E3322" s="8">
        <v>1</v>
      </c>
      <c r="F3322" s="34">
        <f t="shared" si="1701"/>
        <v>18293</v>
      </c>
      <c r="G3322" s="34">
        <f t="shared" si="1701"/>
        <v>18293</v>
      </c>
      <c r="H3322" s="34">
        <f t="shared" si="1702"/>
        <v>12780</v>
      </c>
      <c r="I3322" s="34">
        <f t="shared" si="1702"/>
        <v>12780</v>
      </c>
      <c r="J3322" s="34">
        <f t="shared" si="1703"/>
        <v>17968</v>
      </c>
      <c r="K3322" s="133">
        <v>1000</v>
      </c>
      <c r="L3322" s="34"/>
      <c r="M3322" s="16">
        <f t="shared" si="1694"/>
        <v>5184.98793963959</v>
      </c>
      <c r="N3322" s="36">
        <v>810</v>
      </c>
      <c r="O3322" s="36">
        <v>1</v>
      </c>
      <c r="P3322" s="56">
        <v>4003.9999999999995</v>
      </c>
      <c r="Q3322" s="2" t="s">
        <v>103</v>
      </c>
      <c r="R3322" s="2" t="s">
        <v>621</v>
      </c>
      <c r="S3322" s="36">
        <v>5112</v>
      </c>
    </row>
    <row r="3323" spans="1:19" x14ac:dyDescent="0.2">
      <c r="A3323" s="8" t="str">
        <f t="shared" si="1704"/>
        <v>9020719</v>
      </c>
      <c r="B3323" s="8">
        <v>902</v>
      </c>
      <c r="C3323" s="8">
        <v>7</v>
      </c>
      <c r="D3323" s="8" t="s">
        <v>62</v>
      </c>
      <c r="E3323" s="8">
        <v>9</v>
      </c>
      <c r="F3323" s="34">
        <f t="shared" si="1701"/>
        <v>73173</v>
      </c>
      <c r="G3323" s="34">
        <f t="shared" si="1701"/>
        <v>73173</v>
      </c>
      <c r="H3323" s="34">
        <f t="shared" si="1702"/>
        <v>12780</v>
      </c>
      <c r="I3323" s="34">
        <f t="shared" si="1702"/>
        <v>12780</v>
      </c>
      <c r="J3323" s="34">
        <f t="shared" si="1703"/>
        <v>266313</v>
      </c>
      <c r="K3323" s="133">
        <v>1000</v>
      </c>
      <c r="L3323" s="34"/>
      <c r="M3323" s="16">
        <f t="shared" ref="M3323:M3386" si="1705">(F3323*J3323*((H3323+I3323)/2)/1000)^(1/2)/10*0.8</f>
        <v>39923.354751561244</v>
      </c>
      <c r="N3323" s="36">
        <v>735</v>
      </c>
      <c r="O3323" s="36">
        <v>18</v>
      </c>
      <c r="P3323" s="56">
        <v>4003.9999999999995</v>
      </c>
      <c r="Q3323" s="2" t="s">
        <v>103</v>
      </c>
      <c r="R3323" s="2" t="s">
        <v>621</v>
      </c>
      <c r="S3323" s="36">
        <v>5112</v>
      </c>
    </row>
    <row r="3324" spans="1:19" x14ac:dyDescent="0.2">
      <c r="A3324" s="8" t="str">
        <f t="shared" si="1704"/>
        <v>9020811</v>
      </c>
      <c r="B3324" s="8">
        <v>902</v>
      </c>
      <c r="C3324" s="8">
        <v>8</v>
      </c>
      <c r="D3324" s="8" t="s">
        <v>62</v>
      </c>
      <c r="E3324" s="8">
        <v>1</v>
      </c>
      <c r="F3324" s="34">
        <f t="shared" si="1701"/>
        <v>19022</v>
      </c>
      <c r="G3324" s="34">
        <f t="shared" si="1701"/>
        <v>19022</v>
      </c>
      <c r="H3324" s="34">
        <f t="shared" si="1702"/>
        <v>14290</v>
      </c>
      <c r="I3324" s="34">
        <f t="shared" si="1702"/>
        <v>14290</v>
      </c>
      <c r="J3324" s="34">
        <f t="shared" si="1703"/>
        <v>18684</v>
      </c>
      <c r="K3324" s="133">
        <v>1000</v>
      </c>
      <c r="L3324" s="34"/>
      <c r="M3324" s="16">
        <f t="shared" si="1705"/>
        <v>5701.2373202567178</v>
      </c>
      <c r="N3324" s="36">
        <v>810</v>
      </c>
      <c r="O3324" s="36">
        <v>1</v>
      </c>
      <c r="P3324" s="56">
        <v>4163.5999999999995</v>
      </c>
      <c r="Q3324" s="2" t="s">
        <v>103</v>
      </c>
      <c r="R3324" s="2" t="s">
        <v>622</v>
      </c>
      <c r="S3324" s="36">
        <v>5716</v>
      </c>
    </row>
    <row r="3325" spans="1:19" x14ac:dyDescent="0.2">
      <c r="A3325" s="8" t="str">
        <f t="shared" si="1704"/>
        <v>9020819</v>
      </c>
      <c r="B3325" s="8">
        <v>902</v>
      </c>
      <c r="C3325" s="8">
        <v>8</v>
      </c>
      <c r="D3325" s="8" t="s">
        <v>62</v>
      </c>
      <c r="E3325" s="8">
        <v>9</v>
      </c>
      <c r="F3325" s="34">
        <f t="shared" si="1701"/>
        <v>76089</v>
      </c>
      <c r="G3325" s="34">
        <f t="shared" si="1701"/>
        <v>76089</v>
      </c>
      <c r="H3325" s="34">
        <f t="shared" si="1702"/>
        <v>14290</v>
      </c>
      <c r="I3325" s="34">
        <f t="shared" si="1702"/>
        <v>14290</v>
      </c>
      <c r="J3325" s="34">
        <f t="shared" si="1703"/>
        <v>276929</v>
      </c>
      <c r="K3325" s="133">
        <v>1000</v>
      </c>
      <c r="L3325" s="34"/>
      <c r="M3325" s="16">
        <f t="shared" si="1705"/>
        <v>43898.659458821021</v>
      </c>
      <c r="N3325" s="36">
        <v>735</v>
      </c>
      <c r="O3325" s="36">
        <v>18</v>
      </c>
      <c r="P3325" s="56">
        <v>4163.5999999999995</v>
      </c>
      <c r="Q3325" s="2" t="s">
        <v>103</v>
      </c>
      <c r="R3325" s="2" t="s">
        <v>622</v>
      </c>
      <c r="S3325" s="36">
        <v>5716</v>
      </c>
    </row>
    <row r="3326" spans="1:19" x14ac:dyDescent="0.2">
      <c r="A3326" s="8" t="str">
        <f t="shared" si="1704"/>
        <v>9020911</v>
      </c>
      <c r="B3326" s="8">
        <v>902</v>
      </c>
      <c r="C3326" s="8">
        <v>9</v>
      </c>
      <c r="D3326" s="8" t="s">
        <v>62</v>
      </c>
      <c r="E3326" s="8">
        <v>1</v>
      </c>
      <c r="F3326" s="34">
        <f t="shared" si="1701"/>
        <v>19780</v>
      </c>
      <c r="G3326" s="34">
        <f t="shared" si="1701"/>
        <v>19780</v>
      </c>
      <c r="H3326" s="34">
        <f t="shared" si="1702"/>
        <v>14530</v>
      </c>
      <c r="I3326" s="34">
        <f t="shared" si="1702"/>
        <v>14530</v>
      </c>
      <c r="J3326" s="34">
        <f t="shared" si="1703"/>
        <v>19429</v>
      </c>
      <c r="K3326" s="133">
        <v>1000</v>
      </c>
      <c r="L3326" s="34"/>
      <c r="M3326" s="16">
        <f t="shared" si="1705"/>
        <v>5978.0722825205121</v>
      </c>
      <c r="N3326" s="36">
        <v>810</v>
      </c>
      <c r="O3326" s="36">
        <v>1</v>
      </c>
      <c r="P3326" s="56">
        <v>4329.5</v>
      </c>
      <c r="Q3326" s="2" t="s">
        <v>103</v>
      </c>
      <c r="R3326" s="2" t="s">
        <v>623</v>
      </c>
      <c r="S3326" s="36">
        <v>5812</v>
      </c>
    </row>
    <row r="3327" spans="1:19" x14ac:dyDescent="0.2">
      <c r="A3327" s="8" t="str">
        <f t="shared" si="1704"/>
        <v>9020919</v>
      </c>
      <c r="B3327" s="8">
        <v>902</v>
      </c>
      <c r="C3327" s="8">
        <v>9</v>
      </c>
      <c r="D3327" s="8" t="s">
        <v>62</v>
      </c>
      <c r="E3327" s="8">
        <v>9</v>
      </c>
      <c r="F3327" s="34">
        <f t="shared" si="1701"/>
        <v>79121</v>
      </c>
      <c r="G3327" s="34">
        <f t="shared" si="1701"/>
        <v>79121</v>
      </c>
      <c r="H3327" s="34">
        <f t="shared" si="1702"/>
        <v>14530</v>
      </c>
      <c r="I3327" s="34">
        <f t="shared" si="1702"/>
        <v>14530</v>
      </c>
      <c r="J3327" s="34">
        <f t="shared" si="1703"/>
        <v>287963</v>
      </c>
      <c r="K3327" s="133">
        <v>1000</v>
      </c>
      <c r="L3327" s="34"/>
      <c r="M3327" s="16">
        <f t="shared" si="1705"/>
        <v>46029.581111224725</v>
      </c>
      <c r="N3327" s="36">
        <v>735</v>
      </c>
      <c r="O3327" s="36">
        <v>18</v>
      </c>
      <c r="P3327" s="56">
        <v>4329.5</v>
      </c>
      <c r="Q3327" s="2" t="s">
        <v>103</v>
      </c>
      <c r="R3327" s="2" t="s">
        <v>623</v>
      </c>
      <c r="S3327" s="36">
        <v>5812</v>
      </c>
    </row>
    <row r="3328" spans="1:19" x14ac:dyDescent="0.2">
      <c r="A3328" s="8" t="str">
        <f t="shared" si="1704"/>
        <v>9021011</v>
      </c>
      <c r="B3328" s="8">
        <v>902</v>
      </c>
      <c r="C3328" s="8">
        <v>10</v>
      </c>
      <c r="D3328" s="8" t="s">
        <v>62</v>
      </c>
      <c r="E3328" s="8">
        <v>1</v>
      </c>
      <c r="F3328" s="34">
        <f t="shared" si="1701"/>
        <v>20570</v>
      </c>
      <c r="G3328" s="34">
        <f t="shared" si="1701"/>
        <v>20570</v>
      </c>
      <c r="H3328" s="34">
        <f t="shared" si="1702"/>
        <v>15155</v>
      </c>
      <c r="I3328" s="34">
        <f t="shared" si="1702"/>
        <v>15155</v>
      </c>
      <c r="J3328" s="34">
        <f t="shared" si="1703"/>
        <v>20205</v>
      </c>
      <c r="K3328" s="133">
        <v>1000</v>
      </c>
      <c r="L3328" s="34"/>
      <c r="M3328" s="16">
        <f t="shared" si="1705"/>
        <v>6349.1345485191923</v>
      </c>
      <c r="N3328" s="36">
        <v>810</v>
      </c>
      <c r="O3328" s="36">
        <v>1</v>
      </c>
      <c r="P3328" s="56">
        <v>4502.3999999999996</v>
      </c>
      <c r="Q3328" s="2" t="s">
        <v>103</v>
      </c>
      <c r="R3328" s="2" t="s">
        <v>624</v>
      </c>
      <c r="S3328" s="36">
        <v>6062</v>
      </c>
    </row>
    <row r="3329" spans="1:19" x14ac:dyDescent="0.2">
      <c r="A3329" s="8" t="str">
        <f t="shared" si="1704"/>
        <v>9021019</v>
      </c>
      <c r="B3329" s="8">
        <v>902</v>
      </c>
      <c r="C3329" s="8">
        <v>10</v>
      </c>
      <c r="D3329" s="8" t="s">
        <v>62</v>
      </c>
      <c r="E3329" s="8">
        <v>9</v>
      </c>
      <c r="F3329" s="34">
        <f t="shared" si="1701"/>
        <v>82281</v>
      </c>
      <c r="G3329" s="34">
        <f t="shared" si="1701"/>
        <v>82281</v>
      </c>
      <c r="H3329" s="34">
        <f t="shared" si="1702"/>
        <v>15155</v>
      </c>
      <c r="I3329" s="34">
        <f t="shared" si="1702"/>
        <v>15155</v>
      </c>
      <c r="J3329" s="34">
        <f t="shared" si="1703"/>
        <v>299463</v>
      </c>
      <c r="K3329" s="133">
        <v>1000</v>
      </c>
      <c r="L3329" s="34"/>
      <c r="M3329" s="16">
        <f t="shared" si="1705"/>
        <v>48886.542566131393</v>
      </c>
      <c r="N3329" s="36">
        <v>735</v>
      </c>
      <c r="O3329" s="36">
        <v>18</v>
      </c>
      <c r="P3329" s="56">
        <v>4502.3999999999996</v>
      </c>
      <c r="Q3329" s="2" t="s">
        <v>103</v>
      </c>
      <c r="R3329" s="2" t="s">
        <v>624</v>
      </c>
      <c r="S3329" s="36">
        <v>6062</v>
      </c>
    </row>
    <row r="3330" spans="1:19" x14ac:dyDescent="0.2">
      <c r="A3330" s="8" t="str">
        <f t="shared" si="1704"/>
        <v>9021111</v>
      </c>
      <c r="B3330" s="8">
        <v>902</v>
      </c>
      <c r="C3330" s="8">
        <v>11</v>
      </c>
      <c r="D3330" s="8" t="s">
        <v>62</v>
      </c>
      <c r="E3330" s="8">
        <v>1</v>
      </c>
      <c r="F3330" s="34">
        <f t="shared" ref="F3330:G3349" si="1706">ROUNDDOWN($P3330/4*MIN($O3330,4)*10*$N3330/$N3330*$Q3330/400,0)</f>
        <v>25585</v>
      </c>
      <c r="G3330" s="34">
        <f t="shared" si="1706"/>
        <v>25585</v>
      </c>
      <c r="H3330" s="34">
        <f t="shared" si="1702"/>
        <v>15802</v>
      </c>
      <c r="I3330" s="34">
        <f t="shared" si="1702"/>
        <v>15802</v>
      </c>
      <c r="J3330" s="34">
        <f t="shared" si="1703"/>
        <v>25131</v>
      </c>
      <c r="K3330" s="133">
        <v>1000</v>
      </c>
      <c r="L3330" s="34"/>
      <c r="M3330" s="16">
        <f t="shared" si="1705"/>
        <v>8063.871739563323</v>
      </c>
      <c r="N3330" s="36">
        <v>810</v>
      </c>
      <c r="O3330" s="36">
        <v>1</v>
      </c>
      <c r="P3330" s="56">
        <v>5600</v>
      </c>
      <c r="Q3330" s="2" t="s">
        <v>103</v>
      </c>
      <c r="R3330" s="2" t="s">
        <v>167</v>
      </c>
      <c r="S3330" s="36">
        <v>6321</v>
      </c>
    </row>
    <row r="3331" spans="1:19" x14ac:dyDescent="0.2">
      <c r="A3331" s="8" t="str">
        <f t="shared" si="1704"/>
        <v>9021119</v>
      </c>
      <c r="B3331" s="8">
        <v>902</v>
      </c>
      <c r="C3331" s="8">
        <v>11</v>
      </c>
      <c r="D3331" s="8" t="s">
        <v>62</v>
      </c>
      <c r="E3331" s="8">
        <v>9</v>
      </c>
      <c r="F3331" s="34">
        <f t="shared" si="1706"/>
        <v>102340</v>
      </c>
      <c r="G3331" s="34">
        <f t="shared" si="1706"/>
        <v>102340</v>
      </c>
      <c r="H3331" s="34">
        <f t="shared" si="1702"/>
        <v>15802</v>
      </c>
      <c r="I3331" s="34">
        <f t="shared" si="1702"/>
        <v>15802</v>
      </c>
      <c r="J3331" s="34">
        <f t="shared" si="1703"/>
        <v>372467</v>
      </c>
      <c r="K3331" s="133">
        <v>1000</v>
      </c>
      <c r="L3331" s="34"/>
      <c r="M3331" s="16">
        <f t="shared" si="1705"/>
        <v>62088.707970171075</v>
      </c>
      <c r="N3331" s="36">
        <v>735</v>
      </c>
      <c r="O3331" s="36">
        <v>18</v>
      </c>
      <c r="P3331" s="56">
        <v>5600</v>
      </c>
      <c r="Q3331" s="2" t="s">
        <v>103</v>
      </c>
      <c r="R3331" s="2" t="s">
        <v>167</v>
      </c>
      <c r="S3331" s="36">
        <v>6321</v>
      </c>
    </row>
    <row r="3332" spans="1:19" x14ac:dyDescent="0.2">
      <c r="A3332" s="8" t="str">
        <f t="shared" si="1704"/>
        <v>9021211</v>
      </c>
      <c r="B3332" s="8">
        <v>902</v>
      </c>
      <c r="C3332" s="8">
        <v>12</v>
      </c>
      <c r="D3332" s="8" t="s">
        <v>62</v>
      </c>
      <c r="E3332" s="8">
        <v>1</v>
      </c>
      <c r="F3332" s="34">
        <f t="shared" si="1706"/>
        <v>26352</v>
      </c>
      <c r="G3332" s="34">
        <f t="shared" si="1706"/>
        <v>26352</v>
      </c>
      <c r="H3332" s="34">
        <f t="shared" si="1702"/>
        <v>16247</v>
      </c>
      <c r="I3332" s="34">
        <f t="shared" si="1702"/>
        <v>16247</v>
      </c>
      <c r="J3332" s="34">
        <f t="shared" si="1703"/>
        <v>25884</v>
      </c>
      <c r="K3332" s="133">
        <v>1000</v>
      </c>
      <c r="L3332" s="34"/>
      <c r="M3332" s="16">
        <f t="shared" si="1705"/>
        <v>8421.6863658518178</v>
      </c>
      <c r="N3332" s="36">
        <v>810</v>
      </c>
      <c r="O3332" s="36">
        <v>1</v>
      </c>
      <c r="P3332" s="56">
        <v>5768</v>
      </c>
      <c r="Q3332" s="2" t="s">
        <v>103</v>
      </c>
      <c r="R3332" s="2" t="s">
        <v>625</v>
      </c>
      <c r="S3332" s="36">
        <v>6499</v>
      </c>
    </row>
    <row r="3333" spans="1:19" x14ac:dyDescent="0.2">
      <c r="A3333" s="8" t="str">
        <f t="shared" si="1704"/>
        <v>9021219</v>
      </c>
      <c r="B3333" s="8">
        <v>902</v>
      </c>
      <c r="C3333" s="8">
        <v>12</v>
      </c>
      <c r="D3333" s="8" t="s">
        <v>62</v>
      </c>
      <c r="E3333" s="8">
        <v>9</v>
      </c>
      <c r="F3333" s="34">
        <f t="shared" si="1706"/>
        <v>105410</v>
      </c>
      <c r="G3333" s="34">
        <f t="shared" si="1706"/>
        <v>105410</v>
      </c>
      <c r="H3333" s="34">
        <f t="shared" si="1702"/>
        <v>16247</v>
      </c>
      <c r="I3333" s="34">
        <f t="shared" si="1702"/>
        <v>16247</v>
      </c>
      <c r="J3333" s="34">
        <f t="shared" si="1703"/>
        <v>383641</v>
      </c>
      <c r="K3333" s="133">
        <v>1000</v>
      </c>
      <c r="L3333" s="34"/>
      <c r="M3333" s="16">
        <f t="shared" si="1705"/>
        <v>64845.522065614117</v>
      </c>
      <c r="N3333" s="36">
        <v>735</v>
      </c>
      <c r="O3333" s="36">
        <v>18</v>
      </c>
      <c r="P3333" s="56">
        <v>5768</v>
      </c>
      <c r="Q3333" s="2" t="s">
        <v>103</v>
      </c>
      <c r="R3333" s="2" t="s">
        <v>625</v>
      </c>
      <c r="S3333" s="36">
        <v>6499</v>
      </c>
    </row>
    <row r="3334" spans="1:19" x14ac:dyDescent="0.2">
      <c r="A3334" s="8" t="str">
        <f t="shared" si="1704"/>
        <v>9021311</v>
      </c>
      <c r="B3334" s="8">
        <v>902</v>
      </c>
      <c r="C3334" s="8">
        <v>13</v>
      </c>
      <c r="D3334" s="8" t="s">
        <v>62</v>
      </c>
      <c r="E3334" s="8">
        <v>1</v>
      </c>
      <c r="F3334" s="34">
        <f t="shared" si="1706"/>
        <v>27142</v>
      </c>
      <c r="G3334" s="34">
        <f t="shared" si="1706"/>
        <v>27142</v>
      </c>
      <c r="H3334" s="34">
        <f t="shared" si="1702"/>
        <v>17100</v>
      </c>
      <c r="I3334" s="34">
        <f t="shared" si="1702"/>
        <v>17100</v>
      </c>
      <c r="J3334" s="34">
        <f t="shared" si="1703"/>
        <v>26660</v>
      </c>
      <c r="K3334" s="133">
        <v>1000</v>
      </c>
      <c r="L3334" s="34"/>
      <c r="M3334" s="16">
        <f t="shared" si="1705"/>
        <v>8898.9555565133614</v>
      </c>
      <c r="N3334" s="36">
        <v>810</v>
      </c>
      <c r="O3334" s="36">
        <v>1</v>
      </c>
      <c r="P3334" s="56">
        <v>5940.9</v>
      </c>
      <c r="Q3334" s="2" t="s">
        <v>103</v>
      </c>
      <c r="R3334" s="2" t="s">
        <v>626</v>
      </c>
      <c r="S3334" s="36">
        <v>6840</v>
      </c>
    </row>
    <row r="3335" spans="1:19" x14ac:dyDescent="0.2">
      <c r="A3335" s="8" t="str">
        <f t="shared" si="1704"/>
        <v>9021319</v>
      </c>
      <c r="B3335" s="8">
        <v>902</v>
      </c>
      <c r="C3335" s="8">
        <v>13</v>
      </c>
      <c r="D3335" s="8" t="s">
        <v>62</v>
      </c>
      <c r="E3335" s="8">
        <v>9</v>
      </c>
      <c r="F3335" s="34">
        <f t="shared" si="1706"/>
        <v>108569</v>
      </c>
      <c r="G3335" s="34">
        <f t="shared" si="1706"/>
        <v>108569</v>
      </c>
      <c r="H3335" s="34">
        <f t="shared" si="1702"/>
        <v>17100</v>
      </c>
      <c r="I3335" s="34">
        <f t="shared" si="1702"/>
        <v>17100</v>
      </c>
      <c r="J3335" s="34">
        <f t="shared" si="1703"/>
        <v>395140</v>
      </c>
      <c r="K3335" s="133">
        <v>1000</v>
      </c>
      <c r="L3335" s="34"/>
      <c r="M3335" s="16">
        <f t="shared" si="1705"/>
        <v>68519.858712568865</v>
      </c>
      <c r="N3335" s="36">
        <v>735</v>
      </c>
      <c r="O3335" s="36">
        <v>18</v>
      </c>
      <c r="P3335" s="56">
        <v>5940.9</v>
      </c>
      <c r="Q3335" s="2" t="s">
        <v>103</v>
      </c>
      <c r="R3335" s="2" t="s">
        <v>626</v>
      </c>
      <c r="S3335" s="36">
        <v>6840</v>
      </c>
    </row>
    <row r="3336" spans="1:19" x14ac:dyDescent="0.2">
      <c r="A3336" s="8" t="str">
        <f t="shared" si="1704"/>
        <v>9021411</v>
      </c>
      <c r="B3336" s="8">
        <v>902</v>
      </c>
      <c r="C3336" s="8">
        <v>14</v>
      </c>
      <c r="D3336" s="8" t="s">
        <v>62</v>
      </c>
      <c r="E3336" s="8">
        <v>1</v>
      </c>
      <c r="F3336" s="34">
        <f t="shared" si="1706"/>
        <v>27954</v>
      </c>
      <c r="G3336" s="34">
        <f t="shared" si="1706"/>
        <v>27954</v>
      </c>
      <c r="H3336" s="34">
        <f t="shared" si="1702"/>
        <v>17087</v>
      </c>
      <c r="I3336" s="34">
        <f t="shared" si="1702"/>
        <v>17087</v>
      </c>
      <c r="J3336" s="34">
        <f t="shared" si="1703"/>
        <v>27458</v>
      </c>
      <c r="K3336" s="133">
        <v>1000</v>
      </c>
      <c r="L3336" s="34"/>
      <c r="M3336" s="16">
        <f t="shared" si="1705"/>
        <v>9161.7687882055616</v>
      </c>
      <c r="N3336" s="36">
        <v>810</v>
      </c>
      <c r="O3336" s="36">
        <v>1</v>
      </c>
      <c r="P3336" s="56">
        <v>6118.7</v>
      </c>
      <c r="Q3336" s="2" t="s">
        <v>103</v>
      </c>
      <c r="R3336" s="2" t="s">
        <v>627</v>
      </c>
      <c r="S3336" s="36">
        <v>6835</v>
      </c>
    </row>
    <row r="3337" spans="1:19" x14ac:dyDescent="0.2">
      <c r="A3337" s="8" t="str">
        <f t="shared" si="1704"/>
        <v>9021419</v>
      </c>
      <c r="B3337" s="8">
        <v>902</v>
      </c>
      <c r="C3337" s="8">
        <v>14</v>
      </c>
      <c r="D3337" s="8" t="s">
        <v>62</v>
      </c>
      <c r="E3337" s="8">
        <v>9</v>
      </c>
      <c r="F3337" s="34">
        <f t="shared" si="1706"/>
        <v>111819</v>
      </c>
      <c r="G3337" s="34">
        <f t="shared" si="1706"/>
        <v>111819</v>
      </c>
      <c r="H3337" s="34">
        <f t="shared" si="1702"/>
        <v>17087</v>
      </c>
      <c r="I3337" s="34">
        <f t="shared" si="1702"/>
        <v>17087</v>
      </c>
      <c r="J3337" s="34">
        <f t="shared" si="1703"/>
        <v>406966</v>
      </c>
      <c r="K3337" s="133">
        <v>1000</v>
      </c>
      <c r="L3337" s="34"/>
      <c r="M3337" s="16">
        <f t="shared" si="1705"/>
        <v>70543.948189066839</v>
      </c>
      <c r="N3337" s="36">
        <v>735</v>
      </c>
      <c r="O3337" s="36">
        <v>18</v>
      </c>
      <c r="P3337" s="56">
        <v>6118.7</v>
      </c>
      <c r="Q3337" s="2" t="s">
        <v>103</v>
      </c>
      <c r="R3337" s="2" t="s">
        <v>627</v>
      </c>
      <c r="S3337" s="36">
        <v>6835</v>
      </c>
    </row>
    <row r="3338" spans="1:19" x14ac:dyDescent="0.2">
      <c r="A3338" s="8" t="str">
        <f t="shared" si="1704"/>
        <v>9021511</v>
      </c>
      <c r="B3338" s="8">
        <v>902</v>
      </c>
      <c r="C3338" s="8">
        <v>15</v>
      </c>
      <c r="D3338" s="8" t="s">
        <v>62</v>
      </c>
      <c r="E3338" s="8">
        <v>1</v>
      </c>
      <c r="F3338" s="34">
        <f t="shared" si="1706"/>
        <v>28792</v>
      </c>
      <c r="G3338" s="34">
        <f t="shared" si="1706"/>
        <v>28792</v>
      </c>
      <c r="H3338" s="34">
        <f t="shared" si="1702"/>
        <v>18490</v>
      </c>
      <c r="I3338" s="34">
        <f t="shared" si="1702"/>
        <v>18490</v>
      </c>
      <c r="J3338" s="34">
        <f t="shared" si="1703"/>
        <v>28281</v>
      </c>
      <c r="K3338" s="133">
        <v>1000</v>
      </c>
      <c r="L3338" s="34"/>
      <c r="M3338" s="16">
        <f t="shared" si="1705"/>
        <v>9816.1625239943951</v>
      </c>
      <c r="N3338" s="36">
        <v>810</v>
      </c>
      <c r="O3338" s="36">
        <v>1</v>
      </c>
      <c r="P3338" s="56">
        <v>6302.0999999999995</v>
      </c>
      <c r="Q3338" s="2" t="s">
        <v>103</v>
      </c>
      <c r="R3338" s="2" t="s">
        <v>628</v>
      </c>
      <c r="S3338" s="36">
        <v>7396</v>
      </c>
    </row>
    <row r="3339" spans="1:19" x14ac:dyDescent="0.2">
      <c r="A3339" s="8" t="str">
        <f t="shared" si="1704"/>
        <v>9021519</v>
      </c>
      <c r="B3339" s="8">
        <v>902</v>
      </c>
      <c r="C3339" s="8">
        <v>15</v>
      </c>
      <c r="D3339" s="8" t="s">
        <v>62</v>
      </c>
      <c r="E3339" s="8">
        <v>9</v>
      </c>
      <c r="F3339" s="34">
        <f t="shared" si="1706"/>
        <v>115170</v>
      </c>
      <c r="G3339" s="34">
        <f t="shared" si="1706"/>
        <v>115170</v>
      </c>
      <c r="H3339" s="34">
        <f t="shared" si="1702"/>
        <v>18490</v>
      </c>
      <c r="I3339" s="34">
        <f t="shared" si="1702"/>
        <v>18490</v>
      </c>
      <c r="J3339" s="34">
        <f t="shared" si="1703"/>
        <v>419165</v>
      </c>
      <c r="K3339" s="133">
        <v>1000</v>
      </c>
      <c r="L3339" s="34"/>
      <c r="M3339" s="16">
        <f t="shared" si="1705"/>
        <v>75582.391985202485</v>
      </c>
      <c r="N3339" s="36">
        <v>735</v>
      </c>
      <c r="O3339" s="36">
        <v>18</v>
      </c>
      <c r="P3339" s="56">
        <v>6302.0999999999995</v>
      </c>
      <c r="Q3339" s="2" t="s">
        <v>103</v>
      </c>
      <c r="R3339" s="2" t="s">
        <v>628</v>
      </c>
      <c r="S3339" s="36">
        <v>7396</v>
      </c>
    </row>
    <row r="3340" spans="1:19" x14ac:dyDescent="0.2">
      <c r="A3340" s="8" t="str">
        <f t="shared" si="1704"/>
        <v>9021611</v>
      </c>
      <c r="B3340" s="8">
        <v>902</v>
      </c>
      <c r="C3340" s="8">
        <v>16</v>
      </c>
      <c r="D3340" s="8" t="s">
        <v>62</v>
      </c>
      <c r="E3340" s="8">
        <v>1</v>
      </c>
      <c r="F3340" s="34">
        <f t="shared" si="1706"/>
        <v>35499</v>
      </c>
      <c r="G3340" s="34">
        <f t="shared" si="1706"/>
        <v>35499</v>
      </c>
      <c r="H3340" s="34">
        <f t="shared" si="1702"/>
        <v>21550</v>
      </c>
      <c r="I3340" s="34">
        <f t="shared" si="1702"/>
        <v>21550</v>
      </c>
      <c r="J3340" s="34">
        <f t="shared" si="1703"/>
        <v>34869</v>
      </c>
      <c r="K3340" s="133">
        <v>1000</v>
      </c>
      <c r="L3340" s="34"/>
      <c r="M3340" s="16">
        <f t="shared" si="1705"/>
        <v>13065.963183306465</v>
      </c>
      <c r="N3340" s="36">
        <v>810</v>
      </c>
      <c r="O3340" s="36">
        <v>1</v>
      </c>
      <c r="P3340" s="244">
        <v>7769.9999999999991</v>
      </c>
      <c r="Q3340" s="2" t="s">
        <v>103</v>
      </c>
      <c r="R3340" s="2" t="s">
        <v>629</v>
      </c>
      <c r="S3340" s="36">
        <v>8620</v>
      </c>
    </row>
    <row r="3341" spans="1:19" x14ac:dyDescent="0.2">
      <c r="A3341" s="8" t="str">
        <f t="shared" si="1704"/>
        <v>9021619</v>
      </c>
      <c r="B3341" s="8">
        <v>902</v>
      </c>
      <c r="C3341" s="8">
        <v>16</v>
      </c>
      <c r="D3341" s="8" t="s">
        <v>62</v>
      </c>
      <c r="E3341" s="8">
        <v>9</v>
      </c>
      <c r="F3341" s="34">
        <f t="shared" si="1706"/>
        <v>141996</v>
      </c>
      <c r="G3341" s="34">
        <f t="shared" si="1706"/>
        <v>141996</v>
      </c>
      <c r="H3341" s="34">
        <f t="shared" si="1702"/>
        <v>21550</v>
      </c>
      <c r="I3341" s="34">
        <f t="shared" si="1702"/>
        <v>21550</v>
      </c>
      <c r="J3341" s="34">
        <f t="shared" si="1703"/>
        <v>516798</v>
      </c>
      <c r="K3341" s="133">
        <v>1000</v>
      </c>
      <c r="L3341" s="34"/>
      <c r="M3341" s="16">
        <f t="shared" si="1705"/>
        <v>100603.26871230059</v>
      </c>
      <c r="N3341" s="36">
        <v>735</v>
      </c>
      <c r="O3341" s="36">
        <v>18</v>
      </c>
      <c r="P3341" s="56">
        <v>7769.9999999999991</v>
      </c>
      <c r="Q3341" s="2" t="s">
        <v>103</v>
      </c>
      <c r="R3341" s="2" t="s">
        <v>629</v>
      </c>
      <c r="S3341" s="36">
        <v>8620</v>
      </c>
    </row>
    <row r="3342" spans="1:19" x14ac:dyDescent="0.2">
      <c r="A3342" s="8" t="str">
        <f t="shared" si="1704"/>
        <v>9021711</v>
      </c>
      <c r="B3342" s="8">
        <v>902</v>
      </c>
      <c r="C3342" s="8">
        <v>17</v>
      </c>
      <c r="D3342" s="8" t="s">
        <v>62</v>
      </c>
      <c r="E3342" s="8">
        <v>1</v>
      </c>
      <c r="F3342" s="34">
        <f t="shared" si="1706"/>
        <v>36919</v>
      </c>
      <c r="G3342" s="34">
        <f t="shared" si="1706"/>
        <v>36919</v>
      </c>
      <c r="H3342" s="34">
        <f t="shared" si="1702"/>
        <v>22020</v>
      </c>
      <c r="I3342" s="34">
        <f t="shared" si="1702"/>
        <v>22020</v>
      </c>
      <c r="J3342" s="34">
        <f t="shared" si="1703"/>
        <v>36264</v>
      </c>
      <c r="K3342" s="133">
        <v>1000</v>
      </c>
      <c r="L3342" s="34"/>
      <c r="M3342" s="16">
        <f t="shared" si="1705"/>
        <v>13736.037312545712</v>
      </c>
      <c r="N3342" s="36">
        <v>810</v>
      </c>
      <c r="O3342" s="36">
        <v>1</v>
      </c>
      <c r="P3342" s="244">
        <v>8080.7999999999993</v>
      </c>
      <c r="Q3342" s="2" t="s">
        <v>103</v>
      </c>
      <c r="R3342" s="2" t="s">
        <v>630</v>
      </c>
      <c r="S3342" s="36">
        <v>8808</v>
      </c>
    </row>
    <row r="3343" spans="1:19" x14ac:dyDescent="0.2">
      <c r="A3343" s="8" t="str">
        <f t="shared" si="1704"/>
        <v>9021719</v>
      </c>
      <c r="B3343" s="8">
        <v>902</v>
      </c>
      <c r="C3343" s="8">
        <v>17</v>
      </c>
      <c r="D3343" s="8" t="s">
        <v>62</v>
      </c>
      <c r="E3343" s="8">
        <v>9</v>
      </c>
      <c r="F3343" s="34">
        <f t="shared" si="1706"/>
        <v>147676</v>
      </c>
      <c r="G3343" s="34">
        <f t="shared" si="1706"/>
        <v>147676</v>
      </c>
      <c r="H3343" s="34">
        <f t="shared" si="1702"/>
        <v>22020</v>
      </c>
      <c r="I3343" s="34">
        <f t="shared" si="1702"/>
        <v>22020</v>
      </c>
      <c r="J3343" s="34">
        <f t="shared" si="1703"/>
        <v>537469</v>
      </c>
      <c r="K3343" s="133">
        <v>1000</v>
      </c>
      <c r="L3343" s="34"/>
      <c r="M3343" s="16">
        <f t="shared" si="1705"/>
        <v>105762.16065595877</v>
      </c>
      <c r="N3343" s="36">
        <v>735</v>
      </c>
      <c r="O3343" s="36">
        <v>18</v>
      </c>
      <c r="P3343" s="56">
        <v>8080.7999999999993</v>
      </c>
      <c r="Q3343" s="2" t="s">
        <v>103</v>
      </c>
      <c r="R3343" s="2" t="s">
        <v>630</v>
      </c>
      <c r="S3343" s="36">
        <v>8808</v>
      </c>
    </row>
    <row r="3344" spans="1:19" x14ac:dyDescent="0.2">
      <c r="A3344" s="8" t="str">
        <f t="shared" si="1704"/>
        <v>9021811</v>
      </c>
      <c r="B3344" s="8">
        <v>902</v>
      </c>
      <c r="C3344" s="8">
        <v>18</v>
      </c>
      <c r="D3344" s="8" t="s">
        <v>62</v>
      </c>
      <c r="E3344" s="8">
        <v>1</v>
      </c>
      <c r="F3344" s="34">
        <f t="shared" si="1706"/>
        <v>38393</v>
      </c>
      <c r="G3344" s="34">
        <f t="shared" si="1706"/>
        <v>38393</v>
      </c>
      <c r="H3344" s="34">
        <f t="shared" si="1702"/>
        <v>23087</v>
      </c>
      <c r="I3344" s="34">
        <f t="shared" si="1702"/>
        <v>23087</v>
      </c>
      <c r="J3344" s="34">
        <f t="shared" si="1703"/>
        <v>37712</v>
      </c>
      <c r="K3344" s="133">
        <v>1000</v>
      </c>
      <c r="L3344" s="34"/>
      <c r="M3344" s="16">
        <f t="shared" si="1705"/>
        <v>14626.470699603129</v>
      </c>
      <c r="N3344" s="36">
        <v>810</v>
      </c>
      <c r="O3344" s="36">
        <v>1</v>
      </c>
      <c r="P3344" s="244">
        <v>8403.5</v>
      </c>
      <c r="Q3344" s="2" t="s">
        <v>103</v>
      </c>
      <c r="R3344" s="2" t="s">
        <v>631</v>
      </c>
      <c r="S3344" s="36">
        <v>9235</v>
      </c>
    </row>
    <row r="3345" spans="1:19" x14ac:dyDescent="0.2">
      <c r="A3345" s="8" t="str">
        <f t="shared" si="1704"/>
        <v>9021819</v>
      </c>
      <c r="B3345" s="8">
        <v>902</v>
      </c>
      <c r="C3345" s="8">
        <v>18</v>
      </c>
      <c r="D3345" s="8" t="s">
        <v>62</v>
      </c>
      <c r="E3345" s="8">
        <v>9</v>
      </c>
      <c r="F3345" s="34">
        <f t="shared" si="1706"/>
        <v>153573</v>
      </c>
      <c r="G3345" s="34">
        <f t="shared" si="1706"/>
        <v>153573</v>
      </c>
      <c r="H3345" s="34">
        <f t="shared" si="1702"/>
        <v>23087</v>
      </c>
      <c r="I3345" s="34">
        <f t="shared" si="1702"/>
        <v>23087</v>
      </c>
      <c r="J3345" s="34">
        <f t="shared" si="1703"/>
        <v>558933</v>
      </c>
      <c r="K3345" s="133">
        <v>1000</v>
      </c>
      <c r="L3345" s="34"/>
      <c r="M3345" s="16">
        <f t="shared" si="1705"/>
        <v>112618.8396470568</v>
      </c>
      <c r="N3345" s="36">
        <v>735</v>
      </c>
      <c r="O3345" s="36">
        <v>18</v>
      </c>
      <c r="P3345" s="56">
        <v>8403.5</v>
      </c>
      <c r="Q3345" s="2" t="s">
        <v>103</v>
      </c>
      <c r="R3345" s="2" t="s">
        <v>631</v>
      </c>
      <c r="S3345" s="36">
        <v>9235</v>
      </c>
    </row>
    <row r="3346" spans="1:19" x14ac:dyDescent="0.2">
      <c r="A3346" s="8" t="str">
        <f t="shared" si="1704"/>
        <v>9021911</v>
      </c>
      <c r="B3346" s="8">
        <v>902</v>
      </c>
      <c r="C3346" s="8">
        <v>19</v>
      </c>
      <c r="D3346" s="8" t="s">
        <v>62</v>
      </c>
      <c r="E3346" s="8">
        <v>1</v>
      </c>
      <c r="F3346" s="34">
        <f t="shared" si="1706"/>
        <v>39928</v>
      </c>
      <c r="G3346" s="34">
        <f t="shared" si="1706"/>
        <v>39928</v>
      </c>
      <c r="H3346" s="34">
        <f t="shared" si="1702"/>
        <v>23447</v>
      </c>
      <c r="I3346" s="34">
        <f t="shared" si="1702"/>
        <v>23447</v>
      </c>
      <c r="J3346" s="34">
        <f t="shared" si="1703"/>
        <v>39220</v>
      </c>
      <c r="K3346" s="133">
        <v>1000</v>
      </c>
      <c r="L3346" s="34"/>
      <c r="M3346" s="16">
        <f t="shared" si="1705"/>
        <v>15329.436889544508</v>
      </c>
      <c r="N3346" s="36">
        <v>810</v>
      </c>
      <c r="O3346" s="36">
        <v>1</v>
      </c>
      <c r="P3346" s="244">
        <v>8739.5</v>
      </c>
      <c r="Q3346" s="2" t="s">
        <v>103</v>
      </c>
      <c r="R3346" s="2" t="s">
        <v>632</v>
      </c>
      <c r="S3346" s="36">
        <v>9379</v>
      </c>
    </row>
    <row r="3347" spans="1:19" x14ac:dyDescent="0.2">
      <c r="A3347" s="8" t="str">
        <f t="shared" si="1704"/>
        <v>9021919</v>
      </c>
      <c r="B3347" s="8">
        <v>902</v>
      </c>
      <c r="C3347" s="8">
        <v>19</v>
      </c>
      <c r="D3347" s="8" t="s">
        <v>62</v>
      </c>
      <c r="E3347" s="8">
        <v>9</v>
      </c>
      <c r="F3347" s="34">
        <f t="shared" si="1706"/>
        <v>159714</v>
      </c>
      <c r="G3347" s="34">
        <f t="shared" si="1706"/>
        <v>159714</v>
      </c>
      <c r="H3347" s="34">
        <f t="shared" si="1702"/>
        <v>23447</v>
      </c>
      <c r="I3347" s="34">
        <f t="shared" si="1702"/>
        <v>23447</v>
      </c>
      <c r="J3347" s="34">
        <f t="shared" si="1703"/>
        <v>581281</v>
      </c>
      <c r="K3347" s="133">
        <v>1000</v>
      </c>
      <c r="L3347" s="34"/>
      <c r="M3347" s="16">
        <f t="shared" si="1705"/>
        <v>118031.57051775999</v>
      </c>
      <c r="N3347" s="36">
        <v>735</v>
      </c>
      <c r="O3347" s="36">
        <v>18</v>
      </c>
      <c r="P3347" s="56">
        <v>8739.5</v>
      </c>
      <c r="Q3347" s="2" t="s">
        <v>103</v>
      </c>
      <c r="R3347" s="2" t="s">
        <v>632</v>
      </c>
      <c r="S3347" s="36">
        <v>9379</v>
      </c>
    </row>
    <row r="3348" spans="1:19" x14ac:dyDescent="0.2">
      <c r="A3348" s="8" t="str">
        <f t="shared" si="1704"/>
        <v>9022011</v>
      </c>
      <c r="B3348" s="8">
        <v>902</v>
      </c>
      <c r="C3348" s="8">
        <v>20</v>
      </c>
      <c r="D3348" s="8" t="s">
        <v>62</v>
      </c>
      <c r="E3348" s="8">
        <v>1</v>
      </c>
      <c r="F3348" s="34">
        <f t="shared" si="1706"/>
        <v>41524</v>
      </c>
      <c r="G3348" s="34">
        <f t="shared" si="1706"/>
        <v>41524</v>
      </c>
      <c r="H3348" s="34">
        <f t="shared" si="1702"/>
        <v>24407</v>
      </c>
      <c r="I3348" s="34">
        <f t="shared" si="1702"/>
        <v>24407</v>
      </c>
      <c r="J3348" s="34">
        <f t="shared" si="1703"/>
        <v>40787</v>
      </c>
      <c r="K3348" s="133">
        <v>1000</v>
      </c>
      <c r="L3348" s="34"/>
      <c r="M3348" s="16">
        <f t="shared" si="1705"/>
        <v>16265.134548311071</v>
      </c>
      <c r="N3348" s="36">
        <v>810</v>
      </c>
      <c r="O3348" s="36">
        <v>1</v>
      </c>
      <c r="P3348" s="244">
        <v>9088.7999999999993</v>
      </c>
      <c r="Q3348" s="2" t="s">
        <v>103</v>
      </c>
      <c r="R3348" s="2" t="s">
        <v>633</v>
      </c>
      <c r="S3348" s="36">
        <v>9763</v>
      </c>
    </row>
    <row r="3349" spans="1:19" x14ac:dyDescent="0.2">
      <c r="A3349" s="8" t="str">
        <f t="shared" si="1704"/>
        <v>9022019</v>
      </c>
      <c r="B3349" s="8">
        <v>902</v>
      </c>
      <c r="C3349" s="8">
        <v>20</v>
      </c>
      <c r="D3349" s="8" t="s">
        <v>62</v>
      </c>
      <c r="E3349" s="8">
        <v>9</v>
      </c>
      <c r="F3349" s="34">
        <f t="shared" si="1706"/>
        <v>166097</v>
      </c>
      <c r="G3349" s="34">
        <f t="shared" si="1706"/>
        <v>166097</v>
      </c>
      <c r="H3349" s="34">
        <f t="shared" si="1702"/>
        <v>24407</v>
      </c>
      <c r="I3349" s="34">
        <f t="shared" si="1702"/>
        <v>24407</v>
      </c>
      <c r="J3349" s="34">
        <f t="shared" si="1703"/>
        <v>604513</v>
      </c>
      <c r="K3349" s="133">
        <v>1000</v>
      </c>
      <c r="L3349" s="34"/>
      <c r="M3349" s="16">
        <f t="shared" si="1705"/>
        <v>125236.49490179711</v>
      </c>
      <c r="N3349" s="36">
        <v>735</v>
      </c>
      <c r="O3349" s="36">
        <v>18</v>
      </c>
      <c r="P3349" s="56">
        <v>9088.7999999999993</v>
      </c>
      <c r="Q3349" s="2" t="s">
        <v>103</v>
      </c>
      <c r="R3349" s="2" t="s">
        <v>633</v>
      </c>
      <c r="S3349" s="36">
        <v>9763</v>
      </c>
    </row>
    <row r="3350" spans="1:19" x14ac:dyDescent="0.2">
      <c r="A3350" s="8" t="str">
        <f t="shared" si="1704"/>
        <v>9022111</v>
      </c>
      <c r="B3350" s="8">
        <v>902</v>
      </c>
      <c r="C3350" s="8">
        <v>21</v>
      </c>
      <c r="D3350" s="8" t="s">
        <v>62</v>
      </c>
      <c r="E3350" s="8">
        <v>1</v>
      </c>
      <c r="F3350" s="34">
        <f t="shared" ref="F3350:G3369" si="1707">ROUNDDOWN($P3350/4*MIN($O3350,4)*10*$N3350/$N3350*$Q3350/400,0)</f>
        <v>46372</v>
      </c>
      <c r="G3350" s="34">
        <f t="shared" si="1707"/>
        <v>46372</v>
      </c>
      <c r="H3350" s="34">
        <f t="shared" si="1702"/>
        <v>25775</v>
      </c>
      <c r="I3350" s="34">
        <f t="shared" si="1702"/>
        <v>25775</v>
      </c>
      <c r="J3350" s="34">
        <f t="shared" si="1703"/>
        <v>45550</v>
      </c>
      <c r="K3350" s="133">
        <v>1000</v>
      </c>
      <c r="L3350" s="34"/>
      <c r="M3350" s="16">
        <f t="shared" si="1705"/>
        <v>18666.436971634412</v>
      </c>
      <c r="N3350" s="36">
        <v>810</v>
      </c>
      <c r="O3350" s="36">
        <v>1</v>
      </c>
      <c r="P3350" s="244">
        <v>10150</v>
      </c>
      <c r="Q3350" s="2" t="s">
        <v>103</v>
      </c>
      <c r="R3350" s="2" t="s">
        <v>168</v>
      </c>
      <c r="S3350" s="36">
        <v>10310</v>
      </c>
    </row>
    <row r="3351" spans="1:19" x14ac:dyDescent="0.2">
      <c r="A3351" s="8" t="str">
        <f t="shared" si="1704"/>
        <v>9022119</v>
      </c>
      <c r="B3351" s="8">
        <v>902</v>
      </c>
      <c r="C3351" s="8">
        <v>21</v>
      </c>
      <c r="D3351" s="8" t="s">
        <v>62</v>
      </c>
      <c r="E3351" s="8">
        <v>9</v>
      </c>
      <c r="F3351" s="34">
        <f t="shared" si="1707"/>
        <v>185491</v>
      </c>
      <c r="G3351" s="34">
        <f t="shared" si="1707"/>
        <v>185491</v>
      </c>
      <c r="H3351" s="34">
        <f t="shared" si="1702"/>
        <v>25775</v>
      </c>
      <c r="I3351" s="34">
        <f t="shared" si="1702"/>
        <v>25775</v>
      </c>
      <c r="J3351" s="34">
        <f t="shared" si="1703"/>
        <v>675096</v>
      </c>
      <c r="K3351" s="133">
        <v>1000</v>
      </c>
      <c r="L3351" s="34"/>
      <c r="M3351" s="16">
        <f t="shared" si="1705"/>
        <v>143725.3955748759</v>
      </c>
      <c r="N3351" s="36">
        <v>735</v>
      </c>
      <c r="O3351" s="36">
        <v>18</v>
      </c>
      <c r="P3351" s="56">
        <v>10150</v>
      </c>
      <c r="Q3351" s="2" t="s">
        <v>103</v>
      </c>
      <c r="R3351" s="2" t="s">
        <v>168</v>
      </c>
      <c r="S3351" s="36">
        <v>10310</v>
      </c>
    </row>
    <row r="3352" spans="1:19" x14ac:dyDescent="0.2">
      <c r="A3352" s="8" t="str">
        <f t="shared" si="1704"/>
        <v>9022211</v>
      </c>
      <c r="B3352" s="8">
        <v>902</v>
      </c>
      <c r="C3352" s="8">
        <v>22</v>
      </c>
      <c r="D3352" s="8" t="s">
        <v>62</v>
      </c>
      <c r="E3352" s="8">
        <v>1</v>
      </c>
      <c r="F3352" s="34">
        <f t="shared" si="1707"/>
        <v>48227</v>
      </c>
      <c r="G3352" s="34">
        <f t="shared" si="1707"/>
        <v>48227</v>
      </c>
      <c r="H3352" s="34">
        <f t="shared" si="1702"/>
        <v>26495</v>
      </c>
      <c r="I3352" s="34">
        <f t="shared" si="1702"/>
        <v>26495</v>
      </c>
      <c r="J3352" s="34">
        <f t="shared" si="1703"/>
        <v>47372</v>
      </c>
      <c r="K3352" s="133">
        <v>1000</v>
      </c>
      <c r="L3352" s="34"/>
      <c r="M3352" s="16">
        <f t="shared" si="1705"/>
        <v>19682.3945240459</v>
      </c>
      <c r="N3352" s="36">
        <v>810</v>
      </c>
      <c r="O3352" s="36">
        <v>1</v>
      </c>
      <c r="P3352" s="244">
        <v>10556</v>
      </c>
      <c r="Q3352" s="2" t="s">
        <v>103</v>
      </c>
      <c r="R3352" s="2" t="s">
        <v>634</v>
      </c>
      <c r="S3352" s="36">
        <v>10598</v>
      </c>
    </row>
    <row r="3353" spans="1:19" x14ac:dyDescent="0.2">
      <c r="A3353" s="8" t="str">
        <f t="shared" si="1704"/>
        <v>9022219</v>
      </c>
      <c r="B3353" s="8">
        <v>902</v>
      </c>
      <c r="C3353" s="8">
        <v>22</v>
      </c>
      <c r="D3353" s="8" t="s">
        <v>62</v>
      </c>
      <c r="E3353" s="8">
        <v>9</v>
      </c>
      <c r="F3353" s="34">
        <f t="shared" si="1707"/>
        <v>192910</v>
      </c>
      <c r="G3353" s="34">
        <f t="shared" si="1707"/>
        <v>192910</v>
      </c>
      <c r="H3353" s="34">
        <f t="shared" si="1702"/>
        <v>26495</v>
      </c>
      <c r="I3353" s="34">
        <f t="shared" si="1702"/>
        <v>26495</v>
      </c>
      <c r="J3353" s="34">
        <f t="shared" si="1703"/>
        <v>702100</v>
      </c>
      <c r="K3353" s="133">
        <v>1000</v>
      </c>
      <c r="L3353" s="34"/>
      <c r="M3353" s="16">
        <f t="shared" si="1705"/>
        <v>151547.51029973407</v>
      </c>
      <c r="N3353" s="36">
        <v>735</v>
      </c>
      <c r="O3353" s="36">
        <v>18</v>
      </c>
      <c r="P3353" s="56">
        <v>10556</v>
      </c>
      <c r="Q3353" s="2" t="s">
        <v>103</v>
      </c>
      <c r="R3353" s="2" t="s">
        <v>634</v>
      </c>
      <c r="S3353" s="36">
        <v>10598</v>
      </c>
    </row>
    <row r="3354" spans="1:19" x14ac:dyDescent="0.2">
      <c r="A3354" s="8" t="str">
        <f t="shared" si="1704"/>
        <v>9022311</v>
      </c>
      <c r="B3354" s="8">
        <v>902</v>
      </c>
      <c r="C3354" s="8">
        <v>23</v>
      </c>
      <c r="D3354" s="8" t="s">
        <v>62</v>
      </c>
      <c r="E3354" s="8">
        <v>1</v>
      </c>
      <c r="F3354" s="34">
        <f t="shared" si="1707"/>
        <v>50156</v>
      </c>
      <c r="G3354" s="34">
        <f t="shared" si="1707"/>
        <v>50156</v>
      </c>
      <c r="H3354" s="34">
        <f t="shared" si="1702"/>
        <v>28080</v>
      </c>
      <c r="I3354" s="34">
        <f t="shared" si="1702"/>
        <v>28080</v>
      </c>
      <c r="J3354" s="34">
        <f t="shared" si="1703"/>
        <v>49266</v>
      </c>
      <c r="K3354" s="133">
        <v>1000</v>
      </c>
      <c r="L3354" s="34"/>
      <c r="M3354" s="16">
        <f t="shared" si="1705"/>
        <v>21072.867518616255</v>
      </c>
      <c r="N3354" s="36">
        <v>810</v>
      </c>
      <c r="O3354" s="36">
        <v>1</v>
      </c>
      <c r="P3354" s="244">
        <v>10978.099999999999</v>
      </c>
      <c r="Q3354" s="2" t="s">
        <v>103</v>
      </c>
      <c r="R3354" s="2" t="s">
        <v>635</v>
      </c>
      <c r="S3354" s="36">
        <v>11232</v>
      </c>
    </row>
    <row r="3355" spans="1:19" x14ac:dyDescent="0.2">
      <c r="A3355" s="8" t="str">
        <f t="shared" si="1704"/>
        <v>9022319</v>
      </c>
      <c r="B3355" s="8">
        <v>902</v>
      </c>
      <c r="C3355" s="8">
        <v>23</v>
      </c>
      <c r="D3355" s="8" t="s">
        <v>62</v>
      </c>
      <c r="E3355" s="8">
        <v>9</v>
      </c>
      <c r="F3355" s="34">
        <f t="shared" si="1707"/>
        <v>200624</v>
      </c>
      <c r="G3355" s="34">
        <f t="shared" si="1707"/>
        <v>200624</v>
      </c>
      <c r="H3355" s="34">
        <f t="shared" si="1702"/>
        <v>28080</v>
      </c>
      <c r="I3355" s="34">
        <f t="shared" si="1702"/>
        <v>28080</v>
      </c>
      <c r="J3355" s="34">
        <f t="shared" si="1703"/>
        <v>730175</v>
      </c>
      <c r="K3355" s="133">
        <v>1000</v>
      </c>
      <c r="L3355" s="34"/>
      <c r="M3355" s="16">
        <f t="shared" si="1705"/>
        <v>162253.27101414753</v>
      </c>
      <c r="N3355" s="36">
        <v>735</v>
      </c>
      <c r="O3355" s="36">
        <v>18</v>
      </c>
      <c r="P3355" s="56">
        <v>10978.099999999999</v>
      </c>
      <c r="Q3355" s="2" t="s">
        <v>103</v>
      </c>
      <c r="R3355" s="2" t="s">
        <v>635</v>
      </c>
      <c r="S3355" s="36">
        <v>11232</v>
      </c>
    </row>
    <row r="3356" spans="1:19" x14ac:dyDescent="0.2">
      <c r="A3356" s="8" t="str">
        <f t="shared" si="1704"/>
        <v>9022411</v>
      </c>
      <c r="B3356" s="8">
        <v>902</v>
      </c>
      <c r="C3356" s="8">
        <v>24</v>
      </c>
      <c r="D3356" s="8" t="s">
        <v>62</v>
      </c>
      <c r="E3356" s="8">
        <v>1</v>
      </c>
      <c r="F3356" s="34">
        <f t="shared" si="1707"/>
        <v>52161</v>
      </c>
      <c r="G3356" s="34">
        <f t="shared" si="1707"/>
        <v>52161</v>
      </c>
      <c r="H3356" s="34">
        <f t="shared" si="1702"/>
        <v>28642</v>
      </c>
      <c r="I3356" s="34">
        <f t="shared" si="1702"/>
        <v>28642</v>
      </c>
      <c r="J3356" s="34">
        <f t="shared" si="1703"/>
        <v>51235</v>
      </c>
      <c r="K3356" s="133">
        <v>1000</v>
      </c>
      <c r="L3356" s="34"/>
      <c r="M3356" s="16">
        <f t="shared" si="1705"/>
        <v>22133.392310742795</v>
      </c>
      <c r="N3356" s="36">
        <v>810</v>
      </c>
      <c r="O3356" s="36">
        <v>1</v>
      </c>
      <c r="P3356" s="244">
        <v>11417</v>
      </c>
      <c r="Q3356" s="2" t="s">
        <v>103</v>
      </c>
      <c r="R3356" s="2" t="s">
        <v>636</v>
      </c>
      <c r="S3356" s="36">
        <v>11457</v>
      </c>
    </row>
    <row r="3357" spans="1:19" x14ac:dyDescent="0.2">
      <c r="A3357" s="8" t="str">
        <f t="shared" si="1704"/>
        <v>9022419</v>
      </c>
      <c r="B3357" s="8">
        <v>902</v>
      </c>
      <c r="C3357" s="8">
        <v>24</v>
      </c>
      <c r="D3357" s="8" t="s">
        <v>62</v>
      </c>
      <c r="E3357" s="8">
        <v>9</v>
      </c>
      <c r="F3357" s="34">
        <f t="shared" si="1707"/>
        <v>208645</v>
      </c>
      <c r="G3357" s="34">
        <f t="shared" si="1707"/>
        <v>208645</v>
      </c>
      <c r="H3357" s="34">
        <f t="shared" si="1702"/>
        <v>28642</v>
      </c>
      <c r="I3357" s="34">
        <f t="shared" si="1702"/>
        <v>28642</v>
      </c>
      <c r="J3357" s="34">
        <f t="shared" si="1703"/>
        <v>759367</v>
      </c>
      <c r="K3357" s="133">
        <v>1000</v>
      </c>
      <c r="L3357" s="34"/>
      <c r="M3357" s="16">
        <f t="shared" si="1705"/>
        <v>170420.3716275827</v>
      </c>
      <c r="N3357" s="36">
        <v>735</v>
      </c>
      <c r="O3357" s="36">
        <v>18</v>
      </c>
      <c r="P3357" s="56">
        <v>11417</v>
      </c>
      <c r="Q3357" s="2" t="s">
        <v>103</v>
      </c>
      <c r="R3357" s="2" t="s">
        <v>636</v>
      </c>
      <c r="S3357" s="36">
        <v>11457</v>
      </c>
    </row>
    <row r="3358" spans="1:19" x14ac:dyDescent="0.2">
      <c r="A3358" s="8" t="str">
        <f t="shared" si="1704"/>
        <v>9022511</v>
      </c>
      <c r="B3358" s="8">
        <v>902</v>
      </c>
      <c r="C3358" s="8">
        <v>25</v>
      </c>
      <c r="D3358" s="8" t="s">
        <v>62</v>
      </c>
      <c r="E3358" s="8">
        <v>1</v>
      </c>
      <c r="F3358" s="34">
        <f t="shared" si="1707"/>
        <v>54246</v>
      </c>
      <c r="G3358" s="34">
        <f t="shared" si="1707"/>
        <v>54246</v>
      </c>
      <c r="H3358" s="34">
        <f t="shared" si="1702"/>
        <v>30095</v>
      </c>
      <c r="I3358" s="34">
        <f t="shared" si="1702"/>
        <v>30095</v>
      </c>
      <c r="J3358" s="34">
        <f t="shared" si="1703"/>
        <v>53284</v>
      </c>
      <c r="K3358" s="133">
        <v>1000</v>
      </c>
      <c r="L3358" s="34"/>
      <c r="M3358" s="16">
        <f t="shared" si="1705"/>
        <v>23594.970052053726</v>
      </c>
      <c r="N3358" s="36">
        <v>810</v>
      </c>
      <c r="O3358" s="36">
        <v>1</v>
      </c>
      <c r="P3358" s="244">
        <v>11873.4</v>
      </c>
      <c r="Q3358" s="2" t="s">
        <v>103</v>
      </c>
      <c r="R3358" s="2" t="s">
        <v>637</v>
      </c>
      <c r="S3358" s="36">
        <v>12038</v>
      </c>
    </row>
    <row r="3359" spans="1:19" x14ac:dyDescent="0.2">
      <c r="A3359" s="8" t="str">
        <f t="shared" si="1704"/>
        <v>9022519</v>
      </c>
      <c r="B3359" s="8">
        <v>902</v>
      </c>
      <c r="C3359" s="8">
        <v>25</v>
      </c>
      <c r="D3359" s="8" t="s">
        <v>62</v>
      </c>
      <c r="E3359" s="8">
        <v>9</v>
      </c>
      <c r="F3359" s="34">
        <f t="shared" si="1707"/>
        <v>216986</v>
      </c>
      <c r="G3359" s="34">
        <f t="shared" si="1707"/>
        <v>216986</v>
      </c>
      <c r="H3359" s="34">
        <f t="shared" si="1702"/>
        <v>30095</v>
      </c>
      <c r="I3359" s="34">
        <f t="shared" si="1702"/>
        <v>30095</v>
      </c>
      <c r="J3359" s="34">
        <f t="shared" si="1703"/>
        <v>789723</v>
      </c>
      <c r="K3359" s="133">
        <v>1000</v>
      </c>
      <c r="L3359" s="34"/>
      <c r="M3359" s="16">
        <f t="shared" si="1705"/>
        <v>181673.0097405276</v>
      </c>
      <c r="N3359" s="36">
        <v>735</v>
      </c>
      <c r="O3359" s="36">
        <v>18</v>
      </c>
      <c r="P3359" s="56">
        <v>11873.4</v>
      </c>
      <c r="Q3359" s="2" t="s">
        <v>103</v>
      </c>
      <c r="R3359" s="2" t="s">
        <v>637</v>
      </c>
      <c r="S3359" s="36">
        <v>12038</v>
      </c>
    </row>
    <row r="3360" spans="1:19" x14ac:dyDescent="0.2">
      <c r="A3360" s="8" t="str">
        <f t="shared" si="1704"/>
        <v>9022611</v>
      </c>
      <c r="B3360" s="8">
        <v>902</v>
      </c>
      <c r="C3360" s="8">
        <v>26</v>
      </c>
      <c r="D3360" s="8" t="s">
        <v>62</v>
      </c>
      <c r="E3360" s="8">
        <v>1</v>
      </c>
      <c r="F3360" s="34">
        <f t="shared" si="1707"/>
        <v>78925</v>
      </c>
      <c r="G3360" s="34">
        <f t="shared" si="1707"/>
        <v>78925</v>
      </c>
      <c r="H3360" s="34">
        <f t="shared" si="1702"/>
        <v>28875</v>
      </c>
      <c r="I3360" s="34">
        <f t="shared" si="1702"/>
        <v>28875</v>
      </c>
      <c r="J3360" s="34">
        <f t="shared" si="1703"/>
        <v>61609</v>
      </c>
      <c r="K3360" s="133">
        <v>1000</v>
      </c>
      <c r="L3360" s="34"/>
      <c r="M3360" s="16">
        <f t="shared" si="1705"/>
        <v>29976.460966231491</v>
      </c>
      <c r="N3360" s="36">
        <v>810</v>
      </c>
      <c r="O3360" s="36">
        <v>1</v>
      </c>
      <c r="P3360" s="56">
        <v>15399.999999999998</v>
      </c>
      <c r="Q3360" s="2" t="s">
        <v>183</v>
      </c>
      <c r="R3360" s="2" t="s">
        <v>638</v>
      </c>
      <c r="S3360" s="56">
        <f>P3360*0.75</f>
        <v>11549.999999999998</v>
      </c>
    </row>
    <row r="3361" spans="1:19" x14ac:dyDescent="0.2">
      <c r="A3361" s="8" t="str">
        <f t="shared" si="1704"/>
        <v>9022619</v>
      </c>
      <c r="B3361" s="8">
        <v>902</v>
      </c>
      <c r="C3361" s="8">
        <v>26</v>
      </c>
      <c r="D3361" s="8" t="s">
        <v>62</v>
      </c>
      <c r="E3361" s="8">
        <v>9</v>
      </c>
      <c r="F3361" s="34">
        <f t="shared" si="1707"/>
        <v>315700</v>
      </c>
      <c r="G3361" s="34">
        <f t="shared" si="1707"/>
        <v>315700</v>
      </c>
      <c r="H3361" s="34">
        <f t="shared" si="1702"/>
        <v>28875</v>
      </c>
      <c r="I3361" s="34">
        <f t="shared" si="1702"/>
        <v>28875</v>
      </c>
      <c r="J3361" s="34">
        <f t="shared" si="1703"/>
        <v>913112</v>
      </c>
      <c r="K3361" s="133">
        <v>1000</v>
      </c>
      <c r="L3361" s="34"/>
      <c r="M3361" s="16">
        <f t="shared" si="1705"/>
        <v>230807.70332101139</v>
      </c>
      <c r="N3361" s="36">
        <v>735</v>
      </c>
      <c r="O3361" s="36">
        <v>18</v>
      </c>
      <c r="P3361" s="56">
        <v>15399.999999999998</v>
      </c>
      <c r="Q3361" s="2" t="s">
        <v>183</v>
      </c>
      <c r="R3361" s="2" t="s">
        <v>638</v>
      </c>
      <c r="S3361" s="56">
        <f t="shared" ref="S3361:S3399" si="1708">P3361*0.75</f>
        <v>11549.999999999998</v>
      </c>
    </row>
    <row r="3362" spans="1:19" x14ac:dyDescent="0.2">
      <c r="A3362" s="8" t="str">
        <f t="shared" si="1704"/>
        <v>9022711</v>
      </c>
      <c r="B3362" s="8">
        <v>902</v>
      </c>
      <c r="C3362" s="8">
        <v>27</v>
      </c>
      <c r="D3362" s="8" t="s">
        <v>62</v>
      </c>
      <c r="E3362" s="8">
        <v>1</v>
      </c>
      <c r="F3362" s="34">
        <f t="shared" si="1707"/>
        <v>82082</v>
      </c>
      <c r="G3362" s="34">
        <f t="shared" si="1707"/>
        <v>82082</v>
      </c>
      <c r="H3362" s="34">
        <f t="shared" si="1702"/>
        <v>30030</v>
      </c>
      <c r="I3362" s="34">
        <f t="shared" si="1702"/>
        <v>30030</v>
      </c>
      <c r="J3362" s="34">
        <f t="shared" si="1703"/>
        <v>64073</v>
      </c>
      <c r="K3362" s="133">
        <v>1000</v>
      </c>
      <c r="L3362" s="34"/>
      <c r="M3362" s="16">
        <f t="shared" si="1705"/>
        <v>31792.827043050325</v>
      </c>
      <c r="N3362" s="36">
        <v>810</v>
      </c>
      <c r="O3362" s="36">
        <v>1</v>
      </c>
      <c r="P3362" s="56">
        <v>16015.999999999998</v>
      </c>
      <c r="Q3362" s="2" t="s">
        <v>183</v>
      </c>
      <c r="R3362" s="2" t="s">
        <v>639</v>
      </c>
      <c r="S3362" s="56">
        <f t="shared" si="1708"/>
        <v>12011.999999999998</v>
      </c>
    </row>
    <row r="3363" spans="1:19" x14ac:dyDescent="0.2">
      <c r="A3363" s="8" t="str">
        <f t="shared" si="1704"/>
        <v>9022719</v>
      </c>
      <c r="B3363" s="8">
        <v>902</v>
      </c>
      <c r="C3363" s="8">
        <v>27</v>
      </c>
      <c r="D3363" s="8" t="s">
        <v>62</v>
      </c>
      <c r="E3363" s="8">
        <v>9</v>
      </c>
      <c r="F3363" s="34">
        <f t="shared" si="1707"/>
        <v>328328</v>
      </c>
      <c r="G3363" s="34">
        <f t="shared" si="1707"/>
        <v>328328</v>
      </c>
      <c r="H3363" s="34">
        <f t="shared" si="1702"/>
        <v>30030</v>
      </c>
      <c r="I3363" s="34">
        <f t="shared" si="1702"/>
        <v>30030</v>
      </c>
      <c r="J3363" s="34">
        <f t="shared" si="1703"/>
        <v>949636</v>
      </c>
      <c r="K3363" s="133">
        <v>1000</v>
      </c>
      <c r="L3363" s="34"/>
      <c r="M3363" s="16">
        <f t="shared" si="1705"/>
        <v>244793.67862293488</v>
      </c>
      <c r="N3363" s="36">
        <v>735</v>
      </c>
      <c r="O3363" s="36">
        <v>18</v>
      </c>
      <c r="P3363" s="56">
        <v>16015.999999999998</v>
      </c>
      <c r="Q3363" s="2" t="s">
        <v>183</v>
      </c>
      <c r="R3363" s="2" t="s">
        <v>639</v>
      </c>
      <c r="S3363" s="56">
        <f t="shared" si="1708"/>
        <v>12011.999999999998</v>
      </c>
    </row>
    <row r="3364" spans="1:19" x14ac:dyDescent="0.2">
      <c r="A3364" s="8" t="str">
        <f t="shared" si="1704"/>
        <v>9022811</v>
      </c>
      <c r="B3364" s="8">
        <v>902</v>
      </c>
      <c r="C3364" s="8">
        <v>28</v>
      </c>
      <c r="D3364" s="8" t="s">
        <v>62</v>
      </c>
      <c r="E3364" s="8">
        <v>1</v>
      </c>
      <c r="F3364" s="34">
        <f t="shared" si="1707"/>
        <v>85364</v>
      </c>
      <c r="G3364" s="34">
        <f t="shared" si="1707"/>
        <v>85364</v>
      </c>
      <c r="H3364" s="34">
        <f t="shared" si="1702"/>
        <v>31230</v>
      </c>
      <c r="I3364" s="34">
        <f t="shared" si="1702"/>
        <v>31230</v>
      </c>
      <c r="J3364" s="34">
        <f t="shared" si="1703"/>
        <v>66636</v>
      </c>
      <c r="K3364" s="133">
        <v>1000</v>
      </c>
      <c r="L3364" s="34"/>
      <c r="M3364" s="16">
        <f t="shared" si="1705"/>
        <v>33718.466697278629</v>
      </c>
      <c r="N3364" s="36">
        <v>810</v>
      </c>
      <c r="O3364" s="36">
        <v>1</v>
      </c>
      <c r="P3364" s="56">
        <v>16656.5</v>
      </c>
      <c r="Q3364" s="2" t="s">
        <v>183</v>
      </c>
      <c r="R3364" s="2" t="s">
        <v>640</v>
      </c>
      <c r="S3364" s="56">
        <f t="shared" si="1708"/>
        <v>12492.375</v>
      </c>
    </row>
    <row r="3365" spans="1:19" x14ac:dyDescent="0.2">
      <c r="A3365" s="8" t="str">
        <f t="shared" si="1704"/>
        <v>9022819</v>
      </c>
      <c r="B3365" s="8">
        <v>902</v>
      </c>
      <c r="C3365" s="8">
        <v>28</v>
      </c>
      <c r="D3365" s="8" t="s">
        <v>62</v>
      </c>
      <c r="E3365" s="8">
        <v>9</v>
      </c>
      <c r="F3365" s="34">
        <f t="shared" si="1707"/>
        <v>341458</v>
      </c>
      <c r="G3365" s="34">
        <f t="shared" si="1707"/>
        <v>341458</v>
      </c>
      <c r="H3365" s="34">
        <f t="shared" si="1702"/>
        <v>31230</v>
      </c>
      <c r="I3365" s="34">
        <f t="shared" si="1702"/>
        <v>31230</v>
      </c>
      <c r="J3365" s="34">
        <f t="shared" si="1703"/>
        <v>987613</v>
      </c>
      <c r="K3365" s="133">
        <v>1000</v>
      </c>
      <c r="L3365" s="34"/>
      <c r="M3365" s="16">
        <f t="shared" si="1705"/>
        <v>259619.92743383837</v>
      </c>
      <c r="N3365" s="36">
        <v>735</v>
      </c>
      <c r="O3365" s="36">
        <v>18</v>
      </c>
      <c r="P3365" s="56">
        <v>16656.5</v>
      </c>
      <c r="Q3365" s="2" t="s">
        <v>183</v>
      </c>
      <c r="R3365" s="2" t="s">
        <v>640</v>
      </c>
      <c r="S3365" s="56">
        <f t="shared" si="1708"/>
        <v>12492.375</v>
      </c>
    </row>
    <row r="3366" spans="1:19" x14ac:dyDescent="0.2">
      <c r="A3366" s="8" t="str">
        <f t="shared" si="1704"/>
        <v>9022911</v>
      </c>
      <c r="B3366" s="8">
        <v>902</v>
      </c>
      <c r="C3366" s="8">
        <v>29</v>
      </c>
      <c r="D3366" s="8" t="s">
        <v>62</v>
      </c>
      <c r="E3366" s="8">
        <v>1</v>
      </c>
      <c r="F3366" s="34">
        <f t="shared" si="1707"/>
        <v>88776</v>
      </c>
      <c r="G3366" s="34">
        <f t="shared" si="1707"/>
        <v>88776</v>
      </c>
      <c r="H3366" s="34">
        <f t="shared" si="1702"/>
        <v>32479</v>
      </c>
      <c r="I3366" s="34">
        <f t="shared" si="1702"/>
        <v>32479</v>
      </c>
      <c r="J3366" s="34">
        <f t="shared" si="1703"/>
        <v>69299</v>
      </c>
      <c r="K3366" s="133">
        <v>1000</v>
      </c>
      <c r="L3366" s="34"/>
      <c r="M3366" s="16">
        <f t="shared" si="1705"/>
        <v>35760.417620066662</v>
      </c>
      <c r="N3366" s="36">
        <v>810</v>
      </c>
      <c r="O3366" s="36">
        <v>1</v>
      </c>
      <c r="P3366" s="56">
        <v>17322.199999999997</v>
      </c>
      <c r="Q3366" s="2" t="s">
        <v>183</v>
      </c>
      <c r="R3366" s="2" t="s">
        <v>641</v>
      </c>
      <c r="S3366" s="56">
        <f t="shared" si="1708"/>
        <v>12991.649999999998</v>
      </c>
    </row>
    <row r="3367" spans="1:19" x14ac:dyDescent="0.2">
      <c r="A3367" s="8" t="str">
        <f t="shared" si="1704"/>
        <v>9022919</v>
      </c>
      <c r="B3367" s="8">
        <v>902</v>
      </c>
      <c r="C3367" s="8">
        <v>29</v>
      </c>
      <c r="D3367" s="8" t="s">
        <v>62</v>
      </c>
      <c r="E3367" s="8">
        <v>9</v>
      </c>
      <c r="F3367" s="34">
        <f t="shared" si="1707"/>
        <v>355105</v>
      </c>
      <c r="G3367" s="34">
        <f t="shared" si="1707"/>
        <v>355105</v>
      </c>
      <c r="H3367" s="34">
        <f t="shared" si="1702"/>
        <v>32479</v>
      </c>
      <c r="I3367" s="34">
        <f t="shared" si="1702"/>
        <v>32479</v>
      </c>
      <c r="J3367" s="34">
        <f t="shared" si="1703"/>
        <v>1027084</v>
      </c>
      <c r="K3367" s="133">
        <v>1000</v>
      </c>
      <c r="L3367" s="34"/>
      <c r="M3367" s="16">
        <f t="shared" si="1705"/>
        <v>275342.14234029379</v>
      </c>
      <c r="N3367" s="36">
        <v>735</v>
      </c>
      <c r="O3367" s="36">
        <v>18</v>
      </c>
      <c r="P3367" s="56">
        <v>17322.199999999997</v>
      </c>
      <c r="Q3367" s="2" t="s">
        <v>183</v>
      </c>
      <c r="R3367" s="2" t="s">
        <v>641</v>
      </c>
      <c r="S3367" s="56">
        <f t="shared" si="1708"/>
        <v>12991.649999999998</v>
      </c>
    </row>
    <row r="3368" spans="1:19" x14ac:dyDescent="0.2">
      <c r="A3368" s="8" t="str">
        <f t="shared" si="1704"/>
        <v>9023011</v>
      </c>
      <c r="B3368" s="8">
        <v>902</v>
      </c>
      <c r="C3368" s="8">
        <v>30</v>
      </c>
      <c r="D3368" s="8" t="s">
        <v>62</v>
      </c>
      <c r="E3368" s="8">
        <v>1</v>
      </c>
      <c r="F3368" s="34">
        <f t="shared" si="1707"/>
        <v>92324</v>
      </c>
      <c r="G3368" s="34">
        <f t="shared" si="1707"/>
        <v>92324</v>
      </c>
      <c r="H3368" s="34">
        <f t="shared" si="1702"/>
        <v>33777</v>
      </c>
      <c r="I3368" s="34">
        <f t="shared" si="1702"/>
        <v>33777</v>
      </c>
      <c r="J3368" s="34">
        <f t="shared" si="1703"/>
        <v>72068</v>
      </c>
      <c r="K3368" s="133">
        <v>1000</v>
      </c>
      <c r="L3368" s="34"/>
      <c r="M3368" s="16">
        <f t="shared" si="1705"/>
        <v>37925.303506159711</v>
      </c>
      <c r="N3368" s="36">
        <v>810</v>
      </c>
      <c r="O3368" s="36">
        <v>1</v>
      </c>
      <c r="P3368" s="56">
        <v>18014.5</v>
      </c>
      <c r="Q3368" s="2" t="s">
        <v>183</v>
      </c>
      <c r="R3368" s="2" t="s">
        <v>642</v>
      </c>
      <c r="S3368" s="56">
        <f t="shared" si="1708"/>
        <v>13510.875</v>
      </c>
    </row>
    <row r="3369" spans="1:19" x14ac:dyDescent="0.2">
      <c r="A3369" s="8" t="str">
        <f t="shared" si="1704"/>
        <v>9023019</v>
      </c>
      <c r="B3369" s="8">
        <v>902</v>
      </c>
      <c r="C3369" s="8">
        <v>30</v>
      </c>
      <c r="D3369" s="8" t="s">
        <v>62</v>
      </c>
      <c r="E3369" s="8">
        <v>9</v>
      </c>
      <c r="F3369" s="34">
        <f t="shared" si="1707"/>
        <v>369297</v>
      </c>
      <c r="G3369" s="34">
        <f t="shared" si="1707"/>
        <v>369297</v>
      </c>
      <c r="H3369" s="34">
        <f t="shared" si="1702"/>
        <v>33777</v>
      </c>
      <c r="I3369" s="34">
        <f t="shared" si="1702"/>
        <v>33777</v>
      </c>
      <c r="J3369" s="34">
        <f t="shared" si="1703"/>
        <v>1068133</v>
      </c>
      <c r="K3369" s="133">
        <v>1000</v>
      </c>
      <c r="L3369" s="34"/>
      <c r="M3369" s="16">
        <f t="shared" si="1705"/>
        <v>292012.25641506247</v>
      </c>
      <c r="N3369" s="36">
        <v>735</v>
      </c>
      <c r="O3369" s="36">
        <v>18</v>
      </c>
      <c r="P3369" s="56">
        <v>18014.5</v>
      </c>
      <c r="Q3369" s="2" t="s">
        <v>183</v>
      </c>
      <c r="R3369" s="2" t="s">
        <v>642</v>
      </c>
      <c r="S3369" s="56">
        <f t="shared" si="1708"/>
        <v>13510.875</v>
      </c>
    </row>
    <row r="3370" spans="1:19" x14ac:dyDescent="0.2">
      <c r="A3370" s="8" t="str">
        <f t="shared" si="1704"/>
        <v>9023111</v>
      </c>
      <c r="B3370" s="8">
        <v>902</v>
      </c>
      <c r="C3370" s="8">
        <v>31</v>
      </c>
      <c r="D3370" s="8" t="s">
        <v>62</v>
      </c>
      <c r="E3370" s="8">
        <v>1</v>
      </c>
      <c r="F3370" s="34">
        <f t="shared" ref="F3370:G3389" si="1709">ROUNDDOWN($P3370/4*MIN($O3370,4)*10*$N3370/$N3370*$Q3370/400,0)</f>
        <v>100450</v>
      </c>
      <c r="G3370" s="34">
        <f t="shared" si="1709"/>
        <v>100450</v>
      </c>
      <c r="H3370" s="34">
        <f t="shared" si="1702"/>
        <v>36750</v>
      </c>
      <c r="I3370" s="34">
        <f t="shared" si="1702"/>
        <v>36750</v>
      </c>
      <c r="J3370" s="34">
        <f t="shared" si="1703"/>
        <v>78411</v>
      </c>
      <c r="K3370" s="133">
        <v>1000</v>
      </c>
      <c r="L3370" s="34"/>
      <c r="M3370" s="16">
        <f t="shared" si="1705"/>
        <v>43040.977454514214</v>
      </c>
      <c r="N3370" s="36">
        <v>810</v>
      </c>
      <c r="O3370" s="36">
        <v>1</v>
      </c>
      <c r="P3370" s="56">
        <v>19600</v>
      </c>
      <c r="Q3370" s="2" t="s">
        <v>183</v>
      </c>
      <c r="R3370" s="2" t="s">
        <v>643</v>
      </c>
      <c r="S3370" s="56">
        <f t="shared" si="1708"/>
        <v>14700</v>
      </c>
    </row>
    <row r="3371" spans="1:19" x14ac:dyDescent="0.2">
      <c r="A3371" s="8" t="str">
        <f t="shared" si="1704"/>
        <v>9023119</v>
      </c>
      <c r="B3371" s="8">
        <v>902</v>
      </c>
      <c r="C3371" s="8">
        <v>31</v>
      </c>
      <c r="D3371" s="8" t="s">
        <v>62</v>
      </c>
      <c r="E3371" s="8">
        <v>9</v>
      </c>
      <c r="F3371" s="34">
        <f t="shared" si="1709"/>
        <v>401800</v>
      </c>
      <c r="G3371" s="34">
        <f t="shared" si="1709"/>
        <v>401800</v>
      </c>
      <c r="H3371" s="34">
        <f t="shared" si="1702"/>
        <v>36750</v>
      </c>
      <c r="I3371" s="34">
        <f t="shared" si="1702"/>
        <v>36750</v>
      </c>
      <c r="J3371" s="34">
        <f t="shared" si="1703"/>
        <v>1162142</v>
      </c>
      <c r="K3371" s="133">
        <v>1000</v>
      </c>
      <c r="L3371" s="34"/>
      <c r="M3371" s="16">
        <f t="shared" si="1705"/>
        <v>331400.54887872469</v>
      </c>
      <c r="N3371" s="36">
        <v>735</v>
      </c>
      <c r="O3371" s="36">
        <v>18</v>
      </c>
      <c r="P3371" s="56">
        <v>19600</v>
      </c>
      <c r="Q3371" s="2" t="s">
        <v>183</v>
      </c>
      <c r="R3371" s="2" t="s">
        <v>643</v>
      </c>
      <c r="S3371" s="56">
        <f t="shared" si="1708"/>
        <v>14700</v>
      </c>
    </row>
    <row r="3372" spans="1:19" x14ac:dyDescent="0.2">
      <c r="A3372" s="8" t="str">
        <f t="shared" si="1704"/>
        <v>9023211</v>
      </c>
      <c r="B3372" s="8">
        <v>902</v>
      </c>
      <c r="C3372" s="8">
        <v>32</v>
      </c>
      <c r="D3372" s="8" t="s">
        <v>62</v>
      </c>
      <c r="E3372" s="8">
        <v>1</v>
      </c>
      <c r="F3372" s="34">
        <f t="shared" si="1709"/>
        <v>104468</v>
      </c>
      <c r="G3372" s="34">
        <f t="shared" si="1709"/>
        <v>104468</v>
      </c>
      <c r="H3372" s="34">
        <f t="shared" si="1702"/>
        <v>38220</v>
      </c>
      <c r="I3372" s="34">
        <f t="shared" si="1702"/>
        <v>38220</v>
      </c>
      <c r="J3372" s="34">
        <f t="shared" si="1703"/>
        <v>81548</v>
      </c>
      <c r="K3372" s="133">
        <v>1000</v>
      </c>
      <c r="L3372" s="34"/>
      <c r="M3372" s="16">
        <f t="shared" si="1705"/>
        <v>45649.247796060255</v>
      </c>
      <c r="N3372" s="36">
        <v>810</v>
      </c>
      <c r="O3372" s="36">
        <v>1</v>
      </c>
      <c r="P3372" s="56">
        <v>20384</v>
      </c>
      <c r="Q3372" s="2" t="s">
        <v>183</v>
      </c>
      <c r="R3372" s="2" t="s">
        <v>644</v>
      </c>
      <c r="S3372" s="56">
        <f t="shared" si="1708"/>
        <v>15288</v>
      </c>
    </row>
    <row r="3373" spans="1:19" x14ac:dyDescent="0.2">
      <c r="A3373" s="8" t="str">
        <f t="shared" si="1704"/>
        <v>9023219</v>
      </c>
      <c r="B3373" s="8">
        <v>902</v>
      </c>
      <c r="C3373" s="8">
        <v>32</v>
      </c>
      <c r="D3373" s="8" t="s">
        <v>62</v>
      </c>
      <c r="E3373" s="8">
        <v>9</v>
      </c>
      <c r="F3373" s="34">
        <f t="shared" si="1709"/>
        <v>417872</v>
      </c>
      <c r="G3373" s="34">
        <f t="shared" si="1709"/>
        <v>417872</v>
      </c>
      <c r="H3373" s="34">
        <f t="shared" si="1702"/>
        <v>38220</v>
      </c>
      <c r="I3373" s="34">
        <f t="shared" si="1702"/>
        <v>38220</v>
      </c>
      <c r="J3373" s="34">
        <f t="shared" si="1703"/>
        <v>1208628</v>
      </c>
      <c r="K3373" s="133">
        <v>1000</v>
      </c>
      <c r="L3373" s="34"/>
      <c r="M3373" s="16">
        <f t="shared" si="1705"/>
        <v>351482.16256372177</v>
      </c>
      <c r="N3373" s="36">
        <v>735</v>
      </c>
      <c r="O3373" s="36">
        <v>18</v>
      </c>
      <c r="P3373" s="56">
        <v>20384</v>
      </c>
      <c r="Q3373" s="2" t="s">
        <v>183</v>
      </c>
      <c r="R3373" s="2" t="s">
        <v>644</v>
      </c>
      <c r="S3373" s="56">
        <f t="shared" si="1708"/>
        <v>15288</v>
      </c>
    </row>
    <row r="3374" spans="1:19" x14ac:dyDescent="0.2">
      <c r="A3374" s="8" t="str">
        <f t="shared" si="1704"/>
        <v>9023311</v>
      </c>
      <c r="B3374" s="8">
        <v>902</v>
      </c>
      <c r="C3374" s="8">
        <v>33</v>
      </c>
      <c r="D3374" s="8" t="s">
        <v>62</v>
      </c>
      <c r="E3374" s="8">
        <v>1</v>
      </c>
      <c r="F3374" s="34">
        <f t="shared" si="1709"/>
        <v>108643</v>
      </c>
      <c r="G3374" s="34">
        <f t="shared" si="1709"/>
        <v>108643</v>
      </c>
      <c r="H3374" s="34">
        <f t="shared" si="1702"/>
        <v>39747</v>
      </c>
      <c r="I3374" s="34">
        <f t="shared" si="1702"/>
        <v>39747</v>
      </c>
      <c r="J3374" s="34">
        <f t="shared" si="1703"/>
        <v>84808</v>
      </c>
      <c r="K3374" s="133">
        <v>1000</v>
      </c>
      <c r="L3374" s="34"/>
      <c r="M3374" s="16">
        <f t="shared" si="1705"/>
        <v>48412.939195210565</v>
      </c>
      <c r="N3374" s="36">
        <v>810</v>
      </c>
      <c r="O3374" s="36">
        <v>1</v>
      </c>
      <c r="P3374" s="56">
        <v>21198.799999999999</v>
      </c>
      <c r="Q3374" s="2" t="s">
        <v>183</v>
      </c>
      <c r="R3374" s="2" t="s">
        <v>645</v>
      </c>
      <c r="S3374" s="56">
        <f t="shared" si="1708"/>
        <v>15899.099999999999</v>
      </c>
    </row>
    <row r="3375" spans="1:19" x14ac:dyDescent="0.2">
      <c r="A3375" s="8" t="str">
        <f t="shared" si="1704"/>
        <v>9023319</v>
      </c>
      <c r="B3375" s="8">
        <v>902</v>
      </c>
      <c r="C3375" s="8">
        <v>33</v>
      </c>
      <c r="D3375" s="8" t="s">
        <v>62</v>
      </c>
      <c r="E3375" s="8">
        <v>9</v>
      </c>
      <c r="F3375" s="34">
        <f t="shared" si="1709"/>
        <v>434575</v>
      </c>
      <c r="G3375" s="34">
        <f t="shared" si="1709"/>
        <v>434575</v>
      </c>
      <c r="H3375" s="34">
        <f t="shared" si="1702"/>
        <v>39747</v>
      </c>
      <c r="I3375" s="34">
        <f t="shared" si="1702"/>
        <v>39747</v>
      </c>
      <c r="J3375" s="34">
        <f t="shared" ref="J3375:J3438" si="1710">ROUNDDOWN($P3375/4*$O3375*10*$N3375/$Q3375*$N3375/400*0.8,0)</f>
        <v>1256940</v>
      </c>
      <c r="K3375" s="133">
        <v>1000</v>
      </c>
      <c r="L3375" s="34"/>
      <c r="M3375" s="16">
        <f t="shared" si="1705"/>
        <v>372762.14950146218</v>
      </c>
      <c r="N3375" s="36">
        <v>735</v>
      </c>
      <c r="O3375" s="36">
        <v>18</v>
      </c>
      <c r="P3375" s="56">
        <v>21198.799999999999</v>
      </c>
      <c r="Q3375" s="2" t="s">
        <v>183</v>
      </c>
      <c r="R3375" s="2" t="s">
        <v>645</v>
      </c>
      <c r="S3375" s="56">
        <f t="shared" si="1708"/>
        <v>15899.099999999999</v>
      </c>
    </row>
    <row r="3376" spans="1:19" x14ac:dyDescent="0.2">
      <c r="A3376" s="8" t="str">
        <f t="shared" si="1704"/>
        <v>9023411</v>
      </c>
      <c r="B3376" s="8">
        <v>902</v>
      </c>
      <c r="C3376" s="8">
        <v>34</v>
      </c>
      <c r="D3376" s="8" t="s">
        <v>62</v>
      </c>
      <c r="E3376" s="8">
        <v>1</v>
      </c>
      <c r="F3376" s="34">
        <f t="shared" si="1709"/>
        <v>112988</v>
      </c>
      <c r="G3376" s="34">
        <f t="shared" si="1709"/>
        <v>112988</v>
      </c>
      <c r="H3376" s="34">
        <f t="shared" si="1702"/>
        <v>41337</v>
      </c>
      <c r="I3376" s="34">
        <f t="shared" si="1702"/>
        <v>41337</v>
      </c>
      <c r="J3376" s="34">
        <f t="shared" si="1710"/>
        <v>88199</v>
      </c>
      <c r="K3376" s="133">
        <v>1000</v>
      </c>
      <c r="L3376" s="34"/>
      <c r="M3376" s="16">
        <f t="shared" si="1705"/>
        <v>51346.099211324348</v>
      </c>
      <c r="N3376" s="36">
        <v>810</v>
      </c>
      <c r="O3376" s="36">
        <v>1</v>
      </c>
      <c r="P3376" s="56">
        <v>22046.5</v>
      </c>
      <c r="Q3376" s="2" t="s">
        <v>183</v>
      </c>
      <c r="R3376" s="2" t="s">
        <v>646</v>
      </c>
      <c r="S3376" s="56">
        <f t="shared" si="1708"/>
        <v>16534.875</v>
      </c>
    </row>
    <row r="3377" spans="1:21" x14ac:dyDescent="0.2">
      <c r="A3377" s="8" t="str">
        <f t="shared" si="1704"/>
        <v>9023419</v>
      </c>
      <c r="B3377" s="8">
        <v>902</v>
      </c>
      <c r="C3377" s="8">
        <v>34</v>
      </c>
      <c r="D3377" s="8" t="s">
        <v>62</v>
      </c>
      <c r="E3377" s="8">
        <v>9</v>
      </c>
      <c r="F3377" s="34">
        <f t="shared" si="1709"/>
        <v>451953</v>
      </c>
      <c r="G3377" s="34">
        <f t="shared" si="1709"/>
        <v>451953</v>
      </c>
      <c r="H3377" s="34">
        <f t="shared" si="1702"/>
        <v>41337</v>
      </c>
      <c r="I3377" s="34">
        <f t="shared" si="1702"/>
        <v>41337</v>
      </c>
      <c r="J3377" s="34">
        <f t="shared" si="1710"/>
        <v>1307202</v>
      </c>
      <c r="K3377" s="133">
        <v>1000</v>
      </c>
      <c r="L3377" s="34"/>
      <c r="M3377" s="16">
        <f t="shared" si="1705"/>
        <v>395346.09460306767</v>
      </c>
      <c r="N3377" s="36">
        <v>735</v>
      </c>
      <c r="O3377" s="36">
        <v>18</v>
      </c>
      <c r="P3377" s="56">
        <v>22046.5</v>
      </c>
      <c r="Q3377" s="2" t="s">
        <v>183</v>
      </c>
      <c r="R3377" s="2" t="s">
        <v>646</v>
      </c>
      <c r="S3377" s="56">
        <f t="shared" si="1708"/>
        <v>16534.875</v>
      </c>
    </row>
    <row r="3378" spans="1:21" x14ac:dyDescent="0.2">
      <c r="A3378" s="8" t="str">
        <f t="shared" si="1704"/>
        <v>9023511</v>
      </c>
      <c r="B3378" s="8">
        <v>902</v>
      </c>
      <c r="C3378" s="8">
        <v>35</v>
      </c>
      <c r="D3378" s="8" t="s">
        <v>62</v>
      </c>
      <c r="E3378" s="8">
        <v>1</v>
      </c>
      <c r="F3378" s="34">
        <f t="shared" si="1709"/>
        <v>117504</v>
      </c>
      <c r="G3378" s="34">
        <f t="shared" si="1709"/>
        <v>117504</v>
      </c>
      <c r="H3378" s="34">
        <f t="shared" si="1702"/>
        <v>42989</v>
      </c>
      <c r="I3378" s="34">
        <f t="shared" si="1702"/>
        <v>42989</v>
      </c>
      <c r="J3378" s="34">
        <f t="shared" si="1710"/>
        <v>91725</v>
      </c>
      <c r="K3378" s="133">
        <v>1000</v>
      </c>
      <c r="L3378" s="34"/>
      <c r="M3378" s="16">
        <f t="shared" si="1705"/>
        <v>54455.135624202056</v>
      </c>
      <c r="N3378" s="36">
        <v>810</v>
      </c>
      <c r="O3378" s="36">
        <v>1</v>
      </c>
      <c r="P3378" s="56">
        <v>22927.8</v>
      </c>
      <c r="Q3378" s="2" t="s">
        <v>183</v>
      </c>
      <c r="R3378" s="2" t="s">
        <v>647</v>
      </c>
      <c r="S3378" s="56">
        <f t="shared" si="1708"/>
        <v>17195.849999999999</v>
      </c>
      <c r="U3378" s="232"/>
    </row>
    <row r="3379" spans="1:21" x14ac:dyDescent="0.2">
      <c r="A3379" s="8" t="str">
        <f t="shared" si="1704"/>
        <v>9023519</v>
      </c>
      <c r="B3379" s="8">
        <v>902</v>
      </c>
      <c r="C3379" s="8">
        <v>35</v>
      </c>
      <c r="D3379" s="8" t="s">
        <v>62</v>
      </c>
      <c r="E3379" s="8">
        <v>9</v>
      </c>
      <c r="F3379" s="34">
        <f t="shared" si="1709"/>
        <v>470019</v>
      </c>
      <c r="G3379" s="34">
        <f t="shared" si="1709"/>
        <v>470019</v>
      </c>
      <c r="H3379" s="34">
        <f t="shared" si="1702"/>
        <v>42989</v>
      </c>
      <c r="I3379" s="34">
        <f t="shared" si="1702"/>
        <v>42989</v>
      </c>
      <c r="J3379" s="34">
        <f t="shared" si="1710"/>
        <v>1359457</v>
      </c>
      <c r="K3379" s="133">
        <v>1000</v>
      </c>
      <c r="L3379" s="34"/>
      <c r="M3379" s="16">
        <f t="shared" si="1705"/>
        <v>419284.78508662339</v>
      </c>
      <c r="N3379" s="36">
        <v>735</v>
      </c>
      <c r="O3379" s="36">
        <v>18</v>
      </c>
      <c r="P3379" s="56">
        <v>22927.8</v>
      </c>
      <c r="Q3379" s="2" t="s">
        <v>183</v>
      </c>
      <c r="R3379" s="2" t="s">
        <v>647</v>
      </c>
      <c r="S3379" s="56">
        <f t="shared" si="1708"/>
        <v>17195.849999999999</v>
      </c>
      <c r="U3379" s="232"/>
    </row>
    <row r="3380" spans="1:21" x14ac:dyDescent="0.2">
      <c r="A3380" s="43" t="str">
        <f t="shared" si="1704"/>
        <v>9023611</v>
      </c>
      <c r="B3380" s="43">
        <v>902</v>
      </c>
      <c r="C3380" s="43">
        <v>36</v>
      </c>
      <c r="D3380" s="43" t="s">
        <v>62</v>
      </c>
      <c r="E3380" s="43">
        <v>1</v>
      </c>
      <c r="F3380" s="44">
        <f t="shared" si="1709"/>
        <v>114800</v>
      </c>
      <c r="G3380" s="44">
        <f t="shared" si="1709"/>
        <v>114800</v>
      </c>
      <c r="H3380" s="44">
        <f t="shared" si="1702"/>
        <v>42000</v>
      </c>
      <c r="I3380" s="44">
        <f t="shared" si="1702"/>
        <v>42000</v>
      </c>
      <c r="J3380" s="44">
        <f t="shared" si="1710"/>
        <v>89613</v>
      </c>
      <c r="K3380" s="228">
        <v>1000</v>
      </c>
      <c r="L3380" s="44"/>
      <c r="M3380" s="229">
        <f t="shared" si="1705"/>
        <v>52586.114717860641</v>
      </c>
      <c r="N3380" s="36">
        <v>810</v>
      </c>
      <c r="O3380" s="230">
        <v>1</v>
      </c>
      <c r="P3380" s="231">
        <v>22400</v>
      </c>
      <c r="Q3380" s="51" t="s">
        <v>183</v>
      </c>
      <c r="R3380" s="51" t="s">
        <v>169</v>
      </c>
      <c r="S3380" s="231">
        <f t="shared" si="1708"/>
        <v>16800</v>
      </c>
      <c r="U3380" s="232"/>
    </row>
    <row r="3381" spans="1:21" x14ac:dyDescent="0.2">
      <c r="A3381" s="43" t="str">
        <f t="shared" si="1704"/>
        <v>9023619</v>
      </c>
      <c r="B3381" s="43">
        <v>902</v>
      </c>
      <c r="C3381" s="43">
        <v>36</v>
      </c>
      <c r="D3381" s="43" t="s">
        <v>62</v>
      </c>
      <c r="E3381" s="43">
        <v>9</v>
      </c>
      <c r="F3381" s="44">
        <f t="shared" si="1709"/>
        <v>459200</v>
      </c>
      <c r="G3381" s="44">
        <f t="shared" si="1709"/>
        <v>459200</v>
      </c>
      <c r="H3381" s="44">
        <f t="shared" si="1702"/>
        <v>42000</v>
      </c>
      <c r="I3381" s="44">
        <f t="shared" si="1702"/>
        <v>42000</v>
      </c>
      <c r="J3381" s="44">
        <f t="shared" si="1710"/>
        <v>1328162</v>
      </c>
      <c r="K3381" s="228">
        <v>1000</v>
      </c>
      <c r="L3381" s="44"/>
      <c r="M3381" s="229">
        <f t="shared" si="1705"/>
        <v>404893.77251264313</v>
      </c>
      <c r="N3381" s="36">
        <v>735</v>
      </c>
      <c r="O3381" s="230">
        <v>18</v>
      </c>
      <c r="P3381" s="231">
        <v>22400</v>
      </c>
      <c r="Q3381" s="51" t="s">
        <v>183</v>
      </c>
      <c r="R3381" s="51" t="s">
        <v>169</v>
      </c>
      <c r="S3381" s="231">
        <f t="shared" si="1708"/>
        <v>16800</v>
      </c>
      <c r="U3381" s="232"/>
    </row>
    <row r="3382" spans="1:21" x14ac:dyDescent="0.2">
      <c r="A3382" s="43" t="str">
        <f t="shared" ref="A3382:A3445" si="1711">IF(B3382="","",CONCATENATE(B3382,CONCATENATE(REPT(0,2-LEN(C3382)),C3382),IF(OR(D3382="Easy",D3382=""),1,IF(D3382="Normal",2,IF(D3382="Hard",3,IF(D3382="Hell",4,"error")))),E3382))</f>
        <v>9023711</v>
      </c>
      <c r="B3382" s="43">
        <v>902</v>
      </c>
      <c r="C3382" s="43">
        <v>37</v>
      </c>
      <c r="D3382" s="43" t="s">
        <v>62</v>
      </c>
      <c r="E3382" s="43">
        <v>1</v>
      </c>
      <c r="F3382" s="44">
        <f t="shared" si="1709"/>
        <v>161437</v>
      </c>
      <c r="G3382" s="44">
        <f t="shared" si="1709"/>
        <v>161437</v>
      </c>
      <c r="H3382" s="44">
        <f t="shared" si="1702"/>
        <v>59062</v>
      </c>
      <c r="I3382" s="44">
        <f t="shared" si="1702"/>
        <v>59062</v>
      </c>
      <c r="J3382" s="44">
        <f t="shared" si="1710"/>
        <v>126019</v>
      </c>
      <c r="K3382" s="228">
        <v>1000</v>
      </c>
      <c r="L3382" s="44"/>
      <c r="M3382" s="229">
        <f t="shared" si="1705"/>
        <v>87692.735020184147</v>
      </c>
      <c r="N3382" s="36">
        <v>810</v>
      </c>
      <c r="O3382" s="230">
        <v>1</v>
      </c>
      <c r="P3382" s="231">
        <v>31499.999999999996</v>
      </c>
      <c r="Q3382" s="51" t="s">
        <v>183</v>
      </c>
      <c r="R3382" s="51" t="s">
        <v>648</v>
      </c>
      <c r="S3382" s="231">
        <f t="shared" si="1708"/>
        <v>23624.999999999996</v>
      </c>
    </row>
    <row r="3383" spans="1:21" x14ac:dyDescent="0.2">
      <c r="A3383" s="43" t="str">
        <f t="shared" si="1711"/>
        <v>9023719</v>
      </c>
      <c r="B3383" s="43">
        <v>902</v>
      </c>
      <c r="C3383" s="43">
        <v>37</v>
      </c>
      <c r="D3383" s="43" t="s">
        <v>62</v>
      </c>
      <c r="E3383" s="43">
        <v>9</v>
      </c>
      <c r="F3383" s="44">
        <f t="shared" si="1709"/>
        <v>645750</v>
      </c>
      <c r="G3383" s="44">
        <f t="shared" si="1709"/>
        <v>645750</v>
      </c>
      <c r="H3383" s="44">
        <f t="shared" si="1702"/>
        <v>59062</v>
      </c>
      <c r="I3383" s="44">
        <f t="shared" si="1702"/>
        <v>59062</v>
      </c>
      <c r="J3383" s="44">
        <f t="shared" si="1710"/>
        <v>1867729</v>
      </c>
      <c r="K3383" s="228">
        <v>1000</v>
      </c>
      <c r="L3383" s="44"/>
      <c r="M3383" s="229">
        <f t="shared" si="1705"/>
        <v>675201.19163571869</v>
      </c>
      <c r="N3383" s="36">
        <v>735</v>
      </c>
      <c r="O3383" s="230">
        <v>18</v>
      </c>
      <c r="P3383" s="231">
        <v>31499.999999999996</v>
      </c>
      <c r="Q3383" s="51" t="s">
        <v>183</v>
      </c>
      <c r="R3383" s="51" t="s">
        <v>648</v>
      </c>
      <c r="S3383" s="231">
        <f t="shared" si="1708"/>
        <v>23624.999999999996</v>
      </c>
    </row>
    <row r="3384" spans="1:21" x14ac:dyDescent="0.2">
      <c r="A3384" s="8" t="str">
        <f t="shared" si="1711"/>
        <v>9023811</v>
      </c>
      <c r="B3384" s="8">
        <v>902</v>
      </c>
      <c r="C3384" s="8">
        <v>38</v>
      </c>
      <c r="D3384" s="8" t="s">
        <v>62</v>
      </c>
      <c r="E3384" s="8">
        <v>1</v>
      </c>
      <c r="F3384" s="34">
        <f t="shared" si="1709"/>
        <v>185921</v>
      </c>
      <c r="G3384" s="34">
        <f t="shared" si="1709"/>
        <v>185921</v>
      </c>
      <c r="H3384" s="34">
        <f t="shared" si="1702"/>
        <v>68020</v>
      </c>
      <c r="I3384" s="34">
        <f t="shared" si="1702"/>
        <v>68020</v>
      </c>
      <c r="J3384" s="34">
        <f t="shared" si="1710"/>
        <v>145131</v>
      </c>
      <c r="K3384" s="133">
        <v>1000</v>
      </c>
      <c r="L3384" s="34"/>
      <c r="M3384" s="16">
        <f t="shared" si="1705"/>
        <v>108380.86627536491</v>
      </c>
      <c r="N3384" s="36">
        <v>810</v>
      </c>
      <c r="O3384" s="36">
        <v>1</v>
      </c>
      <c r="P3384" s="56">
        <v>36277.409</v>
      </c>
      <c r="Q3384" s="2" t="s">
        <v>183</v>
      </c>
      <c r="R3384" s="2" t="s">
        <v>649</v>
      </c>
      <c r="S3384" s="56">
        <f t="shared" si="1708"/>
        <v>27208.05675</v>
      </c>
    </row>
    <row r="3385" spans="1:21" x14ac:dyDescent="0.2">
      <c r="A3385" s="8" t="str">
        <f t="shared" si="1711"/>
        <v>9023819</v>
      </c>
      <c r="B3385" s="8">
        <v>902</v>
      </c>
      <c r="C3385" s="8">
        <v>38</v>
      </c>
      <c r="D3385" s="8" t="s">
        <v>62</v>
      </c>
      <c r="E3385" s="8">
        <v>9</v>
      </c>
      <c r="F3385" s="34">
        <f t="shared" si="1709"/>
        <v>743686</v>
      </c>
      <c r="G3385" s="34">
        <f t="shared" si="1709"/>
        <v>743686</v>
      </c>
      <c r="H3385" s="34">
        <f t="shared" si="1702"/>
        <v>68020</v>
      </c>
      <c r="I3385" s="34">
        <f t="shared" si="1702"/>
        <v>68020</v>
      </c>
      <c r="J3385" s="34">
        <f t="shared" si="1710"/>
        <v>2150995</v>
      </c>
      <c r="K3385" s="133">
        <v>1000</v>
      </c>
      <c r="L3385" s="34"/>
      <c r="M3385" s="16">
        <f t="shared" si="1705"/>
        <v>834493.2039684403</v>
      </c>
      <c r="N3385" s="36">
        <v>735</v>
      </c>
      <c r="O3385" s="36">
        <v>18</v>
      </c>
      <c r="P3385" s="56">
        <v>36277.409</v>
      </c>
      <c r="Q3385" s="2" t="s">
        <v>183</v>
      </c>
      <c r="R3385" s="2" t="s">
        <v>649</v>
      </c>
      <c r="S3385" s="56">
        <f t="shared" si="1708"/>
        <v>27208.05675</v>
      </c>
    </row>
    <row r="3386" spans="1:21" x14ac:dyDescent="0.2">
      <c r="A3386" s="8" t="str">
        <f t="shared" si="1711"/>
        <v>9023911</v>
      </c>
      <c r="B3386" s="8">
        <v>902</v>
      </c>
      <c r="C3386" s="8">
        <v>39</v>
      </c>
      <c r="D3386" s="8" t="s">
        <v>62</v>
      </c>
      <c r="E3386" s="8">
        <v>1</v>
      </c>
      <c r="F3386" s="34">
        <f t="shared" si="1709"/>
        <v>191499</v>
      </c>
      <c r="G3386" s="34">
        <f t="shared" si="1709"/>
        <v>191499</v>
      </c>
      <c r="H3386" s="34">
        <f t="shared" si="1702"/>
        <v>70060</v>
      </c>
      <c r="I3386" s="34">
        <f t="shared" si="1702"/>
        <v>70060</v>
      </c>
      <c r="J3386" s="34">
        <f t="shared" si="1710"/>
        <v>149485</v>
      </c>
      <c r="K3386" s="133">
        <v>1000</v>
      </c>
      <c r="L3386" s="34"/>
      <c r="M3386" s="16">
        <f t="shared" si="1705"/>
        <v>113294.05378164275</v>
      </c>
      <c r="N3386" s="36">
        <v>810</v>
      </c>
      <c r="O3386" s="36">
        <v>1</v>
      </c>
      <c r="P3386" s="56">
        <v>37365.733999999997</v>
      </c>
      <c r="Q3386" s="2" t="s">
        <v>183</v>
      </c>
      <c r="R3386" s="2" t="s">
        <v>650</v>
      </c>
      <c r="S3386" s="56">
        <f t="shared" si="1708"/>
        <v>28024.300499999998</v>
      </c>
    </row>
    <row r="3387" spans="1:21" x14ac:dyDescent="0.2">
      <c r="A3387" s="8" t="str">
        <f t="shared" si="1711"/>
        <v>9023919</v>
      </c>
      <c r="B3387" s="8">
        <v>902</v>
      </c>
      <c r="C3387" s="8">
        <v>39</v>
      </c>
      <c r="D3387" s="8" t="s">
        <v>62</v>
      </c>
      <c r="E3387" s="8">
        <v>9</v>
      </c>
      <c r="F3387" s="34">
        <f t="shared" si="1709"/>
        <v>765997</v>
      </c>
      <c r="G3387" s="34">
        <f t="shared" si="1709"/>
        <v>765997</v>
      </c>
      <c r="H3387" s="34">
        <f t="shared" si="1702"/>
        <v>70060</v>
      </c>
      <c r="I3387" s="34">
        <f t="shared" si="1702"/>
        <v>70060</v>
      </c>
      <c r="J3387" s="34">
        <f t="shared" si="1710"/>
        <v>2215526</v>
      </c>
      <c r="K3387" s="133">
        <v>1000</v>
      </c>
      <c r="L3387" s="34"/>
      <c r="M3387" s="16">
        <f t="shared" ref="M3387:M3450" si="1712">(F3387*J3387*((H3387+I3387)/2)/1000)^(1/2)/10*0.8</f>
        <v>872322.37723705906</v>
      </c>
      <c r="N3387" s="36">
        <v>735</v>
      </c>
      <c r="O3387" s="36">
        <v>18</v>
      </c>
      <c r="P3387" s="56">
        <v>37365.733999999997</v>
      </c>
      <c r="Q3387" s="2" t="s">
        <v>183</v>
      </c>
      <c r="R3387" s="2" t="s">
        <v>650</v>
      </c>
      <c r="S3387" s="56">
        <f t="shared" si="1708"/>
        <v>28024.300499999998</v>
      </c>
    </row>
    <row r="3388" spans="1:21" x14ac:dyDescent="0.2">
      <c r="A3388" s="8" t="str">
        <f t="shared" si="1711"/>
        <v>9024011</v>
      </c>
      <c r="B3388" s="8">
        <v>902</v>
      </c>
      <c r="C3388" s="8">
        <v>40</v>
      </c>
      <c r="D3388" s="8" t="s">
        <v>62</v>
      </c>
      <c r="E3388" s="8">
        <v>1</v>
      </c>
      <c r="F3388" s="34">
        <f t="shared" si="1709"/>
        <v>197244</v>
      </c>
      <c r="G3388" s="34">
        <f t="shared" si="1709"/>
        <v>197244</v>
      </c>
      <c r="H3388" s="34">
        <f t="shared" si="1702"/>
        <v>72162</v>
      </c>
      <c r="I3388" s="34">
        <f t="shared" si="1702"/>
        <v>72162</v>
      </c>
      <c r="J3388" s="34">
        <f t="shared" si="1710"/>
        <v>153970</v>
      </c>
      <c r="K3388" s="133">
        <v>1000</v>
      </c>
      <c r="L3388" s="34"/>
      <c r="M3388" s="16">
        <f t="shared" si="1712"/>
        <v>118430.68007008753</v>
      </c>
      <c r="N3388" s="36">
        <v>810</v>
      </c>
      <c r="O3388" s="36">
        <v>1</v>
      </c>
      <c r="P3388" s="56">
        <v>38486.699999999997</v>
      </c>
      <c r="Q3388" s="2" t="s">
        <v>183</v>
      </c>
      <c r="R3388" s="2" t="s">
        <v>651</v>
      </c>
      <c r="S3388" s="56">
        <f t="shared" si="1708"/>
        <v>28865.024999999998</v>
      </c>
    </row>
    <row r="3389" spans="1:21" x14ac:dyDescent="0.2">
      <c r="A3389" s="8" t="str">
        <f t="shared" si="1711"/>
        <v>9024019</v>
      </c>
      <c r="B3389" s="8">
        <v>902</v>
      </c>
      <c r="C3389" s="8">
        <v>40</v>
      </c>
      <c r="D3389" s="8" t="s">
        <v>62</v>
      </c>
      <c r="E3389" s="8">
        <v>9</v>
      </c>
      <c r="F3389" s="34">
        <f t="shared" si="1709"/>
        <v>788977</v>
      </c>
      <c r="G3389" s="34">
        <f t="shared" si="1709"/>
        <v>788977</v>
      </c>
      <c r="H3389" s="34">
        <f t="shared" si="1702"/>
        <v>72162</v>
      </c>
      <c r="I3389" s="34">
        <f t="shared" si="1702"/>
        <v>72162</v>
      </c>
      <c r="J3389" s="34">
        <f t="shared" si="1710"/>
        <v>2281991</v>
      </c>
      <c r="K3389" s="133">
        <v>1000</v>
      </c>
      <c r="L3389" s="34"/>
      <c r="M3389" s="16">
        <f t="shared" si="1712"/>
        <v>911870.99710024707</v>
      </c>
      <c r="N3389" s="36">
        <v>735</v>
      </c>
      <c r="O3389" s="36">
        <v>18</v>
      </c>
      <c r="P3389" s="56">
        <v>38486.699999999997</v>
      </c>
      <c r="Q3389" s="2" t="s">
        <v>183</v>
      </c>
      <c r="R3389" s="2" t="s">
        <v>651</v>
      </c>
      <c r="S3389" s="56">
        <f t="shared" si="1708"/>
        <v>28865.024999999998</v>
      </c>
    </row>
    <row r="3390" spans="1:21" x14ac:dyDescent="0.2">
      <c r="A3390" s="8" t="str">
        <f t="shared" si="1711"/>
        <v>9024111</v>
      </c>
      <c r="B3390" s="8">
        <v>902</v>
      </c>
      <c r="C3390" s="8">
        <v>41</v>
      </c>
      <c r="D3390" s="8" t="s">
        <v>62</v>
      </c>
      <c r="E3390" s="8">
        <v>1</v>
      </c>
      <c r="F3390" s="34">
        <f t="shared" ref="F3390:G3409" si="1713">ROUNDDOWN($P3390/4*MIN($O3390,4)*10*$N3390/$N3390*$Q3390/400,0)</f>
        <v>211051</v>
      </c>
      <c r="G3390" s="34">
        <f t="shared" si="1713"/>
        <v>211051</v>
      </c>
      <c r="H3390" s="34">
        <f t="shared" si="1702"/>
        <v>77213</v>
      </c>
      <c r="I3390" s="34">
        <f t="shared" si="1702"/>
        <v>77213</v>
      </c>
      <c r="J3390" s="34">
        <f t="shared" si="1710"/>
        <v>164748</v>
      </c>
      <c r="K3390" s="133">
        <v>1000</v>
      </c>
      <c r="L3390" s="34"/>
      <c r="M3390" s="16">
        <f t="shared" si="1712"/>
        <v>131080.76973634292</v>
      </c>
      <c r="N3390" s="36">
        <v>810</v>
      </c>
      <c r="O3390" s="36">
        <v>1</v>
      </c>
      <c r="P3390" s="56">
        <v>41180.768999999993</v>
      </c>
      <c r="Q3390" s="2" t="s">
        <v>183</v>
      </c>
      <c r="R3390" s="2" t="s">
        <v>652</v>
      </c>
      <c r="S3390" s="56">
        <f t="shared" si="1708"/>
        <v>30885.576749999993</v>
      </c>
    </row>
    <row r="3391" spans="1:21" x14ac:dyDescent="0.2">
      <c r="A3391" s="8" t="str">
        <f t="shared" si="1711"/>
        <v>9024119</v>
      </c>
      <c r="B3391" s="8">
        <v>902</v>
      </c>
      <c r="C3391" s="8">
        <v>41</v>
      </c>
      <c r="D3391" s="8" t="s">
        <v>62</v>
      </c>
      <c r="E3391" s="8">
        <v>9</v>
      </c>
      <c r="F3391" s="34">
        <f t="shared" si="1713"/>
        <v>844205</v>
      </c>
      <c r="G3391" s="34">
        <f t="shared" si="1713"/>
        <v>844205</v>
      </c>
      <c r="H3391" s="34">
        <f t="shared" ref="H3391:I3411" si="1714">ROUNDDOWN($S3391/4*10,0)</f>
        <v>77213</v>
      </c>
      <c r="I3391" s="34">
        <f t="shared" si="1714"/>
        <v>77213</v>
      </c>
      <c r="J3391" s="34">
        <f t="shared" si="1710"/>
        <v>2441730</v>
      </c>
      <c r="K3391" s="133">
        <v>1000</v>
      </c>
      <c r="L3391" s="34"/>
      <c r="M3391" s="16">
        <f t="shared" si="1712"/>
        <v>1009271.4306920627</v>
      </c>
      <c r="N3391" s="36">
        <v>735</v>
      </c>
      <c r="O3391" s="36">
        <v>18</v>
      </c>
      <c r="P3391" s="56">
        <v>41180.768999999993</v>
      </c>
      <c r="Q3391" s="2" t="s">
        <v>183</v>
      </c>
      <c r="R3391" s="2" t="s">
        <v>652</v>
      </c>
      <c r="S3391" s="56">
        <f t="shared" si="1708"/>
        <v>30885.576749999993</v>
      </c>
    </row>
    <row r="3392" spans="1:21" x14ac:dyDescent="0.2">
      <c r="A3392" s="8" t="str">
        <f t="shared" si="1711"/>
        <v>9024211</v>
      </c>
      <c r="B3392" s="8">
        <v>902</v>
      </c>
      <c r="C3392" s="8">
        <v>42</v>
      </c>
      <c r="D3392" s="8" t="s">
        <v>62</v>
      </c>
      <c r="E3392" s="8">
        <v>1</v>
      </c>
      <c r="F3392" s="34">
        <f t="shared" si="1713"/>
        <v>217382</v>
      </c>
      <c r="G3392" s="34">
        <f t="shared" si="1713"/>
        <v>217382</v>
      </c>
      <c r="H3392" s="34">
        <f t="shared" si="1714"/>
        <v>79530</v>
      </c>
      <c r="I3392" s="34">
        <f t="shared" si="1714"/>
        <v>79530</v>
      </c>
      <c r="J3392" s="34">
        <f t="shared" si="1710"/>
        <v>169690</v>
      </c>
      <c r="K3392" s="133">
        <v>1000</v>
      </c>
      <c r="L3392" s="34"/>
      <c r="M3392" s="16">
        <f t="shared" si="1712"/>
        <v>137023.60619180682</v>
      </c>
      <c r="N3392" s="36">
        <v>810</v>
      </c>
      <c r="O3392" s="36">
        <v>1</v>
      </c>
      <c r="P3392" s="56">
        <v>42416.191999999995</v>
      </c>
      <c r="Q3392" s="2" t="s">
        <v>183</v>
      </c>
      <c r="R3392" s="2" t="s">
        <v>653</v>
      </c>
      <c r="S3392" s="56">
        <f t="shared" si="1708"/>
        <v>31812.143999999997</v>
      </c>
    </row>
    <row r="3393" spans="1:19" x14ac:dyDescent="0.2">
      <c r="A3393" s="8" t="str">
        <f t="shared" si="1711"/>
        <v>9024219</v>
      </c>
      <c r="B3393" s="8">
        <v>902</v>
      </c>
      <c r="C3393" s="8">
        <v>42</v>
      </c>
      <c r="D3393" s="8" t="s">
        <v>62</v>
      </c>
      <c r="E3393" s="8">
        <v>9</v>
      </c>
      <c r="F3393" s="34">
        <f t="shared" si="1713"/>
        <v>869531</v>
      </c>
      <c r="G3393" s="34">
        <f t="shared" si="1713"/>
        <v>869531</v>
      </c>
      <c r="H3393" s="34">
        <f t="shared" si="1714"/>
        <v>79530</v>
      </c>
      <c r="I3393" s="34">
        <f t="shared" si="1714"/>
        <v>79530</v>
      </c>
      <c r="J3393" s="34">
        <f t="shared" si="1710"/>
        <v>2514982</v>
      </c>
      <c r="K3393" s="133">
        <v>1000</v>
      </c>
      <c r="L3393" s="34"/>
      <c r="M3393" s="16">
        <f t="shared" si="1712"/>
        <v>1055031.5659749098</v>
      </c>
      <c r="N3393" s="36">
        <v>735</v>
      </c>
      <c r="O3393" s="36">
        <v>18</v>
      </c>
      <c r="P3393" s="56">
        <v>42416.191999999995</v>
      </c>
      <c r="Q3393" s="2" t="s">
        <v>183</v>
      </c>
      <c r="R3393" s="2" t="s">
        <v>653</v>
      </c>
      <c r="S3393" s="56">
        <f t="shared" si="1708"/>
        <v>31812.143999999997</v>
      </c>
    </row>
    <row r="3394" spans="1:19" x14ac:dyDescent="0.2">
      <c r="A3394" s="8" t="str">
        <f t="shared" si="1711"/>
        <v>9024311</v>
      </c>
      <c r="B3394" s="8">
        <v>902</v>
      </c>
      <c r="C3394" s="8">
        <v>43</v>
      </c>
      <c r="D3394" s="8" t="s">
        <v>62</v>
      </c>
      <c r="E3394" s="8">
        <v>1</v>
      </c>
      <c r="F3394" s="34">
        <f t="shared" si="1713"/>
        <v>223904</v>
      </c>
      <c r="G3394" s="34">
        <f t="shared" si="1713"/>
        <v>223904</v>
      </c>
      <c r="H3394" s="34">
        <f t="shared" si="1714"/>
        <v>81916</v>
      </c>
      <c r="I3394" s="34">
        <f t="shared" si="1714"/>
        <v>81916</v>
      </c>
      <c r="J3394" s="34">
        <f t="shared" si="1710"/>
        <v>174781</v>
      </c>
      <c r="K3394" s="133">
        <v>1000</v>
      </c>
      <c r="L3394" s="34"/>
      <c r="M3394" s="16">
        <f t="shared" si="1712"/>
        <v>143236.06835388319</v>
      </c>
      <c r="N3394" s="36">
        <v>810</v>
      </c>
      <c r="O3394" s="36">
        <v>1</v>
      </c>
      <c r="P3394" s="56">
        <v>43688.68</v>
      </c>
      <c r="Q3394" s="2" t="s">
        <v>183</v>
      </c>
      <c r="R3394" s="2" t="s">
        <v>654</v>
      </c>
      <c r="S3394" s="56">
        <f t="shared" si="1708"/>
        <v>32766.510000000002</v>
      </c>
    </row>
    <row r="3395" spans="1:19" x14ac:dyDescent="0.2">
      <c r="A3395" s="8" t="str">
        <f t="shared" si="1711"/>
        <v>9024319</v>
      </c>
      <c r="B3395" s="8">
        <v>902</v>
      </c>
      <c r="C3395" s="8">
        <v>43</v>
      </c>
      <c r="D3395" s="8" t="s">
        <v>62</v>
      </c>
      <c r="E3395" s="8">
        <v>9</v>
      </c>
      <c r="F3395" s="34">
        <f t="shared" si="1713"/>
        <v>895617</v>
      </c>
      <c r="G3395" s="34">
        <f t="shared" si="1713"/>
        <v>895617</v>
      </c>
      <c r="H3395" s="34">
        <f t="shared" si="1714"/>
        <v>81916</v>
      </c>
      <c r="I3395" s="34">
        <f t="shared" si="1714"/>
        <v>81916</v>
      </c>
      <c r="J3395" s="34">
        <f t="shared" si="1710"/>
        <v>2590432</v>
      </c>
      <c r="K3395" s="133">
        <v>1000</v>
      </c>
      <c r="L3395" s="34"/>
      <c r="M3395" s="16">
        <f t="shared" si="1712"/>
        <v>1102863.13018271</v>
      </c>
      <c r="N3395" s="36">
        <v>735</v>
      </c>
      <c r="O3395" s="36">
        <v>18</v>
      </c>
      <c r="P3395" s="56">
        <v>43688.68</v>
      </c>
      <c r="Q3395" s="2" t="s">
        <v>183</v>
      </c>
      <c r="R3395" s="2" t="s">
        <v>654</v>
      </c>
      <c r="S3395" s="56">
        <f t="shared" si="1708"/>
        <v>32766.510000000002</v>
      </c>
    </row>
    <row r="3396" spans="1:19" x14ac:dyDescent="0.2">
      <c r="A3396" s="8" t="str">
        <f t="shared" si="1711"/>
        <v>9024411</v>
      </c>
      <c r="B3396" s="8">
        <v>902</v>
      </c>
      <c r="C3396" s="8">
        <v>44</v>
      </c>
      <c r="D3396" s="8" t="s">
        <v>62</v>
      </c>
      <c r="E3396" s="8">
        <v>1</v>
      </c>
      <c r="F3396" s="34">
        <f t="shared" si="1713"/>
        <v>230621</v>
      </c>
      <c r="G3396" s="34">
        <f t="shared" si="1713"/>
        <v>230621</v>
      </c>
      <c r="H3396" s="34">
        <f t="shared" si="1714"/>
        <v>84373</v>
      </c>
      <c r="I3396" s="34">
        <f t="shared" si="1714"/>
        <v>84373</v>
      </c>
      <c r="J3396" s="34">
        <f t="shared" si="1710"/>
        <v>180024</v>
      </c>
      <c r="K3396" s="133">
        <v>1000</v>
      </c>
      <c r="L3396" s="34"/>
      <c r="M3396" s="16">
        <f t="shared" si="1712"/>
        <v>149729.15089096455</v>
      </c>
      <c r="N3396" s="36">
        <v>810</v>
      </c>
      <c r="O3396" s="36">
        <v>1</v>
      </c>
      <c r="P3396" s="56">
        <v>44999.338999999993</v>
      </c>
      <c r="Q3396" s="2" t="s">
        <v>183</v>
      </c>
      <c r="R3396" s="2" t="s">
        <v>655</v>
      </c>
      <c r="S3396" s="56">
        <f t="shared" si="1708"/>
        <v>33749.504249999998</v>
      </c>
    </row>
    <row r="3397" spans="1:19" x14ac:dyDescent="0.2">
      <c r="A3397" s="8" t="str">
        <f t="shared" si="1711"/>
        <v>9024419</v>
      </c>
      <c r="B3397" s="8">
        <v>902</v>
      </c>
      <c r="C3397" s="8">
        <v>44</v>
      </c>
      <c r="D3397" s="8" t="s">
        <v>62</v>
      </c>
      <c r="E3397" s="8">
        <v>9</v>
      </c>
      <c r="F3397" s="34">
        <f t="shared" si="1713"/>
        <v>922486</v>
      </c>
      <c r="G3397" s="34">
        <f t="shared" si="1713"/>
        <v>922486</v>
      </c>
      <c r="H3397" s="34">
        <f t="shared" si="1714"/>
        <v>84373</v>
      </c>
      <c r="I3397" s="34">
        <f t="shared" si="1714"/>
        <v>84373</v>
      </c>
      <c r="J3397" s="34">
        <f t="shared" si="1710"/>
        <v>2668145</v>
      </c>
      <c r="K3397" s="133">
        <v>1000</v>
      </c>
      <c r="L3397" s="34"/>
      <c r="M3397" s="16">
        <f t="shared" si="1712"/>
        <v>1152859.3824034964</v>
      </c>
      <c r="N3397" s="36">
        <v>735</v>
      </c>
      <c r="O3397" s="36">
        <v>18</v>
      </c>
      <c r="P3397" s="56">
        <v>44999.338999999993</v>
      </c>
      <c r="Q3397" s="2" t="s">
        <v>183</v>
      </c>
      <c r="R3397" s="2" t="s">
        <v>655</v>
      </c>
      <c r="S3397" s="56">
        <f t="shared" si="1708"/>
        <v>33749.504249999998</v>
      </c>
    </row>
    <row r="3398" spans="1:19" x14ac:dyDescent="0.2">
      <c r="A3398" s="8" t="str">
        <f t="shared" si="1711"/>
        <v>9024511</v>
      </c>
      <c r="B3398" s="8">
        <v>902</v>
      </c>
      <c r="C3398" s="8">
        <v>45</v>
      </c>
      <c r="D3398" s="8" t="s">
        <v>62</v>
      </c>
      <c r="E3398" s="8">
        <v>1</v>
      </c>
      <c r="F3398" s="34">
        <f t="shared" si="1713"/>
        <v>237540</v>
      </c>
      <c r="G3398" s="34">
        <f t="shared" si="1713"/>
        <v>237540</v>
      </c>
      <c r="H3398" s="34">
        <f t="shared" si="1714"/>
        <v>86904</v>
      </c>
      <c r="I3398" s="34">
        <f t="shared" si="1714"/>
        <v>86904</v>
      </c>
      <c r="J3398" s="34">
        <f t="shared" si="1710"/>
        <v>185425</v>
      </c>
      <c r="K3398" s="133">
        <v>1000</v>
      </c>
      <c r="L3398" s="34"/>
      <c r="M3398" s="16">
        <f t="shared" si="1712"/>
        <v>156517.31537627138</v>
      </c>
      <c r="N3398" s="36">
        <v>810</v>
      </c>
      <c r="O3398" s="36">
        <v>1</v>
      </c>
      <c r="P3398" s="56">
        <v>46349.324000000001</v>
      </c>
      <c r="Q3398" s="2" t="s">
        <v>183</v>
      </c>
      <c r="R3398" s="2" t="s">
        <v>656</v>
      </c>
      <c r="S3398" s="56">
        <f t="shared" si="1708"/>
        <v>34761.993000000002</v>
      </c>
    </row>
    <row r="3399" spans="1:19" x14ac:dyDescent="0.2">
      <c r="A3399" s="8" t="str">
        <f t="shared" si="1711"/>
        <v>9024519</v>
      </c>
      <c r="B3399" s="8">
        <v>902</v>
      </c>
      <c r="C3399" s="8">
        <v>45</v>
      </c>
      <c r="D3399" s="8" t="s">
        <v>62</v>
      </c>
      <c r="E3399" s="8">
        <v>9</v>
      </c>
      <c r="F3399" s="34">
        <f t="shared" si="1713"/>
        <v>950161</v>
      </c>
      <c r="G3399" s="34">
        <f t="shared" si="1713"/>
        <v>950161</v>
      </c>
      <c r="H3399" s="34">
        <f t="shared" si="1714"/>
        <v>86904</v>
      </c>
      <c r="I3399" s="34">
        <f t="shared" si="1714"/>
        <v>86904</v>
      </c>
      <c r="J3399" s="34">
        <f t="shared" si="1710"/>
        <v>2748189</v>
      </c>
      <c r="K3399" s="133">
        <v>1000</v>
      </c>
      <c r="L3399" s="34"/>
      <c r="M3399" s="16">
        <f t="shared" si="1712"/>
        <v>1205124.0929843236</v>
      </c>
      <c r="N3399" s="36">
        <v>735</v>
      </c>
      <c r="O3399" s="36">
        <v>18</v>
      </c>
      <c r="P3399" s="56">
        <v>46349.324000000001</v>
      </c>
      <c r="Q3399" s="2" t="s">
        <v>183</v>
      </c>
      <c r="R3399" s="2" t="s">
        <v>656</v>
      </c>
      <c r="S3399" s="56">
        <f t="shared" si="1708"/>
        <v>34761.993000000002</v>
      </c>
    </row>
    <row r="3400" spans="1:19" x14ac:dyDescent="0.2">
      <c r="A3400" s="18" t="str">
        <f t="shared" si="1711"/>
        <v>9024611</v>
      </c>
      <c r="B3400" s="18">
        <v>902</v>
      </c>
      <c r="C3400" s="18">
        <v>46</v>
      </c>
      <c r="D3400" s="18" t="s">
        <v>62</v>
      </c>
      <c r="E3400" s="18">
        <v>1</v>
      </c>
      <c r="F3400" s="19">
        <f t="shared" si="1713"/>
        <v>241718</v>
      </c>
      <c r="G3400" s="19">
        <f t="shared" si="1713"/>
        <v>241718</v>
      </c>
      <c r="H3400" s="19">
        <f t="shared" si="1714"/>
        <v>45500</v>
      </c>
      <c r="I3400" s="19">
        <f t="shared" si="1714"/>
        <v>45500</v>
      </c>
      <c r="J3400" s="19">
        <f t="shared" si="1710"/>
        <v>175603</v>
      </c>
      <c r="K3400" s="133">
        <v>1000</v>
      </c>
      <c r="L3400" s="19"/>
      <c r="M3400" s="16">
        <f t="shared" si="1712"/>
        <v>111177.30619962333</v>
      </c>
      <c r="N3400" s="36">
        <v>810</v>
      </c>
      <c r="O3400" s="58">
        <v>1</v>
      </c>
      <c r="P3400" s="94">
        <v>45500</v>
      </c>
      <c r="Q3400" s="41" t="s">
        <v>402</v>
      </c>
      <c r="R3400" s="41" t="s">
        <v>657</v>
      </c>
      <c r="S3400" s="94">
        <f t="shared" ref="S3400:S3463" si="1715">P3400*0.4</f>
        <v>18200</v>
      </c>
    </row>
    <row r="3401" spans="1:19" x14ac:dyDescent="0.2">
      <c r="A3401" s="18" t="str">
        <f t="shared" si="1711"/>
        <v>9024619</v>
      </c>
      <c r="B3401" s="18">
        <v>902</v>
      </c>
      <c r="C3401" s="18">
        <v>46</v>
      </c>
      <c r="D3401" s="18" t="s">
        <v>62</v>
      </c>
      <c r="E3401" s="18">
        <v>9</v>
      </c>
      <c r="F3401" s="19">
        <f t="shared" si="1713"/>
        <v>966875</v>
      </c>
      <c r="G3401" s="19">
        <f t="shared" si="1713"/>
        <v>966875</v>
      </c>
      <c r="H3401" s="19">
        <f t="shared" si="1714"/>
        <v>45500</v>
      </c>
      <c r="I3401" s="19">
        <f t="shared" si="1714"/>
        <v>45500</v>
      </c>
      <c r="J3401" s="19">
        <f t="shared" si="1710"/>
        <v>2602613</v>
      </c>
      <c r="K3401" s="133">
        <v>1000</v>
      </c>
      <c r="L3401" s="19"/>
      <c r="M3401" s="16">
        <f t="shared" si="1712"/>
        <v>856023.42292836832</v>
      </c>
      <c r="N3401" s="36">
        <v>735</v>
      </c>
      <c r="O3401" s="58">
        <v>18</v>
      </c>
      <c r="P3401" s="94">
        <v>45500</v>
      </c>
      <c r="Q3401" s="41" t="s">
        <v>402</v>
      </c>
      <c r="R3401" s="41" t="s">
        <v>657</v>
      </c>
      <c r="S3401" s="94">
        <f t="shared" si="1715"/>
        <v>18200</v>
      </c>
    </row>
    <row r="3402" spans="1:19" x14ac:dyDescent="0.2">
      <c r="A3402" s="18" t="str">
        <f t="shared" si="1711"/>
        <v>9024711</v>
      </c>
      <c r="B3402" s="18">
        <v>902</v>
      </c>
      <c r="C3402" s="18">
        <v>47</v>
      </c>
      <c r="D3402" s="18" t="s">
        <v>62</v>
      </c>
      <c r="E3402" s="18">
        <v>1</v>
      </c>
      <c r="F3402" s="19">
        <f t="shared" si="1713"/>
        <v>297500</v>
      </c>
      <c r="G3402" s="19">
        <f t="shared" si="1713"/>
        <v>297500</v>
      </c>
      <c r="H3402" s="19">
        <f t="shared" si="1714"/>
        <v>56000</v>
      </c>
      <c r="I3402" s="19">
        <f t="shared" si="1714"/>
        <v>56000</v>
      </c>
      <c r="J3402" s="19">
        <f t="shared" si="1710"/>
        <v>216127</v>
      </c>
      <c r="K3402" s="133">
        <v>1000</v>
      </c>
      <c r="L3402" s="19"/>
      <c r="M3402" s="16">
        <f t="shared" si="1712"/>
        <v>151803.57455606901</v>
      </c>
      <c r="N3402" s="36">
        <v>810</v>
      </c>
      <c r="O3402" s="58">
        <v>1</v>
      </c>
      <c r="P3402" s="94">
        <v>56000</v>
      </c>
      <c r="Q3402" s="41" t="s">
        <v>402</v>
      </c>
      <c r="R3402" s="41" t="s">
        <v>658</v>
      </c>
      <c r="S3402" s="94">
        <f t="shared" si="1715"/>
        <v>22400</v>
      </c>
    </row>
    <row r="3403" spans="1:19" x14ac:dyDescent="0.2">
      <c r="A3403" s="18" t="str">
        <f t="shared" si="1711"/>
        <v>9024719</v>
      </c>
      <c r="B3403" s="18">
        <v>902</v>
      </c>
      <c r="C3403" s="18">
        <v>47</v>
      </c>
      <c r="D3403" s="18" t="s">
        <v>62</v>
      </c>
      <c r="E3403" s="18">
        <v>9</v>
      </c>
      <c r="F3403" s="19">
        <f t="shared" si="1713"/>
        <v>1190000</v>
      </c>
      <c r="G3403" s="19">
        <f t="shared" si="1713"/>
        <v>1190000</v>
      </c>
      <c r="H3403" s="19">
        <f t="shared" si="1714"/>
        <v>56000</v>
      </c>
      <c r="I3403" s="19">
        <f t="shared" si="1714"/>
        <v>56000</v>
      </c>
      <c r="J3403" s="19">
        <f t="shared" si="1710"/>
        <v>3203216</v>
      </c>
      <c r="K3403" s="133">
        <v>1000</v>
      </c>
      <c r="L3403" s="19"/>
      <c r="M3403" s="16">
        <f t="shared" si="1712"/>
        <v>1168827.9647304816</v>
      </c>
      <c r="N3403" s="36">
        <v>735</v>
      </c>
      <c r="O3403" s="58">
        <v>18</v>
      </c>
      <c r="P3403" s="94">
        <v>56000</v>
      </c>
      <c r="Q3403" s="41" t="s">
        <v>402</v>
      </c>
      <c r="R3403" s="41" t="s">
        <v>658</v>
      </c>
      <c r="S3403" s="94">
        <f t="shared" si="1715"/>
        <v>22400</v>
      </c>
    </row>
    <row r="3404" spans="1:19" x14ac:dyDescent="0.2">
      <c r="A3404" s="8" t="str">
        <f t="shared" si="1711"/>
        <v>9024811</v>
      </c>
      <c r="B3404" s="8">
        <v>902</v>
      </c>
      <c r="C3404" s="8">
        <v>48</v>
      </c>
      <c r="D3404" s="8" t="s">
        <v>62</v>
      </c>
      <c r="E3404" s="8">
        <v>1</v>
      </c>
      <c r="F3404" s="34">
        <f t="shared" si="1713"/>
        <v>422331</v>
      </c>
      <c r="G3404" s="34">
        <f t="shared" si="1713"/>
        <v>422331</v>
      </c>
      <c r="H3404" s="34">
        <f t="shared" si="1714"/>
        <v>79497</v>
      </c>
      <c r="I3404" s="34">
        <f t="shared" si="1714"/>
        <v>79497</v>
      </c>
      <c r="J3404" s="34">
        <f t="shared" si="1710"/>
        <v>306813</v>
      </c>
      <c r="K3404" s="133">
        <v>1000</v>
      </c>
      <c r="L3404" s="34"/>
      <c r="M3404" s="16">
        <f t="shared" si="1712"/>
        <v>256760.79747830902</v>
      </c>
      <c r="N3404" s="36">
        <v>810</v>
      </c>
      <c r="O3404" s="36">
        <v>1</v>
      </c>
      <c r="P3404" s="56">
        <v>79497.599999999991</v>
      </c>
      <c r="Q3404" s="2" t="s">
        <v>402</v>
      </c>
      <c r="R3404" s="2" t="s">
        <v>659</v>
      </c>
      <c r="S3404" s="56">
        <f t="shared" si="1715"/>
        <v>31799.039999999997</v>
      </c>
    </row>
    <row r="3405" spans="1:19" x14ac:dyDescent="0.2">
      <c r="A3405" s="8" t="str">
        <f t="shared" si="1711"/>
        <v>9024819</v>
      </c>
      <c r="B3405" s="8">
        <v>902</v>
      </c>
      <c r="C3405" s="8">
        <v>48</v>
      </c>
      <c r="D3405" s="8" t="s">
        <v>62</v>
      </c>
      <c r="E3405" s="8">
        <v>9</v>
      </c>
      <c r="F3405" s="34">
        <f t="shared" si="1713"/>
        <v>1689324</v>
      </c>
      <c r="G3405" s="34">
        <f t="shared" si="1713"/>
        <v>1689324</v>
      </c>
      <c r="H3405" s="34">
        <f t="shared" si="1714"/>
        <v>79497</v>
      </c>
      <c r="I3405" s="34">
        <f t="shared" si="1714"/>
        <v>79497</v>
      </c>
      <c r="J3405" s="34">
        <f t="shared" si="1710"/>
        <v>4547286</v>
      </c>
      <c r="K3405" s="133">
        <v>1000</v>
      </c>
      <c r="L3405" s="34"/>
      <c r="M3405" s="16">
        <f t="shared" si="1712"/>
        <v>1976960.3897177735</v>
      </c>
      <c r="N3405" s="36">
        <v>735</v>
      </c>
      <c r="O3405" s="36">
        <v>18</v>
      </c>
      <c r="P3405" s="56">
        <v>79497.599999999991</v>
      </c>
      <c r="Q3405" s="2" t="s">
        <v>402</v>
      </c>
      <c r="R3405" s="2" t="s">
        <v>659</v>
      </c>
      <c r="S3405" s="56">
        <f t="shared" si="1715"/>
        <v>31799.039999999997</v>
      </c>
    </row>
    <row r="3406" spans="1:19" x14ac:dyDescent="0.2">
      <c r="A3406" s="8" t="str">
        <f t="shared" si="1711"/>
        <v>9024911</v>
      </c>
      <c r="B3406" s="8">
        <v>902</v>
      </c>
      <c r="C3406" s="8">
        <v>49</v>
      </c>
      <c r="D3406" s="8" t="s">
        <v>62</v>
      </c>
      <c r="E3406" s="8">
        <v>1</v>
      </c>
      <c r="F3406" s="34">
        <f t="shared" si="1713"/>
        <v>439224</v>
      </c>
      <c r="G3406" s="34">
        <f t="shared" si="1713"/>
        <v>439224</v>
      </c>
      <c r="H3406" s="34">
        <f t="shared" si="1714"/>
        <v>82677</v>
      </c>
      <c r="I3406" s="34">
        <f t="shared" si="1714"/>
        <v>82677</v>
      </c>
      <c r="J3406" s="34">
        <f t="shared" si="1710"/>
        <v>319086</v>
      </c>
      <c r="K3406" s="133">
        <v>1000</v>
      </c>
      <c r="L3406" s="34"/>
      <c r="M3406" s="16">
        <f t="shared" si="1712"/>
        <v>272319.81791838486</v>
      </c>
      <c r="N3406" s="36">
        <v>810</v>
      </c>
      <c r="O3406" s="36">
        <v>1</v>
      </c>
      <c r="P3406" s="56">
        <v>82677.504000000001</v>
      </c>
      <c r="Q3406" s="2" t="s">
        <v>402</v>
      </c>
      <c r="R3406" s="2" t="s">
        <v>170</v>
      </c>
      <c r="S3406" s="56">
        <f t="shared" si="1715"/>
        <v>33071.001600000003</v>
      </c>
    </row>
    <row r="3407" spans="1:19" x14ac:dyDescent="0.2">
      <c r="A3407" s="8" t="str">
        <f t="shared" si="1711"/>
        <v>9024919</v>
      </c>
      <c r="B3407" s="8">
        <v>902</v>
      </c>
      <c r="C3407" s="8">
        <v>49</v>
      </c>
      <c r="D3407" s="8" t="s">
        <v>62</v>
      </c>
      <c r="E3407" s="8">
        <v>9</v>
      </c>
      <c r="F3407" s="34">
        <f t="shared" si="1713"/>
        <v>1756896</v>
      </c>
      <c r="G3407" s="34">
        <f t="shared" si="1713"/>
        <v>1756896</v>
      </c>
      <c r="H3407" s="34">
        <f t="shared" si="1714"/>
        <v>82677</v>
      </c>
      <c r="I3407" s="34">
        <f t="shared" si="1714"/>
        <v>82677</v>
      </c>
      <c r="J3407" s="34">
        <f t="shared" si="1710"/>
        <v>4729177</v>
      </c>
      <c r="K3407" s="133">
        <v>1000</v>
      </c>
      <c r="L3407" s="34"/>
      <c r="M3407" s="16">
        <f t="shared" si="1712"/>
        <v>2096757.2490494214</v>
      </c>
      <c r="N3407" s="36">
        <v>735</v>
      </c>
      <c r="O3407" s="36">
        <v>18</v>
      </c>
      <c r="P3407" s="56">
        <v>82677.504000000001</v>
      </c>
      <c r="Q3407" s="2" t="s">
        <v>402</v>
      </c>
      <c r="R3407" s="2" t="s">
        <v>170</v>
      </c>
      <c r="S3407" s="56">
        <f t="shared" si="1715"/>
        <v>33071.001600000003</v>
      </c>
    </row>
    <row r="3408" spans="1:19" x14ac:dyDescent="0.2">
      <c r="A3408" s="8" t="str">
        <f t="shared" si="1711"/>
        <v>9025011</v>
      </c>
      <c r="B3408" s="8">
        <v>902</v>
      </c>
      <c r="C3408" s="8">
        <v>50</v>
      </c>
      <c r="D3408" s="8" t="s">
        <v>62</v>
      </c>
      <c r="E3408" s="8">
        <v>1</v>
      </c>
      <c r="F3408" s="34">
        <f t="shared" si="1713"/>
        <v>456793</v>
      </c>
      <c r="G3408" s="34">
        <f t="shared" si="1713"/>
        <v>456793</v>
      </c>
      <c r="H3408" s="34">
        <f t="shared" si="1714"/>
        <v>85984</v>
      </c>
      <c r="I3408" s="34">
        <f t="shared" si="1714"/>
        <v>85984</v>
      </c>
      <c r="J3408" s="34">
        <f t="shared" si="1710"/>
        <v>331849</v>
      </c>
      <c r="K3408" s="133">
        <v>1000</v>
      </c>
      <c r="L3408" s="34"/>
      <c r="M3408" s="16">
        <f t="shared" si="1712"/>
        <v>288821.01243556797</v>
      </c>
      <c r="N3408" s="36">
        <v>810</v>
      </c>
      <c r="O3408" s="36">
        <v>1</v>
      </c>
      <c r="P3408" s="56">
        <v>85984.604160000003</v>
      </c>
      <c r="Q3408" s="2" t="s">
        <v>402</v>
      </c>
      <c r="R3408" s="2" t="s">
        <v>660</v>
      </c>
      <c r="S3408" s="56">
        <f t="shared" si="1715"/>
        <v>34393.841664</v>
      </c>
    </row>
    <row r="3409" spans="1:19" x14ac:dyDescent="0.2">
      <c r="A3409" s="8" t="str">
        <f t="shared" si="1711"/>
        <v>9025019</v>
      </c>
      <c r="B3409" s="8">
        <v>902</v>
      </c>
      <c r="C3409" s="8">
        <v>50</v>
      </c>
      <c r="D3409" s="8" t="s">
        <v>62</v>
      </c>
      <c r="E3409" s="8">
        <v>9</v>
      </c>
      <c r="F3409" s="34">
        <f t="shared" si="1713"/>
        <v>1827172</v>
      </c>
      <c r="G3409" s="34">
        <f t="shared" si="1713"/>
        <v>1827172</v>
      </c>
      <c r="H3409" s="34">
        <f t="shared" si="1714"/>
        <v>85984</v>
      </c>
      <c r="I3409" s="34">
        <f t="shared" si="1714"/>
        <v>85984</v>
      </c>
      <c r="J3409" s="34">
        <f t="shared" si="1710"/>
        <v>4918344</v>
      </c>
      <c r="K3409" s="133">
        <v>1000</v>
      </c>
      <c r="L3409" s="34"/>
      <c r="M3409" s="16">
        <f t="shared" si="1712"/>
        <v>2223811.5194166717</v>
      </c>
      <c r="N3409" s="36">
        <v>735</v>
      </c>
      <c r="O3409" s="36">
        <v>18</v>
      </c>
      <c r="P3409" s="56">
        <v>85984.604160000003</v>
      </c>
      <c r="Q3409" s="2" t="s">
        <v>402</v>
      </c>
      <c r="R3409" s="2" t="s">
        <v>660</v>
      </c>
      <c r="S3409" s="56">
        <f t="shared" si="1715"/>
        <v>34393.841664</v>
      </c>
    </row>
    <row r="3410" spans="1:19" x14ac:dyDescent="0.2">
      <c r="A3410" s="18" t="str">
        <f t="shared" si="1711"/>
        <v>9025111</v>
      </c>
      <c r="B3410" s="18">
        <v>902</v>
      </c>
      <c r="C3410" s="18">
        <v>51</v>
      </c>
      <c r="D3410" s="18" t="s">
        <v>62</v>
      </c>
      <c r="E3410" s="18">
        <v>1</v>
      </c>
      <c r="F3410" s="19">
        <f t="shared" ref="F3410:G3429" si="1716">ROUNDDOWN($P3410/4*MIN($O3410,4)*10*$N3410/$N3410*$Q3410/400,0)</f>
        <v>446250</v>
      </c>
      <c r="G3410" s="19">
        <f t="shared" si="1716"/>
        <v>446250</v>
      </c>
      <c r="H3410" s="19">
        <f t="shared" si="1714"/>
        <v>84000</v>
      </c>
      <c r="I3410" s="19">
        <f t="shared" si="1714"/>
        <v>84000</v>
      </c>
      <c r="J3410" s="19">
        <f t="shared" si="1710"/>
        <v>324190</v>
      </c>
      <c r="K3410" s="133">
        <v>1000</v>
      </c>
      <c r="L3410" s="19"/>
      <c r="M3410" s="16">
        <f t="shared" si="1712"/>
        <v>278880.75903511164</v>
      </c>
      <c r="N3410" s="36">
        <v>810</v>
      </c>
      <c r="O3410" s="58">
        <v>1</v>
      </c>
      <c r="P3410" s="94">
        <v>84000</v>
      </c>
      <c r="Q3410" s="41" t="s">
        <v>402</v>
      </c>
      <c r="R3410" s="41" t="s">
        <v>661</v>
      </c>
      <c r="S3410" s="94">
        <f t="shared" si="1715"/>
        <v>33600</v>
      </c>
    </row>
    <row r="3411" spans="1:19" x14ac:dyDescent="0.2">
      <c r="A3411" s="18" t="str">
        <f t="shared" si="1711"/>
        <v>9025119</v>
      </c>
      <c r="B3411" s="18">
        <v>902</v>
      </c>
      <c r="C3411" s="18">
        <v>51</v>
      </c>
      <c r="D3411" s="18" t="s">
        <v>62</v>
      </c>
      <c r="E3411" s="18">
        <v>9</v>
      </c>
      <c r="F3411" s="19">
        <f t="shared" si="1716"/>
        <v>1785000</v>
      </c>
      <c r="G3411" s="19">
        <f t="shared" si="1716"/>
        <v>1785000</v>
      </c>
      <c r="H3411" s="19">
        <f t="shared" si="1714"/>
        <v>84000</v>
      </c>
      <c r="I3411" s="19">
        <f t="shared" si="1714"/>
        <v>84000</v>
      </c>
      <c r="J3411" s="19">
        <f t="shared" si="1710"/>
        <v>4804824</v>
      </c>
      <c r="K3411" s="133">
        <v>1000</v>
      </c>
      <c r="L3411" s="19"/>
      <c r="M3411" s="16">
        <f t="shared" si="1712"/>
        <v>2147274.0830140896</v>
      </c>
      <c r="N3411" s="36">
        <v>735</v>
      </c>
      <c r="O3411" s="58">
        <v>18</v>
      </c>
      <c r="P3411" s="94">
        <v>84000</v>
      </c>
      <c r="Q3411" s="41" t="s">
        <v>402</v>
      </c>
      <c r="R3411" s="41" t="s">
        <v>661</v>
      </c>
      <c r="S3411" s="94">
        <f t="shared" si="1715"/>
        <v>33600</v>
      </c>
    </row>
    <row r="3412" spans="1:19" x14ac:dyDescent="0.2">
      <c r="A3412" s="8" t="str">
        <f t="shared" si="1711"/>
        <v>9025211</v>
      </c>
      <c r="B3412" s="8">
        <v>902</v>
      </c>
      <c r="C3412" s="8">
        <v>52</v>
      </c>
      <c r="D3412" s="8" t="s">
        <v>62</v>
      </c>
      <c r="E3412" s="8">
        <v>1</v>
      </c>
      <c r="F3412" s="34">
        <f t="shared" si="1716"/>
        <v>503614</v>
      </c>
      <c r="G3412" s="34">
        <f t="shared" si="1716"/>
        <v>503614</v>
      </c>
      <c r="H3412" s="34">
        <f t="shared" ref="H3412:I3429" si="1717">ROUNDDOWN($S3412/4*10,0)</f>
        <v>94798</v>
      </c>
      <c r="I3412" s="34">
        <f t="shared" si="1717"/>
        <v>94798</v>
      </c>
      <c r="J3412" s="34">
        <f t="shared" si="1710"/>
        <v>365864</v>
      </c>
      <c r="K3412" s="133">
        <v>1000</v>
      </c>
      <c r="L3412" s="34"/>
      <c r="M3412" s="16">
        <f t="shared" si="1712"/>
        <v>334347.67755406525</v>
      </c>
      <c r="N3412" s="36">
        <v>810</v>
      </c>
      <c r="O3412" s="36">
        <v>1</v>
      </c>
      <c r="P3412" s="56">
        <v>94798.026086400016</v>
      </c>
      <c r="Q3412" s="2" t="s">
        <v>402</v>
      </c>
      <c r="R3412" s="2" t="s">
        <v>662</v>
      </c>
      <c r="S3412" s="56">
        <f t="shared" si="1715"/>
        <v>37919.210434560009</v>
      </c>
    </row>
    <row r="3413" spans="1:19" x14ac:dyDescent="0.2">
      <c r="A3413" s="8" t="str">
        <f t="shared" si="1711"/>
        <v>9025219</v>
      </c>
      <c r="B3413" s="8">
        <v>902</v>
      </c>
      <c r="C3413" s="8">
        <v>52</v>
      </c>
      <c r="D3413" s="8" t="s">
        <v>62</v>
      </c>
      <c r="E3413" s="8">
        <v>9</v>
      </c>
      <c r="F3413" s="34">
        <f t="shared" si="1716"/>
        <v>2014458</v>
      </c>
      <c r="G3413" s="34">
        <f t="shared" si="1716"/>
        <v>2014458</v>
      </c>
      <c r="H3413" s="34">
        <f t="shared" si="1717"/>
        <v>94798</v>
      </c>
      <c r="I3413" s="34">
        <f t="shared" si="1717"/>
        <v>94798</v>
      </c>
      <c r="J3413" s="34">
        <f t="shared" si="1710"/>
        <v>5422474</v>
      </c>
      <c r="K3413" s="133">
        <v>1000</v>
      </c>
      <c r="L3413" s="34"/>
      <c r="M3413" s="16">
        <f t="shared" si="1712"/>
        <v>2574348.9943308476</v>
      </c>
      <c r="N3413" s="36">
        <v>735</v>
      </c>
      <c r="O3413" s="36">
        <v>18</v>
      </c>
      <c r="P3413" s="56">
        <v>94798.026086400016</v>
      </c>
      <c r="Q3413" s="2" t="s">
        <v>402</v>
      </c>
      <c r="R3413" s="2" t="s">
        <v>662</v>
      </c>
      <c r="S3413" s="56">
        <f t="shared" si="1715"/>
        <v>37919.210434560009</v>
      </c>
    </row>
    <row r="3414" spans="1:19" x14ac:dyDescent="0.2">
      <c r="A3414" s="8" t="str">
        <f t="shared" si="1711"/>
        <v>9025311</v>
      </c>
      <c r="B3414" s="8">
        <v>902</v>
      </c>
      <c r="C3414" s="8">
        <v>53</v>
      </c>
      <c r="D3414" s="8" t="s">
        <v>62</v>
      </c>
      <c r="E3414" s="8">
        <v>1</v>
      </c>
      <c r="F3414" s="34">
        <f t="shared" si="1716"/>
        <v>528795</v>
      </c>
      <c r="G3414" s="34">
        <f t="shared" si="1716"/>
        <v>528795</v>
      </c>
      <c r="H3414" s="34">
        <f t="shared" si="1717"/>
        <v>99537</v>
      </c>
      <c r="I3414" s="34">
        <f t="shared" si="1717"/>
        <v>99537</v>
      </c>
      <c r="J3414" s="34">
        <f t="shared" si="1710"/>
        <v>384157</v>
      </c>
      <c r="K3414" s="133">
        <v>1000</v>
      </c>
      <c r="L3414" s="34"/>
      <c r="M3414" s="16">
        <f t="shared" si="1712"/>
        <v>359733.02209030662</v>
      </c>
      <c r="N3414" s="36">
        <v>810</v>
      </c>
      <c r="O3414" s="36">
        <v>1</v>
      </c>
      <c r="P3414" s="56">
        <v>99537.927390720026</v>
      </c>
      <c r="Q3414" s="2" t="s">
        <v>402</v>
      </c>
      <c r="R3414" s="2" t="s">
        <v>663</v>
      </c>
      <c r="S3414" s="56">
        <f t="shared" si="1715"/>
        <v>39815.170956288013</v>
      </c>
    </row>
    <row r="3415" spans="1:19" x14ac:dyDescent="0.2">
      <c r="A3415" s="8" t="str">
        <f t="shared" si="1711"/>
        <v>9025319</v>
      </c>
      <c r="B3415" s="8">
        <v>902</v>
      </c>
      <c r="C3415" s="8">
        <v>53</v>
      </c>
      <c r="D3415" s="8" t="s">
        <v>62</v>
      </c>
      <c r="E3415" s="8">
        <v>9</v>
      </c>
      <c r="F3415" s="34">
        <f t="shared" si="1716"/>
        <v>2115180</v>
      </c>
      <c r="G3415" s="34">
        <f t="shared" si="1716"/>
        <v>2115180</v>
      </c>
      <c r="H3415" s="34">
        <f t="shared" si="1717"/>
        <v>99537</v>
      </c>
      <c r="I3415" s="34">
        <f t="shared" si="1717"/>
        <v>99537</v>
      </c>
      <c r="J3415" s="34">
        <f t="shared" si="1710"/>
        <v>5693598</v>
      </c>
      <c r="K3415" s="133">
        <v>1000</v>
      </c>
      <c r="L3415" s="34"/>
      <c r="M3415" s="16">
        <f t="shared" si="1712"/>
        <v>2769805.8385508917</v>
      </c>
      <c r="N3415" s="36">
        <v>735</v>
      </c>
      <c r="O3415" s="36">
        <v>18</v>
      </c>
      <c r="P3415" s="56">
        <v>99537.927390720026</v>
      </c>
      <c r="Q3415" s="2" t="s">
        <v>402</v>
      </c>
      <c r="R3415" s="2" t="s">
        <v>663</v>
      </c>
      <c r="S3415" s="56">
        <f t="shared" si="1715"/>
        <v>39815.170956288013</v>
      </c>
    </row>
    <row r="3416" spans="1:19" x14ac:dyDescent="0.2">
      <c r="A3416" s="8" t="str">
        <f t="shared" si="1711"/>
        <v>9025411</v>
      </c>
      <c r="B3416" s="8">
        <v>902</v>
      </c>
      <c r="C3416" s="8">
        <v>54</v>
      </c>
      <c r="D3416" s="8" t="s">
        <v>62</v>
      </c>
      <c r="E3416" s="8">
        <v>1</v>
      </c>
      <c r="F3416" s="34">
        <f t="shared" si="1716"/>
        <v>555235</v>
      </c>
      <c r="G3416" s="34">
        <f t="shared" si="1716"/>
        <v>555235</v>
      </c>
      <c r="H3416" s="34">
        <f t="shared" si="1717"/>
        <v>104514</v>
      </c>
      <c r="I3416" s="34">
        <f t="shared" si="1717"/>
        <v>104514</v>
      </c>
      <c r="J3416" s="34">
        <f t="shared" si="1710"/>
        <v>403365</v>
      </c>
      <c r="K3416" s="133">
        <v>1000</v>
      </c>
      <c r="L3416" s="34"/>
      <c r="M3416" s="16">
        <f t="shared" si="1712"/>
        <v>387047.92630667007</v>
      </c>
      <c r="N3416" s="36">
        <v>810</v>
      </c>
      <c r="O3416" s="36">
        <v>1</v>
      </c>
      <c r="P3416" s="56">
        <v>104514.82376025603</v>
      </c>
      <c r="Q3416" s="2" t="s">
        <v>402</v>
      </c>
      <c r="R3416" s="2" t="s">
        <v>664</v>
      </c>
      <c r="S3416" s="56">
        <f t="shared" si="1715"/>
        <v>41805.929504102416</v>
      </c>
    </row>
    <row r="3417" spans="1:19" x14ac:dyDescent="0.2">
      <c r="A3417" s="8" t="str">
        <f t="shared" si="1711"/>
        <v>9025419</v>
      </c>
      <c r="B3417" s="8">
        <v>902</v>
      </c>
      <c r="C3417" s="8">
        <v>54</v>
      </c>
      <c r="D3417" s="8" t="s">
        <v>62</v>
      </c>
      <c r="E3417" s="8">
        <v>9</v>
      </c>
      <c r="F3417" s="34">
        <f t="shared" si="1716"/>
        <v>2220940</v>
      </c>
      <c r="G3417" s="34">
        <f t="shared" si="1716"/>
        <v>2220940</v>
      </c>
      <c r="H3417" s="34">
        <f t="shared" si="1717"/>
        <v>104514</v>
      </c>
      <c r="I3417" s="34">
        <f t="shared" si="1717"/>
        <v>104514</v>
      </c>
      <c r="J3417" s="34">
        <f t="shared" si="1710"/>
        <v>5978278</v>
      </c>
      <c r="K3417" s="133">
        <v>1000</v>
      </c>
      <c r="L3417" s="34"/>
      <c r="M3417" s="16">
        <f t="shared" si="1712"/>
        <v>2980119.5605785414</v>
      </c>
      <c r="N3417" s="36">
        <v>735</v>
      </c>
      <c r="O3417" s="36">
        <v>18</v>
      </c>
      <c r="P3417" s="56">
        <v>104514.82376025603</v>
      </c>
      <c r="Q3417" s="2" t="s">
        <v>402</v>
      </c>
      <c r="R3417" s="2" t="s">
        <v>664</v>
      </c>
      <c r="S3417" s="56">
        <f t="shared" si="1715"/>
        <v>41805.929504102416</v>
      </c>
    </row>
    <row r="3418" spans="1:19" x14ac:dyDescent="0.2">
      <c r="A3418" s="18" t="str">
        <f t="shared" si="1711"/>
        <v>9025511</v>
      </c>
      <c r="B3418" s="18">
        <v>902</v>
      </c>
      <c r="C3418" s="18">
        <v>55</v>
      </c>
      <c r="D3418" s="18" t="s">
        <v>62</v>
      </c>
      <c r="E3418" s="18">
        <v>1</v>
      </c>
      <c r="F3418" s="19">
        <f t="shared" si="1716"/>
        <v>557812</v>
      </c>
      <c r="G3418" s="19">
        <f t="shared" si="1716"/>
        <v>557812</v>
      </c>
      <c r="H3418" s="19">
        <f t="shared" si="1717"/>
        <v>105000</v>
      </c>
      <c r="I3418" s="19">
        <f t="shared" si="1717"/>
        <v>105000</v>
      </c>
      <c r="J3418" s="19">
        <f t="shared" si="1710"/>
        <v>405238</v>
      </c>
      <c r="K3418" s="133">
        <v>1000</v>
      </c>
      <c r="L3418" s="19"/>
      <c r="M3418" s="16">
        <f t="shared" si="1712"/>
        <v>389747.77502896922</v>
      </c>
      <c r="N3418" s="36">
        <v>810</v>
      </c>
      <c r="O3418" s="58">
        <v>1</v>
      </c>
      <c r="P3418" s="94">
        <v>105000</v>
      </c>
      <c r="Q3418" s="41" t="s">
        <v>402</v>
      </c>
      <c r="R3418" s="41" t="s">
        <v>665</v>
      </c>
      <c r="S3418" s="94">
        <f t="shared" si="1715"/>
        <v>42000</v>
      </c>
    </row>
    <row r="3419" spans="1:19" x14ac:dyDescent="0.2">
      <c r="A3419" s="18" t="str">
        <f t="shared" si="1711"/>
        <v>9025519</v>
      </c>
      <c r="B3419" s="18">
        <v>902</v>
      </c>
      <c r="C3419" s="18">
        <v>55</v>
      </c>
      <c r="D3419" s="18" t="s">
        <v>62</v>
      </c>
      <c r="E3419" s="18">
        <v>9</v>
      </c>
      <c r="F3419" s="19">
        <f t="shared" si="1716"/>
        <v>2231250</v>
      </c>
      <c r="G3419" s="19">
        <f t="shared" si="1716"/>
        <v>2231250</v>
      </c>
      <c r="H3419" s="19">
        <f t="shared" si="1717"/>
        <v>105000</v>
      </c>
      <c r="I3419" s="19">
        <f t="shared" si="1717"/>
        <v>105000</v>
      </c>
      <c r="J3419" s="19">
        <f t="shared" si="1710"/>
        <v>6006030</v>
      </c>
      <c r="K3419" s="133">
        <v>1000</v>
      </c>
      <c r="L3419" s="19"/>
      <c r="M3419" s="16">
        <f t="shared" si="1712"/>
        <v>3000906.7599643948</v>
      </c>
      <c r="N3419" s="36">
        <v>735</v>
      </c>
      <c r="O3419" s="58">
        <v>18</v>
      </c>
      <c r="P3419" s="94">
        <v>105000</v>
      </c>
      <c r="Q3419" s="41" t="s">
        <v>402</v>
      </c>
      <c r="R3419" s="41" t="s">
        <v>665</v>
      </c>
      <c r="S3419" s="94">
        <f t="shared" si="1715"/>
        <v>42000</v>
      </c>
    </row>
    <row r="3420" spans="1:19" x14ac:dyDescent="0.2">
      <c r="A3420" s="8" t="str">
        <f t="shared" si="1711"/>
        <v>9025611</v>
      </c>
      <c r="B3420" s="8">
        <v>902</v>
      </c>
      <c r="C3420" s="8">
        <v>56</v>
      </c>
      <c r="D3420" s="8" t="s">
        <v>62</v>
      </c>
      <c r="E3420" s="8">
        <v>1</v>
      </c>
      <c r="F3420" s="34">
        <f t="shared" si="1716"/>
        <v>617976</v>
      </c>
      <c r="G3420" s="34">
        <f t="shared" si="1716"/>
        <v>617976</v>
      </c>
      <c r="H3420" s="34">
        <f t="shared" si="1717"/>
        <v>116324</v>
      </c>
      <c r="I3420" s="34">
        <f t="shared" si="1717"/>
        <v>116324</v>
      </c>
      <c r="J3420" s="34">
        <f t="shared" si="1710"/>
        <v>448946</v>
      </c>
      <c r="K3420" s="133">
        <v>1000</v>
      </c>
      <c r="L3420" s="34"/>
      <c r="M3420" s="16">
        <f t="shared" si="1712"/>
        <v>454472.39456268959</v>
      </c>
      <c r="N3420" s="36">
        <v>810</v>
      </c>
      <c r="O3420" s="36">
        <v>1</v>
      </c>
      <c r="P3420" s="56">
        <v>116324.99884516497</v>
      </c>
      <c r="Q3420" s="2" t="s">
        <v>402</v>
      </c>
      <c r="R3420" s="2" t="s">
        <v>666</v>
      </c>
      <c r="S3420" s="56">
        <f t="shared" si="1715"/>
        <v>46529.999538065989</v>
      </c>
    </row>
    <row r="3421" spans="1:19" x14ac:dyDescent="0.2">
      <c r="A3421" s="8" t="str">
        <f t="shared" si="1711"/>
        <v>9025619</v>
      </c>
      <c r="B3421" s="8">
        <v>902</v>
      </c>
      <c r="C3421" s="8">
        <v>56</v>
      </c>
      <c r="D3421" s="8" t="s">
        <v>62</v>
      </c>
      <c r="E3421" s="8">
        <v>9</v>
      </c>
      <c r="F3421" s="34">
        <f t="shared" si="1716"/>
        <v>2471906</v>
      </c>
      <c r="G3421" s="34">
        <f t="shared" si="1716"/>
        <v>2471906</v>
      </c>
      <c r="H3421" s="34">
        <f t="shared" si="1717"/>
        <v>116324</v>
      </c>
      <c r="I3421" s="34">
        <f t="shared" si="1717"/>
        <v>116324</v>
      </c>
      <c r="J3421" s="34">
        <f t="shared" si="1710"/>
        <v>6653824</v>
      </c>
      <c r="K3421" s="133">
        <v>1000</v>
      </c>
      <c r="L3421" s="34"/>
      <c r="M3421" s="16">
        <f t="shared" si="1712"/>
        <v>3499260.5551695973</v>
      </c>
      <c r="N3421" s="36">
        <v>735</v>
      </c>
      <c r="O3421" s="36">
        <v>18</v>
      </c>
      <c r="P3421" s="56">
        <v>116324.99884516497</v>
      </c>
      <c r="Q3421" s="2" t="s">
        <v>402</v>
      </c>
      <c r="R3421" s="2" t="s">
        <v>666</v>
      </c>
      <c r="S3421" s="56">
        <f t="shared" si="1715"/>
        <v>46529.999538065989</v>
      </c>
    </row>
    <row r="3422" spans="1:19" x14ac:dyDescent="0.2">
      <c r="A3422" s="8" t="str">
        <f t="shared" si="1711"/>
        <v>9025711</v>
      </c>
      <c r="B3422" s="8">
        <v>902</v>
      </c>
      <c r="C3422" s="8">
        <v>57</v>
      </c>
      <c r="D3422" s="8" t="s">
        <v>62</v>
      </c>
      <c r="E3422" s="8">
        <v>1</v>
      </c>
      <c r="F3422" s="34">
        <f t="shared" si="1716"/>
        <v>655055</v>
      </c>
      <c r="G3422" s="34">
        <f t="shared" si="1716"/>
        <v>655055</v>
      </c>
      <c r="H3422" s="34">
        <f t="shared" si="1717"/>
        <v>123304</v>
      </c>
      <c r="I3422" s="34">
        <f t="shared" si="1717"/>
        <v>123304</v>
      </c>
      <c r="J3422" s="34">
        <f t="shared" si="1710"/>
        <v>475882</v>
      </c>
      <c r="K3422" s="133">
        <v>1000</v>
      </c>
      <c r="L3422" s="34"/>
      <c r="M3422" s="16">
        <f t="shared" si="1712"/>
        <v>495983.3432836521</v>
      </c>
      <c r="N3422" s="36">
        <v>810</v>
      </c>
      <c r="O3422" s="36">
        <v>1</v>
      </c>
      <c r="P3422" s="56">
        <v>123304.49877587488</v>
      </c>
      <c r="Q3422" s="2" t="s">
        <v>402</v>
      </c>
      <c r="R3422" s="2" t="s">
        <v>667</v>
      </c>
      <c r="S3422" s="56">
        <f t="shared" si="1715"/>
        <v>49321.799510349956</v>
      </c>
    </row>
    <row r="3423" spans="1:19" x14ac:dyDescent="0.2">
      <c r="A3423" s="8" t="str">
        <f t="shared" si="1711"/>
        <v>9025719</v>
      </c>
      <c r="B3423" s="8">
        <v>902</v>
      </c>
      <c r="C3423" s="8">
        <v>57</v>
      </c>
      <c r="D3423" s="8" t="s">
        <v>62</v>
      </c>
      <c r="E3423" s="8">
        <v>9</v>
      </c>
      <c r="F3423" s="34">
        <f t="shared" si="1716"/>
        <v>2620220</v>
      </c>
      <c r="G3423" s="34">
        <f t="shared" si="1716"/>
        <v>2620220</v>
      </c>
      <c r="H3423" s="34">
        <f t="shared" si="1717"/>
        <v>123304</v>
      </c>
      <c r="I3423" s="34">
        <f t="shared" si="1717"/>
        <v>123304</v>
      </c>
      <c r="J3423" s="34">
        <f t="shared" si="1710"/>
        <v>7053053</v>
      </c>
      <c r="K3423" s="133">
        <v>1000</v>
      </c>
      <c r="L3423" s="34"/>
      <c r="M3423" s="16">
        <f t="shared" si="1712"/>
        <v>3818880.0894551734</v>
      </c>
      <c r="N3423" s="36">
        <v>735</v>
      </c>
      <c r="O3423" s="36">
        <v>18</v>
      </c>
      <c r="P3423" s="56">
        <v>123304.49877587488</v>
      </c>
      <c r="Q3423" s="2" t="s">
        <v>402</v>
      </c>
      <c r="R3423" s="2" t="s">
        <v>667</v>
      </c>
      <c r="S3423" s="56">
        <f t="shared" si="1715"/>
        <v>49321.799510349956</v>
      </c>
    </row>
    <row r="3424" spans="1:19" x14ac:dyDescent="0.2">
      <c r="A3424" s="8" t="str">
        <f t="shared" si="1711"/>
        <v>9025811</v>
      </c>
      <c r="B3424" s="8">
        <v>902</v>
      </c>
      <c r="C3424" s="8">
        <v>58</v>
      </c>
      <c r="D3424" s="8" t="s">
        <v>62</v>
      </c>
      <c r="E3424" s="8">
        <v>1</v>
      </c>
      <c r="F3424" s="34">
        <f t="shared" si="1716"/>
        <v>694358</v>
      </c>
      <c r="G3424" s="34">
        <f t="shared" si="1716"/>
        <v>694358</v>
      </c>
      <c r="H3424" s="34">
        <f t="shared" si="1717"/>
        <v>130702</v>
      </c>
      <c r="I3424" s="34">
        <f t="shared" si="1717"/>
        <v>130702</v>
      </c>
      <c r="J3424" s="34">
        <f t="shared" si="1710"/>
        <v>504435</v>
      </c>
      <c r="K3424" s="133">
        <v>1000</v>
      </c>
      <c r="L3424" s="34"/>
      <c r="M3424" s="16">
        <f t="shared" si="1712"/>
        <v>541284.30123189918</v>
      </c>
      <c r="N3424" s="36">
        <v>810</v>
      </c>
      <c r="O3424" s="36">
        <v>1</v>
      </c>
      <c r="P3424" s="56">
        <v>130702.76870242738</v>
      </c>
      <c r="Q3424" s="2" t="s">
        <v>402</v>
      </c>
      <c r="R3424" s="2" t="s">
        <v>668</v>
      </c>
      <c r="S3424" s="56">
        <f t="shared" si="1715"/>
        <v>52281.107480970953</v>
      </c>
    </row>
    <row r="3425" spans="1:19" x14ac:dyDescent="0.2">
      <c r="A3425" s="8" t="str">
        <f t="shared" si="1711"/>
        <v>9025819</v>
      </c>
      <c r="B3425" s="8">
        <v>902</v>
      </c>
      <c r="C3425" s="8">
        <v>58</v>
      </c>
      <c r="D3425" s="8" t="s">
        <v>62</v>
      </c>
      <c r="E3425" s="8">
        <v>9</v>
      </c>
      <c r="F3425" s="34">
        <f t="shared" si="1716"/>
        <v>2777433</v>
      </c>
      <c r="G3425" s="34">
        <f t="shared" si="1716"/>
        <v>2777433</v>
      </c>
      <c r="H3425" s="34">
        <f t="shared" si="1717"/>
        <v>130702</v>
      </c>
      <c r="I3425" s="34">
        <f t="shared" si="1717"/>
        <v>130702</v>
      </c>
      <c r="J3425" s="34">
        <f t="shared" si="1710"/>
        <v>7476236</v>
      </c>
      <c r="K3425" s="133">
        <v>1000</v>
      </c>
      <c r="L3425" s="34"/>
      <c r="M3425" s="16">
        <f t="shared" si="1712"/>
        <v>4167680.3304523337</v>
      </c>
      <c r="N3425" s="36">
        <v>735</v>
      </c>
      <c r="O3425" s="36">
        <v>18</v>
      </c>
      <c r="P3425" s="56">
        <v>130702.76870242738</v>
      </c>
      <c r="Q3425" s="2" t="s">
        <v>402</v>
      </c>
      <c r="R3425" s="2" t="s">
        <v>668</v>
      </c>
      <c r="S3425" s="56">
        <f t="shared" si="1715"/>
        <v>52281.107480970953</v>
      </c>
    </row>
    <row r="3426" spans="1:19" x14ac:dyDescent="0.2">
      <c r="A3426" s="18" t="str">
        <f t="shared" si="1711"/>
        <v>9025911</v>
      </c>
      <c r="B3426" s="18">
        <v>902</v>
      </c>
      <c r="C3426" s="18">
        <v>59</v>
      </c>
      <c r="D3426" s="18" t="s">
        <v>62</v>
      </c>
      <c r="E3426" s="18">
        <v>1</v>
      </c>
      <c r="F3426" s="19">
        <f t="shared" si="1716"/>
        <v>762343</v>
      </c>
      <c r="G3426" s="19">
        <f t="shared" si="1716"/>
        <v>762343</v>
      </c>
      <c r="H3426" s="19">
        <f t="shared" si="1717"/>
        <v>143500</v>
      </c>
      <c r="I3426" s="19">
        <f t="shared" si="1717"/>
        <v>143500</v>
      </c>
      <c r="J3426" s="19">
        <f t="shared" si="1710"/>
        <v>553825</v>
      </c>
      <c r="K3426" s="133">
        <v>1000</v>
      </c>
      <c r="L3426" s="19"/>
      <c r="M3426" s="16">
        <f t="shared" si="1712"/>
        <v>622697.93289992528</v>
      </c>
      <c r="N3426" s="36">
        <v>810</v>
      </c>
      <c r="O3426" s="58">
        <v>1</v>
      </c>
      <c r="P3426" s="94">
        <v>143500</v>
      </c>
      <c r="Q3426" s="41" t="s">
        <v>402</v>
      </c>
      <c r="R3426" s="41" t="s">
        <v>669</v>
      </c>
      <c r="S3426" s="94">
        <f t="shared" si="1715"/>
        <v>57400</v>
      </c>
    </row>
    <row r="3427" spans="1:19" x14ac:dyDescent="0.2">
      <c r="A3427" s="18" t="str">
        <f t="shared" si="1711"/>
        <v>9025919</v>
      </c>
      <c r="B3427" s="18">
        <v>902</v>
      </c>
      <c r="C3427" s="18">
        <v>59</v>
      </c>
      <c r="D3427" s="18" t="s">
        <v>62</v>
      </c>
      <c r="E3427" s="18">
        <v>9</v>
      </c>
      <c r="F3427" s="19">
        <f t="shared" si="1716"/>
        <v>3049375</v>
      </c>
      <c r="G3427" s="19">
        <f t="shared" si="1716"/>
        <v>3049375</v>
      </c>
      <c r="H3427" s="19">
        <f t="shared" si="1717"/>
        <v>143500</v>
      </c>
      <c r="I3427" s="19">
        <f t="shared" si="1717"/>
        <v>143500</v>
      </c>
      <c r="J3427" s="19">
        <f t="shared" si="1710"/>
        <v>8208242</v>
      </c>
      <c r="K3427" s="133">
        <v>1000</v>
      </c>
      <c r="L3427" s="19"/>
      <c r="M3427" s="16">
        <f t="shared" si="1712"/>
        <v>4794534.3152523171</v>
      </c>
      <c r="N3427" s="36">
        <v>735</v>
      </c>
      <c r="O3427" s="58">
        <v>18</v>
      </c>
      <c r="P3427" s="94">
        <v>143500</v>
      </c>
      <c r="Q3427" s="41" t="s">
        <v>402</v>
      </c>
      <c r="R3427" s="41" t="s">
        <v>669</v>
      </c>
      <c r="S3427" s="94">
        <f t="shared" si="1715"/>
        <v>57400</v>
      </c>
    </row>
    <row r="3428" spans="1:19" x14ac:dyDescent="0.2">
      <c r="A3428" s="8" t="str">
        <f t="shared" si="1711"/>
        <v>9026011</v>
      </c>
      <c r="B3428" s="8">
        <v>902</v>
      </c>
      <c r="C3428" s="8">
        <v>60</v>
      </c>
      <c r="D3428" s="8" t="s">
        <v>62</v>
      </c>
      <c r="E3428" s="8">
        <v>1</v>
      </c>
      <c r="F3428" s="34">
        <f t="shared" si="1716"/>
        <v>780181</v>
      </c>
      <c r="G3428" s="34">
        <f t="shared" si="1716"/>
        <v>780181</v>
      </c>
      <c r="H3428" s="34">
        <f t="shared" si="1717"/>
        <v>146857</v>
      </c>
      <c r="I3428" s="34">
        <f t="shared" si="1717"/>
        <v>146857</v>
      </c>
      <c r="J3428" s="34">
        <f t="shared" si="1710"/>
        <v>566784</v>
      </c>
      <c r="K3428" s="133">
        <v>1000</v>
      </c>
      <c r="L3428" s="34"/>
      <c r="M3428" s="16">
        <f t="shared" si="1712"/>
        <v>644679.39370552986</v>
      </c>
      <c r="N3428" s="36">
        <v>810</v>
      </c>
      <c r="O3428" s="36">
        <v>1</v>
      </c>
      <c r="P3428" s="56">
        <v>146857.63091404742</v>
      </c>
      <c r="Q3428" s="2" t="s">
        <v>402</v>
      </c>
      <c r="R3428" s="2" t="s">
        <v>670</v>
      </c>
      <c r="S3428" s="56">
        <f t="shared" si="1715"/>
        <v>58743.052365618969</v>
      </c>
    </row>
    <row r="3429" spans="1:19" x14ac:dyDescent="0.2">
      <c r="A3429" s="8" t="str">
        <f t="shared" si="1711"/>
        <v>9026019</v>
      </c>
      <c r="B3429" s="8">
        <v>902</v>
      </c>
      <c r="C3429" s="8">
        <v>60</v>
      </c>
      <c r="D3429" s="8" t="s">
        <v>62</v>
      </c>
      <c r="E3429" s="8">
        <v>9</v>
      </c>
      <c r="F3429" s="34">
        <f t="shared" si="1716"/>
        <v>3120724</v>
      </c>
      <c r="G3429" s="34">
        <f t="shared" si="1716"/>
        <v>3120724</v>
      </c>
      <c r="H3429" s="34">
        <f t="shared" si="1717"/>
        <v>146857</v>
      </c>
      <c r="I3429" s="34">
        <f t="shared" si="1717"/>
        <v>146857</v>
      </c>
      <c r="J3429" s="34">
        <f t="shared" si="1710"/>
        <v>8400299</v>
      </c>
      <c r="K3429" s="133">
        <v>1000</v>
      </c>
      <c r="L3429" s="34"/>
      <c r="M3429" s="16">
        <f t="shared" si="1712"/>
        <v>4963778.1824930897</v>
      </c>
      <c r="N3429" s="36">
        <v>735</v>
      </c>
      <c r="O3429" s="36">
        <v>18</v>
      </c>
      <c r="P3429" s="56">
        <v>146857.63091404742</v>
      </c>
      <c r="Q3429" s="2" t="s">
        <v>402</v>
      </c>
      <c r="R3429" s="2" t="s">
        <v>670</v>
      </c>
      <c r="S3429" s="56">
        <f t="shared" si="1715"/>
        <v>58743.052365618969</v>
      </c>
    </row>
    <row r="3430" spans="1:19" x14ac:dyDescent="0.2">
      <c r="A3430" s="8" t="str">
        <f t="shared" si="1711"/>
        <v>9026111</v>
      </c>
      <c r="B3430" s="8">
        <v>902</v>
      </c>
      <c r="C3430" s="8">
        <v>61</v>
      </c>
      <c r="D3430" s="8" t="s">
        <v>62</v>
      </c>
      <c r="E3430" s="8">
        <v>1</v>
      </c>
      <c r="F3430" s="34">
        <f t="shared" ref="F3430:G3449" si="1718">ROUNDDOWN($P3430/4*MIN($O3430,4)*10*$N3430/$N3430*$Q3430/400,0)</f>
        <v>826992</v>
      </c>
      <c r="G3430" s="34">
        <f t="shared" si="1718"/>
        <v>826992</v>
      </c>
      <c r="H3430" s="34">
        <f t="shared" ref="H3430:I3445" si="1719">ROUNDDOWN($S3430/4*10,0)</f>
        <v>155669</v>
      </c>
      <c r="I3430" s="34">
        <f t="shared" si="1719"/>
        <v>155669</v>
      </c>
      <c r="J3430" s="34">
        <f t="shared" si="1710"/>
        <v>600791</v>
      </c>
      <c r="K3430" s="133">
        <v>1000</v>
      </c>
      <c r="L3430" s="34"/>
      <c r="M3430" s="16">
        <f t="shared" si="1712"/>
        <v>703563.69011373899</v>
      </c>
      <c r="N3430" s="36">
        <v>810</v>
      </c>
      <c r="O3430" s="36">
        <v>1</v>
      </c>
      <c r="P3430" s="56">
        <v>155669.08876889027</v>
      </c>
      <c r="Q3430" s="2" t="s">
        <v>402</v>
      </c>
      <c r="R3430" s="2" t="s">
        <v>671</v>
      </c>
      <c r="S3430" s="56">
        <f t="shared" si="1715"/>
        <v>62267.635507556115</v>
      </c>
    </row>
    <row r="3431" spans="1:19" x14ac:dyDescent="0.2">
      <c r="A3431" s="8" t="str">
        <f t="shared" si="1711"/>
        <v>9026119</v>
      </c>
      <c r="B3431" s="8">
        <v>902</v>
      </c>
      <c r="C3431" s="8">
        <v>61</v>
      </c>
      <c r="D3431" s="8" t="s">
        <v>62</v>
      </c>
      <c r="E3431" s="8">
        <v>9</v>
      </c>
      <c r="F3431" s="34">
        <f t="shared" si="1718"/>
        <v>3307968</v>
      </c>
      <c r="G3431" s="34">
        <f t="shared" si="1718"/>
        <v>3307968</v>
      </c>
      <c r="H3431" s="34">
        <f t="shared" si="1719"/>
        <v>155669</v>
      </c>
      <c r="I3431" s="34">
        <f t="shared" si="1719"/>
        <v>155669</v>
      </c>
      <c r="J3431" s="34">
        <f t="shared" si="1710"/>
        <v>8904317</v>
      </c>
      <c r="K3431" s="133">
        <v>1000</v>
      </c>
      <c r="L3431" s="34"/>
      <c r="M3431" s="16">
        <f t="shared" si="1712"/>
        <v>5417164.3410711745</v>
      </c>
      <c r="N3431" s="36">
        <v>735</v>
      </c>
      <c r="O3431" s="36">
        <v>18</v>
      </c>
      <c r="P3431" s="56">
        <v>155669.08876889027</v>
      </c>
      <c r="Q3431" s="2" t="s">
        <v>402</v>
      </c>
      <c r="R3431" s="2" t="s">
        <v>671</v>
      </c>
      <c r="S3431" s="56">
        <f t="shared" si="1715"/>
        <v>62267.635507556115</v>
      </c>
    </row>
    <row r="3432" spans="1:19" x14ac:dyDescent="0.2">
      <c r="A3432" s="8" t="str">
        <f t="shared" si="1711"/>
        <v>9026211</v>
      </c>
      <c r="B3432" s="8">
        <v>902</v>
      </c>
      <c r="C3432" s="8">
        <v>62</v>
      </c>
      <c r="D3432" s="8" t="s">
        <v>62</v>
      </c>
      <c r="E3432" s="8">
        <v>1</v>
      </c>
      <c r="F3432" s="34">
        <f t="shared" si="1718"/>
        <v>876611</v>
      </c>
      <c r="G3432" s="34">
        <f t="shared" si="1718"/>
        <v>876611</v>
      </c>
      <c r="H3432" s="34">
        <f t="shared" si="1719"/>
        <v>165009</v>
      </c>
      <c r="I3432" s="34">
        <f t="shared" si="1719"/>
        <v>165009</v>
      </c>
      <c r="J3432" s="34">
        <f t="shared" si="1710"/>
        <v>636838</v>
      </c>
      <c r="K3432" s="133">
        <v>1000</v>
      </c>
      <c r="L3432" s="34"/>
      <c r="M3432" s="16">
        <f t="shared" si="1712"/>
        <v>767824.11184118118</v>
      </c>
      <c r="N3432" s="36">
        <v>810</v>
      </c>
      <c r="O3432" s="36">
        <v>1</v>
      </c>
      <c r="P3432" s="56">
        <v>165009.23409502371</v>
      </c>
      <c r="Q3432" s="2" t="s">
        <v>402</v>
      </c>
      <c r="R3432" s="2" t="s">
        <v>672</v>
      </c>
      <c r="S3432" s="56">
        <f t="shared" si="1715"/>
        <v>66003.693638009485</v>
      </c>
    </row>
    <row r="3433" spans="1:19" x14ac:dyDescent="0.2">
      <c r="A3433" s="8" t="str">
        <f t="shared" si="1711"/>
        <v>9026219</v>
      </c>
      <c r="B3433" s="8">
        <v>902</v>
      </c>
      <c r="C3433" s="8">
        <v>62</v>
      </c>
      <c r="D3433" s="8" t="s">
        <v>62</v>
      </c>
      <c r="E3433" s="8">
        <v>9</v>
      </c>
      <c r="F3433" s="34">
        <f t="shared" si="1718"/>
        <v>3506446</v>
      </c>
      <c r="G3433" s="34">
        <f t="shared" si="1718"/>
        <v>3506446</v>
      </c>
      <c r="H3433" s="34">
        <f t="shared" si="1719"/>
        <v>165009</v>
      </c>
      <c r="I3433" s="34">
        <f t="shared" si="1719"/>
        <v>165009</v>
      </c>
      <c r="J3433" s="34">
        <f t="shared" si="1710"/>
        <v>9438576</v>
      </c>
      <c r="K3433" s="133">
        <v>1000</v>
      </c>
      <c r="L3433" s="34"/>
      <c r="M3433" s="16">
        <f t="shared" si="1712"/>
        <v>5911948.1880064625</v>
      </c>
      <c r="N3433" s="36">
        <v>735</v>
      </c>
      <c r="O3433" s="36">
        <v>18</v>
      </c>
      <c r="P3433" s="56">
        <v>165009.23409502371</v>
      </c>
      <c r="Q3433" s="2" t="s">
        <v>402</v>
      </c>
      <c r="R3433" s="2" t="s">
        <v>672</v>
      </c>
      <c r="S3433" s="56">
        <f t="shared" si="1715"/>
        <v>66003.693638009485</v>
      </c>
    </row>
    <row r="3434" spans="1:19" x14ac:dyDescent="0.2">
      <c r="A3434" s="18" t="str">
        <f t="shared" si="1711"/>
        <v>9026311</v>
      </c>
      <c r="B3434" s="18">
        <v>902</v>
      </c>
      <c r="C3434" s="18">
        <v>63</v>
      </c>
      <c r="D3434" s="18" t="s">
        <v>62</v>
      </c>
      <c r="E3434" s="18">
        <v>1</v>
      </c>
      <c r="F3434" s="19">
        <f t="shared" si="1718"/>
        <v>948281</v>
      </c>
      <c r="G3434" s="19">
        <f t="shared" si="1718"/>
        <v>948281</v>
      </c>
      <c r="H3434" s="19">
        <f t="shared" si="1719"/>
        <v>178500</v>
      </c>
      <c r="I3434" s="19">
        <f t="shared" si="1719"/>
        <v>178500</v>
      </c>
      <c r="J3434" s="19">
        <f t="shared" si="1710"/>
        <v>688905</v>
      </c>
      <c r="K3434" s="133">
        <v>1000</v>
      </c>
      <c r="L3434" s="19"/>
      <c r="M3434" s="16">
        <f t="shared" si="1712"/>
        <v>863887.69911443489</v>
      </c>
      <c r="N3434" s="36">
        <v>810</v>
      </c>
      <c r="O3434" s="58">
        <v>1</v>
      </c>
      <c r="P3434" s="94">
        <v>178500</v>
      </c>
      <c r="Q3434" s="41" t="s">
        <v>402</v>
      </c>
      <c r="R3434" s="41" t="s">
        <v>673</v>
      </c>
      <c r="S3434" s="94">
        <f t="shared" si="1715"/>
        <v>71400</v>
      </c>
    </row>
    <row r="3435" spans="1:19" x14ac:dyDescent="0.2">
      <c r="A3435" s="18" t="str">
        <f t="shared" si="1711"/>
        <v>9026319</v>
      </c>
      <c r="B3435" s="18">
        <v>902</v>
      </c>
      <c r="C3435" s="18">
        <v>63</v>
      </c>
      <c r="D3435" s="18" t="s">
        <v>62</v>
      </c>
      <c r="E3435" s="18">
        <v>9</v>
      </c>
      <c r="F3435" s="19">
        <f t="shared" si="1718"/>
        <v>3793125</v>
      </c>
      <c r="G3435" s="19">
        <f t="shared" si="1718"/>
        <v>3793125</v>
      </c>
      <c r="H3435" s="19">
        <f t="shared" si="1719"/>
        <v>178500</v>
      </c>
      <c r="I3435" s="19">
        <f t="shared" si="1719"/>
        <v>178500</v>
      </c>
      <c r="J3435" s="19">
        <f t="shared" si="1710"/>
        <v>10210252</v>
      </c>
      <c r="K3435" s="133">
        <v>1000</v>
      </c>
      <c r="L3435" s="19"/>
      <c r="M3435" s="16">
        <f t="shared" si="1712"/>
        <v>6651596.6386298565</v>
      </c>
      <c r="N3435" s="36">
        <v>735</v>
      </c>
      <c r="O3435" s="58">
        <v>18</v>
      </c>
      <c r="P3435" s="94">
        <v>178500</v>
      </c>
      <c r="Q3435" s="41" t="s">
        <v>402</v>
      </c>
      <c r="R3435" s="41" t="s">
        <v>673</v>
      </c>
      <c r="S3435" s="94">
        <f t="shared" si="1715"/>
        <v>71400</v>
      </c>
    </row>
    <row r="3436" spans="1:19" x14ac:dyDescent="0.2">
      <c r="A3436" s="8" t="str">
        <f t="shared" si="1711"/>
        <v>9026411</v>
      </c>
      <c r="B3436" s="8">
        <v>902</v>
      </c>
      <c r="C3436" s="8">
        <v>64</v>
      </c>
      <c r="D3436" s="8" t="s">
        <v>62</v>
      </c>
      <c r="E3436" s="8">
        <v>1</v>
      </c>
      <c r="F3436" s="34">
        <f t="shared" si="1718"/>
        <v>984960</v>
      </c>
      <c r="G3436" s="34">
        <f t="shared" si="1718"/>
        <v>984960</v>
      </c>
      <c r="H3436" s="34">
        <f t="shared" si="1719"/>
        <v>185404</v>
      </c>
      <c r="I3436" s="34">
        <f t="shared" si="1719"/>
        <v>185404</v>
      </c>
      <c r="J3436" s="34">
        <f t="shared" si="1710"/>
        <v>715551</v>
      </c>
      <c r="K3436" s="133">
        <v>1000</v>
      </c>
      <c r="L3436" s="34"/>
      <c r="M3436" s="16">
        <f t="shared" si="1712"/>
        <v>914490.35668787104</v>
      </c>
      <c r="N3436" s="36">
        <v>810</v>
      </c>
      <c r="O3436" s="36">
        <v>1</v>
      </c>
      <c r="P3436" s="56">
        <v>185404.37542916863</v>
      </c>
      <c r="Q3436" s="2" t="s">
        <v>402</v>
      </c>
      <c r="R3436" s="2" t="s">
        <v>674</v>
      </c>
      <c r="S3436" s="56">
        <f t="shared" si="1715"/>
        <v>74161.75017166746</v>
      </c>
    </row>
    <row r="3437" spans="1:19" x14ac:dyDescent="0.2">
      <c r="A3437" s="8" t="str">
        <f t="shared" si="1711"/>
        <v>9026419</v>
      </c>
      <c r="B3437" s="8">
        <v>902</v>
      </c>
      <c r="C3437" s="8">
        <v>64</v>
      </c>
      <c r="D3437" s="8" t="s">
        <v>62</v>
      </c>
      <c r="E3437" s="8">
        <v>9</v>
      </c>
      <c r="F3437" s="34">
        <f t="shared" si="1718"/>
        <v>3939842</v>
      </c>
      <c r="G3437" s="34">
        <f t="shared" si="1718"/>
        <v>3939842</v>
      </c>
      <c r="H3437" s="34">
        <f t="shared" si="1719"/>
        <v>185404</v>
      </c>
      <c r="I3437" s="34">
        <f t="shared" si="1719"/>
        <v>185404</v>
      </c>
      <c r="J3437" s="34">
        <f t="shared" si="1710"/>
        <v>10605184</v>
      </c>
      <c r="K3437" s="133">
        <v>1000</v>
      </c>
      <c r="L3437" s="34"/>
      <c r="M3437" s="16">
        <f t="shared" si="1712"/>
        <v>7041222.1024730252</v>
      </c>
      <c r="N3437" s="36">
        <v>735</v>
      </c>
      <c r="O3437" s="36">
        <v>18</v>
      </c>
      <c r="P3437" s="56">
        <v>185404.37542916863</v>
      </c>
      <c r="Q3437" s="2" t="s">
        <v>402</v>
      </c>
      <c r="R3437" s="2" t="s">
        <v>674</v>
      </c>
      <c r="S3437" s="56">
        <f t="shared" si="1715"/>
        <v>74161.75017166746</v>
      </c>
    </row>
    <row r="3438" spans="1:19" x14ac:dyDescent="0.2">
      <c r="A3438" s="8" t="str">
        <f t="shared" si="1711"/>
        <v>9026511</v>
      </c>
      <c r="B3438" s="8">
        <v>902</v>
      </c>
      <c r="C3438" s="8">
        <v>65</v>
      </c>
      <c r="D3438" s="8" t="s">
        <v>62</v>
      </c>
      <c r="E3438" s="8">
        <v>1</v>
      </c>
      <c r="F3438" s="34">
        <f t="shared" si="1718"/>
        <v>1044058</v>
      </c>
      <c r="G3438" s="34">
        <f t="shared" si="1718"/>
        <v>1044058</v>
      </c>
      <c r="H3438" s="34">
        <f t="shared" si="1719"/>
        <v>196528</v>
      </c>
      <c r="I3438" s="34">
        <f t="shared" si="1719"/>
        <v>196528</v>
      </c>
      <c r="J3438" s="34">
        <f t="shared" si="1710"/>
        <v>758484</v>
      </c>
      <c r="K3438" s="133">
        <v>1000</v>
      </c>
      <c r="L3438" s="34"/>
      <c r="M3438" s="16">
        <f t="shared" si="1712"/>
        <v>998016.51719306223</v>
      </c>
      <c r="N3438" s="36">
        <v>810</v>
      </c>
      <c r="O3438" s="36">
        <v>1</v>
      </c>
      <c r="P3438" s="56">
        <v>196528.63795491878</v>
      </c>
      <c r="Q3438" s="2" t="s">
        <v>402</v>
      </c>
      <c r="R3438" s="2" t="s">
        <v>675</v>
      </c>
      <c r="S3438" s="56">
        <f t="shared" si="1715"/>
        <v>78611.455181967525</v>
      </c>
    </row>
    <row r="3439" spans="1:19" x14ac:dyDescent="0.2">
      <c r="A3439" s="8" t="str">
        <f t="shared" si="1711"/>
        <v>9026519</v>
      </c>
      <c r="B3439" s="8">
        <v>902</v>
      </c>
      <c r="C3439" s="8">
        <v>65</v>
      </c>
      <c r="D3439" s="8" t="s">
        <v>62</v>
      </c>
      <c r="E3439" s="8">
        <v>9</v>
      </c>
      <c r="F3439" s="34">
        <f t="shared" si="1718"/>
        <v>4176233</v>
      </c>
      <c r="G3439" s="34">
        <f t="shared" si="1718"/>
        <v>4176233</v>
      </c>
      <c r="H3439" s="34">
        <f t="shared" si="1719"/>
        <v>196528</v>
      </c>
      <c r="I3439" s="34">
        <f t="shared" si="1719"/>
        <v>196528</v>
      </c>
      <c r="J3439" s="34">
        <f t="shared" ref="J3439:J3491" si="1720">ROUNDDOWN($P3439/4*$O3439*10*$N3439/$Q3439*$N3439/400*0.8,0)</f>
        <v>11241495</v>
      </c>
      <c r="K3439" s="133">
        <v>1000</v>
      </c>
      <c r="L3439" s="34"/>
      <c r="M3439" s="16">
        <f t="shared" si="1712"/>
        <v>7684340.4976821588</v>
      </c>
      <c r="N3439" s="36">
        <v>735</v>
      </c>
      <c r="O3439" s="36">
        <v>18</v>
      </c>
      <c r="P3439" s="56">
        <v>196528.63795491878</v>
      </c>
      <c r="Q3439" s="2" t="s">
        <v>402</v>
      </c>
      <c r="R3439" s="2" t="s">
        <v>675</v>
      </c>
      <c r="S3439" s="56">
        <f t="shared" si="1715"/>
        <v>78611.455181967525</v>
      </c>
    </row>
    <row r="3440" spans="1:19" x14ac:dyDescent="0.2">
      <c r="A3440" s="8" t="str">
        <f t="shared" si="1711"/>
        <v>9026611</v>
      </c>
      <c r="B3440" s="8">
        <v>902</v>
      </c>
      <c r="C3440" s="8">
        <v>66</v>
      </c>
      <c r="D3440" s="8" t="s">
        <v>62</v>
      </c>
      <c r="E3440" s="8">
        <v>1</v>
      </c>
      <c r="F3440" s="34">
        <f t="shared" si="1718"/>
        <v>1106701</v>
      </c>
      <c r="G3440" s="34">
        <f t="shared" si="1718"/>
        <v>1106701</v>
      </c>
      <c r="H3440" s="34">
        <f t="shared" si="1719"/>
        <v>208320</v>
      </c>
      <c r="I3440" s="34">
        <f t="shared" si="1719"/>
        <v>208320</v>
      </c>
      <c r="J3440" s="34">
        <f t="shared" si="1720"/>
        <v>803994</v>
      </c>
      <c r="K3440" s="133">
        <v>1000</v>
      </c>
      <c r="L3440" s="34"/>
      <c r="M3440" s="16">
        <f t="shared" si="1712"/>
        <v>1089173.3977730188</v>
      </c>
      <c r="N3440" s="36">
        <v>810</v>
      </c>
      <c r="O3440" s="36">
        <v>1</v>
      </c>
      <c r="P3440" s="56">
        <v>208320.3562322139</v>
      </c>
      <c r="Q3440" s="2" t="s">
        <v>402</v>
      </c>
      <c r="R3440" s="2" t="s">
        <v>676</v>
      </c>
      <c r="S3440" s="56">
        <f t="shared" si="1715"/>
        <v>83328.14249288557</v>
      </c>
    </row>
    <row r="3441" spans="1:19" x14ac:dyDescent="0.2">
      <c r="A3441" s="8" t="str">
        <f t="shared" si="1711"/>
        <v>9026619</v>
      </c>
      <c r="B3441" s="8">
        <v>902</v>
      </c>
      <c r="C3441" s="8">
        <v>66</v>
      </c>
      <c r="D3441" s="8" t="s">
        <v>62</v>
      </c>
      <c r="E3441" s="8">
        <v>9</v>
      </c>
      <c r="F3441" s="34">
        <f t="shared" si="1718"/>
        <v>4426807</v>
      </c>
      <c r="G3441" s="34">
        <f t="shared" si="1718"/>
        <v>4426807</v>
      </c>
      <c r="H3441" s="34">
        <f t="shared" si="1719"/>
        <v>208320</v>
      </c>
      <c r="I3441" s="34">
        <f t="shared" si="1719"/>
        <v>208320</v>
      </c>
      <c r="J3441" s="34">
        <f t="shared" si="1720"/>
        <v>11915985</v>
      </c>
      <c r="K3441" s="133">
        <v>1000</v>
      </c>
      <c r="L3441" s="34"/>
      <c r="M3441" s="16">
        <f t="shared" si="1712"/>
        <v>8386210.095538442</v>
      </c>
      <c r="N3441" s="36">
        <v>735</v>
      </c>
      <c r="O3441" s="36">
        <v>18</v>
      </c>
      <c r="P3441" s="56">
        <v>208320.3562322139</v>
      </c>
      <c r="Q3441" s="2" t="s">
        <v>402</v>
      </c>
      <c r="R3441" s="2" t="s">
        <v>676</v>
      </c>
      <c r="S3441" s="56">
        <f t="shared" si="1715"/>
        <v>83328.14249288557</v>
      </c>
    </row>
    <row r="3442" spans="1:19" x14ac:dyDescent="0.2">
      <c r="A3442" s="18" t="str">
        <f t="shared" si="1711"/>
        <v>9026711</v>
      </c>
      <c r="B3442" s="18">
        <v>902</v>
      </c>
      <c r="C3442" s="18">
        <v>67</v>
      </c>
      <c r="D3442" s="18" t="s">
        <v>62</v>
      </c>
      <c r="E3442" s="18">
        <v>1</v>
      </c>
      <c r="F3442" s="19">
        <f t="shared" si="1718"/>
        <v>1227187</v>
      </c>
      <c r="G3442" s="19">
        <f t="shared" si="1718"/>
        <v>1227187</v>
      </c>
      <c r="H3442" s="19">
        <f t="shared" si="1719"/>
        <v>190575</v>
      </c>
      <c r="I3442" s="19">
        <f t="shared" si="1719"/>
        <v>190575</v>
      </c>
      <c r="J3442" s="19">
        <f t="shared" si="1720"/>
        <v>891524</v>
      </c>
      <c r="K3442" s="133">
        <v>1000</v>
      </c>
      <c r="L3442" s="19"/>
      <c r="M3442" s="16">
        <f t="shared" si="1712"/>
        <v>1155167.1859576015</v>
      </c>
      <c r="N3442" s="36">
        <v>810</v>
      </c>
      <c r="O3442" s="58">
        <v>1</v>
      </c>
      <c r="P3442" s="94">
        <v>230999.99999999997</v>
      </c>
      <c r="Q3442" s="41" t="s">
        <v>402</v>
      </c>
      <c r="R3442" s="41" t="s">
        <v>677</v>
      </c>
      <c r="S3442" s="94">
        <f>P3442*0.33</f>
        <v>76230</v>
      </c>
    </row>
    <row r="3443" spans="1:19" x14ac:dyDescent="0.2">
      <c r="A3443" s="18" t="str">
        <f t="shared" si="1711"/>
        <v>9026719</v>
      </c>
      <c r="B3443" s="18">
        <v>902</v>
      </c>
      <c r="C3443" s="18">
        <v>67</v>
      </c>
      <c r="D3443" s="18" t="s">
        <v>62</v>
      </c>
      <c r="E3443" s="18">
        <v>9</v>
      </c>
      <c r="F3443" s="19">
        <f t="shared" si="1718"/>
        <v>4908750</v>
      </c>
      <c r="G3443" s="19">
        <f t="shared" si="1718"/>
        <v>4908750</v>
      </c>
      <c r="H3443" s="19">
        <f t="shared" si="1719"/>
        <v>190575</v>
      </c>
      <c r="I3443" s="19">
        <f t="shared" si="1719"/>
        <v>190575</v>
      </c>
      <c r="J3443" s="19">
        <f t="shared" si="1720"/>
        <v>13213267</v>
      </c>
      <c r="K3443" s="133">
        <v>1000</v>
      </c>
      <c r="L3443" s="19"/>
      <c r="M3443" s="16">
        <f t="shared" si="1712"/>
        <v>8894335.6329419799</v>
      </c>
      <c r="N3443" s="36">
        <v>735</v>
      </c>
      <c r="O3443" s="58">
        <v>18</v>
      </c>
      <c r="P3443" s="94">
        <v>230999.99999999997</v>
      </c>
      <c r="Q3443" s="41" t="s">
        <v>402</v>
      </c>
      <c r="R3443" s="41" t="s">
        <v>677</v>
      </c>
      <c r="S3443" s="94">
        <f>P3443*0.33</f>
        <v>76230</v>
      </c>
    </row>
    <row r="3444" spans="1:19" x14ac:dyDescent="0.2">
      <c r="A3444" s="8" t="str">
        <f t="shared" si="1711"/>
        <v>9026811</v>
      </c>
      <c r="B3444" s="8">
        <v>902</v>
      </c>
      <c r="C3444" s="8">
        <v>68</v>
      </c>
      <c r="D3444" s="8" t="s">
        <v>62</v>
      </c>
      <c r="E3444" s="8">
        <v>1</v>
      </c>
      <c r="F3444" s="34">
        <f t="shared" si="1718"/>
        <v>1243490</v>
      </c>
      <c r="G3444" s="34">
        <f t="shared" si="1718"/>
        <v>1243490</v>
      </c>
      <c r="H3444" s="34">
        <f t="shared" si="1719"/>
        <v>234068</v>
      </c>
      <c r="I3444" s="34">
        <f t="shared" si="1719"/>
        <v>234068</v>
      </c>
      <c r="J3444" s="34">
        <f t="shared" si="1720"/>
        <v>903367</v>
      </c>
      <c r="K3444" s="133">
        <v>1000</v>
      </c>
      <c r="L3444" s="34"/>
      <c r="M3444" s="16">
        <f t="shared" si="1712"/>
        <v>1297221.8899336327</v>
      </c>
      <c r="N3444" s="36">
        <v>810</v>
      </c>
      <c r="O3444" s="36">
        <v>1</v>
      </c>
      <c r="P3444" s="56">
        <v>234068.75226251554</v>
      </c>
      <c r="Q3444" s="2" t="s">
        <v>402</v>
      </c>
      <c r="R3444" s="2" t="s">
        <v>678</v>
      </c>
      <c r="S3444" s="56">
        <f t="shared" si="1715"/>
        <v>93627.500905006222</v>
      </c>
    </row>
    <row r="3445" spans="1:19" x14ac:dyDescent="0.2">
      <c r="A3445" s="8" t="str">
        <f t="shared" si="1711"/>
        <v>9026819</v>
      </c>
      <c r="B3445" s="8">
        <v>902</v>
      </c>
      <c r="C3445" s="8">
        <v>68</v>
      </c>
      <c r="D3445" s="8" t="s">
        <v>62</v>
      </c>
      <c r="E3445" s="8">
        <v>9</v>
      </c>
      <c r="F3445" s="34">
        <f t="shared" si="1718"/>
        <v>4973960</v>
      </c>
      <c r="G3445" s="34">
        <f t="shared" si="1718"/>
        <v>4973960</v>
      </c>
      <c r="H3445" s="34">
        <f t="shared" si="1719"/>
        <v>234068</v>
      </c>
      <c r="I3445" s="34">
        <f t="shared" si="1719"/>
        <v>234068</v>
      </c>
      <c r="J3445" s="34">
        <f t="shared" si="1720"/>
        <v>13388801</v>
      </c>
      <c r="K3445" s="133">
        <v>1000</v>
      </c>
      <c r="L3445" s="34"/>
      <c r="M3445" s="16">
        <f t="shared" si="1712"/>
        <v>9988102.6410620138</v>
      </c>
      <c r="N3445" s="36">
        <v>735</v>
      </c>
      <c r="O3445" s="36">
        <v>18</v>
      </c>
      <c r="P3445" s="56">
        <v>234068.75226251554</v>
      </c>
      <c r="Q3445" s="2" t="s">
        <v>402</v>
      </c>
      <c r="R3445" s="2" t="s">
        <v>678</v>
      </c>
      <c r="S3445" s="56">
        <f t="shared" si="1715"/>
        <v>93627.500905006222</v>
      </c>
    </row>
    <row r="3446" spans="1:19" x14ac:dyDescent="0.2">
      <c r="A3446" s="8" t="str">
        <f t="shared" ref="A3446:A3693" si="1721">IF(B3446="","",CONCATENATE(B3446,CONCATENATE(REPT(0,2-LEN(C3446)),C3446),IF(OR(D3446="Easy",D3446=""),1,IF(D3446="Normal",2,IF(D3446="Hard",3,IF(D3446="Hell",4,"error")))),E3446))</f>
        <v>9026911</v>
      </c>
      <c r="B3446" s="8">
        <v>902</v>
      </c>
      <c r="C3446" s="8">
        <v>69</v>
      </c>
      <c r="D3446" s="8" t="s">
        <v>62</v>
      </c>
      <c r="E3446" s="8">
        <v>1</v>
      </c>
      <c r="F3446" s="34">
        <f t="shared" si="1718"/>
        <v>1318099</v>
      </c>
      <c r="G3446" s="34">
        <f t="shared" si="1718"/>
        <v>1318099</v>
      </c>
      <c r="H3446" s="34">
        <f t="shared" ref="H3446:I3461" si="1722">ROUNDDOWN($S3446/4*10,0)</f>
        <v>248112</v>
      </c>
      <c r="I3446" s="34">
        <f t="shared" si="1722"/>
        <v>248112</v>
      </c>
      <c r="J3446" s="34">
        <f t="shared" si="1720"/>
        <v>957569</v>
      </c>
      <c r="K3446" s="133">
        <v>1000</v>
      </c>
      <c r="L3446" s="34"/>
      <c r="M3446" s="16">
        <f t="shared" si="1712"/>
        <v>1415705.5218610789</v>
      </c>
      <c r="N3446" s="36">
        <v>810</v>
      </c>
      <c r="O3446" s="36">
        <v>1</v>
      </c>
      <c r="P3446" s="56">
        <v>248112.87739826646</v>
      </c>
      <c r="Q3446" s="2" t="s">
        <v>402</v>
      </c>
      <c r="R3446" s="2" t="s">
        <v>679</v>
      </c>
      <c r="S3446" s="56">
        <f t="shared" si="1715"/>
        <v>99245.150959306586</v>
      </c>
    </row>
    <row r="3447" spans="1:19" x14ac:dyDescent="0.2">
      <c r="A3447" s="8" t="str">
        <f t="shared" si="1721"/>
        <v>9026919</v>
      </c>
      <c r="B3447" s="8">
        <v>902</v>
      </c>
      <c r="C3447" s="8">
        <v>69</v>
      </c>
      <c r="D3447" s="8" t="s">
        <v>62</v>
      </c>
      <c r="E3447" s="8">
        <v>9</v>
      </c>
      <c r="F3447" s="34">
        <f t="shared" si="1718"/>
        <v>5272398</v>
      </c>
      <c r="G3447" s="34">
        <f t="shared" si="1718"/>
        <v>5272398</v>
      </c>
      <c r="H3447" s="34">
        <f t="shared" si="1722"/>
        <v>248112</v>
      </c>
      <c r="I3447" s="34">
        <f t="shared" si="1722"/>
        <v>248112</v>
      </c>
      <c r="J3447" s="34">
        <f t="shared" si="1720"/>
        <v>14192129</v>
      </c>
      <c r="K3447" s="133">
        <v>1000</v>
      </c>
      <c r="L3447" s="34"/>
      <c r="M3447" s="16">
        <f t="shared" si="1712"/>
        <v>10900382.556989022</v>
      </c>
      <c r="N3447" s="36">
        <v>735</v>
      </c>
      <c r="O3447" s="36">
        <v>18</v>
      </c>
      <c r="P3447" s="56">
        <v>248112.87739826646</v>
      </c>
      <c r="Q3447" s="2" t="s">
        <v>402</v>
      </c>
      <c r="R3447" s="2" t="s">
        <v>679</v>
      </c>
      <c r="S3447" s="56">
        <f t="shared" si="1715"/>
        <v>99245.150959306586</v>
      </c>
    </row>
    <row r="3448" spans="1:19" x14ac:dyDescent="0.2">
      <c r="A3448" s="8" t="str">
        <f t="shared" si="1721"/>
        <v>9027011</v>
      </c>
      <c r="B3448" s="8">
        <v>902</v>
      </c>
      <c r="C3448" s="8">
        <v>70</v>
      </c>
      <c r="D3448" s="8" t="s">
        <v>62</v>
      </c>
      <c r="E3448" s="8">
        <v>1</v>
      </c>
      <c r="F3448" s="34">
        <f t="shared" si="1718"/>
        <v>1397185</v>
      </c>
      <c r="G3448" s="34">
        <f t="shared" si="1718"/>
        <v>1397185</v>
      </c>
      <c r="H3448" s="34">
        <f t="shared" si="1722"/>
        <v>262999</v>
      </c>
      <c r="I3448" s="34">
        <f t="shared" si="1722"/>
        <v>262999</v>
      </c>
      <c r="J3448" s="34">
        <f t="shared" si="1720"/>
        <v>1015023</v>
      </c>
      <c r="K3448" s="133">
        <v>1000</v>
      </c>
      <c r="L3448" s="34"/>
      <c r="M3448" s="16">
        <f t="shared" si="1712"/>
        <v>1545012.2758806129</v>
      </c>
      <c r="N3448" s="36">
        <v>810</v>
      </c>
      <c r="O3448" s="36">
        <v>1</v>
      </c>
      <c r="P3448" s="56">
        <v>262999.65004216251</v>
      </c>
      <c r="Q3448" s="2" t="s">
        <v>402</v>
      </c>
      <c r="R3448" s="2" t="s">
        <v>680</v>
      </c>
      <c r="S3448" s="56">
        <f t="shared" si="1715"/>
        <v>105199.86001686502</v>
      </c>
    </row>
    <row r="3449" spans="1:19" x14ac:dyDescent="0.2">
      <c r="A3449" s="8" t="str">
        <f t="shared" si="1721"/>
        <v>9027019</v>
      </c>
      <c r="B3449" s="8">
        <v>902</v>
      </c>
      <c r="C3449" s="8">
        <v>70</v>
      </c>
      <c r="D3449" s="8" t="s">
        <v>62</v>
      </c>
      <c r="E3449" s="8">
        <v>9</v>
      </c>
      <c r="F3449" s="34">
        <f t="shared" si="1718"/>
        <v>5588742</v>
      </c>
      <c r="G3449" s="34">
        <f t="shared" si="1718"/>
        <v>5588742</v>
      </c>
      <c r="H3449" s="34">
        <f t="shared" si="1722"/>
        <v>262999</v>
      </c>
      <c r="I3449" s="34">
        <f t="shared" si="1722"/>
        <v>262999</v>
      </c>
      <c r="J3449" s="34">
        <f t="shared" si="1720"/>
        <v>15043657</v>
      </c>
      <c r="K3449" s="133">
        <v>1000</v>
      </c>
      <c r="L3449" s="34"/>
      <c r="M3449" s="16">
        <f t="shared" si="1712"/>
        <v>11895995.126422463</v>
      </c>
      <c r="N3449" s="36">
        <v>735</v>
      </c>
      <c r="O3449" s="36">
        <v>18</v>
      </c>
      <c r="P3449" s="56">
        <v>262999.65004216251</v>
      </c>
      <c r="Q3449" s="2" t="s">
        <v>402</v>
      </c>
      <c r="R3449" s="2" t="s">
        <v>680</v>
      </c>
      <c r="S3449" s="56">
        <f t="shared" si="1715"/>
        <v>105199.86001686502</v>
      </c>
    </row>
    <row r="3450" spans="1:19" x14ac:dyDescent="0.2">
      <c r="A3450" s="18" t="str">
        <f t="shared" si="1721"/>
        <v>9027111</v>
      </c>
      <c r="B3450" s="18">
        <v>902</v>
      </c>
      <c r="C3450" s="18">
        <v>71</v>
      </c>
      <c r="D3450" s="18" t="s">
        <v>62</v>
      </c>
      <c r="E3450" s="18">
        <v>1</v>
      </c>
      <c r="F3450" s="19">
        <f t="shared" ref="F3450:G3469" si="1723">ROUNDDOWN($P3450/4*MIN($O3450,4)*10*$N3450/$N3450*$Q3450/400,0)</f>
        <v>1487500</v>
      </c>
      <c r="G3450" s="19">
        <f t="shared" si="1723"/>
        <v>1487500</v>
      </c>
      <c r="H3450" s="19">
        <f t="shared" si="1722"/>
        <v>210000</v>
      </c>
      <c r="I3450" s="19">
        <f t="shared" si="1722"/>
        <v>210000</v>
      </c>
      <c r="J3450" s="19">
        <f t="shared" si="1720"/>
        <v>1080635</v>
      </c>
      <c r="K3450" s="133">
        <v>1000</v>
      </c>
      <c r="L3450" s="19"/>
      <c r="M3450" s="16">
        <f t="shared" si="1712"/>
        <v>1469831.790376028</v>
      </c>
      <c r="N3450" s="36">
        <v>810</v>
      </c>
      <c r="O3450" s="58">
        <v>1</v>
      </c>
      <c r="P3450" s="94">
        <v>280000</v>
      </c>
      <c r="Q3450" s="41" t="s">
        <v>402</v>
      </c>
      <c r="R3450" s="41" t="s">
        <v>681</v>
      </c>
      <c r="S3450" s="94">
        <f>P3450*0.3</f>
        <v>84000</v>
      </c>
    </row>
    <row r="3451" spans="1:19" x14ac:dyDescent="0.2">
      <c r="A3451" s="18" t="str">
        <f t="shared" si="1721"/>
        <v>9027119</v>
      </c>
      <c r="B3451" s="18">
        <v>902</v>
      </c>
      <c r="C3451" s="18">
        <v>71</v>
      </c>
      <c r="D3451" s="18" t="s">
        <v>62</v>
      </c>
      <c r="E3451" s="18">
        <v>9</v>
      </c>
      <c r="F3451" s="19">
        <f t="shared" si="1723"/>
        <v>5950000</v>
      </c>
      <c r="G3451" s="19">
        <f t="shared" si="1723"/>
        <v>5950000</v>
      </c>
      <c r="H3451" s="19">
        <f t="shared" si="1722"/>
        <v>210000</v>
      </c>
      <c r="I3451" s="19">
        <f t="shared" si="1722"/>
        <v>210000</v>
      </c>
      <c r="J3451" s="19">
        <f t="shared" si="1720"/>
        <v>16016082</v>
      </c>
      <c r="K3451" s="133">
        <v>1000</v>
      </c>
      <c r="L3451" s="19"/>
      <c r="M3451" s="16">
        <f t="shared" ref="M3451:M3514" si="1724">(F3451*J3451*((H3451+I3451)/2)/1000)^(1/2)/10*0.8</f>
        <v>11317128.811567005</v>
      </c>
      <c r="N3451" s="36">
        <v>735</v>
      </c>
      <c r="O3451" s="58">
        <v>18</v>
      </c>
      <c r="P3451" s="94">
        <v>280000</v>
      </c>
      <c r="Q3451" s="41" t="s">
        <v>402</v>
      </c>
      <c r="R3451" s="41" t="s">
        <v>681</v>
      </c>
      <c r="S3451" s="94">
        <f>P3451*0.3</f>
        <v>84000</v>
      </c>
    </row>
    <row r="3452" spans="1:19" x14ac:dyDescent="0.2">
      <c r="A3452" s="8" t="str">
        <f t="shared" si="1721"/>
        <v>9027211</v>
      </c>
      <c r="B3452" s="8">
        <v>902</v>
      </c>
      <c r="C3452" s="8">
        <v>72</v>
      </c>
      <c r="D3452" s="8" t="s">
        <v>62</v>
      </c>
      <c r="E3452" s="8">
        <v>1</v>
      </c>
      <c r="F3452" s="34">
        <f t="shared" si="1723"/>
        <v>1569877</v>
      </c>
      <c r="G3452" s="34">
        <f t="shared" si="1723"/>
        <v>1569877</v>
      </c>
      <c r="H3452" s="34">
        <f t="shared" si="1722"/>
        <v>295506</v>
      </c>
      <c r="I3452" s="34">
        <f t="shared" si="1722"/>
        <v>295506</v>
      </c>
      <c r="J3452" s="34">
        <f t="shared" si="1720"/>
        <v>1140480</v>
      </c>
      <c r="K3452" s="133">
        <v>1000</v>
      </c>
      <c r="L3452" s="34"/>
      <c r="M3452" s="16">
        <f t="shared" si="1724"/>
        <v>1840135.4364478388</v>
      </c>
      <c r="N3452" s="36">
        <v>810</v>
      </c>
      <c r="O3452" s="36">
        <v>1</v>
      </c>
      <c r="P3452" s="56">
        <v>295506.40678737377</v>
      </c>
      <c r="Q3452" s="2" t="s">
        <v>402</v>
      </c>
      <c r="R3452" s="2" t="s">
        <v>682</v>
      </c>
      <c r="S3452" s="56">
        <f t="shared" si="1715"/>
        <v>118202.56271494951</v>
      </c>
    </row>
    <row r="3453" spans="1:19" x14ac:dyDescent="0.2">
      <c r="A3453" s="8" t="str">
        <f t="shared" si="1721"/>
        <v>9027219</v>
      </c>
      <c r="B3453" s="8">
        <v>902</v>
      </c>
      <c r="C3453" s="8">
        <v>72</v>
      </c>
      <c r="D3453" s="8" t="s">
        <v>62</v>
      </c>
      <c r="E3453" s="8">
        <v>9</v>
      </c>
      <c r="F3453" s="34">
        <f t="shared" si="1723"/>
        <v>6279511</v>
      </c>
      <c r="G3453" s="34">
        <f t="shared" si="1723"/>
        <v>6279511</v>
      </c>
      <c r="H3453" s="34">
        <f t="shared" si="1722"/>
        <v>295506</v>
      </c>
      <c r="I3453" s="34">
        <f t="shared" si="1722"/>
        <v>295506</v>
      </c>
      <c r="J3453" s="34">
        <f t="shared" si="1720"/>
        <v>16903053</v>
      </c>
      <c r="K3453" s="133">
        <v>1000</v>
      </c>
      <c r="L3453" s="34"/>
      <c r="M3453" s="16">
        <f t="shared" si="1724"/>
        <v>14168328.838410042</v>
      </c>
      <c r="N3453" s="36">
        <v>735</v>
      </c>
      <c r="O3453" s="36">
        <v>18</v>
      </c>
      <c r="P3453" s="56">
        <v>295506.40678737377</v>
      </c>
      <c r="Q3453" s="2" t="s">
        <v>402</v>
      </c>
      <c r="R3453" s="2" t="s">
        <v>682</v>
      </c>
      <c r="S3453" s="56">
        <f t="shared" si="1715"/>
        <v>118202.56271494951</v>
      </c>
    </row>
    <row r="3454" spans="1:19" x14ac:dyDescent="0.2">
      <c r="A3454" s="8" t="str">
        <f t="shared" si="1721"/>
        <v>9027311</v>
      </c>
      <c r="B3454" s="8">
        <v>902</v>
      </c>
      <c r="C3454" s="8">
        <v>73</v>
      </c>
      <c r="D3454" s="8" t="s">
        <v>62</v>
      </c>
      <c r="E3454" s="8">
        <v>1</v>
      </c>
      <c r="F3454" s="34">
        <f t="shared" si="1723"/>
        <v>1664070</v>
      </c>
      <c r="G3454" s="34">
        <f t="shared" si="1723"/>
        <v>1664070</v>
      </c>
      <c r="H3454" s="34">
        <f t="shared" si="1722"/>
        <v>313236</v>
      </c>
      <c r="I3454" s="34">
        <f t="shared" si="1722"/>
        <v>313236</v>
      </c>
      <c r="J3454" s="34">
        <f t="shared" si="1720"/>
        <v>1208909</v>
      </c>
      <c r="K3454" s="133">
        <v>1000</v>
      </c>
      <c r="L3454" s="34"/>
      <c r="M3454" s="16">
        <f t="shared" si="1724"/>
        <v>2008206.7508784886</v>
      </c>
      <c r="N3454" s="36">
        <v>810</v>
      </c>
      <c r="O3454" s="36">
        <v>1</v>
      </c>
      <c r="P3454" s="56">
        <v>313236.79119461623</v>
      </c>
      <c r="Q3454" s="2" t="s">
        <v>402</v>
      </c>
      <c r="R3454" s="2" t="s">
        <v>683</v>
      </c>
      <c r="S3454" s="56">
        <f t="shared" si="1715"/>
        <v>125294.71647784649</v>
      </c>
    </row>
    <row r="3455" spans="1:19" x14ac:dyDescent="0.2">
      <c r="A3455" s="8" t="str">
        <f t="shared" si="1721"/>
        <v>9027319</v>
      </c>
      <c r="B3455" s="8">
        <v>902</v>
      </c>
      <c r="C3455" s="8">
        <v>73</v>
      </c>
      <c r="D3455" s="8" t="s">
        <v>62</v>
      </c>
      <c r="E3455" s="8">
        <v>9</v>
      </c>
      <c r="F3455" s="34">
        <f t="shared" si="1723"/>
        <v>6656281</v>
      </c>
      <c r="G3455" s="34">
        <f t="shared" si="1723"/>
        <v>6656281</v>
      </c>
      <c r="H3455" s="34">
        <f t="shared" si="1722"/>
        <v>313236</v>
      </c>
      <c r="I3455" s="34">
        <f t="shared" si="1722"/>
        <v>313236</v>
      </c>
      <c r="J3455" s="34">
        <f t="shared" si="1720"/>
        <v>17917236</v>
      </c>
      <c r="K3455" s="133">
        <v>1000</v>
      </c>
      <c r="L3455" s="34"/>
      <c r="M3455" s="16">
        <f t="shared" si="1724"/>
        <v>15462408.854560776</v>
      </c>
      <c r="N3455" s="36">
        <v>735</v>
      </c>
      <c r="O3455" s="36">
        <v>18</v>
      </c>
      <c r="P3455" s="56">
        <v>313236.79119461623</v>
      </c>
      <c r="Q3455" s="2" t="s">
        <v>402</v>
      </c>
      <c r="R3455" s="2" t="s">
        <v>683</v>
      </c>
      <c r="S3455" s="56">
        <f t="shared" si="1715"/>
        <v>125294.71647784649</v>
      </c>
    </row>
    <row r="3456" spans="1:19" x14ac:dyDescent="0.2">
      <c r="A3456" s="8" t="str">
        <f t="shared" si="1721"/>
        <v>9027411</v>
      </c>
      <c r="B3456" s="8">
        <v>902</v>
      </c>
      <c r="C3456" s="8">
        <v>74</v>
      </c>
      <c r="D3456" s="8" t="s">
        <v>62</v>
      </c>
      <c r="E3456" s="8">
        <v>1</v>
      </c>
      <c r="F3456" s="34">
        <f t="shared" si="1723"/>
        <v>1763914</v>
      </c>
      <c r="G3456" s="34">
        <f t="shared" si="1723"/>
        <v>1763914</v>
      </c>
      <c r="H3456" s="34">
        <f t="shared" si="1722"/>
        <v>332030</v>
      </c>
      <c r="I3456" s="34">
        <f t="shared" si="1722"/>
        <v>332030</v>
      </c>
      <c r="J3456" s="34">
        <f t="shared" si="1720"/>
        <v>1281444</v>
      </c>
      <c r="K3456" s="133">
        <v>1000</v>
      </c>
      <c r="L3456" s="34"/>
      <c r="M3456" s="16">
        <f t="shared" si="1724"/>
        <v>2191629.6601508441</v>
      </c>
      <c r="N3456" s="36">
        <v>810</v>
      </c>
      <c r="O3456" s="36">
        <v>1</v>
      </c>
      <c r="P3456" s="56">
        <v>332030.99866629316</v>
      </c>
      <c r="Q3456" s="2" t="s">
        <v>402</v>
      </c>
      <c r="R3456" s="2" t="s">
        <v>684</v>
      </c>
      <c r="S3456" s="56">
        <f t="shared" si="1715"/>
        <v>132812.39946651726</v>
      </c>
    </row>
    <row r="3457" spans="1:19" x14ac:dyDescent="0.2">
      <c r="A3457" s="8" t="str">
        <f t="shared" si="1721"/>
        <v>9027419</v>
      </c>
      <c r="B3457" s="8">
        <v>902</v>
      </c>
      <c r="C3457" s="8">
        <v>74</v>
      </c>
      <c r="D3457" s="8" t="s">
        <v>62</v>
      </c>
      <c r="E3457" s="8">
        <v>9</v>
      </c>
      <c r="F3457" s="34">
        <f t="shared" si="1723"/>
        <v>7055658</v>
      </c>
      <c r="G3457" s="34">
        <f t="shared" si="1723"/>
        <v>7055658</v>
      </c>
      <c r="H3457" s="34">
        <f t="shared" si="1722"/>
        <v>332030</v>
      </c>
      <c r="I3457" s="34">
        <f t="shared" si="1722"/>
        <v>332030</v>
      </c>
      <c r="J3457" s="34">
        <f t="shared" si="1720"/>
        <v>18992270</v>
      </c>
      <c r="K3457" s="133">
        <v>1000</v>
      </c>
      <c r="L3457" s="34"/>
      <c r="M3457" s="16">
        <f t="shared" si="1724"/>
        <v>16874691.751972344</v>
      </c>
      <c r="N3457" s="36">
        <v>735</v>
      </c>
      <c r="O3457" s="36">
        <v>18</v>
      </c>
      <c r="P3457" s="56">
        <v>332030.99866629316</v>
      </c>
      <c r="Q3457" s="2" t="s">
        <v>402</v>
      </c>
      <c r="R3457" s="2" t="s">
        <v>684</v>
      </c>
      <c r="S3457" s="56">
        <f t="shared" si="1715"/>
        <v>132812.39946651726</v>
      </c>
    </row>
    <row r="3458" spans="1:19" x14ac:dyDescent="0.2">
      <c r="A3458" s="18" t="str">
        <f t="shared" si="1721"/>
        <v>9027511</v>
      </c>
      <c r="B3458" s="18">
        <v>902</v>
      </c>
      <c r="C3458" s="18">
        <v>75</v>
      </c>
      <c r="D3458" s="18" t="s">
        <v>62</v>
      </c>
      <c r="E3458" s="18">
        <v>1</v>
      </c>
      <c r="F3458" s="19">
        <f t="shared" si="1723"/>
        <v>1673437</v>
      </c>
      <c r="G3458" s="19">
        <f t="shared" si="1723"/>
        <v>1673437</v>
      </c>
      <c r="H3458" s="19">
        <f t="shared" si="1722"/>
        <v>236250</v>
      </c>
      <c r="I3458" s="19">
        <f t="shared" si="1722"/>
        <v>236250</v>
      </c>
      <c r="J3458" s="19">
        <f t="shared" si="1720"/>
        <v>1215714</v>
      </c>
      <c r="K3458" s="133">
        <v>1000</v>
      </c>
      <c r="L3458" s="19"/>
      <c r="M3458" s="16">
        <f t="shared" si="1724"/>
        <v>1753865.5116613749</v>
      </c>
      <c r="N3458" s="36">
        <v>810</v>
      </c>
      <c r="O3458" s="58">
        <v>1</v>
      </c>
      <c r="P3458" s="94">
        <v>315000</v>
      </c>
      <c r="Q3458" s="41" t="s">
        <v>402</v>
      </c>
      <c r="R3458" s="41" t="s">
        <v>685</v>
      </c>
      <c r="S3458" s="94">
        <f>P3458*0.3</f>
        <v>94500</v>
      </c>
    </row>
    <row r="3459" spans="1:19" x14ac:dyDescent="0.2">
      <c r="A3459" s="18" t="str">
        <f t="shared" si="1721"/>
        <v>9027519</v>
      </c>
      <c r="B3459" s="18">
        <v>902</v>
      </c>
      <c r="C3459" s="18">
        <v>75</v>
      </c>
      <c r="D3459" s="18" t="s">
        <v>62</v>
      </c>
      <c r="E3459" s="18">
        <v>9</v>
      </c>
      <c r="F3459" s="19">
        <f t="shared" si="1723"/>
        <v>6693750</v>
      </c>
      <c r="G3459" s="19">
        <f t="shared" si="1723"/>
        <v>6693750</v>
      </c>
      <c r="H3459" s="19">
        <f t="shared" si="1722"/>
        <v>236250</v>
      </c>
      <c r="I3459" s="19">
        <f t="shared" si="1722"/>
        <v>236250</v>
      </c>
      <c r="J3459" s="19">
        <f t="shared" si="1720"/>
        <v>18018092</v>
      </c>
      <c r="K3459" s="133">
        <v>1000</v>
      </c>
      <c r="L3459" s="19"/>
      <c r="M3459" s="16">
        <f t="shared" si="1724"/>
        <v>13504081.169313222</v>
      </c>
      <c r="N3459" s="36">
        <v>735</v>
      </c>
      <c r="O3459" s="58">
        <v>18</v>
      </c>
      <c r="P3459" s="94">
        <v>315000</v>
      </c>
      <c r="Q3459" s="41" t="s">
        <v>402</v>
      </c>
      <c r="R3459" s="41" t="s">
        <v>685</v>
      </c>
      <c r="S3459" s="94">
        <f>P3459*0.3</f>
        <v>94500</v>
      </c>
    </row>
    <row r="3460" spans="1:19" x14ac:dyDescent="0.2">
      <c r="A3460" s="8" t="str">
        <f t="shared" si="1721"/>
        <v>9027611</v>
      </c>
      <c r="B3460" s="8">
        <v>902</v>
      </c>
      <c r="C3460" s="8">
        <v>76</v>
      </c>
      <c r="D3460" s="8" t="s">
        <v>62</v>
      </c>
      <c r="E3460" s="8">
        <v>1</v>
      </c>
      <c r="F3460" s="34">
        <f t="shared" si="1723"/>
        <v>1981934</v>
      </c>
      <c r="G3460" s="34">
        <f t="shared" si="1723"/>
        <v>1981934</v>
      </c>
      <c r="H3460" s="34">
        <f t="shared" si="1722"/>
        <v>373070</v>
      </c>
      <c r="I3460" s="34">
        <f t="shared" si="1722"/>
        <v>373070</v>
      </c>
      <c r="J3460" s="34">
        <f t="shared" si="1720"/>
        <v>1439830</v>
      </c>
      <c r="K3460" s="133">
        <v>1000</v>
      </c>
      <c r="L3460" s="34"/>
      <c r="M3460" s="16">
        <f t="shared" si="1724"/>
        <v>2610269.5290805455</v>
      </c>
      <c r="N3460" s="36">
        <v>810</v>
      </c>
      <c r="O3460" s="36">
        <v>1</v>
      </c>
      <c r="P3460" s="56">
        <v>373070.03010144702</v>
      </c>
      <c r="Q3460" s="2" t="s">
        <v>402</v>
      </c>
      <c r="R3460" s="2" t="s">
        <v>686</v>
      </c>
      <c r="S3460" s="56">
        <f t="shared" si="1715"/>
        <v>149228.01204057882</v>
      </c>
    </row>
    <row r="3461" spans="1:19" x14ac:dyDescent="0.2">
      <c r="A3461" s="8" t="str">
        <f t="shared" si="1721"/>
        <v>9027619</v>
      </c>
      <c r="B3461" s="8">
        <v>902</v>
      </c>
      <c r="C3461" s="8">
        <v>76</v>
      </c>
      <c r="D3461" s="8" t="s">
        <v>62</v>
      </c>
      <c r="E3461" s="8">
        <v>9</v>
      </c>
      <c r="F3461" s="34">
        <f t="shared" si="1723"/>
        <v>7927738</v>
      </c>
      <c r="G3461" s="34">
        <f t="shared" si="1723"/>
        <v>7927738</v>
      </c>
      <c r="H3461" s="34">
        <f t="shared" si="1722"/>
        <v>373070</v>
      </c>
      <c r="I3461" s="34">
        <f t="shared" si="1722"/>
        <v>373070</v>
      </c>
      <c r="J3461" s="34">
        <f t="shared" si="1720"/>
        <v>21339715</v>
      </c>
      <c r="K3461" s="133">
        <v>1000</v>
      </c>
      <c r="L3461" s="34"/>
      <c r="M3461" s="16">
        <f t="shared" si="1724"/>
        <v>20098058.338191848</v>
      </c>
      <c r="N3461" s="36">
        <v>735</v>
      </c>
      <c r="O3461" s="36">
        <v>18</v>
      </c>
      <c r="P3461" s="56">
        <v>373070.03010144702</v>
      </c>
      <c r="Q3461" s="2" t="s">
        <v>402</v>
      </c>
      <c r="R3461" s="2" t="s">
        <v>686</v>
      </c>
      <c r="S3461" s="56">
        <f t="shared" si="1715"/>
        <v>149228.01204057882</v>
      </c>
    </row>
    <row r="3462" spans="1:19" x14ac:dyDescent="0.2">
      <c r="A3462" s="8" t="str">
        <f t="shared" si="1721"/>
        <v>9027711</v>
      </c>
      <c r="B3462" s="8">
        <v>902</v>
      </c>
      <c r="C3462" s="8">
        <v>77</v>
      </c>
      <c r="D3462" s="8" t="s">
        <v>62</v>
      </c>
      <c r="E3462" s="8">
        <v>1</v>
      </c>
      <c r="F3462" s="34">
        <f t="shared" si="1723"/>
        <v>2100850</v>
      </c>
      <c r="G3462" s="34">
        <f t="shared" si="1723"/>
        <v>2100850</v>
      </c>
      <c r="H3462" s="34">
        <f t="shared" ref="H3462:I3477" si="1725">ROUNDDOWN($S3462/4*10,0)</f>
        <v>395454</v>
      </c>
      <c r="I3462" s="34">
        <f t="shared" si="1725"/>
        <v>395454</v>
      </c>
      <c r="J3462" s="34">
        <f t="shared" si="1720"/>
        <v>1526220</v>
      </c>
      <c r="K3462" s="133">
        <v>1000</v>
      </c>
      <c r="L3462" s="34"/>
      <c r="M3462" s="16">
        <f t="shared" si="1724"/>
        <v>2848682.6209811978</v>
      </c>
      <c r="N3462" s="36">
        <v>810</v>
      </c>
      <c r="O3462" s="36">
        <v>1</v>
      </c>
      <c r="P3462" s="56">
        <v>395454.23190753383</v>
      </c>
      <c r="Q3462" s="2" t="s">
        <v>402</v>
      </c>
      <c r="R3462" s="2" t="s">
        <v>687</v>
      </c>
      <c r="S3462" s="56">
        <f t="shared" si="1715"/>
        <v>158181.69276301353</v>
      </c>
    </row>
    <row r="3463" spans="1:19" x14ac:dyDescent="0.2">
      <c r="A3463" s="8" t="str">
        <f t="shared" si="1721"/>
        <v>9027719</v>
      </c>
      <c r="B3463" s="8">
        <v>902</v>
      </c>
      <c r="C3463" s="8">
        <v>77</v>
      </c>
      <c r="D3463" s="8" t="s">
        <v>62</v>
      </c>
      <c r="E3463" s="8">
        <v>9</v>
      </c>
      <c r="F3463" s="34">
        <f t="shared" si="1723"/>
        <v>8403402</v>
      </c>
      <c r="G3463" s="34">
        <f t="shared" si="1723"/>
        <v>8403402</v>
      </c>
      <c r="H3463" s="34">
        <f t="shared" si="1725"/>
        <v>395454</v>
      </c>
      <c r="I3463" s="34">
        <f t="shared" si="1725"/>
        <v>395454</v>
      </c>
      <c r="J3463" s="34">
        <f t="shared" si="1720"/>
        <v>22620098</v>
      </c>
      <c r="K3463" s="133">
        <v>1000</v>
      </c>
      <c r="L3463" s="34"/>
      <c r="M3463" s="16">
        <f t="shared" si="1724"/>
        <v>21933744.708009571</v>
      </c>
      <c r="N3463" s="36">
        <v>735</v>
      </c>
      <c r="O3463" s="36">
        <v>18</v>
      </c>
      <c r="P3463" s="56">
        <v>395454.23190753383</v>
      </c>
      <c r="Q3463" s="2" t="s">
        <v>402</v>
      </c>
      <c r="R3463" s="2" t="s">
        <v>687</v>
      </c>
      <c r="S3463" s="56">
        <f t="shared" si="1715"/>
        <v>158181.69276301353</v>
      </c>
    </row>
    <row r="3464" spans="1:19" x14ac:dyDescent="0.2">
      <c r="A3464" s="8" t="str">
        <f t="shared" si="1721"/>
        <v>9027811</v>
      </c>
      <c r="B3464" s="8">
        <v>902</v>
      </c>
      <c r="C3464" s="8">
        <v>78</v>
      </c>
      <c r="D3464" s="8" t="s">
        <v>62</v>
      </c>
      <c r="E3464" s="8">
        <v>1</v>
      </c>
      <c r="F3464" s="34">
        <f t="shared" si="1723"/>
        <v>2226901</v>
      </c>
      <c r="G3464" s="34">
        <f t="shared" si="1723"/>
        <v>2226901</v>
      </c>
      <c r="H3464" s="34">
        <f t="shared" si="1725"/>
        <v>419181</v>
      </c>
      <c r="I3464" s="34">
        <f t="shared" si="1725"/>
        <v>419181</v>
      </c>
      <c r="J3464" s="34">
        <f t="shared" si="1720"/>
        <v>1617793</v>
      </c>
      <c r="K3464" s="133">
        <v>1000</v>
      </c>
      <c r="L3464" s="34"/>
      <c r="M3464" s="16">
        <f t="shared" si="1724"/>
        <v>3108871.0792443748</v>
      </c>
      <c r="N3464" s="36">
        <v>810</v>
      </c>
      <c r="O3464" s="36">
        <v>1</v>
      </c>
      <c r="P3464" s="56">
        <v>419181.48582198593</v>
      </c>
      <c r="Q3464" s="2" t="s">
        <v>402</v>
      </c>
      <c r="R3464" s="2" t="s">
        <v>688</v>
      </c>
      <c r="S3464" s="56">
        <f t="shared" ref="S3464:S3491" si="1726">P3464*0.4</f>
        <v>167672.5943287944</v>
      </c>
    </row>
    <row r="3465" spans="1:19" x14ac:dyDescent="0.2">
      <c r="A3465" s="8" t="str">
        <f t="shared" si="1721"/>
        <v>9027819</v>
      </c>
      <c r="B3465" s="8">
        <v>902</v>
      </c>
      <c r="C3465" s="8">
        <v>78</v>
      </c>
      <c r="D3465" s="8" t="s">
        <v>62</v>
      </c>
      <c r="E3465" s="8">
        <v>9</v>
      </c>
      <c r="F3465" s="34">
        <f t="shared" si="1723"/>
        <v>8907606</v>
      </c>
      <c r="G3465" s="34">
        <f t="shared" si="1723"/>
        <v>8907606</v>
      </c>
      <c r="H3465" s="34">
        <f t="shared" si="1725"/>
        <v>419181</v>
      </c>
      <c r="I3465" s="34">
        <f t="shared" si="1725"/>
        <v>419181</v>
      </c>
      <c r="J3465" s="34">
        <f t="shared" si="1720"/>
        <v>23977304</v>
      </c>
      <c r="K3465" s="133">
        <v>1000</v>
      </c>
      <c r="L3465" s="34"/>
      <c r="M3465" s="16">
        <f t="shared" si="1724"/>
        <v>23937095.696904548</v>
      </c>
      <c r="N3465" s="36">
        <v>735</v>
      </c>
      <c r="O3465" s="36">
        <v>18</v>
      </c>
      <c r="P3465" s="56">
        <v>419181.48582198593</v>
      </c>
      <c r="Q3465" s="2" t="s">
        <v>402</v>
      </c>
      <c r="R3465" s="2" t="s">
        <v>688</v>
      </c>
      <c r="S3465" s="56">
        <f t="shared" si="1726"/>
        <v>167672.5943287944</v>
      </c>
    </row>
    <row r="3466" spans="1:19" x14ac:dyDescent="0.2">
      <c r="A3466" s="18" t="str">
        <f t="shared" si="1721"/>
        <v>9027911</v>
      </c>
      <c r="B3466" s="18">
        <v>902</v>
      </c>
      <c r="C3466" s="18">
        <v>79</v>
      </c>
      <c r="D3466" s="18" t="s">
        <v>62</v>
      </c>
      <c r="E3466" s="18">
        <v>1</v>
      </c>
      <c r="F3466" s="19">
        <f t="shared" si="1723"/>
        <v>1859375</v>
      </c>
      <c r="G3466" s="19">
        <f t="shared" si="1723"/>
        <v>1859375</v>
      </c>
      <c r="H3466" s="19">
        <f t="shared" si="1725"/>
        <v>262500</v>
      </c>
      <c r="I3466" s="19">
        <f t="shared" si="1725"/>
        <v>262500</v>
      </c>
      <c r="J3466" s="19">
        <f t="shared" si="1720"/>
        <v>1350794</v>
      </c>
      <c r="K3466" s="133">
        <v>1000</v>
      </c>
      <c r="L3466" s="19"/>
      <c r="M3466" s="16">
        <f t="shared" si="1724"/>
        <v>2054152.5643194085</v>
      </c>
      <c r="N3466" s="36">
        <v>810</v>
      </c>
      <c r="O3466" s="58">
        <v>1</v>
      </c>
      <c r="P3466" s="94">
        <v>350000</v>
      </c>
      <c r="Q3466" s="41" t="s">
        <v>402</v>
      </c>
      <c r="R3466" s="41" t="s">
        <v>689</v>
      </c>
      <c r="S3466" s="94">
        <f>P3466*0.3</f>
        <v>105000</v>
      </c>
    </row>
    <row r="3467" spans="1:19" x14ac:dyDescent="0.2">
      <c r="A3467" s="18" t="str">
        <f t="shared" si="1721"/>
        <v>9027919</v>
      </c>
      <c r="B3467" s="18">
        <v>902</v>
      </c>
      <c r="C3467" s="18">
        <v>79</v>
      </c>
      <c r="D3467" s="18" t="s">
        <v>62</v>
      </c>
      <c r="E3467" s="18">
        <v>9</v>
      </c>
      <c r="F3467" s="19">
        <f t="shared" si="1723"/>
        <v>7437500</v>
      </c>
      <c r="G3467" s="19">
        <f t="shared" si="1723"/>
        <v>7437500</v>
      </c>
      <c r="H3467" s="19">
        <f t="shared" si="1725"/>
        <v>262500</v>
      </c>
      <c r="I3467" s="19">
        <f t="shared" si="1725"/>
        <v>262500</v>
      </c>
      <c r="J3467" s="19">
        <f t="shared" si="1720"/>
        <v>20020102</v>
      </c>
      <c r="K3467" s="133">
        <v>1000</v>
      </c>
      <c r="L3467" s="19"/>
      <c r="M3467" s="16">
        <f t="shared" si="1724"/>
        <v>15816168.135487182</v>
      </c>
      <c r="N3467" s="36">
        <v>735</v>
      </c>
      <c r="O3467" s="58">
        <v>18</v>
      </c>
      <c r="P3467" s="94">
        <v>350000</v>
      </c>
      <c r="Q3467" s="41" t="s">
        <v>402</v>
      </c>
      <c r="R3467" s="41" t="s">
        <v>689</v>
      </c>
      <c r="S3467" s="94">
        <f>P3467*0.3</f>
        <v>105000</v>
      </c>
    </row>
    <row r="3468" spans="1:19" x14ac:dyDescent="0.2">
      <c r="A3468" s="8" t="str">
        <f t="shared" si="1721"/>
        <v>9028011</v>
      </c>
      <c r="B3468" s="8">
        <v>902</v>
      </c>
      <c r="C3468" s="8">
        <v>80</v>
      </c>
      <c r="D3468" s="8" t="s">
        <v>62</v>
      </c>
      <c r="E3468" s="8">
        <v>1</v>
      </c>
      <c r="F3468" s="34">
        <f t="shared" si="1723"/>
        <v>2502146</v>
      </c>
      <c r="G3468" s="34">
        <f t="shared" si="1723"/>
        <v>2502146</v>
      </c>
      <c r="H3468" s="34">
        <f t="shared" si="1725"/>
        <v>470992</v>
      </c>
      <c r="I3468" s="34">
        <f t="shared" si="1725"/>
        <v>470992</v>
      </c>
      <c r="J3468" s="34">
        <f t="shared" si="1720"/>
        <v>1817753</v>
      </c>
      <c r="K3468" s="133">
        <v>1000</v>
      </c>
      <c r="L3468" s="34"/>
      <c r="M3468" s="16">
        <f t="shared" si="1724"/>
        <v>3702716.9217527732</v>
      </c>
      <c r="N3468" s="36">
        <v>810</v>
      </c>
      <c r="O3468" s="36">
        <v>1</v>
      </c>
      <c r="P3468" s="56">
        <v>470992.31746958342</v>
      </c>
      <c r="Q3468" s="2" t="s">
        <v>402</v>
      </c>
      <c r="R3468" s="2" t="s">
        <v>690</v>
      </c>
      <c r="S3468" s="56">
        <f t="shared" si="1726"/>
        <v>188396.92698783337</v>
      </c>
    </row>
    <row r="3469" spans="1:19" x14ac:dyDescent="0.2">
      <c r="A3469" s="8" t="str">
        <f t="shared" si="1721"/>
        <v>9028019</v>
      </c>
      <c r="B3469" s="8">
        <v>902</v>
      </c>
      <c r="C3469" s="8">
        <v>80</v>
      </c>
      <c r="D3469" s="8" t="s">
        <v>62</v>
      </c>
      <c r="E3469" s="8">
        <v>9</v>
      </c>
      <c r="F3469" s="34">
        <f t="shared" si="1723"/>
        <v>10008586</v>
      </c>
      <c r="G3469" s="34">
        <f t="shared" si="1723"/>
        <v>10008586</v>
      </c>
      <c r="H3469" s="34">
        <f t="shared" si="1725"/>
        <v>470992</v>
      </c>
      <c r="I3469" s="34">
        <f t="shared" si="1725"/>
        <v>470992</v>
      </c>
      <c r="J3469" s="34">
        <f t="shared" si="1720"/>
        <v>26940899</v>
      </c>
      <c r="K3469" s="133">
        <v>1000</v>
      </c>
      <c r="L3469" s="34"/>
      <c r="M3469" s="16">
        <f t="shared" si="1724"/>
        <v>28509470.855813786</v>
      </c>
      <c r="N3469" s="36">
        <v>735</v>
      </c>
      <c r="O3469" s="36">
        <v>18</v>
      </c>
      <c r="P3469" s="56">
        <v>470992.31746958342</v>
      </c>
      <c r="Q3469" s="2" t="s">
        <v>402</v>
      </c>
      <c r="R3469" s="2" t="s">
        <v>690</v>
      </c>
      <c r="S3469" s="56">
        <f t="shared" si="1726"/>
        <v>188396.92698783337</v>
      </c>
    </row>
    <row r="3470" spans="1:19" x14ac:dyDescent="0.2">
      <c r="A3470" s="8" t="str">
        <f t="shared" si="1721"/>
        <v>9028111</v>
      </c>
      <c r="B3470" s="8">
        <v>902</v>
      </c>
      <c r="C3470" s="8">
        <v>81</v>
      </c>
      <c r="D3470" s="8" t="s">
        <v>62</v>
      </c>
      <c r="E3470" s="8">
        <v>1</v>
      </c>
      <c r="F3470" s="34">
        <f t="shared" ref="F3470:G3491" si="1727">ROUNDDOWN($P3470/4*MIN($O3470,4)*10*$N3470/$N3470*$Q3470/400,0)</f>
        <v>2652275</v>
      </c>
      <c r="G3470" s="34">
        <f t="shared" si="1727"/>
        <v>2652275</v>
      </c>
      <c r="H3470" s="34">
        <f t="shared" si="1725"/>
        <v>499251</v>
      </c>
      <c r="I3470" s="34">
        <f t="shared" si="1725"/>
        <v>499251</v>
      </c>
      <c r="J3470" s="34">
        <f t="shared" si="1720"/>
        <v>1926818</v>
      </c>
      <c r="K3470" s="133">
        <v>1000</v>
      </c>
      <c r="L3470" s="34"/>
      <c r="M3470" s="16">
        <f t="shared" si="1724"/>
        <v>4040909.107628529</v>
      </c>
      <c r="N3470" s="36">
        <v>810</v>
      </c>
      <c r="O3470" s="36">
        <v>1</v>
      </c>
      <c r="P3470" s="56">
        <v>499251.85651775845</v>
      </c>
      <c r="Q3470" s="2" t="s">
        <v>402</v>
      </c>
      <c r="R3470" s="2" t="s">
        <v>691</v>
      </c>
      <c r="S3470" s="56">
        <f t="shared" si="1726"/>
        <v>199700.7426071034</v>
      </c>
    </row>
    <row r="3471" spans="1:19" x14ac:dyDescent="0.2">
      <c r="A3471" s="8" t="str">
        <f t="shared" si="1721"/>
        <v>9028119</v>
      </c>
      <c r="B3471" s="8">
        <v>902</v>
      </c>
      <c r="C3471" s="8">
        <v>81</v>
      </c>
      <c r="D3471" s="8" t="s">
        <v>62</v>
      </c>
      <c r="E3471" s="8">
        <v>9</v>
      </c>
      <c r="F3471" s="34">
        <f t="shared" si="1727"/>
        <v>10609101</v>
      </c>
      <c r="G3471" s="34">
        <f t="shared" si="1727"/>
        <v>10609101</v>
      </c>
      <c r="H3471" s="34">
        <f t="shared" si="1725"/>
        <v>499251</v>
      </c>
      <c r="I3471" s="34">
        <f t="shared" si="1725"/>
        <v>499251</v>
      </c>
      <c r="J3471" s="34">
        <f t="shared" si="1720"/>
        <v>28557353</v>
      </c>
      <c r="K3471" s="133">
        <v>1000</v>
      </c>
      <c r="L3471" s="34"/>
      <c r="M3471" s="16">
        <f t="shared" si="1724"/>
        <v>31113418.144173518</v>
      </c>
      <c r="N3471" s="36">
        <v>735</v>
      </c>
      <c r="O3471" s="36">
        <v>18</v>
      </c>
      <c r="P3471" s="56">
        <v>499251.85651775845</v>
      </c>
      <c r="Q3471" s="2" t="s">
        <v>402</v>
      </c>
      <c r="R3471" s="2" t="s">
        <v>691</v>
      </c>
      <c r="S3471" s="56">
        <f t="shared" si="1726"/>
        <v>199700.7426071034</v>
      </c>
    </row>
    <row r="3472" spans="1:19" x14ac:dyDescent="0.2">
      <c r="A3472" s="8" t="str">
        <f t="shared" si="1721"/>
        <v>9028211</v>
      </c>
      <c r="B3472" s="8">
        <v>902</v>
      </c>
      <c r="C3472" s="8">
        <v>82</v>
      </c>
      <c r="D3472" s="8" t="s">
        <v>62</v>
      </c>
      <c r="E3472" s="8">
        <v>1</v>
      </c>
      <c r="F3472" s="34">
        <f t="shared" si="1727"/>
        <v>2811412</v>
      </c>
      <c r="G3472" s="34">
        <f t="shared" si="1727"/>
        <v>2811412</v>
      </c>
      <c r="H3472" s="34">
        <f t="shared" si="1725"/>
        <v>529206</v>
      </c>
      <c r="I3472" s="34">
        <f t="shared" si="1725"/>
        <v>529206</v>
      </c>
      <c r="J3472" s="34">
        <f t="shared" si="1720"/>
        <v>2042427</v>
      </c>
      <c r="K3472" s="133">
        <v>1000</v>
      </c>
      <c r="L3472" s="34"/>
      <c r="M3472" s="16">
        <f t="shared" si="1724"/>
        <v>4409992.8499685107</v>
      </c>
      <c r="N3472" s="36">
        <v>810</v>
      </c>
      <c r="O3472" s="36">
        <v>1</v>
      </c>
      <c r="P3472" s="56">
        <v>529206.96790882398</v>
      </c>
      <c r="Q3472" s="2" t="s">
        <v>402</v>
      </c>
      <c r="R3472" s="2" t="s">
        <v>692</v>
      </c>
      <c r="S3472" s="56">
        <f t="shared" si="1726"/>
        <v>211682.7871635296</v>
      </c>
    </row>
    <row r="3473" spans="1:19" x14ac:dyDescent="0.2">
      <c r="A3473" s="8" t="str">
        <f t="shared" si="1721"/>
        <v>9028219</v>
      </c>
      <c r="B3473" s="8">
        <v>902</v>
      </c>
      <c r="C3473" s="8">
        <v>82</v>
      </c>
      <c r="D3473" s="8" t="s">
        <v>62</v>
      </c>
      <c r="E3473" s="8">
        <v>9</v>
      </c>
      <c r="F3473" s="34">
        <f t="shared" si="1727"/>
        <v>11245648</v>
      </c>
      <c r="G3473" s="34">
        <f t="shared" si="1727"/>
        <v>11245648</v>
      </c>
      <c r="H3473" s="34">
        <f t="shared" si="1725"/>
        <v>529206</v>
      </c>
      <c r="I3473" s="34">
        <f t="shared" si="1725"/>
        <v>529206</v>
      </c>
      <c r="J3473" s="34">
        <f t="shared" si="1720"/>
        <v>30270794</v>
      </c>
      <c r="K3473" s="133">
        <v>1000</v>
      </c>
      <c r="L3473" s="34"/>
      <c r="M3473" s="16">
        <f t="shared" si="1724"/>
        <v>33955217.43052534</v>
      </c>
      <c r="N3473" s="36">
        <v>735</v>
      </c>
      <c r="O3473" s="36">
        <v>18</v>
      </c>
      <c r="P3473" s="56">
        <v>529206.96790882398</v>
      </c>
      <c r="Q3473" s="2" t="s">
        <v>402</v>
      </c>
      <c r="R3473" s="2" t="s">
        <v>692</v>
      </c>
      <c r="S3473" s="56">
        <f t="shared" si="1726"/>
        <v>211682.7871635296</v>
      </c>
    </row>
    <row r="3474" spans="1:19" x14ac:dyDescent="0.2">
      <c r="A3474" s="18" t="str">
        <f t="shared" si="1721"/>
        <v>9028311</v>
      </c>
      <c r="B3474" s="18">
        <v>902</v>
      </c>
      <c r="C3474" s="18">
        <v>83</v>
      </c>
      <c r="D3474" s="18" t="s">
        <v>62</v>
      </c>
      <c r="E3474" s="18">
        <v>1</v>
      </c>
      <c r="F3474" s="19">
        <f t="shared" si="1727"/>
        <v>2231250</v>
      </c>
      <c r="G3474" s="19">
        <f t="shared" si="1727"/>
        <v>2231250</v>
      </c>
      <c r="H3474" s="19">
        <f t="shared" si="1725"/>
        <v>315000</v>
      </c>
      <c r="I3474" s="19">
        <f t="shared" si="1725"/>
        <v>315000</v>
      </c>
      <c r="J3474" s="19">
        <f t="shared" si="1720"/>
        <v>1620952</v>
      </c>
      <c r="K3474" s="133">
        <v>1000</v>
      </c>
      <c r="L3474" s="19"/>
      <c r="M3474" s="16">
        <f t="shared" si="1724"/>
        <v>2700253.0041460935</v>
      </c>
      <c r="N3474" s="36">
        <v>810</v>
      </c>
      <c r="O3474" s="58">
        <v>1</v>
      </c>
      <c r="P3474" s="94">
        <v>420000</v>
      </c>
      <c r="Q3474" s="41" t="s">
        <v>402</v>
      </c>
      <c r="R3474" s="41" t="s">
        <v>693</v>
      </c>
      <c r="S3474" s="94">
        <f>P3474*0.3</f>
        <v>126000</v>
      </c>
    </row>
    <row r="3475" spans="1:19" x14ac:dyDescent="0.2">
      <c r="A3475" s="18" t="str">
        <f t="shared" si="1721"/>
        <v>9028319</v>
      </c>
      <c r="B3475" s="18">
        <v>902</v>
      </c>
      <c r="C3475" s="18">
        <v>83</v>
      </c>
      <c r="D3475" s="18" t="s">
        <v>62</v>
      </c>
      <c r="E3475" s="18">
        <v>9</v>
      </c>
      <c r="F3475" s="19">
        <f t="shared" si="1727"/>
        <v>8925000</v>
      </c>
      <c r="G3475" s="19">
        <f t="shared" si="1727"/>
        <v>8925000</v>
      </c>
      <c r="H3475" s="19">
        <f t="shared" si="1725"/>
        <v>315000</v>
      </c>
      <c r="I3475" s="19">
        <f t="shared" si="1725"/>
        <v>315000</v>
      </c>
      <c r="J3475" s="19">
        <f t="shared" si="1720"/>
        <v>24024123</v>
      </c>
      <c r="K3475" s="133">
        <v>1000</v>
      </c>
      <c r="L3475" s="19"/>
      <c r="M3475" s="16">
        <f t="shared" si="1724"/>
        <v>20790893.206267018</v>
      </c>
      <c r="N3475" s="36">
        <v>735</v>
      </c>
      <c r="O3475" s="58">
        <v>18</v>
      </c>
      <c r="P3475" s="94">
        <v>420000</v>
      </c>
      <c r="Q3475" s="41" t="s">
        <v>402</v>
      </c>
      <c r="R3475" s="41" t="s">
        <v>693</v>
      </c>
      <c r="S3475" s="94">
        <f>P3475*0.3</f>
        <v>126000</v>
      </c>
    </row>
    <row r="3476" spans="1:19" x14ac:dyDescent="0.2">
      <c r="A3476" s="8" t="str">
        <f t="shared" si="1721"/>
        <v>9028411</v>
      </c>
      <c r="B3476" s="8">
        <v>902</v>
      </c>
      <c r="C3476" s="8">
        <v>84</v>
      </c>
      <c r="D3476" s="8" t="s">
        <v>62</v>
      </c>
      <c r="E3476" s="8">
        <v>1</v>
      </c>
      <c r="F3476" s="34">
        <f t="shared" si="1727"/>
        <v>3158902</v>
      </c>
      <c r="G3476" s="34">
        <f t="shared" si="1727"/>
        <v>3158902</v>
      </c>
      <c r="H3476" s="34">
        <f t="shared" si="1725"/>
        <v>594616</v>
      </c>
      <c r="I3476" s="34">
        <f t="shared" si="1725"/>
        <v>594616</v>
      </c>
      <c r="J3476" s="34">
        <f t="shared" si="1720"/>
        <v>2294871</v>
      </c>
      <c r="K3476" s="133">
        <v>1000</v>
      </c>
      <c r="L3476" s="34"/>
      <c r="M3476" s="16">
        <f t="shared" si="1724"/>
        <v>5252372.2465807311</v>
      </c>
      <c r="N3476" s="36">
        <v>810</v>
      </c>
      <c r="O3476" s="36">
        <v>1</v>
      </c>
      <c r="P3476" s="56">
        <v>594616.94914235466</v>
      </c>
      <c r="Q3476" s="2" t="s">
        <v>402</v>
      </c>
      <c r="R3476" s="2" t="s">
        <v>694</v>
      </c>
      <c r="S3476" s="56">
        <f t="shared" si="1726"/>
        <v>237846.77965694189</v>
      </c>
    </row>
    <row r="3477" spans="1:19" x14ac:dyDescent="0.2">
      <c r="A3477" s="8" t="str">
        <f t="shared" si="1721"/>
        <v>9028419</v>
      </c>
      <c r="B3477" s="8">
        <v>902</v>
      </c>
      <c r="C3477" s="8">
        <v>84</v>
      </c>
      <c r="D3477" s="8" t="s">
        <v>62</v>
      </c>
      <c r="E3477" s="8">
        <v>9</v>
      </c>
      <c r="F3477" s="34">
        <f t="shared" si="1727"/>
        <v>12635610</v>
      </c>
      <c r="G3477" s="34">
        <f t="shared" si="1727"/>
        <v>12635610</v>
      </c>
      <c r="H3477" s="34">
        <f t="shared" si="1725"/>
        <v>594616</v>
      </c>
      <c r="I3477" s="34">
        <f t="shared" si="1725"/>
        <v>594616</v>
      </c>
      <c r="J3477" s="34">
        <f t="shared" si="1720"/>
        <v>34012264</v>
      </c>
      <c r="K3477" s="133">
        <v>1000</v>
      </c>
      <c r="L3477" s="34"/>
      <c r="M3477" s="16">
        <f t="shared" si="1724"/>
        <v>40441211.718900442</v>
      </c>
      <c r="N3477" s="36">
        <v>735</v>
      </c>
      <c r="O3477" s="36">
        <v>18</v>
      </c>
      <c r="P3477" s="56">
        <v>594616.94914235466</v>
      </c>
      <c r="Q3477" s="2" t="s">
        <v>402</v>
      </c>
      <c r="R3477" s="2" t="s">
        <v>694</v>
      </c>
      <c r="S3477" s="56">
        <f t="shared" si="1726"/>
        <v>237846.77965694189</v>
      </c>
    </row>
    <row r="3478" spans="1:19" x14ac:dyDescent="0.2">
      <c r="A3478" s="8" t="str">
        <f t="shared" si="1721"/>
        <v>9028511</v>
      </c>
      <c r="B3478" s="8">
        <v>902</v>
      </c>
      <c r="C3478" s="8">
        <v>85</v>
      </c>
      <c r="D3478" s="8" t="s">
        <v>62</v>
      </c>
      <c r="E3478" s="8">
        <v>1</v>
      </c>
      <c r="F3478" s="34">
        <f t="shared" si="1727"/>
        <v>3348436</v>
      </c>
      <c r="G3478" s="34">
        <f t="shared" si="1727"/>
        <v>3348436</v>
      </c>
      <c r="H3478" s="34">
        <f t="shared" ref="H3478:I3494" si="1728">ROUNDDOWN($S3478/4*10,0)</f>
        <v>630293</v>
      </c>
      <c r="I3478" s="34">
        <f t="shared" si="1728"/>
        <v>630293</v>
      </c>
      <c r="J3478" s="34">
        <f t="shared" si="1720"/>
        <v>2432563</v>
      </c>
      <c r="K3478" s="133">
        <v>1000</v>
      </c>
      <c r="L3478" s="34"/>
      <c r="M3478" s="16">
        <f t="shared" si="1724"/>
        <v>5732106.8662811965</v>
      </c>
      <c r="N3478" s="36">
        <v>810</v>
      </c>
      <c r="O3478" s="36">
        <v>1</v>
      </c>
      <c r="P3478" s="56">
        <v>630293.96609089605</v>
      </c>
      <c r="Q3478" s="2" t="s">
        <v>402</v>
      </c>
      <c r="R3478" s="2" t="s">
        <v>695</v>
      </c>
      <c r="S3478" s="56">
        <f t="shared" si="1726"/>
        <v>252117.58643635843</v>
      </c>
    </row>
    <row r="3479" spans="1:19" x14ac:dyDescent="0.2">
      <c r="A3479" s="8" t="str">
        <f t="shared" si="1721"/>
        <v>9028519</v>
      </c>
      <c r="B3479" s="8">
        <v>902</v>
      </c>
      <c r="C3479" s="8">
        <v>85</v>
      </c>
      <c r="D3479" s="8" t="s">
        <v>62</v>
      </c>
      <c r="E3479" s="8">
        <v>9</v>
      </c>
      <c r="F3479" s="34">
        <f t="shared" si="1727"/>
        <v>13393746</v>
      </c>
      <c r="G3479" s="34">
        <f t="shared" si="1727"/>
        <v>13393746</v>
      </c>
      <c r="H3479" s="34">
        <f t="shared" si="1728"/>
        <v>630293</v>
      </c>
      <c r="I3479" s="34">
        <f t="shared" si="1728"/>
        <v>630293</v>
      </c>
      <c r="J3479" s="34">
        <f t="shared" si="1720"/>
        <v>36053000</v>
      </c>
      <c r="K3479" s="133">
        <v>1000</v>
      </c>
      <c r="L3479" s="34"/>
      <c r="M3479" s="16">
        <f t="shared" si="1724"/>
        <v>44134982.890816562</v>
      </c>
      <c r="N3479" s="36">
        <v>735</v>
      </c>
      <c r="O3479" s="36">
        <v>18</v>
      </c>
      <c r="P3479" s="56">
        <v>630293.96609089605</v>
      </c>
      <c r="Q3479" s="2" t="s">
        <v>402</v>
      </c>
      <c r="R3479" s="2" t="s">
        <v>695</v>
      </c>
      <c r="S3479" s="56">
        <f t="shared" si="1726"/>
        <v>252117.58643635843</v>
      </c>
    </row>
    <row r="3480" spans="1:19" x14ac:dyDescent="0.2">
      <c r="A3480" s="8" t="str">
        <f t="shared" si="1721"/>
        <v>9028611</v>
      </c>
      <c r="B3480" s="8">
        <v>902</v>
      </c>
      <c r="C3480" s="8">
        <v>86</v>
      </c>
      <c r="D3480" s="8" t="s">
        <v>62</v>
      </c>
      <c r="E3480" s="8">
        <v>1</v>
      </c>
      <c r="F3480" s="34">
        <f t="shared" si="1727"/>
        <v>3549342</v>
      </c>
      <c r="G3480" s="34">
        <f t="shared" si="1727"/>
        <v>3549342</v>
      </c>
      <c r="H3480" s="34">
        <f t="shared" si="1728"/>
        <v>668111</v>
      </c>
      <c r="I3480" s="34">
        <f t="shared" si="1728"/>
        <v>668111</v>
      </c>
      <c r="J3480" s="34">
        <f t="shared" si="1720"/>
        <v>2578517</v>
      </c>
      <c r="K3480" s="133">
        <v>1000</v>
      </c>
      <c r="L3480" s="34"/>
      <c r="M3480" s="16">
        <f t="shared" si="1724"/>
        <v>6255661.2278698729</v>
      </c>
      <c r="N3480" s="36">
        <v>810</v>
      </c>
      <c r="O3480" s="36">
        <v>1</v>
      </c>
      <c r="P3480" s="56">
        <v>668111.60405634984</v>
      </c>
      <c r="Q3480" s="2" t="s">
        <v>402</v>
      </c>
      <c r="R3480" s="2" t="s">
        <v>696</v>
      </c>
      <c r="S3480" s="56">
        <f t="shared" si="1726"/>
        <v>267244.64162253996</v>
      </c>
    </row>
    <row r="3481" spans="1:19" x14ac:dyDescent="0.2">
      <c r="A3481" s="8" t="str">
        <f t="shared" si="1721"/>
        <v>9028619</v>
      </c>
      <c r="B3481" s="8">
        <v>902</v>
      </c>
      <c r="C3481" s="8">
        <v>86</v>
      </c>
      <c r="D3481" s="8" t="s">
        <v>62</v>
      </c>
      <c r="E3481" s="8">
        <v>9</v>
      </c>
      <c r="F3481" s="34">
        <f t="shared" si="1727"/>
        <v>14197371</v>
      </c>
      <c r="G3481" s="34">
        <f t="shared" si="1727"/>
        <v>14197371</v>
      </c>
      <c r="H3481" s="34">
        <f t="shared" si="1728"/>
        <v>668111</v>
      </c>
      <c r="I3481" s="34">
        <f t="shared" si="1728"/>
        <v>668111</v>
      </c>
      <c r="J3481" s="34">
        <f t="shared" si="1720"/>
        <v>38216180</v>
      </c>
      <c r="K3481" s="133">
        <v>1000</v>
      </c>
      <c r="L3481" s="34"/>
      <c r="M3481" s="16">
        <f t="shared" si="1724"/>
        <v>48166146.319651239</v>
      </c>
      <c r="N3481" s="36">
        <v>735</v>
      </c>
      <c r="O3481" s="36">
        <v>18</v>
      </c>
      <c r="P3481" s="56">
        <v>668111.60405634984</v>
      </c>
      <c r="Q3481" s="2" t="s">
        <v>402</v>
      </c>
      <c r="R3481" s="2" t="s">
        <v>696</v>
      </c>
      <c r="S3481" s="56">
        <f t="shared" si="1726"/>
        <v>267244.64162253996</v>
      </c>
    </row>
    <row r="3482" spans="1:19" x14ac:dyDescent="0.2">
      <c r="A3482" s="18" t="str">
        <f t="shared" si="1721"/>
        <v>9028711</v>
      </c>
      <c r="B3482" s="18">
        <v>902</v>
      </c>
      <c r="C3482" s="18">
        <v>87</v>
      </c>
      <c r="D3482" s="18" t="s">
        <v>62</v>
      </c>
      <c r="E3482" s="18">
        <v>1</v>
      </c>
      <c r="F3482" s="19">
        <f t="shared" si="1727"/>
        <v>3762303</v>
      </c>
      <c r="G3482" s="19">
        <f t="shared" si="1727"/>
        <v>3762303</v>
      </c>
      <c r="H3482" s="19">
        <f t="shared" si="1728"/>
        <v>531148</v>
      </c>
      <c r="I3482" s="19">
        <f t="shared" si="1728"/>
        <v>531148</v>
      </c>
      <c r="J3482" s="19">
        <f t="shared" si="1720"/>
        <v>2733228</v>
      </c>
      <c r="K3482" s="133">
        <v>1000</v>
      </c>
      <c r="L3482" s="19"/>
      <c r="M3482" s="16">
        <f t="shared" si="1724"/>
        <v>5912383.2402930902</v>
      </c>
      <c r="N3482" s="36">
        <v>810</v>
      </c>
      <c r="O3482" s="58">
        <v>1</v>
      </c>
      <c r="P3482" s="56">
        <v>708198.30029973085</v>
      </c>
      <c r="Q3482" s="41" t="s">
        <v>402</v>
      </c>
      <c r="R3482" s="41" t="s">
        <v>697</v>
      </c>
      <c r="S3482" s="94">
        <f>P3482*0.3</f>
        <v>212459.49008991924</v>
      </c>
    </row>
    <row r="3483" spans="1:19" x14ac:dyDescent="0.2">
      <c r="A3483" s="18" t="str">
        <f t="shared" si="1721"/>
        <v>9028719</v>
      </c>
      <c r="B3483" s="18">
        <v>902</v>
      </c>
      <c r="C3483" s="18">
        <v>87</v>
      </c>
      <c r="D3483" s="18" t="s">
        <v>62</v>
      </c>
      <c r="E3483" s="18">
        <v>9</v>
      </c>
      <c r="F3483" s="19">
        <f t="shared" si="1727"/>
        <v>15049213</v>
      </c>
      <c r="G3483" s="19">
        <f t="shared" si="1727"/>
        <v>15049213</v>
      </c>
      <c r="H3483" s="19">
        <f t="shared" si="1728"/>
        <v>531148</v>
      </c>
      <c r="I3483" s="19">
        <f t="shared" si="1728"/>
        <v>531148</v>
      </c>
      <c r="J3483" s="19">
        <f t="shared" si="1720"/>
        <v>40509151</v>
      </c>
      <c r="K3483" s="133">
        <v>1000</v>
      </c>
      <c r="L3483" s="19"/>
      <c r="M3483" s="16">
        <f t="shared" si="1724"/>
        <v>45523036.973275363</v>
      </c>
      <c r="N3483" s="36">
        <v>735</v>
      </c>
      <c r="O3483" s="58">
        <v>18</v>
      </c>
      <c r="P3483" s="56">
        <v>708198.30029973085</v>
      </c>
      <c r="Q3483" s="41" t="s">
        <v>402</v>
      </c>
      <c r="R3483" s="41" t="s">
        <v>697</v>
      </c>
      <c r="S3483" s="94">
        <f>P3483*0.3</f>
        <v>212459.49008991924</v>
      </c>
    </row>
    <row r="3484" spans="1:19" x14ac:dyDescent="0.2">
      <c r="A3484" s="8" t="str">
        <f t="shared" si="1721"/>
        <v>9028811</v>
      </c>
      <c r="B3484" s="8">
        <v>902</v>
      </c>
      <c r="C3484" s="8">
        <v>88</v>
      </c>
      <c r="D3484" s="8" t="s">
        <v>62</v>
      </c>
      <c r="E3484" s="8">
        <v>1</v>
      </c>
      <c r="F3484" s="34">
        <f t="shared" si="1727"/>
        <v>3988041</v>
      </c>
      <c r="G3484" s="34">
        <f t="shared" si="1727"/>
        <v>3988041</v>
      </c>
      <c r="H3484" s="34">
        <f t="shared" si="1728"/>
        <v>750690</v>
      </c>
      <c r="I3484" s="34">
        <f t="shared" si="1728"/>
        <v>750690</v>
      </c>
      <c r="J3484" s="34">
        <f t="shared" si="1720"/>
        <v>2897222</v>
      </c>
      <c r="K3484" s="133">
        <v>1000</v>
      </c>
      <c r="L3484" s="34"/>
      <c r="M3484" s="16">
        <f t="shared" si="1724"/>
        <v>7450595.688296929</v>
      </c>
      <c r="N3484" s="36">
        <v>810</v>
      </c>
      <c r="O3484" s="36">
        <v>1</v>
      </c>
      <c r="P3484" s="56">
        <v>750690.19831771462</v>
      </c>
      <c r="Q3484" s="2" t="s">
        <v>402</v>
      </c>
      <c r="R3484" s="2" t="s">
        <v>698</v>
      </c>
      <c r="S3484" s="56">
        <f t="shared" si="1726"/>
        <v>300276.07932708587</v>
      </c>
    </row>
    <row r="3485" spans="1:19" x14ac:dyDescent="0.2">
      <c r="A3485" s="8" t="str">
        <f t="shared" si="1721"/>
        <v>9028819</v>
      </c>
      <c r="B3485" s="8">
        <v>902</v>
      </c>
      <c r="C3485" s="8">
        <v>88</v>
      </c>
      <c r="D3485" s="8" t="s">
        <v>62</v>
      </c>
      <c r="E3485" s="8">
        <v>9</v>
      </c>
      <c r="F3485" s="34">
        <f t="shared" si="1727"/>
        <v>15952166</v>
      </c>
      <c r="G3485" s="34">
        <f t="shared" si="1727"/>
        <v>15952166</v>
      </c>
      <c r="H3485" s="34">
        <f t="shared" si="1728"/>
        <v>750690</v>
      </c>
      <c r="I3485" s="34">
        <f t="shared" si="1728"/>
        <v>750690</v>
      </c>
      <c r="J3485" s="34">
        <f t="shared" si="1720"/>
        <v>42939700</v>
      </c>
      <c r="K3485" s="133">
        <v>1000</v>
      </c>
      <c r="L3485" s="34"/>
      <c r="M3485" s="16">
        <f t="shared" si="1724"/>
        <v>57366669.282354504</v>
      </c>
      <c r="N3485" s="36">
        <v>735</v>
      </c>
      <c r="O3485" s="36">
        <v>18</v>
      </c>
      <c r="P3485" s="56">
        <v>750690.19831771462</v>
      </c>
      <c r="Q3485" s="2" t="s">
        <v>402</v>
      </c>
      <c r="R3485" s="2" t="s">
        <v>698</v>
      </c>
      <c r="S3485" s="56">
        <f t="shared" si="1726"/>
        <v>300276.07932708587</v>
      </c>
    </row>
    <row r="3486" spans="1:19" x14ac:dyDescent="0.2">
      <c r="A3486" s="8" t="str">
        <f t="shared" si="1721"/>
        <v>9028911</v>
      </c>
      <c r="B3486" s="8">
        <v>902</v>
      </c>
      <c r="C3486" s="8">
        <v>89</v>
      </c>
      <c r="D3486" s="8" t="s">
        <v>62</v>
      </c>
      <c r="E3486" s="8">
        <v>1</v>
      </c>
      <c r="F3486" s="34">
        <f t="shared" si="1727"/>
        <v>4227324</v>
      </c>
      <c r="G3486" s="34">
        <f t="shared" si="1727"/>
        <v>4227324</v>
      </c>
      <c r="H3486" s="34">
        <f t="shared" si="1728"/>
        <v>795731</v>
      </c>
      <c r="I3486" s="34">
        <f t="shared" si="1728"/>
        <v>795731</v>
      </c>
      <c r="J3486" s="34">
        <f t="shared" si="1720"/>
        <v>3071055</v>
      </c>
      <c r="K3486" s="133">
        <v>1000</v>
      </c>
      <c r="L3486" s="34"/>
      <c r="M3486" s="16">
        <f t="shared" si="1724"/>
        <v>8131107.2709220164</v>
      </c>
      <c r="N3486" s="36">
        <v>810</v>
      </c>
      <c r="O3486" s="36">
        <v>1</v>
      </c>
      <c r="P3486" s="56">
        <v>795731.61021677766</v>
      </c>
      <c r="Q3486" s="2" t="s">
        <v>402</v>
      </c>
      <c r="R3486" s="2" t="s">
        <v>699</v>
      </c>
      <c r="S3486" s="56">
        <f t="shared" si="1726"/>
        <v>318292.64408671111</v>
      </c>
    </row>
    <row r="3487" spans="1:19" x14ac:dyDescent="0.2">
      <c r="A3487" s="8" t="str">
        <f t="shared" si="1721"/>
        <v>9028919</v>
      </c>
      <c r="B3487" s="8">
        <v>902</v>
      </c>
      <c r="C3487" s="8">
        <v>89</v>
      </c>
      <c r="D3487" s="8" t="s">
        <v>62</v>
      </c>
      <c r="E3487" s="8">
        <v>9</v>
      </c>
      <c r="F3487" s="34">
        <f t="shared" si="1727"/>
        <v>16909296</v>
      </c>
      <c r="G3487" s="34">
        <f t="shared" si="1727"/>
        <v>16909296</v>
      </c>
      <c r="H3487" s="34">
        <f t="shared" si="1728"/>
        <v>795731</v>
      </c>
      <c r="I3487" s="34">
        <f t="shared" si="1728"/>
        <v>795731</v>
      </c>
      <c r="J3487" s="34">
        <f t="shared" si="1720"/>
        <v>45516082</v>
      </c>
      <c r="K3487" s="133">
        <v>1000</v>
      </c>
      <c r="L3487" s="34"/>
      <c r="M3487" s="16">
        <f t="shared" si="1724"/>
        <v>62606341.329750292</v>
      </c>
      <c r="N3487" s="36">
        <v>735</v>
      </c>
      <c r="O3487" s="36">
        <v>18</v>
      </c>
      <c r="P3487" s="56">
        <v>795731.61021677766</v>
      </c>
      <c r="Q3487" s="2" t="s">
        <v>402</v>
      </c>
      <c r="R3487" s="2" t="s">
        <v>699</v>
      </c>
      <c r="S3487" s="56">
        <f t="shared" si="1726"/>
        <v>318292.64408671111</v>
      </c>
    </row>
    <row r="3488" spans="1:19" x14ac:dyDescent="0.2">
      <c r="A3488" s="8" t="str">
        <f t="shared" si="1721"/>
        <v>9029011</v>
      </c>
      <c r="B3488" s="8">
        <v>902</v>
      </c>
      <c r="C3488" s="8">
        <v>90</v>
      </c>
      <c r="D3488" s="8" t="s">
        <v>62</v>
      </c>
      <c r="E3488" s="8">
        <v>1</v>
      </c>
      <c r="F3488" s="34">
        <f t="shared" si="1727"/>
        <v>4480963</v>
      </c>
      <c r="G3488" s="34">
        <f t="shared" si="1727"/>
        <v>4480963</v>
      </c>
      <c r="H3488" s="34">
        <f t="shared" si="1728"/>
        <v>843475</v>
      </c>
      <c r="I3488" s="34">
        <f t="shared" si="1728"/>
        <v>843475</v>
      </c>
      <c r="J3488" s="34">
        <f t="shared" si="1720"/>
        <v>3255319</v>
      </c>
      <c r="K3488" s="133">
        <v>1000</v>
      </c>
      <c r="L3488" s="34"/>
      <c r="M3488" s="16">
        <f t="shared" si="1724"/>
        <v>8873777.8032378945</v>
      </c>
      <c r="N3488" s="36">
        <v>810</v>
      </c>
      <c r="O3488" s="36">
        <v>1</v>
      </c>
      <c r="P3488" s="56">
        <v>843475.50682978425</v>
      </c>
      <c r="Q3488" s="2" t="s">
        <v>402</v>
      </c>
      <c r="R3488" s="2" t="s">
        <v>700</v>
      </c>
      <c r="S3488" s="56">
        <f t="shared" si="1726"/>
        <v>337390.20273191371</v>
      </c>
    </row>
    <row r="3489" spans="1:20" x14ac:dyDescent="0.2">
      <c r="A3489" s="8" t="str">
        <f t="shared" si="1721"/>
        <v>9029019</v>
      </c>
      <c r="B3489" s="8">
        <v>902</v>
      </c>
      <c r="C3489" s="8">
        <v>90</v>
      </c>
      <c r="D3489" s="8" t="s">
        <v>62</v>
      </c>
      <c r="E3489" s="8">
        <v>9</v>
      </c>
      <c r="F3489" s="34">
        <f t="shared" si="1727"/>
        <v>17923854</v>
      </c>
      <c r="G3489" s="34">
        <f t="shared" si="1727"/>
        <v>17923854</v>
      </c>
      <c r="H3489" s="34">
        <f t="shared" si="1728"/>
        <v>843475</v>
      </c>
      <c r="I3489" s="34">
        <f t="shared" si="1728"/>
        <v>843475</v>
      </c>
      <c r="J3489" s="34">
        <f t="shared" si="1720"/>
        <v>48247047</v>
      </c>
      <c r="K3489" s="133">
        <v>1000</v>
      </c>
      <c r="L3489" s="34"/>
      <c r="M3489" s="16">
        <f t="shared" si="1724"/>
        <v>68324610.074357197</v>
      </c>
      <c r="N3489" s="36">
        <v>735</v>
      </c>
      <c r="O3489" s="36">
        <v>18</v>
      </c>
      <c r="P3489" s="56">
        <v>843475.50682978425</v>
      </c>
      <c r="Q3489" s="2" t="s">
        <v>402</v>
      </c>
      <c r="R3489" s="2" t="s">
        <v>700</v>
      </c>
      <c r="S3489" s="56">
        <f t="shared" si="1726"/>
        <v>337390.20273191371</v>
      </c>
    </row>
    <row r="3490" spans="1:20" x14ac:dyDescent="0.2">
      <c r="A3490" s="8" t="str">
        <f t="shared" si="1721"/>
        <v>9029111</v>
      </c>
      <c r="B3490" s="8">
        <v>902</v>
      </c>
      <c r="C3490" s="8">
        <v>91</v>
      </c>
      <c r="D3490" s="8" t="s">
        <v>62</v>
      </c>
      <c r="E3490" s="8">
        <v>1</v>
      </c>
      <c r="F3490" s="34">
        <f t="shared" si="1727"/>
        <v>4749821</v>
      </c>
      <c r="G3490" s="34">
        <f t="shared" si="1727"/>
        <v>4749821</v>
      </c>
      <c r="H3490" s="34">
        <f t="shared" si="1728"/>
        <v>894084</v>
      </c>
      <c r="I3490" s="34">
        <f t="shared" si="1728"/>
        <v>894084</v>
      </c>
      <c r="J3490" s="34">
        <f t="shared" si="1720"/>
        <v>3450638</v>
      </c>
      <c r="K3490" s="133">
        <v>1000</v>
      </c>
      <c r="L3490" s="34"/>
      <c r="M3490" s="16">
        <f t="shared" si="1724"/>
        <v>9684282.96253483</v>
      </c>
      <c r="N3490" s="36">
        <v>810</v>
      </c>
      <c r="O3490" s="36">
        <v>1</v>
      </c>
      <c r="P3490" s="56">
        <v>894084.03723957133</v>
      </c>
      <c r="Q3490" s="2" t="s">
        <v>402</v>
      </c>
      <c r="R3490" s="2" t="s">
        <v>701</v>
      </c>
      <c r="S3490" s="56">
        <f t="shared" si="1726"/>
        <v>357633.61489582853</v>
      </c>
      <c r="T3490" s="266"/>
    </row>
    <row r="3491" spans="1:20" x14ac:dyDescent="0.2">
      <c r="A3491" s="8" t="str">
        <f t="shared" si="1721"/>
        <v>9029119</v>
      </c>
      <c r="B3491" s="8">
        <v>902</v>
      </c>
      <c r="C3491" s="8">
        <v>91</v>
      </c>
      <c r="D3491" s="8" t="s">
        <v>62</v>
      </c>
      <c r="E3491" s="8">
        <v>9</v>
      </c>
      <c r="F3491" s="34">
        <f t="shared" si="1727"/>
        <v>18999285</v>
      </c>
      <c r="G3491" s="34">
        <f t="shared" si="1727"/>
        <v>18999285</v>
      </c>
      <c r="H3491" s="34">
        <f t="shared" si="1728"/>
        <v>894084</v>
      </c>
      <c r="I3491" s="34">
        <f t="shared" si="1728"/>
        <v>894084</v>
      </c>
      <c r="J3491" s="34">
        <f t="shared" si="1720"/>
        <v>51141869</v>
      </c>
      <c r="K3491" s="133">
        <v>1000</v>
      </c>
      <c r="L3491" s="34"/>
      <c r="M3491" s="16">
        <f t="shared" si="1724"/>
        <v>74565180.755256429</v>
      </c>
      <c r="N3491" s="36">
        <v>735</v>
      </c>
      <c r="O3491" s="36">
        <v>18</v>
      </c>
      <c r="P3491" s="56">
        <v>894084.03723957133</v>
      </c>
      <c r="Q3491" s="2" t="s">
        <v>402</v>
      </c>
      <c r="R3491" s="2" t="s">
        <v>701</v>
      </c>
      <c r="S3491" s="56">
        <f t="shared" si="1726"/>
        <v>357633.61489582853</v>
      </c>
    </row>
    <row r="3492" spans="1:20" ht="33.75" x14ac:dyDescent="0.2">
      <c r="A3492" s="30" t="str">
        <f t="shared" si="1721"/>
        <v/>
      </c>
      <c r="B3492" s="5"/>
      <c r="C3492" s="93" t="s">
        <v>703</v>
      </c>
      <c r="D3492" s="5"/>
      <c r="E3492" s="5"/>
      <c r="F3492" s="5"/>
      <c r="G3492" s="5"/>
      <c r="H3492" s="5"/>
      <c r="I3492" s="5"/>
      <c r="J3492" s="5"/>
      <c r="K3492" s="133"/>
      <c r="L3492" s="5"/>
      <c r="M3492" s="16">
        <f t="shared" si="1724"/>
        <v>0</v>
      </c>
      <c r="N3492" s="5"/>
      <c r="O3492" s="5"/>
      <c r="P3492" s="5"/>
      <c r="Q3492" s="5"/>
      <c r="R3492" s="5"/>
      <c r="S3492" s="30"/>
    </row>
    <row r="3493" spans="1:20" x14ac:dyDescent="0.2">
      <c r="A3493" s="8" t="str">
        <f t="shared" si="1721"/>
        <v>9030111</v>
      </c>
      <c r="B3493" s="8">
        <v>903</v>
      </c>
      <c r="C3493" s="8">
        <v>1</v>
      </c>
      <c r="D3493" s="8" t="s">
        <v>62</v>
      </c>
      <c r="E3493" s="8">
        <v>1</v>
      </c>
      <c r="F3493" s="34">
        <f t="shared" ref="F3493:G3512" si="1729">ROUNDDOWN($P3493/4*MIN($O3493,4)*10*$N3493/$N3493*$Q3493/400,0)</f>
        <v>13099</v>
      </c>
      <c r="G3493" s="34">
        <f t="shared" si="1729"/>
        <v>13099</v>
      </c>
      <c r="H3493" s="34">
        <f t="shared" si="1728"/>
        <v>8002</v>
      </c>
      <c r="I3493" s="34">
        <f t="shared" si="1728"/>
        <v>8002</v>
      </c>
      <c r="J3493" s="34">
        <f>ROUNDDOWN($P3493/4*$O3493*10*$N3493/$Q3493*$N3493/400*0.8,0)</f>
        <v>12867</v>
      </c>
      <c r="K3493" s="133">
        <v>1000</v>
      </c>
      <c r="L3493" s="34"/>
      <c r="M3493" s="16">
        <f t="shared" si="1724"/>
        <v>2937.9674646704989</v>
      </c>
      <c r="N3493" s="36">
        <v>810</v>
      </c>
      <c r="O3493" s="36">
        <v>1</v>
      </c>
      <c r="P3493" s="56">
        <v>2867.2</v>
      </c>
      <c r="Q3493" s="2" t="s">
        <v>103</v>
      </c>
      <c r="R3493" s="2" t="s">
        <v>615</v>
      </c>
      <c r="S3493" s="36">
        <v>3201</v>
      </c>
    </row>
    <row r="3494" spans="1:20" x14ac:dyDescent="0.2">
      <c r="A3494" s="8" t="str">
        <f t="shared" si="1721"/>
        <v>9030119</v>
      </c>
      <c r="B3494" s="8">
        <v>903</v>
      </c>
      <c r="C3494" s="8">
        <v>1</v>
      </c>
      <c r="D3494" s="8" t="s">
        <v>62</v>
      </c>
      <c r="E3494" s="8">
        <v>9</v>
      </c>
      <c r="F3494" s="34">
        <f t="shared" si="1729"/>
        <v>52398</v>
      </c>
      <c r="G3494" s="34">
        <f t="shared" si="1729"/>
        <v>52398</v>
      </c>
      <c r="H3494" s="34">
        <f t="shared" si="1728"/>
        <v>8002</v>
      </c>
      <c r="I3494" s="34">
        <f t="shared" si="1728"/>
        <v>8002</v>
      </c>
      <c r="J3494" s="34">
        <f t="shared" ref="J3494:J3557" si="1730">ROUNDDOWN($P3494/4*$O3494*10*$N3494/$Q3494*$N3494/400*0.8,0)</f>
        <v>190703</v>
      </c>
      <c r="K3494" s="133">
        <v>1000</v>
      </c>
      <c r="L3494" s="34"/>
      <c r="M3494" s="16">
        <f t="shared" si="1724"/>
        <v>22621.707276131114</v>
      </c>
      <c r="N3494" s="36">
        <v>735</v>
      </c>
      <c r="O3494" s="36">
        <v>18</v>
      </c>
      <c r="P3494" s="56">
        <v>2867.2</v>
      </c>
      <c r="Q3494" s="2" t="s">
        <v>103</v>
      </c>
      <c r="R3494" s="2" t="s">
        <v>615</v>
      </c>
      <c r="S3494" s="36">
        <v>3201</v>
      </c>
    </row>
    <row r="3495" spans="1:20" x14ac:dyDescent="0.2">
      <c r="A3495" s="8" t="str">
        <f t="shared" si="1721"/>
        <v>9030211</v>
      </c>
      <c r="B3495" s="8">
        <v>903</v>
      </c>
      <c r="C3495" s="8">
        <v>2</v>
      </c>
      <c r="D3495" s="8" t="s">
        <v>62</v>
      </c>
      <c r="E3495" s="8">
        <v>1</v>
      </c>
      <c r="F3495" s="34">
        <f t="shared" si="1729"/>
        <v>13358</v>
      </c>
      <c r="G3495" s="34">
        <f t="shared" si="1729"/>
        <v>13358</v>
      </c>
      <c r="H3495" s="34">
        <f t="shared" ref="H3495:I3575" si="1731">ROUNDDOWN($S3495/4*10,0)</f>
        <v>8567</v>
      </c>
      <c r="I3495" s="34">
        <f t="shared" si="1731"/>
        <v>8567</v>
      </c>
      <c r="J3495" s="34">
        <f t="shared" si="1730"/>
        <v>13121</v>
      </c>
      <c r="K3495" s="133">
        <v>1000</v>
      </c>
      <c r="L3495" s="34"/>
      <c r="M3495" s="16">
        <f t="shared" si="1724"/>
        <v>3099.9776146866607</v>
      </c>
      <c r="N3495" s="36">
        <v>810</v>
      </c>
      <c r="O3495" s="36">
        <v>1</v>
      </c>
      <c r="P3495" s="56">
        <v>2923.8999999999996</v>
      </c>
      <c r="Q3495" s="2" t="s">
        <v>103</v>
      </c>
      <c r="R3495" s="2" t="s">
        <v>616</v>
      </c>
      <c r="S3495" s="36">
        <v>3427</v>
      </c>
    </row>
    <row r="3496" spans="1:20" x14ac:dyDescent="0.2">
      <c r="A3496" s="8" t="str">
        <f t="shared" si="1721"/>
        <v>9030219</v>
      </c>
      <c r="B3496" s="8">
        <v>903</v>
      </c>
      <c r="C3496" s="8">
        <v>2</v>
      </c>
      <c r="D3496" s="8" t="s">
        <v>62</v>
      </c>
      <c r="E3496" s="8">
        <v>9</v>
      </c>
      <c r="F3496" s="34">
        <f t="shared" si="1729"/>
        <v>53434</v>
      </c>
      <c r="G3496" s="34">
        <f t="shared" si="1729"/>
        <v>53434</v>
      </c>
      <c r="H3496" s="34">
        <f t="shared" si="1731"/>
        <v>8567</v>
      </c>
      <c r="I3496" s="34">
        <f t="shared" si="1731"/>
        <v>8567</v>
      </c>
      <c r="J3496" s="34">
        <f t="shared" si="1730"/>
        <v>194474</v>
      </c>
      <c r="K3496" s="133">
        <v>1000</v>
      </c>
      <c r="L3496" s="34"/>
      <c r="M3496" s="16">
        <f t="shared" si="1724"/>
        <v>23869.536558547188</v>
      </c>
      <c r="N3496" s="36">
        <v>735</v>
      </c>
      <c r="O3496" s="36">
        <v>18</v>
      </c>
      <c r="P3496" s="56">
        <v>2923.8999999999996</v>
      </c>
      <c r="Q3496" s="2" t="s">
        <v>103</v>
      </c>
      <c r="R3496" s="2" t="s">
        <v>616</v>
      </c>
      <c r="S3496" s="36">
        <v>3427</v>
      </c>
    </row>
    <row r="3497" spans="1:20" x14ac:dyDescent="0.2">
      <c r="A3497" s="8" t="str">
        <f t="shared" si="1721"/>
        <v>9030311</v>
      </c>
      <c r="B3497" s="8">
        <v>903</v>
      </c>
      <c r="C3497" s="8">
        <v>3</v>
      </c>
      <c r="D3497" s="8" t="s">
        <v>62</v>
      </c>
      <c r="E3497" s="8">
        <v>1</v>
      </c>
      <c r="F3497" s="34">
        <f t="shared" si="1729"/>
        <v>13624</v>
      </c>
      <c r="G3497" s="34">
        <f t="shared" si="1729"/>
        <v>13624</v>
      </c>
      <c r="H3497" s="34">
        <f t="shared" si="1731"/>
        <v>9155</v>
      </c>
      <c r="I3497" s="34">
        <f t="shared" si="1731"/>
        <v>9155</v>
      </c>
      <c r="J3497" s="34">
        <f t="shared" si="1730"/>
        <v>13382</v>
      </c>
      <c r="K3497" s="133">
        <v>1000</v>
      </c>
      <c r="L3497" s="34"/>
      <c r="M3497" s="16">
        <f t="shared" si="1724"/>
        <v>3268.3758403610809</v>
      </c>
      <c r="N3497" s="36">
        <v>810</v>
      </c>
      <c r="O3497" s="36">
        <v>1</v>
      </c>
      <c r="P3497" s="56">
        <v>2982</v>
      </c>
      <c r="Q3497" s="2" t="s">
        <v>103</v>
      </c>
      <c r="R3497" s="2" t="s">
        <v>617</v>
      </c>
      <c r="S3497" s="36">
        <v>3662</v>
      </c>
    </row>
    <row r="3498" spans="1:20" x14ac:dyDescent="0.2">
      <c r="A3498" s="8" t="str">
        <f t="shared" si="1721"/>
        <v>9030319</v>
      </c>
      <c r="B3498" s="8">
        <v>903</v>
      </c>
      <c r="C3498" s="8">
        <v>3</v>
      </c>
      <c r="D3498" s="8" t="s">
        <v>62</v>
      </c>
      <c r="E3498" s="8">
        <v>9</v>
      </c>
      <c r="F3498" s="34">
        <f t="shared" si="1729"/>
        <v>54496</v>
      </c>
      <c r="G3498" s="34">
        <f t="shared" si="1729"/>
        <v>54496</v>
      </c>
      <c r="H3498" s="34">
        <f t="shared" si="1731"/>
        <v>9155</v>
      </c>
      <c r="I3498" s="34">
        <f t="shared" si="1731"/>
        <v>9155</v>
      </c>
      <c r="J3498" s="34">
        <f t="shared" si="1730"/>
        <v>198338</v>
      </c>
      <c r="K3498" s="133">
        <v>1000</v>
      </c>
      <c r="L3498" s="34"/>
      <c r="M3498" s="16">
        <f t="shared" si="1724"/>
        <v>25165.434849245423</v>
      </c>
      <c r="N3498" s="36">
        <v>735</v>
      </c>
      <c r="O3498" s="36">
        <v>18</v>
      </c>
      <c r="P3498" s="56">
        <v>2982</v>
      </c>
      <c r="Q3498" s="2" t="s">
        <v>103</v>
      </c>
      <c r="R3498" s="2" t="s">
        <v>617</v>
      </c>
      <c r="S3498" s="36">
        <v>3662</v>
      </c>
      <c r="T3498" s="114"/>
    </row>
    <row r="3499" spans="1:20" x14ac:dyDescent="0.2">
      <c r="A3499" s="8" t="str">
        <f t="shared" si="1721"/>
        <v>9030411</v>
      </c>
      <c r="B3499" s="8">
        <v>903</v>
      </c>
      <c r="C3499" s="8">
        <v>4</v>
      </c>
      <c r="D3499" s="8" t="s">
        <v>62</v>
      </c>
      <c r="E3499" s="8">
        <v>1</v>
      </c>
      <c r="F3499" s="34">
        <f t="shared" si="1729"/>
        <v>13895</v>
      </c>
      <c r="G3499" s="34">
        <f t="shared" si="1729"/>
        <v>13895</v>
      </c>
      <c r="H3499" s="34">
        <f t="shared" si="1731"/>
        <v>9767</v>
      </c>
      <c r="I3499" s="34">
        <f t="shared" si="1731"/>
        <v>9767</v>
      </c>
      <c r="J3499" s="34">
        <f t="shared" si="1730"/>
        <v>13649</v>
      </c>
      <c r="K3499" s="133">
        <v>1000</v>
      </c>
      <c r="L3499" s="34"/>
      <c r="M3499" s="16">
        <f t="shared" si="1724"/>
        <v>3443.1050496062417</v>
      </c>
      <c r="N3499" s="36">
        <v>810</v>
      </c>
      <c r="O3499" s="36">
        <v>1</v>
      </c>
      <c r="P3499" s="56">
        <v>3041.5</v>
      </c>
      <c r="Q3499" s="2" t="s">
        <v>103</v>
      </c>
      <c r="R3499" s="2" t="s">
        <v>618</v>
      </c>
      <c r="S3499" s="36">
        <v>3907</v>
      </c>
      <c r="T3499" s="114"/>
    </row>
    <row r="3500" spans="1:20" x14ac:dyDescent="0.2">
      <c r="A3500" s="8" t="str">
        <f t="shared" si="1721"/>
        <v>9030419</v>
      </c>
      <c r="B3500" s="8">
        <v>903</v>
      </c>
      <c r="C3500" s="8">
        <v>4</v>
      </c>
      <c r="D3500" s="8" t="s">
        <v>62</v>
      </c>
      <c r="E3500" s="8">
        <v>9</v>
      </c>
      <c r="F3500" s="34">
        <f t="shared" si="1729"/>
        <v>55583</v>
      </c>
      <c r="G3500" s="34">
        <f t="shared" si="1729"/>
        <v>55583</v>
      </c>
      <c r="H3500" s="34">
        <f t="shared" si="1731"/>
        <v>9767</v>
      </c>
      <c r="I3500" s="34">
        <f t="shared" si="1731"/>
        <v>9767</v>
      </c>
      <c r="J3500" s="34">
        <f t="shared" si="1730"/>
        <v>202296</v>
      </c>
      <c r="K3500" s="133">
        <v>1000</v>
      </c>
      <c r="L3500" s="34"/>
      <c r="M3500" s="16">
        <f t="shared" si="1724"/>
        <v>26511.55615242905</v>
      </c>
      <c r="N3500" s="36">
        <v>735</v>
      </c>
      <c r="O3500" s="36">
        <v>18</v>
      </c>
      <c r="P3500" s="56">
        <v>3041.5</v>
      </c>
      <c r="Q3500" s="2" t="s">
        <v>103</v>
      </c>
      <c r="R3500" s="2" t="s">
        <v>618</v>
      </c>
      <c r="S3500" s="36">
        <v>3907</v>
      </c>
      <c r="T3500" s="114"/>
    </row>
    <row r="3501" spans="1:20" x14ac:dyDescent="0.2">
      <c r="A3501" s="8" t="str">
        <f t="shared" si="1721"/>
        <v>9030511</v>
      </c>
      <c r="B3501" s="8">
        <v>903</v>
      </c>
      <c r="C3501" s="8">
        <v>5</v>
      </c>
      <c r="D3501" s="8" t="s">
        <v>62</v>
      </c>
      <c r="E3501" s="8">
        <v>1</v>
      </c>
      <c r="F3501" s="34">
        <f t="shared" si="1729"/>
        <v>14170</v>
      </c>
      <c r="G3501" s="34">
        <f t="shared" si="1729"/>
        <v>14170</v>
      </c>
      <c r="H3501" s="34">
        <f t="shared" si="1731"/>
        <v>10570</v>
      </c>
      <c r="I3501" s="34">
        <f t="shared" si="1731"/>
        <v>10570</v>
      </c>
      <c r="J3501" s="34">
        <f t="shared" si="1730"/>
        <v>13919</v>
      </c>
      <c r="K3501" s="133">
        <v>1000</v>
      </c>
      <c r="L3501" s="34"/>
      <c r="M3501" s="16">
        <f t="shared" si="1724"/>
        <v>3652.720341750789</v>
      </c>
      <c r="N3501" s="36">
        <v>810</v>
      </c>
      <c r="O3501" s="36">
        <v>1</v>
      </c>
      <c r="P3501" s="56">
        <v>3101.7</v>
      </c>
      <c r="Q3501" s="2" t="s">
        <v>103</v>
      </c>
      <c r="R3501" s="2" t="s">
        <v>619</v>
      </c>
      <c r="S3501" s="36">
        <v>4228</v>
      </c>
      <c r="T3501" s="114"/>
    </row>
    <row r="3502" spans="1:20" x14ac:dyDescent="0.2">
      <c r="A3502" s="8" t="str">
        <f t="shared" si="1721"/>
        <v>9030519</v>
      </c>
      <c r="B3502" s="8">
        <v>903</v>
      </c>
      <c r="C3502" s="8">
        <v>5</v>
      </c>
      <c r="D3502" s="8" t="s">
        <v>62</v>
      </c>
      <c r="E3502" s="8">
        <v>9</v>
      </c>
      <c r="F3502" s="34">
        <f t="shared" si="1729"/>
        <v>56683</v>
      </c>
      <c r="G3502" s="34">
        <f t="shared" si="1729"/>
        <v>56683</v>
      </c>
      <c r="H3502" s="34">
        <f t="shared" si="1731"/>
        <v>10570</v>
      </c>
      <c r="I3502" s="34">
        <f t="shared" si="1731"/>
        <v>10570</v>
      </c>
      <c r="J3502" s="34">
        <f t="shared" si="1730"/>
        <v>206300</v>
      </c>
      <c r="K3502" s="133">
        <v>1000</v>
      </c>
      <c r="L3502" s="34"/>
      <c r="M3502" s="16">
        <f t="shared" si="1724"/>
        <v>28125.710902645646</v>
      </c>
      <c r="N3502" s="36">
        <v>735</v>
      </c>
      <c r="O3502" s="36">
        <v>18</v>
      </c>
      <c r="P3502" s="56">
        <v>3101.7</v>
      </c>
      <c r="Q3502" s="2" t="s">
        <v>103</v>
      </c>
      <c r="R3502" s="2" t="s">
        <v>619</v>
      </c>
      <c r="S3502" s="36">
        <v>4228</v>
      </c>
      <c r="T3502" s="114"/>
    </row>
    <row r="3503" spans="1:20" x14ac:dyDescent="0.2">
      <c r="A3503" s="8" t="str">
        <f t="shared" si="1721"/>
        <v>9030611</v>
      </c>
      <c r="B3503" s="8">
        <v>903</v>
      </c>
      <c r="C3503" s="8">
        <v>6</v>
      </c>
      <c r="D3503" s="8" t="s">
        <v>62</v>
      </c>
      <c r="E3503" s="8">
        <v>1</v>
      </c>
      <c r="F3503" s="34">
        <f t="shared" si="1729"/>
        <v>17589</v>
      </c>
      <c r="G3503" s="34">
        <f t="shared" si="1729"/>
        <v>17589</v>
      </c>
      <c r="H3503" s="34">
        <f t="shared" si="1731"/>
        <v>12660</v>
      </c>
      <c r="I3503" s="34">
        <f t="shared" si="1731"/>
        <v>12660</v>
      </c>
      <c r="J3503" s="34">
        <f t="shared" si="1730"/>
        <v>17277</v>
      </c>
      <c r="K3503" s="133">
        <v>1000</v>
      </c>
      <c r="L3503" s="34"/>
      <c r="M3503" s="16">
        <f t="shared" si="1724"/>
        <v>4962.0550819868986</v>
      </c>
      <c r="N3503" s="36">
        <v>810</v>
      </c>
      <c r="O3503" s="36">
        <v>1</v>
      </c>
      <c r="P3503" s="56">
        <v>3849.9999999999995</v>
      </c>
      <c r="Q3503" s="2" t="s">
        <v>103</v>
      </c>
      <c r="R3503" s="2" t="s">
        <v>620</v>
      </c>
      <c r="S3503" s="36">
        <v>5064</v>
      </c>
      <c r="T3503" s="114"/>
    </row>
    <row r="3504" spans="1:20" x14ac:dyDescent="0.2">
      <c r="A3504" s="8" t="str">
        <f t="shared" si="1721"/>
        <v>9030619</v>
      </c>
      <c r="B3504" s="8">
        <v>903</v>
      </c>
      <c r="C3504" s="8">
        <v>6</v>
      </c>
      <c r="D3504" s="8" t="s">
        <v>62</v>
      </c>
      <c r="E3504" s="8">
        <v>9</v>
      </c>
      <c r="F3504" s="34">
        <f t="shared" si="1729"/>
        <v>70358</v>
      </c>
      <c r="G3504" s="34">
        <f t="shared" si="1729"/>
        <v>70358</v>
      </c>
      <c r="H3504" s="34">
        <f t="shared" si="1731"/>
        <v>12660</v>
      </c>
      <c r="I3504" s="34">
        <f t="shared" si="1731"/>
        <v>12660</v>
      </c>
      <c r="J3504" s="34">
        <f t="shared" si="1730"/>
        <v>256071</v>
      </c>
      <c r="K3504" s="133">
        <v>1000</v>
      </c>
      <c r="L3504" s="34"/>
      <c r="M3504" s="16">
        <f t="shared" si="1724"/>
        <v>38207.074165657228</v>
      </c>
      <c r="N3504" s="36">
        <v>735</v>
      </c>
      <c r="O3504" s="36">
        <v>18</v>
      </c>
      <c r="P3504" s="56">
        <v>3849.9999999999995</v>
      </c>
      <c r="Q3504" s="2" t="s">
        <v>103</v>
      </c>
      <c r="R3504" s="2" t="s">
        <v>620</v>
      </c>
      <c r="S3504" s="36">
        <v>5064</v>
      </c>
      <c r="T3504" s="114"/>
    </row>
    <row r="3505" spans="1:20" x14ac:dyDescent="0.2">
      <c r="A3505" s="8" t="str">
        <f t="shared" si="1721"/>
        <v>9030711</v>
      </c>
      <c r="B3505" s="8">
        <v>903</v>
      </c>
      <c r="C3505" s="8">
        <v>7</v>
      </c>
      <c r="D3505" s="8" t="s">
        <v>62</v>
      </c>
      <c r="E3505" s="8">
        <v>1</v>
      </c>
      <c r="F3505" s="34">
        <f t="shared" si="1729"/>
        <v>18293</v>
      </c>
      <c r="G3505" s="34">
        <f t="shared" si="1729"/>
        <v>18293</v>
      </c>
      <c r="H3505" s="34">
        <f t="shared" si="1731"/>
        <v>12780</v>
      </c>
      <c r="I3505" s="34">
        <f t="shared" si="1731"/>
        <v>12780</v>
      </c>
      <c r="J3505" s="34">
        <f t="shared" si="1730"/>
        <v>17968</v>
      </c>
      <c r="K3505" s="133">
        <v>1000</v>
      </c>
      <c r="L3505" s="34"/>
      <c r="M3505" s="16">
        <f t="shared" si="1724"/>
        <v>5184.98793963959</v>
      </c>
      <c r="N3505" s="36">
        <v>810</v>
      </c>
      <c r="O3505" s="36">
        <v>1</v>
      </c>
      <c r="P3505" s="56">
        <v>4003.9999999999995</v>
      </c>
      <c r="Q3505" s="2" t="s">
        <v>103</v>
      </c>
      <c r="R3505" s="2" t="s">
        <v>621</v>
      </c>
      <c r="S3505" s="36">
        <v>5112</v>
      </c>
      <c r="T3505" s="114"/>
    </row>
    <row r="3506" spans="1:20" x14ac:dyDescent="0.2">
      <c r="A3506" s="8" t="str">
        <f t="shared" si="1721"/>
        <v>9030719</v>
      </c>
      <c r="B3506" s="8">
        <v>903</v>
      </c>
      <c r="C3506" s="8">
        <v>7</v>
      </c>
      <c r="D3506" s="8" t="s">
        <v>62</v>
      </c>
      <c r="E3506" s="8">
        <v>9</v>
      </c>
      <c r="F3506" s="34">
        <f t="shared" si="1729"/>
        <v>73173</v>
      </c>
      <c r="G3506" s="34">
        <f t="shared" si="1729"/>
        <v>73173</v>
      </c>
      <c r="H3506" s="34">
        <f t="shared" si="1731"/>
        <v>12780</v>
      </c>
      <c r="I3506" s="34">
        <f t="shared" si="1731"/>
        <v>12780</v>
      </c>
      <c r="J3506" s="34">
        <f t="shared" si="1730"/>
        <v>266313</v>
      </c>
      <c r="K3506" s="133">
        <v>1000</v>
      </c>
      <c r="L3506" s="34"/>
      <c r="M3506" s="16">
        <f t="shared" si="1724"/>
        <v>39923.354751561244</v>
      </c>
      <c r="N3506" s="36">
        <v>735</v>
      </c>
      <c r="O3506" s="36">
        <v>18</v>
      </c>
      <c r="P3506" s="56">
        <v>4003.9999999999995</v>
      </c>
      <c r="Q3506" s="2" t="s">
        <v>103</v>
      </c>
      <c r="R3506" s="2" t="s">
        <v>621</v>
      </c>
      <c r="S3506" s="36">
        <v>5112</v>
      </c>
      <c r="T3506" s="114"/>
    </row>
    <row r="3507" spans="1:20" x14ac:dyDescent="0.2">
      <c r="A3507" s="8" t="str">
        <f t="shared" si="1721"/>
        <v>9030811</v>
      </c>
      <c r="B3507" s="8">
        <v>903</v>
      </c>
      <c r="C3507" s="8">
        <v>8</v>
      </c>
      <c r="D3507" s="8" t="s">
        <v>62</v>
      </c>
      <c r="E3507" s="8">
        <v>1</v>
      </c>
      <c r="F3507" s="34">
        <f t="shared" si="1729"/>
        <v>19022</v>
      </c>
      <c r="G3507" s="34">
        <f t="shared" si="1729"/>
        <v>19022</v>
      </c>
      <c r="H3507" s="34">
        <f t="shared" si="1731"/>
        <v>14290</v>
      </c>
      <c r="I3507" s="34">
        <f t="shared" si="1731"/>
        <v>14290</v>
      </c>
      <c r="J3507" s="34">
        <f t="shared" si="1730"/>
        <v>18684</v>
      </c>
      <c r="K3507" s="133">
        <v>1000</v>
      </c>
      <c r="L3507" s="34"/>
      <c r="M3507" s="16">
        <f t="shared" si="1724"/>
        <v>5701.2373202567178</v>
      </c>
      <c r="N3507" s="36">
        <v>810</v>
      </c>
      <c r="O3507" s="36">
        <v>1</v>
      </c>
      <c r="P3507" s="56">
        <v>4163.5999999999995</v>
      </c>
      <c r="Q3507" s="2" t="s">
        <v>103</v>
      </c>
      <c r="R3507" s="2" t="s">
        <v>622</v>
      </c>
      <c r="S3507" s="36">
        <v>5716</v>
      </c>
      <c r="T3507" s="114"/>
    </row>
    <row r="3508" spans="1:20" x14ac:dyDescent="0.2">
      <c r="A3508" s="8" t="str">
        <f t="shared" si="1721"/>
        <v>9030819</v>
      </c>
      <c r="B3508" s="8">
        <v>903</v>
      </c>
      <c r="C3508" s="8">
        <v>8</v>
      </c>
      <c r="D3508" s="8" t="s">
        <v>62</v>
      </c>
      <c r="E3508" s="8">
        <v>9</v>
      </c>
      <c r="F3508" s="34">
        <f t="shared" si="1729"/>
        <v>76089</v>
      </c>
      <c r="G3508" s="34">
        <f t="shared" si="1729"/>
        <v>76089</v>
      </c>
      <c r="H3508" s="34">
        <f t="shared" si="1731"/>
        <v>14290</v>
      </c>
      <c r="I3508" s="34">
        <f t="shared" si="1731"/>
        <v>14290</v>
      </c>
      <c r="J3508" s="34">
        <f t="shared" si="1730"/>
        <v>276929</v>
      </c>
      <c r="K3508" s="133">
        <v>1000</v>
      </c>
      <c r="L3508" s="34"/>
      <c r="M3508" s="16">
        <f t="shared" si="1724"/>
        <v>43898.659458821021</v>
      </c>
      <c r="N3508" s="36">
        <v>735</v>
      </c>
      <c r="O3508" s="36">
        <v>18</v>
      </c>
      <c r="P3508" s="56">
        <v>4163.5999999999995</v>
      </c>
      <c r="Q3508" s="2" t="s">
        <v>103</v>
      </c>
      <c r="R3508" s="2" t="s">
        <v>622</v>
      </c>
      <c r="S3508" s="36">
        <v>5716</v>
      </c>
      <c r="T3508" s="114"/>
    </row>
    <row r="3509" spans="1:20" x14ac:dyDescent="0.2">
      <c r="A3509" s="8" t="str">
        <f t="shared" si="1721"/>
        <v>9030911</v>
      </c>
      <c r="B3509" s="8">
        <v>903</v>
      </c>
      <c r="C3509" s="8">
        <v>9</v>
      </c>
      <c r="D3509" s="8" t="s">
        <v>62</v>
      </c>
      <c r="E3509" s="8">
        <v>1</v>
      </c>
      <c r="F3509" s="34">
        <f t="shared" si="1729"/>
        <v>19780</v>
      </c>
      <c r="G3509" s="34">
        <f t="shared" si="1729"/>
        <v>19780</v>
      </c>
      <c r="H3509" s="34">
        <f t="shared" si="1731"/>
        <v>14530</v>
      </c>
      <c r="I3509" s="34">
        <f t="shared" si="1731"/>
        <v>14530</v>
      </c>
      <c r="J3509" s="34">
        <f t="shared" si="1730"/>
        <v>19429</v>
      </c>
      <c r="K3509" s="133">
        <v>1000</v>
      </c>
      <c r="L3509" s="34"/>
      <c r="M3509" s="16">
        <f t="shared" si="1724"/>
        <v>5978.0722825205121</v>
      </c>
      <c r="N3509" s="36">
        <v>810</v>
      </c>
      <c r="O3509" s="36">
        <v>1</v>
      </c>
      <c r="P3509" s="56">
        <v>4329.5</v>
      </c>
      <c r="Q3509" s="2" t="s">
        <v>103</v>
      </c>
      <c r="R3509" s="2" t="s">
        <v>623</v>
      </c>
      <c r="S3509" s="36">
        <v>5812</v>
      </c>
      <c r="T3509" s="114"/>
    </row>
    <row r="3510" spans="1:20" x14ac:dyDescent="0.2">
      <c r="A3510" s="8" t="str">
        <f t="shared" si="1721"/>
        <v>9030919</v>
      </c>
      <c r="B3510" s="8">
        <v>903</v>
      </c>
      <c r="C3510" s="8">
        <v>9</v>
      </c>
      <c r="D3510" s="8" t="s">
        <v>62</v>
      </c>
      <c r="E3510" s="8">
        <v>9</v>
      </c>
      <c r="F3510" s="34">
        <f t="shared" si="1729"/>
        <v>79121</v>
      </c>
      <c r="G3510" s="34">
        <f t="shared" si="1729"/>
        <v>79121</v>
      </c>
      <c r="H3510" s="34">
        <f t="shared" si="1731"/>
        <v>14530</v>
      </c>
      <c r="I3510" s="34">
        <f t="shared" si="1731"/>
        <v>14530</v>
      </c>
      <c r="J3510" s="34">
        <f t="shared" si="1730"/>
        <v>287963</v>
      </c>
      <c r="K3510" s="133">
        <v>1000</v>
      </c>
      <c r="L3510" s="34"/>
      <c r="M3510" s="16">
        <f t="shared" si="1724"/>
        <v>46029.581111224725</v>
      </c>
      <c r="N3510" s="36">
        <v>735</v>
      </c>
      <c r="O3510" s="36">
        <v>18</v>
      </c>
      <c r="P3510" s="56">
        <v>4329.5</v>
      </c>
      <c r="Q3510" s="2" t="s">
        <v>103</v>
      </c>
      <c r="R3510" s="2" t="s">
        <v>623</v>
      </c>
      <c r="S3510" s="36">
        <v>5812</v>
      </c>
      <c r="T3510" s="114"/>
    </row>
    <row r="3511" spans="1:20" x14ac:dyDescent="0.2">
      <c r="A3511" s="8" t="str">
        <f t="shared" si="1721"/>
        <v>9031011</v>
      </c>
      <c r="B3511" s="8">
        <v>903</v>
      </c>
      <c r="C3511" s="8">
        <v>10</v>
      </c>
      <c r="D3511" s="8" t="s">
        <v>62</v>
      </c>
      <c r="E3511" s="8">
        <v>1</v>
      </c>
      <c r="F3511" s="34">
        <f t="shared" si="1729"/>
        <v>20570</v>
      </c>
      <c r="G3511" s="34">
        <f t="shared" si="1729"/>
        <v>20570</v>
      </c>
      <c r="H3511" s="34">
        <f t="shared" si="1731"/>
        <v>15155</v>
      </c>
      <c r="I3511" s="34">
        <f t="shared" si="1731"/>
        <v>15155</v>
      </c>
      <c r="J3511" s="34">
        <f t="shared" si="1730"/>
        <v>20205</v>
      </c>
      <c r="K3511" s="133">
        <v>1000</v>
      </c>
      <c r="L3511" s="34"/>
      <c r="M3511" s="16">
        <f t="shared" si="1724"/>
        <v>6349.1345485191923</v>
      </c>
      <c r="N3511" s="36">
        <v>810</v>
      </c>
      <c r="O3511" s="36">
        <v>1</v>
      </c>
      <c r="P3511" s="56">
        <v>4502.3999999999996</v>
      </c>
      <c r="Q3511" s="2" t="s">
        <v>103</v>
      </c>
      <c r="R3511" s="2" t="s">
        <v>624</v>
      </c>
      <c r="S3511" s="36">
        <v>6062</v>
      </c>
      <c r="T3511" s="114"/>
    </row>
    <row r="3512" spans="1:20" x14ac:dyDescent="0.2">
      <c r="A3512" s="8" t="str">
        <f t="shared" si="1721"/>
        <v>9031019</v>
      </c>
      <c r="B3512" s="8">
        <v>903</v>
      </c>
      <c r="C3512" s="8">
        <v>10</v>
      </c>
      <c r="D3512" s="8" t="s">
        <v>62</v>
      </c>
      <c r="E3512" s="8">
        <v>9</v>
      </c>
      <c r="F3512" s="34">
        <f t="shared" si="1729"/>
        <v>82281</v>
      </c>
      <c r="G3512" s="34">
        <f t="shared" si="1729"/>
        <v>82281</v>
      </c>
      <c r="H3512" s="34">
        <f t="shared" si="1731"/>
        <v>15155</v>
      </c>
      <c r="I3512" s="34">
        <f t="shared" si="1731"/>
        <v>15155</v>
      </c>
      <c r="J3512" s="34">
        <f t="shared" si="1730"/>
        <v>299463</v>
      </c>
      <c r="K3512" s="133">
        <v>1000</v>
      </c>
      <c r="L3512" s="34"/>
      <c r="M3512" s="16">
        <f t="shared" si="1724"/>
        <v>48886.542566131393</v>
      </c>
      <c r="N3512" s="36">
        <v>735</v>
      </c>
      <c r="O3512" s="36">
        <v>18</v>
      </c>
      <c r="P3512" s="56">
        <v>4502.3999999999996</v>
      </c>
      <c r="Q3512" s="2" t="s">
        <v>103</v>
      </c>
      <c r="R3512" s="2" t="s">
        <v>624</v>
      </c>
      <c r="S3512" s="36">
        <v>6062</v>
      </c>
      <c r="T3512" s="114"/>
    </row>
    <row r="3513" spans="1:20" x14ac:dyDescent="0.2">
      <c r="A3513" s="8" t="str">
        <f t="shared" si="1721"/>
        <v>9031111</v>
      </c>
      <c r="B3513" s="8">
        <v>903</v>
      </c>
      <c r="C3513" s="8">
        <v>11</v>
      </c>
      <c r="D3513" s="8" t="s">
        <v>62</v>
      </c>
      <c r="E3513" s="8">
        <v>1</v>
      </c>
      <c r="F3513" s="34">
        <f t="shared" ref="F3513:G3532" si="1732">ROUNDDOWN($P3513/4*MIN($O3513,4)*10*$N3513/$N3513*$Q3513/400,0)</f>
        <v>25585</v>
      </c>
      <c r="G3513" s="34">
        <f t="shared" si="1732"/>
        <v>25585</v>
      </c>
      <c r="H3513" s="34">
        <f t="shared" si="1731"/>
        <v>15802</v>
      </c>
      <c r="I3513" s="34">
        <f t="shared" si="1731"/>
        <v>15802</v>
      </c>
      <c r="J3513" s="34">
        <f t="shared" si="1730"/>
        <v>25131</v>
      </c>
      <c r="K3513" s="133">
        <v>1000</v>
      </c>
      <c r="L3513" s="34"/>
      <c r="M3513" s="16">
        <f t="shared" si="1724"/>
        <v>8063.871739563323</v>
      </c>
      <c r="N3513" s="36">
        <v>810</v>
      </c>
      <c r="O3513" s="36">
        <v>1</v>
      </c>
      <c r="P3513" s="56">
        <v>5600</v>
      </c>
      <c r="Q3513" s="2" t="s">
        <v>103</v>
      </c>
      <c r="R3513" s="2" t="s">
        <v>167</v>
      </c>
      <c r="S3513" s="36">
        <v>6321</v>
      </c>
      <c r="T3513" s="114"/>
    </row>
    <row r="3514" spans="1:20" x14ac:dyDescent="0.2">
      <c r="A3514" s="8" t="str">
        <f t="shared" si="1721"/>
        <v>9031119</v>
      </c>
      <c r="B3514" s="8">
        <v>903</v>
      </c>
      <c r="C3514" s="8">
        <v>11</v>
      </c>
      <c r="D3514" s="8" t="s">
        <v>62</v>
      </c>
      <c r="E3514" s="8">
        <v>9</v>
      </c>
      <c r="F3514" s="34">
        <f t="shared" si="1732"/>
        <v>102340</v>
      </c>
      <c r="G3514" s="34">
        <f t="shared" si="1732"/>
        <v>102340</v>
      </c>
      <c r="H3514" s="34">
        <f t="shared" si="1731"/>
        <v>15802</v>
      </c>
      <c r="I3514" s="34">
        <f t="shared" si="1731"/>
        <v>15802</v>
      </c>
      <c r="J3514" s="34">
        <f t="shared" si="1730"/>
        <v>372467</v>
      </c>
      <c r="K3514" s="133">
        <v>1000</v>
      </c>
      <c r="L3514" s="34"/>
      <c r="M3514" s="16">
        <f t="shared" si="1724"/>
        <v>62088.707970171075</v>
      </c>
      <c r="N3514" s="36">
        <v>735</v>
      </c>
      <c r="O3514" s="36">
        <v>18</v>
      </c>
      <c r="P3514" s="56">
        <v>5600</v>
      </c>
      <c r="Q3514" s="2" t="s">
        <v>103</v>
      </c>
      <c r="R3514" s="2" t="s">
        <v>167</v>
      </c>
      <c r="S3514" s="36">
        <v>6321</v>
      </c>
      <c r="T3514" s="114"/>
    </row>
    <row r="3515" spans="1:20" x14ac:dyDescent="0.2">
      <c r="A3515" s="8" t="str">
        <f t="shared" si="1721"/>
        <v>9031211</v>
      </c>
      <c r="B3515" s="8">
        <v>903</v>
      </c>
      <c r="C3515" s="8">
        <v>12</v>
      </c>
      <c r="D3515" s="8" t="s">
        <v>62</v>
      </c>
      <c r="E3515" s="8">
        <v>1</v>
      </c>
      <c r="F3515" s="34">
        <f t="shared" si="1732"/>
        <v>26352</v>
      </c>
      <c r="G3515" s="34">
        <f t="shared" si="1732"/>
        <v>26352</v>
      </c>
      <c r="H3515" s="34">
        <f t="shared" si="1731"/>
        <v>16247</v>
      </c>
      <c r="I3515" s="34">
        <f t="shared" si="1731"/>
        <v>16247</v>
      </c>
      <c r="J3515" s="34">
        <f t="shared" si="1730"/>
        <v>25884</v>
      </c>
      <c r="K3515" s="133">
        <v>1000</v>
      </c>
      <c r="L3515" s="34"/>
      <c r="M3515" s="16">
        <f t="shared" ref="M3515:M3578" si="1733">(F3515*J3515*((H3515+I3515)/2)/1000)^(1/2)/10*0.8</f>
        <v>8421.6863658518178</v>
      </c>
      <c r="N3515" s="36">
        <v>810</v>
      </c>
      <c r="O3515" s="36">
        <v>1</v>
      </c>
      <c r="P3515" s="56">
        <v>5768</v>
      </c>
      <c r="Q3515" s="2" t="s">
        <v>103</v>
      </c>
      <c r="R3515" s="2" t="s">
        <v>625</v>
      </c>
      <c r="S3515" s="36">
        <v>6499</v>
      </c>
      <c r="T3515" s="114"/>
    </row>
    <row r="3516" spans="1:20" x14ac:dyDescent="0.2">
      <c r="A3516" s="8" t="str">
        <f t="shared" si="1721"/>
        <v>9031219</v>
      </c>
      <c r="B3516" s="8">
        <v>903</v>
      </c>
      <c r="C3516" s="8">
        <v>12</v>
      </c>
      <c r="D3516" s="8" t="s">
        <v>62</v>
      </c>
      <c r="E3516" s="8">
        <v>9</v>
      </c>
      <c r="F3516" s="34">
        <f t="shared" si="1732"/>
        <v>105410</v>
      </c>
      <c r="G3516" s="34">
        <f t="shared" si="1732"/>
        <v>105410</v>
      </c>
      <c r="H3516" s="34">
        <f t="shared" si="1731"/>
        <v>16247</v>
      </c>
      <c r="I3516" s="34">
        <f t="shared" si="1731"/>
        <v>16247</v>
      </c>
      <c r="J3516" s="34">
        <f t="shared" si="1730"/>
        <v>383641</v>
      </c>
      <c r="K3516" s="133">
        <v>1000</v>
      </c>
      <c r="L3516" s="34"/>
      <c r="M3516" s="16">
        <f t="shared" si="1733"/>
        <v>64845.522065614117</v>
      </c>
      <c r="N3516" s="36">
        <v>735</v>
      </c>
      <c r="O3516" s="36">
        <v>18</v>
      </c>
      <c r="P3516" s="56">
        <v>5768</v>
      </c>
      <c r="Q3516" s="2" t="s">
        <v>103</v>
      </c>
      <c r="R3516" s="2" t="s">
        <v>625</v>
      </c>
      <c r="S3516" s="36">
        <v>6499</v>
      </c>
      <c r="T3516" s="114"/>
    </row>
    <row r="3517" spans="1:20" x14ac:dyDescent="0.2">
      <c r="A3517" s="8" t="str">
        <f t="shared" si="1721"/>
        <v>9031311</v>
      </c>
      <c r="B3517" s="8">
        <v>903</v>
      </c>
      <c r="C3517" s="8">
        <v>13</v>
      </c>
      <c r="D3517" s="8" t="s">
        <v>62</v>
      </c>
      <c r="E3517" s="8">
        <v>1</v>
      </c>
      <c r="F3517" s="34">
        <f t="shared" si="1732"/>
        <v>27142</v>
      </c>
      <c r="G3517" s="34">
        <f t="shared" si="1732"/>
        <v>27142</v>
      </c>
      <c r="H3517" s="34">
        <f t="shared" si="1731"/>
        <v>17100</v>
      </c>
      <c r="I3517" s="34">
        <f t="shared" si="1731"/>
        <v>17100</v>
      </c>
      <c r="J3517" s="34">
        <f t="shared" si="1730"/>
        <v>26660</v>
      </c>
      <c r="K3517" s="133">
        <v>1000</v>
      </c>
      <c r="L3517" s="34"/>
      <c r="M3517" s="16">
        <f t="shared" si="1733"/>
        <v>8898.9555565133614</v>
      </c>
      <c r="N3517" s="36">
        <v>810</v>
      </c>
      <c r="O3517" s="36">
        <v>1</v>
      </c>
      <c r="P3517" s="56">
        <v>5940.9</v>
      </c>
      <c r="Q3517" s="2" t="s">
        <v>103</v>
      </c>
      <c r="R3517" s="2" t="s">
        <v>626</v>
      </c>
      <c r="S3517" s="36">
        <v>6840</v>
      </c>
      <c r="T3517" s="114"/>
    </row>
    <row r="3518" spans="1:20" x14ac:dyDescent="0.2">
      <c r="A3518" s="8" t="str">
        <f t="shared" si="1721"/>
        <v>9031319</v>
      </c>
      <c r="B3518" s="8">
        <v>903</v>
      </c>
      <c r="C3518" s="8">
        <v>13</v>
      </c>
      <c r="D3518" s="8" t="s">
        <v>62</v>
      </c>
      <c r="E3518" s="8">
        <v>9</v>
      </c>
      <c r="F3518" s="34">
        <f t="shared" si="1732"/>
        <v>108569</v>
      </c>
      <c r="G3518" s="34">
        <f t="shared" si="1732"/>
        <v>108569</v>
      </c>
      <c r="H3518" s="34">
        <f t="shared" si="1731"/>
        <v>17100</v>
      </c>
      <c r="I3518" s="34">
        <f t="shared" si="1731"/>
        <v>17100</v>
      </c>
      <c r="J3518" s="34">
        <f t="shared" si="1730"/>
        <v>395140</v>
      </c>
      <c r="K3518" s="133">
        <v>1000</v>
      </c>
      <c r="L3518" s="34"/>
      <c r="M3518" s="16">
        <f t="shared" si="1733"/>
        <v>68519.858712568865</v>
      </c>
      <c r="N3518" s="36">
        <v>735</v>
      </c>
      <c r="O3518" s="36">
        <v>18</v>
      </c>
      <c r="P3518" s="56">
        <v>5940.9</v>
      </c>
      <c r="Q3518" s="2" t="s">
        <v>103</v>
      </c>
      <c r="R3518" s="2" t="s">
        <v>626</v>
      </c>
      <c r="S3518" s="36">
        <v>6840</v>
      </c>
      <c r="T3518" s="114"/>
    </row>
    <row r="3519" spans="1:20" x14ac:dyDescent="0.2">
      <c r="A3519" s="8" t="str">
        <f t="shared" si="1721"/>
        <v>9031411</v>
      </c>
      <c r="B3519" s="8">
        <v>903</v>
      </c>
      <c r="C3519" s="8">
        <v>14</v>
      </c>
      <c r="D3519" s="8" t="s">
        <v>62</v>
      </c>
      <c r="E3519" s="8">
        <v>1</v>
      </c>
      <c r="F3519" s="34">
        <f t="shared" si="1732"/>
        <v>27954</v>
      </c>
      <c r="G3519" s="34">
        <f t="shared" si="1732"/>
        <v>27954</v>
      </c>
      <c r="H3519" s="34">
        <f t="shared" si="1731"/>
        <v>17087</v>
      </c>
      <c r="I3519" s="34">
        <f t="shared" si="1731"/>
        <v>17087</v>
      </c>
      <c r="J3519" s="34">
        <f t="shared" si="1730"/>
        <v>27458</v>
      </c>
      <c r="K3519" s="133">
        <v>1000</v>
      </c>
      <c r="L3519" s="34"/>
      <c r="M3519" s="16">
        <f t="shared" si="1733"/>
        <v>9161.7687882055616</v>
      </c>
      <c r="N3519" s="36">
        <v>810</v>
      </c>
      <c r="O3519" s="36">
        <v>1</v>
      </c>
      <c r="P3519" s="56">
        <v>6118.7</v>
      </c>
      <c r="Q3519" s="2" t="s">
        <v>103</v>
      </c>
      <c r="R3519" s="2" t="s">
        <v>627</v>
      </c>
      <c r="S3519" s="36">
        <v>6835</v>
      </c>
      <c r="T3519" s="114"/>
    </row>
    <row r="3520" spans="1:20" x14ac:dyDescent="0.2">
      <c r="A3520" s="8" t="str">
        <f t="shared" si="1721"/>
        <v>9031419</v>
      </c>
      <c r="B3520" s="8">
        <v>903</v>
      </c>
      <c r="C3520" s="8">
        <v>14</v>
      </c>
      <c r="D3520" s="8" t="s">
        <v>62</v>
      </c>
      <c r="E3520" s="8">
        <v>9</v>
      </c>
      <c r="F3520" s="34">
        <f t="shared" si="1732"/>
        <v>111819</v>
      </c>
      <c r="G3520" s="34">
        <f t="shared" si="1732"/>
        <v>111819</v>
      </c>
      <c r="H3520" s="34">
        <f t="shared" si="1731"/>
        <v>17087</v>
      </c>
      <c r="I3520" s="34">
        <f t="shared" si="1731"/>
        <v>17087</v>
      </c>
      <c r="J3520" s="34">
        <f t="shared" si="1730"/>
        <v>406966</v>
      </c>
      <c r="K3520" s="133">
        <v>1000</v>
      </c>
      <c r="L3520" s="34"/>
      <c r="M3520" s="16">
        <f t="shared" si="1733"/>
        <v>70543.948189066839</v>
      </c>
      <c r="N3520" s="36">
        <v>735</v>
      </c>
      <c r="O3520" s="36">
        <v>18</v>
      </c>
      <c r="P3520" s="56">
        <v>6118.7</v>
      </c>
      <c r="Q3520" s="2" t="s">
        <v>103</v>
      </c>
      <c r="R3520" s="2" t="s">
        <v>627</v>
      </c>
      <c r="S3520" s="36">
        <v>6835</v>
      </c>
      <c r="T3520" s="114"/>
    </row>
    <row r="3521" spans="1:20" x14ac:dyDescent="0.2">
      <c r="A3521" s="8" t="str">
        <f t="shared" si="1721"/>
        <v>9031511</v>
      </c>
      <c r="B3521" s="8">
        <v>903</v>
      </c>
      <c r="C3521" s="8">
        <v>15</v>
      </c>
      <c r="D3521" s="8" t="s">
        <v>62</v>
      </c>
      <c r="E3521" s="8">
        <v>1</v>
      </c>
      <c r="F3521" s="34">
        <f t="shared" si="1732"/>
        <v>28792</v>
      </c>
      <c r="G3521" s="34">
        <f t="shared" si="1732"/>
        <v>28792</v>
      </c>
      <c r="H3521" s="34">
        <f t="shared" si="1731"/>
        <v>18490</v>
      </c>
      <c r="I3521" s="34">
        <f t="shared" si="1731"/>
        <v>18490</v>
      </c>
      <c r="J3521" s="34">
        <f t="shared" si="1730"/>
        <v>28281</v>
      </c>
      <c r="K3521" s="133">
        <v>1000</v>
      </c>
      <c r="L3521" s="34"/>
      <c r="M3521" s="16">
        <f t="shared" si="1733"/>
        <v>9816.1625239943951</v>
      </c>
      <c r="N3521" s="36">
        <v>810</v>
      </c>
      <c r="O3521" s="36">
        <v>1</v>
      </c>
      <c r="P3521" s="56">
        <v>6302.0999999999995</v>
      </c>
      <c r="Q3521" s="2" t="s">
        <v>103</v>
      </c>
      <c r="R3521" s="2" t="s">
        <v>628</v>
      </c>
      <c r="S3521" s="36">
        <v>7396</v>
      </c>
      <c r="T3521" s="114"/>
    </row>
    <row r="3522" spans="1:20" x14ac:dyDescent="0.2">
      <c r="A3522" s="8" t="str">
        <f t="shared" si="1721"/>
        <v>9031519</v>
      </c>
      <c r="B3522" s="8">
        <v>903</v>
      </c>
      <c r="C3522" s="8">
        <v>15</v>
      </c>
      <c r="D3522" s="8" t="s">
        <v>62</v>
      </c>
      <c r="E3522" s="8">
        <v>9</v>
      </c>
      <c r="F3522" s="34">
        <f t="shared" si="1732"/>
        <v>115170</v>
      </c>
      <c r="G3522" s="34">
        <f t="shared" si="1732"/>
        <v>115170</v>
      </c>
      <c r="H3522" s="34">
        <f t="shared" si="1731"/>
        <v>18490</v>
      </c>
      <c r="I3522" s="34">
        <f t="shared" si="1731"/>
        <v>18490</v>
      </c>
      <c r="J3522" s="34">
        <f t="shared" si="1730"/>
        <v>419165</v>
      </c>
      <c r="K3522" s="133">
        <v>1000</v>
      </c>
      <c r="L3522" s="34"/>
      <c r="M3522" s="16">
        <f t="shared" si="1733"/>
        <v>75582.391985202485</v>
      </c>
      <c r="N3522" s="36">
        <v>735</v>
      </c>
      <c r="O3522" s="36">
        <v>18</v>
      </c>
      <c r="P3522" s="56">
        <v>6302.0999999999995</v>
      </c>
      <c r="Q3522" s="2" t="s">
        <v>103</v>
      </c>
      <c r="R3522" s="2" t="s">
        <v>628</v>
      </c>
      <c r="S3522" s="36">
        <v>7396</v>
      </c>
      <c r="T3522" s="114"/>
    </row>
    <row r="3523" spans="1:20" x14ac:dyDescent="0.2">
      <c r="A3523" s="8" t="str">
        <f t="shared" si="1721"/>
        <v>9031611</v>
      </c>
      <c r="B3523" s="8">
        <v>903</v>
      </c>
      <c r="C3523" s="8">
        <v>16</v>
      </c>
      <c r="D3523" s="8" t="s">
        <v>62</v>
      </c>
      <c r="E3523" s="8">
        <v>1</v>
      </c>
      <c r="F3523" s="34">
        <f t="shared" si="1732"/>
        <v>35499</v>
      </c>
      <c r="G3523" s="34">
        <f t="shared" si="1732"/>
        <v>35499</v>
      </c>
      <c r="H3523" s="34">
        <f t="shared" si="1731"/>
        <v>21550</v>
      </c>
      <c r="I3523" s="34">
        <f t="shared" si="1731"/>
        <v>21550</v>
      </c>
      <c r="J3523" s="34">
        <f t="shared" si="1730"/>
        <v>34869</v>
      </c>
      <c r="K3523" s="133">
        <v>1000</v>
      </c>
      <c r="L3523" s="34"/>
      <c r="M3523" s="16">
        <f t="shared" si="1733"/>
        <v>13065.963183306465</v>
      </c>
      <c r="N3523" s="36">
        <v>810</v>
      </c>
      <c r="O3523" s="36">
        <v>1</v>
      </c>
      <c r="P3523" s="244">
        <v>7769.9999999999991</v>
      </c>
      <c r="Q3523" s="2" t="s">
        <v>103</v>
      </c>
      <c r="R3523" s="2" t="s">
        <v>629</v>
      </c>
      <c r="S3523" s="36">
        <v>8620</v>
      </c>
      <c r="T3523" s="114"/>
    </row>
    <row r="3524" spans="1:20" x14ac:dyDescent="0.2">
      <c r="A3524" s="8" t="str">
        <f t="shared" si="1721"/>
        <v>9031619</v>
      </c>
      <c r="B3524" s="8">
        <v>903</v>
      </c>
      <c r="C3524" s="8">
        <v>16</v>
      </c>
      <c r="D3524" s="8" t="s">
        <v>62</v>
      </c>
      <c r="E3524" s="8">
        <v>9</v>
      </c>
      <c r="F3524" s="34">
        <f t="shared" si="1732"/>
        <v>141996</v>
      </c>
      <c r="G3524" s="34">
        <f t="shared" si="1732"/>
        <v>141996</v>
      </c>
      <c r="H3524" s="34">
        <f t="shared" si="1731"/>
        <v>21550</v>
      </c>
      <c r="I3524" s="34">
        <f t="shared" si="1731"/>
        <v>21550</v>
      </c>
      <c r="J3524" s="34">
        <f t="shared" si="1730"/>
        <v>516798</v>
      </c>
      <c r="K3524" s="133">
        <v>1000</v>
      </c>
      <c r="L3524" s="34"/>
      <c r="M3524" s="16">
        <f t="shared" si="1733"/>
        <v>100603.26871230059</v>
      </c>
      <c r="N3524" s="36">
        <v>735</v>
      </c>
      <c r="O3524" s="36">
        <v>18</v>
      </c>
      <c r="P3524" s="56">
        <v>7769.9999999999991</v>
      </c>
      <c r="Q3524" s="2" t="s">
        <v>103</v>
      </c>
      <c r="R3524" s="2" t="s">
        <v>629</v>
      </c>
      <c r="S3524" s="36">
        <v>8620</v>
      </c>
      <c r="T3524" s="114"/>
    </row>
    <row r="3525" spans="1:20" x14ac:dyDescent="0.2">
      <c r="A3525" s="8" t="str">
        <f t="shared" si="1721"/>
        <v>9031711</v>
      </c>
      <c r="B3525" s="8">
        <v>903</v>
      </c>
      <c r="C3525" s="8">
        <v>17</v>
      </c>
      <c r="D3525" s="8" t="s">
        <v>62</v>
      </c>
      <c r="E3525" s="8">
        <v>1</v>
      </c>
      <c r="F3525" s="34">
        <f t="shared" si="1732"/>
        <v>36919</v>
      </c>
      <c r="G3525" s="34">
        <f t="shared" si="1732"/>
        <v>36919</v>
      </c>
      <c r="H3525" s="34">
        <f t="shared" si="1731"/>
        <v>22020</v>
      </c>
      <c r="I3525" s="34">
        <f t="shared" si="1731"/>
        <v>22020</v>
      </c>
      <c r="J3525" s="34">
        <f t="shared" si="1730"/>
        <v>36264</v>
      </c>
      <c r="K3525" s="133">
        <v>1000</v>
      </c>
      <c r="L3525" s="34"/>
      <c r="M3525" s="16">
        <f t="shared" si="1733"/>
        <v>13736.037312545712</v>
      </c>
      <c r="N3525" s="36">
        <v>810</v>
      </c>
      <c r="O3525" s="36">
        <v>1</v>
      </c>
      <c r="P3525" s="244">
        <v>8080.7999999999993</v>
      </c>
      <c r="Q3525" s="2" t="s">
        <v>103</v>
      </c>
      <c r="R3525" s="2" t="s">
        <v>630</v>
      </c>
      <c r="S3525" s="36">
        <v>8808</v>
      </c>
      <c r="T3525" s="114"/>
    </row>
    <row r="3526" spans="1:20" x14ac:dyDescent="0.2">
      <c r="A3526" s="8" t="str">
        <f t="shared" si="1721"/>
        <v>9031719</v>
      </c>
      <c r="B3526" s="8">
        <v>903</v>
      </c>
      <c r="C3526" s="8">
        <v>17</v>
      </c>
      <c r="D3526" s="8" t="s">
        <v>62</v>
      </c>
      <c r="E3526" s="8">
        <v>9</v>
      </c>
      <c r="F3526" s="34">
        <f t="shared" si="1732"/>
        <v>147676</v>
      </c>
      <c r="G3526" s="34">
        <f t="shared" si="1732"/>
        <v>147676</v>
      </c>
      <c r="H3526" s="34">
        <f t="shared" si="1731"/>
        <v>22020</v>
      </c>
      <c r="I3526" s="34">
        <f t="shared" si="1731"/>
        <v>22020</v>
      </c>
      <c r="J3526" s="34">
        <f t="shared" si="1730"/>
        <v>537469</v>
      </c>
      <c r="K3526" s="133">
        <v>1000</v>
      </c>
      <c r="L3526" s="34"/>
      <c r="M3526" s="16">
        <f t="shared" si="1733"/>
        <v>105762.16065595877</v>
      </c>
      <c r="N3526" s="36">
        <v>735</v>
      </c>
      <c r="O3526" s="36">
        <v>18</v>
      </c>
      <c r="P3526" s="56">
        <v>8080.7999999999993</v>
      </c>
      <c r="Q3526" s="2" t="s">
        <v>103</v>
      </c>
      <c r="R3526" s="2" t="s">
        <v>630</v>
      </c>
      <c r="S3526" s="36">
        <v>8808</v>
      </c>
      <c r="T3526" s="114"/>
    </row>
    <row r="3527" spans="1:20" x14ac:dyDescent="0.2">
      <c r="A3527" s="8" t="str">
        <f t="shared" si="1721"/>
        <v>9031811</v>
      </c>
      <c r="B3527" s="8">
        <v>903</v>
      </c>
      <c r="C3527" s="8">
        <v>18</v>
      </c>
      <c r="D3527" s="8" t="s">
        <v>62</v>
      </c>
      <c r="E3527" s="8">
        <v>1</v>
      </c>
      <c r="F3527" s="34">
        <f t="shared" si="1732"/>
        <v>38393</v>
      </c>
      <c r="G3527" s="34">
        <f t="shared" si="1732"/>
        <v>38393</v>
      </c>
      <c r="H3527" s="34">
        <f t="shared" si="1731"/>
        <v>23087</v>
      </c>
      <c r="I3527" s="34">
        <f t="shared" si="1731"/>
        <v>23087</v>
      </c>
      <c r="J3527" s="34">
        <f t="shared" si="1730"/>
        <v>37712</v>
      </c>
      <c r="K3527" s="133">
        <v>1000</v>
      </c>
      <c r="L3527" s="34"/>
      <c r="M3527" s="16">
        <f t="shared" si="1733"/>
        <v>14626.470699603129</v>
      </c>
      <c r="N3527" s="36">
        <v>810</v>
      </c>
      <c r="O3527" s="36">
        <v>1</v>
      </c>
      <c r="P3527" s="244">
        <v>8403.5</v>
      </c>
      <c r="Q3527" s="2" t="s">
        <v>103</v>
      </c>
      <c r="R3527" s="2" t="s">
        <v>631</v>
      </c>
      <c r="S3527" s="36">
        <v>9235</v>
      </c>
      <c r="T3527" s="114"/>
    </row>
    <row r="3528" spans="1:20" x14ac:dyDescent="0.2">
      <c r="A3528" s="8" t="str">
        <f t="shared" si="1721"/>
        <v>9031819</v>
      </c>
      <c r="B3528" s="8">
        <v>903</v>
      </c>
      <c r="C3528" s="8">
        <v>18</v>
      </c>
      <c r="D3528" s="8" t="s">
        <v>62</v>
      </c>
      <c r="E3528" s="8">
        <v>9</v>
      </c>
      <c r="F3528" s="34">
        <f t="shared" si="1732"/>
        <v>153573</v>
      </c>
      <c r="G3528" s="34">
        <f t="shared" si="1732"/>
        <v>153573</v>
      </c>
      <c r="H3528" s="34">
        <f t="shared" si="1731"/>
        <v>23087</v>
      </c>
      <c r="I3528" s="34">
        <f t="shared" si="1731"/>
        <v>23087</v>
      </c>
      <c r="J3528" s="34">
        <f t="shared" si="1730"/>
        <v>558933</v>
      </c>
      <c r="K3528" s="133">
        <v>1000</v>
      </c>
      <c r="L3528" s="34"/>
      <c r="M3528" s="16">
        <f t="shared" si="1733"/>
        <v>112618.8396470568</v>
      </c>
      <c r="N3528" s="36">
        <v>735</v>
      </c>
      <c r="O3528" s="36">
        <v>18</v>
      </c>
      <c r="P3528" s="56">
        <v>8403.5</v>
      </c>
      <c r="Q3528" s="2" t="s">
        <v>103</v>
      </c>
      <c r="R3528" s="2" t="s">
        <v>631</v>
      </c>
      <c r="S3528" s="36">
        <v>9235</v>
      </c>
      <c r="T3528" s="114"/>
    </row>
    <row r="3529" spans="1:20" x14ac:dyDescent="0.2">
      <c r="A3529" s="8" t="str">
        <f t="shared" si="1721"/>
        <v>9031911</v>
      </c>
      <c r="B3529" s="8">
        <v>903</v>
      </c>
      <c r="C3529" s="8">
        <v>19</v>
      </c>
      <c r="D3529" s="8" t="s">
        <v>62</v>
      </c>
      <c r="E3529" s="8">
        <v>1</v>
      </c>
      <c r="F3529" s="34">
        <f t="shared" si="1732"/>
        <v>39928</v>
      </c>
      <c r="G3529" s="34">
        <f t="shared" si="1732"/>
        <v>39928</v>
      </c>
      <c r="H3529" s="34">
        <f t="shared" si="1731"/>
        <v>23447</v>
      </c>
      <c r="I3529" s="34">
        <f t="shared" si="1731"/>
        <v>23447</v>
      </c>
      <c r="J3529" s="34">
        <f t="shared" si="1730"/>
        <v>39220</v>
      </c>
      <c r="K3529" s="133">
        <v>1000</v>
      </c>
      <c r="L3529" s="34"/>
      <c r="M3529" s="16">
        <f t="shared" si="1733"/>
        <v>15329.436889544508</v>
      </c>
      <c r="N3529" s="36">
        <v>810</v>
      </c>
      <c r="O3529" s="36">
        <v>1</v>
      </c>
      <c r="P3529" s="244">
        <v>8739.5</v>
      </c>
      <c r="Q3529" s="2" t="s">
        <v>103</v>
      </c>
      <c r="R3529" s="2" t="s">
        <v>632</v>
      </c>
      <c r="S3529" s="36">
        <v>9379</v>
      </c>
      <c r="T3529" s="114"/>
    </row>
    <row r="3530" spans="1:20" x14ac:dyDescent="0.2">
      <c r="A3530" s="8" t="str">
        <f t="shared" si="1721"/>
        <v>9031919</v>
      </c>
      <c r="B3530" s="8">
        <v>903</v>
      </c>
      <c r="C3530" s="8">
        <v>19</v>
      </c>
      <c r="D3530" s="8" t="s">
        <v>62</v>
      </c>
      <c r="E3530" s="8">
        <v>9</v>
      </c>
      <c r="F3530" s="34">
        <f t="shared" si="1732"/>
        <v>159714</v>
      </c>
      <c r="G3530" s="34">
        <f t="shared" si="1732"/>
        <v>159714</v>
      </c>
      <c r="H3530" s="34">
        <f t="shared" si="1731"/>
        <v>23447</v>
      </c>
      <c r="I3530" s="34">
        <f t="shared" si="1731"/>
        <v>23447</v>
      </c>
      <c r="J3530" s="34">
        <f t="shared" si="1730"/>
        <v>581281</v>
      </c>
      <c r="K3530" s="133">
        <v>1000</v>
      </c>
      <c r="L3530" s="34"/>
      <c r="M3530" s="16">
        <f t="shared" si="1733"/>
        <v>118031.57051775999</v>
      </c>
      <c r="N3530" s="36">
        <v>735</v>
      </c>
      <c r="O3530" s="36">
        <v>18</v>
      </c>
      <c r="P3530" s="56">
        <v>8739.5</v>
      </c>
      <c r="Q3530" s="2" t="s">
        <v>103</v>
      </c>
      <c r="R3530" s="2" t="s">
        <v>632</v>
      </c>
      <c r="S3530" s="36">
        <v>9379</v>
      </c>
      <c r="T3530" s="114"/>
    </row>
    <row r="3531" spans="1:20" x14ac:dyDescent="0.2">
      <c r="A3531" s="8" t="str">
        <f t="shared" si="1721"/>
        <v>9032011</v>
      </c>
      <c r="B3531" s="8">
        <v>903</v>
      </c>
      <c r="C3531" s="8">
        <v>20</v>
      </c>
      <c r="D3531" s="8" t="s">
        <v>62</v>
      </c>
      <c r="E3531" s="8">
        <v>1</v>
      </c>
      <c r="F3531" s="34">
        <f t="shared" si="1732"/>
        <v>41524</v>
      </c>
      <c r="G3531" s="34">
        <f t="shared" si="1732"/>
        <v>41524</v>
      </c>
      <c r="H3531" s="34">
        <f t="shared" si="1731"/>
        <v>24407</v>
      </c>
      <c r="I3531" s="34">
        <f t="shared" si="1731"/>
        <v>24407</v>
      </c>
      <c r="J3531" s="34">
        <f t="shared" si="1730"/>
        <v>40787</v>
      </c>
      <c r="K3531" s="133">
        <v>1000</v>
      </c>
      <c r="L3531" s="34"/>
      <c r="M3531" s="16">
        <f t="shared" si="1733"/>
        <v>16265.134548311071</v>
      </c>
      <c r="N3531" s="36">
        <v>810</v>
      </c>
      <c r="O3531" s="36">
        <v>1</v>
      </c>
      <c r="P3531" s="244">
        <v>9088.7999999999993</v>
      </c>
      <c r="Q3531" s="2" t="s">
        <v>103</v>
      </c>
      <c r="R3531" s="2" t="s">
        <v>633</v>
      </c>
      <c r="S3531" s="36">
        <v>9763</v>
      </c>
      <c r="T3531" s="114"/>
    </row>
    <row r="3532" spans="1:20" x14ac:dyDescent="0.2">
      <c r="A3532" s="8" t="str">
        <f t="shared" si="1721"/>
        <v>9032019</v>
      </c>
      <c r="B3532" s="8">
        <v>903</v>
      </c>
      <c r="C3532" s="8">
        <v>20</v>
      </c>
      <c r="D3532" s="8" t="s">
        <v>62</v>
      </c>
      <c r="E3532" s="8">
        <v>9</v>
      </c>
      <c r="F3532" s="34">
        <f t="shared" si="1732"/>
        <v>166097</v>
      </c>
      <c r="G3532" s="34">
        <f t="shared" si="1732"/>
        <v>166097</v>
      </c>
      <c r="H3532" s="34">
        <f t="shared" si="1731"/>
        <v>24407</v>
      </c>
      <c r="I3532" s="34">
        <f t="shared" si="1731"/>
        <v>24407</v>
      </c>
      <c r="J3532" s="34">
        <f t="shared" si="1730"/>
        <v>604513</v>
      </c>
      <c r="K3532" s="133">
        <v>1000</v>
      </c>
      <c r="L3532" s="34"/>
      <c r="M3532" s="16">
        <f t="shared" si="1733"/>
        <v>125236.49490179711</v>
      </c>
      <c r="N3532" s="36">
        <v>735</v>
      </c>
      <c r="O3532" s="36">
        <v>18</v>
      </c>
      <c r="P3532" s="56">
        <v>9088.7999999999993</v>
      </c>
      <c r="Q3532" s="2" t="s">
        <v>103</v>
      </c>
      <c r="R3532" s="2" t="s">
        <v>633</v>
      </c>
      <c r="S3532" s="36">
        <v>9763</v>
      </c>
      <c r="T3532" s="114"/>
    </row>
    <row r="3533" spans="1:20" x14ac:dyDescent="0.2">
      <c r="A3533" s="8" t="str">
        <f t="shared" si="1721"/>
        <v>9032111</v>
      </c>
      <c r="B3533" s="8">
        <v>903</v>
      </c>
      <c r="C3533" s="8">
        <v>21</v>
      </c>
      <c r="D3533" s="8" t="s">
        <v>62</v>
      </c>
      <c r="E3533" s="8">
        <v>1</v>
      </c>
      <c r="F3533" s="34">
        <f t="shared" ref="F3533:G3552" si="1734">ROUNDDOWN($P3533/4*MIN($O3533,4)*10*$N3533/$N3533*$Q3533/400,0)</f>
        <v>46372</v>
      </c>
      <c r="G3533" s="34">
        <f t="shared" si="1734"/>
        <v>46372</v>
      </c>
      <c r="H3533" s="34">
        <f t="shared" si="1731"/>
        <v>25775</v>
      </c>
      <c r="I3533" s="34">
        <f t="shared" si="1731"/>
        <v>25775</v>
      </c>
      <c r="J3533" s="34">
        <f t="shared" si="1730"/>
        <v>45550</v>
      </c>
      <c r="K3533" s="133">
        <v>1000</v>
      </c>
      <c r="L3533" s="34"/>
      <c r="M3533" s="16">
        <f t="shared" si="1733"/>
        <v>18666.436971634412</v>
      </c>
      <c r="N3533" s="36">
        <v>810</v>
      </c>
      <c r="O3533" s="36">
        <v>1</v>
      </c>
      <c r="P3533" s="244">
        <v>10150</v>
      </c>
      <c r="Q3533" s="2" t="s">
        <v>103</v>
      </c>
      <c r="R3533" s="2" t="s">
        <v>168</v>
      </c>
      <c r="S3533" s="36">
        <v>10310</v>
      </c>
      <c r="T3533" s="114"/>
    </row>
    <row r="3534" spans="1:20" x14ac:dyDescent="0.2">
      <c r="A3534" s="8" t="str">
        <f t="shared" si="1721"/>
        <v>9032119</v>
      </c>
      <c r="B3534" s="8">
        <v>903</v>
      </c>
      <c r="C3534" s="8">
        <v>21</v>
      </c>
      <c r="D3534" s="8" t="s">
        <v>62</v>
      </c>
      <c r="E3534" s="8">
        <v>9</v>
      </c>
      <c r="F3534" s="34">
        <f t="shared" si="1734"/>
        <v>185491</v>
      </c>
      <c r="G3534" s="34">
        <f t="shared" si="1734"/>
        <v>185491</v>
      </c>
      <c r="H3534" s="34">
        <f t="shared" si="1731"/>
        <v>25775</v>
      </c>
      <c r="I3534" s="34">
        <f t="shared" si="1731"/>
        <v>25775</v>
      </c>
      <c r="J3534" s="34">
        <f t="shared" si="1730"/>
        <v>675096</v>
      </c>
      <c r="K3534" s="133">
        <v>1000</v>
      </c>
      <c r="L3534" s="34"/>
      <c r="M3534" s="16">
        <f t="shared" si="1733"/>
        <v>143725.3955748759</v>
      </c>
      <c r="N3534" s="36">
        <v>735</v>
      </c>
      <c r="O3534" s="36">
        <v>18</v>
      </c>
      <c r="P3534" s="56">
        <v>10150</v>
      </c>
      <c r="Q3534" s="2" t="s">
        <v>103</v>
      </c>
      <c r="R3534" s="2" t="s">
        <v>168</v>
      </c>
      <c r="S3534" s="36">
        <v>10310</v>
      </c>
      <c r="T3534" s="114"/>
    </row>
    <row r="3535" spans="1:20" x14ac:dyDescent="0.2">
      <c r="A3535" s="8" t="str">
        <f t="shared" si="1721"/>
        <v>9032211</v>
      </c>
      <c r="B3535" s="8">
        <v>903</v>
      </c>
      <c r="C3535" s="8">
        <v>22</v>
      </c>
      <c r="D3535" s="8" t="s">
        <v>62</v>
      </c>
      <c r="E3535" s="8">
        <v>1</v>
      </c>
      <c r="F3535" s="34">
        <f t="shared" si="1734"/>
        <v>48227</v>
      </c>
      <c r="G3535" s="34">
        <f t="shared" si="1734"/>
        <v>48227</v>
      </c>
      <c r="H3535" s="34">
        <f t="shared" si="1731"/>
        <v>26495</v>
      </c>
      <c r="I3535" s="34">
        <f t="shared" si="1731"/>
        <v>26495</v>
      </c>
      <c r="J3535" s="34">
        <f t="shared" si="1730"/>
        <v>47372</v>
      </c>
      <c r="K3535" s="133">
        <v>1000</v>
      </c>
      <c r="L3535" s="34"/>
      <c r="M3535" s="16">
        <f t="shared" si="1733"/>
        <v>19682.3945240459</v>
      </c>
      <c r="N3535" s="36">
        <v>810</v>
      </c>
      <c r="O3535" s="36">
        <v>1</v>
      </c>
      <c r="P3535" s="244">
        <v>10556</v>
      </c>
      <c r="Q3535" s="2" t="s">
        <v>103</v>
      </c>
      <c r="R3535" s="2" t="s">
        <v>634</v>
      </c>
      <c r="S3535" s="36">
        <v>10598</v>
      </c>
      <c r="T3535" s="114"/>
    </row>
    <row r="3536" spans="1:20" x14ac:dyDescent="0.2">
      <c r="A3536" s="8" t="str">
        <f t="shared" si="1721"/>
        <v>9032219</v>
      </c>
      <c r="B3536" s="8">
        <v>903</v>
      </c>
      <c r="C3536" s="8">
        <v>22</v>
      </c>
      <c r="D3536" s="8" t="s">
        <v>62</v>
      </c>
      <c r="E3536" s="8">
        <v>9</v>
      </c>
      <c r="F3536" s="34">
        <f t="shared" si="1734"/>
        <v>192910</v>
      </c>
      <c r="G3536" s="34">
        <f t="shared" si="1734"/>
        <v>192910</v>
      </c>
      <c r="H3536" s="34">
        <f t="shared" si="1731"/>
        <v>26495</v>
      </c>
      <c r="I3536" s="34">
        <f t="shared" si="1731"/>
        <v>26495</v>
      </c>
      <c r="J3536" s="34">
        <f t="shared" si="1730"/>
        <v>702100</v>
      </c>
      <c r="K3536" s="133">
        <v>1000</v>
      </c>
      <c r="L3536" s="34"/>
      <c r="M3536" s="16">
        <f t="shared" si="1733"/>
        <v>151547.51029973407</v>
      </c>
      <c r="N3536" s="36">
        <v>735</v>
      </c>
      <c r="O3536" s="36">
        <v>18</v>
      </c>
      <c r="P3536" s="56">
        <v>10556</v>
      </c>
      <c r="Q3536" s="2" t="s">
        <v>103</v>
      </c>
      <c r="R3536" s="2" t="s">
        <v>634</v>
      </c>
      <c r="S3536" s="36">
        <v>10598</v>
      </c>
      <c r="T3536" s="114"/>
    </row>
    <row r="3537" spans="1:20" x14ac:dyDescent="0.2">
      <c r="A3537" s="8" t="str">
        <f t="shared" si="1721"/>
        <v>9032311</v>
      </c>
      <c r="B3537" s="8">
        <v>903</v>
      </c>
      <c r="C3537" s="8">
        <v>23</v>
      </c>
      <c r="D3537" s="8" t="s">
        <v>62</v>
      </c>
      <c r="E3537" s="8">
        <v>1</v>
      </c>
      <c r="F3537" s="34">
        <f t="shared" si="1734"/>
        <v>50156</v>
      </c>
      <c r="G3537" s="34">
        <f t="shared" si="1734"/>
        <v>50156</v>
      </c>
      <c r="H3537" s="34">
        <f t="shared" si="1731"/>
        <v>28080</v>
      </c>
      <c r="I3537" s="34">
        <f t="shared" si="1731"/>
        <v>28080</v>
      </c>
      <c r="J3537" s="34">
        <f t="shared" si="1730"/>
        <v>49266</v>
      </c>
      <c r="K3537" s="133">
        <v>1000</v>
      </c>
      <c r="L3537" s="34"/>
      <c r="M3537" s="16">
        <f t="shared" si="1733"/>
        <v>21072.867518616255</v>
      </c>
      <c r="N3537" s="36">
        <v>810</v>
      </c>
      <c r="O3537" s="36">
        <v>1</v>
      </c>
      <c r="P3537" s="244">
        <v>10978.099999999999</v>
      </c>
      <c r="Q3537" s="2" t="s">
        <v>103</v>
      </c>
      <c r="R3537" s="2" t="s">
        <v>635</v>
      </c>
      <c r="S3537" s="36">
        <v>11232</v>
      </c>
      <c r="T3537" s="114"/>
    </row>
    <row r="3538" spans="1:20" x14ac:dyDescent="0.2">
      <c r="A3538" s="8" t="str">
        <f t="shared" si="1721"/>
        <v>9032319</v>
      </c>
      <c r="B3538" s="8">
        <v>903</v>
      </c>
      <c r="C3538" s="8">
        <v>23</v>
      </c>
      <c r="D3538" s="8" t="s">
        <v>62</v>
      </c>
      <c r="E3538" s="8">
        <v>9</v>
      </c>
      <c r="F3538" s="34">
        <f t="shared" si="1734"/>
        <v>200624</v>
      </c>
      <c r="G3538" s="34">
        <f t="shared" si="1734"/>
        <v>200624</v>
      </c>
      <c r="H3538" s="34">
        <f t="shared" si="1731"/>
        <v>28080</v>
      </c>
      <c r="I3538" s="34">
        <f t="shared" si="1731"/>
        <v>28080</v>
      </c>
      <c r="J3538" s="34">
        <f t="shared" si="1730"/>
        <v>730175</v>
      </c>
      <c r="K3538" s="133">
        <v>1000</v>
      </c>
      <c r="L3538" s="34"/>
      <c r="M3538" s="16">
        <f t="shared" si="1733"/>
        <v>162253.27101414753</v>
      </c>
      <c r="N3538" s="36">
        <v>735</v>
      </c>
      <c r="O3538" s="36">
        <v>18</v>
      </c>
      <c r="P3538" s="56">
        <v>10978.099999999999</v>
      </c>
      <c r="Q3538" s="2" t="s">
        <v>103</v>
      </c>
      <c r="R3538" s="2" t="s">
        <v>635</v>
      </c>
      <c r="S3538" s="36">
        <v>11232</v>
      </c>
      <c r="T3538" s="114"/>
    </row>
    <row r="3539" spans="1:20" x14ac:dyDescent="0.2">
      <c r="A3539" s="8" t="str">
        <f t="shared" si="1721"/>
        <v>9032411</v>
      </c>
      <c r="B3539" s="8">
        <v>903</v>
      </c>
      <c r="C3539" s="8">
        <v>24</v>
      </c>
      <c r="D3539" s="8" t="s">
        <v>62</v>
      </c>
      <c r="E3539" s="8">
        <v>1</v>
      </c>
      <c r="F3539" s="34">
        <f t="shared" si="1734"/>
        <v>52161</v>
      </c>
      <c r="G3539" s="34">
        <f t="shared" si="1734"/>
        <v>52161</v>
      </c>
      <c r="H3539" s="34">
        <f t="shared" si="1731"/>
        <v>28642</v>
      </c>
      <c r="I3539" s="34">
        <f t="shared" si="1731"/>
        <v>28642</v>
      </c>
      <c r="J3539" s="34">
        <f t="shared" si="1730"/>
        <v>51235</v>
      </c>
      <c r="K3539" s="133">
        <v>1000</v>
      </c>
      <c r="L3539" s="34"/>
      <c r="M3539" s="16">
        <f t="shared" si="1733"/>
        <v>22133.392310742795</v>
      </c>
      <c r="N3539" s="36">
        <v>810</v>
      </c>
      <c r="O3539" s="36">
        <v>1</v>
      </c>
      <c r="P3539" s="244">
        <v>11417</v>
      </c>
      <c r="Q3539" s="2" t="s">
        <v>103</v>
      </c>
      <c r="R3539" s="2" t="s">
        <v>636</v>
      </c>
      <c r="S3539" s="36">
        <v>11457</v>
      </c>
      <c r="T3539" s="114"/>
    </row>
    <row r="3540" spans="1:20" x14ac:dyDescent="0.2">
      <c r="A3540" s="8" t="str">
        <f t="shared" si="1721"/>
        <v>9032419</v>
      </c>
      <c r="B3540" s="8">
        <v>903</v>
      </c>
      <c r="C3540" s="8">
        <v>24</v>
      </c>
      <c r="D3540" s="8" t="s">
        <v>62</v>
      </c>
      <c r="E3540" s="8">
        <v>9</v>
      </c>
      <c r="F3540" s="34">
        <f t="shared" si="1734"/>
        <v>208645</v>
      </c>
      <c r="G3540" s="34">
        <f t="shared" si="1734"/>
        <v>208645</v>
      </c>
      <c r="H3540" s="34">
        <f t="shared" si="1731"/>
        <v>28642</v>
      </c>
      <c r="I3540" s="34">
        <f t="shared" si="1731"/>
        <v>28642</v>
      </c>
      <c r="J3540" s="34">
        <f t="shared" si="1730"/>
        <v>759367</v>
      </c>
      <c r="K3540" s="133">
        <v>1000</v>
      </c>
      <c r="L3540" s="34"/>
      <c r="M3540" s="16">
        <f t="shared" si="1733"/>
        <v>170420.3716275827</v>
      </c>
      <c r="N3540" s="36">
        <v>735</v>
      </c>
      <c r="O3540" s="36">
        <v>18</v>
      </c>
      <c r="P3540" s="56">
        <v>11417</v>
      </c>
      <c r="Q3540" s="2" t="s">
        <v>103</v>
      </c>
      <c r="R3540" s="2" t="s">
        <v>636</v>
      </c>
      <c r="S3540" s="36">
        <v>11457</v>
      </c>
      <c r="T3540" s="114"/>
    </row>
    <row r="3541" spans="1:20" x14ac:dyDescent="0.2">
      <c r="A3541" s="8" t="str">
        <f t="shared" si="1721"/>
        <v>9032511</v>
      </c>
      <c r="B3541" s="8">
        <v>903</v>
      </c>
      <c r="C3541" s="8">
        <v>25</v>
      </c>
      <c r="D3541" s="8" t="s">
        <v>62</v>
      </c>
      <c r="E3541" s="8">
        <v>1</v>
      </c>
      <c r="F3541" s="34">
        <f t="shared" si="1734"/>
        <v>54246</v>
      </c>
      <c r="G3541" s="34">
        <f t="shared" si="1734"/>
        <v>54246</v>
      </c>
      <c r="H3541" s="34">
        <f t="shared" si="1731"/>
        <v>30095</v>
      </c>
      <c r="I3541" s="34">
        <f t="shared" si="1731"/>
        <v>30095</v>
      </c>
      <c r="J3541" s="34">
        <f t="shared" si="1730"/>
        <v>53284</v>
      </c>
      <c r="K3541" s="133">
        <v>1000</v>
      </c>
      <c r="L3541" s="34"/>
      <c r="M3541" s="16">
        <f t="shared" si="1733"/>
        <v>23594.970052053726</v>
      </c>
      <c r="N3541" s="36">
        <v>810</v>
      </c>
      <c r="O3541" s="36">
        <v>1</v>
      </c>
      <c r="P3541" s="244">
        <v>11873.4</v>
      </c>
      <c r="Q3541" s="2" t="s">
        <v>103</v>
      </c>
      <c r="R3541" s="2" t="s">
        <v>637</v>
      </c>
      <c r="S3541" s="36">
        <v>12038</v>
      </c>
      <c r="T3541" s="114"/>
    </row>
    <row r="3542" spans="1:20" x14ac:dyDescent="0.2">
      <c r="A3542" s="8" t="str">
        <f t="shared" si="1721"/>
        <v>9032519</v>
      </c>
      <c r="B3542" s="8">
        <v>903</v>
      </c>
      <c r="C3542" s="8">
        <v>25</v>
      </c>
      <c r="D3542" s="8" t="s">
        <v>62</v>
      </c>
      <c r="E3542" s="8">
        <v>9</v>
      </c>
      <c r="F3542" s="34">
        <f t="shared" si="1734"/>
        <v>216986</v>
      </c>
      <c r="G3542" s="34">
        <f t="shared" si="1734"/>
        <v>216986</v>
      </c>
      <c r="H3542" s="34">
        <f t="shared" si="1731"/>
        <v>30095</v>
      </c>
      <c r="I3542" s="34">
        <f t="shared" si="1731"/>
        <v>30095</v>
      </c>
      <c r="J3542" s="34">
        <f t="shared" si="1730"/>
        <v>789723</v>
      </c>
      <c r="K3542" s="133">
        <v>1000</v>
      </c>
      <c r="L3542" s="34"/>
      <c r="M3542" s="16">
        <f t="shared" si="1733"/>
        <v>181673.0097405276</v>
      </c>
      <c r="N3542" s="36">
        <v>735</v>
      </c>
      <c r="O3542" s="36">
        <v>18</v>
      </c>
      <c r="P3542" s="56">
        <v>11873.4</v>
      </c>
      <c r="Q3542" s="2" t="s">
        <v>103</v>
      </c>
      <c r="R3542" s="2" t="s">
        <v>637</v>
      </c>
      <c r="S3542" s="36">
        <v>12038</v>
      </c>
      <c r="T3542" s="114"/>
    </row>
    <row r="3543" spans="1:20" x14ac:dyDescent="0.2">
      <c r="A3543" s="8" t="str">
        <f t="shared" si="1721"/>
        <v>9032611</v>
      </c>
      <c r="B3543" s="8">
        <v>903</v>
      </c>
      <c r="C3543" s="8">
        <v>26</v>
      </c>
      <c r="D3543" s="8" t="s">
        <v>62</v>
      </c>
      <c r="E3543" s="8">
        <v>1</v>
      </c>
      <c r="F3543" s="34">
        <f t="shared" si="1734"/>
        <v>78925</v>
      </c>
      <c r="G3543" s="34">
        <f t="shared" si="1734"/>
        <v>78925</v>
      </c>
      <c r="H3543" s="34">
        <f t="shared" si="1731"/>
        <v>28875</v>
      </c>
      <c r="I3543" s="34">
        <f t="shared" si="1731"/>
        <v>28875</v>
      </c>
      <c r="J3543" s="34">
        <f t="shared" si="1730"/>
        <v>61609</v>
      </c>
      <c r="K3543" s="133">
        <v>1000</v>
      </c>
      <c r="L3543" s="34"/>
      <c r="M3543" s="16">
        <f t="shared" si="1733"/>
        <v>29976.460966231491</v>
      </c>
      <c r="N3543" s="36">
        <v>810</v>
      </c>
      <c r="O3543" s="36">
        <v>1</v>
      </c>
      <c r="P3543" s="56">
        <v>15399.999999999998</v>
      </c>
      <c r="Q3543" s="2" t="s">
        <v>183</v>
      </c>
      <c r="R3543" s="2" t="s">
        <v>638</v>
      </c>
      <c r="S3543" s="56">
        <f>P3543*0.75</f>
        <v>11549.999999999998</v>
      </c>
      <c r="T3543" s="114"/>
    </row>
    <row r="3544" spans="1:20" x14ac:dyDescent="0.2">
      <c r="A3544" s="8" t="str">
        <f t="shared" si="1721"/>
        <v>9032619</v>
      </c>
      <c r="B3544" s="8">
        <v>903</v>
      </c>
      <c r="C3544" s="8">
        <v>26</v>
      </c>
      <c r="D3544" s="8" t="s">
        <v>62</v>
      </c>
      <c r="E3544" s="8">
        <v>9</v>
      </c>
      <c r="F3544" s="34">
        <f t="shared" si="1734"/>
        <v>315700</v>
      </c>
      <c r="G3544" s="34">
        <f t="shared" si="1734"/>
        <v>315700</v>
      </c>
      <c r="H3544" s="34">
        <f t="shared" si="1731"/>
        <v>28875</v>
      </c>
      <c r="I3544" s="34">
        <f t="shared" si="1731"/>
        <v>28875</v>
      </c>
      <c r="J3544" s="34">
        <f t="shared" si="1730"/>
        <v>913112</v>
      </c>
      <c r="K3544" s="133">
        <v>1000</v>
      </c>
      <c r="L3544" s="34"/>
      <c r="M3544" s="16">
        <f t="shared" si="1733"/>
        <v>230807.70332101139</v>
      </c>
      <c r="N3544" s="36">
        <v>735</v>
      </c>
      <c r="O3544" s="36">
        <v>18</v>
      </c>
      <c r="P3544" s="56">
        <v>15399.999999999998</v>
      </c>
      <c r="Q3544" s="2" t="s">
        <v>183</v>
      </c>
      <c r="R3544" s="2" t="s">
        <v>638</v>
      </c>
      <c r="S3544" s="56">
        <f t="shared" ref="S3544:S3582" si="1735">P3544*0.75</f>
        <v>11549.999999999998</v>
      </c>
      <c r="T3544" s="114"/>
    </row>
    <row r="3545" spans="1:20" x14ac:dyDescent="0.2">
      <c r="A3545" s="8" t="str">
        <f t="shared" si="1721"/>
        <v>9032711</v>
      </c>
      <c r="B3545" s="8">
        <v>903</v>
      </c>
      <c r="C3545" s="8">
        <v>27</v>
      </c>
      <c r="D3545" s="8" t="s">
        <v>62</v>
      </c>
      <c r="E3545" s="8">
        <v>1</v>
      </c>
      <c r="F3545" s="34">
        <f t="shared" si="1734"/>
        <v>82082</v>
      </c>
      <c r="G3545" s="34">
        <f t="shared" si="1734"/>
        <v>82082</v>
      </c>
      <c r="H3545" s="34">
        <f t="shared" si="1731"/>
        <v>30030</v>
      </c>
      <c r="I3545" s="34">
        <f t="shared" si="1731"/>
        <v>30030</v>
      </c>
      <c r="J3545" s="34">
        <f t="shared" si="1730"/>
        <v>64073</v>
      </c>
      <c r="K3545" s="133">
        <v>1000</v>
      </c>
      <c r="L3545" s="34"/>
      <c r="M3545" s="16">
        <f t="shared" si="1733"/>
        <v>31792.827043050325</v>
      </c>
      <c r="N3545" s="36">
        <v>810</v>
      </c>
      <c r="O3545" s="36">
        <v>1</v>
      </c>
      <c r="P3545" s="56">
        <v>16015.999999999998</v>
      </c>
      <c r="Q3545" s="2" t="s">
        <v>183</v>
      </c>
      <c r="R3545" s="2" t="s">
        <v>639</v>
      </c>
      <c r="S3545" s="56">
        <f t="shared" si="1735"/>
        <v>12011.999999999998</v>
      </c>
      <c r="T3545" s="114"/>
    </row>
    <row r="3546" spans="1:20" x14ac:dyDescent="0.2">
      <c r="A3546" s="8" t="str">
        <f t="shared" si="1721"/>
        <v>9032719</v>
      </c>
      <c r="B3546" s="8">
        <v>903</v>
      </c>
      <c r="C3546" s="8">
        <v>27</v>
      </c>
      <c r="D3546" s="8" t="s">
        <v>62</v>
      </c>
      <c r="E3546" s="8">
        <v>9</v>
      </c>
      <c r="F3546" s="34">
        <f t="shared" si="1734"/>
        <v>328328</v>
      </c>
      <c r="G3546" s="34">
        <f t="shared" si="1734"/>
        <v>328328</v>
      </c>
      <c r="H3546" s="34">
        <f t="shared" si="1731"/>
        <v>30030</v>
      </c>
      <c r="I3546" s="34">
        <f t="shared" si="1731"/>
        <v>30030</v>
      </c>
      <c r="J3546" s="34">
        <f t="shared" si="1730"/>
        <v>949636</v>
      </c>
      <c r="K3546" s="133">
        <v>1000</v>
      </c>
      <c r="L3546" s="34"/>
      <c r="M3546" s="16">
        <f t="shared" si="1733"/>
        <v>244793.67862293488</v>
      </c>
      <c r="N3546" s="36">
        <v>735</v>
      </c>
      <c r="O3546" s="36">
        <v>18</v>
      </c>
      <c r="P3546" s="56">
        <v>16015.999999999998</v>
      </c>
      <c r="Q3546" s="2" t="s">
        <v>183</v>
      </c>
      <c r="R3546" s="2" t="s">
        <v>639</v>
      </c>
      <c r="S3546" s="56">
        <f t="shared" si="1735"/>
        <v>12011.999999999998</v>
      </c>
      <c r="T3546" s="114"/>
    </row>
    <row r="3547" spans="1:20" x14ac:dyDescent="0.2">
      <c r="A3547" s="8" t="str">
        <f t="shared" si="1721"/>
        <v>9032811</v>
      </c>
      <c r="B3547" s="8">
        <v>903</v>
      </c>
      <c r="C3547" s="8">
        <v>28</v>
      </c>
      <c r="D3547" s="8" t="s">
        <v>62</v>
      </c>
      <c r="E3547" s="8">
        <v>1</v>
      </c>
      <c r="F3547" s="34">
        <f t="shared" si="1734"/>
        <v>85364</v>
      </c>
      <c r="G3547" s="34">
        <f t="shared" si="1734"/>
        <v>85364</v>
      </c>
      <c r="H3547" s="34">
        <f t="shared" si="1731"/>
        <v>31230</v>
      </c>
      <c r="I3547" s="34">
        <f t="shared" si="1731"/>
        <v>31230</v>
      </c>
      <c r="J3547" s="34">
        <f t="shared" si="1730"/>
        <v>66636</v>
      </c>
      <c r="K3547" s="133">
        <v>1000</v>
      </c>
      <c r="L3547" s="34"/>
      <c r="M3547" s="16">
        <f t="shared" si="1733"/>
        <v>33718.466697278629</v>
      </c>
      <c r="N3547" s="36">
        <v>810</v>
      </c>
      <c r="O3547" s="36">
        <v>1</v>
      </c>
      <c r="P3547" s="56">
        <v>16656.5</v>
      </c>
      <c r="Q3547" s="2" t="s">
        <v>183</v>
      </c>
      <c r="R3547" s="2" t="s">
        <v>640</v>
      </c>
      <c r="S3547" s="56">
        <f t="shared" si="1735"/>
        <v>12492.375</v>
      </c>
      <c r="T3547" s="114"/>
    </row>
    <row r="3548" spans="1:20" x14ac:dyDescent="0.2">
      <c r="A3548" s="8" t="str">
        <f t="shared" si="1721"/>
        <v>9032819</v>
      </c>
      <c r="B3548" s="8">
        <v>903</v>
      </c>
      <c r="C3548" s="8">
        <v>28</v>
      </c>
      <c r="D3548" s="8" t="s">
        <v>62</v>
      </c>
      <c r="E3548" s="8">
        <v>9</v>
      </c>
      <c r="F3548" s="34">
        <f t="shared" si="1734"/>
        <v>341458</v>
      </c>
      <c r="G3548" s="34">
        <f t="shared" si="1734"/>
        <v>341458</v>
      </c>
      <c r="H3548" s="34">
        <f t="shared" si="1731"/>
        <v>31230</v>
      </c>
      <c r="I3548" s="34">
        <f t="shared" si="1731"/>
        <v>31230</v>
      </c>
      <c r="J3548" s="34">
        <f t="shared" si="1730"/>
        <v>987613</v>
      </c>
      <c r="K3548" s="133">
        <v>1000</v>
      </c>
      <c r="L3548" s="34"/>
      <c r="M3548" s="16">
        <f t="shared" si="1733"/>
        <v>259619.92743383837</v>
      </c>
      <c r="N3548" s="36">
        <v>735</v>
      </c>
      <c r="O3548" s="36">
        <v>18</v>
      </c>
      <c r="P3548" s="56">
        <v>16656.5</v>
      </c>
      <c r="Q3548" s="2" t="s">
        <v>183</v>
      </c>
      <c r="R3548" s="2" t="s">
        <v>640</v>
      </c>
      <c r="S3548" s="56">
        <f t="shared" si="1735"/>
        <v>12492.375</v>
      </c>
      <c r="T3548" s="114"/>
    </row>
    <row r="3549" spans="1:20" x14ac:dyDescent="0.2">
      <c r="A3549" s="8" t="str">
        <f t="shared" si="1721"/>
        <v>9032911</v>
      </c>
      <c r="B3549" s="8">
        <v>903</v>
      </c>
      <c r="C3549" s="8">
        <v>29</v>
      </c>
      <c r="D3549" s="8" t="s">
        <v>62</v>
      </c>
      <c r="E3549" s="8">
        <v>1</v>
      </c>
      <c r="F3549" s="34">
        <f t="shared" si="1734"/>
        <v>88776</v>
      </c>
      <c r="G3549" s="34">
        <f t="shared" si="1734"/>
        <v>88776</v>
      </c>
      <c r="H3549" s="34">
        <f t="shared" si="1731"/>
        <v>32479</v>
      </c>
      <c r="I3549" s="34">
        <f t="shared" si="1731"/>
        <v>32479</v>
      </c>
      <c r="J3549" s="34">
        <f t="shared" si="1730"/>
        <v>69299</v>
      </c>
      <c r="K3549" s="133">
        <v>1000</v>
      </c>
      <c r="L3549" s="34"/>
      <c r="M3549" s="16">
        <f t="shared" si="1733"/>
        <v>35760.417620066662</v>
      </c>
      <c r="N3549" s="36">
        <v>810</v>
      </c>
      <c r="O3549" s="36">
        <v>1</v>
      </c>
      <c r="P3549" s="56">
        <v>17322.199999999997</v>
      </c>
      <c r="Q3549" s="2" t="s">
        <v>183</v>
      </c>
      <c r="R3549" s="2" t="s">
        <v>641</v>
      </c>
      <c r="S3549" s="56">
        <f t="shared" si="1735"/>
        <v>12991.649999999998</v>
      </c>
      <c r="T3549" s="114"/>
    </row>
    <row r="3550" spans="1:20" x14ac:dyDescent="0.2">
      <c r="A3550" s="8" t="str">
        <f t="shared" si="1721"/>
        <v>9032919</v>
      </c>
      <c r="B3550" s="8">
        <v>903</v>
      </c>
      <c r="C3550" s="8">
        <v>29</v>
      </c>
      <c r="D3550" s="8" t="s">
        <v>62</v>
      </c>
      <c r="E3550" s="8">
        <v>9</v>
      </c>
      <c r="F3550" s="34">
        <f t="shared" si="1734"/>
        <v>355105</v>
      </c>
      <c r="G3550" s="34">
        <f t="shared" si="1734"/>
        <v>355105</v>
      </c>
      <c r="H3550" s="34">
        <f t="shared" si="1731"/>
        <v>32479</v>
      </c>
      <c r="I3550" s="34">
        <f t="shared" si="1731"/>
        <v>32479</v>
      </c>
      <c r="J3550" s="34">
        <f t="shared" si="1730"/>
        <v>1027084</v>
      </c>
      <c r="K3550" s="133">
        <v>1000</v>
      </c>
      <c r="L3550" s="34"/>
      <c r="M3550" s="16">
        <f t="shared" si="1733"/>
        <v>275342.14234029379</v>
      </c>
      <c r="N3550" s="36">
        <v>735</v>
      </c>
      <c r="O3550" s="36">
        <v>18</v>
      </c>
      <c r="P3550" s="56">
        <v>17322.199999999997</v>
      </c>
      <c r="Q3550" s="2" t="s">
        <v>183</v>
      </c>
      <c r="R3550" s="2" t="s">
        <v>641</v>
      </c>
      <c r="S3550" s="56">
        <f t="shared" si="1735"/>
        <v>12991.649999999998</v>
      </c>
      <c r="T3550" s="114"/>
    </row>
    <row r="3551" spans="1:20" x14ac:dyDescent="0.2">
      <c r="A3551" s="8" t="str">
        <f t="shared" si="1721"/>
        <v>9033011</v>
      </c>
      <c r="B3551" s="8">
        <v>903</v>
      </c>
      <c r="C3551" s="8">
        <v>30</v>
      </c>
      <c r="D3551" s="8" t="s">
        <v>62</v>
      </c>
      <c r="E3551" s="8">
        <v>1</v>
      </c>
      <c r="F3551" s="34">
        <f t="shared" si="1734"/>
        <v>92324</v>
      </c>
      <c r="G3551" s="34">
        <f t="shared" si="1734"/>
        <v>92324</v>
      </c>
      <c r="H3551" s="34">
        <f t="shared" si="1731"/>
        <v>33777</v>
      </c>
      <c r="I3551" s="34">
        <f t="shared" si="1731"/>
        <v>33777</v>
      </c>
      <c r="J3551" s="34">
        <f t="shared" si="1730"/>
        <v>72068</v>
      </c>
      <c r="K3551" s="133">
        <v>1000</v>
      </c>
      <c r="L3551" s="34"/>
      <c r="M3551" s="16">
        <f t="shared" si="1733"/>
        <v>37925.303506159711</v>
      </c>
      <c r="N3551" s="36">
        <v>810</v>
      </c>
      <c r="O3551" s="36">
        <v>1</v>
      </c>
      <c r="P3551" s="56">
        <v>18014.5</v>
      </c>
      <c r="Q3551" s="2" t="s">
        <v>183</v>
      </c>
      <c r="R3551" s="2" t="s">
        <v>642</v>
      </c>
      <c r="S3551" s="56">
        <f t="shared" si="1735"/>
        <v>13510.875</v>
      </c>
      <c r="T3551" s="114"/>
    </row>
    <row r="3552" spans="1:20" x14ac:dyDescent="0.2">
      <c r="A3552" s="8" t="str">
        <f t="shared" si="1721"/>
        <v>9033019</v>
      </c>
      <c r="B3552" s="8">
        <v>903</v>
      </c>
      <c r="C3552" s="8">
        <v>30</v>
      </c>
      <c r="D3552" s="8" t="s">
        <v>62</v>
      </c>
      <c r="E3552" s="8">
        <v>9</v>
      </c>
      <c r="F3552" s="34">
        <f t="shared" si="1734"/>
        <v>369297</v>
      </c>
      <c r="G3552" s="34">
        <f t="shared" si="1734"/>
        <v>369297</v>
      </c>
      <c r="H3552" s="34">
        <f t="shared" si="1731"/>
        <v>33777</v>
      </c>
      <c r="I3552" s="34">
        <f t="shared" si="1731"/>
        <v>33777</v>
      </c>
      <c r="J3552" s="34">
        <f t="shared" si="1730"/>
        <v>1068133</v>
      </c>
      <c r="K3552" s="133">
        <v>1000</v>
      </c>
      <c r="L3552" s="34"/>
      <c r="M3552" s="16">
        <f t="shared" si="1733"/>
        <v>292012.25641506247</v>
      </c>
      <c r="N3552" s="36">
        <v>735</v>
      </c>
      <c r="O3552" s="36">
        <v>18</v>
      </c>
      <c r="P3552" s="56">
        <v>18014.5</v>
      </c>
      <c r="Q3552" s="2" t="s">
        <v>183</v>
      </c>
      <c r="R3552" s="2" t="s">
        <v>642</v>
      </c>
      <c r="S3552" s="56">
        <f t="shared" si="1735"/>
        <v>13510.875</v>
      </c>
      <c r="T3552" s="114"/>
    </row>
    <row r="3553" spans="1:20" x14ac:dyDescent="0.2">
      <c r="A3553" s="8" t="str">
        <f t="shared" si="1721"/>
        <v>9033111</v>
      </c>
      <c r="B3553" s="8">
        <v>903</v>
      </c>
      <c r="C3553" s="8">
        <v>31</v>
      </c>
      <c r="D3553" s="8" t="s">
        <v>62</v>
      </c>
      <c r="E3553" s="8">
        <v>1</v>
      </c>
      <c r="F3553" s="34">
        <f t="shared" ref="F3553:G3572" si="1736">ROUNDDOWN($P3553/4*MIN($O3553,4)*10*$N3553/$N3553*$Q3553/400,0)</f>
        <v>100450</v>
      </c>
      <c r="G3553" s="34">
        <f t="shared" si="1736"/>
        <v>100450</v>
      </c>
      <c r="H3553" s="34">
        <f t="shared" si="1731"/>
        <v>36750</v>
      </c>
      <c r="I3553" s="34">
        <f t="shared" si="1731"/>
        <v>36750</v>
      </c>
      <c r="J3553" s="34">
        <f t="shared" si="1730"/>
        <v>78411</v>
      </c>
      <c r="K3553" s="133">
        <v>1000</v>
      </c>
      <c r="L3553" s="34"/>
      <c r="M3553" s="16">
        <f t="shared" si="1733"/>
        <v>43040.977454514214</v>
      </c>
      <c r="N3553" s="36">
        <v>810</v>
      </c>
      <c r="O3553" s="36">
        <v>1</v>
      </c>
      <c r="P3553" s="56">
        <v>19600</v>
      </c>
      <c r="Q3553" s="2" t="s">
        <v>183</v>
      </c>
      <c r="R3553" s="2" t="s">
        <v>643</v>
      </c>
      <c r="S3553" s="56">
        <f t="shared" si="1735"/>
        <v>14700</v>
      </c>
      <c r="T3553" s="114"/>
    </row>
    <row r="3554" spans="1:20" x14ac:dyDescent="0.2">
      <c r="A3554" s="8" t="str">
        <f t="shared" si="1721"/>
        <v>9033119</v>
      </c>
      <c r="B3554" s="8">
        <v>903</v>
      </c>
      <c r="C3554" s="8">
        <v>31</v>
      </c>
      <c r="D3554" s="8" t="s">
        <v>62</v>
      </c>
      <c r="E3554" s="8">
        <v>9</v>
      </c>
      <c r="F3554" s="34">
        <f t="shared" si="1736"/>
        <v>401800</v>
      </c>
      <c r="G3554" s="34">
        <f t="shared" si="1736"/>
        <v>401800</v>
      </c>
      <c r="H3554" s="34">
        <f t="shared" si="1731"/>
        <v>36750</v>
      </c>
      <c r="I3554" s="34">
        <f t="shared" si="1731"/>
        <v>36750</v>
      </c>
      <c r="J3554" s="34">
        <f t="shared" si="1730"/>
        <v>1162142</v>
      </c>
      <c r="K3554" s="133">
        <v>1000</v>
      </c>
      <c r="L3554" s="34"/>
      <c r="M3554" s="16">
        <f t="shared" si="1733"/>
        <v>331400.54887872469</v>
      </c>
      <c r="N3554" s="36">
        <v>735</v>
      </c>
      <c r="O3554" s="36">
        <v>18</v>
      </c>
      <c r="P3554" s="56">
        <v>19600</v>
      </c>
      <c r="Q3554" s="2" t="s">
        <v>183</v>
      </c>
      <c r="R3554" s="2" t="s">
        <v>643</v>
      </c>
      <c r="S3554" s="56">
        <f t="shared" si="1735"/>
        <v>14700</v>
      </c>
      <c r="T3554" s="114"/>
    </row>
    <row r="3555" spans="1:20" x14ac:dyDescent="0.2">
      <c r="A3555" s="8" t="str">
        <f t="shared" si="1721"/>
        <v>9033211</v>
      </c>
      <c r="B3555" s="8">
        <v>903</v>
      </c>
      <c r="C3555" s="8">
        <v>32</v>
      </c>
      <c r="D3555" s="8" t="s">
        <v>62</v>
      </c>
      <c r="E3555" s="8">
        <v>1</v>
      </c>
      <c r="F3555" s="34">
        <f t="shared" si="1736"/>
        <v>104468</v>
      </c>
      <c r="G3555" s="34">
        <f t="shared" si="1736"/>
        <v>104468</v>
      </c>
      <c r="H3555" s="34">
        <f t="shared" si="1731"/>
        <v>38220</v>
      </c>
      <c r="I3555" s="34">
        <f t="shared" si="1731"/>
        <v>38220</v>
      </c>
      <c r="J3555" s="34">
        <f t="shared" si="1730"/>
        <v>81548</v>
      </c>
      <c r="K3555" s="133">
        <v>1000</v>
      </c>
      <c r="L3555" s="34"/>
      <c r="M3555" s="16">
        <f t="shared" si="1733"/>
        <v>45649.247796060255</v>
      </c>
      <c r="N3555" s="36">
        <v>810</v>
      </c>
      <c r="O3555" s="36">
        <v>1</v>
      </c>
      <c r="P3555" s="56">
        <v>20384</v>
      </c>
      <c r="Q3555" s="2" t="s">
        <v>183</v>
      </c>
      <c r="R3555" s="2" t="s">
        <v>644</v>
      </c>
      <c r="S3555" s="56">
        <f t="shared" si="1735"/>
        <v>15288</v>
      </c>
      <c r="T3555" s="114"/>
    </row>
    <row r="3556" spans="1:20" x14ac:dyDescent="0.2">
      <c r="A3556" s="8" t="str">
        <f t="shared" si="1721"/>
        <v>9033219</v>
      </c>
      <c r="B3556" s="8">
        <v>903</v>
      </c>
      <c r="C3556" s="8">
        <v>32</v>
      </c>
      <c r="D3556" s="8" t="s">
        <v>62</v>
      </c>
      <c r="E3556" s="8">
        <v>9</v>
      </c>
      <c r="F3556" s="34">
        <f t="shared" si="1736"/>
        <v>417872</v>
      </c>
      <c r="G3556" s="34">
        <f t="shared" si="1736"/>
        <v>417872</v>
      </c>
      <c r="H3556" s="34">
        <f t="shared" si="1731"/>
        <v>38220</v>
      </c>
      <c r="I3556" s="34">
        <f t="shared" si="1731"/>
        <v>38220</v>
      </c>
      <c r="J3556" s="34">
        <f t="shared" si="1730"/>
        <v>1208628</v>
      </c>
      <c r="K3556" s="133">
        <v>1000</v>
      </c>
      <c r="L3556" s="34"/>
      <c r="M3556" s="16">
        <f t="shared" si="1733"/>
        <v>351482.16256372177</v>
      </c>
      <c r="N3556" s="36">
        <v>735</v>
      </c>
      <c r="O3556" s="36">
        <v>18</v>
      </c>
      <c r="P3556" s="56">
        <v>20384</v>
      </c>
      <c r="Q3556" s="2" t="s">
        <v>183</v>
      </c>
      <c r="R3556" s="2" t="s">
        <v>644</v>
      </c>
      <c r="S3556" s="56">
        <f t="shared" si="1735"/>
        <v>15288</v>
      </c>
      <c r="T3556" s="114"/>
    </row>
    <row r="3557" spans="1:20" x14ac:dyDescent="0.2">
      <c r="A3557" s="8" t="str">
        <f t="shared" si="1721"/>
        <v>9033311</v>
      </c>
      <c r="B3557" s="8">
        <v>903</v>
      </c>
      <c r="C3557" s="8">
        <v>33</v>
      </c>
      <c r="D3557" s="8" t="s">
        <v>62</v>
      </c>
      <c r="E3557" s="8">
        <v>1</v>
      </c>
      <c r="F3557" s="34">
        <f t="shared" si="1736"/>
        <v>108643</v>
      </c>
      <c r="G3557" s="34">
        <f t="shared" si="1736"/>
        <v>108643</v>
      </c>
      <c r="H3557" s="34">
        <f t="shared" si="1731"/>
        <v>39747</v>
      </c>
      <c r="I3557" s="34">
        <f t="shared" si="1731"/>
        <v>39747</v>
      </c>
      <c r="J3557" s="34">
        <f t="shared" si="1730"/>
        <v>84808</v>
      </c>
      <c r="K3557" s="133">
        <v>1000</v>
      </c>
      <c r="L3557" s="34"/>
      <c r="M3557" s="16">
        <f t="shared" si="1733"/>
        <v>48412.939195210565</v>
      </c>
      <c r="N3557" s="36">
        <v>810</v>
      </c>
      <c r="O3557" s="36">
        <v>1</v>
      </c>
      <c r="P3557" s="56">
        <v>21198.799999999999</v>
      </c>
      <c r="Q3557" s="2" t="s">
        <v>183</v>
      </c>
      <c r="R3557" s="2" t="s">
        <v>645</v>
      </c>
      <c r="S3557" s="56">
        <f t="shared" si="1735"/>
        <v>15899.099999999999</v>
      </c>
      <c r="T3557" s="114"/>
    </row>
    <row r="3558" spans="1:20" x14ac:dyDescent="0.2">
      <c r="A3558" s="8" t="str">
        <f t="shared" si="1721"/>
        <v>9033319</v>
      </c>
      <c r="B3558" s="8">
        <v>903</v>
      </c>
      <c r="C3558" s="8">
        <v>33</v>
      </c>
      <c r="D3558" s="8" t="s">
        <v>62</v>
      </c>
      <c r="E3558" s="8">
        <v>9</v>
      </c>
      <c r="F3558" s="34">
        <f t="shared" si="1736"/>
        <v>434575</v>
      </c>
      <c r="G3558" s="34">
        <f t="shared" si="1736"/>
        <v>434575</v>
      </c>
      <c r="H3558" s="34">
        <f t="shared" si="1731"/>
        <v>39747</v>
      </c>
      <c r="I3558" s="34">
        <f t="shared" si="1731"/>
        <v>39747</v>
      </c>
      <c r="J3558" s="34">
        <f t="shared" ref="J3558:J3621" si="1737">ROUNDDOWN($P3558/4*$O3558*10*$N3558/$Q3558*$N3558/400*0.8,0)</f>
        <v>1256940</v>
      </c>
      <c r="K3558" s="133">
        <v>1000</v>
      </c>
      <c r="L3558" s="34"/>
      <c r="M3558" s="16">
        <f t="shared" si="1733"/>
        <v>372762.14950146218</v>
      </c>
      <c r="N3558" s="36">
        <v>735</v>
      </c>
      <c r="O3558" s="36">
        <v>18</v>
      </c>
      <c r="P3558" s="56">
        <v>21198.799999999999</v>
      </c>
      <c r="Q3558" s="2" t="s">
        <v>183</v>
      </c>
      <c r="R3558" s="2" t="s">
        <v>645</v>
      </c>
      <c r="S3558" s="56">
        <f t="shared" si="1735"/>
        <v>15899.099999999999</v>
      </c>
      <c r="T3558" s="114"/>
    </row>
    <row r="3559" spans="1:20" x14ac:dyDescent="0.2">
      <c r="A3559" s="8" t="str">
        <f t="shared" si="1721"/>
        <v>9033411</v>
      </c>
      <c r="B3559" s="8">
        <v>903</v>
      </c>
      <c r="C3559" s="8">
        <v>34</v>
      </c>
      <c r="D3559" s="8" t="s">
        <v>62</v>
      </c>
      <c r="E3559" s="8">
        <v>1</v>
      </c>
      <c r="F3559" s="34">
        <f t="shared" si="1736"/>
        <v>112988</v>
      </c>
      <c r="G3559" s="34">
        <f t="shared" si="1736"/>
        <v>112988</v>
      </c>
      <c r="H3559" s="34">
        <f t="shared" si="1731"/>
        <v>41337</v>
      </c>
      <c r="I3559" s="34">
        <f t="shared" si="1731"/>
        <v>41337</v>
      </c>
      <c r="J3559" s="34">
        <f t="shared" si="1737"/>
        <v>88199</v>
      </c>
      <c r="K3559" s="133">
        <v>1000</v>
      </c>
      <c r="L3559" s="34"/>
      <c r="M3559" s="16">
        <f t="shared" si="1733"/>
        <v>51346.099211324348</v>
      </c>
      <c r="N3559" s="36">
        <v>810</v>
      </c>
      <c r="O3559" s="36">
        <v>1</v>
      </c>
      <c r="P3559" s="56">
        <v>22046.5</v>
      </c>
      <c r="Q3559" s="2" t="s">
        <v>183</v>
      </c>
      <c r="R3559" s="2" t="s">
        <v>646</v>
      </c>
      <c r="S3559" s="56">
        <f t="shared" si="1735"/>
        <v>16534.875</v>
      </c>
      <c r="T3559" s="114"/>
    </row>
    <row r="3560" spans="1:20" x14ac:dyDescent="0.2">
      <c r="A3560" s="8" t="str">
        <f t="shared" si="1721"/>
        <v>9033419</v>
      </c>
      <c r="B3560" s="8">
        <v>903</v>
      </c>
      <c r="C3560" s="8">
        <v>34</v>
      </c>
      <c r="D3560" s="8" t="s">
        <v>62</v>
      </c>
      <c r="E3560" s="8">
        <v>9</v>
      </c>
      <c r="F3560" s="34">
        <f t="shared" si="1736"/>
        <v>451953</v>
      </c>
      <c r="G3560" s="34">
        <f t="shared" si="1736"/>
        <v>451953</v>
      </c>
      <c r="H3560" s="34">
        <f t="shared" si="1731"/>
        <v>41337</v>
      </c>
      <c r="I3560" s="34">
        <f t="shared" si="1731"/>
        <v>41337</v>
      </c>
      <c r="J3560" s="34">
        <f t="shared" si="1737"/>
        <v>1307202</v>
      </c>
      <c r="K3560" s="133">
        <v>1000</v>
      </c>
      <c r="L3560" s="34"/>
      <c r="M3560" s="16">
        <f t="shared" si="1733"/>
        <v>395346.09460306767</v>
      </c>
      <c r="N3560" s="36">
        <v>735</v>
      </c>
      <c r="O3560" s="36">
        <v>18</v>
      </c>
      <c r="P3560" s="56">
        <v>22046.5</v>
      </c>
      <c r="Q3560" s="2" t="s">
        <v>183</v>
      </c>
      <c r="R3560" s="2" t="s">
        <v>646</v>
      </c>
      <c r="S3560" s="56">
        <f t="shared" si="1735"/>
        <v>16534.875</v>
      </c>
      <c r="T3560" s="114"/>
    </row>
    <row r="3561" spans="1:20" x14ac:dyDescent="0.2">
      <c r="A3561" s="8" t="str">
        <f t="shared" si="1721"/>
        <v>9033511</v>
      </c>
      <c r="B3561" s="8">
        <v>903</v>
      </c>
      <c r="C3561" s="8">
        <v>35</v>
      </c>
      <c r="D3561" s="8" t="s">
        <v>62</v>
      </c>
      <c r="E3561" s="8">
        <v>1</v>
      </c>
      <c r="F3561" s="34">
        <f t="shared" si="1736"/>
        <v>117504</v>
      </c>
      <c r="G3561" s="34">
        <f t="shared" si="1736"/>
        <v>117504</v>
      </c>
      <c r="H3561" s="34">
        <f t="shared" si="1731"/>
        <v>42989</v>
      </c>
      <c r="I3561" s="34">
        <f t="shared" si="1731"/>
        <v>42989</v>
      </c>
      <c r="J3561" s="34">
        <f t="shared" si="1737"/>
        <v>91725</v>
      </c>
      <c r="K3561" s="133">
        <v>1000</v>
      </c>
      <c r="L3561" s="34"/>
      <c r="M3561" s="16">
        <f t="shared" si="1733"/>
        <v>54455.135624202056</v>
      </c>
      <c r="N3561" s="36">
        <v>810</v>
      </c>
      <c r="O3561" s="36">
        <v>1</v>
      </c>
      <c r="P3561" s="56">
        <v>22927.8</v>
      </c>
      <c r="Q3561" s="2" t="s">
        <v>183</v>
      </c>
      <c r="R3561" s="2" t="s">
        <v>647</v>
      </c>
      <c r="S3561" s="56">
        <f t="shared" si="1735"/>
        <v>17195.849999999999</v>
      </c>
      <c r="T3561" s="114"/>
    </row>
    <row r="3562" spans="1:20" x14ac:dyDescent="0.2">
      <c r="A3562" s="8" t="str">
        <f t="shared" si="1721"/>
        <v>9033519</v>
      </c>
      <c r="B3562" s="8">
        <v>903</v>
      </c>
      <c r="C3562" s="8">
        <v>35</v>
      </c>
      <c r="D3562" s="8" t="s">
        <v>62</v>
      </c>
      <c r="E3562" s="8">
        <v>9</v>
      </c>
      <c r="F3562" s="34">
        <f t="shared" si="1736"/>
        <v>470019</v>
      </c>
      <c r="G3562" s="34">
        <f t="shared" si="1736"/>
        <v>470019</v>
      </c>
      <c r="H3562" s="34">
        <f t="shared" si="1731"/>
        <v>42989</v>
      </c>
      <c r="I3562" s="34">
        <f t="shared" si="1731"/>
        <v>42989</v>
      </c>
      <c r="J3562" s="34">
        <f t="shared" si="1737"/>
        <v>1359457</v>
      </c>
      <c r="K3562" s="133">
        <v>1000</v>
      </c>
      <c r="L3562" s="34"/>
      <c r="M3562" s="16">
        <f t="shared" si="1733"/>
        <v>419284.78508662339</v>
      </c>
      <c r="N3562" s="36">
        <v>735</v>
      </c>
      <c r="O3562" s="36">
        <v>18</v>
      </c>
      <c r="P3562" s="56">
        <v>22927.8</v>
      </c>
      <c r="Q3562" s="2" t="s">
        <v>183</v>
      </c>
      <c r="R3562" s="2" t="s">
        <v>647</v>
      </c>
      <c r="S3562" s="56">
        <f t="shared" si="1735"/>
        <v>17195.849999999999</v>
      </c>
      <c r="T3562" s="114"/>
    </row>
    <row r="3563" spans="1:20" x14ac:dyDescent="0.2">
      <c r="A3563" s="8" t="str">
        <f t="shared" si="1721"/>
        <v>9033611</v>
      </c>
      <c r="B3563" s="8">
        <v>903</v>
      </c>
      <c r="C3563" s="8">
        <v>36</v>
      </c>
      <c r="D3563" s="8" t="s">
        <v>62</v>
      </c>
      <c r="E3563" s="8">
        <v>1</v>
      </c>
      <c r="F3563" s="34">
        <f t="shared" si="1736"/>
        <v>114800</v>
      </c>
      <c r="G3563" s="34">
        <f t="shared" si="1736"/>
        <v>114800</v>
      </c>
      <c r="H3563" s="34">
        <f t="shared" si="1731"/>
        <v>42000</v>
      </c>
      <c r="I3563" s="34">
        <f t="shared" si="1731"/>
        <v>42000</v>
      </c>
      <c r="J3563" s="34">
        <f t="shared" si="1737"/>
        <v>89613</v>
      </c>
      <c r="K3563" s="133">
        <v>1000</v>
      </c>
      <c r="L3563" s="34"/>
      <c r="M3563" s="16">
        <f t="shared" si="1733"/>
        <v>52586.114717860641</v>
      </c>
      <c r="N3563" s="36">
        <v>810</v>
      </c>
      <c r="O3563" s="36">
        <v>1</v>
      </c>
      <c r="P3563" s="231">
        <v>22400</v>
      </c>
      <c r="Q3563" s="2" t="s">
        <v>183</v>
      </c>
      <c r="R3563" s="2" t="s">
        <v>169</v>
      </c>
      <c r="S3563" s="56">
        <f t="shared" si="1735"/>
        <v>16800</v>
      </c>
      <c r="T3563" s="114"/>
    </row>
    <row r="3564" spans="1:20" x14ac:dyDescent="0.2">
      <c r="A3564" s="8" t="str">
        <f t="shared" si="1721"/>
        <v>9033619</v>
      </c>
      <c r="B3564" s="8">
        <v>903</v>
      </c>
      <c r="C3564" s="8">
        <v>36</v>
      </c>
      <c r="D3564" s="8" t="s">
        <v>62</v>
      </c>
      <c r="E3564" s="8">
        <v>9</v>
      </c>
      <c r="F3564" s="34">
        <f t="shared" si="1736"/>
        <v>459200</v>
      </c>
      <c r="G3564" s="34">
        <f t="shared" si="1736"/>
        <v>459200</v>
      </c>
      <c r="H3564" s="34">
        <f t="shared" si="1731"/>
        <v>42000</v>
      </c>
      <c r="I3564" s="34">
        <f t="shared" si="1731"/>
        <v>42000</v>
      </c>
      <c r="J3564" s="34">
        <f t="shared" si="1737"/>
        <v>1328162</v>
      </c>
      <c r="K3564" s="133">
        <v>1000</v>
      </c>
      <c r="L3564" s="34"/>
      <c r="M3564" s="16">
        <f t="shared" si="1733"/>
        <v>404893.77251264313</v>
      </c>
      <c r="N3564" s="36">
        <v>735</v>
      </c>
      <c r="O3564" s="36">
        <v>18</v>
      </c>
      <c r="P3564" s="231">
        <v>22400</v>
      </c>
      <c r="Q3564" s="2" t="s">
        <v>183</v>
      </c>
      <c r="R3564" s="2" t="s">
        <v>169</v>
      </c>
      <c r="S3564" s="56">
        <f t="shared" si="1735"/>
        <v>16800</v>
      </c>
      <c r="T3564" s="114"/>
    </row>
    <row r="3565" spans="1:20" x14ac:dyDescent="0.2">
      <c r="A3565" s="8" t="str">
        <f t="shared" si="1721"/>
        <v>9033711</v>
      </c>
      <c r="B3565" s="8">
        <v>903</v>
      </c>
      <c r="C3565" s="8">
        <v>37</v>
      </c>
      <c r="D3565" s="8" t="s">
        <v>62</v>
      </c>
      <c r="E3565" s="8">
        <v>1</v>
      </c>
      <c r="F3565" s="34">
        <f t="shared" si="1736"/>
        <v>161437</v>
      </c>
      <c r="G3565" s="34">
        <f t="shared" si="1736"/>
        <v>161437</v>
      </c>
      <c r="H3565" s="34">
        <f t="shared" si="1731"/>
        <v>59062</v>
      </c>
      <c r="I3565" s="34">
        <f t="shared" si="1731"/>
        <v>59062</v>
      </c>
      <c r="J3565" s="34">
        <f t="shared" si="1737"/>
        <v>126019</v>
      </c>
      <c r="K3565" s="133">
        <v>1000</v>
      </c>
      <c r="L3565" s="34"/>
      <c r="M3565" s="16">
        <f t="shared" si="1733"/>
        <v>87692.735020184147</v>
      </c>
      <c r="N3565" s="36">
        <v>810</v>
      </c>
      <c r="O3565" s="36">
        <v>1</v>
      </c>
      <c r="P3565" s="231">
        <v>31499.999999999996</v>
      </c>
      <c r="Q3565" s="2" t="s">
        <v>183</v>
      </c>
      <c r="R3565" s="2" t="s">
        <v>648</v>
      </c>
      <c r="S3565" s="56">
        <f t="shared" si="1735"/>
        <v>23624.999999999996</v>
      </c>
      <c r="T3565" s="114"/>
    </row>
    <row r="3566" spans="1:20" x14ac:dyDescent="0.2">
      <c r="A3566" s="8" t="str">
        <f t="shared" si="1721"/>
        <v>9033719</v>
      </c>
      <c r="B3566" s="8">
        <v>903</v>
      </c>
      <c r="C3566" s="8">
        <v>37</v>
      </c>
      <c r="D3566" s="8" t="s">
        <v>62</v>
      </c>
      <c r="E3566" s="8">
        <v>9</v>
      </c>
      <c r="F3566" s="34">
        <f t="shared" si="1736"/>
        <v>645750</v>
      </c>
      <c r="G3566" s="34">
        <f t="shared" si="1736"/>
        <v>645750</v>
      </c>
      <c r="H3566" s="34">
        <f t="shared" si="1731"/>
        <v>59062</v>
      </c>
      <c r="I3566" s="34">
        <f t="shared" si="1731"/>
        <v>59062</v>
      </c>
      <c r="J3566" s="34">
        <f t="shared" si="1737"/>
        <v>1867729</v>
      </c>
      <c r="K3566" s="133">
        <v>1000</v>
      </c>
      <c r="L3566" s="34"/>
      <c r="M3566" s="16">
        <f t="shared" si="1733"/>
        <v>675201.19163571869</v>
      </c>
      <c r="N3566" s="36">
        <v>735</v>
      </c>
      <c r="O3566" s="36">
        <v>18</v>
      </c>
      <c r="P3566" s="231">
        <v>31499.999999999996</v>
      </c>
      <c r="Q3566" s="2" t="s">
        <v>183</v>
      </c>
      <c r="R3566" s="2" t="s">
        <v>648</v>
      </c>
      <c r="S3566" s="56">
        <f t="shared" si="1735"/>
        <v>23624.999999999996</v>
      </c>
      <c r="T3566" s="114"/>
    </row>
    <row r="3567" spans="1:20" x14ac:dyDescent="0.2">
      <c r="A3567" s="8" t="str">
        <f t="shared" si="1721"/>
        <v>9033811</v>
      </c>
      <c r="B3567" s="8">
        <v>903</v>
      </c>
      <c r="C3567" s="8">
        <v>38</v>
      </c>
      <c r="D3567" s="8" t="s">
        <v>62</v>
      </c>
      <c r="E3567" s="8">
        <v>1</v>
      </c>
      <c r="F3567" s="34">
        <f t="shared" si="1736"/>
        <v>185921</v>
      </c>
      <c r="G3567" s="34">
        <f t="shared" si="1736"/>
        <v>185921</v>
      </c>
      <c r="H3567" s="34">
        <f t="shared" si="1731"/>
        <v>68020</v>
      </c>
      <c r="I3567" s="34">
        <f t="shared" si="1731"/>
        <v>68020</v>
      </c>
      <c r="J3567" s="34">
        <f t="shared" si="1737"/>
        <v>145131</v>
      </c>
      <c r="K3567" s="133">
        <v>1000</v>
      </c>
      <c r="L3567" s="34"/>
      <c r="M3567" s="16">
        <f t="shared" si="1733"/>
        <v>108380.86627536491</v>
      </c>
      <c r="N3567" s="36">
        <v>810</v>
      </c>
      <c r="O3567" s="36">
        <v>1</v>
      </c>
      <c r="P3567" s="56">
        <v>36277.409</v>
      </c>
      <c r="Q3567" s="2" t="s">
        <v>183</v>
      </c>
      <c r="R3567" s="2" t="s">
        <v>649</v>
      </c>
      <c r="S3567" s="56">
        <f t="shared" si="1735"/>
        <v>27208.05675</v>
      </c>
      <c r="T3567" s="114"/>
    </row>
    <row r="3568" spans="1:20" x14ac:dyDescent="0.2">
      <c r="A3568" s="8" t="str">
        <f t="shared" si="1721"/>
        <v>9033819</v>
      </c>
      <c r="B3568" s="8">
        <v>903</v>
      </c>
      <c r="C3568" s="8">
        <v>38</v>
      </c>
      <c r="D3568" s="8" t="s">
        <v>62</v>
      </c>
      <c r="E3568" s="8">
        <v>9</v>
      </c>
      <c r="F3568" s="34">
        <f t="shared" si="1736"/>
        <v>743686</v>
      </c>
      <c r="G3568" s="34">
        <f t="shared" si="1736"/>
        <v>743686</v>
      </c>
      <c r="H3568" s="34">
        <f t="shared" si="1731"/>
        <v>68020</v>
      </c>
      <c r="I3568" s="34">
        <f t="shared" si="1731"/>
        <v>68020</v>
      </c>
      <c r="J3568" s="34">
        <f t="shared" si="1737"/>
        <v>2150995</v>
      </c>
      <c r="K3568" s="133">
        <v>1000</v>
      </c>
      <c r="L3568" s="34"/>
      <c r="M3568" s="16">
        <f t="shared" si="1733"/>
        <v>834493.2039684403</v>
      </c>
      <c r="N3568" s="36">
        <v>735</v>
      </c>
      <c r="O3568" s="36">
        <v>18</v>
      </c>
      <c r="P3568" s="56">
        <v>36277.409</v>
      </c>
      <c r="Q3568" s="2" t="s">
        <v>183</v>
      </c>
      <c r="R3568" s="2" t="s">
        <v>649</v>
      </c>
      <c r="S3568" s="56">
        <f t="shared" si="1735"/>
        <v>27208.05675</v>
      </c>
      <c r="T3568" s="114"/>
    </row>
    <row r="3569" spans="1:20" x14ac:dyDescent="0.2">
      <c r="A3569" s="8" t="str">
        <f t="shared" si="1721"/>
        <v>9033911</v>
      </c>
      <c r="B3569" s="8">
        <v>903</v>
      </c>
      <c r="C3569" s="8">
        <v>39</v>
      </c>
      <c r="D3569" s="8" t="s">
        <v>62</v>
      </c>
      <c r="E3569" s="8">
        <v>1</v>
      </c>
      <c r="F3569" s="34">
        <f t="shared" si="1736"/>
        <v>191499</v>
      </c>
      <c r="G3569" s="34">
        <f t="shared" si="1736"/>
        <v>191499</v>
      </c>
      <c r="H3569" s="34">
        <f t="shared" si="1731"/>
        <v>70060</v>
      </c>
      <c r="I3569" s="34">
        <f t="shared" si="1731"/>
        <v>70060</v>
      </c>
      <c r="J3569" s="34">
        <f t="shared" si="1737"/>
        <v>149485</v>
      </c>
      <c r="K3569" s="133">
        <v>1000</v>
      </c>
      <c r="L3569" s="34"/>
      <c r="M3569" s="16">
        <f t="shared" si="1733"/>
        <v>113294.05378164275</v>
      </c>
      <c r="N3569" s="36">
        <v>810</v>
      </c>
      <c r="O3569" s="36">
        <v>1</v>
      </c>
      <c r="P3569" s="56">
        <v>37365.733999999997</v>
      </c>
      <c r="Q3569" s="2" t="s">
        <v>183</v>
      </c>
      <c r="R3569" s="2" t="s">
        <v>650</v>
      </c>
      <c r="S3569" s="56">
        <f t="shared" si="1735"/>
        <v>28024.300499999998</v>
      </c>
      <c r="T3569" s="114"/>
    </row>
    <row r="3570" spans="1:20" x14ac:dyDescent="0.2">
      <c r="A3570" s="8" t="str">
        <f t="shared" si="1721"/>
        <v>9033919</v>
      </c>
      <c r="B3570" s="8">
        <v>903</v>
      </c>
      <c r="C3570" s="8">
        <v>39</v>
      </c>
      <c r="D3570" s="8" t="s">
        <v>62</v>
      </c>
      <c r="E3570" s="8">
        <v>9</v>
      </c>
      <c r="F3570" s="34">
        <f t="shared" si="1736"/>
        <v>765997</v>
      </c>
      <c r="G3570" s="34">
        <f t="shared" si="1736"/>
        <v>765997</v>
      </c>
      <c r="H3570" s="34">
        <f t="shared" si="1731"/>
        <v>70060</v>
      </c>
      <c r="I3570" s="34">
        <f t="shared" si="1731"/>
        <v>70060</v>
      </c>
      <c r="J3570" s="34">
        <f t="shared" si="1737"/>
        <v>2215526</v>
      </c>
      <c r="K3570" s="133">
        <v>1000</v>
      </c>
      <c r="L3570" s="34"/>
      <c r="M3570" s="16">
        <f t="shared" si="1733"/>
        <v>872322.37723705906</v>
      </c>
      <c r="N3570" s="36">
        <v>735</v>
      </c>
      <c r="O3570" s="36">
        <v>18</v>
      </c>
      <c r="P3570" s="56">
        <v>37365.733999999997</v>
      </c>
      <c r="Q3570" s="2" t="s">
        <v>183</v>
      </c>
      <c r="R3570" s="2" t="s">
        <v>650</v>
      </c>
      <c r="S3570" s="56">
        <f t="shared" si="1735"/>
        <v>28024.300499999998</v>
      </c>
      <c r="T3570" s="114"/>
    </row>
    <row r="3571" spans="1:20" x14ac:dyDescent="0.2">
      <c r="A3571" s="8" t="str">
        <f t="shared" si="1721"/>
        <v>9034011</v>
      </c>
      <c r="B3571" s="8">
        <v>903</v>
      </c>
      <c r="C3571" s="8">
        <v>40</v>
      </c>
      <c r="D3571" s="8" t="s">
        <v>62</v>
      </c>
      <c r="E3571" s="8">
        <v>1</v>
      </c>
      <c r="F3571" s="34">
        <f t="shared" si="1736"/>
        <v>197244</v>
      </c>
      <c r="G3571" s="34">
        <f t="shared" si="1736"/>
        <v>197244</v>
      </c>
      <c r="H3571" s="34">
        <f t="shared" si="1731"/>
        <v>72162</v>
      </c>
      <c r="I3571" s="34">
        <f t="shared" si="1731"/>
        <v>72162</v>
      </c>
      <c r="J3571" s="34">
        <f t="shared" si="1737"/>
        <v>153970</v>
      </c>
      <c r="K3571" s="133">
        <v>1000</v>
      </c>
      <c r="L3571" s="34"/>
      <c r="M3571" s="16">
        <f t="shared" si="1733"/>
        <v>118430.68007008753</v>
      </c>
      <c r="N3571" s="36">
        <v>810</v>
      </c>
      <c r="O3571" s="36">
        <v>1</v>
      </c>
      <c r="P3571" s="56">
        <v>38486.699999999997</v>
      </c>
      <c r="Q3571" s="2" t="s">
        <v>183</v>
      </c>
      <c r="R3571" s="2" t="s">
        <v>651</v>
      </c>
      <c r="S3571" s="56">
        <f t="shared" si="1735"/>
        <v>28865.024999999998</v>
      </c>
      <c r="T3571" s="114"/>
    </row>
    <row r="3572" spans="1:20" x14ac:dyDescent="0.2">
      <c r="A3572" s="8" t="str">
        <f t="shared" si="1721"/>
        <v>9034019</v>
      </c>
      <c r="B3572" s="8">
        <v>903</v>
      </c>
      <c r="C3572" s="8">
        <v>40</v>
      </c>
      <c r="D3572" s="8" t="s">
        <v>62</v>
      </c>
      <c r="E3572" s="8">
        <v>9</v>
      </c>
      <c r="F3572" s="34">
        <f t="shared" si="1736"/>
        <v>788977</v>
      </c>
      <c r="G3572" s="34">
        <f t="shared" si="1736"/>
        <v>788977</v>
      </c>
      <c r="H3572" s="34">
        <f t="shared" si="1731"/>
        <v>72162</v>
      </c>
      <c r="I3572" s="34">
        <f t="shared" si="1731"/>
        <v>72162</v>
      </c>
      <c r="J3572" s="34">
        <f t="shared" si="1737"/>
        <v>2281991</v>
      </c>
      <c r="K3572" s="133">
        <v>1000</v>
      </c>
      <c r="L3572" s="34"/>
      <c r="M3572" s="16">
        <f t="shared" si="1733"/>
        <v>911870.99710024707</v>
      </c>
      <c r="N3572" s="36">
        <v>735</v>
      </c>
      <c r="O3572" s="36">
        <v>18</v>
      </c>
      <c r="P3572" s="56">
        <v>38486.699999999997</v>
      </c>
      <c r="Q3572" s="2" t="s">
        <v>183</v>
      </c>
      <c r="R3572" s="2" t="s">
        <v>651</v>
      </c>
      <c r="S3572" s="56">
        <f t="shared" si="1735"/>
        <v>28865.024999999998</v>
      </c>
      <c r="T3572" s="114"/>
    </row>
    <row r="3573" spans="1:20" x14ac:dyDescent="0.2">
      <c r="A3573" s="8" t="str">
        <f t="shared" si="1721"/>
        <v>9034111</v>
      </c>
      <c r="B3573" s="8">
        <v>903</v>
      </c>
      <c r="C3573" s="8">
        <v>41</v>
      </c>
      <c r="D3573" s="8" t="s">
        <v>62</v>
      </c>
      <c r="E3573" s="8">
        <v>1</v>
      </c>
      <c r="F3573" s="34">
        <f t="shared" ref="F3573:G3592" si="1738">ROUNDDOWN($P3573/4*MIN($O3573,4)*10*$N3573/$N3573*$Q3573/400,0)</f>
        <v>211051</v>
      </c>
      <c r="G3573" s="34">
        <f t="shared" si="1738"/>
        <v>211051</v>
      </c>
      <c r="H3573" s="34">
        <f t="shared" si="1731"/>
        <v>77213</v>
      </c>
      <c r="I3573" s="34">
        <f t="shared" si="1731"/>
        <v>77213</v>
      </c>
      <c r="J3573" s="34">
        <f t="shared" si="1737"/>
        <v>164748</v>
      </c>
      <c r="K3573" s="133">
        <v>1000</v>
      </c>
      <c r="L3573" s="34"/>
      <c r="M3573" s="16">
        <f t="shared" si="1733"/>
        <v>131080.76973634292</v>
      </c>
      <c r="N3573" s="36">
        <v>810</v>
      </c>
      <c r="O3573" s="36">
        <v>1</v>
      </c>
      <c r="P3573" s="56">
        <v>41180.768999999993</v>
      </c>
      <c r="Q3573" s="2" t="s">
        <v>183</v>
      </c>
      <c r="R3573" s="2" t="s">
        <v>652</v>
      </c>
      <c r="S3573" s="56">
        <f t="shared" si="1735"/>
        <v>30885.576749999993</v>
      </c>
      <c r="T3573" s="114"/>
    </row>
    <row r="3574" spans="1:20" x14ac:dyDescent="0.2">
      <c r="A3574" s="8" t="str">
        <f t="shared" si="1721"/>
        <v>9034119</v>
      </c>
      <c r="B3574" s="8">
        <v>903</v>
      </c>
      <c r="C3574" s="8">
        <v>41</v>
      </c>
      <c r="D3574" s="8" t="s">
        <v>62</v>
      </c>
      <c r="E3574" s="8">
        <v>9</v>
      </c>
      <c r="F3574" s="34">
        <f t="shared" si="1738"/>
        <v>844205</v>
      </c>
      <c r="G3574" s="34">
        <f t="shared" si="1738"/>
        <v>844205</v>
      </c>
      <c r="H3574" s="34">
        <f t="shared" si="1731"/>
        <v>77213</v>
      </c>
      <c r="I3574" s="34">
        <f t="shared" si="1731"/>
        <v>77213</v>
      </c>
      <c r="J3574" s="34">
        <f t="shared" si="1737"/>
        <v>2441730</v>
      </c>
      <c r="K3574" s="133">
        <v>1000</v>
      </c>
      <c r="L3574" s="34"/>
      <c r="M3574" s="16">
        <f t="shared" si="1733"/>
        <v>1009271.4306920627</v>
      </c>
      <c r="N3574" s="36">
        <v>735</v>
      </c>
      <c r="O3574" s="36">
        <v>18</v>
      </c>
      <c r="P3574" s="56">
        <v>41180.768999999993</v>
      </c>
      <c r="Q3574" s="2" t="s">
        <v>183</v>
      </c>
      <c r="R3574" s="2" t="s">
        <v>652</v>
      </c>
      <c r="S3574" s="56">
        <f t="shared" si="1735"/>
        <v>30885.576749999993</v>
      </c>
      <c r="T3574" s="114"/>
    </row>
    <row r="3575" spans="1:20" x14ac:dyDescent="0.2">
      <c r="A3575" s="8" t="str">
        <f t="shared" si="1721"/>
        <v>9034211</v>
      </c>
      <c r="B3575" s="8">
        <v>903</v>
      </c>
      <c r="C3575" s="8">
        <v>42</v>
      </c>
      <c r="D3575" s="8" t="s">
        <v>62</v>
      </c>
      <c r="E3575" s="8">
        <v>1</v>
      </c>
      <c r="F3575" s="34">
        <f t="shared" si="1738"/>
        <v>217382</v>
      </c>
      <c r="G3575" s="34">
        <f t="shared" si="1738"/>
        <v>217382</v>
      </c>
      <c r="H3575" s="34">
        <f t="shared" si="1731"/>
        <v>79530</v>
      </c>
      <c r="I3575" s="34">
        <f t="shared" si="1731"/>
        <v>79530</v>
      </c>
      <c r="J3575" s="34">
        <f t="shared" si="1737"/>
        <v>169690</v>
      </c>
      <c r="K3575" s="133">
        <v>1000</v>
      </c>
      <c r="L3575" s="34"/>
      <c r="M3575" s="16">
        <f t="shared" si="1733"/>
        <v>137023.60619180682</v>
      </c>
      <c r="N3575" s="36">
        <v>810</v>
      </c>
      <c r="O3575" s="36">
        <v>1</v>
      </c>
      <c r="P3575" s="56">
        <v>42416.191999999995</v>
      </c>
      <c r="Q3575" s="2" t="s">
        <v>183</v>
      </c>
      <c r="R3575" s="2" t="s">
        <v>653</v>
      </c>
      <c r="S3575" s="56">
        <f t="shared" si="1735"/>
        <v>31812.143999999997</v>
      </c>
      <c r="T3575" s="114"/>
    </row>
    <row r="3576" spans="1:20" x14ac:dyDescent="0.2">
      <c r="A3576" s="8" t="str">
        <f t="shared" si="1721"/>
        <v>9034219</v>
      </c>
      <c r="B3576" s="8">
        <v>903</v>
      </c>
      <c r="C3576" s="8">
        <v>42</v>
      </c>
      <c r="D3576" s="8" t="s">
        <v>62</v>
      </c>
      <c r="E3576" s="8">
        <v>9</v>
      </c>
      <c r="F3576" s="34">
        <f t="shared" si="1738"/>
        <v>869531</v>
      </c>
      <c r="G3576" s="34">
        <f t="shared" si="1738"/>
        <v>869531</v>
      </c>
      <c r="H3576" s="34">
        <f t="shared" ref="H3576:I3596" si="1739">ROUNDDOWN($S3576/4*10,0)</f>
        <v>79530</v>
      </c>
      <c r="I3576" s="34">
        <f t="shared" si="1739"/>
        <v>79530</v>
      </c>
      <c r="J3576" s="34">
        <f t="shared" si="1737"/>
        <v>2514982</v>
      </c>
      <c r="K3576" s="133">
        <v>1000</v>
      </c>
      <c r="L3576" s="34"/>
      <c r="M3576" s="16">
        <f t="shared" si="1733"/>
        <v>1055031.5659749098</v>
      </c>
      <c r="N3576" s="36">
        <v>735</v>
      </c>
      <c r="O3576" s="36">
        <v>18</v>
      </c>
      <c r="P3576" s="56">
        <v>42416.191999999995</v>
      </c>
      <c r="Q3576" s="2" t="s">
        <v>183</v>
      </c>
      <c r="R3576" s="2" t="s">
        <v>653</v>
      </c>
      <c r="S3576" s="56">
        <f t="shared" si="1735"/>
        <v>31812.143999999997</v>
      </c>
      <c r="T3576" s="114"/>
    </row>
    <row r="3577" spans="1:20" x14ac:dyDescent="0.2">
      <c r="A3577" s="8" t="str">
        <f t="shared" si="1721"/>
        <v>9034311</v>
      </c>
      <c r="B3577" s="8">
        <v>903</v>
      </c>
      <c r="C3577" s="8">
        <v>43</v>
      </c>
      <c r="D3577" s="8" t="s">
        <v>62</v>
      </c>
      <c r="E3577" s="8">
        <v>1</v>
      </c>
      <c r="F3577" s="34">
        <f t="shared" si="1738"/>
        <v>223904</v>
      </c>
      <c r="G3577" s="34">
        <f t="shared" si="1738"/>
        <v>223904</v>
      </c>
      <c r="H3577" s="34">
        <f t="shared" si="1739"/>
        <v>81916</v>
      </c>
      <c r="I3577" s="34">
        <f t="shared" si="1739"/>
        <v>81916</v>
      </c>
      <c r="J3577" s="34">
        <f t="shared" si="1737"/>
        <v>174781</v>
      </c>
      <c r="K3577" s="133">
        <v>1000</v>
      </c>
      <c r="L3577" s="34"/>
      <c r="M3577" s="16">
        <f t="shared" si="1733"/>
        <v>143236.06835388319</v>
      </c>
      <c r="N3577" s="36">
        <v>810</v>
      </c>
      <c r="O3577" s="36">
        <v>1</v>
      </c>
      <c r="P3577" s="56">
        <v>43688.68</v>
      </c>
      <c r="Q3577" s="2" t="s">
        <v>183</v>
      </c>
      <c r="R3577" s="2" t="s">
        <v>654</v>
      </c>
      <c r="S3577" s="56">
        <f t="shared" si="1735"/>
        <v>32766.510000000002</v>
      </c>
      <c r="T3577" s="114"/>
    </row>
    <row r="3578" spans="1:20" x14ac:dyDescent="0.2">
      <c r="A3578" s="8" t="str">
        <f t="shared" si="1721"/>
        <v>9034319</v>
      </c>
      <c r="B3578" s="8">
        <v>903</v>
      </c>
      <c r="C3578" s="8">
        <v>43</v>
      </c>
      <c r="D3578" s="8" t="s">
        <v>62</v>
      </c>
      <c r="E3578" s="8">
        <v>9</v>
      </c>
      <c r="F3578" s="34">
        <f t="shared" si="1738"/>
        <v>895617</v>
      </c>
      <c r="G3578" s="34">
        <f t="shared" si="1738"/>
        <v>895617</v>
      </c>
      <c r="H3578" s="34">
        <f t="shared" si="1739"/>
        <v>81916</v>
      </c>
      <c r="I3578" s="34">
        <f t="shared" si="1739"/>
        <v>81916</v>
      </c>
      <c r="J3578" s="34">
        <f t="shared" si="1737"/>
        <v>2590432</v>
      </c>
      <c r="K3578" s="133">
        <v>1000</v>
      </c>
      <c r="L3578" s="34"/>
      <c r="M3578" s="16">
        <f t="shared" si="1733"/>
        <v>1102863.13018271</v>
      </c>
      <c r="N3578" s="36">
        <v>735</v>
      </c>
      <c r="O3578" s="36">
        <v>18</v>
      </c>
      <c r="P3578" s="56">
        <v>43688.68</v>
      </c>
      <c r="Q3578" s="2" t="s">
        <v>183</v>
      </c>
      <c r="R3578" s="2" t="s">
        <v>654</v>
      </c>
      <c r="S3578" s="56">
        <f t="shared" si="1735"/>
        <v>32766.510000000002</v>
      </c>
      <c r="T3578" s="114"/>
    </row>
    <row r="3579" spans="1:20" x14ac:dyDescent="0.2">
      <c r="A3579" s="8" t="str">
        <f t="shared" si="1721"/>
        <v>9034411</v>
      </c>
      <c r="B3579" s="8">
        <v>903</v>
      </c>
      <c r="C3579" s="8">
        <v>44</v>
      </c>
      <c r="D3579" s="8" t="s">
        <v>62</v>
      </c>
      <c r="E3579" s="8">
        <v>1</v>
      </c>
      <c r="F3579" s="34">
        <f t="shared" si="1738"/>
        <v>230621</v>
      </c>
      <c r="G3579" s="34">
        <f t="shared" si="1738"/>
        <v>230621</v>
      </c>
      <c r="H3579" s="34">
        <f t="shared" si="1739"/>
        <v>84373</v>
      </c>
      <c r="I3579" s="34">
        <f t="shared" si="1739"/>
        <v>84373</v>
      </c>
      <c r="J3579" s="34">
        <f t="shared" si="1737"/>
        <v>180024</v>
      </c>
      <c r="K3579" s="133">
        <v>1000</v>
      </c>
      <c r="L3579" s="34"/>
      <c r="M3579" s="16">
        <f t="shared" ref="M3579:M3642" si="1740">(F3579*J3579*((H3579+I3579)/2)/1000)^(1/2)/10*0.8</f>
        <v>149729.15089096455</v>
      </c>
      <c r="N3579" s="36">
        <v>810</v>
      </c>
      <c r="O3579" s="36">
        <v>1</v>
      </c>
      <c r="P3579" s="56">
        <v>44999.338999999993</v>
      </c>
      <c r="Q3579" s="2" t="s">
        <v>183</v>
      </c>
      <c r="R3579" s="2" t="s">
        <v>655</v>
      </c>
      <c r="S3579" s="56">
        <f t="shared" si="1735"/>
        <v>33749.504249999998</v>
      </c>
      <c r="T3579" s="114"/>
    </row>
    <row r="3580" spans="1:20" x14ac:dyDescent="0.2">
      <c r="A3580" s="8" t="str">
        <f t="shared" si="1721"/>
        <v>9034419</v>
      </c>
      <c r="B3580" s="8">
        <v>903</v>
      </c>
      <c r="C3580" s="8">
        <v>44</v>
      </c>
      <c r="D3580" s="8" t="s">
        <v>62</v>
      </c>
      <c r="E3580" s="8">
        <v>9</v>
      </c>
      <c r="F3580" s="34">
        <f t="shared" si="1738"/>
        <v>922486</v>
      </c>
      <c r="G3580" s="34">
        <f t="shared" si="1738"/>
        <v>922486</v>
      </c>
      <c r="H3580" s="34">
        <f t="shared" si="1739"/>
        <v>84373</v>
      </c>
      <c r="I3580" s="34">
        <f t="shared" si="1739"/>
        <v>84373</v>
      </c>
      <c r="J3580" s="34">
        <f t="shared" si="1737"/>
        <v>2668145</v>
      </c>
      <c r="K3580" s="133">
        <v>1000</v>
      </c>
      <c r="L3580" s="34"/>
      <c r="M3580" s="16">
        <f t="shared" si="1740"/>
        <v>1152859.3824034964</v>
      </c>
      <c r="N3580" s="36">
        <v>735</v>
      </c>
      <c r="O3580" s="36">
        <v>18</v>
      </c>
      <c r="P3580" s="56">
        <v>44999.338999999993</v>
      </c>
      <c r="Q3580" s="2" t="s">
        <v>183</v>
      </c>
      <c r="R3580" s="2" t="s">
        <v>655</v>
      </c>
      <c r="S3580" s="56">
        <f t="shared" si="1735"/>
        <v>33749.504249999998</v>
      </c>
      <c r="T3580" s="114"/>
    </row>
    <row r="3581" spans="1:20" x14ac:dyDescent="0.2">
      <c r="A3581" s="8" t="str">
        <f t="shared" si="1721"/>
        <v>9034511</v>
      </c>
      <c r="B3581" s="8">
        <v>903</v>
      </c>
      <c r="C3581" s="8">
        <v>45</v>
      </c>
      <c r="D3581" s="8" t="s">
        <v>62</v>
      </c>
      <c r="E3581" s="8">
        <v>1</v>
      </c>
      <c r="F3581" s="34">
        <f t="shared" si="1738"/>
        <v>237540</v>
      </c>
      <c r="G3581" s="34">
        <f t="shared" si="1738"/>
        <v>237540</v>
      </c>
      <c r="H3581" s="34">
        <f t="shared" si="1739"/>
        <v>86904</v>
      </c>
      <c r="I3581" s="34">
        <f t="shared" si="1739"/>
        <v>86904</v>
      </c>
      <c r="J3581" s="34">
        <f t="shared" si="1737"/>
        <v>185425</v>
      </c>
      <c r="K3581" s="133">
        <v>1000</v>
      </c>
      <c r="L3581" s="34"/>
      <c r="M3581" s="16">
        <f t="shared" si="1740"/>
        <v>156517.31537627138</v>
      </c>
      <c r="N3581" s="36">
        <v>810</v>
      </c>
      <c r="O3581" s="36">
        <v>1</v>
      </c>
      <c r="P3581" s="56">
        <v>46349.324000000001</v>
      </c>
      <c r="Q3581" s="2" t="s">
        <v>183</v>
      </c>
      <c r="R3581" s="2" t="s">
        <v>656</v>
      </c>
      <c r="S3581" s="56">
        <f t="shared" si="1735"/>
        <v>34761.993000000002</v>
      </c>
      <c r="T3581" s="114"/>
    </row>
    <row r="3582" spans="1:20" x14ac:dyDescent="0.2">
      <c r="A3582" s="8" t="str">
        <f t="shared" si="1721"/>
        <v>9034519</v>
      </c>
      <c r="B3582" s="8">
        <v>903</v>
      </c>
      <c r="C3582" s="8">
        <v>45</v>
      </c>
      <c r="D3582" s="8" t="s">
        <v>62</v>
      </c>
      <c r="E3582" s="8">
        <v>9</v>
      </c>
      <c r="F3582" s="34">
        <f t="shared" si="1738"/>
        <v>950161</v>
      </c>
      <c r="G3582" s="34">
        <f t="shared" si="1738"/>
        <v>950161</v>
      </c>
      <c r="H3582" s="34">
        <f t="shared" si="1739"/>
        <v>86904</v>
      </c>
      <c r="I3582" s="34">
        <f t="shared" si="1739"/>
        <v>86904</v>
      </c>
      <c r="J3582" s="34">
        <f t="shared" si="1737"/>
        <v>2748189</v>
      </c>
      <c r="K3582" s="133">
        <v>1000</v>
      </c>
      <c r="L3582" s="34"/>
      <c r="M3582" s="16">
        <f t="shared" si="1740"/>
        <v>1205124.0929843236</v>
      </c>
      <c r="N3582" s="36">
        <v>735</v>
      </c>
      <c r="O3582" s="36">
        <v>18</v>
      </c>
      <c r="P3582" s="56">
        <v>46349.324000000001</v>
      </c>
      <c r="Q3582" s="2" t="s">
        <v>183</v>
      </c>
      <c r="R3582" s="2" t="s">
        <v>656</v>
      </c>
      <c r="S3582" s="56">
        <f t="shared" si="1735"/>
        <v>34761.993000000002</v>
      </c>
      <c r="T3582" s="114"/>
    </row>
    <row r="3583" spans="1:20" x14ac:dyDescent="0.2">
      <c r="A3583" s="18" t="str">
        <f t="shared" si="1721"/>
        <v>9034611</v>
      </c>
      <c r="B3583" s="18">
        <v>903</v>
      </c>
      <c r="C3583" s="18">
        <v>46</v>
      </c>
      <c r="D3583" s="18" t="s">
        <v>62</v>
      </c>
      <c r="E3583" s="18">
        <v>1</v>
      </c>
      <c r="F3583" s="19">
        <f t="shared" si="1738"/>
        <v>241718</v>
      </c>
      <c r="G3583" s="19">
        <f t="shared" si="1738"/>
        <v>241718</v>
      </c>
      <c r="H3583" s="19">
        <f t="shared" si="1739"/>
        <v>45500</v>
      </c>
      <c r="I3583" s="19">
        <f t="shared" si="1739"/>
        <v>45500</v>
      </c>
      <c r="J3583" s="19">
        <f t="shared" si="1737"/>
        <v>175603</v>
      </c>
      <c r="K3583" s="133">
        <v>1000</v>
      </c>
      <c r="L3583" s="19"/>
      <c r="M3583" s="16">
        <f t="shared" si="1740"/>
        <v>111177.30619962333</v>
      </c>
      <c r="N3583" s="36">
        <v>810</v>
      </c>
      <c r="O3583" s="58">
        <v>1</v>
      </c>
      <c r="P3583" s="94">
        <v>45500</v>
      </c>
      <c r="Q3583" s="41" t="s">
        <v>402</v>
      </c>
      <c r="R3583" s="41" t="s">
        <v>657</v>
      </c>
      <c r="S3583" s="94">
        <f t="shared" ref="S3583:S3646" si="1741">P3583*0.4</f>
        <v>18200</v>
      </c>
      <c r="T3583" s="114"/>
    </row>
    <row r="3584" spans="1:20" x14ac:dyDescent="0.2">
      <c r="A3584" s="18" t="str">
        <f t="shared" si="1721"/>
        <v>9034619</v>
      </c>
      <c r="B3584" s="18">
        <v>903</v>
      </c>
      <c r="C3584" s="18">
        <v>46</v>
      </c>
      <c r="D3584" s="18" t="s">
        <v>62</v>
      </c>
      <c r="E3584" s="18">
        <v>9</v>
      </c>
      <c r="F3584" s="19">
        <f t="shared" si="1738"/>
        <v>966875</v>
      </c>
      <c r="G3584" s="19">
        <f t="shared" si="1738"/>
        <v>966875</v>
      </c>
      <c r="H3584" s="19">
        <f t="shared" si="1739"/>
        <v>45500</v>
      </c>
      <c r="I3584" s="19">
        <f t="shared" si="1739"/>
        <v>45500</v>
      </c>
      <c r="J3584" s="19">
        <f t="shared" si="1737"/>
        <v>2602613</v>
      </c>
      <c r="K3584" s="133">
        <v>1000</v>
      </c>
      <c r="L3584" s="19"/>
      <c r="M3584" s="16">
        <f t="shared" si="1740"/>
        <v>856023.42292836832</v>
      </c>
      <c r="N3584" s="36">
        <v>735</v>
      </c>
      <c r="O3584" s="58">
        <v>18</v>
      </c>
      <c r="P3584" s="94">
        <v>45500</v>
      </c>
      <c r="Q3584" s="41" t="s">
        <v>402</v>
      </c>
      <c r="R3584" s="41" t="s">
        <v>657</v>
      </c>
      <c r="S3584" s="94">
        <f t="shared" si="1741"/>
        <v>18200</v>
      </c>
      <c r="T3584" s="114"/>
    </row>
    <row r="3585" spans="1:20" x14ac:dyDescent="0.2">
      <c r="A3585" s="18" t="str">
        <f t="shared" si="1721"/>
        <v>9034711</v>
      </c>
      <c r="B3585" s="18">
        <v>903</v>
      </c>
      <c r="C3585" s="18">
        <v>47</v>
      </c>
      <c r="D3585" s="18" t="s">
        <v>62</v>
      </c>
      <c r="E3585" s="18">
        <v>1</v>
      </c>
      <c r="F3585" s="19">
        <f t="shared" si="1738"/>
        <v>297500</v>
      </c>
      <c r="G3585" s="19">
        <f t="shared" si="1738"/>
        <v>297500</v>
      </c>
      <c r="H3585" s="19">
        <f t="shared" si="1739"/>
        <v>56000</v>
      </c>
      <c r="I3585" s="19">
        <f t="shared" si="1739"/>
        <v>56000</v>
      </c>
      <c r="J3585" s="19">
        <f t="shared" si="1737"/>
        <v>216127</v>
      </c>
      <c r="K3585" s="133">
        <v>1000</v>
      </c>
      <c r="L3585" s="19"/>
      <c r="M3585" s="16">
        <f t="shared" si="1740"/>
        <v>151803.57455606901</v>
      </c>
      <c r="N3585" s="36">
        <v>810</v>
      </c>
      <c r="O3585" s="58">
        <v>1</v>
      </c>
      <c r="P3585" s="94">
        <v>56000</v>
      </c>
      <c r="Q3585" s="41" t="s">
        <v>402</v>
      </c>
      <c r="R3585" s="41" t="s">
        <v>658</v>
      </c>
      <c r="S3585" s="94">
        <f t="shared" si="1741"/>
        <v>22400</v>
      </c>
      <c r="T3585" s="114"/>
    </row>
    <row r="3586" spans="1:20" x14ac:dyDescent="0.2">
      <c r="A3586" s="18" t="str">
        <f t="shared" si="1721"/>
        <v>9034719</v>
      </c>
      <c r="B3586" s="18">
        <v>903</v>
      </c>
      <c r="C3586" s="18">
        <v>47</v>
      </c>
      <c r="D3586" s="18" t="s">
        <v>62</v>
      </c>
      <c r="E3586" s="18">
        <v>9</v>
      </c>
      <c r="F3586" s="19">
        <f t="shared" si="1738"/>
        <v>1190000</v>
      </c>
      <c r="G3586" s="19">
        <f t="shared" si="1738"/>
        <v>1190000</v>
      </c>
      <c r="H3586" s="19">
        <f t="shared" si="1739"/>
        <v>56000</v>
      </c>
      <c r="I3586" s="19">
        <f t="shared" si="1739"/>
        <v>56000</v>
      </c>
      <c r="J3586" s="19">
        <f t="shared" si="1737"/>
        <v>3203216</v>
      </c>
      <c r="K3586" s="133">
        <v>1000</v>
      </c>
      <c r="L3586" s="19"/>
      <c r="M3586" s="16">
        <f t="shared" si="1740"/>
        <v>1168827.9647304816</v>
      </c>
      <c r="N3586" s="36">
        <v>735</v>
      </c>
      <c r="O3586" s="58">
        <v>18</v>
      </c>
      <c r="P3586" s="94">
        <v>56000</v>
      </c>
      <c r="Q3586" s="41" t="s">
        <v>402</v>
      </c>
      <c r="R3586" s="41" t="s">
        <v>658</v>
      </c>
      <c r="S3586" s="94">
        <f t="shared" si="1741"/>
        <v>22400</v>
      </c>
      <c r="T3586" s="114"/>
    </row>
    <row r="3587" spans="1:20" x14ac:dyDescent="0.2">
      <c r="A3587" s="8" t="str">
        <f t="shared" si="1721"/>
        <v>9034811</v>
      </c>
      <c r="B3587" s="8">
        <v>903</v>
      </c>
      <c r="C3587" s="8">
        <v>48</v>
      </c>
      <c r="D3587" s="8" t="s">
        <v>62</v>
      </c>
      <c r="E3587" s="8">
        <v>1</v>
      </c>
      <c r="F3587" s="34">
        <f t="shared" si="1738"/>
        <v>422331</v>
      </c>
      <c r="G3587" s="34">
        <f t="shared" si="1738"/>
        <v>422331</v>
      </c>
      <c r="H3587" s="34">
        <f t="shared" si="1739"/>
        <v>79497</v>
      </c>
      <c r="I3587" s="34">
        <f t="shared" si="1739"/>
        <v>79497</v>
      </c>
      <c r="J3587" s="34">
        <f t="shared" si="1737"/>
        <v>306813</v>
      </c>
      <c r="K3587" s="133">
        <v>1000</v>
      </c>
      <c r="L3587" s="34"/>
      <c r="M3587" s="16">
        <f t="shared" si="1740"/>
        <v>256760.79747830902</v>
      </c>
      <c r="N3587" s="36">
        <v>810</v>
      </c>
      <c r="O3587" s="36">
        <v>1</v>
      </c>
      <c r="P3587" s="56">
        <v>79497.599999999991</v>
      </c>
      <c r="Q3587" s="2" t="s">
        <v>402</v>
      </c>
      <c r="R3587" s="2" t="s">
        <v>659</v>
      </c>
      <c r="S3587" s="56">
        <f t="shared" si="1741"/>
        <v>31799.039999999997</v>
      </c>
      <c r="T3587" s="114"/>
    </row>
    <row r="3588" spans="1:20" x14ac:dyDescent="0.2">
      <c r="A3588" s="8" t="str">
        <f t="shared" si="1721"/>
        <v>9034819</v>
      </c>
      <c r="B3588" s="8">
        <v>903</v>
      </c>
      <c r="C3588" s="8">
        <v>48</v>
      </c>
      <c r="D3588" s="8" t="s">
        <v>62</v>
      </c>
      <c r="E3588" s="8">
        <v>9</v>
      </c>
      <c r="F3588" s="34">
        <f t="shared" si="1738"/>
        <v>1689324</v>
      </c>
      <c r="G3588" s="34">
        <f t="shared" si="1738"/>
        <v>1689324</v>
      </c>
      <c r="H3588" s="34">
        <f t="shared" si="1739"/>
        <v>79497</v>
      </c>
      <c r="I3588" s="34">
        <f t="shared" si="1739"/>
        <v>79497</v>
      </c>
      <c r="J3588" s="34">
        <f t="shared" si="1737"/>
        <v>4547286</v>
      </c>
      <c r="K3588" s="133">
        <v>1000</v>
      </c>
      <c r="L3588" s="34"/>
      <c r="M3588" s="16">
        <f t="shared" si="1740"/>
        <v>1976960.3897177735</v>
      </c>
      <c r="N3588" s="36">
        <v>735</v>
      </c>
      <c r="O3588" s="36">
        <v>18</v>
      </c>
      <c r="P3588" s="56">
        <v>79497.599999999991</v>
      </c>
      <c r="Q3588" s="2" t="s">
        <v>402</v>
      </c>
      <c r="R3588" s="2" t="s">
        <v>659</v>
      </c>
      <c r="S3588" s="56">
        <f t="shared" si="1741"/>
        <v>31799.039999999997</v>
      </c>
      <c r="T3588" s="114"/>
    </row>
    <row r="3589" spans="1:20" x14ac:dyDescent="0.2">
      <c r="A3589" s="8" t="str">
        <f t="shared" si="1721"/>
        <v>9034911</v>
      </c>
      <c r="B3589" s="8">
        <v>903</v>
      </c>
      <c r="C3589" s="8">
        <v>49</v>
      </c>
      <c r="D3589" s="8" t="s">
        <v>62</v>
      </c>
      <c r="E3589" s="8">
        <v>1</v>
      </c>
      <c r="F3589" s="34">
        <f t="shared" si="1738"/>
        <v>439224</v>
      </c>
      <c r="G3589" s="34">
        <f t="shared" si="1738"/>
        <v>439224</v>
      </c>
      <c r="H3589" s="34">
        <f t="shared" si="1739"/>
        <v>82677</v>
      </c>
      <c r="I3589" s="34">
        <f t="shared" si="1739"/>
        <v>82677</v>
      </c>
      <c r="J3589" s="34">
        <f t="shared" si="1737"/>
        <v>319086</v>
      </c>
      <c r="K3589" s="133">
        <v>1000</v>
      </c>
      <c r="L3589" s="34"/>
      <c r="M3589" s="16">
        <f t="shared" si="1740"/>
        <v>272319.81791838486</v>
      </c>
      <c r="N3589" s="36">
        <v>810</v>
      </c>
      <c r="O3589" s="36">
        <v>1</v>
      </c>
      <c r="P3589" s="56">
        <v>82677.504000000001</v>
      </c>
      <c r="Q3589" s="2" t="s">
        <v>402</v>
      </c>
      <c r="R3589" s="2" t="s">
        <v>170</v>
      </c>
      <c r="S3589" s="56">
        <f t="shared" si="1741"/>
        <v>33071.001600000003</v>
      </c>
      <c r="T3589" s="114"/>
    </row>
    <row r="3590" spans="1:20" x14ac:dyDescent="0.2">
      <c r="A3590" s="8" t="str">
        <f t="shared" si="1721"/>
        <v>9034919</v>
      </c>
      <c r="B3590" s="8">
        <v>903</v>
      </c>
      <c r="C3590" s="8">
        <v>49</v>
      </c>
      <c r="D3590" s="8" t="s">
        <v>62</v>
      </c>
      <c r="E3590" s="8">
        <v>9</v>
      </c>
      <c r="F3590" s="34">
        <f t="shared" si="1738"/>
        <v>1756896</v>
      </c>
      <c r="G3590" s="34">
        <f t="shared" si="1738"/>
        <v>1756896</v>
      </c>
      <c r="H3590" s="34">
        <f t="shared" si="1739"/>
        <v>82677</v>
      </c>
      <c r="I3590" s="34">
        <f t="shared" si="1739"/>
        <v>82677</v>
      </c>
      <c r="J3590" s="34">
        <f t="shared" si="1737"/>
        <v>4729177</v>
      </c>
      <c r="K3590" s="133">
        <v>1000</v>
      </c>
      <c r="L3590" s="34"/>
      <c r="M3590" s="16">
        <f t="shared" si="1740"/>
        <v>2096757.2490494214</v>
      </c>
      <c r="N3590" s="36">
        <v>735</v>
      </c>
      <c r="O3590" s="36">
        <v>18</v>
      </c>
      <c r="P3590" s="56">
        <v>82677.504000000001</v>
      </c>
      <c r="Q3590" s="2" t="s">
        <v>402</v>
      </c>
      <c r="R3590" s="2" t="s">
        <v>170</v>
      </c>
      <c r="S3590" s="56">
        <f t="shared" si="1741"/>
        <v>33071.001600000003</v>
      </c>
      <c r="T3590" s="114"/>
    </row>
    <row r="3591" spans="1:20" x14ac:dyDescent="0.2">
      <c r="A3591" s="8" t="str">
        <f t="shared" si="1721"/>
        <v>9035011</v>
      </c>
      <c r="B3591" s="8">
        <v>903</v>
      </c>
      <c r="C3591" s="8">
        <v>50</v>
      </c>
      <c r="D3591" s="8" t="s">
        <v>62</v>
      </c>
      <c r="E3591" s="8">
        <v>1</v>
      </c>
      <c r="F3591" s="34">
        <f t="shared" si="1738"/>
        <v>456793</v>
      </c>
      <c r="G3591" s="34">
        <f t="shared" si="1738"/>
        <v>456793</v>
      </c>
      <c r="H3591" s="34">
        <f t="shared" si="1739"/>
        <v>85984</v>
      </c>
      <c r="I3591" s="34">
        <f t="shared" si="1739"/>
        <v>85984</v>
      </c>
      <c r="J3591" s="34">
        <f t="shared" si="1737"/>
        <v>331849</v>
      </c>
      <c r="K3591" s="133">
        <v>1000</v>
      </c>
      <c r="L3591" s="34"/>
      <c r="M3591" s="16">
        <f t="shared" si="1740"/>
        <v>288821.01243556797</v>
      </c>
      <c r="N3591" s="36">
        <v>810</v>
      </c>
      <c r="O3591" s="36">
        <v>1</v>
      </c>
      <c r="P3591" s="56">
        <v>85984.604160000003</v>
      </c>
      <c r="Q3591" s="2" t="s">
        <v>402</v>
      </c>
      <c r="R3591" s="2" t="s">
        <v>660</v>
      </c>
      <c r="S3591" s="56">
        <f t="shared" si="1741"/>
        <v>34393.841664</v>
      </c>
      <c r="T3591" s="114"/>
    </row>
    <row r="3592" spans="1:20" x14ac:dyDescent="0.2">
      <c r="A3592" s="8" t="str">
        <f t="shared" si="1721"/>
        <v>9035019</v>
      </c>
      <c r="B3592" s="8">
        <v>903</v>
      </c>
      <c r="C3592" s="8">
        <v>50</v>
      </c>
      <c r="D3592" s="8" t="s">
        <v>62</v>
      </c>
      <c r="E3592" s="8">
        <v>9</v>
      </c>
      <c r="F3592" s="34">
        <f t="shared" si="1738"/>
        <v>1827172</v>
      </c>
      <c r="G3592" s="34">
        <f t="shared" si="1738"/>
        <v>1827172</v>
      </c>
      <c r="H3592" s="34">
        <f t="shared" si="1739"/>
        <v>85984</v>
      </c>
      <c r="I3592" s="34">
        <f t="shared" si="1739"/>
        <v>85984</v>
      </c>
      <c r="J3592" s="34">
        <f t="shared" si="1737"/>
        <v>4918344</v>
      </c>
      <c r="K3592" s="133">
        <v>1000</v>
      </c>
      <c r="L3592" s="34"/>
      <c r="M3592" s="16">
        <f t="shared" si="1740"/>
        <v>2223811.5194166717</v>
      </c>
      <c r="N3592" s="36">
        <v>735</v>
      </c>
      <c r="O3592" s="36">
        <v>18</v>
      </c>
      <c r="P3592" s="56">
        <v>85984.604160000003</v>
      </c>
      <c r="Q3592" s="2" t="s">
        <v>402</v>
      </c>
      <c r="R3592" s="2" t="s">
        <v>660</v>
      </c>
      <c r="S3592" s="56">
        <f t="shared" si="1741"/>
        <v>34393.841664</v>
      </c>
      <c r="T3592" s="114"/>
    </row>
    <row r="3593" spans="1:20" x14ac:dyDescent="0.2">
      <c r="A3593" s="18" t="str">
        <f t="shared" si="1721"/>
        <v>9035111</v>
      </c>
      <c r="B3593" s="18">
        <v>903</v>
      </c>
      <c r="C3593" s="18">
        <v>51</v>
      </c>
      <c r="D3593" s="18" t="s">
        <v>62</v>
      </c>
      <c r="E3593" s="18">
        <v>1</v>
      </c>
      <c r="F3593" s="19">
        <f t="shared" ref="F3593:G3612" si="1742">ROUNDDOWN($P3593/4*MIN($O3593,4)*10*$N3593/$N3593*$Q3593/400,0)</f>
        <v>446250</v>
      </c>
      <c r="G3593" s="19">
        <f t="shared" si="1742"/>
        <v>446250</v>
      </c>
      <c r="H3593" s="19">
        <f t="shared" si="1739"/>
        <v>84000</v>
      </c>
      <c r="I3593" s="19">
        <f t="shared" si="1739"/>
        <v>84000</v>
      </c>
      <c r="J3593" s="19">
        <f t="shared" si="1737"/>
        <v>324190</v>
      </c>
      <c r="K3593" s="133">
        <v>1000</v>
      </c>
      <c r="L3593" s="19"/>
      <c r="M3593" s="16">
        <f t="shared" si="1740"/>
        <v>278880.75903511164</v>
      </c>
      <c r="N3593" s="36">
        <v>810</v>
      </c>
      <c r="O3593" s="58">
        <v>1</v>
      </c>
      <c r="P3593" s="94">
        <v>84000</v>
      </c>
      <c r="Q3593" s="41" t="s">
        <v>402</v>
      </c>
      <c r="R3593" s="41" t="s">
        <v>661</v>
      </c>
      <c r="S3593" s="94">
        <f t="shared" si="1741"/>
        <v>33600</v>
      </c>
      <c r="T3593" s="114"/>
    </row>
    <row r="3594" spans="1:20" x14ac:dyDescent="0.2">
      <c r="A3594" s="18" t="str">
        <f t="shared" si="1721"/>
        <v>9035119</v>
      </c>
      <c r="B3594" s="18">
        <v>903</v>
      </c>
      <c r="C3594" s="18">
        <v>51</v>
      </c>
      <c r="D3594" s="18" t="s">
        <v>62</v>
      </c>
      <c r="E3594" s="18">
        <v>9</v>
      </c>
      <c r="F3594" s="19">
        <f t="shared" si="1742"/>
        <v>1785000</v>
      </c>
      <c r="G3594" s="19">
        <f t="shared" si="1742"/>
        <v>1785000</v>
      </c>
      <c r="H3594" s="19">
        <f t="shared" si="1739"/>
        <v>84000</v>
      </c>
      <c r="I3594" s="19">
        <f t="shared" si="1739"/>
        <v>84000</v>
      </c>
      <c r="J3594" s="19">
        <f t="shared" si="1737"/>
        <v>4804824</v>
      </c>
      <c r="K3594" s="133">
        <v>1000</v>
      </c>
      <c r="L3594" s="19"/>
      <c r="M3594" s="16">
        <f t="shared" si="1740"/>
        <v>2147274.0830140896</v>
      </c>
      <c r="N3594" s="36">
        <v>735</v>
      </c>
      <c r="O3594" s="58">
        <v>18</v>
      </c>
      <c r="P3594" s="94">
        <v>84000</v>
      </c>
      <c r="Q3594" s="41" t="s">
        <v>402</v>
      </c>
      <c r="R3594" s="41" t="s">
        <v>661</v>
      </c>
      <c r="S3594" s="94">
        <f t="shared" si="1741"/>
        <v>33600</v>
      </c>
      <c r="T3594" s="114"/>
    </row>
    <row r="3595" spans="1:20" x14ac:dyDescent="0.2">
      <c r="A3595" s="8" t="str">
        <f t="shared" si="1721"/>
        <v>9035211</v>
      </c>
      <c r="B3595" s="8">
        <v>903</v>
      </c>
      <c r="C3595" s="8">
        <v>52</v>
      </c>
      <c r="D3595" s="8" t="s">
        <v>62</v>
      </c>
      <c r="E3595" s="8">
        <v>1</v>
      </c>
      <c r="F3595" s="34">
        <f t="shared" si="1742"/>
        <v>503614</v>
      </c>
      <c r="G3595" s="34">
        <f t="shared" si="1742"/>
        <v>503614</v>
      </c>
      <c r="H3595" s="34">
        <f t="shared" si="1739"/>
        <v>94798</v>
      </c>
      <c r="I3595" s="34">
        <f t="shared" si="1739"/>
        <v>94798</v>
      </c>
      <c r="J3595" s="34">
        <f t="shared" si="1737"/>
        <v>365864</v>
      </c>
      <c r="K3595" s="133">
        <v>1000</v>
      </c>
      <c r="L3595" s="34"/>
      <c r="M3595" s="16">
        <f t="shared" si="1740"/>
        <v>334347.67755406525</v>
      </c>
      <c r="N3595" s="36">
        <v>810</v>
      </c>
      <c r="O3595" s="36">
        <v>1</v>
      </c>
      <c r="P3595" s="56">
        <v>94798.026086400016</v>
      </c>
      <c r="Q3595" s="2" t="s">
        <v>402</v>
      </c>
      <c r="R3595" s="2" t="s">
        <v>662</v>
      </c>
      <c r="S3595" s="56">
        <f t="shared" si="1741"/>
        <v>37919.210434560009</v>
      </c>
      <c r="T3595" s="114"/>
    </row>
    <row r="3596" spans="1:20" x14ac:dyDescent="0.2">
      <c r="A3596" s="8" t="str">
        <f t="shared" si="1721"/>
        <v>9035219</v>
      </c>
      <c r="B3596" s="8">
        <v>903</v>
      </c>
      <c r="C3596" s="8">
        <v>52</v>
      </c>
      <c r="D3596" s="8" t="s">
        <v>62</v>
      </c>
      <c r="E3596" s="8">
        <v>9</v>
      </c>
      <c r="F3596" s="34">
        <f t="shared" si="1742"/>
        <v>2014458</v>
      </c>
      <c r="G3596" s="34">
        <f t="shared" si="1742"/>
        <v>2014458</v>
      </c>
      <c r="H3596" s="34">
        <f t="shared" si="1739"/>
        <v>94798</v>
      </c>
      <c r="I3596" s="34">
        <f t="shared" si="1739"/>
        <v>94798</v>
      </c>
      <c r="J3596" s="34">
        <f t="shared" si="1737"/>
        <v>5422474</v>
      </c>
      <c r="K3596" s="133">
        <v>1000</v>
      </c>
      <c r="L3596" s="34"/>
      <c r="M3596" s="16">
        <f t="shared" si="1740"/>
        <v>2574348.9943308476</v>
      </c>
      <c r="N3596" s="36">
        <v>735</v>
      </c>
      <c r="O3596" s="36">
        <v>18</v>
      </c>
      <c r="P3596" s="56">
        <v>94798.026086400016</v>
      </c>
      <c r="Q3596" s="2" t="s">
        <v>402</v>
      </c>
      <c r="R3596" s="2" t="s">
        <v>662</v>
      </c>
      <c r="S3596" s="56">
        <f t="shared" si="1741"/>
        <v>37919.210434560009</v>
      </c>
      <c r="T3596" s="114"/>
    </row>
    <row r="3597" spans="1:20" x14ac:dyDescent="0.2">
      <c r="A3597" s="8" t="str">
        <f t="shared" si="1721"/>
        <v>9035311</v>
      </c>
      <c r="B3597" s="8">
        <v>903</v>
      </c>
      <c r="C3597" s="8">
        <v>53</v>
      </c>
      <c r="D3597" s="8" t="s">
        <v>62</v>
      </c>
      <c r="E3597" s="8">
        <v>1</v>
      </c>
      <c r="F3597" s="34">
        <f t="shared" si="1742"/>
        <v>528795</v>
      </c>
      <c r="G3597" s="34">
        <f t="shared" si="1742"/>
        <v>528795</v>
      </c>
      <c r="H3597" s="34">
        <f t="shared" ref="H3597:I3614" si="1743">ROUNDDOWN($S3597/4*10,0)</f>
        <v>99537</v>
      </c>
      <c r="I3597" s="34">
        <f t="shared" si="1743"/>
        <v>99537</v>
      </c>
      <c r="J3597" s="34">
        <f t="shared" si="1737"/>
        <v>384157</v>
      </c>
      <c r="K3597" s="133">
        <v>1000</v>
      </c>
      <c r="L3597" s="34"/>
      <c r="M3597" s="16">
        <f t="shared" si="1740"/>
        <v>359733.02209030662</v>
      </c>
      <c r="N3597" s="36">
        <v>810</v>
      </c>
      <c r="O3597" s="36">
        <v>1</v>
      </c>
      <c r="P3597" s="56">
        <v>99537.927390720026</v>
      </c>
      <c r="Q3597" s="2" t="s">
        <v>402</v>
      </c>
      <c r="R3597" s="2" t="s">
        <v>663</v>
      </c>
      <c r="S3597" s="56">
        <f t="shared" si="1741"/>
        <v>39815.170956288013</v>
      </c>
      <c r="T3597" s="114"/>
    </row>
    <row r="3598" spans="1:20" x14ac:dyDescent="0.2">
      <c r="A3598" s="8" t="str">
        <f t="shared" si="1721"/>
        <v>9035319</v>
      </c>
      <c r="B3598" s="8">
        <v>903</v>
      </c>
      <c r="C3598" s="8">
        <v>53</v>
      </c>
      <c r="D3598" s="8" t="s">
        <v>62</v>
      </c>
      <c r="E3598" s="8">
        <v>9</v>
      </c>
      <c r="F3598" s="34">
        <f t="shared" si="1742"/>
        <v>2115180</v>
      </c>
      <c r="G3598" s="34">
        <f t="shared" si="1742"/>
        <v>2115180</v>
      </c>
      <c r="H3598" s="34">
        <f t="shared" si="1743"/>
        <v>99537</v>
      </c>
      <c r="I3598" s="34">
        <f t="shared" si="1743"/>
        <v>99537</v>
      </c>
      <c r="J3598" s="34">
        <f t="shared" si="1737"/>
        <v>5693598</v>
      </c>
      <c r="K3598" s="133">
        <v>1000</v>
      </c>
      <c r="L3598" s="34"/>
      <c r="M3598" s="16">
        <f t="shared" si="1740"/>
        <v>2769805.8385508917</v>
      </c>
      <c r="N3598" s="36">
        <v>735</v>
      </c>
      <c r="O3598" s="36">
        <v>18</v>
      </c>
      <c r="P3598" s="56">
        <v>99537.927390720026</v>
      </c>
      <c r="Q3598" s="2" t="s">
        <v>402</v>
      </c>
      <c r="R3598" s="2" t="s">
        <v>663</v>
      </c>
      <c r="S3598" s="56">
        <f t="shared" si="1741"/>
        <v>39815.170956288013</v>
      </c>
      <c r="T3598" s="114"/>
    </row>
    <row r="3599" spans="1:20" x14ac:dyDescent="0.2">
      <c r="A3599" s="8" t="str">
        <f t="shared" si="1721"/>
        <v>9035411</v>
      </c>
      <c r="B3599" s="8">
        <v>903</v>
      </c>
      <c r="C3599" s="8">
        <v>54</v>
      </c>
      <c r="D3599" s="8" t="s">
        <v>62</v>
      </c>
      <c r="E3599" s="8">
        <v>1</v>
      </c>
      <c r="F3599" s="34">
        <f t="shared" si="1742"/>
        <v>555235</v>
      </c>
      <c r="G3599" s="34">
        <f t="shared" si="1742"/>
        <v>555235</v>
      </c>
      <c r="H3599" s="34">
        <f t="shared" si="1743"/>
        <v>104514</v>
      </c>
      <c r="I3599" s="34">
        <f t="shared" si="1743"/>
        <v>104514</v>
      </c>
      <c r="J3599" s="34">
        <f t="shared" si="1737"/>
        <v>403365</v>
      </c>
      <c r="K3599" s="133">
        <v>1000</v>
      </c>
      <c r="L3599" s="34"/>
      <c r="M3599" s="16">
        <f t="shared" si="1740"/>
        <v>387047.92630667007</v>
      </c>
      <c r="N3599" s="36">
        <v>810</v>
      </c>
      <c r="O3599" s="36">
        <v>1</v>
      </c>
      <c r="P3599" s="56">
        <v>104514.82376025603</v>
      </c>
      <c r="Q3599" s="2" t="s">
        <v>402</v>
      </c>
      <c r="R3599" s="2" t="s">
        <v>664</v>
      </c>
      <c r="S3599" s="56">
        <f t="shared" si="1741"/>
        <v>41805.929504102416</v>
      </c>
      <c r="T3599" s="114"/>
    </row>
    <row r="3600" spans="1:20" x14ac:dyDescent="0.2">
      <c r="A3600" s="8" t="str">
        <f t="shared" si="1721"/>
        <v>9035419</v>
      </c>
      <c r="B3600" s="8">
        <v>903</v>
      </c>
      <c r="C3600" s="8">
        <v>54</v>
      </c>
      <c r="D3600" s="8" t="s">
        <v>62</v>
      </c>
      <c r="E3600" s="8">
        <v>9</v>
      </c>
      <c r="F3600" s="34">
        <f t="shared" si="1742"/>
        <v>2220940</v>
      </c>
      <c r="G3600" s="34">
        <f t="shared" si="1742"/>
        <v>2220940</v>
      </c>
      <c r="H3600" s="34">
        <f t="shared" si="1743"/>
        <v>104514</v>
      </c>
      <c r="I3600" s="34">
        <f t="shared" si="1743"/>
        <v>104514</v>
      </c>
      <c r="J3600" s="34">
        <f t="shared" si="1737"/>
        <v>5978278</v>
      </c>
      <c r="K3600" s="133">
        <v>1000</v>
      </c>
      <c r="L3600" s="34"/>
      <c r="M3600" s="16">
        <f t="shared" si="1740"/>
        <v>2980119.5605785414</v>
      </c>
      <c r="N3600" s="36">
        <v>735</v>
      </c>
      <c r="O3600" s="36">
        <v>18</v>
      </c>
      <c r="P3600" s="56">
        <v>104514.82376025603</v>
      </c>
      <c r="Q3600" s="2" t="s">
        <v>402</v>
      </c>
      <c r="R3600" s="2" t="s">
        <v>664</v>
      </c>
      <c r="S3600" s="56">
        <f t="shared" si="1741"/>
        <v>41805.929504102416</v>
      </c>
      <c r="T3600" s="114"/>
    </row>
    <row r="3601" spans="1:20" x14ac:dyDescent="0.2">
      <c r="A3601" s="18" t="str">
        <f t="shared" si="1721"/>
        <v>9035511</v>
      </c>
      <c r="B3601" s="18">
        <v>903</v>
      </c>
      <c r="C3601" s="18">
        <v>55</v>
      </c>
      <c r="D3601" s="18" t="s">
        <v>62</v>
      </c>
      <c r="E3601" s="18">
        <v>1</v>
      </c>
      <c r="F3601" s="19">
        <f t="shared" si="1742"/>
        <v>557812</v>
      </c>
      <c r="G3601" s="19">
        <f t="shared" si="1742"/>
        <v>557812</v>
      </c>
      <c r="H3601" s="19">
        <f t="shared" si="1743"/>
        <v>105000</v>
      </c>
      <c r="I3601" s="19">
        <f t="shared" si="1743"/>
        <v>105000</v>
      </c>
      <c r="J3601" s="19">
        <f t="shared" si="1737"/>
        <v>405238</v>
      </c>
      <c r="K3601" s="133">
        <v>1000</v>
      </c>
      <c r="L3601" s="19"/>
      <c r="M3601" s="16">
        <f t="shared" si="1740"/>
        <v>389747.77502896922</v>
      </c>
      <c r="N3601" s="36">
        <v>810</v>
      </c>
      <c r="O3601" s="58">
        <v>1</v>
      </c>
      <c r="P3601" s="94">
        <v>105000</v>
      </c>
      <c r="Q3601" s="41" t="s">
        <v>402</v>
      </c>
      <c r="R3601" s="41" t="s">
        <v>665</v>
      </c>
      <c r="S3601" s="94">
        <f t="shared" si="1741"/>
        <v>42000</v>
      </c>
      <c r="T3601" s="114"/>
    </row>
    <row r="3602" spans="1:20" x14ac:dyDescent="0.2">
      <c r="A3602" s="18" t="str">
        <f t="shared" si="1721"/>
        <v>9035519</v>
      </c>
      <c r="B3602" s="18">
        <v>903</v>
      </c>
      <c r="C3602" s="18">
        <v>55</v>
      </c>
      <c r="D3602" s="18" t="s">
        <v>62</v>
      </c>
      <c r="E3602" s="18">
        <v>9</v>
      </c>
      <c r="F3602" s="19">
        <f t="shared" si="1742"/>
        <v>2231250</v>
      </c>
      <c r="G3602" s="19">
        <f t="shared" si="1742"/>
        <v>2231250</v>
      </c>
      <c r="H3602" s="19">
        <f t="shared" si="1743"/>
        <v>105000</v>
      </c>
      <c r="I3602" s="19">
        <f t="shared" si="1743"/>
        <v>105000</v>
      </c>
      <c r="J3602" s="19">
        <f t="shared" si="1737"/>
        <v>6006030</v>
      </c>
      <c r="K3602" s="133">
        <v>1000</v>
      </c>
      <c r="L3602" s="19"/>
      <c r="M3602" s="16">
        <f t="shared" si="1740"/>
        <v>3000906.7599643948</v>
      </c>
      <c r="N3602" s="36">
        <v>735</v>
      </c>
      <c r="O3602" s="58">
        <v>18</v>
      </c>
      <c r="P3602" s="94">
        <v>105000</v>
      </c>
      <c r="Q3602" s="41" t="s">
        <v>402</v>
      </c>
      <c r="R3602" s="41" t="s">
        <v>665</v>
      </c>
      <c r="S3602" s="94">
        <f t="shared" si="1741"/>
        <v>42000</v>
      </c>
      <c r="T3602" s="114"/>
    </row>
    <row r="3603" spans="1:20" x14ac:dyDescent="0.2">
      <c r="A3603" s="8" t="str">
        <f t="shared" si="1721"/>
        <v>9035611</v>
      </c>
      <c r="B3603" s="8">
        <v>903</v>
      </c>
      <c r="C3603" s="8">
        <v>56</v>
      </c>
      <c r="D3603" s="8" t="s">
        <v>62</v>
      </c>
      <c r="E3603" s="8">
        <v>1</v>
      </c>
      <c r="F3603" s="34">
        <f t="shared" si="1742"/>
        <v>617976</v>
      </c>
      <c r="G3603" s="34">
        <f t="shared" si="1742"/>
        <v>617976</v>
      </c>
      <c r="H3603" s="34">
        <f t="shared" si="1743"/>
        <v>116324</v>
      </c>
      <c r="I3603" s="34">
        <f t="shared" si="1743"/>
        <v>116324</v>
      </c>
      <c r="J3603" s="34">
        <f t="shared" si="1737"/>
        <v>448946</v>
      </c>
      <c r="K3603" s="133">
        <v>1000</v>
      </c>
      <c r="L3603" s="34"/>
      <c r="M3603" s="16">
        <f t="shared" si="1740"/>
        <v>454472.39456268959</v>
      </c>
      <c r="N3603" s="36">
        <v>810</v>
      </c>
      <c r="O3603" s="36">
        <v>1</v>
      </c>
      <c r="P3603" s="56">
        <v>116324.99884516497</v>
      </c>
      <c r="Q3603" s="2" t="s">
        <v>402</v>
      </c>
      <c r="R3603" s="2" t="s">
        <v>666</v>
      </c>
      <c r="S3603" s="56">
        <f t="shared" si="1741"/>
        <v>46529.999538065989</v>
      </c>
      <c r="T3603" s="114"/>
    </row>
    <row r="3604" spans="1:20" x14ac:dyDescent="0.2">
      <c r="A3604" s="8" t="str">
        <f t="shared" si="1721"/>
        <v>9035619</v>
      </c>
      <c r="B3604" s="8">
        <v>903</v>
      </c>
      <c r="C3604" s="8">
        <v>56</v>
      </c>
      <c r="D3604" s="8" t="s">
        <v>62</v>
      </c>
      <c r="E3604" s="8">
        <v>9</v>
      </c>
      <c r="F3604" s="34">
        <f t="shared" si="1742"/>
        <v>2471906</v>
      </c>
      <c r="G3604" s="34">
        <f t="shared" si="1742"/>
        <v>2471906</v>
      </c>
      <c r="H3604" s="34">
        <f t="shared" si="1743"/>
        <v>116324</v>
      </c>
      <c r="I3604" s="34">
        <f t="shared" si="1743"/>
        <v>116324</v>
      </c>
      <c r="J3604" s="34">
        <f t="shared" si="1737"/>
        <v>6653824</v>
      </c>
      <c r="K3604" s="133">
        <v>1000</v>
      </c>
      <c r="L3604" s="34"/>
      <c r="M3604" s="16">
        <f t="shared" si="1740"/>
        <v>3499260.5551695973</v>
      </c>
      <c r="N3604" s="36">
        <v>735</v>
      </c>
      <c r="O3604" s="36">
        <v>18</v>
      </c>
      <c r="P3604" s="56">
        <v>116324.99884516497</v>
      </c>
      <c r="Q3604" s="2" t="s">
        <v>402</v>
      </c>
      <c r="R3604" s="2" t="s">
        <v>666</v>
      </c>
      <c r="S3604" s="56">
        <f t="shared" si="1741"/>
        <v>46529.999538065989</v>
      </c>
      <c r="T3604" s="114"/>
    </row>
    <row r="3605" spans="1:20" x14ac:dyDescent="0.2">
      <c r="A3605" s="8" t="str">
        <f t="shared" si="1721"/>
        <v>9035711</v>
      </c>
      <c r="B3605" s="8">
        <v>903</v>
      </c>
      <c r="C3605" s="8">
        <v>57</v>
      </c>
      <c r="D3605" s="8" t="s">
        <v>62</v>
      </c>
      <c r="E3605" s="8">
        <v>1</v>
      </c>
      <c r="F3605" s="34">
        <f t="shared" si="1742"/>
        <v>655055</v>
      </c>
      <c r="G3605" s="34">
        <f t="shared" si="1742"/>
        <v>655055</v>
      </c>
      <c r="H3605" s="34">
        <f t="shared" si="1743"/>
        <v>123304</v>
      </c>
      <c r="I3605" s="34">
        <f t="shared" si="1743"/>
        <v>123304</v>
      </c>
      <c r="J3605" s="34">
        <f t="shared" si="1737"/>
        <v>475882</v>
      </c>
      <c r="K3605" s="133">
        <v>1000</v>
      </c>
      <c r="L3605" s="34"/>
      <c r="M3605" s="16">
        <f t="shared" si="1740"/>
        <v>495983.3432836521</v>
      </c>
      <c r="N3605" s="36">
        <v>810</v>
      </c>
      <c r="O3605" s="36">
        <v>1</v>
      </c>
      <c r="P3605" s="56">
        <v>123304.49877587488</v>
      </c>
      <c r="Q3605" s="2" t="s">
        <v>402</v>
      </c>
      <c r="R3605" s="2" t="s">
        <v>667</v>
      </c>
      <c r="S3605" s="56">
        <f t="shared" si="1741"/>
        <v>49321.799510349956</v>
      </c>
      <c r="T3605" s="114"/>
    </row>
    <row r="3606" spans="1:20" x14ac:dyDescent="0.2">
      <c r="A3606" s="8" t="str">
        <f t="shared" si="1721"/>
        <v>9035719</v>
      </c>
      <c r="B3606" s="8">
        <v>903</v>
      </c>
      <c r="C3606" s="8">
        <v>57</v>
      </c>
      <c r="D3606" s="8" t="s">
        <v>62</v>
      </c>
      <c r="E3606" s="8">
        <v>9</v>
      </c>
      <c r="F3606" s="34">
        <f t="shared" si="1742"/>
        <v>2620220</v>
      </c>
      <c r="G3606" s="34">
        <f t="shared" si="1742"/>
        <v>2620220</v>
      </c>
      <c r="H3606" s="34">
        <f t="shared" si="1743"/>
        <v>123304</v>
      </c>
      <c r="I3606" s="34">
        <f t="shared" si="1743"/>
        <v>123304</v>
      </c>
      <c r="J3606" s="34">
        <f t="shared" si="1737"/>
        <v>7053053</v>
      </c>
      <c r="K3606" s="133">
        <v>1000</v>
      </c>
      <c r="L3606" s="34"/>
      <c r="M3606" s="16">
        <f t="shared" si="1740"/>
        <v>3818880.0894551734</v>
      </c>
      <c r="N3606" s="36">
        <v>735</v>
      </c>
      <c r="O3606" s="36">
        <v>18</v>
      </c>
      <c r="P3606" s="56">
        <v>123304.49877587488</v>
      </c>
      <c r="Q3606" s="2" t="s">
        <v>402</v>
      </c>
      <c r="R3606" s="2" t="s">
        <v>667</v>
      </c>
      <c r="S3606" s="56">
        <f t="shared" si="1741"/>
        <v>49321.799510349956</v>
      </c>
      <c r="T3606" s="114"/>
    </row>
    <row r="3607" spans="1:20" x14ac:dyDescent="0.2">
      <c r="A3607" s="8" t="str">
        <f t="shared" si="1721"/>
        <v>9035811</v>
      </c>
      <c r="B3607" s="8">
        <v>903</v>
      </c>
      <c r="C3607" s="8">
        <v>58</v>
      </c>
      <c r="D3607" s="8" t="s">
        <v>62</v>
      </c>
      <c r="E3607" s="8">
        <v>1</v>
      </c>
      <c r="F3607" s="34">
        <f t="shared" si="1742"/>
        <v>694358</v>
      </c>
      <c r="G3607" s="34">
        <f t="shared" si="1742"/>
        <v>694358</v>
      </c>
      <c r="H3607" s="34">
        <f t="shared" si="1743"/>
        <v>130702</v>
      </c>
      <c r="I3607" s="34">
        <f t="shared" si="1743"/>
        <v>130702</v>
      </c>
      <c r="J3607" s="34">
        <f t="shared" si="1737"/>
        <v>504435</v>
      </c>
      <c r="K3607" s="133">
        <v>1000</v>
      </c>
      <c r="L3607" s="34"/>
      <c r="M3607" s="16">
        <f t="shared" si="1740"/>
        <v>541284.30123189918</v>
      </c>
      <c r="N3607" s="36">
        <v>810</v>
      </c>
      <c r="O3607" s="36">
        <v>1</v>
      </c>
      <c r="P3607" s="56">
        <v>130702.76870242738</v>
      </c>
      <c r="Q3607" s="2" t="s">
        <v>402</v>
      </c>
      <c r="R3607" s="2" t="s">
        <v>668</v>
      </c>
      <c r="S3607" s="56">
        <f t="shared" si="1741"/>
        <v>52281.107480970953</v>
      </c>
      <c r="T3607" s="114"/>
    </row>
    <row r="3608" spans="1:20" x14ac:dyDescent="0.2">
      <c r="A3608" s="8" t="str">
        <f t="shared" si="1721"/>
        <v>9035819</v>
      </c>
      <c r="B3608" s="8">
        <v>903</v>
      </c>
      <c r="C3608" s="8">
        <v>58</v>
      </c>
      <c r="D3608" s="8" t="s">
        <v>62</v>
      </c>
      <c r="E3608" s="8">
        <v>9</v>
      </c>
      <c r="F3608" s="34">
        <f t="shared" si="1742"/>
        <v>2777433</v>
      </c>
      <c r="G3608" s="34">
        <f t="shared" si="1742"/>
        <v>2777433</v>
      </c>
      <c r="H3608" s="34">
        <f t="shared" si="1743"/>
        <v>130702</v>
      </c>
      <c r="I3608" s="34">
        <f t="shared" si="1743"/>
        <v>130702</v>
      </c>
      <c r="J3608" s="34">
        <f t="shared" si="1737"/>
        <v>7476236</v>
      </c>
      <c r="K3608" s="133">
        <v>1000</v>
      </c>
      <c r="L3608" s="34"/>
      <c r="M3608" s="16">
        <f t="shared" si="1740"/>
        <v>4167680.3304523337</v>
      </c>
      <c r="N3608" s="36">
        <v>735</v>
      </c>
      <c r="O3608" s="36">
        <v>18</v>
      </c>
      <c r="P3608" s="56">
        <v>130702.76870242738</v>
      </c>
      <c r="Q3608" s="2" t="s">
        <v>402</v>
      </c>
      <c r="R3608" s="2" t="s">
        <v>668</v>
      </c>
      <c r="S3608" s="56">
        <f t="shared" si="1741"/>
        <v>52281.107480970953</v>
      </c>
      <c r="T3608" s="114"/>
    </row>
    <row r="3609" spans="1:20" x14ac:dyDescent="0.2">
      <c r="A3609" s="18" t="str">
        <f t="shared" si="1721"/>
        <v>9035911</v>
      </c>
      <c r="B3609" s="18">
        <v>903</v>
      </c>
      <c r="C3609" s="18">
        <v>59</v>
      </c>
      <c r="D3609" s="18" t="s">
        <v>62</v>
      </c>
      <c r="E3609" s="18">
        <v>1</v>
      </c>
      <c r="F3609" s="19">
        <f t="shared" si="1742"/>
        <v>762343</v>
      </c>
      <c r="G3609" s="19">
        <f t="shared" si="1742"/>
        <v>762343</v>
      </c>
      <c r="H3609" s="19">
        <f t="shared" si="1743"/>
        <v>143500</v>
      </c>
      <c r="I3609" s="19">
        <f t="shared" si="1743"/>
        <v>143500</v>
      </c>
      <c r="J3609" s="19">
        <f t="shared" si="1737"/>
        <v>553825</v>
      </c>
      <c r="K3609" s="133">
        <v>1000</v>
      </c>
      <c r="L3609" s="19"/>
      <c r="M3609" s="16">
        <f t="shared" si="1740"/>
        <v>622697.93289992528</v>
      </c>
      <c r="N3609" s="36">
        <v>810</v>
      </c>
      <c r="O3609" s="58">
        <v>1</v>
      </c>
      <c r="P3609" s="94">
        <v>143500</v>
      </c>
      <c r="Q3609" s="41" t="s">
        <v>402</v>
      </c>
      <c r="R3609" s="41" t="s">
        <v>669</v>
      </c>
      <c r="S3609" s="94">
        <f t="shared" si="1741"/>
        <v>57400</v>
      </c>
      <c r="T3609" s="114"/>
    </row>
    <row r="3610" spans="1:20" x14ac:dyDescent="0.2">
      <c r="A3610" s="18" t="str">
        <f t="shared" si="1721"/>
        <v>9035919</v>
      </c>
      <c r="B3610" s="18">
        <v>903</v>
      </c>
      <c r="C3610" s="18">
        <v>59</v>
      </c>
      <c r="D3610" s="18" t="s">
        <v>62</v>
      </c>
      <c r="E3610" s="18">
        <v>9</v>
      </c>
      <c r="F3610" s="19">
        <f t="shared" si="1742"/>
        <v>3049375</v>
      </c>
      <c r="G3610" s="19">
        <f t="shared" si="1742"/>
        <v>3049375</v>
      </c>
      <c r="H3610" s="19">
        <f t="shared" si="1743"/>
        <v>143500</v>
      </c>
      <c r="I3610" s="19">
        <f t="shared" si="1743"/>
        <v>143500</v>
      </c>
      <c r="J3610" s="19">
        <f t="shared" si="1737"/>
        <v>8208242</v>
      </c>
      <c r="K3610" s="133">
        <v>1000</v>
      </c>
      <c r="L3610" s="19"/>
      <c r="M3610" s="16">
        <f t="shared" si="1740"/>
        <v>4794534.3152523171</v>
      </c>
      <c r="N3610" s="36">
        <v>735</v>
      </c>
      <c r="O3610" s="58">
        <v>18</v>
      </c>
      <c r="P3610" s="94">
        <v>143500</v>
      </c>
      <c r="Q3610" s="41" t="s">
        <v>402</v>
      </c>
      <c r="R3610" s="41" t="s">
        <v>669</v>
      </c>
      <c r="S3610" s="94">
        <f t="shared" si="1741"/>
        <v>57400</v>
      </c>
      <c r="T3610" s="114"/>
    </row>
    <row r="3611" spans="1:20" x14ac:dyDescent="0.2">
      <c r="A3611" s="8" t="str">
        <f t="shared" si="1721"/>
        <v>9036011</v>
      </c>
      <c r="B3611" s="8">
        <v>903</v>
      </c>
      <c r="C3611" s="8">
        <v>60</v>
      </c>
      <c r="D3611" s="8" t="s">
        <v>62</v>
      </c>
      <c r="E3611" s="8">
        <v>1</v>
      </c>
      <c r="F3611" s="34">
        <f t="shared" si="1742"/>
        <v>780181</v>
      </c>
      <c r="G3611" s="34">
        <f t="shared" si="1742"/>
        <v>780181</v>
      </c>
      <c r="H3611" s="34">
        <f t="shared" si="1743"/>
        <v>146857</v>
      </c>
      <c r="I3611" s="34">
        <f t="shared" si="1743"/>
        <v>146857</v>
      </c>
      <c r="J3611" s="34">
        <f t="shared" si="1737"/>
        <v>566784</v>
      </c>
      <c r="K3611" s="133">
        <v>1000</v>
      </c>
      <c r="L3611" s="34"/>
      <c r="M3611" s="16">
        <f t="shared" si="1740"/>
        <v>644679.39370552986</v>
      </c>
      <c r="N3611" s="36">
        <v>810</v>
      </c>
      <c r="O3611" s="36">
        <v>1</v>
      </c>
      <c r="P3611" s="56">
        <v>146857.63091404742</v>
      </c>
      <c r="Q3611" s="2" t="s">
        <v>402</v>
      </c>
      <c r="R3611" s="2" t="s">
        <v>670</v>
      </c>
      <c r="S3611" s="56">
        <f t="shared" si="1741"/>
        <v>58743.052365618969</v>
      </c>
      <c r="T3611" s="114"/>
    </row>
    <row r="3612" spans="1:20" x14ac:dyDescent="0.2">
      <c r="A3612" s="8" t="str">
        <f t="shared" si="1721"/>
        <v>9036019</v>
      </c>
      <c r="B3612" s="8">
        <v>903</v>
      </c>
      <c r="C3612" s="8">
        <v>60</v>
      </c>
      <c r="D3612" s="8" t="s">
        <v>62</v>
      </c>
      <c r="E3612" s="8">
        <v>9</v>
      </c>
      <c r="F3612" s="34">
        <f t="shared" si="1742"/>
        <v>3120724</v>
      </c>
      <c r="G3612" s="34">
        <f t="shared" si="1742"/>
        <v>3120724</v>
      </c>
      <c r="H3612" s="34">
        <f t="shared" si="1743"/>
        <v>146857</v>
      </c>
      <c r="I3612" s="34">
        <f t="shared" si="1743"/>
        <v>146857</v>
      </c>
      <c r="J3612" s="34">
        <f t="shared" si="1737"/>
        <v>8400299</v>
      </c>
      <c r="K3612" s="133">
        <v>1000</v>
      </c>
      <c r="L3612" s="34"/>
      <c r="M3612" s="16">
        <f t="shared" si="1740"/>
        <v>4963778.1824930897</v>
      </c>
      <c r="N3612" s="36">
        <v>735</v>
      </c>
      <c r="O3612" s="36">
        <v>18</v>
      </c>
      <c r="P3612" s="56">
        <v>146857.63091404742</v>
      </c>
      <c r="Q3612" s="2" t="s">
        <v>402</v>
      </c>
      <c r="R3612" s="2" t="s">
        <v>670</v>
      </c>
      <c r="S3612" s="56">
        <f t="shared" si="1741"/>
        <v>58743.052365618969</v>
      </c>
      <c r="T3612" s="114"/>
    </row>
    <row r="3613" spans="1:20" x14ac:dyDescent="0.2">
      <c r="A3613" s="8" t="str">
        <f t="shared" si="1721"/>
        <v>9036111</v>
      </c>
      <c r="B3613" s="8">
        <v>903</v>
      </c>
      <c r="C3613" s="8">
        <v>61</v>
      </c>
      <c r="D3613" s="8" t="s">
        <v>62</v>
      </c>
      <c r="E3613" s="8">
        <v>1</v>
      </c>
      <c r="F3613" s="34">
        <f t="shared" ref="F3613:G3632" si="1744">ROUNDDOWN($P3613/4*MIN($O3613,4)*10*$N3613/$N3613*$Q3613/400,0)</f>
        <v>826992</v>
      </c>
      <c r="G3613" s="34">
        <f t="shared" si="1744"/>
        <v>826992</v>
      </c>
      <c r="H3613" s="34">
        <f t="shared" si="1743"/>
        <v>155669</v>
      </c>
      <c r="I3613" s="34">
        <f t="shared" si="1743"/>
        <v>155669</v>
      </c>
      <c r="J3613" s="34">
        <f t="shared" si="1737"/>
        <v>600791</v>
      </c>
      <c r="K3613" s="133">
        <v>1000</v>
      </c>
      <c r="L3613" s="34"/>
      <c r="M3613" s="16">
        <f t="shared" si="1740"/>
        <v>703563.69011373899</v>
      </c>
      <c r="N3613" s="36">
        <v>810</v>
      </c>
      <c r="O3613" s="36">
        <v>1</v>
      </c>
      <c r="P3613" s="56">
        <v>155669.08876889027</v>
      </c>
      <c r="Q3613" s="2" t="s">
        <v>402</v>
      </c>
      <c r="R3613" s="2" t="s">
        <v>671</v>
      </c>
      <c r="S3613" s="56">
        <f t="shared" si="1741"/>
        <v>62267.635507556115</v>
      </c>
      <c r="T3613" s="114"/>
    </row>
    <row r="3614" spans="1:20" x14ac:dyDescent="0.2">
      <c r="A3614" s="8" t="str">
        <f t="shared" si="1721"/>
        <v>9036119</v>
      </c>
      <c r="B3614" s="8">
        <v>903</v>
      </c>
      <c r="C3614" s="8">
        <v>61</v>
      </c>
      <c r="D3614" s="8" t="s">
        <v>62</v>
      </c>
      <c r="E3614" s="8">
        <v>9</v>
      </c>
      <c r="F3614" s="34">
        <f t="shared" si="1744"/>
        <v>3307968</v>
      </c>
      <c r="G3614" s="34">
        <f t="shared" si="1744"/>
        <v>3307968</v>
      </c>
      <c r="H3614" s="34">
        <f t="shared" si="1743"/>
        <v>155669</v>
      </c>
      <c r="I3614" s="34">
        <f t="shared" si="1743"/>
        <v>155669</v>
      </c>
      <c r="J3614" s="34">
        <f t="shared" si="1737"/>
        <v>8904317</v>
      </c>
      <c r="K3614" s="133">
        <v>1000</v>
      </c>
      <c r="L3614" s="34"/>
      <c r="M3614" s="16">
        <f t="shared" si="1740"/>
        <v>5417164.3410711745</v>
      </c>
      <c r="N3614" s="36">
        <v>735</v>
      </c>
      <c r="O3614" s="36">
        <v>18</v>
      </c>
      <c r="P3614" s="56">
        <v>155669.08876889027</v>
      </c>
      <c r="Q3614" s="2" t="s">
        <v>402</v>
      </c>
      <c r="R3614" s="2" t="s">
        <v>671</v>
      </c>
      <c r="S3614" s="56">
        <f t="shared" si="1741"/>
        <v>62267.635507556115</v>
      </c>
      <c r="T3614" s="114"/>
    </row>
    <row r="3615" spans="1:20" x14ac:dyDescent="0.2">
      <c r="A3615" s="8" t="str">
        <f t="shared" si="1721"/>
        <v>9036211</v>
      </c>
      <c r="B3615" s="8">
        <v>903</v>
      </c>
      <c r="C3615" s="8">
        <v>62</v>
      </c>
      <c r="D3615" s="8" t="s">
        <v>62</v>
      </c>
      <c r="E3615" s="8">
        <v>1</v>
      </c>
      <c r="F3615" s="34">
        <f t="shared" si="1744"/>
        <v>876611</v>
      </c>
      <c r="G3615" s="34">
        <f t="shared" si="1744"/>
        <v>876611</v>
      </c>
      <c r="H3615" s="34">
        <f t="shared" ref="H3615:I3630" si="1745">ROUNDDOWN($S3615/4*10,0)</f>
        <v>165009</v>
      </c>
      <c r="I3615" s="34">
        <f t="shared" si="1745"/>
        <v>165009</v>
      </c>
      <c r="J3615" s="34">
        <f t="shared" si="1737"/>
        <v>636838</v>
      </c>
      <c r="K3615" s="133">
        <v>1000</v>
      </c>
      <c r="L3615" s="34"/>
      <c r="M3615" s="16">
        <f t="shared" si="1740"/>
        <v>767824.11184118118</v>
      </c>
      <c r="N3615" s="36">
        <v>810</v>
      </c>
      <c r="O3615" s="36">
        <v>1</v>
      </c>
      <c r="P3615" s="56">
        <v>165009.23409502371</v>
      </c>
      <c r="Q3615" s="2" t="s">
        <v>402</v>
      </c>
      <c r="R3615" s="2" t="s">
        <v>672</v>
      </c>
      <c r="S3615" s="56">
        <f t="shared" si="1741"/>
        <v>66003.693638009485</v>
      </c>
      <c r="T3615" s="114"/>
    </row>
    <row r="3616" spans="1:20" x14ac:dyDescent="0.2">
      <c r="A3616" s="8" t="str">
        <f t="shared" si="1721"/>
        <v>9036219</v>
      </c>
      <c r="B3616" s="8">
        <v>903</v>
      </c>
      <c r="C3616" s="8">
        <v>62</v>
      </c>
      <c r="D3616" s="8" t="s">
        <v>62</v>
      </c>
      <c r="E3616" s="8">
        <v>9</v>
      </c>
      <c r="F3616" s="34">
        <f t="shared" si="1744"/>
        <v>3506446</v>
      </c>
      <c r="G3616" s="34">
        <f t="shared" si="1744"/>
        <v>3506446</v>
      </c>
      <c r="H3616" s="34">
        <f t="shared" si="1745"/>
        <v>165009</v>
      </c>
      <c r="I3616" s="34">
        <f t="shared" si="1745"/>
        <v>165009</v>
      </c>
      <c r="J3616" s="34">
        <f t="shared" si="1737"/>
        <v>9438576</v>
      </c>
      <c r="K3616" s="133">
        <v>1000</v>
      </c>
      <c r="L3616" s="34"/>
      <c r="M3616" s="16">
        <f t="shared" si="1740"/>
        <v>5911948.1880064625</v>
      </c>
      <c r="N3616" s="36">
        <v>735</v>
      </c>
      <c r="O3616" s="36">
        <v>18</v>
      </c>
      <c r="P3616" s="56">
        <v>165009.23409502371</v>
      </c>
      <c r="Q3616" s="2" t="s">
        <v>402</v>
      </c>
      <c r="R3616" s="2" t="s">
        <v>672</v>
      </c>
      <c r="S3616" s="56">
        <f t="shared" si="1741"/>
        <v>66003.693638009485</v>
      </c>
      <c r="T3616" s="114"/>
    </row>
    <row r="3617" spans="1:20" x14ac:dyDescent="0.2">
      <c r="A3617" s="18" t="str">
        <f t="shared" si="1721"/>
        <v>9036311</v>
      </c>
      <c r="B3617" s="18">
        <v>903</v>
      </c>
      <c r="C3617" s="18">
        <v>63</v>
      </c>
      <c r="D3617" s="18" t="s">
        <v>62</v>
      </c>
      <c r="E3617" s="18">
        <v>1</v>
      </c>
      <c r="F3617" s="19">
        <f t="shared" si="1744"/>
        <v>948281</v>
      </c>
      <c r="G3617" s="19">
        <f t="shared" si="1744"/>
        <v>948281</v>
      </c>
      <c r="H3617" s="19">
        <f t="shared" si="1745"/>
        <v>178500</v>
      </c>
      <c r="I3617" s="19">
        <f t="shared" si="1745"/>
        <v>178500</v>
      </c>
      <c r="J3617" s="19">
        <f t="shared" si="1737"/>
        <v>688905</v>
      </c>
      <c r="K3617" s="133">
        <v>1000</v>
      </c>
      <c r="L3617" s="19"/>
      <c r="M3617" s="16">
        <f t="shared" si="1740"/>
        <v>863887.69911443489</v>
      </c>
      <c r="N3617" s="36">
        <v>810</v>
      </c>
      <c r="O3617" s="58">
        <v>1</v>
      </c>
      <c r="P3617" s="94">
        <v>178500</v>
      </c>
      <c r="Q3617" s="41" t="s">
        <v>402</v>
      </c>
      <c r="R3617" s="41" t="s">
        <v>673</v>
      </c>
      <c r="S3617" s="94">
        <f t="shared" si="1741"/>
        <v>71400</v>
      </c>
      <c r="T3617" s="114"/>
    </row>
    <row r="3618" spans="1:20" x14ac:dyDescent="0.2">
      <c r="A3618" s="18" t="str">
        <f t="shared" si="1721"/>
        <v>9036319</v>
      </c>
      <c r="B3618" s="18">
        <v>903</v>
      </c>
      <c r="C3618" s="18">
        <v>63</v>
      </c>
      <c r="D3618" s="18" t="s">
        <v>62</v>
      </c>
      <c r="E3618" s="18">
        <v>9</v>
      </c>
      <c r="F3618" s="19">
        <f t="shared" si="1744"/>
        <v>3793125</v>
      </c>
      <c r="G3618" s="19">
        <f t="shared" si="1744"/>
        <v>3793125</v>
      </c>
      <c r="H3618" s="19">
        <f t="shared" si="1745"/>
        <v>178500</v>
      </c>
      <c r="I3618" s="19">
        <f t="shared" si="1745"/>
        <v>178500</v>
      </c>
      <c r="J3618" s="19">
        <f t="shared" si="1737"/>
        <v>10210252</v>
      </c>
      <c r="K3618" s="133">
        <v>1000</v>
      </c>
      <c r="L3618" s="19"/>
      <c r="M3618" s="16">
        <f t="shared" si="1740"/>
        <v>6651596.6386298565</v>
      </c>
      <c r="N3618" s="36">
        <v>735</v>
      </c>
      <c r="O3618" s="58">
        <v>18</v>
      </c>
      <c r="P3618" s="94">
        <v>178500</v>
      </c>
      <c r="Q3618" s="41" t="s">
        <v>402</v>
      </c>
      <c r="R3618" s="41" t="s">
        <v>673</v>
      </c>
      <c r="S3618" s="94">
        <f t="shared" si="1741"/>
        <v>71400</v>
      </c>
      <c r="T3618" s="114"/>
    </row>
    <row r="3619" spans="1:20" x14ac:dyDescent="0.2">
      <c r="A3619" s="8" t="str">
        <f t="shared" si="1721"/>
        <v>9036411</v>
      </c>
      <c r="B3619" s="8">
        <v>903</v>
      </c>
      <c r="C3619" s="8">
        <v>64</v>
      </c>
      <c r="D3619" s="8" t="s">
        <v>62</v>
      </c>
      <c r="E3619" s="8">
        <v>1</v>
      </c>
      <c r="F3619" s="34">
        <f t="shared" si="1744"/>
        <v>984960</v>
      </c>
      <c r="G3619" s="34">
        <f t="shared" si="1744"/>
        <v>984960</v>
      </c>
      <c r="H3619" s="34">
        <f t="shared" si="1745"/>
        <v>185404</v>
      </c>
      <c r="I3619" s="34">
        <f t="shared" si="1745"/>
        <v>185404</v>
      </c>
      <c r="J3619" s="34">
        <f t="shared" si="1737"/>
        <v>715551</v>
      </c>
      <c r="K3619" s="133">
        <v>1000</v>
      </c>
      <c r="L3619" s="34"/>
      <c r="M3619" s="16">
        <f t="shared" si="1740"/>
        <v>914490.35668787104</v>
      </c>
      <c r="N3619" s="36">
        <v>810</v>
      </c>
      <c r="O3619" s="36">
        <v>1</v>
      </c>
      <c r="P3619" s="56">
        <v>185404.37542916863</v>
      </c>
      <c r="Q3619" s="2" t="s">
        <v>402</v>
      </c>
      <c r="R3619" s="2" t="s">
        <v>674</v>
      </c>
      <c r="S3619" s="56">
        <f t="shared" si="1741"/>
        <v>74161.75017166746</v>
      </c>
      <c r="T3619" s="114"/>
    </row>
    <row r="3620" spans="1:20" x14ac:dyDescent="0.2">
      <c r="A3620" s="8" t="str">
        <f t="shared" si="1721"/>
        <v>9036419</v>
      </c>
      <c r="B3620" s="8">
        <v>903</v>
      </c>
      <c r="C3620" s="8">
        <v>64</v>
      </c>
      <c r="D3620" s="8" t="s">
        <v>62</v>
      </c>
      <c r="E3620" s="8">
        <v>9</v>
      </c>
      <c r="F3620" s="34">
        <f t="shared" si="1744"/>
        <v>3939842</v>
      </c>
      <c r="G3620" s="34">
        <f t="shared" si="1744"/>
        <v>3939842</v>
      </c>
      <c r="H3620" s="34">
        <f t="shared" si="1745"/>
        <v>185404</v>
      </c>
      <c r="I3620" s="34">
        <f t="shared" si="1745"/>
        <v>185404</v>
      </c>
      <c r="J3620" s="34">
        <f t="shared" si="1737"/>
        <v>10605184</v>
      </c>
      <c r="K3620" s="133">
        <v>1000</v>
      </c>
      <c r="L3620" s="34"/>
      <c r="M3620" s="16">
        <f t="shared" si="1740"/>
        <v>7041222.1024730252</v>
      </c>
      <c r="N3620" s="36">
        <v>735</v>
      </c>
      <c r="O3620" s="36">
        <v>18</v>
      </c>
      <c r="P3620" s="56">
        <v>185404.37542916863</v>
      </c>
      <c r="Q3620" s="2" t="s">
        <v>402</v>
      </c>
      <c r="R3620" s="2" t="s">
        <v>674</v>
      </c>
      <c r="S3620" s="56">
        <f t="shared" si="1741"/>
        <v>74161.75017166746</v>
      </c>
      <c r="T3620" s="114"/>
    </row>
    <row r="3621" spans="1:20" x14ac:dyDescent="0.2">
      <c r="A3621" s="8" t="str">
        <f t="shared" si="1721"/>
        <v>9036511</v>
      </c>
      <c r="B3621" s="8">
        <v>903</v>
      </c>
      <c r="C3621" s="8">
        <v>65</v>
      </c>
      <c r="D3621" s="8" t="s">
        <v>62</v>
      </c>
      <c r="E3621" s="8">
        <v>1</v>
      </c>
      <c r="F3621" s="34">
        <f t="shared" si="1744"/>
        <v>1044058</v>
      </c>
      <c r="G3621" s="34">
        <f t="shared" si="1744"/>
        <v>1044058</v>
      </c>
      <c r="H3621" s="34">
        <f t="shared" si="1745"/>
        <v>196528</v>
      </c>
      <c r="I3621" s="34">
        <f t="shared" si="1745"/>
        <v>196528</v>
      </c>
      <c r="J3621" s="34">
        <f t="shared" si="1737"/>
        <v>758484</v>
      </c>
      <c r="K3621" s="133">
        <v>1000</v>
      </c>
      <c r="L3621" s="34"/>
      <c r="M3621" s="16">
        <f t="shared" si="1740"/>
        <v>998016.51719306223</v>
      </c>
      <c r="N3621" s="36">
        <v>810</v>
      </c>
      <c r="O3621" s="36">
        <v>1</v>
      </c>
      <c r="P3621" s="56">
        <v>196528.63795491878</v>
      </c>
      <c r="Q3621" s="2" t="s">
        <v>402</v>
      </c>
      <c r="R3621" s="2" t="s">
        <v>675</v>
      </c>
      <c r="S3621" s="56">
        <f t="shared" si="1741"/>
        <v>78611.455181967525</v>
      </c>
      <c r="T3621" s="114"/>
    </row>
    <row r="3622" spans="1:20" x14ac:dyDescent="0.2">
      <c r="A3622" s="8" t="str">
        <f t="shared" si="1721"/>
        <v>9036519</v>
      </c>
      <c r="B3622" s="8">
        <v>903</v>
      </c>
      <c r="C3622" s="8">
        <v>65</v>
      </c>
      <c r="D3622" s="8" t="s">
        <v>62</v>
      </c>
      <c r="E3622" s="8">
        <v>9</v>
      </c>
      <c r="F3622" s="34">
        <f t="shared" si="1744"/>
        <v>4176233</v>
      </c>
      <c r="G3622" s="34">
        <f t="shared" si="1744"/>
        <v>4176233</v>
      </c>
      <c r="H3622" s="34">
        <f t="shared" si="1745"/>
        <v>196528</v>
      </c>
      <c r="I3622" s="34">
        <f t="shared" si="1745"/>
        <v>196528</v>
      </c>
      <c r="J3622" s="34">
        <f t="shared" ref="J3622:J3674" si="1746">ROUNDDOWN($P3622/4*$O3622*10*$N3622/$Q3622*$N3622/400*0.8,0)</f>
        <v>11241495</v>
      </c>
      <c r="K3622" s="133">
        <v>1000</v>
      </c>
      <c r="L3622" s="34"/>
      <c r="M3622" s="16">
        <f t="shared" si="1740"/>
        <v>7684340.4976821588</v>
      </c>
      <c r="N3622" s="36">
        <v>735</v>
      </c>
      <c r="O3622" s="36">
        <v>18</v>
      </c>
      <c r="P3622" s="56">
        <v>196528.63795491878</v>
      </c>
      <c r="Q3622" s="2" t="s">
        <v>402</v>
      </c>
      <c r="R3622" s="2" t="s">
        <v>675</v>
      </c>
      <c r="S3622" s="56">
        <f t="shared" si="1741"/>
        <v>78611.455181967525</v>
      </c>
      <c r="T3622" s="114"/>
    </row>
    <row r="3623" spans="1:20" x14ac:dyDescent="0.2">
      <c r="A3623" s="8" t="str">
        <f t="shared" si="1721"/>
        <v>9036611</v>
      </c>
      <c r="B3623" s="8">
        <v>903</v>
      </c>
      <c r="C3623" s="8">
        <v>66</v>
      </c>
      <c r="D3623" s="8" t="s">
        <v>62</v>
      </c>
      <c r="E3623" s="8">
        <v>1</v>
      </c>
      <c r="F3623" s="34">
        <f t="shared" si="1744"/>
        <v>1106701</v>
      </c>
      <c r="G3623" s="34">
        <f t="shared" si="1744"/>
        <v>1106701</v>
      </c>
      <c r="H3623" s="34">
        <f t="shared" si="1745"/>
        <v>208320</v>
      </c>
      <c r="I3623" s="34">
        <f t="shared" si="1745"/>
        <v>208320</v>
      </c>
      <c r="J3623" s="34">
        <f t="shared" si="1746"/>
        <v>803994</v>
      </c>
      <c r="K3623" s="133">
        <v>1000</v>
      </c>
      <c r="L3623" s="34"/>
      <c r="M3623" s="16">
        <f t="shared" si="1740"/>
        <v>1089173.3977730188</v>
      </c>
      <c r="N3623" s="36">
        <v>810</v>
      </c>
      <c r="O3623" s="36">
        <v>1</v>
      </c>
      <c r="P3623" s="56">
        <v>208320.3562322139</v>
      </c>
      <c r="Q3623" s="2" t="s">
        <v>402</v>
      </c>
      <c r="R3623" s="2" t="s">
        <v>676</v>
      </c>
      <c r="S3623" s="56">
        <f t="shared" si="1741"/>
        <v>83328.14249288557</v>
      </c>
      <c r="T3623" s="114"/>
    </row>
    <row r="3624" spans="1:20" x14ac:dyDescent="0.2">
      <c r="A3624" s="8" t="str">
        <f t="shared" si="1721"/>
        <v>9036619</v>
      </c>
      <c r="B3624" s="8">
        <v>903</v>
      </c>
      <c r="C3624" s="8">
        <v>66</v>
      </c>
      <c r="D3624" s="8" t="s">
        <v>62</v>
      </c>
      <c r="E3624" s="8">
        <v>9</v>
      </c>
      <c r="F3624" s="34">
        <f t="shared" si="1744"/>
        <v>4426807</v>
      </c>
      <c r="G3624" s="34">
        <f t="shared" si="1744"/>
        <v>4426807</v>
      </c>
      <c r="H3624" s="34">
        <f t="shared" si="1745"/>
        <v>208320</v>
      </c>
      <c r="I3624" s="34">
        <f t="shared" si="1745"/>
        <v>208320</v>
      </c>
      <c r="J3624" s="34">
        <f t="shared" si="1746"/>
        <v>11915985</v>
      </c>
      <c r="K3624" s="133">
        <v>1000</v>
      </c>
      <c r="L3624" s="34"/>
      <c r="M3624" s="16">
        <f t="shared" si="1740"/>
        <v>8386210.095538442</v>
      </c>
      <c r="N3624" s="36">
        <v>735</v>
      </c>
      <c r="O3624" s="36">
        <v>18</v>
      </c>
      <c r="P3624" s="56">
        <v>208320.3562322139</v>
      </c>
      <c r="Q3624" s="2" t="s">
        <v>402</v>
      </c>
      <c r="R3624" s="2" t="s">
        <v>676</v>
      </c>
      <c r="S3624" s="56">
        <f t="shared" si="1741"/>
        <v>83328.14249288557</v>
      </c>
      <c r="T3624" s="114"/>
    </row>
    <row r="3625" spans="1:20" x14ac:dyDescent="0.2">
      <c r="A3625" s="18" t="str">
        <f t="shared" si="1721"/>
        <v>9036711</v>
      </c>
      <c r="B3625" s="18">
        <v>903</v>
      </c>
      <c r="C3625" s="18">
        <v>67</v>
      </c>
      <c r="D3625" s="18" t="s">
        <v>62</v>
      </c>
      <c r="E3625" s="18">
        <v>1</v>
      </c>
      <c r="F3625" s="19">
        <f t="shared" si="1744"/>
        <v>1227187</v>
      </c>
      <c r="G3625" s="19">
        <f t="shared" si="1744"/>
        <v>1227187</v>
      </c>
      <c r="H3625" s="19">
        <f t="shared" si="1745"/>
        <v>190575</v>
      </c>
      <c r="I3625" s="19">
        <f t="shared" si="1745"/>
        <v>190575</v>
      </c>
      <c r="J3625" s="19">
        <f t="shared" si="1746"/>
        <v>891524</v>
      </c>
      <c r="K3625" s="133">
        <v>1000</v>
      </c>
      <c r="L3625" s="19"/>
      <c r="M3625" s="16">
        <f t="shared" si="1740"/>
        <v>1155167.1859576015</v>
      </c>
      <c r="N3625" s="36">
        <v>810</v>
      </c>
      <c r="O3625" s="58">
        <v>1</v>
      </c>
      <c r="P3625" s="94">
        <v>230999.99999999997</v>
      </c>
      <c r="Q3625" s="41" t="s">
        <v>402</v>
      </c>
      <c r="R3625" s="41" t="s">
        <v>677</v>
      </c>
      <c r="S3625" s="94">
        <f>P3625*0.33</f>
        <v>76230</v>
      </c>
      <c r="T3625" s="114"/>
    </row>
    <row r="3626" spans="1:20" x14ac:dyDescent="0.2">
      <c r="A3626" s="18" t="str">
        <f t="shared" si="1721"/>
        <v>9036719</v>
      </c>
      <c r="B3626" s="18">
        <v>903</v>
      </c>
      <c r="C3626" s="18">
        <v>67</v>
      </c>
      <c r="D3626" s="18" t="s">
        <v>62</v>
      </c>
      <c r="E3626" s="18">
        <v>9</v>
      </c>
      <c r="F3626" s="19">
        <f t="shared" si="1744"/>
        <v>4908750</v>
      </c>
      <c r="G3626" s="19">
        <f t="shared" si="1744"/>
        <v>4908750</v>
      </c>
      <c r="H3626" s="19">
        <f t="shared" si="1745"/>
        <v>190575</v>
      </c>
      <c r="I3626" s="19">
        <f t="shared" si="1745"/>
        <v>190575</v>
      </c>
      <c r="J3626" s="19">
        <f t="shared" si="1746"/>
        <v>13213267</v>
      </c>
      <c r="K3626" s="133">
        <v>1000</v>
      </c>
      <c r="L3626" s="19"/>
      <c r="M3626" s="16">
        <f t="shared" si="1740"/>
        <v>8894335.6329419799</v>
      </c>
      <c r="N3626" s="36">
        <v>735</v>
      </c>
      <c r="O3626" s="58">
        <v>18</v>
      </c>
      <c r="P3626" s="94">
        <v>230999.99999999997</v>
      </c>
      <c r="Q3626" s="41" t="s">
        <v>402</v>
      </c>
      <c r="R3626" s="41" t="s">
        <v>677</v>
      </c>
      <c r="S3626" s="94">
        <f>P3626*0.33</f>
        <v>76230</v>
      </c>
      <c r="T3626" s="114"/>
    </row>
    <row r="3627" spans="1:20" x14ac:dyDescent="0.2">
      <c r="A3627" s="8" t="str">
        <f t="shared" si="1721"/>
        <v>9036811</v>
      </c>
      <c r="B3627" s="8">
        <v>903</v>
      </c>
      <c r="C3627" s="8">
        <v>68</v>
      </c>
      <c r="D3627" s="8" t="s">
        <v>62</v>
      </c>
      <c r="E3627" s="8">
        <v>1</v>
      </c>
      <c r="F3627" s="34">
        <f t="shared" si="1744"/>
        <v>1243490</v>
      </c>
      <c r="G3627" s="34">
        <f t="shared" si="1744"/>
        <v>1243490</v>
      </c>
      <c r="H3627" s="34">
        <f t="shared" si="1745"/>
        <v>234068</v>
      </c>
      <c r="I3627" s="34">
        <f t="shared" si="1745"/>
        <v>234068</v>
      </c>
      <c r="J3627" s="34">
        <f t="shared" si="1746"/>
        <v>903367</v>
      </c>
      <c r="K3627" s="133">
        <v>1000</v>
      </c>
      <c r="L3627" s="34"/>
      <c r="M3627" s="16">
        <f t="shared" si="1740"/>
        <v>1297221.8899336327</v>
      </c>
      <c r="N3627" s="36">
        <v>810</v>
      </c>
      <c r="O3627" s="36">
        <v>1</v>
      </c>
      <c r="P3627" s="56">
        <v>234068.75226251554</v>
      </c>
      <c r="Q3627" s="2" t="s">
        <v>402</v>
      </c>
      <c r="R3627" s="2" t="s">
        <v>678</v>
      </c>
      <c r="S3627" s="56">
        <f t="shared" si="1741"/>
        <v>93627.500905006222</v>
      </c>
      <c r="T3627" s="114"/>
    </row>
    <row r="3628" spans="1:20" x14ac:dyDescent="0.2">
      <c r="A3628" s="8" t="str">
        <f t="shared" si="1721"/>
        <v>9036819</v>
      </c>
      <c r="B3628" s="8">
        <v>903</v>
      </c>
      <c r="C3628" s="8">
        <v>68</v>
      </c>
      <c r="D3628" s="8" t="s">
        <v>62</v>
      </c>
      <c r="E3628" s="8">
        <v>9</v>
      </c>
      <c r="F3628" s="34">
        <f t="shared" si="1744"/>
        <v>4973960</v>
      </c>
      <c r="G3628" s="34">
        <f t="shared" si="1744"/>
        <v>4973960</v>
      </c>
      <c r="H3628" s="34">
        <f t="shared" si="1745"/>
        <v>234068</v>
      </c>
      <c r="I3628" s="34">
        <f t="shared" si="1745"/>
        <v>234068</v>
      </c>
      <c r="J3628" s="34">
        <f t="shared" si="1746"/>
        <v>13388801</v>
      </c>
      <c r="K3628" s="133">
        <v>1000</v>
      </c>
      <c r="L3628" s="34"/>
      <c r="M3628" s="16">
        <f t="shared" si="1740"/>
        <v>9988102.6410620138</v>
      </c>
      <c r="N3628" s="36">
        <v>735</v>
      </c>
      <c r="O3628" s="36">
        <v>18</v>
      </c>
      <c r="P3628" s="56">
        <v>234068.75226251554</v>
      </c>
      <c r="Q3628" s="2" t="s">
        <v>402</v>
      </c>
      <c r="R3628" s="2" t="s">
        <v>678</v>
      </c>
      <c r="S3628" s="56">
        <f t="shared" si="1741"/>
        <v>93627.500905006222</v>
      </c>
      <c r="T3628" s="114"/>
    </row>
    <row r="3629" spans="1:20" x14ac:dyDescent="0.2">
      <c r="A3629" s="8" t="str">
        <f t="shared" si="1721"/>
        <v>9036911</v>
      </c>
      <c r="B3629" s="8">
        <v>903</v>
      </c>
      <c r="C3629" s="8">
        <v>69</v>
      </c>
      <c r="D3629" s="8" t="s">
        <v>62</v>
      </c>
      <c r="E3629" s="8">
        <v>1</v>
      </c>
      <c r="F3629" s="34">
        <f t="shared" si="1744"/>
        <v>1318099</v>
      </c>
      <c r="G3629" s="34">
        <f t="shared" si="1744"/>
        <v>1318099</v>
      </c>
      <c r="H3629" s="34">
        <f t="shared" si="1745"/>
        <v>248112</v>
      </c>
      <c r="I3629" s="34">
        <f t="shared" si="1745"/>
        <v>248112</v>
      </c>
      <c r="J3629" s="34">
        <f t="shared" si="1746"/>
        <v>957569</v>
      </c>
      <c r="K3629" s="133">
        <v>1000</v>
      </c>
      <c r="L3629" s="34"/>
      <c r="M3629" s="16">
        <f t="shared" si="1740"/>
        <v>1415705.5218610789</v>
      </c>
      <c r="N3629" s="36">
        <v>810</v>
      </c>
      <c r="O3629" s="36">
        <v>1</v>
      </c>
      <c r="P3629" s="56">
        <v>248112.87739826646</v>
      </c>
      <c r="Q3629" s="2" t="s">
        <v>402</v>
      </c>
      <c r="R3629" s="2" t="s">
        <v>679</v>
      </c>
      <c r="S3629" s="56">
        <f t="shared" si="1741"/>
        <v>99245.150959306586</v>
      </c>
      <c r="T3629" s="114"/>
    </row>
    <row r="3630" spans="1:20" x14ac:dyDescent="0.2">
      <c r="A3630" s="8" t="str">
        <f t="shared" si="1721"/>
        <v>9036919</v>
      </c>
      <c r="B3630" s="8">
        <v>903</v>
      </c>
      <c r="C3630" s="8">
        <v>69</v>
      </c>
      <c r="D3630" s="8" t="s">
        <v>62</v>
      </c>
      <c r="E3630" s="8">
        <v>9</v>
      </c>
      <c r="F3630" s="34">
        <f t="shared" si="1744"/>
        <v>5272398</v>
      </c>
      <c r="G3630" s="34">
        <f t="shared" si="1744"/>
        <v>5272398</v>
      </c>
      <c r="H3630" s="34">
        <f t="shared" si="1745"/>
        <v>248112</v>
      </c>
      <c r="I3630" s="34">
        <f t="shared" si="1745"/>
        <v>248112</v>
      </c>
      <c r="J3630" s="34">
        <f t="shared" si="1746"/>
        <v>14192129</v>
      </c>
      <c r="K3630" s="133">
        <v>1000</v>
      </c>
      <c r="L3630" s="34"/>
      <c r="M3630" s="16">
        <f t="shared" si="1740"/>
        <v>10900382.556989022</v>
      </c>
      <c r="N3630" s="36">
        <v>735</v>
      </c>
      <c r="O3630" s="36">
        <v>18</v>
      </c>
      <c r="P3630" s="56">
        <v>248112.87739826646</v>
      </c>
      <c r="Q3630" s="2" t="s">
        <v>402</v>
      </c>
      <c r="R3630" s="2" t="s">
        <v>679</v>
      </c>
      <c r="S3630" s="56">
        <f t="shared" si="1741"/>
        <v>99245.150959306586</v>
      </c>
      <c r="T3630" s="114"/>
    </row>
    <row r="3631" spans="1:20" x14ac:dyDescent="0.2">
      <c r="A3631" s="8" t="str">
        <f t="shared" si="1721"/>
        <v>9037011</v>
      </c>
      <c r="B3631" s="8">
        <v>903</v>
      </c>
      <c r="C3631" s="8">
        <v>70</v>
      </c>
      <c r="D3631" s="8" t="s">
        <v>62</v>
      </c>
      <c r="E3631" s="8">
        <v>1</v>
      </c>
      <c r="F3631" s="34">
        <f t="shared" si="1744"/>
        <v>1397185</v>
      </c>
      <c r="G3631" s="34">
        <f t="shared" si="1744"/>
        <v>1397185</v>
      </c>
      <c r="H3631" s="34">
        <f t="shared" ref="H3631:I3646" si="1747">ROUNDDOWN($S3631/4*10,0)</f>
        <v>262999</v>
      </c>
      <c r="I3631" s="34">
        <f t="shared" si="1747"/>
        <v>262999</v>
      </c>
      <c r="J3631" s="34">
        <f t="shared" si="1746"/>
        <v>1015023</v>
      </c>
      <c r="K3631" s="133">
        <v>1000</v>
      </c>
      <c r="L3631" s="34"/>
      <c r="M3631" s="16">
        <f t="shared" si="1740"/>
        <v>1545012.2758806129</v>
      </c>
      <c r="N3631" s="36">
        <v>810</v>
      </c>
      <c r="O3631" s="36">
        <v>1</v>
      </c>
      <c r="P3631" s="56">
        <v>262999.65004216251</v>
      </c>
      <c r="Q3631" s="2" t="s">
        <v>402</v>
      </c>
      <c r="R3631" s="2" t="s">
        <v>680</v>
      </c>
      <c r="S3631" s="56">
        <f t="shared" si="1741"/>
        <v>105199.86001686502</v>
      </c>
      <c r="T3631" s="114"/>
    </row>
    <row r="3632" spans="1:20" x14ac:dyDescent="0.2">
      <c r="A3632" s="8" t="str">
        <f t="shared" si="1721"/>
        <v>9037019</v>
      </c>
      <c r="B3632" s="8">
        <v>903</v>
      </c>
      <c r="C3632" s="8">
        <v>70</v>
      </c>
      <c r="D3632" s="8" t="s">
        <v>62</v>
      </c>
      <c r="E3632" s="8">
        <v>9</v>
      </c>
      <c r="F3632" s="34">
        <f t="shared" si="1744"/>
        <v>5588742</v>
      </c>
      <c r="G3632" s="34">
        <f t="shared" si="1744"/>
        <v>5588742</v>
      </c>
      <c r="H3632" s="34">
        <f t="shared" si="1747"/>
        <v>262999</v>
      </c>
      <c r="I3632" s="34">
        <f t="shared" si="1747"/>
        <v>262999</v>
      </c>
      <c r="J3632" s="34">
        <f t="shared" si="1746"/>
        <v>15043657</v>
      </c>
      <c r="K3632" s="133">
        <v>1000</v>
      </c>
      <c r="L3632" s="34"/>
      <c r="M3632" s="16">
        <f t="shared" si="1740"/>
        <v>11895995.126422463</v>
      </c>
      <c r="N3632" s="36">
        <v>735</v>
      </c>
      <c r="O3632" s="36">
        <v>18</v>
      </c>
      <c r="P3632" s="56">
        <v>262999.65004216251</v>
      </c>
      <c r="Q3632" s="2" t="s">
        <v>402</v>
      </c>
      <c r="R3632" s="2" t="s">
        <v>680</v>
      </c>
      <c r="S3632" s="56">
        <f t="shared" si="1741"/>
        <v>105199.86001686502</v>
      </c>
      <c r="T3632" s="114"/>
    </row>
    <row r="3633" spans="1:20" x14ac:dyDescent="0.2">
      <c r="A3633" s="18" t="str">
        <f t="shared" si="1721"/>
        <v>9037111</v>
      </c>
      <c r="B3633" s="18">
        <v>903</v>
      </c>
      <c r="C3633" s="18">
        <v>71</v>
      </c>
      <c r="D3633" s="18" t="s">
        <v>62</v>
      </c>
      <c r="E3633" s="18">
        <v>1</v>
      </c>
      <c r="F3633" s="19">
        <f t="shared" ref="F3633:G3652" si="1748">ROUNDDOWN($P3633/4*MIN($O3633,4)*10*$N3633/$N3633*$Q3633/400,0)</f>
        <v>1487500</v>
      </c>
      <c r="G3633" s="19">
        <f t="shared" si="1748"/>
        <v>1487500</v>
      </c>
      <c r="H3633" s="19">
        <f t="shared" si="1747"/>
        <v>210000</v>
      </c>
      <c r="I3633" s="19">
        <f t="shared" si="1747"/>
        <v>210000</v>
      </c>
      <c r="J3633" s="19">
        <f t="shared" si="1746"/>
        <v>1080635</v>
      </c>
      <c r="K3633" s="133">
        <v>1000</v>
      </c>
      <c r="L3633" s="19"/>
      <c r="M3633" s="16">
        <f t="shared" si="1740"/>
        <v>1469831.790376028</v>
      </c>
      <c r="N3633" s="36">
        <v>810</v>
      </c>
      <c r="O3633" s="58">
        <v>1</v>
      </c>
      <c r="P3633" s="94">
        <v>280000</v>
      </c>
      <c r="Q3633" s="41" t="s">
        <v>402</v>
      </c>
      <c r="R3633" s="41" t="s">
        <v>681</v>
      </c>
      <c r="S3633" s="94">
        <f>P3633*0.3</f>
        <v>84000</v>
      </c>
      <c r="T3633" s="114"/>
    </row>
    <row r="3634" spans="1:20" x14ac:dyDescent="0.2">
      <c r="A3634" s="18" t="str">
        <f t="shared" si="1721"/>
        <v>9037119</v>
      </c>
      <c r="B3634" s="18">
        <v>903</v>
      </c>
      <c r="C3634" s="18">
        <v>71</v>
      </c>
      <c r="D3634" s="18" t="s">
        <v>62</v>
      </c>
      <c r="E3634" s="18">
        <v>9</v>
      </c>
      <c r="F3634" s="19">
        <f t="shared" si="1748"/>
        <v>5950000</v>
      </c>
      <c r="G3634" s="19">
        <f t="shared" si="1748"/>
        <v>5950000</v>
      </c>
      <c r="H3634" s="19">
        <f t="shared" si="1747"/>
        <v>210000</v>
      </c>
      <c r="I3634" s="19">
        <f t="shared" si="1747"/>
        <v>210000</v>
      </c>
      <c r="J3634" s="19">
        <f t="shared" si="1746"/>
        <v>16016082</v>
      </c>
      <c r="K3634" s="133">
        <v>1000</v>
      </c>
      <c r="L3634" s="19"/>
      <c r="M3634" s="16">
        <f t="shared" si="1740"/>
        <v>11317128.811567005</v>
      </c>
      <c r="N3634" s="36">
        <v>735</v>
      </c>
      <c r="O3634" s="58">
        <v>18</v>
      </c>
      <c r="P3634" s="94">
        <v>280000</v>
      </c>
      <c r="Q3634" s="41" t="s">
        <v>402</v>
      </c>
      <c r="R3634" s="41" t="s">
        <v>681</v>
      </c>
      <c r="S3634" s="94">
        <f>P3634*0.3</f>
        <v>84000</v>
      </c>
      <c r="T3634" s="114"/>
    </row>
    <row r="3635" spans="1:20" x14ac:dyDescent="0.2">
      <c r="A3635" s="8" t="str">
        <f t="shared" si="1721"/>
        <v>9037211</v>
      </c>
      <c r="B3635" s="8">
        <v>903</v>
      </c>
      <c r="C3635" s="8">
        <v>72</v>
      </c>
      <c r="D3635" s="8" t="s">
        <v>62</v>
      </c>
      <c r="E3635" s="8">
        <v>1</v>
      </c>
      <c r="F3635" s="34">
        <f t="shared" si="1748"/>
        <v>1569877</v>
      </c>
      <c r="G3635" s="34">
        <f t="shared" si="1748"/>
        <v>1569877</v>
      </c>
      <c r="H3635" s="34">
        <f t="shared" si="1747"/>
        <v>295506</v>
      </c>
      <c r="I3635" s="34">
        <f t="shared" si="1747"/>
        <v>295506</v>
      </c>
      <c r="J3635" s="34">
        <f t="shared" si="1746"/>
        <v>1140480</v>
      </c>
      <c r="K3635" s="133">
        <v>1000</v>
      </c>
      <c r="L3635" s="34"/>
      <c r="M3635" s="16">
        <f t="shared" si="1740"/>
        <v>1840135.4364478388</v>
      </c>
      <c r="N3635" s="36">
        <v>810</v>
      </c>
      <c r="O3635" s="36">
        <v>1</v>
      </c>
      <c r="P3635" s="56">
        <v>295506.40678737377</v>
      </c>
      <c r="Q3635" s="2" t="s">
        <v>402</v>
      </c>
      <c r="R3635" s="2" t="s">
        <v>682</v>
      </c>
      <c r="S3635" s="56">
        <f t="shared" si="1741"/>
        <v>118202.56271494951</v>
      </c>
      <c r="T3635" s="114"/>
    </row>
    <row r="3636" spans="1:20" x14ac:dyDescent="0.2">
      <c r="A3636" s="8" t="str">
        <f t="shared" si="1721"/>
        <v>9037219</v>
      </c>
      <c r="B3636" s="8">
        <v>903</v>
      </c>
      <c r="C3636" s="8">
        <v>72</v>
      </c>
      <c r="D3636" s="8" t="s">
        <v>62</v>
      </c>
      <c r="E3636" s="8">
        <v>9</v>
      </c>
      <c r="F3636" s="34">
        <f t="shared" si="1748"/>
        <v>6279511</v>
      </c>
      <c r="G3636" s="34">
        <f t="shared" si="1748"/>
        <v>6279511</v>
      </c>
      <c r="H3636" s="34">
        <f t="shared" si="1747"/>
        <v>295506</v>
      </c>
      <c r="I3636" s="34">
        <f t="shared" si="1747"/>
        <v>295506</v>
      </c>
      <c r="J3636" s="34">
        <f t="shared" si="1746"/>
        <v>16903053</v>
      </c>
      <c r="K3636" s="133">
        <v>1000</v>
      </c>
      <c r="L3636" s="34"/>
      <c r="M3636" s="16">
        <f t="shared" si="1740"/>
        <v>14168328.838410042</v>
      </c>
      <c r="N3636" s="36">
        <v>735</v>
      </c>
      <c r="O3636" s="36">
        <v>18</v>
      </c>
      <c r="P3636" s="56">
        <v>295506.40678737377</v>
      </c>
      <c r="Q3636" s="2" t="s">
        <v>402</v>
      </c>
      <c r="R3636" s="2" t="s">
        <v>682</v>
      </c>
      <c r="S3636" s="56">
        <f t="shared" si="1741"/>
        <v>118202.56271494951</v>
      </c>
      <c r="T3636" s="114"/>
    </row>
    <row r="3637" spans="1:20" x14ac:dyDescent="0.2">
      <c r="A3637" s="8" t="str">
        <f t="shared" si="1721"/>
        <v>9037311</v>
      </c>
      <c r="B3637" s="8">
        <v>903</v>
      </c>
      <c r="C3637" s="8">
        <v>73</v>
      </c>
      <c r="D3637" s="8" t="s">
        <v>62</v>
      </c>
      <c r="E3637" s="8">
        <v>1</v>
      </c>
      <c r="F3637" s="34">
        <f t="shared" si="1748"/>
        <v>1664070</v>
      </c>
      <c r="G3637" s="34">
        <f t="shared" si="1748"/>
        <v>1664070</v>
      </c>
      <c r="H3637" s="34">
        <f t="shared" si="1747"/>
        <v>313236</v>
      </c>
      <c r="I3637" s="34">
        <f t="shared" si="1747"/>
        <v>313236</v>
      </c>
      <c r="J3637" s="34">
        <f t="shared" si="1746"/>
        <v>1208909</v>
      </c>
      <c r="K3637" s="133">
        <v>1000</v>
      </c>
      <c r="L3637" s="34"/>
      <c r="M3637" s="16">
        <f t="shared" si="1740"/>
        <v>2008206.7508784886</v>
      </c>
      <c r="N3637" s="36">
        <v>810</v>
      </c>
      <c r="O3637" s="36">
        <v>1</v>
      </c>
      <c r="P3637" s="56">
        <v>313236.79119461623</v>
      </c>
      <c r="Q3637" s="2" t="s">
        <v>402</v>
      </c>
      <c r="R3637" s="2" t="s">
        <v>683</v>
      </c>
      <c r="S3637" s="56">
        <f t="shared" si="1741"/>
        <v>125294.71647784649</v>
      </c>
      <c r="T3637" s="114"/>
    </row>
    <row r="3638" spans="1:20" x14ac:dyDescent="0.2">
      <c r="A3638" s="8" t="str">
        <f t="shared" si="1721"/>
        <v>9037319</v>
      </c>
      <c r="B3638" s="8">
        <v>903</v>
      </c>
      <c r="C3638" s="8">
        <v>73</v>
      </c>
      <c r="D3638" s="8" t="s">
        <v>62</v>
      </c>
      <c r="E3638" s="8">
        <v>9</v>
      </c>
      <c r="F3638" s="34">
        <f t="shared" si="1748"/>
        <v>6656281</v>
      </c>
      <c r="G3638" s="34">
        <f t="shared" si="1748"/>
        <v>6656281</v>
      </c>
      <c r="H3638" s="34">
        <f t="shared" si="1747"/>
        <v>313236</v>
      </c>
      <c r="I3638" s="34">
        <f t="shared" si="1747"/>
        <v>313236</v>
      </c>
      <c r="J3638" s="34">
        <f t="shared" si="1746"/>
        <v>17917236</v>
      </c>
      <c r="K3638" s="133">
        <v>1000</v>
      </c>
      <c r="L3638" s="34"/>
      <c r="M3638" s="16">
        <f t="shared" si="1740"/>
        <v>15462408.854560776</v>
      </c>
      <c r="N3638" s="36">
        <v>735</v>
      </c>
      <c r="O3638" s="36">
        <v>18</v>
      </c>
      <c r="P3638" s="56">
        <v>313236.79119461623</v>
      </c>
      <c r="Q3638" s="2" t="s">
        <v>402</v>
      </c>
      <c r="R3638" s="2" t="s">
        <v>683</v>
      </c>
      <c r="S3638" s="56">
        <f t="shared" si="1741"/>
        <v>125294.71647784649</v>
      </c>
      <c r="T3638" s="114"/>
    </row>
    <row r="3639" spans="1:20" x14ac:dyDescent="0.2">
      <c r="A3639" s="8" t="str">
        <f t="shared" si="1721"/>
        <v>9037411</v>
      </c>
      <c r="B3639" s="8">
        <v>903</v>
      </c>
      <c r="C3639" s="8">
        <v>74</v>
      </c>
      <c r="D3639" s="8" t="s">
        <v>62</v>
      </c>
      <c r="E3639" s="8">
        <v>1</v>
      </c>
      <c r="F3639" s="34">
        <f t="shared" si="1748"/>
        <v>1763914</v>
      </c>
      <c r="G3639" s="34">
        <f t="shared" si="1748"/>
        <v>1763914</v>
      </c>
      <c r="H3639" s="34">
        <f t="shared" si="1747"/>
        <v>332030</v>
      </c>
      <c r="I3639" s="34">
        <f t="shared" si="1747"/>
        <v>332030</v>
      </c>
      <c r="J3639" s="34">
        <f t="shared" si="1746"/>
        <v>1281444</v>
      </c>
      <c r="K3639" s="133">
        <v>1000</v>
      </c>
      <c r="L3639" s="34"/>
      <c r="M3639" s="16">
        <f t="shared" si="1740"/>
        <v>2191629.6601508441</v>
      </c>
      <c r="N3639" s="36">
        <v>810</v>
      </c>
      <c r="O3639" s="36">
        <v>1</v>
      </c>
      <c r="P3639" s="56">
        <v>332030.99866629316</v>
      </c>
      <c r="Q3639" s="2" t="s">
        <v>402</v>
      </c>
      <c r="R3639" s="2" t="s">
        <v>684</v>
      </c>
      <c r="S3639" s="56">
        <f t="shared" si="1741"/>
        <v>132812.39946651726</v>
      </c>
      <c r="T3639" s="114"/>
    </row>
    <row r="3640" spans="1:20" x14ac:dyDescent="0.2">
      <c r="A3640" s="8" t="str">
        <f t="shared" si="1721"/>
        <v>9037419</v>
      </c>
      <c r="B3640" s="8">
        <v>903</v>
      </c>
      <c r="C3640" s="8">
        <v>74</v>
      </c>
      <c r="D3640" s="8" t="s">
        <v>62</v>
      </c>
      <c r="E3640" s="8">
        <v>9</v>
      </c>
      <c r="F3640" s="34">
        <f t="shared" si="1748"/>
        <v>7055658</v>
      </c>
      <c r="G3640" s="34">
        <f t="shared" si="1748"/>
        <v>7055658</v>
      </c>
      <c r="H3640" s="34">
        <f t="shared" si="1747"/>
        <v>332030</v>
      </c>
      <c r="I3640" s="34">
        <f t="shared" si="1747"/>
        <v>332030</v>
      </c>
      <c r="J3640" s="34">
        <f t="shared" si="1746"/>
        <v>18992270</v>
      </c>
      <c r="K3640" s="133">
        <v>1000</v>
      </c>
      <c r="L3640" s="34"/>
      <c r="M3640" s="16">
        <f t="shared" si="1740"/>
        <v>16874691.751972344</v>
      </c>
      <c r="N3640" s="36">
        <v>735</v>
      </c>
      <c r="O3640" s="36">
        <v>18</v>
      </c>
      <c r="P3640" s="56">
        <v>332030.99866629316</v>
      </c>
      <c r="Q3640" s="2" t="s">
        <v>402</v>
      </c>
      <c r="R3640" s="2" t="s">
        <v>684</v>
      </c>
      <c r="S3640" s="56">
        <f t="shared" si="1741"/>
        <v>132812.39946651726</v>
      </c>
      <c r="T3640" s="114"/>
    </row>
    <row r="3641" spans="1:20" x14ac:dyDescent="0.2">
      <c r="A3641" s="18" t="str">
        <f t="shared" si="1721"/>
        <v>9037511</v>
      </c>
      <c r="B3641" s="18">
        <v>903</v>
      </c>
      <c r="C3641" s="18">
        <v>75</v>
      </c>
      <c r="D3641" s="18" t="s">
        <v>62</v>
      </c>
      <c r="E3641" s="18">
        <v>1</v>
      </c>
      <c r="F3641" s="19">
        <f t="shared" si="1748"/>
        <v>1673437</v>
      </c>
      <c r="G3641" s="19">
        <f t="shared" si="1748"/>
        <v>1673437</v>
      </c>
      <c r="H3641" s="19">
        <f t="shared" si="1747"/>
        <v>236250</v>
      </c>
      <c r="I3641" s="19">
        <f t="shared" si="1747"/>
        <v>236250</v>
      </c>
      <c r="J3641" s="19">
        <f t="shared" si="1746"/>
        <v>1215714</v>
      </c>
      <c r="K3641" s="133">
        <v>1000</v>
      </c>
      <c r="L3641" s="19"/>
      <c r="M3641" s="16">
        <f t="shared" si="1740"/>
        <v>1753865.5116613749</v>
      </c>
      <c r="N3641" s="36">
        <v>810</v>
      </c>
      <c r="O3641" s="58">
        <v>1</v>
      </c>
      <c r="P3641" s="94">
        <v>315000</v>
      </c>
      <c r="Q3641" s="41" t="s">
        <v>402</v>
      </c>
      <c r="R3641" s="41" t="s">
        <v>685</v>
      </c>
      <c r="S3641" s="94">
        <f>P3641*0.3</f>
        <v>94500</v>
      </c>
      <c r="T3641" s="114"/>
    </row>
    <row r="3642" spans="1:20" x14ac:dyDescent="0.2">
      <c r="A3642" s="18" t="str">
        <f t="shared" si="1721"/>
        <v>9037519</v>
      </c>
      <c r="B3642" s="18">
        <v>903</v>
      </c>
      <c r="C3642" s="18">
        <v>75</v>
      </c>
      <c r="D3642" s="18" t="s">
        <v>62</v>
      </c>
      <c r="E3642" s="18">
        <v>9</v>
      </c>
      <c r="F3642" s="19">
        <f t="shared" si="1748"/>
        <v>6693750</v>
      </c>
      <c r="G3642" s="19">
        <f t="shared" si="1748"/>
        <v>6693750</v>
      </c>
      <c r="H3642" s="19">
        <f t="shared" si="1747"/>
        <v>236250</v>
      </c>
      <c r="I3642" s="19">
        <f t="shared" si="1747"/>
        <v>236250</v>
      </c>
      <c r="J3642" s="19">
        <f t="shared" si="1746"/>
        <v>18018092</v>
      </c>
      <c r="K3642" s="133">
        <v>1000</v>
      </c>
      <c r="L3642" s="19"/>
      <c r="M3642" s="16">
        <f t="shared" si="1740"/>
        <v>13504081.169313222</v>
      </c>
      <c r="N3642" s="36">
        <v>735</v>
      </c>
      <c r="O3642" s="58">
        <v>18</v>
      </c>
      <c r="P3642" s="94">
        <v>315000</v>
      </c>
      <c r="Q3642" s="41" t="s">
        <v>402</v>
      </c>
      <c r="R3642" s="41" t="s">
        <v>685</v>
      </c>
      <c r="S3642" s="94">
        <f>P3642*0.3</f>
        <v>94500</v>
      </c>
      <c r="T3642" s="114"/>
    </row>
    <row r="3643" spans="1:20" x14ac:dyDescent="0.2">
      <c r="A3643" s="8" t="str">
        <f t="shared" si="1721"/>
        <v>9037611</v>
      </c>
      <c r="B3643" s="8">
        <v>903</v>
      </c>
      <c r="C3643" s="8">
        <v>76</v>
      </c>
      <c r="D3643" s="8" t="s">
        <v>62</v>
      </c>
      <c r="E3643" s="8">
        <v>1</v>
      </c>
      <c r="F3643" s="34">
        <f t="shared" si="1748"/>
        <v>1981934</v>
      </c>
      <c r="G3643" s="34">
        <f t="shared" si="1748"/>
        <v>1981934</v>
      </c>
      <c r="H3643" s="34">
        <f t="shared" si="1747"/>
        <v>373070</v>
      </c>
      <c r="I3643" s="34">
        <f t="shared" si="1747"/>
        <v>373070</v>
      </c>
      <c r="J3643" s="34">
        <f t="shared" si="1746"/>
        <v>1439830</v>
      </c>
      <c r="K3643" s="133">
        <v>1000</v>
      </c>
      <c r="L3643" s="34"/>
      <c r="M3643" s="16">
        <f t="shared" ref="M3643:M3706" si="1749">(F3643*J3643*((H3643+I3643)/2)/1000)^(1/2)/10*0.8</f>
        <v>2610269.5290805455</v>
      </c>
      <c r="N3643" s="36">
        <v>810</v>
      </c>
      <c r="O3643" s="36">
        <v>1</v>
      </c>
      <c r="P3643" s="56">
        <v>373070.03010144702</v>
      </c>
      <c r="Q3643" s="2" t="s">
        <v>402</v>
      </c>
      <c r="R3643" s="2" t="s">
        <v>686</v>
      </c>
      <c r="S3643" s="56">
        <f t="shared" si="1741"/>
        <v>149228.01204057882</v>
      </c>
      <c r="T3643" s="114"/>
    </row>
    <row r="3644" spans="1:20" x14ac:dyDescent="0.2">
      <c r="A3644" s="8" t="str">
        <f t="shared" si="1721"/>
        <v>9037619</v>
      </c>
      <c r="B3644" s="8">
        <v>903</v>
      </c>
      <c r="C3644" s="8">
        <v>76</v>
      </c>
      <c r="D3644" s="8" t="s">
        <v>62</v>
      </c>
      <c r="E3644" s="8">
        <v>9</v>
      </c>
      <c r="F3644" s="34">
        <f t="shared" si="1748"/>
        <v>7927738</v>
      </c>
      <c r="G3644" s="34">
        <f t="shared" si="1748"/>
        <v>7927738</v>
      </c>
      <c r="H3644" s="34">
        <f t="shared" si="1747"/>
        <v>373070</v>
      </c>
      <c r="I3644" s="34">
        <f t="shared" si="1747"/>
        <v>373070</v>
      </c>
      <c r="J3644" s="34">
        <f t="shared" si="1746"/>
        <v>21339715</v>
      </c>
      <c r="K3644" s="133">
        <v>1000</v>
      </c>
      <c r="L3644" s="34"/>
      <c r="M3644" s="16">
        <f t="shared" si="1749"/>
        <v>20098058.338191848</v>
      </c>
      <c r="N3644" s="36">
        <v>735</v>
      </c>
      <c r="O3644" s="36">
        <v>18</v>
      </c>
      <c r="P3644" s="56">
        <v>373070.03010144702</v>
      </c>
      <c r="Q3644" s="2" t="s">
        <v>402</v>
      </c>
      <c r="R3644" s="2" t="s">
        <v>686</v>
      </c>
      <c r="S3644" s="56">
        <f t="shared" si="1741"/>
        <v>149228.01204057882</v>
      </c>
      <c r="T3644" s="114"/>
    </row>
    <row r="3645" spans="1:20" x14ac:dyDescent="0.2">
      <c r="A3645" s="8" t="str">
        <f t="shared" si="1721"/>
        <v>9037711</v>
      </c>
      <c r="B3645" s="8">
        <v>903</v>
      </c>
      <c r="C3645" s="8">
        <v>77</v>
      </c>
      <c r="D3645" s="8" t="s">
        <v>62</v>
      </c>
      <c r="E3645" s="8">
        <v>1</v>
      </c>
      <c r="F3645" s="34">
        <f t="shared" si="1748"/>
        <v>2100850</v>
      </c>
      <c r="G3645" s="34">
        <f t="shared" si="1748"/>
        <v>2100850</v>
      </c>
      <c r="H3645" s="34">
        <f t="shared" si="1747"/>
        <v>395454</v>
      </c>
      <c r="I3645" s="34">
        <f t="shared" si="1747"/>
        <v>395454</v>
      </c>
      <c r="J3645" s="34">
        <f t="shared" si="1746"/>
        <v>1526220</v>
      </c>
      <c r="K3645" s="133">
        <v>1000</v>
      </c>
      <c r="L3645" s="34"/>
      <c r="M3645" s="16">
        <f t="shared" si="1749"/>
        <v>2848682.6209811978</v>
      </c>
      <c r="N3645" s="36">
        <v>810</v>
      </c>
      <c r="O3645" s="36">
        <v>1</v>
      </c>
      <c r="P3645" s="56">
        <v>395454.23190753383</v>
      </c>
      <c r="Q3645" s="2" t="s">
        <v>402</v>
      </c>
      <c r="R3645" s="2" t="s">
        <v>687</v>
      </c>
      <c r="S3645" s="56">
        <f t="shared" si="1741"/>
        <v>158181.69276301353</v>
      </c>
      <c r="T3645" s="114"/>
    </row>
    <row r="3646" spans="1:20" x14ac:dyDescent="0.2">
      <c r="A3646" s="8" t="str">
        <f t="shared" si="1721"/>
        <v>9037719</v>
      </c>
      <c r="B3646" s="8">
        <v>903</v>
      </c>
      <c r="C3646" s="8">
        <v>77</v>
      </c>
      <c r="D3646" s="8" t="s">
        <v>62</v>
      </c>
      <c r="E3646" s="8">
        <v>9</v>
      </c>
      <c r="F3646" s="34">
        <f t="shared" si="1748"/>
        <v>8403402</v>
      </c>
      <c r="G3646" s="34">
        <f t="shared" si="1748"/>
        <v>8403402</v>
      </c>
      <c r="H3646" s="34">
        <f t="shared" si="1747"/>
        <v>395454</v>
      </c>
      <c r="I3646" s="34">
        <f t="shared" si="1747"/>
        <v>395454</v>
      </c>
      <c r="J3646" s="34">
        <f t="shared" si="1746"/>
        <v>22620098</v>
      </c>
      <c r="K3646" s="133">
        <v>1000</v>
      </c>
      <c r="L3646" s="34"/>
      <c r="M3646" s="16">
        <f t="shared" si="1749"/>
        <v>21933744.708009571</v>
      </c>
      <c r="N3646" s="36">
        <v>735</v>
      </c>
      <c r="O3646" s="36">
        <v>18</v>
      </c>
      <c r="P3646" s="56">
        <v>395454.23190753383</v>
      </c>
      <c r="Q3646" s="2" t="s">
        <v>402</v>
      </c>
      <c r="R3646" s="2" t="s">
        <v>687</v>
      </c>
      <c r="S3646" s="56">
        <f t="shared" si="1741"/>
        <v>158181.69276301353</v>
      </c>
      <c r="T3646" s="114"/>
    </row>
    <row r="3647" spans="1:20" x14ac:dyDescent="0.2">
      <c r="A3647" s="8" t="str">
        <f t="shared" si="1721"/>
        <v>9037811</v>
      </c>
      <c r="B3647" s="8">
        <v>903</v>
      </c>
      <c r="C3647" s="8">
        <v>78</v>
      </c>
      <c r="D3647" s="8" t="s">
        <v>62</v>
      </c>
      <c r="E3647" s="8">
        <v>1</v>
      </c>
      <c r="F3647" s="34">
        <f t="shared" si="1748"/>
        <v>2226901</v>
      </c>
      <c r="G3647" s="34">
        <f t="shared" si="1748"/>
        <v>2226901</v>
      </c>
      <c r="H3647" s="34">
        <f t="shared" ref="H3647:I3662" si="1750">ROUNDDOWN($S3647/4*10,0)</f>
        <v>419181</v>
      </c>
      <c r="I3647" s="34">
        <f t="shared" si="1750"/>
        <v>419181</v>
      </c>
      <c r="J3647" s="34">
        <f t="shared" si="1746"/>
        <v>1617793</v>
      </c>
      <c r="K3647" s="133">
        <v>1000</v>
      </c>
      <c r="L3647" s="34"/>
      <c r="M3647" s="16">
        <f t="shared" si="1749"/>
        <v>3108871.0792443748</v>
      </c>
      <c r="N3647" s="36">
        <v>810</v>
      </c>
      <c r="O3647" s="36">
        <v>1</v>
      </c>
      <c r="P3647" s="56">
        <v>419181.48582198593</v>
      </c>
      <c r="Q3647" s="2" t="s">
        <v>402</v>
      </c>
      <c r="R3647" s="2" t="s">
        <v>688</v>
      </c>
      <c r="S3647" s="56">
        <f t="shared" ref="S3647:S3674" si="1751">P3647*0.4</f>
        <v>167672.5943287944</v>
      </c>
      <c r="T3647" s="114"/>
    </row>
    <row r="3648" spans="1:20" x14ac:dyDescent="0.2">
      <c r="A3648" s="8" t="str">
        <f t="shared" si="1721"/>
        <v>9037819</v>
      </c>
      <c r="B3648" s="8">
        <v>903</v>
      </c>
      <c r="C3648" s="8">
        <v>78</v>
      </c>
      <c r="D3648" s="8" t="s">
        <v>62</v>
      </c>
      <c r="E3648" s="8">
        <v>9</v>
      </c>
      <c r="F3648" s="34">
        <f t="shared" si="1748"/>
        <v>8907606</v>
      </c>
      <c r="G3648" s="34">
        <f t="shared" si="1748"/>
        <v>8907606</v>
      </c>
      <c r="H3648" s="34">
        <f t="shared" si="1750"/>
        <v>419181</v>
      </c>
      <c r="I3648" s="34">
        <f t="shared" si="1750"/>
        <v>419181</v>
      </c>
      <c r="J3648" s="34">
        <f t="shared" si="1746"/>
        <v>23977304</v>
      </c>
      <c r="K3648" s="133">
        <v>1000</v>
      </c>
      <c r="L3648" s="34"/>
      <c r="M3648" s="16">
        <f t="shared" si="1749"/>
        <v>23937095.696904548</v>
      </c>
      <c r="N3648" s="36">
        <v>735</v>
      </c>
      <c r="O3648" s="36">
        <v>18</v>
      </c>
      <c r="P3648" s="56">
        <v>419181.48582198593</v>
      </c>
      <c r="Q3648" s="2" t="s">
        <v>402</v>
      </c>
      <c r="R3648" s="2" t="s">
        <v>688</v>
      </c>
      <c r="S3648" s="56">
        <f t="shared" si="1751"/>
        <v>167672.5943287944</v>
      </c>
      <c r="T3648" s="114"/>
    </row>
    <row r="3649" spans="1:20" x14ac:dyDescent="0.2">
      <c r="A3649" s="18" t="str">
        <f t="shared" si="1721"/>
        <v>9037911</v>
      </c>
      <c r="B3649" s="18">
        <v>903</v>
      </c>
      <c r="C3649" s="18">
        <v>79</v>
      </c>
      <c r="D3649" s="18" t="s">
        <v>62</v>
      </c>
      <c r="E3649" s="18">
        <v>1</v>
      </c>
      <c r="F3649" s="19">
        <f t="shared" si="1748"/>
        <v>1859375</v>
      </c>
      <c r="G3649" s="19">
        <f t="shared" si="1748"/>
        <v>1859375</v>
      </c>
      <c r="H3649" s="19">
        <f t="shared" si="1750"/>
        <v>262500</v>
      </c>
      <c r="I3649" s="19">
        <f t="shared" si="1750"/>
        <v>262500</v>
      </c>
      <c r="J3649" s="19">
        <f t="shared" si="1746"/>
        <v>1350794</v>
      </c>
      <c r="K3649" s="133">
        <v>1000</v>
      </c>
      <c r="L3649" s="19"/>
      <c r="M3649" s="16">
        <f t="shared" si="1749"/>
        <v>2054152.5643194085</v>
      </c>
      <c r="N3649" s="36">
        <v>810</v>
      </c>
      <c r="O3649" s="58">
        <v>1</v>
      </c>
      <c r="P3649" s="94">
        <v>350000</v>
      </c>
      <c r="Q3649" s="41" t="s">
        <v>402</v>
      </c>
      <c r="R3649" s="41" t="s">
        <v>689</v>
      </c>
      <c r="S3649" s="94">
        <f>P3649*0.3</f>
        <v>105000</v>
      </c>
      <c r="T3649" s="114"/>
    </row>
    <row r="3650" spans="1:20" x14ac:dyDescent="0.2">
      <c r="A3650" s="18" t="str">
        <f t="shared" si="1721"/>
        <v>9037919</v>
      </c>
      <c r="B3650" s="18">
        <v>903</v>
      </c>
      <c r="C3650" s="18">
        <v>79</v>
      </c>
      <c r="D3650" s="18" t="s">
        <v>62</v>
      </c>
      <c r="E3650" s="18">
        <v>9</v>
      </c>
      <c r="F3650" s="19">
        <f t="shared" si="1748"/>
        <v>7437500</v>
      </c>
      <c r="G3650" s="19">
        <f t="shared" si="1748"/>
        <v>7437500</v>
      </c>
      <c r="H3650" s="19">
        <f t="shared" si="1750"/>
        <v>262500</v>
      </c>
      <c r="I3650" s="19">
        <f t="shared" si="1750"/>
        <v>262500</v>
      </c>
      <c r="J3650" s="19">
        <f t="shared" si="1746"/>
        <v>20020102</v>
      </c>
      <c r="K3650" s="133">
        <v>1000</v>
      </c>
      <c r="L3650" s="19"/>
      <c r="M3650" s="16">
        <f t="shared" si="1749"/>
        <v>15816168.135487182</v>
      </c>
      <c r="N3650" s="36">
        <v>735</v>
      </c>
      <c r="O3650" s="58">
        <v>18</v>
      </c>
      <c r="P3650" s="94">
        <v>350000</v>
      </c>
      <c r="Q3650" s="41" t="s">
        <v>402</v>
      </c>
      <c r="R3650" s="41" t="s">
        <v>689</v>
      </c>
      <c r="S3650" s="94">
        <f>P3650*0.3</f>
        <v>105000</v>
      </c>
      <c r="T3650" s="114"/>
    </row>
    <row r="3651" spans="1:20" x14ac:dyDescent="0.2">
      <c r="A3651" s="8" t="str">
        <f t="shared" si="1721"/>
        <v>9038011</v>
      </c>
      <c r="B3651" s="8">
        <v>903</v>
      </c>
      <c r="C3651" s="8">
        <v>80</v>
      </c>
      <c r="D3651" s="8" t="s">
        <v>62</v>
      </c>
      <c r="E3651" s="8">
        <v>1</v>
      </c>
      <c r="F3651" s="34">
        <f t="shared" si="1748"/>
        <v>2502146</v>
      </c>
      <c r="G3651" s="34">
        <f t="shared" si="1748"/>
        <v>2502146</v>
      </c>
      <c r="H3651" s="34">
        <f t="shared" si="1750"/>
        <v>470992</v>
      </c>
      <c r="I3651" s="34">
        <f t="shared" si="1750"/>
        <v>470992</v>
      </c>
      <c r="J3651" s="34">
        <f t="shared" si="1746"/>
        <v>1817753</v>
      </c>
      <c r="K3651" s="133">
        <v>1000</v>
      </c>
      <c r="L3651" s="34"/>
      <c r="M3651" s="16">
        <f t="shared" si="1749"/>
        <v>3702716.9217527732</v>
      </c>
      <c r="N3651" s="36">
        <v>810</v>
      </c>
      <c r="O3651" s="36">
        <v>1</v>
      </c>
      <c r="P3651" s="56">
        <v>470992.31746958342</v>
      </c>
      <c r="Q3651" s="2" t="s">
        <v>402</v>
      </c>
      <c r="R3651" s="2" t="s">
        <v>690</v>
      </c>
      <c r="S3651" s="56">
        <f t="shared" si="1751"/>
        <v>188396.92698783337</v>
      </c>
      <c r="T3651" s="114"/>
    </row>
    <row r="3652" spans="1:20" x14ac:dyDescent="0.2">
      <c r="A3652" s="8" t="str">
        <f t="shared" si="1721"/>
        <v>9038019</v>
      </c>
      <c r="B3652" s="8">
        <v>903</v>
      </c>
      <c r="C3652" s="8">
        <v>80</v>
      </c>
      <c r="D3652" s="8" t="s">
        <v>62</v>
      </c>
      <c r="E3652" s="8">
        <v>9</v>
      </c>
      <c r="F3652" s="34">
        <f t="shared" si="1748"/>
        <v>10008586</v>
      </c>
      <c r="G3652" s="34">
        <f t="shared" si="1748"/>
        <v>10008586</v>
      </c>
      <c r="H3652" s="34">
        <f t="shared" si="1750"/>
        <v>470992</v>
      </c>
      <c r="I3652" s="34">
        <f t="shared" si="1750"/>
        <v>470992</v>
      </c>
      <c r="J3652" s="34">
        <f t="shared" si="1746"/>
        <v>26940899</v>
      </c>
      <c r="K3652" s="133">
        <v>1000</v>
      </c>
      <c r="L3652" s="34"/>
      <c r="M3652" s="16">
        <f t="shared" si="1749"/>
        <v>28509470.855813786</v>
      </c>
      <c r="N3652" s="36">
        <v>735</v>
      </c>
      <c r="O3652" s="36">
        <v>18</v>
      </c>
      <c r="P3652" s="56">
        <v>470992.31746958342</v>
      </c>
      <c r="Q3652" s="2" t="s">
        <v>402</v>
      </c>
      <c r="R3652" s="2" t="s">
        <v>690</v>
      </c>
      <c r="S3652" s="56">
        <f t="shared" si="1751"/>
        <v>188396.92698783337</v>
      </c>
      <c r="T3652" s="114"/>
    </row>
    <row r="3653" spans="1:20" x14ac:dyDescent="0.2">
      <c r="A3653" s="8" t="str">
        <f t="shared" si="1721"/>
        <v>9038111</v>
      </c>
      <c r="B3653" s="8">
        <v>903</v>
      </c>
      <c r="C3653" s="8">
        <v>81</v>
      </c>
      <c r="D3653" s="8" t="s">
        <v>62</v>
      </c>
      <c r="E3653" s="8">
        <v>1</v>
      </c>
      <c r="F3653" s="34">
        <f t="shared" ref="F3653:G3674" si="1752">ROUNDDOWN($P3653/4*MIN($O3653,4)*10*$N3653/$N3653*$Q3653/400,0)</f>
        <v>2652275</v>
      </c>
      <c r="G3653" s="34">
        <f t="shared" si="1752"/>
        <v>2652275</v>
      </c>
      <c r="H3653" s="34">
        <f t="shared" si="1750"/>
        <v>499251</v>
      </c>
      <c r="I3653" s="34">
        <f t="shared" si="1750"/>
        <v>499251</v>
      </c>
      <c r="J3653" s="34">
        <f t="shared" si="1746"/>
        <v>1926818</v>
      </c>
      <c r="K3653" s="133">
        <v>1000</v>
      </c>
      <c r="L3653" s="34"/>
      <c r="M3653" s="16">
        <f t="shared" si="1749"/>
        <v>4040909.107628529</v>
      </c>
      <c r="N3653" s="36">
        <v>810</v>
      </c>
      <c r="O3653" s="36">
        <v>1</v>
      </c>
      <c r="P3653" s="56">
        <v>499251.85651775845</v>
      </c>
      <c r="Q3653" s="2" t="s">
        <v>402</v>
      </c>
      <c r="R3653" s="2" t="s">
        <v>691</v>
      </c>
      <c r="S3653" s="56">
        <f t="shared" si="1751"/>
        <v>199700.7426071034</v>
      </c>
      <c r="T3653" s="114"/>
    </row>
    <row r="3654" spans="1:20" x14ac:dyDescent="0.2">
      <c r="A3654" s="8" t="str">
        <f t="shared" si="1721"/>
        <v>9038119</v>
      </c>
      <c r="B3654" s="8">
        <v>903</v>
      </c>
      <c r="C3654" s="8">
        <v>81</v>
      </c>
      <c r="D3654" s="8" t="s">
        <v>62</v>
      </c>
      <c r="E3654" s="8">
        <v>9</v>
      </c>
      <c r="F3654" s="34">
        <f t="shared" si="1752"/>
        <v>10609101</v>
      </c>
      <c r="G3654" s="34">
        <f t="shared" si="1752"/>
        <v>10609101</v>
      </c>
      <c r="H3654" s="34">
        <f t="shared" si="1750"/>
        <v>499251</v>
      </c>
      <c r="I3654" s="34">
        <f t="shared" si="1750"/>
        <v>499251</v>
      </c>
      <c r="J3654" s="34">
        <f t="shared" si="1746"/>
        <v>28557353</v>
      </c>
      <c r="K3654" s="133">
        <v>1000</v>
      </c>
      <c r="L3654" s="34"/>
      <c r="M3654" s="16">
        <f t="shared" si="1749"/>
        <v>31113418.144173518</v>
      </c>
      <c r="N3654" s="36">
        <v>735</v>
      </c>
      <c r="O3654" s="36">
        <v>18</v>
      </c>
      <c r="P3654" s="56">
        <v>499251.85651775845</v>
      </c>
      <c r="Q3654" s="2" t="s">
        <v>402</v>
      </c>
      <c r="R3654" s="2" t="s">
        <v>691</v>
      </c>
      <c r="S3654" s="56">
        <f t="shared" si="1751"/>
        <v>199700.7426071034</v>
      </c>
      <c r="T3654" s="114"/>
    </row>
    <row r="3655" spans="1:20" x14ac:dyDescent="0.2">
      <c r="A3655" s="8" t="str">
        <f t="shared" si="1721"/>
        <v>9038211</v>
      </c>
      <c r="B3655" s="8">
        <v>903</v>
      </c>
      <c r="C3655" s="8">
        <v>82</v>
      </c>
      <c r="D3655" s="8" t="s">
        <v>62</v>
      </c>
      <c r="E3655" s="8">
        <v>1</v>
      </c>
      <c r="F3655" s="34">
        <f t="shared" si="1752"/>
        <v>2811412</v>
      </c>
      <c r="G3655" s="34">
        <f t="shared" si="1752"/>
        <v>2811412</v>
      </c>
      <c r="H3655" s="34">
        <f t="shared" si="1750"/>
        <v>529206</v>
      </c>
      <c r="I3655" s="34">
        <f t="shared" si="1750"/>
        <v>529206</v>
      </c>
      <c r="J3655" s="34">
        <f t="shared" si="1746"/>
        <v>2042427</v>
      </c>
      <c r="K3655" s="133">
        <v>1000</v>
      </c>
      <c r="L3655" s="34"/>
      <c r="M3655" s="16">
        <f t="shared" si="1749"/>
        <v>4409992.8499685107</v>
      </c>
      <c r="N3655" s="36">
        <v>810</v>
      </c>
      <c r="O3655" s="36">
        <v>1</v>
      </c>
      <c r="P3655" s="56">
        <v>529206.96790882398</v>
      </c>
      <c r="Q3655" s="2" t="s">
        <v>402</v>
      </c>
      <c r="R3655" s="2" t="s">
        <v>692</v>
      </c>
      <c r="S3655" s="56">
        <f t="shared" si="1751"/>
        <v>211682.7871635296</v>
      </c>
      <c r="T3655" s="114"/>
    </row>
    <row r="3656" spans="1:20" x14ac:dyDescent="0.2">
      <c r="A3656" s="8" t="str">
        <f t="shared" si="1721"/>
        <v>9038219</v>
      </c>
      <c r="B3656" s="8">
        <v>903</v>
      </c>
      <c r="C3656" s="8">
        <v>82</v>
      </c>
      <c r="D3656" s="8" t="s">
        <v>62</v>
      </c>
      <c r="E3656" s="8">
        <v>9</v>
      </c>
      <c r="F3656" s="34">
        <f t="shared" si="1752"/>
        <v>11245648</v>
      </c>
      <c r="G3656" s="34">
        <f t="shared" si="1752"/>
        <v>11245648</v>
      </c>
      <c r="H3656" s="34">
        <f t="shared" si="1750"/>
        <v>529206</v>
      </c>
      <c r="I3656" s="34">
        <f t="shared" si="1750"/>
        <v>529206</v>
      </c>
      <c r="J3656" s="34">
        <f t="shared" si="1746"/>
        <v>30270794</v>
      </c>
      <c r="K3656" s="133">
        <v>1000</v>
      </c>
      <c r="L3656" s="34"/>
      <c r="M3656" s="16">
        <f t="shared" si="1749"/>
        <v>33955217.43052534</v>
      </c>
      <c r="N3656" s="36">
        <v>735</v>
      </c>
      <c r="O3656" s="36">
        <v>18</v>
      </c>
      <c r="P3656" s="56">
        <v>529206.96790882398</v>
      </c>
      <c r="Q3656" s="2" t="s">
        <v>402</v>
      </c>
      <c r="R3656" s="2" t="s">
        <v>692</v>
      </c>
      <c r="S3656" s="56">
        <f t="shared" si="1751"/>
        <v>211682.7871635296</v>
      </c>
      <c r="T3656" s="114"/>
    </row>
    <row r="3657" spans="1:20" x14ac:dyDescent="0.2">
      <c r="A3657" s="18" t="str">
        <f t="shared" si="1721"/>
        <v>9038311</v>
      </c>
      <c r="B3657" s="18">
        <v>903</v>
      </c>
      <c r="C3657" s="18">
        <v>83</v>
      </c>
      <c r="D3657" s="18" t="s">
        <v>62</v>
      </c>
      <c r="E3657" s="18">
        <v>1</v>
      </c>
      <c r="F3657" s="19">
        <f t="shared" si="1752"/>
        <v>2231250</v>
      </c>
      <c r="G3657" s="19">
        <f t="shared" si="1752"/>
        <v>2231250</v>
      </c>
      <c r="H3657" s="19">
        <f t="shared" si="1750"/>
        <v>315000</v>
      </c>
      <c r="I3657" s="19">
        <f t="shared" si="1750"/>
        <v>315000</v>
      </c>
      <c r="J3657" s="19">
        <f t="shared" si="1746"/>
        <v>1620952</v>
      </c>
      <c r="K3657" s="133">
        <v>1000</v>
      </c>
      <c r="L3657" s="19"/>
      <c r="M3657" s="16">
        <f t="shared" si="1749"/>
        <v>2700253.0041460935</v>
      </c>
      <c r="N3657" s="36">
        <v>810</v>
      </c>
      <c r="O3657" s="58">
        <v>1</v>
      </c>
      <c r="P3657" s="94">
        <v>420000</v>
      </c>
      <c r="Q3657" s="41" t="s">
        <v>402</v>
      </c>
      <c r="R3657" s="41" t="s">
        <v>693</v>
      </c>
      <c r="S3657" s="94">
        <f>P3657*0.3</f>
        <v>126000</v>
      </c>
      <c r="T3657" s="114"/>
    </row>
    <row r="3658" spans="1:20" x14ac:dyDescent="0.2">
      <c r="A3658" s="18" t="str">
        <f t="shared" si="1721"/>
        <v>9038319</v>
      </c>
      <c r="B3658" s="18">
        <v>903</v>
      </c>
      <c r="C3658" s="18">
        <v>83</v>
      </c>
      <c r="D3658" s="18" t="s">
        <v>62</v>
      </c>
      <c r="E3658" s="18">
        <v>9</v>
      </c>
      <c r="F3658" s="19">
        <f t="shared" si="1752"/>
        <v>8925000</v>
      </c>
      <c r="G3658" s="19">
        <f t="shared" si="1752"/>
        <v>8925000</v>
      </c>
      <c r="H3658" s="19">
        <f t="shared" si="1750"/>
        <v>315000</v>
      </c>
      <c r="I3658" s="19">
        <f t="shared" si="1750"/>
        <v>315000</v>
      </c>
      <c r="J3658" s="19">
        <f t="shared" si="1746"/>
        <v>24024123</v>
      </c>
      <c r="K3658" s="133">
        <v>1000</v>
      </c>
      <c r="L3658" s="19"/>
      <c r="M3658" s="16">
        <f t="shared" si="1749"/>
        <v>20790893.206267018</v>
      </c>
      <c r="N3658" s="36">
        <v>735</v>
      </c>
      <c r="O3658" s="58">
        <v>18</v>
      </c>
      <c r="P3658" s="94">
        <v>420000</v>
      </c>
      <c r="Q3658" s="41" t="s">
        <v>402</v>
      </c>
      <c r="R3658" s="41" t="s">
        <v>693</v>
      </c>
      <c r="S3658" s="94">
        <f>P3658*0.3</f>
        <v>126000</v>
      </c>
      <c r="T3658" s="114"/>
    </row>
    <row r="3659" spans="1:20" x14ac:dyDescent="0.2">
      <c r="A3659" s="8" t="str">
        <f t="shared" si="1721"/>
        <v>9038411</v>
      </c>
      <c r="B3659" s="8">
        <v>903</v>
      </c>
      <c r="C3659" s="8">
        <v>84</v>
      </c>
      <c r="D3659" s="8" t="s">
        <v>62</v>
      </c>
      <c r="E3659" s="8">
        <v>1</v>
      </c>
      <c r="F3659" s="34">
        <f t="shared" si="1752"/>
        <v>3158902</v>
      </c>
      <c r="G3659" s="34">
        <f t="shared" si="1752"/>
        <v>3158902</v>
      </c>
      <c r="H3659" s="34">
        <f t="shared" si="1750"/>
        <v>594616</v>
      </c>
      <c r="I3659" s="34">
        <f t="shared" si="1750"/>
        <v>594616</v>
      </c>
      <c r="J3659" s="34">
        <f t="shared" si="1746"/>
        <v>2294871</v>
      </c>
      <c r="K3659" s="133">
        <v>1000</v>
      </c>
      <c r="L3659" s="34"/>
      <c r="M3659" s="16">
        <f t="shared" si="1749"/>
        <v>5252372.2465807311</v>
      </c>
      <c r="N3659" s="36">
        <v>810</v>
      </c>
      <c r="O3659" s="36">
        <v>1</v>
      </c>
      <c r="P3659" s="56">
        <v>594616.94914235466</v>
      </c>
      <c r="Q3659" s="2" t="s">
        <v>402</v>
      </c>
      <c r="R3659" s="2" t="s">
        <v>694</v>
      </c>
      <c r="S3659" s="56">
        <f t="shared" si="1751"/>
        <v>237846.77965694189</v>
      </c>
      <c r="T3659" s="114"/>
    </row>
    <row r="3660" spans="1:20" x14ac:dyDescent="0.2">
      <c r="A3660" s="8" t="str">
        <f t="shared" si="1721"/>
        <v>9038419</v>
      </c>
      <c r="B3660" s="8">
        <v>903</v>
      </c>
      <c r="C3660" s="8">
        <v>84</v>
      </c>
      <c r="D3660" s="8" t="s">
        <v>62</v>
      </c>
      <c r="E3660" s="8">
        <v>9</v>
      </c>
      <c r="F3660" s="34">
        <f t="shared" si="1752"/>
        <v>12635610</v>
      </c>
      <c r="G3660" s="34">
        <f t="shared" si="1752"/>
        <v>12635610</v>
      </c>
      <c r="H3660" s="34">
        <f t="shared" si="1750"/>
        <v>594616</v>
      </c>
      <c r="I3660" s="34">
        <f t="shared" si="1750"/>
        <v>594616</v>
      </c>
      <c r="J3660" s="34">
        <f t="shared" si="1746"/>
        <v>34012264</v>
      </c>
      <c r="K3660" s="133">
        <v>1000</v>
      </c>
      <c r="L3660" s="34"/>
      <c r="M3660" s="16">
        <f t="shared" si="1749"/>
        <v>40441211.718900442</v>
      </c>
      <c r="N3660" s="36">
        <v>735</v>
      </c>
      <c r="O3660" s="36">
        <v>18</v>
      </c>
      <c r="P3660" s="56">
        <v>594616.94914235466</v>
      </c>
      <c r="Q3660" s="2" t="s">
        <v>402</v>
      </c>
      <c r="R3660" s="2" t="s">
        <v>694</v>
      </c>
      <c r="S3660" s="56">
        <f t="shared" si="1751"/>
        <v>237846.77965694189</v>
      </c>
      <c r="T3660" s="114"/>
    </row>
    <row r="3661" spans="1:20" x14ac:dyDescent="0.2">
      <c r="A3661" s="8" t="str">
        <f t="shared" si="1721"/>
        <v>9038511</v>
      </c>
      <c r="B3661" s="8">
        <v>903</v>
      </c>
      <c r="C3661" s="8">
        <v>85</v>
      </c>
      <c r="D3661" s="8" t="s">
        <v>62</v>
      </c>
      <c r="E3661" s="8">
        <v>1</v>
      </c>
      <c r="F3661" s="34">
        <f t="shared" si="1752"/>
        <v>3348436</v>
      </c>
      <c r="G3661" s="34">
        <f t="shared" si="1752"/>
        <v>3348436</v>
      </c>
      <c r="H3661" s="34">
        <f t="shared" si="1750"/>
        <v>630293</v>
      </c>
      <c r="I3661" s="34">
        <f t="shared" si="1750"/>
        <v>630293</v>
      </c>
      <c r="J3661" s="34">
        <f t="shared" si="1746"/>
        <v>2432563</v>
      </c>
      <c r="K3661" s="133">
        <v>1000</v>
      </c>
      <c r="L3661" s="34"/>
      <c r="M3661" s="16">
        <f t="shared" si="1749"/>
        <v>5732106.8662811965</v>
      </c>
      <c r="N3661" s="36">
        <v>810</v>
      </c>
      <c r="O3661" s="36">
        <v>1</v>
      </c>
      <c r="P3661" s="56">
        <v>630293.96609089605</v>
      </c>
      <c r="Q3661" s="2" t="s">
        <v>402</v>
      </c>
      <c r="R3661" s="2" t="s">
        <v>695</v>
      </c>
      <c r="S3661" s="56">
        <f t="shared" si="1751"/>
        <v>252117.58643635843</v>
      </c>
      <c r="T3661" s="114"/>
    </row>
    <row r="3662" spans="1:20" x14ac:dyDescent="0.2">
      <c r="A3662" s="8" t="str">
        <f t="shared" si="1721"/>
        <v>9038519</v>
      </c>
      <c r="B3662" s="8">
        <v>903</v>
      </c>
      <c r="C3662" s="8">
        <v>85</v>
      </c>
      <c r="D3662" s="8" t="s">
        <v>62</v>
      </c>
      <c r="E3662" s="8">
        <v>9</v>
      </c>
      <c r="F3662" s="34">
        <f t="shared" si="1752"/>
        <v>13393746</v>
      </c>
      <c r="G3662" s="34">
        <f t="shared" si="1752"/>
        <v>13393746</v>
      </c>
      <c r="H3662" s="34">
        <f t="shared" si="1750"/>
        <v>630293</v>
      </c>
      <c r="I3662" s="34">
        <f t="shared" si="1750"/>
        <v>630293</v>
      </c>
      <c r="J3662" s="34">
        <f t="shared" si="1746"/>
        <v>36053000</v>
      </c>
      <c r="K3662" s="133">
        <v>1000</v>
      </c>
      <c r="L3662" s="34"/>
      <c r="M3662" s="16">
        <f t="shared" si="1749"/>
        <v>44134982.890816562</v>
      </c>
      <c r="N3662" s="36">
        <v>735</v>
      </c>
      <c r="O3662" s="36">
        <v>18</v>
      </c>
      <c r="P3662" s="56">
        <v>630293.96609089605</v>
      </c>
      <c r="Q3662" s="2" t="s">
        <v>402</v>
      </c>
      <c r="R3662" s="2" t="s">
        <v>695</v>
      </c>
      <c r="S3662" s="56">
        <f t="shared" si="1751"/>
        <v>252117.58643635843</v>
      </c>
      <c r="T3662" s="114"/>
    </row>
    <row r="3663" spans="1:20" x14ac:dyDescent="0.2">
      <c r="A3663" s="8" t="str">
        <f t="shared" si="1721"/>
        <v>9038611</v>
      </c>
      <c r="B3663" s="8">
        <v>903</v>
      </c>
      <c r="C3663" s="8">
        <v>86</v>
      </c>
      <c r="D3663" s="8" t="s">
        <v>62</v>
      </c>
      <c r="E3663" s="8">
        <v>1</v>
      </c>
      <c r="F3663" s="34">
        <f t="shared" si="1752"/>
        <v>3549342</v>
      </c>
      <c r="G3663" s="34">
        <f t="shared" si="1752"/>
        <v>3549342</v>
      </c>
      <c r="H3663" s="34">
        <f t="shared" ref="H3663:I3674" si="1753">ROUNDDOWN($S3663/4*10,0)</f>
        <v>668111</v>
      </c>
      <c r="I3663" s="34">
        <f t="shared" si="1753"/>
        <v>668111</v>
      </c>
      <c r="J3663" s="34">
        <f t="shared" si="1746"/>
        <v>2578517</v>
      </c>
      <c r="K3663" s="133">
        <v>1000</v>
      </c>
      <c r="L3663" s="34"/>
      <c r="M3663" s="16">
        <f t="shared" si="1749"/>
        <v>6255661.2278698729</v>
      </c>
      <c r="N3663" s="36">
        <v>810</v>
      </c>
      <c r="O3663" s="36">
        <v>1</v>
      </c>
      <c r="P3663" s="56">
        <v>668111.60405634984</v>
      </c>
      <c r="Q3663" s="2" t="s">
        <v>402</v>
      </c>
      <c r="R3663" s="2" t="s">
        <v>696</v>
      </c>
      <c r="S3663" s="56">
        <f t="shared" si="1751"/>
        <v>267244.64162253996</v>
      </c>
      <c r="T3663" s="114"/>
    </row>
    <row r="3664" spans="1:20" x14ac:dyDescent="0.2">
      <c r="A3664" s="8" t="str">
        <f t="shared" si="1721"/>
        <v>9038619</v>
      </c>
      <c r="B3664" s="8">
        <v>903</v>
      </c>
      <c r="C3664" s="8">
        <v>86</v>
      </c>
      <c r="D3664" s="8" t="s">
        <v>62</v>
      </c>
      <c r="E3664" s="8">
        <v>9</v>
      </c>
      <c r="F3664" s="34">
        <f t="shared" si="1752"/>
        <v>14197371</v>
      </c>
      <c r="G3664" s="34">
        <f t="shared" si="1752"/>
        <v>14197371</v>
      </c>
      <c r="H3664" s="34">
        <f t="shared" si="1753"/>
        <v>668111</v>
      </c>
      <c r="I3664" s="34">
        <f t="shared" si="1753"/>
        <v>668111</v>
      </c>
      <c r="J3664" s="34">
        <f t="shared" si="1746"/>
        <v>38216180</v>
      </c>
      <c r="K3664" s="133">
        <v>1000</v>
      </c>
      <c r="L3664" s="34"/>
      <c r="M3664" s="16">
        <f t="shared" si="1749"/>
        <v>48166146.319651239</v>
      </c>
      <c r="N3664" s="36">
        <v>735</v>
      </c>
      <c r="O3664" s="36">
        <v>18</v>
      </c>
      <c r="P3664" s="56">
        <v>668111.60405634984</v>
      </c>
      <c r="Q3664" s="2" t="s">
        <v>402</v>
      </c>
      <c r="R3664" s="2" t="s">
        <v>696</v>
      </c>
      <c r="S3664" s="56">
        <f t="shared" si="1751"/>
        <v>267244.64162253996</v>
      </c>
      <c r="T3664" s="114"/>
    </row>
    <row r="3665" spans="1:20" x14ac:dyDescent="0.2">
      <c r="A3665" s="8" t="str">
        <f t="shared" si="1721"/>
        <v>9038711</v>
      </c>
      <c r="B3665" s="8">
        <v>903</v>
      </c>
      <c r="C3665" s="8">
        <v>87</v>
      </c>
      <c r="D3665" s="8" t="s">
        <v>62</v>
      </c>
      <c r="E3665" s="8">
        <v>1</v>
      </c>
      <c r="F3665" s="34">
        <f t="shared" si="1752"/>
        <v>3762303</v>
      </c>
      <c r="G3665" s="34">
        <f t="shared" si="1752"/>
        <v>3762303</v>
      </c>
      <c r="H3665" s="34">
        <f t="shared" si="1753"/>
        <v>708198</v>
      </c>
      <c r="I3665" s="34">
        <f t="shared" si="1753"/>
        <v>708198</v>
      </c>
      <c r="J3665" s="34">
        <f t="shared" si="1746"/>
        <v>2733228</v>
      </c>
      <c r="K3665" s="133">
        <v>1000</v>
      </c>
      <c r="L3665" s="34"/>
      <c r="M3665" s="16">
        <f t="shared" si="1749"/>
        <v>6827035.3240080923</v>
      </c>
      <c r="N3665" s="36">
        <v>810</v>
      </c>
      <c r="O3665" s="36">
        <v>1</v>
      </c>
      <c r="P3665" s="56">
        <v>708198.30029973085</v>
      </c>
      <c r="Q3665" s="2" t="s">
        <v>402</v>
      </c>
      <c r="R3665" s="2" t="s">
        <v>697</v>
      </c>
      <c r="S3665" s="56">
        <f t="shared" si="1751"/>
        <v>283279.32011989236</v>
      </c>
      <c r="T3665" s="114"/>
    </row>
    <row r="3666" spans="1:20" x14ac:dyDescent="0.2">
      <c r="A3666" s="8" t="str">
        <f t="shared" si="1721"/>
        <v>9038719</v>
      </c>
      <c r="B3666" s="8">
        <v>903</v>
      </c>
      <c r="C3666" s="8">
        <v>87</v>
      </c>
      <c r="D3666" s="8" t="s">
        <v>62</v>
      </c>
      <c r="E3666" s="8">
        <v>9</v>
      </c>
      <c r="F3666" s="34">
        <f t="shared" si="1752"/>
        <v>15049213</v>
      </c>
      <c r="G3666" s="34">
        <f t="shared" si="1752"/>
        <v>15049213</v>
      </c>
      <c r="H3666" s="34">
        <f t="shared" si="1753"/>
        <v>708198</v>
      </c>
      <c r="I3666" s="34">
        <f t="shared" si="1753"/>
        <v>708198</v>
      </c>
      <c r="J3666" s="34">
        <f t="shared" si="1746"/>
        <v>40509151</v>
      </c>
      <c r="K3666" s="133">
        <v>1000</v>
      </c>
      <c r="L3666" s="34"/>
      <c r="M3666" s="16">
        <f t="shared" si="1749"/>
        <v>52565500.04313843</v>
      </c>
      <c r="N3666" s="36">
        <v>735</v>
      </c>
      <c r="O3666" s="36">
        <v>18</v>
      </c>
      <c r="P3666" s="56">
        <v>708198.30029973085</v>
      </c>
      <c r="Q3666" s="2" t="s">
        <v>402</v>
      </c>
      <c r="R3666" s="2" t="s">
        <v>697</v>
      </c>
      <c r="S3666" s="56">
        <f t="shared" si="1751"/>
        <v>283279.32011989236</v>
      </c>
      <c r="T3666" s="114"/>
    </row>
    <row r="3667" spans="1:20" x14ac:dyDescent="0.2">
      <c r="A3667" s="8" t="str">
        <f t="shared" si="1721"/>
        <v>9038811</v>
      </c>
      <c r="B3667" s="8">
        <v>903</v>
      </c>
      <c r="C3667" s="8">
        <v>88</v>
      </c>
      <c r="D3667" s="8" t="s">
        <v>62</v>
      </c>
      <c r="E3667" s="8">
        <v>1</v>
      </c>
      <c r="F3667" s="34">
        <f t="shared" si="1752"/>
        <v>3988041</v>
      </c>
      <c r="G3667" s="34">
        <f t="shared" si="1752"/>
        <v>3988041</v>
      </c>
      <c r="H3667" s="34">
        <f t="shared" si="1753"/>
        <v>750690</v>
      </c>
      <c r="I3667" s="34">
        <f t="shared" si="1753"/>
        <v>750690</v>
      </c>
      <c r="J3667" s="34">
        <f t="shared" si="1746"/>
        <v>2897222</v>
      </c>
      <c r="K3667" s="133">
        <v>1000</v>
      </c>
      <c r="L3667" s="34"/>
      <c r="M3667" s="16">
        <f t="shared" si="1749"/>
        <v>7450595.688296929</v>
      </c>
      <c r="N3667" s="36">
        <v>810</v>
      </c>
      <c r="O3667" s="36">
        <v>1</v>
      </c>
      <c r="P3667" s="56">
        <v>750690.19831771462</v>
      </c>
      <c r="Q3667" s="2" t="s">
        <v>402</v>
      </c>
      <c r="R3667" s="2" t="s">
        <v>698</v>
      </c>
      <c r="S3667" s="56">
        <f t="shared" si="1751"/>
        <v>300276.07932708587</v>
      </c>
      <c r="T3667" s="114"/>
    </row>
    <row r="3668" spans="1:20" x14ac:dyDescent="0.2">
      <c r="A3668" s="8" t="str">
        <f t="shared" si="1721"/>
        <v>9038819</v>
      </c>
      <c r="B3668" s="8">
        <v>903</v>
      </c>
      <c r="C3668" s="8">
        <v>88</v>
      </c>
      <c r="D3668" s="8" t="s">
        <v>62</v>
      </c>
      <c r="E3668" s="8">
        <v>9</v>
      </c>
      <c r="F3668" s="34">
        <f t="shared" si="1752"/>
        <v>15952166</v>
      </c>
      <c r="G3668" s="34">
        <f t="shared" si="1752"/>
        <v>15952166</v>
      </c>
      <c r="H3668" s="34">
        <f t="shared" si="1753"/>
        <v>750690</v>
      </c>
      <c r="I3668" s="34">
        <f t="shared" si="1753"/>
        <v>750690</v>
      </c>
      <c r="J3668" s="34">
        <f t="shared" si="1746"/>
        <v>42939700</v>
      </c>
      <c r="K3668" s="133">
        <v>1000</v>
      </c>
      <c r="L3668" s="34"/>
      <c r="M3668" s="16">
        <f t="shared" si="1749"/>
        <v>57366669.282354504</v>
      </c>
      <c r="N3668" s="36">
        <v>735</v>
      </c>
      <c r="O3668" s="36">
        <v>18</v>
      </c>
      <c r="P3668" s="56">
        <v>750690.19831771462</v>
      </c>
      <c r="Q3668" s="2" t="s">
        <v>402</v>
      </c>
      <c r="R3668" s="2" t="s">
        <v>698</v>
      </c>
      <c r="S3668" s="56">
        <f t="shared" si="1751"/>
        <v>300276.07932708587</v>
      </c>
      <c r="T3668" s="114"/>
    </row>
    <row r="3669" spans="1:20" x14ac:dyDescent="0.2">
      <c r="A3669" s="8" t="str">
        <f t="shared" si="1721"/>
        <v>9038911</v>
      </c>
      <c r="B3669" s="8">
        <v>903</v>
      </c>
      <c r="C3669" s="8">
        <v>89</v>
      </c>
      <c r="D3669" s="8" t="s">
        <v>62</v>
      </c>
      <c r="E3669" s="8">
        <v>1</v>
      </c>
      <c r="F3669" s="34">
        <f t="shared" si="1752"/>
        <v>4227324</v>
      </c>
      <c r="G3669" s="34">
        <f t="shared" si="1752"/>
        <v>4227324</v>
      </c>
      <c r="H3669" s="34">
        <f t="shared" si="1753"/>
        <v>795731</v>
      </c>
      <c r="I3669" s="34">
        <f t="shared" si="1753"/>
        <v>795731</v>
      </c>
      <c r="J3669" s="34">
        <f t="shared" si="1746"/>
        <v>3071055</v>
      </c>
      <c r="K3669" s="133">
        <v>1000</v>
      </c>
      <c r="L3669" s="34"/>
      <c r="M3669" s="16">
        <f t="shared" si="1749"/>
        <v>8131107.2709220164</v>
      </c>
      <c r="N3669" s="36">
        <v>810</v>
      </c>
      <c r="O3669" s="36">
        <v>1</v>
      </c>
      <c r="P3669" s="56">
        <v>795731.61021677766</v>
      </c>
      <c r="Q3669" s="2" t="s">
        <v>402</v>
      </c>
      <c r="R3669" s="2" t="s">
        <v>699</v>
      </c>
      <c r="S3669" s="56">
        <f t="shared" si="1751"/>
        <v>318292.64408671111</v>
      </c>
      <c r="T3669" s="114"/>
    </row>
    <row r="3670" spans="1:20" x14ac:dyDescent="0.2">
      <c r="A3670" s="8" t="str">
        <f t="shared" si="1721"/>
        <v>9038919</v>
      </c>
      <c r="B3670" s="8">
        <v>903</v>
      </c>
      <c r="C3670" s="8">
        <v>89</v>
      </c>
      <c r="D3670" s="8" t="s">
        <v>62</v>
      </c>
      <c r="E3670" s="8">
        <v>9</v>
      </c>
      <c r="F3670" s="34">
        <f t="shared" si="1752"/>
        <v>16909296</v>
      </c>
      <c r="G3670" s="34">
        <f t="shared" si="1752"/>
        <v>16909296</v>
      </c>
      <c r="H3670" s="34">
        <f t="shared" si="1753"/>
        <v>795731</v>
      </c>
      <c r="I3670" s="34">
        <f t="shared" si="1753"/>
        <v>795731</v>
      </c>
      <c r="J3670" s="34">
        <f t="shared" si="1746"/>
        <v>45516082</v>
      </c>
      <c r="K3670" s="133">
        <v>1000</v>
      </c>
      <c r="L3670" s="34"/>
      <c r="M3670" s="16">
        <f t="shared" si="1749"/>
        <v>62606341.329750292</v>
      </c>
      <c r="N3670" s="36">
        <v>735</v>
      </c>
      <c r="O3670" s="36">
        <v>18</v>
      </c>
      <c r="P3670" s="56">
        <v>795731.61021677766</v>
      </c>
      <c r="Q3670" s="2" t="s">
        <v>402</v>
      </c>
      <c r="R3670" s="2" t="s">
        <v>699</v>
      </c>
      <c r="S3670" s="56">
        <f t="shared" si="1751"/>
        <v>318292.64408671111</v>
      </c>
      <c r="T3670" s="114"/>
    </row>
    <row r="3671" spans="1:20" x14ac:dyDescent="0.2">
      <c r="A3671" s="8" t="str">
        <f t="shared" si="1721"/>
        <v>9039011</v>
      </c>
      <c r="B3671" s="8">
        <v>903</v>
      </c>
      <c r="C3671" s="8">
        <v>90</v>
      </c>
      <c r="D3671" s="8" t="s">
        <v>62</v>
      </c>
      <c r="E3671" s="8">
        <v>1</v>
      </c>
      <c r="F3671" s="34">
        <f t="shared" si="1752"/>
        <v>4480963</v>
      </c>
      <c r="G3671" s="34">
        <f t="shared" si="1752"/>
        <v>4480963</v>
      </c>
      <c r="H3671" s="34">
        <f t="shared" si="1753"/>
        <v>843475</v>
      </c>
      <c r="I3671" s="34">
        <f t="shared" si="1753"/>
        <v>843475</v>
      </c>
      <c r="J3671" s="34">
        <f t="shared" si="1746"/>
        <v>3255319</v>
      </c>
      <c r="K3671" s="133">
        <v>1000</v>
      </c>
      <c r="L3671" s="34"/>
      <c r="M3671" s="16">
        <f t="shared" si="1749"/>
        <v>8873777.8032378945</v>
      </c>
      <c r="N3671" s="36">
        <v>810</v>
      </c>
      <c r="O3671" s="36">
        <v>1</v>
      </c>
      <c r="P3671" s="56">
        <v>843475.50682978425</v>
      </c>
      <c r="Q3671" s="2" t="s">
        <v>402</v>
      </c>
      <c r="R3671" s="2" t="s">
        <v>700</v>
      </c>
      <c r="S3671" s="56">
        <f t="shared" si="1751"/>
        <v>337390.20273191371</v>
      </c>
      <c r="T3671" s="114"/>
    </row>
    <row r="3672" spans="1:20" x14ac:dyDescent="0.2">
      <c r="A3672" s="8" t="str">
        <f t="shared" si="1721"/>
        <v>9039019</v>
      </c>
      <c r="B3672" s="8">
        <v>903</v>
      </c>
      <c r="C3672" s="8">
        <v>90</v>
      </c>
      <c r="D3672" s="8" t="s">
        <v>62</v>
      </c>
      <c r="E3672" s="8">
        <v>9</v>
      </c>
      <c r="F3672" s="34">
        <f t="shared" si="1752"/>
        <v>17923854</v>
      </c>
      <c r="G3672" s="34">
        <f t="shared" si="1752"/>
        <v>17923854</v>
      </c>
      <c r="H3672" s="34">
        <f t="shared" si="1753"/>
        <v>843475</v>
      </c>
      <c r="I3672" s="34">
        <f t="shared" si="1753"/>
        <v>843475</v>
      </c>
      <c r="J3672" s="34">
        <f t="shared" si="1746"/>
        <v>48247047</v>
      </c>
      <c r="K3672" s="133">
        <v>1000</v>
      </c>
      <c r="L3672" s="34"/>
      <c r="M3672" s="16">
        <f t="shared" si="1749"/>
        <v>68324610.074357197</v>
      </c>
      <c r="N3672" s="36">
        <v>735</v>
      </c>
      <c r="O3672" s="36">
        <v>18</v>
      </c>
      <c r="P3672" s="56">
        <v>843475.50682978425</v>
      </c>
      <c r="Q3672" s="2" t="s">
        <v>402</v>
      </c>
      <c r="R3672" s="2" t="s">
        <v>700</v>
      </c>
      <c r="S3672" s="56">
        <f t="shared" si="1751"/>
        <v>337390.20273191371</v>
      </c>
      <c r="T3672" s="114"/>
    </row>
    <row r="3673" spans="1:20" x14ac:dyDescent="0.2">
      <c r="A3673" s="8" t="str">
        <f t="shared" si="1721"/>
        <v>9039111</v>
      </c>
      <c r="B3673" s="8">
        <v>903</v>
      </c>
      <c r="C3673" s="8">
        <v>91</v>
      </c>
      <c r="D3673" s="8" t="s">
        <v>62</v>
      </c>
      <c r="E3673" s="8">
        <v>1</v>
      </c>
      <c r="F3673" s="34">
        <f t="shared" si="1752"/>
        <v>4749821</v>
      </c>
      <c r="G3673" s="34">
        <f t="shared" si="1752"/>
        <v>4749821</v>
      </c>
      <c r="H3673" s="34">
        <f t="shared" si="1753"/>
        <v>894084</v>
      </c>
      <c r="I3673" s="34">
        <f t="shared" si="1753"/>
        <v>894084</v>
      </c>
      <c r="J3673" s="34">
        <f t="shared" si="1746"/>
        <v>3450638</v>
      </c>
      <c r="K3673" s="133">
        <v>1000</v>
      </c>
      <c r="L3673" s="34"/>
      <c r="M3673" s="16">
        <f t="shared" si="1749"/>
        <v>9684282.96253483</v>
      </c>
      <c r="N3673" s="36">
        <v>810</v>
      </c>
      <c r="O3673" s="36">
        <v>1</v>
      </c>
      <c r="P3673" s="56">
        <v>894084.03723957133</v>
      </c>
      <c r="Q3673" s="2" t="s">
        <v>402</v>
      </c>
      <c r="R3673" s="2" t="s">
        <v>701</v>
      </c>
      <c r="S3673" s="56">
        <f t="shared" si="1751"/>
        <v>357633.61489582853</v>
      </c>
      <c r="T3673" s="266"/>
    </row>
    <row r="3674" spans="1:20" x14ac:dyDescent="0.2">
      <c r="A3674" s="8" t="str">
        <f t="shared" si="1721"/>
        <v>9039119</v>
      </c>
      <c r="B3674" s="8">
        <v>903</v>
      </c>
      <c r="C3674" s="8">
        <v>91</v>
      </c>
      <c r="D3674" s="8" t="s">
        <v>62</v>
      </c>
      <c r="E3674" s="8">
        <v>9</v>
      </c>
      <c r="F3674" s="34">
        <f t="shared" si="1752"/>
        <v>18999285</v>
      </c>
      <c r="G3674" s="34">
        <f t="shared" si="1752"/>
        <v>18999285</v>
      </c>
      <c r="H3674" s="34">
        <f t="shared" si="1753"/>
        <v>894084</v>
      </c>
      <c r="I3674" s="34">
        <f t="shared" si="1753"/>
        <v>894084</v>
      </c>
      <c r="J3674" s="34">
        <f t="shared" si="1746"/>
        <v>51141869</v>
      </c>
      <c r="K3674" s="133">
        <v>1000</v>
      </c>
      <c r="L3674" s="34"/>
      <c r="M3674" s="16">
        <f t="shared" si="1749"/>
        <v>74565180.755256429</v>
      </c>
      <c r="N3674" s="36">
        <v>735</v>
      </c>
      <c r="O3674" s="36">
        <v>18</v>
      </c>
      <c r="P3674" s="56">
        <v>894084.03723957133</v>
      </c>
      <c r="Q3674" s="2" t="s">
        <v>402</v>
      </c>
      <c r="R3674" s="2" t="s">
        <v>701</v>
      </c>
      <c r="S3674" s="56">
        <f t="shared" si="1751"/>
        <v>357633.61489582853</v>
      </c>
      <c r="T3674" s="266"/>
    </row>
    <row r="3675" spans="1:20" ht="33.75" x14ac:dyDescent="0.2">
      <c r="A3675" s="30" t="str">
        <f t="shared" si="1721"/>
        <v/>
      </c>
      <c r="B3675" s="5"/>
      <c r="C3675" s="93" t="s">
        <v>704</v>
      </c>
      <c r="D3675" s="5"/>
      <c r="E3675" s="5"/>
      <c r="F3675" s="5"/>
      <c r="G3675" s="5"/>
      <c r="H3675" s="5"/>
      <c r="I3675" s="5"/>
      <c r="J3675" s="5"/>
      <c r="K3675" s="5"/>
      <c r="L3675" s="5"/>
      <c r="M3675" s="16">
        <f t="shared" si="1749"/>
        <v>0</v>
      </c>
      <c r="N3675" s="5"/>
      <c r="O3675" s="5"/>
      <c r="P3675" s="5"/>
      <c r="Q3675" s="5"/>
      <c r="R3675" s="5"/>
      <c r="S3675" s="30"/>
    </row>
    <row r="3676" spans="1:20" x14ac:dyDescent="0.2">
      <c r="A3676" s="8" t="str">
        <f t="shared" si="1721"/>
        <v>9040111</v>
      </c>
      <c r="B3676" s="8">
        <v>904</v>
      </c>
      <c r="C3676" s="8">
        <v>1</v>
      </c>
      <c r="D3676" s="8" t="s">
        <v>62</v>
      </c>
      <c r="E3676" s="8">
        <v>1</v>
      </c>
      <c r="F3676" s="34">
        <f t="shared" ref="F3676:G3695" si="1754">ROUNDDOWN($P3676/4*MIN($O3676,4)*10*$N3676/$N3676*$Q3676/400,0)</f>
        <v>13099</v>
      </c>
      <c r="G3676" s="34">
        <f t="shared" si="1754"/>
        <v>13099</v>
      </c>
      <c r="H3676" s="34">
        <f t="shared" ref="H3676:I3756" si="1755">ROUNDDOWN($S3676/4*10,0)</f>
        <v>8002</v>
      </c>
      <c r="I3676" s="34">
        <f t="shared" si="1755"/>
        <v>8002</v>
      </c>
      <c r="J3676" s="34">
        <f>ROUNDDOWN($P3676/4*$O3676*10*$N3676/$Q3676*$N3676/420,0)</f>
        <v>15317</v>
      </c>
      <c r="K3676" s="133">
        <v>1000</v>
      </c>
      <c r="L3676" s="34"/>
      <c r="M3676" s="16">
        <f t="shared" si="1749"/>
        <v>3205.4956197290926</v>
      </c>
      <c r="N3676" s="36">
        <v>810</v>
      </c>
      <c r="O3676" s="36">
        <v>1</v>
      </c>
      <c r="P3676" s="56">
        <v>2867.2</v>
      </c>
      <c r="Q3676" s="2" t="s">
        <v>103</v>
      </c>
      <c r="R3676" s="2" t="s">
        <v>615</v>
      </c>
      <c r="S3676" s="36">
        <v>3201</v>
      </c>
    </row>
    <row r="3677" spans="1:20" x14ac:dyDescent="0.2">
      <c r="A3677" s="8" t="str">
        <f t="shared" si="1721"/>
        <v>9040119</v>
      </c>
      <c r="B3677" s="8">
        <v>904</v>
      </c>
      <c r="C3677" s="8">
        <v>1</v>
      </c>
      <c r="D3677" s="8" t="s">
        <v>62</v>
      </c>
      <c r="E3677" s="8">
        <v>9</v>
      </c>
      <c r="F3677" s="34">
        <f t="shared" si="1754"/>
        <v>52398</v>
      </c>
      <c r="G3677" s="34">
        <f t="shared" si="1754"/>
        <v>52398</v>
      </c>
      <c r="H3677" s="34">
        <f t="shared" si="1755"/>
        <v>8002</v>
      </c>
      <c r="I3677" s="34">
        <f t="shared" si="1755"/>
        <v>8002</v>
      </c>
      <c r="J3677" s="34">
        <f t="shared" ref="J3677:J3740" si="1756">ROUNDDOWN($P3677/4*$O3677*10*$N3677/$Q3677*$N3677/420,0)</f>
        <v>227027</v>
      </c>
      <c r="K3677" s="133">
        <v>1000</v>
      </c>
      <c r="L3677" s="34"/>
      <c r="M3677" s="16">
        <f t="shared" si="1749"/>
        <v>24682.285468180391</v>
      </c>
      <c r="N3677" s="36">
        <v>735</v>
      </c>
      <c r="O3677" s="36">
        <v>18</v>
      </c>
      <c r="P3677" s="56">
        <v>2867.2</v>
      </c>
      <c r="Q3677" s="2" t="s">
        <v>103</v>
      </c>
      <c r="R3677" s="2" t="s">
        <v>615</v>
      </c>
      <c r="S3677" s="36">
        <v>3201</v>
      </c>
    </row>
    <row r="3678" spans="1:20" x14ac:dyDescent="0.2">
      <c r="A3678" s="8" t="str">
        <f t="shared" si="1721"/>
        <v>9040211</v>
      </c>
      <c r="B3678" s="8">
        <v>904</v>
      </c>
      <c r="C3678" s="8">
        <v>2</v>
      </c>
      <c r="D3678" s="8" t="s">
        <v>62</v>
      </c>
      <c r="E3678" s="8">
        <v>1</v>
      </c>
      <c r="F3678" s="34">
        <f t="shared" si="1754"/>
        <v>13358</v>
      </c>
      <c r="G3678" s="34">
        <f t="shared" si="1754"/>
        <v>13358</v>
      </c>
      <c r="H3678" s="34">
        <f t="shared" si="1755"/>
        <v>8567</v>
      </c>
      <c r="I3678" s="34">
        <f t="shared" si="1755"/>
        <v>8567</v>
      </c>
      <c r="J3678" s="34">
        <f t="shared" si="1756"/>
        <v>15620</v>
      </c>
      <c r="K3678" s="133">
        <v>1000</v>
      </c>
      <c r="L3678" s="34"/>
      <c r="M3678" s="16">
        <f t="shared" si="1749"/>
        <v>3382.3270960165873</v>
      </c>
      <c r="N3678" s="36">
        <v>810</v>
      </c>
      <c r="O3678" s="36">
        <v>1</v>
      </c>
      <c r="P3678" s="56">
        <v>2923.8999999999996</v>
      </c>
      <c r="Q3678" s="2" t="s">
        <v>103</v>
      </c>
      <c r="R3678" s="2" t="s">
        <v>616</v>
      </c>
      <c r="S3678" s="36">
        <v>3427</v>
      </c>
    </row>
    <row r="3679" spans="1:20" x14ac:dyDescent="0.2">
      <c r="A3679" s="8" t="str">
        <f t="shared" si="1721"/>
        <v>9040219</v>
      </c>
      <c r="B3679" s="8">
        <v>904</v>
      </c>
      <c r="C3679" s="8">
        <v>2</v>
      </c>
      <c r="D3679" s="8" t="s">
        <v>62</v>
      </c>
      <c r="E3679" s="8">
        <v>9</v>
      </c>
      <c r="F3679" s="34">
        <f t="shared" si="1754"/>
        <v>53434</v>
      </c>
      <c r="G3679" s="34">
        <f t="shared" si="1754"/>
        <v>53434</v>
      </c>
      <c r="H3679" s="34">
        <f t="shared" si="1755"/>
        <v>8567</v>
      </c>
      <c r="I3679" s="34">
        <f t="shared" si="1755"/>
        <v>8567</v>
      </c>
      <c r="J3679" s="34">
        <f t="shared" si="1756"/>
        <v>231517</v>
      </c>
      <c r="K3679" s="133">
        <v>1000</v>
      </c>
      <c r="L3679" s="34"/>
      <c r="M3679" s="16">
        <f t="shared" si="1749"/>
        <v>26043.818292264416</v>
      </c>
      <c r="N3679" s="36">
        <v>735</v>
      </c>
      <c r="O3679" s="36">
        <v>18</v>
      </c>
      <c r="P3679" s="56">
        <v>2923.8999999999996</v>
      </c>
      <c r="Q3679" s="2" t="s">
        <v>103</v>
      </c>
      <c r="R3679" s="2" t="s">
        <v>616</v>
      </c>
      <c r="S3679" s="36">
        <v>3427</v>
      </c>
    </row>
    <row r="3680" spans="1:20" x14ac:dyDescent="0.2">
      <c r="A3680" s="8" t="str">
        <f t="shared" si="1721"/>
        <v>9040311</v>
      </c>
      <c r="B3680" s="8">
        <v>904</v>
      </c>
      <c r="C3680" s="8">
        <v>3</v>
      </c>
      <c r="D3680" s="8" t="s">
        <v>62</v>
      </c>
      <c r="E3680" s="8">
        <v>1</v>
      </c>
      <c r="F3680" s="34">
        <f t="shared" si="1754"/>
        <v>13624</v>
      </c>
      <c r="G3680" s="34">
        <f t="shared" si="1754"/>
        <v>13624</v>
      </c>
      <c r="H3680" s="34">
        <f t="shared" si="1755"/>
        <v>9155</v>
      </c>
      <c r="I3680" s="34">
        <f t="shared" si="1755"/>
        <v>9155</v>
      </c>
      <c r="J3680" s="34">
        <f t="shared" si="1756"/>
        <v>15931</v>
      </c>
      <c r="K3680" s="133">
        <v>1000</v>
      </c>
      <c r="L3680" s="34"/>
      <c r="M3680" s="16">
        <f t="shared" si="1749"/>
        <v>3566.0957315876981</v>
      </c>
      <c r="N3680" s="36">
        <v>810</v>
      </c>
      <c r="O3680" s="36">
        <v>1</v>
      </c>
      <c r="P3680" s="56">
        <v>2982</v>
      </c>
      <c r="Q3680" s="2" t="s">
        <v>103</v>
      </c>
      <c r="R3680" s="2" t="s">
        <v>617</v>
      </c>
      <c r="S3680" s="36">
        <v>3662</v>
      </c>
    </row>
    <row r="3681" spans="1:19" x14ac:dyDescent="0.2">
      <c r="A3681" s="8" t="str">
        <f t="shared" si="1721"/>
        <v>9040319</v>
      </c>
      <c r="B3681" s="8">
        <v>904</v>
      </c>
      <c r="C3681" s="8">
        <v>3</v>
      </c>
      <c r="D3681" s="8" t="s">
        <v>62</v>
      </c>
      <c r="E3681" s="8">
        <v>9</v>
      </c>
      <c r="F3681" s="34">
        <f t="shared" si="1754"/>
        <v>54496</v>
      </c>
      <c r="G3681" s="34">
        <f t="shared" si="1754"/>
        <v>54496</v>
      </c>
      <c r="H3681" s="34">
        <f t="shared" si="1755"/>
        <v>9155</v>
      </c>
      <c r="I3681" s="34">
        <f t="shared" si="1755"/>
        <v>9155</v>
      </c>
      <c r="J3681" s="34">
        <f t="shared" si="1756"/>
        <v>236117</v>
      </c>
      <c r="K3681" s="133">
        <v>1000</v>
      </c>
      <c r="L3681" s="34"/>
      <c r="M3681" s="16">
        <f t="shared" si="1749"/>
        <v>27457.759879839876</v>
      </c>
      <c r="N3681" s="36">
        <v>735</v>
      </c>
      <c r="O3681" s="36">
        <v>18</v>
      </c>
      <c r="P3681" s="56">
        <v>2982</v>
      </c>
      <c r="Q3681" s="2" t="s">
        <v>103</v>
      </c>
      <c r="R3681" s="2" t="s">
        <v>617</v>
      </c>
      <c r="S3681" s="36">
        <v>3662</v>
      </c>
    </row>
    <row r="3682" spans="1:19" x14ac:dyDescent="0.2">
      <c r="A3682" s="8" t="str">
        <f t="shared" si="1721"/>
        <v>9040411</v>
      </c>
      <c r="B3682" s="8">
        <v>904</v>
      </c>
      <c r="C3682" s="8">
        <v>4</v>
      </c>
      <c r="D3682" s="8" t="s">
        <v>62</v>
      </c>
      <c r="E3682" s="8">
        <v>1</v>
      </c>
      <c r="F3682" s="34">
        <f t="shared" si="1754"/>
        <v>13895</v>
      </c>
      <c r="G3682" s="34">
        <f t="shared" si="1754"/>
        <v>13895</v>
      </c>
      <c r="H3682" s="34">
        <f t="shared" si="1755"/>
        <v>9767</v>
      </c>
      <c r="I3682" s="34">
        <f t="shared" si="1755"/>
        <v>9767</v>
      </c>
      <c r="J3682" s="34">
        <f t="shared" si="1756"/>
        <v>16249</v>
      </c>
      <c r="K3682" s="133">
        <v>1000</v>
      </c>
      <c r="L3682" s="34"/>
      <c r="M3682" s="16">
        <f t="shared" si="1749"/>
        <v>3756.7576179764383</v>
      </c>
      <c r="N3682" s="36">
        <v>810</v>
      </c>
      <c r="O3682" s="36">
        <v>1</v>
      </c>
      <c r="P3682" s="56">
        <v>3041.5</v>
      </c>
      <c r="Q3682" s="2" t="s">
        <v>103</v>
      </c>
      <c r="R3682" s="2" t="s">
        <v>618</v>
      </c>
      <c r="S3682" s="36">
        <v>3907</v>
      </c>
    </row>
    <row r="3683" spans="1:19" x14ac:dyDescent="0.2">
      <c r="A3683" s="8" t="str">
        <f t="shared" si="1721"/>
        <v>9040419</v>
      </c>
      <c r="B3683" s="8">
        <v>904</v>
      </c>
      <c r="C3683" s="8">
        <v>4</v>
      </c>
      <c r="D3683" s="8" t="s">
        <v>62</v>
      </c>
      <c r="E3683" s="8">
        <v>9</v>
      </c>
      <c r="F3683" s="34">
        <f t="shared" si="1754"/>
        <v>55583</v>
      </c>
      <c r="G3683" s="34">
        <f t="shared" si="1754"/>
        <v>55583</v>
      </c>
      <c r="H3683" s="34">
        <f t="shared" si="1755"/>
        <v>9767</v>
      </c>
      <c r="I3683" s="34">
        <f t="shared" si="1755"/>
        <v>9767</v>
      </c>
      <c r="J3683" s="34">
        <f t="shared" si="1756"/>
        <v>240828</v>
      </c>
      <c r="K3683" s="133">
        <v>1000</v>
      </c>
      <c r="L3683" s="34"/>
      <c r="M3683" s="16">
        <f t="shared" si="1749"/>
        <v>28926.444934453513</v>
      </c>
      <c r="N3683" s="36">
        <v>735</v>
      </c>
      <c r="O3683" s="36">
        <v>18</v>
      </c>
      <c r="P3683" s="56">
        <v>3041.5</v>
      </c>
      <c r="Q3683" s="2" t="s">
        <v>103</v>
      </c>
      <c r="R3683" s="2" t="s">
        <v>618</v>
      </c>
      <c r="S3683" s="36">
        <v>3907</v>
      </c>
    </row>
    <row r="3684" spans="1:19" x14ac:dyDescent="0.2">
      <c r="A3684" s="8" t="str">
        <f t="shared" si="1721"/>
        <v>9040511</v>
      </c>
      <c r="B3684" s="8">
        <v>904</v>
      </c>
      <c r="C3684" s="8">
        <v>5</v>
      </c>
      <c r="D3684" s="8" t="s">
        <v>62</v>
      </c>
      <c r="E3684" s="8">
        <v>1</v>
      </c>
      <c r="F3684" s="34">
        <f t="shared" si="1754"/>
        <v>14170</v>
      </c>
      <c r="G3684" s="34">
        <f t="shared" si="1754"/>
        <v>14170</v>
      </c>
      <c r="H3684" s="34">
        <f t="shared" si="1755"/>
        <v>10570</v>
      </c>
      <c r="I3684" s="34">
        <f t="shared" si="1755"/>
        <v>10570</v>
      </c>
      <c r="J3684" s="34">
        <f t="shared" si="1756"/>
        <v>16570</v>
      </c>
      <c r="K3684" s="133">
        <v>1000</v>
      </c>
      <c r="L3684" s="34"/>
      <c r="M3684" s="16">
        <f t="shared" si="1749"/>
        <v>3985.4159997671509</v>
      </c>
      <c r="N3684" s="36">
        <v>810</v>
      </c>
      <c r="O3684" s="36">
        <v>1</v>
      </c>
      <c r="P3684" s="56">
        <v>3101.7</v>
      </c>
      <c r="Q3684" s="2" t="s">
        <v>103</v>
      </c>
      <c r="R3684" s="2" t="s">
        <v>619</v>
      </c>
      <c r="S3684" s="36">
        <v>4228</v>
      </c>
    </row>
    <row r="3685" spans="1:19" x14ac:dyDescent="0.2">
      <c r="A3685" s="8" t="str">
        <f t="shared" si="1721"/>
        <v>9040519</v>
      </c>
      <c r="B3685" s="8">
        <v>904</v>
      </c>
      <c r="C3685" s="8">
        <v>5</v>
      </c>
      <c r="D3685" s="8" t="s">
        <v>62</v>
      </c>
      <c r="E3685" s="8">
        <v>9</v>
      </c>
      <c r="F3685" s="34">
        <f t="shared" si="1754"/>
        <v>56683</v>
      </c>
      <c r="G3685" s="34">
        <f t="shared" si="1754"/>
        <v>56683</v>
      </c>
      <c r="H3685" s="34">
        <f t="shared" si="1755"/>
        <v>10570</v>
      </c>
      <c r="I3685" s="34">
        <f t="shared" si="1755"/>
        <v>10570</v>
      </c>
      <c r="J3685" s="34">
        <f t="shared" si="1756"/>
        <v>245595</v>
      </c>
      <c r="K3685" s="133">
        <v>1000</v>
      </c>
      <c r="L3685" s="34"/>
      <c r="M3685" s="16">
        <f t="shared" si="1749"/>
        <v>30687.651597547836</v>
      </c>
      <c r="N3685" s="36">
        <v>735</v>
      </c>
      <c r="O3685" s="36">
        <v>18</v>
      </c>
      <c r="P3685" s="56">
        <v>3101.7</v>
      </c>
      <c r="Q3685" s="2" t="s">
        <v>103</v>
      </c>
      <c r="R3685" s="2" t="s">
        <v>619</v>
      </c>
      <c r="S3685" s="36">
        <v>4228</v>
      </c>
    </row>
    <row r="3686" spans="1:19" x14ac:dyDescent="0.2">
      <c r="A3686" s="8" t="str">
        <f t="shared" si="1721"/>
        <v>9040611</v>
      </c>
      <c r="B3686" s="8">
        <v>904</v>
      </c>
      <c r="C3686" s="8">
        <v>6</v>
      </c>
      <c r="D3686" s="8" t="s">
        <v>62</v>
      </c>
      <c r="E3686" s="8">
        <v>1</v>
      </c>
      <c r="F3686" s="34">
        <f t="shared" si="1754"/>
        <v>17589</v>
      </c>
      <c r="G3686" s="34">
        <f t="shared" si="1754"/>
        <v>17589</v>
      </c>
      <c r="H3686" s="34">
        <f t="shared" si="1755"/>
        <v>12660</v>
      </c>
      <c r="I3686" s="34">
        <f t="shared" si="1755"/>
        <v>12660</v>
      </c>
      <c r="J3686" s="34">
        <f t="shared" si="1756"/>
        <v>20568</v>
      </c>
      <c r="K3686" s="133">
        <v>1000</v>
      </c>
      <c r="L3686" s="34"/>
      <c r="M3686" s="16">
        <f t="shared" si="1749"/>
        <v>5414.0647581321</v>
      </c>
      <c r="N3686" s="36">
        <v>810</v>
      </c>
      <c r="O3686" s="36">
        <v>1</v>
      </c>
      <c r="P3686" s="56">
        <v>3849.9999999999995</v>
      </c>
      <c r="Q3686" s="2" t="s">
        <v>103</v>
      </c>
      <c r="R3686" s="2" t="s">
        <v>620</v>
      </c>
      <c r="S3686" s="36">
        <v>5064</v>
      </c>
    </row>
    <row r="3687" spans="1:19" x14ac:dyDescent="0.2">
      <c r="A3687" s="8" t="str">
        <f t="shared" si="1721"/>
        <v>9040619</v>
      </c>
      <c r="B3687" s="8">
        <v>904</v>
      </c>
      <c r="C3687" s="8">
        <v>6</v>
      </c>
      <c r="D3687" s="8" t="s">
        <v>62</v>
      </c>
      <c r="E3687" s="8">
        <v>9</v>
      </c>
      <c r="F3687" s="34">
        <f t="shared" si="1754"/>
        <v>70358</v>
      </c>
      <c r="G3687" s="34">
        <f t="shared" si="1754"/>
        <v>70358</v>
      </c>
      <c r="H3687" s="34">
        <f t="shared" si="1755"/>
        <v>12660</v>
      </c>
      <c r="I3687" s="34">
        <f t="shared" si="1755"/>
        <v>12660</v>
      </c>
      <c r="J3687" s="34">
        <f t="shared" si="1756"/>
        <v>304846</v>
      </c>
      <c r="K3687" s="133">
        <v>1000</v>
      </c>
      <c r="L3687" s="34"/>
      <c r="M3687" s="16">
        <f t="shared" si="1749"/>
        <v>41687.306279308003</v>
      </c>
      <c r="N3687" s="36">
        <v>735</v>
      </c>
      <c r="O3687" s="36">
        <v>18</v>
      </c>
      <c r="P3687" s="56">
        <v>3849.9999999999995</v>
      </c>
      <c r="Q3687" s="2" t="s">
        <v>103</v>
      </c>
      <c r="R3687" s="2" t="s">
        <v>620</v>
      </c>
      <c r="S3687" s="36">
        <v>5064</v>
      </c>
    </row>
    <row r="3688" spans="1:19" x14ac:dyDescent="0.2">
      <c r="A3688" s="8" t="str">
        <f t="shared" si="1721"/>
        <v>9040711</v>
      </c>
      <c r="B3688" s="8">
        <v>904</v>
      </c>
      <c r="C3688" s="8">
        <v>7</v>
      </c>
      <c r="D3688" s="8" t="s">
        <v>62</v>
      </c>
      <c r="E3688" s="8">
        <v>1</v>
      </c>
      <c r="F3688" s="34">
        <f t="shared" si="1754"/>
        <v>18293</v>
      </c>
      <c r="G3688" s="34">
        <f t="shared" si="1754"/>
        <v>18293</v>
      </c>
      <c r="H3688" s="34">
        <f t="shared" si="1755"/>
        <v>12780</v>
      </c>
      <c r="I3688" s="34">
        <f t="shared" si="1755"/>
        <v>12780</v>
      </c>
      <c r="J3688" s="34">
        <f t="shared" si="1756"/>
        <v>21391</v>
      </c>
      <c r="K3688" s="133">
        <v>1000</v>
      </c>
      <c r="L3688" s="34"/>
      <c r="M3688" s="16">
        <f t="shared" si="1749"/>
        <v>5657.3549127570222</v>
      </c>
      <c r="N3688" s="36">
        <v>810</v>
      </c>
      <c r="O3688" s="36">
        <v>1</v>
      </c>
      <c r="P3688" s="56">
        <v>4003.9999999999995</v>
      </c>
      <c r="Q3688" s="2" t="s">
        <v>103</v>
      </c>
      <c r="R3688" s="2" t="s">
        <v>621</v>
      </c>
      <c r="S3688" s="36">
        <v>5112</v>
      </c>
    </row>
    <row r="3689" spans="1:19" x14ac:dyDescent="0.2">
      <c r="A3689" s="8" t="str">
        <f t="shared" si="1721"/>
        <v>9040719</v>
      </c>
      <c r="B3689" s="8">
        <v>904</v>
      </c>
      <c r="C3689" s="8">
        <v>7</v>
      </c>
      <c r="D3689" s="8" t="s">
        <v>62</v>
      </c>
      <c r="E3689" s="8">
        <v>9</v>
      </c>
      <c r="F3689" s="34">
        <f t="shared" si="1754"/>
        <v>73173</v>
      </c>
      <c r="G3689" s="34">
        <f t="shared" si="1754"/>
        <v>73173</v>
      </c>
      <c r="H3689" s="34">
        <f t="shared" si="1755"/>
        <v>12780</v>
      </c>
      <c r="I3689" s="34">
        <f t="shared" si="1755"/>
        <v>12780</v>
      </c>
      <c r="J3689" s="34">
        <f t="shared" si="1756"/>
        <v>317040</v>
      </c>
      <c r="K3689" s="133">
        <v>1000</v>
      </c>
      <c r="L3689" s="34"/>
      <c r="M3689" s="16">
        <f t="shared" si="1749"/>
        <v>43560.000295140489</v>
      </c>
      <c r="N3689" s="36">
        <v>735</v>
      </c>
      <c r="O3689" s="36">
        <v>18</v>
      </c>
      <c r="P3689" s="56">
        <v>4003.9999999999995</v>
      </c>
      <c r="Q3689" s="2" t="s">
        <v>103</v>
      </c>
      <c r="R3689" s="2" t="s">
        <v>621</v>
      </c>
      <c r="S3689" s="36">
        <v>5112</v>
      </c>
    </row>
    <row r="3690" spans="1:19" x14ac:dyDescent="0.2">
      <c r="A3690" s="8" t="str">
        <f t="shared" si="1721"/>
        <v>9040811</v>
      </c>
      <c r="B3690" s="8">
        <v>904</v>
      </c>
      <c r="C3690" s="8">
        <v>8</v>
      </c>
      <c r="D3690" s="8" t="s">
        <v>62</v>
      </c>
      <c r="E3690" s="8">
        <v>1</v>
      </c>
      <c r="F3690" s="34">
        <f t="shared" si="1754"/>
        <v>19022</v>
      </c>
      <c r="G3690" s="34">
        <f t="shared" si="1754"/>
        <v>19022</v>
      </c>
      <c r="H3690" s="34">
        <f t="shared" si="1755"/>
        <v>14290</v>
      </c>
      <c r="I3690" s="34">
        <f t="shared" si="1755"/>
        <v>14290</v>
      </c>
      <c r="J3690" s="34">
        <f t="shared" si="1756"/>
        <v>22243</v>
      </c>
      <c r="K3690" s="133">
        <v>1000</v>
      </c>
      <c r="L3690" s="34"/>
      <c r="M3690" s="16">
        <f t="shared" si="1749"/>
        <v>6220.5798748811203</v>
      </c>
      <c r="N3690" s="36">
        <v>810</v>
      </c>
      <c r="O3690" s="36">
        <v>1</v>
      </c>
      <c r="P3690" s="56">
        <v>4163.5999999999995</v>
      </c>
      <c r="Q3690" s="2" t="s">
        <v>103</v>
      </c>
      <c r="R3690" s="2" t="s">
        <v>622</v>
      </c>
      <c r="S3690" s="36">
        <v>5716</v>
      </c>
    </row>
    <row r="3691" spans="1:19" x14ac:dyDescent="0.2">
      <c r="A3691" s="8" t="str">
        <f t="shared" si="1721"/>
        <v>9040819</v>
      </c>
      <c r="B3691" s="8">
        <v>904</v>
      </c>
      <c r="C3691" s="8">
        <v>8</v>
      </c>
      <c r="D3691" s="8" t="s">
        <v>62</v>
      </c>
      <c r="E3691" s="8">
        <v>9</v>
      </c>
      <c r="F3691" s="34">
        <f t="shared" si="1754"/>
        <v>76089</v>
      </c>
      <c r="G3691" s="34">
        <f t="shared" si="1754"/>
        <v>76089</v>
      </c>
      <c r="H3691" s="34">
        <f t="shared" si="1755"/>
        <v>14290</v>
      </c>
      <c r="I3691" s="34">
        <f t="shared" si="1755"/>
        <v>14290</v>
      </c>
      <c r="J3691" s="34">
        <f t="shared" si="1756"/>
        <v>329677</v>
      </c>
      <c r="K3691" s="133">
        <v>1000</v>
      </c>
      <c r="L3691" s="34"/>
      <c r="M3691" s="16">
        <f t="shared" si="1749"/>
        <v>47897.3365830123</v>
      </c>
      <c r="N3691" s="36">
        <v>735</v>
      </c>
      <c r="O3691" s="36">
        <v>18</v>
      </c>
      <c r="P3691" s="56">
        <v>4163.5999999999995</v>
      </c>
      <c r="Q3691" s="2" t="s">
        <v>103</v>
      </c>
      <c r="R3691" s="2" t="s">
        <v>622</v>
      </c>
      <c r="S3691" s="36">
        <v>5716</v>
      </c>
    </row>
    <row r="3692" spans="1:19" x14ac:dyDescent="0.2">
      <c r="A3692" s="8" t="str">
        <f t="shared" si="1721"/>
        <v>9040911</v>
      </c>
      <c r="B3692" s="8">
        <v>904</v>
      </c>
      <c r="C3692" s="8">
        <v>9</v>
      </c>
      <c r="D3692" s="8" t="s">
        <v>62</v>
      </c>
      <c r="E3692" s="8">
        <v>1</v>
      </c>
      <c r="F3692" s="34">
        <f t="shared" si="1754"/>
        <v>19780</v>
      </c>
      <c r="G3692" s="34">
        <f t="shared" si="1754"/>
        <v>19780</v>
      </c>
      <c r="H3692" s="34">
        <f t="shared" si="1755"/>
        <v>14530</v>
      </c>
      <c r="I3692" s="34">
        <f t="shared" si="1755"/>
        <v>14530</v>
      </c>
      <c r="J3692" s="34">
        <f t="shared" si="1756"/>
        <v>23130</v>
      </c>
      <c r="K3692" s="133">
        <v>1000</v>
      </c>
      <c r="L3692" s="34"/>
      <c r="M3692" s="16">
        <f t="shared" si="1749"/>
        <v>6522.6451772881228</v>
      </c>
      <c r="N3692" s="36">
        <v>810</v>
      </c>
      <c r="O3692" s="36">
        <v>1</v>
      </c>
      <c r="P3692" s="56">
        <v>4329.5</v>
      </c>
      <c r="Q3692" s="2" t="s">
        <v>103</v>
      </c>
      <c r="R3692" s="2" t="s">
        <v>623</v>
      </c>
      <c r="S3692" s="36">
        <v>5812</v>
      </c>
    </row>
    <row r="3693" spans="1:19" x14ac:dyDescent="0.2">
      <c r="A3693" s="8" t="str">
        <f t="shared" si="1721"/>
        <v>9040919</v>
      </c>
      <c r="B3693" s="8">
        <v>904</v>
      </c>
      <c r="C3693" s="8">
        <v>9</v>
      </c>
      <c r="D3693" s="8" t="s">
        <v>62</v>
      </c>
      <c r="E3693" s="8">
        <v>9</v>
      </c>
      <c r="F3693" s="34">
        <f t="shared" si="1754"/>
        <v>79121</v>
      </c>
      <c r="G3693" s="34">
        <f t="shared" si="1754"/>
        <v>79121</v>
      </c>
      <c r="H3693" s="34">
        <f t="shared" si="1755"/>
        <v>14530</v>
      </c>
      <c r="I3693" s="34">
        <f t="shared" si="1755"/>
        <v>14530</v>
      </c>
      <c r="J3693" s="34">
        <f t="shared" si="1756"/>
        <v>342813</v>
      </c>
      <c r="K3693" s="133">
        <v>1000</v>
      </c>
      <c r="L3693" s="34"/>
      <c r="M3693" s="16">
        <f t="shared" si="1749"/>
        <v>50222.383416461002</v>
      </c>
      <c r="N3693" s="36">
        <v>735</v>
      </c>
      <c r="O3693" s="36">
        <v>18</v>
      </c>
      <c r="P3693" s="56">
        <v>4329.5</v>
      </c>
      <c r="Q3693" s="2" t="s">
        <v>103</v>
      </c>
      <c r="R3693" s="2" t="s">
        <v>623</v>
      </c>
      <c r="S3693" s="36">
        <v>5812</v>
      </c>
    </row>
    <row r="3694" spans="1:19" x14ac:dyDescent="0.2">
      <c r="A3694" s="8" t="str">
        <f t="shared" ref="A3694:A3757" si="1757">IF(B3694="","",CONCATENATE(B3694,CONCATENATE(REPT(0,2-LEN(C3694)),C3694),IF(OR(D3694="Easy",D3694=""),1,IF(D3694="Normal",2,IF(D3694="Hard",3,IF(D3694="Hell",4,"error")))),E3694))</f>
        <v>9041011</v>
      </c>
      <c r="B3694" s="8">
        <v>904</v>
      </c>
      <c r="C3694" s="8">
        <v>10</v>
      </c>
      <c r="D3694" s="8" t="s">
        <v>62</v>
      </c>
      <c r="E3694" s="8">
        <v>1</v>
      </c>
      <c r="F3694" s="34">
        <f t="shared" si="1754"/>
        <v>20570</v>
      </c>
      <c r="G3694" s="34">
        <f t="shared" si="1754"/>
        <v>20570</v>
      </c>
      <c r="H3694" s="34">
        <f t="shared" si="1755"/>
        <v>15155</v>
      </c>
      <c r="I3694" s="34">
        <f t="shared" si="1755"/>
        <v>15155</v>
      </c>
      <c r="J3694" s="34">
        <f t="shared" si="1756"/>
        <v>24054</v>
      </c>
      <c r="K3694" s="133">
        <v>1000</v>
      </c>
      <c r="L3694" s="34"/>
      <c r="M3694" s="16">
        <f t="shared" si="1749"/>
        <v>6927.5354444246623</v>
      </c>
      <c r="N3694" s="36">
        <v>810</v>
      </c>
      <c r="O3694" s="36">
        <v>1</v>
      </c>
      <c r="P3694" s="56">
        <v>4502.3999999999996</v>
      </c>
      <c r="Q3694" s="2" t="s">
        <v>103</v>
      </c>
      <c r="R3694" s="2" t="s">
        <v>624</v>
      </c>
      <c r="S3694" s="36">
        <v>6062</v>
      </c>
    </row>
    <row r="3695" spans="1:19" x14ac:dyDescent="0.2">
      <c r="A3695" s="8" t="str">
        <f t="shared" si="1757"/>
        <v>9041019</v>
      </c>
      <c r="B3695" s="8">
        <v>904</v>
      </c>
      <c r="C3695" s="8">
        <v>10</v>
      </c>
      <c r="D3695" s="8" t="s">
        <v>62</v>
      </c>
      <c r="E3695" s="8">
        <v>9</v>
      </c>
      <c r="F3695" s="34">
        <f t="shared" si="1754"/>
        <v>82281</v>
      </c>
      <c r="G3695" s="34">
        <f t="shared" si="1754"/>
        <v>82281</v>
      </c>
      <c r="H3695" s="34">
        <f t="shared" si="1755"/>
        <v>15155</v>
      </c>
      <c r="I3695" s="34">
        <f t="shared" si="1755"/>
        <v>15155</v>
      </c>
      <c r="J3695" s="34">
        <f t="shared" si="1756"/>
        <v>356504</v>
      </c>
      <c r="K3695" s="133">
        <v>1000</v>
      </c>
      <c r="L3695" s="34"/>
      <c r="M3695" s="16">
        <f t="shared" si="1749"/>
        <v>53339.622959700486</v>
      </c>
      <c r="N3695" s="36">
        <v>735</v>
      </c>
      <c r="O3695" s="36">
        <v>18</v>
      </c>
      <c r="P3695" s="56">
        <v>4502.3999999999996</v>
      </c>
      <c r="Q3695" s="2" t="s">
        <v>103</v>
      </c>
      <c r="R3695" s="2" t="s">
        <v>624</v>
      </c>
      <c r="S3695" s="36">
        <v>6062</v>
      </c>
    </row>
    <row r="3696" spans="1:19" x14ac:dyDescent="0.2">
      <c r="A3696" s="8" t="str">
        <f t="shared" si="1757"/>
        <v>9041111</v>
      </c>
      <c r="B3696" s="8">
        <v>904</v>
      </c>
      <c r="C3696" s="8">
        <v>11</v>
      </c>
      <c r="D3696" s="8" t="s">
        <v>62</v>
      </c>
      <c r="E3696" s="8">
        <v>1</v>
      </c>
      <c r="F3696" s="34">
        <f t="shared" ref="F3696:G3715" si="1758">ROUNDDOWN($P3696/4*MIN($O3696,4)*10*$N3696/$N3696*$Q3696/400,0)</f>
        <v>25585</v>
      </c>
      <c r="G3696" s="34">
        <f t="shared" si="1758"/>
        <v>25585</v>
      </c>
      <c r="H3696" s="34">
        <f t="shared" si="1755"/>
        <v>15802</v>
      </c>
      <c r="I3696" s="34">
        <f t="shared" si="1755"/>
        <v>15802</v>
      </c>
      <c r="J3696" s="34">
        <f t="shared" si="1756"/>
        <v>29917</v>
      </c>
      <c r="K3696" s="133">
        <v>1000</v>
      </c>
      <c r="L3696" s="34"/>
      <c r="M3696" s="16">
        <f t="shared" si="1749"/>
        <v>8798.2793531971911</v>
      </c>
      <c r="N3696" s="36">
        <v>810</v>
      </c>
      <c r="O3696" s="36">
        <v>1</v>
      </c>
      <c r="P3696" s="56">
        <v>5600</v>
      </c>
      <c r="Q3696" s="2" t="s">
        <v>103</v>
      </c>
      <c r="R3696" s="2" t="s">
        <v>167</v>
      </c>
      <c r="S3696" s="36">
        <v>6321</v>
      </c>
    </row>
    <row r="3697" spans="1:19" x14ac:dyDescent="0.2">
      <c r="A3697" s="8" t="str">
        <f t="shared" si="1757"/>
        <v>9041119</v>
      </c>
      <c r="B3697" s="8">
        <v>904</v>
      </c>
      <c r="C3697" s="8">
        <v>11</v>
      </c>
      <c r="D3697" s="8" t="s">
        <v>62</v>
      </c>
      <c r="E3697" s="8">
        <v>9</v>
      </c>
      <c r="F3697" s="34">
        <f t="shared" si="1758"/>
        <v>102340</v>
      </c>
      <c r="G3697" s="34">
        <f t="shared" si="1758"/>
        <v>102340</v>
      </c>
      <c r="H3697" s="34">
        <f t="shared" si="1755"/>
        <v>15802</v>
      </c>
      <c r="I3697" s="34">
        <f t="shared" si="1755"/>
        <v>15802</v>
      </c>
      <c r="J3697" s="34">
        <f t="shared" si="1756"/>
        <v>443413</v>
      </c>
      <c r="K3697" s="133">
        <v>1000</v>
      </c>
      <c r="L3697" s="34"/>
      <c r="M3697" s="16">
        <f t="shared" si="1749"/>
        <v>67744.327028442567</v>
      </c>
      <c r="N3697" s="36">
        <v>735</v>
      </c>
      <c r="O3697" s="36">
        <v>18</v>
      </c>
      <c r="P3697" s="56">
        <v>5600</v>
      </c>
      <c r="Q3697" s="2" t="s">
        <v>103</v>
      </c>
      <c r="R3697" s="2" t="s">
        <v>167</v>
      </c>
      <c r="S3697" s="36">
        <v>6321</v>
      </c>
    </row>
    <row r="3698" spans="1:19" x14ac:dyDescent="0.2">
      <c r="A3698" s="8" t="str">
        <f t="shared" si="1757"/>
        <v>9041211</v>
      </c>
      <c r="B3698" s="8">
        <v>904</v>
      </c>
      <c r="C3698" s="8">
        <v>12</v>
      </c>
      <c r="D3698" s="8" t="s">
        <v>62</v>
      </c>
      <c r="E3698" s="8">
        <v>1</v>
      </c>
      <c r="F3698" s="34">
        <f t="shared" si="1758"/>
        <v>26352</v>
      </c>
      <c r="G3698" s="34">
        <f t="shared" si="1758"/>
        <v>26352</v>
      </c>
      <c r="H3698" s="34">
        <f t="shared" si="1755"/>
        <v>16247</v>
      </c>
      <c r="I3698" s="34">
        <f t="shared" si="1755"/>
        <v>16247</v>
      </c>
      <c r="J3698" s="34">
        <f t="shared" si="1756"/>
        <v>30815</v>
      </c>
      <c r="K3698" s="133">
        <v>1000</v>
      </c>
      <c r="L3698" s="34"/>
      <c r="M3698" s="16">
        <f t="shared" si="1749"/>
        <v>9188.9196542305235</v>
      </c>
      <c r="N3698" s="36">
        <v>810</v>
      </c>
      <c r="O3698" s="36">
        <v>1</v>
      </c>
      <c r="P3698" s="56">
        <v>5768</v>
      </c>
      <c r="Q3698" s="2" t="s">
        <v>103</v>
      </c>
      <c r="R3698" s="2" t="s">
        <v>625</v>
      </c>
      <c r="S3698" s="36">
        <v>6499</v>
      </c>
    </row>
    <row r="3699" spans="1:19" x14ac:dyDescent="0.2">
      <c r="A3699" s="8" t="str">
        <f t="shared" si="1757"/>
        <v>9041219</v>
      </c>
      <c r="B3699" s="8">
        <v>904</v>
      </c>
      <c r="C3699" s="8">
        <v>12</v>
      </c>
      <c r="D3699" s="8" t="s">
        <v>62</v>
      </c>
      <c r="E3699" s="8">
        <v>9</v>
      </c>
      <c r="F3699" s="34">
        <f t="shared" si="1758"/>
        <v>105410</v>
      </c>
      <c r="G3699" s="34">
        <f t="shared" si="1758"/>
        <v>105410</v>
      </c>
      <c r="H3699" s="34">
        <f t="shared" si="1755"/>
        <v>16247</v>
      </c>
      <c r="I3699" s="34">
        <f t="shared" si="1755"/>
        <v>16247</v>
      </c>
      <c r="J3699" s="34">
        <f t="shared" si="1756"/>
        <v>456715</v>
      </c>
      <c r="K3699" s="133">
        <v>1000</v>
      </c>
      <c r="L3699" s="34"/>
      <c r="M3699" s="16">
        <f t="shared" si="1749"/>
        <v>70752.228197418081</v>
      </c>
      <c r="N3699" s="36">
        <v>735</v>
      </c>
      <c r="O3699" s="36">
        <v>18</v>
      </c>
      <c r="P3699" s="56">
        <v>5768</v>
      </c>
      <c r="Q3699" s="2" t="s">
        <v>103</v>
      </c>
      <c r="R3699" s="2" t="s">
        <v>625</v>
      </c>
      <c r="S3699" s="36">
        <v>6499</v>
      </c>
    </row>
    <row r="3700" spans="1:19" x14ac:dyDescent="0.2">
      <c r="A3700" s="8" t="str">
        <f t="shared" si="1757"/>
        <v>9041311</v>
      </c>
      <c r="B3700" s="8">
        <v>904</v>
      </c>
      <c r="C3700" s="8">
        <v>13</v>
      </c>
      <c r="D3700" s="8" t="s">
        <v>62</v>
      </c>
      <c r="E3700" s="8">
        <v>1</v>
      </c>
      <c r="F3700" s="34">
        <f t="shared" si="1758"/>
        <v>27142</v>
      </c>
      <c r="G3700" s="34">
        <f t="shared" si="1758"/>
        <v>27142</v>
      </c>
      <c r="H3700" s="34">
        <f t="shared" si="1755"/>
        <v>17100</v>
      </c>
      <c r="I3700" s="34">
        <f t="shared" si="1755"/>
        <v>17100</v>
      </c>
      <c r="J3700" s="34">
        <f t="shared" si="1756"/>
        <v>31739</v>
      </c>
      <c r="K3700" s="133">
        <v>1000</v>
      </c>
      <c r="L3700" s="34"/>
      <c r="M3700" s="16">
        <f t="shared" si="1749"/>
        <v>9709.6949290242901</v>
      </c>
      <c r="N3700" s="36">
        <v>810</v>
      </c>
      <c r="O3700" s="36">
        <v>1</v>
      </c>
      <c r="P3700" s="56">
        <v>5940.9</v>
      </c>
      <c r="Q3700" s="2" t="s">
        <v>103</v>
      </c>
      <c r="R3700" s="2" t="s">
        <v>626</v>
      </c>
      <c r="S3700" s="36">
        <v>6840</v>
      </c>
    </row>
    <row r="3701" spans="1:19" x14ac:dyDescent="0.2">
      <c r="A3701" s="8" t="str">
        <f t="shared" si="1757"/>
        <v>9041319</v>
      </c>
      <c r="B3701" s="8">
        <v>904</v>
      </c>
      <c r="C3701" s="8">
        <v>13</v>
      </c>
      <c r="D3701" s="8" t="s">
        <v>62</v>
      </c>
      <c r="E3701" s="8">
        <v>9</v>
      </c>
      <c r="F3701" s="34">
        <f t="shared" si="1758"/>
        <v>108569</v>
      </c>
      <c r="G3701" s="34">
        <f t="shared" si="1758"/>
        <v>108569</v>
      </c>
      <c r="H3701" s="34">
        <f t="shared" si="1755"/>
        <v>17100</v>
      </c>
      <c r="I3701" s="34">
        <f t="shared" si="1755"/>
        <v>17100</v>
      </c>
      <c r="J3701" s="34">
        <f t="shared" si="1756"/>
        <v>470405</v>
      </c>
      <c r="K3701" s="133">
        <v>1000</v>
      </c>
      <c r="L3701" s="34"/>
      <c r="M3701" s="16">
        <f t="shared" si="1749"/>
        <v>74761.313957827151</v>
      </c>
      <c r="N3701" s="36">
        <v>735</v>
      </c>
      <c r="O3701" s="36">
        <v>18</v>
      </c>
      <c r="P3701" s="56">
        <v>5940.9</v>
      </c>
      <c r="Q3701" s="2" t="s">
        <v>103</v>
      </c>
      <c r="R3701" s="2" t="s">
        <v>626</v>
      </c>
      <c r="S3701" s="36">
        <v>6840</v>
      </c>
    </row>
    <row r="3702" spans="1:19" x14ac:dyDescent="0.2">
      <c r="A3702" s="8" t="str">
        <f t="shared" si="1757"/>
        <v>9041411</v>
      </c>
      <c r="B3702" s="8">
        <v>904</v>
      </c>
      <c r="C3702" s="8">
        <v>14</v>
      </c>
      <c r="D3702" s="8" t="s">
        <v>62</v>
      </c>
      <c r="E3702" s="8">
        <v>1</v>
      </c>
      <c r="F3702" s="34">
        <f t="shared" si="1758"/>
        <v>27954</v>
      </c>
      <c r="G3702" s="34">
        <f t="shared" si="1758"/>
        <v>27954</v>
      </c>
      <c r="H3702" s="34">
        <f t="shared" si="1755"/>
        <v>17087</v>
      </c>
      <c r="I3702" s="34">
        <f t="shared" si="1755"/>
        <v>17087</v>
      </c>
      <c r="J3702" s="34">
        <f t="shared" si="1756"/>
        <v>32689</v>
      </c>
      <c r="K3702" s="133">
        <v>1000</v>
      </c>
      <c r="L3702" s="34"/>
      <c r="M3702" s="16">
        <f t="shared" si="1749"/>
        <v>9996.4476201088964</v>
      </c>
      <c r="N3702" s="36">
        <v>810</v>
      </c>
      <c r="O3702" s="36">
        <v>1</v>
      </c>
      <c r="P3702" s="56">
        <v>6118.7</v>
      </c>
      <c r="Q3702" s="2" t="s">
        <v>103</v>
      </c>
      <c r="R3702" s="2" t="s">
        <v>627</v>
      </c>
      <c r="S3702" s="36">
        <v>6835</v>
      </c>
    </row>
    <row r="3703" spans="1:19" x14ac:dyDescent="0.2">
      <c r="A3703" s="8" t="str">
        <f t="shared" si="1757"/>
        <v>9041419</v>
      </c>
      <c r="B3703" s="8">
        <v>904</v>
      </c>
      <c r="C3703" s="8">
        <v>14</v>
      </c>
      <c r="D3703" s="8" t="s">
        <v>62</v>
      </c>
      <c r="E3703" s="8">
        <v>9</v>
      </c>
      <c r="F3703" s="34">
        <f t="shared" si="1758"/>
        <v>111819</v>
      </c>
      <c r="G3703" s="34">
        <f t="shared" si="1758"/>
        <v>111819</v>
      </c>
      <c r="H3703" s="34">
        <f t="shared" si="1755"/>
        <v>17087</v>
      </c>
      <c r="I3703" s="34">
        <f t="shared" si="1755"/>
        <v>17087</v>
      </c>
      <c r="J3703" s="34">
        <f t="shared" si="1756"/>
        <v>484484</v>
      </c>
      <c r="K3703" s="133">
        <v>1000</v>
      </c>
      <c r="L3703" s="34"/>
      <c r="M3703" s="16">
        <f t="shared" si="1749"/>
        <v>76969.810670249746</v>
      </c>
      <c r="N3703" s="36">
        <v>735</v>
      </c>
      <c r="O3703" s="36">
        <v>18</v>
      </c>
      <c r="P3703" s="56">
        <v>6118.7</v>
      </c>
      <c r="Q3703" s="2" t="s">
        <v>103</v>
      </c>
      <c r="R3703" s="2" t="s">
        <v>627</v>
      </c>
      <c r="S3703" s="36">
        <v>6835</v>
      </c>
    </row>
    <row r="3704" spans="1:19" x14ac:dyDescent="0.2">
      <c r="A3704" s="8" t="str">
        <f t="shared" si="1757"/>
        <v>9041511</v>
      </c>
      <c r="B3704" s="8">
        <v>904</v>
      </c>
      <c r="C3704" s="8">
        <v>15</v>
      </c>
      <c r="D3704" s="8" t="s">
        <v>62</v>
      </c>
      <c r="E3704" s="8">
        <v>1</v>
      </c>
      <c r="F3704" s="34">
        <f t="shared" si="1758"/>
        <v>28792</v>
      </c>
      <c r="G3704" s="34">
        <f t="shared" si="1758"/>
        <v>28792</v>
      </c>
      <c r="H3704" s="34">
        <f t="shared" si="1755"/>
        <v>18490</v>
      </c>
      <c r="I3704" s="34">
        <f t="shared" si="1755"/>
        <v>18490</v>
      </c>
      <c r="J3704" s="34">
        <f t="shared" si="1756"/>
        <v>33668</v>
      </c>
      <c r="K3704" s="133">
        <v>1000</v>
      </c>
      <c r="L3704" s="34"/>
      <c r="M3704" s="16">
        <f t="shared" si="1749"/>
        <v>10710.334103603678</v>
      </c>
      <c r="N3704" s="36">
        <v>810</v>
      </c>
      <c r="O3704" s="36">
        <v>1</v>
      </c>
      <c r="P3704" s="56">
        <v>6302.0999999999995</v>
      </c>
      <c r="Q3704" s="2" t="s">
        <v>103</v>
      </c>
      <c r="R3704" s="2" t="s">
        <v>628</v>
      </c>
      <c r="S3704" s="36">
        <v>7396</v>
      </c>
    </row>
    <row r="3705" spans="1:19" x14ac:dyDescent="0.2">
      <c r="A3705" s="8" t="str">
        <f t="shared" si="1757"/>
        <v>9041519</v>
      </c>
      <c r="B3705" s="8">
        <v>904</v>
      </c>
      <c r="C3705" s="8">
        <v>15</v>
      </c>
      <c r="D3705" s="8" t="s">
        <v>62</v>
      </c>
      <c r="E3705" s="8">
        <v>9</v>
      </c>
      <c r="F3705" s="34">
        <f t="shared" si="1758"/>
        <v>115170</v>
      </c>
      <c r="G3705" s="34">
        <f t="shared" si="1758"/>
        <v>115170</v>
      </c>
      <c r="H3705" s="34">
        <f t="shared" si="1755"/>
        <v>18490</v>
      </c>
      <c r="I3705" s="34">
        <f t="shared" si="1755"/>
        <v>18490</v>
      </c>
      <c r="J3705" s="34">
        <f t="shared" si="1756"/>
        <v>499006</v>
      </c>
      <c r="K3705" s="133">
        <v>1000</v>
      </c>
      <c r="L3705" s="34"/>
      <c r="M3705" s="16">
        <f t="shared" si="1749"/>
        <v>82467.154524833226</v>
      </c>
      <c r="N3705" s="36">
        <v>735</v>
      </c>
      <c r="O3705" s="36">
        <v>18</v>
      </c>
      <c r="P3705" s="56">
        <v>6302.0999999999995</v>
      </c>
      <c r="Q3705" s="2" t="s">
        <v>103</v>
      </c>
      <c r="R3705" s="2" t="s">
        <v>628</v>
      </c>
      <c r="S3705" s="36">
        <v>7396</v>
      </c>
    </row>
    <row r="3706" spans="1:19" x14ac:dyDescent="0.2">
      <c r="A3706" s="8" t="str">
        <f t="shared" si="1757"/>
        <v>9041611</v>
      </c>
      <c r="B3706" s="8">
        <v>904</v>
      </c>
      <c r="C3706" s="8">
        <v>16</v>
      </c>
      <c r="D3706" s="8" t="s">
        <v>62</v>
      </c>
      <c r="E3706" s="8">
        <v>1</v>
      </c>
      <c r="F3706" s="34">
        <f t="shared" si="1758"/>
        <v>35499</v>
      </c>
      <c r="G3706" s="34">
        <f t="shared" si="1758"/>
        <v>35499</v>
      </c>
      <c r="H3706" s="34">
        <f t="shared" si="1755"/>
        <v>21550</v>
      </c>
      <c r="I3706" s="34">
        <f t="shared" si="1755"/>
        <v>21550</v>
      </c>
      <c r="J3706" s="34">
        <f t="shared" si="1756"/>
        <v>41511</v>
      </c>
      <c r="K3706" s="133">
        <v>1000</v>
      </c>
      <c r="L3706" s="34"/>
      <c r="M3706" s="16">
        <f t="shared" si="1749"/>
        <v>14256.183660534121</v>
      </c>
      <c r="N3706" s="36">
        <v>810</v>
      </c>
      <c r="O3706" s="36">
        <v>1</v>
      </c>
      <c r="P3706" s="244">
        <v>7769.9999999999991</v>
      </c>
      <c r="Q3706" s="2" t="s">
        <v>103</v>
      </c>
      <c r="R3706" s="2" t="s">
        <v>629</v>
      </c>
      <c r="S3706" s="36">
        <v>8620</v>
      </c>
    </row>
    <row r="3707" spans="1:19" x14ac:dyDescent="0.2">
      <c r="A3707" s="8" t="str">
        <f t="shared" si="1757"/>
        <v>9041619</v>
      </c>
      <c r="B3707" s="8">
        <v>904</v>
      </c>
      <c r="C3707" s="8">
        <v>16</v>
      </c>
      <c r="D3707" s="8" t="s">
        <v>62</v>
      </c>
      <c r="E3707" s="8">
        <v>9</v>
      </c>
      <c r="F3707" s="34">
        <f t="shared" si="1758"/>
        <v>141996</v>
      </c>
      <c r="G3707" s="34">
        <f t="shared" si="1758"/>
        <v>141996</v>
      </c>
      <c r="H3707" s="34">
        <f t="shared" si="1755"/>
        <v>21550</v>
      </c>
      <c r="I3707" s="34">
        <f t="shared" si="1755"/>
        <v>21550</v>
      </c>
      <c r="J3707" s="34">
        <f t="shared" si="1756"/>
        <v>615235</v>
      </c>
      <c r="K3707" s="133">
        <v>1000</v>
      </c>
      <c r="L3707" s="34"/>
      <c r="M3707" s="16">
        <f t="shared" ref="M3707:M3770" si="1759">(F3707*J3707*((H3707+I3707)/2)/1000)^(1/2)/10*0.8</f>
        <v>109767.10152661955</v>
      </c>
      <c r="N3707" s="36">
        <v>735</v>
      </c>
      <c r="O3707" s="36">
        <v>18</v>
      </c>
      <c r="P3707" s="56">
        <v>7769.9999999999991</v>
      </c>
      <c r="Q3707" s="2" t="s">
        <v>103</v>
      </c>
      <c r="R3707" s="2" t="s">
        <v>629</v>
      </c>
      <c r="S3707" s="36">
        <v>8620</v>
      </c>
    </row>
    <row r="3708" spans="1:19" x14ac:dyDescent="0.2">
      <c r="A3708" s="8" t="str">
        <f t="shared" si="1757"/>
        <v>9041711</v>
      </c>
      <c r="B3708" s="8">
        <v>904</v>
      </c>
      <c r="C3708" s="8">
        <v>17</v>
      </c>
      <c r="D3708" s="8" t="s">
        <v>62</v>
      </c>
      <c r="E3708" s="8">
        <v>1</v>
      </c>
      <c r="F3708" s="34">
        <f t="shared" si="1758"/>
        <v>36919</v>
      </c>
      <c r="G3708" s="34">
        <f t="shared" si="1758"/>
        <v>36919</v>
      </c>
      <c r="H3708" s="34">
        <f t="shared" si="1755"/>
        <v>22020</v>
      </c>
      <c r="I3708" s="34">
        <f t="shared" si="1755"/>
        <v>22020</v>
      </c>
      <c r="J3708" s="34">
        <f t="shared" si="1756"/>
        <v>43171</v>
      </c>
      <c r="K3708" s="133">
        <v>1000</v>
      </c>
      <c r="L3708" s="34"/>
      <c r="M3708" s="16">
        <f t="shared" si="1759"/>
        <v>14987.171021853057</v>
      </c>
      <c r="N3708" s="36">
        <v>810</v>
      </c>
      <c r="O3708" s="36">
        <v>1</v>
      </c>
      <c r="P3708" s="244">
        <v>8080.7999999999993</v>
      </c>
      <c r="Q3708" s="2" t="s">
        <v>103</v>
      </c>
      <c r="R3708" s="2" t="s">
        <v>630</v>
      </c>
      <c r="S3708" s="36">
        <v>8808</v>
      </c>
    </row>
    <row r="3709" spans="1:19" x14ac:dyDescent="0.2">
      <c r="A3709" s="8" t="str">
        <f t="shared" si="1757"/>
        <v>9041719</v>
      </c>
      <c r="B3709" s="8">
        <v>904</v>
      </c>
      <c r="C3709" s="8">
        <v>17</v>
      </c>
      <c r="D3709" s="8" t="s">
        <v>62</v>
      </c>
      <c r="E3709" s="8">
        <v>9</v>
      </c>
      <c r="F3709" s="34">
        <f t="shared" si="1758"/>
        <v>147676</v>
      </c>
      <c r="G3709" s="34">
        <f t="shared" si="1758"/>
        <v>147676</v>
      </c>
      <c r="H3709" s="34">
        <f t="shared" si="1755"/>
        <v>22020</v>
      </c>
      <c r="I3709" s="34">
        <f t="shared" si="1755"/>
        <v>22020</v>
      </c>
      <c r="J3709" s="34">
        <f t="shared" si="1756"/>
        <v>639845</v>
      </c>
      <c r="K3709" s="133">
        <v>1000</v>
      </c>
      <c r="L3709" s="34"/>
      <c r="M3709" s="16">
        <f t="shared" si="1759"/>
        <v>115396.06370671472</v>
      </c>
      <c r="N3709" s="36">
        <v>735</v>
      </c>
      <c r="O3709" s="36">
        <v>18</v>
      </c>
      <c r="P3709" s="56">
        <v>8080.7999999999993</v>
      </c>
      <c r="Q3709" s="2" t="s">
        <v>103</v>
      </c>
      <c r="R3709" s="2" t="s">
        <v>630</v>
      </c>
      <c r="S3709" s="36">
        <v>8808</v>
      </c>
    </row>
    <row r="3710" spans="1:19" x14ac:dyDescent="0.2">
      <c r="A3710" s="8" t="str">
        <f t="shared" si="1757"/>
        <v>9041811</v>
      </c>
      <c r="B3710" s="8">
        <v>904</v>
      </c>
      <c r="C3710" s="8">
        <v>18</v>
      </c>
      <c r="D3710" s="8" t="s">
        <v>62</v>
      </c>
      <c r="E3710" s="8">
        <v>1</v>
      </c>
      <c r="F3710" s="34">
        <f t="shared" si="1758"/>
        <v>38393</v>
      </c>
      <c r="G3710" s="34">
        <f t="shared" si="1758"/>
        <v>38393</v>
      </c>
      <c r="H3710" s="34">
        <f t="shared" si="1755"/>
        <v>23087</v>
      </c>
      <c r="I3710" s="34">
        <f t="shared" si="1755"/>
        <v>23087</v>
      </c>
      <c r="J3710" s="34">
        <f t="shared" si="1756"/>
        <v>44895</v>
      </c>
      <c r="K3710" s="133">
        <v>1000</v>
      </c>
      <c r="L3710" s="34"/>
      <c r="M3710" s="16">
        <f t="shared" si="1759"/>
        <v>15958.745570741079</v>
      </c>
      <c r="N3710" s="36">
        <v>810</v>
      </c>
      <c r="O3710" s="36">
        <v>1</v>
      </c>
      <c r="P3710" s="244">
        <v>8403.5</v>
      </c>
      <c r="Q3710" s="2" t="s">
        <v>103</v>
      </c>
      <c r="R3710" s="2" t="s">
        <v>631</v>
      </c>
      <c r="S3710" s="36">
        <v>9235</v>
      </c>
    </row>
    <row r="3711" spans="1:19" x14ac:dyDescent="0.2">
      <c r="A3711" s="8" t="str">
        <f t="shared" si="1757"/>
        <v>9041819</v>
      </c>
      <c r="B3711" s="8">
        <v>904</v>
      </c>
      <c r="C3711" s="8">
        <v>18</v>
      </c>
      <c r="D3711" s="8" t="s">
        <v>62</v>
      </c>
      <c r="E3711" s="8">
        <v>9</v>
      </c>
      <c r="F3711" s="34">
        <f t="shared" si="1758"/>
        <v>153573</v>
      </c>
      <c r="G3711" s="34">
        <f t="shared" si="1758"/>
        <v>153573</v>
      </c>
      <c r="H3711" s="34">
        <f t="shared" si="1755"/>
        <v>23087</v>
      </c>
      <c r="I3711" s="34">
        <f t="shared" si="1755"/>
        <v>23087</v>
      </c>
      <c r="J3711" s="34">
        <f t="shared" si="1756"/>
        <v>665396</v>
      </c>
      <c r="K3711" s="133">
        <v>1000</v>
      </c>
      <c r="L3711" s="34"/>
      <c r="M3711" s="16">
        <f t="shared" si="1759"/>
        <v>122877.188371375</v>
      </c>
      <c r="N3711" s="36">
        <v>735</v>
      </c>
      <c r="O3711" s="36">
        <v>18</v>
      </c>
      <c r="P3711" s="56">
        <v>8403.5</v>
      </c>
      <c r="Q3711" s="2" t="s">
        <v>103</v>
      </c>
      <c r="R3711" s="2" t="s">
        <v>631</v>
      </c>
      <c r="S3711" s="36">
        <v>9235</v>
      </c>
    </row>
    <row r="3712" spans="1:19" x14ac:dyDescent="0.2">
      <c r="A3712" s="8" t="str">
        <f t="shared" si="1757"/>
        <v>9041911</v>
      </c>
      <c r="B3712" s="8">
        <v>904</v>
      </c>
      <c r="C3712" s="8">
        <v>19</v>
      </c>
      <c r="D3712" s="8" t="s">
        <v>62</v>
      </c>
      <c r="E3712" s="8">
        <v>1</v>
      </c>
      <c r="F3712" s="34">
        <f t="shared" si="1758"/>
        <v>39928</v>
      </c>
      <c r="G3712" s="34">
        <f t="shared" si="1758"/>
        <v>39928</v>
      </c>
      <c r="H3712" s="34">
        <f t="shared" si="1755"/>
        <v>23447</v>
      </c>
      <c r="I3712" s="34">
        <f t="shared" si="1755"/>
        <v>23447</v>
      </c>
      <c r="J3712" s="34">
        <f t="shared" si="1756"/>
        <v>46690</v>
      </c>
      <c r="K3712" s="133">
        <v>1000</v>
      </c>
      <c r="L3712" s="34"/>
      <c r="M3712" s="16">
        <f t="shared" si="1759"/>
        <v>16725.70159036254</v>
      </c>
      <c r="N3712" s="36">
        <v>810</v>
      </c>
      <c r="O3712" s="36">
        <v>1</v>
      </c>
      <c r="P3712" s="244">
        <v>8739.5</v>
      </c>
      <c r="Q3712" s="2" t="s">
        <v>103</v>
      </c>
      <c r="R3712" s="2" t="s">
        <v>632</v>
      </c>
      <c r="S3712" s="36">
        <v>9379</v>
      </c>
    </row>
    <row r="3713" spans="1:19" x14ac:dyDescent="0.2">
      <c r="A3713" s="8" t="str">
        <f t="shared" si="1757"/>
        <v>9041919</v>
      </c>
      <c r="B3713" s="8">
        <v>904</v>
      </c>
      <c r="C3713" s="8">
        <v>19</v>
      </c>
      <c r="D3713" s="8" t="s">
        <v>62</v>
      </c>
      <c r="E3713" s="8">
        <v>9</v>
      </c>
      <c r="F3713" s="34">
        <f t="shared" si="1758"/>
        <v>159714</v>
      </c>
      <c r="G3713" s="34">
        <f t="shared" si="1758"/>
        <v>159714</v>
      </c>
      <c r="H3713" s="34">
        <f t="shared" si="1755"/>
        <v>23447</v>
      </c>
      <c r="I3713" s="34">
        <f t="shared" si="1755"/>
        <v>23447</v>
      </c>
      <c r="J3713" s="34">
        <f t="shared" si="1756"/>
        <v>692001</v>
      </c>
      <c r="K3713" s="133">
        <v>1000</v>
      </c>
      <c r="L3713" s="34"/>
      <c r="M3713" s="16">
        <f t="shared" si="1759"/>
        <v>128782.98377410353</v>
      </c>
      <c r="N3713" s="36">
        <v>735</v>
      </c>
      <c r="O3713" s="36">
        <v>18</v>
      </c>
      <c r="P3713" s="56">
        <v>8739.5</v>
      </c>
      <c r="Q3713" s="2" t="s">
        <v>103</v>
      </c>
      <c r="R3713" s="2" t="s">
        <v>632</v>
      </c>
      <c r="S3713" s="36">
        <v>9379</v>
      </c>
    </row>
    <row r="3714" spans="1:19" x14ac:dyDescent="0.2">
      <c r="A3714" s="8" t="str">
        <f t="shared" si="1757"/>
        <v>9042011</v>
      </c>
      <c r="B3714" s="8">
        <v>904</v>
      </c>
      <c r="C3714" s="8">
        <v>20</v>
      </c>
      <c r="D3714" s="8" t="s">
        <v>62</v>
      </c>
      <c r="E3714" s="8">
        <v>1</v>
      </c>
      <c r="F3714" s="34">
        <f t="shared" si="1758"/>
        <v>41524</v>
      </c>
      <c r="G3714" s="34">
        <f t="shared" si="1758"/>
        <v>41524</v>
      </c>
      <c r="H3714" s="34">
        <f t="shared" si="1755"/>
        <v>24407</v>
      </c>
      <c r="I3714" s="34">
        <f t="shared" si="1755"/>
        <v>24407</v>
      </c>
      <c r="J3714" s="34">
        <f t="shared" si="1756"/>
        <v>48556</v>
      </c>
      <c r="K3714" s="133">
        <v>1000</v>
      </c>
      <c r="L3714" s="34"/>
      <c r="M3714" s="16">
        <f t="shared" si="1759"/>
        <v>17746.725429826518</v>
      </c>
      <c r="N3714" s="36">
        <v>810</v>
      </c>
      <c r="O3714" s="36">
        <v>1</v>
      </c>
      <c r="P3714" s="244">
        <v>9088.7999999999993</v>
      </c>
      <c r="Q3714" s="2" t="s">
        <v>103</v>
      </c>
      <c r="R3714" s="2" t="s">
        <v>633</v>
      </c>
      <c r="S3714" s="36">
        <v>9763</v>
      </c>
    </row>
    <row r="3715" spans="1:19" x14ac:dyDescent="0.2">
      <c r="A3715" s="8" t="str">
        <f t="shared" si="1757"/>
        <v>9042019</v>
      </c>
      <c r="B3715" s="8">
        <v>904</v>
      </c>
      <c r="C3715" s="8">
        <v>20</v>
      </c>
      <c r="D3715" s="8" t="s">
        <v>62</v>
      </c>
      <c r="E3715" s="8">
        <v>9</v>
      </c>
      <c r="F3715" s="34">
        <f t="shared" si="1758"/>
        <v>166097</v>
      </c>
      <c r="G3715" s="34">
        <f t="shared" si="1758"/>
        <v>166097</v>
      </c>
      <c r="H3715" s="34">
        <f t="shared" si="1755"/>
        <v>24407</v>
      </c>
      <c r="I3715" s="34">
        <f t="shared" si="1755"/>
        <v>24407</v>
      </c>
      <c r="J3715" s="34">
        <f t="shared" si="1756"/>
        <v>719659</v>
      </c>
      <c r="K3715" s="133">
        <v>1000</v>
      </c>
      <c r="L3715" s="34"/>
      <c r="M3715" s="16">
        <f t="shared" si="1759"/>
        <v>136644.28178133557</v>
      </c>
      <c r="N3715" s="36">
        <v>735</v>
      </c>
      <c r="O3715" s="36">
        <v>18</v>
      </c>
      <c r="P3715" s="56">
        <v>9088.7999999999993</v>
      </c>
      <c r="Q3715" s="2" t="s">
        <v>103</v>
      </c>
      <c r="R3715" s="2" t="s">
        <v>633</v>
      </c>
      <c r="S3715" s="36">
        <v>9763</v>
      </c>
    </row>
    <row r="3716" spans="1:19" x14ac:dyDescent="0.2">
      <c r="A3716" s="8" t="str">
        <f t="shared" si="1757"/>
        <v>9042111</v>
      </c>
      <c r="B3716" s="8">
        <v>904</v>
      </c>
      <c r="C3716" s="8">
        <v>21</v>
      </c>
      <c r="D3716" s="8" t="s">
        <v>62</v>
      </c>
      <c r="E3716" s="8">
        <v>1</v>
      </c>
      <c r="F3716" s="34">
        <f t="shared" ref="F3716:G3735" si="1760">ROUNDDOWN($P3716/4*MIN($O3716,4)*10*$N3716/$N3716*$Q3716/400,0)</f>
        <v>46372</v>
      </c>
      <c r="G3716" s="34">
        <f t="shared" si="1760"/>
        <v>46372</v>
      </c>
      <c r="H3716" s="34">
        <f t="shared" si="1755"/>
        <v>25775</v>
      </c>
      <c r="I3716" s="34">
        <f t="shared" si="1755"/>
        <v>25775</v>
      </c>
      <c r="J3716" s="34">
        <f t="shared" si="1756"/>
        <v>54226</v>
      </c>
      <c r="K3716" s="133">
        <v>1000</v>
      </c>
      <c r="L3716" s="34"/>
      <c r="M3716" s="16">
        <f t="shared" si="1759"/>
        <v>20366.71670046795</v>
      </c>
      <c r="N3716" s="36">
        <v>810</v>
      </c>
      <c r="O3716" s="36">
        <v>1</v>
      </c>
      <c r="P3716" s="244">
        <v>10150</v>
      </c>
      <c r="Q3716" s="2" t="s">
        <v>103</v>
      </c>
      <c r="R3716" s="2" t="s">
        <v>168</v>
      </c>
      <c r="S3716" s="36">
        <v>10310</v>
      </c>
    </row>
    <row r="3717" spans="1:19" x14ac:dyDescent="0.2">
      <c r="A3717" s="8" t="str">
        <f t="shared" si="1757"/>
        <v>9042119</v>
      </c>
      <c r="B3717" s="8">
        <v>904</v>
      </c>
      <c r="C3717" s="8">
        <v>21</v>
      </c>
      <c r="D3717" s="8" t="s">
        <v>62</v>
      </c>
      <c r="E3717" s="8">
        <v>9</v>
      </c>
      <c r="F3717" s="34">
        <f t="shared" si="1760"/>
        <v>185491</v>
      </c>
      <c r="G3717" s="34">
        <f t="shared" si="1760"/>
        <v>185491</v>
      </c>
      <c r="H3717" s="34">
        <f t="shared" si="1755"/>
        <v>25775</v>
      </c>
      <c r="I3717" s="34">
        <f t="shared" si="1755"/>
        <v>25775</v>
      </c>
      <c r="J3717" s="34">
        <f t="shared" si="1756"/>
        <v>803686</v>
      </c>
      <c r="K3717" s="133">
        <v>1000</v>
      </c>
      <c r="L3717" s="34"/>
      <c r="M3717" s="16">
        <f t="shared" si="1759"/>
        <v>156817.29085307193</v>
      </c>
      <c r="N3717" s="36">
        <v>735</v>
      </c>
      <c r="O3717" s="36">
        <v>18</v>
      </c>
      <c r="P3717" s="56">
        <v>10150</v>
      </c>
      <c r="Q3717" s="2" t="s">
        <v>103</v>
      </c>
      <c r="R3717" s="2" t="s">
        <v>168</v>
      </c>
      <c r="S3717" s="36">
        <v>10310</v>
      </c>
    </row>
    <row r="3718" spans="1:19" x14ac:dyDescent="0.2">
      <c r="A3718" s="8" t="str">
        <f t="shared" si="1757"/>
        <v>9042211</v>
      </c>
      <c r="B3718" s="8">
        <v>904</v>
      </c>
      <c r="C3718" s="8">
        <v>22</v>
      </c>
      <c r="D3718" s="8" t="s">
        <v>62</v>
      </c>
      <c r="E3718" s="8">
        <v>1</v>
      </c>
      <c r="F3718" s="34">
        <f t="shared" si="1760"/>
        <v>48227</v>
      </c>
      <c r="G3718" s="34">
        <f t="shared" si="1760"/>
        <v>48227</v>
      </c>
      <c r="H3718" s="34">
        <f t="shared" si="1755"/>
        <v>26495</v>
      </c>
      <c r="I3718" s="34">
        <f t="shared" si="1755"/>
        <v>26495</v>
      </c>
      <c r="J3718" s="34">
        <f t="shared" si="1756"/>
        <v>56395</v>
      </c>
      <c r="K3718" s="133">
        <v>1000</v>
      </c>
      <c r="L3718" s="34"/>
      <c r="M3718" s="16">
        <f t="shared" si="1759"/>
        <v>21475.207705880755</v>
      </c>
      <c r="N3718" s="36">
        <v>810</v>
      </c>
      <c r="O3718" s="36">
        <v>1</v>
      </c>
      <c r="P3718" s="244">
        <v>10556</v>
      </c>
      <c r="Q3718" s="2" t="s">
        <v>103</v>
      </c>
      <c r="R3718" s="2" t="s">
        <v>634</v>
      </c>
      <c r="S3718" s="36">
        <v>10598</v>
      </c>
    </row>
    <row r="3719" spans="1:19" x14ac:dyDescent="0.2">
      <c r="A3719" s="8" t="str">
        <f t="shared" si="1757"/>
        <v>9042219</v>
      </c>
      <c r="B3719" s="8">
        <v>904</v>
      </c>
      <c r="C3719" s="8">
        <v>22</v>
      </c>
      <c r="D3719" s="8" t="s">
        <v>62</v>
      </c>
      <c r="E3719" s="8">
        <v>9</v>
      </c>
      <c r="F3719" s="34">
        <f t="shared" si="1760"/>
        <v>192910</v>
      </c>
      <c r="G3719" s="34">
        <f t="shared" si="1760"/>
        <v>192910</v>
      </c>
      <c r="H3719" s="34">
        <f t="shared" si="1755"/>
        <v>26495</v>
      </c>
      <c r="I3719" s="34">
        <f t="shared" si="1755"/>
        <v>26495</v>
      </c>
      <c r="J3719" s="34">
        <f t="shared" si="1756"/>
        <v>835833</v>
      </c>
      <c r="K3719" s="133">
        <v>1000</v>
      </c>
      <c r="L3719" s="34"/>
      <c r="M3719" s="16">
        <f t="shared" si="1759"/>
        <v>165351.85686915962</v>
      </c>
      <c r="N3719" s="36">
        <v>735</v>
      </c>
      <c r="O3719" s="36">
        <v>18</v>
      </c>
      <c r="P3719" s="56">
        <v>10556</v>
      </c>
      <c r="Q3719" s="2" t="s">
        <v>103</v>
      </c>
      <c r="R3719" s="2" t="s">
        <v>634</v>
      </c>
      <c r="S3719" s="36">
        <v>10598</v>
      </c>
    </row>
    <row r="3720" spans="1:19" x14ac:dyDescent="0.2">
      <c r="A3720" s="8" t="str">
        <f t="shared" si="1757"/>
        <v>9042311</v>
      </c>
      <c r="B3720" s="8">
        <v>904</v>
      </c>
      <c r="C3720" s="8">
        <v>23</v>
      </c>
      <c r="D3720" s="8" t="s">
        <v>62</v>
      </c>
      <c r="E3720" s="8">
        <v>1</v>
      </c>
      <c r="F3720" s="34">
        <f t="shared" si="1760"/>
        <v>50156</v>
      </c>
      <c r="G3720" s="34">
        <f t="shared" si="1760"/>
        <v>50156</v>
      </c>
      <c r="H3720" s="34">
        <f t="shared" si="1755"/>
        <v>28080</v>
      </c>
      <c r="I3720" s="34">
        <f t="shared" si="1755"/>
        <v>28080</v>
      </c>
      <c r="J3720" s="34">
        <f t="shared" si="1756"/>
        <v>58650</v>
      </c>
      <c r="K3720" s="133">
        <v>1000</v>
      </c>
      <c r="L3720" s="34"/>
      <c r="M3720" s="16">
        <f t="shared" si="1759"/>
        <v>22992.383455675055</v>
      </c>
      <c r="N3720" s="36">
        <v>810</v>
      </c>
      <c r="O3720" s="36">
        <v>1</v>
      </c>
      <c r="P3720" s="244">
        <v>10978.099999999999</v>
      </c>
      <c r="Q3720" s="2" t="s">
        <v>103</v>
      </c>
      <c r="R3720" s="2" t="s">
        <v>635</v>
      </c>
      <c r="S3720" s="36">
        <v>11232</v>
      </c>
    </row>
    <row r="3721" spans="1:19" x14ac:dyDescent="0.2">
      <c r="A3721" s="8" t="str">
        <f t="shared" si="1757"/>
        <v>9042319</v>
      </c>
      <c r="B3721" s="8">
        <v>904</v>
      </c>
      <c r="C3721" s="8">
        <v>23</v>
      </c>
      <c r="D3721" s="8" t="s">
        <v>62</v>
      </c>
      <c r="E3721" s="8">
        <v>9</v>
      </c>
      <c r="F3721" s="34">
        <f t="shared" si="1760"/>
        <v>200624</v>
      </c>
      <c r="G3721" s="34">
        <f t="shared" si="1760"/>
        <v>200624</v>
      </c>
      <c r="H3721" s="34">
        <f t="shared" si="1755"/>
        <v>28080</v>
      </c>
      <c r="I3721" s="34">
        <f t="shared" si="1755"/>
        <v>28080</v>
      </c>
      <c r="J3721" s="34">
        <f t="shared" si="1756"/>
        <v>869256</v>
      </c>
      <c r="K3721" s="133">
        <v>1000</v>
      </c>
      <c r="L3721" s="34"/>
      <c r="M3721" s="16">
        <f t="shared" si="1759"/>
        <v>177032.83727203193</v>
      </c>
      <c r="N3721" s="36">
        <v>735</v>
      </c>
      <c r="O3721" s="36">
        <v>18</v>
      </c>
      <c r="P3721" s="56">
        <v>10978.099999999999</v>
      </c>
      <c r="Q3721" s="2" t="s">
        <v>103</v>
      </c>
      <c r="R3721" s="2" t="s">
        <v>635</v>
      </c>
      <c r="S3721" s="36">
        <v>11232</v>
      </c>
    </row>
    <row r="3722" spans="1:19" x14ac:dyDescent="0.2">
      <c r="A3722" s="8" t="str">
        <f t="shared" si="1757"/>
        <v>9042411</v>
      </c>
      <c r="B3722" s="8">
        <v>904</v>
      </c>
      <c r="C3722" s="8">
        <v>24</v>
      </c>
      <c r="D3722" s="8" t="s">
        <v>62</v>
      </c>
      <c r="E3722" s="8">
        <v>1</v>
      </c>
      <c r="F3722" s="34">
        <f t="shared" si="1760"/>
        <v>52161</v>
      </c>
      <c r="G3722" s="34">
        <f t="shared" si="1760"/>
        <v>52161</v>
      </c>
      <c r="H3722" s="34">
        <f t="shared" si="1755"/>
        <v>28642</v>
      </c>
      <c r="I3722" s="34">
        <f t="shared" si="1755"/>
        <v>28642</v>
      </c>
      <c r="J3722" s="34">
        <f t="shared" si="1756"/>
        <v>60995</v>
      </c>
      <c r="K3722" s="133">
        <v>1000</v>
      </c>
      <c r="L3722" s="34"/>
      <c r="M3722" s="16">
        <f t="shared" si="1759"/>
        <v>24149.699407512635</v>
      </c>
      <c r="N3722" s="36">
        <v>810</v>
      </c>
      <c r="O3722" s="36">
        <v>1</v>
      </c>
      <c r="P3722" s="244">
        <v>11417</v>
      </c>
      <c r="Q3722" s="2" t="s">
        <v>103</v>
      </c>
      <c r="R3722" s="2" t="s">
        <v>636</v>
      </c>
      <c r="S3722" s="36">
        <v>11457</v>
      </c>
    </row>
    <row r="3723" spans="1:19" x14ac:dyDescent="0.2">
      <c r="A3723" s="8" t="str">
        <f t="shared" si="1757"/>
        <v>9042419</v>
      </c>
      <c r="B3723" s="8">
        <v>904</v>
      </c>
      <c r="C3723" s="8">
        <v>24</v>
      </c>
      <c r="D3723" s="8" t="s">
        <v>62</v>
      </c>
      <c r="E3723" s="8">
        <v>9</v>
      </c>
      <c r="F3723" s="34">
        <f t="shared" si="1760"/>
        <v>208645</v>
      </c>
      <c r="G3723" s="34">
        <f t="shared" si="1760"/>
        <v>208645</v>
      </c>
      <c r="H3723" s="34">
        <f t="shared" si="1755"/>
        <v>28642</v>
      </c>
      <c r="I3723" s="34">
        <f t="shared" si="1755"/>
        <v>28642</v>
      </c>
      <c r="J3723" s="34">
        <f t="shared" si="1756"/>
        <v>904008</v>
      </c>
      <c r="K3723" s="133">
        <v>1000</v>
      </c>
      <c r="L3723" s="34"/>
      <c r="M3723" s="16">
        <f t="shared" si="1759"/>
        <v>185943.83546765032</v>
      </c>
      <c r="N3723" s="36">
        <v>735</v>
      </c>
      <c r="O3723" s="36">
        <v>18</v>
      </c>
      <c r="P3723" s="56">
        <v>11417</v>
      </c>
      <c r="Q3723" s="2" t="s">
        <v>103</v>
      </c>
      <c r="R3723" s="2" t="s">
        <v>636</v>
      </c>
      <c r="S3723" s="36">
        <v>11457</v>
      </c>
    </row>
    <row r="3724" spans="1:19" x14ac:dyDescent="0.2">
      <c r="A3724" s="8" t="str">
        <f t="shared" si="1757"/>
        <v>9042511</v>
      </c>
      <c r="B3724" s="8">
        <v>904</v>
      </c>
      <c r="C3724" s="8">
        <v>25</v>
      </c>
      <c r="D3724" s="8" t="s">
        <v>62</v>
      </c>
      <c r="E3724" s="8">
        <v>1</v>
      </c>
      <c r="F3724" s="34">
        <f t="shared" si="1760"/>
        <v>54246</v>
      </c>
      <c r="G3724" s="34">
        <f t="shared" si="1760"/>
        <v>54246</v>
      </c>
      <c r="H3724" s="34">
        <f t="shared" si="1755"/>
        <v>30095</v>
      </c>
      <c r="I3724" s="34">
        <f t="shared" si="1755"/>
        <v>30095</v>
      </c>
      <c r="J3724" s="34">
        <f t="shared" si="1756"/>
        <v>63433</v>
      </c>
      <c r="K3724" s="133">
        <v>1000</v>
      </c>
      <c r="L3724" s="34"/>
      <c r="M3724" s="16">
        <f t="shared" si="1759"/>
        <v>25744.15528346083</v>
      </c>
      <c r="N3724" s="36">
        <v>810</v>
      </c>
      <c r="O3724" s="36">
        <v>1</v>
      </c>
      <c r="P3724" s="244">
        <v>11873.4</v>
      </c>
      <c r="Q3724" s="2" t="s">
        <v>103</v>
      </c>
      <c r="R3724" s="2" t="s">
        <v>637</v>
      </c>
      <c r="S3724" s="36">
        <v>12038</v>
      </c>
    </row>
    <row r="3725" spans="1:19" x14ac:dyDescent="0.2">
      <c r="A3725" s="8" t="str">
        <f t="shared" si="1757"/>
        <v>9042519</v>
      </c>
      <c r="B3725" s="8">
        <v>904</v>
      </c>
      <c r="C3725" s="8">
        <v>25</v>
      </c>
      <c r="D3725" s="8" t="s">
        <v>62</v>
      </c>
      <c r="E3725" s="8">
        <v>9</v>
      </c>
      <c r="F3725" s="34">
        <f t="shared" si="1760"/>
        <v>216986</v>
      </c>
      <c r="G3725" s="34">
        <f t="shared" si="1760"/>
        <v>216986</v>
      </c>
      <c r="H3725" s="34">
        <f t="shared" si="1755"/>
        <v>30095</v>
      </c>
      <c r="I3725" s="34">
        <f t="shared" si="1755"/>
        <v>30095</v>
      </c>
      <c r="J3725" s="34">
        <f>ROUNDDOWN($P3725/4*$O3725*10*$N3725/$Q3725*$N3725/420,0)</f>
        <v>940146</v>
      </c>
      <c r="K3725" s="133">
        <v>1000</v>
      </c>
      <c r="L3725" s="34"/>
      <c r="M3725" s="16">
        <f t="shared" si="1759"/>
        <v>198221.45931176384</v>
      </c>
      <c r="N3725" s="36">
        <v>735</v>
      </c>
      <c r="O3725" s="36">
        <v>18</v>
      </c>
      <c r="P3725" s="56">
        <v>11873.4</v>
      </c>
      <c r="Q3725" s="2" t="s">
        <v>103</v>
      </c>
      <c r="R3725" s="2" t="s">
        <v>637</v>
      </c>
      <c r="S3725" s="36">
        <v>12038</v>
      </c>
    </row>
    <row r="3726" spans="1:19" x14ac:dyDescent="0.2">
      <c r="A3726" s="8" t="str">
        <f t="shared" si="1757"/>
        <v>9042611</v>
      </c>
      <c r="B3726" s="8">
        <v>904</v>
      </c>
      <c r="C3726" s="8">
        <v>26</v>
      </c>
      <c r="D3726" s="8" t="s">
        <v>62</v>
      </c>
      <c r="E3726" s="8">
        <v>1</v>
      </c>
      <c r="F3726" s="34">
        <f t="shared" si="1760"/>
        <v>78925</v>
      </c>
      <c r="G3726" s="34">
        <f t="shared" si="1760"/>
        <v>78925</v>
      </c>
      <c r="H3726" s="34">
        <f t="shared" si="1755"/>
        <v>26950</v>
      </c>
      <c r="I3726" s="34">
        <f t="shared" si="1755"/>
        <v>26950</v>
      </c>
      <c r="J3726" s="34">
        <f t="shared" si="1756"/>
        <v>73344</v>
      </c>
      <c r="K3726" s="133">
        <v>1000</v>
      </c>
      <c r="L3726" s="34"/>
      <c r="M3726" s="16">
        <f t="shared" si="1759"/>
        <v>31597.954023892118</v>
      </c>
      <c r="N3726" s="36">
        <v>810</v>
      </c>
      <c r="O3726" s="36">
        <v>1</v>
      </c>
      <c r="P3726" s="56">
        <v>15399.999999999998</v>
      </c>
      <c r="Q3726" s="2" t="s">
        <v>183</v>
      </c>
      <c r="R3726" s="2" t="s">
        <v>638</v>
      </c>
      <c r="S3726" s="56">
        <f>P3726*0.7</f>
        <v>10779.999999999998</v>
      </c>
    </row>
    <row r="3727" spans="1:19" x14ac:dyDescent="0.2">
      <c r="A3727" s="8" t="str">
        <f t="shared" si="1757"/>
        <v>9042619</v>
      </c>
      <c r="B3727" s="8">
        <v>904</v>
      </c>
      <c r="C3727" s="8">
        <v>26</v>
      </c>
      <c r="D3727" s="8" t="s">
        <v>62</v>
      </c>
      <c r="E3727" s="8">
        <v>9</v>
      </c>
      <c r="F3727" s="34">
        <f t="shared" si="1760"/>
        <v>315700</v>
      </c>
      <c r="G3727" s="34">
        <f t="shared" si="1760"/>
        <v>315700</v>
      </c>
      <c r="H3727" s="34">
        <f t="shared" si="1755"/>
        <v>26950</v>
      </c>
      <c r="I3727" s="34">
        <f t="shared" si="1755"/>
        <v>26950</v>
      </c>
      <c r="J3727" s="34">
        <f t="shared" si="1756"/>
        <v>1087038</v>
      </c>
      <c r="K3727" s="133">
        <v>1000</v>
      </c>
      <c r="L3727" s="34"/>
      <c r="M3727" s="16">
        <f t="shared" si="1759"/>
        <v>243292.67067786484</v>
      </c>
      <c r="N3727" s="36">
        <v>735</v>
      </c>
      <c r="O3727" s="36">
        <v>18</v>
      </c>
      <c r="P3727" s="56">
        <v>15399.999999999998</v>
      </c>
      <c r="Q3727" s="2" t="s">
        <v>183</v>
      </c>
      <c r="R3727" s="2" t="s">
        <v>638</v>
      </c>
      <c r="S3727" s="56">
        <f t="shared" ref="S3727:S3765" si="1761">P3727*0.7</f>
        <v>10779.999999999998</v>
      </c>
    </row>
    <row r="3728" spans="1:19" x14ac:dyDescent="0.2">
      <c r="A3728" s="8" t="str">
        <f t="shared" si="1757"/>
        <v>9042711</v>
      </c>
      <c r="B3728" s="8">
        <v>904</v>
      </c>
      <c r="C3728" s="8">
        <v>27</v>
      </c>
      <c r="D3728" s="8" t="s">
        <v>62</v>
      </c>
      <c r="E3728" s="8">
        <v>1</v>
      </c>
      <c r="F3728" s="34">
        <f t="shared" si="1760"/>
        <v>82082</v>
      </c>
      <c r="G3728" s="34">
        <f t="shared" si="1760"/>
        <v>82082</v>
      </c>
      <c r="H3728" s="34">
        <f t="shared" si="1755"/>
        <v>28028</v>
      </c>
      <c r="I3728" s="34">
        <f t="shared" si="1755"/>
        <v>28028</v>
      </c>
      <c r="J3728" s="34">
        <f t="shared" si="1756"/>
        <v>76278</v>
      </c>
      <c r="K3728" s="133">
        <v>1000</v>
      </c>
      <c r="L3728" s="34"/>
      <c r="M3728" s="16">
        <f t="shared" si="1759"/>
        <v>33512.718226754499</v>
      </c>
      <c r="N3728" s="36">
        <v>810</v>
      </c>
      <c r="O3728" s="36">
        <v>1</v>
      </c>
      <c r="P3728" s="56">
        <v>16015.999999999998</v>
      </c>
      <c r="Q3728" s="2" t="s">
        <v>183</v>
      </c>
      <c r="R3728" s="2" t="s">
        <v>639</v>
      </c>
      <c r="S3728" s="56">
        <f t="shared" si="1761"/>
        <v>11211.199999999999</v>
      </c>
    </row>
    <row r="3729" spans="1:19" x14ac:dyDescent="0.2">
      <c r="A3729" s="8" t="str">
        <f t="shared" si="1757"/>
        <v>9042719</v>
      </c>
      <c r="B3729" s="8">
        <v>904</v>
      </c>
      <c r="C3729" s="8">
        <v>27</v>
      </c>
      <c r="D3729" s="8" t="s">
        <v>62</v>
      </c>
      <c r="E3729" s="8">
        <v>9</v>
      </c>
      <c r="F3729" s="34">
        <f t="shared" si="1760"/>
        <v>328328</v>
      </c>
      <c r="G3729" s="34">
        <f t="shared" si="1760"/>
        <v>328328</v>
      </c>
      <c r="H3729" s="34">
        <f t="shared" si="1755"/>
        <v>28028</v>
      </c>
      <c r="I3729" s="34">
        <f t="shared" si="1755"/>
        <v>28028</v>
      </c>
      <c r="J3729" s="34">
        <f t="shared" si="1756"/>
        <v>1130519</v>
      </c>
      <c r="K3729" s="133">
        <v>1000</v>
      </c>
      <c r="L3729" s="34"/>
      <c r="M3729" s="16">
        <f t="shared" si="1759"/>
        <v>258035.18831884611</v>
      </c>
      <c r="N3729" s="36">
        <v>735</v>
      </c>
      <c r="O3729" s="36">
        <v>18</v>
      </c>
      <c r="P3729" s="56">
        <v>16015.999999999998</v>
      </c>
      <c r="Q3729" s="2" t="s">
        <v>183</v>
      </c>
      <c r="R3729" s="2" t="s">
        <v>639</v>
      </c>
      <c r="S3729" s="56">
        <f t="shared" si="1761"/>
        <v>11211.199999999999</v>
      </c>
    </row>
    <row r="3730" spans="1:19" x14ac:dyDescent="0.2">
      <c r="A3730" s="8" t="str">
        <f t="shared" si="1757"/>
        <v>9042811</v>
      </c>
      <c r="B3730" s="8">
        <v>904</v>
      </c>
      <c r="C3730" s="8">
        <v>28</v>
      </c>
      <c r="D3730" s="8" t="s">
        <v>62</v>
      </c>
      <c r="E3730" s="8">
        <v>1</v>
      </c>
      <c r="F3730" s="34">
        <f t="shared" si="1760"/>
        <v>85364</v>
      </c>
      <c r="G3730" s="34">
        <f t="shared" si="1760"/>
        <v>85364</v>
      </c>
      <c r="H3730" s="34">
        <f t="shared" si="1755"/>
        <v>29148</v>
      </c>
      <c r="I3730" s="34">
        <f t="shared" si="1755"/>
        <v>29148</v>
      </c>
      <c r="J3730" s="34">
        <f t="shared" si="1756"/>
        <v>79328</v>
      </c>
      <c r="K3730" s="133">
        <v>1000</v>
      </c>
      <c r="L3730" s="34"/>
      <c r="M3730" s="16">
        <f t="shared" si="1759"/>
        <v>35542.256645611327</v>
      </c>
      <c r="N3730" s="36">
        <v>810</v>
      </c>
      <c r="O3730" s="36">
        <v>1</v>
      </c>
      <c r="P3730" s="56">
        <v>16656.5</v>
      </c>
      <c r="Q3730" s="2" t="s">
        <v>183</v>
      </c>
      <c r="R3730" s="2" t="s">
        <v>640</v>
      </c>
      <c r="S3730" s="56">
        <f t="shared" si="1761"/>
        <v>11659.55</v>
      </c>
    </row>
    <row r="3731" spans="1:19" x14ac:dyDescent="0.2">
      <c r="A3731" s="8" t="str">
        <f t="shared" si="1757"/>
        <v>9042819</v>
      </c>
      <c r="B3731" s="8">
        <v>904</v>
      </c>
      <c r="C3731" s="8">
        <v>28</v>
      </c>
      <c r="D3731" s="8" t="s">
        <v>62</v>
      </c>
      <c r="E3731" s="8">
        <v>9</v>
      </c>
      <c r="F3731" s="34">
        <f t="shared" si="1760"/>
        <v>341458</v>
      </c>
      <c r="G3731" s="34">
        <f t="shared" si="1760"/>
        <v>341458</v>
      </c>
      <c r="H3731" s="34">
        <f t="shared" si="1755"/>
        <v>29148</v>
      </c>
      <c r="I3731" s="34">
        <f t="shared" si="1755"/>
        <v>29148</v>
      </c>
      <c r="J3731" s="34">
        <f t="shared" si="1756"/>
        <v>1175730</v>
      </c>
      <c r="K3731" s="133">
        <v>1000</v>
      </c>
      <c r="L3731" s="34"/>
      <c r="M3731" s="16">
        <f t="shared" si="1759"/>
        <v>273663.45992910134</v>
      </c>
      <c r="N3731" s="36">
        <v>735</v>
      </c>
      <c r="O3731" s="36">
        <v>18</v>
      </c>
      <c r="P3731" s="56">
        <v>16656.5</v>
      </c>
      <c r="Q3731" s="2" t="s">
        <v>183</v>
      </c>
      <c r="R3731" s="2" t="s">
        <v>640</v>
      </c>
      <c r="S3731" s="56">
        <f t="shared" si="1761"/>
        <v>11659.55</v>
      </c>
    </row>
    <row r="3732" spans="1:19" x14ac:dyDescent="0.2">
      <c r="A3732" s="8" t="str">
        <f t="shared" si="1757"/>
        <v>9042911</v>
      </c>
      <c r="B3732" s="8">
        <v>904</v>
      </c>
      <c r="C3732" s="8">
        <v>29</v>
      </c>
      <c r="D3732" s="8" t="s">
        <v>62</v>
      </c>
      <c r="E3732" s="8">
        <v>1</v>
      </c>
      <c r="F3732" s="34">
        <f t="shared" si="1760"/>
        <v>88776</v>
      </c>
      <c r="G3732" s="34">
        <f t="shared" si="1760"/>
        <v>88776</v>
      </c>
      <c r="H3732" s="34">
        <f t="shared" si="1755"/>
        <v>30313</v>
      </c>
      <c r="I3732" s="34">
        <f t="shared" si="1755"/>
        <v>30313</v>
      </c>
      <c r="J3732" s="34">
        <f t="shared" si="1756"/>
        <v>82499</v>
      </c>
      <c r="K3732" s="133">
        <v>1000</v>
      </c>
      <c r="L3732" s="34"/>
      <c r="M3732" s="16">
        <f t="shared" si="1759"/>
        <v>37694.377485719502</v>
      </c>
      <c r="N3732" s="36">
        <v>810</v>
      </c>
      <c r="O3732" s="36">
        <v>1</v>
      </c>
      <c r="P3732" s="56">
        <v>17322.199999999997</v>
      </c>
      <c r="Q3732" s="2" t="s">
        <v>183</v>
      </c>
      <c r="R3732" s="2" t="s">
        <v>641</v>
      </c>
      <c r="S3732" s="56">
        <f t="shared" si="1761"/>
        <v>12125.539999999997</v>
      </c>
    </row>
    <row r="3733" spans="1:19" x14ac:dyDescent="0.2">
      <c r="A3733" s="8" t="str">
        <f t="shared" si="1757"/>
        <v>9042919</v>
      </c>
      <c r="B3733" s="8">
        <v>904</v>
      </c>
      <c r="C3733" s="8">
        <v>29</v>
      </c>
      <c r="D3733" s="8" t="s">
        <v>62</v>
      </c>
      <c r="E3733" s="8">
        <v>9</v>
      </c>
      <c r="F3733" s="34">
        <f t="shared" si="1760"/>
        <v>355105</v>
      </c>
      <c r="G3733" s="34">
        <f t="shared" si="1760"/>
        <v>355105</v>
      </c>
      <c r="H3733" s="34">
        <f t="shared" si="1755"/>
        <v>30313</v>
      </c>
      <c r="I3733" s="34">
        <f t="shared" si="1755"/>
        <v>30313</v>
      </c>
      <c r="J3733" s="34">
        <f t="shared" si="1756"/>
        <v>1222720</v>
      </c>
      <c r="K3733" s="133">
        <v>1000</v>
      </c>
      <c r="L3733" s="34"/>
      <c r="M3733" s="16">
        <f t="shared" si="1759"/>
        <v>290232.70426875382</v>
      </c>
      <c r="N3733" s="36">
        <v>735</v>
      </c>
      <c r="O3733" s="36">
        <v>18</v>
      </c>
      <c r="P3733" s="56">
        <v>17322.199999999997</v>
      </c>
      <c r="Q3733" s="2" t="s">
        <v>183</v>
      </c>
      <c r="R3733" s="2" t="s">
        <v>641</v>
      </c>
      <c r="S3733" s="56">
        <f t="shared" si="1761"/>
        <v>12125.539999999997</v>
      </c>
    </row>
    <row r="3734" spans="1:19" x14ac:dyDescent="0.2">
      <c r="A3734" s="8" t="str">
        <f t="shared" si="1757"/>
        <v>9043011</v>
      </c>
      <c r="B3734" s="8">
        <v>904</v>
      </c>
      <c r="C3734" s="8">
        <v>30</v>
      </c>
      <c r="D3734" s="8" t="s">
        <v>62</v>
      </c>
      <c r="E3734" s="8">
        <v>1</v>
      </c>
      <c r="F3734" s="34">
        <f t="shared" si="1760"/>
        <v>92324</v>
      </c>
      <c r="G3734" s="34">
        <f t="shared" si="1760"/>
        <v>92324</v>
      </c>
      <c r="H3734" s="34">
        <f t="shared" si="1755"/>
        <v>31525</v>
      </c>
      <c r="I3734" s="34">
        <f t="shared" si="1755"/>
        <v>31525</v>
      </c>
      <c r="J3734" s="34">
        <f t="shared" si="1756"/>
        <v>85796</v>
      </c>
      <c r="K3734" s="133">
        <v>1000</v>
      </c>
      <c r="L3734" s="34"/>
      <c r="M3734" s="16">
        <f t="shared" si="1759"/>
        <v>39976.830707686677</v>
      </c>
      <c r="N3734" s="36">
        <v>810</v>
      </c>
      <c r="O3734" s="36">
        <v>1</v>
      </c>
      <c r="P3734" s="56">
        <v>18014.5</v>
      </c>
      <c r="Q3734" s="2" t="s">
        <v>183</v>
      </c>
      <c r="R3734" s="2" t="s">
        <v>642</v>
      </c>
      <c r="S3734" s="56">
        <f t="shared" si="1761"/>
        <v>12610.15</v>
      </c>
    </row>
    <row r="3735" spans="1:19" x14ac:dyDescent="0.2">
      <c r="A3735" s="8" t="str">
        <f t="shared" si="1757"/>
        <v>9043019</v>
      </c>
      <c r="B3735" s="8">
        <v>904</v>
      </c>
      <c r="C3735" s="8">
        <v>30</v>
      </c>
      <c r="D3735" s="8" t="s">
        <v>62</v>
      </c>
      <c r="E3735" s="8">
        <v>9</v>
      </c>
      <c r="F3735" s="34">
        <f t="shared" si="1760"/>
        <v>369297</v>
      </c>
      <c r="G3735" s="34">
        <f t="shared" si="1760"/>
        <v>369297</v>
      </c>
      <c r="H3735" s="34">
        <f t="shared" si="1755"/>
        <v>31525</v>
      </c>
      <c r="I3735" s="34">
        <f t="shared" si="1755"/>
        <v>31525</v>
      </c>
      <c r="J3735" s="34">
        <f t="shared" si="1756"/>
        <v>1271587</v>
      </c>
      <c r="K3735" s="133">
        <v>1000</v>
      </c>
      <c r="L3735" s="34"/>
      <c r="M3735" s="16">
        <f t="shared" si="1759"/>
        <v>307806.98012396775</v>
      </c>
      <c r="N3735" s="36">
        <v>735</v>
      </c>
      <c r="O3735" s="36">
        <v>18</v>
      </c>
      <c r="P3735" s="56">
        <v>18014.5</v>
      </c>
      <c r="Q3735" s="2" t="s">
        <v>183</v>
      </c>
      <c r="R3735" s="2" t="s">
        <v>642</v>
      </c>
      <c r="S3735" s="56">
        <f t="shared" si="1761"/>
        <v>12610.15</v>
      </c>
    </row>
    <row r="3736" spans="1:19" x14ac:dyDescent="0.2">
      <c r="A3736" s="8" t="str">
        <f t="shared" si="1757"/>
        <v>9043111</v>
      </c>
      <c r="B3736" s="8">
        <v>904</v>
      </c>
      <c r="C3736" s="8">
        <v>31</v>
      </c>
      <c r="D3736" s="8" t="s">
        <v>62</v>
      </c>
      <c r="E3736" s="8">
        <v>1</v>
      </c>
      <c r="F3736" s="34">
        <f t="shared" ref="F3736:G3755" si="1762">ROUNDDOWN($P3736/4*MIN($O3736,4)*10*$N3736/$N3736*$Q3736/400,0)</f>
        <v>100450</v>
      </c>
      <c r="G3736" s="34">
        <f t="shared" si="1762"/>
        <v>100450</v>
      </c>
      <c r="H3736" s="34">
        <f t="shared" si="1755"/>
        <v>34300</v>
      </c>
      <c r="I3736" s="34">
        <f t="shared" si="1755"/>
        <v>34300</v>
      </c>
      <c r="J3736" s="34">
        <f t="shared" si="1756"/>
        <v>93347</v>
      </c>
      <c r="K3736" s="133">
        <v>1000</v>
      </c>
      <c r="L3736" s="34"/>
      <c r="M3736" s="16">
        <f t="shared" si="1759"/>
        <v>45369.312690936815</v>
      </c>
      <c r="N3736" s="36">
        <v>810</v>
      </c>
      <c r="O3736" s="36">
        <v>1</v>
      </c>
      <c r="P3736" s="56">
        <v>19600</v>
      </c>
      <c r="Q3736" s="2" t="s">
        <v>183</v>
      </c>
      <c r="R3736" s="2" t="s">
        <v>643</v>
      </c>
      <c r="S3736" s="56">
        <f t="shared" si="1761"/>
        <v>13720</v>
      </c>
    </row>
    <row r="3737" spans="1:19" x14ac:dyDescent="0.2">
      <c r="A3737" s="8" t="str">
        <f t="shared" si="1757"/>
        <v>9043119</v>
      </c>
      <c r="B3737" s="8">
        <v>904</v>
      </c>
      <c r="C3737" s="8">
        <v>31</v>
      </c>
      <c r="D3737" s="8" t="s">
        <v>62</v>
      </c>
      <c r="E3737" s="8">
        <v>9</v>
      </c>
      <c r="F3737" s="34">
        <f t="shared" si="1762"/>
        <v>401800</v>
      </c>
      <c r="G3737" s="34">
        <f t="shared" si="1762"/>
        <v>401800</v>
      </c>
      <c r="H3737" s="34">
        <f t="shared" si="1755"/>
        <v>34300</v>
      </c>
      <c r="I3737" s="34">
        <f t="shared" si="1755"/>
        <v>34300</v>
      </c>
      <c r="J3737" s="34">
        <f t="shared" si="1756"/>
        <v>1383503</v>
      </c>
      <c r="K3737" s="133">
        <v>1000</v>
      </c>
      <c r="L3737" s="34"/>
      <c r="M3737" s="16">
        <f t="shared" si="1759"/>
        <v>349326.92891531857</v>
      </c>
      <c r="N3737" s="36">
        <v>735</v>
      </c>
      <c r="O3737" s="36">
        <v>18</v>
      </c>
      <c r="P3737" s="56">
        <v>19600</v>
      </c>
      <c r="Q3737" s="2" t="s">
        <v>183</v>
      </c>
      <c r="R3737" s="2" t="s">
        <v>643</v>
      </c>
      <c r="S3737" s="56">
        <f t="shared" si="1761"/>
        <v>13720</v>
      </c>
    </row>
    <row r="3738" spans="1:19" x14ac:dyDescent="0.2">
      <c r="A3738" s="8" t="str">
        <f t="shared" si="1757"/>
        <v>9043211</v>
      </c>
      <c r="B3738" s="8">
        <v>904</v>
      </c>
      <c r="C3738" s="8">
        <v>32</v>
      </c>
      <c r="D3738" s="8" t="s">
        <v>62</v>
      </c>
      <c r="E3738" s="8">
        <v>1</v>
      </c>
      <c r="F3738" s="34">
        <f t="shared" si="1762"/>
        <v>104468</v>
      </c>
      <c r="G3738" s="34">
        <f t="shared" si="1762"/>
        <v>104468</v>
      </c>
      <c r="H3738" s="34">
        <f t="shared" si="1755"/>
        <v>35672</v>
      </c>
      <c r="I3738" s="34">
        <f t="shared" si="1755"/>
        <v>35672</v>
      </c>
      <c r="J3738" s="34">
        <f t="shared" si="1756"/>
        <v>97081</v>
      </c>
      <c r="K3738" s="133">
        <v>1000</v>
      </c>
      <c r="L3738" s="34"/>
      <c r="M3738" s="16">
        <f t="shared" si="1759"/>
        <v>48118.543970934181</v>
      </c>
      <c r="N3738" s="36">
        <v>810</v>
      </c>
      <c r="O3738" s="36">
        <v>1</v>
      </c>
      <c r="P3738" s="56">
        <v>20384</v>
      </c>
      <c r="Q3738" s="2" t="s">
        <v>183</v>
      </c>
      <c r="R3738" s="2" t="s">
        <v>644</v>
      </c>
      <c r="S3738" s="56">
        <f t="shared" si="1761"/>
        <v>14268.8</v>
      </c>
    </row>
    <row r="3739" spans="1:19" x14ac:dyDescent="0.2">
      <c r="A3739" s="8" t="str">
        <f t="shared" si="1757"/>
        <v>9043219</v>
      </c>
      <c r="B3739" s="8">
        <v>904</v>
      </c>
      <c r="C3739" s="8">
        <v>32</v>
      </c>
      <c r="D3739" s="8" t="s">
        <v>62</v>
      </c>
      <c r="E3739" s="8">
        <v>9</v>
      </c>
      <c r="F3739" s="34">
        <f t="shared" si="1762"/>
        <v>417872</v>
      </c>
      <c r="G3739" s="34">
        <f t="shared" si="1762"/>
        <v>417872</v>
      </c>
      <c r="H3739" s="34">
        <f t="shared" si="1755"/>
        <v>35672</v>
      </c>
      <c r="I3739" s="34">
        <f t="shared" si="1755"/>
        <v>35672</v>
      </c>
      <c r="J3739" s="34">
        <f t="shared" si="1756"/>
        <v>1438843</v>
      </c>
      <c r="K3739" s="133">
        <v>1000</v>
      </c>
      <c r="L3739" s="34"/>
      <c r="M3739" s="16">
        <f t="shared" si="1759"/>
        <v>370494.74860013666</v>
      </c>
      <c r="N3739" s="36">
        <v>735</v>
      </c>
      <c r="O3739" s="36">
        <v>18</v>
      </c>
      <c r="P3739" s="56">
        <v>20384</v>
      </c>
      <c r="Q3739" s="2" t="s">
        <v>183</v>
      </c>
      <c r="R3739" s="2" t="s">
        <v>644</v>
      </c>
      <c r="S3739" s="56">
        <f t="shared" si="1761"/>
        <v>14268.8</v>
      </c>
    </row>
    <row r="3740" spans="1:19" x14ac:dyDescent="0.2">
      <c r="A3740" s="8" t="str">
        <f t="shared" si="1757"/>
        <v>9043311</v>
      </c>
      <c r="B3740" s="8">
        <v>904</v>
      </c>
      <c r="C3740" s="8">
        <v>33</v>
      </c>
      <c r="D3740" s="8" t="s">
        <v>62</v>
      </c>
      <c r="E3740" s="8">
        <v>1</v>
      </c>
      <c r="F3740" s="34">
        <f t="shared" si="1762"/>
        <v>108643</v>
      </c>
      <c r="G3740" s="34">
        <f t="shared" si="1762"/>
        <v>108643</v>
      </c>
      <c r="H3740" s="34">
        <f t="shared" si="1755"/>
        <v>37097</v>
      </c>
      <c r="I3740" s="34">
        <f t="shared" si="1755"/>
        <v>37097</v>
      </c>
      <c r="J3740" s="34">
        <f t="shared" si="1756"/>
        <v>100962</v>
      </c>
      <c r="K3740" s="133">
        <v>1000</v>
      </c>
      <c r="L3740" s="34"/>
      <c r="M3740" s="16">
        <f t="shared" si="1759"/>
        <v>51031.605200222475</v>
      </c>
      <c r="N3740" s="36">
        <v>810</v>
      </c>
      <c r="O3740" s="36">
        <v>1</v>
      </c>
      <c r="P3740" s="56">
        <v>21198.799999999999</v>
      </c>
      <c r="Q3740" s="2" t="s">
        <v>183</v>
      </c>
      <c r="R3740" s="2" t="s">
        <v>645</v>
      </c>
      <c r="S3740" s="56">
        <f t="shared" si="1761"/>
        <v>14839.159999999998</v>
      </c>
    </row>
    <row r="3741" spans="1:19" x14ac:dyDescent="0.2">
      <c r="A3741" s="8" t="str">
        <f t="shared" si="1757"/>
        <v>9043319</v>
      </c>
      <c r="B3741" s="8">
        <v>904</v>
      </c>
      <c r="C3741" s="8">
        <v>33</v>
      </c>
      <c r="D3741" s="8" t="s">
        <v>62</v>
      </c>
      <c r="E3741" s="8">
        <v>9</v>
      </c>
      <c r="F3741" s="34">
        <f t="shared" si="1762"/>
        <v>434575</v>
      </c>
      <c r="G3741" s="34">
        <f t="shared" si="1762"/>
        <v>434575</v>
      </c>
      <c r="H3741" s="34">
        <f t="shared" si="1755"/>
        <v>37097</v>
      </c>
      <c r="I3741" s="34">
        <f t="shared" si="1755"/>
        <v>37097</v>
      </c>
      <c r="J3741" s="34">
        <f t="shared" ref="J3741:J3804" si="1763">ROUNDDOWN($P3741/4*$O3741*10*$N3741/$Q3741*$N3741/420,0)</f>
        <v>1496357</v>
      </c>
      <c r="K3741" s="133">
        <v>1000</v>
      </c>
      <c r="L3741" s="34"/>
      <c r="M3741" s="16">
        <f t="shared" si="1759"/>
        <v>392924.7280381131</v>
      </c>
      <c r="N3741" s="36">
        <v>735</v>
      </c>
      <c r="O3741" s="36">
        <v>18</v>
      </c>
      <c r="P3741" s="56">
        <v>21198.799999999999</v>
      </c>
      <c r="Q3741" s="2" t="s">
        <v>183</v>
      </c>
      <c r="R3741" s="2" t="s">
        <v>645</v>
      </c>
      <c r="S3741" s="56">
        <f t="shared" si="1761"/>
        <v>14839.159999999998</v>
      </c>
    </row>
    <row r="3742" spans="1:19" x14ac:dyDescent="0.2">
      <c r="A3742" s="8" t="str">
        <f t="shared" si="1757"/>
        <v>9043411</v>
      </c>
      <c r="B3742" s="8">
        <v>904</v>
      </c>
      <c r="C3742" s="8">
        <v>34</v>
      </c>
      <c r="D3742" s="8" t="s">
        <v>62</v>
      </c>
      <c r="E3742" s="8">
        <v>1</v>
      </c>
      <c r="F3742" s="34">
        <f t="shared" si="1762"/>
        <v>112988</v>
      </c>
      <c r="G3742" s="34">
        <f t="shared" si="1762"/>
        <v>112988</v>
      </c>
      <c r="H3742" s="34">
        <f t="shared" si="1755"/>
        <v>38581</v>
      </c>
      <c r="I3742" s="34">
        <f t="shared" si="1755"/>
        <v>38581</v>
      </c>
      <c r="J3742" s="34">
        <f t="shared" si="1763"/>
        <v>104999</v>
      </c>
      <c r="K3742" s="133">
        <v>1000</v>
      </c>
      <c r="L3742" s="34"/>
      <c r="M3742" s="16">
        <f t="shared" si="1759"/>
        <v>54123.449631373471</v>
      </c>
      <c r="N3742" s="36">
        <v>810</v>
      </c>
      <c r="O3742" s="36">
        <v>1</v>
      </c>
      <c r="P3742" s="56">
        <v>22046.5</v>
      </c>
      <c r="Q3742" s="2" t="s">
        <v>183</v>
      </c>
      <c r="R3742" s="2" t="s">
        <v>646</v>
      </c>
      <c r="S3742" s="56">
        <f t="shared" si="1761"/>
        <v>15432.55</v>
      </c>
    </row>
    <row r="3743" spans="1:19" x14ac:dyDescent="0.2">
      <c r="A3743" s="8" t="str">
        <f t="shared" si="1757"/>
        <v>9043419</v>
      </c>
      <c r="B3743" s="8">
        <v>904</v>
      </c>
      <c r="C3743" s="8">
        <v>34</v>
      </c>
      <c r="D3743" s="8" t="s">
        <v>62</v>
      </c>
      <c r="E3743" s="8">
        <v>9</v>
      </c>
      <c r="F3743" s="34">
        <f t="shared" si="1762"/>
        <v>451953</v>
      </c>
      <c r="G3743" s="34">
        <f t="shared" si="1762"/>
        <v>451953</v>
      </c>
      <c r="H3743" s="34">
        <f t="shared" si="1755"/>
        <v>38581</v>
      </c>
      <c r="I3743" s="34">
        <f t="shared" si="1755"/>
        <v>38581</v>
      </c>
      <c r="J3743" s="34">
        <f t="shared" si="1763"/>
        <v>1556193</v>
      </c>
      <c r="K3743" s="133">
        <v>1000</v>
      </c>
      <c r="L3743" s="34"/>
      <c r="M3743" s="16">
        <f t="shared" si="1759"/>
        <v>416730.31331799802</v>
      </c>
      <c r="N3743" s="36">
        <v>735</v>
      </c>
      <c r="O3743" s="36">
        <v>18</v>
      </c>
      <c r="P3743" s="56">
        <v>22046.5</v>
      </c>
      <c r="Q3743" s="2" t="s">
        <v>183</v>
      </c>
      <c r="R3743" s="2" t="s">
        <v>646</v>
      </c>
      <c r="S3743" s="56">
        <f t="shared" si="1761"/>
        <v>15432.55</v>
      </c>
    </row>
    <row r="3744" spans="1:19" x14ac:dyDescent="0.2">
      <c r="A3744" s="8" t="str">
        <f t="shared" si="1757"/>
        <v>9043511</v>
      </c>
      <c r="B3744" s="8">
        <v>904</v>
      </c>
      <c r="C3744" s="8">
        <v>35</v>
      </c>
      <c r="D3744" s="8" t="s">
        <v>62</v>
      </c>
      <c r="E3744" s="8">
        <v>1</v>
      </c>
      <c r="F3744" s="34">
        <f t="shared" si="1762"/>
        <v>117504</v>
      </c>
      <c r="G3744" s="34">
        <f t="shared" si="1762"/>
        <v>117504</v>
      </c>
      <c r="H3744" s="34">
        <f t="shared" si="1755"/>
        <v>40123</v>
      </c>
      <c r="I3744" s="34">
        <f t="shared" si="1755"/>
        <v>40123</v>
      </c>
      <c r="J3744" s="34">
        <f t="shared" si="1763"/>
        <v>109196</v>
      </c>
      <c r="K3744" s="133">
        <v>1000</v>
      </c>
      <c r="L3744" s="34"/>
      <c r="M3744" s="16">
        <f t="shared" si="1759"/>
        <v>57400.592625480494</v>
      </c>
      <c r="N3744" s="36">
        <v>810</v>
      </c>
      <c r="O3744" s="36">
        <v>1</v>
      </c>
      <c r="P3744" s="56">
        <v>22927.8</v>
      </c>
      <c r="Q3744" s="2" t="s">
        <v>183</v>
      </c>
      <c r="R3744" s="2" t="s">
        <v>647</v>
      </c>
      <c r="S3744" s="56">
        <f t="shared" si="1761"/>
        <v>16049.46</v>
      </c>
    </row>
    <row r="3745" spans="1:19" x14ac:dyDescent="0.2">
      <c r="A3745" s="8" t="str">
        <f t="shared" si="1757"/>
        <v>9043519</v>
      </c>
      <c r="B3745" s="8">
        <v>904</v>
      </c>
      <c r="C3745" s="8">
        <v>35</v>
      </c>
      <c r="D3745" s="8" t="s">
        <v>62</v>
      </c>
      <c r="E3745" s="8">
        <v>9</v>
      </c>
      <c r="F3745" s="34">
        <f t="shared" si="1762"/>
        <v>470019</v>
      </c>
      <c r="G3745" s="34">
        <f t="shared" si="1762"/>
        <v>470019</v>
      </c>
      <c r="H3745" s="34">
        <f t="shared" si="1755"/>
        <v>40123</v>
      </c>
      <c r="I3745" s="34">
        <f t="shared" si="1755"/>
        <v>40123</v>
      </c>
      <c r="J3745" s="34">
        <f t="shared" si="1763"/>
        <v>1618402</v>
      </c>
      <c r="K3745" s="133">
        <v>1000</v>
      </c>
      <c r="L3745" s="34"/>
      <c r="M3745" s="16">
        <f t="shared" si="1759"/>
        <v>441964.71306995885</v>
      </c>
      <c r="N3745" s="36">
        <v>735</v>
      </c>
      <c r="O3745" s="36">
        <v>18</v>
      </c>
      <c r="P3745" s="56">
        <v>22927.8</v>
      </c>
      <c r="Q3745" s="2" t="s">
        <v>183</v>
      </c>
      <c r="R3745" s="2" t="s">
        <v>647</v>
      </c>
      <c r="S3745" s="56">
        <f t="shared" si="1761"/>
        <v>16049.46</v>
      </c>
    </row>
    <row r="3746" spans="1:19" x14ac:dyDescent="0.2">
      <c r="A3746" s="8" t="str">
        <f t="shared" si="1757"/>
        <v>9043611</v>
      </c>
      <c r="B3746" s="8">
        <v>904</v>
      </c>
      <c r="C3746" s="8">
        <v>36</v>
      </c>
      <c r="D3746" s="8" t="s">
        <v>62</v>
      </c>
      <c r="E3746" s="8">
        <v>1</v>
      </c>
      <c r="F3746" s="34">
        <f t="shared" si="1762"/>
        <v>114800</v>
      </c>
      <c r="G3746" s="34">
        <f t="shared" si="1762"/>
        <v>114800</v>
      </c>
      <c r="H3746" s="34">
        <f t="shared" si="1755"/>
        <v>39200</v>
      </c>
      <c r="I3746" s="34">
        <f t="shared" si="1755"/>
        <v>39200</v>
      </c>
      <c r="J3746" s="34">
        <f t="shared" si="1763"/>
        <v>106682</v>
      </c>
      <c r="K3746" s="133">
        <v>1000</v>
      </c>
      <c r="L3746" s="34"/>
      <c r="M3746" s="16">
        <f t="shared" si="1759"/>
        <v>55430.594822426363</v>
      </c>
      <c r="N3746" s="36">
        <v>810</v>
      </c>
      <c r="O3746" s="36">
        <v>1</v>
      </c>
      <c r="P3746" s="231">
        <v>22400</v>
      </c>
      <c r="Q3746" s="2" t="s">
        <v>183</v>
      </c>
      <c r="R3746" s="2" t="s">
        <v>169</v>
      </c>
      <c r="S3746" s="56">
        <f t="shared" si="1761"/>
        <v>15679.999999999998</v>
      </c>
    </row>
    <row r="3747" spans="1:19" x14ac:dyDescent="0.2">
      <c r="A3747" s="8" t="str">
        <f t="shared" si="1757"/>
        <v>9043619</v>
      </c>
      <c r="B3747" s="8">
        <v>904</v>
      </c>
      <c r="C3747" s="8">
        <v>36</v>
      </c>
      <c r="D3747" s="8" t="s">
        <v>62</v>
      </c>
      <c r="E3747" s="8">
        <v>9</v>
      </c>
      <c r="F3747" s="34">
        <f t="shared" si="1762"/>
        <v>459200</v>
      </c>
      <c r="G3747" s="34">
        <f t="shared" si="1762"/>
        <v>459200</v>
      </c>
      <c r="H3747" s="34">
        <f t="shared" si="1755"/>
        <v>39200</v>
      </c>
      <c r="I3747" s="34">
        <f t="shared" si="1755"/>
        <v>39200</v>
      </c>
      <c r="J3747" s="34">
        <f t="shared" si="1763"/>
        <v>1581146</v>
      </c>
      <c r="K3747" s="133">
        <v>1000</v>
      </c>
      <c r="L3747" s="34"/>
      <c r="M3747" s="16">
        <f t="shared" si="1759"/>
        <v>426795.61334907846</v>
      </c>
      <c r="N3747" s="36">
        <v>735</v>
      </c>
      <c r="O3747" s="36">
        <v>18</v>
      </c>
      <c r="P3747" s="231">
        <v>22400</v>
      </c>
      <c r="Q3747" s="2" t="s">
        <v>183</v>
      </c>
      <c r="R3747" s="2" t="s">
        <v>169</v>
      </c>
      <c r="S3747" s="56">
        <f t="shared" si="1761"/>
        <v>15679.999999999998</v>
      </c>
    </row>
    <row r="3748" spans="1:19" x14ac:dyDescent="0.2">
      <c r="A3748" s="8" t="str">
        <f t="shared" si="1757"/>
        <v>9043711</v>
      </c>
      <c r="B3748" s="8">
        <v>904</v>
      </c>
      <c r="C3748" s="8">
        <v>37</v>
      </c>
      <c r="D3748" s="8" t="s">
        <v>62</v>
      </c>
      <c r="E3748" s="8">
        <v>1</v>
      </c>
      <c r="F3748" s="34">
        <f t="shared" si="1762"/>
        <v>161437</v>
      </c>
      <c r="G3748" s="34">
        <f t="shared" si="1762"/>
        <v>161437</v>
      </c>
      <c r="H3748" s="34">
        <f t="shared" si="1755"/>
        <v>55125</v>
      </c>
      <c r="I3748" s="34">
        <f t="shared" si="1755"/>
        <v>55125</v>
      </c>
      <c r="J3748" s="34">
        <f t="shared" si="1763"/>
        <v>150022</v>
      </c>
      <c r="K3748" s="133">
        <v>1000</v>
      </c>
      <c r="L3748" s="34"/>
      <c r="M3748" s="16">
        <f t="shared" si="1759"/>
        <v>92436.459524471196</v>
      </c>
      <c r="N3748" s="36">
        <v>810</v>
      </c>
      <c r="O3748" s="36">
        <v>1</v>
      </c>
      <c r="P3748" s="231">
        <v>31499.999999999996</v>
      </c>
      <c r="Q3748" s="2" t="s">
        <v>183</v>
      </c>
      <c r="R3748" s="2" t="s">
        <v>648</v>
      </c>
      <c r="S3748" s="56">
        <f t="shared" si="1761"/>
        <v>22049.999999999996</v>
      </c>
    </row>
    <row r="3749" spans="1:19" x14ac:dyDescent="0.2">
      <c r="A3749" s="8" t="str">
        <f t="shared" si="1757"/>
        <v>9043719</v>
      </c>
      <c r="B3749" s="8">
        <v>904</v>
      </c>
      <c r="C3749" s="8">
        <v>37</v>
      </c>
      <c r="D3749" s="8" t="s">
        <v>62</v>
      </c>
      <c r="E3749" s="8">
        <v>9</v>
      </c>
      <c r="F3749" s="34">
        <f t="shared" si="1762"/>
        <v>645750</v>
      </c>
      <c r="G3749" s="34">
        <f t="shared" si="1762"/>
        <v>645750</v>
      </c>
      <c r="H3749" s="34">
        <f t="shared" si="1755"/>
        <v>55125</v>
      </c>
      <c r="I3749" s="34">
        <f t="shared" si="1755"/>
        <v>55125</v>
      </c>
      <c r="J3749" s="34">
        <f t="shared" si="1763"/>
        <v>2223487</v>
      </c>
      <c r="K3749" s="133">
        <v>1000</v>
      </c>
      <c r="L3749" s="34"/>
      <c r="M3749" s="16">
        <f t="shared" si="1759"/>
        <v>711727.57599533827</v>
      </c>
      <c r="N3749" s="36">
        <v>735</v>
      </c>
      <c r="O3749" s="36">
        <v>18</v>
      </c>
      <c r="P3749" s="231">
        <v>31499.999999999996</v>
      </c>
      <c r="Q3749" s="2" t="s">
        <v>183</v>
      </c>
      <c r="R3749" s="2" t="s">
        <v>648</v>
      </c>
      <c r="S3749" s="56">
        <f t="shared" si="1761"/>
        <v>22049.999999999996</v>
      </c>
    </row>
    <row r="3750" spans="1:19" x14ac:dyDescent="0.2">
      <c r="A3750" s="8" t="str">
        <f t="shared" si="1757"/>
        <v>9043811</v>
      </c>
      <c r="B3750" s="8">
        <v>904</v>
      </c>
      <c r="C3750" s="8">
        <v>38</v>
      </c>
      <c r="D3750" s="8" t="s">
        <v>62</v>
      </c>
      <c r="E3750" s="8">
        <v>1</v>
      </c>
      <c r="F3750" s="34">
        <f t="shared" si="1762"/>
        <v>185921</v>
      </c>
      <c r="G3750" s="34">
        <f t="shared" si="1762"/>
        <v>185921</v>
      </c>
      <c r="H3750" s="34">
        <f t="shared" si="1755"/>
        <v>63485</v>
      </c>
      <c r="I3750" s="34">
        <f t="shared" si="1755"/>
        <v>63485</v>
      </c>
      <c r="J3750" s="34">
        <f t="shared" si="1763"/>
        <v>172775</v>
      </c>
      <c r="K3750" s="133">
        <v>1000</v>
      </c>
      <c r="L3750" s="34"/>
      <c r="M3750" s="16">
        <f t="shared" si="1759"/>
        <v>114243.1641494825</v>
      </c>
      <c r="N3750" s="36">
        <v>810</v>
      </c>
      <c r="O3750" s="36">
        <v>1</v>
      </c>
      <c r="P3750" s="56">
        <v>36277.409</v>
      </c>
      <c r="Q3750" s="2" t="s">
        <v>183</v>
      </c>
      <c r="R3750" s="2" t="s">
        <v>649</v>
      </c>
      <c r="S3750" s="56">
        <f t="shared" si="1761"/>
        <v>25394.186299999998</v>
      </c>
    </row>
    <row r="3751" spans="1:19" x14ac:dyDescent="0.2">
      <c r="A3751" s="8" t="str">
        <f t="shared" si="1757"/>
        <v>9043819</v>
      </c>
      <c r="B3751" s="8">
        <v>904</v>
      </c>
      <c r="C3751" s="8">
        <v>38</v>
      </c>
      <c r="D3751" s="8" t="s">
        <v>62</v>
      </c>
      <c r="E3751" s="8">
        <v>9</v>
      </c>
      <c r="F3751" s="34">
        <f t="shared" si="1762"/>
        <v>743686</v>
      </c>
      <c r="G3751" s="34">
        <f t="shared" si="1762"/>
        <v>743686</v>
      </c>
      <c r="H3751" s="34">
        <f t="shared" si="1755"/>
        <v>63485</v>
      </c>
      <c r="I3751" s="34">
        <f t="shared" si="1755"/>
        <v>63485</v>
      </c>
      <c r="J3751" s="34">
        <f t="shared" si="1763"/>
        <v>2560709</v>
      </c>
      <c r="K3751" s="133">
        <v>1000</v>
      </c>
      <c r="L3751" s="34"/>
      <c r="M3751" s="16">
        <f t="shared" si="1759"/>
        <v>879630.87737618096</v>
      </c>
      <c r="N3751" s="36">
        <v>735</v>
      </c>
      <c r="O3751" s="36">
        <v>18</v>
      </c>
      <c r="P3751" s="56">
        <v>36277.409</v>
      </c>
      <c r="Q3751" s="2" t="s">
        <v>183</v>
      </c>
      <c r="R3751" s="2" t="s">
        <v>649</v>
      </c>
      <c r="S3751" s="56">
        <f t="shared" si="1761"/>
        <v>25394.186299999998</v>
      </c>
    </row>
    <row r="3752" spans="1:19" x14ac:dyDescent="0.2">
      <c r="A3752" s="8" t="str">
        <f t="shared" si="1757"/>
        <v>9043911</v>
      </c>
      <c r="B3752" s="8">
        <v>904</v>
      </c>
      <c r="C3752" s="8">
        <v>39</v>
      </c>
      <c r="D3752" s="8" t="s">
        <v>62</v>
      </c>
      <c r="E3752" s="8">
        <v>1</v>
      </c>
      <c r="F3752" s="34">
        <f t="shared" si="1762"/>
        <v>191499</v>
      </c>
      <c r="G3752" s="34">
        <f t="shared" si="1762"/>
        <v>191499</v>
      </c>
      <c r="H3752" s="34">
        <f t="shared" si="1755"/>
        <v>65390</v>
      </c>
      <c r="I3752" s="34">
        <f t="shared" si="1755"/>
        <v>65390</v>
      </c>
      <c r="J3752" s="34">
        <f t="shared" si="1763"/>
        <v>177959</v>
      </c>
      <c r="K3752" s="133">
        <v>1000</v>
      </c>
      <c r="L3752" s="34"/>
      <c r="M3752" s="16">
        <f t="shared" si="1759"/>
        <v>119423.25090000832</v>
      </c>
      <c r="N3752" s="36">
        <v>810</v>
      </c>
      <c r="O3752" s="36">
        <v>1</v>
      </c>
      <c r="P3752" s="56">
        <v>37365.733999999997</v>
      </c>
      <c r="Q3752" s="2" t="s">
        <v>183</v>
      </c>
      <c r="R3752" s="2" t="s">
        <v>650</v>
      </c>
      <c r="S3752" s="56">
        <f t="shared" si="1761"/>
        <v>26156.013799999997</v>
      </c>
    </row>
    <row r="3753" spans="1:19" x14ac:dyDescent="0.2">
      <c r="A3753" s="8" t="str">
        <f t="shared" si="1757"/>
        <v>9043919</v>
      </c>
      <c r="B3753" s="8">
        <v>904</v>
      </c>
      <c r="C3753" s="8">
        <v>39</v>
      </c>
      <c r="D3753" s="8" t="s">
        <v>62</v>
      </c>
      <c r="E3753" s="8">
        <v>9</v>
      </c>
      <c r="F3753" s="34">
        <f t="shared" si="1762"/>
        <v>765997</v>
      </c>
      <c r="G3753" s="34">
        <f t="shared" si="1762"/>
        <v>765997</v>
      </c>
      <c r="H3753" s="34">
        <f t="shared" si="1755"/>
        <v>65390</v>
      </c>
      <c r="I3753" s="34">
        <f t="shared" si="1755"/>
        <v>65390</v>
      </c>
      <c r="J3753" s="34">
        <f t="shared" si="1763"/>
        <v>2637530</v>
      </c>
      <c r="K3753" s="133">
        <v>1000</v>
      </c>
      <c r="L3753" s="34"/>
      <c r="M3753" s="16">
        <f t="shared" si="1759"/>
        <v>919513.04332826927</v>
      </c>
      <c r="N3753" s="36">
        <v>735</v>
      </c>
      <c r="O3753" s="36">
        <v>18</v>
      </c>
      <c r="P3753" s="56">
        <v>37365.733999999997</v>
      </c>
      <c r="Q3753" s="2" t="s">
        <v>183</v>
      </c>
      <c r="R3753" s="2" t="s">
        <v>650</v>
      </c>
      <c r="S3753" s="56">
        <f t="shared" si="1761"/>
        <v>26156.013799999997</v>
      </c>
    </row>
    <row r="3754" spans="1:19" x14ac:dyDescent="0.2">
      <c r="A3754" s="8" t="str">
        <f t="shared" si="1757"/>
        <v>9044011</v>
      </c>
      <c r="B3754" s="8">
        <v>904</v>
      </c>
      <c r="C3754" s="8">
        <v>40</v>
      </c>
      <c r="D3754" s="8" t="s">
        <v>62</v>
      </c>
      <c r="E3754" s="8">
        <v>1</v>
      </c>
      <c r="F3754" s="34">
        <f t="shared" si="1762"/>
        <v>197244</v>
      </c>
      <c r="G3754" s="34">
        <f t="shared" si="1762"/>
        <v>197244</v>
      </c>
      <c r="H3754" s="34">
        <f t="shared" si="1755"/>
        <v>67351</v>
      </c>
      <c r="I3754" s="34">
        <f t="shared" si="1755"/>
        <v>67351</v>
      </c>
      <c r="J3754" s="34">
        <f t="shared" si="1763"/>
        <v>183297</v>
      </c>
      <c r="K3754" s="133">
        <v>1000</v>
      </c>
      <c r="L3754" s="34"/>
      <c r="M3754" s="16">
        <f t="shared" si="1759"/>
        <v>124836.50179791532</v>
      </c>
      <c r="N3754" s="36">
        <v>810</v>
      </c>
      <c r="O3754" s="36">
        <v>1</v>
      </c>
      <c r="P3754" s="56">
        <v>38486.699999999997</v>
      </c>
      <c r="Q3754" s="2" t="s">
        <v>183</v>
      </c>
      <c r="R3754" s="2" t="s">
        <v>651</v>
      </c>
      <c r="S3754" s="56">
        <f t="shared" si="1761"/>
        <v>26940.689999999995</v>
      </c>
    </row>
    <row r="3755" spans="1:19" x14ac:dyDescent="0.2">
      <c r="A3755" s="8" t="str">
        <f t="shared" si="1757"/>
        <v>9044019</v>
      </c>
      <c r="B3755" s="8">
        <v>904</v>
      </c>
      <c r="C3755" s="8">
        <v>40</v>
      </c>
      <c r="D3755" s="8" t="s">
        <v>62</v>
      </c>
      <c r="E3755" s="8">
        <v>9</v>
      </c>
      <c r="F3755" s="34">
        <f t="shared" si="1762"/>
        <v>788977</v>
      </c>
      <c r="G3755" s="34">
        <f t="shared" si="1762"/>
        <v>788977</v>
      </c>
      <c r="H3755" s="34">
        <f t="shared" si="1755"/>
        <v>67351</v>
      </c>
      <c r="I3755" s="34">
        <f t="shared" si="1755"/>
        <v>67351</v>
      </c>
      <c r="J3755" s="34">
        <f t="shared" si="1763"/>
        <v>2716656</v>
      </c>
      <c r="K3755" s="133">
        <v>1000</v>
      </c>
      <c r="L3755" s="34"/>
      <c r="M3755" s="16">
        <f t="shared" si="1759"/>
        <v>961195.0089775509</v>
      </c>
      <c r="N3755" s="36">
        <v>735</v>
      </c>
      <c r="O3755" s="36">
        <v>18</v>
      </c>
      <c r="P3755" s="56">
        <v>38486.699999999997</v>
      </c>
      <c r="Q3755" s="2" t="s">
        <v>183</v>
      </c>
      <c r="R3755" s="2" t="s">
        <v>651</v>
      </c>
      <c r="S3755" s="56">
        <f t="shared" si="1761"/>
        <v>26940.689999999995</v>
      </c>
    </row>
    <row r="3756" spans="1:19" x14ac:dyDescent="0.2">
      <c r="A3756" s="8" t="str">
        <f t="shared" si="1757"/>
        <v>9044111</v>
      </c>
      <c r="B3756" s="8">
        <v>904</v>
      </c>
      <c r="C3756" s="8">
        <v>41</v>
      </c>
      <c r="D3756" s="8" t="s">
        <v>62</v>
      </c>
      <c r="E3756" s="8">
        <v>1</v>
      </c>
      <c r="F3756" s="34">
        <f t="shared" ref="F3756:G3775" si="1764">ROUNDDOWN($P3756/4*MIN($O3756,4)*10*$N3756/$N3756*$Q3756/400,0)</f>
        <v>211051</v>
      </c>
      <c r="G3756" s="34">
        <f t="shared" si="1764"/>
        <v>211051</v>
      </c>
      <c r="H3756" s="34">
        <f t="shared" si="1755"/>
        <v>72066</v>
      </c>
      <c r="I3756" s="34">
        <f t="shared" si="1755"/>
        <v>72066</v>
      </c>
      <c r="J3756" s="34">
        <f t="shared" si="1763"/>
        <v>196128</v>
      </c>
      <c r="K3756" s="133">
        <v>1000</v>
      </c>
      <c r="L3756" s="34"/>
      <c r="M3756" s="16">
        <f t="shared" si="1759"/>
        <v>138171.57326653492</v>
      </c>
      <c r="N3756" s="36">
        <v>810</v>
      </c>
      <c r="O3756" s="36">
        <v>1</v>
      </c>
      <c r="P3756" s="56">
        <v>41180.768999999993</v>
      </c>
      <c r="Q3756" s="2" t="s">
        <v>183</v>
      </c>
      <c r="R3756" s="2" t="s">
        <v>652</v>
      </c>
      <c r="S3756" s="56">
        <f t="shared" si="1761"/>
        <v>28826.538299999993</v>
      </c>
    </row>
    <row r="3757" spans="1:19" x14ac:dyDescent="0.2">
      <c r="A3757" s="8" t="str">
        <f t="shared" si="1757"/>
        <v>9044119</v>
      </c>
      <c r="B3757" s="8">
        <v>904</v>
      </c>
      <c r="C3757" s="8">
        <v>41</v>
      </c>
      <c r="D3757" s="8" t="s">
        <v>62</v>
      </c>
      <c r="E3757" s="8">
        <v>9</v>
      </c>
      <c r="F3757" s="34">
        <f t="shared" si="1764"/>
        <v>844205</v>
      </c>
      <c r="G3757" s="34">
        <f t="shared" si="1764"/>
        <v>844205</v>
      </c>
      <c r="H3757" s="34">
        <f t="shared" ref="H3757:I3777" si="1765">ROUNDDOWN($S3757/4*10,0)</f>
        <v>72066</v>
      </c>
      <c r="I3757" s="34">
        <f t="shared" si="1765"/>
        <v>72066</v>
      </c>
      <c r="J3757" s="34">
        <f t="shared" si="1763"/>
        <v>2906822</v>
      </c>
      <c r="K3757" s="133">
        <v>1000</v>
      </c>
      <c r="L3757" s="34"/>
      <c r="M3757" s="16">
        <f t="shared" si="1759"/>
        <v>1063869.5406658384</v>
      </c>
      <c r="N3757" s="36">
        <v>735</v>
      </c>
      <c r="O3757" s="36">
        <v>18</v>
      </c>
      <c r="P3757" s="56">
        <v>41180.768999999993</v>
      </c>
      <c r="Q3757" s="2" t="s">
        <v>183</v>
      </c>
      <c r="R3757" s="2" t="s">
        <v>652</v>
      </c>
      <c r="S3757" s="56">
        <f t="shared" si="1761"/>
        <v>28826.538299999993</v>
      </c>
    </row>
    <row r="3758" spans="1:19" x14ac:dyDescent="0.2">
      <c r="A3758" s="8" t="str">
        <f t="shared" ref="A3758:A3821" si="1766">IF(B3758="","",CONCATENATE(B3758,CONCATENATE(REPT(0,2-LEN(C3758)),C3758),IF(OR(D3758="Easy",D3758=""),1,IF(D3758="Normal",2,IF(D3758="Hard",3,IF(D3758="Hell",4,"error")))),E3758))</f>
        <v>9044211</v>
      </c>
      <c r="B3758" s="8">
        <v>904</v>
      </c>
      <c r="C3758" s="8">
        <v>42</v>
      </c>
      <c r="D3758" s="8" t="s">
        <v>62</v>
      </c>
      <c r="E3758" s="8">
        <v>1</v>
      </c>
      <c r="F3758" s="34">
        <f t="shared" si="1764"/>
        <v>217382</v>
      </c>
      <c r="G3758" s="34">
        <f t="shared" si="1764"/>
        <v>217382</v>
      </c>
      <c r="H3758" s="34">
        <f t="shared" si="1765"/>
        <v>74228</v>
      </c>
      <c r="I3758" s="34">
        <f t="shared" si="1765"/>
        <v>74228</v>
      </c>
      <c r="J3758" s="34">
        <f t="shared" si="1763"/>
        <v>202012</v>
      </c>
      <c r="K3758" s="133">
        <v>1000</v>
      </c>
      <c r="L3758" s="34"/>
      <c r="M3758" s="16">
        <f t="shared" si="1759"/>
        <v>144435.59697227334</v>
      </c>
      <c r="N3758" s="36">
        <v>810</v>
      </c>
      <c r="O3758" s="36">
        <v>1</v>
      </c>
      <c r="P3758" s="56">
        <v>42416.191999999995</v>
      </c>
      <c r="Q3758" s="2" t="s">
        <v>183</v>
      </c>
      <c r="R3758" s="2" t="s">
        <v>653</v>
      </c>
      <c r="S3758" s="56">
        <f t="shared" si="1761"/>
        <v>29691.334399999996</v>
      </c>
    </row>
    <row r="3759" spans="1:19" x14ac:dyDescent="0.2">
      <c r="A3759" s="8" t="str">
        <f t="shared" si="1766"/>
        <v>9044219</v>
      </c>
      <c r="B3759" s="8">
        <v>904</v>
      </c>
      <c r="C3759" s="8">
        <v>42</v>
      </c>
      <c r="D3759" s="8" t="s">
        <v>62</v>
      </c>
      <c r="E3759" s="8">
        <v>9</v>
      </c>
      <c r="F3759" s="34">
        <f t="shared" si="1764"/>
        <v>869531</v>
      </c>
      <c r="G3759" s="34">
        <f t="shared" si="1764"/>
        <v>869531</v>
      </c>
      <c r="H3759" s="34">
        <f t="shared" si="1765"/>
        <v>74228</v>
      </c>
      <c r="I3759" s="34">
        <f t="shared" si="1765"/>
        <v>74228</v>
      </c>
      <c r="J3759" s="34">
        <f t="shared" si="1763"/>
        <v>2994027</v>
      </c>
      <c r="K3759" s="133">
        <v>1000</v>
      </c>
      <c r="L3759" s="34"/>
      <c r="M3759" s="16">
        <f t="shared" si="1759"/>
        <v>1112101.0676297017</v>
      </c>
      <c r="N3759" s="36">
        <v>735</v>
      </c>
      <c r="O3759" s="36">
        <v>18</v>
      </c>
      <c r="P3759" s="56">
        <v>42416.191999999995</v>
      </c>
      <c r="Q3759" s="2" t="s">
        <v>183</v>
      </c>
      <c r="R3759" s="2" t="s">
        <v>653</v>
      </c>
      <c r="S3759" s="56">
        <f t="shared" si="1761"/>
        <v>29691.334399999996</v>
      </c>
    </row>
    <row r="3760" spans="1:19" x14ac:dyDescent="0.2">
      <c r="A3760" s="8" t="str">
        <f t="shared" si="1766"/>
        <v>9044311</v>
      </c>
      <c r="B3760" s="8">
        <v>904</v>
      </c>
      <c r="C3760" s="8">
        <v>43</v>
      </c>
      <c r="D3760" s="8" t="s">
        <v>62</v>
      </c>
      <c r="E3760" s="8">
        <v>1</v>
      </c>
      <c r="F3760" s="34">
        <f t="shared" si="1764"/>
        <v>223904</v>
      </c>
      <c r="G3760" s="34">
        <f t="shared" si="1764"/>
        <v>223904</v>
      </c>
      <c r="H3760" s="34">
        <f t="shared" si="1765"/>
        <v>76455</v>
      </c>
      <c r="I3760" s="34">
        <f t="shared" si="1765"/>
        <v>76455</v>
      </c>
      <c r="J3760" s="34">
        <f t="shared" si="1763"/>
        <v>208073</v>
      </c>
      <c r="K3760" s="133">
        <v>1000</v>
      </c>
      <c r="L3760" s="34"/>
      <c r="M3760" s="16">
        <f t="shared" si="1759"/>
        <v>150984.27707118879</v>
      </c>
      <c r="N3760" s="36">
        <v>810</v>
      </c>
      <c r="O3760" s="36">
        <v>1</v>
      </c>
      <c r="P3760" s="56">
        <v>43688.68</v>
      </c>
      <c r="Q3760" s="2" t="s">
        <v>183</v>
      </c>
      <c r="R3760" s="2" t="s">
        <v>654</v>
      </c>
      <c r="S3760" s="56">
        <f t="shared" si="1761"/>
        <v>30582.075999999997</v>
      </c>
    </row>
    <row r="3761" spans="1:19" x14ac:dyDescent="0.2">
      <c r="A3761" s="8" t="str">
        <f t="shared" si="1766"/>
        <v>9044319</v>
      </c>
      <c r="B3761" s="8">
        <v>904</v>
      </c>
      <c r="C3761" s="8">
        <v>43</v>
      </c>
      <c r="D3761" s="8" t="s">
        <v>62</v>
      </c>
      <c r="E3761" s="8">
        <v>9</v>
      </c>
      <c r="F3761" s="34">
        <f t="shared" si="1764"/>
        <v>895617</v>
      </c>
      <c r="G3761" s="34">
        <f t="shared" si="1764"/>
        <v>895617</v>
      </c>
      <c r="H3761" s="34">
        <f t="shared" si="1765"/>
        <v>76455</v>
      </c>
      <c r="I3761" s="34">
        <f t="shared" si="1765"/>
        <v>76455</v>
      </c>
      <c r="J3761" s="34">
        <f t="shared" si="1763"/>
        <v>3083848</v>
      </c>
      <c r="K3761" s="133">
        <v>1000</v>
      </c>
      <c r="L3761" s="34"/>
      <c r="M3761" s="16">
        <f t="shared" si="1759"/>
        <v>1162520.3915803884</v>
      </c>
      <c r="N3761" s="36">
        <v>735</v>
      </c>
      <c r="O3761" s="36">
        <v>18</v>
      </c>
      <c r="P3761" s="56">
        <v>43688.68</v>
      </c>
      <c r="Q3761" s="2" t="s">
        <v>183</v>
      </c>
      <c r="R3761" s="2" t="s">
        <v>654</v>
      </c>
      <c r="S3761" s="56">
        <f t="shared" si="1761"/>
        <v>30582.075999999997</v>
      </c>
    </row>
    <row r="3762" spans="1:19" x14ac:dyDescent="0.2">
      <c r="A3762" s="8" t="str">
        <f t="shared" si="1766"/>
        <v>9044411</v>
      </c>
      <c r="B3762" s="8">
        <v>904</v>
      </c>
      <c r="C3762" s="8">
        <v>44</v>
      </c>
      <c r="D3762" s="8" t="s">
        <v>62</v>
      </c>
      <c r="E3762" s="8">
        <v>1</v>
      </c>
      <c r="F3762" s="34">
        <f t="shared" si="1764"/>
        <v>230621</v>
      </c>
      <c r="G3762" s="34">
        <f t="shared" si="1764"/>
        <v>230621</v>
      </c>
      <c r="H3762" s="34">
        <f t="shared" si="1765"/>
        <v>78748</v>
      </c>
      <c r="I3762" s="34">
        <f t="shared" si="1765"/>
        <v>78748</v>
      </c>
      <c r="J3762" s="34">
        <f t="shared" si="1763"/>
        <v>214315</v>
      </c>
      <c r="K3762" s="133">
        <v>1000</v>
      </c>
      <c r="L3762" s="34"/>
      <c r="M3762" s="16">
        <f t="shared" si="1759"/>
        <v>157828.51237673417</v>
      </c>
      <c r="N3762" s="36">
        <v>810</v>
      </c>
      <c r="O3762" s="36">
        <v>1</v>
      </c>
      <c r="P3762" s="56">
        <v>44999.338999999993</v>
      </c>
      <c r="Q3762" s="2" t="s">
        <v>183</v>
      </c>
      <c r="R3762" s="2" t="s">
        <v>655</v>
      </c>
      <c r="S3762" s="56">
        <f t="shared" si="1761"/>
        <v>31499.537299999993</v>
      </c>
    </row>
    <row r="3763" spans="1:19" x14ac:dyDescent="0.2">
      <c r="A3763" s="8" t="str">
        <f t="shared" si="1766"/>
        <v>9044419</v>
      </c>
      <c r="B3763" s="8">
        <v>904</v>
      </c>
      <c r="C3763" s="8">
        <v>44</v>
      </c>
      <c r="D3763" s="8" t="s">
        <v>62</v>
      </c>
      <c r="E3763" s="8">
        <v>9</v>
      </c>
      <c r="F3763" s="34">
        <f t="shared" si="1764"/>
        <v>922486</v>
      </c>
      <c r="G3763" s="34">
        <f t="shared" si="1764"/>
        <v>922486</v>
      </c>
      <c r="H3763" s="34">
        <f t="shared" si="1765"/>
        <v>78748</v>
      </c>
      <c r="I3763" s="34">
        <f t="shared" si="1765"/>
        <v>78748</v>
      </c>
      <c r="J3763" s="34">
        <f t="shared" si="1763"/>
        <v>3176363</v>
      </c>
      <c r="K3763" s="133">
        <v>1000</v>
      </c>
      <c r="L3763" s="34"/>
      <c r="M3763" s="16">
        <f t="shared" si="1759"/>
        <v>1215219.4430955967</v>
      </c>
      <c r="N3763" s="36">
        <v>735</v>
      </c>
      <c r="O3763" s="36">
        <v>18</v>
      </c>
      <c r="P3763" s="56">
        <v>44999.338999999993</v>
      </c>
      <c r="Q3763" s="2" t="s">
        <v>183</v>
      </c>
      <c r="R3763" s="2" t="s">
        <v>655</v>
      </c>
      <c r="S3763" s="56">
        <f t="shared" si="1761"/>
        <v>31499.537299999993</v>
      </c>
    </row>
    <row r="3764" spans="1:19" x14ac:dyDescent="0.2">
      <c r="A3764" s="8" t="str">
        <f t="shared" si="1766"/>
        <v>9044511</v>
      </c>
      <c r="B3764" s="8">
        <v>904</v>
      </c>
      <c r="C3764" s="8">
        <v>45</v>
      </c>
      <c r="D3764" s="8" t="s">
        <v>62</v>
      </c>
      <c r="E3764" s="8">
        <v>1</v>
      </c>
      <c r="F3764" s="34">
        <f t="shared" si="1764"/>
        <v>237540</v>
      </c>
      <c r="G3764" s="34">
        <f t="shared" si="1764"/>
        <v>237540</v>
      </c>
      <c r="H3764" s="34">
        <f t="shared" si="1765"/>
        <v>81111</v>
      </c>
      <c r="I3764" s="34">
        <f t="shared" si="1765"/>
        <v>81111</v>
      </c>
      <c r="J3764" s="34">
        <f t="shared" si="1763"/>
        <v>220744</v>
      </c>
      <c r="K3764" s="133">
        <v>1000</v>
      </c>
      <c r="L3764" s="34"/>
      <c r="M3764" s="16">
        <f t="shared" si="1759"/>
        <v>164984.32903741344</v>
      </c>
      <c r="N3764" s="36">
        <v>810</v>
      </c>
      <c r="O3764" s="36">
        <v>1</v>
      </c>
      <c r="P3764" s="56">
        <v>46349.324000000001</v>
      </c>
      <c r="Q3764" s="2" t="s">
        <v>183</v>
      </c>
      <c r="R3764" s="2" t="s">
        <v>656</v>
      </c>
      <c r="S3764" s="56">
        <f t="shared" si="1761"/>
        <v>32444.5268</v>
      </c>
    </row>
    <row r="3765" spans="1:19" x14ac:dyDescent="0.2">
      <c r="A3765" s="8" t="str">
        <f t="shared" si="1766"/>
        <v>9044519</v>
      </c>
      <c r="B3765" s="8">
        <v>904</v>
      </c>
      <c r="C3765" s="8">
        <v>45</v>
      </c>
      <c r="D3765" s="8" t="s">
        <v>62</v>
      </c>
      <c r="E3765" s="8">
        <v>9</v>
      </c>
      <c r="F3765" s="34">
        <f t="shared" si="1764"/>
        <v>950161</v>
      </c>
      <c r="G3765" s="34">
        <f t="shared" si="1764"/>
        <v>950161</v>
      </c>
      <c r="H3765" s="34">
        <f t="shared" si="1765"/>
        <v>81111</v>
      </c>
      <c r="I3765" s="34">
        <f t="shared" si="1765"/>
        <v>81111</v>
      </c>
      <c r="J3765" s="34">
        <f t="shared" si="1763"/>
        <v>3271654</v>
      </c>
      <c r="K3765" s="133">
        <v>1000</v>
      </c>
      <c r="L3765" s="34"/>
      <c r="M3765" s="16">
        <f t="shared" si="1759"/>
        <v>1270317.113975795</v>
      </c>
      <c r="N3765" s="36">
        <v>735</v>
      </c>
      <c r="O3765" s="36">
        <v>18</v>
      </c>
      <c r="P3765" s="56">
        <v>46349.324000000001</v>
      </c>
      <c r="Q3765" s="2" t="s">
        <v>183</v>
      </c>
      <c r="R3765" s="2" t="s">
        <v>656</v>
      </c>
      <c r="S3765" s="56">
        <f t="shared" si="1761"/>
        <v>32444.5268</v>
      </c>
    </row>
    <row r="3766" spans="1:19" x14ac:dyDescent="0.2">
      <c r="A3766" s="18" t="str">
        <f t="shared" si="1766"/>
        <v>9044611</v>
      </c>
      <c r="B3766" s="18">
        <v>904</v>
      </c>
      <c r="C3766" s="18">
        <v>46</v>
      </c>
      <c r="D3766" s="18" t="s">
        <v>62</v>
      </c>
      <c r="E3766" s="18">
        <v>1</v>
      </c>
      <c r="F3766" s="19">
        <f t="shared" si="1764"/>
        <v>241718</v>
      </c>
      <c r="G3766" s="19">
        <f t="shared" si="1764"/>
        <v>241718</v>
      </c>
      <c r="H3766" s="19">
        <f t="shared" si="1765"/>
        <v>45500</v>
      </c>
      <c r="I3766" s="19">
        <f t="shared" si="1765"/>
        <v>45500</v>
      </c>
      <c r="J3766" s="19">
        <f t="shared" si="1763"/>
        <v>209051</v>
      </c>
      <c r="K3766" s="133">
        <v>1000</v>
      </c>
      <c r="L3766" s="19"/>
      <c r="M3766" s="16">
        <f t="shared" si="1759"/>
        <v>121304.33074198794</v>
      </c>
      <c r="N3766" s="36">
        <v>810</v>
      </c>
      <c r="O3766" s="58">
        <v>1</v>
      </c>
      <c r="P3766" s="94">
        <v>45500</v>
      </c>
      <c r="Q3766" s="41" t="s">
        <v>402</v>
      </c>
      <c r="R3766" s="41" t="s">
        <v>657</v>
      </c>
      <c r="S3766" s="94">
        <f t="shared" ref="S3766:S3829" si="1767">P3766*0.4</f>
        <v>18200</v>
      </c>
    </row>
    <row r="3767" spans="1:19" x14ac:dyDescent="0.2">
      <c r="A3767" s="18" t="str">
        <f t="shared" si="1766"/>
        <v>9044619</v>
      </c>
      <c r="B3767" s="18">
        <v>904</v>
      </c>
      <c r="C3767" s="18">
        <v>46</v>
      </c>
      <c r="D3767" s="18" t="s">
        <v>62</v>
      </c>
      <c r="E3767" s="18">
        <v>9</v>
      </c>
      <c r="F3767" s="19">
        <f t="shared" si="1764"/>
        <v>966875</v>
      </c>
      <c r="G3767" s="19">
        <f t="shared" si="1764"/>
        <v>966875</v>
      </c>
      <c r="H3767" s="19">
        <f t="shared" si="1765"/>
        <v>45500</v>
      </c>
      <c r="I3767" s="19">
        <f t="shared" si="1765"/>
        <v>45500</v>
      </c>
      <c r="J3767" s="19">
        <f t="shared" si="1763"/>
        <v>3098349</v>
      </c>
      <c r="K3767" s="133">
        <v>1000</v>
      </c>
      <c r="L3767" s="19"/>
      <c r="M3767" s="16">
        <f t="shared" si="1759"/>
        <v>933998.15542965615</v>
      </c>
      <c r="N3767" s="36">
        <v>735</v>
      </c>
      <c r="O3767" s="58">
        <v>18</v>
      </c>
      <c r="P3767" s="94">
        <v>45500</v>
      </c>
      <c r="Q3767" s="41" t="s">
        <v>402</v>
      </c>
      <c r="R3767" s="41" t="s">
        <v>657</v>
      </c>
      <c r="S3767" s="94">
        <f t="shared" si="1767"/>
        <v>18200</v>
      </c>
    </row>
    <row r="3768" spans="1:19" x14ac:dyDescent="0.2">
      <c r="A3768" s="18" t="str">
        <f t="shared" si="1766"/>
        <v>9044711</v>
      </c>
      <c r="B3768" s="18">
        <v>904</v>
      </c>
      <c r="C3768" s="18">
        <v>47</v>
      </c>
      <c r="D3768" s="18" t="s">
        <v>62</v>
      </c>
      <c r="E3768" s="18">
        <v>1</v>
      </c>
      <c r="F3768" s="19">
        <f t="shared" si="1764"/>
        <v>297500</v>
      </c>
      <c r="G3768" s="19">
        <f t="shared" si="1764"/>
        <v>297500</v>
      </c>
      <c r="H3768" s="19">
        <f t="shared" si="1765"/>
        <v>56000</v>
      </c>
      <c r="I3768" s="19">
        <f t="shared" si="1765"/>
        <v>56000</v>
      </c>
      <c r="J3768" s="19">
        <f t="shared" si="1763"/>
        <v>257294</v>
      </c>
      <c r="K3768" s="133">
        <v>1000</v>
      </c>
      <c r="L3768" s="19"/>
      <c r="M3768" s="16">
        <f t="shared" si="1759"/>
        <v>165631.26352231938</v>
      </c>
      <c r="N3768" s="36">
        <v>810</v>
      </c>
      <c r="O3768" s="58">
        <v>1</v>
      </c>
      <c r="P3768" s="94">
        <v>56000</v>
      </c>
      <c r="Q3768" s="41" t="s">
        <v>402</v>
      </c>
      <c r="R3768" s="41" t="s">
        <v>658</v>
      </c>
      <c r="S3768" s="94">
        <f t="shared" si="1767"/>
        <v>22400</v>
      </c>
    </row>
    <row r="3769" spans="1:19" x14ac:dyDescent="0.2">
      <c r="A3769" s="18" t="str">
        <f t="shared" si="1766"/>
        <v>9044719</v>
      </c>
      <c r="B3769" s="18">
        <v>904</v>
      </c>
      <c r="C3769" s="18">
        <v>47</v>
      </c>
      <c r="D3769" s="18" t="s">
        <v>62</v>
      </c>
      <c r="E3769" s="18">
        <v>9</v>
      </c>
      <c r="F3769" s="19">
        <f t="shared" si="1764"/>
        <v>1190000</v>
      </c>
      <c r="G3769" s="19">
        <f t="shared" si="1764"/>
        <v>1190000</v>
      </c>
      <c r="H3769" s="19">
        <f t="shared" si="1765"/>
        <v>56000</v>
      </c>
      <c r="I3769" s="19">
        <f t="shared" si="1765"/>
        <v>56000</v>
      </c>
      <c r="J3769" s="19">
        <f t="shared" si="1763"/>
        <v>3813352</v>
      </c>
      <c r="K3769" s="133">
        <v>1000</v>
      </c>
      <c r="L3769" s="19"/>
      <c r="M3769" s="16">
        <f t="shared" si="1759"/>
        <v>1275295.7988607977</v>
      </c>
      <c r="N3769" s="36">
        <v>735</v>
      </c>
      <c r="O3769" s="58">
        <v>18</v>
      </c>
      <c r="P3769" s="94">
        <v>56000</v>
      </c>
      <c r="Q3769" s="41" t="s">
        <v>402</v>
      </c>
      <c r="R3769" s="41" t="s">
        <v>658</v>
      </c>
      <c r="S3769" s="94">
        <f t="shared" si="1767"/>
        <v>22400</v>
      </c>
    </row>
    <row r="3770" spans="1:19" x14ac:dyDescent="0.2">
      <c r="A3770" s="8" t="str">
        <f t="shared" si="1766"/>
        <v>9044811</v>
      </c>
      <c r="B3770" s="8">
        <v>904</v>
      </c>
      <c r="C3770" s="8">
        <v>48</v>
      </c>
      <c r="D3770" s="8" t="s">
        <v>62</v>
      </c>
      <c r="E3770" s="8">
        <v>1</v>
      </c>
      <c r="F3770" s="34">
        <f t="shared" si="1764"/>
        <v>422331</v>
      </c>
      <c r="G3770" s="34">
        <f t="shared" si="1764"/>
        <v>422331</v>
      </c>
      <c r="H3770" s="34">
        <f t="shared" si="1765"/>
        <v>79497</v>
      </c>
      <c r="I3770" s="34">
        <f t="shared" si="1765"/>
        <v>79497</v>
      </c>
      <c r="J3770" s="34">
        <f t="shared" si="1763"/>
        <v>365254</v>
      </c>
      <c r="K3770" s="133">
        <v>1000</v>
      </c>
      <c r="L3770" s="34"/>
      <c r="M3770" s="16">
        <f t="shared" si="1759"/>
        <v>280149.16196194378</v>
      </c>
      <c r="N3770" s="36">
        <v>810</v>
      </c>
      <c r="O3770" s="36">
        <v>1</v>
      </c>
      <c r="P3770" s="56">
        <v>79497.599999999991</v>
      </c>
      <c r="Q3770" s="2" t="s">
        <v>402</v>
      </c>
      <c r="R3770" s="2" t="s">
        <v>659</v>
      </c>
      <c r="S3770" s="56">
        <f t="shared" si="1767"/>
        <v>31799.039999999997</v>
      </c>
    </row>
    <row r="3771" spans="1:19" x14ac:dyDescent="0.2">
      <c r="A3771" s="8" t="str">
        <f t="shared" si="1766"/>
        <v>9044819</v>
      </c>
      <c r="B3771" s="8">
        <v>904</v>
      </c>
      <c r="C3771" s="8">
        <v>48</v>
      </c>
      <c r="D3771" s="8" t="s">
        <v>62</v>
      </c>
      <c r="E3771" s="8">
        <v>9</v>
      </c>
      <c r="F3771" s="34">
        <f t="shared" si="1764"/>
        <v>1689324</v>
      </c>
      <c r="G3771" s="34">
        <f t="shared" si="1764"/>
        <v>1689324</v>
      </c>
      <c r="H3771" s="34">
        <f t="shared" si="1765"/>
        <v>79497</v>
      </c>
      <c r="I3771" s="34">
        <f t="shared" si="1765"/>
        <v>79497</v>
      </c>
      <c r="J3771" s="34">
        <f t="shared" si="1763"/>
        <v>5413435</v>
      </c>
      <c r="K3771" s="133">
        <v>1000</v>
      </c>
      <c r="L3771" s="34"/>
      <c r="M3771" s="16">
        <f t="shared" ref="M3771:M3834" si="1768">(F3771*J3771*((H3771+I3771)/2)/1000)^(1/2)/10*0.8</f>
        <v>2157040.4843143411</v>
      </c>
      <c r="N3771" s="36">
        <v>735</v>
      </c>
      <c r="O3771" s="36">
        <v>18</v>
      </c>
      <c r="P3771" s="56">
        <v>79497.599999999991</v>
      </c>
      <c r="Q3771" s="2" t="s">
        <v>402</v>
      </c>
      <c r="R3771" s="2" t="s">
        <v>659</v>
      </c>
      <c r="S3771" s="56">
        <f t="shared" si="1767"/>
        <v>31799.039999999997</v>
      </c>
    </row>
    <row r="3772" spans="1:19" x14ac:dyDescent="0.2">
      <c r="A3772" s="8" t="str">
        <f t="shared" si="1766"/>
        <v>9044911</v>
      </c>
      <c r="B3772" s="8">
        <v>904</v>
      </c>
      <c r="C3772" s="8">
        <v>49</v>
      </c>
      <c r="D3772" s="8" t="s">
        <v>62</v>
      </c>
      <c r="E3772" s="8">
        <v>1</v>
      </c>
      <c r="F3772" s="34">
        <f t="shared" si="1764"/>
        <v>439224</v>
      </c>
      <c r="G3772" s="34">
        <f t="shared" si="1764"/>
        <v>439224</v>
      </c>
      <c r="H3772" s="34">
        <f t="shared" si="1765"/>
        <v>82677</v>
      </c>
      <c r="I3772" s="34">
        <f t="shared" si="1765"/>
        <v>82677</v>
      </c>
      <c r="J3772" s="34">
        <f t="shared" si="1763"/>
        <v>379864</v>
      </c>
      <c r="K3772" s="133">
        <v>1000</v>
      </c>
      <c r="L3772" s="34"/>
      <c r="M3772" s="16">
        <f t="shared" si="1768"/>
        <v>297125.16893683578</v>
      </c>
      <c r="N3772" s="36">
        <v>810</v>
      </c>
      <c r="O3772" s="36">
        <v>1</v>
      </c>
      <c r="P3772" s="56">
        <v>82677.504000000001</v>
      </c>
      <c r="Q3772" s="2" t="s">
        <v>402</v>
      </c>
      <c r="R3772" s="2" t="s">
        <v>170</v>
      </c>
      <c r="S3772" s="56">
        <f t="shared" si="1767"/>
        <v>33071.001600000003</v>
      </c>
    </row>
    <row r="3773" spans="1:19" x14ac:dyDescent="0.2">
      <c r="A3773" s="8" t="str">
        <f t="shared" si="1766"/>
        <v>9044919</v>
      </c>
      <c r="B3773" s="8">
        <v>904</v>
      </c>
      <c r="C3773" s="8">
        <v>49</v>
      </c>
      <c r="D3773" s="8" t="s">
        <v>62</v>
      </c>
      <c r="E3773" s="8">
        <v>9</v>
      </c>
      <c r="F3773" s="34">
        <f t="shared" si="1764"/>
        <v>1756896</v>
      </c>
      <c r="G3773" s="34">
        <f t="shared" si="1764"/>
        <v>1756896</v>
      </c>
      <c r="H3773" s="34">
        <f t="shared" si="1765"/>
        <v>82677</v>
      </c>
      <c r="I3773" s="34">
        <f t="shared" si="1765"/>
        <v>82677</v>
      </c>
      <c r="J3773" s="34">
        <f t="shared" si="1763"/>
        <v>5629973</v>
      </c>
      <c r="K3773" s="133">
        <v>1000</v>
      </c>
      <c r="L3773" s="34"/>
      <c r="M3773" s="16">
        <f t="shared" si="1768"/>
        <v>2287749.7935232888</v>
      </c>
      <c r="N3773" s="36">
        <v>735</v>
      </c>
      <c r="O3773" s="36">
        <v>18</v>
      </c>
      <c r="P3773" s="56">
        <v>82677.504000000001</v>
      </c>
      <c r="Q3773" s="2" t="s">
        <v>402</v>
      </c>
      <c r="R3773" s="2" t="s">
        <v>170</v>
      </c>
      <c r="S3773" s="56">
        <f t="shared" si="1767"/>
        <v>33071.001600000003</v>
      </c>
    </row>
    <row r="3774" spans="1:19" x14ac:dyDescent="0.2">
      <c r="A3774" s="8" t="str">
        <f t="shared" si="1766"/>
        <v>9045011</v>
      </c>
      <c r="B3774" s="8">
        <v>904</v>
      </c>
      <c r="C3774" s="8">
        <v>50</v>
      </c>
      <c r="D3774" s="8" t="s">
        <v>62</v>
      </c>
      <c r="E3774" s="8">
        <v>1</v>
      </c>
      <c r="F3774" s="34">
        <f t="shared" si="1764"/>
        <v>456793</v>
      </c>
      <c r="G3774" s="34">
        <f t="shared" si="1764"/>
        <v>456793</v>
      </c>
      <c r="H3774" s="34">
        <f t="shared" si="1765"/>
        <v>85984</v>
      </c>
      <c r="I3774" s="34">
        <f t="shared" si="1765"/>
        <v>85984</v>
      </c>
      <c r="J3774" s="34">
        <f t="shared" si="1763"/>
        <v>395059</v>
      </c>
      <c r="K3774" s="133">
        <v>1000</v>
      </c>
      <c r="L3774" s="34"/>
      <c r="M3774" s="16">
        <f t="shared" si="1768"/>
        <v>315129.82584030385</v>
      </c>
      <c r="N3774" s="36">
        <v>810</v>
      </c>
      <c r="O3774" s="36">
        <v>1</v>
      </c>
      <c r="P3774" s="56">
        <v>85984.604160000003</v>
      </c>
      <c r="Q3774" s="2" t="s">
        <v>402</v>
      </c>
      <c r="R3774" s="2" t="s">
        <v>660</v>
      </c>
      <c r="S3774" s="56">
        <f t="shared" si="1767"/>
        <v>34393.841664</v>
      </c>
    </row>
    <row r="3775" spans="1:19" x14ac:dyDescent="0.2">
      <c r="A3775" s="8" t="str">
        <f t="shared" si="1766"/>
        <v>9045019</v>
      </c>
      <c r="B3775" s="8">
        <v>904</v>
      </c>
      <c r="C3775" s="8">
        <v>50</v>
      </c>
      <c r="D3775" s="8" t="s">
        <v>62</v>
      </c>
      <c r="E3775" s="8">
        <v>9</v>
      </c>
      <c r="F3775" s="34">
        <f t="shared" si="1764"/>
        <v>1827172</v>
      </c>
      <c r="G3775" s="34">
        <f t="shared" si="1764"/>
        <v>1827172</v>
      </c>
      <c r="H3775" s="34">
        <f t="shared" si="1765"/>
        <v>85984</v>
      </c>
      <c r="I3775" s="34">
        <f t="shared" si="1765"/>
        <v>85984</v>
      </c>
      <c r="J3775" s="34">
        <f t="shared" si="1763"/>
        <v>5855172</v>
      </c>
      <c r="K3775" s="133">
        <v>1000</v>
      </c>
      <c r="L3775" s="34"/>
      <c r="M3775" s="16">
        <f t="shared" si="1768"/>
        <v>2426377.4086477305</v>
      </c>
      <c r="N3775" s="36">
        <v>735</v>
      </c>
      <c r="O3775" s="36">
        <v>18</v>
      </c>
      <c r="P3775" s="56">
        <v>85984.604160000003</v>
      </c>
      <c r="Q3775" s="2" t="s">
        <v>402</v>
      </c>
      <c r="R3775" s="2" t="s">
        <v>660</v>
      </c>
      <c r="S3775" s="56">
        <f t="shared" si="1767"/>
        <v>34393.841664</v>
      </c>
    </row>
    <row r="3776" spans="1:19" x14ac:dyDescent="0.2">
      <c r="A3776" s="18" t="str">
        <f t="shared" si="1766"/>
        <v>9045111</v>
      </c>
      <c r="B3776" s="18">
        <v>904</v>
      </c>
      <c r="C3776" s="18">
        <v>51</v>
      </c>
      <c r="D3776" s="18" t="s">
        <v>62</v>
      </c>
      <c r="E3776" s="18">
        <v>1</v>
      </c>
      <c r="F3776" s="19">
        <f t="shared" ref="F3776:G3795" si="1769">ROUNDDOWN($P3776/4*MIN($O3776,4)*10*$N3776/$N3776*$Q3776/400,0)</f>
        <v>446250</v>
      </c>
      <c r="G3776" s="19">
        <f t="shared" si="1769"/>
        <v>446250</v>
      </c>
      <c r="H3776" s="19">
        <f t="shared" si="1765"/>
        <v>84000</v>
      </c>
      <c r="I3776" s="19">
        <f t="shared" si="1765"/>
        <v>84000</v>
      </c>
      <c r="J3776" s="19">
        <f t="shared" si="1763"/>
        <v>385941</v>
      </c>
      <c r="K3776" s="133">
        <v>1000</v>
      </c>
      <c r="L3776" s="19"/>
      <c r="M3776" s="16">
        <f t="shared" si="1768"/>
        <v>304284.06081160408</v>
      </c>
      <c r="N3776" s="36">
        <v>810</v>
      </c>
      <c r="O3776" s="58">
        <v>1</v>
      </c>
      <c r="P3776" s="94">
        <v>84000</v>
      </c>
      <c r="Q3776" s="41" t="s">
        <v>402</v>
      </c>
      <c r="R3776" s="41" t="s">
        <v>661</v>
      </c>
      <c r="S3776" s="94">
        <f t="shared" si="1767"/>
        <v>33600</v>
      </c>
    </row>
    <row r="3777" spans="1:19" x14ac:dyDescent="0.2">
      <c r="A3777" s="18" t="str">
        <f t="shared" si="1766"/>
        <v>9045119</v>
      </c>
      <c r="B3777" s="18">
        <v>904</v>
      </c>
      <c r="C3777" s="18">
        <v>51</v>
      </c>
      <c r="D3777" s="18" t="s">
        <v>62</v>
      </c>
      <c r="E3777" s="18">
        <v>9</v>
      </c>
      <c r="F3777" s="19">
        <f t="shared" si="1769"/>
        <v>1785000</v>
      </c>
      <c r="G3777" s="19">
        <f t="shared" si="1769"/>
        <v>1785000</v>
      </c>
      <c r="H3777" s="19">
        <f t="shared" si="1765"/>
        <v>84000</v>
      </c>
      <c r="I3777" s="19">
        <f t="shared" si="1765"/>
        <v>84000</v>
      </c>
      <c r="J3777" s="19">
        <f t="shared" si="1763"/>
        <v>5720029</v>
      </c>
      <c r="K3777" s="133">
        <v>1000</v>
      </c>
      <c r="L3777" s="19"/>
      <c r="M3777" s="16">
        <f t="shared" si="1768"/>
        <v>2342868.1885381429</v>
      </c>
      <c r="N3777" s="36">
        <v>735</v>
      </c>
      <c r="O3777" s="58">
        <v>18</v>
      </c>
      <c r="P3777" s="94">
        <v>84000</v>
      </c>
      <c r="Q3777" s="41" t="s">
        <v>402</v>
      </c>
      <c r="R3777" s="41" t="s">
        <v>661</v>
      </c>
      <c r="S3777" s="94">
        <f t="shared" si="1767"/>
        <v>33600</v>
      </c>
    </row>
    <row r="3778" spans="1:19" x14ac:dyDescent="0.2">
      <c r="A3778" s="8" t="str">
        <f t="shared" si="1766"/>
        <v>9045211</v>
      </c>
      <c r="B3778" s="8">
        <v>904</v>
      </c>
      <c r="C3778" s="8">
        <v>52</v>
      </c>
      <c r="D3778" s="8" t="s">
        <v>62</v>
      </c>
      <c r="E3778" s="8">
        <v>1</v>
      </c>
      <c r="F3778" s="34">
        <f t="shared" si="1769"/>
        <v>503614</v>
      </c>
      <c r="G3778" s="34">
        <f t="shared" si="1769"/>
        <v>503614</v>
      </c>
      <c r="H3778" s="34">
        <f t="shared" ref="H3778:I3795" si="1770">ROUNDDOWN($S3778/4*10,0)</f>
        <v>94798</v>
      </c>
      <c r="I3778" s="34">
        <f t="shared" si="1770"/>
        <v>94798</v>
      </c>
      <c r="J3778" s="34">
        <f t="shared" si="1763"/>
        <v>435553</v>
      </c>
      <c r="K3778" s="133">
        <v>1000</v>
      </c>
      <c r="L3778" s="34"/>
      <c r="M3778" s="16">
        <f t="shared" si="1768"/>
        <v>364803.48325183097</v>
      </c>
      <c r="N3778" s="36">
        <v>810</v>
      </c>
      <c r="O3778" s="36">
        <v>1</v>
      </c>
      <c r="P3778" s="56">
        <v>94798.026086400016</v>
      </c>
      <c r="Q3778" s="2" t="s">
        <v>402</v>
      </c>
      <c r="R3778" s="2" t="s">
        <v>662</v>
      </c>
      <c r="S3778" s="56">
        <f t="shared" si="1767"/>
        <v>37919.210434560009</v>
      </c>
    </row>
    <row r="3779" spans="1:19" x14ac:dyDescent="0.2">
      <c r="A3779" s="8" t="str">
        <f t="shared" si="1766"/>
        <v>9045219</v>
      </c>
      <c r="B3779" s="8">
        <v>904</v>
      </c>
      <c r="C3779" s="8">
        <v>52</v>
      </c>
      <c r="D3779" s="8" t="s">
        <v>62</v>
      </c>
      <c r="E3779" s="8">
        <v>9</v>
      </c>
      <c r="F3779" s="34">
        <f t="shared" si="1769"/>
        <v>2014458</v>
      </c>
      <c r="G3779" s="34">
        <f t="shared" si="1769"/>
        <v>2014458</v>
      </c>
      <c r="H3779" s="34">
        <f t="shared" si="1770"/>
        <v>94798</v>
      </c>
      <c r="I3779" s="34">
        <f t="shared" si="1770"/>
        <v>94798</v>
      </c>
      <c r="J3779" s="34">
        <f t="shared" si="1763"/>
        <v>6455327</v>
      </c>
      <c r="K3779" s="133">
        <v>1000</v>
      </c>
      <c r="L3779" s="34"/>
      <c r="M3779" s="16">
        <f t="shared" si="1768"/>
        <v>2808845.2074903455</v>
      </c>
      <c r="N3779" s="36">
        <v>735</v>
      </c>
      <c r="O3779" s="36">
        <v>18</v>
      </c>
      <c r="P3779" s="56">
        <v>94798.026086400016</v>
      </c>
      <c r="Q3779" s="2" t="s">
        <v>402</v>
      </c>
      <c r="R3779" s="2" t="s">
        <v>662</v>
      </c>
      <c r="S3779" s="56">
        <f t="shared" si="1767"/>
        <v>37919.210434560009</v>
      </c>
    </row>
    <row r="3780" spans="1:19" x14ac:dyDescent="0.2">
      <c r="A3780" s="8" t="str">
        <f t="shared" si="1766"/>
        <v>9045311</v>
      </c>
      <c r="B3780" s="8">
        <v>904</v>
      </c>
      <c r="C3780" s="8">
        <v>53</v>
      </c>
      <c r="D3780" s="8" t="s">
        <v>62</v>
      </c>
      <c r="E3780" s="8">
        <v>1</v>
      </c>
      <c r="F3780" s="34">
        <f t="shared" si="1769"/>
        <v>528795</v>
      </c>
      <c r="G3780" s="34">
        <f t="shared" si="1769"/>
        <v>528795</v>
      </c>
      <c r="H3780" s="34">
        <f t="shared" si="1770"/>
        <v>99537</v>
      </c>
      <c r="I3780" s="34">
        <f t="shared" si="1770"/>
        <v>99537</v>
      </c>
      <c r="J3780" s="34">
        <f t="shared" si="1763"/>
        <v>457330</v>
      </c>
      <c r="K3780" s="133">
        <v>1000</v>
      </c>
      <c r="L3780" s="34"/>
      <c r="M3780" s="16">
        <f t="shared" si="1768"/>
        <v>392501.00781581254</v>
      </c>
      <c r="N3780" s="36">
        <v>810</v>
      </c>
      <c r="O3780" s="36">
        <v>1</v>
      </c>
      <c r="P3780" s="56">
        <v>99537.927390720026</v>
      </c>
      <c r="Q3780" s="2" t="s">
        <v>402</v>
      </c>
      <c r="R3780" s="2" t="s">
        <v>663</v>
      </c>
      <c r="S3780" s="56">
        <f t="shared" si="1767"/>
        <v>39815.170956288013</v>
      </c>
    </row>
    <row r="3781" spans="1:19" x14ac:dyDescent="0.2">
      <c r="A3781" s="8" t="str">
        <f t="shared" si="1766"/>
        <v>9045319</v>
      </c>
      <c r="B3781" s="8">
        <v>904</v>
      </c>
      <c r="C3781" s="8">
        <v>53</v>
      </c>
      <c r="D3781" s="8" t="s">
        <v>62</v>
      </c>
      <c r="E3781" s="8">
        <v>9</v>
      </c>
      <c r="F3781" s="34">
        <f t="shared" si="1769"/>
        <v>2115180</v>
      </c>
      <c r="G3781" s="34">
        <f t="shared" si="1769"/>
        <v>2115180</v>
      </c>
      <c r="H3781" s="34">
        <f t="shared" si="1770"/>
        <v>99537</v>
      </c>
      <c r="I3781" s="34">
        <f t="shared" si="1770"/>
        <v>99537</v>
      </c>
      <c r="J3781" s="34">
        <f t="shared" si="1763"/>
        <v>6778093</v>
      </c>
      <c r="K3781" s="133">
        <v>1000</v>
      </c>
      <c r="L3781" s="34"/>
      <c r="M3781" s="16">
        <f t="shared" si="1768"/>
        <v>3022105.9641069584</v>
      </c>
      <c r="N3781" s="36">
        <v>735</v>
      </c>
      <c r="O3781" s="36">
        <v>18</v>
      </c>
      <c r="P3781" s="56">
        <v>99537.927390720026</v>
      </c>
      <c r="Q3781" s="2" t="s">
        <v>402</v>
      </c>
      <c r="R3781" s="2" t="s">
        <v>663</v>
      </c>
      <c r="S3781" s="56">
        <f t="shared" si="1767"/>
        <v>39815.170956288013</v>
      </c>
    </row>
    <row r="3782" spans="1:19" x14ac:dyDescent="0.2">
      <c r="A3782" s="8" t="str">
        <f t="shared" si="1766"/>
        <v>9045411</v>
      </c>
      <c r="B3782" s="8">
        <v>904</v>
      </c>
      <c r="C3782" s="8">
        <v>54</v>
      </c>
      <c r="D3782" s="8" t="s">
        <v>62</v>
      </c>
      <c r="E3782" s="8">
        <v>1</v>
      </c>
      <c r="F3782" s="34">
        <f t="shared" si="1769"/>
        <v>555235</v>
      </c>
      <c r="G3782" s="34">
        <f t="shared" si="1769"/>
        <v>555235</v>
      </c>
      <c r="H3782" s="34">
        <f t="shared" si="1770"/>
        <v>104514</v>
      </c>
      <c r="I3782" s="34">
        <f t="shared" si="1770"/>
        <v>104514</v>
      </c>
      <c r="J3782" s="34">
        <f t="shared" si="1763"/>
        <v>480197</v>
      </c>
      <c r="K3782" s="133">
        <v>1000</v>
      </c>
      <c r="L3782" s="34"/>
      <c r="M3782" s="16">
        <f t="shared" si="1768"/>
        <v>422304.1607627612</v>
      </c>
      <c r="N3782" s="36">
        <v>810</v>
      </c>
      <c r="O3782" s="36">
        <v>1</v>
      </c>
      <c r="P3782" s="56">
        <v>104514.82376025603</v>
      </c>
      <c r="Q3782" s="2" t="s">
        <v>402</v>
      </c>
      <c r="R3782" s="2" t="s">
        <v>664</v>
      </c>
      <c r="S3782" s="56">
        <f t="shared" si="1767"/>
        <v>41805.929504102416</v>
      </c>
    </row>
    <row r="3783" spans="1:19" x14ac:dyDescent="0.2">
      <c r="A3783" s="8" t="str">
        <f t="shared" si="1766"/>
        <v>9045419</v>
      </c>
      <c r="B3783" s="8">
        <v>904</v>
      </c>
      <c r="C3783" s="8">
        <v>54</v>
      </c>
      <c r="D3783" s="8" t="s">
        <v>62</v>
      </c>
      <c r="E3783" s="8">
        <v>9</v>
      </c>
      <c r="F3783" s="34">
        <f t="shared" si="1769"/>
        <v>2220940</v>
      </c>
      <c r="G3783" s="34">
        <f t="shared" si="1769"/>
        <v>2220940</v>
      </c>
      <c r="H3783" s="34">
        <f t="shared" si="1770"/>
        <v>104514</v>
      </c>
      <c r="I3783" s="34">
        <f t="shared" si="1770"/>
        <v>104514</v>
      </c>
      <c r="J3783" s="34">
        <f t="shared" si="1763"/>
        <v>7116998</v>
      </c>
      <c r="K3783" s="133">
        <v>1000</v>
      </c>
      <c r="L3783" s="34"/>
      <c r="M3783" s="16">
        <f t="shared" si="1768"/>
        <v>3251577.1028260849</v>
      </c>
      <c r="N3783" s="36">
        <v>735</v>
      </c>
      <c r="O3783" s="36">
        <v>18</v>
      </c>
      <c r="P3783" s="56">
        <v>104514.82376025603</v>
      </c>
      <c r="Q3783" s="2" t="s">
        <v>402</v>
      </c>
      <c r="R3783" s="2" t="s">
        <v>664</v>
      </c>
      <c r="S3783" s="56">
        <f t="shared" si="1767"/>
        <v>41805.929504102416</v>
      </c>
    </row>
    <row r="3784" spans="1:19" x14ac:dyDescent="0.2">
      <c r="A3784" s="18" t="str">
        <f t="shared" si="1766"/>
        <v>9045511</v>
      </c>
      <c r="B3784" s="18">
        <v>904</v>
      </c>
      <c r="C3784" s="18">
        <v>55</v>
      </c>
      <c r="D3784" s="18" t="s">
        <v>62</v>
      </c>
      <c r="E3784" s="18">
        <v>1</v>
      </c>
      <c r="F3784" s="19">
        <f t="shared" si="1769"/>
        <v>557812</v>
      </c>
      <c r="G3784" s="19">
        <f t="shared" si="1769"/>
        <v>557812</v>
      </c>
      <c r="H3784" s="19">
        <f t="shared" si="1770"/>
        <v>105000</v>
      </c>
      <c r="I3784" s="19">
        <f t="shared" si="1770"/>
        <v>105000</v>
      </c>
      <c r="J3784" s="19">
        <f t="shared" si="1763"/>
        <v>482426</v>
      </c>
      <c r="K3784" s="133">
        <v>1000</v>
      </c>
      <c r="L3784" s="19"/>
      <c r="M3784" s="16">
        <f t="shared" si="1768"/>
        <v>425249.60200435697</v>
      </c>
      <c r="N3784" s="36">
        <v>810</v>
      </c>
      <c r="O3784" s="58">
        <v>1</v>
      </c>
      <c r="P3784" s="94">
        <v>105000</v>
      </c>
      <c r="Q3784" s="41" t="s">
        <v>402</v>
      </c>
      <c r="R3784" s="41" t="s">
        <v>665</v>
      </c>
      <c r="S3784" s="94">
        <f t="shared" si="1767"/>
        <v>42000</v>
      </c>
    </row>
    <row r="3785" spans="1:19" x14ac:dyDescent="0.2">
      <c r="A3785" s="18" t="str">
        <f t="shared" si="1766"/>
        <v>9045519</v>
      </c>
      <c r="B3785" s="18">
        <v>904</v>
      </c>
      <c r="C3785" s="18">
        <v>55</v>
      </c>
      <c r="D3785" s="18" t="s">
        <v>62</v>
      </c>
      <c r="E3785" s="18">
        <v>9</v>
      </c>
      <c r="F3785" s="19">
        <f t="shared" si="1769"/>
        <v>2231250</v>
      </c>
      <c r="G3785" s="19">
        <f t="shared" si="1769"/>
        <v>2231250</v>
      </c>
      <c r="H3785" s="19">
        <f t="shared" si="1770"/>
        <v>105000</v>
      </c>
      <c r="I3785" s="19">
        <f t="shared" si="1770"/>
        <v>105000</v>
      </c>
      <c r="J3785" s="19">
        <f t="shared" si="1763"/>
        <v>7150036</v>
      </c>
      <c r="K3785" s="133">
        <v>1000</v>
      </c>
      <c r="L3785" s="19"/>
      <c r="M3785" s="16">
        <f t="shared" si="1768"/>
        <v>3274257.7751911962</v>
      </c>
      <c r="N3785" s="36">
        <v>735</v>
      </c>
      <c r="O3785" s="58">
        <v>18</v>
      </c>
      <c r="P3785" s="94">
        <v>105000</v>
      </c>
      <c r="Q3785" s="41" t="s">
        <v>402</v>
      </c>
      <c r="R3785" s="41" t="s">
        <v>665</v>
      </c>
      <c r="S3785" s="94">
        <f t="shared" si="1767"/>
        <v>42000</v>
      </c>
    </row>
    <row r="3786" spans="1:19" x14ac:dyDescent="0.2">
      <c r="A3786" s="8" t="str">
        <f t="shared" si="1766"/>
        <v>9045611</v>
      </c>
      <c r="B3786" s="8">
        <v>904</v>
      </c>
      <c r="C3786" s="8">
        <v>56</v>
      </c>
      <c r="D3786" s="8" t="s">
        <v>62</v>
      </c>
      <c r="E3786" s="8">
        <v>1</v>
      </c>
      <c r="F3786" s="34">
        <f t="shared" si="1769"/>
        <v>617976</v>
      </c>
      <c r="G3786" s="34">
        <f t="shared" si="1769"/>
        <v>617976</v>
      </c>
      <c r="H3786" s="34">
        <f t="shared" si="1770"/>
        <v>116324</v>
      </c>
      <c r="I3786" s="34">
        <f t="shared" si="1770"/>
        <v>116324</v>
      </c>
      <c r="J3786" s="34">
        <f t="shared" si="1763"/>
        <v>534459</v>
      </c>
      <c r="K3786" s="133">
        <v>1000</v>
      </c>
      <c r="L3786" s="34"/>
      <c r="M3786" s="16">
        <f t="shared" si="1768"/>
        <v>495869.79256529076</v>
      </c>
      <c r="N3786" s="36">
        <v>810</v>
      </c>
      <c r="O3786" s="36">
        <v>1</v>
      </c>
      <c r="P3786" s="56">
        <v>116324.99884516497</v>
      </c>
      <c r="Q3786" s="2" t="s">
        <v>402</v>
      </c>
      <c r="R3786" s="2" t="s">
        <v>666</v>
      </c>
      <c r="S3786" s="56">
        <f t="shared" si="1767"/>
        <v>46529.999538065989</v>
      </c>
    </row>
    <row r="3787" spans="1:19" x14ac:dyDescent="0.2">
      <c r="A3787" s="8" t="str">
        <f t="shared" si="1766"/>
        <v>9045619</v>
      </c>
      <c r="B3787" s="8">
        <v>904</v>
      </c>
      <c r="C3787" s="8">
        <v>56</v>
      </c>
      <c r="D3787" s="8" t="s">
        <v>62</v>
      </c>
      <c r="E3787" s="8">
        <v>9</v>
      </c>
      <c r="F3787" s="34">
        <f t="shared" si="1769"/>
        <v>2471906</v>
      </c>
      <c r="G3787" s="34">
        <f t="shared" si="1769"/>
        <v>2471906</v>
      </c>
      <c r="H3787" s="34">
        <f t="shared" si="1770"/>
        <v>116324</v>
      </c>
      <c r="I3787" s="34">
        <f t="shared" si="1770"/>
        <v>116324</v>
      </c>
      <c r="J3787" s="34">
        <f t="shared" si="1763"/>
        <v>7921219</v>
      </c>
      <c r="K3787" s="133">
        <v>1000</v>
      </c>
      <c r="L3787" s="34"/>
      <c r="M3787" s="16">
        <f t="shared" si="1768"/>
        <v>3818006.2671995582</v>
      </c>
      <c r="N3787" s="36">
        <v>735</v>
      </c>
      <c r="O3787" s="36">
        <v>18</v>
      </c>
      <c r="P3787" s="56">
        <v>116324.99884516497</v>
      </c>
      <c r="Q3787" s="2" t="s">
        <v>402</v>
      </c>
      <c r="R3787" s="2" t="s">
        <v>666</v>
      </c>
      <c r="S3787" s="56">
        <f t="shared" si="1767"/>
        <v>46529.999538065989</v>
      </c>
    </row>
    <row r="3788" spans="1:19" x14ac:dyDescent="0.2">
      <c r="A3788" s="8" t="str">
        <f t="shared" si="1766"/>
        <v>9045711</v>
      </c>
      <c r="B3788" s="8">
        <v>904</v>
      </c>
      <c r="C3788" s="8">
        <v>57</v>
      </c>
      <c r="D3788" s="8" t="s">
        <v>62</v>
      </c>
      <c r="E3788" s="8">
        <v>1</v>
      </c>
      <c r="F3788" s="34">
        <f t="shared" si="1769"/>
        <v>655055</v>
      </c>
      <c r="G3788" s="34">
        <f t="shared" si="1769"/>
        <v>655055</v>
      </c>
      <c r="H3788" s="34">
        <f t="shared" si="1770"/>
        <v>123304</v>
      </c>
      <c r="I3788" s="34">
        <f t="shared" si="1770"/>
        <v>123304</v>
      </c>
      <c r="J3788" s="34">
        <f t="shared" si="1763"/>
        <v>566527</v>
      </c>
      <c r="K3788" s="133">
        <v>1000</v>
      </c>
      <c r="L3788" s="34"/>
      <c r="M3788" s="16">
        <f t="shared" si="1768"/>
        <v>541162.58045789646</v>
      </c>
      <c r="N3788" s="36">
        <v>810</v>
      </c>
      <c r="O3788" s="36">
        <v>1</v>
      </c>
      <c r="P3788" s="56">
        <v>123304.49877587488</v>
      </c>
      <c r="Q3788" s="2" t="s">
        <v>402</v>
      </c>
      <c r="R3788" s="2" t="s">
        <v>667</v>
      </c>
      <c r="S3788" s="56">
        <f t="shared" si="1767"/>
        <v>49321.799510349956</v>
      </c>
    </row>
    <row r="3789" spans="1:19" x14ac:dyDescent="0.2">
      <c r="A3789" s="8" t="str">
        <f t="shared" si="1766"/>
        <v>9045719</v>
      </c>
      <c r="B3789" s="8">
        <v>904</v>
      </c>
      <c r="C3789" s="8">
        <v>57</v>
      </c>
      <c r="D3789" s="8" t="s">
        <v>62</v>
      </c>
      <c r="E3789" s="8">
        <v>9</v>
      </c>
      <c r="F3789" s="34">
        <f t="shared" si="1769"/>
        <v>2620220</v>
      </c>
      <c r="G3789" s="34">
        <f t="shared" si="1769"/>
        <v>2620220</v>
      </c>
      <c r="H3789" s="34">
        <f t="shared" si="1770"/>
        <v>123304</v>
      </c>
      <c r="I3789" s="34">
        <f t="shared" si="1770"/>
        <v>123304</v>
      </c>
      <c r="J3789" s="34">
        <f t="shared" si="1763"/>
        <v>8396492</v>
      </c>
      <c r="K3789" s="133">
        <v>1000</v>
      </c>
      <c r="L3789" s="34"/>
      <c r="M3789" s="16">
        <f t="shared" si="1768"/>
        <v>4166739.8636336797</v>
      </c>
      <c r="N3789" s="36">
        <v>735</v>
      </c>
      <c r="O3789" s="36">
        <v>18</v>
      </c>
      <c r="P3789" s="56">
        <v>123304.49877587488</v>
      </c>
      <c r="Q3789" s="2" t="s">
        <v>402</v>
      </c>
      <c r="R3789" s="2" t="s">
        <v>667</v>
      </c>
      <c r="S3789" s="56">
        <f t="shared" si="1767"/>
        <v>49321.799510349956</v>
      </c>
    </row>
    <row r="3790" spans="1:19" x14ac:dyDescent="0.2">
      <c r="A3790" s="8" t="str">
        <f t="shared" si="1766"/>
        <v>9045811</v>
      </c>
      <c r="B3790" s="8">
        <v>904</v>
      </c>
      <c r="C3790" s="8">
        <v>58</v>
      </c>
      <c r="D3790" s="8" t="s">
        <v>62</v>
      </c>
      <c r="E3790" s="8">
        <v>1</v>
      </c>
      <c r="F3790" s="34">
        <f t="shared" si="1769"/>
        <v>694358</v>
      </c>
      <c r="G3790" s="34">
        <f t="shared" si="1769"/>
        <v>694358</v>
      </c>
      <c r="H3790" s="34">
        <f t="shared" si="1770"/>
        <v>130702</v>
      </c>
      <c r="I3790" s="34">
        <f t="shared" si="1770"/>
        <v>130702</v>
      </c>
      <c r="J3790" s="34">
        <f t="shared" si="1763"/>
        <v>600518</v>
      </c>
      <c r="K3790" s="133">
        <v>1000</v>
      </c>
      <c r="L3790" s="34"/>
      <c r="M3790" s="16">
        <f t="shared" si="1768"/>
        <v>590589.66141109203</v>
      </c>
      <c r="N3790" s="36">
        <v>810</v>
      </c>
      <c r="O3790" s="36">
        <v>1</v>
      </c>
      <c r="P3790" s="56">
        <v>130702.76870242738</v>
      </c>
      <c r="Q3790" s="2" t="s">
        <v>402</v>
      </c>
      <c r="R3790" s="2" t="s">
        <v>668</v>
      </c>
      <c r="S3790" s="56">
        <f t="shared" si="1767"/>
        <v>52281.107480970953</v>
      </c>
    </row>
    <row r="3791" spans="1:19" x14ac:dyDescent="0.2">
      <c r="A3791" s="8" t="str">
        <f t="shared" si="1766"/>
        <v>9045819</v>
      </c>
      <c r="B3791" s="8">
        <v>904</v>
      </c>
      <c r="C3791" s="8">
        <v>58</v>
      </c>
      <c r="D3791" s="8" t="s">
        <v>62</v>
      </c>
      <c r="E3791" s="8">
        <v>9</v>
      </c>
      <c r="F3791" s="34">
        <f t="shared" si="1769"/>
        <v>2777433</v>
      </c>
      <c r="G3791" s="34">
        <f t="shared" si="1769"/>
        <v>2777433</v>
      </c>
      <c r="H3791" s="34">
        <f t="shared" si="1770"/>
        <v>130702</v>
      </c>
      <c r="I3791" s="34">
        <f t="shared" si="1770"/>
        <v>130702</v>
      </c>
      <c r="J3791" s="34">
        <f t="shared" si="1763"/>
        <v>8900281</v>
      </c>
      <c r="K3791" s="133">
        <v>1000</v>
      </c>
      <c r="L3791" s="34"/>
      <c r="M3791" s="16">
        <f t="shared" si="1768"/>
        <v>4547312.0566114681</v>
      </c>
      <c r="N3791" s="36">
        <v>735</v>
      </c>
      <c r="O3791" s="36">
        <v>18</v>
      </c>
      <c r="P3791" s="56">
        <v>130702.76870242738</v>
      </c>
      <c r="Q3791" s="2" t="s">
        <v>402</v>
      </c>
      <c r="R3791" s="2" t="s">
        <v>668</v>
      </c>
      <c r="S3791" s="56">
        <f t="shared" si="1767"/>
        <v>52281.107480970953</v>
      </c>
    </row>
    <row r="3792" spans="1:19" x14ac:dyDescent="0.2">
      <c r="A3792" s="18" t="str">
        <f t="shared" si="1766"/>
        <v>9045911</v>
      </c>
      <c r="B3792" s="18">
        <v>904</v>
      </c>
      <c r="C3792" s="18">
        <v>59</v>
      </c>
      <c r="D3792" s="18" t="s">
        <v>62</v>
      </c>
      <c r="E3792" s="18">
        <v>1</v>
      </c>
      <c r="F3792" s="19">
        <f t="shared" si="1769"/>
        <v>762343</v>
      </c>
      <c r="G3792" s="19">
        <f t="shared" si="1769"/>
        <v>762343</v>
      </c>
      <c r="H3792" s="19">
        <f t="shared" si="1770"/>
        <v>143500</v>
      </c>
      <c r="I3792" s="19">
        <f t="shared" si="1770"/>
        <v>143500</v>
      </c>
      <c r="J3792" s="19">
        <f t="shared" si="1763"/>
        <v>659316</v>
      </c>
      <c r="K3792" s="133">
        <v>1000</v>
      </c>
      <c r="L3792" s="19"/>
      <c r="M3792" s="16">
        <f t="shared" si="1768"/>
        <v>679419.41574931401</v>
      </c>
      <c r="N3792" s="36">
        <v>810</v>
      </c>
      <c r="O3792" s="58">
        <v>1</v>
      </c>
      <c r="P3792" s="94">
        <v>143500</v>
      </c>
      <c r="Q3792" s="41" t="s">
        <v>402</v>
      </c>
      <c r="R3792" s="41" t="s">
        <v>669</v>
      </c>
      <c r="S3792" s="94">
        <f t="shared" si="1767"/>
        <v>57400</v>
      </c>
    </row>
    <row r="3793" spans="1:19" x14ac:dyDescent="0.2">
      <c r="A3793" s="18" t="str">
        <f t="shared" si="1766"/>
        <v>9045919</v>
      </c>
      <c r="B3793" s="18">
        <v>904</v>
      </c>
      <c r="C3793" s="18">
        <v>59</v>
      </c>
      <c r="D3793" s="18" t="s">
        <v>62</v>
      </c>
      <c r="E3793" s="18">
        <v>9</v>
      </c>
      <c r="F3793" s="19">
        <f t="shared" si="1769"/>
        <v>3049375</v>
      </c>
      <c r="G3793" s="19">
        <f t="shared" si="1769"/>
        <v>3049375</v>
      </c>
      <c r="H3793" s="19">
        <f t="shared" si="1770"/>
        <v>143500</v>
      </c>
      <c r="I3793" s="19">
        <f t="shared" si="1770"/>
        <v>143500</v>
      </c>
      <c r="J3793" s="19">
        <f t="shared" si="1763"/>
        <v>9771716</v>
      </c>
      <c r="K3793" s="133">
        <v>1000</v>
      </c>
      <c r="L3793" s="19"/>
      <c r="M3793" s="16">
        <f t="shared" si="1768"/>
        <v>5231265.6362429159</v>
      </c>
      <c r="N3793" s="36">
        <v>735</v>
      </c>
      <c r="O3793" s="58">
        <v>18</v>
      </c>
      <c r="P3793" s="94">
        <v>143500</v>
      </c>
      <c r="Q3793" s="41" t="s">
        <v>402</v>
      </c>
      <c r="R3793" s="41" t="s">
        <v>669</v>
      </c>
      <c r="S3793" s="94">
        <f t="shared" si="1767"/>
        <v>57400</v>
      </c>
    </row>
    <row r="3794" spans="1:19" x14ac:dyDescent="0.2">
      <c r="A3794" s="8" t="str">
        <f t="shared" si="1766"/>
        <v>9046011</v>
      </c>
      <c r="B3794" s="8">
        <v>904</v>
      </c>
      <c r="C3794" s="8">
        <v>60</v>
      </c>
      <c r="D3794" s="8" t="s">
        <v>62</v>
      </c>
      <c r="E3794" s="8">
        <v>1</v>
      </c>
      <c r="F3794" s="34">
        <f t="shared" si="1769"/>
        <v>780181</v>
      </c>
      <c r="G3794" s="34">
        <f t="shared" si="1769"/>
        <v>780181</v>
      </c>
      <c r="H3794" s="34">
        <f t="shared" si="1770"/>
        <v>146857</v>
      </c>
      <c r="I3794" s="34">
        <f t="shared" si="1770"/>
        <v>146857</v>
      </c>
      <c r="J3794" s="34">
        <f t="shared" si="1763"/>
        <v>674742</v>
      </c>
      <c r="K3794" s="133">
        <v>1000</v>
      </c>
      <c r="L3794" s="34"/>
      <c r="M3794" s="16">
        <f t="shared" si="1768"/>
        <v>703402.43908984831</v>
      </c>
      <c r="N3794" s="36">
        <v>810</v>
      </c>
      <c r="O3794" s="36">
        <v>1</v>
      </c>
      <c r="P3794" s="56">
        <v>146857.63091404742</v>
      </c>
      <c r="Q3794" s="2" t="s">
        <v>402</v>
      </c>
      <c r="R3794" s="2" t="s">
        <v>670</v>
      </c>
      <c r="S3794" s="56">
        <f t="shared" si="1767"/>
        <v>58743.052365618969</v>
      </c>
    </row>
    <row r="3795" spans="1:19" x14ac:dyDescent="0.2">
      <c r="A3795" s="8" t="str">
        <f t="shared" si="1766"/>
        <v>9046019</v>
      </c>
      <c r="B3795" s="8">
        <v>904</v>
      </c>
      <c r="C3795" s="8">
        <v>60</v>
      </c>
      <c r="D3795" s="8" t="s">
        <v>62</v>
      </c>
      <c r="E3795" s="8">
        <v>9</v>
      </c>
      <c r="F3795" s="34">
        <f t="shared" si="1769"/>
        <v>3120724</v>
      </c>
      <c r="G3795" s="34">
        <f t="shared" si="1769"/>
        <v>3120724</v>
      </c>
      <c r="H3795" s="34">
        <f t="shared" si="1770"/>
        <v>146857</v>
      </c>
      <c r="I3795" s="34">
        <f t="shared" si="1770"/>
        <v>146857</v>
      </c>
      <c r="J3795" s="34">
        <f t="shared" si="1763"/>
        <v>10000356</v>
      </c>
      <c r="K3795" s="133">
        <v>1000</v>
      </c>
      <c r="L3795" s="34"/>
      <c r="M3795" s="16">
        <f t="shared" si="1768"/>
        <v>5415926.0258100592</v>
      </c>
      <c r="N3795" s="36">
        <v>735</v>
      </c>
      <c r="O3795" s="36">
        <v>18</v>
      </c>
      <c r="P3795" s="56">
        <v>146857.63091404742</v>
      </c>
      <c r="Q3795" s="2" t="s">
        <v>402</v>
      </c>
      <c r="R3795" s="2" t="s">
        <v>670</v>
      </c>
      <c r="S3795" s="56">
        <f t="shared" si="1767"/>
        <v>58743.052365618969</v>
      </c>
    </row>
    <row r="3796" spans="1:19" x14ac:dyDescent="0.2">
      <c r="A3796" s="8" t="str">
        <f t="shared" si="1766"/>
        <v>9046111</v>
      </c>
      <c r="B3796" s="8">
        <v>904</v>
      </c>
      <c r="C3796" s="8">
        <v>61</v>
      </c>
      <c r="D3796" s="8" t="s">
        <v>62</v>
      </c>
      <c r="E3796" s="8">
        <v>1</v>
      </c>
      <c r="F3796" s="34">
        <f t="shared" ref="F3796:G3815" si="1771">ROUNDDOWN($P3796/4*MIN($O3796,4)*10*$N3796/$N3796*$Q3796/400,0)</f>
        <v>826992</v>
      </c>
      <c r="G3796" s="34">
        <f t="shared" si="1771"/>
        <v>826992</v>
      </c>
      <c r="H3796" s="34">
        <f t="shared" ref="H3796:I3811" si="1772">ROUNDDOWN($S3796/4*10,0)</f>
        <v>155669</v>
      </c>
      <c r="I3796" s="34">
        <f t="shared" si="1772"/>
        <v>155669</v>
      </c>
      <c r="J3796" s="34">
        <f t="shared" si="1763"/>
        <v>715227</v>
      </c>
      <c r="K3796" s="133">
        <v>1000</v>
      </c>
      <c r="L3796" s="34"/>
      <c r="M3796" s="16">
        <f t="shared" si="1768"/>
        <v>767650.71607892541</v>
      </c>
      <c r="N3796" s="36">
        <v>810</v>
      </c>
      <c r="O3796" s="36">
        <v>1</v>
      </c>
      <c r="P3796" s="56">
        <v>155669.08876889027</v>
      </c>
      <c r="Q3796" s="2" t="s">
        <v>402</v>
      </c>
      <c r="R3796" s="2" t="s">
        <v>671</v>
      </c>
      <c r="S3796" s="56">
        <f t="shared" si="1767"/>
        <v>62267.635507556115</v>
      </c>
    </row>
    <row r="3797" spans="1:19" x14ac:dyDescent="0.2">
      <c r="A3797" s="8" t="str">
        <f t="shared" si="1766"/>
        <v>9046119</v>
      </c>
      <c r="B3797" s="8">
        <v>904</v>
      </c>
      <c r="C3797" s="8">
        <v>61</v>
      </c>
      <c r="D3797" s="8" t="s">
        <v>62</v>
      </c>
      <c r="E3797" s="8">
        <v>9</v>
      </c>
      <c r="F3797" s="34">
        <f t="shared" si="1771"/>
        <v>3307968</v>
      </c>
      <c r="G3797" s="34">
        <f t="shared" si="1771"/>
        <v>3307968</v>
      </c>
      <c r="H3797" s="34">
        <f t="shared" si="1772"/>
        <v>155669</v>
      </c>
      <c r="I3797" s="34">
        <f t="shared" si="1772"/>
        <v>155669</v>
      </c>
      <c r="J3797" s="34">
        <f t="shared" si="1763"/>
        <v>10600378</v>
      </c>
      <c r="K3797" s="133">
        <v>1000</v>
      </c>
      <c r="L3797" s="34"/>
      <c r="M3797" s="16">
        <f t="shared" si="1768"/>
        <v>5910611.0404368229</v>
      </c>
      <c r="N3797" s="36">
        <v>735</v>
      </c>
      <c r="O3797" s="36">
        <v>18</v>
      </c>
      <c r="P3797" s="56">
        <v>155669.08876889027</v>
      </c>
      <c r="Q3797" s="2" t="s">
        <v>402</v>
      </c>
      <c r="R3797" s="2" t="s">
        <v>671</v>
      </c>
      <c r="S3797" s="56">
        <f t="shared" si="1767"/>
        <v>62267.635507556115</v>
      </c>
    </row>
    <row r="3798" spans="1:19" x14ac:dyDescent="0.2">
      <c r="A3798" s="8" t="str">
        <f t="shared" si="1766"/>
        <v>9046211</v>
      </c>
      <c r="B3798" s="8">
        <v>904</v>
      </c>
      <c r="C3798" s="8">
        <v>62</v>
      </c>
      <c r="D3798" s="8" t="s">
        <v>62</v>
      </c>
      <c r="E3798" s="8">
        <v>1</v>
      </c>
      <c r="F3798" s="34">
        <f t="shared" si="1771"/>
        <v>876611</v>
      </c>
      <c r="G3798" s="34">
        <f t="shared" si="1771"/>
        <v>876611</v>
      </c>
      <c r="H3798" s="34">
        <f t="shared" si="1772"/>
        <v>165009</v>
      </c>
      <c r="I3798" s="34">
        <f t="shared" si="1772"/>
        <v>165009</v>
      </c>
      <c r="J3798" s="34">
        <f t="shared" si="1763"/>
        <v>758141</v>
      </c>
      <c r="K3798" s="133">
        <v>1000</v>
      </c>
      <c r="L3798" s="34"/>
      <c r="M3798" s="16">
        <f t="shared" si="1768"/>
        <v>837765.07820300595</v>
      </c>
      <c r="N3798" s="36">
        <v>810</v>
      </c>
      <c r="O3798" s="36">
        <v>1</v>
      </c>
      <c r="P3798" s="56">
        <v>165009.23409502371</v>
      </c>
      <c r="Q3798" s="2" t="s">
        <v>402</v>
      </c>
      <c r="R3798" s="2" t="s">
        <v>672</v>
      </c>
      <c r="S3798" s="56">
        <f t="shared" si="1767"/>
        <v>66003.693638009485</v>
      </c>
    </row>
    <row r="3799" spans="1:19" x14ac:dyDescent="0.2">
      <c r="A3799" s="8" t="str">
        <f t="shared" si="1766"/>
        <v>9046219</v>
      </c>
      <c r="B3799" s="8">
        <v>904</v>
      </c>
      <c r="C3799" s="8">
        <v>62</v>
      </c>
      <c r="D3799" s="8" t="s">
        <v>62</v>
      </c>
      <c r="E3799" s="8">
        <v>9</v>
      </c>
      <c r="F3799" s="34">
        <f t="shared" si="1771"/>
        <v>3506446</v>
      </c>
      <c r="G3799" s="34">
        <f t="shared" si="1771"/>
        <v>3506446</v>
      </c>
      <c r="H3799" s="34">
        <f t="shared" si="1772"/>
        <v>165009</v>
      </c>
      <c r="I3799" s="34">
        <f t="shared" si="1772"/>
        <v>165009</v>
      </c>
      <c r="J3799" s="34">
        <f t="shared" si="1763"/>
        <v>11236400</v>
      </c>
      <c r="K3799" s="133">
        <v>1000</v>
      </c>
      <c r="L3799" s="34"/>
      <c r="M3799" s="16">
        <f t="shared" si="1768"/>
        <v>6450464.3038563393</v>
      </c>
      <c r="N3799" s="36">
        <v>735</v>
      </c>
      <c r="O3799" s="36">
        <v>18</v>
      </c>
      <c r="P3799" s="56">
        <v>165009.23409502371</v>
      </c>
      <c r="Q3799" s="2" t="s">
        <v>402</v>
      </c>
      <c r="R3799" s="2" t="s">
        <v>672</v>
      </c>
      <c r="S3799" s="56">
        <f t="shared" si="1767"/>
        <v>66003.693638009485</v>
      </c>
    </row>
    <row r="3800" spans="1:19" x14ac:dyDescent="0.2">
      <c r="A3800" s="18" t="str">
        <f t="shared" si="1766"/>
        <v>9046311</v>
      </c>
      <c r="B3800" s="18">
        <v>904</v>
      </c>
      <c r="C3800" s="18">
        <v>63</v>
      </c>
      <c r="D3800" s="18" t="s">
        <v>62</v>
      </c>
      <c r="E3800" s="18">
        <v>1</v>
      </c>
      <c r="F3800" s="19">
        <f t="shared" si="1771"/>
        <v>948281</v>
      </c>
      <c r="G3800" s="19">
        <f t="shared" si="1771"/>
        <v>948281</v>
      </c>
      <c r="H3800" s="19">
        <f t="shared" si="1772"/>
        <v>178500</v>
      </c>
      <c r="I3800" s="19">
        <f t="shared" si="1772"/>
        <v>178500</v>
      </c>
      <c r="J3800" s="19">
        <f t="shared" si="1763"/>
        <v>820125</v>
      </c>
      <c r="K3800" s="133">
        <v>1000</v>
      </c>
      <c r="L3800" s="19"/>
      <c r="M3800" s="16">
        <f t="shared" si="1768"/>
        <v>942578.75550788874</v>
      </c>
      <c r="N3800" s="36">
        <v>810</v>
      </c>
      <c r="O3800" s="58">
        <v>1</v>
      </c>
      <c r="P3800" s="94">
        <v>178500</v>
      </c>
      <c r="Q3800" s="41" t="s">
        <v>402</v>
      </c>
      <c r="R3800" s="41" t="s">
        <v>673</v>
      </c>
      <c r="S3800" s="94">
        <f t="shared" si="1767"/>
        <v>71400</v>
      </c>
    </row>
    <row r="3801" spans="1:19" x14ac:dyDescent="0.2">
      <c r="A3801" s="18" t="str">
        <f t="shared" si="1766"/>
        <v>9046319</v>
      </c>
      <c r="B3801" s="18">
        <v>904</v>
      </c>
      <c r="C3801" s="18">
        <v>63</v>
      </c>
      <c r="D3801" s="18" t="s">
        <v>62</v>
      </c>
      <c r="E3801" s="18">
        <v>9</v>
      </c>
      <c r="F3801" s="19">
        <f t="shared" si="1771"/>
        <v>3793125</v>
      </c>
      <c r="G3801" s="19">
        <f t="shared" si="1771"/>
        <v>3793125</v>
      </c>
      <c r="H3801" s="19">
        <f t="shared" si="1772"/>
        <v>178500</v>
      </c>
      <c r="I3801" s="19">
        <f t="shared" si="1772"/>
        <v>178500</v>
      </c>
      <c r="J3801" s="19">
        <f t="shared" si="1763"/>
        <v>12155062</v>
      </c>
      <c r="K3801" s="133">
        <v>1000</v>
      </c>
      <c r="L3801" s="19"/>
      <c r="M3801" s="16">
        <f t="shared" si="1768"/>
        <v>7257486.954345285</v>
      </c>
      <c r="N3801" s="36">
        <v>735</v>
      </c>
      <c r="O3801" s="58">
        <v>18</v>
      </c>
      <c r="P3801" s="94">
        <v>178500</v>
      </c>
      <c r="Q3801" s="41" t="s">
        <v>402</v>
      </c>
      <c r="R3801" s="41" t="s">
        <v>673</v>
      </c>
      <c r="S3801" s="94">
        <f t="shared" si="1767"/>
        <v>71400</v>
      </c>
    </row>
    <row r="3802" spans="1:19" x14ac:dyDescent="0.2">
      <c r="A3802" s="8" t="str">
        <f t="shared" si="1766"/>
        <v>9046411</v>
      </c>
      <c r="B3802" s="8">
        <v>904</v>
      </c>
      <c r="C3802" s="8">
        <v>64</v>
      </c>
      <c r="D3802" s="8" t="s">
        <v>62</v>
      </c>
      <c r="E3802" s="8">
        <v>1</v>
      </c>
      <c r="F3802" s="34">
        <f t="shared" si="1771"/>
        <v>984960</v>
      </c>
      <c r="G3802" s="34">
        <f t="shared" si="1771"/>
        <v>984960</v>
      </c>
      <c r="H3802" s="34">
        <f t="shared" si="1772"/>
        <v>185404</v>
      </c>
      <c r="I3802" s="34">
        <f t="shared" si="1772"/>
        <v>185404</v>
      </c>
      <c r="J3802" s="34">
        <f t="shared" si="1763"/>
        <v>851847</v>
      </c>
      <c r="K3802" s="133">
        <v>1000</v>
      </c>
      <c r="L3802" s="34"/>
      <c r="M3802" s="16">
        <f t="shared" si="1768"/>
        <v>997791.1160527576</v>
      </c>
      <c r="N3802" s="36">
        <v>810</v>
      </c>
      <c r="O3802" s="36">
        <v>1</v>
      </c>
      <c r="P3802" s="56">
        <v>185404.37542916863</v>
      </c>
      <c r="Q3802" s="2" t="s">
        <v>402</v>
      </c>
      <c r="R3802" s="2" t="s">
        <v>674</v>
      </c>
      <c r="S3802" s="56">
        <f t="shared" si="1767"/>
        <v>74161.75017166746</v>
      </c>
    </row>
    <row r="3803" spans="1:19" x14ac:dyDescent="0.2">
      <c r="A3803" s="8" t="str">
        <f t="shared" si="1766"/>
        <v>9046419</v>
      </c>
      <c r="B3803" s="8">
        <v>904</v>
      </c>
      <c r="C3803" s="8">
        <v>64</v>
      </c>
      <c r="D3803" s="8" t="s">
        <v>62</v>
      </c>
      <c r="E3803" s="8">
        <v>9</v>
      </c>
      <c r="F3803" s="34">
        <f t="shared" si="1771"/>
        <v>3939842</v>
      </c>
      <c r="G3803" s="34">
        <f t="shared" si="1771"/>
        <v>3939842</v>
      </c>
      <c r="H3803" s="34">
        <f t="shared" si="1772"/>
        <v>185404</v>
      </c>
      <c r="I3803" s="34">
        <f t="shared" si="1772"/>
        <v>185404</v>
      </c>
      <c r="J3803" s="34">
        <f t="shared" si="1763"/>
        <v>12625220</v>
      </c>
      <c r="K3803" s="133">
        <v>1000</v>
      </c>
      <c r="L3803" s="34"/>
      <c r="M3803" s="16">
        <f t="shared" si="1768"/>
        <v>7682603.4491913458</v>
      </c>
      <c r="N3803" s="36">
        <v>735</v>
      </c>
      <c r="O3803" s="36">
        <v>18</v>
      </c>
      <c r="P3803" s="56">
        <v>185404.37542916863</v>
      </c>
      <c r="Q3803" s="2" t="s">
        <v>402</v>
      </c>
      <c r="R3803" s="2" t="s">
        <v>674</v>
      </c>
      <c r="S3803" s="56">
        <f t="shared" si="1767"/>
        <v>74161.75017166746</v>
      </c>
    </row>
    <row r="3804" spans="1:19" x14ac:dyDescent="0.2">
      <c r="A3804" s="8" t="str">
        <f t="shared" si="1766"/>
        <v>9046511</v>
      </c>
      <c r="B3804" s="8">
        <v>904</v>
      </c>
      <c r="C3804" s="8">
        <v>65</v>
      </c>
      <c r="D3804" s="8" t="s">
        <v>62</v>
      </c>
      <c r="E3804" s="8">
        <v>1</v>
      </c>
      <c r="F3804" s="34">
        <f t="shared" si="1771"/>
        <v>1044058</v>
      </c>
      <c r="G3804" s="34">
        <f t="shared" si="1771"/>
        <v>1044058</v>
      </c>
      <c r="H3804" s="34">
        <f t="shared" si="1772"/>
        <v>196528</v>
      </c>
      <c r="I3804" s="34">
        <f t="shared" si="1772"/>
        <v>196528</v>
      </c>
      <c r="J3804" s="34">
        <f t="shared" si="1763"/>
        <v>902958</v>
      </c>
      <c r="K3804" s="133">
        <v>1000</v>
      </c>
      <c r="L3804" s="34"/>
      <c r="M3804" s="16">
        <f t="shared" si="1768"/>
        <v>1088925.8108502661</v>
      </c>
      <c r="N3804" s="36">
        <v>810</v>
      </c>
      <c r="O3804" s="36">
        <v>1</v>
      </c>
      <c r="P3804" s="56">
        <v>196528.63795491878</v>
      </c>
      <c r="Q3804" s="2" t="s">
        <v>402</v>
      </c>
      <c r="R3804" s="2" t="s">
        <v>675</v>
      </c>
      <c r="S3804" s="56">
        <f t="shared" si="1767"/>
        <v>78611.455181967525</v>
      </c>
    </row>
    <row r="3805" spans="1:19" x14ac:dyDescent="0.2">
      <c r="A3805" s="8" t="str">
        <f t="shared" si="1766"/>
        <v>9046519</v>
      </c>
      <c r="B3805" s="8">
        <v>904</v>
      </c>
      <c r="C3805" s="8">
        <v>65</v>
      </c>
      <c r="D3805" s="8" t="s">
        <v>62</v>
      </c>
      <c r="E3805" s="8">
        <v>9</v>
      </c>
      <c r="F3805" s="34">
        <f t="shared" si="1771"/>
        <v>4176233</v>
      </c>
      <c r="G3805" s="34">
        <f t="shared" si="1771"/>
        <v>4176233</v>
      </c>
      <c r="H3805" s="34">
        <f t="shared" si="1772"/>
        <v>196528</v>
      </c>
      <c r="I3805" s="34">
        <f t="shared" si="1772"/>
        <v>196528</v>
      </c>
      <c r="J3805" s="34">
        <f t="shared" ref="J3805:J3857" si="1773">ROUNDDOWN($P3805/4*$O3805*10*$N3805/$Q3805*$N3805/420,0)</f>
        <v>13382733</v>
      </c>
      <c r="K3805" s="133">
        <v>1000</v>
      </c>
      <c r="L3805" s="34"/>
      <c r="M3805" s="16">
        <f t="shared" si="1768"/>
        <v>8384303.124796656</v>
      </c>
      <c r="N3805" s="36">
        <v>735</v>
      </c>
      <c r="O3805" s="36">
        <v>18</v>
      </c>
      <c r="P3805" s="56">
        <v>196528.63795491878</v>
      </c>
      <c r="Q3805" s="2" t="s">
        <v>402</v>
      </c>
      <c r="R3805" s="2" t="s">
        <v>675</v>
      </c>
      <c r="S3805" s="56">
        <f t="shared" si="1767"/>
        <v>78611.455181967525</v>
      </c>
    </row>
    <row r="3806" spans="1:19" x14ac:dyDescent="0.2">
      <c r="A3806" s="8" t="str">
        <f t="shared" si="1766"/>
        <v>9046611</v>
      </c>
      <c r="B3806" s="8">
        <v>904</v>
      </c>
      <c r="C3806" s="8">
        <v>66</v>
      </c>
      <c r="D3806" s="8" t="s">
        <v>62</v>
      </c>
      <c r="E3806" s="8">
        <v>1</v>
      </c>
      <c r="F3806" s="34">
        <f t="shared" si="1771"/>
        <v>1106701</v>
      </c>
      <c r="G3806" s="34">
        <f t="shared" si="1771"/>
        <v>1106701</v>
      </c>
      <c r="H3806" s="34">
        <f t="shared" si="1772"/>
        <v>208320</v>
      </c>
      <c r="I3806" s="34">
        <f t="shared" si="1772"/>
        <v>208320</v>
      </c>
      <c r="J3806" s="34">
        <f t="shared" si="1773"/>
        <v>957135</v>
      </c>
      <c r="K3806" s="133">
        <v>1000</v>
      </c>
      <c r="L3806" s="34"/>
      <c r="M3806" s="16">
        <f t="shared" si="1768"/>
        <v>1188385.1613851213</v>
      </c>
      <c r="N3806" s="36">
        <v>810</v>
      </c>
      <c r="O3806" s="36">
        <v>1</v>
      </c>
      <c r="P3806" s="56">
        <v>208320.3562322139</v>
      </c>
      <c r="Q3806" s="2" t="s">
        <v>402</v>
      </c>
      <c r="R3806" s="2" t="s">
        <v>676</v>
      </c>
      <c r="S3806" s="56">
        <f t="shared" si="1767"/>
        <v>83328.14249288557</v>
      </c>
    </row>
    <row r="3807" spans="1:19" x14ac:dyDescent="0.2">
      <c r="A3807" s="8" t="str">
        <f t="shared" si="1766"/>
        <v>9046619</v>
      </c>
      <c r="B3807" s="8">
        <v>904</v>
      </c>
      <c r="C3807" s="8">
        <v>66</v>
      </c>
      <c r="D3807" s="8" t="s">
        <v>62</v>
      </c>
      <c r="E3807" s="8">
        <v>9</v>
      </c>
      <c r="F3807" s="34">
        <f t="shared" si="1771"/>
        <v>4426807</v>
      </c>
      <c r="G3807" s="34">
        <f t="shared" si="1771"/>
        <v>4426807</v>
      </c>
      <c r="H3807" s="34">
        <f t="shared" si="1772"/>
        <v>208320</v>
      </c>
      <c r="I3807" s="34">
        <f t="shared" si="1772"/>
        <v>208320</v>
      </c>
      <c r="J3807" s="34">
        <f t="shared" si="1773"/>
        <v>14185697</v>
      </c>
      <c r="K3807" s="133">
        <v>1000</v>
      </c>
      <c r="L3807" s="34"/>
      <c r="M3807" s="16">
        <f t="shared" si="1768"/>
        <v>9150105.5549132787</v>
      </c>
      <c r="N3807" s="36">
        <v>735</v>
      </c>
      <c r="O3807" s="36">
        <v>18</v>
      </c>
      <c r="P3807" s="56">
        <v>208320.3562322139</v>
      </c>
      <c r="Q3807" s="2" t="s">
        <v>402</v>
      </c>
      <c r="R3807" s="2" t="s">
        <v>676</v>
      </c>
      <c r="S3807" s="56">
        <f t="shared" si="1767"/>
        <v>83328.14249288557</v>
      </c>
    </row>
    <row r="3808" spans="1:19" x14ac:dyDescent="0.2">
      <c r="A3808" s="18" t="str">
        <f t="shared" si="1766"/>
        <v>9046711</v>
      </c>
      <c r="B3808" s="18">
        <v>904</v>
      </c>
      <c r="C3808" s="18">
        <v>67</v>
      </c>
      <c r="D3808" s="18" t="s">
        <v>62</v>
      </c>
      <c r="E3808" s="18">
        <v>1</v>
      </c>
      <c r="F3808" s="19">
        <f t="shared" si="1771"/>
        <v>1227187</v>
      </c>
      <c r="G3808" s="19">
        <f t="shared" si="1771"/>
        <v>1227187</v>
      </c>
      <c r="H3808" s="19">
        <f t="shared" si="1772"/>
        <v>190575</v>
      </c>
      <c r="I3808" s="19">
        <f t="shared" si="1772"/>
        <v>190575</v>
      </c>
      <c r="J3808" s="19">
        <f t="shared" si="1773"/>
        <v>1061338</v>
      </c>
      <c r="K3808" s="133">
        <v>1000</v>
      </c>
      <c r="L3808" s="19"/>
      <c r="M3808" s="16">
        <f t="shared" si="1768"/>
        <v>1260390.6743976388</v>
      </c>
      <c r="N3808" s="36">
        <v>810</v>
      </c>
      <c r="O3808" s="58">
        <v>1</v>
      </c>
      <c r="P3808" s="94">
        <v>230999.99999999997</v>
      </c>
      <c r="Q3808" s="41" t="s">
        <v>402</v>
      </c>
      <c r="R3808" s="41" t="s">
        <v>677</v>
      </c>
      <c r="S3808" s="94">
        <f>P3808*0.33</f>
        <v>76230</v>
      </c>
    </row>
    <row r="3809" spans="1:19" x14ac:dyDescent="0.2">
      <c r="A3809" s="18" t="str">
        <f t="shared" si="1766"/>
        <v>9046719</v>
      </c>
      <c r="B3809" s="18">
        <v>904</v>
      </c>
      <c r="C3809" s="18">
        <v>67</v>
      </c>
      <c r="D3809" s="18" t="s">
        <v>62</v>
      </c>
      <c r="E3809" s="18">
        <v>9</v>
      </c>
      <c r="F3809" s="19">
        <f t="shared" si="1771"/>
        <v>4908750</v>
      </c>
      <c r="G3809" s="19">
        <f t="shared" si="1771"/>
        <v>4908750</v>
      </c>
      <c r="H3809" s="19">
        <f t="shared" si="1772"/>
        <v>190575</v>
      </c>
      <c r="I3809" s="19">
        <f t="shared" si="1772"/>
        <v>190575</v>
      </c>
      <c r="J3809" s="19">
        <f t="shared" si="1773"/>
        <v>15730080</v>
      </c>
      <c r="K3809" s="133">
        <v>1000</v>
      </c>
      <c r="L3809" s="19"/>
      <c r="M3809" s="16">
        <f t="shared" si="1768"/>
        <v>9704515.8578022849</v>
      </c>
      <c r="N3809" s="36">
        <v>735</v>
      </c>
      <c r="O3809" s="58">
        <v>18</v>
      </c>
      <c r="P3809" s="94">
        <v>230999.99999999997</v>
      </c>
      <c r="Q3809" s="41" t="s">
        <v>402</v>
      </c>
      <c r="R3809" s="41" t="s">
        <v>677</v>
      </c>
      <c r="S3809" s="94">
        <f>P3809*0.33</f>
        <v>76230</v>
      </c>
    </row>
    <row r="3810" spans="1:19" x14ac:dyDescent="0.2">
      <c r="A3810" s="8" t="str">
        <f t="shared" si="1766"/>
        <v>9046811</v>
      </c>
      <c r="B3810" s="8">
        <v>904</v>
      </c>
      <c r="C3810" s="8">
        <v>68</v>
      </c>
      <c r="D3810" s="8" t="s">
        <v>62</v>
      </c>
      <c r="E3810" s="8">
        <v>1</v>
      </c>
      <c r="F3810" s="34">
        <f t="shared" si="1771"/>
        <v>1243490</v>
      </c>
      <c r="G3810" s="34">
        <f t="shared" si="1771"/>
        <v>1243490</v>
      </c>
      <c r="H3810" s="34">
        <f t="shared" si="1772"/>
        <v>234068</v>
      </c>
      <c r="I3810" s="34">
        <f t="shared" si="1772"/>
        <v>234068</v>
      </c>
      <c r="J3810" s="34">
        <f t="shared" si="1773"/>
        <v>1075437</v>
      </c>
      <c r="K3810" s="133">
        <v>1000</v>
      </c>
      <c r="L3810" s="34"/>
      <c r="M3810" s="16">
        <f t="shared" si="1768"/>
        <v>1415385.1826178627</v>
      </c>
      <c r="N3810" s="36">
        <v>810</v>
      </c>
      <c r="O3810" s="36">
        <v>1</v>
      </c>
      <c r="P3810" s="56">
        <v>234068.75226251554</v>
      </c>
      <c r="Q3810" s="2" t="s">
        <v>402</v>
      </c>
      <c r="R3810" s="2" t="s">
        <v>678</v>
      </c>
      <c r="S3810" s="56">
        <f t="shared" si="1767"/>
        <v>93627.500905006222</v>
      </c>
    </row>
    <row r="3811" spans="1:19" x14ac:dyDescent="0.2">
      <c r="A3811" s="8" t="str">
        <f t="shared" si="1766"/>
        <v>9046819</v>
      </c>
      <c r="B3811" s="8">
        <v>904</v>
      </c>
      <c r="C3811" s="8">
        <v>68</v>
      </c>
      <c r="D3811" s="8" t="s">
        <v>62</v>
      </c>
      <c r="E3811" s="8">
        <v>9</v>
      </c>
      <c r="F3811" s="34">
        <f t="shared" si="1771"/>
        <v>4973960</v>
      </c>
      <c r="G3811" s="34">
        <f t="shared" si="1771"/>
        <v>4973960</v>
      </c>
      <c r="H3811" s="34">
        <f t="shared" si="1772"/>
        <v>234068</v>
      </c>
      <c r="I3811" s="34">
        <f t="shared" si="1772"/>
        <v>234068</v>
      </c>
      <c r="J3811" s="34">
        <f t="shared" si="1773"/>
        <v>15939049</v>
      </c>
      <c r="K3811" s="133">
        <v>1000</v>
      </c>
      <c r="L3811" s="34"/>
      <c r="M3811" s="16">
        <f t="shared" si="1768"/>
        <v>10897913.494082073</v>
      </c>
      <c r="N3811" s="36">
        <v>735</v>
      </c>
      <c r="O3811" s="36">
        <v>18</v>
      </c>
      <c r="P3811" s="56">
        <v>234068.75226251554</v>
      </c>
      <c r="Q3811" s="2" t="s">
        <v>402</v>
      </c>
      <c r="R3811" s="2" t="s">
        <v>678</v>
      </c>
      <c r="S3811" s="56">
        <f t="shared" si="1767"/>
        <v>93627.500905006222</v>
      </c>
    </row>
    <row r="3812" spans="1:19" x14ac:dyDescent="0.2">
      <c r="A3812" s="8" t="str">
        <f t="shared" si="1766"/>
        <v>9046911</v>
      </c>
      <c r="B3812" s="8">
        <v>904</v>
      </c>
      <c r="C3812" s="8">
        <v>69</v>
      </c>
      <c r="D3812" s="8" t="s">
        <v>62</v>
      </c>
      <c r="E3812" s="8">
        <v>1</v>
      </c>
      <c r="F3812" s="34">
        <f t="shared" si="1771"/>
        <v>1318099</v>
      </c>
      <c r="G3812" s="34">
        <f t="shared" si="1771"/>
        <v>1318099</v>
      </c>
      <c r="H3812" s="34">
        <f t="shared" ref="H3812:I3827" si="1774">ROUNDDOWN($S3812/4*10,0)</f>
        <v>248112</v>
      </c>
      <c r="I3812" s="34">
        <f t="shared" si="1774"/>
        <v>248112</v>
      </c>
      <c r="J3812" s="34">
        <f t="shared" si="1773"/>
        <v>1139963</v>
      </c>
      <c r="K3812" s="133">
        <v>1000</v>
      </c>
      <c r="L3812" s="34"/>
      <c r="M3812" s="16">
        <f t="shared" si="1768"/>
        <v>1544661.2963555604</v>
      </c>
      <c r="N3812" s="36">
        <v>810</v>
      </c>
      <c r="O3812" s="36">
        <v>1</v>
      </c>
      <c r="P3812" s="56">
        <v>248112.87739826646</v>
      </c>
      <c r="Q3812" s="2" t="s">
        <v>402</v>
      </c>
      <c r="R3812" s="2" t="s">
        <v>679</v>
      </c>
      <c r="S3812" s="56">
        <f t="shared" si="1767"/>
        <v>99245.150959306586</v>
      </c>
    </row>
    <row r="3813" spans="1:19" x14ac:dyDescent="0.2">
      <c r="A3813" s="8" t="str">
        <f t="shared" si="1766"/>
        <v>9046919</v>
      </c>
      <c r="B3813" s="8">
        <v>904</v>
      </c>
      <c r="C3813" s="8">
        <v>69</v>
      </c>
      <c r="D3813" s="8" t="s">
        <v>62</v>
      </c>
      <c r="E3813" s="8">
        <v>9</v>
      </c>
      <c r="F3813" s="34">
        <f t="shared" si="1771"/>
        <v>5272398</v>
      </c>
      <c r="G3813" s="34">
        <f t="shared" si="1771"/>
        <v>5272398</v>
      </c>
      <c r="H3813" s="34">
        <f t="shared" si="1774"/>
        <v>248112</v>
      </c>
      <c r="I3813" s="34">
        <f t="shared" si="1774"/>
        <v>248112</v>
      </c>
      <c r="J3813" s="34">
        <f t="shared" si="1773"/>
        <v>16895392</v>
      </c>
      <c r="K3813" s="133">
        <v>1000</v>
      </c>
      <c r="L3813" s="34"/>
      <c r="M3813" s="16">
        <f t="shared" si="1768"/>
        <v>11893292.539079623</v>
      </c>
      <c r="N3813" s="36">
        <v>735</v>
      </c>
      <c r="O3813" s="36">
        <v>18</v>
      </c>
      <c r="P3813" s="56">
        <v>248112.87739826646</v>
      </c>
      <c r="Q3813" s="2" t="s">
        <v>402</v>
      </c>
      <c r="R3813" s="2" t="s">
        <v>679</v>
      </c>
      <c r="S3813" s="56">
        <f t="shared" si="1767"/>
        <v>99245.150959306586</v>
      </c>
    </row>
    <row r="3814" spans="1:19" x14ac:dyDescent="0.2">
      <c r="A3814" s="8" t="str">
        <f t="shared" si="1766"/>
        <v>9047011</v>
      </c>
      <c r="B3814" s="8">
        <v>904</v>
      </c>
      <c r="C3814" s="8">
        <v>70</v>
      </c>
      <c r="D3814" s="8" t="s">
        <v>62</v>
      </c>
      <c r="E3814" s="8">
        <v>1</v>
      </c>
      <c r="F3814" s="34">
        <f t="shared" si="1771"/>
        <v>1397185</v>
      </c>
      <c r="G3814" s="34">
        <f t="shared" si="1771"/>
        <v>1397185</v>
      </c>
      <c r="H3814" s="34">
        <f t="shared" si="1774"/>
        <v>262999</v>
      </c>
      <c r="I3814" s="34">
        <f t="shared" si="1774"/>
        <v>262999</v>
      </c>
      <c r="J3814" s="34">
        <f t="shared" si="1773"/>
        <v>1208361</v>
      </c>
      <c r="K3814" s="133">
        <v>1000</v>
      </c>
      <c r="L3814" s="34"/>
      <c r="M3814" s="16">
        <f t="shared" si="1768"/>
        <v>1685746.7954524439</v>
      </c>
      <c r="N3814" s="36">
        <v>810</v>
      </c>
      <c r="O3814" s="36">
        <v>1</v>
      </c>
      <c r="P3814" s="56">
        <v>262999.65004216251</v>
      </c>
      <c r="Q3814" s="2" t="s">
        <v>402</v>
      </c>
      <c r="R3814" s="2" t="s">
        <v>680</v>
      </c>
      <c r="S3814" s="56">
        <f t="shared" si="1767"/>
        <v>105199.86001686502</v>
      </c>
    </row>
    <row r="3815" spans="1:19" x14ac:dyDescent="0.2">
      <c r="A3815" s="8" t="str">
        <f t="shared" si="1766"/>
        <v>9047019</v>
      </c>
      <c r="B3815" s="8">
        <v>904</v>
      </c>
      <c r="C3815" s="8">
        <v>70</v>
      </c>
      <c r="D3815" s="8" t="s">
        <v>62</v>
      </c>
      <c r="E3815" s="8">
        <v>9</v>
      </c>
      <c r="F3815" s="34">
        <f t="shared" si="1771"/>
        <v>5588742</v>
      </c>
      <c r="G3815" s="34">
        <f t="shared" si="1771"/>
        <v>5588742</v>
      </c>
      <c r="H3815" s="34">
        <f t="shared" si="1774"/>
        <v>262999</v>
      </c>
      <c r="I3815" s="34">
        <f t="shared" si="1774"/>
        <v>262999</v>
      </c>
      <c r="J3815" s="34">
        <f t="shared" si="1773"/>
        <v>17909115</v>
      </c>
      <c r="K3815" s="133">
        <v>1000</v>
      </c>
      <c r="L3815" s="34"/>
      <c r="M3815" s="16">
        <f t="shared" si="1768"/>
        <v>12979594.621168748</v>
      </c>
      <c r="N3815" s="36">
        <v>735</v>
      </c>
      <c r="O3815" s="36">
        <v>18</v>
      </c>
      <c r="P3815" s="56">
        <v>262999.65004216251</v>
      </c>
      <c r="Q3815" s="2" t="s">
        <v>402</v>
      </c>
      <c r="R3815" s="2" t="s">
        <v>680</v>
      </c>
      <c r="S3815" s="56">
        <f t="shared" si="1767"/>
        <v>105199.86001686502</v>
      </c>
    </row>
    <row r="3816" spans="1:19" x14ac:dyDescent="0.2">
      <c r="A3816" s="18" t="str">
        <f t="shared" si="1766"/>
        <v>9047111</v>
      </c>
      <c r="B3816" s="18">
        <v>904</v>
      </c>
      <c r="C3816" s="18">
        <v>71</v>
      </c>
      <c r="D3816" s="18" t="s">
        <v>62</v>
      </c>
      <c r="E3816" s="18">
        <v>1</v>
      </c>
      <c r="F3816" s="19">
        <f t="shared" ref="F3816:G3835" si="1775">ROUNDDOWN($P3816/4*MIN($O3816,4)*10*$N3816/$N3816*$Q3816/400,0)</f>
        <v>1487500</v>
      </c>
      <c r="G3816" s="19">
        <f t="shared" si="1775"/>
        <v>1487500</v>
      </c>
      <c r="H3816" s="19">
        <f t="shared" si="1774"/>
        <v>210000</v>
      </c>
      <c r="I3816" s="19">
        <f t="shared" si="1774"/>
        <v>210000</v>
      </c>
      <c r="J3816" s="19">
        <f t="shared" si="1773"/>
        <v>1286470</v>
      </c>
      <c r="K3816" s="133">
        <v>1000</v>
      </c>
      <c r="L3816" s="19"/>
      <c r="M3816" s="16">
        <f t="shared" si="1768"/>
        <v>1603717.8130830873</v>
      </c>
      <c r="N3816" s="36">
        <v>810</v>
      </c>
      <c r="O3816" s="58">
        <v>1</v>
      </c>
      <c r="P3816" s="94">
        <v>280000</v>
      </c>
      <c r="Q3816" s="41" t="s">
        <v>402</v>
      </c>
      <c r="R3816" s="41" t="s">
        <v>681</v>
      </c>
      <c r="S3816" s="94">
        <f>P3816*0.3</f>
        <v>84000</v>
      </c>
    </row>
    <row r="3817" spans="1:19" x14ac:dyDescent="0.2">
      <c r="A3817" s="18" t="str">
        <f t="shared" si="1766"/>
        <v>9047119</v>
      </c>
      <c r="B3817" s="18">
        <v>904</v>
      </c>
      <c r="C3817" s="18">
        <v>71</v>
      </c>
      <c r="D3817" s="18" t="s">
        <v>62</v>
      </c>
      <c r="E3817" s="18">
        <v>9</v>
      </c>
      <c r="F3817" s="19">
        <f t="shared" si="1775"/>
        <v>5950000</v>
      </c>
      <c r="G3817" s="19">
        <f t="shared" si="1775"/>
        <v>5950000</v>
      </c>
      <c r="H3817" s="19">
        <f t="shared" si="1774"/>
        <v>210000</v>
      </c>
      <c r="I3817" s="19">
        <f t="shared" si="1774"/>
        <v>210000</v>
      </c>
      <c r="J3817" s="19">
        <f t="shared" si="1773"/>
        <v>19066764</v>
      </c>
      <c r="K3817" s="133">
        <v>1000</v>
      </c>
      <c r="L3817" s="19"/>
      <c r="M3817" s="16">
        <f t="shared" si="1768"/>
        <v>12347999.77142857</v>
      </c>
      <c r="N3817" s="36">
        <v>735</v>
      </c>
      <c r="O3817" s="58">
        <v>18</v>
      </c>
      <c r="P3817" s="94">
        <v>280000</v>
      </c>
      <c r="Q3817" s="41" t="s">
        <v>402</v>
      </c>
      <c r="R3817" s="41" t="s">
        <v>681</v>
      </c>
      <c r="S3817" s="94">
        <f>P3817*0.3</f>
        <v>84000</v>
      </c>
    </row>
    <row r="3818" spans="1:19" x14ac:dyDescent="0.2">
      <c r="A3818" s="8" t="str">
        <f t="shared" si="1766"/>
        <v>9047211</v>
      </c>
      <c r="B3818" s="8">
        <v>904</v>
      </c>
      <c r="C3818" s="8">
        <v>72</v>
      </c>
      <c r="D3818" s="8" t="s">
        <v>62</v>
      </c>
      <c r="E3818" s="8">
        <v>1</v>
      </c>
      <c r="F3818" s="34">
        <f t="shared" si="1775"/>
        <v>1569877</v>
      </c>
      <c r="G3818" s="34">
        <f t="shared" si="1775"/>
        <v>1569877</v>
      </c>
      <c r="H3818" s="34">
        <f t="shared" si="1774"/>
        <v>295506</v>
      </c>
      <c r="I3818" s="34">
        <f t="shared" si="1774"/>
        <v>295506</v>
      </c>
      <c r="J3818" s="34">
        <f t="shared" si="1773"/>
        <v>1357715</v>
      </c>
      <c r="K3818" s="133">
        <v>1000</v>
      </c>
      <c r="L3818" s="34"/>
      <c r="M3818" s="16">
        <f t="shared" si="1768"/>
        <v>2007752.8915841156</v>
      </c>
      <c r="N3818" s="36">
        <v>810</v>
      </c>
      <c r="O3818" s="36">
        <v>1</v>
      </c>
      <c r="P3818" s="56">
        <v>295506.40678737377</v>
      </c>
      <c r="Q3818" s="2" t="s">
        <v>402</v>
      </c>
      <c r="R3818" s="2" t="s">
        <v>682</v>
      </c>
      <c r="S3818" s="56">
        <f t="shared" si="1767"/>
        <v>118202.56271494951</v>
      </c>
    </row>
    <row r="3819" spans="1:19" x14ac:dyDescent="0.2">
      <c r="A3819" s="8" t="str">
        <f t="shared" si="1766"/>
        <v>9047219</v>
      </c>
      <c r="B3819" s="8">
        <v>904</v>
      </c>
      <c r="C3819" s="8">
        <v>72</v>
      </c>
      <c r="D3819" s="8" t="s">
        <v>62</v>
      </c>
      <c r="E3819" s="8">
        <v>9</v>
      </c>
      <c r="F3819" s="34">
        <f t="shared" si="1775"/>
        <v>6279511</v>
      </c>
      <c r="G3819" s="34">
        <f t="shared" si="1775"/>
        <v>6279511</v>
      </c>
      <c r="H3819" s="34">
        <f t="shared" si="1774"/>
        <v>295506</v>
      </c>
      <c r="I3819" s="34">
        <f t="shared" si="1774"/>
        <v>295506</v>
      </c>
      <c r="J3819" s="34">
        <f t="shared" si="1773"/>
        <v>20122682</v>
      </c>
      <c r="K3819" s="133">
        <v>1000</v>
      </c>
      <c r="L3819" s="34"/>
      <c r="M3819" s="16">
        <f t="shared" si="1768"/>
        <v>15458914.081564233</v>
      </c>
      <c r="N3819" s="36">
        <v>735</v>
      </c>
      <c r="O3819" s="36">
        <v>18</v>
      </c>
      <c r="P3819" s="56">
        <v>295506.40678737377</v>
      </c>
      <c r="Q3819" s="2" t="s">
        <v>402</v>
      </c>
      <c r="R3819" s="2" t="s">
        <v>682</v>
      </c>
      <c r="S3819" s="56">
        <f t="shared" si="1767"/>
        <v>118202.56271494951</v>
      </c>
    </row>
    <row r="3820" spans="1:19" x14ac:dyDescent="0.2">
      <c r="A3820" s="8" t="str">
        <f t="shared" si="1766"/>
        <v>9047311</v>
      </c>
      <c r="B3820" s="8">
        <v>904</v>
      </c>
      <c r="C3820" s="8">
        <v>73</v>
      </c>
      <c r="D3820" s="8" t="s">
        <v>62</v>
      </c>
      <c r="E3820" s="8">
        <v>1</v>
      </c>
      <c r="F3820" s="34">
        <f t="shared" si="1775"/>
        <v>1664070</v>
      </c>
      <c r="G3820" s="34">
        <f t="shared" si="1775"/>
        <v>1664070</v>
      </c>
      <c r="H3820" s="34">
        <f t="shared" si="1774"/>
        <v>313236</v>
      </c>
      <c r="I3820" s="34">
        <f t="shared" si="1774"/>
        <v>313236</v>
      </c>
      <c r="J3820" s="34">
        <f t="shared" si="1773"/>
        <v>1439178</v>
      </c>
      <c r="K3820" s="133">
        <v>1000</v>
      </c>
      <c r="L3820" s="34"/>
      <c r="M3820" s="16">
        <f t="shared" si="1768"/>
        <v>2191133.6729187658</v>
      </c>
      <c r="N3820" s="36">
        <v>810</v>
      </c>
      <c r="O3820" s="36">
        <v>1</v>
      </c>
      <c r="P3820" s="56">
        <v>313236.79119461623</v>
      </c>
      <c r="Q3820" s="2" t="s">
        <v>402</v>
      </c>
      <c r="R3820" s="2" t="s">
        <v>683</v>
      </c>
      <c r="S3820" s="56">
        <f t="shared" si="1767"/>
        <v>125294.71647784649</v>
      </c>
    </row>
    <row r="3821" spans="1:19" x14ac:dyDescent="0.2">
      <c r="A3821" s="8" t="str">
        <f t="shared" si="1766"/>
        <v>9047319</v>
      </c>
      <c r="B3821" s="8">
        <v>904</v>
      </c>
      <c r="C3821" s="8">
        <v>73</v>
      </c>
      <c r="D3821" s="8" t="s">
        <v>62</v>
      </c>
      <c r="E3821" s="8">
        <v>9</v>
      </c>
      <c r="F3821" s="34">
        <f t="shared" si="1775"/>
        <v>6656281</v>
      </c>
      <c r="G3821" s="34">
        <f t="shared" si="1775"/>
        <v>6656281</v>
      </c>
      <c r="H3821" s="34">
        <f t="shared" si="1774"/>
        <v>313236</v>
      </c>
      <c r="I3821" s="34">
        <f t="shared" si="1774"/>
        <v>313236</v>
      </c>
      <c r="J3821" s="34">
        <f t="shared" si="1773"/>
        <v>21330043</v>
      </c>
      <c r="K3821" s="133">
        <v>1000</v>
      </c>
      <c r="L3821" s="34"/>
      <c r="M3821" s="16">
        <f t="shared" si="1768"/>
        <v>16870871.247538906</v>
      </c>
      <c r="N3821" s="36">
        <v>735</v>
      </c>
      <c r="O3821" s="36">
        <v>18</v>
      </c>
      <c r="P3821" s="56">
        <v>313236.79119461623</v>
      </c>
      <c r="Q3821" s="2" t="s">
        <v>402</v>
      </c>
      <c r="R3821" s="2" t="s">
        <v>683</v>
      </c>
      <c r="S3821" s="56">
        <f t="shared" si="1767"/>
        <v>125294.71647784649</v>
      </c>
    </row>
    <row r="3822" spans="1:19" x14ac:dyDescent="0.2">
      <c r="A3822" s="8" t="str">
        <f t="shared" ref="A3822:A3861" si="1776">IF(B3822="","",CONCATENATE(B3822,CONCATENATE(REPT(0,2-LEN(C3822)),C3822),IF(OR(D3822="Easy",D3822=""),1,IF(D3822="Normal",2,IF(D3822="Hard",3,IF(D3822="Hell",4,"error")))),E3822))</f>
        <v>9047411</v>
      </c>
      <c r="B3822" s="8">
        <v>904</v>
      </c>
      <c r="C3822" s="8">
        <v>74</v>
      </c>
      <c r="D3822" s="8" t="s">
        <v>62</v>
      </c>
      <c r="E3822" s="8">
        <v>1</v>
      </c>
      <c r="F3822" s="34">
        <f t="shared" si="1775"/>
        <v>1763914</v>
      </c>
      <c r="G3822" s="34">
        <f t="shared" si="1775"/>
        <v>1763914</v>
      </c>
      <c r="H3822" s="34">
        <f t="shared" si="1774"/>
        <v>332030</v>
      </c>
      <c r="I3822" s="34">
        <f t="shared" si="1774"/>
        <v>332030</v>
      </c>
      <c r="J3822" s="34">
        <f t="shared" si="1773"/>
        <v>1525528</v>
      </c>
      <c r="K3822" s="133">
        <v>1000</v>
      </c>
      <c r="L3822" s="34"/>
      <c r="M3822" s="16">
        <f t="shared" si="1768"/>
        <v>2391263.5552269071</v>
      </c>
      <c r="N3822" s="36">
        <v>810</v>
      </c>
      <c r="O3822" s="36">
        <v>1</v>
      </c>
      <c r="P3822" s="56">
        <v>332030.99866629316</v>
      </c>
      <c r="Q3822" s="2" t="s">
        <v>402</v>
      </c>
      <c r="R3822" s="2" t="s">
        <v>684</v>
      </c>
      <c r="S3822" s="56">
        <f t="shared" si="1767"/>
        <v>132812.39946651726</v>
      </c>
    </row>
    <row r="3823" spans="1:19" x14ac:dyDescent="0.2">
      <c r="A3823" s="8" t="str">
        <f t="shared" si="1776"/>
        <v>9047419</v>
      </c>
      <c r="B3823" s="8">
        <v>904</v>
      </c>
      <c r="C3823" s="8">
        <v>74</v>
      </c>
      <c r="D3823" s="8" t="s">
        <v>62</v>
      </c>
      <c r="E3823" s="8">
        <v>9</v>
      </c>
      <c r="F3823" s="34">
        <f t="shared" si="1775"/>
        <v>7055658</v>
      </c>
      <c r="G3823" s="34">
        <f t="shared" si="1775"/>
        <v>7055658</v>
      </c>
      <c r="H3823" s="34">
        <f t="shared" si="1774"/>
        <v>332030</v>
      </c>
      <c r="I3823" s="34">
        <f t="shared" si="1774"/>
        <v>332030</v>
      </c>
      <c r="J3823" s="34">
        <f t="shared" si="1773"/>
        <v>22609846</v>
      </c>
      <c r="K3823" s="133">
        <v>1000</v>
      </c>
      <c r="L3823" s="34"/>
      <c r="M3823" s="16">
        <f t="shared" si="1768"/>
        <v>18411798.472710185</v>
      </c>
      <c r="N3823" s="36">
        <v>735</v>
      </c>
      <c r="O3823" s="36">
        <v>18</v>
      </c>
      <c r="P3823" s="56">
        <v>332030.99866629316</v>
      </c>
      <c r="Q3823" s="2" t="s">
        <v>402</v>
      </c>
      <c r="R3823" s="2" t="s">
        <v>684</v>
      </c>
      <c r="S3823" s="56">
        <f t="shared" si="1767"/>
        <v>132812.39946651726</v>
      </c>
    </row>
    <row r="3824" spans="1:19" x14ac:dyDescent="0.2">
      <c r="A3824" s="18" t="str">
        <f t="shared" si="1776"/>
        <v>9047511</v>
      </c>
      <c r="B3824" s="18">
        <v>904</v>
      </c>
      <c r="C3824" s="18">
        <v>75</v>
      </c>
      <c r="D3824" s="18" t="s">
        <v>62</v>
      </c>
      <c r="E3824" s="18">
        <v>1</v>
      </c>
      <c r="F3824" s="19">
        <f t="shared" si="1775"/>
        <v>1673437</v>
      </c>
      <c r="G3824" s="19">
        <f t="shared" si="1775"/>
        <v>1673437</v>
      </c>
      <c r="H3824" s="19">
        <f t="shared" si="1774"/>
        <v>236250</v>
      </c>
      <c r="I3824" s="19">
        <f t="shared" si="1774"/>
        <v>236250</v>
      </c>
      <c r="J3824" s="19">
        <f t="shared" si="1773"/>
        <v>1447279</v>
      </c>
      <c r="K3824" s="133">
        <v>1000</v>
      </c>
      <c r="L3824" s="19"/>
      <c r="M3824" s="16">
        <f t="shared" si="1768"/>
        <v>1913624.4418954246</v>
      </c>
      <c r="N3824" s="36">
        <v>810</v>
      </c>
      <c r="O3824" s="58">
        <v>1</v>
      </c>
      <c r="P3824" s="94">
        <v>315000</v>
      </c>
      <c r="Q3824" s="41" t="s">
        <v>402</v>
      </c>
      <c r="R3824" s="41" t="s">
        <v>685</v>
      </c>
      <c r="S3824" s="94">
        <f>P3824*0.3</f>
        <v>94500</v>
      </c>
    </row>
    <row r="3825" spans="1:19" x14ac:dyDescent="0.2">
      <c r="A3825" s="18" t="str">
        <f t="shared" si="1776"/>
        <v>9047519</v>
      </c>
      <c r="B3825" s="18">
        <v>904</v>
      </c>
      <c r="C3825" s="18">
        <v>75</v>
      </c>
      <c r="D3825" s="18" t="s">
        <v>62</v>
      </c>
      <c r="E3825" s="18">
        <v>9</v>
      </c>
      <c r="F3825" s="19">
        <f t="shared" si="1775"/>
        <v>6693750</v>
      </c>
      <c r="G3825" s="19">
        <f t="shared" si="1775"/>
        <v>6693750</v>
      </c>
      <c r="H3825" s="19">
        <f t="shared" si="1774"/>
        <v>236250</v>
      </c>
      <c r="I3825" s="19">
        <f t="shared" si="1774"/>
        <v>236250</v>
      </c>
      <c r="J3825" s="19">
        <f t="shared" si="1773"/>
        <v>21450110</v>
      </c>
      <c r="K3825" s="133">
        <v>1000</v>
      </c>
      <c r="L3825" s="19"/>
      <c r="M3825" s="16">
        <f t="shared" si="1768"/>
        <v>14734160.675264133</v>
      </c>
      <c r="N3825" s="36">
        <v>735</v>
      </c>
      <c r="O3825" s="58">
        <v>18</v>
      </c>
      <c r="P3825" s="94">
        <v>315000</v>
      </c>
      <c r="Q3825" s="41" t="s">
        <v>402</v>
      </c>
      <c r="R3825" s="41" t="s">
        <v>685</v>
      </c>
      <c r="S3825" s="94">
        <f>P3825*0.3</f>
        <v>94500</v>
      </c>
    </row>
    <row r="3826" spans="1:19" x14ac:dyDescent="0.2">
      <c r="A3826" s="8" t="str">
        <f t="shared" si="1776"/>
        <v>9047611</v>
      </c>
      <c r="B3826" s="8">
        <v>904</v>
      </c>
      <c r="C3826" s="8">
        <v>76</v>
      </c>
      <c r="D3826" s="8" t="s">
        <v>62</v>
      </c>
      <c r="E3826" s="8">
        <v>1</v>
      </c>
      <c r="F3826" s="34">
        <f t="shared" si="1775"/>
        <v>1981934</v>
      </c>
      <c r="G3826" s="34">
        <f t="shared" si="1775"/>
        <v>1981934</v>
      </c>
      <c r="H3826" s="34">
        <f t="shared" si="1774"/>
        <v>373070</v>
      </c>
      <c r="I3826" s="34">
        <f t="shared" si="1774"/>
        <v>373070</v>
      </c>
      <c r="J3826" s="34">
        <f t="shared" si="1773"/>
        <v>1714084</v>
      </c>
      <c r="K3826" s="133">
        <v>1000</v>
      </c>
      <c r="L3826" s="34"/>
      <c r="M3826" s="16">
        <f t="shared" si="1768"/>
        <v>2848038.1017666799</v>
      </c>
      <c r="N3826" s="36">
        <v>810</v>
      </c>
      <c r="O3826" s="36">
        <v>1</v>
      </c>
      <c r="P3826" s="56">
        <v>373070.03010144702</v>
      </c>
      <c r="Q3826" s="2" t="s">
        <v>402</v>
      </c>
      <c r="R3826" s="2" t="s">
        <v>686</v>
      </c>
      <c r="S3826" s="56">
        <f t="shared" si="1767"/>
        <v>149228.01204057882</v>
      </c>
    </row>
    <row r="3827" spans="1:19" x14ac:dyDescent="0.2">
      <c r="A3827" s="8" t="str">
        <f t="shared" si="1776"/>
        <v>9047619</v>
      </c>
      <c r="B3827" s="8">
        <v>904</v>
      </c>
      <c r="C3827" s="8">
        <v>76</v>
      </c>
      <c r="D3827" s="8" t="s">
        <v>62</v>
      </c>
      <c r="E3827" s="8">
        <v>9</v>
      </c>
      <c r="F3827" s="34">
        <f t="shared" si="1775"/>
        <v>7927738</v>
      </c>
      <c r="G3827" s="34">
        <f t="shared" si="1775"/>
        <v>7927738</v>
      </c>
      <c r="H3827" s="34">
        <f t="shared" si="1774"/>
        <v>373070</v>
      </c>
      <c r="I3827" s="34">
        <f t="shared" si="1774"/>
        <v>373070</v>
      </c>
      <c r="J3827" s="34">
        <f t="shared" si="1773"/>
        <v>25404423</v>
      </c>
      <c r="K3827" s="133">
        <v>1000</v>
      </c>
      <c r="L3827" s="34"/>
      <c r="M3827" s="16">
        <f t="shared" si="1768"/>
        <v>21928779.606417261</v>
      </c>
      <c r="N3827" s="36">
        <v>735</v>
      </c>
      <c r="O3827" s="36">
        <v>18</v>
      </c>
      <c r="P3827" s="56">
        <v>373070.03010144702</v>
      </c>
      <c r="Q3827" s="2" t="s">
        <v>402</v>
      </c>
      <c r="R3827" s="2" t="s">
        <v>686</v>
      </c>
      <c r="S3827" s="56">
        <f t="shared" si="1767"/>
        <v>149228.01204057882</v>
      </c>
    </row>
    <row r="3828" spans="1:19" x14ac:dyDescent="0.2">
      <c r="A3828" s="8" t="str">
        <f t="shared" si="1776"/>
        <v>9047711</v>
      </c>
      <c r="B3828" s="8">
        <v>904</v>
      </c>
      <c r="C3828" s="8">
        <v>77</v>
      </c>
      <c r="D3828" s="8" t="s">
        <v>62</v>
      </c>
      <c r="E3828" s="8">
        <v>1</v>
      </c>
      <c r="F3828" s="34">
        <f t="shared" si="1775"/>
        <v>2100850</v>
      </c>
      <c r="G3828" s="34">
        <f t="shared" si="1775"/>
        <v>2100850</v>
      </c>
      <c r="H3828" s="34">
        <f t="shared" ref="H3828:I3843" si="1777">ROUNDDOWN($S3828/4*10,0)</f>
        <v>395454</v>
      </c>
      <c r="I3828" s="34">
        <f t="shared" si="1777"/>
        <v>395454</v>
      </c>
      <c r="J3828" s="34">
        <f t="shared" si="1773"/>
        <v>1816929</v>
      </c>
      <c r="K3828" s="133">
        <v>1000</v>
      </c>
      <c r="L3828" s="34"/>
      <c r="M3828" s="16">
        <f t="shared" si="1768"/>
        <v>3108167.9240846704</v>
      </c>
      <c r="N3828" s="36">
        <v>810</v>
      </c>
      <c r="O3828" s="36">
        <v>1</v>
      </c>
      <c r="P3828" s="56">
        <v>395454.23190753383</v>
      </c>
      <c r="Q3828" s="2" t="s">
        <v>402</v>
      </c>
      <c r="R3828" s="2" t="s">
        <v>687</v>
      </c>
      <c r="S3828" s="56">
        <f t="shared" si="1767"/>
        <v>158181.69276301353</v>
      </c>
    </row>
    <row r="3829" spans="1:19" x14ac:dyDescent="0.2">
      <c r="A3829" s="8" t="str">
        <f t="shared" si="1776"/>
        <v>9047719</v>
      </c>
      <c r="B3829" s="8">
        <v>904</v>
      </c>
      <c r="C3829" s="8">
        <v>77</v>
      </c>
      <c r="D3829" s="8" t="s">
        <v>62</v>
      </c>
      <c r="E3829" s="8">
        <v>9</v>
      </c>
      <c r="F3829" s="34">
        <f t="shared" si="1775"/>
        <v>8403402</v>
      </c>
      <c r="G3829" s="34">
        <f t="shared" si="1775"/>
        <v>8403402</v>
      </c>
      <c r="H3829" s="34">
        <f t="shared" si="1777"/>
        <v>395454</v>
      </c>
      <c r="I3829" s="34">
        <f t="shared" si="1777"/>
        <v>395454</v>
      </c>
      <c r="J3829" s="34">
        <f t="shared" si="1773"/>
        <v>26928688</v>
      </c>
      <c r="K3829" s="133">
        <v>1000</v>
      </c>
      <c r="L3829" s="34"/>
      <c r="M3829" s="16">
        <f t="shared" si="1768"/>
        <v>23931677.433464244</v>
      </c>
      <c r="N3829" s="36">
        <v>735</v>
      </c>
      <c r="O3829" s="36">
        <v>18</v>
      </c>
      <c r="P3829" s="56">
        <v>395454.23190753383</v>
      </c>
      <c r="Q3829" s="2" t="s">
        <v>402</v>
      </c>
      <c r="R3829" s="2" t="s">
        <v>687</v>
      </c>
      <c r="S3829" s="56">
        <f t="shared" si="1767"/>
        <v>158181.69276301353</v>
      </c>
    </row>
    <row r="3830" spans="1:19" ht="12.75" customHeight="1" x14ac:dyDescent="0.2">
      <c r="A3830" s="8" t="str">
        <f t="shared" si="1776"/>
        <v>9047811</v>
      </c>
      <c r="B3830" s="8">
        <v>904</v>
      </c>
      <c r="C3830" s="8">
        <v>78</v>
      </c>
      <c r="D3830" s="8" t="s">
        <v>62</v>
      </c>
      <c r="E3830" s="8">
        <v>1</v>
      </c>
      <c r="F3830" s="34">
        <f t="shared" si="1775"/>
        <v>2226901</v>
      </c>
      <c r="G3830" s="34">
        <f t="shared" si="1775"/>
        <v>2226901</v>
      </c>
      <c r="H3830" s="34">
        <f t="shared" si="1777"/>
        <v>419181</v>
      </c>
      <c r="I3830" s="34">
        <f t="shared" si="1777"/>
        <v>419181</v>
      </c>
      <c r="J3830" s="34">
        <f t="shared" si="1773"/>
        <v>1925945</v>
      </c>
      <c r="K3830" s="133">
        <v>1000</v>
      </c>
      <c r="L3830" s="34"/>
      <c r="M3830" s="16">
        <f t="shared" si="1768"/>
        <v>3392057.2783292788</v>
      </c>
      <c r="N3830" s="36">
        <v>810</v>
      </c>
      <c r="O3830" s="36">
        <v>1</v>
      </c>
      <c r="P3830" s="56">
        <v>419181.48582198593</v>
      </c>
      <c r="Q3830" s="2" t="s">
        <v>402</v>
      </c>
      <c r="R3830" s="2" t="s">
        <v>688</v>
      </c>
      <c r="S3830" s="56">
        <f t="shared" ref="S3830:S3857" si="1778">P3830*0.4</f>
        <v>167672.5943287944</v>
      </c>
    </row>
    <row r="3831" spans="1:19" x14ac:dyDescent="0.2">
      <c r="A3831" s="8" t="str">
        <f t="shared" si="1776"/>
        <v>9047819</v>
      </c>
      <c r="B3831" s="8">
        <v>904</v>
      </c>
      <c r="C3831" s="8">
        <v>78</v>
      </c>
      <c r="D3831" s="8" t="s">
        <v>62</v>
      </c>
      <c r="E3831" s="8">
        <v>9</v>
      </c>
      <c r="F3831" s="34">
        <f t="shared" si="1775"/>
        <v>8907606</v>
      </c>
      <c r="G3831" s="34">
        <f t="shared" si="1775"/>
        <v>8907606</v>
      </c>
      <c r="H3831" s="34">
        <f t="shared" si="1777"/>
        <v>419181</v>
      </c>
      <c r="I3831" s="34">
        <f t="shared" si="1777"/>
        <v>419181</v>
      </c>
      <c r="J3831" s="34">
        <f t="shared" si="1773"/>
        <v>28544409</v>
      </c>
      <c r="K3831" s="133">
        <v>1000</v>
      </c>
      <c r="L3831" s="34"/>
      <c r="M3831" s="16">
        <f t="shared" si="1768"/>
        <v>26117512.367140658</v>
      </c>
      <c r="N3831" s="36">
        <v>735</v>
      </c>
      <c r="O3831" s="36">
        <v>18</v>
      </c>
      <c r="P3831" s="56">
        <v>419181.48582198593</v>
      </c>
      <c r="Q3831" s="2" t="s">
        <v>402</v>
      </c>
      <c r="R3831" s="2" t="s">
        <v>688</v>
      </c>
      <c r="S3831" s="56">
        <f t="shared" si="1778"/>
        <v>167672.5943287944</v>
      </c>
    </row>
    <row r="3832" spans="1:19" x14ac:dyDescent="0.2">
      <c r="A3832" s="18" t="str">
        <f t="shared" si="1776"/>
        <v>9047911</v>
      </c>
      <c r="B3832" s="18">
        <v>904</v>
      </c>
      <c r="C3832" s="18">
        <v>79</v>
      </c>
      <c r="D3832" s="18" t="s">
        <v>62</v>
      </c>
      <c r="E3832" s="18">
        <v>1</v>
      </c>
      <c r="F3832" s="19">
        <f t="shared" si="1775"/>
        <v>1859375</v>
      </c>
      <c r="G3832" s="19">
        <f t="shared" si="1775"/>
        <v>1859375</v>
      </c>
      <c r="H3832" s="19">
        <f t="shared" si="1777"/>
        <v>262500</v>
      </c>
      <c r="I3832" s="19">
        <f t="shared" si="1777"/>
        <v>262500</v>
      </c>
      <c r="J3832" s="19">
        <f t="shared" si="1773"/>
        <v>1608088</v>
      </c>
      <c r="K3832" s="133">
        <v>1000</v>
      </c>
      <c r="L3832" s="19"/>
      <c r="M3832" s="16">
        <f t="shared" si="1768"/>
        <v>2241264.1276743803</v>
      </c>
      <c r="N3832" s="36">
        <v>810</v>
      </c>
      <c r="O3832" s="58">
        <v>1</v>
      </c>
      <c r="P3832" s="94">
        <v>350000</v>
      </c>
      <c r="Q3832" s="41" t="s">
        <v>402</v>
      </c>
      <c r="R3832" s="41" t="s">
        <v>689</v>
      </c>
      <c r="S3832" s="94">
        <f>P3832*0.3</f>
        <v>105000</v>
      </c>
    </row>
    <row r="3833" spans="1:19" x14ac:dyDescent="0.2">
      <c r="A3833" s="18" t="str">
        <f t="shared" si="1776"/>
        <v>9047919</v>
      </c>
      <c r="B3833" s="18">
        <v>904</v>
      </c>
      <c r="C3833" s="18">
        <v>79</v>
      </c>
      <c r="D3833" s="18" t="s">
        <v>62</v>
      </c>
      <c r="E3833" s="18">
        <v>9</v>
      </c>
      <c r="F3833" s="19">
        <f t="shared" si="1775"/>
        <v>7437500</v>
      </c>
      <c r="G3833" s="19">
        <f t="shared" si="1775"/>
        <v>7437500</v>
      </c>
      <c r="H3833" s="19">
        <f t="shared" si="1777"/>
        <v>262500</v>
      </c>
      <c r="I3833" s="19">
        <f t="shared" si="1777"/>
        <v>262500</v>
      </c>
      <c r="J3833" s="19">
        <f t="shared" si="1773"/>
        <v>23833455</v>
      </c>
      <c r="K3833" s="133">
        <v>1000</v>
      </c>
      <c r="L3833" s="19"/>
      <c r="M3833" s="16">
        <f t="shared" si="1768"/>
        <v>17256854.296916343</v>
      </c>
      <c r="N3833" s="36">
        <v>735</v>
      </c>
      <c r="O3833" s="58">
        <v>18</v>
      </c>
      <c r="P3833" s="94">
        <v>350000</v>
      </c>
      <c r="Q3833" s="41" t="s">
        <v>402</v>
      </c>
      <c r="R3833" s="41" t="s">
        <v>689</v>
      </c>
      <c r="S3833" s="94">
        <f>P3833*0.3</f>
        <v>105000</v>
      </c>
    </row>
    <row r="3834" spans="1:19" x14ac:dyDescent="0.2">
      <c r="A3834" s="8" t="str">
        <f t="shared" si="1776"/>
        <v>9048011</v>
      </c>
      <c r="B3834" s="8">
        <v>904</v>
      </c>
      <c r="C3834" s="8">
        <v>80</v>
      </c>
      <c r="D3834" s="8" t="s">
        <v>62</v>
      </c>
      <c r="E3834" s="8">
        <v>1</v>
      </c>
      <c r="F3834" s="34">
        <f t="shared" si="1775"/>
        <v>2502146</v>
      </c>
      <c r="G3834" s="34">
        <f t="shared" si="1775"/>
        <v>2502146</v>
      </c>
      <c r="H3834" s="34">
        <f t="shared" si="1777"/>
        <v>470992</v>
      </c>
      <c r="I3834" s="34">
        <f t="shared" si="1777"/>
        <v>470992</v>
      </c>
      <c r="J3834" s="34">
        <f t="shared" si="1773"/>
        <v>2163992</v>
      </c>
      <c r="K3834" s="133">
        <v>1000</v>
      </c>
      <c r="L3834" s="34"/>
      <c r="M3834" s="16">
        <f t="shared" si="1768"/>
        <v>4039995.6851830091</v>
      </c>
      <c r="N3834" s="36">
        <v>810</v>
      </c>
      <c r="O3834" s="36">
        <v>1</v>
      </c>
      <c r="P3834" s="56">
        <v>470992.31746958342</v>
      </c>
      <c r="Q3834" s="2" t="s">
        <v>402</v>
      </c>
      <c r="R3834" s="2" t="s">
        <v>690</v>
      </c>
      <c r="S3834" s="56">
        <f t="shared" si="1778"/>
        <v>188396.92698783337</v>
      </c>
    </row>
    <row r="3835" spans="1:19" x14ac:dyDescent="0.2">
      <c r="A3835" s="8" t="str">
        <f t="shared" si="1776"/>
        <v>9048019</v>
      </c>
      <c r="B3835" s="8">
        <v>904</v>
      </c>
      <c r="C3835" s="8">
        <v>80</v>
      </c>
      <c r="D3835" s="8" t="s">
        <v>62</v>
      </c>
      <c r="E3835" s="8">
        <v>9</v>
      </c>
      <c r="F3835" s="34">
        <f t="shared" si="1775"/>
        <v>10008586</v>
      </c>
      <c r="G3835" s="34">
        <f t="shared" si="1775"/>
        <v>10008586</v>
      </c>
      <c r="H3835" s="34">
        <f t="shared" si="1777"/>
        <v>470992</v>
      </c>
      <c r="I3835" s="34">
        <f t="shared" si="1777"/>
        <v>470992</v>
      </c>
      <c r="J3835" s="34">
        <f t="shared" si="1773"/>
        <v>32072498</v>
      </c>
      <c r="K3835" s="133">
        <v>1000</v>
      </c>
      <c r="L3835" s="34"/>
      <c r="M3835" s="16">
        <f t="shared" ref="M3835:M3879" si="1779">(F3835*J3835*((H3835+I3835)/2)/1000)^(1/2)/10*0.8</f>
        <v>31106382.516931668</v>
      </c>
      <c r="N3835" s="36">
        <v>735</v>
      </c>
      <c r="O3835" s="36">
        <v>18</v>
      </c>
      <c r="P3835" s="56">
        <v>470992.31746958342</v>
      </c>
      <c r="Q3835" s="2" t="s">
        <v>402</v>
      </c>
      <c r="R3835" s="2" t="s">
        <v>690</v>
      </c>
      <c r="S3835" s="56">
        <f t="shared" si="1778"/>
        <v>188396.92698783337</v>
      </c>
    </row>
    <row r="3836" spans="1:19" x14ac:dyDescent="0.2">
      <c r="A3836" s="8" t="str">
        <f t="shared" si="1776"/>
        <v>9048111</v>
      </c>
      <c r="B3836" s="8">
        <v>904</v>
      </c>
      <c r="C3836" s="8">
        <v>81</v>
      </c>
      <c r="D3836" s="8" t="s">
        <v>62</v>
      </c>
      <c r="E3836" s="8">
        <v>1</v>
      </c>
      <c r="F3836" s="34">
        <f t="shared" ref="F3836:G3857" si="1780">ROUNDDOWN($P3836/4*MIN($O3836,4)*10*$N3836/$N3836*$Q3836/400,0)</f>
        <v>2652275</v>
      </c>
      <c r="G3836" s="34">
        <f t="shared" si="1780"/>
        <v>2652275</v>
      </c>
      <c r="H3836" s="34">
        <f t="shared" si="1777"/>
        <v>499251</v>
      </c>
      <c r="I3836" s="34">
        <f t="shared" si="1777"/>
        <v>499251</v>
      </c>
      <c r="J3836" s="34">
        <f t="shared" si="1773"/>
        <v>2293831</v>
      </c>
      <c r="K3836" s="133">
        <v>1000</v>
      </c>
      <c r="L3836" s="34"/>
      <c r="M3836" s="16">
        <f t="shared" si="1779"/>
        <v>4408993.3462750223</v>
      </c>
      <c r="N3836" s="36">
        <v>810</v>
      </c>
      <c r="O3836" s="36">
        <v>1</v>
      </c>
      <c r="P3836" s="56">
        <v>499251.85651775845</v>
      </c>
      <c r="Q3836" s="2" t="s">
        <v>402</v>
      </c>
      <c r="R3836" s="2" t="s">
        <v>691</v>
      </c>
      <c r="S3836" s="56">
        <f t="shared" si="1778"/>
        <v>199700.7426071034</v>
      </c>
    </row>
    <row r="3837" spans="1:19" x14ac:dyDescent="0.2">
      <c r="A3837" s="8" t="str">
        <f t="shared" si="1776"/>
        <v>9048119</v>
      </c>
      <c r="B3837" s="8">
        <v>904</v>
      </c>
      <c r="C3837" s="8">
        <v>81</v>
      </c>
      <c r="D3837" s="8" t="s">
        <v>62</v>
      </c>
      <c r="E3837" s="8">
        <v>9</v>
      </c>
      <c r="F3837" s="34">
        <f t="shared" si="1780"/>
        <v>10609101</v>
      </c>
      <c r="G3837" s="34">
        <f t="shared" si="1780"/>
        <v>10609101</v>
      </c>
      <c r="H3837" s="34">
        <f t="shared" si="1777"/>
        <v>499251</v>
      </c>
      <c r="I3837" s="34">
        <f t="shared" si="1777"/>
        <v>499251</v>
      </c>
      <c r="J3837" s="34">
        <f t="shared" si="1773"/>
        <v>33996848</v>
      </c>
      <c r="K3837" s="133">
        <v>1000</v>
      </c>
      <c r="L3837" s="34"/>
      <c r="M3837" s="16">
        <f t="shared" si="1779"/>
        <v>33947521.923084319</v>
      </c>
      <c r="N3837" s="36">
        <v>735</v>
      </c>
      <c r="O3837" s="36">
        <v>18</v>
      </c>
      <c r="P3837" s="56">
        <v>499251.85651775845</v>
      </c>
      <c r="Q3837" s="2" t="s">
        <v>402</v>
      </c>
      <c r="R3837" s="2" t="s">
        <v>691</v>
      </c>
      <c r="S3837" s="56">
        <f t="shared" si="1778"/>
        <v>199700.7426071034</v>
      </c>
    </row>
    <row r="3838" spans="1:19" x14ac:dyDescent="0.2">
      <c r="A3838" s="8" t="str">
        <f t="shared" si="1776"/>
        <v>9048211</v>
      </c>
      <c r="B3838" s="8">
        <v>904</v>
      </c>
      <c r="C3838" s="8">
        <v>82</v>
      </c>
      <c r="D3838" s="8" t="s">
        <v>62</v>
      </c>
      <c r="E3838" s="8">
        <v>1</v>
      </c>
      <c r="F3838" s="34">
        <f t="shared" si="1780"/>
        <v>2811412</v>
      </c>
      <c r="G3838" s="34">
        <f t="shared" si="1780"/>
        <v>2811412</v>
      </c>
      <c r="H3838" s="34">
        <f t="shared" si="1777"/>
        <v>529206</v>
      </c>
      <c r="I3838" s="34">
        <f t="shared" si="1777"/>
        <v>529206</v>
      </c>
      <c r="J3838" s="34">
        <f t="shared" si="1773"/>
        <v>2431461</v>
      </c>
      <c r="K3838" s="133">
        <v>1000</v>
      </c>
      <c r="L3838" s="34"/>
      <c r="M3838" s="16">
        <f t="shared" si="1779"/>
        <v>4811696.961084336</v>
      </c>
      <c r="N3838" s="36">
        <v>810</v>
      </c>
      <c r="O3838" s="36">
        <v>1</v>
      </c>
      <c r="P3838" s="56">
        <v>529206.96790882398</v>
      </c>
      <c r="Q3838" s="2" t="s">
        <v>402</v>
      </c>
      <c r="R3838" s="2" t="s">
        <v>692</v>
      </c>
      <c r="S3838" s="56">
        <f t="shared" si="1778"/>
        <v>211682.7871635296</v>
      </c>
    </row>
    <row r="3839" spans="1:19" x14ac:dyDescent="0.2">
      <c r="A3839" s="8" t="str">
        <f t="shared" si="1776"/>
        <v>9048219</v>
      </c>
      <c r="B3839" s="8">
        <v>904</v>
      </c>
      <c r="C3839" s="8">
        <v>82</v>
      </c>
      <c r="D3839" s="8" t="s">
        <v>62</v>
      </c>
      <c r="E3839" s="8">
        <v>9</v>
      </c>
      <c r="F3839" s="34">
        <f t="shared" si="1780"/>
        <v>11245648</v>
      </c>
      <c r="G3839" s="34">
        <f t="shared" si="1780"/>
        <v>11245648</v>
      </c>
      <c r="H3839" s="34">
        <f t="shared" si="1777"/>
        <v>529206</v>
      </c>
      <c r="I3839" s="34">
        <f t="shared" si="1777"/>
        <v>529206</v>
      </c>
      <c r="J3839" s="34">
        <f t="shared" si="1773"/>
        <v>36036659</v>
      </c>
      <c r="K3839" s="133">
        <v>1000</v>
      </c>
      <c r="L3839" s="34"/>
      <c r="M3839" s="16">
        <f t="shared" si="1779"/>
        <v>37048179.281711951</v>
      </c>
      <c r="N3839" s="36">
        <v>735</v>
      </c>
      <c r="O3839" s="36">
        <v>18</v>
      </c>
      <c r="P3839" s="56">
        <v>529206.96790882398</v>
      </c>
      <c r="Q3839" s="2" t="s">
        <v>402</v>
      </c>
      <c r="R3839" s="2" t="s">
        <v>692</v>
      </c>
      <c r="S3839" s="56">
        <f t="shared" si="1778"/>
        <v>211682.7871635296</v>
      </c>
    </row>
    <row r="3840" spans="1:19" x14ac:dyDescent="0.2">
      <c r="A3840" s="18" t="str">
        <f t="shared" si="1776"/>
        <v>9048311</v>
      </c>
      <c r="B3840" s="18">
        <v>904</v>
      </c>
      <c r="C3840" s="18">
        <v>83</v>
      </c>
      <c r="D3840" s="18" t="s">
        <v>62</v>
      </c>
      <c r="E3840" s="18">
        <v>1</v>
      </c>
      <c r="F3840" s="19">
        <f t="shared" si="1780"/>
        <v>2231250</v>
      </c>
      <c r="G3840" s="19">
        <f t="shared" si="1780"/>
        <v>2231250</v>
      </c>
      <c r="H3840" s="19">
        <f t="shared" si="1777"/>
        <v>315000</v>
      </c>
      <c r="I3840" s="19">
        <f t="shared" si="1777"/>
        <v>315000</v>
      </c>
      <c r="J3840" s="19">
        <f t="shared" si="1773"/>
        <v>1929705</v>
      </c>
      <c r="K3840" s="133">
        <v>1000</v>
      </c>
      <c r="L3840" s="19"/>
      <c r="M3840" s="16">
        <f t="shared" si="1779"/>
        <v>2946217.7500992697</v>
      </c>
      <c r="N3840" s="36">
        <v>810</v>
      </c>
      <c r="O3840" s="58">
        <v>1</v>
      </c>
      <c r="P3840" s="94">
        <v>420000</v>
      </c>
      <c r="Q3840" s="41" t="s">
        <v>402</v>
      </c>
      <c r="R3840" s="41" t="s">
        <v>693</v>
      </c>
      <c r="S3840" s="94">
        <f>P3840*0.3</f>
        <v>126000</v>
      </c>
    </row>
    <row r="3841" spans="1:19" x14ac:dyDescent="0.2">
      <c r="A3841" s="18" t="str">
        <f t="shared" si="1776"/>
        <v>9048319</v>
      </c>
      <c r="B3841" s="18">
        <v>904</v>
      </c>
      <c r="C3841" s="18">
        <v>83</v>
      </c>
      <c r="D3841" s="18" t="s">
        <v>62</v>
      </c>
      <c r="E3841" s="18">
        <v>9</v>
      </c>
      <c r="F3841" s="19">
        <f t="shared" si="1780"/>
        <v>8925000</v>
      </c>
      <c r="G3841" s="19">
        <f t="shared" si="1780"/>
        <v>8925000</v>
      </c>
      <c r="H3841" s="19">
        <f t="shared" si="1777"/>
        <v>315000</v>
      </c>
      <c r="I3841" s="19">
        <f t="shared" si="1777"/>
        <v>315000</v>
      </c>
      <c r="J3841" s="19">
        <f t="shared" si="1773"/>
        <v>28600147</v>
      </c>
      <c r="K3841" s="133">
        <v>1000</v>
      </c>
      <c r="L3841" s="19"/>
      <c r="M3841" s="16">
        <f t="shared" si="1779"/>
        <v>22684724.484586541</v>
      </c>
      <c r="N3841" s="36">
        <v>735</v>
      </c>
      <c r="O3841" s="58">
        <v>18</v>
      </c>
      <c r="P3841" s="94">
        <v>420000</v>
      </c>
      <c r="Q3841" s="41" t="s">
        <v>402</v>
      </c>
      <c r="R3841" s="41" t="s">
        <v>693</v>
      </c>
      <c r="S3841" s="94">
        <f>P3841*0.3</f>
        <v>126000</v>
      </c>
    </row>
    <row r="3842" spans="1:19" x14ac:dyDescent="0.2">
      <c r="A3842" s="8" t="str">
        <f t="shared" si="1776"/>
        <v>9048411</v>
      </c>
      <c r="B3842" s="8">
        <v>904</v>
      </c>
      <c r="C3842" s="8">
        <v>84</v>
      </c>
      <c r="D3842" s="8" t="s">
        <v>62</v>
      </c>
      <c r="E3842" s="8">
        <v>1</v>
      </c>
      <c r="F3842" s="34">
        <f t="shared" si="1780"/>
        <v>3158902</v>
      </c>
      <c r="G3842" s="34">
        <f t="shared" si="1780"/>
        <v>3158902</v>
      </c>
      <c r="H3842" s="34">
        <f t="shared" si="1777"/>
        <v>594616</v>
      </c>
      <c r="I3842" s="34">
        <f t="shared" si="1777"/>
        <v>594616</v>
      </c>
      <c r="J3842" s="34">
        <f t="shared" si="1773"/>
        <v>2731990</v>
      </c>
      <c r="K3842" s="133">
        <v>1000</v>
      </c>
      <c r="L3842" s="34"/>
      <c r="M3842" s="16">
        <f t="shared" si="1779"/>
        <v>5730808.7010819167</v>
      </c>
      <c r="N3842" s="36">
        <v>810</v>
      </c>
      <c r="O3842" s="36">
        <v>1</v>
      </c>
      <c r="P3842" s="56">
        <v>594616.94914235466</v>
      </c>
      <c r="Q3842" s="2" t="s">
        <v>402</v>
      </c>
      <c r="R3842" s="2" t="s">
        <v>694</v>
      </c>
      <c r="S3842" s="56">
        <f t="shared" si="1778"/>
        <v>237846.77965694189</v>
      </c>
    </row>
    <row r="3843" spans="1:19" x14ac:dyDescent="0.2">
      <c r="A3843" s="8" t="str">
        <f t="shared" si="1776"/>
        <v>9048419</v>
      </c>
      <c r="B3843" s="8">
        <v>904</v>
      </c>
      <c r="C3843" s="8">
        <v>84</v>
      </c>
      <c r="D3843" s="8" t="s">
        <v>62</v>
      </c>
      <c r="E3843" s="8">
        <v>9</v>
      </c>
      <c r="F3843" s="34">
        <f t="shared" si="1780"/>
        <v>12635610</v>
      </c>
      <c r="G3843" s="34">
        <f t="shared" si="1780"/>
        <v>12635610</v>
      </c>
      <c r="H3843" s="34">
        <f t="shared" si="1777"/>
        <v>594616</v>
      </c>
      <c r="I3843" s="34">
        <f t="shared" si="1777"/>
        <v>594616</v>
      </c>
      <c r="J3843" s="34">
        <f t="shared" si="1773"/>
        <v>40490790</v>
      </c>
      <c r="K3843" s="133">
        <v>1000</v>
      </c>
      <c r="L3843" s="34"/>
      <c r="M3843" s="16">
        <f t="shared" si="1779"/>
        <v>44124979.239962608</v>
      </c>
      <c r="N3843" s="36">
        <v>735</v>
      </c>
      <c r="O3843" s="36">
        <v>18</v>
      </c>
      <c r="P3843" s="56">
        <v>594616.94914235466</v>
      </c>
      <c r="Q3843" s="2" t="s">
        <v>402</v>
      </c>
      <c r="R3843" s="2" t="s">
        <v>694</v>
      </c>
      <c r="S3843" s="56">
        <f t="shared" si="1778"/>
        <v>237846.77965694189</v>
      </c>
    </row>
    <row r="3844" spans="1:19" x14ac:dyDescent="0.2">
      <c r="A3844" s="8" t="str">
        <f t="shared" si="1776"/>
        <v>9048511</v>
      </c>
      <c r="B3844" s="8">
        <v>904</v>
      </c>
      <c r="C3844" s="8">
        <v>85</v>
      </c>
      <c r="D3844" s="8" t="s">
        <v>62</v>
      </c>
      <c r="E3844" s="8">
        <v>1</v>
      </c>
      <c r="F3844" s="34">
        <f t="shared" si="1780"/>
        <v>3348436</v>
      </c>
      <c r="G3844" s="34">
        <f t="shared" si="1780"/>
        <v>3348436</v>
      </c>
      <c r="H3844" s="34">
        <f t="shared" ref="H3844:I3857" si="1781">ROUNDDOWN($S3844/4*10,0)</f>
        <v>630293</v>
      </c>
      <c r="I3844" s="34">
        <f t="shared" si="1781"/>
        <v>630293</v>
      </c>
      <c r="J3844" s="34">
        <f t="shared" si="1773"/>
        <v>2895909</v>
      </c>
      <c r="K3844" s="133">
        <v>1000</v>
      </c>
      <c r="L3844" s="34"/>
      <c r="M3844" s="16">
        <f t="shared" si="1779"/>
        <v>6254242.0547296274</v>
      </c>
      <c r="N3844" s="36">
        <v>810</v>
      </c>
      <c r="O3844" s="36">
        <v>1</v>
      </c>
      <c r="P3844" s="56">
        <v>630293.96609089605</v>
      </c>
      <c r="Q3844" s="2" t="s">
        <v>402</v>
      </c>
      <c r="R3844" s="2" t="s">
        <v>695</v>
      </c>
      <c r="S3844" s="56">
        <f t="shared" si="1778"/>
        <v>252117.58643635843</v>
      </c>
    </row>
    <row r="3845" spans="1:19" x14ac:dyDescent="0.2">
      <c r="A3845" s="8" t="str">
        <f t="shared" si="1776"/>
        <v>9048519</v>
      </c>
      <c r="B3845" s="8">
        <v>904</v>
      </c>
      <c r="C3845" s="8">
        <v>85</v>
      </c>
      <c r="D3845" s="8" t="s">
        <v>62</v>
      </c>
      <c r="E3845" s="8">
        <v>9</v>
      </c>
      <c r="F3845" s="34">
        <f t="shared" si="1780"/>
        <v>13393746</v>
      </c>
      <c r="G3845" s="34">
        <f t="shared" si="1780"/>
        <v>13393746</v>
      </c>
      <c r="H3845" s="34">
        <f t="shared" si="1781"/>
        <v>630293</v>
      </c>
      <c r="I3845" s="34">
        <f t="shared" si="1781"/>
        <v>630293</v>
      </c>
      <c r="J3845" s="34">
        <f t="shared" si="1773"/>
        <v>42920238</v>
      </c>
      <c r="K3845" s="133">
        <v>1000</v>
      </c>
      <c r="L3845" s="34"/>
      <c r="M3845" s="16">
        <f t="shared" si="1779"/>
        <v>48155214.2067509</v>
      </c>
      <c r="N3845" s="36">
        <v>735</v>
      </c>
      <c r="O3845" s="36">
        <v>18</v>
      </c>
      <c r="P3845" s="56">
        <v>630293.96609089605</v>
      </c>
      <c r="Q3845" s="2" t="s">
        <v>402</v>
      </c>
      <c r="R3845" s="2" t="s">
        <v>695</v>
      </c>
      <c r="S3845" s="56">
        <f t="shared" si="1778"/>
        <v>252117.58643635843</v>
      </c>
    </row>
    <row r="3846" spans="1:19" x14ac:dyDescent="0.2">
      <c r="A3846" s="8" t="str">
        <f t="shared" si="1776"/>
        <v>9048611</v>
      </c>
      <c r="B3846" s="8">
        <v>904</v>
      </c>
      <c r="C3846" s="8">
        <v>86</v>
      </c>
      <c r="D3846" s="8" t="s">
        <v>62</v>
      </c>
      <c r="E3846" s="8">
        <v>1</v>
      </c>
      <c r="F3846" s="34">
        <f t="shared" si="1780"/>
        <v>3549342</v>
      </c>
      <c r="G3846" s="34">
        <f t="shared" si="1780"/>
        <v>3549342</v>
      </c>
      <c r="H3846" s="34">
        <f t="shared" si="1781"/>
        <v>668111</v>
      </c>
      <c r="I3846" s="34">
        <f t="shared" si="1781"/>
        <v>668111</v>
      </c>
      <c r="J3846" s="34">
        <f t="shared" si="1773"/>
        <v>3069664</v>
      </c>
      <c r="K3846" s="133">
        <v>1000</v>
      </c>
      <c r="L3846" s="34"/>
      <c r="M3846" s="16">
        <f t="shared" si="1779"/>
        <v>6825486.9817665564</v>
      </c>
      <c r="N3846" s="36">
        <v>810</v>
      </c>
      <c r="O3846" s="36">
        <v>1</v>
      </c>
      <c r="P3846" s="56">
        <v>668111.60405634984</v>
      </c>
      <c r="Q3846" s="2" t="s">
        <v>402</v>
      </c>
      <c r="R3846" s="2" t="s">
        <v>696</v>
      </c>
      <c r="S3846" s="56">
        <f t="shared" si="1778"/>
        <v>267244.64162253996</v>
      </c>
    </row>
    <row r="3847" spans="1:19" x14ac:dyDescent="0.2">
      <c r="A3847" s="8" t="str">
        <f t="shared" si="1776"/>
        <v>9048619</v>
      </c>
      <c r="B3847" s="8">
        <v>904</v>
      </c>
      <c r="C3847" s="8">
        <v>86</v>
      </c>
      <c r="D3847" s="8" t="s">
        <v>62</v>
      </c>
      <c r="E3847" s="8">
        <v>9</v>
      </c>
      <c r="F3847" s="34">
        <f t="shared" si="1780"/>
        <v>14197371</v>
      </c>
      <c r="G3847" s="34">
        <f t="shared" si="1780"/>
        <v>14197371</v>
      </c>
      <c r="H3847" s="34">
        <f t="shared" si="1781"/>
        <v>668111</v>
      </c>
      <c r="I3847" s="34">
        <f t="shared" si="1781"/>
        <v>668111</v>
      </c>
      <c r="J3847" s="34">
        <f t="shared" si="1773"/>
        <v>45495452</v>
      </c>
      <c r="K3847" s="133">
        <v>1000</v>
      </c>
      <c r="L3847" s="34"/>
      <c r="M3847" s="16">
        <f t="shared" si="1779"/>
        <v>52553573.933335513</v>
      </c>
      <c r="N3847" s="36">
        <v>735</v>
      </c>
      <c r="O3847" s="36">
        <v>18</v>
      </c>
      <c r="P3847" s="56">
        <v>668111.60405634984</v>
      </c>
      <c r="Q3847" s="2" t="s">
        <v>402</v>
      </c>
      <c r="R3847" s="2" t="s">
        <v>696</v>
      </c>
      <c r="S3847" s="56">
        <f t="shared" si="1778"/>
        <v>267244.64162253996</v>
      </c>
    </row>
    <row r="3848" spans="1:19" x14ac:dyDescent="0.2">
      <c r="A3848" s="8" t="str">
        <f t="shared" si="1776"/>
        <v>9048711</v>
      </c>
      <c r="B3848" s="8">
        <v>904</v>
      </c>
      <c r="C3848" s="8">
        <v>87</v>
      </c>
      <c r="D3848" s="8" t="s">
        <v>62</v>
      </c>
      <c r="E3848" s="8">
        <v>1</v>
      </c>
      <c r="F3848" s="34">
        <f t="shared" si="1780"/>
        <v>3762303</v>
      </c>
      <c r="G3848" s="34">
        <f t="shared" si="1780"/>
        <v>3762303</v>
      </c>
      <c r="H3848" s="34">
        <f t="shared" si="1781"/>
        <v>708198</v>
      </c>
      <c r="I3848" s="34">
        <f t="shared" si="1781"/>
        <v>708198</v>
      </c>
      <c r="J3848" s="34">
        <f t="shared" si="1773"/>
        <v>3253843</v>
      </c>
      <c r="K3848" s="133">
        <v>1000</v>
      </c>
      <c r="L3848" s="34"/>
      <c r="M3848" s="16">
        <f t="shared" si="1779"/>
        <v>7448906.3883770779</v>
      </c>
      <c r="N3848" s="36">
        <v>810</v>
      </c>
      <c r="O3848" s="36">
        <v>1</v>
      </c>
      <c r="P3848" s="56">
        <v>708198.30029973085</v>
      </c>
      <c r="Q3848" s="2" t="s">
        <v>402</v>
      </c>
      <c r="R3848" s="2" t="s">
        <v>697</v>
      </c>
      <c r="S3848" s="56">
        <f t="shared" si="1778"/>
        <v>283279.32011989236</v>
      </c>
    </row>
    <row r="3849" spans="1:19" x14ac:dyDescent="0.2">
      <c r="A3849" s="8" t="str">
        <f t="shared" si="1776"/>
        <v>9048719</v>
      </c>
      <c r="B3849" s="8">
        <v>904</v>
      </c>
      <c r="C3849" s="8">
        <v>87</v>
      </c>
      <c r="D3849" s="8" t="s">
        <v>62</v>
      </c>
      <c r="E3849" s="8">
        <v>9</v>
      </c>
      <c r="F3849" s="34">
        <f t="shared" si="1780"/>
        <v>15049213</v>
      </c>
      <c r="G3849" s="34">
        <f t="shared" si="1780"/>
        <v>15049213</v>
      </c>
      <c r="H3849" s="34">
        <f t="shared" si="1781"/>
        <v>708198</v>
      </c>
      <c r="I3849" s="34">
        <f t="shared" si="1781"/>
        <v>708198</v>
      </c>
      <c r="J3849" s="34">
        <f t="shared" si="1773"/>
        <v>48225179</v>
      </c>
      <c r="K3849" s="133">
        <v>1000</v>
      </c>
      <c r="L3849" s="34"/>
      <c r="M3849" s="16">
        <f t="shared" si="1779"/>
        <v>57353662.140005805</v>
      </c>
      <c r="N3849" s="36">
        <v>735</v>
      </c>
      <c r="O3849" s="36">
        <v>18</v>
      </c>
      <c r="P3849" s="56">
        <v>708198.30029973085</v>
      </c>
      <c r="Q3849" s="2" t="s">
        <v>402</v>
      </c>
      <c r="R3849" s="2" t="s">
        <v>697</v>
      </c>
      <c r="S3849" s="56">
        <f t="shared" si="1778"/>
        <v>283279.32011989236</v>
      </c>
    </row>
    <row r="3850" spans="1:19" x14ac:dyDescent="0.2">
      <c r="A3850" s="8" t="str">
        <f t="shared" si="1776"/>
        <v>9048811</v>
      </c>
      <c r="B3850" s="8">
        <v>904</v>
      </c>
      <c r="C3850" s="8">
        <v>88</v>
      </c>
      <c r="D3850" s="8" t="s">
        <v>62</v>
      </c>
      <c r="E3850" s="8">
        <v>1</v>
      </c>
      <c r="F3850" s="34">
        <f t="shared" si="1780"/>
        <v>3988041</v>
      </c>
      <c r="G3850" s="34">
        <f t="shared" si="1780"/>
        <v>3988041</v>
      </c>
      <c r="H3850" s="34">
        <f t="shared" si="1781"/>
        <v>750690</v>
      </c>
      <c r="I3850" s="34">
        <f t="shared" si="1781"/>
        <v>750690</v>
      </c>
      <c r="J3850" s="34">
        <f t="shared" si="1773"/>
        <v>3449074</v>
      </c>
      <c r="K3850" s="133">
        <v>1000</v>
      </c>
      <c r="L3850" s="34"/>
      <c r="M3850" s="16">
        <f t="shared" si="1779"/>
        <v>8129266.5849783346</v>
      </c>
      <c r="N3850" s="36">
        <v>810</v>
      </c>
      <c r="O3850" s="36">
        <v>1</v>
      </c>
      <c r="P3850" s="56">
        <v>750690.19831771462</v>
      </c>
      <c r="Q3850" s="2" t="s">
        <v>402</v>
      </c>
      <c r="R3850" s="2" t="s">
        <v>698</v>
      </c>
      <c r="S3850" s="56">
        <f t="shared" si="1778"/>
        <v>300276.07932708587</v>
      </c>
    </row>
    <row r="3851" spans="1:19" x14ac:dyDescent="0.2">
      <c r="A3851" s="8" t="str">
        <f t="shared" si="1776"/>
        <v>9048819</v>
      </c>
      <c r="B3851" s="8">
        <v>904</v>
      </c>
      <c r="C3851" s="8">
        <v>88</v>
      </c>
      <c r="D3851" s="8" t="s">
        <v>62</v>
      </c>
      <c r="E3851" s="8">
        <v>9</v>
      </c>
      <c r="F3851" s="34">
        <f t="shared" si="1780"/>
        <v>15952166</v>
      </c>
      <c r="G3851" s="34">
        <f t="shared" si="1780"/>
        <v>15952166</v>
      </c>
      <c r="H3851" s="34">
        <f t="shared" si="1781"/>
        <v>750690</v>
      </c>
      <c r="I3851" s="34">
        <f t="shared" si="1781"/>
        <v>750690</v>
      </c>
      <c r="J3851" s="34">
        <f t="shared" si="1773"/>
        <v>51118690</v>
      </c>
      <c r="K3851" s="133">
        <v>1000</v>
      </c>
      <c r="L3851" s="34"/>
      <c r="M3851" s="16">
        <f t="shared" si="1779"/>
        <v>62592167.411771357</v>
      </c>
      <c r="N3851" s="36">
        <v>735</v>
      </c>
      <c r="O3851" s="36">
        <v>18</v>
      </c>
      <c r="P3851" s="56">
        <v>750690.19831771462</v>
      </c>
      <c r="Q3851" s="2" t="s">
        <v>402</v>
      </c>
      <c r="R3851" s="2" t="s">
        <v>698</v>
      </c>
      <c r="S3851" s="56">
        <f t="shared" si="1778"/>
        <v>300276.07932708587</v>
      </c>
    </row>
    <row r="3852" spans="1:19" x14ac:dyDescent="0.2">
      <c r="A3852" s="8" t="str">
        <f t="shared" si="1776"/>
        <v>9048911</v>
      </c>
      <c r="B3852" s="8">
        <v>904</v>
      </c>
      <c r="C3852" s="8">
        <v>89</v>
      </c>
      <c r="D3852" s="8" t="s">
        <v>62</v>
      </c>
      <c r="E3852" s="8">
        <v>1</v>
      </c>
      <c r="F3852" s="34">
        <f t="shared" si="1780"/>
        <v>4227324</v>
      </c>
      <c r="G3852" s="34">
        <f t="shared" si="1780"/>
        <v>4227324</v>
      </c>
      <c r="H3852" s="34">
        <f t="shared" si="1781"/>
        <v>795731</v>
      </c>
      <c r="I3852" s="34">
        <f t="shared" si="1781"/>
        <v>795731</v>
      </c>
      <c r="J3852" s="34">
        <f t="shared" si="1773"/>
        <v>3656018</v>
      </c>
      <c r="K3852" s="133">
        <v>1000</v>
      </c>
      <c r="L3852" s="34"/>
      <c r="M3852" s="16">
        <f t="shared" si="1779"/>
        <v>8871765.5430456847</v>
      </c>
      <c r="N3852" s="36">
        <v>810</v>
      </c>
      <c r="O3852" s="36">
        <v>1</v>
      </c>
      <c r="P3852" s="56">
        <v>795731.61021677766</v>
      </c>
      <c r="Q3852" s="2" t="s">
        <v>402</v>
      </c>
      <c r="R3852" s="2" t="s">
        <v>699</v>
      </c>
      <c r="S3852" s="56">
        <f t="shared" si="1778"/>
        <v>318292.64408671111</v>
      </c>
    </row>
    <row r="3853" spans="1:19" x14ac:dyDescent="0.2">
      <c r="A3853" s="8" t="str">
        <f t="shared" si="1776"/>
        <v>9048919</v>
      </c>
      <c r="B3853" s="8">
        <v>904</v>
      </c>
      <c r="C3853" s="8">
        <v>89</v>
      </c>
      <c r="D3853" s="8" t="s">
        <v>62</v>
      </c>
      <c r="E3853" s="8">
        <v>9</v>
      </c>
      <c r="F3853" s="34">
        <f t="shared" si="1780"/>
        <v>16909296</v>
      </c>
      <c r="G3853" s="34">
        <f t="shared" si="1780"/>
        <v>16909296</v>
      </c>
      <c r="H3853" s="34">
        <f t="shared" si="1781"/>
        <v>795731</v>
      </c>
      <c r="I3853" s="34">
        <f t="shared" si="1781"/>
        <v>795731</v>
      </c>
      <c r="J3853" s="34">
        <f t="shared" si="1773"/>
        <v>54185812</v>
      </c>
      <c r="K3853" s="133">
        <v>1000</v>
      </c>
      <c r="L3853" s="34"/>
      <c r="M3853" s="16">
        <f t="shared" si="1779"/>
        <v>68309118.661893353</v>
      </c>
      <c r="N3853" s="36">
        <v>735</v>
      </c>
      <c r="O3853" s="36">
        <v>18</v>
      </c>
      <c r="P3853" s="56">
        <v>795731.61021677766</v>
      </c>
      <c r="Q3853" s="2" t="s">
        <v>402</v>
      </c>
      <c r="R3853" s="2" t="s">
        <v>699</v>
      </c>
      <c r="S3853" s="56">
        <f t="shared" si="1778"/>
        <v>318292.64408671111</v>
      </c>
    </row>
    <row r="3854" spans="1:19" x14ac:dyDescent="0.2">
      <c r="A3854" s="8" t="str">
        <f t="shared" si="1776"/>
        <v>9049011</v>
      </c>
      <c r="B3854" s="8">
        <v>904</v>
      </c>
      <c r="C3854" s="8">
        <v>90</v>
      </c>
      <c r="D3854" s="8" t="s">
        <v>62</v>
      </c>
      <c r="E3854" s="8">
        <v>1</v>
      </c>
      <c r="F3854" s="34">
        <f t="shared" si="1780"/>
        <v>4480963</v>
      </c>
      <c r="G3854" s="34">
        <f t="shared" si="1780"/>
        <v>4480963</v>
      </c>
      <c r="H3854" s="34">
        <f t="shared" si="1781"/>
        <v>843475</v>
      </c>
      <c r="I3854" s="34">
        <f t="shared" si="1781"/>
        <v>843475</v>
      </c>
      <c r="J3854" s="34">
        <f t="shared" si="1773"/>
        <v>3875380</v>
      </c>
      <c r="K3854" s="133">
        <v>1000</v>
      </c>
      <c r="L3854" s="34"/>
      <c r="M3854" s="16">
        <f t="shared" si="1779"/>
        <v>9682085.6506513078</v>
      </c>
      <c r="N3854" s="36">
        <v>810</v>
      </c>
      <c r="O3854" s="36">
        <v>1</v>
      </c>
      <c r="P3854" s="56">
        <v>843475.50682978425</v>
      </c>
      <c r="Q3854" s="2" t="s">
        <v>402</v>
      </c>
      <c r="R3854" s="2" t="s">
        <v>700</v>
      </c>
      <c r="S3854" s="56">
        <f t="shared" si="1778"/>
        <v>337390.20273191371</v>
      </c>
    </row>
    <row r="3855" spans="1:19" x14ac:dyDescent="0.2">
      <c r="A3855" s="8" t="str">
        <f t="shared" si="1776"/>
        <v>9049019</v>
      </c>
      <c r="B3855" s="8">
        <v>904</v>
      </c>
      <c r="C3855" s="8">
        <v>90</v>
      </c>
      <c r="D3855" s="8" t="s">
        <v>62</v>
      </c>
      <c r="E3855" s="8">
        <v>9</v>
      </c>
      <c r="F3855" s="34">
        <f t="shared" si="1780"/>
        <v>17923854</v>
      </c>
      <c r="G3855" s="34">
        <f t="shared" si="1780"/>
        <v>17923854</v>
      </c>
      <c r="H3855" s="34">
        <f t="shared" si="1781"/>
        <v>843475</v>
      </c>
      <c r="I3855" s="34">
        <f t="shared" si="1781"/>
        <v>843475</v>
      </c>
      <c r="J3855" s="34">
        <f t="shared" si="1773"/>
        <v>57436960</v>
      </c>
      <c r="K3855" s="133">
        <v>1000</v>
      </c>
      <c r="L3855" s="34"/>
      <c r="M3855" s="16">
        <f t="shared" si="1779"/>
        <v>74548260.844574422</v>
      </c>
      <c r="N3855" s="36">
        <v>735</v>
      </c>
      <c r="O3855" s="36">
        <v>18</v>
      </c>
      <c r="P3855" s="56">
        <v>843475.50682978425</v>
      </c>
      <c r="Q3855" s="2" t="s">
        <v>402</v>
      </c>
      <c r="R3855" s="2" t="s">
        <v>700</v>
      </c>
      <c r="S3855" s="56">
        <f t="shared" si="1778"/>
        <v>337390.20273191371</v>
      </c>
    </row>
    <row r="3856" spans="1:19" x14ac:dyDescent="0.2">
      <c r="A3856" s="8" t="str">
        <f t="shared" si="1776"/>
        <v>9049111</v>
      </c>
      <c r="B3856" s="8">
        <v>904</v>
      </c>
      <c r="C3856" s="8">
        <v>91</v>
      </c>
      <c r="D3856" s="8" t="s">
        <v>62</v>
      </c>
      <c r="E3856" s="8">
        <v>1</v>
      </c>
      <c r="F3856" s="34">
        <f t="shared" si="1780"/>
        <v>4749821</v>
      </c>
      <c r="G3856" s="34">
        <f t="shared" si="1780"/>
        <v>4749821</v>
      </c>
      <c r="H3856" s="34">
        <f t="shared" si="1781"/>
        <v>894084</v>
      </c>
      <c r="I3856" s="34">
        <f t="shared" si="1781"/>
        <v>894084</v>
      </c>
      <c r="J3856" s="34">
        <f t="shared" si="1773"/>
        <v>4107902</v>
      </c>
      <c r="K3856" s="133">
        <v>1000</v>
      </c>
      <c r="L3856" s="34"/>
      <c r="M3856" s="16">
        <f t="shared" si="1779"/>
        <v>10566418.492717354</v>
      </c>
      <c r="N3856" s="36">
        <v>810</v>
      </c>
      <c r="O3856" s="36">
        <v>1</v>
      </c>
      <c r="P3856" s="56">
        <v>894084.03723957133</v>
      </c>
      <c r="Q3856" s="2" t="s">
        <v>402</v>
      </c>
      <c r="R3856" s="2" t="s">
        <v>701</v>
      </c>
      <c r="S3856" s="56">
        <f t="shared" si="1778"/>
        <v>357633.61489582853</v>
      </c>
    </row>
    <row r="3857" spans="1:20" x14ac:dyDescent="0.2">
      <c r="A3857" s="8" t="str">
        <f t="shared" si="1776"/>
        <v>9049119</v>
      </c>
      <c r="B3857" s="8">
        <v>904</v>
      </c>
      <c r="C3857" s="8">
        <v>91</v>
      </c>
      <c r="D3857" s="8" t="s">
        <v>62</v>
      </c>
      <c r="E3857" s="8">
        <v>9</v>
      </c>
      <c r="F3857" s="34">
        <f t="shared" si="1780"/>
        <v>18999285</v>
      </c>
      <c r="G3857" s="34">
        <f t="shared" si="1780"/>
        <v>18999285</v>
      </c>
      <c r="H3857" s="34">
        <f t="shared" si="1781"/>
        <v>894084</v>
      </c>
      <c r="I3857" s="34">
        <f t="shared" si="1781"/>
        <v>894084</v>
      </c>
      <c r="J3857" s="34">
        <f t="shared" si="1773"/>
        <v>60883178</v>
      </c>
      <c r="K3857" s="133">
        <v>1000</v>
      </c>
      <c r="L3857" s="34"/>
      <c r="M3857" s="16">
        <f t="shared" si="1779"/>
        <v>81357282.560999453</v>
      </c>
      <c r="N3857" s="36">
        <v>735</v>
      </c>
      <c r="O3857" s="36">
        <v>18</v>
      </c>
      <c r="P3857" s="56">
        <v>894084.03723957133</v>
      </c>
      <c r="Q3857" s="2" t="s">
        <v>402</v>
      </c>
      <c r="R3857" s="2" t="s">
        <v>701</v>
      </c>
      <c r="S3857" s="56">
        <f t="shared" si="1778"/>
        <v>357633.61489582853</v>
      </c>
      <c r="T3857" s="114"/>
    </row>
    <row r="3858" spans="1:20" ht="20.25" x14ac:dyDescent="0.2">
      <c r="A3858" s="8" t="str">
        <f t="shared" si="1776"/>
        <v/>
      </c>
      <c r="B3858" s="5"/>
      <c r="C3858" s="79" t="s">
        <v>705</v>
      </c>
      <c r="D3858" s="5"/>
      <c r="E3858" s="5"/>
      <c r="F3858" s="5"/>
      <c r="G3858" s="5"/>
      <c r="H3858" s="5"/>
      <c r="I3858" s="5"/>
      <c r="J3858" s="5"/>
      <c r="K3858" s="5"/>
      <c r="L3858" s="5"/>
      <c r="M3858" s="16">
        <f t="shared" si="1779"/>
        <v>0</v>
      </c>
      <c r="N3858" s="5"/>
      <c r="O3858" s="5"/>
      <c r="P3858" s="5"/>
      <c r="Q3858" s="5"/>
      <c r="R3858" s="5"/>
      <c r="S3858" s="30"/>
      <c r="T3858" s="114"/>
    </row>
    <row r="3859" spans="1:20" x14ac:dyDescent="0.2">
      <c r="A3859" s="8" t="str">
        <f t="shared" si="1776"/>
        <v>9114911</v>
      </c>
      <c r="B3859" s="8">
        <v>911</v>
      </c>
      <c r="C3859" s="8">
        <v>49</v>
      </c>
      <c r="D3859" s="8" t="s">
        <v>62</v>
      </c>
      <c r="E3859" s="8">
        <v>1</v>
      </c>
      <c r="F3859" s="34">
        <f t="shared" ref="F3859:G3874" si="1782">ROUNDDOWN($P3859/4*MIN($O3859,4)*10*$N3859/$N3859*$Q3859/400,0)</f>
        <v>204000</v>
      </c>
      <c r="G3859" s="34">
        <f t="shared" si="1782"/>
        <v>204000</v>
      </c>
      <c r="H3859" s="34">
        <f t="shared" ref="H3859:I3874" si="1783">ROUNDDOWN($S3859/4*10,0)</f>
        <v>61200</v>
      </c>
      <c r="I3859" s="34">
        <f t="shared" si="1783"/>
        <v>61200</v>
      </c>
      <c r="J3859" s="34">
        <f t="shared" ref="J3859:J3879" si="1784">ROUNDDOWN($P3859/4*$O3859*10*$N3859/$Q3859*$N3859/400*0.8,0)</f>
        <v>400565</v>
      </c>
      <c r="K3859" s="133">
        <v>1000</v>
      </c>
      <c r="L3859" s="34"/>
      <c r="M3859" s="16">
        <f t="shared" si="1779"/>
        <v>178902.85921918633</v>
      </c>
      <c r="N3859" s="36">
        <v>940</v>
      </c>
      <c r="O3859" s="36">
        <v>1</v>
      </c>
      <c r="P3859" s="36">
        <v>54400</v>
      </c>
      <c r="Q3859" s="2" t="s">
        <v>197</v>
      </c>
      <c r="R3859" s="2" t="s">
        <v>170</v>
      </c>
      <c r="S3859" s="56">
        <f>P3859*0.45</f>
        <v>24480</v>
      </c>
      <c r="T3859" s="114"/>
    </row>
    <row r="3860" spans="1:20" x14ac:dyDescent="0.2">
      <c r="A3860" s="8" t="str">
        <f t="shared" si="1776"/>
        <v>9114919</v>
      </c>
      <c r="B3860" s="8">
        <v>911</v>
      </c>
      <c r="C3860" s="8">
        <v>49</v>
      </c>
      <c r="D3860" s="8" t="s">
        <v>62</v>
      </c>
      <c r="E3860" s="8">
        <v>9</v>
      </c>
      <c r="F3860" s="34">
        <f t="shared" si="1782"/>
        <v>809600</v>
      </c>
      <c r="G3860" s="34">
        <f t="shared" si="1782"/>
        <v>809600</v>
      </c>
      <c r="H3860" s="34">
        <f t="shared" si="1783"/>
        <v>79200</v>
      </c>
      <c r="I3860" s="34">
        <f t="shared" si="1783"/>
        <v>79200</v>
      </c>
      <c r="J3860" s="34">
        <f t="shared" si="1784"/>
        <v>9261579</v>
      </c>
      <c r="K3860" s="133">
        <v>1000</v>
      </c>
      <c r="L3860" s="34"/>
      <c r="M3860" s="16">
        <f t="shared" si="1779"/>
        <v>1949531.89735018</v>
      </c>
      <c r="N3860" s="36">
        <v>820</v>
      </c>
      <c r="O3860" s="36">
        <v>18</v>
      </c>
      <c r="P3860" s="36">
        <v>70400</v>
      </c>
      <c r="Q3860" s="2" t="s">
        <v>707</v>
      </c>
      <c r="R3860" s="2" t="s">
        <v>170</v>
      </c>
      <c r="S3860" s="56">
        <f t="shared" ref="S3860:S3879" si="1785">P3860*0.45</f>
        <v>31680</v>
      </c>
      <c r="T3860" s="114"/>
    </row>
    <row r="3861" spans="1:20" x14ac:dyDescent="0.2">
      <c r="A3861" s="8" t="str">
        <f t="shared" si="1776"/>
        <v>9114912</v>
      </c>
      <c r="B3861" s="8">
        <v>911</v>
      </c>
      <c r="C3861" s="8">
        <v>49</v>
      </c>
      <c r="D3861" s="8" t="s">
        <v>62</v>
      </c>
      <c r="E3861" s="8">
        <v>2</v>
      </c>
      <c r="F3861" s="34">
        <f t="shared" si="1782"/>
        <v>204000</v>
      </c>
      <c r="G3861" s="34">
        <f t="shared" si="1782"/>
        <v>204000</v>
      </c>
      <c r="H3861" s="34">
        <f t="shared" si="1783"/>
        <v>61200</v>
      </c>
      <c r="I3861" s="34">
        <f t="shared" si="1783"/>
        <v>61200</v>
      </c>
      <c r="J3861" s="34">
        <f t="shared" si="1784"/>
        <v>548533</v>
      </c>
      <c r="K3861" s="133">
        <v>1000</v>
      </c>
      <c r="L3861" s="34"/>
      <c r="M3861" s="16">
        <f t="shared" si="1779"/>
        <v>209354.43322213169</v>
      </c>
      <c r="N3861" s="36">
        <v>1100</v>
      </c>
      <c r="O3861" s="36">
        <v>1</v>
      </c>
      <c r="P3861" s="36">
        <v>54400</v>
      </c>
      <c r="Q3861" s="2" t="s">
        <v>197</v>
      </c>
      <c r="R3861" s="2" t="s">
        <v>305</v>
      </c>
      <c r="S3861" s="56">
        <f t="shared" si="1785"/>
        <v>24480</v>
      </c>
      <c r="T3861" s="114"/>
    </row>
    <row r="3862" spans="1:20" x14ac:dyDescent="0.2">
      <c r="A3862" s="8" t="str">
        <f t="shared" ref="A3862:A3873" si="1786">IF(B3862="","",CONCATENATE(B3862,CONCATENATE(REPT(0,2-LEN(C3862)),C3862),IF(OR(D3862="Easy",D3862=""),1,IF(D3862="Normal",2,IF(D3862="Hard",3,IF(D3862="Hell",4,"error")))),E3862))</f>
        <v>9115011</v>
      </c>
      <c r="B3862" s="8">
        <v>911</v>
      </c>
      <c r="C3862" s="8">
        <v>50</v>
      </c>
      <c r="D3862" s="8" t="s">
        <v>62</v>
      </c>
      <c r="E3862" s="8">
        <v>1</v>
      </c>
      <c r="F3862" s="34">
        <f t="shared" si="1782"/>
        <v>322400</v>
      </c>
      <c r="G3862" s="34">
        <f t="shared" si="1782"/>
        <v>322400</v>
      </c>
      <c r="H3862" s="34">
        <f t="shared" si="1783"/>
        <v>93600</v>
      </c>
      <c r="I3862" s="34">
        <f t="shared" si="1783"/>
        <v>93600</v>
      </c>
      <c r="J3862" s="34">
        <f t="shared" si="1784"/>
        <v>592867</v>
      </c>
      <c r="K3862" s="133">
        <v>1000</v>
      </c>
      <c r="L3862" s="34"/>
      <c r="M3862" s="16">
        <f t="shared" si="1779"/>
        <v>338379.51736479561</v>
      </c>
      <c r="N3862" s="36">
        <v>940</v>
      </c>
      <c r="O3862" s="36">
        <v>1</v>
      </c>
      <c r="P3862" s="36">
        <v>83200</v>
      </c>
      <c r="Q3862" s="2" t="s">
        <v>706</v>
      </c>
      <c r="R3862" s="2" t="s">
        <v>170</v>
      </c>
      <c r="S3862" s="56">
        <f t="shared" si="1785"/>
        <v>37440</v>
      </c>
      <c r="T3862" s="114"/>
    </row>
    <row r="3863" spans="1:20" x14ac:dyDescent="0.2">
      <c r="A3863" s="8" t="str">
        <f t="shared" si="1786"/>
        <v>9115019</v>
      </c>
      <c r="B3863" s="8">
        <v>911</v>
      </c>
      <c r="C3863" s="8">
        <v>50</v>
      </c>
      <c r="D3863" s="8" t="s">
        <v>62</v>
      </c>
      <c r="E3863" s="8">
        <v>9</v>
      </c>
      <c r="F3863" s="34">
        <f t="shared" si="1782"/>
        <v>2083200</v>
      </c>
      <c r="G3863" s="34">
        <f t="shared" si="1782"/>
        <v>2083200</v>
      </c>
      <c r="H3863" s="34">
        <f t="shared" si="1783"/>
        <v>151200</v>
      </c>
      <c r="I3863" s="34">
        <f t="shared" si="1783"/>
        <v>151200</v>
      </c>
      <c r="J3863" s="34">
        <f t="shared" si="1784"/>
        <v>13118307</v>
      </c>
      <c r="K3863" s="133">
        <v>1000</v>
      </c>
      <c r="L3863" s="34"/>
      <c r="M3863" s="16">
        <f t="shared" si="1779"/>
        <v>5142452.1714409404</v>
      </c>
      <c r="N3863" s="36">
        <v>820</v>
      </c>
      <c r="O3863" s="36">
        <v>18</v>
      </c>
      <c r="P3863" s="36">
        <v>134400</v>
      </c>
      <c r="Q3863" s="2" t="s">
        <v>706</v>
      </c>
      <c r="R3863" s="2" t="s">
        <v>170</v>
      </c>
      <c r="S3863" s="56">
        <f t="shared" si="1785"/>
        <v>60480</v>
      </c>
      <c r="T3863" s="114"/>
    </row>
    <row r="3864" spans="1:20" x14ac:dyDescent="0.2">
      <c r="A3864" s="8" t="str">
        <f t="shared" si="1786"/>
        <v>9115012</v>
      </c>
      <c r="B3864" s="8">
        <v>911</v>
      </c>
      <c r="C3864" s="8">
        <v>50</v>
      </c>
      <c r="D3864" s="8" t="s">
        <v>62</v>
      </c>
      <c r="E3864" s="8">
        <v>2</v>
      </c>
      <c r="F3864" s="34">
        <f t="shared" si="1782"/>
        <v>322400</v>
      </c>
      <c r="G3864" s="34">
        <f t="shared" si="1782"/>
        <v>322400</v>
      </c>
      <c r="H3864" s="34">
        <f t="shared" si="1783"/>
        <v>93600</v>
      </c>
      <c r="I3864" s="34">
        <f t="shared" si="1783"/>
        <v>93600</v>
      </c>
      <c r="J3864" s="34">
        <f t="shared" si="1784"/>
        <v>811870</v>
      </c>
      <c r="K3864" s="133">
        <v>1000</v>
      </c>
      <c r="L3864" s="34"/>
      <c r="M3864" s="16">
        <f t="shared" si="1779"/>
        <v>395975.827276767</v>
      </c>
      <c r="N3864" s="36">
        <v>1100</v>
      </c>
      <c r="O3864" s="36">
        <v>1</v>
      </c>
      <c r="P3864" s="36">
        <v>83200</v>
      </c>
      <c r="Q3864" s="2" t="s">
        <v>706</v>
      </c>
      <c r="R3864" s="2" t="s">
        <v>305</v>
      </c>
      <c r="S3864" s="56">
        <f t="shared" si="1785"/>
        <v>37440</v>
      </c>
      <c r="T3864" s="114"/>
    </row>
    <row r="3865" spans="1:20" x14ac:dyDescent="0.2">
      <c r="A3865" s="8" t="str">
        <f t="shared" si="1786"/>
        <v>9116011</v>
      </c>
      <c r="B3865" s="8">
        <v>911</v>
      </c>
      <c r="C3865" s="8">
        <v>60</v>
      </c>
      <c r="D3865" s="8" t="s">
        <v>62</v>
      </c>
      <c r="E3865" s="8">
        <v>1</v>
      </c>
      <c r="F3865" s="34">
        <f t="shared" si="1782"/>
        <v>446400</v>
      </c>
      <c r="G3865" s="34">
        <f t="shared" si="1782"/>
        <v>446400</v>
      </c>
      <c r="H3865" s="34">
        <f t="shared" si="1783"/>
        <v>129600</v>
      </c>
      <c r="I3865" s="34">
        <f t="shared" si="1783"/>
        <v>129600</v>
      </c>
      <c r="J3865" s="34">
        <f t="shared" si="1784"/>
        <v>820892</v>
      </c>
      <c r="K3865" s="133">
        <v>1000</v>
      </c>
      <c r="L3865" s="34"/>
      <c r="M3865" s="16">
        <f t="shared" si="1779"/>
        <v>551312.18636836973</v>
      </c>
      <c r="N3865" s="36">
        <v>940</v>
      </c>
      <c r="O3865" s="36">
        <v>1</v>
      </c>
      <c r="P3865" s="36">
        <v>115200</v>
      </c>
      <c r="Q3865" s="2" t="s">
        <v>706</v>
      </c>
      <c r="R3865" s="2" t="s">
        <v>170</v>
      </c>
      <c r="S3865" s="56">
        <f t="shared" si="1785"/>
        <v>51840</v>
      </c>
      <c r="T3865" s="114"/>
    </row>
    <row r="3866" spans="1:20" x14ac:dyDescent="0.2">
      <c r="A3866" s="8" t="str">
        <f t="shared" si="1786"/>
        <v>9116019</v>
      </c>
      <c r="B3866" s="8">
        <v>911</v>
      </c>
      <c r="C3866" s="8">
        <v>60</v>
      </c>
      <c r="D3866" s="8" t="s">
        <v>62</v>
      </c>
      <c r="E3866" s="8">
        <v>9</v>
      </c>
      <c r="F3866" s="34">
        <f t="shared" si="1782"/>
        <v>2529600</v>
      </c>
      <c r="G3866" s="34">
        <f t="shared" si="1782"/>
        <v>2529600</v>
      </c>
      <c r="H3866" s="34">
        <f t="shared" si="1783"/>
        <v>183600</v>
      </c>
      <c r="I3866" s="34">
        <f t="shared" si="1783"/>
        <v>183600</v>
      </c>
      <c r="J3866" s="34">
        <f t="shared" si="1784"/>
        <v>15929372</v>
      </c>
      <c r="K3866" s="133">
        <v>1000</v>
      </c>
      <c r="L3866" s="34"/>
      <c r="M3866" s="16">
        <f t="shared" si="1779"/>
        <v>6881000.334670566</v>
      </c>
      <c r="N3866" s="36">
        <v>820</v>
      </c>
      <c r="O3866" s="36">
        <v>18</v>
      </c>
      <c r="P3866" s="36">
        <v>163200</v>
      </c>
      <c r="Q3866" s="2" t="s">
        <v>706</v>
      </c>
      <c r="R3866" s="2" t="s">
        <v>170</v>
      </c>
      <c r="S3866" s="56">
        <f t="shared" si="1785"/>
        <v>73440</v>
      </c>
      <c r="T3866" s="114"/>
    </row>
    <row r="3867" spans="1:20" x14ac:dyDescent="0.2">
      <c r="A3867" s="8" t="str">
        <f t="shared" si="1786"/>
        <v>9116012</v>
      </c>
      <c r="B3867" s="8">
        <v>911</v>
      </c>
      <c r="C3867" s="8">
        <v>60</v>
      </c>
      <c r="D3867" s="8" t="s">
        <v>62</v>
      </c>
      <c r="E3867" s="8">
        <v>2</v>
      </c>
      <c r="F3867" s="34">
        <f t="shared" si="1782"/>
        <v>446400</v>
      </c>
      <c r="G3867" s="34">
        <f t="shared" si="1782"/>
        <v>446400</v>
      </c>
      <c r="H3867" s="34">
        <f t="shared" si="1783"/>
        <v>129600</v>
      </c>
      <c r="I3867" s="34">
        <f t="shared" si="1783"/>
        <v>129600</v>
      </c>
      <c r="J3867" s="34">
        <f t="shared" si="1784"/>
        <v>1124129</v>
      </c>
      <c r="K3867" s="133">
        <v>1000</v>
      </c>
      <c r="L3867" s="34"/>
      <c r="M3867" s="16">
        <f t="shared" si="1779"/>
        <v>645152.90418943635</v>
      </c>
      <c r="N3867" s="36">
        <v>1100</v>
      </c>
      <c r="O3867" s="36">
        <v>1</v>
      </c>
      <c r="P3867" s="36">
        <v>115200</v>
      </c>
      <c r="Q3867" s="2" t="s">
        <v>706</v>
      </c>
      <c r="R3867" s="2" t="s">
        <v>305</v>
      </c>
      <c r="S3867" s="56">
        <f t="shared" si="1785"/>
        <v>51840</v>
      </c>
      <c r="T3867" s="114"/>
    </row>
    <row r="3868" spans="1:20" x14ac:dyDescent="0.2">
      <c r="A3868" s="18" t="str">
        <f t="shared" si="1786"/>
        <v>9117011</v>
      </c>
      <c r="B3868" s="18">
        <v>911</v>
      </c>
      <c r="C3868" s="18">
        <v>70</v>
      </c>
      <c r="D3868" s="18" t="s">
        <v>62</v>
      </c>
      <c r="E3868" s="18">
        <v>1</v>
      </c>
      <c r="F3868" s="19">
        <f t="shared" si="1782"/>
        <v>471200</v>
      </c>
      <c r="G3868" s="19">
        <f t="shared" si="1782"/>
        <v>471200</v>
      </c>
      <c r="H3868" s="19">
        <f t="shared" si="1783"/>
        <v>136800</v>
      </c>
      <c r="I3868" s="19">
        <f t="shared" si="1783"/>
        <v>136800</v>
      </c>
      <c r="J3868" s="19">
        <f t="shared" si="1784"/>
        <v>866498</v>
      </c>
      <c r="K3868" s="133">
        <v>1000</v>
      </c>
      <c r="L3868" s="19"/>
      <c r="M3868" s="16">
        <f t="shared" si="1779"/>
        <v>597887.47955276002</v>
      </c>
      <c r="N3868" s="58">
        <v>940</v>
      </c>
      <c r="O3868" s="58">
        <v>1</v>
      </c>
      <c r="P3868" s="58">
        <v>121600</v>
      </c>
      <c r="Q3868" s="41" t="s">
        <v>706</v>
      </c>
      <c r="R3868" s="41" t="s">
        <v>170</v>
      </c>
      <c r="S3868" s="56">
        <f t="shared" si="1785"/>
        <v>54720</v>
      </c>
      <c r="T3868" s="114"/>
    </row>
    <row r="3869" spans="1:20" x14ac:dyDescent="0.2">
      <c r="A3869" s="18" t="str">
        <f t="shared" si="1786"/>
        <v>9117019</v>
      </c>
      <c r="B3869" s="18">
        <v>911</v>
      </c>
      <c r="C3869" s="18">
        <v>70</v>
      </c>
      <c r="D3869" s="18" t="s">
        <v>62</v>
      </c>
      <c r="E3869" s="18">
        <v>9</v>
      </c>
      <c r="F3869" s="19">
        <f t="shared" si="1782"/>
        <v>3801600</v>
      </c>
      <c r="G3869" s="19">
        <f t="shared" si="1782"/>
        <v>3801600</v>
      </c>
      <c r="H3869" s="19">
        <f t="shared" si="1783"/>
        <v>259200</v>
      </c>
      <c r="I3869" s="19">
        <f t="shared" si="1783"/>
        <v>259200</v>
      </c>
      <c r="J3869" s="19">
        <f t="shared" si="1784"/>
        <v>21125585</v>
      </c>
      <c r="K3869" s="133">
        <v>1000</v>
      </c>
      <c r="L3869" s="19"/>
      <c r="M3869" s="16">
        <f t="shared" si="1779"/>
        <v>11542372.000024591</v>
      </c>
      <c r="N3869" s="58">
        <v>820</v>
      </c>
      <c r="O3869" s="58">
        <v>18</v>
      </c>
      <c r="P3869" s="58">
        <v>230400</v>
      </c>
      <c r="Q3869" s="41" t="s">
        <v>510</v>
      </c>
      <c r="R3869" s="41" t="s">
        <v>170</v>
      </c>
      <c r="S3869" s="56">
        <f t="shared" si="1785"/>
        <v>103680</v>
      </c>
      <c r="T3869" s="114"/>
    </row>
    <row r="3870" spans="1:20" x14ac:dyDescent="0.2">
      <c r="A3870" s="18" t="str">
        <f t="shared" si="1786"/>
        <v>9117012</v>
      </c>
      <c r="B3870" s="18">
        <v>911</v>
      </c>
      <c r="C3870" s="18">
        <v>70</v>
      </c>
      <c r="D3870" s="18" t="s">
        <v>62</v>
      </c>
      <c r="E3870" s="18">
        <v>2</v>
      </c>
      <c r="F3870" s="19">
        <f t="shared" si="1782"/>
        <v>471200</v>
      </c>
      <c r="G3870" s="19">
        <f t="shared" si="1782"/>
        <v>471200</v>
      </c>
      <c r="H3870" s="19">
        <f t="shared" si="1783"/>
        <v>136800</v>
      </c>
      <c r="I3870" s="19">
        <f t="shared" si="1783"/>
        <v>136800</v>
      </c>
      <c r="J3870" s="19">
        <f t="shared" si="1784"/>
        <v>1186580</v>
      </c>
      <c r="K3870" s="133">
        <v>1000</v>
      </c>
      <c r="L3870" s="19"/>
      <c r="M3870" s="16">
        <f t="shared" si="1779"/>
        <v>699655.39701907546</v>
      </c>
      <c r="N3870" s="58">
        <v>1100</v>
      </c>
      <c r="O3870" s="58">
        <v>1</v>
      </c>
      <c r="P3870" s="58">
        <v>121600</v>
      </c>
      <c r="Q3870" s="41" t="s">
        <v>706</v>
      </c>
      <c r="R3870" s="41" t="s">
        <v>305</v>
      </c>
      <c r="S3870" s="56">
        <f t="shared" si="1785"/>
        <v>54720</v>
      </c>
      <c r="T3870" s="114"/>
    </row>
    <row r="3871" spans="1:20" x14ac:dyDescent="0.2">
      <c r="A3871" s="8" t="str">
        <f t="shared" si="1786"/>
        <v>9117111</v>
      </c>
      <c r="B3871" s="8">
        <v>911</v>
      </c>
      <c r="C3871" s="8">
        <v>71</v>
      </c>
      <c r="D3871" s="8" t="s">
        <v>62</v>
      </c>
      <c r="E3871" s="8">
        <v>1</v>
      </c>
      <c r="F3871" s="34">
        <f t="shared" si="1782"/>
        <v>216000</v>
      </c>
      <c r="G3871" s="34">
        <f t="shared" si="1782"/>
        <v>216000</v>
      </c>
      <c r="H3871" s="34">
        <f t="shared" si="1783"/>
        <v>64800</v>
      </c>
      <c r="I3871" s="34">
        <f t="shared" si="1783"/>
        <v>64800</v>
      </c>
      <c r="J3871" s="34">
        <f t="shared" si="1784"/>
        <v>424128</v>
      </c>
      <c r="K3871" s="133">
        <v>1000</v>
      </c>
      <c r="L3871" s="34"/>
      <c r="M3871" s="16">
        <f t="shared" si="1779"/>
        <v>194918.40000000002</v>
      </c>
      <c r="N3871" s="36">
        <v>940</v>
      </c>
      <c r="O3871" s="36">
        <v>1</v>
      </c>
      <c r="P3871" s="36">
        <v>57600</v>
      </c>
      <c r="Q3871" s="2" t="s">
        <v>197</v>
      </c>
      <c r="R3871" s="2" t="s">
        <v>170</v>
      </c>
      <c r="S3871" s="56">
        <f t="shared" si="1785"/>
        <v>25920</v>
      </c>
      <c r="T3871" s="114"/>
    </row>
    <row r="3872" spans="1:20" x14ac:dyDescent="0.2">
      <c r="A3872" s="8" t="str">
        <f t="shared" si="1786"/>
        <v>9117119</v>
      </c>
      <c r="B3872" s="8">
        <v>911</v>
      </c>
      <c r="C3872" s="8">
        <v>71</v>
      </c>
      <c r="D3872" s="8" t="s">
        <v>62</v>
      </c>
      <c r="E3872" s="8">
        <v>9</v>
      </c>
      <c r="F3872" s="34">
        <f t="shared" si="1782"/>
        <v>1060800</v>
      </c>
      <c r="G3872" s="34">
        <f t="shared" si="1782"/>
        <v>1060800</v>
      </c>
      <c r="H3872" s="34">
        <f t="shared" si="1783"/>
        <v>93600</v>
      </c>
      <c r="I3872" s="34">
        <f t="shared" si="1783"/>
        <v>93600</v>
      </c>
      <c r="J3872" s="34">
        <f t="shared" si="1784"/>
        <v>9872414</v>
      </c>
      <c r="K3872" s="133">
        <v>1000</v>
      </c>
      <c r="L3872" s="34"/>
      <c r="M3872" s="16">
        <f t="shared" si="1779"/>
        <v>2504703.6376025905</v>
      </c>
      <c r="N3872" s="36">
        <v>820</v>
      </c>
      <c r="O3872" s="36">
        <v>18</v>
      </c>
      <c r="P3872" s="36">
        <v>83200</v>
      </c>
      <c r="Q3872" s="2" t="s">
        <v>414</v>
      </c>
      <c r="R3872" s="2" t="s">
        <v>170</v>
      </c>
      <c r="S3872" s="56">
        <f t="shared" si="1785"/>
        <v>37440</v>
      </c>
      <c r="T3872" s="114"/>
    </row>
    <row r="3873" spans="1:20" x14ac:dyDescent="0.2">
      <c r="A3873" s="8" t="str">
        <f t="shared" si="1786"/>
        <v>9117112</v>
      </c>
      <c r="B3873" s="8">
        <v>911</v>
      </c>
      <c r="C3873" s="8">
        <v>71</v>
      </c>
      <c r="D3873" s="8" t="s">
        <v>62</v>
      </c>
      <c r="E3873" s="8">
        <v>2</v>
      </c>
      <c r="F3873" s="34">
        <f t="shared" si="1782"/>
        <v>216000</v>
      </c>
      <c r="G3873" s="34">
        <f t="shared" si="1782"/>
        <v>216000</v>
      </c>
      <c r="H3873" s="34">
        <f t="shared" si="1783"/>
        <v>64800</v>
      </c>
      <c r="I3873" s="34">
        <f t="shared" si="1783"/>
        <v>64800</v>
      </c>
      <c r="J3873" s="34">
        <f t="shared" si="1784"/>
        <v>580800</v>
      </c>
      <c r="K3873" s="133">
        <v>1000</v>
      </c>
      <c r="L3873" s="34"/>
      <c r="M3873" s="16">
        <f t="shared" si="1779"/>
        <v>228096</v>
      </c>
      <c r="N3873" s="36">
        <v>1100</v>
      </c>
      <c r="O3873" s="36">
        <v>1</v>
      </c>
      <c r="P3873" s="36">
        <v>57600</v>
      </c>
      <c r="Q3873" s="2" t="s">
        <v>197</v>
      </c>
      <c r="R3873" s="2" t="s">
        <v>305</v>
      </c>
      <c r="S3873" s="56">
        <f t="shared" si="1785"/>
        <v>25920</v>
      </c>
      <c r="T3873" s="114"/>
    </row>
    <row r="3874" spans="1:20" x14ac:dyDescent="0.2">
      <c r="A3874" s="8" t="str">
        <f t="shared" ref="A3874:A3876" si="1787">IF(B3874="","",CONCATENATE(B3874,CONCATENATE(REPT(0,2-LEN(C3874)),C3874),IF(OR(D3874="Easy",D3874=""),1,IF(D3874="Normal",2,IF(D3874="Hard",3,IF(D3874="Hell",4,"error")))),E3874))</f>
        <v>9117211</v>
      </c>
      <c r="B3874" s="8">
        <v>911</v>
      </c>
      <c r="C3874" s="8">
        <v>72</v>
      </c>
      <c r="D3874" s="8" t="s">
        <v>62</v>
      </c>
      <c r="E3874" s="8">
        <v>1</v>
      </c>
      <c r="F3874" s="34">
        <f t="shared" si="1782"/>
        <v>228000</v>
      </c>
      <c r="G3874" s="34">
        <f t="shared" si="1782"/>
        <v>228000</v>
      </c>
      <c r="H3874" s="34">
        <f t="shared" si="1783"/>
        <v>68400</v>
      </c>
      <c r="I3874" s="34">
        <f t="shared" si="1783"/>
        <v>68400</v>
      </c>
      <c r="J3874" s="34">
        <f t="shared" si="1784"/>
        <v>447690</v>
      </c>
      <c r="K3874" s="133">
        <v>1000</v>
      </c>
      <c r="L3874" s="34"/>
      <c r="M3874" s="16">
        <f t="shared" si="1779"/>
        <v>211384.9960692575</v>
      </c>
      <c r="N3874" s="36">
        <v>940</v>
      </c>
      <c r="O3874" s="36">
        <v>1</v>
      </c>
      <c r="P3874" s="36">
        <v>60800</v>
      </c>
      <c r="Q3874" s="2" t="s">
        <v>197</v>
      </c>
      <c r="R3874" s="2" t="s">
        <v>170</v>
      </c>
      <c r="S3874" s="56">
        <f t="shared" si="1785"/>
        <v>27360</v>
      </c>
      <c r="T3874" s="114"/>
    </row>
    <row r="3875" spans="1:20" x14ac:dyDescent="0.2">
      <c r="A3875" s="8" t="str">
        <f t="shared" si="1787"/>
        <v>9117219</v>
      </c>
      <c r="B3875" s="8">
        <v>911</v>
      </c>
      <c r="C3875" s="8">
        <v>72</v>
      </c>
      <c r="D3875" s="8" t="s">
        <v>62</v>
      </c>
      <c r="E3875" s="8">
        <v>9</v>
      </c>
      <c r="F3875" s="34">
        <f t="shared" ref="F3875:G3879" si="1788">ROUNDDOWN($P3875/4*MIN($O3875,4)*10*$N3875/$N3875*$Q3875/400,0)</f>
        <v>1280000</v>
      </c>
      <c r="G3875" s="34">
        <f t="shared" si="1788"/>
        <v>1280000</v>
      </c>
      <c r="H3875" s="34">
        <f t="shared" ref="H3875:I3879" si="1789">ROUNDDOWN($S3875/4*10,0)</f>
        <v>115200</v>
      </c>
      <c r="I3875" s="34">
        <f t="shared" si="1789"/>
        <v>115200</v>
      </c>
      <c r="J3875" s="34">
        <f t="shared" si="1784"/>
        <v>12393676</v>
      </c>
      <c r="K3875" s="133">
        <v>1000</v>
      </c>
      <c r="L3875" s="34"/>
      <c r="M3875" s="16">
        <f t="shared" si="1779"/>
        <v>3419962.0004962632</v>
      </c>
      <c r="N3875" s="36">
        <v>820</v>
      </c>
      <c r="O3875" s="36">
        <v>18</v>
      </c>
      <c r="P3875" s="36">
        <v>102400</v>
      </c>
      <c r="Q3875" s="2" t="s">
        <v>200</v>
      </c>
      <c r="R3875" s="2" t="s">
        <v>170</v>
      </c>
      <c r="S3875" s="56">
        <f t="shared" si="1785"/>
        <v>46080</v>
      </c>
      <c r="T3875" s="114"/>
    </row>
    <row r="3876" spans="1:20" x14ac:dyDescent="0.2">
      <c r="A3876" s="8" t="str">
        <f t="shared" si="1787"/>
        <v>9117212</v>
      </c>
      <c r="B3876" s="8">
        <v>911</v>
      </c>
      <c r="C3876" s="8">
        <v>72</v>
      </c>
      <c r="D3876" s="8" t="s">
        <v>62</v>
      </c>
      <c r="E3876" s="8">
        <v>2</v>
      </c>
      <c r="F3876" s="34">
        <f t="shared" si="1788"/>
        <v>228000</v>
      </c>
      <c r="G3876" s="34">
        <f t="shared" si="1788"/>
        <v>228000</v>
      </c>
      <c r="H3876" s="34">
        <f t="shared" si="1789"/>
        <v>68400</v>
      </c>
      <c r="I3876" s="34">
        <f t="shared" si="1789"/>
        <v>68400</v>
      </c>
      <c r="J3876" s="34">
        <f t="shared" si="1784"/>
        <v>613066</v>
      </c>
      <c r="K3876" s="133">
        <v>1000</v>
      </c>
      <c r="L3876" s="34"/>
      <c r="M3876" s="16">
        <f t="shared" si="1779"/>
        <v>247365.47061479697</v>
      </c>
      <c r="N3876" s="36">
        <v>1100</v>
      </c>
      <c r="O3876" s="36">
        <v>1</v>
      </c>
      <c r="P3876" s="36">
        <v>60800</v>
      </c>
      <c r="Q3876" s="2" t="s">
        <v>197</v>
      </c>
      <c r="R3876" s="2" t="s">
        <v>305</v>
      </c>
      <c r="S3876" s="56">
        <f t="shared" si="1785"/>
        <v>27360</v>
      </c>
      <c r="T3876" s="114"/>
    </row>
    <row r="3877" spans="1:20" x14ac:dyDescent="0.2">
      <c r="A3877" s="8" t="str">
        <f t="shared" ref="A3877:A3879" si="1790">IF(B3877="","",CONCATENATE(B3877,CONCATENATE(REPT(0,2-LEN(C3877)),C3877),IF(OR(D3877="Easy",D3877=""),1,IF(D3877="Normal",2,IF(D3877="Hard",3,IF(D3877="Hell",4,"error")))),E3877))</f>
        <v>9117311</v>
      </c>
      <c r="B3877" s="8">
        <v>911</v>
      </c>
      <c r="C3877" s="8">
        <v>73</v>
      </c>
      <c r="D3877" s="8" t="s">
        <v>62</v>
      </c>
      <c r="E3877" s="8">
        <v>1</v>
      </c>
      <c r="F3877" s="34">
        <f t="shared" si="1788"/>
        <v>240000</v>
      </c>
      <c r="G3877" s="34">
        <f t="shared" si="1788"/>
        <v>240000</v>
      </c>
      <c r="H3877" s="34">
        <f t="shared" si="1789"/>
        <v>72000</v>
      </c>
      <c r="I3877" s="34">
        <f t="shared" si="1789"/>
        <v>72000</v>
      </c>
      <c r="J3877" s="34">
        <f t="shared" si="1784"/>
        <v>471253</v>
      </c>
      <c r="K3877" s="133">
        <v>1000</v>
      </c>
      <c r="L3877" s="34"/>
      <c r="M3877" s="16">
        <f t="shared" si="1779"/>
        <v>228291.06810385725</v>
      </c>
      <c r="N3877" s="36">
        <v>940</v>
      </c>
      <c r="O3877" s="36">
        <v>1</v>
      </c>
      <c r="P3877" s="36">
        <v>64000</v>
      </c>
      <c r="Q3877" s="2" t="s">
        <v>197</v>
      </c>
      <c r="R3877" s="2" t="s">
        <v>170</v>
      </c>
      <c r="S3877" s="56">
        <f t="shared" si="1785"/>
        <v>28800</v>
      </c>
      <c r="T3877" s="114"/>
    </row>
    <row r="3878" spans="1:20" x14ac:dyDescent="0.2">
      <c r="A3878" s="8" t="str">
        <f t="shared" si="1790"/>
        <v>9117319</v>
      </c>
      <c r="B3878" s="8">
        <v>911</v>
      </c>
      <c r="C3878" s="8">
        <v>73</v>
      </c>
      <c r="D3878" s="8" t="s">
        <v>62</v>
      </c>
      <c r="E3878" s="8">
        <v>9</v>
      </c>
      <c r="F3878" s="34">
        <f t="shared" si="1788"/>
        <v>1224000</v>
      </c>
      <c r="G3878" s="34">
        <f t="shared" si="1788"/>
        <v>1224000</v>
      </c>
      <c r="H3878" s="34">
        <f t="shared" si="1789"/>
        <v>108000</v>
      </c>
      <c r="I3878" s="34">
        <f t="shared" si="1789"/>
        <v>108000</v>
      </c>
      <c r="J3878" s="34">
        <f t="shared" si="1784"/>
        <v>11391247</v>
      </c>
      <c r="K3878" s="133">
        <v>1000</v>
      </c>
      <c r="L3878" s="34"/>
      <c r="M3878" s="16">
        <f t="shared" si="1779"/>
        <v>3104403.8123146286</v>
      </c>
      <c r="N3878" s="36">
        <v>820</v>
      </c>
      <c r="O3878" s="36">
        <v>18</v>
      </c>
      <c r="P3878" s="36">
        <v>96000</v>
      </c>
      <c r="Q3878" s="2" t="s">
        <v>414</v>
      </c>
      <c r="R3878" s="2" t="s">
        <v>170</v>
      </c>
      <c r="S3878" s="56">
        <f t="shared" si="1785"/>
        <v>43200</v>
      </c>
    </row>
    <row r="3879" spans="1:20" ht="10.5" customHeight="1" x14ac:dyDescent="0.2">
      <c r="A3879" s="8" t="str">
        <f t="shared" si="1790"/>
        <v>9117312</v>
      </c>
      <c r="B3879" s="8">
        <v>911</v>
      </c>
      <c r="C3879" s="8">
        <v>73</v>
      </c>
      <c r="D3879" s="8" t="s">
        <v>62</v>
      </c>
      <c r="E3879" s="8">
        <v>2</v>
      </c>
      <c r="F3879" s="34">
        <f t="shared" si="1788"/>
        <v>240000</v>
      </c>
      <c r="G3879" s="34">
        <f t="shared" si="1788"/>
        <v>240000</v>
      </c>
      <c r="H3879" s="34">
        <f t="shared" si="1789"/>
        <v>72000</v>
      </c>
      <c r="I3879" s="34">
        <f t="shared" si="1789"/>
        <v>72000</v>
      </c>
      <c r="J3879" s="34">
        <f t="shared" si="1784"/>
        <v>645333</v>
      </c>
      <c r="K3879" s="133">
        <v>1000</v>
      </c>
      <c r="L3879" s="34"/>
      <c r="M3879" s="16">
        <f t="shared" si="1779"/>
        <v>267149.14773586683</v>
      </c>
      <c r="N3879" s="36">
        <v>1100</v>
      </c>
      <c r="O3879" s="36">
        <v>1</v>
      </c>
      <c r="P3879" s="36">
        <v>64000</v>
      </c>
      <c r="Q3879" s="2" t="s">
        <v>197</v>
      </c>
      <c r="R3879" s="2" t="s">
        <v>305</v>
      </c>
      <c r="S3879" s="56">
        <f t="shared" si="1785"/>
        <v>28800</v>
      </c>
    </row>
    <row r="3880" spans="1:20" ht="20.25" x14ac:dyDescent="0.2">
      <c r="A3880" s="8" t="str">
        <f t="shared" ref="A3880:A3889" si="1791">IF(B3880="","",CONCATENATE(B3880,CONCATENATE(REPT(0,2-LEN(C3880)),C3880),IF(OR(D3880="Easy",D3880=""),1,IF(D3880="Normal",2,IF(D3880="Hard",3,IF(D3880="Hell",4,"error")))),E3880))</f>
        <v/>
      </c>
      <c r="B3880" s="5"/>
      <c r="C3880" s="79" t="s">
        <v>753</v>
      </c>
      <c r="D3880" s="5"/>
      <c r="E3880" s="5"/>
      <c r="F3880" s="5"/>
      <c r="G3880" s="5"/>
      <c r="H3880" s="5"/>
      <c r="I3880" s="5"/>
      <c r="J3880" s="5"/>
      <c r="K3880" s="5"/>
      <c r="L3880" s="5"/>
      <c r="M3880" s="16">
        <f t="shared" ref="M3880:M3889" si="1792">(F3880*J3880*((H3880+I3880)/2)/1000)^(1/2)/10*0.8</f>
        <v>0</v>
      </c>
      <c r="N3880" s="5"/>
      <c r="O3880" s="5"/>
      <c r="P3880" s="5"/>
      <c r="Q3880" s="5"/>
      <c r="R3880" s="5"/>
      <c r="S3880" s="30"/>
      <c r="T3880" s="114"/>
    </row>
    <row r="3881" spans="1:20" ht="10.5" customHeight="1" x14ac:dyDescent="0.2">
      <c r="A3881" s="8" t="str">
        <f t="shared" si="1791"/>
        <v>300240111</v>
      </c>
      <c r="B3881" s="8">
        <v>30024</v>
      </c>
      <c r="C3881" s="8">
        <v>1</v>
      </c>
      <c r="D3881" s="8" t="s">
        <v>259</v>
      </c>
      <c r="E3881" s="8">
        <v>1</v>
      </c>
      <c r="F3881" s="34">
        <f t="shared" ref="F3881:G3882" si="1793">ROUNDDOWN($P3881/4*MIN($O3881,4)*10*$N3881/$N3881*$Q3881/400,0)</f>
        <v>219300</v>
      </c>
      <c r="G3881" s="34">
        <f t="shared" si="1793"/>
        <v>219300</v>
      </c>
      <c r="H3881" s="34">
        <f t="shared" ref="H3881:I3882" si="1794">ROUNDDOWN($S3881/4*10,0)</f>
        <v>9000</v>
      </c>
      <c r="I3881" s="34">
        <f t="shared" si="1794"/>
        <v>9000</v>
      </c>
      <c r="J3881" s="34">
        <f t="shared" ref="J3881:J3882" si="1795">ROUNDDOWN($P3881/4*$O3881*10*$N3881/$Q3881*$N3881/400*0.8,0)</f>
        <v>764158</v>
      </c>
      <c r="K3881" s="133">
        <v>1000</v>
      </c>
      <c r="L3881" s="34"/>
      <c r="M3881" s="16">
        <f t="shared" si="1792"/>
        <v>98247.642849281649</v>
      </c>
      <c r="N3881" s="36">
        <v>700</v>
      </c>
      <c r="O3881" s="2" t="s">
        <v>228</v>
      </c>
      <c r="P3881" s="2" t="s">
        <v>748</v>
      </c>
      <c r="Q3881" s="2" t="s">
        <v>102</v>
      </c>
      <c r="R3881" s="2" t="s">
        <v>167</v>
      </c>
      <c r="S3881" s="2">
        <f>P3881*0.3</f>
        <v>3600</v>
      </c>
    </row>
    <row r="3882" spans="1:20" ht="11.25" customHeight="1" x14ac:dyDescent="0.2">
      <c r="A3882" s="8" t="str">
        <f t="shared" si="1791"/>
        <v>300240131</v>
      </c>
      <c r="B3882" s="8">
        <v>30024</v>
      </c>
      <c r="C3882" s="8">
        <v>1</v>
      </c>
      <c r="D3882" s="8" t="s">
        <v>64</v>
      </c>
      <c r="E3882" s="8">
        <v>1</v>
      </c>
      <c r="F3882" s="34">
        <f t="shared" si="1793"/>
        <v>728750</v>
      </c>
      <c r="G3882" s="34">
        <f t="shared" si="1793"/>
        <v>728750</v>
      </c>
      <c r="H3882" s="34">
        <f t="shared" si="1794"/>
        <v>27500</v>
      </c>
      <c r="I3882" s="34">
        <f t="shared" si="1794"/>
        <v>27500</v>
      </c>
      <c r="J3882" s="34">
        <f t="shared" si="1795"/>
        <v>3490943</v>
      </c>
      <c r="K3882" s="133">
        <v>1000</v>
      </c>
      <c r="L3882" s="34"/>
      <c r="M3882" s="16">
        <f t="shared" si="1792"/>
        <v>669140.00715844217</v>
      </c>
      <c r="N3882" s="36">
        <v>580</v>
      </c>
      <c r="O3882" s="36">
        <v>20</v>
      </c>
      <c r="P3882" s="36">
        <v>55000</v>
      </c>
      <c r="Q3882" s="2" t="s">
        <v>251</v>
      </c>
      <c r="R3882" s="2" t="s">
        <v>169</v>
      </c>
      <c r="S3882" s="56">
        <f>P3882*0.2</f>
        <v>11000</v>
      </c>
    </row>
    <row r="3883" spans="1:20" ht="10.5" customHeight="1" x14ac:dyDescent="0.2">
      <c r="A3883" s="8" t="str">
        <f t="shared" si="1791"/>
        <v>300240231</v>
      </c>
      <c r="B3883" s="8">
        <v>30024</v>
      </c>
      <c r="C3883" s="8">
        <v>2</v>
      </c>
      <c r="D3883" s="8" t="s">
        <v>64</v>
      </c>
      <c r="E3883" s="8">
        <v>1</v>
      </c>
      <c r="F3883" s="34">
        <f t="shared" ref="F3883:G3889" si="1796">ROUNDDOWN($P3883/4*MIN($O3883,4)*10*$N3883/$N3883*$Q3883/400,0)</f>
        <v>91375</v>
      </c>
      <c r="G3883" s="34">
        <f t="shared" si="1796"/>
        <v>91375</v>
      </c>
      <c r="H3883" s="34">
        <f t="shared" ref="H3883:I3889" si="1797">ROUNDDOWN($S3883/4*10,0)</f>
        <v>15802</v>
      </c>
      <c r="I3883" s="34">
        <f t="shared" si="1797"/>
        <v>15802</v>
      </c>
      <c r="J3883" s="34">
        <f t="shared" ref="J3883:J3889" si="1798">ROUNDDOWN($P3883/4*$O3883*10*$N3883/$Q3883*$N3883/400*0.8,0)</f>
        <v>436922</v>
      </c>
      <c r="K3883" s="133">
        <v>1000</v>
      </c>
      <c r="L3883" s="34"/>
      <c r="M3883" s="16">
        <f t="shared" si="1792"/>
        <v>63542.115139891277</v>
      </c>
      <c r="N3883" s="36">
        <v>820</v>
      </c>
      <c r="O3883" s="2" t="s">
        <v>228</v>
      </c>
      <c r="P3883" s="2" t="s">
        <v>180</v>
      </c>
      <c r="Q3883" s="2" t="s">
        <v>102</v>
      </c>
      <c r="R3883" s="2" t="s">
        <v>754</v>
      </c>
      <c r="S3883" s="36">
        <v>6321</v>
      </c>
    </row>
    <row r="3884" spans="1:20" ht="10.5" customHeight="1" x14ac:dyDescent="0.2">
      <c r="A3884" s="8" t="str">
        <f t="shared" si="1791"/>
        <v>300240311</v>
      </c>
      <c r="B3884" s="8">
        <v>30024</v>
      </c>
      <c r="C3884" s="8">
        <v>3</v>
      </c>
      <c r="D3884" s="8" t="s">
        <v>259</v>
      </c>
      <c r="E3884" s="8">
        <v>1</v>
      </c>
      <c r="F3884" s="34">
        <f t="shared" si="1796"/>
        <v>50000</v>
      </c>
      <c r="G3884" s="34">
        <f t="shared" si="1796"/>
        <v>50000</v>
      </c>
      <c r="H3884" s="34">
        <f t="shared" si="1797"/>
        <v>15802</v>
      </c>
      <c r="I3884" s="34">
        <f t="shared" si="1797"/>
        <v>15802</v>
      </c>
      <c r="J3884" s="34">
        <f t="shared" si="1798"/>
        <v>12775600</v>
      </c>
      <c r="K3884" s="133">
        <v>1000</v>
      </c>
      <c r="L3884" s="34"/>
      <c r="M3884" s="16">
        <f t="shared" si="1792"/>
        <v>254168.46772170617</v>
      </c>
      <c r="N3884" s="36">
        <v>820</v>
      </c>
      <c r="O3884" s="2" t="s">
        <v>228</v>
      </c>
      <c r="P3884" s="2" t="s">
        <v>594</v>
      </c>
      <c r="Q3884" s="2" t="s">
        <v>482</v>
      </c>
      <c r="R3884" s="2" t="s">
        <v>167</v>
      </c>
      <c r="S3884" s="36">
        <v>6321</v>
      </c>
    </row>
    <row r="3885" spans="1:20" ht="10.5" customHeight="1" x14ac:dyDescent="0.2">
      <c r="A3885" s="8" t="str">
        <f t="shared" si="1791"/>
        <v>300240331</v>
      </c>
      <c r="B3885" s="8">
        <v>30024</v>
      </c>
      <c r="C3885" s="8">
        <v>3</v>
      </c>
      <c r="D3885" s="8" t="s">
        <v>64</v>
      </c>
      <c r="E3885" s="8">
        <v>1</v>
      </c>
      <c r="F3885" s="34">
        <f t="shared" si="1796"/>
        <v>16875000</v>
      </c>
      <c r="G3885" s="34">
        <f t="shared" si="1796"/>
        <v>16875000</v>
      </c>
      <c r="H3885" s="34">
        <f t="shared" si="1797"/>
        <v>75000</v>
      </c>
      <c r="I3885" s="34">
        <f t="shared" si="1797"/>
        <v>75000</v>
      </c>
      <c r="J3885" s="34">
        <f t="shared" si="1798"/>
        <v>532316</v>
      </c>
      <c r="K3885" s="133">
        <v>1000</v>
      </c>
      <c r="L3885" s="34"/>
      <c r="M3885" s="16">
        <f t="shared" si="1792"/>
        <v>2076477.6907060668</v>
      </c>
      <c r="N3885" s="36">
        <v>820</v>
      </c>
      <c r="O3885" s="2" t="s">
        <v>228</v>
      </c>
      <c r="P3885" s="2" t="s">
        <v>757</v>
      </c>
      <c r="Q3885" s="2" t="s">
        <v>758</v>
      </c>
      <c r="R3885" s="2" t="s">
        <v>167</v>
      </c>
      <c r="S3885" s="36">
        <v>30000</v>
      </c>
    </row>
    <row r="3886" spans="1:20" ht="10.5" customHeight="1" x14ac:dyDescent="0.2">
      <c r="A3886" s="8" t="str">
        <f t="shared" si="1791"/>
        <v>300240221</v>
      </c>
      <c r="B3886" s="8">
        <v>30024</v>
      </c>
      <c r="C3886" s="8">
        <v>2</v>
      </c>
      <c r="D3886" s="8" t="s">
        <v>63</v>
      </c>
      <c r="E3886" s="8">
        <v>1</v>
      </c>
      <c r="F3886" s="34">
        <f t="shared" si="1796"/>
        <v>450000</v>
      </c>
      <c r="G3886" s="34">
        <f t="shared" si="1796"/>
        <v>450000</v>
      </c>
      <c r="H3886" s="34">
        <f t="shared" si="1797"/>
        <v>15802</v>
      </c>
      <c r="I3886" s="34">
        <f t="shared" si="1797"/>
        <v>15802</v>
      </c>
      <c r="J3886" s="34">
        <f t="shared" si="1798"/>
        <v>354877</v>
      </c>
      <c r="K3886" s="133">
        <v>1000</v>
      </c>
      <c r="L3886" s="34"/>
      <c r="M3886" s="16">
        <f t="shared" si="1792"/>
        <v>127084.09459692429</v>
      </c>
      <c r="N3886" s="36">
        <v>820</v>
      </c>
      <c r="O3886" s="2" t="s">
        <v>228</v>
      </c>
      <c r="P3886" s="2" t="s">
        <v>399</v>
      </c>
      <c r="Q3886" s="2" t="s">
        <v>425</v>
      </c>
      <c r="R3886" s="2" t="s">
        <v>754</v>
      </c>
      <c r="S3886" s="36">
        <v>6321</v>
      </c>
    </row>
    <row r="3887" spans="1:20" ht="10.5" customHeight="1" x14ac:dyDescent="0.2">
      <c r="A3887" s="8" t="str">
        <f t="shared" si="1791"/>
        <v>300240121</v>
      </c>
      <c r="B3887" s="8">
        <v>30024</v>
      </c>
      <c r="C3887" s="8">
        <v>1</v>
      </c>
      <c r="D3887" s="8" t="s">
        <v>63</v>
      </c>
      <c r="E3887" s="8">
        <v>1</v>
      </c>
      <c r="F3887" s="34">
        <f t="shared" si="1796"/>
        <v>350000</v>
      </c>
      <c r="G3887" s="34">
        <f t="shared" si="1796"/>
        <v>350000</v>
      </c>
      <c r="H3887" s="34">
        <f t="shared" si="1797"/>
        <v>15802</v>
      </c>
      <c r="I3887" s="34">
        <f t="shared" si="1797"/>
        <v>15802</v>
      </c>
      <c r="J3887" s="34">
        <v>1000</v>
      </c>
      <c r="K3887" s="133">
        <v>1000</v>
      </c>
      <c r="L3887" s="34"/>
      <c r="M3887" s="16">
        <f t="shared" si="1792"/>
        <v>5949.4940961396051</v>
      </c>
      <c r="N3887" s="36">
        <v>820</v>
      </c>
      <c r="O3887" s="2" t="s">
        <v>228</v>
      </c>
      <c r="P3887" s="2" t="s">
        <v>399</v>
      </c>
      <c r="Q3887" s="2" t="s">
        <v>286</v>
      </c>
      <c r="R3887" s="2" t="s">
        <v>756</v>
      </c>
      <c r="S3887" s="36">
        <v>6321</v>
      </c>
    </row>
    <row r="3888" spans="1:20" x14ac:dyDescent="0.2">
      <c r="A3888" s="8" t="str">
        <f t="shared" si="1791"/>
        <v>300240119</v>
      </c>
      <c r="B3888" s="8">
        <v>30024</v>
      </c>
      <c r="C3888" s="8">
        <v>1</v>
      </c>
      <c r="D3888" s="8" t="s">
        <v>259</v>
      </c>
      <c r="E3888" s="8">
        <v>9</v>
      </c>
      <c r="F3888" s="34">
        <f t="shared" si="1796"/>
        <v>12000000</v>
      </c>
      <c r="G3888" s="34">
        <f t="shared" si="1796"/>
        <v>12000000</v>
      </c>
      <c r="H3888" s="34">
        <f t="shared" si="1797"/>
        <v>42500</v>
      </c>
      <c r="I3888" s="34">
        <f t="shared" si="1797"/>
        <v>42500</v>
      </c>
      <c r="J3888" s="34">
        <f t="shared" si="1798"/>
        <v>20266666</v>
      </c>
      <c r="K3888" s="133">
        <v>1000</v>
      </c>
      <c r="L3888" s="34"/>
      <c r="M3888" s="16">
        <f t="shared" si="1792"/>
        <v>8133289.4835976427</v>
      </c>
      <c r="N3888" s="36">
        <v>2000</v>
      </c>
      <c r="O3888" s="2" t="s">
        <v>228</v>
      </c>
      <c r="P3888" s="2" t="s">
        <v>760</v>
      </c>
      <c r="Q3888" s="2" t="s">
        <v>529</v>
      </c>
      <c r="R3888" s="2" t="s">
        <v>167</v>
      </c>
      <c r="S3888" s="36">
        <v>17000</v>
      </c>
    </row>
    <row r="3889" spans="1:19" ht="10.5" customHeight="1" x14ac:dyDescent="0.2">
      <c r="A3889" s="8" t="str">
        <f t="shared" si="1791"/>
        <v>300240118</v>
      </c>
      <c r="B3889" s="8">
        <v>30024</v>
      </c>
      <c r="C3889" s="8">
        <v>1</v>
      </c>
      <c r="D3889" s="8" t="s">
        <v>259</v>
      </c>
      <c r="E3889" s="8">
        <v>8</v>
      </c>
      <c r="F3889" s="34">
        <f t="shared" si="1796"/>
        <v>250000</v>
      </c>
      <c r="G3889" s="34">
        <f t="shared" si="1796"/>
        <v>250000</v>
      </c>
      <c r="H3889" s="34">
        <f t="shared" si="1797"/>
        <v>2500</v>
      </c>
      <c r="I3889" s="34">
        <f t="shared" si="1797"/>
        <v>2500</v>
      </c>
      <c r="J3889" s="34">
        <f t="shared" si="1798"/>
        <v>159695</v>
      </c>
      <c r="K3889" s="133">
        <v>1000</v>
      </c>
      <c r="L3889" s="34"/>
      <c r="M3889" s="16">
        <f t="shared" si="1792"/>
        <v>25274.097412172807</v>
      </c>
      <c r="N3889" s="36">
        <v>820</v>
      </c>
      <c r="O3889" s="2" t="s">
        <v>228</v>
      </c>
      <c r="P3889" s="2" t="s">
        <v>180</v>
      </c>
      <c r="Q3889" s="2" t="s">
        <v>202</v>
      </c>
      <c r="R3889" s="2" t="s">
        <v>759</v>
      </c>
      <c r="S3889" s="36">
        <v>1000</v>
      </c>
    </row>
    <row r="3890" spans="1:19" ht="10.5" customHeight="1" x14ac:dyDescent="0.2">
      <c r="A3890" s="8" t="str">
        <f t="shared" ref="A3890:A3896" si="1799">IF(B3890="","",CONCATENATE(B3890,CONCATENATE(REPT(0,2-LEN(C3890)),C3890),IF(OR(D3890="Easy",D3890=""),1,IF(D3890="Normal",2,IF(D3890="Hard",3,IF(D3890="Hell",4,"error")))),E3890))</f>
        <v/>
      </c>
      <c r="B3890" s="5"/>
      <c r="C3890" s="79" t="s">
        <v>791</v>
      </c>
      <c r="D3890" s="5"/>
      <c r="E3890" s="5"/>
      <c r="F3890" s="5"/>
      <c r="G3890" s="5"/>
      <c r="H3890" s="5"/>
      <c r="I3890" s="5"/>
      <c r="J3890" s="5"/>
      <c r="K3890" s="5"/>
      <c r="L3890" s="5"/>
      <c r="M3890" s="16">
        <f t="shared" ref="M3890:M3896" si="1800">(F3890*J3890*((H3890+I3890)/2)/1000)^(1/2)/10*0.8</f>
        <v>0</v>
      </c>
      <c r="N3890" s="5"/>
      <c r="O3890" s="5"/>
      <c r="P3890" s="5"/>
      <c r="Q3890" s="5"/>
      <c r="R3890" s="5"/>
      <c r="S3890" s="30"/>
    </row>
    <row r="3891" spans="1:19" ht="11.25" customHeight="1" x14ac:dyDescent="0.2">
      <c r="A3891" s="8" t="str">
        <f t="shared" si="1799"/>
        <v>300250711</v>
      </c>
      <c r="B3891" s="8">
        <v>30025</v>
      </c>
      <c r="C3891" s="8">
        <v>7</v>
      </c>
      <c r="D3891" s="8" t="s">
        <v>259</v>
      </c>
      <c r="E3891" s="8">
        <v>1</v>
      </c>
      <c r="F3891" s="34">
        <f t="shared" ref="F3891:G3898" si="1801">ROUNDDOWN($P3891/4*MIN($O3891,4)*10*$N3891/$N3891*$Q3891/400,0)</f>
        <v>1462000</v>
      </c>
      <c r="G3891" s="34">
        <f t="shared" si="1801"/>
        <v>1462000</v>
      </c>
      <c r="H3891" s="34">
        <f t="shared" ref="H3891:I3898" si="1802">ROUNDDOWN($S3891/4*10,0)</f>
        <v>60000</v>
      </c>
      <c r="I3891" s="34">
        <f t="shared" si="1802"/>
        <v>60000</v>
      </c>
      <c r="J3891" s="34">
        <f t="shared" ref="J3891:J3898" si="1803">ROUNDDOWN($P3891/4*$O3891*10*$N3891/$Q3891*$N3891/400*0.8,0)</f>
        <v>5094391</v>
      </c>
      <c r="K3891" s="133">
        <v>1000</v>
      </c>
      <c r="L3891" s="34"/>
      <c r="M3891" s="16">
        <f t="shared" si="1800"/>
        <v>1691162.8728564261</v>
      </c>
      <c r="N3891" s="36">
        <v>700</v>
      </c>
      <c r="O3891" s="2" t="s">
        <v>228</v>
      </c>
      <c r="P3891" s="2" t="s">
        <v>481</v>
      </c>
      <c r="Q3891" s="2" t="s">
        <v>102</v>
      </c>
      <c r="R3891" s="2" t="s">
        <v>793</v>
      </c>
      <c r="S3891" s="2">
        <f>P3891*0.3</f>
        <v>24000</v>
      </c>
    </row>
    <row r="3892" spans="1:19" ht="10.5" customHeight="1" x14ac:dyDescent="0.2">
      <c r="A3892" s="8" t="str">
        <f t="shared" si="1799"/>
        <v>300250712</v>
      </c>
      <c r="B3892" s="8">
        <v>30025</v>
      </c>
      <c r="C3892" s="8">
        <v>7</v>
      </c>
      <c r="D3892" s="8" t="s">
        <v>259</v>
      </c>
      <c r="E3892" s="8">
        <v>2</v>
      </c>
      <c r="F3892" s="34">
        <f t="shared" si="1801"/>
        <v>91375</v>
      </c>
      <c r="G3892" s="34">
        <f t="shared" si="1801"/>
        <v>91375</v>
      </c>
      <c r="H3892" s="34">
        <f t="shared" si="1802"/>
        <v>15802</v>
      </c>
      <c r="I3892" s="34">
        <f t="shared" si="1802"/>
        <v>15802</v>
      </c>
      <c r="J3892" s="34">
        <f t="shared" si="1803"/>
        <v>436922</v>
      </c>
      <c r="K3892" s="133">
        <v>1000</v>
      </c>
      <c r="L3892" s="34"/>
      <c r="M3892" s="16">
        <f t="shared" si="1800"/>
        <v>63542.115139891277</v>
      </c>
      <c r="N3892" s="36">
        <v>820</v>
      </c>
      <c r="O3892" s="2" t="s">
        <v>228</v>
      </c>
      <c r="P3892" s="2" t="s">
        <v>180</v>
      </c>
      <c r="Q3892" s="2" t="s">
        <v>102</v>
      </c>
      <c r="R3892" s="2" t="s">
        <v>792</v>
      </c>
      <c r="S3892" s="36">
        <v>6321</v>
      </c>
    </row>
    <row r="3893" spans="1:19" ht="10.5" customHeight="1" x14ac:dyDescent="0.2">
      <c r="A3893" s="8" t="str">
        <f t="shared" si="1799"/>
        <v>300250811</v>
      </c>
      <c r="B3893" s="8">
        <v>30025</v>
      </c>
      <c r="C3893" s="8">
        <v>8</v>
      </c>
      <c r="D3893" s="8" t="s">
        <v>259</v>
      </c>
      <c r="E3893" s="8">
        <v>1</v>
      </c>
      <c r="F3893" s="34">
        <f t="shared" si="1801"/>
        <v>2924000</v>
      </c>
      <c r="G3893" s="34">
        <f t="shared" si="1801"/>
        <v>2924000</v>
      </c>
      <c r="H3893" s="34">
        <f t="shared" si="1802"/>
        <v>95000</v>
      </c>
      <c r="I3893" s="34">
        <f t="shared" si="1802"/>
        <v>95000</v>
      </c>
      <c r="J3893" s="34">
        <f t="shared" si="1803"/>
        <v>3002571</v>
      </c>
      <c r="K3893" s="133">
        <v>1000</v>
      </c>
      <c r="L3893" s="34"/>
      <c r="M3893" s="16">
        <f t="shared" si="1800"/>
        <v>2310399.6847368204</v>
      </c>
      <c r="N3893" s="36">
        <v>380</v>
      </c>
      <c r="O3893" s="2" t="s">
        <v>228</v>
      </c>
      <c r="P3893" s="2" t="s">
        <v>760</v>
      </c>
      <c r="Q3893" s="2" t="s">
        <v>102</v>
      </c>
      <c r="R3893" s="2" t="s">
        <v>794</v>
      </c>
      <c r="S3893" s="2" t="s">
        <v>798</v>
      </c>
    </row>
    <row r="3894" spans="1:19" ht="10.5" customHeight="1" x14ac:dyDescent="0.2">
      <c r="A3894" s="8" t="str">
        <f t="shared" si="1799"/>
        <v>300250812</v>
      </c>
      <c r="B3894" s="8">
        <v>30025</v>
      </c>
      <c r="C3894" s="8">
        <v>8</v>
      </c>
      <c r="D3894" s="8" t="s">
        <v>259</v>
      </c>
      <c r="E3894" s="8">
        <v>2</v>
      </c>
      <c r="F3894" s="34">
        <f t="shared" si="1801"/>
        <v>91375</v>
      </c>
      <c r="G3894" s="34">
        <f t="shared" si="1801"/>
        <v>91375</v>
      </c>
      <c r="H3894" s="34">
        <f t="shared" si="1802"/>
        <v>10000</v>
      </c>
      <c r="I3894" s="34">
        <f t="shared" si="1802"/>
        <v>10000</v>
      </c>
      <c r="J3894" s="34">
        <f t="shared" si="1803"/>
        <v>58481</v>
      </c>
      <c r="K3894" s="133">
        <v>1000</v>
      </c>
      <c r="L3894" s="34"/>
      <c r="M3894" s="16">
        <f t="shared" si="1800"/>
        <v>18493.157869871764</v>
      </c>
      <c r="N3894" s="36">
        <v>300</v>
      </c>
      <c r="O3894" s="2" t="s">
        <v>228</v>
      </c>
      <c r="P3894" s="2" t="s">
        <v>180</v>
      </c>
      <c r="Q3894" s="2" t="s">
        <v>102</v>
      </c>
      <c r="R3894" s="2" t="s">
        <v>792</v>
      </c>
      <c r="S3894" s="36">
        <v>4000</v>
      </c>
    </row>
    <row r="3895" spans="1:19" ht="10.5" customHeight="1" x14ac:dyDescent="0.2">
      <c r="A3895" s="8" t="str">
        <f t="shared" si="1799"/>
        <v>300250911</v>
      </c>
      <c r="B3895" s="8">
        <v>30025</v>
      </c>
      <c r="C3895" s="8">
        <v>9</v>
      </c>
      <c r="D3895" s="8" t="s">
        <v>259</v>
      </c>
      <c r="E3895" s="8">
        <v>1</v>
      </c>
      <c r="F3895" s="34">
        <f t="shared" si="1801"/>
        <v>1516825</v>
      </c>
      <c r="G3895" s="34">
        <f t="shared" si="1801"/>
        <v>1516825</v>
      </c>
      <c r="H3895" s="34">
        <f t="shared" si="1802"/>
        <v>62250</v>
      </c>
      <c r="I3895" s="34">
        <f t="shared" si="1802"/>
        <v>62250</v>
      </c>
      <c r="J3895" s="34">
        <f t="shared" si="1803"/>
        <v>2589861</v>
      </c>
      <c r="K3895" s="133">
        <v>1000</v>
      </c>
      <c r="L3895" s="34"/>
      <c r="M3895" s="16">
        <f t="shared" si="1800"/>
        <v>1251023.9722211082</v>
      </c>
      <c r="N3895" s="36">
        <v>490</v>
      </c>
      <c r="O3895" s="2" t="s">
        <v>228</v>
      </c>
      <c r="P3895" s="2" t="s">
        <v>797</v>
      </c>
      <c r="Q3895" s="2" t="s">
        <v>102</v>
      </c>
      <c r="R3895" s="2" t="s">
        <v>795</v>
      </c>
      <c r="S3895" s="2">
        <f>P3895*0.3</f>
        <v>24900</v>
      </c>
    </row>
    <row r="3896" spans="1:19" ht="10.5" customHeight="1" x14ac:dyDescent="0.2">
      <c r="A3896" s="8" t="str">
        <f t="shared" si="1799"/>
        <v>300250912</v>
      </c>
      <c r="B3896" s="8">
        <v>30025</v>
      </c>
      <c r="C3896" s="8">
        <v>9</v>
      </c>
      <c r="D3896" s="8" t="s">
        <v>259</v>
      </c>
      <c r="E3896" s="8">
        <v>2</v>
      </c>
      <c r="F3896" s="34">
        <f t="shared" si="1801"/>
        <v>91375</v>
      </c>
      <c r="G3896" s="34">
        <f t="shared" si="1801"/>
        <v>91375</v>
      </c>
      <c r="H3896" s="34">
        <f t="shared" si="1802"/>
        <v>15802</v>
      </c>
      <c r="I3896" s="34">
        <f t="shared" si="1802"/>
        <v>15802</v>
      </c>
      <c r="J3896" s="34">
        <f t="shared" si="1803"/>
        <v>436922</v>
      </c>
      <c r="K3896" s="133">
        <v>1000</v>
      </c>
      <c r="L3896" s="34"/>
      <c r="M3896" s="16">
        <f t="shared" si="1800"/>
        <v>63542.115139891277</v>
      </c>
      <c r="N3896" s="36">
        <v>820</v>
      </c>
      <c r="O3896" s="2" t="s">
        <v>228</v>
      </c>
      <c r="P3896" s="2" t="s">
        <v>180</v>
      </c>
      <c r="Q3896" s="2" t="s">
        <v>102</v>
      </c>
      <c r="R3896" s="2" t="s">
        <v>792</v>
      </c>
      <c r="S3896" s="36">
        <v>6321</v>
      </c>
    </row>
    <row r="3897" spans="1:19" x14ac:dyDescent="0.2">
      <c r="A3897" s="8" t="str">
        <f t="shared" ref="A3897:A3899" si="1804">IF(B3897="","",CONCATENATE(B3897,CONCATENATE(REPT(0,2-LEN(C3897)),C3897),IF(OR(D3897="Easy",D3897=""),1,IF(D3897="Normal",2,IF(D3897="Hard",3,IF(D3897="Hell",4,"error")))),E3897))</f>
        <v>300251011</v>
      </c>
      <c r="B3897" s="8">
        <v>30025</v>
      </c>
      <c r="C3897" s="8">
        <v>10</v>
      </c>
      <c r="D3897" s="8" t="s">
        <v>259</v>
      </c>
      <c r="E3897" s="8">
        <v>1</v>
      </c>
      <c r="F3897" s="34">
        <f t="shared" si="1801"/>
        <v>1462000</v>
      </c>
      <c r="G3897" s="34">
        <f t="shared" si="1801"/>
        <v>1462000</v>
      </c>
      <c r="H3897" s="34">
        <f t="shared" si="1802"/>
        <v>60000</v>
      </c>
      <c r="I3897" s="34">
        <f t="shared" si="1802"/>
        <v>60000</v>
      </c>
      <c r="J3897" s="34">
        <f t="shared" si="1803"/>
        <v>11029876</v>
      </c>
      <c r="K3897" s="133">
        <v>1000</v>
      </c>
      <c r="L3897" s="34"/>
      <c r="M3897" s="16">
        <f t="shared" ref="M3897:M3900" si="1805">(F3897*J3897*((H3897+I3897)/2)/1000)^(1/2)/10*0.8</f>
        <v>2488425.3304867321</v>
      </c>
      <c r="N3897" s="36">
        <v>1030</v>
      </c>
      <c r="O3897" s="2" t="s">
        <v>228</v>
      </c>
      <c r="P3897" s="2" t="s">
        <v>481</v>
      </c>
      <c r="Q3897" s="2" t="s">
        <v>102</v>
      </c>
      <c r="R3897" s="2" t="s">
        <v>796</v>
      </c>
      <c r="S3897" s="2">
        <f>P3897*0.3</f>
        <v>24000</v>
      </c>
    </row>
    <row r="3898" spans="1:19" x14ac:dyDescent="0.2">
      <c r="A3898" s="8" t="str">
        <f t="shared" si="1804"/>
        <v>300251012</v>
      </c>
      <c r="B3898" s="8">
        <v>30025</v>
      </c>
      <c r="C3898" s="8">
        <v>10</v>
      </c>
      <c r="D3898" s="8" t="s">
        <v>259</v>
      </c>
      <c r="E3898" s="8">
        <v>2</v>
      </c>
      <c r="F3898" s="34">
        <f t="shared" si="1801"/>
        <v>91375</v>
      </c>
      <c r="G3898" s="34">
        <f t="shared" si="1801"/>
        <v>91375</v>
      </c>
      <c r="H3898" s="34">
        <f t="shared" si="1802"/>
        <v>15802</v>
      </c>
      <c r="I3898" s="34">
        <f t="shared" si="1802"/>
        <v>15802</v>
      </c>
      <c r="J3898" s="34">
        <f t="shared" si="1803"/>
        <v>436922</v>
      </c>
      <c r="K3898" s="133">
        <v>1000</v>
      </c>
      <c r="L3898" s="34"/>
      <c r="M3898" s="16">
        <f t="shared" si="1805"/>
        <v>63542.115139891277</v>
      </c>
      <c r="N3898" s="36">
        <v>820</v>
      </c>
      <c r="O3898" s="2" t="s">
        <v>228</v>
      </c>
      <c r="P3898" s="2" t="s">
        <v>180</v>
      </c>
      <c r="Q3898" s="2" t="s">
        <v>102</v>
      </c>
      <c r="R3898" s="2" t="s">
        <v>792</v>
      </c>
      <c r="S3898" s="36">
        <v>6321</v>
      </c>
    </row>
    <row r="3899" spans="1:19" ht="20.25" x14ac:dyDescent="0.2">
      <c r="A3899" s="8" t="str">
        <f t="shared" si="1804"/>
        <v/>
      </c>
      <c r="B3899" s="5"/>
      <c r="C3899" s="79" t="s">
        <v>812</v>
      </c>
      <c r="D3899" s="5"/>
      <c r="E3899" s="5"/>
      <c r="F3899" s="5"/>
      <c r="G3899" s="5"/>
      <c r="H3899" s="5"/>
      <c r="I3899" s="5"/>
      <c r="J3899" s="5"/>
      <c r="K3899" s="5"/>
      <c r="L3899" s="5"/>
      <c r="M3899" s="16">
        <f t="shared" si="1805"/>
        <v>0</v>
      </c>
      <c r="N3899" s="5"/>
      <c r="O3899" s="5"/>
      <c r="P3899" s="5"/>
      <c r="Q3899" s="5"/>
      <c r="R3899" s="5"/>
      <c r="S3899" s="30"/>
    </row>
    <row r="3900" spans="1:19" x14ac:dyDescent="0.2">
      <c r="A3900" s="8">
        <v>82010111</v>
      </c>
      <c r="B3900" s="8">
        <v>8201</v>
      </c>
      <c r="C3900" s="8">
        <v>1</v>
      </c>
      <c r="D3900" s="8" t="s">
        <v>259</v>
      </c>
      <c r="E3900" s="8">
        <v>1</v>
      </c>
      <c r="F3900" s="133">
        <f t="shared" ref="F3900:G3915" si="1806">ROUNDDOWN($P3900/4*$O3900*10*$N3900/$N3900*$Q3900/400,0)</f>
        <v>243750</v>
      </c>
      <c r="G3900" s="133">
        <f t="shared" si="1806"/>
        <v>243750</v>
      </c>
      <c r="H3900" s="133">
        <f t="shared" ref="H3900:I3915" si="1807">ROUNDDOWN($S3900/4*10,0)</f>
        <v>9500</v>
      </c>
      <c r="I3900" s="133">
        <f t="shared" si="1807"/>
        <v>9500</v>
      </c>
      <c r="J3900" s="133">
        <f t="shared" ref="J3900:J3984" si="1808">ROUNDDOWN($P3900/4*$O3900*10*$N3900/$Q3900*$N3900/400,0)</f>
        <v>369230</v>
      </c>
      <c r="K3900" s="133">
        <v>1000</v>
      </c>
      <c r="L3900" s="133">
        <v>40</v>
      </c>
      <c r="M3900" s="133">
        <f t="shared" si="1805"/>
        <v>73972.890980412558</v>
      </c>
      <c r="N3900" s="133">
        <v>800</v>
      </c>
      <c r="O3900" s="133">
        <v>2</v>
      </c>
      <c r="P3900" s="133">
        <v>30000</v>
      </c>
      <c r="Q3900" s="134">
        <v>650</v>
      </c>
      <c r="R3900" s="2" t="s">
        <v>813</v>
      </c>
      <c r="S3900" s="136">
        <f>ROUNDUP(P3900/8,-2)</f>
        <v>3800</v>
      </c>
    </row>
    <row r="3901" spans="1:19" x14ac:dyDescent="0.2">
      <c r="A3901" s="8">
        <v>82010112</v>
      </c>
      <c r="B3901" s="8">
        <v>8201</v>
      </c>
      <c r="C3901" s="8">
        <v>1</v>
      </c>
      <c r="D3901" s="8" t="s">
        <v>259</v>
      </c>
      <c r="E3901" s="8">
        <v>2</v>
      </c>
      <c r="F3901" s="133">
        <f t="shared" si="1806"/>
        <v>260000</v>
      </c>
      <c r="G3901" s="133">
        <f t="shared" si="1806"/>
        <v>260000</v>
      </c>
      <c r="H3901" s="133">
        <f t="shared" si="1807"/>
        <v>10000</v>
      </c>
      <c r="I3901" s="133">
        <f t="shared" si="1807"/>
        <v>10000</v>
      </c>
      <c r="J3901" s="133">
        <f t="shared" si="1808"/>
        <v>393846</v>
      </c>
      <c r="K3901" s="133">
        <v>1000</v>
      </c>
      <c r="L3901" s="133">
        <v>80</v>
      </c>
      <c r="M3901" s="133">
        <f t="shared" ref="M3901:M3950" si="1809">(F3901*J3901*((H3901+I3901)/2)/1000)^(1/2)/10*0.8</f>
        <v>80954.292288920667</v>
      </c>
      <c r="N3901" s="133">
        <v>800</v>
      </c>
      <c r="O3901" s="133">
        <v>2</v>
      </c>
      <c r="P3901" s="133">
        <v>32000</v>
      </c>
      <c r="Q3901" s="134">
        <v>650</v>
      </c>
      <c r="R3901" s="2" t="s">
        <v>814</v>
      </c>
      <c r="S3901" s="136">
        <f t="shared" ref="S3901:S3904" si="1810">ROUNDUP(P3901/8,-2)</f>
        <v>4000</v>
      </c>
    </row>
    <row r="3902" spans="1:19" x14ac:dyDescent="0.2">
      <c r="A3902" s="8">
        <v>82010113</v>
      </c>
      <c r="B3902" s="8">
        <v>8201</v>
      </c>
      <c r="C3902" s="8">
        <v>1</v>
      </c>
      <c r="D3902" s="8" t="s">
        <v>259</v>
      </c>
      <c r="E3902" s="8">
        <v>3</v>
      </c>
      <c r="F3902" s="133">
        <f t="shared" si="1806"/>
        <v>284375</v>
      </c>
      <c r="G3902" s="133">
        <f t="shared" si="1806"/>
        <v>284375</v>
      </c>
      <c r="H3902" s="133">
        <f t="shared" si="1807"/>
        <v>11000</v>
      </c>
      <c r="I3902" s="133">
        <f t="shared" si="1807"/>
        <v>11000</v>
      </c>
      <c r="J3902" s="133">
        <f t="shared" si="1808"/>
        <v>430769</v>
      </c>
      <c r="K3902" s="133">
        <v>1000</v>
      </c>
      <c r="L3902" s="133">
        <v>120</v>
      </c>
      <c r="M3902" s="133">
        <f t="shared" si="1809"/>
        <v>92865.469255261938</v>
      </c>
      <c r="N3902" s="133">
        <v>800</v>
      </c>
      <c r="O3902" s="133">
        <v>2</v>
      </c>
      <c r="P3902" s="133">
        <v>35000</v>
      </c>
      <c r="Q3902" s="134">
        <v>650</v>
      </c>
      <c r="R3902" s="2" t="s">
        <v>815</v>
      </c>
      <c r="S3902" s="136">
        <f t="shared" si="1810"/>
        <v>4400</v>
      </c>
    </row>
    <row r="3903" spans="1:19" x14ac:dyDescent="0.2">
      <c r="A3903" s="8">
        <v>82010114</v>
      </c>
      <c r="B3903" s="8">
        <v>8201</v>
      </c>
      <c r="C3903" s="8">
        <v>1</v>
      </c>
      <c r="D3903" s="8" t="s">
        <v>259</v>
      </c>
      <c r="E3903" s="8">
        <v>4</v>
      </c>
      <c r="F3903" s="133">
        <f t="shared" si="1806"/>
        <v>325000</v>
      </c>
      <c r="G3903" s="133">
        <f t="shared" si="1806"/>
        <v>325000</v>
      </c>
      <c r="H3903" s="133">
        <f t="shared" si="1807"/>
        <v>12500</v>
      </c>
      <c r="I3903" s="133">
        <f t="shared" si="1807"/>
        <v>12500</v>
      </c>
      <c r="J3903" s="133">
        <f t="shared" si="1808"/>
        <v>492307</v>
      </c>
      <c r="K3903" s="133">
        <v>1000</v>
      </c>
      <c r="L3903" s="133">
        <v>160</v>
      </c>
      <c r="M3903" s="133">
        <f t="shared" si="1809"/>
        <v>113137.00544030676</v>
      </c>
      <c r="N3903" s="133">
        <v>800</v>
      </c>
      <c r="O3903" s="133">
        <v>2</v>
      </c>
      <c r="P3903" s="133">
        <v>40000</v>
      </c>
      <c r="Q3903" s="134">
        <v>650</v>
      </c>
      <c r="R3903" s="2" t="s">
        <v>816</v>
      </c>
      <c r="S3903" s="136">
        <f t="shared" si="1810"/>
        <v>5000</v>
      </c>
    </row>
    <row r="3904" spans="1:19" x14ac:dyDescent="0.2">
      <c r="A3904" s="18">
        <v>82010115</v>
      </c>
      <c r="B3904" s="18">
        <v>8201</v>
      </c>
      <c r="C3904" s="18">
        <v>1</v>
      </c>
      <c r="D3904" s="18" t="s">
        <v>259</v>
      </c>
      <c r="E3904" s="18">
        <v>5</v>
      </c>
      <c r="F3904" s="135">
        <f t="shared" si="1806"/>
        <v>640625</v>
      </c>
      <c r="G3904" s="135">
        <f t="shared" si="1806"/>
        <v>640625</v>
      </c>
      <c r="H3904" s="135">
        <f t="shared" si="1807"/>
        <v>32250</v>
      </c>
      <c r="I3904" s="135">
        <f t="shared" si="1807"/>
        <v>32250</v>
      </c>
      <c r="J3904" s="135">
        <f t="shared" si="1808"/>
        <v>1640000</v>
      </c>
      <c r="K3904" s="133">
        <v>1000</v>
      </c>
      <c r="L3904" s="133">
        <v>200</v>
      </c>
      <c r="M3904" s="135">
        <f t="shared" si="1809"/>
        <v>465670.48435562244</v>
      </c>
      <c r="N3904" s="133">
        <v>800</v>
      </c>
      <c r="O3904" s="135">
        <v>2</v>
      </c>
      <c r="P3904" s="135">
        <v>102500</v>
      </c>
      <c r="Q3904" s="134">
        <v>500</v>
      </c>
      <c r="R3904" s="41" t="s">
        <v>848</v>
      </c>
      <c r="S3904" s="136">
        <f t="shared" si="1810"/>
        <v>12900</v>
      </c>
    </row>
    <row r="3905" spans="1:19" x14ac:dyDescent="0.2">
      <c r="A3905" s="8">
        <v>82020111</v>
      </c>
      <c r="B3905" s="8">
        <v>8202</v>
      </c>
      <c r="C3905" s="8">
        <v>1</v>
      </c>
      <c r="D3905" s="8" t="s">
        <v>259</v>
      </c>
      <c r="E3905" s="8">
        <v>1</v>
      </c>
      <c r="F3905" s="133">
        <f t="shared" si="1806"/>
        <v>361562</v>
      </c>
      <c r="G3905" s="133">
        <f t="shared" si="1806"/>
        <v>361562</v>
      </c>
      <c r="H3905" s="133">
        <f t="shared" si="1807"/>
        <v>18750</v>
      </c>
      <c r="I3905" s="133">
        <f t="shared" si="1807"/>
        <v>18750</v>
      </c>
      <c r="J3905" s="133">
        <f t="shared" si="1808"/>
        <v>693173</v>
      </c>
      <c r="K3905" s="133">
        <v>1000</v>
      </c>
      <c r="L3905" s="133">
        <v>240</v>
      </c>
      <c r="M3905" s="133">
        <f t="shared" si="1809"/>
        <v>173421.45757408452</v>
      </c>
      <c r="N3905" s="133">
        <v>900</v>
      </c>
      <c r="O3905" s="133">
        <v>2</v>
      </c>
      <c r="P3905" s="133">
        <v>44500</v>
      </c>
      <c r="Q3905" s="134">
        <v>650</v>
      </c>
      <c r="R3905" s="2" t="s">
        <v>817</v>
      </c>
      <c r="S3905" s="136">
        <f t="shared" ref="S3905:S3908" si="1811">ROUNDUP(P3905/6,-2)</f>
        <v>7500</v>
      </c>
    </row>
    <row r="3906" spans="1:19" x14ac:dyDescent="0.2">
      <c r="A3906" s="8">
        <v>82020112</v>
      </c>
      <c r="B3906" s="8">
        <v>8202</v>
      </c>
      <c r="C3906" s="8">
        <v>1</v>
      </c>
      <c r="D3906" s="8" t="s">
        <v>259</v>
      </c>
      <c r="E3906" s="8">
        <v>2</v>
      </c>
      <c r="F3906" s="133">
        <f t="shared" si="1806"/>
        <v>373750</v>
      </c>
      <c r="G3906" s="133">
        <f t="shared" si="1806"/>
        <v>373750</v>
      </c>
      <c r="H3906" s="133">
        <f t="shared" si="1807"/>
        <v>19250</v>
      </c>
      <c r="I3906" s="133">
        <f t="shared" si="1807"/>
        <v>19250</v>
      </c>
      <c r="J3906" s="133">
        <f t="shared" si="1808"/>
        <v>716538</v>
      </c>
      <c r="K3906" s="133">
        <v>1000</v>
      </c>
      <c r="L3906" s="133">
        <v>280</v>
      </c>
      <c r="M3906" s="133">
        <f t="shared" si="1809"/>
        <v>181641.70431924495</v>
      </c>
      <c r="N3906" s="133">
        <v>900</v>
      </c>
      <c r="O3906" s="133">
        <v>2</v>
      </c>
      <c r="P3906" s="133">
        <v>46000</v>
      </c>
      <c r="Q3906" s="134">
        <v>650</v>
      </c>
      <c r="R3906" s="2" t="s">
        <v>818</v>
      </c>
      <c r="S3906" s="136">
        <f t="shared" si="1811"/>
        <v>7700</v>
      </c>
    </row>
    <row r="3907" spans="1:19" x14ac:dyDescent="0.2">
      <c r="A3907" s="8">
        <v>82020113</v>
      </c>
      <c r="B3907" s="8">
        <v>8202</v>
      </c>
      <c r="C3907" s="8">
        <v>1</v>
      </c>
      <c r="D3907" s="8" t="s">
        <v>259</v>
      </c>
      <c r="E3907" s="8">
        <v>3</v>
      </c>
      <c r="F3907" s="133">
        <f t="shared" si="1806"/>
        <v>385937</v>
      </c>
      <c r="G3907" s="133">
        <f t="shared" si="1806"/>
        <v>385937</v>
      </c>
      <c r="H3907" s="133">
        <f t="shared" si="1807"/>
        <v>20000</v>
      </c>
      <c r="I3907" s="133">
        <f t="shared" si="1807"/>
        <v>20000</v>
      </c>
      <c r="J3907" s="133">
        <f t="shared" si="1808"/>
        <v>739903</v>
      </c>
      <c r="K3907" s="133">
        <v>1000</v>
      </c>
      <c r="L3907" s="133">
        <v>320</v>
      </c>
      <c r="M3907" s="133">
        <f t="shared" si="1809"/>
        <v>191183.57891358767</v>
      </c>
      <c r="N3907" s="133">
        <v>900</v>
      </c>
      <c r="O3907" s="133">
        <v>2</v>
      </c>
      <c r="P3907" s="133">
        <v>47500</v>
      </c>
      <c r="Q3907" s="134">
        <v>650</v>
      </c>
      <c r="R3907" s="2" t="s">
        <v>819</v>
      </c>
      <c r="S3907" s="136">
        <f t="shared" si="1811"/>
        <v>8000</v>
      </c>
    </row>
    <row r="3908" spans="1:19" x14ac:dyDescent="0.2">
      <c r="A3908" s="8">
        <v>82020114</v>
      </c>
      <c r="B3908" s="8">
        <v>8202</v>
      </c>
      <c r="C3908" s="8">
        <v>1</v>
      </c>
      <c r="D3908" s="8" t="s">
        <v>259</v>
      </c>
      <c r="E3908" s="8">
        <v>4</v>
      </c>
      <c r="F3908" s="133">
        <f t="shared" si="1806"/>
        <v>398125</v>
      </c>
      <c r="G3908" s="133">
        <f t="shared" si="1806"/>
        <v>398125</v>
      </c>
      <c r="H3908" s="133">
        <f t="shared" si="1807"/>
        <v>20500</v>
      </c>
      <c r="I3908" s="133">
        <f t="shared" si="1807"/>
        <v>20500</v>
      </c>
      <c r="J3908" s="133">
        <f t="shared" si="1808"/>
        <v>763269</v>
      </c>
      <c r="K3908" s="133">
        <v>1000</v>
      </c>
      <c r="L3908" s="133">
        <v>360</v>
      </c>
      <c r="M3908" s="133">
        <f t="shared" si="1809"/>
        <v>199671.21211131063</v>
      </c>
      <c r="N3908" s="133">
        <v>900</v>
      </c>
      <c r="O3908" s="133">
        <v>2</v>
      </c>
      <c r="P3908" s="133">
        <v>49000</v>
      </c>
      <c r="Q3908" s="134">
        <v>650</v>
      </c>
      <c r="R3908" s="2" t="s">
        <v>820</v>
      </c>
      <c r="S3908" s="136">
        <f t="shared" si="1811"/>
        <v>8200</v>
      </c>
    </row>
    <row r="3909" spans="1:19" x14ac:dyDescent="0.2">
      <c r="A3909" s="18">
        <v>82020115</v>
      </c>
      <c r="B3909" s="18">
        <v>8202</v>
      </c>
      <c r="C3909" s="18">
        <v>1</v>
      </c>
      <c r="D3909" s="18" t="s">
        <v>259</v>
      </c>
      <c r="E3909" s="18">
        <v>5</v>
      </c>
      <c r="F3909" s="135">
        <f t="shared" si="1806"/>
        <v>918750</v>
      </c>
      <c r="G3909" s="135">
        <f t="shared" si="1806"/>
        <v>918750</v>
      </c>
      <c r="H3909" s="135">
        <f t="shared" si="1807"/>
        <v>52500</v>
      </c>
      <c r="I3909" s="135">
        <f t="shared" si="1807"/>
        <v>52500</v>
      </c>
      <c r="J3909" s="135">
        <f t="shared" si="1808"/>
        <v>2976750</v>
      </c>
      <c r="K3909" s="133">
        <v>1000</v>
      </c>
      <c r="L3909" s="133">
        <v>400</v>
      </c>
      <c r="M3909" s="135">
        <f t="shared" si="1809"/>
        <v>958604.5717604314</v>
      </c>
      <c r="N3909" s="133">
        <v>900</v>
      </c>
      <c r="O3909" s="135">
        <v>2</v>
      </c>
      <c r="P3909" s="135">
        <v>147000</v>
      </c>
      <c r="Q3909" s="134">
        <v>500</v>
      </c>
      <c r="R3909" s="41" t="s">
        <v>847</v>
      </c>
      <c r="S3909" s="136">
        <f>ROUNDUP(P3909/7,-2)</f>
        <v>21000</v>
      </c>
    </row>
    <row r="3910" spans="1:19" x14ac:dyDescent="0.2">
      <c r="A3910" s="8">
        <v>82030111</v>
      </c>
      <c r="B3910" s="8">
        <v>8203</v>
      </c>
      <c r="C3910" s="8">
        <v>1</v>
      </c>
      <c r="D3910" s="8" t="s">
        <v>259</v>
      </c>
      <c r="E3910" s="8">
        <v>1</v>
      </c>
      <c r="F3910" s="133">
        <f t="shared" si="1806"/>
        <v>520406</v>
      </c>
      <c r="G3910" s="133">
        <f t="shared" si="1806"/>
        <v>520406</v>
      </c>
      <c r="H3910" s="133">
        <f t="shared" si="1807"/>
        <v>22000</v>
      </c>
      <c r="I3910" s="133">
        <f t="shared" si="1807"/>
        <v>22000</v>
      </c>
      <c r="J3910" s="133">
        <f t="shared" si="1808"/>
        <v>1111637</v>
      </c>
      <c r="K3910" s="133">
        <v>1000</v>
      </c>
      <c r="L3910" s="133">
        <v>440</v>
      </c>
      <c r="M3910" s="133">
        <f t="shared" si="1809"/>
        <v>285400.00192497828</v>
      </c>
      <c r="N3910" s="133">
        <v>950</v>
      </c>
      <c r="O3910" s="133">
        <v>2.1</v>
      </c>
      <c r="P3910" s="133">
        <v>61000</v>
      </c>
      <c r="Q3910" s="134">
        <v>650</v>
      </c>
      <c r="R3910" s="2" t="s">
        <v>821</v>
      </c>
      <c r="S3910" s="136">
        <f t="shared" ref="S3910:S3918" si="1812">ROUNDUP(P3910/7,-2)</f>
        <v>8800</v>
      </c>
    </row>
    <row r="3911" spans="1:19" x14ac:dyDescent="0.2">
      <c r="A3911" s="8">
        <v>82030112</v>
      </c>
      <c r="B3911" s="8">
        <v>8203</v>
      </c>
      <c r="C3911" s="8">
        <v>1</v>
      </c>
      <c r="D3911" s="8" t="s">
        <v>259</v>
      </c>
      <c r="E3911" s="8">
        <v>2</v>
      </c>
      <c r="F3911" s="133">
        <f t="shared" si="1806"/>
        <v>537468</v>
      </c>
      <c r="G3911" s="133">
        <f t="shared" si="1806"/>
        <v>537468</v>
      </c>
      <c r="H3911" s="133">
        <f t="shared" si="1807"/>
        <v>22500</v>
      </c>
      <c r="I3911" s="133">
        <f t="shared" si="1807"/>
        <v>22500</v>
      </c>
      <c r="J3911" s="133">
        <f t="shared" si="1808"/>
        <v>1148084</v>
      </c>
      <c r="K3911" s="133">
        <v>1000</v>
      </c>
      <c r="L3911" s="133">
        <v>480</v>
      </c>
      <c r="M3911" s="133">
        <f t="shared" si="1809"/>
        <v>298087.92533232208</v>
      </c>
      <c r="N3911" s="133">
        <v>950</v>
      </c>
      <c r="O3911" s="133">
        <v>2.1</v>
      </c>
      <c r="P3911" s="133">
        <v>63000</v>
      </c>
      <c r="Q3911" s="134">
        <v>650</v>
      </c>
      <c r="R3911" s="2" t="s">
        <v>822</v>
      </c>
      <c r="S3911" s="136">
        <f t="shared" si="1812"/>
        <v>9000</v>
      </c>
    </row>
    <row r="3912" spans="1:19" x14ac:dyDescent="0.2">
      <c r="A3912" s="8">
        <v>82030113</v>
      </c>
      <c r="B3912" s="8">
        <v>8203</v>
      </c>
      <c r="C3912" s="8">
        <v>1</v>
      </c>
      <c r="D3912" s="8" t="s">
        <v>259</v>
      </c>
      <c r="E3912" s="8">
        <v>3</v>
      </c>
      <c r="F3912" s="133">
        <f t="shared" si="1806"/>
        <v>554531</v>
      </c>
      <c r="G3912" s="133">
        <f t="shared" si="1806"/>
        <v>554531</v>
      </c>
      <c r="H3912" s="133">
        <f t="shared" si="1807"/>
        <v>23250</v>
      </c>
      <c r="I3912" s="133">
        <f t="shared" si="1807"/>
        <v>23250</v>
      </c>
      <c r="J3912" s="133">
        <f t="shared" si="1808"/>
        <v>1184531</v>
      </c>
      <c r="K3912" s="133">
        <v>1000</v>
      </c>
      <c r="L3912" s="133">
        <v>520</v>
      </c>
      <c r="M3912" s="133">
        <f t="shared" si="1809"/>
        <v>312634.99964366882</v>
      </c>
      <c r="N3912" s="133">
        <v>950</v>
      </c>
      <c r="O3912" s="133">
        <v>2.1</v>
      </c>
      <c r="P3912" s="133">
        <v>65000</v>
      </c>
      <c r="Q3912" s="134">
        <v>650</v>
      </c>
      <c r="R3912" s="2" t="s">
        <v>823</v>
      </c>
      <c r="S3912" s="136">
        <f t="shared" si="1812"/>
        <v>9300</v>
      </c>
    </row>
    <row r="3913" spans="1:19" x14ac:dyDescent="0.2">
      <c r="A3913" s="8">
        <v>82030114</v>
      </c>
      <c r="B3913" s="8">
        <v>8203</v>
      </c>
      <c r="C3913" s="8">
        <v>1</v>
      </c>
      <c r="D3913" s="8" t="s">
        <v>259</v>
      </c>
      <c r="E3913" s="8">
        <v>4</v>
      </c>
      <c r="F3913" s="133">
        <f t="shared" si="1806"/>
        <v>571593</v>
      </c>
      <c r="G3913" s="133">
        <f t="shared" si="1806"/>
        <v>571593</v>
      </c>
      <c r="H3913" s="133">
        <f t="shared" si="1807"/>
        <v>24000</v>
      </c>
      <c r="I3913" s="133">
        <f t="shared" si="1807"/>
        <v>24000</v>
      </c>
      <c r="J3913" s="133">
        <f t="shared" si="1808"/>
        <v>1220978</v>
      </c>
      <c r="K3913" s="133">
        <v>1000</v>
      </c>
      <c r="L3913" s="133">
        <v>560</v>
      </c>
      <c r="M3913" s="133">
        <f t="shared" si="1809"/>
        <v>327410.7826778685</v>
      </c>
      <c r="N3913" s="133">
        <v>950</v>
      </c>
      <c r="O3913" s="133">
        <v>2.1</v>
      </c>
      <c r="P3913" s="133">
        <v>67000</v>
      </c>
      <c r="Q3913" s="134">
        <v>650</v>
      </c>
      <c r="R3913" s="2" t="s">
        <v>824</v>
      </c>
      <c r="S3913" s="136">
        <f t="shared" si="1812"/>
        <v>9600</v>
      </c>
    </row>
    <row r="3914" spans="1:19" x14ac:dyDescent="0.2">
      <c r="A3914" s="18">
        <v>82030115</v>
      </c>
      <c r="B3914" s="18">
        <v>8203</v>
      </c>
      <c r="C3914" s="18">
        <v>1</v>
      </c>
      <c r="D3914" s="18" t="s">
        <v>259</v>
      </c>
      <c r="E3914" s="18">
        <v>5</v>
      </c>
      <c r="F3914" s="135">
        <f t="shared" si="1806"/>
        <v>1231125</v>
      </c>
      <c r="G3914" s="135">
        <f t="shared" si="1806"/>
        <v>1231125</v>
      </c>
      <c r="H3914" s="135">
        <f t="shared" si="1807"/>
        <v>67000</v>
      </c>
      <c r="I3914" s="135">
        <f t="shared" si="1807"/>
        <v>67000</v>
      </c>
      <c r="J3914" s="135">
        <f t="shared" si="1808"/>
        <v>4444361</v>
      </c>
      <c r="K3914" s="133">
        <v>1000</v>
      </c>
      <c r="L3914" s="133">
        <v>600</v>
      </c>
      <c r="M3914" s="135">
        <f t="shared" si="1809"/>
        <v>1531733.206472459</v>
      </c>
      <c r="N3914" s="133">
        <v>950</v>
      </c>
      <c r="O3914" s="133">
        <v>2.1</v>
      </c>
      <c r="P3914" s="135">
        <v>187600</v>
      </c>
      <c r="Q3914" s="134">
        <v>500</v>
      </c>
      <c r="R3914" s="41" t="s">
        <v>846</v>
      </c>
      <c r="S3914" s="136">
        <f t="shared" si="1812"/>
        <v>26800</v>
      </c>
    </row>
    <row r="3915" spans="1:19" x14ac:dyDescent="0.2">
      <c r="A3915" s="8">
        <v>82040111</v>
      </c>
      <c r="B3915" s="8">
        <v>8204</v>
      </c>
      <c r="C3915" s="8">
        <v>1</v>
      </c>
      <c r="D3915" s="8" t="s">
        <v>259</v>
      </c>
      <c r="E3915" s="8">
        <v>1</v>
      </c>
      <c r="F3915" s="133">
        <f t="shared" si="1806"/>
        <v>537468</v>
      </c>
      <c r="G3915" s="133">
        <f t="shared" si="1806"/>
        <v>537468</v>
      </c>
      <c r="H3915" s="133">
        <f t="shared" si="1807"/>
        <v>22500</v>
      </c>
      <c r="I3915" s="133">
        <f t="shared" si="1807"/>
        <v>22500</v>
      </c>
      <c r="J3915" s="133">
        <f t="shared" si="1808"/>
        <v>1148084</v>
      </c>
      <c r="K3915" s="133">
        <v>1000</v>
      </c>
      <c r="L3915" s="133">
        <v>640</v>
      </c>
      <c r="M3915" s="133">
        <f t="shared" si="1809"/>
        <v>298087.92533232208</v>
      </c>
      <c r="N3915" s="133">
        <v>950</v>
      </c>
      <c r="O3915" s="133">
        <v>2.1</v>
      </c>
      <c r="P3915" s="133">
        <v>63000</v>
      </c>
      <c r="Q3915" s="134">
        <v>650</v>
      </c>
      <c r="R3915" s="2" t="s">
        <v>825</v>
      </c>
      <c r="S3915" s="136">
        <f t="shared" si="1812"/>
        <v>9000</v>
      </c>
    </row>
    <row r="3916" spans="1:19" x14ac:dyDescent="0.2">
      <c r="A3916" s="8">
        <v>82040112</v>
      </c>
      <c r="B3916" s="8">
        <v>8204</v>
      </c>
      <c r="C3916" s="8">
        <v>1</v>
      </c>
      <c r="D3916" s="8" t="s">
        <v>259</v>
      </c>
      <c r="E3916" s="8">
        <v>2</v>
      </c>
      <c r="F3916" s="133">
        <f t="shared" ref="F3916:G3952" si="1813">ROUNDDOWN($P3916/4*$O3916*10*$N3916/$N3916*$Q3916/400,0)</f>
        <v>558796</v>
      </c>
      <c r="G3916" s="133">
        <f t="shared" si="1813"/>
        <v>558796</v>
      </c>
      <c r="H3916" s="133">
        <f t="shared" ref="H3916:I3952" si="1814">ROUNDDOWN($S3916/4*10,0)</f>
        <v>23500</v>
      </c>
      <c r="I3916" s="133">
        <f t="shared" si="1814"/>
        <v>23500</v>
      </c>
      <c r="J3916" s="133">
        <f t="shared" si="1808"/>
        <v>1193643</v>
      </c>
      <c r="K3916" s="133">
        <v>1000</v>
      </c>
      <c r="L3916" s="133">
        <v>680</v>
      </c>
      <c r="M3916" s="133">
        <f t="shared" si="1809"/>
        <v>316728.97127943824</v>
      </c>
      <c r="N3916" s="133">
        <v>950</v>
      </c>
      <c r="O3916" s="133">
        <v>2.1</v>
      </c>
      <c r="P3916" s="133">
        <v>65500</v>
      </c>
      <c r="Q3916" s="134">
        <v>650</v>
      </c>
      <c r="R3916" s="2" t="s">
        <v>826</v>
      </c>
      <c r="S3916" s="136">
        <f t="shared" si="1812"/>
        <v>9400</v>
      </c>
    </row>
    <row r="3917" spans="1:19" x14ac:dyDescent="0.2">
      <c r="A3917" s="8">
        <v>82040113</v>
      </c>
      <c r="B3917" s="8">
        <v>8204</v>
      </c>
      <c r="C3917" s="8">
        <v>1</v>
      </c>
      <c r="D3917" s="8" t="s">
        <v>259</v>
      </c>
      <c r="E3917" s="8">
        <v>3</v>
      </c>
      <c r="F3917" s="133">
        <f t="shared" si="1813"/>
        <v>614250</v>
      </c>
      <c r="G3917" s="133">
        <f t="shared" si="1813"/>
        <v>614250</v>
      </c>
      <c r="H3917" s="133">
        <f t="shared" si="1814"/>
        <v>25750</v>
      </c>
      <c r="I3917" s="133">
        <f t="shared" si="1814"/>
        <v>25750</v>
      </c>
      <c r="J3917" s="133">
        <f t="shared" si="1808"/>
        <v>1312096</v>
      </c>
      <c r="K3917" s="133">
        <v>1000</v>
      </c>
      <c r="L3917" s="133">
        <v>720</v>
      </c>
      <c r="M3917" s="133">
        <f t="shared" si="1809"/>
        <v>364446.67473637353</v>
      </c>
      <c r="N3917" s="133">
        <v>950</v>
      </c>
      <c r="O3917" s="133">
        <v>2.1</v>
      </c>
      <c r="P3917" s="133">
        <v>72000</v>
      </c>
      <c r="Q3917" s="134">
        <v>650</v>
      </c>
      <c r="R3917" s="2" t="s">
        <v>827</v>
      </c>
      <c r="S3917" s="136">
        <f t="shared" si="1812"/>
        <v>10300</v>
      </c>
    </row>
    <row r="3918" spans="1:19" x14ac:dyDescent="0.2">
      <c r="A3918" s="8">
        <v>82040114</v>
      </c>
      <c r="B3918" s="8">
        <v>8204</v>
      </c>
      <c r="C3918" s="8">
        <v>1</v>
      </c>
      <c r="D3918" s="8" t="s">
        <v>259</v>
      </c>
      <c r="E3918" s="8">
        <v>4</v>
      </c>
      <c r="F3918" s="133">
        <f t="shared" si="1813"/>
        <v>601453</v>
      </c>
      <c r="G3918" s="133">
        <f t="shared" si="1813"/>
        <v>601453</v>
      </c>
      <c r="H3918" s="133">
        <f t="shared" si="1814"/>
        <v>25250</v>
      </c>
      <c r="I3918" s="133">
        <f t="shared" si="1814"/>
        <v>25250</v>
      </c>
      <c r="J3918" s="133">
        <f t="shared" si="1808"/>
        <v>1284760</v>
      </c>
      <c r="K3918" s="133">
        <v>1000</v>
      </c>
      <c r="L3918" s="133">
        <v>760</v>
      </c>
      <c r="M3918" s="133">
        <f t="shared" si="1809"/>
        <v>353372.32123476791</v>
      </c>
      <c r="N3918" s="133">
        <v>950</v>
      </c>
      <c r="O3918" s="133">
        <v>2.1</v>
      </c>
      <c r="P3918" s="133">
        <v>70500</v>
      </c>
      <c r="Q3918" s="134">
        <v>650</v>
      </c>
      <c r="R3918" s="2" t="s">
        <v>828</v>
      </c>
      <c r="S3918" s="136">
        <f t="shared" si="1812"/>
        <v>10100</v>
      </c>
    </row>
    <row r="3919" spans="1:19" x14ac:dyDescent="0.2">
      <c r="A3919" s="18">
        <v>82040115</v>
      </c>
      <c r="B3919" s="18">
        <v>8204</v>
      </c>
      <c r="C3919" s="18">
        <v>1</v>
      </c>
      <c r="D3919" s="18" t="s">
        <v>259</v>
      </c>
      <c r="E3919" s="18">
        <v>5</v>
      </c>
      <c r="F3919" s="135">
        <f t="shared" si="1813"/>
        <v>1479843</v>
      </c>
      <c r="G3919" s="135">
        <f t="shared" si="1813"/>
        <v>1479843</v>
      </c>
      <c r="H3919" s="135">
        <f t="shared" si="1814"/>
        <v>68500</v>
      </c>
      <c r="I3919" s="135">
        <f t="shared" si="1814"/>
        <v>68500</v>
      </c>
      <c r="J3919" s="135">
        <f t="shared" si="1808"/>
        <v>4140627</v>
      </c>
      <c r="K3919" s="133">
        <v>1000</v>
      </c>
      <c r="L3919" s="133">
        <v>800</v>
      </c>
      <c r="M3919" s="135">
        <f t="shared" si="1809"/>
        <v>1638989.4152423141</v>
      </c>
      <c r="N3919" s="133">
        <v>920</v>
      </c>
      <c r="O3919" s="133">
        <v>2.1</v>
      </c>
      <c r="P3919" s="135">
        <v>205000</v>
      </c>
      <c r="Q3919" s="134">
        <v>550</v>
      </c>
      <c r="R3919" s="41" t="s">
        <v>845</v>
      </c>
      <c r="S3919" s="136">
        <f>ROUNDUP(P3919/7.5,-2)</f>
        <v>27400</v>
      </c>
    </row>
    <row r="3920" spans="1:19" x14ac:dyDescent="0.2">
      <c r="A3920" s="8">
        <v>82050111</v>
      </c>
      <c r="B3920" s="8">
        <v>8205</v>
      </c>
      <c r="C3920" s="8">
        <v>1</v>
      </c>
      <c r="D3920" s="8" t="s">
        <v>259</v>
      </c>
      <c r="E3920" s="8">
        <v>1</v>
      </c>
      <c r="F3920" s="133">
        <f t="shared" si="1813"/>
        <v>715000</v>
      </c>
      <c r="G3920" s="133">
        <f t="shared" si="1813"/>
        <v>715000</v>
      </c>
      <c r="H3920" s="133">
        <f t="shared" si="1814"/>
        <v>26750</v>
      </c>
      <c r="I3920" s="133">
        <f t="shared" si="1814"/>
        <v>26750</v>
      </c>
      <c r="J3920" s="133">
        <f t="shared" si="1808"/>
        <v>1527307</v>
      </c>
      <c r="K3920" s="133">
        <v>1000</v>
      </c>
      <c r="L3920" s="133">
        <v>840</v>
      </c>
      <c r="M3920" s="133">
        <f t="shared" si="1809"/>
        <v>432382.46409400087</v>
      </c>
      <c r="N3920" s="133">
        <v>950</v>
      </c>
      <c r="O3920" s="133">
        <v>2.2000000000000002</v>
      </c>
      <c r="P3920" s="133">
        <v>80000</v>
      </c>
      <c r="Q3920" s="134">
        <v>650</v>
      </c>
      <c r="R3920" s="2" t="s">
        <v>829</v>
      </c>
      <c r="S3920" s="136">
        <f t="shared" ref="S3920:S3928" si="1815">ROUNDUP(P3920/7.5,-2)</f>
        <v>10700</v>
      </c>
    </row>
    <row r="3921" spans="1:19" x14ac:dyDescent="0.2">
      <c r="A3921" s="8">
        <v>82050112</v>
      </c>
      <c r="B3921" s="8">
        <v>8205</v>
      </c>
      <c r="C3921" s="8">
        <v>1</v>
      </c>
      <c r="D3921" s="8" t="s">
        <v>259</v>
      </c>
      <c r="E3921" s="8">
        <v>2</v>
      </c>
      <c r="F3921" s="133">
        <f t="shared" si="1813"/>
        <v>1430000</v>
      </c>
      <c r="G3921" s="133">
        <f t="shared" si="1813"/>
        <v>1430000</v>
      </c>
      <c r="H3921" s="133">
        <f t="shared" si="1814"/>
        <v>53500</v>
      </c>
      <c r="I3921" s="133">
        <f t="shared" si="1814"/>
        <v>53500</v>
      </c>
      <c r="J3921" s="133">
        <f t="shared" si="1808"/>
        <v>3054615</v>
      </c>
      <c r="K3921" s="133">
        <v>1000</v>
      </c>
      <c r="L3921" s="133">
        <v>880</v>
      </c>
      <c r="M3921" s="133">
        <f t="shared" si="1809"/>
        <v>1222962.4898908387</v>
      </c>
      <c r="N3921" s="133">
        <v>950</v>
      </c>
      <c r="O3921" s="133">
        <v>2.2000000000000002</v>
      </c>
      <c r="P3921" s="133">
        <v>160000</v>
      </c>
      <c r="Q3921" s="134">
        <v>650</v>
      </c>
      <c r="R3921" s="2" t="s">
        <v>830</v>
      </c>
      <c r="S3921" s="136">
        <f t="shared" si="1815"/>
        <v>21400</v>
      </c>
    </row>
    <row r="3922" spans="1:19" x14ac:dyDescent="0.2">
      <c r="A3922" s="8">
        <v>82050113</v>
      </c>
      <c r="B3922" s="8">
        <v>8205</v>
      </c>
      <c r="C3922" s="8">
        <v>1</v>
      </c>
      <c r="D3922" s="8" t="s">
        <v>259</v>
      </c>
      <c r="E3922" s="8">
        <v>3</v>
      </c>
      <c r="F3922" s="133">
        <f t="shared" si="1813"/>
        <v>1430000</v>
      </c>
      <c r="G3922" s="133">
        <f t="shared" si="1813"/>
        <v>1430000</v>
      </c>
      <c r="H3922" s="133">
        <f t="shared" si="1814"/>
        <v>53500</v>
      </c>
      <c r="I3922" s="133">
        <f t="shared" si="1814"/>
        <v>53500</v>
      </c>
      <c r="J3922" s="133">
        <f t="shared" si="1808"/>
        <v>3054615</v>
      </c>
      <c r="K3922" s="133">
        <v>1000</v>
      </c>
      <c r="L3922" s="133">
        <v>920</v>
      </c>
      <c r="M3922" s="133">
        <f t="shared" si="1809"/>
        <v>1222962.4898908387</v>
      </c>
      <c r="N3922" s="133">
        <v>950</v>
      </c>
      <c r="O3922" s="133">
        <v>2.2000000000000002</v>
      </c>
      <c r="P3922" s="133">
        <v>160000</v>
      </c>
      <c r="Q3922" s="134">
        <v>650</v>
      </c>
      <c r="R3922" s="2" t="s">
        <v>831</v>
      </c>
      <c r="S3922" s="136">
        <f t="shared" si="1815"/>
        <v>21400</v>
      </c>
    </row>
    <row r="3923" spans="1:19" x14ac:dyDescent="0.2">
      <c r="A3923" s="8">
        <v>82050114</v>
      </c>
      <c r="B3923" s="8">
        <v>8205</v>
      </c>
      <c r="C3923" s="8">
        <v>1</v>
      </c>
      <c r="D3923" s="8" t="s">
        <v>259</v>
      </c>
      <c r="E3923" s="8">
        <v>4</v>
      </c>
      <c r="F3923" s="133">
        <f t="shared" si="1813"/>
        <v>795437</v>
      </c>
      <c r="G3923" s="133">
        <f t="shared" si="1813"/>
        <v>795437</v>
      </c>
      <c r="H3923" s="133">
        <f t="shared" si="1814"/>
        <v>29750</v>
      </c>
      <c r="I3923" s="133">
        <f t="shared" si="1814"/>
        <v>29750</v>
      </c>
      <c r="J3923" s="133">
        <f t="shared" si="1808"/>
        <v>1699129</v>
      </c>
      <c r="K3923" s="133">
        <v>1000</v>
      </c>
      <c r="L3923" s="133">
        <v>960</v>
      </c>
      <c r="M3923" s="133">
        <f t="shared" si="1809"/>
        <v>507282.1051058466</v>
      </c>
      <c r="N3923" s="133">
        <v>950</v>
      </c>
      <c r="O3923" s="133">
        <v>2.2000000000000002</v>
      </c>
      <c r="P3923" s="133">
        <v>89000</v>
      </c>
      <c r="Q3923" s="134">
        <v>650</v>
      </c>
      <c r="R3923" s="2" t="s">
        <v>832</v>
      </c>
      <c r="S3923" s="136">
        <f t="shared" si="1815"/>
        <v>11900</v>
      </c>
    </row>
    <row r="3924" spans="1:19" x14ac:dyDescent="0.2">
      <c r="A3924" s="18">
        <v>82050115</v>
      </c>
      <c r="B3924" s="18">
        <v>8205</v>
      </c>
      <c r="C3924" s="18">
        <v>1</v>
      </c>
      <c r="D3924" s="18" t="s">
        <v>259</v>
      </c>
      <c r="E3924" s="18">
        <v>5</v>
      </c>
      <c r="F3924" s="135">
        <f t="shared" si="1813"/>
        <v>1966250</v>
      </c>
      <c r="G3924" s="135">
        <f t="shared" si="1813"/>
        <v>1966250</v>
      </c>
      <c r="H3924" s="135">
        <f t="shared" si="1814"/>
        <v>86750</v>
      </c>
      <c r="I3924" s="135">
        <f t="shared" si="1814"/>
        <v>86750</v>
      </c>
      <c r="J3924" s="135">
        <f t="shared" si="1808"/>
        <v>5866250</v>
      </c>
      <c r="K3924" s="133">
        <v>1000</v>
      </c>
      <c r="L3924" s="133">
        <v>1000</v>
      </c>
      <c r="M3924" s="135">
        <f t="shared" si="1809"/>
        <v>2530605.106985284</v>
      </c>
      <c r="N3924" s="133">
        <v>950</v>
      </c>
      <c r="O3924" s="133">
        <v>2.2000000000000002</v>
      </c>
      <c r="P3924" s="135">
        <v>260000</v>
      </c>
      <c r="Q3924" s="134">
        <v>550</v>
      </c>
      <c r="R3924" s="41" t="s">
        <v>849</v>
      </c>
      <c r="S3924" s="136">
        <f t="shared" si="1815"/>
        <v>34700</v>
      </c>
    </row>
    <row r="3925" spans="1:19" x14ac:dyDescent="0.2">
      <c r="A3925" s="8">
        <v>82060111</v>
      </c>
      <c r="B3925" s="8">
        <v>8206</v>
      </c>
      <c r="C3925" s="8">
        <v>1</v>
      </c>
      <c r="D3925" s="8" t="s">
        <v>259</v>
      </c>
      <c r="E3925" s="8">
        <v>1</v>
      </c>
      <c r="F3925" s="133">
        <f t="shared" si="1813"/>
        <v>826718</v>
      </c>
      <c r="G3925" s="133">
        <f t="shared" si="1813"/>
        <v>826718</v>
      </c>
      <c r="H3925" s="133">
        <f t="shared" si="1814"/>
        <v>31000</v>
      </c>
      <c r="I3925" s="133">
        <f t="shared" si="1814"/>
        <v>31000</v>
      </c>
      <c r="J3925" s="133">
        <f t="shared" si="1808"/>
        <v>1765949</v>
      </c>
      <c r="K3925" s="133">
        <v>1000</v>
      </c>
      <c r="L3925" s="133">
        <v>1040</v>
      </c>
      <c r="M3925" s="133">
        <f t="shared" si="1809"/>
        <v>538193.69947611692</v>
      </c>
      <c r="N3925" s="133">
        <v>950</v>
      </c>
      <c r="O3925" s="133">
        <v>2.2000000000000002</v>
      </c>
      <c r="P3925" s="133">
        <f>P3923+3500</f>
        <v>92500</v>
      </c>
      <c r="Q3925" s="134">
        <v>650</v>
      </c>
      <c r="R3925" s="2" t="s">
        <v>833</v>
      </c>
      <c r="S3925" s="136">
        <f t="shared" si="1815"/>
        <v>12400</v>
      </c>
    </row>
    <row r="3926" spans="1:19" x14ac:dyDescent="0.2">
      <c r="A3926" s="8">
        <v>82060112</v>
      </c>
      <c r="B3926" s="8">
        <v>8206</v>
      </c>
      <c r="C3926" s="8">
        <v>1</v>
      </c>
      <c r="D3926" s="8" t="s">
        <v>259</v>
      </c>
      <c r="E3926" s="8">
        <v>2</v>
      </c>
      <c r="F3926" s="133">
        <f t="shared" si="1813"/>
        <v>858000</v>
      </c>
      <c r="G3926" s="133">
        <f t="shared" si="1813"/>
        <v>858000</v>
      </c>
      <c r="H3926" s="133">
        <f t="shared" si="1814"/>
        <v>32000</v>
      </c>
      <c r="I3926" s="133">
        <f t="shared" si="1814"/>
        <v>32000</v>
      </c>
      <c r="J3926" s="133">
        <f t="shared" si="1808"/>
        <v>1832769</v>
      </c>
      <c r="K3926" s="133">
        <v>1000</v>
      </c>
      <c r="L3926" s="133">
        <v>1080</v>
      </c>
      <c r="M3926" s="133">
        <f t="shared" si="1809"/>
        <v>567495.58258157398</v>
      </c>
      <c r="N3926" s="133">
        <v>950</v>
      </c>
      <c r="O3926" s="133">
        <v>2.2000000000000002</v>
      </c>
      <c r="P3926" s="133">
        <f>P3925+3500</f>
        <v>96000</v>
      </c>
      <c r="Q3926" s="134">
        <v>650</v>
      </c>
      <c r="R3926" s="2" t="s">
        <v>834</v>
      </c>
      <c r="S3926" s="136">
        <f t="shared" si="1815"/>
        <v>12800</v>
      </c>
    </row>
    <row r="3927" spans="1:19" ht="11.25" customHeight="1" x14ac:dyDescent="0.2">
      <c r="A3927" s="8">
        <v>82060113</v>
      </c>
      <c r="B3927" s="8">
        <v>8206</v>
      </c>
      <c r="C3927" s="8">
        <v>1</v>
      </c>
      <c r="D3927" s="8" t="s">
        <v>259</v>
      </c>
      <c r="E3927" s="8">
        <v>3</v>
      </c>
      <c r="F3927" s="133">
        <f t="shared" si="1813"/>
        <v>889281</v>
      </c>
      <c r="G3927" s="133">
        <f t="shared" si="1813"/>
        <v>889281</v>
      </c>
      <c r="H3927" s="133">
        <f t="shared" si="1814"/>
        <v>33250</v>
      </c>
      <c r="I3927" s="133">
        <f t="shared" si="1814"/>
        <v>33250</v>
      </c>
      <c r="J3927" s="133">
        <f t="shared" si="1808"/>
        <v>1899588</v>
      </c>
      <c r="K3927" s="133">
        <v>1000</v>
      </c>
      <c r="L3927" s="133">
        <v>1120</v>
      </c>
      <c r="M3927" s="133">
        <f t="shared" si="1809"/>
        <v>599563.2806079092</v>
      </c>
      <c r="N3927" s="133">
        <v>950</v>
      </c>
      <c r="O3927" s="133">
        <v>2.2000000000000002</v>
      </c>
      <c r="P3927" s="133">
        <f t="shared" ref="P3927:P3928" si="1816">P3926+3500</f>
        <v>99500</v>
      </c>
      <c r="Q3927" s="134">
        <v>650</v>
      </c>
      <c r="R3927" s="2" t="s">
        <v>835</v>
      </c>
      <c r="S3927" s="136">
        <f t="shared" si="1815"/>
        <v>13300</v>
      </c>
    </row>
    <row r="3928" spans="1:19" x14ac:dyDescent="0.2">
      <c r="A3928" s="8">
        <v>82060114</v>
      </c>
      <c r="B3928" s="8">
        <v>8206</v>
      </c>
      <c r="C3928" s="8">
        <v>1</v>
      </c>
      <c r="D3928" s="8" t="s">
        <v>259</v>
      </c>
      <c r="E3928" s="8">
        <v>4</v>
      </c>
      <c r="F3928" s="133">
        <f t="shared" si="1813"/>
        <v>920562</v>
      </c>
      <c r="G3928" s="133">
        <f t="shared" si="1813"/>
        <v>920562</v>
      </c>
      <c r="H3928" s="133">
        <f t="shared" si="1814"/>
        <v>34500</v>
      </c>
      <c r="I3928" s="133">
        <f t="shared" si="1814"/>
        <v>34500</v>
      </c>
      <c r="J3928" s="133">
        <f t="shared" si="1808"/>
        <v>1966408</v>
      </c>
      <c r="K3928" s="133">
        <v>1000</v>
      </c>
      <c r="L3928" s="133">
        <v>1160</v>
      </c>
      <c r="M3928" s="133">
        <f t="shared" si="1809"/>
        <v>632212.20034902589</v>
      </c>
      <c r="N3928" s="133">
        <v>950</v>
      </c>
      <c r="O3928" s="133">
        <v>2.2000000000000002</v>
      </c>
      <c r="P3928" s="133">
        <f t="shared" si="1816"/>
        <v>103000</v>
      </c>
      <c r="Q3928" s="134">
        <v>650</v>
      </c>
      <c r="R3928" s="2" t="s">
        <v>836</v>
      </c>
      <c r="S3928" s="136">
        <f t="shared" si="1815"/>
        <v>13800</v>
      </c>
    </row>
    <row r="3929" spans="1:19" x14ac:dyDescent="0.2">
      <c r="A3929" s="18">
        <v>82060115</v>
      </c>
      <c r="B3929" s="18">
        <v>8206</v>
      </c>
      <c r="C3929" s="18">
        <v>1</v>
      </c>
      <c r="D3929" s="18" t="s">
        <v>259</v>
      </c>
      <c r="E3929" s="18">
        <v>5</v>
      </c>
      <c r="F3929" s="135">
        <f t="shared" si="1813"/>
        <v>2268750</v>
      </c>
      <c r="G3929" s="135">
        <f t="shared" si="1813"/>
        <v>2268750</v>
      </c>
      <c r="H3929" s="135">
        <f t="shared" si="1814"/>
        <v>93750</v>
      </c>
      <c r="I3929" s="135">
        <f t="shared" si="1814"/>
        <v>93750</v>
      </c>
      <c r="J3929" s="135">
        <f t="shared" si="1808"/>
        <v>6768750</v>
      </c>
      <c r="K3929" s="133">
        <v>1000</v>
      </c>
      <c r="L3929" s="133">
        <v>1200</v>
      </c>
      <c r="M3929" s="135">
        <f t="shared" si="1809"/>
        <v>3035450.6975900633</v>
      </c>
      <c r="N3929" s="133">
        <v>950</v>
      </c>
      <c r="O3929" s="133">
        <v>2.2000000000000002</v>
      </c>
      <c r="P3929" s="135">
        <v>300000</v>
      </c>
      <c r="Q3929" s="134">
        <v>550</v>
      </c>
      <c r="R3929" s="41" t="s">
        <v>855</v>
      </c>
      <c r="S3929" s="136">
        <f t="shared" ref="S3929:S3944" si="1817">ROUNDUP(P3929/8,-2)</f>
        <v>37500</v>
      </c>
    </row>
    <row r="3930" spans="1:19" x14ac:dyDescent="0.2">
      <c r="A3930" s="8">
        <v>82070111</v>
      </c>
      <c r="B3930" s="8">
        <v>8207</v>
      </c>
      <c r="C3930" s="8">
        <v>1</v>
      </c>
      <c r="D3930" s="8" t="s">
        <v>259</v>
      </c>
      <c r="E3930" s="8">
        <v>1</v>
      </c>
      <c r="F3930" s="133">
        <f t="shared" si="1813"/>
        <v>1157187</v>
      </c>
      <c r="G3930" s="133">
        <f t="shared" si="1813"/>
        <v>1157187</v>
      </c>
      <c r="H3930" s="133">
        <f t="shared" si="1814"/>
        <v>36000</v>
      </c>
      <c r="I3930" s="133">
        <f t="shared" si="1814"/>
        <v>36000</v>
      </c>
      <c r="J3930" s="133">
        <f t="shared" si="1808"/>
        <v>2131350</v>
      </c>
      <c r="K3930" s="133">
        <v>1000</v>
      </c>
      <c r="L3930" s="133">
        <v>1240</v>
      </c>
      <c r="M3930" s="133">
        <f t="shared" si="1809"/>
        <v>753824.75819548406</v>
      </c>
      <c r="N3930" s="133">
        <v>950</v>
      </c>
      <c r="O3930" s="133">
        <v>2.2999999999999998</v>
      </c>
      <c r="P3930" s="133">
        <v>115000</v>
      </c>
      <c r="Q3930" s="134">
        <v>700</v>
      </c>
      <c r="R3930" s="2" t="s">
        <v>837</v>
      </c>
      <c r="S3930" s="136">
        <f t="shared" si="1817"/>
        <v>14400</v>
      </c>
    </row>
    <row r="3931" spans="1:19" x14ac:dyDescent="0.2">
      <c r="A3931" s="8">
        <v>82070112</v>
      </c>
      <c r="B3931" s="8">
        <v>8207</v>
      </c>
      <c r="C3931" s="8">
        <v>1</v>
      </c>
      <c r="D3931" s="8" t="s">
        <v>259</v>
      </c>
      <c r="E3931" s="8">
        <v>2</v>
      </c>
      <c r="F3931" s="133">
        <f t="shared" si="1813"/>
        <v>1197437</v>
      </c>
      <c r="G3931" s="133">
        <f t="shared" si="1813"/>
        <v>1197437</v>
      </c>
      <c r="H3931" s="133">
        <f t="shared" si="1814"/>
        <v>37250</v>
      </c>
      <c r="I3931" s="133">
        <f t="shared" si="1814"/>
        <v>37250</v>
      </c>
      <c r="J3931" s="133">
        <f t="shared" si="1808"/>
        <v>2205484</v>
      </c>
      <c r="K3931" s="133">
        <v>1000</v>
      </c>
      <c r="L3931" s="133">
        <v>1280</v>
      </c>
      <c r="M3931" s="133">
        <f t="shared" si="1809"/>
        <v>793471.65648856515</v>
      </c>
      <c r="N3931" s="133">
        <v>950</v>
      </c>
      <c r="O3931" s="133">
        <v>2.2999999999999998</v>
      </c>
      <c r="P3931" s="133">
        <f>P3930+4000</f>
        <v>119000</v>
      </c>
      <c r="Q3931" s="134">
        <v>700</v>
      </c>
      <c r="R3931" s="2" t="s">
        <v>838</v>
      </c>
      <c r="S3931" s="136">
        <f t="shared" si="1817"/>
        <v>14900</v>
      </c>
    </row>
    <row r="3932" spans="1:19" x14ac:dyDescent="0.2">
      <c r="A3932" s="8">
        <v>82070113</v>
      </c>
      <c r="B3932" s="8">
        <v>8207</v>
      </c>
      <c r="C3932" s="8">
        <v>1</v>
      </c>
      <c r="D3932" s="8" t="s">
        <v>259</v>
      </c>
      <c r="E3932" s="8">
        <v>3</v>
      </c>
      <c r="F3932" s="133">
        <f t="shared" si="1813"/>
        <v>1237687</v>
      </c>
      <c r="G3932" s="133">
        <f t="shared" si="1813"/>
        <v>1237687</v>
      </c>
      <c r="H3932" s="133">
        <f t="shared" si="1814"/>
        <v>38500</v>
      </c>
      <c r="I3932" s="133">
        <f t="shared" si="1814"/>
        <v>38500</v>
      </c>
      <c r="J3932" s="133">
        <f t="shared" si="1808"/>
        <v>2279618</v>
      </c>
      <c r="K3932" s="133">
        <v>1000</v>
      </c>
      <c r="L3932" s="133">
        <v>1320</v>
      </c>
      <c r="M3932" s="133">
        <f t="shared" si="1809"/>
        <v>833790.23624810018</v>
      </c>
      <c r="N3932" s="133">
        <v>950</v>
      </c>
      <c r="O3932" s="133">
        <v>2.2999999999999998</v>
      </c>
      <c r="P3932" s="133">
        <f t="shared" ref="P3932:P3933" si="1818">P3931+4000</f>
        <v>123000</v>
      </c>
      <c r="Q3932" s="134">
        <v>700</v>
      </c>
      <c r="R3932" s="2" t="s">
        <v>839</v>
      </c>
      <c r="S3932" s="136">
        <f t="shared" si="1817"/>
        <v>15400</v>
      </c>
    </row>
    <row r="3933" spans="1:19" x14ac:dyDescent="0.2">
      <c r="A3933" s="8">
        <v>82070114</v>
      </c>
      <c r="B3933" s="8">
        <v>8207</v>
      </c>
      <c r="C3933" s="8">
        <v>1</v>
      </c>
      <c r="D3933" s="8" t="s">
        <v>259</v>
      </c>
      <c r="E3933" s="8">
        <v>4</v>
      </c>
      <c r="F3933" s="133">
        <f t="shared" si="1813"/>
        <v>1277937</v>
      </c>
      <c r="G3933" s="133">
        <f t="shared" si="1813"/>
        <v>1277937</v>
      </c>
      <c r="H3933" s="133">
        <f t="shared" si="1814"/>
        <v>39750</v>
      </c>
      <c r="I3933" s="133">
        <f t="shared" si="1814"/>
        <v>39750</v>
      </c>
      <c r="J3933" s="133">
        <f t="shared" si="1808"/>
        <v>2353752</v>
      </c>
      <c r="K3933" s="133">
        <v>1000</v>
      </c>
      <c r="L3933" s="133">
        <v>1360</v>
      </c>
      <c r="M3933" s="133">
        <f t="shared" si="1809"/>
        <v>874769.48860390973</v>
      </c>
      <c r="N3933" s="133">
        <v>950</v>
      </c>
      <c r="O3933" s="133">
        <v>2.2999999999999998</v>
      </c>
      <c r="P3933" s="133">
        <f t="shared" si="1818"/>
        <v>127000</v>
      </c>
      <c r="Q3933" s="134">
        <v>700</v>
      </c>
      <c r="R3933" s="2" t="s">
        <v>840</v>
      </c>
      <c r="S3933" s="136">
        <f t="shared" si="1817"/>
        <v>15900</v>
      </c>
    </row>
    <row r="3934" spans="1:19" x14ac:dyDescent="0.2">
      <c r="A3934" s="18">
        <v>82070115</v>
      </c>
      <c r="B3934" s="18">
        <v>8207</v>
      </c>
      <c r="C3934" s="18">
        <v>1</v>
      </c>
      <c r="D3934" s="18" t="s">
        <v>259</v>
      </c>
      <c r="E3934" s="18">
        <v>5</v>
      </c>
      <c r="F3934" s="135">
        <f t="shared" si="1813"/>
        <v>2530000</v>
      </c>
      <c r="G3934" s="135">
        <f t="shared" si="1813"/>
        <v>2530000</v>
      </c>
      <c r="H3934" s="135">
        <f t="shared" si="1814"/>
        <v>100000</v>
      </c>
      <c r="I3934" s="135">
        <f t="shared" si="1814"/>
        <v>100000</v>
      </c>
      <c r="J3934" s="135">
        <f t="shared" si="1808"/>
        <v>7548181</v>
      </c>
      <c r="K3934" s="133">
        <v>1000</v>
      </c>
      <c r="L3934" s="133">
        <v>1400</v>
      </c>
      <c r="M3934" s="135">
        <f t="shared" si="1809"/>
        <v>3495999.8105263109</v>
      </c>
      <c r="N3934" s="133">
        <v>950</v>
      </c>
      <c r="O3934" s="133">
        <v>2.2999999999999998</v>
      </c>
      <c r="P3934" s="135">
        <v>320000</v>
      </c>
      <c r="Q3934" s="134">
        <v>550</v>
      </c>
      <c r="R3934" s="41" t="s">
        <v>850</v>
      </c>
      <c r="S3934" s="136">
        <f t="shared" si="1817"/>
        <v>40000</v>
      </c>
    </row>
    <row r="3935" spans="1:19" x14ac:dyDescent="0.2">
      <c r="A3935" s="8">
        <v>82080111</v>
      </c>
      <c r="B3935" s="8">
        <v>8208</v>
      </c>
      <c r="C3935" s="8">
        <v>1</v>
      </c>
      <c r="D3935" s="8" t="s">
        <v>259</v>
      </c>
      <c r="E3935" s="8">
        <v>1</v>
      </c>
      <c r="F3935" s="133">
        <f t="shared" si="1813"/>
        <v>1046500</v>
      </c>
      <c r="G3935" s="133">
        <f t="shared" si="1813"/>
        <v>1046500</v>
      </c>
      <c r="H3935" s="133">
        <f t="shared" si="1814"/>
        <v>35000</v>
      </c>
      <c r="I3935" s="133">
        <f t="shared" si="1814"/>
        <v>35000</v>
      </c>
      <c r="J3935" s="133">
        <f t="shared" si="1808"/>
        <v>2235423</v>
      </c>
      <c r="K3935" s="133">
        <v>1000</v>
      </c>
      <c r="L3935" s="133">
        <v>1440</v>
      </c>
      <c r="M3935" s="133">
        <f t="shared" si="1809"/>
        <v>723891.50980516407</v>
      </c>
      <c r="N3935" s="133">
        <v>950</v>
      </c>
      <c r="O3935" s="133">
        <v>2.2999999999999998</v>
      </c>
      <c r="P3935" s="133">
        <v>112000</v>
      </c>
      <c r="Q3935" s="134">
        <v>650</v>
      </c>
      <c r="R3935" s="2" t="s">
        <v>841</v>
      </c>
      <c r="S3935" s="136">
        <f t="shared" si="1817"/>
        <v>14000</v>
      </c>
    </row>
    <row r="3936" spans="1:19" x14ac:dyDescent="0.2">
      <c r="A3936" s="8">
        <v>82080112</v>
      </c>
      <c r="B3936" s="8">
        <v>8208</v>
      </c>
      <c r="C3936" s="8">
        <v>1</v>
      </c>
      <c r="D3936" s="8" t="s">
        <v>259</v>
      </c>
      <c r="E3936" s="8">
        <v>2</v>
      </c>
      <c r="F3936" s="133">
        <f t="shared" si="1813"/>
        <v>1093218</v>
      </c>
      <c r="G3936" s="133">
        <f t="shared" si="1813"/>
        <v>1093218</v>
      </c>
      <c r="H3936" s="133">
        <f t="shared" si="1814"/>
        <v>36750</v>
      </c>
      <c r="I3936" s="133">
        <f t="shared" si="1814"/>
        <v>36750</v>
      </c>
      <c r="J3936" s="133">
        <f t="shared" si="1808"/>
        <v>2335218</v>
      </c>
      <c r="K3936" s="133">
        <v>1000</v>
      </c>
      <c r="L3936" s="133">
        <v>1480</v>
      </c>
      <c r="M3936" s="133">
        <f t="shared" si="1809"/>
        <v>774882.33498928405</v>
      </c>
      <c r="N3936" s="133">
        <v>950</v>
      </c>
      <c r="O3936" s="133">
        <v>2.2999999999999998</v>
      </c>
      <c r="P3936" s="133">
        <f>P3935+5000</f>
        <v>117000</v>
      </c>
      <c r="Q3936" s="134">
        <v>650</v>
      </c>
      <c r="R3936" s="2" t="s">
        <v>842</v>
      </c>
      <c r="S3936" s="136">
        <f t="shared" si="1817"/>
        <v>14700</v>
      </c>
    </row>
    <row r="3937" spans="1:19" x14ac:dyDescent="0.2">
      <c r="A3937" s="8">
        <v>82080113</v>
      </c>
      <c r="B3937" s="8">
        <v>8208</v>
      </c>
      <c r="C3937" s="8">
        <v>1</v>
      </c>
      <c r="D3937" s="8" t="s">
        <v>259</v>
      </c>
      <c r="E3937" s="8">
        <v>3</v>
      </c>
      <c r="F3937" s="133">
        <f t="shared" si="1813"/>
        <v>1252062</v>
      </c>
      <c r="G3937" s="133">
        <f t="shared" si="1813"/>
        <v>1252062</v>
      </c>
      <c r="H3937" s="133">
        <f t="shared" si="1814"/>
        <v>42000</v>
      </c>
      <c r="I3937" s="133">
        <f t="shared" si="1814"/>
        <v>42000</v>
      </c>
      <c r="J3937" s="133">
        <f t="shared" si="1808"/>
        <v>2674524</v>
      </c>
      <c r="K3937" s="133">
        <v>1000</v>
      </c>
      <c r="L3937" s="133">
        <v>1520</v>
      </c>
      <c r="M3937" s="133">
        <f t="shared" si="1809"/>
        <v>948747.83828453312</v>
      </c>
      <c r="N3937" s="133">
        <v>950</v>
      </c>
      <c r="O3937" s="133">
        <v>2.2999999999999998</v>
      </c>
      <c r="P3937" s="133">
        <v>134000</v>
      </c>
      <c r="Q3937" s="134">
        <v>650</v>
      </c>
      <c r="R3937" s="2" t="s">
        <v>843</v>
      </c>
      <c r="S3937" s="136">
        <f t="shared" si="1817"/>
        <v>16800</v>
      </c>
    </row>
    <row r="3938" spans="1:19" x14ac:dyDescent="0.2">
      <c r="A3938" s="8">
        <v>82080114</v>
      </c>
      <c r="B3938" s="8">
        <v>8208</v>
      </c>
      <c r="C3938" s="8">
        <v>1</v>
      </c>
      <c r="D3938" s="8" t="s">
        <v>259</v>
      </c>
      <c r="E3938" s="8">
        <v>4</v>
      </c>
      <c r="F3938" s="133">
        <f t="shared" si="1813"/>
        <v>1186656</v>
      </c>
      <c r="G3938" s="133">
        <f t="shared" si="1813"/>
        <v>1186656</v>
      </c>
      <c r="H3938" s="133">
        <f t="shared" si="1814"/>
        <v>39750</v>
      </c>
      <c r="I3938" s="133">
        <f t="shared" si="1814"/>
        <v>39750</v>
      </c>
      <c r="J3938" s="133">
        <f t="shared" si="1808"/>
        <v>2534810</v>
      </c>
      <c r="K3938" s="133">
        <v>1000</v>
      </c>
      <c r="L3938" s="133">
        <v>1560</v>
      </c>
      <c r="M3938" s="133">
        <f t="shared" si="1809"/>
        <v>874769.59413298313</v>
      </c>
      <c r="N3938" s="133">
        <v>950</v>
      </c>
      <c r="O3938" s="133">
        <v>2.2999999999999998</v>
      </c>
      <c r="P3938" s="133">
        <v>127000</v>
      </c>
      <c r="Q3938" s="134">
        <v>650</v>
      </c>
      <c r="R3938" s="2" t="s">
        <v>844</v>
      </c>
      <c r="S3938" s="136">
        <f t="shared" si="1817"/>
        <v>15900</v>
      </c>
    </row>
    <row r="3939" spans="1:19" x14ac:dyDescent="0.2">
      <c r="A3939" s="18">
        <v>82080115</v>
      </c>
      <c r="B3939" s="18">
        <v>8208</v>
      </c>
      <c r="C3939" s="18">
        <v>1</v>
      </c>
      <c r="D3939" s="18" t="s">
        <v>259</v>
      </c>
      <c r="E3939" s="18">
        <v>5</v>
      </c>
      <c r="F3939" s="135">
        <f t="shared" si="1813"/>
        <v>2688125</v>
      </c>
      <c r="G3939" s="135">
        <f t="shared" si="1813"/>
        <v>2688125</v>
      </c>
      <c r="H3939" s="135">
        <f t="shared" si="1814"/>
        <v>106250</v>
      </c>
      <c r="I3939" s="135">
        <f t="shared" si="1814"/>
        <v>106250</v>
      </c>
      <c r="J3939" s="135">
        <f t="shared" si="1808"/>
        <v>8019943</v>
      </c>
      <c r="K3939" s="133">
        <v>1000</v>
      </c>
      <c r="L3939" s="133">
        <v>1600</v>
      </c>
      <c r="M3939" s="135">
        <f t="shared" si="1809"/>
        <v>3828818.9181880876</v>
      </c>
      <c r="N3939" s="133">
        <v>950</v>
      </c>
      <c r="O3939" s="133">
        <v>2.2999999999999998</v>
      </c>
      <c r="P3939" s="135">
        <v>340000</v>
      </c>
      <c r="Q3939" s="134">
        <v>550</v>
      </c>
      <c r="R3939" s="41" t="s">
        <v>851</v>
      </c>
      <c r="S3939" s="136">
        <f t="shared" si="1817"/>
        <v>42500</v>
      </c>
    </row>
    <row r="3940" spans="1:19" x14ac:dyDescent="0.2">
      <c r="A3940" s="18">
        <v>82090111</v>
      </c>
      <c r="B3940" s="18">
        <v>8209</v>
      </c>
      <c r="C3940" s="18">
        <v>1</v>
      </c>
      <c r="D3940" s="18" t="s">
        <v>259</v>
      </c>
      <c r="E3940" s="18">
        <v>1</v>
      </c>
      <c r="F3940" s="135">
        <f t="shared" si="1813"/>
        <v>2812500</v>
      </c>
      <c r="G3940" s="135">
        <f t="shared" si="1813"/>
        <v>2812500</v>
      </c>
      <c r="H3940" s="135">
        <f t="shared" si="1814"/>
        <v>112500</v>
      </c>
      <c r="I3940" s="135">
        <f t="shared" si="1814"/>
        <v>112500</v>
      </c>
      <c r="J3940" s="135">
        <f t="shared" si="1808"/>
        <v>9112500</v>
      </c>
      <c r="K3940" s="133">
        <v>1000</v>
      </c>
      <c r="L3940" s="133">
        <v>1640</v>
      </c>
      <c r="M3940" s="135">
        <f t="shared" si="1809"/>
        <v>4295673.6957082767</v>
      </c>
      <c r="N3940" s="133">
        <v>900</v>
      </c>
      <c r="O3940" s="135">
        <v>2.5</v>
      </c>
      <c r="P3940" s="135">
        <v>360000</v>
      </c>
      <c r="Q3940" s="134">
        <v>500</v>
      </c>
      <c r="R3940" s="41" t="s">
        <v>853</v>
      </c>
      <c r="S3940" s="136">
        <f t="shared" si="1817"/>
        <v>45000</v>
      </c>
    </row>
    <row r="3941" spans="1:19" x14ac:dyDescent="0.2">
      <c r="A3941" s="18">
        <v>82090112</v>
      </c>
      <c r="B3941" s="18">
        <v>8209</v>
      </c>
      <c r="C3941" s="18">
        <v>1</v>
      </c>
      <c r="D3941" s="18" t="s">
        <v>259</v>
      </c>
      <c r="E3941" s="18">
        <v>2</v>
      </c>
      <c r="F3941" s="135">
        <f t="shared" si="1813"/>
        <v>2890625</v>
      </c>
      <c r="G3941" s="135">
        <f t="shared" si="1813"/>
        <v>2890625</v>
      </c>
      <c r="H3941" s="135">
        <f t="shared" si="1814"/>
        <v>115750</v>
      </c>
      <c r="I3941" s="135">
        <f t="shared" si="1814"/>
        <v>115750</v>
      </c>
      <c r="J3941" s="135">
        <f t="shared" si="1808"/>
        <v>9365625</v>
      </c>
      <c r="K3941" s="133">
        <v>1000</v>
      </c>
      <c r="L3941" s="133">
        <v>1680</v>
      </c>
      <c r="M3941" s="135">
        <f t="shared" si="1809"/>
        <v>4478316.115949722</v>
      </c>
      <c r="N3941" s="133">
        <v>900</v>
      </c>
      <c r="O3941" s="135">
        <v>2.5</v>
      </c>
      <c r="P3941" s="135">
        <v>370000</v>
      </c>
      <c r="Q3941" s="134">
        <v>500</v>
      </c>
      <c r="R3941" s="41" t="s">
        <v>852</v>
      </c>
      <c r="S3941" s="136">
        <f t="shared" si="1817"/>
        <v>46300</v>
      </c>
    </row>
    <row r="3942" spans="1:19" x14ac:dyDescent="0.2">
      <c r="A3942" s="18">
        <v>82090113</v>
      </c>
      <c r="B3942" s="18">
        <v>8209</v>
      </c>
      <c r="C3942" s="18">
        <v>1</v>
      </c>
      <c r="D3942" s="18" t="s">
        <v>259</v>
      </c>
      <c r="E3942" s="18">
        <v>3</v>
      </c>
      <c r="F3942" s="135">
        <f t="shared" si="1813"/>
        <v>2968750</v>
      </c>
      <c r="G3942" s="135">
        <f t="shared" si="1813"/>
        <v>2968750</v>
      </c>
      <c r="H3942" s="135">
        <f t="shared" si="1814"/>
        <v>118750</v>
      </c>
      <c r="I3942" s="135">
        <f t="shared" si="1814"/>
        <v>118750</v>
      </c>
      <c r="J3942" s="135">
        <f t="shared" si="1808"/>
        <v>9618750</v>
      </c>
      <c r="K3942" s="133">
        <v>1000</v>
      </c>
      <c r="L3942" s="133">
        <v>1720</v>
      </c>
      <c r="M3942" s="135">
        <f t="shared" si="1809"/>
        <v>4658573.2459090948</v>
      </c>
      <c r="N3942" s="133">
        <v>900</v>
      </c>
      <c r="O3942" s="135">
        <v>2.5</v>
      </c>
      <c r="P3942" s="135">
        <v>380000</v>
      </c>
      <c r="Q3942" s="134">
        <v>500</v>
      </c>
      <c r="R3942" s="41" t="s">
        <v>854</v>
      </c>
      <c r="S3942" s="136">
        <f t="shared" si="1817"/>
        <v>47500</v>
      </c>
    </row>
    <row r="3943" spans="1:19" x14ac:dyDescent="0.2">
      <c r="A3943" s="18">
        <v>82090114</v>
      </c>
      <c r="B3943" s="18">
        <v>8209</v>
      </c>
      <c r="C3943" s="18">
        <v>1</v>
      </c>
      <c r="D3943" s="18" t="s">
        <v>259</v>
      </c>
      <c r="E3943" s="18">
        <v>4</v>
      </c>
      <c r="F3943" s="135">
        <f t="shared" si="1813"/>
        <v>3046875</v>
      </c>
      <c r="G3943" s="135">
        <f t="shared" si="1813"/>
        <v>3046875</v>
      </c>
      <c r="H3943" s="135">
        <f t="shared" si="1814"/>
        <v>122000</v>
      </c>
      <c r="I3943" s="135">
        <f t="shared" si="1814"/>
        <v>122000</v>
      </c>
      <c r="J3943" s="135">
        <f t="shared" si="1808"/>
        <v>9871875</v>
      </c>
      <c r="K3943" s="133">
        <v>1000</v>
      </c>
      <c r="L3943" s="133">
        <v>1760</v>
      </c>
      <c r="M3943" s="135">
        <f t="shared" si="1809"/>
        <v>4846152.1462909114</v>
      </c>
      <c r="N3943" s="133">
        <v>900</v>
      </c>
      <c r="O3943" s="135">
        <v>2.5</v>
      </c>
      <c r="P3943" s="135">
        <v>390000</v>
      </c>
      <c r="Q3943" s="134">
        <v>500</v>
      </c>
      <c r="R3943" s="41" t="s">
        <v>856</v>
      </c>
      <c r="S3943" s="136">
        <f t="shared" si="1817"/>
        <v>48800</v>
      </c>
    </row>
    <row r="3944" spans="1:19" x14ac:dyDescent="0.2">
      <c r="A3944" s="18">
        <v>82090115</v>
      </c>
      <c r="B3944" s="18">
        <v>8209</v>
      </c>
      <c r="C3944" s="18">
        <v>1</v>
      </c>
      <c r="D3944" s="18" t="s">
        <v>259</v>
      </c>
      <c r="E3944" s="18">
        <v>5</v>
      </c>
      <c r="F3944" s="135">
        <f t="shared" si="1813"/>
        <v>3125000</v>
      </c>
      <c r="G3944" s="135">
        <f t="shared" si="1813"/>
        <v>3125000</v>
      </c>
      <c r="H3944" s="135">
        <f t="shared" si="1814"/>
        <v>125000</v>
      </c>
      <c r="I3944" s="135">
        <f t="shared" si="1814"/>
        <v>125000</v>
      </c>
      <c r="J3944" s="135">
        <f t="shared" si="1808"/>
        <v>10125000</v>
      </c>
      <c r="K3944" s="133">
        <v>1000</v>
      </c>
      <c r="L3944" s="133">
        <v>1800</v>
      </c>
      <c r="M3944" s="135">
        <f t="shared" si="1809"/>
        <v>5031152.9493745267</v>
      </c>
      <c r="N3944" s="133">
        <v>900</v>
      </c>
      <c r="O3944" s="135">
        <v>2.5</v>
      </c>
      <c r="P3944" s="135">
        <v>400000</v>
      </c>
      <c r="Q3944" s="134">
        <v>500</v>
      </c>
      <c r="R3944" s="41" t="s">
        <v>857</v>
      </c>
      <c r="S3944" s="136">
        <f t="shared" si="1817"/>
        <v>50000</v>
      </c>
    </row>
    <row r="3945" spans="1:19" x14ac:dyDescent="0.2">
      <c r="A3945" s="18">
        <v>82170111</v>
      </c>
      <c r="B3945" s="18">
        <v>8217</v>
      </c>
      <c r="C3945" s="18">
        <v>1</v>
      </c>
      <c r="D3945" s="18" t="s">
        <v>259</v>
      </c>
      <c r="E3945" s="18">
        <v>1</v>
      </c>
      <c r="F3945" s="135">
        <f t="shared" si="1813"/>
        <v>5625000</v>
      </c>
      <c r="G3945" s="135">
        <f t="shared" si="1813"/>
        <v>5625000</v>
      </c>
      <c r="H3945" s="135">
        <f t="shared" si="1814"/>
        <v>225000</v>
      </c>
      <c r="I3945" s="135">
        <f t="shared" si="1814"/>
        <v>225000</v>
      </c>
      <c r="J3945" s="135">
        <f t="shared" si="1808"/>
        <v>18225000</v>
      </c>
      <c r="K3945" s="133">
        <v>1000</v>
      </c>
      <c r="L3945" s="133">
        <v>1640</v>
      </c>
      <c r="M3945" s="135">
        <f t="shared" ref="M3945:M3949" si="1819">(F3945*J3945*((H3945+I3945)/2)/1000)^(1/2)/10*0.8</f>
        <v>12150000</v>
      </c>
      <c r="N3945" s="133">
        <v>900</v>
      </c>
      <c r="O3945" s="135">
        <v>2.5</v>
      </c>
      <c r="P3945" s="135">
        <v>720000</v>
      </c>
      <c r="Q3945" s="134">
        <v>500</v>
      </c>
      <c r="R3945" s="41" t="s">
        <v>853</v>
      </c>
      <c r="S3945" s="136">
        <f t="shared" ref="S3945:S3949" si="1820">ROUNDUP(P3945/8,-2)</f>
        <v>90000</v>
      </c>
    </row>
    <row r="3946" spans="1:19" x14ac:dyDescent="0.2">
      <c r="A3946" s="18">
        <v>82170112</v>
      </c>
      <c r="B3946" s="18">
        <v>8217</v>
      </c>
      <c r="C3946" s="18">
        <v>1</v>
      </c>
      <c r="D3946" s="18" t="s">
        <v>259</v>
      </c>
      <c r="E3946" s="18">
        <v>2</v>
      </c>
      <c r="F3946" s="135">
        <f t="shared" si="1813"/>
        <v>5781250</v>
      </c>
      <c r="G3946" s="135">
        <f t="shared" si="1813"/>
        <v>5781250</v>
      </c>
      <c r="H3946" s="135">
        <f t="shared" si="1814"/>
        <v>231250</v>
      </c>
      <c r="I3946" s="135">
        <f t="shared" si="1814"/>
        <v>231250</v>
      </c>
      <c r="J3946" s="135">
        <f t="shared" si="1808"/>
        <v>18731250</v>
      </c>
      <c r="K3946" s="133">
        <v>1000</v>
      </c>
      <c r="L3946" s="133">
        <v>1680</v>
      </c>
      <c r="M3946" s="135">
        <f t="shared" si="1819"/>
        <v>12659749.51618317</v>
      </c>
      <c r="N3946" s="133">
        <v>900</v>
      </c>
      <c r="O3946" s="135">
        <v>2.5</v>
      </c>
      <c r="P3946" s="135">
        <v>740000</v>
      </c>
      <c r="Q3946" s="134">
        <v>500</v>
      </c>
      <c r="R3946" s="41" t="s">
        <v>852</v>
      </c>
      <c r="S3946" s="136">
        <f t="shared" si="1820"/>
        <v>92500</v>
      </c>
    </row>
    <row r="3947" spans="1:19" x14ac:dyDescent="0.2">
      <c r="A3947" s="18">
        <v>82170113</v>
      </c>
      <c r="B3947" s="18">
        <v>8217</v>
      </c>
      <c r="C3947" s="18">
        <v>1</v>
      </c>
      <c r="D3947" s="18" t="s">
        <v>259</v>
      </c>
      <c r="E3947" s="18">
        <v>3</v>
      </c>
      <c r="F3947" s="135">
        <f t="shared" si="1813"/>
        <v>5937500</v>
      </c>
      <c r="G3947" s="135">
        <f t="shared" si="1813"/>
        <v>5937500</v>
      </c>
      <c r="H3947" s="135">
        <f t="shared" si="1814"/>
        <v>237500</v>
      </c>
      <c r="I3947" s="135">
        <f t="shared" si="1814"/>
        <v>237500</v>
      </c>
      <c r="J3947" s="135">
        <f t="shared" si="1808"/>
        <v>19237500</v>
      </c>
      <c r="K3947" s="133">
        <v>1000</v>
      </c>
      <c r="L3947" s="133">
        <v>1720</v>
      </c>
      <c r="M3947" s="135">
        <f t="shared" si="1819"/>
        <v>13176434.931346187</v>
      </c>
      <c r="N3947" s="133">
        <v>900</v>
      </c>
      <c r="O3947" s="135">
        <v>2.5</v>
      </c>
      <c r="P3947" s="135">
        <v>760000</v>
      </c>
      <c r="Q3947" s="134">
        <v>500</v>
      </c>
      <c r="R3947" s="41" t="s">
        <v>854</v>
      </c>
      <c r="S3947" s="136">
        <f t="shared" si="1820"/>
        <v>95000</v>
      </c>
    </row>
    <row r="3948" spans="1:19" x14ac:dyDescent="0.2">
      <c r="A3948" s="18">
        <v>82170114</v>
      </c>
      <c r="B3948" s="18">
        <v>8217</v>
      </c>
      <c r="C3948" s="18">
        <v>1</v>
      </c>
      <c r="D3948" s="18" t="s">
        <v>259</v>
      </c>
      <c r="E3948" s="18">
        <v>4</v>
      </c>
      <c r="F3948" s="135">
        <f t="shared" si="1813"/>
        <v>6093750</v>
      </c>
      <c r="G3948" s="135">
        <f t="shared" si="1813"/>
        <v>6093750</v>
      </c>
      <c r="H3948" s="135">
        <f t="shared" si="1814"/>
        <v>243750</v>
      </c>
      <c r="I3948" s="135">
        <f t="shared" si="1814"/>
        <v>243750</v>
      </c>
      <c r="J3948" s="135">
        <f t="shared" si="1808"/>
        <v>19743750</v>
      </c>
      <c r="K3948" s="133">
        <v>1000</v>
      </c>
      <c r="L3948" s="133">
        <v>1760</v>
      </c>
      <c r="M3948" s="135">
        <f t="shared" si="1819"/>
        <v>13699964.358986489</v>
      </c>
      <c r="N3948" s="133">
        <v>900</v>
      </c>
      <c r="O3948" s="135">
        <v>2.5</v>
      </c>
      <c r="P3948" s="135">
        <v>780000</v>
      </c>
      <c r="Q3948" s="134">
        <v>500</v>
      </c>
      <c r="R3948" s="41" t="s">
        <v>856</v>
      </c>
      <c r="S3948" s="136">
        <f t="shared" si="1820"/>
        <v>97500</v>
      </c>
    </row>
    <row r="3949" spans="1:19" x14ac:dyDescent="0.2">
      <c r="A3949" s="18">
        <v>82170115</v>
      </c>
      <c r="B3949" s="18">
        <v>8217</v>
      </c>
      <c r="C3949" s="18">
        <v>1</v>
      </c>
      <c r="D3949" s="18" t="s">
        <v>259</v>
      </c>
      <c r="E3949" s="18">
        <v>5</v>
      </c>
      <c r="F3949" s="135">
        <f t="shared" si="1813"/>
        <v>6250000</v>
      </c>
      <c r="G3949" s="135">
        <f t="shared" si="1813"/>
        <v>6250000</v>
      </c>
      <c r="H3949" s="135">
        <f t="shared" si="1814"/>
        <v>250000</v>
      </c>
      <c r="I3949" s="135">
        <f t="shared" si="1814"/>
        <v>250000</v>
      </c>
      <c r="J3949" s="135">
        <f t="shared" si="1808"/>
        <v>20250000</v>
      </c>
      <c r="K3949" s="133">
        <v>1000</v>
      </c>
      <c r="L3949" s="133">
        <v>1800</v>
      </c>
      <c r="M3949" s="135">
        <f t="shared" si="1819"/>
        <v>14230249.470757706</v>
      </c>
      <c r="N3949" s="133">
        <v>900</v>
      </c>
      <c r="O3949" s="135">
        <v>2.5</v>
      </c>
      <c r="P3949" s="135">
        <v>800000</v>
      </c>
      <c r="Q3949" s="134">
        <v>500</v>
      </c>
      <c r="R3949" s="41" t="s">
        <v>857</v>
      </c>
      <c r="S3949" s="136">
        <f t="shared" si="1820"/>
        <v>100000</v>
      </c>
    </row>
    <row r="3950" spans="1:19" ht="20.25" x14ac:dyDescent="0.2">
      <c r="A3950" s="8" t="str">
        <f t="shared" ref="A3950" si="1821">IF(B3950="","",CONCATENATE(B3950,CONCATENATE(REPT(0,2-LEN(C3950)),C3950),IF(OR(D3950="Easy",D3950=""),1,IF(D3950="Normal",2,IF(D3950="Hard",3,IF(D3950="Hell",4,"error")))),E3950))</f>
        <v/>
      </c>
      <c r="B3950" s="5"/>
      <c r="C3950" s="79" t="s">
        <v>858</v>
      </c>
      <c r="D3950" s="5"/>
      <c r="E3950" s="5"/>
      <c r="F3950" s="5"/>
      <c r="G3950" s="5"/>
      <c r="H3950" s="5"/>
      <c r="I3950" s="5"/>
      <c r="J3950" s="5"/>
      <c r="K3950" s="5"/>
      <c r="L3950" s="5"/>
      <c r="M3950" s="16">
        <f t="shared" si="1809"/>
        <v>0</v>
      </c>
      <c r="N3950" s="5"/>
      <c r="O3950" s="5"/>
      <c r="P3950" s="5"/>
      <c r="Q3950" s="5"/>
      <c r="R3950" s="5"/>
      <c r="S3950" s="30"/>
    </row>
    <row r="3951" spans="1:19" x14ac:dyDescent="0.2">
      <c r="A3951" s="8">
        <v>1000000111</v>
      </c>
      <c r="B3951" s="8">
        <v>100000</v>
      </c>
      <c r="C3951" s="8">
        <v>1</v>
      </c>
      <c r="D3951" s="8"/>
      <c r="E3951" s="8">
        <v>1</v>
      </c>
      <c r="F3951" s="133">
        <f t="shared" si="1813"/>
        <v>71718</v>
      </c>
      <c r="G3951" s="133">
        <f t="shared" si="1813"/>
        <v>71718</v>
      </c>
      <c r="H3951" s="133">
        <f t="shared" si="1814"/>
        <v>5500</v>
      </c>
      <c r="I3951" s="133">
        <f t="shared" si="1814"/>
        <v>5500</v>
      </c>
      <c r="J3951" s="133">
        <f t="shared" si="1808"/>
        <v>286875</v>
      </c>
      <c r="K3951" s="133">
        <v>1000</v>
      </c>
      <c r="L3951" s="133"/>
      <c r="M3951" s="133">
        <f t="shared" ref="M3951" si="1822">(F3951*J3951*((H3951+I3951)/2)/1000)^(1/2)/10*0.8</f>
        <v>26911.119709146256</v>
      </c>
      <c r="N3951" s="177">
        <v>1000</v>
      </c>
      <c r="O3951" s="177">
        <v>1.7</v>
      </c>
      <c r="P3951" s="2" t="s">
        <v>1042</v>
      </c>
      <c r="Q3951" s="134">
        <v>500</v>
      </c>
      <c r="R3951" s="2" t="s">
        <v>859</v>
      </c>
      <c r="S3951" s="137">
        <f t="shared" ref="S3951:S3957" si="1823">ROUNDUP(P3951/6.2,-2)</f>
        <v>2200</v>
      </c>
    </row>
    <row r="3952" spans="1:19" x14ac:dyDescent="0.2">
      <c r="A3952" s="8">
        <v>1000000211</v>
      </c>
      <c r="B3952" s="8">
        <v>100000</v>
      </c>
      <c r="C3952" s="8">
        <v>2</v>
      </c>
      <c r="D3952" s="8"/>
      <c r="E3952" s="8">
        <v>1</v>
      </c>
      <c r="F3952" s="133">
        <f t="shared" si="1813"/>
        <v>172125</v>
      </c>
      <c r="G3952" s="133">
        <f t="shared" si="1813"/>
        <v>172125</v>
      </c>
      <c r="H3952" s="133">
        <f t="shared" si="1814"/>
        <v>14750</v>
      </c>
      <c r="I3952" s="133">
        <f t="shared" si="1814"/>
        <v>14750</v>
      </c>
      <c r="J3952" s="133">
        <f t="shared" si="1808"/>
        <v>544000</v>
      </c>
      <c r="K3952" s="133">
        <v>1000</v>
      </c>
      <c r="L3952" s="133"/>
      <c r="M3952" s="133">
        <f t="shared" ref="M3952:M3962" si="1824">(F3952*J3952*((H3952+I3952)/2)/1000)^(1/2)/10*0.8</f>
        <v>94017.223953911758</v>
      </c>
      <c r="N3952" s="177">
        <v>800</v>
      </c>
      <c r="O3952" s="177">
        <v>1.7</v>
      </c>
      <c r="P3952" s="2" t="s">
        <v>1036</v>
      </c>
      <c r="Q3952" s="134">
        <v>450</v>
      </c>
      <c r="R3952" s="2" t="s">
        <v>860</v>
      </c>
      <c r="S3952" s="137">
        <f t="shared" si="1823"/>
        <v>5900</v>
      </c>
    </row>
    <row r="3953" spans="1:20" x14ac:dyDescent="0.2">
      <c r="A3953" s="8">
        <v>1000000311</v>
      </c>
      <c r="B3953" s="8">
        <v>100000</v>
      </c>
      <c r="C3953" s="8">
        <v>3</v>
      </c>
      <c r="D3953" s="8"/>
      <c r="E3953" s="8">
        <v>1</v>
      </c>
      <c r="F3953" s="133">
        <f t="shared" ref="F3953:G3984" si="1825">ROUNDDOWN($P3953/4*$O3953*10*$N3953/$N3953*$Q3953/400,0)</f>
        <v>267750</v>
      </c>
      <c r="G3953" s="133">
        <f t="shared" si="1825"/>
        <v>267750</v>
      </c>
      <c r="H3953" s="133">
        <f t="shared" ref="H3953:I3984" si="1826">ROUNDDOWN($S3953/4*10,0)</f>
        <v>29250</v>
      </c>
      <c r="I3953" s="133">
        <f t="shared" si="1826"/>
        <v>29250</v>
      </c>
      <c r="J3953" s="133">
        <f t="shared" si="1808"/>
        <v>1469674</v>
      </c>
      <c r="K3953" s="133">
        <v>1000</v>
      </c>
      <c r="L3953" s="133"/>
      <c r="M3953" s="133">
        <f t="shared" si="1824"/>
        <v>271411.45142974349</v>
      </c>
      <c r="N3953" s="177">
        <v>820</v>
      </c>
      <c r="O3953" s="177">
        <v>1.7</v>
      </c>
      <c r="P3953" s="2" t="s">
        <v>1043</v>
      </c>
      <c r="Q3953" s="134">
        <v>350</v>
      </c>
      <c r="R3953" s="2" t="s">
        <v>861</v>
      </c>
      <c r="S3953" s="137">
        <f t="shared" si="1823"/>
        <v>11700</v>
      </c>
    </row>
    <row r="3954" spans="1:20" x14ac:dyDescent="0.2">
      <c r="A3954" s="8">
        <v>1000000411</v>
      </c>
      <c r="B3954" s="8">
        <v>100000</v>
      </c>
      <c r="C3954" s="8">
        <v>4</v>
      </c>
      <c r="D3954" s="8"/>
      <c r="E3954" s="8">
        <v>1</v>
      </c>
      <c r="F3954" s="133">
        <f t="shared" si="1825"/>
        <v>423937</v>
      </c>
      <c r="G3954" s="133">
        <f t="shared" si="1825"/>
        <v>423937</v>
      </c>
      <c r="H3954" s="133">
        <f t="shared" si="1826"/>
        <v>42500</v>
      </c>
      <c r="I3954" s="133">
        <f t="shared" si="1826"/>
        <v>42500</v>
      </c>
      <c r="J3954" s="133">
        <f t="shared" si="1808"/>
        <v>2378042</v>
      </c>
      <c r="K3954" s="133">
        <v>1000</v>
      </c>
      <c r="L3954" s="133"/>
      <c r="M3954" s="133">
        <f t="shared" si="1824"/>
        <v>523654.5403682547</v>
      </c>
      <c r="N3954" s="177">
        <v>900</v>
      </c>
      <c r="O3954" s="177">
        <v>1.7</v>
      </c>
      <c r="P3954" s="2" t="s">
        <v>979</v>
      </c>
      <c r="Q3954" s="134">
        <v>380</v>
      </c>
      <c r="R3954" s="2" t="s">
        <v>862</v>
      </c>
      <c r="S3954" s="137">
        <f t="shared" si="1823"/>
        <v>17000</v>
      </c>
    </row>
    <row r="3955" spans="1:20" x14ac:dyDescent="0.2">
      <c r="A3955" s="8">
        <v>1000000511</v>
      </c>
      <c r="B3955" s="8">
        <v>100000</v>
      </c>
      <c r="C3955" s="8">
        <v>5</v>
      </c>
      <c r="D3955" s="8"/>
      <c r="E3955" s="8">
        <v>1</v>
      </c>
      <c r="F3955" s="133">
        <f t="shared" si="1825"/>
        <v>616250</v>
      </c>
      <c r="G3955" s="133">
        <f t="shared" si="1825"/>
        <v>616250</v>
      </c>
      <c r="H3955" s="133">
        <f t="shared" si="1826"/>
        <v>58500</v>
      </c>
      <c r="I3955" s="133">
        <f t="shared" si="1826"/>
        <v>58500</v>
      </c>
      <c r="J3955" s="133">
        <f t="shared" si="1808"/>
        <v>3119765</v>
      </c>
      <c r="K3955" s="133">
        <v>1000</v>
      </c>
      <c r="L3955" s="133"/>
      <c r="M3955" s="133">
        <f t="shared" si="1824"/>
        <v>848413.02433425677</v>
      </c>
      <c r="N3955" s="177">
        <v>900</v>
      </c>
      <c r="O3955" s="177">
        <v>1.7</v>
      </c>
      <c r="P3955" s="2" t="s">
        <v>1044</v>
      </c>
      <c r="Q3955" s="134">
        <v>400</v>
      </c>
      <c r="R3955" s="2" t="s">
        <v>863</v>
      </c>
      <c r="S3955" s="137">
        <f t="shared" si="1823"/>
        <v>23400</v>
      </c>
    </row>
    <row r="3956" spans="1:20" x14ac:dyDescent="0.2">
      <c r="A3956" s="8">
        <v>1000000611</v>
      </c>
      <c r="B3956" s="8">
        <v>100000</v>
      </c>
      <c r="C3956" s="8">
        <v>6</v>
      </c>
      <c r="D3956" s="8"/>
      <c r="E3956" s="8">
        <v>1</v>
      </c>
      <c r="F3956" s="133">
        <f t="shared" si="1825"/>
        <v>722500</v>
      </c>
      <c r="G3956" s="133">
        <f t="shared" si="1825"/>
        <v>722500</v>
      </c>
      <c r="H3956" s="133">
        <f t="shared" si="1826"/>
        <v>68750</v>
      </c>
      <c r="I3956" s="133">
        <f t="shared" si="1826"/>
        <v>68750</v>
      </c>
      <c r="J3956" s="133">
        <f t="shared" si="1808"/>
        <v>3657656</v>
      </c>
      <c r="K3956" s="133">
        <v>1000</v>
      </c>
      <c r="L3956" s="133"/>
      <c r="M3956" s="133">
        <f t="shared" si="1824"/>
        <v>1078317.5981129122</v>
      </c>
      <c r="N3956" s="177">
        <v>900</v>
      </c>
      <c r="O3956" s="177">
        <v>1.7</v>
      </c>
      <c r="P3956" s="2" t="s">
        <v>297</v>
      </c>
      <c r="Q3956" s="134">
        <v>400</v>
      </c>
      <c r="R3956" s="2" t="s">
        <v>864</v>
      </c>
      <c r="S3956" s="137">
        <f t="shared" si="1823"/>
        <v>27500</v>
      </c>
    </row>
    <row r="3957" spans="1:20" x14ac:dyDescent="0.2">
      <c r="A3957" s="8">
        <v>1000000711</v>
      </c>
      <c r="B3957" s="8">
        <v>100000</v>
      </c>
      <c r="C3957" s="8">
        <v>7</v>
      </c>
      <c r="D3957" s="8"/>
      <c r="E3957" s="8">
        <v>1</v>
      </c>
      <c r="F3957" s="133">
        <f t="shared" si="1825"/>
        <v>828750</v>
      </c>
      <c r="G3957" s="133">
        <f t="shared" si="1825"/>
        <v>828750</v>
      </c>
      <c r="H3957" s="133">
        <f t="shared" si="1826"/>
        <v>78750</v>
      </c>
      <c r="I3957" s="133">
        <f t="shared" si="1826"/>
        <v>78750</v>
      </c>
      <c r="J3957" s="133">
        <f t="shared" si="1808"/>
        <v>4195546</v>
      </c>
      <c r="K3957" s="133">
        <v>1000</v>
      </c>
      <c r="L3957" s="133"/>
      <c r="M3957" s="133">
        <f t="shared" si="1824"/>
        <v>1323796.6644239593</v>
      </c>
      <c r="N3957" s="177">
        <v>900</v>
      </c>
      <c r="O3957" s="177">
        <v>1.7</v>
      </c>
      <c r="P3957" s="2" t="s">
        <v>894</v>
      </c>
      <c r="Q3957" s="134">
        <v>400</v>
      </c>
      <c r="R3957" s="2" t="s">
        <v>891</v>
      </c>
      <c r="S3957" s="137">
        <f t="shared" si="1823"/>
        <v>31500</v>
      </c>
    </row>
    <row r="3958" spans="1:20" x14ac:dyDescent="0.2">
      <c r="A3958" s="8">
        <v>1000000811</v>
      </c>
      <c r="B3958" s="8">
        <v>100000</v>
      </c>
      <c r="C3958" s="8">
        <v>8</v>
      </c>
      <c r="D3958" s="8"/>
      <c r="E3958" s="8">
        <v>1</v>
      </c>
      <c r="F3958" s="133">
        <f t="shared" si="1825"/>
        <v>935000</v>
      </c>
      <c r="G3958" s="133">
        <f t="shared" si="1825"/>
        <v>935000</v>
      </c>
      <c r="H3958" s="133">
        <f t="shared" si="1826"/>
        <v>88750</v>
      </c>
      <c r="I3958" s="133">
        <f t="shared" si="1826"/>
        <v>88750</v>
      </c>
      <c r="J3958" s="133">
        <f t="shared" si="1808"/>
        <v>4733437</v>
      </c>
      <c r="K3958" s="133">
        <v>1000</v>
      </c>
      <c r="L3958" s="133"/>
      <c r="M3958" s="133">
        <f t="shared" ref="M3958:M3960" si="1827">(F3958*J3958*((H3958+I3958)/2)/1000)^(1/2)/10*0.8</f>
        <v>1585507.4020514693</v>
      </c>
      <c r="N3958" s="177">
        <v>900</v>
      </c>
      <c r="O3958" s="177">
        <v>1.7</v>
      </c>
      <c r="P3958" s="2" t="s">
        <v>504</v>
      </c>
      <c r="Q3958" s="134">
        <v>400</v>
      </c>
      <c r="R3958" s="2" t="s">
        <v>892</v>
      </c>
      <c r="S3958" s="137">
        <f>ROUNDUP(P3958/6.2,-2)</f>
        <v>35500</v>
      </c>
    </row>
    <row r="3959" spans="1:20" s="223" customFormat="1" x14ac:dyDescent="0.2">
      <c r="A3959" s="8">
        <v>1000000911</v>
      </c>
      <c r="B3959" s="8">
        <v>100000</v>
      </c>
      <c r="C3959" s="8">
        <v>9</v>
      </c>
      <c r="D3959" s="8"/>
      <c r="E3959" s="8">
        <v>1</v>
      </c>
      <c r="F3959" s="133">
        <f t="shared" si="1825"/>
        <v>1317500</v>
      </c>
      <c r="G3959" s="133">
        <f t="shared" si="1825"/>
        <v>1317500</v>
      </c>
      <c r="H3959" s="133">
        <f t="shared" si="1826"/>
        <v>70000</v>
      </c>
      <c r="I3959" s="133">
        <f t="shared" si="1826"/>
        <v>70000</v>
      </c>
      <c r="J3959" s="133">
        <f t="shared" si="1808"/>
        <v>8399885</v>
      </c>
      <c r="K3959" s="133">
        <v>1000</v>
      </c>
      <c r="L3959" s="133"/>
      <c r="M3959" s="133">
        <f t="shared" si="1827"/>
        <v>2226645.0373600191</v>
      </c>
      <c r="N3959" s="133">
        <v>1010</v>
      </c>
      <c r="O3959" s="133">
        <v>1.7</v>
      </c>
      <c r="P3959" s="2" t="s">
        <v>1035</v>
      </c>
      <c r="Q3959" s="134">
        <v>400</v>
      </c>
      <c r="R3959" s="2" t="s">
        <v>1033</v>
      </c>
      <c r="S3959" s="36">
        <v>28000</v>
      </c>
      <c r="T3959" s="116"/>
    </row>
    <row r="3960" spans="1:20" s="223" customFormat="1" ht="12.75" thickBot="1" x14ac:dyDescent="0.25">
      <c r="A3960" s="8">
        <v>1000001011</v>
      </c>
      <c r="B3960" s="8">
        <v>100000</v>
      </c>
      <c r="C3960" s="8">
        <v>10</v>
      </c>
      <c r="D3960" s="8"/>
      <c r="E3960" s="8">
        <v>1</v>
      </c>
      <c r="F3960" s="133">
        <f t="shared" si="1825"/>
        <v>1487500</v>
      </c>
      <c r="G3960" s="133">
        <f t="shared" si="1825"/>
        <v>1487500</v>
      </c>
      <c r="H3960" s="133">
        <f t="shared" si="1826"/>
        <v>70000</v>
      </c>
      <c r="I3960" s="133">
        <f t="shared" si="1826"/>
        <v>70000</v>
      </c>
      <c r="J3960" s="133">
        <f t="shared" si="1808"/>
        <v>11249218</v>
      </c>
      <c r="K3960" s="133">
        <v>1000</v>
      </c>
      <c r="L3960" s="133"/>
      <c r="M3960" s="133">
        <f t="shared" si="1827"/>
        <v>2737969.8455607574</v>
      </c>
      <c r="N3960" s="133">
        <v>1100</v>
      </c>
      <c r="O3960" s="133">
        <v>1.7</v>
      </c>
      <c r="P3960" s="2" t="s">
        <v>1048</v>
      </c>
      <c r="Q3960" s="134">
        <v>400</v>
      </c>
      <c r="R3960" s="2" t="s">
        <v>1034</v>
      </c>
      <c r="S3960" s="36">
        <v>28000</v>
      </c>
      <c r="T3960" s="116"/>
    </row>
    <row r="3961" spans="1:20" x14ac:dyDescent="0.2">
      <c r="A3961" s="138" t="str">
        <f t="shared" ref="A3961:A3975" si="1828">IF(B3961="","",CONCATENATE(B3961,CONCATENATE(REPT(0,2-LEN(C3961)),C3961),IF(OR(D3961="Easy",D3961=""),1,IF(D3961="Normal",2,IF(D3961="Hard",3,IF(D3961="Hell",4,"error")))),E3961))</f>
        <v>1000010111</v>
      </c>
      <c r="B3961" s="139">
        <v>100001</v>
      </c>
      <c r="C3961" s="139">
        <v>1</v>
      </c>
      <c r="D3961" s="139"/>
      <c r="E3961" s="139">
        <v>1</v>
      </c>
      <c r="F3961" s="140">
        <f t="shared" si="1825"/>
        <v>90000</v>
      </c>
      <c r="G3961" s="140">
        <f t="shared" si="1825"/>
        <v>90000</v>
      </c>
      <c r="H3961" s="140">
        <f t="shared" si="1826"/>
        <v>15000</v>
      </c>
      <c r="I3961" s="140">
        <f t="shared" si="1826"/>
        <v>15000</v>
      </c>
      <c r="J3961" s="140">
        <f t="shared" si="1808"/>
        <v>455625</v>
      </c>
      <c r="K3961" s="133">
        <v>1000</v>
      </c>
      <c r="L3961" s="140"/>
      <c r="M3961" s="140">
        <f t="shared" ref="M3961" si="1829">(F3961*J3961*((H3961+I3961)/2)/1000)^(1/2)/10*0.8</f>
        <v>62742.330208560154</v>
      </c>
      <c r="N3961" s="178">
        <v>900</v>
      </c>
      <c r="O3961" s="178">
        <v>2</v>
      </c>
      <c r="P3961" s="141" t="s">
        <v>522</v>
      </c>
      <c r="Q3961" s="142">
        <v>400</v>
      </c>
      <c r="R3961" s="141" t="s">
        <v>865</v>
      </c>
      <c r="S3961" s="176">
        <f>ROUNDUP(P3961/3,-2)</f>
        <v>6000</v>
      </c>
    </row>
    <row r="3962" spans="1:20" ht="12.75" thickBot="1" x14ac:dyDescent="0.25">
      <c r="A3962" s="143" t="str">
        <f t="shared" si="1828"/>
        <v>1000010112</v>
      </c>
      <c r="B3962" s="144">
        <v>100001</v>
      </c>
      <c r="C3962" s="144">
        <v>1</v>
      </c>
      <c r="D3962" s="144"/>
      <c r="E3962" s="144">
        <v>2</v>
      </c>
      <c r="F3962" s="145">
        <f t="shared" si="1825"/>
        <v>90000</v>
      </c>
      <c r="G3962" s="145">
        <f t="shared" si="1825"/>
        <v>90000</v>
      </c>
      <c r="H3962" s="145">
        <f t="shared" si="1826"/>
        <v>10000</v>
      </c>
      <c r="I3962" s="145">
        <f t="shared" si="1826"/>
        <v>10000</v>
      </c>
      <c r="J3962" s="145">
        <f t="shared" si="1808"/>
        <v>6806</v>
      </c>
      <c r="K3962" s="133">
        <v>1000</v>
      </c>
      <c r="L3962" s="145"/>
      <c r="M3962" s="145">
        <f t="shared" si="1824"/>
        <v>6261.1947741625154</v>
      </c>
      <c r="N3962" s="179">
        <v>110</v>
      </c>
      <c r="O3962" s="179">
        <v>2</v>
      </c>
      <c r="P3962" s="2" t="str">
        <f>P3961</f>
        <v>18000</v>
      </c>
      <c r="Q3962" s="236">
        <v>400</v>
      </c>
      <c r="R3962" s="146" t="s">
        <v>865</v>
      </c>
      <c r="S3962" s="147">
        <f>ROUNDUP(S3961/1.5,-2)</f>
        <v>4000</v>
      </c>
    </row>
    <row r="3963" spans="1:20" x14ac:dyDescent="0.2">
      <c r="A3963" s="148" t="str">
        <f t="shared" si="1828"/>
        <v>1000010211</v>
      </c>
      <c r="B3963" s="149">
        <v>100001</v>
      </c>
      <c r="C3963" s="149">
        <v>2</v>
      </c>
      <c r="D3963" s="149"/>
      <c r="E3963" s="149">
        <v>1</v>
      </c>
      <c r="F3963" s="150">
        <f t="shared" si="1825"/>
        <v>180000</v>
      </c>
      <c r="G3963" s="150">
        <f t="shared" si="1825"/>
        <v>180000</v>
      </c>
      <c r="H3963" s="150">
        <f t="shared" si="1826"/>
        <v>30000</v>
      </c>
      <c r="I3963" s="150">
        <f t="shared" si="1826"/>
        <v>30000</v>
      </c>
      <c r="J3963" s="150">
        <f t="shared" si="1808"/>
        <v>911250</v>
      </c>
      <c r="K3963" s="133">
        <v>1000</v>
      </c>
      <c r="L3963" s="150"/>
      <c r="M3963" s="150">
        <f t="shared" ref="M3963:M3981" si="1830">(F3963*J3963*((H3963+I3963)/2)/1000)^(1/2)/10*0.8</f>
        <v>177462.10863167385</v>
      </c>
      <c r="N3963" s="178">
        <v>900</v>
      </c>
      <c r="O3963" s="180">
        <v>2</v>
      </c>
      <c r="P3963" s="237" t="s">
        <v>1036</v>
      </c>
      <c r="Q3963" s="238">
        <v>400</v>
      </c>
      <c r="R3963" s="151" t="s">
        <v>866</v>
      </c>
      <c r="S3963" s="176">
        <f>ROUNDUP(P3963/3,-2)</f>
        <v>12000</v>
      </c>
    </row>
    <row r="3964" spans="1:20" ht="12.75" thickBot="1" x14ac:dyDescent="0.25">
      <c r="A3964" s="148" t="str">
        <f t="shared" ref="A3964" si="1831">IF(B3964="","",CONCATENATE(B3964,CONCATENATE(REPT(0,2-LEN(C3964)),C3964),IF(OR(D3964="Easy",D3964=""),1,IF(D3964="Normal",2,IF(D3964="Hard",3,IF(D3964="Hell",4,"error")))),E3964))</f>
        <v>1000010212</v>
      </c>
      <c r="B3964" s="149">
        <v>100001</v>
      </c>
      <c r="C3964" s="149">
        <v>2</v>
      </c>
      <c r="D3964" s="149"/>
      <c r="E3964" s="149">
        <v>2</v>
      </c>
      <c r="F3964" s="150">
        <f t="shared" si="1825"/>
        <v>180000</v>
      </c>
      <c r="G3964" s="150">
        <f t="shared" si="1825"/>
        <v>180000</v>
      </c>
      <c r="H3964" s="150">
        <f t="shared" si="1826"/>
        <v>20000</v>
      </c>
      <c r="I3964" s="150">
        <f t="shared" si="1826"/>
        <v>20000</v>
      </c>
      <c r="J3964" s="150">
        <f t="shared" si="1808"/>
        <v>13612</v>
      </c>
      <c r="K3964" s="133">
        <v>1000</v>
      </c>
      <c r="L3964" s="150"/>
      <c r="M3964" s="150">
        <f t="shared" ref="M3964" si="1832">(F3964*J3964*((H3964+I3964)/2)/1000)^(1/2)/10*0.8</f>
        <v>17709.333132560358</v>
      </c>
      <c r="N3964" s="179">
        <v>110</v>
      </c>
      <c r="O3964" s="180">
        <v>2</v>
      </c>
      <c r="P3964" s="237" t="s">
        <v>1036</v>
      </c>
      <c r="Q3964" s="238">
        <v>400</v>
      </c>
      <c r="R3964" s="151" t="s">
        <v>866</v>
      </c>
      <c r="S3964" s="147">
        <f>ROUNDUP(S3963/1.5,-2)</f>
        <v>8000</v>
      </c>
      <c r="T3964" s="275"/>
    </row>
    <row r="3965" spans="1:20" x14ac:dyDescent="0.2">
      <c r="A3965" s="152" t="str">
        <f t="shared" si="1828"/>
        <v>1000010311</v>
      </c>
      <c r="B3965" s="153">
        <v>100001</v>
      </c>
      <c r="C3965" s="153">
        <v>3</v>
      </c>
      <c r="D3965" s="153"/>
      <c r="E3965" s="153">
        <v>1</v>
      </c>
      <c r="F3965" s="154">
        <f t="shared" si="1825"/>
        <v>315000</v>
      </c>
      <c r="G3965" s="154">
        <f t="shared" si="1825"/>
        <v>315000</v>
      </c>
      <c r="H3965" s="154">
        <f t="shared" si="1826"/>
        <v>52500</v>
      </c>
      <c r="I3965" s="154">
        <f t="shared" si="1826"/>
        <v>52500</v>
      </c>
      <c r="J3965" s="154">
        <f t="shared" si="1808"/>
        <v>1422421</v>
      </c>
      <c r="K3965" s="133">
        <v>1000</v>
      </c>
      <c r="L3965" s="154"/>
      <c r="M3965" s="154">
        <f t="shared" si="1830"/>
        <v>388006.49303845421</v>
      </c>
      <c r="N3965" s="178">
        <v>850</v>
      </c>
      <c r="O3965" s="181">
        <v>2</v>
      </c>
      <c r="P3965" s="239" t="s">
        <v>1037</v>
      </c>
      <c r="Q3965" s="240">
        <v>400</v>
      </c>
      <c r="R3965" s="155" t="s">
        <v>867</v>
      </c>
      <c r="S3965" s="176">
        <f>ROUNDUP(P3965/3,-2)</f>
        <v>21000</v>
      </c>
    </row>
    <row r="3966" spans="1:20" ht="12.75" thickBot="1" x14ac:dyDescent="0.25">
      <c r="A3966" s="152" t="str">
        <f t="shared" ref="A3966:A3967" si="1833">IF(B3966="","",CONCATENATE(B3966,CONCATENATE(REPT(0,2-LEN(C3966)),C3966),IF(OR(D3966="Easy",D3966=""),1,IF(D3966="Normal",2,IF(D3966="Hard",3,IF(D3966="Hell",4,"error")))),E3966))</f>
        <v>1000010312</v>
      </c>
      <c r="B3966" s="153">
        <v>100001</v>
      </c>
      <c r="C3966" s="153">
        <v>3</v>
      </c>
      <c r="D3966" s="153"/>
      <c r="E3966" s="153">
        <v>2</v>
      </c>
      <c r="F3966" s="154">
        <f t="shared" si="1825"/>
        <v>354375</v>
      </c>
      <c r="G3966" s="154">
        <f t="shared" si="1825"/>
        <v>354375</v>
      </c>
      <c r="H3966" s="154">
        <f t="shared" si="1826"/>
        <v>35000</v>
      </c>
      <c r="I3966" s="154">
        <f t="shared" si="1826"/>
        <v>35000</v>
      </c>
      <c r="J3966" s="154">
        <f t="shared" si="1808"/>
        <v>70000</v>
      </c>
      <c r="K3966" s="133">
        <v>1000</v>
      </c>
      <c r="L3966" s="154"/>
      <c r="M3966" s="154">
        <f t="shared" ref="M3966:M3967" si="1834">(F3966*J3966*((H3966+I3966)/2)/1000)^(1/2)/10*0.8</f>
        <v>74542.605267055173</v>
      </c>
      <c r="N3966" s="179">
        <v>200</v>
      </c>
      <c r="O3966" s="181">
        <v>2</v>
      </c>
      <c r="P3966" s="2" t="s">
        <v>1037</v>
      </c>
      <c r="Q3966" s="240">
        <v>450</v>
      </c>
      <c r="R3966" s="155" t="s">
        <v>867</v>
      </c>
      <c r="S3966" s="147">
        <f>ROUNDUP(S3965/1.5,-2)</f>
        <v>14000</v>
      </c>
    </row>
    <row r="3967" spans="1:20" x14ac:dyDescent="0.2">
      <c r="A3967" s="156" t="str">
        <f t="shared" si="1833"/>
        <v>1000010411</v>
      </c>
      <c r="B3967" s="157">
        <v>100001</v>
      </c>
      <c r="C3967" s="157">
        <v>4</v>
      </c>
      <c r="D3967" s="157"/>
      <c r="E3967" s="157">
        <v>1</v>
      </c>
      <c r="F3967" s="158">
        <f t="shared" si="1825"/>
        <v>500000</v>
      </c>
      <c r="G3967" s="158">
        <f t="shared" si="1825"/>
        <v>500000</v>
      </c>
      <c r="H3967" s="158">
        <f t="shared" si="1826"/>
        <v>83500</v>
      </c>
      <c r="I3967" s="158">
        <f t="shared" si="1826"/>
        <v>83500</v>
      </c>
      <c r="J3967" s="158">
        <f t="shared" si="1808"/>
        <v>2420000</v>
      </c>
      <c r="K3967" s="133">
        <v>1000</v>
      </c>
      <c r="L3967" s="158"/>
      <c r="M3967" s="158">
        <f t="shared" si="1834"/>
        <v>804129.34282987099</v>
      </c>
      <c r="N3967" s="178">
        <v>880</v>
      </c>
      <c r="O3967" s="182">
        <v>2</v>
      </c>
      <c r="P3967" s="241" t="s">
        <v>460</v>
      </c>
      <c r="Q3967" s="242">
        <v>400</v>
      </c>
      <c r="R3967" s="159" t="s">
        <v>868</v>
      </c>
      <c r="S3967" s="176">
        <f>ROUNDUP(P3967/3,-2)</f>
        <v>33400</v>
      </c>
    </row>
    <row r="3968" spans="1:20" ht="12.75" thickBot="1" x14ac:dyDescent="0.25">
      <c r="A3968" s="156" t="str">
        <f t="shared" si="1828"/>
        <v>1000010412</v>
      </c>
      <c r="B3968" s="157">
        <v>100001</v>
      </c>
      <c r="C3968" s="157">
        <v>4</v>
      </c>
      <c r="D3968" s="157"/>
      <c r="E3968" s="157">
        <v>2</v>
      </c>
      <c r="F3968" s="158">
        <f t="shared" si="1825"/>
        <v>562500</v>
      </c>
      <c r="G3968" s="158">
        <f t="shared" si="1825"/>
        <v>562500</v>
      </c>
      <c r="H3968" s="158">
        <f t="shared" si="1826"/>
        <v>55750</v>
      </c>
      <c r="I3968" s="158">
        <f t="shared" si="1826"/>
        <v>55750</v>
      </c>
      <c r="J3968" s="158">
        <f t="shared" si="1808"/>
        <v>146944</v>
      </c>
      <c r="K3968" s="133">
        <v>1000</v>
      </c>
      <c r="L3968" s="158"/>
      <c r="M3968" s="158">
        <f t="shared" si="1830"/>
        <v>171731.36230752961</v>
      </c>
      <c r="N3968" s="179">
        <v>230</v>
      </c>
      <c r="O3968" s="182">
        <v>2</v>
      </c>
      <c r="P3968" s="241" t="s">
        <v>460</v>
      </c>
      <c r="Q3968" s="242">
        <v>450</v>
      </c>
      <c r="R3968" s="159" t="s">
        <v>868</v>
      </c>
      <c r="S3968" s="147">
        <f>ROUNDUP(S3967/1.5,-2)</f>
        <v>22300</v>
      </c>
    </row>
    <row r="3969" spans="1:19" x14ac:dyDescent="0.2">
      <c r="A3969" s="160" t="str">
        <f t="shared" ref="A3969" si="1835">IF(B3969="","",CONCATENATE(B3969,CONCATENATE(REPT(0,2-LEN(C3969)),C3969),IF(OR(D3969="Easy",D3969=""),1,IF(D3969="Normal",2,IF(D3969="Hard",3,IF(D3969="Hell",4,"error")))),E3969))</f>
        <v>1000010511</v>
      </c>
      <c r="B3969" s="161">
        <v>100001</v>
      </c>
      <c r="C3969" s="161">
        <v>5</v>
      </c>
      <c r="D3969" s="161"/>
      <c r="E3969" s="161">
        <v>1</v>
      </c>
      <c r="F3969" s="162">
        <f t="shared" si="1825"/>
        <v>712500</v>
      </c>
      <c r="G3969" s="162">
        <f t="shared" si="1825"/>
        <v>712500</v>
      </c>
      <c r="H3969" s="162">
        <f t="shared" si="1826"/>
        <v>118750</v>
      </c>
      <c r="I3969" s="162">
        <f t="shared" si="1826"/>
        <v>118750</v>
      </c>
      <c r="J3969" s="162">
        <f t="shared" si="1808"/>
        <v>3851507</v>
      </c>
      <c r="K3969" s="133">
        <v>1000</v>
      </c>
      <c r="L3969" s="162"/>
      <c r="M3969" s="162">
        <f t="shared" ref="M3969" si="1836">(F3969*J3969*((H3969+I3969)/2)/1000)^(1/2)/10*0.8</f>
        <v>1444157.553904698</v>
      </c>
      <c r="N3969" s="178">
        <v>930</v>
      </c>
      <c r="O3969" s="183">
        <v>2</v>
      </c>
      <c r="P3969" s="41" t="s">
        <v>1038</v>
      </c>
      <c r="Q3969" s="242">
        <v>400</v>
      </c>
      <c r="R3969" s="163" t="s">
        <v>869</v>
      </c>
      <c r="S3969" s="176">
        <f>ROUNDUP(P3969/3,-2)</f>
        <v>47500</v>
      </c>
    </row>
    <row r="3970" spans="1:19" ht="12.75" thickBot="1" x14ac:dyDescent="0.25">
      <c r="A3970" s="160" t="str">
        <f t="shared" si="1828"/>
        <v>1000010512</v>
      </c>
      <c r="B3970" s="161">
        <v>100001</v>
      </c>
      <c r="C3970" s="161">
        <v>5</v>
      </c>
      <c r="D3970" s="161"/>
      <c r="E3970" s="161">
        <v>2</v>
      </c>
      <c r="F3970" s="162">
        <f t="shared" si="1825"/>
        <v>801562</v>
      </c>
      <c r="G3970" s="162">
        <f t="shared" si="1825"/>
        <v>801562</v>
      </c>
      <c r="H3970" s="162">
        <f t="shared" si="1826"/>
        <v>79250</v>
      </c>
      <c r="I3970" s="162">
        <f t="shared" si="1826"/>
        <v>79250</v>
      </c>
      <c r="J3970" s="162">
        <f t="shared" si="1808"/>
        <v>228000</v>
      </c>
      <c r="K3970" s="133">
        <v>1000</v>
      </c>
      <c r="L3970" s="162"/>
      <c r="M3970" s="162">
        <f t="shared" si="1830"/>
        <v>304456.74927516386</v>
      </c>
      <c r="N3970" s="179">
        <v>240</v>
      </c>
      <c r="O3970" s="183">
        <v>2</v>
      </c>
      <c r="P3970" s="41" t="s">
        <v>1038</v>
      </c>
      <c r="Q3970" s="242">
        <v>450</v>
      </c>
      <c r="R3970" s="163" t="s">
        <v>869</v>
      </c>
      <c r="S3970" s="147">
        <f>ROUNDUP(S3969/1.5,-2)</f>
        <v>31700</v>
      </c>
    </row>
    <row r="3971" spans="1:19" x14ac:dyDescent="0.2">
      <c r="A3971" s="164" t="str">
        <f t="shared" ref="A3971" si="1837">IF(B3971="","",CONCATENATE(B3971,CONCATENATE(REPT(0,2-LEN(C3971)),C3971),IF(OR(D3971="Easy",D3971=""),1,IF(D3971="Normal",2,IF(D3971="Hard",3,IF(D3971="Hell",4,"error")))),E3971))</f>
        <v>1000010611</v>
      </c>
      <c r="B3971" s="165">
        <v>100001</v>
      </c>
      <c r="C3971" s="165">
        <v>6</v>
      </c>
      <c r="D3971" s="165"/>
      <c r="E3971" s="165">
        <v>1</v>
      </c>
      <c r="F3971" s="166">
        <f t="shared" si="1825"/>
        <v>807500</v>
      </c>
      <c r="G3971" s="166">
        <f t="shared" si="1825"/>
        <v>807500</v>
      </c>
      <c r="H3971" s="166">
        <f t="shared" si="1826"/>
        <v>134750</v>
      </c>
      <c r="I3971" s="166">
        <f t="shared" si="1826"/>
        <v>134750</v>
      </c>
      <c r="J3971" s="166">
        <f t="shared" si="1808"/>
        <v>4087968</v>
      </c>
      <c r="K3971" s="133">
        <v>1000</v>
      </c>
      <c r="L3971" s="166"/>
      <c r="M3971" s="166">
        <f t="shared" ref="M3971" si="1838">(F3971*J3971*((H3971+I3971)/2)/1000)^(1/2)/10*0.8</f>
        <v>1687249.7916977201</v>
      </c>
      <c r="N3971" s="178">
        <v>900</v>
      </c>
      <c r="O3971" s="184">
        <v>2</v>
      </c>
      <c r="P3971" s="230">
        <v>161500</v>
      </c>
      <c r="Q3971" s="242">
        <v>400</v>
      </c>
      <c r="R3971" s="167" t="s">
        <v>870</v>
      </c>
      <c r="S3971" s="176">
        <f>ROUNDUP(P3971/3,-2)</f>
        <v>53900</v>
      </c>
    </row>
    <row r="3972" spans="1:19" ht="12.75" thickBot="1" x14ac:dyDescent="0.25">
      <c r="A3972" s="164" t="str">
        <f t="shared" si="1828"/>
        <v>1000010612</v>
      </c>
      <c r="B3972" s="165">
        <v>100001</v>
      </c>
      <c r="C3972" s="165">
        <v>6</v>
      </c>
      <c r="D3972" s="165"/>
      <c r="E3972" s="165">
        <v>2</v>
      </c>
      <c r="F3972" s="166">
        <f t="shared" si="1825"/>
        <v>908437</v>
      </c>
      <c r="G3972" s="166">
        <f t="shared" si="1825"/>
        <v>908437</v>
      </c>
      <c r="H3972" s="166">
        <f t="shared" si="1826"/>
        <v>90000</v>
      </c>
      <c r="I3972" s="166">
        <f t="shared" si="1826"/>
        <v>90000</v>
      </c>
      <c r="J3972" s="166">
        <f t="shared" si="1808"/>
        <v>258400</v>
      </c>
      <c r="K3972" s="133">
        <v>1000</v>
      </c>
      <c r="L3972" s="166"/>
      <c r="M3972" s="166">
        <f t="shared" si="1830"/>
        <v>367709.54513148009</v>
      </c>
      <c r="N3972" s="179">
        <v>240</v>
      </c>
      <c r="O3972" s="184">
        <v>2</v>
      </c>
      <c r="P3972" s="230">
        <v>161500</v>
      </c>
      <c r="Q3972" s="242">
        <v>450</v>
      </c>
      <c r="R3972" s="167" t="s">
        <v>870</v>
      </c>
      <c r="S3972" s="147">
        <f>ROUNDUP(S3971/1.5,-2)</f>
        <v>36000</v>
      </c>
    </row>
    <row r="3973" spans="1:19" x14ac:dyDescent="0.2">
      <c r="A3973" s="168" t="str">
        <f t="shared" ref="A3973" si="1839">IF(B3973="","",CONCATENATE(B3973,CONCATENATE(REPT(0,2-LEN(C3973)),C3973),IF(OR(D3973="Easy",D3973=""),1,IF(D3973="Normal",2,IF(D3973="Hard",3,IF(D3973="Hell",4,"error")))),E3973))</f>
        <v>1000010711</v>
      </c>
      <c r="B3973" s="169">
        <v>100001</v>
      </c>
      <c r="C3973" s="169">
        <v>7</v>
      </c>
      <c r="D3973" s="169"/>
      <c r="E3973" s="169">
        <v>1</v>
      </c>
      <c r="F3973" s="170">
        <f t="shared" si="1825"/>
        <v>925000</v>
      </c>
      <c r="G3973" s="170">
        <f t="shared" si="1825"/>
        <v>925000</v>
      </c>
      <c r="H3973" s="170">
        <f t="shared" si="1826"/>
        <v>154250</v>
      </c>
      <c r="I3973" s="170">
        <f t="shared" si="1826"/>
        <v>154250</v>
      </c>
      <c r="J3973" s="170">
        <f t="shared" si="1808"/>
        <v>4682812</v>
      </c>
      <c r="K3973" s="133">
        <v>1000</v>
      </c>
      <c r="L3973" s="170"/>
      <c r="M3973" s="170">
        <f t="shared" ref="M3973" si="1840">(F3973*J3973*((H3973+I3973)/2)/1000)^(1/2)/10*0.8</f>
        <v>2067886.9906065953</v>
      </c>
      <c r="N3973" s="178">
        <v>900</v>
      </c>
      <c r="O3973" s="185">
        <v>2</v>
      </c>
      <c r="P3973" s="243" t="s">
        <v>1039</v>
      </c>
      <c r="Q3973" s="242">
        <v>400</v>
      </c>
      <c r="R3973" s="171" t="s">
        <v>871</v>
      </c>
      <c r="S3973" s="176">
        <f>ROUNDUP(P3973/3,-2)</f>
        <v>61700</v>
      </c>
    </row>
    <row r="3974" spans="1:19" ht="12.75" thickBot="1" x14ac:dyDescent="0.25">
      <c r="A3974" s="172" t="str">
        <f t="shared" si="1828"/>
        <v>1000010712</v>
      </c>
      <c r="B3974" s="173">
        <v>100001</v>
      </c>
      <c r="C3974" s="173">
        <v>7</v>
      </c>
      <c r="D3974" s="173"/>
      <c r="E3974" s="173">
        <v>2</v>
      </c>
      <c r="F3974" s="174">
        <f t="shared" si="1825"/>
        <v>1040625</v>
      </c>
      <c r="G3974" s="174">
        <f t="shared" si="1825"/>
        <v>1040625</v>
      </c>
      <c r="H3974" s="174">
        <f t="shared" si="1826"/>
        <v>103000</v>
      </c>
      <c r="I3974" s="174">
        <f t="shared" si="1826"/>
        <v>103000</v>
      </c>
      <c r="J3974" s="174">
        <f t="shared" si="1808"/>
        <v>296000</v>
      </c>
      <c r="K3974" s="133">
        <v>1000</v>
      </c>
      <c r="L3974" s="174"/>
      <c r="M3974" s="174">
        <f t="shared" si="1830"/>
        <v>450610.78549009463</v>
      </c>
      <c r="N3974" s="179">
        <v>240</v>
      </c>
      <c r="O3974" s="186">
        <v>2</v>
      </c>
      <c r="P3974" s="243" t="s">
        <v>1039</v>
      </c>
      <c r="Q3974" s="242">
        <v>450</v>
      </c>
      <c r="R3974" s="175" t="s">
        <v>871</v>
      </c>
      <c r="S3974" s="147">
        <f>ROUNDUP(S3973/1.5,-2)</f>
        <v>41200</v>
      </c>
    </row>
    <row r="3975" spans="1:19" x14ac:dyDescent="0.2">
      <c r="A3975" s="168" t="str">
        <f t="shared" si="1828"/>
        <v>1000010811</v>
      </c>
      <c r="B3975" s="169">
        <v>100001</v>
      </c>
      <c r="C3975" s="169">
        <v>8</v>
      </c>
      <c r="D3975" s="169"/>
      <c r="E3975" s="169">
        <v>1</v>
      </c>
      <c r="F3975" s="170">
        <f t="shared" si="1825"/>
        <v>1050000</v>
      </c>
      <c r="G3975" s="170">
        <f t="shared" si="1825"/>
        <v>1050000</v>
      </c>
      <c r="H3975" s="170">
        <f t="shared" si="1826"/>
        <v>175000</v>
      </c>
      <c r="I3975" s="170">
        <f t="shared" si="1826"/>
        <v>175000</v>
      </c>
      <c r="J3975" s="170">
        <f t="shared" si="1808"/>
        <v>5315625</v>
      </c>
      <c r="K3975" s="133">
        <v>1000</v>
      </c>
      <c r="L3975" s="170"/>
      <c r="M3975" s="170">
        <f t="shared" si="1830"/>
        <v>2500234.9889560379</v>
      </c>
      <c r="N3975" s="178">
        <v>900</v>
      </c>
      <c r="O3975" s="185">
        <v>2</v>
      </c>
      <c r="P3975" s="243" t="s">
        <v>503</v>
      </c>
      <c r="Q3975" s="242">
        <v>400</v>
      </c>
      <c r="R3975" s="171" t="s">
        <v>890</v>
      </c>
      <c r="S3975" s="176">
        <f>ROUNDUP(P3975/3,-2)</f>
        <v>70000</v>
      </c>
    </row>
    <row r="3976" spans="1:19" ht="12.75" thickBot="1" x14ac:dyDescent="0.25">
      <c r="A3976" s="172" t="str">
        <f t="shared" ref="A3976:A3977" si="1841">IF(B3976="","",CONCATENATE(B3976,CONCATENATE(REPT(0,2-LEN(C3976)),C3976),IF(OR(D3976="Easy",D3976=""),1,IF(D3976="Normal",2,IF(D3976="Hard",3,IF(D3976="Hell",4,"error")))),E3976))</f>
        <v>1000010812</v>
      </c>
      <c r="B3976" s="173">
        <v>100001</v>
      </c>
      <c r="C3976" s="173">
        <v>8</v>
      </c>
      <c r="D3976" s="173"/>
      <c r="E3976" s="173">
        <v>2</v>
      </c>
      <c r="F3976" s="174">
        <f t="shared" si="1825"/>
        <v>1181250</v>
      </c>
      <c r="G3976" s="174">
        <f t="shared" si="1825"/>
        <v>1181250</v>
      </c>
      <c r="H3976" s="174">
        <f t="shared" si="1826"/>
        <v>116750</v>
      </c>
      <c r="I3976" s="174">
        <f t="shared" si="1826"/>
        <v>116750</v>
      </c>
      <c r="J3976" s="174">
        <f t="shared" si="1808"/>
        <v>364583</v>
      </c>
      <c r="K3976" s="133">
        <v>1000</v>
      </c>
      <c r="L3976" s="174"/>
      <c r="M3976" s="174">
        <f t="shared" ref="M3976:M3977" si="1842">(F3976*J3976*((H3976+I3976)/2)/1000)^(1/2)/10*0.8</f>
        <v>567267.0387833229</v>
      </c>
      <c r="N3976" s="179">
        <v>250</v>
      </c>
      <c r="O3976" s="186">
        <v>2</v>
      </c>
      <c r="P3976" s="243" t="s">
        <v>503</v>
      </c>
      <c r="Q3976" s="242">
        <v>450</v>
      </c>
      <c r="R3976" s="175" t="s">
        <v>890</v>
      </c>
      <c r="S3976" s="147">
        <f>ROUNDUP(S3975/1.5,-2)</f>
        <v>46700</v>
      </c>
    </row>
    <row r="3977" spans="1:19" x14ac:dyDescent="0.2">
      <c r="A3977" s="168" t="str">
        <f t="shared" si="1841"/>
        <v>1000010911</v>
      </c>
      <c r="B3977" s="169">
        <v>100001</v>
      </c>
      <c r="C3977" s="169">
        <v>9</v>
      </c>
      <c r="D3977" s="169"/>
      <c r="E3977" s="169">
        <v>1</v>
      </c>
      <c r="F3977" s="170">
        <f t="shared" si="1825"/>
        <v>1434375</v>
      </c>
      <c r="G3977" s="170">
        <f t="shared" si="1825"/>
        <v>1434375</v>
      </c>
      <c r="H3977" s="170">
        <f t="shared" si="1826"/>
        <v>183500</v>
      </c>
      <c r="I3977" s="170">
        <f t="shared" si="1826"/>
        <v>183500</v>
      </c>
      <c r="J3977" s="170">
        <f t="shared" si="1808"/>
        <v>7941176</v>
      </c>
      <c r="K3977" s="133">
        <v>1000</v>
      </c>
      <c r="L3977" s="170"/>
      <c r="M3977" s="170">
        <f t="shared" si="1842"/>
        <v>3657478.5313491593</v>
      </c>
      <c r="N3977" s="178">
        <v>1000</v>
      </c>
      <c r="O3977" s="185">
        <v>2</v>
      </c>
      <c r="P3977" s="243" t="s">
        <v>1040</v>
      </c>
      <c r="Q3977" s="242">
        <v>425</v>
      </c>
      <c r="R3977" s="171" t="s">
        <v>1031</v>
      </c>
      <c r="S3977" s="176">
        <v>73400</v>
      </c>
    </row>
    <row r="3978" spans="1:19" ht="12.75" thickBot="1" x14ac:dyDescent="0.25">
      <c r="A3978" s="172" t="str">
        <f t="shared" ref="A3978:A3980" si="1843">IF(B3978="","",CONCATENATE(B3978,CONCATENATE(REPT(0,2-LEN(C3978)),C3978),IF(OR(D3978="Easy",D3978=""),1,IF(D3978="Normal",2,IF(D3978="Hard",3,IF(D3978="Hell",4,"error")))),E3978))</f>
        <v>1000010912</v>
      </c>
      <c r="B3978" s="173">
        <v>100001</v>
      </c>
      <c r="C3978" s="173">
        <v>9</v>
      </c>
      <c r="D3978" s="173"/>
      <c r="E3978" s="173">
        <v>2</v>
      </c>
      <c r="F3978" s="174">
        <f t="shared" si="1825"/>
        <v>1518750</v>
      </c>
      <c r="G3978" s="174">
        <f t="shared" si="1825"/>
        <v>1518750</v>
      </c>
      <c r="H3978" s="174">
        <f t="shared" si="1826"/>
        <v>98000</v>
      </c>
      <c r="I3978" s="174">
        <f t="shared" si="1826"/>
        <v>98000</v>
      </c>
      <c r="J3978" s="174">
        <f t="shared" si="1808"/>
        <v>630750</v>
      </c>
      <c r="K3978" s="133">
        <v>1000</v>
      </c>
      <c r="L3978" s="174"/>
      <c r="M3978" s="174">
        <f t="shared" ref="M3978:M3980" si="1844">(F3978*J3978*((H3978+I3978)/2)/1000)^(1/2)/10*0.8</f>
        <v>775130.45353669347</v>
      </c>
      <c r="N3978" s="179">
        <v>290</v>
      </c>
      <c r="O3978" s="186">
        <v>2</v>
      </c>
      <c r="P3978" s="243" t="s">
        <v>1040</v>
      </c>
      <c r="Q3978" s="242">
        <v>450</v>
      </c>
      <c r="R3978" s="175" t="s">
        <v>1031</v>
      </c>
      <c r="S3978" s="147">
        <v>39200</v>
      </c>
    </row>
    <row r="3979" spans="1:19" x14ac:dyDescent="0.2">
      <c r="A3979" s="168" t="str">
        <f t="shared" si="1843"/>
        <v>1000011011</v>
      </c>
      <c r="B3979" s="169">
        <v>100001</v>
      </c>
      <c r="C3979" s="169">
        <v>10</v>
      </c>
      <c r="D3979" s="169"/>
      <c r="E3979" s="169">
        <v>1</v>
      </c>
      <c r="F3979" s="170">
        <f t="shared" si="1825"/>
        <v>1687500</v>
      </c>
      <c r="G3979" s="170">
        <f t="shared" si="1825"/>
        <v>1687500</v>
      </c>
      <c r="H3979" s="170">
        <f t="shared" si="1826"/>
        <v>183500</v>
      </c>
      <c r="I3979" s="170">
        <f t="shared" si="1826"/>
        <v>183500</v>
      </c>
      <c r="J3979" s="170">
        <f t="shared" si="1808"/>
        <v>9187500</v>
      </c>
      <c r="K3979" s="133">
        <v>1000</v>
      </c>
      <c r="L3979" s="170"/>
      <c r="M3979" s="170">
        <f t="shared" si="1844"/>
        <v>4267058.4130053809</v>
      </c>
      <c r="N3979" s="178">
        <v>1050</v>
      </c>
      <c r="O3979" s="185">
        <v>2</v>
      </c>
      <c r="P3979" s="243" t="s">
        <v>1041</v>
      </c>
      <c r="Q3979" s="242">
        <v>450</v>
      </c>
      <c r="R3979" s="171" t="s">
        <v>1032</v>
      </c>
      <c r="S3979" s="176">
        <v>73400</v>
      </c>
    </row>
    <row r="3980" spans="1:19" ht="12.75" thickBot="1" x14ac:dyDescent="0.25">
      <c r="A3980" s="172" t="str">
        <f t="shared" si="1843"/>
        <v>1000011012</v>
      </c>
      <c r="B3980" s="173">
        <v>100001</v>
      </c>
      <c r="C3980" s="173">
        <v>10</v>
      </c>
      <c r="D3980" s="173"/>
      <c r="E3980" s="173">
        <v>2</v>
      </c>
      <c r="F3980" s="174">
        <f t="shared" si="1825"/>
        <v>1687500</v>
      </c>
      <c r="G3980" s="174">
        <f t="shared" si="1825"/>
        <v>1687500</v>
      </c>
      <c r="H3980" s="174">
        <f t="shared" si="1826"/>
        <v>98000</v>
      </c>
      <c r="I3980" s="174">
        <f t="shared" si="1826"/>
        <v>98000</v>
      </c>
      <c r="J3980" s="174">
        <f t="shared" si="1808"/>
        <v>785408</v>
      </c>
      <c r="K3980" s="133">
        <v>1000</v>
      </c>
      <c r="L3980" s="174"/>
      <c r="M3980" s="174">
        <f t="shared" si="1844"/>
        <v>911743.2901864429</v>
      </c>
      <c r="N3980" s="179">
        <v>307</v>
      </c>
      <c r="O3980" s="186">
        <v>2</v>
      </c>
      <c r="P3980" s="243" t="s">
        <v>1041</v>
      </c>
      <c r="Q3980" s="242">
        <v>450</v>
      </c>
      <c r="R3980" s="175" t="s">
        <v>1032</v>
      </c>
      <c r="S3980" s="147">
        <v>39200</v>
      </c>
    </row>
    <row r="3981" spans="1:19" x14ac:dyDescent="0.2">
      <c r="A3981" s="8">
        <v>1000020111</v>
      </c>
      <c r="B3981" s="8">
        <v>100002</v>
      </c>
      <c r="C3981" s="8">
        <v>1</v>
      </c>
      <c r="D3981" s="8"/>
      <c r="E3981" s="8">
        <v>1</v>
      </c>
      <c r="F3981" s="133">
        <f t="shared" si="1825"/>
        <v>67500</v>
      </c>
      <c r="G3981" s="133">
        <f t="shared" si="1825"/>
        <v>67500</v>
      </c>
      <c r="H3981" s="133">
        <f t="shared" si="1826"/>
        <v>4250</v>
      </c>
      <c r="I3981" s="133">
        <f t="shared" si="1826"/>
        <v>4250</v>
      </c>
      <c r="J3981" s="133">
        <f t="shared" si="1808"/>
        <v>341718</v>
      </c>
      <c r="K3981" s="133">
        <v>1000</v>
      </c>
      <c r="L3981" s="133"/>
      <c r="M3981" s="133">
        <f t="shared" si="1830"/>
        <v>25047.839188241371</v>
      </c>
      <c r="N3981" s="177">
        <v>900</v>
      </c>
      <c r="O3981" s="177">
        <v>2</v>
      </c>
      <c r="P3981" s="2" t="s">
        <v>1042</v>
      </c>
      <c r="Q3981" s="134">
        <v>400</v>
      </c>
      <c r="R3981" s="2" t="s">
        <v>872</v>
      </c>
      <c r="S3981" s="137">
        <f>ROUNDUP(P3981/8,-2)</f>
        <v>1700</v>
      </c>
    </row>
    <row r="3982" spans="1:19" x14ac:dyDescent="0.2">
      <c r="A3982" s="8">
        <v>1000020211</v>
      </c>
      <c r="B3982" s="8">
        <v>100002</v>
      </c>
      <c r="C3982" s="8">
        <v>2</v>
      </c>
      <c r="D3982" s="8"/>
      <c r="E3982" s="8">
        <v>1</v>
      </c>
      <c r="F3982" s="133">
        <f t="shared" si="1825"/>
        <v>337500</v>
      </c>
      <c r="G3982" s="133">
        <f t="shared" si="1825"/>
        <v>337500</v>
      </c>
      <c r="H3982" s="133">
        <f t="shared" si="1826"/>
        <v>14250</v>
      </c>
      <c r="I3982" s="133">
        <f t="shared" si="1826"/>
        <v>14250</v>
      </c>
      <c r="J3982" s="133">
        <f t="shared" si="1808"/>
        <v>1350000</v>
      </c>
      <c r="K3982" s="133">
        <v>1000</v>
      </c>
      <c r="L3982" s="133"/>
      <c r="M3982" s="133">
        <f t="shared" ref="M3982:M3991" si="1845">(F3982*J3982*((H3982+I3982)/2)/1000)^(1/2)/10*0.8</f>
        <v>203845.52975231025</v>
      </c>
      <c r="N3982" s="177">
        <v>1200</v>
      </c>
      <c r="O3982" s="177">
        <v>2</v>
      </c>
      <c r="P3982" s="2" t="s">
        <v>1045</v>
      </c>
      <c r="Q3982" s="134">
        <v>600</v>
      </c>
      <c r="R3982" s="2" t="s">
        <v>873</v>
      </c>
      <c r="S3982" s="137">
        <f t="shared" ref="S3982:S3987" si="1846">ROUNDUP(P3982/8,-2)</f>
        <v>5700</v>
      </c>
    </row>
    <row r="3983" spans="1:19" x14ac:dyDescent="0.2">
      <c r="A3983" s="8">
        <v>1000020311</v>
      </c>
      <c r="B3983" s="8">
        <v>100002</v>
      </c>
      <c r="C3983" s="8">
        <v>3</v>
      </c>
      <c r="D3983" s="8"/>
      <c r="E3983" s="8">
        <v>1</v>
      </c>
      <c r="F3983" s="133">
        <f t="shared" si="1825"/>
        <v>438750</v>
      </c>
      <c r="G3983" s="133">
        <f t="shared" si="1825"/>
        <v>438750</v>
      </c>
      <c r="H3983" s="133">
        <f t="shared" si="1826"/>
        <v>24500</v>
      </c>
      <c r="I3983" s="133">
        <f t="shared" si="1826"/>
        <v>24500</v>
      </c>
      <c r="J3983" s="133">
        <f t="shared" si="1808"/>
        <v>2621666</v>
      </c>
      <c r="K3983" s="133">
        <v>1000</v>
      </c>
      <c r="L3983" s="133"/>
      <c r="M3983" s="133">
        <f t="shared" si="1845"/>
        <v>424688.27878339199</v>
      </c>
      <c r="N3983" s="177">
        <v>1100</v>
      </c>
      <c r="O3983" s="177">
        <v>2</v>
      </c>
      <c r="P3983" s="2" t="s">
        <v>1046</v>
      </c>
      <c r="Q3983" s="134">
        <v>450</v>
      </c>
      <c r="R3983" s="2" t="s">
        <v>874</v>
      </c>
      <c r="S3983" s="137">
        <f t="shared" si="1846"/>
        <v>9800</v>
      </c>
    </row>
    <row r="3984" spans="1:19" x14ac:dyDescent="0.2">
      <c r="A3984" s="8">
        <v>1000020411</v>
      </c>
      <c r="B3984" s="8">
        <v>100002</v>
      </c>
      <c r="C3984" s="8">
        <v>4</v>
      </c>
      <c r="D3984" s="8"/>
      <c r="E3984" s="8">
        <v>1</v>
      </c>
      <c r="F3984" s="133">
        <f t="shared" si="1825"/>
        <v>412500</v>
      </c>
      <c r="G3984" s="133">
        <f t="shared" si="1825"/>
        <v>412500</v>
      </c>
      <c r="H3984" s="133">
        <f t="shared" si="1826"/>
        <v>34500</v>
      </c>
      <c r="I3984" s="133">
        <f t="shared" si="1826"/>
        <v>34500</v>
      </c>
      <c r="J3984" s="133">
        <f t="shared" si="1808"/>
        <v>5247458</v>
      </c>
      <c r="K3984" s="133">
        <v>1000</v>
      </c>
      <c r="L3984" s="133"/>
      <c r="M3984" s="133">
        <f t="shared" si="1845"/>
        <v>691330.94436745706</v>
      </c>
      <c r="N3984" s="177">
        <v>1070</v>
      </c>
      <c r="O3984" s="177">
        <v>2</v>
      </c>
      <c r="P3984" s="2" t="s">
        <v>295</v>
      </c>
      <c r="Q3984" s="134">
        <v>300</v>
      </c>
      <c r="R3984" s="2" t="s">
        <v>875</v>
      </c>
      <c r="S3984" s="137">
        <f t="shared" si="1846"/>
        <v>13800</v>
      </c>
    </row>
    <row r="3985" spans="1:19" x14ac:dyDescent="0.2">
      <c r="A3985" s="8">
        <v>1000020511</v>
      </c>
      <c r="B3985" s="8">
        <v>100002</v>
      </c>
      <c r="C3985" s="8">
        <v>5</v>
      </c>
      <c r="D3985" s="8"/>
      <c r="E3985" s="8">
        <v>1</v>
      </c>
      <c r="F3985" s="133">
        <f t="shared" ref="F3985:G3990" si="1847">ROUNDDOWN($P3985/4*$O3985*10*$N3985/$N3985*$Q3985/400,0)</f>
        <v>581250</v>
      </c>
      <c r="G3985" s="133">
        <f t="shared" si="1847"/>
        <v>581250</v>
      </c>
      <c r="H3985" s="133">
        <f t="shared" ref="H3985:I3990" si="1848">ROUNDDOWN($S3985/4*10,0)</f>
        <v>48500</v>
      </c>
      <c r="I3985" s="133">
        <f t="shared" si="1848"/>
        <v>48500</v>
      </c>
      <c r="J3985" s="133">
        <f t="shared" ref="J3985:J3990" si="1849">ROUNDDOWN($P3985/4*$O3985*10*$N3985/$Q3985*$N3985/400,0)</f>
        <v>7120312</v>
      </c>
      <c r="K3985" s="133">
        <v>1000</v>
      </c>
      <c r="L3985" s="133"/>
      <c r="M3985" s="133">
        <f t="shared" si="1845"/>
        <v>1133422.5562604619</v>
      </c>
      <c r="N3985" s="177">
        <v>1050</v>
      </c>
      <c r="O3985" s="177">
        <v>2</v>
      </c>
      <c r="P3985" s="2" t="s">
        <v>895</v>
      </c>
      <c r="Q3985" s="134">
        <v>300</v>
      </c>
      <c r="R3985" s="2" t="s">
        <v>876</v>
      </c>
      <c r="S3985" s="137">
        <f t="shared" si="1846"/>
        <v>19400</v>
      </c>
    </row>
    <row r="3986" spans="1:19" x14ac:dyDescent="0.2">
      <c r="A3986" s="8">
        <v>1000020611</v>
      </c>
      <c r="B3986" s="8">
        <v>100002</v>
      </c>
      <c r="C3986" s="8">
        <v>6</v>
      </c>
      <c r="D3986" s="8"/>
      <c r="E3986" s="8">
        <v>1</v>
      </c>
      <c r="F3986" s="133">
        <f t="shared" si="1847"/>
        <v>688750</v>
      </c>
      <c r="G3986" s="133">
        <f t="shared" si="1847"/>
        <v>688750</v>
      </c>
      <c r="H3986" s="133">
        <f t="shared" si="1848"/>
        <v>59500</v>
      </c>
      <c r="I3986" s="133">
        <f t="shared" si="1848"/>
        <v>59500</v>
      </c>
      <c r="J3986" s="133">
        <f t="shared" si="1849"/>
        <v>7391163</v>
      </c>
      <c r="K3986" s="133">
        <v>1000</v>
      </c>
      <c r="L3986" s="133"/>
      <c r="M3986" s="133">
        <f t="shared" si="1845"/>
        <v>1392309.1133035079</v>
      </c>
      <c r="N3986" s="177">
        <v>950</v>
      </c>
      <c r="O3986" s="177">
        <v>2</v>
      </c>
      <c r="P3986" s="2" t="s">
        <v>1047</v>
      </c>
      <c r="Q3986" s="134">
        <v>290</v>
      </c>
      <c r="R3986" s="2" t="s">
        <v>877</v>
      </c>
      <c r="S3986" s="137">
        <f t="shared" si="1846"/>
        <v>23800</v>
      </c>
    </row>
    <row r="3987" spans="1:19" x14ac:dyDescent="0.2">
      <c r="A3987" s="8">
        <v>1000020711</v>
      </c>
      <c r="B3987" s="8">
        <v>100002</v>
      </c>
      <c r="C3987" s="8">
        <v>7</v>
      </c>
      <c r="D3987" s="8"/>
      <c r="E3987" s="8">
        <v>1</v>
      </c>
      <c r="F3987" s="133">
        <f t="shared" si="1847"/>
        <v>735000</v>
      </c>
      <c r="G3987" s="133">
        <f t="shared" si="1847"/>
        <v>735000</v>
      </c>
      <c r="H3987" s="133">
        <f t="shared" si="1848"/>
        <v>65750</v>
      </c>
      <c r="I3987" s="133">
        <f t="shared" si="1848"/>
        <v>65750</v>
      </c>
      <c r="J3987" s="133">
        <f t="shared" si="1849"/>
        <v>8460937</v>
      </c>
      <c r="K3987" s="133">
        <v>1000</v>
      </c>
      <c r="L3987" s="133"/>
      <c r="M3987" s="133">
        <f t="shared" si="1845"/>
        <v>1617673.1075393448</v>
      </c>
      <c r="N3987" s="177">
        <v>950</v>
      </c>
      <c r="O3987" s="177">
        <v>2</v>
      </c>
      <c r="P3987" s="2" t="s">
        <v>503</v>
      </c>
      <c r="Q3987" s="134">
        <v>280</v>
      </c>
      <c r="R3987" s="2" t="s">
        <v>878</v>
      </c>
      <c r="S3987" s="137">
        <f t="shared" si="1846"/>
        <v>26300</v>
      </c>
    </row>
    <row r="3988" spans="1:19" ht="10.5" customHeight="1" x14ac:dyDescent="0.2">
      <c r="A3988" s="8">
        <v>1000020811</v>
      </c>
      <c r="B3988" s="8">
        <v>100002</v>
      </c>
      <c r="C3988" s="8">
        <v>8</v>
      </c>
      <c r="D3988" s="8"/>
      <c r="E3988" s="8">
        <v>1</v>
      </c>
      <c r="F3988" s="133">
        <f t="shared" si="1847"/>
        <v>742500</v>
      </c>
      <c r="G3988" s="133">
        <f t="shared" si="1847"/>
        <v>742500</v>
      </c>
      <c r="H3988" s="133">
        <f t="shared" si="1848"/>
        <v>68750</v>
      </c>
      <c r="I3988" s="133">
        <f t="shared" si="1848"/>
        <v>68750</v>
      </c>
      <c r="J3988" s="133">
        <f t="shared" si="1849"/>
        <v>9192129</v>
      </c>
      <c r="K3988" s="133">
        <v>1000</v>
      </c>
      <c r="L3988" s="133"/>
      <c r="M3988" s="133">
        <f t="shared" ref="M3988" si="1850">(F3988*J3988*((H3988+I3988)/2)/1000)^(1/2)/10*0.8</f>
        <v>1732936.3936105678</v>
      </c>
      <c r="N3988" s="177">
        <v>950</v>
      </c>
      <c r="O3988" s="177">
        <v>2</v>
      </c>
      <c r="P3988" s="2" t="s">
        <v>504</v>
      </c>
      <c r="Q3988" s="134">
        <v>270</v>
      </c>
      <c r="R3988" s="2" t="s">
        <v>889</v>
      </c>
      <c r="S3988" s="137">
        <f t="shared" ref="S3988" si="1851">ROUNDUP(P3988/8,-2)</f>
        <v>27500</v>
      </c>
    </row>
    <row r="3989" spans="1:19" ht="10.5" customHeight="1" x14ac:dyDescent="0.2">
      <c r="A3989" s="8">
        <v>1000020911</v>
      </c>
      <c r="B3989" s="8">
        <v>100002</v>
      </c>
      <c r="C3989" s="8">
        <v>9</v>
      </c>
      <c r="D3989" s="8"/>
      <c r="E3989" s="8">
        <v>1</v>
      </c>
      <c r="F3989" s="133">
        <f t="shared" si="1847"/>
        <v>1029375</v>
      </c>
      <c r="G3989" s="133">
        <f t="shared" si="1847"/>
        <v>1029375</v>
      </c>
      <c r="H3989" s="133">
        <f t="shared" si="1848"/>
        <v>71250</v>
      </c>
      <c r="I3989" s="133">
        <f t="shared" si="1848"/>
        <v>71250</v>
      </c>
      <c r="J3989" s="133">
        <f t="shared" si="1849"/>
        <v>14120370</v>
      </c>
      <c r="K3989" s="133">
        <v>1000</v>
      </c>
      <c r="L3989" s="133"/>
      <c r="M3989" s="133">
        <f t="shared" ref="M3989:M3990" si="1852">(F3989*J3989*((H3989+I3989)/2)/1000)^(1/2)/10*0.8</f>
        <v>2574496.2761965692</v>
      </c>
      <c r="N3989" s="177">
        <v>1000</v>
      </c>
      <c r="O3989" s="177">
        <v>2</v>
      </c>
      <c r="P3989" s="2" t="s">
        <v>1049</v>
      </c>
      <c r="Q3989" s="134">
        <v>270</v>
      </c>
      <c r="R3989" s="2" t="s">
        <v>1029</v>
      </c>
      <c r="S3989" s="137">
        <v>28500</v>
      </c>
    </row>
    <row r="3990" spans="1:19" ht="10.5" customHeight="1" x14ac:dyDescent="0.2">
      <c r="A3990" s="8">
        <v>1000021011</v>
      </c>
      <c r="B3990" s="8">
        <v>100002</v>
      </c>
      <c r="C3990" s="8">
        <v>10</v>
      </c>
      <c r="D3990" s="8"/>
      <c r="E3990" s="8">
        <v>1</v>
      </c>
      <c r="F3990" s="133">
        <f t="shared" si="1847"/>
        <v>1215000</v>
      </c>
      <c r="G3990" s="133">
        <f t="shared" si="1847"/>
        <v>1215000</v>
      </c>
      <c r="H3990" s="133">
        <f t="shared" si="1848"/>
        <v>75000</v>
      </c>
      <c r="I3990" s="133">
        <f t="shared" si="1848"/>
        <v>75000</v>
      </c>
      <c r="J3990" s="133">
        <f t="shared" si="1849"/>
        <v>19440000</v>
      </c>
      <c r="K3990" s="133">
        <v>1000</v>
      </c>
      <c r="L3990" s="133"/>
      <c r="M3990" s="133">
        <f t="shared" si="1852"/>
        <v>3367106.7699138978</v>
      </c>
      <c r="N3990" s="177">
        <v>1080</v>
      </c>
      <c r="O3990" s="177">
        <v>2</v>
      </c>
      <c r="P3990" s="2" t="s">
        <v>1050</v>
      </c>
      <c r="Q3990" s="134">
        <v>270</v>
      </c>
      <c r="R3990" s="2" t="s">
        <v>1030</v>
      </c>
      <c r="S3990" s="137">
        <v>30000</v>
      </c>
    </row>
    <row r="3991" spans="1:19" ht="10.5" customHeight="1" x14ac:dyDescent="0.2">
      <c r="A3991" s="8" t="str">
        <f t="shared" ref="A3991" si="1853">IF(B3991="","",CONCATENATE(B3991,CONCATENATE(REPT(0,2-LEN(C3991)),C3991),IF(OR(D3991="Easy",D3991=""),1,IF(D3991="Normal",2,IF(D3991="Hard",3,IF(D3991="Hell",4,"error")))),E3991))</f>
        <v/>
      </c>
      <c r="B3991" s="5"/>
      <c r="C3991" s="79" t="s">
        <v>879</v>
      </c>
      <c r="D3991" s="5"/>
      <c r="E3991" s="5"/>
      <c r="F3991" s="5"/>
      <c r="G3991" s="5"/>
      <c r="H3991" s="5"/>
      <c r="I3991" s="5"/>
      <c r="J3991" s="5"/>
      <c r="K3991" s="5"/>
      <c r="L3991" s="5"/>
      <c r="M3991" s="16">
        <f t="shared" si="1845"/>
        <v>0</v>
      </c>
      <c r="N3991" s="5"/>
      <c r="O3991" s="5"/>
      <c r="P3991" s="5"/>
      <c r="Q3991" s="5"/>
      <c r="R3991" s="5"/>
      <c r="S3991" s="30"/>
    </row>
    <row r="3992" spans="1:19" ht="10.5" customHeight="1" x14ac:dyDescent="0.2">
      <c r="A3992" s="8" t="str">
        <f t="shared" ref="A3992" si="1854">IF(B3992="","",CONCATENATE(B3992,CONCATENATE(REPT(0,2-LEN(C3992)),C3992),IF(OR(D3992="Easy",D3992=""),1,IF(D3992="Normal",2,IF(D3992="Hard",3,IF(D3992="Hell",4,"error")))),E3992))</f>
        <v>650111</v>
      </c>
      <c r="B3992" s="8">
        <v>65</v>
      </c>
      <c r="C3992" s="8">
        <v>1</v>
      </c>
      <c r="D3992" s="8" t="s">
        <v>259</v>
      </c>
      <c r="E3992" s="8">
        <v>1</v>
      </c>
      <c r="F3992" s="34">
        <f t="shared" ref="F3992:G3996" si="1855">ROUNDDOWN($P3992/4*MIN($O3992,4)*10*$N3992/$N3992*$Q3992/400,0)</f>
        <v>219300</v>
      </c>
      <c r="G3992" s="34">
        <f t="shared" si="1855"/>
        <v>219300</v>
      </c>
      <c r="H3992" s="34">
        <f t="shared" ref="H3992:I3997" si="1856">ROUNDDOWN($S3992/4*10,0)</f>
        <v>9000</v>
      </c>
      <c r="I3992" s="34">
        <f t="shared" si="1856"/>
        <v>9000</v>
      </c>
      <c r="J3992" s="34">
        <f t="shared" ref="J3992:J3997" si="1857">ROUNDDOWN($P3992/4*$O3992*10*$N3992/$Q3992*$N3992/400*0.8,0)</f>
        <v>764158</v>
      </c>
      <c r="K3992" s="133">
        <v>1000</v>
      </c>
      <c r="L3992" s="34"/>
      <c r="M3992" s="16">
        <f t="shared" ref="M3992" si="1858">(F3992*J3992*((H3992+I3992)/2)/1000)^(1/2)/10*0.8</f>
        <v>98247.642849281649</v>
      </c>
      <c r="N3992" s="36">
        <v>700</v>
      </c>
      <c r="O3992" s="2" t="s">
        <v>228</v>
      </c>
      <c r="P3992" s="2" t="s">
        <v>748</v>
      </c>
      <c r="Q3992" s="2" t="s">
        <v>102</v>
      </c>
      <c r="R3992" s="2" t="s">
        <v>881</v>
      </c>
      <c r="S3992" s="2">
        <f>P3992*0.3</f>
        <v>3600</v>
      </c>
    </row>
    <row r="3993" spans="1:19" ht="10.5" customHeight="1" x14ac:dyDescent="0.2">
      <c r="A3993" s="8" t="str">
        <f t="shared" ref="A3993" si="1859">IF(B3993="","",CONCATENATE(B3993,CONCATENATE(REPT(0,2-LEN(C3993)),C3993),IF(OR(D3993="Easy",D3993=""),1,IF(D3993="Normal",2,IF(D3993="Hard",3,IF(D3993="Hell",4,"error")))),E3993))</f>
        <v>650511</v>
      </c>
      <c r="B3993" s="8">
        <v>65</v>
      </c>
      <c r="C3993" s="8">
        <v>5</v>
      </c>
      <c r="D3993" s="8" t="s">
        <v>259</v>
      </c>
      <c r="E3993" s="8">
        <v>1</v>
      </c>
      <c r="F3993" s="34">
        <f t="shared" si="1855"/>
        <v>1827500</v>
      </c>
      <c r="G3993" s="34">
        <f t="shared" si="1855"/>
        <v>1827500</v>
      </c>
      <c r="H3993" s="34">
        <f t="shared" si="1856"/>
        <v>75000</v>
      </c>
      <c r="I3993" s="34">
        <f t="shared" si="1856"/>
        <v>75000</v>
      </c>
      <c r="J3993" s="34">
        <f t="shared" si="1857"/>
        <v>6367989</v>
      </c>
      <c r="K3993" s="133">
        <v>1000</v>
      </c>
      <c r="L3993" s="34"/>
      <c r="M3993" s="16">
        <f t="shared" ref="M3993" si="1860">(F3993*J3993*((H3993+I3993)/2)/1000)^(1/2)/10*0.8</f>
        <v>2363472.0118503622</v>
      </c>
      <c r="N3993" s="36">
        <v>700</v>
      </c>
      <c r="O3993" s="2" t="s">
        <v>228</v>
      </c>
      <c r="P3993" s="2" t="s">
        <v>460</v>
      </c>
      <c r="Q3993" s="2" t="s">
        <v>102</v>
      </c>
      <c r="R3993" s="2" t="s">
        <v>880</v>
      </c>
      <c r="S3993" s="2">
        <f>P3993*0.3</f>
        <v>30000</v>
      </c>
    </row>
    <row r="3994" spans="1:19" ht="10.5" customHeight="1" x14ac:dyDescent="0.2">
      <c r="A3994" s="8" t="str">
        <f t="shared" ref="A3994:A3996" si="1861">IF(B3994="","",CONCATENATE(B3994,CONCATENATE(REPT(0,2-LEN(C3994)),C3994),IF(OR(D3994="Easy",D3994=""),1,IF(D3994="Normal",2,IF(D3994="Hard",3,IF(D3994="Hell",4,"error")))),E3994))</f>
        <v>650611</v>
      </c>
      <c r="B3994" s="8">
        <v>65</v>
      </c>
      <c r="C3994" s="8">
        <v>6</v>
      </c>
      <c r="D3994" s="8" t="s">
        <v>259</v>
      </c>
      <c r="E3994" s="8">
        <v>1</v>
      </c>
      <c r="F3994" s="34">
        <f t="shared" si="1855"/>
        <v>190000</v>
      </c>
      <c r="G3994" s="34">
        <f t="shared" si="1855"/>
        <v>190000</v>
      </c>
      <c r="H3994" s="34">
        <f t="shared" si="1856"/>
        <v>6000</v>
      </c>
      <c r="I3994" s="34">
        <f t="shared" si="1856"/>
        <v>6000</v>
      </c>
      <c r="J3994" s="34">
        <f t="shared" si="1857"/>
        <v>392000</v>
      </c>
      <c r="K3994" s="133">
        <v>1000</v>
      </c>
      <c r="L3994" s="34"/>
      <c r="M3994" s="16">
        <f t="shared" ref="M3994:M3996" si="1862">(F3994*J3994*((H3994+I3994)/2)/1000)^(1/2)/10*0.8</f>
        <v>53479.267010683689</v>
      </c>
      <c r="N3994" s="36">
        <v>700</v>
      </c>
      <c r="O3994" s="2" t="s">
        <v>228</v>
      </c>
      <c r="P3994" s="2" t="s">
        <v>88</v>
      </c>
      <c r="Q3994" s="2" t="s">
        <v>888</v>
      </c>
      <c r="R3994" s="2" t="s">
        <v>882</v>
      </c>
      <c r="S3994" s="2">
        <f>P3994*0.3</f>
        <v>2400</v>
      </c>
    </row>
    <row r="3995" spans="1:19" x14ac:dyDescent="0.2">
      <c r="A3995" s="8" t="str">
        <f t="shared" si="1861"/>
        <v>651111</v>
      </c>
      <c r="B3995" s="8">
        <v>65</v>
      </c>
      <c r="C3995" s="8">
        <v>11</v>
      </c>
      <c r="D3995" s="8" t="s">
        <v>259</v>
      </c>
      <c r="E3995" s="8">
        <v>1</v>
      </c>
      <c r="F3995" s="34">
        <f t="shared" si="1855"/>
        <v>584800</v>
      </c>
      <c r="G3995" s="34">
        <f t="shared" si="1855"/>
        <v>584800</v>
      </c>
      <c r="H3995" s="34">
        <f t="shared" si="1856"/>
        <v>24000</v>
      </c>
      <c r="I3995" s="34">
        <f t="shared" si="1856"/>
        <v>24000</v>
      </c>
      <c r="J3995" s="34">
        <f t="shared" si="1857"/>
        <v>2037756</v>
      </c>
      <c r="K3995" s="133">
        <v>1000</v>
      </c>
      <c r="L3995" s="34"/>
      <c r="M3995" s="16">
        <f t="shared" si="1862"/>
        <v>427834.08381249849</v>
      </c>
      <c r="N3995" s="36">
        <v>700</v>
      </c>
      <c r="O3995" s="2" t="s">
        <v>228</v>
      </c>
      <c r="P3995" s="2" t="s">
        <v>883</v>
      </c>
      <c r="Q3995" s="2" t="s">
        <v>102</v>
      </c>
      <c r="R3995" s="2" t="s">
        <v>881</v>
      </c>
      <c r="S3995" s="2">
        <f>P3995*0.3</f>
        <v>9600</v>
      </c>
    </row>
    <row r="3996" spans="1:19" x14ac:dyDescent="0.2">
      <c r="A3996" s="8" t="str">
        <f t="shared" si="1861"/>
        <v>651211</v>
      </c>
      <c r="B3996" s="8">
        <v>65</v>
      </c>
      <c r="C3996" s="8">
        <v>12</v>
      </c>
      <c r="D3996" s="8" t="s">
        <v>259</v>
      </c>
      <c r="E3996" s="8">
        <v>1</v>
      </c>
      <c r="F3996" s="34">
        <f t="shared" si="1855"/>
        <v>27412</v>
      </c>
      <c r="G3996" s="34">
        <f t="shared" si="1855"/>
        <v>27412</v>
      </c>
      <c r="H3996" s="34">
        <f t="shared" si="1856"/>
        <v>1125</v>
      </c>
      <c r="I3996" s="34">
        <f t="shared" si="1856"/>
        <v>1125</v>
      </c>
      <c r="J3996" s="34">
        <f t="shared" si="1857"/>
        <v>95519</v>
      </c>
      <c r="K3996" s="133">
        <v>1000</v>
      </c>
      <c r="L3996" s="34"/>
      <c r="M3996" s="16">
        <f t="shared" si="1862"/>
        <v>4341.916761247272</v>
      </c>
      <c r="N3996" s="36">
        <v>700</v>
      </c>
      <c r="O3996" s="2" t="s">
        <v>228</v>
      </c>
      <c r="P3996" s="2" t="s">
        <v>489</v>
      </c>
      <c r="Q3996" s="2" t="s">
        <v>102</v>
      </c>
      <c r="R3996" s="2" t="s">
        <v>884</v>
      </c>
      <c r="S3996" s="2">
        <f>P3996*0.3</f>
        <v>450</v>
      </c>
    </row>
    <row r="3997" spans="1:19" x14ac:dyDescent="0.2">
      <c r="A3997" s="8" t="str">
        <f t="shared" ref="A3997:A4009" si="1863">IF(B3997="","",CONCATENATE(B3997,CONCATENATE(REPT(0,2-LEN(C3997)),C3997),IF(OR(D3997="Easy",D3997=""),1,IF(D3997="Normal",2,IF(D3997="Hard",3,IF(D3997="Hell",4,"error")))),E3997))</f>
        <v>651311</v>
      </c>
      <c r="B3997" s="8">
        <v>65</v>
      </c>
      <c r="C3997" s="8">
        <v>13</v>
      </c>
      <c r="D3997" s="8" t="s">
        <v>259</v>
      </c>
      <c r="E3997" s="8">
        <v>1</v>
      </c>
      <c r="F3997" s="34">
        <v>2000000</v>
      </c>
      <c r="G3997" s="34">
        <v>2000000</v>
      </c>
      <c r="H3997" s="34">
        <f t="shared" si="1856"/>
        <v>12500</v>
      </c>
      <c r="I3997" s="34">
        <f t="shared" si="1856"/>
        <v>12500</v>
      </c>
      <c r="J3997" s="34">
        <f t="shared" si="1857"/>
        <v>769500</v>
      </c>
      <c r="K3997" s="133">
        <v>1000</v>
      </c>
      <c r="L3997" s="34"/>
      <c r="M3997" s="16"/>
      <c r="N3997" s="36">
        <v>450</v>
      </c>
      <c r="O3997" s="2" t="s">
        <v>228</v>
      </c>
      <c r="P3997" s="2" t="s">
        <v>289</v>
      </c>
      <c r="Q3997" s="2" t="s">
        <v>885</v>
      </c>
      <c r="R3997" s="2" t="s">
        <v>881</v>
      </c>
      <c r="S3997" s="2" t="s">
        <v>886</v>
      </c>
    </row>
    <row r="3998" spans="1:19" ht="20.25" x14ac:dyDescent="0.2">
      <c r="A3998" s="8" t="str">
        <f t="shared" si="1863"/>
        <v/>
      </c>
      <c r="B3998" s="5"/>
      <c r="C3998" s="79" t="s">
        <v>958</v>
      </c>
      <c r="D3998" s="5"/>
      <c r="E3998" s="5"/>
      <c r="F3998" s="5"/>
      <c r="G3998" s="5"/>
      <c r="H3998" s="5"/>
      <c r="I3998" s="5"/>
      <c r="J3998" s="5"/>
      <c r="K3998" s="5"/>
      <c r="L3998" s="5"/>
      <c r="M3998" s="16">
        <f t="shared" ref="M3998:M4006" si="1864">(F3998*J3998*((H3998+I3998)/2)/1000)^(1/2)/10*0.8</f>
        <v>0</v>
      </c>
      <c r="N3998" s="5"/>
      <c r="O3998" s="5"/>
      <c r="P3998" s="5"/>
      <c r="Q3998" s="5"/>
      <c r="R3998" s="5"/>
      <c r="S3998" s="30"/>
    </row>
    <row r="3999" spans="1:19" x14ac:dyDescent="0.2">
      <c r="A3999" s="8" t="str">
        <f t="shared" si="1863"/>
        <v>2000000111</v>
      </c>
      <c r="B3999" s="8">
        <v>200000</v>
      </c>
      <c r="C3999" s="8">
        <v>1</v>
      </c>
      <c r="D3999" s="8"/>
      <c r="E3999" s="8">
        <v>1</v>
      </c>
      <c r="F3999" s="133">
        <f t="shared" ref="F3999:G4016" si="1865">ROUNDDOWN($P3999/4*$O3999*10*$N3999/$N3999*$Q3999/400,0)</f>
        <v>93750</v>
      </c>
      <c r="G3999" s="133">
        <f t="shared" si="1865"/>
        <v>93750</v>
      </c>
      <c r="H3999" s="133">
        <f t="shared" ref="H3999:I4016" si="1866">ROUNDDOWN($S3999/4*10,0)</f>
        <v>7500</v>
      </c>
      <c r="I3999" s="133">
        <f t="shared" si="1866"/>
        <v>7500</v>
      </c>
      <c r="J3999" s="133">
        <f t="shared" ref="J3999:J4017" si="1867">ROUNDDOWN($P3999/4*$O3999*10*$N3999/$Q3999*$N3999/400,0)</f>
        <v>375000</v>
      </c>
      <c r="K3999" s="133">
        <v>1000</v>
      </c>
      <c r="L3999" s="133"/>
      <c r="M3999" s="133">
        <f t="shared" si="1864"/>
        <v>41079.19181288746</v>
      </c>
      <c r="N3999" s="177">
        <v>1000</v>
      </c>
      <c r="O3999" s="177">
        <v>2</v>
      </c>
      <c r="P3999" s="2" t="s">
        <v>287</v>
      </c>
      <c r="Q3999" s="134">
        <v>500</v>
      </c>
      <c r="R3999" s="2" t="s">
        <v>959</v>
      </c>
      <c r="S3999" s="137">
        <f>ROUNDUP(P3999/5,-2)</f>
        <v>3000</v>
      </c>
    </row>
    <row r="4000" spans="1:19" x14ac:dyDescent="0.2">
      <c r="A4000" s="8" t="str">
        <f t="shared" si="1863"/>
        <v>2000000211</v>
      </c>
      <c r="B4000" s="8">
        <v>200000</v>
      </c>
      <c r="C4000" s="8">
        <v>2</v>
      </c>
      <c r="D4000" s="8"/>
      <c r="E4000" s="8">
        <v>1</v>
      </c>
      <c r="F4000" s="133">
        <f t="shared" si="1865"/>
        <v>93750</v>
      </c>
      <c r="G4000" s="133">
        <f t="shared" si="1865"/>
        <v>93750</v>
      </c>
      <c r="H4000" s="133">
        <f t="shared" si="1866"/>
        <v>7500</v>
      </c>
      <c r="I4000" s="133">
        <f t="shared" si="1866"/>
        <v>7500</v>
      </c>
      <c r="J4000" s="133">
        <f t="shared" si="1867"/>
        <v>375000</v>
      </c>
      <c r="K4000" s="133">
        <v>1000</v>
      </c>
      <c r="L4000" s="133"/>
      <c r="M4000" s="133">
        <f t="shared" si="1864"/>
        <v>41079.19181288746</v>
      </c>
      <c r="N4000" s="177">
        <v>1000</v>
      </c>
      <c r="O4000" s="177">
        <v>2</v>
      </c>
      <c r="P4000" s="2" t="s">
        <v>287</v>
      </c>
      <c r="Q4000" s="134">
        <v>500</v>
      </c>
      <c r="R4000" s="2" t="s">
        <v>960</v>
      </c>
      <c r="S4000" s="137">
        <f t="shared" ref="S4000:S4009" si="1868">ROUNDUP(P4000/5,-2)</f>
        <v>3000</v>
      </c>
    </row>
    <row r="4001" spans="1:19" x14ac:dyDescent="0.2">
      <c r="A4001" s="8" t="str">
        <f t="shared" si="1863"/>
        <v>2000000311</v>
      </c>
      <c r="B4001" s="8">
        <v>200000</v>
      </c>
      <c r="C4001" s="8">
        <v>3</v>
      </c>
      <c r="D4001" s="8"/>
      <c r="E4001" s="8">
        <v>1</v>
      </c>
      <c r="F4001" s="133">
        <f t="shared" si="1865"/>
        <v>93750</v>
      </c>
      <c r="G4001" s="133">
        <f t="shared" si="1865"/>
        <v>93750</v>
      </c>
      <c r="H4001" s="133">
        <f t="shared" si="1866"/>
        <v>7500</v>
      </c>
      <c r="I4001" s="133">
        <f t="shared" si="1866"/>
        <v>7500</v>
      </c>
      <c r="J4001" s="133">
        <f t="shared" si="1867"/>
        <v>375000</v>
      </c>
      <c r="K4001" s="133">
        <v>1000</v>
      </c>
      <c r="L4001" s="133"/>
      <c r="M4001" s="133">
        <f t="shared" si="1864"/>
        <v>41079.19181288746</v>
      </c>
      <c r="N4001" s="177">
        <v>1000</v>
      </c>
      <c r="O4001" s="177">
        <v>2</v>
      </c>
      <c r="P4001" s="2" t="s">
        <v>287</v>
      </c>
      <c r="Q4001" s="134">
        <v>500</v>
      </c>
      <c r="R4001" s="2" t="s">
        <v>961</v>
      </c>
      <c r="S4001" s="137">
        <f t="shared" si="1868"/>
        <v>3000</v>
      </c>
    </row>
    <row r="4002" spans="1:19" x14ac:dyDescent="0.2">
      <c r="A4002" s="8" t="str">
        <f t="shared" si="1863"/>
        <v>2000000411</v>
      </c>
      <c r="B4002" s="8">
        <v>200000</v>
      </c>
      <c r="C4002" s="8">
        <v>4</v>
      </c>
      <c r="D4002" s="8"/>
      <c r="E4002" s="8">
        <v>1</v>
      </c>
      <c r="F4002" s="133">
        <f t="shared" si="1865"/>
        <v>93750</v>
      </c>
      <c r="G4002" s="133">
        <f t="shared" si="1865"/>
        <v>93750</v>
      </c>
      <c r="H4002" s="133">
        <f t="shared" si="1866"/>
        <v>7500</v>
      </c>
      <c r="I4002" s="133">
        <f t="shared" si="1866"/>
        <v>7500</v>
      </c>
      <c r="J4002" s="133">
        <f t="shared" si="1867"/>
        <v>375000</v>
      </c>
      <c r="K4002" s="133">
        <v>1000</v>
      </c>
      <c r="L4002" s="133"/>
      <c r="M4002" s="133">
        <f t="shared" si="1864"/>
        <v>41079.19181288746</v>
      </c>
      <c r="N4002" s="177">
        <v>1000</v>
      </c>
      <c r="O4002" s="177">
        <v>2</v>
      </c>
      <c r="P4002" s="2" t="s">
        <v>287</v>
      </c>
      <c r="Q4002" s="134">
        <v>500</v>
      </c>
      <c r="R4002" s="2" t="s">
        <v>962</v>
      </c>
      <c r="S4002" s="137">
        <f t="shared" si="1868"/>
        <v>3000</v>
      </c>
    </row>
    <row r="4003" spans="1:19" x14ac:dyDescent="0.2">
      <c r="A4003" s="8" t="str">
        <f t="shared" si="1863"/>
        <v>2000000511</v>
      </c>
      <c r="B4003" s="8">
        <v>200000</v>
      </c>
      <c r="C4003" s="8">
        <v>5</v>
      </c>
      <c r="D4003" s="8"/>
      <c r="E4003" s="8">
        <v>1</v>
      </c>
      <c r="F4003" s="133">
        <f t="shared" si="1865"/>
        <v>93750</v>
      </c>
      <c r="G4003" s="133">
        <f t="shared" si="1865"/>
        <v>93750</v>
      </c>
      <c r="H4003" s="133">
        <f t="shared" si="1866"/>
        <v>7500</v>
      </c>
      <c r="I4003" s="133">
        <f t="shared" si="1866"/>
        <v>7500</v>
      </c>
      <c r="J4003" s="133">
        <f t="shared" si="1867"/>
        <v>375000</v>
      </c>
      <c r="K4003" s="133">
        <v>1000</v>
      </c>
      <c r="L4003" s="133"/>
      <c r="M4003" s="133">
        <f t="shared" si="1864"/>
        <v>41079.19181288746</v>
      </c>
      <c r="N4003" s="177">
        <v>1000</v>
      </c>
      <c r="O4003" s="177">
        <v>2</v>
      </c>
      <c r="P4003" s="2" t="s">
        <v>287</v>
      </c>
      <c r="Q4003" s="134">
        <v>500</v>
      </c>
      <c r="R4003" s="2" t="s">
        <v>963</v>
      </c>
      <c r="S4003" s="137">
        <f t="shared" si="1868"/>
        <v>3000</v>
      </c>
    </row>
    <row r="4004" spans="1:19" x14ac:dyDescent="0.2">
      <c r="A4004" s="8" t="str">
        <f t="shared" si="1863"/>
        <v>2000000611</v>
      </c>
      <c r="B4004" s="8">
        <v>200000</v>
      </c>
      <c r="C4004" s="8">
        <v>6</v>
      </c>
      <c r="D4004" s="8"/>
      <c r="E4004" s="8">
        <v>1</v>
      </c>
      <c r="F4004" s="133">
        <f t="shared" si="1865"/>
        <v>93750</v>
      </c>
      <c r="G4004" s="133">
        <f t="shared" si="1865"/>
        <v>93750</v>
      </c>
      <c r="H4004" s="133">
        <f t="shared" si="1866"/>
        <v>7500</v>
      </c>
      <c r="I4004" s="133">
        <f t="shared" si="1866"/>
        <v>7500</v>
      </c>
      <c r="J4004" s="133">
        <f t="shared" si="1867"/>
        <v>375000</v>
      </c>
      <c r="K4004" s="133">
        <v>1000</v>
      </c>
      <c r="L4004" s="133"/>
      <c r="M4004" s="133">
        <f t="shared" si="1864"/>
        <v>41079.19181288746</v>
      </c>
      <c r="N4004" s="177">
        <v>1000</v>
      </c>
      <c r="O4004" s="177">
        <v>2</v>
      </c>
      <c r="P4004" s="2" t="s">
        <v>287</v>
      </c>
      <c r="Q4004" s="134">
        <v>500</v>
      </c>
      <c r="R4004" s="2" t="s">
        <v>964</v>
      </c>
      <c r="S4004" s="137">
        <f t="shared" si="1868"/>
        <v>3000</v>
      </c>
    </row>
    <row r="4005" spans="1:19" x14ac:dyDescent="0.2">
      <c r="A4005" s="8" t="str">
        <f t="shared" si="1863"/>
        <v>2000000711</v>
      </c>
      <c r="B4005" s="8">
        <v>200000</v>
      </c>
      <c r="C4005" s="8">
        <v>7</v>
      </c>
      <c r="D4005" s="8"/>
      <c r="E4005" s="8">
        <v>1</v>
      </c>
      <c r="F4005" s="133">
        <f t="shared" si="1865"/>
        <v>93750</v>
      </c>
      <c r="G4005" s="133">
        <f t="shared" si="1865"/>
        <v>93750</v>
      </c>
      <c r="H4005" s="133">
        <f t="shared" si="1866"/>
        <v>7500</v>
      </c>
      <c r="I4005" s="133">
        <f t="shared" si="1866"/>
        <v>7500</v>
      </c>
      <c r="J4005" s="133">
        <f t="shared" si="1867"/>
        <v>375000</v>
      </c>
      <c r="K4005" s="133">
        <v>1000</v>
      </c>
      <c r="L4005" s="133"/>
      <c r="M4005" s="133">
        <f t="shared" si="1864"/>
        <v>41079.19181288746</v>
      </c>
      <c r="N4005" s="177">
        <v>1000</v>
      </c>
      <c r="O4005" s="177">
        <v>2</v>
      </c>
      <c r="P4005" s="2" t="s">
        <v>287</v>
      </c>
      <c r="Q4005" s="134">
        <v>500</v>
      </c>
      <c r="R4005" s="2" t="s">
        <v>965</v>
      </c>
      <c r="S4005" s="137">
        <f t="shared" si="1868"/>
        <v>3000</v>
      </c>
    </row>
    <row r="4006" spans="1:19" x14ac:dyDescent="0.2">
      <c r="A4006" s="8" t="str">
        <f t="shared" si="1863"/>
        <v>2000000811</v>
      </c>
      <c r="B4006" s="8">
        <v>200000</v>
      </c>
      <c r="C4006" s="8">
        <v>8</v>
      </c>
      <c r="D4006" s="8"/>
      <c r="E4006" s="8">
        <v>1</v>
      </c>
      <c r="F4006" s="133">
        <f t="shared" si="1865"/>
        <v>93750</v>
      </c>
      <c r="G4006" s="133">
        <f t="shared" si="1865"/>
        <v>93750</v>
      </c>
      <c r="H4006" s="133">
        <f t="shared" si="1866"/>
        <v>7500</v>
      </c>
      <c r="I4006" s="133">
        <f t="shared" si="1866"/>
        <v>7500</v>
      </c>
      <c r="J4006" s="133">
        <f t="shared" si="1867"/>
        <v>375000</v>
      </c>
      <c r="K4006" s="133">
        <v>1000</v>
      </c>
      <c r="L4006" s="133"/>
      <c r="M4006" s="133">
        <f t="shared" si="1864"/>
        <v>41079.19181288746</v>
      </c>
      <c r="N4006" s="177">
        <v>1000</v>
      </c>
      <c r="O4006" s="177">
        <v>2</v>
      </c>
      <c r="P4006" s="2" t="s">
        <v>287</v>
      </c>
      <c r="Q4006" s="134">
        <v>500</v>
      </c>
      <c r="R4006" s="2" t="s">
        <v>966</v>
      </c>
      <c r="S4006" s="137">
        <f t="shared" si="1868"/>
        <v>3000</v>
      </c>
    </row>
    <row r="4007" spans="1:19" x14ac:dyDescent="0.2">
      <c r="A4007" s="8" t="str">
        <f t="shared" si="1863"/>
        <v>2000000911</v>
      </c>
      <c r="B4007" s="8">
        <v>200000</v>
      </c>
      <c r="C4007" s="8">
        <v>9</v>
      </c>
      <c r="D4007" s="8"/>
      <c r="E4007" s="8">
        <v>1</v>
      </c>
      <c r="F4007" s="133">
        <f t="shared" si="1865"/>
        <v>93750</v>
      </c>
      <c r="G4007" s="133">
        <f t="shared" si="1865"/>
        <v>93750</v>
      </c>
      <c r="H4007" s="133">
        <f t="shared" si="1866"/>
        <v>7500</v>
      </c>
      <c r="I4007" s="133">
        <f t="shared" si="1866"/>
        <v>7500</v>
      </c>
      <c r="J4007" s="133">
        <f t="shared" si="1867"/>
        <v>375000</v>
      </c>
      <c r="K4007" s="133">
        <v>1000</v>
      </c>
      <c r="L4007" s="133"/>
      <c r="M4007" s="133">
        <f t="shared" ref="M4007:M4009" si="1869">(F4007*J4007*((H4007+I4007)/2)/1000)^(1/2)/10*0.8</f>
        <v>41079.19181288746</v>
      </c>
      <c r="N4007" s="177">
        <v>1000</v>
      </c>
      <c r="O4007" s="177">
        <v>2</v>
      </c>
      <c r="P4007" s="2" t="s">
        <v>287</v>
      </c>
      <c r="Q4007" s="134">
        <v>500</v>
      </c>
      <c r="R4007" s="2" t="s">
        <v>967</v>
      </c>
      <c r="S4007" s="137">
        <f t="shared" si="1868"/>
        <v>3000</v>
      </c>
    </row>
    <row r="4008" spans="1:19" x14ac:dyDescent="0.2">
      <c r="A4008" s="8" t="str">
        <f t="shared" ref="A4008" si="1870">IF(B4008="","",CONCATENATE(B4008,CONCATENATE(REPT(0,2-LEN(C4008)),C4008),IF(OR(D4008="Easy",D4008=""),1,IF(D4008="Normal",2,IF(D4008="Hard",3,IF(D4008="Hell",4,"error")))),E4008))</f>
        <v>2000001010</v>
      </c>
      <c r="B4008" s="8">
        <v>200000</v>
      </c>
      <c r="C4008" s="8">
        <v>10</v>
      </c>
      <c r="D4008" s="8"/>
      <c r="E4008" s="8">
        <v>0</v>
      </c>
      <c r="F4008" s="133">
        <f t="shared" si="1865"/>
        <v>93750</v>
      </c>
      <c r="G4008" s="133">
        <f t="shared" si="1865"/>
        <v>93750</v>
      </c>
      <c r="H4008" s="133">
        <f t="shared" si="1866"/>
        <v>7500</v>
      </c>
      <c r="I4008" s="133">
        <f t="shared" si="1866"/>
        <v>7500</v>
      </c>
      <c r="J4008" s="133">
        <f t="shared" si="1867"/>
        <v>375000</v>
      </c>
      <c r="K4008" s="133">
        <v>1000</v>
      </c>
      <c r="L4008" s="133"/>
      <c r="M4008" s="133">
        <f t="shared" ref="M4008" si="1871">(F4008*J4008*((H4008+I4008)/2)/1000)^(1/2)/10*0.8</f>
        <v>41079.19181288746</v>
      </c>
      <c r="N4008" s="177">
        <v>1000</v>
      </c>
      <c r="O4008" s="177">
        <v>2</v>
      </c>
      <c r="P4008" s="2" t="s">
        <v>287</v>
      </c>
      <c r="Q4008" s="134">
        <v>500</v>
      </c>
      <c r="R4008" s="2" t="s">
        <v>969</v>
      </c>
      <c r="S4008" s="137">
        <f t="shared" ref="S4008" si="1872">ROUNDUP(P4008/5,-2)</f>
        <v>3000</v>
      </c>
    </row>
    <row r="4009" spans="1:19" x14ac:dyDescent="0.2">
      <c r="A4009" s="8" t="str">
        <f t="shared" si="1863"/>
        <v>2000001011</v>
      </c>
      <c r="B4009" s="8">
        <v>200000</v>
      </c>
      <c r="C4009" s="8">
        <v>10</v>
      </c>
      <c r="D4009" s="8"/>
      <c r="E4009" s="8">
        <v>1</v>
      </c>
      <c r="F4009" s="133">
        <f t="shared" si="1865"/>
        <v>93750</v>
      </c>
      <c r="G4009" s="133">
        <f t="shared" si="1865"/>
        <v>93750</v>
      </c>
      <c r="H4009" s="133">
        <f t="shared" si="1866"/>
        <v>7500</v>
      </c>
      <c r="I4009" s="133">
        <f t="shared" si="1866"/>
        <v>7500</v>
      </c>
      <c r="J4009" s="133">
        <f t="shared" si="1867"/>
        <v>375000</v>
      </c>
      <c r="K4009" s="133">
        <v>1000</v>
      </c>
      <c r="L4009" s="133"/>
      <c r="M4009" s="133">
        <f t="shared" si="1869"/>
        <v>41079.19181288746</v>
      </c>
      <c r="N4009" s="177">
        <v>1000</v>
      </c>
      <c r="O4009" s="177">
        <v>2</v>
      </c>
      <c r="P4009" s="2" t="s">
        <v>287</v>
      </c>
      <c r="Q4009" s="134">
        <v>500</v>
      </c>
      <c r="R4009" s="2" t="s">
        <v>969</v>
      </c>
      <c r="S4009" s="137">
        <f t="shared" si="1868"/>
        <v>3000</v>
      </c>
    </row>
    <row r="4010" spans="1:19" x14ac:dyDescent="0.2">
      <c r="A4010" s="8" t="str">
        <f t="shared" ref="A4010:A4015" si="1873">IF(B4010="","",CONCATENATE(B4010,CONCATENATE(REPT(0,2-LEN(C4010)),C4010),IF(OR(D4010="Easy",D4010=""),1,IF(D4010="Normal",2,IF(D4010="Hard",3,IF(D4010="Hell",4,"error")))),E4010))</f>
        <v>2000001012</v>
      </c>
      <c r="B4010" s="8">
        <v>200000</v>
      </c>
      <c r="C4010" s="8">
        <v>10</v>
      </c>
      <c r="D4010" s="8"/>
      <c r="E4010" s="8">
        <v>2</v>
      </c>
      <c r="F4010" s="133">
        <f t="shared" si="1865"/>
        <v>93750</v>
      </c>
      <c r="G4010" s="133">
        <f t="shared" si="1865"/>
        <v>93750</v>
      </c>
      <c r="H4010" s="133">
        <f t="shared" si="1866"/>
        <v>7500</v>
      </c>
      <c r="I4010" s="133">
        <f t="shared" si="1866"/>
        <v>7500</v>
      </c>
      <c r="J4010" s="133">
        <f t="shared" si="1867"/>
        <v>375000</v>
      </c>
      <c r="K4010" s="133">
        <v>1000</v>
      </c>
      <c r="L4010" s="133"/>
      <c r="M4010" s="133">
        <f t="shared" ref="M4010:M4015" si="1874">(F4010*J4010*((H4010+I4010)/2)/1000)^(1/2)/10*0.8</f>
        <v>41079.19181288746</v>
      </c>
      <c r="N4010" s="177">
        <v>1000</v>
      </c>
      <c r="O4010" s="177">
        <v>2</v>
      </c>
      <c r="P4010" s="2" t="s">
        <v>287</v>
      </c>
      <c r="Q4010" s="134">
        <v>500</v>
      </c>
      <c r="R4010" s="2" t="s">
        <v>969</v>
      </c>
      <c r="S4010" s="137">
        <f t="shared" ref="S4010:S4015" si="1875">ROUNDUP(P4010/5,-2)</f>
        <v>3000</v>
      </c>
    </row>
    <row r="4011" spans="1:19" x14ac:dyDescent="0.2">
      <c r="A4011" s="8" t="str">
        <f t="shared" si="1873"/>
        <v>2000001013</v>
      </c>
      <c r="B4011" s="8">
        <v>200000</v>
      </c>
      <c r="C4011" s="8">
        <v>10</v>
      </c>
      <c r="D4011" s="8"/>
      <c r="E4011" s="8">
        <v>3</v>
      </c>
      <c r="F4011" s="133">
        <f t="shared" si="1865"/>
        <v>93750</v>
      </c>
      <c r="G4011" s="133">
        <f t="shared" si="1865"/>
        <v>93750</v>
      </c>
      <c r="H4011" s="133">
        <f t="shared" si="1866"/>
        <v>7500</v>
      </c>
      <c r="I4011" s="133">
        <f t="shared" si="1866"/>
        <v>7500</v>
      </c>
      <c r="J4011" s="133">
        <f t="shared" si="1867"/>
        <v>375000</v>
      </c>
      <c r="K4011" s="133">
        <v>1000</v>
      </c>
      <c r="L4011" s="133"/>
      <c r="M4011" s="133">
        <f t="shared" si="1874"/>
        <v>41079.19181288746</v>
      </c>
      <c r="N4011" s="177">
        <v>1000</v>
      </c>
      <c r="O4011" s="177">
        <v>2</v>
      </c>
      <c r="P4011" s="2" t="s">
        <v>287</v>
      </c>
      <c r="Q4011" s="134">
        <v>500</v>
      </c>
      <c r="R4011" s="2" t="s">
        <v>969</v>
      </c>
      <c r="S4011" s="137">
        <f t="shared" si="1875"/>
        <v>3000</v>
      </c>
    </row>
    <row r="4012" spans="1:19" x14ac:dyDescent="0.2">
      <c r="A4012" s="8" t="str">
        <f t="shared" si="1873"/>
        <v>2000001014</v>
      </c>
      <c r="B4012" s="8">
        <v>200000</v>
      </c>
      <c r="C4012" s="8">
        <v>10</v>
      </c>
      <c r="D4012" s="8"/>
      <c r="E4012" s="8">
        <v>4</v>
      </c>
      <c r="F4012" s="133">
        <f t="shared" si="1865"/>
        <v>93750</v>
      </c>
      <c r="G4012" s="133">
        <f t="shared" si="1865"/>
        <v>93750</v>
      </c>
      <c r="H4012" s="133">
        <f t="shared" si="1866"/>
        <v>7500</v>
      </c>
      <c r="I4012" s="133">
        <f t="shared" si="1866"/>
        <v>7500</v>
      </c>
      <c r="J4012" s="133">
        <f t="shared" si="1867"/>
        <v>375000</v>
      </c>
      <c r="K4012" s="133">
        <v>1000</v>
      </c>
      <c r="L4012" s="133"/>
      <c r="M4012" s="133">
        <f t="shared" si="1874"/>
        <v>41079.19181288746</v>
      </c>
      <c r="N4012" s="177">
        <v>1000</v>
      </c>
      <c r="O4012" s="177">
        <v>2</v>
      </c>
      <c r="P4012" s="2" t="s">
        <v>287</v>
      </c>
      <c r="Q4012" s="134">
        <v>500</v>
      </c>
      <c r="R4012" s="2" t="s">
        <v>969</v>
      </c>
      <c r="S4012" s="137">
        <f t="shared" si="1875"/>
        <v>3000</v>
      </c>
    </row>
    <row r="4013" spans="1:19" x14ac:dyDescent="0.2">
      <c r="A4013" s="8" t="str">
        <f t="shared" si="1873"/>
        <v>2000001015</v>
      </c>
      <c r="B4013" s="8">
        <v>200000</v>
      </c>
      <c r="C4013" s="8">
        <v>10</v>
      </c>
      <c r="D4013" s="8"/>
      <c r="E4013" s="8">
        <v>5</v>
      </c>
      <c r="F4013" s="133">
        <f t="shared" si="1865"/>
        <v>93750</v>
      </c>
      <c r="G4013" s="133">
        <f t="shared" si="1865"/>
        <v>93750</v>
      </c>
      <c r="H4013" s="133">
        <f t="shared" si="1866"/>
        <v>7500</v>
      </c>
      <c r="I4013" s="133">
        <f t="shared" si="1866"/>
        <v>7500</v>
      </c>
      <c r="J4013" s="133">
        <f t="shared" si="1867"/>
        <v>375000</v>
      </c>
      <c r="K4013" s="133">
        <v>1000</v>
      </c>
      <c r="L4013" s="133"/>
      <c r="M4013" s="133">
        <f t="shared" si="1874"/>
        <v>41079.19181288746</v>
      </c>
      <c r="N4013" s="177">
        <v>1000</v>
      </c>
      <c r="O4013" s="177">
        <v>2</v>
      </c>
      <c r="P4013" s="2" t="s">
        <v>287</v>
      </c>
      <c r="Q4013" s="134">
        <v>500</v>
      </c>
      <c r="R4013" s="2" t="s">
        <v>969</v>
      </c>
      <c r="S4013" s="137">
        <f t="shared" si="1875"/>
        <v>3000</v>
      </c>
    </row>
    <row r="4014" spans="1:19" x14ac:dyDescent="0.2">
      <c r="A4014" s="8" t="str">
        <f t="shared" si="1873"/>
        <v>2000001016</v>
      </c>
      <c r="B4014" s="8">
        <v>200000</v>
      </c>
      <c r="C4014" s="8">
        <v>10</v>
      </c>
      <c r="D4014" s="8"/>
      <c r="E4014" s="8">
        <v>6</v>
      </c>
      <c r="F4014" s="133">
        <f t="shared" si="1865"/>
        <v>93750</v>
      </c>
      <c r="G4014" s="133">
        <f t="shared" si="1865"/>
        <v>93750</v>
      </c>
      <c r="H4014" s="133">
        <f t="shared" si="1866"/>
        <v>7500</v>
      </c>
      <c r="I4014" s="133">
        <f t="shared" si="1866"/>
        <v>7500</v>
      </c>
      <c r="J4014" s="133">
        <f t="shared" si="1867"/>
        <v>375000</v>
      </c>
      <c r="K4014" s="133">
        <v>1000</v>
      </c>
      <c r="L4014" s="133"/>
      <c r="M4014" s="133">
        <f t="shared" si="1874"/>
        <v>41079.19181288746</v>
      </c>
      <c r="N4014" s="177">
        <v>1000</v>
      </c>
      <c r="O4014" s="177">
        <v>2</v>
      </c>
      <c r="P4014" s="2" t="s">
        <v>287</v>
      </c>
      <c r="Q4014" s="134">
        <v>500</v>
      </c>
      <c r="R4014" s="2" t="s">
        <v>969</v>
      </c>
      <c r="S4014" s="137">
        <f t="shared" si="1875"/>
        <v>3000</v>
      </c>
    </row>
    <row r="4015" spans="1:19" x14ac:dyDescent="0.2">
      <c r="A4015" s="8" t="str">
        <f t="shared" si="1873"/>
        <v>2000001017</v>
      </c>
      <c r="B4015" s="8">
        <v>200000</v>
      </c>
      <c r="C4015" s="8">
        <v>10</v>
      </c>
      <c r="D4015" s="8"/>
      <c r="E4015" s="8">
        <v>7</v>
      </c>
      <c r="F4015" s="133">
        <f t="shared" si="1865"/>
        <v>93750</v>
      </c>
      <c r="G4015" s="133">
        <f t="shared" si="1865"/>
        <v>93750</v>
      </c>
      <c r="H4015" s="133">
        <f t="shared" si="1866"/>
        <v>7500</v>
      </c>
      <c r="I4015" s="133">
        <f t="shared" si="1866"/>
        <v>7500</v>
      </c>
      <c r="J4015" s="133">
        <f t="shared" si="1867"/>
        <v>375000</v>
      </c>
      <c r="K4015" s="133">
        <v>1000</v>
      </c>
      <c r="L4015" s="133"/>
      <c r="M4015" s="133">
        <f t="shared" si="1874"/>
        <v>41079.19181288746</v>
      </c>
      <c r="N4015" s="177">
        <v>1000</v>
      </c>
      <c r="O4015" s="177">
        <v>2</v>
      </c>
      <c r="P4015" s="2" t="s">
        <v>287</v>
      </c>
      <c r="Q4015" s="134">
        <v>500</v>
      </c>
      <c r="R4015" s="2" t="s">
        <v>969</v>
      </c>
      <c r="S4015" s="137">
        <f t="shared" si="1875"/>
        <v>3000</v>
      </c>
    </row>
    <row r="4016" spans="1:19" x14ac:dyDescent="0.2">
      <c r="A4016" s="8" t="str">
        <f t="shared" ref="A4016:A4017" si="1876">IF(B4016="","",CONCATENATE(B4016,CONCATENATE(REPT(0,2-LEN(C4016)),C4016),IF(OR(D4016="Easy",D4016=""),1,IF(D4016="Normal",2,IF(D4016="Hard",3,IF(D4016="Hell",4,"error")))),E4016))</f>
        <v>2000001018</v>
      </c>
      <c r="B4016" s="8">
        <v>200000</v>
      </c>
      <c r="C4016" s="8">
        <v>10</v>
      </c>
      <c r="D4016" s="8"/>
      <c r="E4016" s="8">
        <v>8</v>
      </c>
      <c r="F4016" s="133">
        <f t="shared" si="1865"/>
        <v>93750</v>
      </c>
      <c r="G4016" s="133">
        <f t="shared" si="1865"/>
        <v>93750</v>
      </c>
      <c r="H4016" s="133">
        <f t="shared" si="1866"/>
        <v>7500</v>
      </c>
      <c r="I4016" s="133">
        <f t="shared" si="1866"/>
        <v>7500</v>
      </c>
      <c r="J4016" s="133">
        <f t="shared" si="1867"/>
        <v>375000</v>
      </c>
      <c r="K4016" s="133">
        <v>1000</v>
      </c>
      <c r="L4016" s="133"/>
      <c r="M4016" s="133">
        <f t="shared" ref="M4016:M4017" si="1877">(F4016*J4016*((H4016+I4016)/2)/1000)^(1/2)/10*0.8</f>
        <v>41079.19181288746</v>
      </c>
      <c r="N4016" s="177">
        <v>1000</v>
      </c>
      <c r="O4016" s="177">
        <v>2</v>
      </c>
      <c r="P4016" s="2" t="s">
        <v>287</v>
      </c>
      <c r="Q4016" s="134">
        <v>500</v>
      </c>
      <c r="R4016" s="2" t="s">
        <v>969</v>
      </c>
      <c r="S4016" s="137">
        <f t="shared" ref="S4016:S4017" si="1878">ROUNDUP(P4016/5,-2)</f>
        <v>3000</v>
      </c>
    </row>
    <row r="4017" spans="1:20" x14ac:dyDescent="0.2">
      <c r="A4017" s="8" t="str">
        <f t="shared" si="1876"/>
        <v>2000001019</v>
      </c>
      <c r="B4017" s="8">
        <v>200000</v>
      </c>
      <c r="C4017" s="8">
        <v>10</v>
      </c>
      <c r="D4017" s="8"/>
      <c r="E4017" s="8">
        <v>9</v>
      </c>
      <c r="F4017" s="133">
        <f t="shared" ref="F4017:G4017" si="1879">ROUNDDOWN($P4017/4*$O4017*10*$N4017/$N4017*$Q4017/400,0)</f>
        <v>93750</v>
      </c>
      <c r="G4017" s="133">
        <f t="shared" si="1879"/>
        <v>93750</v>
      </c>
      <c r="H4017" s="133">
        <f t="shared" ref="H4017:I4017" si="1880">ROUNDDOWN($S4017/4*10,0)</f>
        <v>7500</v>
      </c>
      <c r="I4017" s="133">
        <f t="shared" si="1880"/>
        <v>7500</v>
      </c>
      <c r="J4017" s="133">
        <f t="shared" si="1867"/>
        <v>375000</v>
      </c>
      <c r="K4017" s="133">
        <v>1000</v>
      </c>
      <c r="L4017" s="133"/>
      <c r="M4017" s="133">
        <f t="shared" si="1877"/>
        <v>41079.19181288746</v>
      </c>
      <c r="N4017" s="177">
        <v>1000</v>
      </c>
      <c r="O4017" s="177">
        <v>2</v>
      </c>
      <c r="P4017" s="2" t="s">
        <v>287</v>
      </c>
      <c r="Q4017" s="134">
        <v>500</v>
      </c>
      <c r="R4017" s="2" t="s">
        <v>969</v>
      </c>
      <c r="S4017" s="137">
        <f t="shared" si="1878"/>
        <v>3000</v>
      </c>
    </row>
    <row r="4018" spans="1:20" x14ac:dyDescent="0.2">
      <c r="A4018" s="8" t="str">
        <f>IF(B4018="","",CONCATENATE(B4018,CONCATENATE(REPT(0,2-LEN(C4018)),C4018),IF(OR(D4018="Easy",D4018=""),1,IF(D4018="Normal",2,IF(D4018="Hard",3,IF(D4018="Hell",4,"error")))),E4018))</f>
        <v>2000001110</v>
      </c>
      <c r="B4018" s="8">
        <v>200000</v>
      </c>
      <c r="C4018" s="8">
        <v>11</v>
      </c>
      <c r="D4018" s="8"/>
      <c r="E4018" s="8">
        <v>0</v>
      </c>
      <c r="F4018" s="133">
        <f>ROUNDDOWN($P4018/4*$O4018*10*$N4018/$N4018*$Q4018/400,0)</f>
        <v>93750</v>
      </c>
      <c r="G4018" s="133">
        <f>ROUNDDOWN($P4018/4*$O4018*10*$N4018/$N4018*$Q4018/400,0)</f>
        <v>93750</v>
      </c>
      <c r="H4018" s="133">
        <f>ROUNDDOWN($S4018/4*10,0)</f>
        <v>7500</v>
      </c>
      <c r="I4018" s="133">
        <f>ROUNDDOWN($S4018/4*10,0)</f>
        <v>7500</v>
      </c>
      <c r="J4018" s="133">
        <f>ROUNDDOWN($P4018/4*$O4018*10*$N4018/$Q4018*$N4018/400,0)</f>
        <v>37500000</v>
      </c>
      <c r="K4018" s="133">
        <v>1000</v>
      </c>
      <c r="L4018" s="133"/>
      <c r="M4018" s="133">
        <f>(F4018*J4018*((H4018+I4018)/2)/1000)^(1/2)/10*0.8</f>
        <v>410791.91812887462</v>
      </c>
      <c r="N4018" s="177">
        <v>10000</v>
      </c>
      <c r="O4018" s="177">
        <v>2</v>
      </c>
      <c r="P4018" s="2" t="s">
        <v>287</v>
      </c>
      <c r="Q4018" s="134">
        <v>500</v>
      </c>
      <c r="R4018" s="2" t="s">
        <v>968</v>
      </c>
      <c r="S4018" s="137">
        <f>ROUNDUP(P4018/5,-2)</f>
        <v>3000</v>
      </c>
    </row>
    <row r="4019" spans="1:20" x14ac:dyDescent="0.2">
      <c r="A4019" s="8" t="str">
        <f>IF(B4019="","",CONCATENATE(B4019,CONCATENATE(REPT(0,2-LEN(C4019)),C4019),IF(OR(D4019="Easy",D4019=""),1,IF(D4019="Normal",2,IF(D4019="Hard",3,IF(D4019="Hell",4,"error")))),E4019))</f>
        <v>2000001111</v>
      </c>
      <c r="B4019" s="8">
        <v>200000</v>
      </c>
      <c r="C4019" s="8">
        <v>11</v>
      </c>
      <c r="D4019" s="8"/>
      <c r="E4019" s="8">
        <v>1</v>
      </c>
      <c r="F4019" s="133">
        <f>ROUNDDOWN($P4019/4*$O4019*10*$N4019/$N4019*$Q4019/400,0)</f>
        <v>93750</v>
      </c>
      <c r="G4019" s="133">
        <f>ROUNDDOWN($P4019/4*$O4019*10*$N4019/$N4019*$Q4019/400,0)</f>
        <v>93750</v>
      </c>
      <c r="H4019" s="133">
        <f>ROUNDDOWN($S4019/4*10,0)</f>
        <v>7500</v>
      </c>
      <c r="I4019" s="133">
        <f>ROUNDDOWN($S4019/4*10,0)</f>
        <v>7500</v>
      </c>
      <c r="J4019" s="133">
        <f>ROUNDDOWN($P4019/4*$O4019*10*$N4019/$Q4019*$N4019/400,0)</f>
        <v>37500000</v>
      </c>
      <c r="K4019" s="133">
        <v>1000</v>
      </c>
      <c r="L4019" s="133"/>
      <c r="M4019" s="133">
        <f>(F4019*J4019*((H4019+I4019)/2)/1000)^(1/2)/10*0.8</f>
        <v>410791.91812887462</v>
      </c>
      <c r="N4019" s="177">
        <v>10000</v>
      </c>
      <c r="O4019" s="177">
        <v>2</v>
      </c>
      <c r="P4019" s="2" t="s">
        <v>287</v>
      </c>
      <c r="Q4019" s="134">
        <v>500</v>
      </c>
      <c r="R4019" s="2" t="s">
        <v>968</v>
      </c>
      <c r="S4019" s="137">
        <f>ROUNDUP(P4019/5,-2)</f>
        <v>3000</v>
      </c>
    </row>
    <row r="4020" spans="1:20" x14ac:dyDescent="0.2">
      <c r="A4020" s="8" t="str">
        <f t="shared" ref="A4020:A4026" si="1881">IF(B4020="","",CONCATENATE(B4020,CONCATENATE(REPT(0,2-LEN(C4020)),C4020),IF(OR(D4020="Easy",D4020=""),1,IF(D4020="Normal",2,IF(D4020="Hard",3,IF(D4020="Hell",4,"error")))),E4020))</f>
        <v>2000001112</v>
      </c>
      <c r="B4020" s="8">
        <v>200000</v>
      </c>
      <c r="C4020" s="8">
        <v>11</v>
      </c>
      <c r="D4020" s="8"/>
      <c r="E4020" s="8">
        <v>2</v>
      </c>
      <c r="F4020" s="133">
        <f t="shared" ref="F4020:G4027" si="1882">ROUNDDOWN($P4020/4*$O4020*10*$N4020/$N4020*$Q4020/400,0)</f>
        <v>93750</v>
      </c>
      <c r="G4020" s="133">
        <f t="shared" si="1882"/>
        <v>93750</v>
      </c>
      <c r="H4020" s="133">
        <f t="shared" ref="H4020:I4027" si="1883">ROUNDDOWN($S4020/4*10,0)</f>
        <v>7500</v>
      </c>
      <c r="I4020" s="133">
        <f t="shared" si="1883"/>
        <v>7500</v>
      </c>
      <c r="J4020" s="133">
        <f t="shared" ref="J4020:J4027" si="1884">ROUNDDOWN($P4020/4*$O4020*10*$N4020/$Q4020*$N4020/400,0)</f>
        <v>37500000</v>
      </c>
      <c r="K4020" s="133">
        <v>2000</v>
      </c>
      <c r="L4020" s="133"/>
      <c r="M4020" s="133">
        <f t="shared" ref="M4020:M4026" si="1885">(F4020*J4020*((H4020+I4020)/2)/1000)^(1/2)/10*0.8</f>
        <v>410791.91812887462</v>
      </c>
      <c r="N4020" s="177">
        <v>10000</v>
      </c>
      <c r="O4020" s="177">
        <v>2</v>
      </c>
      <c r="P4020" s="2" t="s">
        <v>287</v>
      </c>
      <c r="Q4020" s="134">
        <v>500</v>
      </c>
      <c r="R4020" s="2" t="s">
        <v>968</v>
      </c>
      <c r="S4020" s="137">
        <f t="shared" ref="S4020:S4026" si="1886">ROUNDUP(P4020/5,-2)</f>
        <v>3000</v>
      </c>
    </row>
    <row r="4021" spans="1:20" x14ac:dyDescent="0.2">
      <c r="A4021" s="8" t="str">
        <f t="shared" si="1881"/>
        <v>2000001113</v>
      </c>
      <c r="B4021" s="8">
        <v>200000</v>
      </c>
      <c r="C4021" s="8">
        <v>11</v>
      </c>
      <c r="D4021" s="8"/>
      <c r="E4021" s="8">
        <v>3</v>
      </c>
      <c r="F4021" s="133">
        <f t="shared" si="1882"/>
        <v>93750</v>
      </c>
      <c r="G4021" s="133">
        <f t="shared" si="1882"/>
        <v>93750</v>
      </c>
      <c r="H4021" s="133">
        <f t="shared" si="1883"/>
        <v>7500</v>
      </c>
      <c r="I4021" s="133">
        <f t="shared" si="1883"/>
        <v>7500</v>
      </c>
      <c r="J4021" s="133">
        <f t="shared" si="1884"/>
        <v>37500000</v>
      </c>
      <c r="K4021" s="133">
        <v>3000</v>
      </c>
      <c r="L4021" s="133"/>
      <c r="M4021" s="133">
        <f t="shared" si="1885"/>
        <v>410791.91812887462</v>
      </c>
      <c r="N4021" s="177">
        <v>10000</v>
      </c>
      <c r="O4021" s="177">
        <v>2</v>
      </c>
      <c r="P4021" s="2" t="s">
        <v>287</v>
      </c>
      <c r="Q4021" s="134">
        <v>500</v>
      </c>
      <c r="R4021" s="2" t="s">
        <v>968</v>
      </c>
      <c r="S4021" s="137">
        <f t="shared" si="1886"/>
        <v>3000</v>
      </c>
    </row>
    <row r="4022" spans="1:20" x14ac:dyDescent="0.2">
      <c r="A4022" s="8" t="str">
        <f t="shared" si="1881"/>
        <v>2000001114</v>
      </c>
      <c r="B4022" s="8">
        <v>200000</v>
      </c>
      <c r="C4022" s="8">
        <v>11</v>
      </c>
      <c r="D4022" s="8"/>
      <c r="E4022" s="8">
        <v>4</v>
      </c>
      <c r="F4022" s="133">
        <f t="shared" si="1882"/>
        <v>93750</v>
      </c>
      <c r="G4022" s="133">
        <f t="shared" si="1882"/>
        <v>93750</v>
      </c>
      <c r="H4022" s="133">
        <f t="shared" si="1883"/>
        <v>7500</v>
      </c>
      <c r="I4022" s="133">
        <f t="shared" si="1883"/>
        <v>7500</v>
      </c>
      <c r="J4022" s="133">
        <f t="shared" si="1884"/>
        <v>37500000</v>
      </c>
      <c r="K4022" s="133">
        <v>4000</v>
      </c>
      <c r="L4022" s="133"/>
      <c r="M4022" s="133">
        <f t="shared" si="1885"/>
        <v>410791.91812887462</v>
      </c>
      <c r="N4022" s="177">
        <v>10000</v>
      </c>
      <c r="O4022" s="177">
        <v>2</v>
      </c>
      <c r="P4022" s="2" t="s">
        <v>287</v>
      </c>
      <c r="Q4022" s="134">
        <v>500</v>
      </c>
      <c r="R4022" s="2" t="s">
        <v>968</v>
      </c>
      <c r="S4022" s="137">
        <f t="shared" si="1886"/>
        <v>3000</v>
      </c>
    </row>
    <row r="4023" spans="1:20" x14ac:dyDescent="0.2">
      <c r="A4023" s="8" t="str">
        <f t="shared" si="1881"/>
        <v>2000001115</v>
      </c>
      <c r="B4023" s="8">
        <v>200000</v>
      </c>
      <c r="C4023" s="8">
        <v>11</v>
      </c>
      <c r="D4023" s="8"/>
      <c r="E4023" s="8">
        <v>5</v>
      </c>
      <c r="F4023" s="133">
        <f t="shared" si="1882"/>
        <v>93750</v>
      </c>
      <c r="G4023" s="133">
        <f t="shared" si="1882"/>
        <v>93750</v>
      </c>
      <c r="H4023" s="133">
        <f t="shared" si="1883"/>
        <v>7500</v>
      </c>
      <c r="I4023" s="133">
        <f t="shared" si="1883"/>
        <v>7500</v>
      </c>
      <c r="J4023" s="133">
        <f t="shared" si="1884"/>
        <v>37500000</v>
      </c>
      <c r="K4023" s="133">
        <v>5000</v>
      </c>
      <c r="L4023" s="133"/>
      <c r="M4023" s="133">
        <f t="shared" si="1885"/>
        <v>410791.91812887462</v>
      </c>
      <c r="N4023" s="177">
        <v>10000</v>
      </c>
      <c r="O4023" s="177">
        <v>2</v>
      </c>
      <c r="P4023" s="2" t="s">
        <v>287</v>
      </c>
      <c r="Q4023" s="134">
        <v>500</v>
      </c>
      <c r="R4023" s="2" t="s">
        <v>968</v>
      </c>
      <c r="S4023" s="137">
        <f t="shared" si="1886"/>
        <v>3000</v>
      </c>
    </row>
    <row r="4024" spans="1:20" x14ac:dyDescent="0.2">
      <c r="A4024" s="8" t="str">
        <f t="shared" si="1881"/>
        <v>2000001116</v>
      </c>
      <c r="B4024" s="8">
        <v>200000</v>
      </c>
      <c r="C4024" s="8">
        <v>11</v>
      </c>
      <c r="D4024" s="8"/>
      <c r="E4024" s="8">
        <v>6</v>
      </c>
      <c r="F4024" s="133">
        <f t="shared" si="1882"/>
        <v>93750</v>
      </c>
      <c r="G4024" s="133">
        <f t="shared" si="1882"/>
        <v>93750</v>
      </c>
      <c r="H4024" s="133">
        <f t="shared" si="1883"/>
        <v>7500</v>
      </c>
      <c r="I4024" s="133">
        <f t="shared" si="1883"/>
        <v>7500</v>
      </c>
      <c r="J4024" s="133">
        <f t="shared" si="1884"/>
        <v>37500000</v>
      </c>
      <c r="K4024" s="133">
        <v>6000</v>
      </c>
      <c r="L4024" s="133"/>
      <c r="M4024" s="133">
        <f t="shared" si="1885"/>
        <v>410791.91812887462</v>
      </c>
      <c r="N4024" s="177">
        <v>10000</v>
      </c>
      <c r="O4024" s="177">
        <v>2</v>
      </c>
      <c r="P4024" s="2" t="s">
        <v>287</v>
      </c>
      <c r="Q4024" s="134">
        <v>500</v>
      </c>
      <c r="R4024" s="2" t="s">
        <v>968</v>
      </c>
      <c r="S4024" s="137">
        <f t="shared" si="1886"/>
        <v>3000</v>
      </c>
    </row>
    <row r="4025" spans="1:20" x14ac:dyDescent="0.2">
      <c r="A4025" s="8" t="str">
        <f t="shared" si="1881"/>
        <v>2000001117</v>
      </c>
      <c r="B4025" s="8">
        <v>200000</v>
      </c>
      <c r="C4025" s="8">
        <v>11</v>
      </c>
      <c r="D4025" s="8"/>
      <c r="E4025" s="8">
        <v>7</v>
      </c>
      <c r="F4025" s="133">
        <f t="shared" si="1882"/>
        <v>93750</v>
      </c>
      <c r="G4025" s="133">
        <f t="shared" si="1882"/>
        <v>93750</v>
      </c>
      <c r="H4025" s="133">
        <f t="shared" si="1883"/>
        <v>7500</v>
      </c>
      <c r="I4025" s="133">
        <f t="shared" si="1883"/>
        <v>7500</v>
      </c>
      <c r="J4025" s="133">
        <f t="shared" si="1884"/>
        <v>37500000</v>
      </c>
      <c r="K4025" s="133">
        <v>7000</v>
      </c>
      <c r="L4025" s="133"/>
      <c r="M4025" s="133">
        <f t="shared" si="1885"/>
        <v>410791.91812887462</v>
      </c>
      <c r="N4025" s="177">
        <v>10000</v>
      </c>
      <c r="O4025" s="177">
        <v>2</v>
      </c>
      <c r="P4025" s="2" t="s">
        <v>287</v>
      </c>
      <c r="Q4025" s="134">
        <v>500</v>
      </c>
      <c r="R4025" s="2" t="s">
        <v>968</v>
      </c>
      <c r="S4025" s="137">
        <f t="shared" si="1886"/>
        <v>3000</v>
      </c>
    </row>
    <row r="4026" spans="1:20" x14ac:dyDescent="0.2">
      <c r="A4026" s="8" t="str">
        <f t="shared" si="1881"/>
        <v>2000001118</v>
      </c>
      <c r="B4026" s="8">
        <v>200000</v>
      </c>
      <c r="C4026" s="8">
        <v>11</v>
      </c>
      <c r="D4026" s="8"/>
      <c r="E4026" s="8">
        <v>8</v>
      </c>
      <c r="F4026" s="133">
        <f t="shared" si="1882"/>
        <v>93750</v>
      </c>
      <c r="G4026" s="133">
        <f t="shared" si="1882"/>
        <v>93750</v>
      </c>
      <c r="H4026" s="133">
        <f t="shared" si="1883"/>
        <v>7500</v>
      </c>
      <c r="I4026" s="133">
        <f t="shared" si="1883"/>
        <v>7500</v>
      </c>
      <c r="J4026" s="133">
        <f t="shared" si="1884"/>
        <v>37500000</v>
      </c>
      <c r="K4026" s="133">
        <v>8000</v>
      </c>
      <c r="L4026" s="133"/>
      <c r="M4026" s="133">
        <f t="shared" si="1885"/>
        <v>410791.91812887462</v>
      </c>
      <c r="N4026" s="177">
        <v>10000</v>
      </c>
      <c r="O4026" s="177">
        <v>2</v>
      </c>
      <c r="P4026" s="2" t="s">
        <v>287</v>
      </c>
      <c r="Q4026" s="134">
        <v>500</v>
      </c>
      <c r="R4026" s="2" t="s">
        <v>968</v>
      </c>
      <c r="S4026" s="137">
        <f t="shared" si="1886"/>
        <v>3000</v>
      </c>
    </row>
    <row r="4027" spans="1:20" x14ac:dyDescent="0.2">
      <c r="A4027" s="8" t="str">
        <f t="shared" ref="A4027:A4028" si="1887">IF(B4027="","",CONCATENATE(B4027,CONCATENATE(REPT(0,2-LEN(C4027)),C4027),IF(OR(D4027="Easy",D4027=""),1,IF(D4027="Normal",2,IF(D4027="Hard",3,IF(D4027="Hell",4,"error")))),E4027))</f>
        <v>2000001119</v>
      </c>
      <c r="B4027" s="8">
        <v>200000</v>
      </c>
      <c r="C4027" s="8">
        <v>11</v>
      </c>
      <c r="D4027" s="8"/>
      <c r="E4027" s="8">
        <v>9</v>
      </c>
      <c r="F4027" s="133">
        <f t="shared" si="1882"/>
        <v>93750</v>
      </c>
      <c r="G4027" s="133">
        <f t="shared" si="1882"/>
        <v>93750</v>
      </c>
      <c r="H4027" s="133">
        <f t="shared" si="1883"/>
        <v>7500</v>
      </c>
      <c r="I4027" s="133">
        <f t="shared" si="1883"/>
        <v>7500</v>
      </c>
      <c r="J4027" s="133">
        <f t="shared" si="1884"/>
        <v>37500000</v>
      </c>
      <c r="K4027" s="133">
        <v>8000</v>
      </c>
      <c r="L4027" s="133"/>
      <c r="M4027" s="133">
        <f t="shared" ref="M4027" si="1888">(F4027*J4027*((H4027+I4027)/2)/1000)^(1/2)/10*0.8</f>
        <v>410791.91812887462</v>
      </c>
      <c r="N4027" s="177">
        <v>10000</v>
      </c>
      <c r="O4027" s="177">
        <v>2</v>
      </c>
      <c r="P4027" s="2" t="s">
        <v>287</v>
      </c>
      <c r="Q4027" s="134">
        <v>500</v>
      </c>
      <c r="R4027" s="2" t="s">
        <v>968</v>
      </c>
      <c r="S4027" s="137">
        <f t="shared" ref="S4027" si="1889">ROUNDUP(P4027/5,-2)</f>
        <v>3000</v>
      </c>
    </row>
    <row r="4028" spans="1:20" s="297" customFormat="1" ht="28.5" customHeight="1" x14ac:dyDescent="0.2">
      <c r="A4028" s="211" t="str">
        <f t="shared" si="1887"/>
        <v/>
      </c>
      <c r="B4028" s="295"/>
      <c r="C4028" s="296" t="s">
        <v>1165</v>
      </c>
      <c r="D4028" s="295"/>
      <c r="E4028" s="295"/>
      <c r="F4028" s="295"/>
      <c r="G4028" s="295"/>
      <c r="H4028" s="295"/>
      <c r="I4028" s="295"/>
      <c r="J4028" s="295"/>
      <c r="K4028" s="295"/>
      <c r="L4028" s="295"/>
      <c r="M4028" s="213"/>
      <c r="N4028" s="295"/>
      <c r="O4028" s="295"/>
      <c r="P4028" s="295"/>
      <c r="Q4028" s="295"/>
      <c r="R4028" s="295"/>
      <c r="S4028" s="211"/>
      <c r="T4028" s="215"/>
    </row>
    <row r="4029" spans="1:20" s="133" customFormat="1" x14ac:dyDescent="0.2">
      <c r="A4029" s="134" t="str">
        <f t="shared" ref="A4029:A4040" si="1890">IF(B4029="","",CONCATENATE(B4029,CONCATENATE(REPT(0,2-LEN(C4029)),C4029),IF(OR(D4029="Easy",D4029=""),1,IF(D4029="Normal",2,IF(D4029="Hard",3,IF(D4029="Hell",4,"error")))),E4029))</f>
        <v>700000111</v>
      </c>
      <c r="B4029" s="133">
        <v>70000</v>
      </c>
      <c r="C4029" s="133">
        <v>1</v>
      </c>
      <c r="E4029" s="133">
        <v>1</v>
      </c>
      <c r="F4029" s="133">
        <v>21848301</v>
      </c>
      <c r="G4029" s="133">
        <v>21848301</v>
      </c>
      <c r="H4029" s="133">
        <v>32477</v>
      </c>
      <c r="I4029" s="133">
        <v>32477</v>
      </c>
      <c r="J4029" s="133">
        <v>2030410926</v>
      </c>
      <c r="K4029" s="133">
        <v>1000</v>
      </c>
      <c r="M4029" s="133">
        <f t="shared" ref="M4029:M4040" si="1891">(F4029*J4029*((H4029+I4029)/2)/1000)^(1/2)/10*0.8</f>
        <v>96023768.422346771</v>
      </c>
      <c r="N4029" s="133">
        <v>820</v>
      </c>
      <c r="O4029" s="133">
        <v>18</v>
      </c>
      <c r="P4029" s="133">
        <v>230400</v>
      </c>
      <c r="Q4029" s="134" t="s">
        <v>510</v>
      </c>
      <c r="R4029" s="133" t="s">
        <v>1166</v>
      </c>
      <c r="S4029" s="133">
        <f t="shared" ref="S4029:S4038" si="1892">P4029*0.45</f>
        <v>103680</v>
      </c>
    </row>
    <row r="4030" spans="1:20" x14ac:dyDescent="0.2">
      <c r="A4030" s="8" t="str">
        <f t="shared" si="1890"/>
        <v>700000112</v>
      </c>
      <c r="B4030" s="8">
        <v>70000</v>
      </c>
      <c r="C4030" s="8">
        <v>1</v>
      </c>
      <c r="E4030" s="8">
        <v>2</v>
      </c>
      <c r="F4030" s="34">
        <v>1082011</v>
      </c>
      <c r="G4030" s="34">
        <v>1082011</v>
      </c>
      <c r="H4030" s="34">
        <v>64953</v>
      </c>
      <c r="I4030" s="34">
        <v>64953</v>
      </c>
      <c r="J4030" s="34">
        <v>40370578</v>
      </c>
      <c r="K4030" s="133">
        <v>1000</v>
      </c>
      <c r="L4030" s="34"/>
      <c r="M4030" s="257">
        <f t="shared" si="1891"/>
        <v>4261258.8483371483</v>
      </c>
      <c r="N4030" s="36">
        <v>940</v>
      </c>
      <c r="O4030" s="36">
        <v>1</v>
      </c>
      <c r="P4030" s="36">
        <v>121600</v>
      </c>
      <c r="Q4030" s="2" t="s">
        <v>706</v>
      </c>
      <c r="R4030" s="2" t="s">
        <v>1168</v>
      </c>
      <c r="S4030" s="56">
        <f t="shared" si="1892"/>
        <v>54720</v>
      </c>
      <c r="T4030" s="114"/>
    </row>
    <row r="4031" spans="1:20" x14ac:dyDescent="0.2">
      <c r="A4031" s="8" t="str">
        <f t="shared" si="1890"/>
        <v>700000113</v>
      </c>
      <c r="B4031" s="8">
        <v>70000</v>
      </c>
      <c r="C4031" s="8">
        <v>1</v>
      </c>
      <c r="E4031" s="8">
        <v>3</v>
      </c>
      <c r="F4031" s="34">
        <v>1082011</v>
      </c>
      <c r="G4031" s="34">
        <v>1082011</v>
      </c>
      <c r="H4031" s="34">
        <v>64953</v>
      </c>
      <c r="I4031" s="34">
        <v>64953</v>
      </c>
      <c r="J4031" s="34">
        <v>19491840</v>
      </c>
      <c r="K4031" s="133">
        <v>1000</v>
      </c>
      <c r="L4031" s="34"/>
      <c r="M4031" s="257">
        <f t="shared" si="1891"/>
        <v>2960955.300717074</v>
      </c>
      <c r="N4031" s="36">
        <v>1100</v>
      </c>
      <c r="O4031" s="36">
        <v>1</v>
      </c>
      <c r="P4031" s="36">
        <v>121600</v>
      </c>
      <c r="Q4031" s="2" t="s">
        <v>706</v>
      </c>
      <c r="R4031" s="2" t="s">
        <v>1169</v>
      </c>
      <c r="S4031" s="56">
        <f t="shared" si="1892"/>
        <v>54720</v>
      </c>
      <c r="T4031" s="114"/>
    </row>
    <row r="4032" spans="1:20" s="133" customFormat="1" x14ac:dyDescent="0.2">
      <c r="A4032" s="134" t="str">
        <f t="shared" si="1890"/>
        <v>700000211</v>
      </c>
      <c r="B4032" s="133">
        <v>70000</v>
      </c>
      <c r="C4032" s="133">
        <v>2</v>
      </c>
      <c r="E4032" s="133">
        <v>1</v>
      </c>
      <c r="F4032" s="133">
        <v>14491221</v>
      </c>
      <c r="G4032" s="133">
        <v>14491221</v>
      </c>
      <c r="H4032" s="133">
        <v>46395</v>
      </c>
      <c r="I4032" s="133">
        <v>46395</v>
      </c>
      <c r="J4032" s="133">
        <v>2030410926</v>
      </c>
      <c r="K4032" s="133">
        <v>1000</v>
      </c>
      <c r="M4032" s="133">
        <f t="shared" si="1891"/>
        <v>93469525.348572239</v>
      </c>
      <c r="N4032" s="133">
        <v>820</v>
      </c>
      <c r="O4032" s="133">
        <v>18</v>
      </c>
      <c r="P4032" s="133">
        <v>230400</v>
      </c>
      <c r="Q4032" s="134" t="s">
        <v>510</v>
      </c>
      <c r="R4032" s="133" t="s">
        <v>1167</v>
      </c>
      <c r="S4032" s="133">
        <f t="shared" si="1892"/>
        <v>103680</v>
      </c>
    </row>
    <row r="4033" spans="1:20" x14ac:dyDescent="0.2">
      <c r="A4033" s="8" t="str">
        <f t="shared" si="1890"/>
        <v>700000212</v>
      </c>
      <c r="B4033" s="8">
        <v>70000</v>
      </c>
      <c r="C4033" s="8">
        <v>2</v>
      </c>
      <c r="E4033" s="8">
        <v>2</v>
      </c>
      <c r="F4033" s="34">
        <v>901676</v>
      </c>
      <c r="G4033" s="34">
        <v>901676</v>
      </c>
      <c r="H4033" s="34">
        <v>30928</v>
      </c>
      <c r="I4033" s="34">
        <v>30928</v>
      </c>
      <c r="J4033" s="34">
        <v>12994560</v>
      </c>
      <c r="K4033" s="133">
        <v>1000</v>
      </c>
      <c r="L4033" s="34"/>
      <c r="M4033" s="257">
        <f t="shared" si="1891"/>
        <v>1522901.9746088784</v>
      </c>
      <c r="N4033" s="36">
        <v>940</v>
      </c>
      <c r="O4033" s="36">
        <v>1</v>
      </c>
      <c r="P4033" s="36">
        <v>121600</v>
      </c>
      <c r="Q4033" s="2" t="s">
        <v>706</v>
      </c>
      <c r="R4033" s="2" t="s">
        <v>1170</v>
      </c>
      <c r="S4033" s="56">
        <f t="shared" si="1892"/>
        <v>54720</v>
      </c>
      <c r="T4033" s="114"/>
    </row>
    <row r="4034" spans="1:20" s="133" customFormat="1" x14ac:dyDescent="0.2">
      <c r="A4034" s="134" t="str">
        <f t="shared" si="1890"/>
        <v>700000311</v>
      </c>
      <c r="B4034" s="133">
        <v>70000</v>
      </c>
      <c r="C4034" s="133">
        <v>3</v>
      </c>
      <c r="E4034" s="133">
        <v>1</v>
      </c>
      <c r="F4034" s="133">
        <v>16664904</v>
      </c>
      <c r="G4034" s="133">
        <v>16664904</v>
      </c>
      <c r="H4034" s="133">
        <v>53354</v>
      </c>
      <c r="I4034" s="133">
        <v>53354</v>
      </c>
      <c r="J4034" s="133">
        <v>2334972565</v>
      </c>
      <c r="K4034" s="133">
        <v>1000</v>
      </c>
      <c r="M4034" s="133">
        <f t="shared" si="1891"/>
        <v>115269863.37060678</v>
      </c>
      <c r="N4034" s="133">
        <v>820</v>
      </c>
      <c r="O4034" s="133">
        <v>18</v>
      </c>
      <c r="P4034" s="133">
        <v>230400</v>
      </c>
      <c r="Q4034" s="134" t="s">
        <v>510</v>
      </c>
      <c r="R4034" s="133" t="s">
        <v>1171</v>
      </c>
      <c r="S4034" s="133">
        <f t="shared" si="1892"/>
        <v>103680</v>
      </c>
    </row>
    <row r="4035" spans="1:20" x14ac:dyDescent="0.2">
      <c r="A4035" s="8" t="str">
        <f t="shared" si="1890"/>
        <v>700000312</v>
      </c>
      <c r="B4035" s="8">
        <v>70000</v>
      </c>
      <c r="C4035" s="8">
        <v>3</v>
      </c>
      <c r="E4035" s="8">
        <v>2</v>
      </c>
      <c r="F4035" s="34">
        <v>901676</v>
      </c>
      <c r="G4035" s="34">
        <v>901676</v>
      </c>
      <c r="H4035" s="34">
        <v>64953</v>
      </c>
      <c r="I4035" s="34">
        <v>64953</v>
      </c>
      <c r="J4035" s="34">
        <v>33642148</v>
      </c>
      <c r="K4035" s="133">
        <v>1000</v>
      </c>
      <c r="L4035" s="34"/>
      <c r="M4035" s="257">
        <f t="shared" si="1891"/>
        <v>3551049.3508784133</v>
      </c>
      <c r="N4035" s="36">
        <v>940</v>
      </c>
      <c r="O4035" s="36">
        <v>1</v>
      </c>
      <c r="P4035" s="36">
        <v>121600</v>
      </c>
      <c r="Q4035" s="2" t="s">
        <v>706</v>
      </c>
      <c r="R4035" s="2" t="s">
        <v>1168</v>
      </c>
      <c r="S4035" s="56">
        <f t="shared" si="1892"/>
        <v>54720</v>
      </c>
      <c r="T4035" s="114"/>
    </row>
    <row r="4036" spans="1:20" x14ac:dyDescent="0.2">
      <c r="A4036" s="8" t="str">
        <f t="shared" si="1890"/>
        <v>700000313</v>
      </c>
      <c r="B4036" s="8">
        <v>70000</v>
      </c>
      <c r="C4036" s="8">
        <v>3</v>
      </c>
      <c r="E4036" s="8">
        <v>3</v>
      </c>
      <c r="F4036" s="34">
        <v>901676</v>
      </c>
      <c r="G4036" s="34">
        <v>901676</v>
      </c>
      <c r="H4036" s="34">
        <v>64953</v>
      </c>
      <c r="I4036" s="34">
        <v>64953</v>
      </c>
      <c r="J4036" s="34">
        <v>16243200</v>
      </c>
      <c r="K4036" s="133">
        <v>1000</v>
      </c>
      <c r="L4036" s="34"/>
      <c r="M4036" s="257">
        <f t="shared" si="1891"/>
        <v>2467462.9786416977</v>
      </c>
      <c r="N4036" s="36">
        <v>1100</v>
      </c>
      <c r="O4036" s="36">
        <v>1</v>
      </c>
      <c r="P4036" s="36">
        <v>121600</v>
      </c>
      <c r="Q4036" s="2" t="s">
        <v>706</v>
      </c>
      <c r="R4036" s="2" t="s">
        <v>1169</v>
      </c>
      <c r="S4036" s="56">
        <f t="shared" si="1892"/>
        <v>54720</v>
      </c>
      <c r="T4036" s="114"/>
    </row>
    <row r="4037" spans="1:20" s="133" customFormat="1" x14ac:dyDescent="0.2">
      <c r="A4037" s="134" t="str">
        <f t="shared" si="1890"/>
        <v>700000411</v>
      </c>
      <c r="B4037" s="133">
        <v>70000</v>
      </c>
      <c r="C4037" s="133">
        <v>4</v>
      </c>
      <c r="E4037" s="133">
        <v>1</v>
      </c>
      <c r="F4037" s="133">
        <v>8051054</v>
      </c>
      <c r="G4037" s="133">
        <v>8051054</v>
      </c>
      <c r="H4037" s="133">
        <v>18412</v>
      </c>
      <c r="I4037" s="133">
        <v>18412</v>
      </c>
      <c r="J4037" s="133">
        <v>805767888</v>
      </c>
      <c r="K4037" s="133">
        <v>1000</v>
      </c>
      <c r="M4037" s="133">
        <f t="shared" si="1891"/>
        <v>27648515.467417717</v>
      </c>
      <c r="N4037" s="133">
        <v>820</v>
      </c>
      <c r="O4037" s="133">
        <v>18</v>
      </c>
      <c r="P4037" s="133">
        <v>230400</v>
      </c>
      <c r="Q4037" s="134" t="s">
        <v>510</v>
      </c>
      <c r="R4037" s="133" t="s">
        <v>1172</v>
      </c>
      <c r="S4037" s="133">
        <f t="shared" si="1892"/>
        <v>103680</v>
      </c>
    </row>
    <row r="4038" spans="1:20" x14ac:dyDescent="0.2">
      <c r="A4038" s="8" t="str">
        <f t="shared" si="1890"/>
        <v>700000412</v>
      </c>
      <c r="B4038" s="8">
        <v>70000</v>
      </c>
      <c r="C4038" s="8">
        <v>4</v>
      </c>
      <c r="E4038" s="8">
        <v>2</v>
      </c>
      <c r="F4038" s="34">
        <v>637617</v>
      </c>
      <c r="G4038" s="34">
        <v>637617</v>
      </c>
      <c r="H4038" s="34">
        <v>1732190</v>
      </c>
      <c r="I4038" s="34">
        <v>1732190</v>
      </c>
      <c r="J4038" s="34">
        <v>6097815</v>
      </c>
      <c r="K4038" s="133">
        <v>1000</v>
      </c>
      <c r="L4038" s="34"/>
      <c r="M4038" s="257">
        <f t="shared" si="1891"/>
        <v>6565303.6371612418</v>
      </c>
      <c r="N4038" s="36">
        <v>940</v>
      </c>
      <c r="O4038" s="36">
        <v>1</v>
      </c>
      <c r="P4038" s="36">
        <v>121600</v>
      </c>
      <c r="Q4038" s="2" t="s">
        <v>706</v>
      </c>
      <c r="R4038" s="2" t="s">
        <v>1173</v>
      </c>
      <c r="S4038" s="56">
        <f t="shared" si="1892"/>
        <v>54720</v>
      </c>
      <c r="T4038" s="114"/>
    </row>
    <row r="4039" spans="1:20" x14ac:dyDescent="0.2">
      <c r="A4039" s="8" t="str">
        <f t="shared" si="1890"/>
        <v>700000511</v>
      </c>
      <c r="B4039" s="8">
        <v>70000</v>
      </c>
      <c r="C4039" s="8">
        <v>5</v>
      </c>
      <c r="E4039" s="8">
        <v>1</v>
      </c>
      <c r="F4039" s="298">
        <v>8230716</v>
      </c>
      <c r="G4039" s="298">
        <v>8230716</v>
      </c>
      <c r="H4039" s="133">
        <v>20618</v>
      </c>
      <c r="I4039" s="133">
        <v>20618</v>
      </c>
      <c r="J4039" s="133">
        <v>3759527906</v>
      </c>
      <c r="K4039" s="133">
        <v>8000</v>
      </c>
      <c r="L4039" s="133"/>
      <c r="M4039" s="133">
        <f t="shared" si="1891"/>
        <v>63899685.311376408</v>
      </c>
      <c r="N4039" s="133">
        <v>10000</v>
      </c>
      <c r="O4039" s="133">
        <v>2</v>
      </c>
      <c r="P4039" s="2" t="s">
        <v>287</v>
      </c>
      <c r="Q4039" s="134">
        <v>500</v>
      </c>
      <c r="R4039" s="2" t="s">
        <v>1174</v>
      </c>
      <c r="S4039" s="36">
        <f>ROUNDUP(P4039/5,-2)</f>
        <v>3000</v>
      </c>
    </row>
    <row r="4040" spans="1:20" x14ac:dyDescent="0.2">
      <c r="A4040" s="8" t="str">
        <f t="shared" si="1890"/>
        <v>700000512</v>
      </c>
      <c r="B4040" s="8">
        <v>70000</v>
      </c>
      <c r="C4040" s="8">
        <v>5</v>
      </c>
      <c r="D4040" s="8"/>
      <c r="E4040" s="8">
        <v>2</v>
      </c>
      <c r="F4040" s="298">
        <v>14807888</v>
      </c>
      <c r="G4040" s="298">
        <v>14807888</v>
      </c>
      <c r="H4040" s="133">
        <v>20618</v>
      </c>
      <c r="I4040" s="133">
        <v>20618</v>
      </c>
      <c r="J4040" s="133">
        <v>9405000000</v>
      </c>
      <c r="K4040" s="133">
        <v>8000</v>
      </c>
      <c r="L4040" s="133"/>
      <c r="M4040" s="133">
        <f t="shared" si="1891"/>
        <v>135562389.40693888</v>
      </c>
      <c r="N4040" s="133">
        <v>10000</v>
      </c>
      <c r="O4040" s="133">
        <v>2</v>
      </c>
      <c r="P4040" s="2" t="s">
        <v>287</v>
      </c>
      <c r="Q4040" s="134">
        <v>500</v>
      </c>
      <c r="R4040" s="2" t="s">
        <v>1175</v>
      </c>
      <c r="S4040" s="36">
        <f>ROUNDUP(P4040/5,-2)</f>
        <v>3000</v>
      </c>
    </row>
  </sheetData>
  <mergeCells count="1">
    <mergeCell ref="F1:L1"/>
  </mergeCells>
  <phoneticPr fontId="9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MonsterTierTable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2021-12-22T03:24:18Z</dcterms:modified>
</cp:coreProperties>
</file>