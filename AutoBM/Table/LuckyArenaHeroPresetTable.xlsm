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filterPrivacy="1" codeName="ThisWorkbook" defaultThemeVersion="124226"/>
  <xr:revisionPtr revIDLastSave="0" documentId="13_ncr:1_{13DDDAFE-A995-4053-A21D-73E6E9368191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LuckyArenaHeroPresetTable" sheetId="3" r:id="rId1"/>
    <sheet name="LuckyArenaEquipPresetTable" sheetId="4" r:id="rId2"/>
    <sheet name="참고" sheetId="5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6" i="3" l="1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5" i="3"/>
  <c r="U4" i="3"/>
  <c r="P19" i="3" l="1"/>
  <c r="N19" i="3"/>
  <c r="M19" i="3"/>
  <c r="L19" i="3"/>
  <c r="J19" i="3"/>
  <c r="P41" i="3"/>
  <c r="N41" i="3"/>
  <c r="M41" i="3"/>
  <c r="L41" i="3"/>
  <c r="J41" i="3"/>
  <c r="P76" i="3"/>
  <c r="N76" i="3"/>
  <c r="M76" i="3"/>
  <c r="L76" i="3"/>
  <c r="J76" i="3"/>
  <c r="P44" i="3"/>
  <c r="N44" i="3"/>
  <c r="M44" i="3"/>
  <c r="L44" i="3"/>
  <c r="J44" i="3"/>
  <c r="P30" i="3"/>
  <c r="N30" i="3"/>
  <c r="M30" i="3"/>
  <c r="L30" i="3"/>
  <c r="J30" i="3"/>
  <c r="P75" i="3"/>
  <c r="N75" i="3"/>
  <c r="M75" i="3"/>
  <c r="L75" i="3"/>
  <c r="J75" i="3"/>
  <c r="P107" i="3"/>
  <c r="N107" i="3"/>
  <c r="M107" i="3"/>
  <c r="L107" i="3"/>
  <c r="J107" i="3"/>
  <c r="P72" i="3"/>
  <c r="N72" i="3"/>
  <c r="M72" i="3"/>
  <c r="L72" i="3"/>
  <c r="J72" i="3"/>
  <c r="P38" i="3"/>
  <c r="N38" i="3"/>
  <c r="M38" i="3"/>
  <c r="L38" i="3"/>
  <c r="J38" i="3"/>
  <c r="P43" i="3"/>
  <c r="N43" i="3"/>
  <c r="M43" i="3"/>
  <c r="L43" i="3"/>
  <c r="J43" i="3"/>
  <c r="L6" i="3"/>
  <c r="M6" i="3"/>
  <c r="N6" i="3"/>
  <c r="P6" i="3"/>
  <c r="L7" i="3"/>
  <c r="M7" i="3"/>
  <c r="N7" i="3"/>
  <c r="P7" i="3"/>
  <c r="L8" i="3"/>
  <c r="M8" i="3"/>
  <c r="N8" i="3"/>
  <c r="P8" i="3"/>
  <c r="L9" i="3"/>
  <c r="M9" i="3"/>
  <c r="N9" i="3"/>
  <c r="P9" i="3"/>
  <c r="L10" i="3"/>
  <c r="M10" i="3"/>
  <c r="N10" i="3"/>
  <c r="P10" i="3"/>
  <c r="L11" i="3"/>
  <c r="M11" i="3"/>
  <c r="N11" i="3"/>
  <c r="P11" i="3"/>
  <c r="L12" i="3"/>
  <c r="M12" i="3"/>
  <c r="N12" i="3"/>
  <c r="P12" i="3"/>
  <c r="L13" i="3"/>
  <c r="M13" i="3"/>
  <c r="N13" i="3"/>
  <c r="P13" i="3"/>
  <c r="L14" i="3"/>
  <c r="M14" i="3"/>
  <c r="N14" i="3"/>
  <c r="P14" i="3"/>
  <c r="L15" i="3"/>
  <c r="M15" i="3"/>
  <c r="N15" i="3"/>
  <c r="P15" i="3"/>
  <c r="L16" i="3"/>
  <c r="M16" i="3"/>
  <c r="N16" i="3"/>
  <c r="P16" i="3"/>
  <c r="L17" i="3"/>
  <c r="M17" i="3"/>
  <c r="N17" i="3"/>
  <c r="P17" i="3"/>
  <c r="L18" i="3"/>
  <c r="M18" i="3"/>
  <c r="N18" i="3"/>
  <c r="P18" i="3"/>
  <c r="L20" i="3"/>
  <c r="M20" i="3"/>
  <c r="N20" i="3"/>
  <c r="P20" i="3"/>
  <c r="L21" i="3"/>
  <c r="M21" i="3"/>
  <c r="N21" i="3"/>
  <c r="P21" i="3"/>
  <c r="L22" i="3"/>
  <c r="M22" i="3"/>
  <c r="N22" i="3"/>
  <c r="P22" i="3"/>
  <c r="L23" i="3"/>
  <c r="M23" i="3"/>
  <c r="N23" i="3"/>
  <c r="P23" i="3"/>
  <c r="L24" i="3"/>
  <c r="M24" i="3"/>
  <c r="N24" i="3"/>
  <c r="P24" i="3"/>
  <c r="L25" i="3"/>
  <c r="M25" i="3"/>
  <c r="N25" i="3"/>
  <c r="P25" i="3"/>
  <c r="L26" i="3"/>
  <c r="M26" i="3"/>
  <c r="N26" i="3"/>
  <c r="P26" i="3"/>
  <c r="L27" i="3"/>
  <c r="M27" i="3"/>
  <c r="N27" i="3"/>
  <c r="P27" i="3"/>
  <c r="L28" i="3"/>
  <c r="M28" i="3"/>
  <c r="N28" i="3"/>
  <c r="P28" i="3"/>
  <c r="L29" i="3"/>
  <c r="M29" i="3"/>
  <c r="N29" i="3"/>
  <c r="P29" i="3"/>
  <c r="L31" i="3"/>
  <c r="M31" i="3"/>
  <c r="N31" i="3"/>
  <c r="P31" i="3"/>
  <c r="L32" i="3"/>
  <c r="M32" i="3"/>
  <c r="N32" i="3"/>
  <c r="P32" i="3"/>
  <c r="L33" i="3"/>
  <c r="M33" i="3"/>
  <c r="N33" i="3"/>
  <c r="P33" i="3"/>
  <c r="L34" i="3"/>
  <c r="M34" i="3"/>
  <c r="N34" i="3"/>
  <c r="P34" i="3"/>
  <c r="L35" i="3"/>
  <c r="M35" i="3"/>
  <c r="N35" i="3"/>
  <c r="P35" i="3"/>
  <c r="L36" i="3"/>
  <c r="M36" i="3"/>
  <c r="N36" i="3"/>
  <c r="P36" i="3"/>
  <c r="L37" i="3"/>
  <c r="M37" i="3"/>
  <c r="N37" i="3"/>
  <c r="P37" i="3"/>
  <c r="L39" i="3"/>
  <c r="M39" i="3"/>
  <c r="N39" i="3"/>
  <c r="P39" i="3"/>
  <c r="L40" i="3"/>
  <c r="M40" i="3"/>
  <c r="N40" i="3"/>
  <c r="P40" i="3"/>
  <c r="L42" i="3"/>
  <c r="M42" i="3"/>
  <c r="N42" i="3"/>
  <c r="P42" i="3"/>
  <c r="L45" i="3"/>
  <c r="M45" i="3"/>
  <c r="N45" i="3"/>
  <c r="P45" i="3"/>
  <c r="L46" i="3"/>
  <c r="M46" i="3"/>
  <c r="N46" i="3"/>
  <c r="P46" i="3"/>
  <c r="L47" i="3"/>
  <c r="M47" i="3"/>
  <c r="N47" i="3"/>
  <c r="P47" i="3"/>
  <c r="L48" i="3"/>
  <c r="M48" i="3"/>
  <c r="N48" i="3"/>
  <c r="P48" i="3"/>
  <c r="L49" i="3"/>
  <c r="M49" i="3"/>
  <c r="N49" i="3"/>
  <c r="P49" i="3"/>
  <c r="L50" i="3"/>
  <c r="M50" i="3"/>
  <c r="N50" i="3"/>
  <c r="P50" i="3"/>
  <c r="L51" i="3"/>
  <c r="M51" i="3"/>
  <c r="N51" i="3"/>
  <c r="P51" i="3"/>
  <c r="L52" i="3"/>
  <c r="M52" i="3"/>
  <c r="N52" i="3"/>
  <c r="P52" i="3"/>
  <c r="L53" i="3"/>
  <c r="M53" i="3"/>
  <c r="N53" i="3"/>
  <c r="P53" i="3"/>
  <c r="L54" i="3"/>
  <c r="M54" i="3"/>
  <c r="N54" i="3"/>
  <c r="P54" i="3"/>
  <c r="L55" i="3"/>
  <c r="M55" i="3"/>
  <c r="N55" i="3"/>
  <c r="P55" i="3"/>
  <c r="L56" i="3"/>
  <c r="M56" i="3"/>
  <c r="N56" i="3"/>
  <c r="P56" i="3"/>
  <c r="L57" i="3"/>
  <c r="M57" i="3"/>
  <c r="N57" i="3"/>
  <c r="P57" i="3"/>
  <c r="L58" i="3"/>
  <c r="M58" i="3"/>
  <c r="N58" i="3"/>
  <c r="P58" i="3"/>
  <c r="L59" i="3"/>
  <c r="M59" i="3"/>
  <c r="N59" i="3"/>
  <c r="P59" i="3"/>
  <c r="L60" i="3"/>
  <c r="M60" i="3"/>
  <c r="N60" i="3"/>
  <c r="P60" i="3"/>
  <c r="L61" i="3"/>
  <c r="M61" i="3"/>
  <c r="N61" i="3"/>
  <c r="P61" i="3"/>
  <c r="L62" i="3"/>
  <c r="M62" i="3"/>
  <c r="N62" i="3"/>
  <c r="P62" i="3"/>
  <c r="L63" i="3"/>
  <c r="M63" i="3"/>
  <c r="N63" i="3"/>
  <c r="P63" i="3"/>
  <c r="L64" i="3"/>
  <c r="M64" i="3"/>
  <c r="N64" i="3"/>
  <c r="P64" i="3"/>
  <c r="L65" i="3"/>
  <c r="M65" i="3"/>
  <c r="N65" i="3"/>
  <c r="P65" i="3"/>
  <c r="L66" i="3"/>
  <c r="M66" i="3"/>
  <c r="N66" i="3"/>
  <c r="P66" i="3"/>
  <c r="L67" i="3"/>
  <c r="M67" i="3"/>
  <c r="N67" i="3"/>
  <c r="P67" i="3"/>
  <c r="L68" i="3"/>
  <c r="M68" i="3"/>
  <c r="N68" i="3"/>
  <c r="P68" i="3"/>
  <c r="L69" i="3"/>
  <c r="M69" i="3"/>
  <c r="N69" i="3"/>
  <c r="P69" i="3"/>
  <c r="L70" i="3"/>
  <c r="M70" i="3"/>
  <c r="N70" i="3"/>
  <c r="P70" i="3"/>
  <c r="L71" i="3"/>
  <c r="M71" i="3"/>
  <c r="N71" i="3"/>
  <c r="P71" i="3"/>
  <c r="L73" i="3"/>
  <c r="M73" i="3"/>
  <c r="N73" i="3"/>
  <c r="P73" i="3"/>
  <c r="L74" i="3"/>
  <c r="M74" i="3"/>
  <c r="N74" i="3"/>
  <c r="P74" i="3"/>
  <c r="L77" i="3"/>
  <c r="M77" i="3"/>
  <c r="N77" i="3"/>
  <c r="P77" i="3"/>
  <c r="L78" i="3"/>
  <c r="M78" i="3"/>
  <c r="N78" i="3"/>
  <c r="P78" i="3"/>
  <c r="L79" i="3"/>
  <c r="M79" i="3"/>
  <c r="N79" i="3"/>
  <c r="P79" i="3"/>
  <c r="L80" i="3"/>
  <c r="M80" i="3"/>
  <c r="N80" i="3"/>
  <c r="P80" i="3"/>
  <c r="L81" i="3"/>
  <c r="M81" i="3"/>
  <c r="N81" i="3"/>
  <c r="P81" i="3"/>
  <c r="L82" i="3"/>
  <c r="M82" i="3"/>
  <c r="N82" i="3"/>
  <c r="P82" i="3"/>
  <c r="L83" i="3"/>
  <c r="M83" i="3"/>
  <c r="N83" i="3"/>
  <c r="P83" i="3"/>
  <c r="L84" i="3"/>
  <c r="M84" i="3"/>
  <c r="N84" i="3"/>
  <c r="P84" i="3"/>
  <c r="L85" i="3"/>
  <c r="M85" i="3"/>
  <c r="N85" i="3"/>
  <c r="P85" i="3"/>
  <c r="L86" i="3"/>
  <c r="M86" i="3"/>
  <c r="N86" i="3"/>
  <c r="P86" i="3"/>
  <c r="L87" i="3"/>
  <c r="M87" i="3"/>
  <c r="N87" i="3"/>
  <c r="P87" i="3"/>
  <c r="L88" i="3"/>
  <c r="M88" i="3"/>
  <c r="N88" i="3"/>
  <c r="P88" i="3"/>
  <c r="L89" i="3"/>
  <c r="M89" i="3"/>
  <c r="N89" i="3"/>
  <c r="P89" i="3"/>
  <c r="L90" i="3"/>
  <c r="M90" i="3"/>
  <c r="N90" i="3"/>
  <c r="P90" i="3"/>
  <c r="L91" i="3"/>
  <c r="M91" i="3"/>
  <c r="N91" i="3"/>
  <c r="P91" i="3"/>
  <c r="L92" i="3"/>
  <c r="M92" i="3"/>
  <c r="N92" i="3"/>
  <c r="P92" i="3"/>
  <c r="L93" i="3"/>
  <c r="M93" i="3"/>
  <c r="N93" i="3"/>
  <c r="P93" i="3"/>
  <c r="L94" i="3"/>
  <c r="M94" i="3"/>
  <c r="N94" i="3"/>
  <c r="P94" i="3"/>
  <c r="L95" i="3"/>
  <c r="M95" i="3"/>
  <c r="N95" i="3"/>
  <c r="P95" i="3"/>
  <c r="L96" i="3"/>
  <c r="M96" i="3"/>
  <c r="N96" i="3"/>
  <c r="P96" i="3"/>
  <c r="L97" i="3"/>
  <c r="M97" i="3"/>
  <c r="N97" i="3"/>
  <c r="P97" i="3"/>
  <c r="L98" i="3"/>
  <c r="M98" i="3"/>
  <c r="N98" i="3"/>
  <c r="P98" i="3"/>
  <c r="L99" i="3"/>
  <c r="M99" i="3"/>
  <c r="N99" i="3"/>
  <c r="P99" i="3"/>
  <c r="L100" i="3"/>
  <c r="M100" i="3"/>
  <c r="N100" i="3"/>
  <c r="P100" i="3"/>
  <c r="L101" i="3"/>
  <c r="M101" i="3"/>
  <c r="N101" i="3"/>
  <c r="P101" i="3"/>
  <c r="L102" i="3"/>
  <c r="M102" i="3"/>
  <c r="N102" i="3"/>
  <c r="P102" i="3"/>
  <c r="L103" i="3"/>
  <c r="M103" i="3"/>
  <c r="N103" i="3"/>
  <c r="P103" i="3"/>
  <c r="L104" i="3"/>
  <c r="M104" i="3"/>
  <c r="N104" i="3"/>
  <c r="P104" i="3"/>
  <c r="L105" i="3"/>
  <c r="M105" i="3"/>
  <c r="N105" i="3"/>
  <c r="P105" i="3"/>
  <c r="L106" i="3"/>
  <c r="M106" i="3"/>
  <c r="N106" i="3"/>
  <c r="P106" i="3"/>
  <c r="L108" i="3"/>
  <c r="M108" i="3"/>
  <c r="N108" i="3"/>
  <c r="P108" i="3"/>
  <c r="L109" i="3"/>
  <c r="M109" i="3"/>
  <c r="N109" i="3"/>
  <c r="P109" i="3"/>
  <c r="L110" i="3"/>
  <c r="M110" i="3"/>
  <c r="N110" i="3"/>
  <c r="P110" i="3"/>
  <c r="L111" i="3"/>
  <c r="M111" i="3"/>
  <c r="N111" i="3"/>
  <c r="P111" i="3"/>
  <c r="L112" i="3"/>
  <c r="M112" i="3"/>
  <c r="N112" i="3"/>
  <c r="P112" i="3"/>
  <c r="J8" i="3" l="1"/>
  <c r="J9" i="3"/>
  <c r="J10" i="3"/>
  <c r="J11" i="3"/>
  <c r="J12" i="3"/>
  <c r="J13" i="3"/>
  <c r="J14" i="3"/>
  <c r="J15" i="3"/>
  <c r="J16" i="3"/>
  <c r="J17" i="3"/>
  <c r="J18" i="3"/>
  <c r="J20" i="3"/>
  <c r="J21" i="3"/>
  <c r="J22" i="3"/>
  <c r="J23" i="3"/>
  <c r="J24" i="3"/>
  <c r="J25" i="3"/>
  <c r="J26" i="3"/>
  <c r="J27" i="3"/>
  <c r="J28" i="3"/>
  <c r="J29" i="3"/>
  <c r="J31" i="3"/>
  <c r="J32" i="3"/>
  <c r="J33" i="3"/>
  <c r="J34" i="3"/>
  <c r="J35" i="3"/>
  <c r="J36" i="3"/>
  <c r="J37" i="3"/>
  <c r="J39" i="3"/>
  <c r="J40" i="3"/>
  <c r="J42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3" i="3"/>
  <c r="J74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8" i="3"/>
  <c r="J109" i="3"/>
  <c r="J110" i="3"/>
  <c r="J111" i="3"/>
  <c r="J112" i="3"/>
  <c r="J7" i="3"/>
  <c r="L5" i="3"/>
  <c r="M5" i="3"/>
  <c r="N5" i="3"/>
  <c r="P5" i="3"/>
  <c r="P4" i="3"/>
  <c r="N4" i="3"/>
  <c r="M4" i="3"/>
  <c r="L4" i="3"/>
  <c r="J4" i="3" l="1"/>
  <c r="J5" i="3"/>
  <c r="J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tc={67422E15-F1D2-49AD-9595-E4E6E6F61D3C}</author>
    <author>tc={F59CFC38-EC6B-4506-9DCB-B766C80C6948}</author>
    <author>tc={A95CE4FB-B5EA-4E27-B9F5-B6428C2237FC}</author>
    <author>tc={62AA60F8-49EC-4417-A696-56B53D7715BF}</author>
    <author>tc={A8FF8BF1-C893-4CE4-BEBD-4319C3EECAEF}</author>
    <author>tc={79B3338E-3C7C-43F9-955C-796FA9BC2146}</author>
    <author>tc={AF35EA7B-A414-42D8-9028-636D9C5ED0AD}</author>
    <author>tc={6680D66A-ED32-44C4-A34E-A9A857543BE0}</author>
    <author>tc={0F241C54-75A2-4D11-BD5B-A1DE70A0442D}</author>
    <author>tc={6EE3DFED-9484-41DF-B202-01D0DF291A8F}</author>
    <author>tc={FB766361-5E5D-458D-91A8-762D3D7FBA7A}</author>
    <author>tc={ECDE1C78-16F3-48CC-AA35-B1B58E2DB4AF}</author>
    <author>tc={D13AB408-BC37-4E5D-9D8C-124C01D8319A}</author>
    <author>tc={A7C5DC8A-3DD6-42DB-9833-587DCA55FFFF}</author>
  </authors>
  <commentList>
    <comment ref="A2" authorId="0" shapeId="0" xr:uid="{67422E15-F1D2-49AD-9595-E4E6E6F61D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+ 영웅인덱스 3자리 + 순서 2자리
ex)
카셀 : 100101
카셀 마왕 코스튬 : 100102</t>
      </text>
    </comment>
    <comment ref="D2" authorId="1" shapeId="0" xr:uid="{F59CFC38-EC6B-4506-9DCB-B766C80C694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영웅, 전무, 전보 레벨 세팅용</t>
      </text>
    </comment>
    <comment ref="J2" authorId="2" shapeId="0" xr:uid="{A95CE4FB-B5EA-4E27-B9F5-B6428C2237F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HeroIndex를 채우면 자동으로 채워짐</t>
      </text>
    </comment>
    <comment ref="K2" authorId="3" shapeId="0" xr:uid="{62AA60F8-49EC-4417-A696-56B53D7715B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드롭다운으로 선택하면 장비 인덱스와 장비 프리셋 인덱스가 자동으로 채워짐.</t>
      </text>
    </comment>
    <comment ref="L2" authorId="4" shapeId="0" xr:uid="{A8FF8BF1-C893-4CE4-BEBD-4319C3EECAE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방어구</t>
      </text>
    </comment>
    <comment ref="M2" authorId="5" shapeId="0" xr:uid="{79B3338E-3C7C-43F9-955C-796FA9BC214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장신구</t>
      </text>
    </comment>
    <comment ref="N2" authorId="6" shapeId="0" xr:uid="{AF35EA7B-A414-42D8-9028-636D9C5ED0A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보조장비</t>
      </text>
    </comment>
    <comment ref="O2" authorId="7" shapeId="0" xr:uid="{6680D66A-ED32-44C4-A34E-A9A857543B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유물</t>
      </text>
    </comment>
    <comment ref="P2" authorId="8" shapeId="0" xr:uid="{0F241C54-75A2-4D11-BD5B-A1DE70A0442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보주</t>
      </text>
    </comment>
    <comment ref="Q2" authorId="9" shapeId="0" xr:uid="{6EE3DFED-9484-41DF-B202-01D0DF291A8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전보1</t>
      </text>
    </comment>
    <comment ref="R2" authorId="10" shapeId="0" xr:uid="{FB766361-5E5D-458D-91A8-762D3D7FBA7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전보2</t>
      </text>
    </comment>
    <comment ref="S2" authorId="11" shapeId="0" xr:uid="{ECDE1C78-16F3-48CC-AA35-B1B58E2DB4A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전보3</t>
      </text>
    </comment>
    <comment ref="T2" authorId="12" shapeId="0" xr:uid="{D13AB408-BC37-4E5D-9D8C-124C01D8319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전보4</t>
      </text>
    </comment>
    <comment ref="U2" authorId="13" shapeId="0" xr:uid="{A7C5DC8A-3DD6-42DB-9833-587DCA55FF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LuckyArenaEquipPresetTable의 Index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tc={EF2F557C-14AC-4E0C-8FD7-212ADBA7660D}</author>
    <author>tc={2B5D761E-ED08-4782-B144-0724C8BF726B}</author>
  </authors>
  <commentList>
    <comment ref="C2" authorId="0" shapeId="0" xr:uid="{EF2F557C-14AC-4E0C-8FD7-212ADBA766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EquipOptionTable의 Index들
Index의 수와 Step의 수가 일치해야 함</t>
      </text>
    </comment>
    <comment ref="S2" authorId="1" shapeId="0" xr:uid="{2B5D761E-ED08-4782-B144-0724C8BF726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드롭다운으로 선택하면 장비 인덱스가 자동으로 채워짐.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tc={83616360-700D-4880-A592-0D61DF0032BD}</author>
  </authors>
  <commentList>
    <comment ref="J2" authorId="0" shapeId="0" xr:uid="{83616360-700D-4880-A592-0D61DF0032B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기사 : 반지
그 외 : 귀고리</t>
      </text>
    </comment>
  </commentList>
</comments>
</file>

<file path=xl/sharedStrings.xml><?xml version="1.0" encoding="utf-8"?>
<sst xmlns="http://schemas.openxmlformats.org/spreadsheetml/2006/main" count="996" uniqueCount="244">
  <si>
    <t>Int</t>
    <phoneticPr fontId="8" type="noConversion"/>
  </si>
  <si>
    <t>Index</t>
    <phoneticPr fontId="8" type="noConversion"/>
  </si>
  <si>
    <t>HeroIndex</t>
    <phoneticPr fontId="8" type="noConversion"/>
  </si>
  <si>
    <t>Int Array</t>
    <phoneticPr fontId="8" type="noConversion"/>
  </si>
  <si>
    <t>EquipItem1</t>
    <phoneticPr fontId="8" type="noConversion"/>
  </si>
  <si>
    <t>CostumeIndex</t>
    <phoneticPr fontId="8" type="noConversion"/>
  </si>
  <si>
    <t>EquipItem2</t>
    <phoneticPr fontId="8" type="noConversion"/>
  </si>
  <si>
    <t>EquipItem3</t>
    <phoneticPr fontId="8" type="noConversion"/>
  </si>
  <si>
    <t>EquipItem4</t>
    <phoneticPr fontId="8" type="noConversion"/>
  </si>
  <si>
    <t>EquipItem5</t>
    <phoneticPr fontId="8" type="noConversion"/>
  </si>
  <si>
    <t>EquipItem6</t>
    <phoneticPr fontId="8" type="noConversion"/>
  </si>
  <si>
    <t>EquipItem7</t>
    <phoneticPr fontId="8" type="noConversion"/>
  </si>
  <si>
    <t>EquipItem8</t>
    <phoneticPr fontId="8" type="noConversion"/>
  </si>
  <si>
    <t>EquipItem9</t>
    <phoneticPr fontId="8" type="noConversion"/>
  </si>
  <si>
    <t>EquipItem10</t>
    <phoneticPr fontId="8" type="noConversion"/>
  </si>
  <si>
    <t>방어구</t>
    <phoneticPr fontId="8" type="noConversion"/>
  </si>
  <si>
    <t>장신구</t>
    <phoneticPr fontId="8" type="noConversion"/>
  </si>
  <si>
    <t>보조장비</t>
    <phoneticPr fontId="8" type="noConversion"/>
  </si>
  <si>
    <t>유물</t>
    <phoneticPr fontId="8" type="noConversion"/>
  </si>
  <si>
    <t>보주</t>
    <phoneticPr fontId="8" type="noConversion"/>
  </si>
  <si>
    <t>전보1</t>
    <phoneticPr fontId="8" type="noConversion"/>
  </si>
  <si>
    <t>전보2</t>
    <phoneticPr fontId="8" type="noConversion"/>
  </si>
  <si>
    <t>전보3</t>
    <phoneticPr fontId="8" type="noConversion"/>
  </si>
  <si>
    <t>전보4</t>
    <phoneticPr fontId="8" type="noConversion"/>
  </si>
  <si>
    <t>전무[ItemIndex, Star]</t>
    <phoneticPr fontId="8" type="noConversion"/>
  </si>
  <si>
    <t>IntArray</t>
    <phoneticPr fontId="8" type="noConversion"/>
  </si>
  <si>
    <t>방어구옵션값</t>
    <phoneticPr fontId="8" type="noConversion"/>
  </si>
  <si>
    <t>장신구옵션값</t>
    <phoneticPr fontId="8" type="noConversion"/>
  </si>
  <si>
    <t>HeroLevel</t>
    <phoneticPr fontId="8" type="noConversion"/>
  </si>
  <si>
    <t>보조장비옵션값</t>
    <phoneticPr fontId="8" type="noConversion"/>
  </si>
  <si>
    <t>보주옵션값</t>
    <phoneticPr fontId="8" type="noConversion"/>
  </si>
  <si>
    <t>전보2옵션값</t>
    <phoneticPr fontId="8" type="noConversion"/>
  </si>
  <si>
    <t>전보1옵션값</t>
    <phoneticPr fontId="8" type="noConversion"/>
  </si>
  <si>
    <t>전보3옵션값</t>
    <phoneticPr fontId="8" type="noConversion"/>
  </si>
  <si>
    <t>전보4옵션값</t>
    <phoneticPr fontId="8" type="noConversion"/>
  </si>
  <si>
    <t>장비프리셋</t>
    <phoneticPr fontId="8" type="noConversion"/>
  </si>
  <si>
    <t>EquipPresetIndex</t>
    <phoneticPr fontId="8" type="noConversion"/>
  </si>
  <si>
    <t>HeroStar</t>
    <phoneticPr fontId="8" type="noConversion"/>
  </si>
  <si>
    <t>OptionIndex2</t>
    <phoneticPr fontId="8" type="noConversion"/>
  </si>
  <si>
    <t>OptionStep2</t>
    <phoneticPr fontId="8" type="noConversion"/>
  </si>
  <si>
    <t>OptionIndex3</t>
    <phoneticPr fontId="8" type="noConversion"/>
  </si>
  <si>
    <t>OptionStep3</t>
    <phoneticPr fontId="8" type="noConversion"/>
  </si>
  <si>
    <t>OptionIndex4</t>
    <phoneticPr fontId="8" type="noConversion"/>
  </si>
  <si>
    <t>OptionStep4</t>
    <phoneticPr fontId="8" type="noConversion"/>
  </si>
  <si>
    <t>OptionIndex6</t>
    <phoneticPr fontId="8" type="noConversion"/>
  </si>
  <si>
    <t>OptionStep6</t>
    <phoneticPr fontId="8" type="noConversion"/>
  </si>
  <si>
    <t>OptionIndex7</t>
    <phoneticPr fontId="8" type="noConversion"/>
  </si>
  <si>
    <t>OptionStep7</t>
    <phoneticPr fontId="8" type="noConversion"/>
  </si>
  <si>
    <t>OptionIndex8</t>
    <phoneticPr fontId="8" type="noConversion"/>
  </si>
  <si>
    <t>OptionStep8</t>
    <phoneticPr fontId="8" type="noConversion"/>
  </si>
  <si>
    <t>OptionIndex9</t>
    <phoneticPr fontId="8" type="noConversion"/>
  </si>
  <si>
    <t>OptionStep9</t>
    <phoneticPr fontId="8" type="noConversion"/>
  </si>
  <si>
    <t>OptionIndex10</t>
    <phoneticPr fontId="8" type="noConversion"/>
  </si>
  <si>
    <t>OptionStep10</t>
    <phoneticPr fontId="8" type="noConversion"/>
  </si>
  <si>
    <t>Transcended</t>
    <phoneticPr fontId="8" type="noConversion"/>
  </si>
  <si>
    <t>초월</t>
    <phoneticPr fontId="8" type="noConversion"/>
  </si>
  <si>
    <t>각성</t>
    <phoneticPr fontId="8" type="noConversion"/>
  </si>
  <si>
    <t>레벨</t>
    <phoneticPr fontId="8" type="noConversion"/>
  </si>
  <si>
    <t>코스튬</t>
    <phoneticPr fontId="8" type="noConversion"/>
  </si>
  <si>
    <t>SkillExtend</t>
    <phoneticPr fontId="8" type="noConversion"/>
  </si>
  <si>
    <t>스킬 확장</t>
    <phoneticPr fontId="8" type="noConversion"/>
  </si>
  <si>
    <t>100</t>
  </si>
  <si>
    <t>5</t>
  </si>
  <si>
    <t>3</t>
  </si>
  <si>
    <t>100</t>
    <phoneticPr fontId="8" type="noConversion"/>
  </si>
  <si>
    <t>5</t>
    <phoneticPr fontId="8" type="noConversion"/>
  </si>
  <si>
    <t>3</t>
    <phoneticPr fontId="8" type="noConversion"/>
  </si>
  <si>
    <t>카셀</t>
  </si>
  <si>
    <t>프레이</t>
  </si>
  <si>
    <t>클레오</t>
  </si>
  <si>
    <t>로이</t>
  </si>
  <si>
    <t>가우</t>
  </si>
  <si>
    <t>필롭</t>
  </si>
  <si>
    <t>라크락</t>
  </si>
  <si>
    <t>카울라</t>
  </si>
  <si>
    <t>에피스</t>
  </si>
  <si>
    <t>셀레네</t>
  </si>
  <si>
    <t>마리아</t>
  </si>
  <si>
    <t>미르르</t>
  </si>
  <si>
    <t>로레인</t>
  </si>
  <si>
    <t>마야</t>
  </si>
  <si>
    <t>클라우스</t>
  </si>
  <si>
    <t>레피</t>
  </si>
  <si>
    <t>디마엘</t>
  </si>
  <si>
    <t>레이나</t>
  </si>
  <si>
    <t>파벨</t>
  </si>
  <si>
    <t>데미아</t>
  </si>
  <si>
    <t>네일라</t>
  </si>
  <si>
    <t>로지나</t>
  </si>
  <si>
    <t>모라</t>
  </si>
  <si>
    <t>보두앵</t>
  </si>
  <si>
    <t>제인</t>
  </si>
  <si>
    <t>아이샤</t>
  </si>
  <si>
    <t>레오</t>
  </si>
  <si>
    <t>플루스</t>
  </si>
  <si>
    <t>루나</t>
  </si>
  <si>
    <t>라이아스</t>
  </si>
  <si>
    <t>아르크</t>
  </si>
  <si>
    <t>레위시아</t>
  </si>
  <si>
    <t>닉스</t>
  </si>
  <si>
    <t>아네트</t>
  </si>
  <si>
    <t>미트라</t>
  </si>
  <si>
    <t>리카르도</t>
  </si>
  <si>
    <t>타냐</t>
  </si>
  <si>
    <t>에제키엘</t>
  </si>
  <si>
    <t>카산드라</t>
  </si>
  <si>
    <t>테오</t>
  </si>
  <si>
    <t>메디아나</t>
  </si>
  <si>
    <t>오디</t>
  </si>
  <si>
    <t>비스카</t>
  </si>
  <si>
    <t>프리실라</t>
  </si>
  <si>
    <t>얀느</t>
  </si>
  <si>
    <t>자피르</t>
  </si>
  <si>
    <t>유리아</t>
  </si>
  <si>
    <t>레하트나</t>
  </si>
  <si>
    <t>오펠리아</t>
  </si>
  <si>
    <t>레퀴나</t>
  </si>
  <si>
    <t>아셀리카</t>
  </si>
  <si>
    <t>크로우</t>
  </si>
  <si>
    <t>샤밀라</t>
  </si>
  <si>
    <t>라브릴</t>
  </si>
  <si>
    <t>세리아</t>
  </si>
  <si>
    <t>에르제</t>
  </si>
  <si>
    <t>릴리아</t>
  </si>
  <si>
    <t>라우디아</t>
  </si>
  <si>
    <t>루시아스</t>
  </si>
  <si>
    <t>크리샤</t>
  </si>
  <si>
    <t>네락시스</t>
  </si>
  <si>
    <t>스칼렛</t>
  </si>
  <si>
    <t>소니아</t>
  </si>
  <si>
    <t>아르테미아</t>
  </si>
  <si>
    <t>미리안느</t>
  </si>
  <si>
    <t>시아</t>
  </si>
  <si>
    <t>카라</t>
  </si>
  <si>
    <t>니아</t>
  </si>
  <si>
    <t>에스커</t>
  </si>
  <si>
    <t>세실리아</t>
  </si>
  <si>
    <t>키르제</t>
  </si>
  <si>
    <t>판시로네</t>
  </si>
  <si>
    <t>체이스</t>
  </si>
  <si>
    <t>키베라</t>
  </si>
  <si>
    <t>다카리스</t>
  </si>
  <si>
    <t>테일리</t>
  </si>
  <si>
    <t>제라</t>
  </si>
  <si>
    <t>베른헤임</t>
  </si>
  <si>
    <t>에반</t>
  </si>
  <si>
    <t>샤크메</t>
  </si>
  <si>
    <t>힐다</t>
  </si>
  <si>
    <t>이솔렛</t>
  </si>
  <si>
    <t>반역자 클라우스</t>
  </si>
  <si>
    <t>마왕 카셀</t>
  </si>
  <si>
    <t>타락 프레이</t>
  </si>
  <si>
    <t>그레모리</t>
  </si>
  <si>
    <t>글렌위스</t>
  </si>
  <si>
    <t>리히트</t>
  </si>
  <si>
    <t>리피네</t>
  </si>
  <si>
    <t>메이</t>
  </si>
  <si>
    <t>글라디</t>
  </si>
  <si>
    <t>베로니카</t>
  </si>
  <si>
    <t>로만</t>
  </si>
  <si>
    <t>유노</t>
  </si>
  <si>
    <t>니키</t>
  </si>
  <si>
    <t>도자르타</t>
  </si>
  <si>
    <t>하누스</t>
  </si>
  <si>
    <t>카인</t>
  </si>
  <si>
    <t>탈리샤</t>
  </si>
  <si>
    <t>루시키엘</t>
  </si>
  <si>
    <t>영웅 인덱스</t>
    <phoneticPr fontId="8" type="noConversion"/>
  </si>
  <si>
    <t>전용무기 인덱스</t>
    <phoneticPr fontId="8" type="noConversion"/>
  </si>
  <si>
    <t>(Desc)</t>
    <phoneticPr fontId="8" type="noConversion"/>
  </si>
  <si>
    <t>(클래스)</t>
    <phoneticPr fontId="8" type="noConversion"/>
  </si>
  <si>
    <t>전사</t>
  </si>
  <si>
    <t>전사</t>
    <phoneticPr fontId="8" type="noConversion"/>
  </si>
  <si>
    <t>기사</t>
  </si>
  <si>
    <t>기사</t>
    <phoneticPr fontId="8" type="noConversion"/>
  </si>
  <si>
    <t>암살자</t>
  </si>
  <si>
    <t>암살자</t>
    <phoneticPr fontId="8" type="noConversion"/>
  </si>
  <si>
    <t>궁수</t>
  </si>
  <si>
    <t>궁수</t>
    <phoneticPr fontId="8" type="noConversion"/>
  </si>
  <si>
    <t>기계공</t>
  </si>
  <si>
    <t>기계공</t>
    <phoneticPr fontId="8" type="noConversion"/>
  </si>
  <si>
    <t>마법사</t>
  </si>
  <si>
    <t>마법사</t>
    <phoneticPr fontId="8" type="noConversion"/>
  </si>
  <si>
    <t>사제</t>
  </si>
  <si>
    <t>사제</t>
    <phoneticPr fontId="8" type="noConversion"/>
  </si>
  <si>
    <t>방어구</t>
    <phoneticPr fontId="8" type="noConversion"/>
  </si>
  <si>
    <t>장신구</t>
    <phoneticPr fontId="8" type="noConversion"/>
  </si>
  <si>
    <t>보조장비</t>
    <phoneticPr fontId="8" type="noConversion"/>
  </si>
  <si>
    <t>보주</t>
    <phoneticPr fontId="8" type="noConversion"/>
  </si>
  <si>
    <t>8T 영웅수호</t>
    <phoneticPr fontId="8" type="noConversion"/>
  </si>
  <si>
    <t>8T 마왕군</t>
    <phoneticPr fontId="8" type="noConversion"/>
  </si>
  <si>
    <t>8T 영웅제압</t>
    <phoneticPr fontId="8" type="noConversion"/>
  </si>
  <si>
    <t>장비</t>
    <phoneticPr fontId="8" type="noConversion"/>
  </si>
  <si>
    <t>(영웅)</t>
    <phoneticPr fontId="8" type="noConversion"/>
  </si>
  <si>
    <t>마왕군의 로브</t>
  </si>
  <si>
    <t>마왕군의 모자</t>
  </si>
  <si>
    <t>마왕군의 귀고리</t>
  </si>
  <si>
    <t>마왕군의 보주</t>
  </si>
  <si>
    <t>장비 인덱스 모음</t>
    <phoneticPr fontId="8" type="noConversion"/>
  </si>
  <si>
    <t>영웅수호의 판금 갑옷</t>
  </si>
  <si>
    <t>영웅수호의 방패</t>
  </si>
  <si>
    <t>영웅수호의 반지</t>
  </si>
  <si>
    <t>영웅수호의 보주</t>
  </si>
  <si>
    <t>영웅제압의 판금 갑옷</t>
  </si>
  <si>
    <t>영웅제압의 비늘 갑옷</t>
  </si>
  <si>
    <t>영웅제압의 로브</t>
  </si>
  <si>
    <t>영웅제압의 방패</t>
  </si>
  <si>
    <t>영웅제압의 망토</t>
  </si>
  <si>
    <t>영웅제압의 모자</t>
  </si>
  <si>
    <t>영웅제압의 반지</t>
  </si>
  <si>
    <t>영웅제압의 귀고리</t>
  </si>
  <si>
    <t>영웅제압의 보주</t>
  </si>
  <si>
    <t>(코스튬)</t>
    <phoneticPr fontId="8" type="noConversion"/>
  </si>
  <si>
    <t>3610</t>
    <phoneticPr fontId="8" type="noConversion"/>
  </si>
  <si>
    <t>3311</t>
    <phoneticPr fontId="8" type="noConversion"/>
  </si>
  <si>
    <t>농구 (무한의 슈팅 가드 닉스)</t>
    <phoneticPr fontId="8" type="noConversion"/>
  </si>
  <si>
    <t>농구 (전설의 센터 리카르도)</t>
    <phoneticPr fontId="8" type="noConversion"/>
  </si>
  <si>
    <t>농구 (전광석화의 포워드 소니아)</t>
    <phoneticPr fontId="8" type="noConversion"/>
  </si>
  <si>
    <t>6311</t>
    <phoneticPr fontId="8" type="noConversion"/>
  </si>
  <si>
    <t>농구 (지옥의 포워드)</t>
    <phoneticPr fontId="8" type="noConversion"/>
  </si>
  <si>
    <t>9508</t>
    <phoneticPr fontId="8" type="noConversion"/>
  </si>
  <si>
    <t>타락 (타락한 미리안느)</t>
    <phoneticPr fontId="8" type="noConversion"/>
  </si>
  <si>
    <t>6512</t>
    <phoneticPr fontId="8" type="noConversion"/>
  </si>
  <si>
    <t>타락 (타락한 아이샤)</t>
    <phoneticPr fontId="8" type="noConversion"/>
  </si>
  <si>
    <t>2614</t>
    <phoneticPr fontId="8" type="noConversion"/>
  </si>
  <si>
    <t>크리스마스 (산타 리카르도)</t>
    <phoneticPr fontId="8" type="noConversion"/>
  </si>
  <si>
    <t>3609</t>
    <phoneticPr fontId="8" type="noConversion"/>
  </si>
  <si>
    <t>크리스마스 (루돌프 미리안느)</t>
    <phoneticPr fontId="8" type="noConversion"/>
  </si>
  <si>
    <t>6510</t>
    <phoneticPr fontId="8" type="noConversion"/>
  </si>
  <si>
    <t>크리스마스 (루돌프 미트라)</t>
    <phoneticPr fontId="8" type="noConversion"/>
  </si>
  <si>
    <t>3508</t>
    <phoneticPr fontId="8" type="noConversion"/>
  </si>
  <si>
    <t>크리스마스 (루돌프 레피)</t>
    <phoneticPr fontId="8" type="noConversion"/>
  </si>
  <si>
    <t>1607</t>
    <phoneticPr fontId="8" type="noConversion"/>
  </si>
  <si>
    <t>공격력, 공속, 치확, 치피</t>
    <phoneticPr fontId="8" type="noConversion"/>
  </si>
  <si>
    <t>공격력, 공속, 치확, 최체</t>
    <phoneticPr fontId="8" type="noConversion"/>
  </si>
  <si>
    <t>공속, 최체, 물블, 마블</t>
    <phoneticPr fontId="8" type="noConversion"/>
  </si>
  <si>
    <t>1107,207,907,1907</t>
    <phoneticPr fontId="8" type="noConversion"/>
  </si>
  <si>
    <t>120,120,240,240</t>
    <phoneticPr fontId="8" type="noConversion"/>
  </si>
  <si>
    <t>107,1107,507,807</t>
    <phoneticPr fontId="8" type="noConversion"/>
  </si>
  <si>
    <t>120,120,120,240</t>
    <phoneticPr fontId="8" type="noConversion"/>
  </si>
  <si>
    <t>107,1107,507,207</t>
    <phoneticPr fontId="8" type="noConversion"/>
  </si>
  <si>
    <t>120,120,120,120</t>
    <phoneticPr fontId="8" type="noConversion"/>
  </si>
  <si>
    <t>EquipPresetIndex 모음</t>
    <phoneticPr fontId="8" type="noConversion"/>
  </si>
  <si>
    <t>* 임의로 수정할 경우 테이블 수식에 영향을 미침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</si>
</sst>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49" fontId="9" fillId="0" borderId="0" xfId="0" applyNumberFormat="1" applyFont="1" applyAlignment="1">
      <alignment horizontal="center" vertical="center"/>
    </xf>
    <xf numFmtId="49" fontId="11" fillId="3" borderId="1" xfId="1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0" fontId="11" fillId="0" borderId="0" xfId="0" applyFont="1" applyAlignment="1">
      <alignment horizontal="left"/>
    </xf>
    <xf numFmtId="49" fontId="9" fillId="0" borderId="0" xfId="0" applyNumberFormat="1" applyFont="1" applyFill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 textRotation="90"/>
    </xf>
    <xf numFmtId="49" fontId="9" fillId="2" borderId="3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11" fillId="2" borderId="1" xfId="0" applyNumberFormat="1" applyFont="1" applyFill="1" applyBorder="1" applyAlignment="1">
      <alignment horizontal="center" vertical="center" textRotation="90"/>
    </xf>
    <xf numFmtId="49" fontId="9" fillId="2" borderId="2" xfId="0" applyNumberFormat="1" applyFont="1" applyFill="1" applyBorder="1" applyAlignment="1">
      <alignment horizontal="center" vertical="center"/>
    </xf>
    <xf numFmtId="49" fontId="11" fillId="4" borderId="2" xfId="0" applyNumberFormat="1" applyFont="1" applyFill="1" applyBorder="1" applyAlignment="1">
      <alignment horizontal="center" vertical="center" textRotation="90"/>
    </xf>
    <xf numFmtId="49" fontId="9" fillId="4" borderId="1" xfId="0" applyNumberFormat="1" applyFont="1" applyFill="1" applyBorder="1" applyAlignment="1">
      <alignment horizontal="center" vertical="center"/>
    </xf>
    <xf numFmtId="49" fontId="9" fillId="4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6" fontId="9" fillId="2" borderId="4" xfId="0" applyNumberFormat="1" applyFont="1" applyFill="1" applyBorder="1" applyAlignment="1">
      <alignment horizontal="left" vertical="center"/>
    </xf>
    <xf numFmtId="176" fontId="11" fillId="2" borderId="2" xfId="0" applyNumberFormat="1" applyFont="1" applyFill="1" applyBorder="1" applyAlignment="1">
      <alignment horizontal="center" vertical="center" textRotation="90"/>
    </xf>
    <xf numFmtId="176" fontId="11" fillId="3" borderId="1" xfId="1" applyNumberFormat="1" applyFont="1" applyFill="1" applyBorder="1" applyAlignment="1">
      <alignment horizontal="center" vertical="center"/>
    </xf>
    <xf numFmtId="49" fontId="11" fillId="3" borderId="1" xfId="1" applyNumberFormat="1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/>
    </xf>
    <xf numFmtId="0" fontId="9" fillId="2" borderId="1" xfId="0" applyNumberFormat="1" applyFont="1" applyFill="1" applyBorder="1" applyAlignment="1">
      <alignment horizontal="center" vertical="center"/>
    </xf>
    <xf numFmtId="0" fontId="11" fillId="2" borderId="2" xfId="0" applyNumberFormat="1" applyFont="1" applyFill="1" applyBorder="1" applyAlignment="1">
      <alignment horizontal="center" vertical="center" textRotation="90"/>
    </xf>
    <xf numFmtId="0" fontId="11" fillId="3" borderId="1" xfId="1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9" fillId="2" borderId="6" xfId="0" applyNumberFormat="1" applyFont="1" applyFill="1" applyBorder="1" applyAlignment="1">
      <alignment horizontal="center" vertical="center"/>
    </xf>
    <xf numFmtId="49" fontId="9" fillId="2" borderId="7" xfId="0" applyNumberFormat="1" applyFont="1" applyFill="1" applyBorder="1" applyAlignment="1">
      <alignment horizontal="center" vertical="center"/>
    </xf>
    <xf numFmtId="0" fontId="13" fillId="0" borderId="0" xfId="0" applyFont="1"/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2-17T08:28:41.74" personId="{00000000-0000-0000-0000-000000000000}" id="{67422E15-F1D2-49AD-9595-E4E6E6F61D3C}">
    <text>1 + 영웅인덱스 3자리 + 순서 2자리
ex)
카셀 : 100101
카셀 마왕 코스튬 : 100102</text>
  </threadedComment>
  <threadedComment ref="D2" dT="2021-01-14T09:39:37.25" personId="{00000000-0000-0000-0000-000000000000}" id="{F59CFC38-EC6B-4506-9DCB-B766C80C6948}">
    <text>영웅, 전무, 전보 레벨 세팅용</text>
  </threadedComment>
  <threadedComment ref="J2" dT="2021-01-14T07:11:07.03" personId="{00000000-0000-0000-0000-000000000000}" id="{A95CE4FB-B5EA-4E27-B9F5-B6428C2237FC}">
    <text>HeroIndex를 채우면 자동으로 채워짐</text>
  </threadedComment>
  <threadedComment ref="K2" dT="2021-02-17T06:06:20.61" personId="{00000000-0000-0000-0000-000000000000}" id="{62AA60F8-49EC-4417-A696-56B53D7715BF}">
    <text>드롭다운으로 선택하면 장비 인덱스와 장비 프리셋 인덱스가 자동으로 채워짐.</text>
  </threadedComment>
  <threadedComment ref="L2" dT="2021-01-14T07:11:07.03" personId="{00000000-0000-0000-0000-000000000000}" id="{A8FF8BF1-C893-4CE4-BEBD-4319C3EECAEF}">
    <text>방어구</text>
  </threadedComment>
  <threadedComment ref="M2" dT="2021-01-14T07:11:07.03" personId="{00000000-0000-0000-0000-000000000000}" id="{79B3338E-3C7C-43F9-955C-796FA9BC2146}">
    <text>장신구</text>
  </threadedComment>
  <threadedComment ref="N2" dT="2021-01-14T07:11:07.03" personId="{00000000-0000-0000-0000-000000000000}" id="{AF35EA7B-A414-42D8-9028-636D9C5ED0AD}">
    <text>보조장비</text>
  </threadedComment>
  <threadedComment ref="O2" dT="2021-01-14T07:11:07.03" personId="{00000000-0000-0000-0000-000000000000}" id="{6680D66A-ED32-44C4-A34E-A9A857543BE0}">
    <text>유물</text>
  </threadedComment>
  <threadedComment ref="P2" dT="2021-01-14T07:11:07.03" personId="{00000000-0000-0000-0000-000000000000}" id="{0F241C54-75A2-4D11-BD5B-A1DE70A0442D}">
    <text>보주</text>
  </threadedComment>
  <threadedComment ref="Q2" dT="2021-01-14T07:11:07.03" personId="{00000000-0000-0000-0000-000000000000}" id="{6EE3DFED-9484-41DF-B202-01D0DF291A8F}">
    <text>전보1</text>
  </threadedComment>
  <threadedComment ref="R2" dT="2021-01-14T07:11:07.03" personId="{00000000-0000-0000-0000-000000000000}" id="{FB766361-5E5D-458D-91A8-762D3D7FBA7A}">
    <text>전보2</text>
  </threadedComment>
  <threadedComment ref="S2" dT="2021-01-14T07:11:07.03" personId="{00000000-0000-0000-0000-000000000000}" id="{ECDE1C78-16F3-48CC-AA35-B1B58E2DB4AF}">
    <text>전보3</text>
  </threadedComment>
  <threadedComment ref="T2" dT="2021-01-14T07:11:07.03" personId="{00000000-0000-0000-0000-000000000000}" id="{D13AB408-BC37-4E5D-9D8C-124C01D8319A}">
    <text>전보4</text>
  </threadedComment>
  <threadedComment ref="U2" dT="2021-01-14T09:38:18.98" personId="{00000000-0000-0000-0000-000000000000}" id="{A7C5DC8A-3DD6-42DB-9833-587DCA55FFFF}">
    <text>LuckyArenaEquipPresetTable의 Index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2" dT="2021-01-14T09:38:40.20" personId="{00000000-0000-0000-0000-000000000000}" id="{EF2F557C-14AC-4E0C-8FD7-212ADBA7660D}">
    <text>EquipOptionTable의 Index들
Index의 수와 Step의 수가 일치해야 함</text>
  </threadedComment>
  <threadedComment ref="S2" dT="2021-02-17T06:06:20.61" personId="{00000000-0000-0000-0000-000000000000}" id="{2B5D761E-ED08-4782-B144-0724C8BF726B}">
    <text>드롭다운으로 선택하면 장비 인덱스가 자동으로 채워짐.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2" dT="2021-02-17T07:50:09.26" personId="{00000000-0000-0000-0000-000000000000}" id="{83616360-700D-4880-A592-0D61DF0032BD}">
    <text>기사 : 반지
그 외 : 귀고리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U112"/>
  <sheetViews>
    <sheetView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defaultRowHeight="14.1" customHeight="1" x14ac:dyDescent="0.3"/>
  <cols>
    <col min="1" max="1" width="8.5" style="1" bestFit="1" customWidth="1"/>
    <col min="2" max="2" width="11.625" style="17" customWidth="1"/>
    <col min="3" max="7" width="11.625" style="1" customWidth="1"/>
    <col min="8" max="8" width="11.625" style="22" customWidth="1"/>
    <col min="9" max="9" width="11.625" style="1" customWidth="1"/>
    <col min="10" max="11" width="15.5" style="1" customWidth="1"/>
    <col min="12" max="20" width="11.625" style="1" customWidth="1"/>
    <col min="21" max="21" width="13.5" style="16" bestFit="1" customWidth="1"/>
    <col min="22" max="16384" width="9" style="1"/>
  </cols>
  <sheetData>
    <row r="1" spans="1:21" s="10" customFormat="1" ht="39" customHeight="1" x14ac:dyDescent="0.3">
      <c r="A1" s="7"/>
      <c r="B1" s="18"/>
      <c r="C1" s="9" t="s">
        <v>169</v>
      </c>
      <c r="D1" s="8" t="s">
        <v>57</v>
      </c>
      <c r="E1" s="8" t="s">
        <v>56</v>
      </c>
      <c r="F1" s="8" t="s">
        <v>55</v>
      </c>
      <c r="G1" s="9" t="s">
        <v>58</v>
      </c>
      <c r="H1" s="9" t="s">
        <v>169</v>
      </c>
      <c r="I1" s="9" t="s">
        <v>60</v>
      </c>
      <c r="J1" s="9" t="s">
        <v>24</v>
      </c>
      <c r="K1" s="9" t="s">
        <v>169</v>
      </c>
      <c r="L1" s="13" t="s">
        <v>15</v>
      </c>
      <c r="M1" s="9" t="s">
        <v>16</v>
      </c>
      <c r="N1" s="13" t="s">
        <v>17</v>
      </c>
      <c r="O1" s="11" t="s">
        <v>18</v>
      </c>
      <c r="P1" s="14" t="s">
        <v>19</v>
      </c>
      <c r="Q1" s="11" t="s">
        <v>20</v>
      </c>
      <c r="R1" s="14" t="s">
        <v>21</v>
      </c>
      <c r="S1" s="11" t="s">
        <v>22</v>
      </c>
      <c r="T1" s="14" t="s">
        <v>23</v>
      </c>
      <c r="U1" s="24" t="s">
        <v>35</v>
      </c>
    </row>
    <row r="2" spans="1:21" s="3" customFormat="1" ht="114.75" customHeight="1" x14ac:dyDescent="0.3">
      <c r="A2" s="6" t="s">
        <v>1</v>
      </c>
      <c r="B2" s="19" t="s">
        <v>2</v>
      </c>
      <c r="C2" s="6" t="s">
        <v>193</v>
      </c>
      <c r="D2" s="6" t="s">
        <v>28</v>
      </c>
      <c r="E2" s="6" t="s">
        <v>37</v>
      </c>
      <c r="F2" s="6" t="s">
        <v>54</v>
      </c>
      <c r="G2" s="6" t="s">
        <v>5</v>
      </c>
      <c r="H2" s="6" t="s">
        <v>212</v>
      </c>
      <c r="I2" s="6" t="s">
        <v>59</v>
      </c>
      <c r="J2" s="6" t="s">
        <v>4</v>
      </c>
      <c r="K2" s="6" t="s">
        <v>170</v>
      </c>
      <c r="L2" s="12" t="s">
        <v>6</v>
      </c>
      <c r="M2" s="6" t="s">
        <v>7</v>
      </c>
      <c r="N2" s="12" t="s">
        <v>8</v>
      </c>
      <c r="O2" s="6" t="s">
        <v>9</v>
      </c>
      <c r="P2" s="12" t="s">
        <v>10</v>
      </c>
      <c r="Q2" s="6" t="s">
        <v>11</v>
      </c>
      <c r="R2" s="12" t="s">
        <v>12</v>
      </c>
      <c r="S2" s="6" t="s">
        <v>13</v>
      </c>
      <c r="T2" s="12" t="s">
        <v>14</v>
      </c>
      <c r="U2" s="25" t="s">
        <v>36</v>
      </c>
    </row>
    <row r="3" spans="1:21" s="3" customFormat="1" ht="18" customHeight="1" x14ac:dyDescent="0.3">
      <c r="A3" s="2" t="s">
        <v>0</v>
      </c>
      <c r="B3" s="20" t="s">
        <v>0</v>
      </c>
      <c r="C3" s="2"/>
      <c r="D3" s="2" t="s">
        <v>0</v>
      </c>
      <c r="E3" s="2" t="s">
        <v>0</v>
      </c>
      <c r="F3" s="2" t="s">
        <v>0</v>
      </c>
      <c r="G3" s="2" t="s">
        <v>0</v>
      </c>
      <c r="H3" s="21"/>
      <c r="I3" s="2" t="s">
        <v>0</v>
      </c>
      <c r="J3" s="2" t="s">
        <v>3</v>
      </c>
      <c r="K3" s="2"/>
      <c r="L3" s="2" t="s">
        <v>3</v>
      </c>
      <c r="M3" s="2" t="s">
        <v>3</v>
      </c>
      <c r="N3" s="2" t="s">
        <v>3</v>
      </c>
      <c r="O3" s="2" t="s">
        <v>3</v>
      </c>
      <c r="P3" s="2" t="s">
        <v>3</v>
      </c>
      <c r="Q3" s="2" t="s">
        <v>3</v>
      </c>
      <c r="R3" s="2" t="s">
        <v>3</v>
      </c>
      <c r="S3" s="2" t="s">
        <v>3</v>
      </c>
      <c r="T3" s="2" t="s">
        <v>3</v>
      </c>
      <c r="U3" s="26" t="s">
        <v>0</v>
      </c>
    </row>
    <row r="4" spans="1:21" ht="14.1" customHeight="1" x14ac:dyDescent="0.2">
      <c r="A4" s="4">
        <v>100101</v>
      </c>
      <c r="B4" s="17">
        <v>1</v>
      </c>
      <c r="C4" s="17" t="s">
        <v>67</v>
      </c>
      <c r="D4" s="1" t="s">
        <v>64</v>
      </c>
      <c r="E4" s="1" t="s">
        <v>65</v>
      </c>
      <c r="F4" s="1" t="s">
        <v>65</v>
      </c>
      <c r="I4" s="1" t="s">
        <v>66</v>
      </c>
      <c r="J4" s="16" t="str">
        <f>VLOOKUP(B4,참고!$C$3:$D$102,2,FALSE)&amp;",5"</f>
        <v>1001,5</v>
      </c>
      <c r="K4" s="16" t="s">
        <v>171</v>
      </c>
      <c r="L4" s="16" t="str">
        <f>VLOOKUP(K4,참고!$G$3:$L$9,3,FALSE)&amp;",5"</f>
        <v>807016,5</v>
      </c>
      <c r="M4" s="16" t="str">
        <f>VLOOKUP(K4,참고!$G$3:$L$9,4,FALSE)&amp;",5"</f>
        <v>814016,5</v>
      </c>
      <c r="N4" s="16" t="str">
        <f>VLOOKUP(K4,참고!$G$3:$L$9,5,FALSE)&amp;",5"</f>
        <v>810016,5</v>
      </c>
      <c r="P4" s="16" t="str">
        <f>VLOOKUP(K4,참고!$G$3:$L$9,6,FALSE)&amp;",5"</f>
        <v>817016,5</v>
      </c>
      <c r="U4" s="16">
        <f>VLOOKUP(K4,참고!$G$35:$H$41,2,FALSE)</f>
        <v>2</v>
      </c>
    </row>
    <row r="5" spans="1:21" ht="14.1" customHeight="1" x14ac:dyDescent="0.2">
      <c r="A5" s="4">
        <v>100201</v>
      </c>
      <c r="B5" s="17">
        <v>2</v>
      </c>
      <c r="C5" s="17" t="s">
        <v>68</v>
      </c>
      <c r="D5" s="1" t="s">
        <v>64</v>
      </c>
      <c r="E5" s="1" t="s">
        <v>65</v>
      </c>
      <c r="F5" s="1" t="s">
        <v>65</v>
      </c>
      <c r="I5" s="1" t="s">
        <v>66</v>
      </c>
      <c r="J5" s="16" t="str">
        <f>VLOOKUP(B5,참고!$C$3:$D$102,2,FALSE)&amp;",5"</f>
        <v>1002,5</v>
      </c>
      <c r="K5" s="16" t="s">
        <v>183</v>
      </c>
      <c r="L5" s="16" t="str">
        <f>VLOOKUP(K5,참고!$G$3:$L$9,3,FALSE)&amp;",5"</f>
        <v>809027,5</v>
      </c>
      <c r="M5" s="16" t="str">
        <f>VLOOKUP(K5,참고!$G$3:$L$9,4,FALSE)&amp;",5"</f>
        <v>814027,5</v>
      </c>
      <c r="N5" s="16" t="str">
        <f>VLOOKUP(K5,참고!$G$3:$L$9,5,FALSE)&amp;",5"</f>
        <v>812027,5</v>
      </c>
      <c r="P5" s="16" t="str">
        <f>VLOOKUP(K5,참고!$G$3:$L$9,6,FALSE)&amp;",5"</f>
        <v>817027,5</v>
      </c>
      <c r="U5" s="16">
        <f>VLOOKUP(K5,참고!$G$35:$H$41,2,FALSE)</f>
        <v>7</v>
      </c>
    </row>
    <row r="6" spans="1:21" ht="14.1" customHeight="1" x14ac:dyDescent="0.2">
      <c r="A6" s="4">
        <v>100301</v>
      </c>
      <c r="B6" s="17">
        <v>3</v>
      </c>
      <c r="C6" s="17" t="s">
        <v>69</v>
      </c>
      <c r="D6" s="1" t="s">
        <v>64</v>
      </c>
      <c r="E6" s="1" t="s">
        <v>65</v>
      </c>
      <c r="F6" s="1" t="s">
        <v>65</v>
      </c>
      <c r="I6" s="1" t="s">
        <v>63</v>
      </c>
      <c r="J6" s="16" t="str">
        <f>VLOOKUP(B6,참고!$C$3:$D$102,2,FALSE)&amp;",5"</f>
        <v>1003,5</v>
      </c>
      <c r="K6" s="16" t="s">
        <v>181</v>
      </c>
      <c r="L6" s="16" t="str">
        <f>VLOOKUP(K6,참고!$G$3:$L$9,3,FALSE)&amp;",5"</f>
        <v>809016,5</v>
      </c>
      <c r="M6" s="16" t="str">
        <f>VLOOKUP(K6,참고!$G$3:$L$9,4,FALSE)&amp;",5"</f>
        <v>814016,5</v>
      </c>
      <c r="N6" s="16" t="str">
        <f>VLOOKUP(K6,참고!$G$3:$L$9,5,FALSE)&amp;",5"</f>
        <v>812016,5</v>
      </c>
      <c r="P6" s="16" t="str">
        <f>VLOOKUP(K6,참고!$G$3:$L$9,6,FALSE)&amp;",5"</f>
        <v>817016,5</v>
      </c>
      <c r="U6" s="16">
        <f>VLOOKUP(K6,참고!$G$35:$H$41,2,FALSE)</f>
        <v>6</v>
      </c>
    </row>
    <row r="7" spans="1:21" ht="14.1" customHeight="1" x14ac:dyDescent="0.2">
      <c r="A7" s="4">
        <v>100401</v>
      </c>
      <c r="B7" s="17">
        <v>4</v>
      </c>
      <c r="C7" s="1" t="s">
        <v>70</v>
      </c>
      <c r="D7" s="1" t="s">
        <v>61</v>
      </c>
      <c r="E7" s="1" t="s">
        <v>62</v>
      </c>
      <c r="F7" s="1" t="s">
        <v>62</v>
      </c>
      <c r="I7" s="1" t="s">
        <v>63</v>
      </c>
      <c r="J7" s="16" t="str">
        <f>VLOOKUP(B7,참고!$C$3:$D$102,2,FALSE)&amp;",5"</f>
        <v>1004,5</v>
      </c>
      <c r="K7" s="1" t="s">
        <v>175</v>
      </c>
      <c r="L7" s="16" t="str">
        <f>VLOOKUP(K7,참고!$G$3:$L$9,3,FALSE)&amp;",5"</f>
        <v>808016,5</v>
      </c>
      <c r="M7" s="16" t="str">
        <f>VLOOKUP(K7,참고!$G$3:$L$9,4,FALSE)&amp;",5"</f>
        <v>814016,5</v>
      </c>
      <c r="N7" s="16" t="str">
        <f>VLOOKUP(K7,참고!$G$3:$L$9,5,FALSE)&amp;",5"</f>
        <v>811016,5</v>
      </c>
      <c r="P7" s="16" t="str">
        <f>VLOOKUP(K7,참고!$G$3:$L$9,6,FALSE)&amp;",5"</f>
        <v>817016,5</v>
      </c>
      <c r="U7" s="16">
        <f>VLOOKUP(K7,참고!$G$35:$H$41,2,FALSE)</f>
        <v>3</v>
      </c>
    </row>
    <row r="8" spans="1:21" ht="14.1" customHeight="1" x14ac:dyDescent="0.2">
      <c r="A8" s="4">
        <v>100501</v>
      </c>
      <c r="B8" s="17">
        <v>5</v>
      </c>
      <c r="C8" s="1" t="s">
        <v>71</v>
      </c>
      <c r="D8" s="1" t="s">
        <v>61</v>
      </c>
      <c r="E8" s="1" t="s">
        <v>62</v>
      </c>
      <c r="F8" s="1" t="s">
        <v>62</v>
      </c>
      <c r="I8" s="1" t="s">
        <v>63</v>
      </c>
      <c r="J8" s="16" t="str">
        <f>VLOOKUP(B8,참고!$C$3:$D$102,2,FALSE)&amp;",5"</f>
        <v>1005,5</v>
      </c>
      <c r="K8" s="16" t="s">
        <v>171</v>
      </c>
      <c r="L8" s="16" t="str">
        <f>VLOOKUP(K8,참고!$G$3:$L$9,3,FALSE)&amp;",5"</f>
        <v>807016,5</v>
      </c>
      <c r="M8" s="16" t="str">
        <f>VLOOKUP(K8,참고!$G$3:$L$9,4,FALSE)&amp;",5"</f>
        <v>814016,5</v>
      </c>
      <c r="N8" s="16" t="str">
        <f>VLOOKUP(K8,참고!$G$3:$L$9,5,FALSE)&amp;",5"</f>
        <v>810016,5</v>
      </c>
      <c r="P8" s="16" t="str">
        <f>VLOOKUP(K8,참고!$G$3:$L$9,6,FALSE)&amp;",5"</f>
        <v>817016,5</v>
      </c>
      <c r="U8" s="16">
        <f>VLOOKUP(K8,참고!$G$35:$H$41,2,FALSE)</f>
        <v>2</v>
      </c>
    </row>
    <row r="9" spans="1:21" ht="14.1" customHeight="1" x14ac:dyDescent="0.2">
      <c r="A9" s="4">
        <v>100601</v>
      </c>
      <c r="B9" s="17">
        <v>6</v>
      </c>
      <c r="C9" s="1" t="s">
        <v>72</v>
      </c>
      <c r="D9" s="1" t="s">
        <v>61</v>
      </c>
      <c r="E9" s="1" t="s">
        <v>62</v>
      </c>
      <c r="F9" s="1" t="s">
        <v>62</v>
      </c>
      <c r="I9" s="1" t="s">
        <v>63</v>
      </c>
      <c r="J9" s="16" t="str">
        <f>VLOOKUP(B9,참고!$C$3:$D$102,2,FALSE)&amp;",5"</f>
        <v>1006,5</v>
      </c>
      <c r="K9" s="1" t="s">
        <v>173</v>
      </c>
      <c r="L9" s="16" t="str">
        <f>VLOOKUP(K9,참고!$G$3:$L$9,3,FALSE)&amp;",5"</f>
        <v>807026,5</v>
      </c>
      <c r="M9" s="16" t="str">
        <f>VLOOKUP(K9,참고!$G$3:$L$9,4,FALSE)&amp;",5"</f>
        <v>813026,5</v>
      </c>
      <c r="N9" s="16" t="str">
        <f>VLOOKUP(K9,참고!$G$3:$L$9,5,FALSE)&amp;",5"</f>
        <v>810026,5</v>
      </c>
      <c r="P9" s="16" t="str">
        <f>VLOOKUP(K9,참고!$G$3:$L$9,6,FALSE)&amp;",5"</f>
        <v>817026,5</v>
      </c>
      <c r="U9" s="16">
        <f>VLOOKUP(K9,참고!$G$35:$H$41,2,FALSE)</f>
        <v>1</v>
      </c>
    </row>
    <row r="10" spans="1:21" ht="14.1" customHeight="1" x14ac:dyDescent="0.2">
      <c r="A10" s="4">
        <v>100701</v>
      </c>
      <c r="B10" s="17">
        <v>7</v>
      </c>
      <c r="C10" s="1" t="s">
        <v>73</v>
      </c>
      <c r="D10" s="1" t="s">
        <v>61</v>
      </c>
      <c r="E10" s="1" t="s">
        <v>62</v>
      </c>
      <c r="F10" s="1" t="s">
        <v>62</v>
      </c>
      <c r="I10" s="1" t="s">
        <v>63</v>
      </c>
      <c r="J10" s="16" t="str">
        <f>VLOOKUP(B10,참고!$C$3:$D$102,2,FALSE)&amp;",5"</f>
        <v>1007,5</v>
      </c>
      <c r="K10" s="1" t="s">
        <v>179</v>
      </c>
      <c r="L10" s="16" t="str">
        <f>VLOOKUP(K10,참고!$G$3:$L$9,3,FALSE)&amp;",5"</f>
        <v>808016,5</v>
      </c>
      <c r="M10" s="16" t="str">
        <f>VLOOKUP(K10,참고!$G$3:$L$9,4,FALSE)&amp;",5"</f>
        <v>814016,5</v>
      </c>
      <c r="N10" s="16" t="str">
        <f>VLOOKUP(K10,참고!$G$3:$L$9,5,FALSE)&amp;",5"</f>
        <v>811016,5</v>
      </c>
      <c r="P10" s="16" t="str">
        <f>VLOOKUP(K10,참고!$G$3:$L$9,6,FALSE)&amp;",5"</f>
        <v>817016,5</v>
      </c>
      <c r="U10" s="16">
        <f>VLOOKUP(K10,참고!$G$35:$H$41,2,FALSE)</f>
        <v>5</v>
      </c>
    </row>
    <row r="11" spans="1:21" ht="14.1" customHeight="1" x14ac:dyDescent="0.2">
      <c r="A11" s="4">
        <v>100801</v>
      </c>
      <c r="B11" s="17">
        <v>8</v>
      </c>
      <c r="C11" s="1" t="s">
        <v>74</v>
      </c>
      <c r="D11" s="1" t="s">
        <v>61</v>
      </c>
      <c r="E11" s="1" t="s">
        <v>62</v>
      </c>
      <c r="F11" s="1" t="s">
        <v>62</v>
      </c>
      <c r="I11" s="1" t="s">
        <v>63</v>
      </c>
      <c r="J11" s="16" t="str">
        <f>VLOOKUP(B11,참고!$C$3:$D$102,2,FALSE)&amp;",5"</f>
        <v>1008,5</v>
      </c>
      <c r="K11" s="1" t="s">
        <v>183</v>
      </c>
      <c r="L11" s="16" t="str">
        <f>VLOOKUP(K11,참고!$G$3:$L$9,3,FALSE)&amp;",5"</f>
        <v>809027,5</v>
      </c>
      <c r="M11" s="16" t="str">
        <f>VLOOKUP(K11,참고!$G$3:$L$9,4,FALSE)&amp;",5"</f>
        <v>814027,5</v>
      </c>
      <c r="N11" s="16" t="str">
        <f>VLOOKUP(K11,참고!$G$3:$L$9,5,FALSE)&amp;",5"</f>
        <v>812027,5</v>
      </c>
      <c r="P11" s="16" t="str">
        <f>VLOOKUP(K11,참고!$G$3:$L$9,6,FALSE)&amp;",5"</f>
        <v>817027,5</v>
      </c>
      <c r="U11" s="16">
        <f>VLOOKUP(K11,참고!$G$35:$H$41,2,FALSE)</f>
        <v>7</v>
      </c>
    </row>
    <row r="12" spans="1:21" ht="14.1" customHeight="1" x14ac:dyDescent="0.2">
      <c r="A12" s="4">
        <v>100901</v>
      </c>
      <c r="B12" s="17">
        <v>9</v>
      </c>
      <c r="C12" s="1" t="s">
        <v>75</v>
      </c>
      <c r="D12" s="1" t="s">
        <v>61</v>
      </c>
      <c r="E12" s="1" t="s">
        <v>62</v>
      </c>
      <c r="F12" s="1" t="s">
        <v>62</v>
      </c>
      <c r="I12" s="1" t="s">
        <v>63</v>
      </c>
      <c r="J12" s="16" t="str">
        <f>VLOOKUP(B12,참고!$C$3:$D$102,2,FALSE)&amp;",5"</f>
        <v>1009,5</v>
      </c>
      <c r="K12" s="1" t="s">
        <v>175</v>
      </c>
      <c r="L12" s="16" t="str">
        <f>VLOOKUP(K12,참고!$G$3:$L$9,3,FALSE)&amp;",5"</f>
        <v>808016,5</v>
      </c>
      <c r="M12" s="16" t="str">
        <f>VLOOKUP(K12,참고!$G$3:$L$9,4,FALSE)&amp;",5"</f>
        <v>814016,5</v>
      </c>
      <c r="N12" s="16" t="str">
        <f>VLOOKUP(K12,참고!$G$3:$L$9,5,FALSE)&amp;",5"</f>
        <v>811016,5</v>
      </c>
      <c r="P12" s="16" t="str">
        <f>VLOOKUP(K12,참고!$G$3:$L$9,6,FALSE)&amp;",5"</f>
        <v>817016,5</v>
      </c>
      <c r="U12" s="16">
        <f>VLOOKUP(K12,참고!$G$35:$H$41,2,FALSE)</f>
        <v>3</v>
      </c>
    </row>
    <row r="13" spans="1:21" ht="14.1" customHeight="1" x14ac:dyDescent="0.2">
      <c r="A13" s="4">
        <v>101001</v>
      </c>
      <c r="B13" s="17">
        <v>10</v>
      </c>
      <c r="C13" s="1" t="s">
        <v>76</v>
      </c>
      <c r="D13" s="1" t="s">
        <v>61</v>
      </c>
      <c r="E13" s="1" t="s">
        <v>62</v>
      </c>
      <c r="F13" s="1" t="s">
        <v>62</v>
      </c>
      <c r="I13" s="1" t="s">
        <v>63</v>
      </c>
      <c r="J13" s="16" t="str">
        <f>VLOOKUP(B13,참고!$C$3:$D$102,2,FALSE)&amp;",5"</f>
        <v>1010,5</v>
      </c>
      <c r="K13" s="1" t="s">
        <v>177</v>
      </c>
      <c r="L13" s="16" t="str">
        <f>VLOOKUP(K13,참고!$G$3:$L$9,3,FALSE)&amp;",5"</f>
        <v>808016,5</v>
      </c>
      <c r="M13" s="16" t="str">
        <f>VLOOKUP(K13,참고!$G$3:$L$9,4,FALSE)&amp;",5"</f>
        <v>814016,5</v>
      </c>
      <c r="N13" s="16" t="str">
        <f>VLOOKUP(K13,참고!$G$3:$L$9,5,FALSE)&amp;",5"</f>
        <v>811016,5</v>
      </c>
      <c r="P13" s="16" t="str">
        <f>VLOOKUP(K13,참고!$G$3:$L$9,6,FALSE)&amp;",5"</f>
        <v>817016,5</v>
      </c>
      <c r="U13" s="16">
        <f>VLOOKUP(K13,참고!$G$35:$H$41,2,FALSE)</f>
        <v>4</v>
      </c>
    </row>
    <row r="14" spans="1:21" ht="14.1" customHeight="1" x14ac:dyDescent="0.2">
      <c r="A14" s="4">
        <v>101101</v>
      </c>
      <c r="B14" s="17">
        <v>11</v>
      </c>
      <c r="C14" s="1" t="s">
        <v>77</v>
      </c>
      <c r="D14" s="1" t="s">
        <v>61</v>
      </c>
      <c r="E14" s="1" t="s">
        <v>62</v>
      </c>
      <c r="F14" s="1" t="s">
        <v>62</v>
      </c>
      <c r="I14" s="1" t="s">
        <v>63</v>
      </c>
      <c r="J14" s="16" t="str">
        <f>VLOOKUP(B14,참고!$C$3:$D$102,2,FALSE)&amp;",5"</f>
        <v>1011,5</v>
      </c>
      <c r="K14" s="1" t="s">
        <v>181</v>
      </c>
      <c r="L14" s="16" t="str">
        <f>VLOOKUP(K14,참고!$G$3:$L$9,3,FALSE)&amp;",5"</f>
        <v>809016,5</v>
      </c>
      <c r="M14" s="16" t="str">
        <f>VLOOKUP(K14,참고!$G$3:$L$9,4,FALSE)&amp;",5"</f>
        <v>814016,5</v>
      </c>
      <c r="N14" s="16" t="str">
        <f>VLOOKUP(K14,참고!$G$3:$L$9,5,FALSE)&amp;",5"</f>
        <v>812016,5</v>
      </c>
      <c r="P14" s="16" t="str">
        <f>VLOOKUP(K14,참고!$G$3:$L$9,6,FALSE)&amp;",5"</f>
        <v>817016,5</v>
      </c>
      <c r="U14" s="16">
        <f>VLOOKUP(K14,참고!$G$35:$H$41,2,FALSE)</f>
        <v>6</v>
      </c>
    </row>
    <row r="15" spans="1:21" ht="14.1" customHeight="1" x14ac:dyDescent="0.2">
      <c r="A15" s="4">
        <v>101201</v>
      </c>
      <c r="B15" s="17">
        <v>12</v>
      </c>
      <c r="C15" s="1" t="s">
        <v>78</v>
      </c>
      <c r="D15" s="1" t="s">
        <v>61</v>
      </c>
      <c r="E15" s="1" t="s">
        <v>62</v>
      </c>
      <c r="F15" s="1" t="s">
        <v>62</v>
      </c>
      <c r="I15" s="1" t="s">
        <v>63</v>
      </c>
      <c r="J15" s="16" t="str">
        <f>VLOOKUP(B15,참고!$C$3:$D$102,2,FALSE)&amp;",5"</f>
        <v>1012,5</v>
      </c>
      <c r="K15" s="1" t="s">
        <v>179</v>
      </c>
      <c r="L15" s="16" t="str">
        <f>VLOOKUP(K15,참고!$G$3:$L$9,3,FALSE)&amp;",5"</f>
        <v>808016,5</v>
      </c>
      <c r="M15" s="16" t="str">
        <f>VLOOKUP(K15,참고!$G$3:$L$9,4,FALSE)&amp;",5"</f>
        <v>814016,5</v>
      </c>
      <c r="N15" s="16" t="str">
        <f>VLOOKUP(K15,참고!$G$3:$L$9,5,FALSE)&amp;",5"</f>
        <v>811016,5</v>
      </c>
      <c r="P15" s="16" t="str">
        <f>VLOOKUP(K15,참고!$G$3:$L$9,6,FALSE)&amp;",5"</f>
        <v>817016,5</v>
      </c>
      <c r="U15" s="16">
        <f>VLOOKUP(K15,참고!$G$35:$H$41,2,FALSE)</f>
        <v>5</v>
      </c>
    </row>
    <row r="16" spans="1:21" ht="14.1" customHeight="1" x14ac:dyDescent="0.2">
      <c r="A16" s="4">
        <v>101301</v>
      </c>
      <c r="B16" s="17">
        <v>13</v>
      </c>
      <c r="C16" s="1" t="s">
        <v>79</v>
      </c>
      <c r="D16" s="1" t="s">
        <v>61</v>
      </c>
      <c r="E16" s="1" t="s">
        <v>62</v>
      </c>
      <c r="F16" s="1" t="s">
        <v>62</v>
      </c>
      <c r="I16" s="1" t="s">
        <v>63</v>
      </c>
      <c r="J16" s="16" t="str">
        <f>VLOOKUP(B16,참고!$C$3:$D$102,2,FALSE)&amp;",5"</f>
        <v>1013,5</v>
      </c>
      <c r="K16" s="1" t="s">
        <v>181</v>
      </c>
      <c r="L16" s="16" t="str">
        <f>VLOOKUP(K16,참고!$G$3:$L$9,3,FALSE)&amp;",5"</f>
        <v>809016,5</v>
      </c>
      <c r="M16" s="16" t="str">
        <f>VLOOKUP(K16,참고!$G$3:$L$9,4,FALSE)&amp;",5"</f>
        <v>814016,5</v>
      </c>
      <c r="N16" s="16" t="str">
        <f>VLOOKUP(K16,참고!$G$3:$L$9,5,FALSE)&amp;",5"</f>
        <v>812016,5</v>
      </c>
      <c r="P16" s="16" t="str">
        <f>VLOOKUP(K16,참고!$G$3:$L$9,6,FALSE)&amp;",5"</f>
        <v>817016,5</v>
      </c>
      <c r="U16" s="16">
        <f>VLOOKUP(K16,참고!$G$35:$H$41,2,FALSE)</f>
        <v>6</v>
      </c>
    </row>
    <row r="17" spans="1:21" ht="14.1" customHeight="1" x14ac:dyDescent="0.2">
      <c r="A17" s="4">
        <v>101501</v>
      </c>
      <c r="B17" s="17">
        <v>15</v>
      </c>
      <c r="C17" s="1" t="s">
        <v>81</v>
      </c>
      <c r="D17" s="1" t="s">
        <v>61</v>
      </c>
      <c r="E17" s="1" t="s">
        <v>62</v>
      </c>
      <c r="F17" s="1" t="s">
        <v>62</v>
      </c>
      <c r="I17" s="1" t="s">
        <v>63</v>
      </c>
      <c r="J17" s="16" t="str">
        <f>VLOOKUP(B17,참고!$C$3:$D$102,2,FALSE)&amp;",5"</f>
        <v>1015,5</v>
      </c>
      <c r="K17" s="1" t="s">
        <v>173</v>
      </c>
      <c r="L17" s="16" t="str">
        <f>VLOOKUP(K17,참고!$G$3:$L$9,3,FALSE)&amp;",5"</f>
        <v>807026,5</v>
      </c>
      <c r="M17" s="16" t="str">
        <f>VLOOKUP(K17,참고!$G$3:$L$9,4,FALSE)&amp;",5"</f>
        <v>813026,5</v>
      </c>
      <c r="N17" s="16" t="str">
        <f>VLOOKUP(K17,참고!$G$3:$L$9,5,FALSE)&amp;",5"</f>
        <v>810026,5</v>
      </c>
      <c r="P17" s="16" t="str">
        <f>VLOOKUP(K17,참고!$G$3:$L$9,6,FALSE)&amp;",5"</f>
        <v>817026,5</v>
      </c>
      <c r="U17" s="16">
        <f>VLOOKUP(K17,참고!$G$35:$H$41,2,FALSE)</f>
        <v>1</v>
      </c>
    </row>
    <row r="18" spans="1:21" ht="14.1" customHeight="1" x14ac:dyDescent="0.2">
      <c r="A18" s="4">
        <v>101601</v>
      </c>
      <c r="B18" s="17">
        <v>16</v>
      </c>
      <c r="C18" s="1" t="s">
        <v>82</v>
      </c>
      <c r="D18" s="1" t="s">
        <v>61</v>
      </c>
      <c r="E18" s="1" t="s">
        <v>62</v>
      </c>
      <c r="F18" s="1" t="s">
        <v>62</v>
      </c>
      <c r="I18" s="1" t="s">
        <v>63</v>
      </c>
      <c r="J18" s="16" t="str">
        <f>VLOOKUP(B18,참고!$C$3:$D$102,2,FALSE)&amp;",5"</f>
        <v>1016,5</v>
      </c>
      <c r="K18" s="1" t="s">
        <v>183</v>
      </c>
      <c r="L18" s="16" t="str">
        <f>VLOOKUP(K18,참고!$G$3:$L$9,3,FALSE)&amp;",5"</f>
        <v>809027,5</v>
      </c>
      <c r="M18" s="16" t="str">
        <f>VLOOKUP(K18,참고!$G$3:$L$9,4,FALSE)&amp;",5"</f>
        <v>814027,5</v>
      </c>
      <c r="N18" s="16" t="str">
        <f>VLOOKUP(K18,참고!$G$3:$L$9,5,FALSE)&amp;",5"</f>
        <v>812027,5</v>
      </c>
      <c r="P18" s="16" t="str">
        <f>VLOOKUP(K18,참고!$G$3:$L$9,6,FALSE)&amp;",5"</f>
        <v>817027,5</v>
      </c>
      <c r="U18" s="16">
        <f>VLOOKUP(K18,참고!$G$35:$H$41,2,FALSE)</f>
        <v>7</v>
      </c>
    </row>
    <row r="19" spans="1:21" ht="14.1" customHeight="1" x14ac:dyDescent="0.2">
      <c r="A19" s="4">
        <v>101602</v>
      </c>
      <c r="B19" s="17">
        <v>16</v>
      </c>
      <c r="C19" s="1" t="s">
        <v>82</v>
      </c>
      <c r="D19" s="1" t="s">
        <v>61</v>
      </c>
      <c r="E19" s="1" t="s">
        <v>62</v>
      </c>
      <c r="F19" s="1" t="s">
        <v>62</v>
      </c>
      <c r="G19" s="1" t="s">
        <v>232</v>
      </c>
      <c r="H19" s="22" t="s">
        <v>231</v>
      </c>
      <c r="I19" s="1" t="s">
        <v>63</v>
      </c>
      <c r="J19" s="16" t="str">
        <f>VLOOKUP(B19,참고!$C$3:$D$102,2,FALSE)&amp;",5"</f>
        <v>1016,5</v>
      </c>
      <c r="K19" s="1" t="s">
        <v>183</v>
      </c>
      <c r="L19" s="16" t="str">
        <f>VLOOKUP(K19,참고!$G$3:$L$9,3,FALSE)&amp;",5"</f>
        <v>809027,5</v>
      </c>
      <c r="M19" s="16" t="str">
        <f>VLOOKUP(K19,참고!$G$3:$L$9,4,FALSE)&amp;",5"</f>
        <v>814027,5</v>
      </c>
      <c r="N19" s="16" t="str">
        <f>VLOOKUP(K19,참고!$G$3:$L$9,5,FALSE)&amp;",5"</f>
        <v>812027,5</v>
      </c>
      <c r="P19" s="16" t="str">
        <f>VLOOKUP(K19,참고!$G$3:$L$9,6,FALSE)&amp;",5"</f>
        <v>817027,5</v>
      </c>
      <c r="U19" s="16">
        <f>VLOOKUP(K19,참고!$G$35:$H$41,2,FALSE)</f>
        <v>7</v>
      </c>
    </row>
    <row r="20" spans="1:21" ht="14.1" customHeight="1" x14ac:dyDescent="0.2">
      <c r="A20" s="4">
        <v>101701</v>
      </c>
      <c r="B20" s="17">
        <v>17</v>
      </c>
      <c r="C20" s="1" t="s">
        <v>83</v>
      </c>
      <c r="D20" s="1" t="s">
        <v>61</v>
      </c>
      <c r="E20" s="1" t="s">
        <v>62</v>
      </c>
      <c r="F20" s="1" t="s">
        <v>62</v>
      </c>
      <c r="I20" s="1" t="s">
        <v>63</v>
      </c>
      <c r="J20" s="16" t="str">
        <f>VLOOKUP(B20,참고!$C$3:$D$102,2,FALSE)&amp;",5"</f>
        <v>1017,5</v>
      </c>
      <c r="K20" s="1" t="s">
        <v>177</v>
      </c>
      <c r="L20" s="16" t="str">
        <f>VLOOKUP(K20,참고!$G$3:$L$9,3,FALSE)&amp;",5"</f>
        <v>808016,5</v>
      </c>
      <c r="M20" s="16" t="str">
        <f>VLOOKUP(K20,참고!$G$3:$L$9,4,FALSE)&amp;",5"</f>
        <v>814016,5</v>
      </c>
      <c r="N20" s="16" t="str">
        <f>VLOOKUP(K20,참고!$G$3:$L$9,5,FALSE)&amp;",5"</f>
        <v>811016,5</v>
      </c>
      <c r="P20" s="16" t="str">
        <f>VLOOKUP(K20,참고!$G$3:$L$9,6,FALSE)&amp;",5"</f>
        <v>817016,5</v>
      </c>
      <c r="U20" s="16">
        <f>VLOOKUP(K20,참고!$G$35:$H$41,2,FALSE)</f>
        <v>4</v>
      </c>
    </row>
    <row r="21" spans="1:21" ht="14.1" customHeight="1" x14ac:dyDescent="0.2">
      <c r="A21" s="4">
        <v>101801</v>
      </c>
      <c r="B21" s="17">
        <v>18</v>
      </c>
      <c r="C21" s="1" t="s">
        <v>84</v>
      </c>
      <c r="D21" s="1" t="s">
        <v>61</v>
      </c>
      <c r="E21" s="1" t="s">
        <v>62</v>
      </c>
      <c r="F21" s="1" t="s">
        <v>62</v>
      </c>
      <c r="I21" s="1" t="s">
        <v>63</v>
      </c>
      <c r="J21" s="16" t="str">
        <f>VLOOKUP(B21,참고!$C$3:$D$102,2,FALSE)&amp;",5"</f>
        <v>1018,5</v>
      </c>
      <c r="K21" s="1" t="s">
        <v>175</v>
      </c>
      <c r="L21" s="16" t="str">
        <f>VLOOKUP(K21,참고!$G$3:$L$9,3,FALSE)&amp;",5"</f>
        <v>808016,5</v>
      </c>
      <c r="M21" s="16" t="str">
        <f>VLOOKUP(K21,참고!$G$3:$L$9,4,FALSE)&amp;",5"</f>
        <v>814016,5</v>
      </c>
      <c r="N21" s="16" t="str">
        <f>VLOOKUP(K21,참고!$G$3:$L$9,5,FALSE)&amp;",5"</f>
        <v>811016,5</v>
      </c>
      <c r="P21" s="16" t="str">
        <f>VLOOKUP(K21,참고!$G$3:$L$9,6,FALSE)&amp;",5"</f>
        <v>817016,5</v>
      </c>
      <c r="U21" s="16">
        <f>VLOOKUP(K21,참고!$G$35:$H$41,2,FALSE)</f>
        <v>3</v>
      </c>
    </row>
    <row r="22" spans="1:21" ht="14.1" customHeight="1" x14ac:dyDescent="0.2">
      <c r="A22" s="4">
        <v>101901</v>
      </c>
      <c r="B22" s="17">
        <v>19</v>
      </c>
      <c r="C22" s="1" t="s">
        <v>85</v>
      </c>
      <c r="D22" s="1" t="s">
        <v>61</v>
      </c>
      <c r="E22" s="1" t="s">
        <v>62</v>
      </c>
      <c r="F22" s="1" t="s">
        <v>62</v>
      </c>
      <c r="I22" s="1" t="s">
        <v>63</v>
      </c>
      <c r="J22" s="16" t="str">
        <f>VLOOKUP(B22,참고!$C$3:$D$102,2,FALSE)&amp;",5"</f>
        <v>1019,5</v>
      </c>
      <c r="K22" s="1" t="s">
        <v>181</v>
      </c>
      <c r="L22" s="16" t="str">
        <f>VLOOKUP(K22,참고!$G$3:$L$9,3,FALSE)&amp;",5"</f>
        <v>809016,5</v>
      </c>
      <c r="M22" s="16" t="str">
        <f>VLOOKUP(K22,참고!$G$3:$L$9,4,FALSE)&amp;",5"</f>
        <v>814016,5</v>
      </c>
      <c r="N22" s="16" t="str">
        <f>VLOOKUP(K22,참고!$G$3:$L$9,5,FALSE)&amp;",5"</f>
        <v>812016,5</v>
      </c>
      <c r="P22" s="16" t="str">
        <f>VLOOKUP(K22,참고!$G$3:$L$9,6,FALSE)&amp;",5"</f>
        <v>817016,5</v>
      </c>
      <c r="U22" s="16">
        <f>VLOOKUP(K22,참고!$G$35:$H$41,2,FALSE)</f>
        <v>6</v>
      </c>
    </row>
    <row r="23" spans="1:21" ht="14.1" customHeight="1" x14ac:dyDescent="0.2">
      <c r="A23" s="4">
        <v>102001</v>
      </c>
      <c r="B23" s="17">
        <v>20</v>
      </c>
      <c r="C23" s="1" t="s">
        <v>86</v>
      </c>
      <c r="D23" s="1" t="s">
        <v>61</v>
      </c>
      <c r="E23" s="1" t="s">
        <v>62</v>
      </c>
      <c r="F23" s="1" t="s">
        <v>62</v>
      </c>
      <c r="I23" s="1" t="s">
        <v>63</v>
      </c>
      <c r="J23" s="16" t="str">
        <f>VLOOKUP(B23,참고!$C$3:$D$102,2,FALSE)&amp;",5"</f>
        <v>1020,5</v>
      </c>
      <c r="K23" s="1" t="s">
        <v>173</v>
      </c>
      <c r="L23" s="16" t="str">
        <f>VLOOKUP(K23,참고!$G$3:$L$9,3,FALSE)&amp;",5"</f>
        <v>807026,5</v>
      </c>
      <c r="M23" s="16" t="str">
        <f>VLOOKUP(K23,참고!$G$3:$L$9,4,FALSE)&amp;",5"</f>
        <v>813026,5</v>
      </c>
      <c r="N23" s="16" t="str">
        <f>VLOOKUP(K23,참고!$G$3:$L$9,5,FALSE)&amp;",5"</f>
        <v>810026,5</v>
      </c>
      <c r="P23" s="16" t="str">
        <f>VLOOKUP(K23,참고!$G$3:$L$9,6,FALSE)&amp;",5"</f>
        <v>817026,5</v>
      </c>
      <c r="U23" s="16">
        <f>VLOOKUP(K23,참고!$G$35:$H$41,2,FALSE)</f>
        <v>1</v>
      </c>
    </row>
    <row r="24" spans="1:21" ht="14.1" customHeight="1" x14ac:dyDescent="0.2">
      <c r="A24" s="4">
        <v>102101</v>
      </c>
      <c r="B24" s="17">
        <v>21</v>
      </c>
      <c r="C24" s="1" t="s">
        <v>87</v>
      </c>
      <c r="D24" s="1" t="s">
        <v>61</v>
      </c>
      <c r="E24" s="1" t="s">
        <v>62</v>
      </c>
      <c r="F24" s="1" t="s">
        <v>62</v>
      </c>
      <c r="I24" s="1" t="s">
        <v>63</v>
      </c>
      <c r="J24" s="16" t="str">
        <f>VLOOKUP(B24,참고!$C$3:$D$102,2,FALSE)&amp;",5"</f>
        <v>1021,5</v>
      </c>
      <c r="K24" s="16" t="s">
        <v>171</v>
      </c>
      <c r="L24" s="16" t="str">
        <f>VLOOKUP(K24,참고!$G$3:$L$9,3,FALSE)&amp;",5"</f>
        <v>807016,5</v>
      </c>
      <c r="M24" s="16" t="str">
        <f>VLOOKUP(K24,참고!$G$3:$L$9,4,FALSE)&amp;",5"</f>
        <v>814016,5</v>
      </c>
      <c r="N24" s="16" t="str">
        <f>VLOOKUP(K24,참고!$G$3:$L$9,5,FALSE)&amp;",5"</f>
        <v>810016,5</v>
      </c>
      <c r="P24" s="16" t="str">
        <f>VLOOKUP(K24,참고!$G$3:$L$9,6,FALSE)&amp;",5"</f>
        <v>817016,5</v>
      </c>
      <c r="U24" s="16">
        <f>VLOOKUP(K24,참고!$G$35:$H$41,2,FALSE)</f>
        <v>2</v>
      </c>
    </row>
    <row r="25" spans="1:21" ht="14.1" customHeight="1" x14ac:dyDescent="0.2">
      <c r="A25" s="4">
        <v>102201</v>
      </c>
      <c r="B25" s="17">
        <v>22</v>
      </c>
      <c r="C25" s="1" t="s">
        <v>88</v>
      </c>
      <c r="D25" s="1" t="s">
        <v>61</v>
      </c>
      <c r="E25" s="1" t="s">
        <v>62</v>
      </c>
      <c r="F25" s="1" t="s">
        <v>62</v>
      </c>
      <c r="I25" s="1" t="s">
        <v>63</v>
      </c>
      <c r="J25" s="16" t="str">
        <f>VLOOKUP(B25,참고!$C$3:$D$102,2,FALSE)&amp;",5"</f>
        <v>1022,5</v>
      </c>
      <c r="K25" s="1" t="s">
        <v>179</v>
      </c>
      <c r="L25" s="16" t="str">
        <f>VLOOKUP(K25,참고!$G$3:$L$9,3,FALSE)&amp;",5"</f>
        <v>808016,5</v>
      </c>
      <c r="M25" s="16" t="str">
        <f>VLOOKUP(K25,참고!$G$3:$L$9,4,FALSE)&amp;",5"</f>
        <v>814016,5</v>
      </c>
      <c r="N25" s="16" t="str">
        <f>VLOOKUP(K25,참고!$G$3:$L$9,5,FALSE)&amp;",5"</f>
        <v>811016,5</v>
      </c>
      <c r="P25" s="16" t="str">
        <f>VLOOKUP(K25,참고!$G$3:$L$9,6,FALSE)&amp;",5"</f>
        <v>817016,5</v>
      </c>
      <c r="U25" s="16">
        <f>VLOOKUP(K25,참고!$G$35:$H$41,2,FALSE)</f>
        <v>5</v>
      </c>
    </row>
    <row r="26" spans="1:21" ht="14.1" customHeight="1" x14ac:dyDescent="0.2">
      <c r="A26" s="4">
        <v>102301</v>
      </c>
      <c r="B26" s="17">
        <v>23</v>
      </c>
      <c r="C26" s="1" t="s">
        <v>89</v>
      </c>
      <c r="D26" s="1" t="s">
        <v>61</v>
      </c>
      <c r="E26" s="1" t="s">
        <v>62</v>
      </c>
      <c r="F26" s="1" t="s">
        <v>62</v>
      </c>
      <c r="I26" s="1" t="s">
        <v>63</v>
      </c>
      <c r="J26" s="16" t="str">
        <f>VLOOKUP(B26,참고!$C$3:$D$102,2,FALSE)&amp;",5"</f>
        <v>1023,5</v>
      </c>
      <c r="K26" s="1" t="s">
        <v>173</v>
      </c>
      <c r="L26" s="16" t="str">
        <f>VLOOKUP(K26,참고!$G$3:$L$9,3,FALSE)&amp;",5"</f>
        <v>807026,5</v>
      </c>
      <c r="M26" s="16" t="str">
        <f>VLOOKUP(K26,참고!$G$3:$L$9,4,FALSE)&amp;",5"</f>
        <v>813026,5</v>
      </c>
      <c r="N26" s="16" t="str">
        <f>VLOOKUP(K26,참고!$G$3:$L$9,5,FALSE)&amp;",5"</f>
        <v>810026,5</v>
      </c>
      <c r="P26" s="16" t="str">
        <f>VLOOKUP(K26,참고!$G$3:$L$9,6,FALSE)&amp;",5"</f>
        <v>817026,5</v>
      </c>
      <c r="U26" s="16">
        <f>VLOOKUP(K26,참고!$G$35:$H$41,2,FALSE)</f>
        <v>1</v>
      </c>
    </row>
    <row r="27" spans="1:21" ht="14.1" customHeight="1" x14ac:dyDescent="0.2">
      <c r="A27" s="4">
        <v>102401</v>
      </c>
      <c r="B27" s="17">
        <v>24</v>
      </c>
      <c r="C27" s="1" t="s">
        <v>90</v>
      </c>
      <c r="D27" s="1" t="s">
        <v>61</v>
      </c>
      <c r="E27" s="1" t="s">
        <v>62</v>
      </c>
      <c r="F27" s="1" t="s">
        <v>62</v>
      </c>
      <c r="I27" s="1" t="s">
        <v>63</v>
      </c>
      <c r="J27" s="16" t="str">
        <f>VLOOKUP(B27,참고!$C$3:$D$102,2,FALSE)&amp;",5"</f>
        <v>1024,5</v>
      </c>
      <c r="K27" s="1" t="s">
        <v>183</v>
      </c>
      <c r="L27" s="16" t="str">
        <f>VLOOKUP(K27,참고!$G$3:$L$9,3,FALSE)&amp;",5"</f>
        <v>809027,5</v>
      </c>
      <c r="M27" s="16" t="str">
        <f>VLOOKUP(K27,참고!$G$3:$L$9,4,FALSE)&amp;",5"</f>
        <v>814027,5</v>
      </c>
      <c r="N27" s="16" t="str">
        <f>VLOOKUP(K27,참고!$G$3:$L$9,5,FALSE)&amp;",5"</f>
        <v>812027,5</v>
      </c>
      <c r="P27" s="16" t="str">
        <f>VLOOKUP(K27,참고!$G$3:$L$9,6,FALSE)&amp;",5"</f>
        <v>817027,5</v>
      </c>
      <c r="U27" s="16">
        <f>VLOOKUP(K27,참고!$G$35:$H$41,2,FALSE)</f>
        <v>7</v>
      </c>
    </row>
    <row r="28" spans="1:21" ht="14.1" customHeight="1" x14ac:dyDescent="0.2">
      <c r="A28" s="4">
        <v>102501</v>
      </c>
      <c r="B28" s="17">
        <v>25</v>
      </c>
      <c r="C28" s="1" t="s">
        <v>91</v>
      </c>
      <c r="D28" s="1" t="s">
        <v>61</v>
      </c>
      <c r="E28" s="1" t="s">
        <v>62</v>
      </c>
      <c r="F28" s="1" t="s">
        <v>62</v>
      </c>
      <c r="I28" s="1" t="s">
        <v>63</v>
      </c>
      <c r="J28" s="16" t="str">
        <f>VLOOKUP(B28,참고!$C$3:$D$102,2,FALSE)&amp;",5"</f>
        <v>1025,5</v>
      </c>
      <c r="K28" s="1" t="s">
        <v>173</v>
      </c>
      <c r="L28" s="16" t="str">
        <f>VLOOKUP(K28,참고!$G$3:$L$9,3,FALSE)&amp;",5"</f>
        <v>807026,5</v>
      </c>
      <c r="M28" s="16" t="str">
        <f>VLOOKUP(K28,참고!$G$3:$L$9,4,FALSE)&amp;",5"</f>
        <v>813026,5</v>
      </c>
      <c r="N28" s="16" t="str">
        <f>VLOOKUP(K28,참고!$G$3:$L$9,5,FALSE)&amp;",5"</f>
        <v>810026,5</v>
      </c>
      <c r="P28" s="16" t="str">
        <f>VLOOKUP(K28,참고!$G$3:$L$9,6,FALSE)&amp;",5"</f>
        <v>817026,5</v>
      </c>
      <c r="U28" s="16">
        <f>VLOOKUP(K28,참고!$G$35:$H$41,2,FALSE)</f>
        <v>1</v>
      </c>
    </row>
    <row r="29" spans="1:21" ht="14.1" customHeight="1" x14ac:dyDescent="0.2">
      <c r="A29" s="4">
        <v>102601</v>
      </c>
      <c r="B29" s="17">
        <v>26</v>
      </c>
      <c r="C29" s="1" t="s">
        <v>92</v>
      </c>
      <c r="D29" s="1" t="s">
        <v>61</v>
      </c>
      <c r="E29" s="1" t="s">
        <v>62</v>
      </c>
      <c r="F29" s="1" t="s">
        <v>62</v>
      </c>
      <c r="I29" s="1" t="s">
        <v>63</v>
      </c>
      <c r="J29" s="16" t="str">
        <f>VLOOKUP(B29,참고!$C$3:$D$102,2,FALSE)&amp;",5"</f>
        <v>1026,5</v>
      </c>
      <c r="K29" s="1" t="s">
        <v>181</v>
      </c>
      <c r="L29" s="16" t="str">
        <f>VLOOKUP(K29,참고!$G$3:$L$9,3,FALSE)&amp;",5"</f>
        <v>809016,5</v>
      </c>
      <c r="M29" s="16" t="str">
        <f>VLOOKUP(K29,참고!$G$3:$L$9,4,FALSE)&amp;",5"</f>
        <v>814016,5</v>
      </c>
      <c r="N29" s="16" t="str">
        <f>VLOOKUP(K29,참고!$G$3:$L$9,5,FALSE)&amp;",5"</f>
        <v>812016,5</v>
      </c>
      <c r="P29" s="16" t="str">
        <f>VLOOKUP(K29,참고!$G$3:$L$9,6,FALSE)&amp;",5"</f>
        <v>817016,5</v>
      </c>
      <c r="U29" s="16">
        <f>VLOOKUP(K29,참고!$G$35:$H$41,2,FALSE)</f>
        <v>6</v>
      </c>
    </row>
    <row r="30" spans="1:21" ht="14.1" customHeight="1" x14ac:dyDescent="0.2">
      <c r="A30" s="4">
        <v>102602</v>
      </c>
      <c r="B30" s="17">
        <v>26</v>
      </c>
      <c r="C30" s="1" t="s">
        <v>92</v>
      </c>
      <c r="D30" s="1" t="s">
        <v>61</v>
      </c>
      <c r="E30" s="1" t="s">
        <v>62</v>
      </c>
      <c r="F30" s="1" t="s">
        <v>62</v>
      </c>
      <c r="G30" s="1" t="s">
        <v>224</v>
      </c>
      <c r="H30" s="22" t="s">
        <v>223</v>
      </c>
      <c r="I30" s="1" t="s">
        <v>63</v>
      </c>
      <c r="J30" s="16" t="str">
        <f>VLOOKUP(B30,참고!$C$3:$D$102,2,FALSE)&amp;",5"</f>
        <v>1026,5</v>
      </c>
      <c r="K30" s="1" t="s">
        <v>181</v>
      </c>
      <c r="L30" s="16" t="str">
        <f>VLOOKUP(K30,참고!$G$3:$L$9,3,FALSE)&amp;",5"</f>
        <v>809016,5</v>
      </c>
      <c r="M30" s="16" t="str">
        <f>VLOOKUP(K30,참고!$G$3:$L$9,4,FALSE)&amp;",5"</f>
        <v>814016,5</v>
      </c>
      <c r="N30" s="16" t="str">
        <f>VLOOKUP(K30,참고!$G$3:$L$9,5,FALSE)&amp;",5"</f>
        <v>812016,5</v>
      </c>
      <c r="P30" s="16" t="str">
        <f>VLOOKUP(K30,참고!$G$3:$L$9,6,FALSE)&amp;",5"</f>
        <v>817016,5</v>
      </c>
      <c r="U30" s="16">
        <f>VLOOKUP(K30,참고!$G$35:$H$41,2,FALSE)</f>
        <v>6</v>
      </c>
    </row>
    <row r="31" spans="1:21" ht="14.1" customHeight="1" x14ac:dyDescent="0.2">
      <c r="A31" s="4">
        <v>102701</v>
      </c>
      <c r="B31" s="17">
        <v>27</v>
      </c>
      <c r="C31" s="1" t="s">
        <v>93</v>
      </c>
      <c r="D31" s="1" t="s">
        <v>61</v>
      </c>
      <c r="E31" s="1" t="s">
        <v>62</v>
      </c>
      <c r="F31" s="1" t="s">
        <v>62</v>
      </c>
      <c r="I31" s="1" t="s">
        <v>63</v>
      </c>
      <c r="J31" s="16" t="str">
        <f>VLOOKUP(B31,참고!$C$3:$D$102,2,FALSE)&amp;",5"</f>
        <v>1027,5</v>
      </c>
      <c r="K31" s="1" t="s">
        <v>183</v>
      </c>
      <c r="L31" s="16" t="str">
        <f>VLOOKUP(K31,참고!$G$3:$L$9,3,FALSE)&amp;",5"</f>
        <v>809027,5</v>
      </c>
      <c r="M31" s="16" t="str">
        <f>VLOOKUP(K31,참고!$G$3:$L$9,4,FALSE)&amp;",5"</f>
        <v>814027,5</v>
      </c>
      <c r="N31" s="16" t="str">
        <f>VLOOKUP(K31,참고!$G$3:$L$9,5,FALSE)&amp;",5"</f>
        <v>812027,5</v>
      </c>
      <c r="P31" s="16" t="str">
        <f>VLOOKUP(K31,참고!$G$3:$L$9,6,FALSE)&amp;",5"</f>
        <v>817027,5</v>
      </c>
      <c r="U31" s="16">
        <f>VLOOKUP(K31,참고!$G$35:$H$41,2,FALSE)</f>
        <v>7</v>
      </c>
    </row>
    <row r="32" spans="1:21" ht="14.1" customHeight="1" x14ac:dyDescent="0.2">
      <c r="A32" s="4">
        <v>102801</v>
      </c>
      <c r="B32" s="17">
        <v>28</v>
      </c>
      <c r="C32" s="1" t="s">
        <v>94</v>
      </c>
      <c r="D32" s="1" t="s">
        <v>61</v>
      </c>
      <c r="E32" s="1" t="s">
        <v>62</v>
      </c>
      <c r="F32" s="1" t="s">
        <v>62</v>
      </c>
      <c r="I32" s="1" t="s">
        <v>63</v>
      </c>
      <c r="J32" s="16" t="str">
        <f>VLOOKUP(B32,참고!$C$3:$D$102,2,FALSE)&amp;",5"</f>
        <v>1028,5</v>
      </c>
      <c r="K32" s="1" t="s">
        <v>175</v>
      </c>
      <c r="L32" s="16" t="str">
        <f>VLOOKUP(K32,참고!$G$3:$L$9,3,FALSE)&amp;",5"</f>
        <v>808016,5</v>
      </c>
      <c r="M32" s="16" t="str">
        <f>VLOOKUP(K32,참고!$G$3:$L$9,4,FALSE)&amp;",5"</f>
        <v>814016,5</v>
      </c>
      <c r="N32" s="16" t="str">
        <f>VLOOKUP(K32,참고!$G$3:$L$9,5,FALSE)&amp;",5"</f>
        <v>811016,5</v>
      </c>
      <c r="P32" s="16" t="str">
        <f>VLOOKUP(K32,참고!$G$3:$L$9,6,FALSE)&amp;",5"</f>
        <v>817016,5</v>
      </c>
      <c r="U32" s="16">
        <f>VLOOKUP(K32,참고!$G$35:$H$41,2,FALSE)</f>
        <v>3</v>
      </c>
    </row>
    <row r="33" spans="1:21" ht="14.1" customHeight="1" x14ac:dyDescent="0.2">
      <c r="A33" s="4">
        <v>102901</v>
      </c>
      <c r="B33" s="17">
        <v>29</v>
      </c>
      <c r="C33" s="1" t="s">
        <v>95</v>
      </c>
      <c r="D33" s="1" t="s">
        <v>61</v>
      </c>
      <c r="E33" s="1" t="s">
        <v>62</v>
      </c>
      <c r="F33" s="1" t="s">
        <v>62</v>
      </c>
      <c r="I33" s="1" t="s">
        <v>63</v>
      </c>
      <c r="J33" s="16" t="str">
        <f>VLOOKUP(B33,참고!$C$3:$D$102,2,FALSE)&amp;",5"</f>
        <v>1029,5</v>
      </c>
      <c r="K33" s="1" t="s">
        <v>177</v>
      </c>
      <c r="L33" s="16" t="str">
        <f>VLOOKUP(K33,참고!$G$3:$L$9,3,FALSE)&amp;",5"</f>
        <v>808016,5</v>
      </c>
      <c r="M33" s="16" t="str">
        <f>VLOOKUP(K33,참고!$G$3:$L$9,4,FALSE)&amp;",5"</f>
        <v>814016,5</v>
      </c>
      <c r="N33" s="16" t="str">
        <f>VLOOKUP(K33,참고!$G$3:$L$9,5,FALSE)&amp;",5"</f>
        <v>811016,5</v>
      </c>
      <c r="P33" s="16" t="str">
        <f>VLOOKUP(K33,참고!$G$3:$L$9,6,FALSE)&amp;",5"</f>
        <v>817016,5</v>
      </c>
      <c r="U33" s="16">
        <f>VLOOKUP(K33,참고!$G$35:$H$41,2,FALSE)</f>
        <v>4</v>
      </c>
    </row>
    <row r="34" spans="1:21" ht="14.1" customHeight="1" x14ac:dyDescent="0.2">
      <c r="A34" s="4">
        <v>103001</v>
      </c>
      <c r="B34" s="17">
        <v>30</v>
      </c>
      <c r="C34" s="1" t="s">
        <v>96</v>
      </c>
      <c r="D34" s="1" t="s">
        <v>61</v>
      </c>
      <c r="E34" s="1" t="s">
        <v>62</v>
      </c>
      <c r="F34" s="1" t="s">
        <v>62</v>
      </c>
      <c r="I34" s="1" t="s">
        <v>63</v>
      </c>
      <c r="J34" s="16" t="str">
        <f>VLOOKUP(B34,참고!$C$3:$D$102,2,FALSE)&amp;",5"</f>
        <v>1030,5</v>
      </c>
      <c r="K34" s="1" t="s">
        <v>183</v>
      </c>
      <c r="L34" s="16" t="str">
        <f>VLOOKUP(K34,참고!$G$3:$L$9,3,FALSE)&amp;",5"</f>
        <v>809027,5</v>
      </c>
      <c r="M34" s="16" t="str">
        <f>VLOOKUP(K34,참고!$G$3:$L$9,4,FALSE)&amp;",5"</f>
        <v>814027,5</v>
      </c>
      <c r="N34" s="16" t="str">
        <f>VLOOKUP(K34,참고!$G$3:$L$9,5,FALSE)&amp;",5"</f>
        <v>812027,5</v>
      </c>
      <c r="P34" s="16" t="str">
        <f>VLOOKUP(K34,참고!$G$3:$L$9,6,FALSE)&amp;",5"</f>
        <v>817027,5</v>
      </c>
      <c r="U34" s="16">
        <f>VLOOKUP(K34,참고!$G$35:$H$41,2,FALSE)</f>
        <v>7</v>
      </c>
    </row>
    <row r="35" spans="1:21" ht="14.1" customHeight="1" x14ac:dyDescent="0.2">
      <c r="A35" s="4">
        <v>103101</v>
      </c>
      <c r="B35" s="17">
        <v>31</v>
      </c>
      <c r="C35" s="1" t="s">
        <v>97</v>
      </c>
      <c r="D35" s="1" t="s">
        <v>61</v>
      </c>
      <c r="E35" s="1" t="s">
        <v>62</v>
      </c>
      <c r="F35" s="1" t="s">
        <v>62</v>
      </c>
      <c r="I35" s="1" t="s">
        <v>63</v>
      </c>
      <c r="J35" s="16" t="str">
        <f>VLOOKUP(B35,참고!$C$3:$D$102,2,FALSE)&amp;",5"</f>
        <v>1031,5</v>
      </c>
      <c r="K35" s="1" t="s">
        <v>177</v>
      </c>
      <c r="L35" s="16" t="str">
        <f>VLOOKUP(K35,참고!$G$3:$L$9,3,FALSE)&amp;",5"</f>
        <v>808016,5</v>
      </c>
      <c r="M35" s="16" t="str">
        <f>VLOOKUP(K35,참고!$G$3:$L$9,4,FALSE)&amp;",5"</f>
        <v>814016,5</v>
      </c>
      <c r="N35" s="16" t="str">
        <f>VLOOKUP(K35,참고!$G$3:$L$9,5,FALSE)&amp;",5"</f>
        <v>811016,5</v>
      </c>
      <c r="P35" s="16" t="str">
        <f>VLOOKUP(K35,참고!$G$3:$L$9,6,FALSE)&amp;",5"</f>
        <v>817016,5</v>
      </c>
      <c r="U35" s="16">
        <f>VLOOKUP(K35,참고!$G$35:$H$41,2,FALSE)</f>
        <v>4</v>
      </c>
    </row>
    <row r="36" spans="1:21" ht="14.1" customHeight="1" x14ac:dyDescent="0.2">
      <c r="A36" s="4">
        <v>103201</v>
      </c>
      <c r="B36" s="17">
        <v>32</v>
      </c>
      <c r="C36" s="1" t="s">
        <v>98</v>
      </c>
      <c r="D36" s="1" t="s">
        <v>61</v>
      </c>
      <c r="E36" s="1" t="s">
        <v>62</v>
      </c>
      <c r="F36" s="1" t="s">
        <v>62</v>
      </c>
      <c r="I36" s="1" t="s">
        <v>63</v>
      </c>
      <c r="J36" s="16" t="str">
        <f>VLOOKUP(B36,참고!$C$3:$D$102,2,FALSE)&amp;",5"</f>
        <v>1032,5</v>
      </c>
      <c r="K36" s="1" t="s">
        <v>181</v>
      </c>
      <c r="L36" s="16" t="str">
        <f>VLOOKUP(K36,참고!$G$3:$L$9,3,FALSE)&amp;",5"</f>
        <v>809016,5</v>
      </c>
      <c r="M36" s="16" t="str">
        <f>VLOOKUP(K36,참고!$G$3:$L$9,4,FALSE)&amp;",5"</f>
        <v>814016,5</v>
      </c>
      <c r="N36" s="16" t="str">
        <f>VLOOKUP(K36,참고!$G$3:$L$9,5,FALSE)&amp;",5"</f>
        <v>812016,5</v>
      </c>
      <c r="P36" s="16" t="str">
        <f>VLOOKUP(K36,참고!$G$3:$L$9,6,FALSE)&amp;",5"</f>
        <v>817016,5</v>
      </c>
      <c r="U36" s="16">
        <f>VLOOKUP(K36,참고!$G$35:$H$41,2,FALSE)</f>
        <v>6</v>
      </c>
    </row>
    <row r="37" spans="1:21" ht="14.1" customHeight="1" x14ac:dyDescent="0.2">
      <c r="A37" s="4">
        <v>103301</v>
      </c>
      <c r="B37" s="17">
        <v>33</v>
      </c>
      <c r="C37" s="1" t="s">
        <v>99</v>
      </c>
      <c r="D37" s="1" t="s">
        <v>61</v>
      </c>
      <c r="E37" s="1" t="s">
        <v>62</v>
      </c>
      <c r="F37" s="1" t="s">
        <v>62</v>
      </c>
      <c r="I37" s="1" t="s">
        <v>63</v>
      </c>
      <c r="J37" s="16" t="str">
        <f>VLOOKUP(B37,참고!$C$3:$D$102,2,FALSE)&amp;",5"</f>
        <v>1033,5</v>
      </c>
      <c r="K37" s="1" t="s">
        <v>181</v>
      </c>
      <c r="L37" s="16" t="str">
        <f>VLOOKUP(K37,참고!$G$3:$L$9,3,FALSE)&amp;",5"</f>
        <v>809016,5</v>
      </c>
      <c r="M37" s="16" t="str">
        <f>VLOOKUP(K37,참고!$G$3:$L$9,4,FALSE)&amp;",5"</f>
        <v>814016,5</v>
      </c>
      <c r="N37" s="16" t="str">
        <f>VLOOKUP(K37,참고!$G$3:$L$9,5,FALSE)&amp;",5"</f>
        <v>812016,5</v>
      </c>
      <c r="P37" s="16" t="str">
        <f>VLOOKUP(K37,참고!$G$3:$L$9,6,FALSE)&amp;",5"</f>
        <v>817016,5</v>
      </c>
      <c r="U37" s="16">
        <f>VLOOKUP(K37,참고!$G$35:$H$41,2,FALSE)</f>
        <v>6</v>
      </c>
    </row>
    <row r="38" spans="1:21" ht="14.1" customHeight="1" x14ac:dyDescent="0.2">
      <c r="A38" s="4">
        <v>103302</v>
      </c>
      <c r="B38" s="17">
        <v>33</v>
      </c>
      <c r="C38" s="1" t="s">
        <v>99</v>
      </c>
      <c r="D38" s="1" t="s">
        <v>61</v>
      </c>
      <c r="E38" s="1" t="s">
        <v>62</v>
      </c>
      <c r="F38" s="1" t="s">
        <v>62</v>
      </c>
      <c r="G38" s="1" t="s">
        <v>214</v>
      </c>
      <c r="H38" s="22" t="s">
        <v>215</v>
      </c>
      <c r="I38" s="1" t="s">
        <v>63</v>
      </c>
      <c r="J38" s="16" t="str">
        <f>VLOOKUP(B38,참고!$C$3:$D$102,2,FALSE)&amp;",5"</f>
        <v>1033,5</v>
      </c>
      <c r="K38" s="1" t="s">
        <v>181</v>
      </c>
      <c r="L38" s="16" t="str">
        <f>VLOOKUP(K38,참고!$G$3:$L$9,3,FALSE)&amp;",5"</f>
        <v>809016,5</v>
      </c>
      <c r="M38" s="16" t="str">
        <f>VLOOKUP(K38,참고!$G$3:$L$9,4,FALSE)&amp;",5"</f>
        <v>814016,5</v>
      </c>
      <c r="N38" s="16" t="str">
        <f>VLOOKUP(K38,참고!$G$3:$L$9,5,FALSE)&amp;",5"</f>
        <v>812016,5</v>
      </c>
      <c r="P38" s="16" t="str">
        <f>VLOOKUP(K38,참고!$G$3:$L$9,6,FALSE)&amp;",5"</f>
        <v>817016,5</v>
      </c>
      <c r="U38" s="16">
        <f>VLOOKUP(K38,참고!$G$35:$H$41,2,FALSE)</f>
        <v>6</v>
      </c>
    </row>
    <row r="39" spans="1:21" ht="14.1" customHeight="1" x14ac:dyDescent="0.2">
      <c r="A39" s="4">
        <v>103401</v>
      </c>
      <c r="B39" s="17">
        <v>34</v>
      </c>
      <c r="C39" s="1" t="s">
        <v>100</v>
      </c>
      <c r="D39" s="1" t="s">
        <v>61</v>
      </c>
      <c r="E39" s="1" t="s">
        <v>62</v>
      </c>
      <c r="F39" s="1" t="s">
        <v>62</v>
      </c>
      <c r="I39" s="1" t="s">
        <v>63</v>
      </c>
      <c r="J39" s="16" t="str">
        <f>VLOOKUP(B39,참고!$C$3:$D$102,2,FALSE)&amp;",5"</f>
        <v>1034,5</v>
      </c>
      <c r="K39" s="1" t="s">
        <v>179</v>
      </c>
      <c r="L39" s="16" t="str">
        <f>VLOOKUP(K39,참고!$G$3:$L$9,3,FALSE)&amp;",5"</f>
        <v>808016,5</v>
      </c>
      <c r="M39" s="16" t="str">
        <f>VLOOKUP(K39,참고!$G$3:$L$9,4,FALSE)&amp;",5"</f>
        <v>814016,5</v>
      </c>
      <c r="N39" s="16" t="str">
        <f>VLOOKUP(K39,참고!$G$3:$L$9,5,FALSE)&amp;",5"</f>
        <v>811016,5</v>
      </c>
      <c r="P39" s="16" t="str">
        <f>VLOOKUP(K39,참고!$G$3:$L$9,6,FALSE)&amp;",5"</f>
        <v>817016,5</v>
      </c>
      <c r="U39" s="16">
        <f>VLOOKUP(K39,참고!$G$35:$H$41,2,FALSE)</f>
        <v>5</v>
      </c>
    </row>
    <row r="40" spans="1:21" ht="14.1" customHeight="1" x14ac:dyDescent="0.2">
      <c r="A40" s="4">
        <v>103501</v>
      </c>
      <c r="B40" s="17">
        <v>35</v>
      </c>
      <c r="C40" s="1" t="s">
        <v>101</v>
      </c>
      <c r="D40" s="1" t="s">
        <v>61</v>
      </c>
      <c r="E40" s="1" t="s">
        <v>62</v>
      </c>
      <c r="F40" s="1" t="s">
        <v>62</v>
      </c>
      <c r="I40" s="1" t="s">
        <v>63</v>
      </c>
      <c r="J40" s="16" t="str">
        <f>VLOOKUP(B40,참고!$C$3:$D$102,2,FALSE)&amp;",5"</f>
        <v>1035,5</v>
      </c>
      <c r="K40" s="1" t="s">
        <v>179</v>
      </c>
      <c r="L40" s="16" t="str">
        <f>VLOOKUP(K40,참고!$G$3:$L$9,3,FALSE)&amp;",5"</f>
        <v>808016,5</v>
      </c>
      <c r="M40" s="16" t="str">
        <f>VLOOKUP(K40,참고!$G$3:$L$9,4,FALSE)&amp;",5"</f>
        <v>814016,5</v>
      </c>
      <c r="N40" s="16" t="str">
        <f>VLOOKUP(K40,참고!$G$3:$L$9,5,FALSE)&amp;",5"</f>
        <v>811016,5</v>
      </c>
      <c r="P40" s="16" t="str">
        <f>VLOOKUP(K40,참고!$G$3:$L$9,6,FALSE)&amp;",5"</f>
        <v>817016,5</v>
      </c>
      <c r="U40" s="16">
        <f>VLOOKUP(K40,참고!$G$35:$H$41,2,FALSE)</f>
        <v>5</v>
      </c>
    </row>
    <row r="41" spans="1:21" ht="14.1" customHeight="1" x14ac:dyDescent="0.2">
      <c r="A41" s="4">
        <v>103502</v>
      </c>
      <c r="B41" s="17">
        <v>35</v>
      </c>
      <c r="C41" s="1" t="s">
        <v>101</v>
      </c>
      <c r="D41" s="1" t="s">
        <v>61</v>
      </c>
      <c r="E41" s="1" t="s">
        <v>62</v>
      </c>
      <c r="F41" s="1" t="s">
        <v>62</v>
      </c>
      <c r="G41" s="1" t="s">
        <v>230</v>
      </c>
      <c r="H41" s="22" t="s">
        <v>229</v>
      </c>
      <c r="I41" s="1" t="s">
        <v>63</v>
      </c>
      <c r="J41" s="16" t="str">
        <f>VLOOKUP(B41,참고!$C$3:$D$102,2,FALSE)&amp;",5"</f>
        <v>1035,5</v>
      </c>
      <c r="K41" s="1" t="s">
        <v>179</v>
      </c>
      <c r="L41" s="16" t="str">
        <f>VLOOKUP(K41,참고!$G$3:$L$9,3,FALSE)&amp;",5"</f>
        <v>808016,5</v>
      </c>
      <c r="M41" s="16" t="str">
        <f>VLOOKUP(K41,참고!$G$3:$L$9,4,FALSE)&amp;",5"</f>
        <v>814016,5</v>
      </c>
      <c r="N41" s="16" t="str">
        <f>VLOOKUP(K41,참고!$G$3:$L$9,5,FALSE)&amp;",5"</f>
        <v>811016,5</v>
      </c>
      <c r="P41" s="16" t="str">
        <f>VLOOKUP(K41,참고!$G$3:$L$9,6,FALSE)&amp;",5"</f>
        <v>817016,5</v>
      </c>
      <c r="U41" s="16">
        <f>VLOOKUP(K41,참고!$G$35:$H$41,2,FALSE)</f>
        <v>5</v>
      </c>
    </row>
    <row r="42" spans="1:21" ht="14.1" customHeight="1" x14ac:dyDescent="0.2">
      <c r="A42" s="4">
        <v>103601</v>
      </c>
      <c r="B42" s="17">
        <v>36</v>
      </c>
      <c r="C42" s="1" t="s">
        <v>102</v>
      </c>
      <c r="D42" s="1" t="s">
        <v>61</v>
      </c>
      <c r="E42" s="1" t="s">
        <v>62</v>
      </c>
      <c r="F42" s="1" t="s">
        <v>62</v>
      </c>
      <c r="I42" s="1" t="s">
        <v>63</v>
      </c>
      <c r="J42" s="16" t="str">
        <f>VLOOKUP(B42,참고!$C$3:$D$102,2,FALSE)&amp;",5"</f>
        <v>1036,5</v>
      </c>
      <c r="K42" s="1" t="s">
        <v>173</v>
      </c>
      <c r="L42" s="16" t="str">
        <f>VLOOKUP(K42,참고!$G$3:$L$9,3,FALSE)&amp;",5"</f>
        <v>807026,5</v>
      </c>
      <c r="M42" s="16" t="str">
        <f>VLOOKUP(K42,참고!$G$3:$L$9,4,FALSE)&amp;",5"</f>
        <v>813026,5</v>
      </c>
      <c r="N42" s="16" t="str">
        <f>VLOOKUP(K42,참고!$G$3:$L$9,5,FALSE)&amp;",5"</f>
        <v>810026,5</v>
      </c>
      <c r="P42" s="16" t="str">
        <f>VLOOKUP(K42,참고!$G$3:$L$9,6,FALSE)&amp;",5"</f>
        <v>817026,5</v>
      </c>
      <c r="U42" s="16">
        <f>VLOOKUP(K42,참고!$G$35:$H$41,2,FALSE)</f>
        <v>1</v>
      </c>
    </row>
    <row r="43" spans="1:21" ht="14.1" customHeight="1" x14ac:dyDescent="0.2">
      <c r="A43" s="4">
        <v>103602</v>
      </c>
      <c r="B43" s="17">
        <v>36</v>
      </c>
      <c r="C43" s="1" t="s">
        <v>102</v>
      </c>
      <c r="D43" s="1" t="s">
        <v>61</v>
      </c>
      <c r="E43" s="1" t="s">
        <v>62</v>
      </c>
      <c r="F43" s="1" t="s">
        <v>62</v>
      </c>
      <c r="G43" s="1" t="s">
        <v>213</v>
      </c>
      <c r="H43" s="22" t="s">
        <v>216</v>
      </c>
      <c r="I43" s="1" t="s">
        <v>63</v>
      </c>
      <c r="J43" s="16" t="str">
        <f>VLOOKUP(B43,참고!$C$3:$D$102,2,FALSE)&amp;",5"</f>
        <v>1036,5</v>
      </c>
      <c r="K43" s="1" t="s">
        <v>173</v>
      </c>
      <c r="L43" s="16" t="str">
        <f>VLOOKUP(K43,참고!$G$3:$L$9,3,FALSE)&amp;",5"</f>
        <v>807026,5</v>
      </c>
      <c r="M43" s="16" t="str">
        <f>VLOOKUP(K43,참고!$G$3:$L$9,4,FALSE)&amp;",5"</f>
        <v>813026,5</v>
      </c>
      <c r="N43" s="16" t="str">
        <f>VLOOKUP(K43,참고!$G$3:$L$9,5,FALSE)&amp;",5"</f>
        <v>810026,5</v>
      </c>
      <c r="P43" s="16" t="str">
        <f>VLOOKUP(K43,참고!$G$3:$L$9,6,FALSE)&amp;",5"</f>
        <v>817026,5</v>
      </c>
      <c r="U43" s="16">
        <f>VLOOKUP(K43,참고!$G$35:$H$41,2,FALSE)</f>
        <v>1</v>
      </c>
    </row>
    <row r="44" spans="1:21" ht="14.1" customHeight="1" x14ac:dyDescent="0.2">
      <c r="A44" s="4">
        <v>103603</v>
      </c>
      <c r="B44" s="17">
        <v>36</v>
      </c>
      <c r="C44" s="1" t="s">
        <v>102</v>
      </c>
      <c r="D44" s="1" t="s">
        <v>61</v>
      </c>
      <c r="E44" s="1" t="s">
        <v>62</v>
      </c>
      <c r="F44" s="1" t="s">
        <v>62</v>
      </c>
      <c r="G44" s="1" t="s">
        <v>226</v>
      </c>
      <c r="H44" s="22" t="s">
        <v>225</v>
      </c>
      <c r="I44" s="1" t="s">
        <v>63</v>
      </c>
      <c r="J44" s="16" t="str">
        <f>VLOOKUP(B44,참고!$C$3:$D$102,2,FALSE)&amp;",5"</f>
        <v>1036,5</v>
      </c>
      <c r="K44" s="1" t="s">
        <v>173</v>
      </c>
      <c r="L44" s="16" t="str">
        <f>VLOOKUP(K44,참고!$G$3:$L$9,3,FALSE)&amp;",5"</f>
        <v>807026,5</v>
      </c>
      <c r="M44" s="16" t="str">
        <f>VLOOKUP(K44,참고!$G$3:$L$9,4,FALSE)&amp;",5"</f>
        <v>813026,5</v>
      </c>
      <c r="N44" s="16" t="str">
        <f>VLOOKUP(K44,참고!$G$3:$L$9,5,FALSE)&amp;",5"</f>
        <v>810026,5</v>
      </c>
      <c r="P44" s="16" t="str">
        <f>VLOOKUP(K44,참고!$G$3:$L$9,6,FALSE)&amp;",5"</f>
        <v>817026,5</v>
      </c>
      <c r="U44" s="16">
        <f>VLOOKUP(K44,참고!$G$35:$H$41,2,FALSE)</f>
        <v>1</v>
      </c>
    </row>
    <row r="45" spans="1:21" ht="14.1" customHeight="1" x14ac:dyDescent="0.2">
      <c r="A45" s="4">
        <v>103701</v>
      </c>
      <c r="B45" s="17">
        <v>37</v>
      </c>
      <c r="C45" s="1" t="s">
        <v>103</v>
      </c>
      <c r="D45" s="1" t="s">
        <v>61</v>
      </c>
      <c r="E45" s="1" t="s">
        <v>62</v>
      </c>
      <c r="F45" s="1" t="s">
        <v>62</v>
      </c>
      <c r="I45" s="1" t="s">
        <v>63</v>
      </c>
      <c r="J45" s="16" t="str">
        <f>VLOOKUP(B45,참고!$C$3:$D$102,2,FALSE)&amp;",5"</f>
        <v>1037,5</v>
      </c>
      <c r="K45" s="1" t="s">
        <v>175</v>
      </c>
      <c r="L45" s="16" t="str">
        <f>VLOOKUP(K45,참고!$G$3:$L$9,3,FALSE)&amp;",5"</f>
        <v>808016,5</v>
      </c>
      <c r="M45" s="16" t="str">
        <f>VLOOKUP(K45,참고!$G$3:$L$9,4,FALSE)&amp;",5"</f>
        <v>814016,5</v>
      </c>
      <c r="N45" s="16" t="str">
        <f>VLOOKUP(K45,참고!$G$3:$L$9,5,FALSE)&amp;",5"</f>
        <v>811016,5</v>
      </c>
      <c r="P45" s="16" t="str">
        <f>VLOOKUP(K45,참고!$G$3:$L$9,6,FALSE)&amp;",5"</f>
        <v>817016,5</v>
      </c>
      <c r="U45" s="16">
        <f>VLOOKUP(K45,참고!$G$35:$H$41,2,FALSE)</f>
        <v>3</v>
      </c>
    </row>
    <row r="46" spans="1:21" ht="14.1" customHeight="1" x14ac:dyDescent="0.2">
      <c r="A46" s="4">
        <v>103801</v>
      </c>
      <c r="B46" s="17">
        <v>38</v>
      </c>
      <c r="C46" s="1" t="s">
        <v>104</v>
      </c>
      <c r="D46" s="1" t="s">
        <v>61</v>
      </c>
      <c r="E46" s="1" t="s">
        <v>62</v>
      </c>
      <c r="F46" s="1" t="s">
        <v>62</v>
      </c>
      <c r="I46" s="1" t="s">
        <v>63</v>
      </c>
      <c r="J46" s="16" t="str">
        <f>VLOOKUP(B46,참고!$C$3:$D$102,2,FALSE)&amp;",5"</f>
        <v>1038,5</v>
      </c>
      <c r="K46" s="1" t="s">
        <v>175</v>
      </c>
      <c r="L46" s="16" t="str">
        <f>VLOOKUP(K46,참고!$G$3:$L$9,3,FALSE)&amp;",5"</f>
        <v>808016,5</v>
      </c>
      <c r="M46" s="16" t="str">
        <f>VLOOKUP(K46,참고!$G$3:$L$9,4,FALSE)&amp;",5"</f>
        <v>814016,5</v>
      </c>
      <c r="N46" s="16" t="str">
        <f>VLOOKUP(K46,참고!$G$3:$L$9,5,FALSE)&amp;",5"</f>
        <v>811016,5</v>
      </c>
      <c r="P46" s="16" t="str">
        <f>VLOOKUP(K46,참고!$G$3:$L$9,6,FALSE)&amp;",5"</f>
        <v>817016,5</v>
      </c>
      <c r="U46" s="16">
        <f>VLOOKUP(K46,참고!$G$35:$H$41,2,FALSE)</f>
        <v>3</v>
      </c>
    </row>
    <row r="47" spans="1:21" ht="14.1" customHeight="1" x14ac:dyDescent="0.2">
      <c r="A47" s="4">
        <v>103901</v>
      </c>
      <c r="B47" s="17">
        <v>39</v>
      </c>
      <c r="C47" s="1" t="s">
        <v>105</v>
      </c>
      <c r="D47" s="1" t="s">
        <v>61</v>
      </c>
      <c r="E47" s="1" t="s">
        <v>62</v>
      </c>
      <c r="F47" s="1" t="s">
        <v>62</v>
      </c>
      <c r="I47" s="1" t="s">
        <v>63</v>
      </c>
      <c r="J47" s="16" t="str">
        <f>VLOOKUP(B47,참고!$C$3:$D$102,2,FALSE)&amp;",5"</f>
        <v>1039,5</v>
      </c>
      <c r="K47" s="1" t="s">
        <v>183</v>
      </c>
      <c r="L47" s="16" t="str">
        <f>VLOOKUP(K47,참고!$G$3:$L$9,3,FALSE)&amp;",5"</f>
        <v>809027,5</v>
      </c>
      <c r="M47" s="16" t="str">
        <f>VLOOKUP(K47,참고!$G$3:$L$9,4,FALSE)&amp;",5"</f>
        <v>814027,5</v>
      </c>
      <c r="N47" s="16" t="str">
        <f>VLOOKUP(K47,참고!$G$3:$L$9,5,FALSE)&amp;",5"</f>
        <v>812027,5</v>
      </c>
      <c r="P47" s="16" t="str">
        <f>VLOOKUP(K47,참고!$G$3:$L$9,6,FALSE)&amp;",5"</f>
        <v>817027,5</v>
      </c>
      <c r="U47" s="16">
        <f>VLOOKUP(K47,참고!$G$35:$H$41,2,FALSE)</f>
        <v>7</v>
      </c>
    </row>
    <row r="48" spans="1:21" ht="14.1" customHeight="1" x14ac:dyDescent="0.2">
      <c r="A48" s="4">
        <v>104001</v>
      </c>
      <c r="B48" s="17">
        <v>40</v>
      </c>
      <c r="C48" s="1" t="s">
        <v>106</v>
      </c>
      <c r="D48" s="1" t="s">
        <v>61</v>
      </c>
      <c r="E48" s="1" t="s">
        <v>62</v>
      </c>
      <c r="F48" s="1" t="s">
        <v>62</v>
      </c>
      <c r="I48" s="1" t="s">
        <v>63</v>
      </c>
      <c r="J48" s="16" t="str">
        <f>VLOOKUP(B48,참고!$C$3:$D$102,2,FALSE)&amp;",5"</f>
        <v>1040,5</v>
      </c>
      <c r="K48" s="16" t="s">
        <v>171</v>
      </c>
      <c r="L48" s="16" t="str">
        <f>VLOOKUP(K48,참고!$G$3:$L$9,3,FALSE)&amp;",5"</f>
        <v>807016,5</v>
      </c>
      <c r="M48" s="16" t="str">
        <f>VLOOKUP(K48,참고!$G$3:$L$9,4,FALSE)&amp;",5"</f>
        <v>814016,5</v>
      </c>
      <c r="N48" s="16" t="str">
        <f>VLOOKUP(K48,참고!$G$3:$L$9,5,FALSE)&amp;",5"</f>
        <v>810016,5</v>
      </c>
      <c r="P48" s="16" t="str">
        <f>VLOOKUP(K48,참고!$G$3:$L$9,6,FALSE)&amp;",5"</f>
        <v>817016,5</v>
      </c>
      <c r="U48" s="16">
        <f>VLOOKUP(K48,참고!$G$35:$H$41,2,FALSE)</f>
        <v>2</v>
      </c>
    </row>
    <row r="49" spans="1:21" ht="14.1" customHeight="1" x14ac:dyDescent="0.2">
      <c r="A49" s="4">
        <v>104101</v>
      </c>
      <c r="B49" s="17">
        <v>41</v>
      </c>
      <c r="C49" s="1" t="s">
        <v>107</v>
      </c>
      <c r="D49" s="1" t="s">
        <v>61</v>
      </c>
      <c r="E49" s="1" t="s">
        <v>62</v>
      </c>
      <c r="F49" s="1" t="s">
        <v>62</v>
      </c>
      <c r="I49" s="1" t="s">
        <v>63</v>
      </c>
      <c r="J49" s="16" t="str">
        <f>VLOOKUP(B49,참고!$C$3:$D$102,2,FALSE)&amp;",5"</f>
        <v>1041,5</v>
      </c>
      <c r="K49" s="1" t="s">
        <v>183</v>
      </c>
      <c r="L49" s="16" t="str">
        <f>VLOOKUP(K49,참고!$G$3:$L$9,3,FALSE)&amp;",5"</f>
        <v>809027,5</v>
      </c>
      <c r="M49" s="16" t="str">
        <f>VLOOKUP(K49,참고!$G$3:$L$9,4,FALSE)&amp;",5"</f>
        <v>814027,5</v>
      </c>
      <c r="N49" s="16" t="str">
        <f>VLOOKUP(K49,참고!$G$3:$L$9,5,FALSE)&amp;",5"</f>
        <v>812027,5</v>
      </c>
      <c r="P49" s="16" t="str">
        <f>VLOOKUP(K49,참고!$G$3:$L$9,6,FALSE)&amp;",5"</f>
        <v>817027,5</v>
      </c>
      <c r="U49" s="16">
        <f>VLOOKUP(K49,참고!$G$35:$H$41,2,FALSE)</f>
        <v>7</v>
      </c>
    </row>
    <row r="50" spans="1:21" ht="14.1" customHeight="1" x14ac:dyDescent="0.2">
      <c r="A50" s="4">
        <v>104201</v>
      </c>
      <c r="B50" s="17">
        <v>42</v>
      </c>
      <c r="C50" s="1" t="s">
        <v>108</v>
      </c>
      <c r="D50" s="1" t="s">
        <v>61</v>
      </c>
      <c r="E50" s="1" t="s">
        <v>62</v>
      </c>
      <c r="F50" s="1" t="s">
        <v>62</v>
      </c>
      <c r="I50" s="1" t="s">
        <v>63</v>
      </c>
      <c r="J50" s="16" t="str">
        <f>VLOOKUP(B50,참고!$C$3:$D$102,2,FALSE)&amp;",5"</f>
        <v>1042,5</v>
      </c>
      <c r="K50" s="1" t="s">
        <v>179</v>
      </c>
      <c r="L50" s="16" t="str">
        <f>VLOOKUP(K50,참고!$G$3:$L$9,3,FALSE)&amp;",5"</f>
        <v>808016,5</v>
      </c>
      <c r="M50" s="16" t="str">
        <f>VLOOKUP(K50,참고!$G$3:$L$9,4,FALSE)&amp;",5"</f>
        <v>814016,5</v>
      </c>
      <c r="N50" s="16" t="str">
        <f>VLOOKUP(K50,참고!$G$3:$L$9,5,FALSE)&amp;",5"</f>
        <v>811016,5</v>
      </c>
      <c r="P50" s="16" t="str">
        <f>VLOOKUP(K50,참고!$G$3:$L$9,6,FALSE)&amp;",5"</f>
        <v>817016,5</v>
      </c>
      <c r="U50" s="16">
        <f>VLOOKUP(K50,참고!$G$35:$H$41,2,FALSE)</f>
        <v>5</v>
      </c>
    </row>
    <row r="51" spans="1:21" ht="14.1" customHeight="1" x14ac:dyDescent="0.2">
      <c r="A51" s="4">
        <v>104301</v>
      </c>
      <c r="B51" s="17">
        <v>43</v>
      </c>
      <c r="C51" s="1" t="s">
        <v>109</v>
      </c>
      <c r="D51" s="1" t="s">
        <v>61</v>
      </c>
      <c r="E51" s="1" t="s">
        <v>62</v>
      </c>
      <c r="F51" s="1" t="s">
        <v>62</v>
      </c>
      <c r="I51" s="1" t="s">
        <v>63</v>
      </c>
      <c r="J51" s="16" t="str">
        <f>VLOOKUP(B51,참고!$C$3:$D$102,2,FALSE)&amp;",5"</f>
        <v>1043,5</v>
      </c>
      <c r="K51" s="16" t="s">
        <v>171</v>
      </c>
      <c r="L51" s="16" t="str">
        <f>VLOOKUP(K51,참고!$G$3:$L$9,3,FALSE)&amp;",5"</f>
        <v>807016,5</v>
      </c>
      <c r="M51" s="16" t="str">
        <f>VLOOKUP(K51,참고!$G$3:$L$9,4,FALSE)&amp;",5"</f>
        <v>814016,5</v>
      </c>
      <c r="N51" s="16" t="str">
        <f>VLOOKUP(K51,참고!$G$3:$L$9,5,FALSE)&amp;",5"</f>
        <v>810016,5</v>
      </c>
      <c r="P51" s="16" t="str">
        <f>VLOOKUP(K51,참고!$G$3:$L$9,6,FALSE)&amp;",5"</f>
        <v>817016,5</v>
      </c>
      <c r="U51" s="16">
        <f>VLOOKUP(K51,참고!$G$35:$H$41,2,FALSE)</f>
        <v>2</v>
      </c>
    </row>
    <row r="52" spans="1:21" ht="14.1" customHeight="1" x14ac:dyDescent="0.2">
      <c r="A52" s="4">
        <v>104401</v>
      </c>
      <c r="B52" s="17">
        <v>44</v>
      </c>
      <c r="C52" s="1" t="s">
        <v>110</v>
      </c>
      <c r="D52" s="1" t="s">
        <v>61</v>
      </c>
      <c r="E52" s="1" t="s">
        <v>62</v>
      </c>
      <c r="F52" s="1" t="s">
        <v>62</v>
      </c>
      <c r="I52" s="1" t="s">
        <v>63</v>
      </c>
      <c r="J52" s="16" t="str">
        <f>VLOOKUP(B52,참고!$C$3:$D$102,2,FALSE)&amp;",5"</f>
        <v>1044,5</v>
      </c>
      <c r="K52" s="16" t="s">
        <v>171</v>
      </c>
      <c r="L52" s="16" t="str">
        <f>VLOOKUP(K52,참고!$G$3:$L$9,3,FALSE)&amp;",5"</f>
        <v>807016,5</v>
      </c>
      <c r="M52" s="16" t="str">
        <f>VLOOKUP(K52,참고!$G$3:$L$9,4,FALSE)&amp;",5"</f>
        <v>814016,5</v>
      </c>
      <c r="N52" s="16" t="str">
        <f>VLOOKUP(K52,참고!$G$3:$L$9,5,FALSE)&amp;",5"</f>
        <v>810016,5</v>
      </c>
      <c r="P52" s="16" t="str">
        <f>VLOOKUP(K52,참고!$G$3:$L$9,6,FALSE)&amp;",5"</f>
        <v>817016,5</v>
      </c>
      <c r="U52" s="16">
        <f>VLOOKUP(K52,참고!$G$35:$H$41,2,FALSE)</f>
        <v>2</v>
      </c>
    </row>
    <row r="53" spans="1:21" ht="14.1" customHeight="1" x14ac:dyDescent="0.2">
      <c r="A53" s="4">
        <v>104501</v>
      </c>
      <c r="B53" s="17">
        <v>45</v>
      </c>
      <c r="C53" s="1" t="s">
        <v>111</v>
      </c>
      <c r="D53" s="1" t="s">
        <v>61</v>
      </c>
      <c r="E53" s="1" t="s">
        <v>62</v>
      </c>
      <c r="F53" s="1" t="s">
        <v>62</v>
      </c>
      <c r="I53" s="1" t="s">
        <v>63</v>
      </c>
      <c r="J53" s="16" t="str">
        <f>VLOOKUP(B53,참고!$C$3:$D$102,2,FALSE)&amp;",5"</f>
        <v>1045,5</v>
      </c>
      <c r="K53" s="1" t="s">
        <v>177</v>
      </c>
      <c r="L53" s="16" t="str">
        <f>VLOOKUP(K53,참고!$G$3:$L$9,3,FALSE)&amp;",5"</f>
        <v>808016,5</v>
      </c>
      <c r="M53" s="16" t="str">
        <f>VLOOKUP(K53,참고!$G$3:$L$9,4,FALSE)&amp;",5"</f>
        <v>814016,5</v>
      </c>
      <c r="N53" s="16" t="str">
        <f>VLOOKUP(K53,참고!$G$3:$L$9,5,FALSE)&amp;",5"</f>
        <v>811016,5</v>
      </c>
      <c r="P53" s="16" t="str">
        <f>VLOOKUP(K53,참고!$G$3:$L$9,6,FALSE)&amp;",5"</f>
        <v>817016,5</v>
      </c>
      <c r="U53" s="16">
        <f>VLOOKUP(K53,참고!$G$35:$H$41,2,FALSE)</f>
        <v>4</v>
      </c>
    </row>
    <row r="54" spans="1:21" ht="14.1" customHeight="1" x14ac:dyDescent="0.2">
      <c r="A54" s="4">
        <v>104601</v>
      </c>
      <c r="B54" s="17">
        <v>46</v>
      </c>
      <c r="C54" s="1" t="s">
        <v>112</v>
      </c>
      <c r="D54" s="1" t="s">
        <v>61</v>
      </c>
      <c r="E54" s="1" t="s">
        <v>62</v>
      </c>
      <c r="F54" s="1" t="s">
        <v>62</v>
      </c>
      <c r="I54" s="1" t="s">
        <v>63</v>
      </c>
      <c r="J54" s="16" t="str">
        <f>VLOOKUP(B54,참고!$C$3:$D$102,2,FALSE)&amp;",5"</f>
        <v>1046,5</v>
      </c>
      <c r="K54" s="1" t="s">
        <v>177</v>
      </c>
      <c r="L54" s="16" t="str">
        <f>VLOOKUP(K54,참고!$G$3:$L$9,3,FALSE)&amp;",5"</f>
        <v>808016,5</v>
      </c>
      <c r="M54" s="16" t="str">
        <f>VLOOKUP(K54,참고!$G$3:$L$9,4,FALSE)&amp;",5"</f>
        <v>814016,5</v>
      </c>
      <c r="N54" s="16" t="str">
        <f>VLOOKUP(K54,참고!$G$3:$L$9,5,FALSE)&amp;",5"</f>
        <v>811016,5</v>
      </c>
      <c r="P54" s="16" t="str">
        <f>VLOOKUP(K54,참고!$G$3:$L$9,6,FALSE)&amp;",5"</f>
        <v>817016,5</v>
      </c>
      <c r="U54" s="16">
        <f>VLOOKUP(K54,참고!$G$35:$H$41,2,FALSE)</f>
        <v>4</v>
      </c>
    </row>
    <row r="55" spans="1:21" ht="14.1" customHeight="1" x14ac:dyDescent="0.2">
      <c r="A55" s="4">
        <v>104701</v>
      </c>
      <c r="B55" s="17">
        <v>47</v>
      </c>
      <c r="C55" s="1" t="s">
        <v>113</v>
      </c>
      <c r="D55" s="1" t="s">
        <v>61</v>
      </c>
      <c r="E55" s="1" t="s">
        <v>62</v>
      </c>
      <c r="F55" s="1" t="s">
        <v>62</v>
      </c>
      <c r="I55" s="1" t="s">
        <v>63</v>
      </c>
      <c r="J55" s="16" t="str">
        <f>VLOOKUP(B55,참고!$C$3:$D$102,2,FALSE)&amp;",5"</f>
        <v>1047,5</v>
      </c>
      <c r="K55" s="1" t="s">
        <v>177</v>
      </c>
      <c r="L55" s="16" t="str">
        <f>VLOOKUP(K55,참고!$G$3:$L$9,3,FALSE)&amp;",5"</f>
        <v>808016,5</v>
      </c>
      <c r="M55" s="16" t="str">
        <f>VLOOKUP(K55,참고!$G$3:$L$9,4,FALSE)&amp;",5"</f>
        <v>814016,5</v>
      </c>
      <c r="N55" s="16" t="str">
        <f>VLOOKUP(K55,참고!$G$3:$L$9,5,FALSE)&amp;",5"</f>
        <v>811016,5</v>
      </c>
      <c r="P55" s="16" t="str">
        <f>VLOOKUP(K55,참고!$G$3:$L$9,6,FALSE)&amp;",5"</f>
        <v>817016,5</v>
      </c>
      <c r="U55" s="16">
        <f>VLOOKUP(K55,참고!$G$35:$H$41,2,FALSE)</f>
        <v>4</v>
      </c>
    </row>
    <row r="56" spans="1:21" ht="14.1" customHeight="1" x14ac:dyDescent="0.2">
      <c r="A56" s="4">
        <v>104801</v>
      </c>
      <c r="B56" s="17">
        <v>48</v>
      </c>
      <c r="C56" s="1" t="s">
        <v>114</v>
      </c>
      <c r="D56" s="1" t="s">
        <v>61</v>
      </c>
      <c r="E56" s="1" t="s">
        <v>62</v>
      </c>
      <c r="F56" s="1" t="s">
        <v>62</v>
      </c>
      <c r="I56" s="1" t="s">
        <v>63</v>
      </c>
      <c r="J56" s="16" t="str">
        <f>VLOOKUP(B56,참고!$C$3:$D$102,2,FALSE)&amp;",5"</f>
        <v>1048,5</v>
      </c>
      <c r="K56" s="1" t="s">
        <v>183</v>
      </c>
      <c r="L56" s="16" t="str">
        <f>VLOOKUP(K56,참고!$G$3:$L$9,3,FALSE)&amp;",5"</f>
        <v>809027,5</v>
      </c>
      <c r="M56" s="16" t="str">
        <f>VLOOKUP(K56,참고!$G$3:$L$9,4,FALSE)&amp;",5"</f>
        <v>814027,5</v>
      </c>
      <c r="N56" s="16" t="str">
        <f>VLOOKUP(K56,참고!$G$3:$L$9,5,FALSE)&amp;",5"</f>
        <v>812027,5</v>
      </c>
      <c r="P56" s="16" t="str">
        <f>VLOOKUP(K56,참고!$G$3:$L$9,6,FALSE)&amp;",5"</f>
        <v>817027,5</v>
      </c>
      <c r="U56" s="16">
        <f>VLOOKUP(K56,참고!$G$35:$H$41,2,FALSE)</f>
        <v>7</v>
      </c>
    </row>
    <row r="57" spans="1:21" ht="14.1" customHeight="1" x14ac:dyDescent="0.2">
      <c r="A57" s="4">
        <v>104901</v>
      </c>
      <c r="B57" s="17">
        <v>49</v>
      </c>
      <c r="C57" s="1" t="s">
        <v>115</v>
      </c>
      <c r="D57" s="1" t="s">
        <v>61</v>
      </c>
      <c r="E57" s="1" t="s">
        <v>62</v>
      </c>
      <c r="F57" s="1" t="s">
        <v>62</v>
      </c>
      <c r="I57" s="1" t="s">
        <v>63</v>
      </c>
      <c r="J57" s="16" t="str">
        <f>VLOOKUP(B57,참고!$C$3:$D$102,2,FALSE)&amp;",5"</f>
        <v>1049,5</v>
      </c>
      <c r="K57" s="1" t="s">
        <v>181</v>
      </c>
      <c r="L57" s="16" t="str">
        <f>VLOOKUP(K57,참고!$G$3:$L$9,3,FALSE)&amp;",5"</f>
        <v>809016,5</v>
      </c>
      <c r="M57" s="16" t="str">
        <f>VLOOKUP(K57,참고!$G$3:$L$9,4,FALSE)&amp;",5"</f>
        <v>814016,5</v>
      </c>
      <c r="N57" s="16" t="str">
        <f>VLOOKUP(K57,참고!$G$3:$L$9,5,FALSE)&amp;",5"</f>
        <v>812016,5</v>
      </c>
      <c r="P57" s="16" t="str">
        <f>VLOOKUP(K57,참고!$G$3:$L$9,6,FALSE)&amp;",5"</f>
        <v>817016,5</v>
      </c>
      <c r="U57" s="16">
        <f>VLOOKUP(K57,참고!$G$35:$H$41,2,FALSE)</f>
        <v>6</v>
      </c>
    </row>
    <row r="58" spans="1:21" ht="14.1" customHeight="1" x14ac:dyDescent="0.2">
      <c r="A58" s="4">
        <v>105001</v>
      </c>
      <c r="B58" s="17">
        <v>50</v>
      </c>
      <c r="C58" s="1" t="s">
        <v>116</v>
      </c>
      <c r="D58" s="1" t="s">
        <v>61</v>
      </c>
      <c r="E58" s="1" t="s">
        <v>62</v>
      </c>
      <c r="F58" s="1" t="s">
        <v>62</v>
      </c>
      <c r="I58" s="1" t="s">
        <v>63</v>
      </c>
      <c r="J58" s="16" t="str">
        <f>VLOOKUP(B58,참고!$C$3:$D$102,2,FALSE)&amp;",5"</f>
        <v>1050,5</v>
      </c>
      <c r="K58" s="1" t="s">
        <v>177</v>
      </c>
      <c r="L58" s="16" t="str">
        <f>VLOOKUP(K58,참고!$G$3:$L$9,3,FALSE)&amp;",5"</f>
        <v>808016,5</v>
      </c>
      <c r="M58" s="16" t="str">
        <f>VLOOKUP(K58,참고!$G$3:$L$9,4,FALSE)&amp;",5"</f>
        <v>814016,5</v>
      </c>
      <c r="N58" s="16" t="str">
        <f>VLOOKUP(K58,참고!$G$3:$L$9,5,FALSE)&amp;",5"</f>
        <v>811016,5</v>
      </c>
      <c r="P58" s="16" t="str">
        <f>VLOOKUP(K58,참고!$G$3:$L$9,6,FALSE)&amp;",5"</f>
        <v>817016,5</v>
      </c>
      <c r="U58" s="16">
        <f>VLOOKUP(K58,참고!$G$35:$H$41,2,FALSE)</f>
        <v>4</v>
      </c>
    </row>
    <row r="59" spans="1:21" ht="14.1" customHeight="1" x14ac:dyDescent="0.2">
      <c r="A59" s="4">
        <v>105101</v>
      </c>
      <c r="B59" s="17">
        <v>51</v>
      </c>
      <c r="C59" s="1" t="s">
        <v>117</v>
      </c>
      <c r="D59" s="1" t="s">
        <v>61</v>
      </c>
      <c r="E59" s="1" t="s">
        <v>62</v>
      </c>
      <c r="F59" s="1" t="s">
        <v>62</v>
      </c>
      <c r="I59" s="1" t="s">
        <v>63</v>
      </c>
      <c r="J59" s="16" t="str">
        <f>VLOOKUP(B59,참고!$C$3:$D$102,2,FALSE)&amp;",5"</f>
        <v>1051,5</v>
      </c>
      <c r="K59" s="1" t="s">
        <v>173</v>
      </c>
      <c r="L59" s="16" t="str">
        <f>VLOOKUP(K59,참고!$G$3:$L$9,3,FALSE)&amp;",5"</f>
        <v>807026,5</v>
      </c>
      <c r="M59" s="16" t="str">
        <f>VLOOKUP(K59,참고!$G$3:$L$9,4,FALSE)&amp;",5"</f>
        <v>813026,5</v>
      </c>
      <c r="N59" s="16" t="str">
        <f>VLOOKUP(K59,참고!$G$3:$L$9,5,FALSE)&amp;",5"</f>
        <v>810026,5</v>
      </c>
      <c r="P59" s="16" t="str">
        <f>VLOOKUP(K59,참고!$G$3:$L$9,6,FALSE)&amp;",5"</f>
        <v>817026,5</v>
      </c>
      <c r="U59" s="16">
        <f>VLOOKUP(K59,참고!$G$35:$H$41,2,FALSE)</f>
        <v>1</v>
      </c>
    </row>
    <row r="60" spans="1:21" ht="14.1" customHeight="1" x14ac:dyDescent="0.2">
      <c r="A60" s="4">
        <v>105201</v>
      </c>
      <c r="B60" s="17">
        <v>52</v>
      </c>
      <c r="C60" s="1" t="s">
        <v>118</v>
      </c>
      <c r="D60" s="1" t="s">
        <v>61</v>
      </c>
      <c r="E60" s="1" t="s">
        <v>62</v>
      </c>
      <c r="F60" s="1" t="s">
        <v>62</v>
      </c>
      <c r="I60" s="1" t="s">
        <v>63</v>
      </c>
      <c r="J60" s="16" t="str">
        <f>VLOOKUP(B60,참고!$C$3:$D$102,2,FALSE)&amp;",5"</f>
        <v>1052,5</v>
      </c>
      <c r="K60" s="1" t="s">
        <v>179</v>
      </c>
      <c r="L60" s="16" t="str">
        <f>VLOOKUP(K60,참고!$G$3:$L$9,3,FALSE)&amp;",5"</f>
        <v>808016,5</v>
      </c>
      <c r="M60" s="16" t="str">
        <f>VLOOKUP(K60,참고!$G$3:$L$9,4,FALSE)&amp;",5"</f>
        <v>814016,5</v>
      </c>
      <c r="N60" s="16" t="str">
        <f>VLOOKUP(K60,참고!$G$3:$L$9,5,FALSE)&amp;",5"</f>
        <v>811016,5</v>
      </c>
      <c r="P60" s="16" t="str">
        <f>VLOOKUP(K60,참고!$G$3:$L$9,6,FALSE)&amp;",5"</f>
        <v>817016,5</v>
      </c>
      <c r="U60" s="16">
        <f>VLOOKUP(K60,참고!$G$35:$H$41,2,FALSE)</f>
        <v>5</v>
      </c>
    </row>
    <row r="61" spans="1:21" ht="14.1" customHeight="1" x14ac:dyDescent="0.2">
      <c r="A61" s="4">
        <v>105301</v>
      </c>
      <c r="B61" s="17">
        <v>53</v>
      </c>
      <c r="C61" s="1" t="s">
        <v>119</v>
      </c>
      <c r="D61" s="1" t="s">
        <v>61</v>
      </c>
      <c r="E61" s="1" t="s">
        <v>62</v>
      </c>
      <c r="F61" s="1" t="s">
        <v>62</v>
      </c>
      <c r="I61" s="1" t="s">
        <v>63</v>
      </c>
      <c r="J61" s="16" t="str">
        <f>VLOOKUP(B61,참고!$C$3:$D$102,2,FALSE)&amp;",5"</f>
        <v>1053,5</v>
      </c>
      <c r="K61" s="1" t="s">
        <v>177</v>
      </c>
      <c r="L61" s="16" t="str">
        <f>VLOOKUP(K61,참고!$G$3:$L$9,3,FALSE)&amp;",5"</f>
        <v>808016,5</v>
      </c>
      <c r="M61" s="16" t="str">
        <f>VLOOKUP(K61,참고!$G$3:$L$9,4,FALSE)&amp;",5"</f>
        <v>814016,5</v>
      </c>
      <c r="N61" s="16" t="str">
        <f>VLOOKUP(K61,참고!$G$3:$L$9,5,FALSE)&amp;",5"</f>
        <v>811016,5</v>
      </c>
      <c r="P61" s="16" t="str">
        <f>VLOOKUP(K61,참고!$G$3:$L$9,6,FALSE)&amp;",5"</f>
        <v>817016,5</v>
      </c>
      <c r="U61" s="16">
        <f>VLOOKUP(K61,참고!$G$35:$H$41,2,FALSE)</f>
        <v>4</v>
      </c>
    </row>
    <row r="62" spans="1:21" ht="14.1" customHeight="1" x14ac:dyDescent="0.2">
      <c r="A62" s="4">
        <v>105401</v>
      </c>
      <c r="B62" s="17">
        <v>54</v>
      </c>
      <c r="C62" s="1" t="s">
        <v>120</v>
      </c>
      <c r="D62" s="1" t="s">
        <v>61</v>
      </c>
      <c r="E62" s="1" t="s">
        <v>62</v>
      </c>
      <c r="F62" s="1" t="s">
        <v>62</v>
      </c>
      <c r="I62" s="1" t="s">
        <v>63</v>
      </c>
      <c r="J62" s="16" t="str">
        <f>VLOOKUP(B62,참고!$C$3:$D$102,2,FALSE)&amp;",5"</f>
        <v>1054,5</v>
      </c>
      <c r="K62" s="1" t="s">
        <v>183</v>
      </c>
      <c r="L62" s="16" t="str">
        <f>VLOOKUP(K62,참고!$G$3:$L$9,3,FALSE)&amp;",5"</f>
        <v>809027,5</v>
      </c>
      <c r="M62" s="16" t="str">
        <f>VLOOKUP(K62,참고!$G$3:$L$9,4,FALSE)&amp;",5"</f>
        <v>814027,5</v>
      </c>
      <c r="N62" s="16" t="str">
        <f>VLOOKUP(K62,참고!$G$3:$L$9,5,FALSE)&amp;",5"</f>
        <v>812027,5</v>
      </c>
      <c r="P62" s="16" t="str">
        <f>VLOOKUP(K62,참고!$G$3:$L$9,6,FALSE)&amp;",5"</f>
        <v>817027,5</v>
      </c>
      <c r="U62" s="16">
        <f>VLOOKUP(K62,참고!$G$35:$H$41,2,FALSE)</f>
        <v>7</v>
      </c>
    </row>
    <row r="63" spans="1:21" ht="14.1" customHeight="1" x14ac:dyDescent="0.2">
      <c r="A63" s="4">
        <v>105501</v>
      </c>
      <c r="B63" s="17">
        <v>55</v>
      </c>
      <c r="C63" s="1" t="s">
        <v>121</v>
      </c>
      <c r="D63" s="1" t="s">
        <v>61</v>
      </c>
      <c r="E63" s="1" t="s">
        <v>62</v>
      </c>
      <c r="F63" s="1" t="s">
        <v>62</v>
      </c>
      <c r="I63" s="1" t="s">
        <v>63</v>
      </c>
      <c r="J63" s="16" t="str">
        <f>VLOOKUP(B63,참고!$C$3:$D$102,2,FALSE)&amp;",5"</f>
        <v>1055,5</v>
      </c>
      <c r="K63" s="16" t="s">
        <v>171</v>
      </c>
      <c r="L63" s="16" t="str">
        <f>VLOOKUP(K63,참고!$G$3:$L$9,3,FALSE)&amp;",5"</f>
        <v>807016,5</v>
      </c>
      <c r="M63" s="16" t="str">
        <f>VLOOKUP(K63,참고!$G$3:$L$9,4,FALSE)&amp;",5"</f>
        <v>814016,5</v>
      </c>
      <c r="N63" s="16" t="str">
        <f>VLOOKUP(K63,참고!$G$3:$L$9,5,FALSE)&amp;",5"</f>
        <v>810016,5</v>
      </c>
      <c r="P63" s="16" t="str">
        <f>VLOOKUP(K63,참고!$G$3:$L$9,6,FALSE)&amp;",5"</f>
        <v>817016,5</v>
      </c>
      <c r="U63" s="16">
        <f>VLOOKUP(K63,참고!$G$35:$H$41,2,FALSE)</f>
        <v>2</v>
      </c>
    </row>
    <row r="64" spans="1:21" ht="14.1" customHeight="1" x14ac:dyDescent="0.2">
      <c r="A64" s="4">
        <v>105601</v>
      </c>
      <c r="B64" s="17">
        <v>56</v>
      </c>
      <c r="C64" s="1" t="s">
        <v>122</v>
      </c>
      <c r="D64" s="1" t="s">
        <v>61</v>
      </c>
      <c r="E64" s="1" t="s">
        <v>62</v>
      </c>
      <c r="F64" s="1" t="s">
        <v>62</v>
      </c>
      <c r="I64" s="1" t="s">
        <v>63</v>
      </c>
      <c r="J64" s="16" t="str">
        <f>VLOOKUP(B64,참고!$C$3:$D$102,2,FALSE)&amp;",5"</f>
        <v>1056,5</v>
      </c>
      <c r="K64" s="1" t="s">
        <v>175</v>
      </c>
      <c r="L64" s="16" t="str">
        <f>VLOOKUP(K64,참고!$G$3:$L$9,3,FALSE)&amp;",5"</f>
        <v>808016,5</v>
      </c>
      <c r="M64" s="16" t="str">
        <f>VLOOKUP(K64,참고!$G$3:$L$9,4,FALSE)&amp;",5"</f>
        <v>814016,5</v>
      </c>
      <c r="N64" s="16" t="str">
        <f>VLOOKUP(K64,참고!$G$3:$L$9,5,FALSE)&amp;",5"</f>
        <v>811016,5</v>
      </c>
      <c r="P64" s="16" t="str">
        <f>VLOOKUP(K64,참고!$G$3:$L$9,6,FALSE)&amp;",5"</f>
        <v>817016,5</v>
      </c>
      <c r="U64" s="16">
        <f>VLOOKUP(K64,참고!$G$35:$H$41,2,FALSE)</f>
        <v>3</v>
      </c>
    </row>
    <row r="65" spans="1:21" ht="14.1" customHeight="1" x14ac:dyDescent="0.2">
      <c r="A65" s="4">
        <v>105701</v>
      </c>
      <c r="B65" s="17">
        <v>57</v>
      </c>
      <c r="C65" s="1" t="s">
        <v>123</v>
      </c>
      <c r="D65" s="1" t="s">
        <v>61</v>
      </c>
      <c r="E65" s="1" t="s">
        <v>62</v>
      </c>
      <c r="F65" s="1" t="s">
        <v>62</v>
      </c>
      <c r="I65" s="1" t="s">
        <v>63</v>
      </c>
      <c r="J65" s="16" t="str">
        <f>VLOOKUP(B65,참고!$C$3:$D$102,2,FALSE)&amp;",5"</f>
        <v>1057,5</v>
      </c>
      <c r="K65" s="1" t="s">
        <v>181</v>
      </c>
      <c r="L65" s="16" t="str">
        <f>VLOOKUP(K65,참고!$G$3:$L$9,3,FALSE)&amp;",5"</f>
        <v>809016,5</v>
      </c>
      <c r="M65" s="16" t="str">
        <f>VLOOKUP(K65,참고!$G$3:$L$9,4,FALSE)&amp;",5"</f>
        <v>814016,5</v>
      </c>
      <c r="N65" s="16" t="str">
        <f>VLOOKUP(K65,참고!$G$3:$L$9,5,FALSE)&amp;",5"</f>
        <v>812016,5</v>
      </c>
      <c r="P65" s="16" t="str">
        <f>VLOOKUP(K65,참고!$G$3:$L$9,6,FALSE)&amp;",5"</f>
        <v>817016,5</v>
      </c>
      <c r="U65" s="16">
        <f>VLOOKUP(K65,참고!$G$35:$H$41,2,FALSE)</f>
        <v>6</v>
      </c>
    </row>
    <row r="66" spans="1:21" ht="14.1" customHeight="1" x14ac:dyDescent="0.2">
      <c r="A66" s="4">
        <v>105801</v>
      </c>
      <c r="B66" s="17">
        <v>58</v>
      </c>
      <c r="C66" s="1" t="s">
        <v>124</v>
      </c>
      <c r="D66" s="1" t="s">
        <v>61</v>
      </c>
      <c r="E66" s="1" t="s">
        <v>62</v>
      </c>
      <c r="F66" s="1" t="s">
        <v>62</v>
      </c>
      <c r="I66" s="1" t="s">
        <v>63</v>
      </c>
      <c r="J66" s="16" t="str">
        <f>VLOOKUP(B66,참고!$C$3:$D$102,2,FALSE)&amp;",5"</f>
        <v>1058,5</v>
      </c>
      <c r="K66" s="1" t="s">
        <v>175</v>
      </c>
      <c r="L66" s="16" t="str">
        <f>VLOOKUP(K66,참고!$G$3:$L$9,3,FALSE)&amp;",5"</f>
        <v>808016,5</v>
      </c>
      <c r="M66" s="16" t="str">
        <f>VLOOKUP(K66,참고!$G$3:$L$9,4,FALSE)&amp;",5"</f>
        <v>814016,5</v>
      </c>
      <c r="N66" s="16" t="str">
        <f>VLOOKUP(K66,참고!$G$3:$L$9,5,FALSE)&amp;",5"</f>
        <v>811016,5</v>
      </c>
      <c r="P66" s="16" t="str">
        <f>VLOOKUP(K66,참고!$G$3:$L$9,6,FALSE)&amp;",5"</f>
        <v>817016,5</v>
      </c>
      <c r="U66" s="16">
        <f>VLOOKUP(K66,참고!$G$35:$H$41,2,FALSE)</f>
        <v>3</v>
      </c>
    </row>
    <row r="67" spans="1:21" ht="14.1" customHeight="1" x14ac:dyDescent="0.2">
      <c r="A67" s="4">
        <v>105901</v>
      </c>
      <c r="B67" s="17">
        <v>59</v>
      </c>
      <c r="C67" s="1" t="s">
        <v>125</v>
      </c>
      <c r="D67" s="1" t="s">
        <v>61</v>
      </c>
      <c r="E67" s="1" t="s">
        <v>62</v>
      </c>
      <c r="F67" s="1" t="s">
        <v>62</v>
      </c>
      <c r="I67" s="1" t="s">
        <v>63</v>
      </c>
      <c r="J67" s="16" t="str">
        <f>VLOOKUP(B67,참고!$C$3:$D$102,2,FALSE)&amp;",5"</f>
        <v>1059,5</v>
      </c>
      <c r="K67" s="1" t="s">
        <v>183</v>
      </c>
      <c r="L67" s="16" t="str">
        <f>VLOOKUP(K67,참고!$G$3:$L$9,3,FALSE)&amp;",5"</f>
        <v>809027,5</v>
      </c>
      <c r="M67" s="16" t="str">
        <f>VLOOKUP(K67,참고!$G$3:$L$9,4,FALSE)&amp;",5"</f>
        <v>814027,5</v>
      </c>
      <c r="N67" s="16" t="str">
        <f>VLOOKUP(K67,참고!$G$3:$L$9,5,FALSE)&amp;",5"</f>
        <v>812027,5</v>
      </c>
      <c r="P67" s="16" t="str">
        <f>VLOOKUP(K67,참고!$G$3:$L$9,6,FALSE)&amp;",5"</f>
        <v>817027,5</v>
      </c>
      <c r="U67" s="16">
        <f>VLOOKUP(K67,참고!$G$35:$H$41,2,FALSE)</f>
        <v>7</v>
      </c>
    </row>
    <row r="68" spans="1:21" ht="14.1" customHeight="1" x14ac:dyDescent="0.2">
      <c r="A68" s="4">
        <v>106001</v>
      </c>
      <c r="B68" s="17">
        <v>60</v>
      </c>
      <c r="C68" s="1" t="s">
        <v>126</v>
      </c>
      <c r="D68" s="1" t="s">
        <v>61</v>
      </c>
      <c r="E68" s="1" t="s">
        <v>62</v>
      </c>
      <c r="F68" s="1" t="s">
        <v>62</v>
      </c>
      <c r="I68" s="1" t="s">
        <v>63</v>
      </c>
      <c r="J68" s="16" t="str">
        <f>VLOOKUP(B68,참고!$C$3:$D$102,2,FALSE)&amp;",5"</f>
        <v>1060,5</v>
      </c>
      <c r="K68" s="1" t="s">
        <v>179</v>
      </c>
      <c r="L68" s="16" t="str">
        <f>VLOOKUP(K68,참고!$G$3:$L$9,3,FALSE)&amp;",5"</f>
        <v>808016,5</v>
      </c>
      <c r="M68" s="16" t="str">
        <f>VLOOKUP(K68,참고!$G$3:$L$9,4,FALSE)&amp;",5"</f>
        <v>814016,5</v>
      </c>
      <c r="N68" s="16" t="str">
        <f>VLOOKUP(K68,참고!$G$3:$L$9,5,FALSE)&amp;",5"</f>
        <v>811016,5</v>
      </c>
      <c r="P68" s="16" t="str">
        <f>VLOOKUP(K68,참고!$G$3:$L$9,6,FALSE)&amp;",5"</f>
        <v>817016,5</v>
      </c>
      <c r="U68" s="16">
        <f>VLOOKUP(K68,참고!$G$35:$H$41,2,FALSE)</f>
        <v>5</v>
      </c>
    </row>
    <row r="69" spans="1:21" ht="14.1" customHeight="1" x14ac:dyDescent="0.2">
      <c r="A69" s="4">
        <v>106101</v>
      </c>
      <c r="B69" s="17">
        <v>61</v>
      </c>
      <c r="C69" s="1" t="s">
        <v>127</v>
      </c>
      <c r="D69" s="1" t="s">
        <v>61</v>
      </c>
      <c r="E69" s="1" t="s">
        <v>62</v>
      </c>
      <c r="F69" s="1" t="s">
        <v>62</v>
      </c>
      <c r="I69" s="1" t="s">
        <v>63</v>
      </c>
      <c r="J69" s="16" t="str">
        <f>VLOOKUP(B69,참고!$C$3:$D$102,2,FALSE)&amp;",5"</f>
        <v>1061,5</v>
      </c>
      <c r="K69" s="1" t="s">
        <v>173</v>
      </c>
      <c r="L69" s="16" t="str">
        <f>VLOOKUP(K69,참고!$G$3:$L$9,3,FALSE)&amp;",5"</f>
        <v>807026,5</v>
      </c>
      <c r="M69" s="16" t="str">
        <f>VLOOKUP(K69,참고!$G$3:$L$9,4,FALSE)&amp;",5"</f>
        <v>813026,5</v>
      </c>
      <c r="N69" s="16" t="str">
        <f>VLOOKUP(K69,참고!$G$3:$L$9,5,FALSE)&amp;",5"</f>
        <v>810026,5</v>
      </c>
      <c r="P69" s="16" t="str">
        <f>VLOOKUP(K69,참고!$G$3:$L$9,6,FALSE)&amp;",5"</f>
        <v>817026,5</v>
      </c>
      <c r="U69" s="16">
        <f>VLOOKUP(K69,참고!$G$35:$H$41,2,FALSE)</f>
        <v>1</v>
      </c>
    </row>
    <row r="70" spans="1:21" ht="14.1" customHeight="1" x14ac:dyDescent="0.2">
      <c r="A70" s="4">
        <v>106201</v>
      </c>
      <c r="B70" s="17">
        <v>62</v>
      </c>
      <c r="C70" s="1" t="s">
        <v>128</v>
      </c>
      <c r="D70" s="1" t="s">
        <v>61</v>
      </c>
      <c r="E70" s="1" t="s">
        <v>62</v>
      </c>
      <c r="F70" s="1" t="s">
        <v>62</v>
      </c>
      <c r="I70" s="1" t="s">
        <v>63</v>
      </c>
      <c r="J70" s="16" t="str">
        <f>VLOOKUP(B70,참고!$C$3:$D$102,2,FALSE)&amp;",5"</f>
        <v>1062,5</v>
      </c>
      <c r="K70" s="16" t="s">
        <v>171</v>
      </c>
      <c r="L70" s="16" t="str">
        <f>VLOOKUP(K70,참고!$G$3:$L$9,3,FALSE)&amp;",5"</f>
        <v>807016,5</v>
      </c>
      <c r="M70" s="16" t="str">
        <f>VLOOKUP(K70,참고!$G$3:$L$9,4,FALSE)&amp;",5"</f>
        <v>814016,5</v>
      </c>
      <c r="N70" s="16" t="str">
        <f>VLOOKUP(K70,참고!$G$3:$L$9,5,FALSE)&amp;",5"</f>
        <v>810016,5</v>
      </c>
      <c r="P70" s="16" t="str">
        <f>VLOOKUP(K70,참고!$G$3:$L$9,6,FALSE)&amp;",5"</f>
        <v>817016,5</v>
      </c>
      <c r="U70" s="16">
        <f>VLOOKUP(K70,참고!$G$35:$H$41,2,FALSE)</f>
        <v>2</v>
      </c>
    </row>
    <row r="71" spans="1:21" ht="14.1" customHeight="1" x14ac:dyDescent="0.2">
      <c r="A71" s="4">
        <v>106301</v>
      </c>
      <c r="B71" s="17">
        <v>63</v>
      </c>
      <c r="C71" s="1" t="s">
        <v>129</v>
      </c>
      <c r="D71" s="1" t="s">
        <v>61</v>
      </c>
      <c r="E71" s="1" t="s">
        <v>62</v>
      </c>
      <c r="F71" s="1" t="s">
        <v>62</v>
      </c>
      <c r="I71" s="1" t="s">
        <v>63</v>
      </c>
      <c r="J71" s="16" t="str">
        <f>VLOOKUP(B71,참고!$C$3:$D$102,2,FALSE)&amp;",5"</f>
        <v>1063,5</v>
      </c>
      <c r="K71" s="1" t="s">
        <v>173</v>
      </c>
      <c r="L71" s="16" t="str">
        <f>VLOOKUP(K71,참고!$G$3:$L$9,3,FALSE)&amp;",5"</f>
        <v>807026,5</v>
      </c>
      <c r="M71" s="16" t="str">
        <f>VLOOKUP(K71,참고!$G$3:$L$9,4,FALSE)&amp;",5"</f>
        <v>813026,5</v>
      </c>
      <c r="N71" s="16" t="str">
        <f>VLOOKUP(K71,참고!$G$3:$L$9,5,FALSE)&amp;",5"</f>
        <v>810026,5</v>
      </c>
      <c r="P71" s="16" t="str">
        <f>VLOOKUP(K71,참고!$G$3:$L$9,6,FALSE)&amp;",5"</f>
        <v>817026,5</v>
      </c>
      <c r="U71" s="16">
        <f>VLOOKUP(K71,참고!$G$35:$H$41,2,FALSE)</f>
        <v>1</v>
      </c>
    </row>
    <row r="72" spans="1:21" ht="14.1" customHeight="1" x14ac:dyDescent="0.2">
      <c r="A72" s="4">
        <v>106302</v>
      </c>
      <c r="B72" s="17">
        <v>63</v>
      </c>
      <c r="C72" s="1" t="s">
        <v>129</v>
      </c>
      <c r="D72" s="1" t="s">
        <v>61</v>
      </c>
      <c r="E72" s="1" t="s">
        <v>62</v>
      </c>
      <c r="F72" s="1" t="s">
        <v>62</v>
      </c>
      <c r="G72" s="1" t="s">
        <v>218</v>
      </c>
      <c r="H72" s="22" t="s">
        <v>217</v>
      </c>
      <c r="I72" s="1" t="s">
        <v>63</v>
      </c>
      <c r="J72" s="16" t="str">
        <f>VLOOKUP(B72,참고!$C$3:$D$102,2,FALSE)&amp;",5"</f>
        <v>1063,5</v>
      </c>
      <c r="K72" s="1" t="s">
        <v>173</v>
      </c>
      <c r="L72" s="16" t="str">
        <f>VLOOKUP(K72,참고!$G$3:$L$9,3,FALSE)&amp;",5"</f>
        <v>807026,5</v>
      </c>
      <c r="M72" s="16" t="str">
        <f>VLOOKUP(K72,참고!$G$3:$L$9,4,FALSE)&amp;",5"</f>
        <v>813026,5</v>
      </c>
      <c r="N72" s="16" t="str">
        <f>VLOOKUP(K72,참고!$G$3:$L$9,5,FALSE)&amp;",5"</f>
        <v>810026,5</v>
      </c>
      <c r="P72" s="16" t="str">
        <f>VLOOKUP(K72,참고!$G$3:$L$9,6,FALSE)&amp;",5"</f>
        <v>817026,5</v>
      </c>
      <c r="U72" s="16">
        <f>VLOOKUP(K72,참고!$G$35:$H$41,2,FALSE)</f>
        <v>1</v>
      </c>
    </row>
    <row r="73" spans="1:21" ht="14.1" customHeight="1" x14ac:dyDescent="0.2">
      <c r="A73" s="4">
        <v>106401</v>
      </c>
      <c r="B73" s="17">
        <v>64</v>
      </c>
      <c r="C73" s="1" t="s">
        <v>130</v>
      </c>
      <c r="D73" s="1" t="s">
        <v>61</v>
      </c>
      <c r="E73" s="1" t="s">
        <v>62</v>
      </c>
      <c r="F73" s="1" t="s">
        <v>62</v>
      </c>
      <c r="I73" s="1" t="s">
        <v>63</v>
      </c>
      <c r="J73" s="16" t="str">
        <f>VLOOKUP(B73,참고!$C$3:$D$102,2,FALSE)&amp;",5"</f>
        <v>1064,5</v>
      </c>
      <c r="K73" s="1" t="s">
        <v>181</v>
      </c>
      <c r="L73" s="16" t="str">
        <f>VLOOKUP(K73,참고!$G$3:$L$9,3,FALSE)&amp;",5"</f>
        <v>809016,5</v>
      </c>
      <c r="M73" s="16" t="str">
        <f>VLOOKUP(K73,참고!$G$3:$L$9,4,FALSE)&amp;",5"</f>
        <v>814016,5</v>
      </c>
      <c r="N73" s="16" t="str">
        <f>VLOOKUP(K73,참고!$G$3:$L$9,5,FALSE)&amp;",5"</f>
        <v>812016,5</v>
      </c>
      <c r="P73" s="16" t="str">
        <f>VLOOKUP(K73,참고!$G$3:$L$9,6,FALSE)&amp;",5"</f>
        <v>817016,5</v>
      </c>
      <c r="U73" s="16">
        <f>VLOOKUP(K73,참고!$G$35:$H$41,2,FALSE)</f>
        <v>6</v>
      </c>
    </row>
    <row r="74" spans="1:21" ht="14.1" customHeight="1" x14ac:dyDescent="0.2">
      <c r="A74" s="4">
        <v>106501</v>
      </c>
      <c r="B74" s="17">
        <v>65</v>
      </c>
      <c r="C74" s="1" t="s">
        <v>131</v>
      </c>
      <c r="D74" s="1" t="s">
        <v>61</v>
      </c>
      <c r="E74" s="1" t="s">
        <v>62</v>
      </c>
      <c r="F74" s="1" t="s">
        <v>62</v>
      </c>
      <c r="I74" s="1" t="s">
        <v>63</v>
      </c>
      <c r="J74" s="16" t="str">
        <f>VLOOKUP(B74,참고!$C$3:$D$102,2,FALSE)&amp;",5"</f>
        <v>1065,5</v>
      </c>
      <c r="K74" s="1" t="s">
        <v>175</v>
      </c>
      <c r="L74" s="16" t="str">
        <f>VLOOKUP(K74,참고!$G$3:$L$9,3,FALSE)&amp;",5"</f>
        <v>808016,5</v>
      </c>
      <c r="M74" s="16" t="str">
        <f>VLOOKUP(K74,참고!$G$3:$L$9,4,FALSE)&amp;",5"</f>
        <v>814016,5</v>
      </c>
      <c r="N74" s="16" t="str">
        <f>VLOOKUP(K74,참고!$G$3:$L$9,5,FALSE)&amp;",5"</f>
        <v>811016,5</v>
      </c>
      <c r="P74" s="16" t="str">
        <f>VLOOKUP(K74,참고!$G$3:$L$9,6,FALSE)&amp;",5"</f>
        <v>817016,5</v>
      </c>
      <c r="U74" s="16">
        <f>VLOOKUP(K74,참고!$G$35:$H$41,2,FALSE)</f>
        <v>3</v>
      </c>
    </row>
    <row r="75" spans="1:21" ht="14.1" customHeight="1" x14ac:dyDescent="0.2">
      <c r="A75" s="4">
        <v>106502</v>
      </c>
      <c r="B75" s="17">
        <v>65</v>
      </c>
      <c r="C75" s="1" t="s">
        <v>131</v>
      </c>
      <c r="D75" s="1" t="s">
        <v>61</v>
      </c>
      <c r="E75" s="1" t="s">
        <v>62</v>
      </c>
      <c r="F75" s="1" t="s">
        <v>62</v>
      </c>
      <c r="G75" s="1" t="s">
        <v>222</v>
      </c>
      <c r="H75" s="22" t="s">
        <v>221</v>
      </c>
      <c r="I75" s="1" t="s">
        <v>63</v>
      </c>
      <c r="J75" s="16" t="str">
        <f>VLOOKUP(B75,참고!$C$3:$D$102,2,FALSE)&amp;",5"</f>
        <v>1065,5</v>
      </c>
      <c r="K75" s="1" t="s">
        <v>175</v>
      </c>
      <c r="L75" s="16" t="str">
        <f>VLOOKUP(K75,참고!$G$3:$L$9,3,FALSE)&amp;",5"</f>
        <v>808016,5</v>
      </c>
      <c r="M75" s="16" t="str">
        <f>VLOOKUP(K75,참고!$G$3:$L$9,4,FALSE)&amp;",5"</f>
        <v>814016,5</v>
      </c>
      <c r="N75" s="16" t="str">
        <f>VLOOKUP(K75,참고!$G$3:$L$9,5,FALSE)&amp;",5"</f>
        <v>811016,5</v>
      </c>
      <c r="P75" s="16" t="str">
        <f>VLOOKUP(K75,참고!$G$3:$L$9,6,FALSE)&amp;",5"</f>
        <v>817016,5</v>
      </c>
      <c r="U75" s="16">
        <f>VLOOKUP(K75,참고!$G$35:$H$41,2,FALSE)</f>
        <v>3</v>
      </c>
    </row>
    <row r="76" spans="1:21" ht="14.1" customHeight="1" x14ac:dyDescent="0.2">
      <c r="A76" s="4">
        <v>106503</v>
      </c>
      <c r="B76" s="17">
        <v>65</v>
      </c>
      <c r="C76" s="1" t="s">
        <v>131</v>
      </c>
      <c r="D76" s="1" t="s">
        <v>61</v>
      </c>
      <c r="E76" s="1" t="s">
        <v>62</v>
      </c>
      <c r="F76" s="1" t="s">
        <v>62</v>
      </c>
      <c r="G76" s="1" t="s">
        <v>228</v>
      </c>
      <c r="H76" s="22" t="s">
        <v>227</v>
      </c>
      <c r="I76" s="1" t="s">
        <v>63</v>
      </c>
      <c r="J76" s="16" t="str">
        <f>VLOOKUP(B76,참고!$C$3:$D$102,2,FALSE)&amp;",5"</f>
        <v>1065,5</v>
      </c>
      <c r="K76" s="1" t="s">
        <v>175</v>
      </c>
      <c r="L76" s="16" t="str">
        <f>VLOOKUP(K76,참고!$G$3:$L$9,3,FALSE)&amp;",5"</f>
        <v>808016,5</v>
      </c>
      <c r="M76" s="16" t="str">
        <f>VLOOKUP(K76,참고!$G$3:$L$9,4,FALSE)&amp;",5"</f>
        <v>814016,5</v>
      </c>
      <c r="N76" s="16" t="str">
        <f>VLOOKUP(K76,참고!$G$3:$L$9,5,FALSE)&amp;",5"</f>
        <v>811016,5</v>
      </c>
      <c r="P76" s="16" t="str">
        <f>VLOOKUP(K76,참고!$G$3:$L$9,6,FALSE)&amp;",5"</f>
        <v>817016,5</v>
      </c>
      <c r="U76" s="16">
        <f>VLOOKUP(K76,참고!$G$35:$H$41,2,FALSE)</f>
        <v>3</v>
      </c>
    </row>
    <row r="77" spans="1:21" ht="14.1" customHeight="1" x14ac:dyDescent="0.2">
      <c r="A77" s="4">
        <v>106601</v>
      </c>
      <c r="B77" s="17">
        <v>66</v>
      </c>
      <c r="C77" s="1" t="s">
        <v>132</v>
      </c>
      <c r="D77" s="1" t="s">
        <v>61</v>
      </c>
      <c r="E77" s="1" t="s">
        <v>62</v>
      </c>
      <c r="F77" s="1" t="s">
        <v>62</v>
      </c>
      <c r="I77" s="1" t="s">
        <v>63</v>
      </c>
      <c r="J77" s="16" t="str">
        <f>VLOOKUP(B77,참고!$C$3:$D$102,2,FALSE)&amp;",5"</f>
        <v>1066,5</v>
      </c>
      <c r="K77" s="1" t="s">
        <v>183</v>
      </c>
      <c r="L77" s="16" t="str">
        <f>VLOOKUP(K77,참고!$G$3:$L$9,3,FALSE)&amp;",5"</f>
        <v>809027,5</v>
      </c>
      <c r="M77" s="16" t="str">
        <f>VLOOKUP(K77,참고!$G$3:$L$9,4,FALSE)&amp;",5"</f>
        <v>814027,5</v>
      </c>
      <c r="N77" s="16" t="str">
        <f>VLOOKUP(K77,참고!$G$3:$L$9,5,FALSE)&amp;",5"</f>
        <v>812027,5</v>
      </c>
      <c r="P77" s="16" t="str">
        <f>VLOOKUP(K77,참고!$G$3:$L$9,6,FALSE)&amp;",5"</f>
        <v>817027,5</v>
      </c>
      <c r="U77" s="16">
        <f>VLOOKUP(K77,참고!$G$35:$H$41,2,FALSE)</f>
        <v>7</v>
      </c>
    </row>
    <row r="78" spans="1:21" ht="14.1" customHeight="1" x14ac:dyDescent="0.2">
      <c r="A78" s="4">
        <v>106701</v>
      </c>
      <c r="B78" s="17">
        <v>67</v>
      </c>
      <c r="C78" s="1" t="s">
        <v>133</v>
      </c>
      <c r="D78" s="1" t="s">
        <v>61</v>
      </c>
      <c r="E78" s="1" t="s">
        <v>62</v>
      </c>
      <c r="F78" s="1" t="s">
        <v>62</v>
      </c>
      <c r="I78" s="1" t="s">
        <v>63</v>
      </c>
      <c r="J78" s="16" t="str">
        <f>VLOOKUP(B78,참고!$C$3:$D$102,2,FALSE)&amp;",5"</f>
        <v>1067,5</v>
      </c>
      <c r="K78" s="1" t="s">
        <v>179</v>
      </c>
      <c r="L78" s="16" t="str">
        <f>VLOOKUP(K78,참고!$G$3:$L$9,3,FALSE)&amp;",5"</f>
        <v>808016,5</v>
      </c>
      <c r="M78" s="16" t="str">
        <f>VLOOKUP(K78,참고!$G$3:$L$9,4,FALSE)&amp;",5"</f>
        <v>814016,5</v>
      </c>
      <c r="N78" s="16" t="str">
        <f>VLOOKUP(K78,참고!$G$3:$L$9,5,FALSE)&amp;",5"</f>
        <v>811016,5</v>
      </c>
      <c r="P78" s="16" t="str">
        <f>VLOOKUP(K78,참고!$G$3:$L$9,6,FALSE)&amp;",5"</f>
        <v>817016,5</v>
      </c>
      <c r="U78" s="16">
        <f>VLOOKUP(K78,참고!$G$35:$H$41,2,FALSE)</f>
        <v>5</v>
      </c>
    </row>
    <row r="79" spans="1:21" ht="14.1" customHeight="1" x14ac:dyDescent="0.2">
      <c r="A79" s="4">
        <v>106801</v>
      </c>
      <c r="B79" s="17">
        <v>68</v>
      </c>
      <c r="C79" s="1" t="s">
        <v>134</v>
      </c>
      <c r="D79" s="1" t="s">
        <v>61</v>
      </c>
      <c r="E79" s="1" t="s">
        <v>62</v>
      </c>
      <c r="F79" s="1" t="s">
        <v>62</v>
      </c>
      <c r="I79" s="1" t="s">
        <v>63</v>
      </c>
      <c r="J79" s="16" t="str">
        <f>VLOOKUP(B79,참고!$C$3:$D$102,2,FALSE)&amp;",5"</f>
        <v>1068,5</v>
      </c>
      <c r="K79" s="1" t="s">
        <v>175</v>
      </c>
      <c r="L79" s="16" t="str">
        <f>VLOOKUP(K79,참고!$G$3:$L$9,3,FALSE)&amp;",5"</f>
        <v>808016,5</v>
      </c>
      <c r="M79" s="16" t="str">
        <f>VLOOKUP(K79,참고!$G$3:$L$9,4,FALSE)&amp;",5"</f>
        <v>814016,5</v>
      </c>
      <c r="N79" s="16" t="str">
        <f>VLOOKUP(K79,참고!$G$3:$L$9,5,FALSE)&amp;",5"</f>
        <v>811016,5</v>
      </c>
      <c r="P79" s="16" t="str">
        <f>VLOOKUP(K79,참고!$G$3:$L$9,6,FALSE)&amp;",5"</f>
        <v>817016,5</v>
      </c>
      <c r="U79" s="16">
        <f>VLOOKUP(K79,참고!$G$35:$H$41,2,FALSE)</f>
        <v>3</v>
      </c>
    </row>
    <row r="80" spans="1:21" ht="14.1" customHeight="1" x14ac:dyDescent="0.2">
      <c r="A80" s="4">
        <v>106901</v>
      </c>
      <c r="B80" s="17">
        <v>69</v>
      </c>
      <c r="C80" s="1" t="s">
        <v>135</v>
      </c>
      <c r="D80" s="1" t="s">
        <v>61</v>
      </c>
      <c r="E80" s="1" t="s">
        <v>62</v>
      </c>
      <c r="F80" s="1" t="s">
        <v>62</v>
      </c>
      <c r="I80" s="1" t="s">
        <v>63</v>
      </c>
      <c r="J80" s="16" t="str">
        <f>VLOOKUP(B80,참고!$C$3:$D$102,2,FALSE)&amp;",5"</f>
        <v>1069,5</v>
      </c>
      <c r="K80" s="1" t="s">
        <v>181</v>
      </c>
      <c r="L80" s="16" t="str">
        <f>VLOOKUP(K80,참고!$G$3:$L$9,3,FALSE)&amp;",5"</f>
        <v>809016,5</v>
      </c>
      <c r="M80" s="16" t="str">
        <f>VLOOKUP(K80,참고!$G$3:$L$9,4,FALSE)&amp;",5"</f>
        <v>814016,5</v>
      </c>
      <c r="N80" s="16" t="str">
        <f>VLOOKUP(K80,참고!$G$3:$L$9,5,FALSE)&amp;",5"</f>
        <v>812016,5</v>
      </c>
      <c r="P80" s="16" t="str">
        <f>VLOOKUP(K80,참고!$G$3:$L$9,6,FALSE)&amp;",5"</f>
        <v>817016,5</v>
      </c>
      <c r="U80" s="16">
        <f>VLOOKUP(K80,참고!$G$35:$H$41,2,FALSE)</f>
        <v>6</v>
      </c>
    </row>
    <row r="81" spans="1:21" ht="14.1" customHeight="1" x14ac:dyDescent="0.2">
      <c r="A81" s="4">
        <v>107001</v>
      </c>
      <c r="B81" s="17">
        <v>70</v>
      </c>
      <c r="C81" s="1" t="s">
        <v>136</v>
      </c>
      <c r="D81" s="1" t="s">
        <v>61</v>
      </c>
      <c r="E81" s="1" t="s">
        <v>62</v>
      </c>
      <c r="F81" s="1" t="s">
        <v>62</v>
      </c>
      <c r="I81" s="1" t="s">
        <v>63</v>
      </c>
      <c r="J81" s="16" t="str">
        <f>VLOOKUP(B81,참고!$C$3:$D$102,2,FALSE)&amp;",5"</f>
        <v>1070,5</v>
      </c>
      <c r="K81" s="1" t="s">
        <v>179</v>
      </c>
      <c r="L81" s="16" t="str">
        <f>VLOOKUP(K81,참고!$G$3:$L$9,3,FALSE)&amp;",5"</f>
        <v>808016,5</v>
      </c>
      <c r="M81" s="16" t="str">
        <f>VLOOKUP(K81,참고!$G$3:$L$9,4,FALSE)&amp;",5"</f>
        <v>814016,5</v>
      </c>
      <c r="N81" s="16" t="str">
        <f>VLOOKUP(K81,참고!$G$3:$L$9,5,FALSE)&amp;",5"</f>
        <v>811016,5</v>
      </c>
      <c r="P81" s="16" t="str">
        <f>VLOOKUP(K81,참고!$G$3:$L$9,6,FALSE)&amp;",5"</f>
        <v>817016,5</v>
      </c>
      <c r="U81" s="16">
        <f>VLOOKUP(K81,참고!$G$35:$H$41,2,FALSE)</f>
        <v>5</v>
      </c>
    </row>
    <row r="82" spans="1:21" ht="14.1" customHeight="1" x14ac:dyDescent="0.2">
      <c r="A82" s="4">
        <v>107101</v>
      </c>
      <c r="B82" s="17">
        <v>71</v>
      </c>
      <c r="C82" s="1" t="s">
        <v>137</v>
      </c>
      <c r="D82" s="1" t="s">
        <v>61</v>
      </c>
      <c r="E82" s="1" t="s">
        <v>62</v>
      </c>
      <c r="F82" s="1" t="s">
        <v>62</v>
      </c>
      <c r="I82" s="1" t="s">
        <v>63</v>
      </c>
      <c r="J82" s="16" t="str">
        <f>VLOOKUP(B82,참고!$C$3:$D$102,2,FALSE)&amp;",5"</f>
        <v>1071,5</v>
      </c>
      <c r="K82" s="16" t="s">
        <v>171</v>
      </c>
      <c r="L82" s="16" t="str">
        <f>VLOOKUP(K82,참고!$G$3:$L$9,3,FALSE)&amp;",5"</f>
        <v>807016,5</v>
      </c>
      <c r="M82" s="16" t="str">
        <f>VLOOKUP(K82,참고!$G$3:$L$9,4,FALSE)&amp;",5"</f>
        <v>814016,5</v>
      </c>
      <c r="N82" s="16" t="str">
        <f>VLOOKUP(K82,참고!$G$3:$L$9,5,FALSE)&amp;",5"</f>
        <v>810016,5</v>
      </c>
      <c r="P82" s="16" t="str">
        <f>VLOOKUP(K82,참고!$G$3:$L$9,6,FALSE)&amp;",5"</f>
        <v>817016,5</v>
      </c>
      <c r="U82" s="16">
        <f>VLOOKUP(K82,참고!$G$35:$H$41,2,FALSE)</f>
        <v>2</v>
      </c>
    </row>
    <row r="83" spans="1:21" ht="14.1" customHeight="1" x14ac:dyDescent="0.2">
      <c r="A83" s="4">
        <v>107201</v>
      </c>
      <c r="B83" s="17">
        <v>72</v>
      </c>
      <c r="C83" s="1" t="s">
        <v>138</v>
      </c>
      <c r="D83" s="1" t="s">
        <v>61</v>
      </c>
      <c r="E83" s="1" t="s">
        <v>62</v>
      </c>
      <c r="F83" s="1" t="s">
        <v>62</v>
      </c>
      <c r="I83" s="1" t="s">
        <v>63</v>
      </c>
      <c r="J83" s="16" t="str">
        <f>VLOOKUP(B83,참고!$C$3:$D$102,2,FALSE)&amp;",5"</f>
        <v>1072,5</v>
      </c>
      <c r="K83" s="1" t="s">
        <v>179</v>
      </c>
      <c r="L83" s="16" t="str">
        <f>VLOOKUP(K83,참고!$G$3:$L$9,3,FALSE)&amp;",5"</f>
        <v>808016,5</v>
      </c>
      <c r="M83" s="16" t="str">
        <f>VLOOKUP(K83,참고!$G$3:$L$9,4,FALSE)&amp;",5"</f>
        <v>814016,5</v>
      </c>
      <c r="N83" s="16" t="str">
        <f>VLOOKUP(K83,참고!$G$3:$L$9,5,FALSE)&amp;",5"</f>
        <v>811016,5</v>
      </c>
      <c r="P83" s="16" t="str">
        <f>VLOOKUP(K83,참고!$G$3:$L$9,6,FALSE)&amp;",5"</f>
        <v>817016,5</v>
      </c>
      <c r="U83" s="16">
        <f>VLOOKUP(K83,참고!$G$35:$H$41,2,FALSE)</f>
        <v>5</v>
      </c>
    </row>
    <row r="84" spans="1:21" ht="14.1" customHeight="1" x14ac:dyDescent="0.2">
      <c r="A84" s="4">
        <v>107301</v>
      </c>
      <c r="B84" s="17">
        <v>73</v>
      </c>
      <c r="C84" s="1" t="s">
        <v>139</v>
      </c>
      <c r="D84" s="1" t="s">
        <v>61</v>
      </c>
      <c r="E84" s="1" t="s">
        <v>62</v>
      </c>
      <c r="F84" s="1" t="s">
        <v>62</v>
      </c>
      <c r="I84" s="1" t="s">
        <v>63</v>
      </c>
      <c r="J84" s="16" t="str">
        <f>VLOOKUP(B84,참고!$C$3:$D$102,2,FALSE)&amp;",5"</f>
        <v>1073,5</v>
      </c>
      <c r="K84" s="16" t="s">
        <v>171</v>
      </c>
      <c r="L84" s="16" t="str">
        <f>VLOOKUP(K84,참고!$G$3:$L$9,3,FALSE)&amp;",5"</f>
        <v>807016,5</v>
      </c>
      <c r="M84" s="16" t="str">
        <f>VLOOKUP(K84,참고!$G$3:$L$9,4,FALSE)&amp;",5"</f>
        <v>814016,5</v>
      </c>
      <c r="N84" s="16" t="str">
        <f>VLOOKUP(K84,참고!$G$3:$L$9,5,FALSE)&amp;",5"</f>
        <v>810016,5</v>
      </c>
      <c r="P84" s="16" t="str">
        <f>VLOOKUP(K84,참고!$G$3:$L$9,6,FALSE)&amp;",5"</f>
        <v>817016,5</v>
      </c>
      <c r="U84" s="16">
        <f>VLOOKUP(K84,참고!$G$35:$H$41,2,FALSE)</f>
        <v>2</v>
      </c>
    </row>
    <row r="85" spans="1:21" ht="14.1" customHeight="1" x14ac:dyDescent="0.2">
      <c r="A85" s="4">
        <v>107401</v>
      </c>
      <c r="B85" s="17">
        <v>74</v>
      </c>
      <c r="C85" s="1" t="s">
        <v>140</v>
      </c>
      <c r="D85" s="1" t="s">
        <v>61</v>
      </c>
      <c r="E85" s="1" t="s">
        <v>62</v>
      </c>
      <c r="F85" s="1" t="s">
        <v>62</v>
      </c>
      <c r="I85" s="1" t="s">
        <v>63</v>
      </c>
      <c r="J85" s="16" t="str">
        <f>VLOOKUP(B85,참고!$C$3:$D$102,2,FALSE)&amp;",5"</f>
        <v>1074,5</v>
      </c>
      <c r="K85" s="1" t="s">
        <v>175</v>
      </c>
      <c r="L85" s="16" t="str">
        <f>VLOOKUP(K85,참고!$G$3:$L$9,3,FALSE)&amp;",5"</f>
        <v>808016,5</v>
      </c>
      <c r="M85" s="16" t="str">
        <f>VLOOKUP(K85,참고!$G$3:$L$9,4,FALSE)&amp;",5"</f>
        <v>814016,5</v>
      </c>
      <c r="N85" s="16" t="str">
        <f>VLOOKUP(K85,참고!$G$3:$L$9,5,FALSE)&amp;",5"</f>
        <v>811016,5</v>
      </c>
      <c r="P85" s="16" t="str">
        <f>VLOOKUP(K85,참고!$G$3:$L$9,6,FALSE)&amp;",5"</f>
        <v>817016,5</v>
      </c>
      <c r="U85" s="16">
        <f>VLOOKUP(K85,참고!$G$35:$H$41,2,FALSE)</f>
        <v>3</v>
      </c>
    </row>
    <row r="86" spans="1:21" ht="14.1" customHeight="1" x14ac:dyDescent="0.2">
      <c r="A86" s="4">
        <v>107501</v>
      </c>
      <c r="B86" s="17">
        <v>75</v>
      </c>
      <c r="C86" s="1" t="s">
        <v>141</v>
      </c>
      <c r="D86" s="1" t="s">
        <v>61</v>
      </c>
      <c r="E86" s="1" t="s">
        <v>62</v>
      </c>
      <c r="F86" s="1" t="s">
        <v>62</v>
      </c>
      <c r="I86" s="1" t="s">
        <v>63</v>
      </c>
      <c r="J86" s="16" t="str">
        <f>VLOOKUP(B86,참고!$C$3:$D$102,2,FALSE)&amp;",5"</f>
        <v>1075,5</v>
      </c>
      <c r="K86" s="1" t="s">
        <v>181</v>
      </c>
      <c r="L86" s="16" t="str">
        <f>VLOOKUP(K86,참고!$G$3:$L$9,3,FALSE)&amp;",5"</f>
        <v>809016,5</v>
      </c>
      <c r="M86" s="16" t="str">
        <f>VLOOKUP(K86,참고!$G$3:$L$9,4,FALSE)&amp;",5"</f>
        <v>814016,5</v>
      </c>
      <c r="N86" s="16" t="str">
        <f>VLOOKUP(K86,참고!$G$3:$L$9,5,FALSE)&amp;",5"</f>
        <v>812016,5</v>
      </c>
      <c r="P86" s="16" t="str">
        <f>VLOOKUP(K86,참고!$G$3:$L$9,6,FALSE)&amp;",5"</f>
        <v>817016,5</v>
      </c>
      <c r="U86" s="16">
        <f>VLOOKUP(K86,참고!$G$35:$H$41,2,FALSE)</f>
        <v>6</v>
      </c>
    </row>
    <row r="87" spans="1:21" ht="14.1" customHeight="1" x14ac:dyDescent="0.2">
      <c r="A87" s="4">
        <v>107601</v>
      </c>
      <c r="B87" s="17">
        <v>76</v>
      </c>
      <c r="C87" s="1" t="s">
        <v>142</v>
      </c>
      <c r="D87" s="1" t="s">
        <v>61</v>
      </c>
      <c r="E87" s="1" t="s">
        <v>62</v>
      </c>
      <c r="F87" s="1" t="s">
        <v>62</v>
      </c>
      <c r="I87" s="1" t="s">
        <v>63</v>
      </c>
      <c r="J87" s="16" t="str">
        <f>VLOOKUP(B87,참고!$C$3:$D$102,2,FALSE)&amp;",5"</f>
        <v>1076,5</v>
      </c>
      <c r="K87" s="1" t="s">
        <v>173</v>
      </c>
      <c r="L87" s="16" t="str">
        <f>VLOOKUP(K87,참고!$G$3:$L$9,3,FALSE)&amp;",5"</f>
        <v>807026,5</v>
      </c>
      <c r="M87" s="16" t="str">
        <f>VLOOKUP(K87,참고!$G$3:$L$9,4,FALSE)&amp;",5"</f>
        <v>813026,5</v>
      </c>
      <c r="N87" s="16" t="str">
        <f>VLOOKUP(K87,참고!$G$3:$L$9,5,FALSE)&amp;",5"</f>
        <v>810026,5</v>
      </c>
      <c r="P87" s="16" t="str">
        <f>VLOOKUP(K87,참고!$G$3:$L$9,6,FALSE)&amp;",5"</f>
        <v>817026,5</v>
      </c>
      <c r="U87" s="16">
        <f>VLOOKUP(K87,참고!$G$35:$H$41,2,FALSE)</f>
        <v>1</v>
      </c>
    </row>
    <row r="88" spans="1:21" ht="14.1" customHeight="1" x14ac:dyDescent="0.2">
      <c r="A88" s="4">
        <v>107701</v>
      </c>
      <c r="B88" s="17">
        <v>77</v>
      </c>
      <c r="C88" s="1" t="s">
        <v>143</v>
      </c>
      <c r="D88" s="1" t="s">
        <v>61</v>
      </c>
      <c r="E88" s="1" t="s">
        <v>62</v>
      </c>
      <c r="F88" s="1" t="s">
        <v>62</v>
      </c>
      <c r="I88" s="1" t="s">
        <v>63</v>
      </c>
      <c r="J88" s="16" t="str">
        <f>VLOOKUP(B88,참고!$C$3:$D$102,2,FALSE)&amp;",5"</f>
        <v>1077,5</v>
      </c>
      <c r="K88" s="1" t="s">
        <v>181</v>
      </c>
      <c r="L88" s="16" t="str">
        <f>VLOOKUP(K88,참고!$G$3:$L$9,3,FALSE)&amp;",5"</f>
        <v>809016,5</v>
      </c>
      <c r="M88" s="16" t="str">
        <f>VLOOKUP(K88,참고!$G$3:$L$9,4,FALSE)&amp;",5"</f>
        <v>814016,5</v>
      </c>
      <c r="N88" s="16" t="str">
        <f>VLOOKUP(K88,참고!$G$3:$L$9,5,FALSE)&amp;",5"</f>
        <v>812016,5</v>
      </c>
      <c r="P88" s="16" t="str">
        <f>VLOOKUP(K88,참고!$G$3:$L$9,6,FALSE)&amp;",5"</f>
        <v>817016,5</v>
      </c>
      <c r="U88" s="16">
        <f>VLOOKUP(K88,참고!$G$35:$H$41,2,FALSE)</f>
        <v>6</v>
      </c>
    </row>
    <row r="89" spans="1:21" ht="14.1" customHeight="1" x14ac:dyDescent="0.2">
      <c r="A89" s="4">
        <v>107801</v>
      </c>
      <c r="B89" s="17">
        <v>78</v>
      </c>
      <c r="C89" s="1" t="s">
        <v>144</v>
      </c>
      <c r="D89" s="1" t="s">
        <v>61</v>
      </c>
      <c r="E89" s="1" t="s">
        <v>62</v>
      </c>
      <c r="F89" s="1" t="s">
        <v>62</v>
      </c>
      <c r="I89" s="1" t="s">
        <v>63</v>
      </c>
      <c r="J89" s="16" t="str">
        <f>VLOOKUP(B89,참고!$C$3:$D$102,2,FALSE)&amp;",5"</f>
        <v>1078,5</v>
      </c>
      <c r="K89" s="16" t="s">
        <v>171</v>
      </c>
      <c r="L89" s="16" t="str">
        <f>VLOOKUP(K89,참고!$G$3:$L$9,3,FALSE)&amp;",5"</f>
        <v>807016,5</v>
      </c>
      <c r="M89" s="16" t="str">
        <f>VLOOKUP(K89,참고!$G$3:$L$9,4,FALSE)&amp;",5"</f>
        <v>814016,5</v>
      </c>
      <c r="N89" s="16" t="str">
        <f>VLOOKUP(K89,참고!$G$3:$L$9,5,FALSE)&amp;",5"</f>
        <v>810016,5</v>
      </c>
      <c r="P89" s="16" t="str">
        <f>VLOOKUP(K89,참고!$G$3:$L$9,6,FALSE)&amp;",5"</f>
        <v>817016,5</v>
      </c>
      <c r="U89" s="16">
        <f>VLOOKUP(K89,참고!$G$35:$H$41,2,FALSE)</f>
        <v>2</v>
      </c>
    </row>
    <row r="90" spans="1:21" ht="14.1" customHeight="1" x14ac:dyDescent="0.2">
      <c r="A90" s="4">
        <v>107901</v>
      </c>
      <c r="B90" s="17">
        <v>79</v>
      </c>
      <c r="C90" s="1" t="s">
        <v>145</v>
      </c>
      <c r="D90" s="1" t="s">
        <v>61</v>
      </c>
      <c r="E90" s="1" t="s">
        <v>62</v>
      </c>
      <c r="F90" s="1" t="s">
        <v>62</v>
      </c>
      <c r="I90" s="1" t="s">
        <v>63</v>
      </c>
      <c r="J90" s="16" t="str">
        <f>VLOOKUP(B90,참고!$C$3:$D$102,2,FALSE)&amp;",5"</f>
        <v>1079,5</v>
      </c>
      <c r="K90" s="1" t="s">
        <v>183</v>
      </c>
      <c r="L90" s="16" t="str">
        <f>VLOOKUP(K90,참고!$G$3:$L$9,3,FALSE)&amp;",5"</f>
        <v>809027,5</v>
      </c>
      <c r="M90" s="16" t="str">
        <f>VLOOKUP(K90,참고!$G$3:$L$9,4,FALSE)&amp;",5"</f>
        <v>814027,5</v>
      </c>
      <c r="N90" s="16" t="str">
        <f>VLOOKUP(K90,참고!$G$3:$L$9,5,FALSE)&amp;",5"</f>
        <v>812027,5</v>
      </c>
      <c r="P90" s="16" t="str">
        <f>VLOOKUP(K90,참고!$G$3:$L$9,6,FALSE)&amp;",5"</f>
        <v>817027,5</v>
      </c>
      <c r="U90" s="16">
        <f>VLOOKUP(K90,참고!$G$35:$H$41,2,FALSE)</f>
        <v>7</v>
      </c>
    </row>
    <row r="91" spans="1:21" ht="14.1" customHeight="1" x14ac:dyDescent="0.2">
      <c r="A91" s="4">
        <v>108001</v>
      </c>
      <c r="B91" s="17">
        <v>80</v>
      </c>
      <c r="C91" s="1" t="s">
        <v>146</v>
      </c>
      <c r="D91" s="1" t="s">
        <v>61</v>
      </c>
      <c r="E91" s="1" t="s">
        <v>62</v>
      </c>
      <c r="F91" s="1" t="s">
        <v>62</v>
      </c>
      <c r="I91" s="1" t="s">
        <v>63</v>
      </c>
      <c r="J91" s="16" t="str">
        <f>VLOOKUP(B91,참고!$C$3:$D$102,2,FALSE)&amp;",5"</f>
        <v>1080,5</v>
      </c>
      <c r="K91" s="1" t="s">
        <v>173</v>
      </c>
      <c r="L91" s="16" t="str">
        <f>VLOOKUP(K91,참고!$G$3:$L$9,3,FALSE)&amp;",5"</f>
        <v>807026,5</v>
      </c>
      <c r="M91" s="16" t="str">
        <f>VLOOKUP(K91,참고!$G$3:$L$9,4,FALSE)&amp;",5"</f>
        <v>813026,5</v>
      </c>
      <c r="N91" s="16" t="str">
        <f>VLOOKUP(K91,참고!$G$3:$L$9,5,FALSE)&amp;",5"</f>
        <v>810026,5</v>
      </c>
      <c r="P91" s="16" t="str">
        <f>VLOOKUP(K91,참고!$G$3:$L$9,6,FALSE)&amp;",5"</f>
        <v>817026,5</v>
      </c>
      <c r="U91" s="16">
        <f>VLOOKUP(K91,참고!$G$35:$H$41,2,FALSE)</f>
        <v>1</v>
      </c>
    </row>
    <row r="92" spans="1:21" ht="14.1" customHeight="1" x14ac:dyDescent="0.2">
      <c r="A92" s="4">
        <v>108101</v>
      </c>
      <c r="B92" s="17">
        <v>81</v>
      </c>
      <c r="C92" s="1" t="s">
        <v>147</v>
      </c>
      <c r="D92" s="1" t="s">
        <v>61</v>
      </c>
      <c r="E92" s="1" t="s">
        <v>62</v>
      </c>
      <c r="F92" s="1" t="s">
        <v>62</v>
      </c>
      <c r="I92" s="1" t="s">
        <v>63</v>
      </c>
      <c r="J92" s="16" t="str">
        <f>VLOOKUP(B92,참고!$C$3:$D$102,2,FALSE)&amp;",5"</f>
        <v>1081,5</v>
      </c>
      <c r="K92" s="16" t="s">
        <v>171</v>
      </c>
      <c r="L92" s="16" t="str">
        <f>VLOOKUP(K92,참고!$G$3:$L$9,3,FALSE)&amp;",5"</f>
        <v>807016,5</v>
      </c>
      <c r="M92" s="16" t="str">
        <f>VLOOKUP(K92,참고!$G$3:$L$9,4,FALSE)&amp;",5"</f>
        <v>814016,5</v>
      </c>
      <c r="N92" s="16" t="str">
        <f>VLOOKUP(K92,참고!$G$3:$L$9,5,FALSE)&amp;",5"</f>
        <v>810016,5</v>
      </c>
      <c r="P92" s="16" t="str">
        <f>VLOOKUP(K92,참고!$G$3:$L$9,6,FALSE)&amp;",5"</f>
        <v>817016,5</v>
      </c>
      <c r="U92" s="16">
        <f>VLOOKUP(K92,참고!$G$35:$H$41,2,FALSE)</f>
        <v>2</v>
      </c>
    </row>
    <row r="93" spans="1:21" ht="14.1" customHeight="1" x14ac:dyDescent="0.2">
      <c r="A93" s="4">
        <v>108201</v>
      </c>
      <c r="B93" s="17">
        <v>82</v>
      </c>
      <c r="C93" s="1" t="s">
        <v>148</v>
      </c>
      <c r="D93" s="1" t="s">
        <v>61</v>
      </c>
      <c r="E93" s="1" t="s">
        <v>62</v>
      </c>
      <c r="F93" s="1" t="s">
        <v>62</v>
      </c>
      <c r="I93" s="1" t="s">
        <v>63</v>
      </c>
      <c r="J93" s="16" t="str">
        <f>VLOOKUP(B93,참고!$C$3:$D$102,2,FALSE)&amp;",5"</f>
        <v>1082,5</v>
      </c>
      <c r="K93" s="1" t="s">
        <v>181</v>
      </c>
      <c r="L93" s="16" t="str">
        <f>VLOOKUP(K93,참고!$G$3:$L$9,3,FALSE)&amp;",5"</f>
        <v>809016,5</v>
      </c>
      <c r="M93" s="16" t="str">
        <f>VLOOKUP(K93,참고!$G$3:$L$9,4,FALSE)&amp;",5"</f>
        <v>814016,5</v>
      </c>
      <c r="N93" s="16" t="str">
        <f>VLOOKUP(K93,참고!$G$3:$L$9,5,FALSE)&amp;",5"</f>
        <v>812016,5</v>
      </c>
      <c r="P93" s="16" t="str">
        <f>VLOOKUP(K93,참고!$G$3:$L$9,6,FALSE)&amp;",5"</f>
        <v>817016,5</v>
      </c>
      <c r="U93" s="16">
        <f>VLOOKUP(K93,참고!$G$35:$H$41,2,FALSE)</f>
        <v>6</v>
      </c>
    </row>
    <row r="94" spans="1:21" ht="14.1" customHeight="1" x14ac:dyDescent="0.2">
      <c r="A94" s="4">
        <v>108301</v>
      </c>
      <c r="B94" s="17">
        <v>83</v>
      </c>
      <c r="C94" s="1" t="s">
        <v>149</v>
      </c>
      <c r="D94" s="1" t="s">
        <v>61</v>
      </c>
      <c r="E94" s="1" t="s">
        <v>62</v>
      </c>
      <c r="F94" s="1" t="s">
        <v>62</v>
      </c>
      <c r="I94" s="1" t="s">
        <v>63</v>
      </c>
      <c r="J94" s="16" t="str">
        <f>VLOOKUP(B94,참고!$C$3:$D$102,2,FALSE)&amp;",5"</f>
        <v>1083,5</v>
      </c>
      <c r="K94" s="16" t="s">
        <v>171</v>
      </c>
      <c r="L94" s="16" t="str">
        <f>VLOOKUP(K94,참고!$G$3:$L$9,3,FALSE)&amp;",5"</f>
        <v>807016,5</v>
      </c>
      <c r="M94" s="16" t="str">
        <f>VLOOKUP(K94,참고!$G$3:$L$9,4,FALSE)&amp;",5"</f>
        <v>814016,5</v>
      </c>
      <c r="N94" s="16" t="str">
        <f>VLOOKUP(K94,참고!$G$3:$L$9,5,FALSE)&amp;",5"</f>
        <v>810016,5</v>
      </c>
      <c r="P94" s="16" t="str">
        <f>VLOOKUP(K94,참고!$G$3:$L$9,6,FALSE)&amp;",5"</f>
        <v>817016,5</v>
      </c>
      <c r="U94" s="16">
        <f>VLOOKUP(K94,참고!$G$35:$H$41,2,FALSE)</f>
        <v>2</v>
      </c>
    </row>
    <row r="95" spans="1:21" ht="14.1" customHeight="1" x14ac:dyDescent="0.2">
      <c r="A95" s="4">
        <v>108401</v>
      </c>
      <c r="B95" s="17">
        <v>84</v>
      </c>
      <c r="C95" s="1" t="s">
        <v>150</v>
      </c>
      <c r="D95" s="1" t="s">
        <v>61</v>
      </c>
      <c r="E95" s="1" t="s">
        <v>62</v>
      </c>
      <c r="F95" s="1" t="s">
        <v>62</v>
      </c>
      <c r="I95" s="1" t="s">
        <v>63</v>
      </c>
      <c r="J95" s="16" t="str">
        <f>VLOOKUP(B95,참고!$C$3:$D$102,2,FALSE)&amp;",5"</f>
        <v>1084,5</v>
      </c>
      <c r="K95" s="16" t="s">
        <v>171</v>
      </c>
      <c r="L95" s="16" t="str">
        <f>VLOOKUP(K95,참고!$G$3:$L$9,3,FALSE)&amp;",5"</f>
        <v>807016,5</v>
      </c>
      <c r="M95" s="16" t="str">
        <f>VLOOKUP(K95,참고!$G$3:$L$9,4,FALSE)&amp;",5"</f>
        <v>814016,5</v>
      </c>
      <c r="N95" s="16" t="str">
        <f>VLOOKUP(K95,참고!$G$3:$L$9,5,FALSE)&amp;",5"</f>
        <v>810016,5</v>
      </c>
      <c r="P95" s="16" t="str">
        <f>VLOOKUP(K95,참고!$G$3:$L$9,6,FALSE)&amp;",5"</f>
        <v>817016,5</v>
      </c>
      <c r="U95" s="16">
        <f>VLOOKUP(K95,참고!$G$35:$H$41,2,FALSE)</f>
        <v>2</v>
      </c>
    </row>
    <row r="96" spans="1:21" ht="14.1" customHeight="1" x14ac:dyDescent="0.2">
      <c r="A96" s="4">
        <v>108501</v>
      </c>
      <c r="B96" s="17">
        <v>85</v>
      </c>
      <c r="C96" s="1" t="s">
        <v>151</v>
      </c>
      <c r="D96" s="1" t="s">
        <v>61</v>
      </c>
      <c r="E96" s="1" t="s">
        <v>62</v>
      </c>
      <c r="F96" s="1" t="s">
        <v>62</v>
      </c>
      <c r="I96" s="1" t="s">
        <v>63</v>
      </c>
      <c r="J96" s="16" t="str">
        <f>VLOOKUP(B96,참고!$C$3:$D$102,2,FALSE)&amp;",5"</f>
        <v>1085,5</v>
      </c>
      <c r="K96" s="1" t="s">
        <v>183</v>
      </c>
      <c r="L96" s="16" t="str">
        <f>VLOOKUP(K96,참고!$G$3:$L$9,3,FALSE)&amp;",5"</f>
        <v>809027,5</v>
      </c>
      <c r="M96" s="16" t="str">
        <f>VLOOKUP(K96,참고!$G$3:$L$9,4,FALSE)&amp;",5"</f>
        <v>814027,5</v>
      </c>
      <c r="N96" s="16" t="str">
        <f>VLOOKUP(K96,참고!$G$3:$L$9,5,FALSE)&amp;",5"</f>
        <v>812027,5</v>
      </c>
      <c r="P96" s="16" t="str">
        <f>VLOOKUP(K96,참고!$G$3:$L$9,6,FALSE)&amp;",5"</f>
        <v>817027,5</v>
      </c>
      <c r="U96" s="16">
        <f>VLOOKUP(K96,참고!$G$35:$H$41,2,FALSE)</f>
        <v>7</v>
      </c>
    </row>
    <row r="97" spans="1:21" ht="14.1" customHeight="1" x14ac:dyDescent="0.2">
      <c r="A97" s="4">
        <v>108601</v>
      </c>
      <c r="B97" s="17">
        <v>86</v>
      </c>
      <c r="C97" s="1" t="s">
        <v>152</v>
      </c>
      <c r="D97" s="1" t="s">
        <v>61</v>
      </c>
      <c r="E97" s="1" t="s">
        <v>62</v>
      </c>
      <c r="F97" s="1" t="s">
        <v>62</v>
      </c>
      <c r="I97" s="1" t="s">
        <v>63</v>
      </c>
      <c r="J97" s="16" t="str">
        <f>VLOOKUP(B97,참고!$C$3:$D$102,2,FALSE)&amp;",5"</f>
        <v>1086,5</v>
      </c>
      <c r="K97" s="1" t="s">
        <v>175</v>
      </c>
      <c r="L97" s="16" t="str">
        <f>VLOOKUP(K97,참고!$G$3:$L$9,3,FALSE)&amp;",5"</f>
        <v>808016,5</v>
      </c>
      <c r="M97" s="16" t="str">
        <f>VLOOKUP(K97,참고!$G$3:$L$9,4,FALSE)&amp;",5"</f>
        <v>814016,5</v>
      </c>
      <c r="N97" s="16" t="str">
        <f>VLOOKUP(K97,참고!$G$3:$L$9,5,FALSE)&amp;",5"</f>
        <v>811016,5</v>
      </c>
      <c r="P97" s="16" t="str">
        <f>VLOOKUP(K97,참고!$G$3:$L$9,6,FALSE)&amp;",5"</f>
        <v>817016,5</v>
      </c>
      <c r="U97" s="16">
        <f>VLOOKUP(K97,참고!$G$35:$H$41,2,FALSE)</f>
        <v>3</v>
      </c>
    </row>
    <row r="98" spans="1:21" ht="14.1" customHeight="1" x14ac:dyDescent="0.2">
      <c r="A98" s="4">
        <v>108701</v>
      </c>
      <c r="B98" s="17">
        <v>87</v>
      </c>
      <c r="C98" s="1" t="s">
        <v>153</v>
      </c>
      <c r="D98" s="1" t="s">
        <v>61</v>
      </c>
      <c r="E98" s="1" t="s">
        <v>62</v>
      </c>
      <c r="F98" s="1" t="s">
        <v>62</v>
      </c>
      <c r="I98" s="1" t="s">
        <v>63</v>
      </c>
      <c r="J98" s="16" t="str">
        <f>VLOOKUP(B98,참고!$C$3:$D$102,2,FALSE)&amp;",5"</f>
        <v>1087,5</v>
      </c>
      <c r="K98" s="1" t="s">
        <v>173</v>
      </c>
      <c r="L98" s="16" t="str">
        <f>VLOOKUP(K98,참고!$G$3:$L$9,3,FALSE)&amp;",5"</f>
        <v>807026,5</v>
      </c>
      <c r="M98" s="16" t="str">
        <f>VLOOKUP(K98,참고!$G$3:$L$9,4,FALSE)&amp;",5"</f>
        <v>813026,5</v>
      </c>
      <c r="N98" s="16" t="str">
        <f>VLOOKUP(K98,참고!$G$3:$L$9,5,FALSE)&amp;",5"</f>
        <v>810026,5</v>
      </c>
      <c r="P98" s="16" t="str">
        <f>VLOOKUP(K98,참고!$G$3:$L$9,6,FALSE)&amp;",5"</f>
        <v>817026,5</v>
      </c>
      <c r="U98" s="16">
        <f>VLOOKUP(K98,참고!$G$35:$H$41,2,FALSE)</f>
        <v>1</v>
      </c>
    </row>
    <row r="99" spans="1:21" ht="14.1" customHeight="1" x14ac:dyDescent="0.2">
      <c r="A99" s="4">
        <v>108801</v>
      </c>
      <c r="B99" s="17">
        <v>88</v>
      </c>
      <c r="C99" s="1" t="s">
        <v>154</v>
      </c>
      <c r="D99" s="1" t="s">
        <v>61</v>
      </c>
      <c r="E99" s="1" t="s">
        <v>62</v>
      </c>
      <c r="F99" s="1" t="s">
        <v>62</v>
      </c>
      <c r="I99" s="1" t="s">
        <v>63</v>
      </c>
      <c r="J99" s="16" t="str">
        <f>VLOOKUP(B99,참고!$C$3:$D$102,2,FALSE)&amp;",5"</f>
        <v>1088,5</v>
      </c>
      <c r="K99" s="16" t="s">
        <v>171</v>
      </c>
      <c r="L99" s="16" t="str">
        <f>VLOOKUP(K99,참고!$G$3:$L$9,3,FALSE)&amp;",5"</f>
        <v>807016,5</v>
      </c>
      <c r="M99" s="16" t="str">
        <f>VLOOKUP(K99,참고!$G$3:$L$9,4,FALSE)&amp;",5"</f>
        <v>814016,5</v>
      </c>
      <c r="N99" s="16" t="str">
        <f>VLOOKUP(K99,참고!$G$3:$L$9,5,FALSE)&amp;",5"</f>
        <v>810016,5</v>
      </c>
      <c r="P99" s="16" t="str">
        <f>VLOOKUP(K99,참고!$G$3:$L$9,6,FALSE)&amp;",5"</f>
        <v>817016,5</v>
      </c>
      <c r="U99" s="16">
        <f>VLOOKUP(K99,참고!$G$35:$H$41,2,FALSE)</f>
        <v>2</v>
      </c>
    </row>
    <row r="100" spans="1:21" ht="14.1" customHeight="1" x14ac:dyDescent="0.2">
      <c r="A100" s="4">
        <v>108901</v>
      </c>
      <c r="B100" s="17">
        <v>89</v>
      </c>
      <c r="C100" s="1" t="s">
        <v>155</v>
      </c>
      <c r="D100" s="1" t="s">
        <v>61</v>
      </c>
      <c r="E100" s="1" t="s">
        <v>62</v>
      </c>
      <c r="F100" s="1" t="s">
        <v>62</v>
      </c>
      <c r="I100" s="1" t="s">
        <v>63</v>
      </c>
      <c r="J100" s="16" t="str">
        <f>VLOOKUP(B100,참고!$C$3:$D$102,2,FALSE)&amp;",5"</f>
        <v>1089,5</v>
      </c>
      <c r="K100" s="1" t="s">
        <v>175</v>
      </c>
      <c r="L100" s="16" t="str">
        <f>VLOOKUP(K100,참고!$G$3:$L$9,3,FALSE)&amp;",5"</f>
        <v>808016,5</v>
      </c>
      <c r="M100" s="16" t="str">
        <f>VLOOKUP(K100,참고!$G$3:$L$9,4,FALSE)&amp;",5"</f>
        <v>814016,5</v>
      </c>
      <c r="N100" s="16" t="str">
        <f>VLOOKUP(K100,참고!$G$3:$L$9,5,FALSE)&amp;",5"</f>
        <v>811016,5</v>
      </c>
      <c r="P100" s="16" t="str">
        <f>VLOOKUP(K100,참고!$G$3:$L$9,6,FALSE)&amp;",5"</f>
        <v>817016,5</v>
      </c>
      <c r="U100" s="16">
        <f>VLOOKUP(K100,참고!$G$35:$H$41,2,FALSE)</f>
        <v>3</v>
      </c>
    </row>
    <row r="101" spans="1:21" ht="14.1" customHeight="1" x14ac:dyDescent="0.2">
      <c r="A101" s="4">
        <v>109001</v>
      </c>
      <c r="B101" s="17">
        <v>90</v>
      </c>
      <c r="C101" s="1" t="s">
        <v>156</v>
      </c>
      <c r="D101" s="1" t="s">
        <v>61</v>
      </c>
      <c r="E101" s="1" t="s">
        <v>62</v>
      </c>
      <c r="F101" s="1" t="s">
        <v>62</v>
      </c>
      <c r="I101" s="1" t="s">
        <v>63</v>
      </c>
      <c r="J101" s="16" t="str">
        <f>VLOOKUP(B101,참고!$C$3:$D$102,2,FALSE)&amp;",5"</f>
        <v>1090,5</v>
      </c>
      <c r="K101" s="1" t="s">
        <v>183</v>
      </c>
      <c r="L101" s="16" t="str">
        <f>VLOOKUP(K101,참고!$G$3:$L$9,3,FALSE)&amp;",5"</f>
        <v>809027,5</v>
      </c>
      <c r="M101" s="16" t="str">
        <f>VLOOKUP(K101,참고!$G$3:$L$9,4,FALSE)&amp;",5"</f>
        <v>814027,5</v>
      </c>
      <c r="N101" s="16" t="str">
        <f>VLOOKUP(K101,참고!$G$3:$L$9,5,FALSE)&amp;",5"</f>
        <v>812027,5</v>
      </c>
      <c r="P101" s="16" t="str">
        <f>VLOOKUP(K101,참고!$G$3:$L$9,6,FALSE)&amp;",5"</f>
        <v>817027,5</v>
      </c>
      <c r="U101" s="16">
        <f>VLOOKUP(K101,참고!$G$35:$H$41,2,FALSE)</f>
        <v>7</v>
      </c>
    </row>
    <row r="102" spans="1:21" ht="14.1" customHeight="1" x14ac:dyDescent="0.2">
      <c r="A102" s="4">
        <v>109101</v>
      </c>
      <c r="B102" s="17">
        <v>91</v>
      </c>
      <c r="C102" s="1" t="s">
        <v>157</v>
      </c>
      <c r="D102" s="1" t="s">
        <v>61</v>
      </c>
      <c r="E102" s="1" t="s">
        <v>62</v>
      </c>
      <c r="F102" s="1" t="s">
        <v>62</v>
      </c>
      <c r="I102" s="1" t="s">
        <v>63</v>
      </c>
      <c r="J102" s="16" t="str">
        <f>VLOOKUP(B102,참고!$C$3:$D$102,2,FALSE)&amp;",5"</f>
        <v>1091,5</v>
      </c>
      <c r="K102" s="1" t="s">
        <v>175</v>
      </c>
      <c r="L102" s="16" t="str">
        <f>VLOOKUP(K102,참고!$G$3:$L$9,3,FALSE)&amp;",5"</f>
        <v>808016,5</v>
      </c>
      <c r="M102" s="16" t="str">
        <f>VLOOKUP(K102,참고!$G$3:$L$9,4,FALSE)&amp;",5"</f>
        <v>814016,5</v>
      </c>
      <c r="N102" s="16" t="str">
        <f>VLOOKUP(K102,참고!$G$3:$L$9,5,FALSE)&amp;",5"</f>
        <v>811016,5</v>
      </c>
      <c r="P102" s="16" t="str">
        <f>VLOOKUP(K102,참고!$G$3:$L$9,6,FALSE)&amp;",5"</f>
        <v>817016,5</v>
      </c>
      <c r="U102" s="16">
        <f>VLOOKUP(K102,참고!$G$35:$H$41,2,FALSE)</f>
        <v>3</v>
      </c>
    </row>
    <row r="103" spans="1:21" ht="14.1" customHeight="1" x14ac:dyDescent="0.2">
      <c r="A103" s="4">
        <v>109201</v>
      </c>
      <c r="B103" s="17">
        <v>92</v>
      </c>
      <c r="C103" s="1" t="s">
        <v>158</v>
      </c>
      <c r="D103" s="1" t="s">
        <v>61</v>
      </c>
      <c r="E103" s="1" t="s">
        <v>62</v>
      </c>
      <c r="F103" s="1" t="s">
        <v>62</v>
      </c>
      <c r="I103" s="1" t="s">
        <v>63</v>
      </c>
      <c r="J103" s="16" t="str">
        <f>VLOOKUP(B103,참고!$C$3:$D$102,2,FALSE)&amp;",5"</f>
        <v>1092,5</v>
      </c>
      <c r="K103" s="1" t="s">
        <v>181</v>
      </c>
      <c r="L103" s="16" t="str">
        <f>VLOOKUP(K103,참고!$G$3:$L$9,3,FALSE)&amp;",5"</f>
        <v>809016,5</v>
      </c>
      <c r="M103" s="16" t="str">
        <f>VLOOKUP(K103,참고!$G$3:$L$9,4,FALSE)&amp;",5"</f>
        <v>814016,5</v>
      </c>
      <c r="N103" s="16" t="str">
        <f>VLOOKUP(K103,참고!$G$3:$L$9,5,FALSE)&amp;",5"</f>
        <v>812016,5</v>
      </c>
      <c r="P103" s="16" t="str">
        <f>VLOOKUP(K103,참고!$G$3:$L$9,6,FALSE)&amp;",5"</f>
        <v>817016,5</v>
      </c>
      <c r="U103" s="16">
        <f>VLOOKUP(K103,참고!$G$35:$H$41,2,FALSE)</f>
        <v>6</v>
      </c>
    </row>
    <row r="104" spans="1:21" ht="14.1" customHeight="1" x14ac:dyDescent="0.2">
      <c r="A104" s="4">
        <v>109301</v>
      </c>
      <c r="B104" s="17">
        <v>93</v>
      </c>
      <c r="C104" s="1" t="s">
        <v>159</v>
      </c>
      <c r="D104" s="1" t="s">
        <v>61</v>
      </c>
      <c r="E104" s="1" t="s">
        <v>62</v>
      </c>
      <c r="F104" s="1" t="s">
        <v>62</v>
      </c>
      <c r="I104" s="1" t="s">
        <v>63</v>
      </c>
      <c r="J104" s="16" t="str">
        <f>VLOOKUP(B104,참고!$C$3:$D$102,2,FALSE)&amp;",5"</f>
        <v>1093,5</v>
      </c>
      <c r="K104" s="1" t="s">
        <v>173</v>
      </c>
      <c r="L104" s="16" t="str">
        <f>VLOOKUP(K104,참고!$G$3:$L$9,3,FALSE)&amp;",5"</f>
        <v>807026,5</v>
      </c>
      <c r="M104" s="16" t="str">
        <f>VLOOKUP(K104,참고!$G$3:$L$9,4,FALSE)&amp;",5"</f>
        <v>813026,5</v>
      </c>
      <c r="N104" s="16" t="str">
        <f>VLOOKUP(K104,참고!$G$3:$L$9,5,FALSE)&amp;",5"</f>
        <v>810026,5</v>
      </c>
      <c r="P104" s="16" t="str">
        <f>VLOOKUP(K104,참고!$G$3:$L$9,6,FALSE)&amp;",5"</f>
        <v>817026,5</v>
      </c>
      <c r="U104" s="16">
        <f>VLOOKUP(K104,참고!$G$35:$H$41,2,FALSE)</f>
        <v>1</v>
      </c>
    </row>
    <row r="105" spans="1:21" ht="14.1" customHeight="1" x14ac:dyDescent="0.2">
      <c r="A105" s="4">
        <v>109401</v>
      </c>
      <c r="B105" s="17">
        <v>94</v>
      </c>
      <c r="C105" s="1" t="s">
        <v>160</v>
      </c>
      <c r="D105" s="1" t="s">
        <v>61</v>
      </c>
      <c r="E105" s="1" t="s">
        <v>62</v>
      </c>
      <c r="F105" s="1" t="s">
        <v>62</v>
      </c>
      <c r="I105" s="1" t="s">
        <v>63</v>
      </c>
      <c r="J105" s="16" t="str">
        <f>VLOOKUP(B105,참고!$C$3:$D$102,2,FALSE)&amp;",5"</f>
        <v>1094,5</v>
      </c>
      <c r="K105" s="1" t="s">
        <v>183</v>
      </c>
      <c r="L105" s="16" t="str">
        <f>VLOOKUP(K105,참고!$G$3:$L$9,3,FALSE)&amp;",5"</f>
        <v>809027,5</v>
      </c>
      <c r="M105" s="16" t="str">
        <f>VLOOKUP(K105,참고!$G$3:$L$9,4,FALSE)&amp;",5"</f>
        <v>814027,5</v>
      </c>
      <c r="N105" s="16" t="str">
        <f>VLOOKUP(K105,참고!$G$3:$L$9,5,FALSE)&amp;",5"</f>
        <v>812027,5</v>
      </c>
      <c r="P105" s="16" t="str">
        <f>VLOOKUP(K105,참고!$G$3:$L$9,6,FALSE)&amp;",5"</f>
        <v>817027,5</v>
      </c>
      <c r="U105" s="16">
        <f>VLOOKUP(K105,참고!$G$35:$H$41,2,FALSE)</f>
        <v>7</v>
      </c>
    </row>
    <row r="106" spans="1:21" ht="14.1" customHeight="1" x14ac:dyDescent="0.2">
      <c r="A106" s="4">
        <v>109501</v>
      </c>
      <c r="B106" s="17">
        <v>95</v>
      </c>
      <c r="C106" s="1" t="s">
        <v>161</v>
      </c>
      <c r="D106" s="1" t="s">
        <v>61</v>
      </c>
      <c r="E106" s="1" t="s">
        <v>62</v>
      </c>
      <c r="F106" s="1" t="s">
        <v>62</v>
      </c>
      <c r="I106" s="1" t="s">
        <v>63</v>
      </c>
      <c r="J106" s="16" t="str">
        <f>VLOOKUP(B106,참고!$C$3:$D$102,2,FALSE)&amp;",5"</f>
        <v>1095,5</v>
      </c>
      <c r="K106" s="16" t="s">
        <v>171</v>
      </c>
      <c r="L106" s="16" t="str">
        <f>VLOOKUP(K106,참고!$G$3:$L$9,3,FALSE)&amp;",5"</f>
        <v>807016,5</v>
      </c>
      <c r="M106" s="16" t="str">
        <f>VLOOKUP(K106,참고!$G$3:$L$9,4,FALSE)&amp;",5"</f>
        <v>814016,5</v>
      </c>
      <c r="N106" s="16" t="str">
        <f>VLOOKUP(K106,참고!$G$3:$L$9,5,FALSE)&amp;",5"</f>
        <v>810016,5</v>
      </c>
      <c r="P106" s="16" t="str">
        <f>VLOOKUP(K106,참고!$G$3:$L$9,6,FALSE)&amp;",5"</f>
        <v>817016,5</v>
      </c>
      <c r="U106" s="16">
        <f>VLOOKUP(K106,참고!$G$35:$H$41,2,FALSE)</f>
        <v>2</v>
      </c>
    </row>
    <row r="107" spans="1:21" ht="14.1" customHeight="1" x14ac:dyDescent="0.2">
      <c r="A107" s="4">
        <v>109502</v>
      </c>
      <c r="B107" s="17">
        <v>95</v>
      </c>
      <c r="C107" s="1" t="s">
        <v>161</v>
      </c>
      <c r="D107" s="1" t="s">
        <v>61</v>
      </c>
      <c r="E107" s="1" t="s">
        <v>62</v>
      </c>
      <c r="F107" s="1" t="s">
        <v>62</v>
      </c>
      <c r="G107" s="1" t="s">
        <v>220</v>
      </c>
      <c r="H107" s="22" t="s">
        <v>219</v>
      </c>
      <c r="I107" s="1" t="s">
        <v>63</v>
      </c>
      <c r="J107" s="16" t="str">
        <f>VLOOKUP(B107,참고!$C$3:$D$102,2,FALSE)&amp;",5"</f>
        <v>1095,5</v>
      </c>
      <c r="K107" s="16" t="s">
        <v>171</v>
      </c>
      <c r="L107" s="16" t="str">
        <f>VLOOKUP(K107,참고!$G$3:$L$9,3,FALSE)&amp;",5"</f>
        <v>807016,5</v>
      </c>
      <c r="M107" s="16" t="str">
        <f>VLOOKUP(K107,참고!$G$3:$L$9,4,FALSE)&amp;",5"</f>
        <v>814016,5</v>
      </c>
      <c r="N107" s="16" t="str">
        <f>VLOOKUP(K107,참고!$G$3:$L$9,5,FALSE)&amp;",5"</f>
        <v>810016,5</v>
      </c>
      <c r="P107" s="16" t="str">
        <f>VLOOKUP(K107,참고!$G$3:$L$9,6,FALSE)&amp;",5"</f>
        <v>817016,5</v>
      </c>
      <c r="U107" s="16">
        <f>VLOOKUP(K107,참고!$G$35:$H$41,2,FALSE)</f>
        <v>2</v>
      </c>
    </row>
    <row r="108" spans="1:21" ht="14.1" customHeight="1" x14ac:dyDescent="0.2">
      <c r="A108" s="4">
        <v>109601</v>
      </c>
      <c r="B108" s="17">
        <v>96</v>
      </c>
      <c r="C108" s="1" t="s">
        <v>162</v>
      </c>
      <c r="D108" s="1" t="s">
        <v>61</v>
      </c>
      <c r="E108" s="1" t="s">
        <v>62</v>
      </c>
      <c r="F108" s="1" t="s">
        <v>62</v>
      </c>
      <c r="I108" s="1" t="s">
        <v>63</v>
      </c>
      <c r="J108" s="16" t="str">
        <f>VLOOKUP(B108,참고!$C$3:$D$102,2,FALSE)&amp;",5"</f>
        <v>1096,5</v>
      </c>
      <c r="K108" s="1" t="s">
        <v>173</v>
      </c>
      <c r="L108" s="16" t="str">
        <f>VLOOKUP(K108,참고!$G$3:$L$9,3,FALSE)&amp;",5"</f>
        <v>807026,5</v>
      </c>
      <c r="M108" s="16" t="str">
        <f>VLOOKUP(K108,참고!$G$3:$L$9,4,FALSE)&amp;",5"</f>
        <v>813026,5</v>
      </c>
      <c r="N108" s="16" t="str">
        <f>VLOOKUP(K108,참고!$G$3:$L$9,5,FALSE)&amp;",5"</f>
        <v>810026,5</v>
      </c>
      <c r="P108" s="16" t="str">
        <f>VLOOKUP(K108,참고!$G$3:$L$9,6,FALSE)&amp;",5"</f>
        <v>817026,5</v>
      </c>
      <c r="U108" s="16">
        <f>VLOOKUP(K108,참고!$G$35:$H$41,2,FALSE)</f>
        <v>1</v>
      </c>
    </row>
    <row r="109" spans="1:21" ht="14.1" customHeight="1" x14ac:dyDescent="0.2">
      <c r="A109" s="4">
        <v>109701</v>
      </c>
      <c r="B109" s="17">
        <v>97</v>
      </c>
      <c r="C109" s="1" t="s">
        <v>163</v>
      </c>
      <c r="D109" s="1" t="s">
        <v>61</v>
      </c>
      <c r="E109" s="1" t="s">
        <v>62</v>
      </c>
      <c r="F109" s="1" t="s">
        <v>62</v>
      </c>
      <c r="I109" s="1" t="s">
        <v>63</v>
      </c>
      <c r="J109" s="16" t="str">
        <f>VLOOKUP(B109,참고!$C$3:$D$102,2,FALSE)&amp;",5"</f>
        <v>1097,5</v>
      </c>
      <c r="K109" s="1" t="s">
        <v>179</v>
      </c>
      <c r="L109" s="16" t="str">
        <f>VLOOKUP(K109,참고!$G$3:$L$9,3,FALSE)&amp;",5"</f>
        <v>808016,5</v>
      </c>
      <c r="M109" s="16" t="str">
        <f>VLOOKUP(K109,참고!$G$3:$L$9,4,FALSE)&amp;",5"</f>
        <v>814016,5</v>
      </c>
      <c r="N109" s="16" t="str">
        <f>VLOOKUP(K109,참고!$G$3:$L$9,5,FALSE)&amp;",5"</f>
        <v>811016,5</v>
      </c>
      <c r="P109" s="16" t="str">
        <f>VLOOKUP(K109,참고!$G$3:$L$9,6,FALSE)&amp;",5"</f>
        <v>817016,5</v>
      </c>
      <c r="U109" s="16">
        <f>VLOOKUP(K109,참고!$G$35:$H$41,2,FALSE)</f>
        <v>5</v>
      </c>
    </row>
    <row r="110" spans="1:21" ht="14.1" customHeight="1" x14ac:dyDescent="0.2">
      <c r="A110" s="4">
        <v>109801</v>
      </c>
      <c r="B110" s="17">
        <v>98</v>
      </c>
      <c r="C110" s="1" t="s">
        <v>164</v>
      </c>
      <c r="D110" s="1" t="s">
        <v>61</v>
      </c>
      <c r="E110" s="1" t="s">
        <v>62</v>
      </c>
      <c r="F110" s="1" t="s">
        <v>62</v>
      </c>
      <c r="I110" s="1" t="s">
        <v>63</v>
      </c>
      <c r="J110" s="16" t="str">
        <f>VLOOKUP(B110,참고!$C$3:$D$102,2,FALSE)&amp;",5"</f>
        <v>1098,5</v>
      </c>
      <c r="K110" s="1" t="s">
        <v>181</v>
      </c>
      <c r="L110" s="16" t="str">
        <f>VLOOKUP(K110,참고!$G$3:$L$9,3,FALSE)&amp;",5"</f>
        <v>809016,5</v>
      </c>
      <c r="M110" s="16" t="str">
        <f>VLOOKUP(K110,참고!$G$3:$L$9,4,FALSE)&amp;",5"</f>
        <v>814016,5</v>
      </c>
      <c r="N110" s="16" t="str">
        <f>VLOOKUP(K110,참고!$G$3:$L$9,5,FALSE)&amp;",5"</f>
        <v>812016,5</v>
      </c>
      <c r="P110" s="16" t="str">
        <f>VLOOKUP(K110,참고!$G$3:$L$9,6,FALSE)&amp;",5"</f>
        <v>817016,5</v>
      </c>
      <c r="U110" s="16">
        <f>VLOOKUP(K110,참고!$G$35:$H$41,2,FALSE)</f>
        <v>6</v>
      </c>
    </row>
    <row r="111" spans="1:21" ht="14.1" customHeight="1" x14ac:dyDescent="0.2">
      <c r="A111" s="4">
        <v>109901</v>
      </c>
      <c r="B111" s="17">
        <v>99</v>
      </c>
      <c r="C111" s="1" t="s">
        <v>165</v>
      </c>
      <c r="D111" s="1" t="s">
        <v>61</v>
      </c>
      <c r="E111" s="1" t="s">
        <v>62</v>
      </c>
      <c r="F111" s="1" t="s">
        <v>62</v>
      </c>
      <c r="I111" s="1" t="s">
        <v>63</v>
      </c>
      <c r="J111" s="16" t="str">
        <f>VLOOKUP(B111,참고!$C$3:$D$102,2,FALSE)&amp;",5"</f>
        <v>1099,5</v>
      </c>
      <c r="K111" s="1" t="s">
        <v>177</v>
      </c>
      <c r="L111" s="16" t="str">
        <f>VLOOKUP(K111,참고!$G$3:$L$9,3,FALSE)&amp;",5"</f>
        <v>808016,5</v>
      </c>
      <c r="M111" s="16" t="str">
        <f>VLOOKUP(K111,참고!$G$3:$L$9,4,FALSE)&amp;",5"</f>
        <v>814016,5</v>
      </c>
      <c r="N111" s="16" t="str">
        <f>VLOOKUP(K111,참고!$G$3:$L$9,5,FALSE)&amp;",5"</f>
        <v>811016,5</v>
      </c>
      <c r="P111" s="16" t="str">
        <f>VLOOKUP(K111,참고!$G$3:$L$9,6,FALSE)&amp;",5"</f>
        <v>817016,5</v>
      </c>
      <c r="U111" s="16">
        <f>VLOOKUP(K111,참고!$G$35:$H$41,2,FALSE)</f>
        <v>4</v>
      </c>
    </row>
    <row r="112" spans="1:21" ht="14.1" customHeight="1" x14ac:dyDescent="0.2">
      <c r="A112" s="4">
        <v>110001</v>
      </c>
      <c r="B112" s="17">
        <v>100</v>
      </c>
      <c r="C112" s="1" t="s">
        <v>166</v>
      </c>
      <c r="D112" s="1" t="s">
        <v>61</v>
      </c>
      <c r="E112" s="1" t="s">
        <v>62</v>
      </c>
      <c r="F112" s="1" t="s">
        <v>62</v>
      </c>
      <c r="I112" s="1" t="s">
        <v>63</v>
      </c>
      <c r="J112" s="16" t="str">
        <f>VLOOKUP(B112,참고!$C$3:$D$102,2,FALSE)&amp;",5"</f>
        <v>1100,5</v>
      </c>
      <c r="K112" s="1" t="s">
        <v>181</v>
      </c>
      <c r="L112" s="16" t="str">
        <f>VLOOKUP(K112,참고!$G$3:$L$9,3,FALSE)&amp;",5"</f>
        <v>809016,5</v>
      </c>
      <c r="M112" s="16" t="str">
        <f>VLOOKUP(K112,참고!$G$3:$L$9,4,FALSE)&amp;",5"</f>
        <v>814016,5</v>
      </c>
      <c r="N112" s="16" t="str">
        <f>VLOOKUP(K112,참고!$G$3:$L$9,5,FALSE)&amp;",5"</f>
        <v>812016,5</v>
      </c>
      <c r="P112" s="16" t="str">
        <f>VLOOKUP(K112,참고!$G$3:$L$9,6,FALSE)&amp;",5"</f>
        <v>817016,5</v>
      </c>
      <c r="U112" s="16">
        <f>VLOOKUP(K112,참고!$G$35:$H$41,2,FALSE)</f>
        <v>6</v>
      </c>
    </row>
  </sheetData>
  <phoneticPr fontId="8" type="noConversion"/>
  <conditionalFormatting sqref="A4:A18 A45:A71 A39:A40 A73:A74 A108:A112 A77:A106 A31:A37 A42 A20:A29">
    <cfRule type="duplicateValues" dxfId="44" priority="61"/>
  </conditionalFormatting>
  <conditionalFormatting sqref="A43">
    <cfRule type="duplicateValues" dxfId="43" priority="21"/>
  </conditionalFormatting>
  <conditionalFormatting sqref="A38">
    <cfRule type="duplicateValues" dxfId="42" priority="20"/>
  </conditionalFormatting>
  <conditionalFormatting sqref="A72">
    <cfRule type="duplicateValues" dxfId="41" priority="19"/>
  </conditionalFormatting>
  <conditionalFormatting sqref="A107">
    <cfRule type="duplicateValues" dxfId="40" priority="18"/>
  </conditionalFormatting>
  <conditionalFormatting sqref="A75">
    <cfRule type="duplicateValues" dxfId="39" priority="17"/>
  </conditionalFormatting>
  <conditionalFormatting sqref="A45:A75 A1:A18 A31:A40 A77:A1048576 A42:A43 A20:A29">
    <cfRule type="duplicateValues" dxfId="38" priority="16"/>
  </conditionalFormatting>
  <conditionalFormatting sqref="A30">
    <cfRule type="duplicateValues" dxfId="37" priority="15"/>
  </conditionalFormatting>
  <conditionalFormatting sqref="A30">
    <cfRule type="duplicateValues" dxfId="36" priority="14"/>
  </conditionalFormatting>
  <conditionalFormatting sqref="A45:A75 A1:A18 A77:A1048576 A42:A43 A20:A40">
    <cfRule type="duplicateValues" dxfId="35" priority="13"/>
  </conditionalFormatting>
  <conditionalFormatting sqref="A44">
    <cfRule type="duplicateValues" dxfId="34" priority="12"/>
  </conditionalFormatting>
  <conditionalFormatting sqref="A44">
    <cfRule type="duplicateValues" dxfId="33" priority="11"/>
  </conditionalFormatting>
  <conditionalFormatting sqref="A44">
    <cfRule type="duplicateValues" dxfId="32" priority="10"/>
  </conditionalFormatting>
  <conditionalFormatting sqref="A76">
    <cfRule type="duplicateValues" dxfId="31" priority="9"/>
  </conditionalFormatting>
  <conditionalFormatting sqref="A76">
    <cfRule type="duplicateValues" dxfId="30" priority="8"/>
  </conditionalFormatting>
  <conditionalFormatting sqref="A76">
    <cfRule type="duplicateValues" dxfId="29" priority="7"/>
  </conditionalFormatting>
  <conditionalFormatting sqref="A41">
    <cfRule type="duplicateValues" dxfId="28" priority="6"/>
  </conditionalFormatting>
  <conditionalFormatting sqref="A41">
    <cfRule type="duplicateValues" dxfId="27" priority="5"/>
  </conditionalFormatting>
  <conditionalFormatting sqref="A41">
    <cfRule type="duplicateValues" dxfId="26" priority="4"/>
  </conditionalFormatting>
  <conditionalFormatting sqref="A19">
    <cfRule type="duplicateValues" dxfId="25" priority="3"/>
  </conditionalFormatting>
  <conditionalFormatting sqref="A19">
    <cfRule type="duplicateValues" dxfId="24" priority="2"/>
  </conditionalFormatting>
  <conditionalFormatting sqref="A19">
    <cfRule type="duplicateValues" dxfId="23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91153C-0416-4F69-87D8-9C668450D514}">
          <x14:formula1>
            <xm:f>참고!$G$3:$G$9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44B53-2A8B-44D4-9599-8027542ACAEC}">
  <dimension ref="A1:S74"/>
  <sheetViews>
    <sheetView workbookViewId="0">
      <selection activeCell="B4" sqref="B4"/>
    </sheetView>
  </sheetViews>
  <sheetFormatPr defaultRowHeight="12" x14ac:dyDescent="0.3"/>
  <cols>
    <col min="1" max="1" width="7.625" style="1" bestFit="1" customWidth="1"/>
    <col min="2" max="2" width="15.5" style="1" customWidth="1"/>
    <col min="3" max="3" width="15.375" style="1" bestFit="1" customWidth="1"/>
    <col min="4" max="4" width="13.5" style="1" bestFit="1" customWidth="1"/>
    <col min="5" max="5" width="15.375" style="1" bestFit="1" customWidth="1"/>
    <col min="6" max="6" width="13.5" style="1" bestFit="1" customWidth="1"/>
    <col min="7" max="7" width="15.375" style="1" bestFit="1" customWidth="1"/>
    <col min="8" max="8" width="13.5" style="1" bestFit="1" customWidth="1"/>
    <col min="9" max="9" width="15.375" style="1" bestFit="1" customWidth="1"/>
    <col min="10" max="10" width="13.5" style="1" bestFit="1" customWidth="1"/>
    <col min="11" max="18" width="11.625" style="1" customWidth="1"/>
    <col min="19" max="19" width="18.5" style="1" bestFit="1" customWidth="1"/>
    <col min="20" max="16384" width="9" style="1"/>
  </cols>
  <sheetData>
    <row r="1" spans="1:19" s="10" customFormat="1" ht="39" customHeight="1" x14ac:dyDescent="0.3">
      <c r="A1" s="7"/>
      <c r="B1" s="9" t="s">
        <v>169</v>
      </c>
      <c r="C1" s="27" t="s">
        <v>26</v>
      </c>
      <c r="D1" s="28"/>
      <c r="E1" s="27" t="s">
        <v>27</v>
      </c>
      <c r="F1" s="28"/>
      <c r="G1" s="27" t="s">
        <v>29</v>
      </c>
      <c r="H1" s="28"/>
      <c r="I1" s="29" t="s">
        <v>30</v>
      </c>
      <c r="J1" s="30"/>
      <c r="K1" s="27" t="s">
        <v>32</v>
      </c>
      <c r="L1" s="28"/>
      <c r="M1" s="27" t="s">
        <v>31</v>
      </c>
      <c r="N1" s="28"/>
      <c r="O1" s="27" t="s">
        <v>33</v>
      </c>
      <c r="P1" s="28"/>
      <c r="Q1" s="27" t="s">
        <v>34</v>
      </c>
      <c r="R1" s="28"/>
      <c r="S1" s="9" t="s">
        <v>169</v>
      </c>
    </row>
    <row r="2" spans="1:19" s="3" customFormat="1" ht="114.75" customHeight="1" x14ac:dyDescent="0.3">
      <c r="A2" s="6" t="s">
        <v>1</v>
      </c>
      <c r="B2" s="6" t="s">
        <v>170</v>
      </c>
      <c r="C2" s="6" t="s">
        <v>38</v>
      </c>
      <c r="D2" s="12" t="s">
        <v>39</v>
      </c>
      <c r="E2" s="6" t="s">
        <v>40</v>
      </c>
      <c r="F2" s="12" t="s">
        <v>41</v>
      </c>
      <c r="G2" s="6" t="s">
        <v>42</v>
      </c>
      <c r="H2" s="12" t="s">
        <v>43</v>
      </c>
      <c r="I2" s="6" t="s">
        <v>44</v>
      </c>
      <c r="J2" s="12" t="s">
        <v>45</v>
      </c>
      <c r="K2" s="6" t="s">
        <v>46</v>
      </c>
      <c r="L2" s="12" t="s">
        <v>47</v>
      </c>
      <c r="M2" s="6" t="s">
        <v>48</v>
      </c>
      <c r="N2" s="12" t="s">
        <v>49</v>
      </c>
      <c r="O2" s="6" t="s">
        <v>50</v>
      </c>
      <c r="P2" s="12" t="s">
        <v>51</v>
      </c>
      <c r="Q2" s="6" t="s">
        <v>52</v>
      </c>
      <c r="R2" s="12" t="s">
        <v>53</v>
      </c>
      <c r="S2" s="6" t="s">
        <v>170</v>
      </c>
    </row>
    <row r="3" spans="1:19" s="3" customFormat="1" ht="18" customHeight="1" x14ac:dyDescent="0.3">
      <c r="A3" s="2" t="s">
        <v>0</v>
      </c>
      <c r="B3" s="2"/>
      <c r="C3" s="2" t="s">
        <v>3</v>
      </c>
      <c r="D3" s="2" t="s">
        <v>25</v>
      </c>
      <c r="E3" s="2" t="s">
        <v>3</v>
      </c>
      <c r="F3" s="2" t="s">
        <v>25</v>
      </c>
      <c r="G3" s="2" t="s">
        <v>3</v>
      </c>
      <c r="H3" s="2" t="s">
        <v>25</v>
      </c>
      <c r="I3" s="2" t="s">
        <v>3</v>
      </c>
      <c r="J3" s="2" t="s">
        <v>25</v>
      </c>
      <c r="K3" s="2" t="s">
        <v>3</v>
      </c>
      <c r="L3" s="2" t="s">
        <v>25</v>
      </c>
      <c r="M3" s="2" t="s">
        <v>3</v>
      </c>
      <c r="N3" s="2" t="s">
        <v>25</v>
      </c>
      <c r="O3" s="2" t="s">
        <v>3</v>
      </c>
      <c r="P3" s="2" t="s">
        <v>25</v>
      </c>
      <c r="Q3" s="2" t="s">
        <v>3</v>
      </c>
      <c r="R3" s="2" t="s">
        <v>25</v>
      </c>
    </row>
    <row r="4" spans="1:19" ht="14.1" customHeight="1" x14ac:dyDescent="0.2">
      <c r="A4" s="23">
        <v>1</v>
      </c>
      <c r="B4" s="16" t="s">
        <v>173</v>
      </c>
      <c r="C4" s="5" t="s">
        <v>236</v>
      </c>
      <c r="D4" s="5" t="s">
        <v>237</v>
      </c>
      <c r="E4" s="5" t="s">
        <v>236</v>
      </c>
      <c r="F4" s="5" t="s">
        <v>237</v>
      </c>
      <c r="G4" s="5" t="s">
        <v>236</v>
      </c>
      <c r="H4" s="5" t="s">
        <v>237</v>
      </c>
      <c r="I4" s="5" t="s">
        <v>236</v>
      </c>
      <c r="J4" s="5" t="s">
        <v>237</v>
      </c>
      <c r="K4" s="5"/>
      <c r="L4" s="5"/>
      <c r="M4" s="5"/>
      <c r="N4" s="5"/>
      <c r="O4" s="5"/>
      <c r="P4" s="5"/>
      <c r="Q4" s="5"/>
      <c r="R4" s="5"/>
      <c r="S4" s="1" t="s">
        <v>235</v>
      </c>
    </row>
    <row r="5" spans="1:19" ht="14.1" customHeight="1" x14ac:dyDescent="0.2">
      <c r="A5" s="23">
        <v>2</v>
      </c>
      <c r="B5" s="16" t="s">
        <v>171</v>
      </c>
      <c r="C5" s="1" t="s">
        <v>238</v>
      </c>
      <c r="D5" s="1" t="s">
        <v>239</v>
      </c>
      <c r="E5" s="1" t="s">
        <v>238</v>
      </c>
      <c r="F5" s="1" t="s">
        <v>239</v>
      </c>
      <c r="G5" s="1" t="s">
        <v>238</v>
      </c>
      <c r="H5" s="1" t="s">
        <v>239</v>
      </c>
      <c r="I5" s="1" t="s">
        <v>238</v>
      </c>
      <c r="J5" s="1" t="s">
        <v>239</v>
      </c>
      <c r="S5" s="1" t="s">
        <v>233</v>
      </c>
    </row>
    <row r="6" spans="1:19" ht="14.1" customHeight="1" x14ac:dyDescent="0.2">
      <c r="A6" s="23">
        <v>3</v>
      </c>
      <c r="B6" s="16" t="s">
        <v>175</v>
      </c>
      <c r="C6" s="1" t="s">
        <v>238</v>
      </c>
      <c r="D6" s="1" t="s">
        <v>239</v>
      </c>
      <c r="E6" s="1" t="s">
        <v>238</v>
      </c>
      <c r="F6" s="1" t="s">
        <v>239</v>
      </c>
      <c r="G6" s="1" t="s">
        <v>238</v>
      </c>
      <c r="H6" s="1" t="s">
        <v>239</v>
      </c>
      <c r="I6" s="1" t="s">
        <v>238</v>
      </c>
      <c r="J6" s="1" t="s">
        <v>239</v>
      </c>
      <c r="S6" s="1" t="s">
        <v>233</v>
      </c>
    </row>
    <row r="7" spans="1:19" ht="14.1" customHeight="1" x14ac:dyDescent="0.2">
      <c r="A7" s="23">
        <v>4</v>
      </c>
      <c r="B7" s="16" t="s">
        <v>177</v>
      </c>
      <c r="C7" s="1" t="s">
        <v>238</v>
      </c>
      <c r="D7" s="1" t="s">
        <v>239</v>
      </c>
      <c r="E7" s="1" t="s">
        <v>238</v>
      </c>
      <c r="F7" s="1" t="s">
        <v>239</v>
      </c>
      <c r="G7" s="1" t="s">
        <v>238</v>
      </c>
      <c r="H7" s="1" t="s">
        <v>239</v>
      </c>
      <c r="I7" s="1" t="s">
        <v>238</v>
      </c>
      <c r="J7" s="1" t="s">
        <v>239</v>
      </c>
      <c r="S7" s="1" t="s">
        <v>233</v>
      </c>
    </row>
    <row r="8" spans="1:19" ht="14.1" customHeight="1" x14ac:dyDescent="0.2">
      <c r="A8" s="23">
        <v>5</v>
      </c>
      <c r="B8" s="16" t="s">
        <v>179</v>
      </c>
      <c r="C8" s="1" t="s">
        <v>238</v>
      </c>
      <c r="D8" s="1" t="s">
        <v>239</v>
      </c>
      <c r="E8" s="1" t="s">
        <v>238</v>
      </c>
      <c r="F8" s="1" t="s">
        <v>239</v>
      </c>
      <c r="G8" s="1" t="s">
        <v>238</v>
      </c>
      <c r="H8" s="1" t="s">
        <v>239</v>
      </c>
      <c r="I8" s="1" t="s">
        <v>238</v>
      </c>
      <c r="J8" s="1" t="s">
        <v>239</v>
      </c>
      <c r="S8" s="1" t="s">
        <v>233</v>
      </c>
    </row>
    <row r="9" spans="1:19" ht="14.1" customHeight="1" x14ac:dyDescent="0.2">
      <c r="A9" s="23">
        <v>6</v>
      </c>
      <c r="B9" s="16" t="s">
        <v>181</v>
      </c>
      <c r="C9" s="1" t="s">
        <v>238</v>
      </c>
      <c r="D9" s="1" t="s">
        <v>239</v>
      </c>
      <c r="E9" s="1" t="s">
        <v>238</v>
      </c>
      <c r="F9" s="1" t="s">
        <v>239</v>
      </c>
      <c r="G9" s="1" t="s">
        <v>238</v>
      </c>
      <c r="H9" s="1" t="s">
        <v>239</v>
      </c>
      <c r="I9" s="1" t="s">
        <v>238</v>
      </c>
      <c r="J9" s="1" t="s">
        <v>239</v>
      </c>
      <c r="S9" s="1" t="s">
        <v>233</v>
      </c>
    </row>
    <row r="10" spans="1:19" ht="14.1" customHeight="1" x14ac:dyDescent="0.2">
      <c r="A10" s="23">
        <v>7</v>
      </c>
      <c r="B10" s="16" t="s">
        <v>183</v>
      </c>
      <c r="C10" s="1" t="s">
        <v>240</v>
      </c>
      <c r="D10" s="1" t="s">
        <v>241</v>
      </c>
      <c r="E10" s="1" t="s">
        <v>240</v>
      </c>
      <c r="F10" s="1" t="s">
        <v>241</v>
      </c>
      <c r="G10" s="1" t="s">
        <v>240</v>
      </c>
      <c r="H10" s="1" t="s">
        <v>241</v>
      </c>
      <c r="I10" s="1" t="s">
        <v>240</v>
      </c>
      <c r="J10" s="1" t="s">
        <v>241</v>
      </c>
      <c r="S10" s="1" t="s">
        <v>234</v>
      </c>
    </row>
    <row r="11" spans="1:19" ht="14.1" customHeight="1" x14ac:dyDescent="0.2">
      <c r="A11" s="23"/>
      <c r="B11" s="16"/>
    </row>
    <row r="12" spans="1:19" ht="14.1" customHeight="1" x14ac:dyDescent="0.2">
      <c r="A12" s="23"/>
      <c r="B12" s="16"/>
    </row>
    <row r="13" spans="1:19" ht="14.1" customHeight="1" x14ac:dyDescent="0.2">
      <c r="A13" s="23"/>
      <c r="B13" s="16"/>
    </row>
    <row r="14" spans="1:19" ht="14.1" customHeight="1" x14ac:dyDescent="0.2">
      <c r="A14" s="23"/>
      <c r="B14" s="16"/>
    </row>
    <row r="15" spans="1:19" ht="14.1" customHeight="1" x14ac:dyDescent="0.2">
      <c r="A15" s="23"/>
      <c r="B15" s="16"/>
    </row>
    <row r="16" spans="1:19" ht="14.1" customHeight="1" x14ac:dyDescent="0.2">
      <c r="A16" s="23"/>
      <c r="B16" s="16"/>
    </row>
    <row r="17" spans="1:2" ht="14.1" customHeight="1" x14ac:dyDescent="0.2">
      <c r="A17" s="23"/>
      <c r="B17" s="16"/>
    </row>
    <row r="18" spans="1:2" ht="14.1" customHeight="1" x14ac:dyDescent="0.2">
      <c r="A18" s="23"/>
      <c r="B18" s="16"/>
    </row>
    <row r="19" spans="1:2" ht="14.1" customHeight="1" x14ac:dyDescent="0.2">
      <c r="A19" s="23"/>
      <c r="B19" s="16"/>
    </row>
    <row r="20" spans="1:2" ht="14.1" customHeight="1" x14ac:dyDescent="0.2">
      <c r="A20" s="23"/>
      <c r="B20" s="16"/>
    </row>
    <row r="21" spans="1:2" ht="14.1" customHeight="1" x14ac:dyDescent="0.2">
      <c r="A21" s="23"/>
      <c r="B21" s="16"/>
    </row>
    <row r="22" spans="1:2" ht="14.1" customHeight="1" x14ac:dyDescent="0.2">
      <c r="A22" s="23"/>
      <c r="B22" s="16"/>
    </row>
    <row r="23" spans="1:2" ht="14.1" customHeight="1" x14ac:dyDescent="0.2">
      <c r="A23" s="23"/>
      <c r="B23" s="16"/>
    </row>
    <row r="24" spans="1:2" ht="14.1" customHeight="1" x14ac:dyDescent="0.2">
      <c r="A24" s="23"/>
      <c r="B24" s="16"/>
    </row>
    <row r="25" spans="1:2" ht="14.1" customHeight="1" x14ac:dyDescent="0.2">
      <c r="A25" s="23"/>
      <c r="B25" s="16"/>
    </row>
    <row r="26" spans="1:2" ht="14.1" customHeight="1" x14ac:dyDescent="0.2">
      <c r="A26" s="23"/>
      <c r="B26" s="16"/>
    </row>
    <row r="27" spans="1:2" ht="14.1" customHeight="1" x14ac:dyDescent="0.2">
      <c r="A27" s="23"/>
      <c r="B27" s="16"/>
    </row>
    <row r="28" spans="1:2" ht="14.1" customHeight="1" x14ac:dyDescent="0.2">
      <c r="A28" s="23"/>
      <c r="B28" s="16"/>
    </row>
    <row r="29" spans="1:2" ht="14.1" customHeight="1" x14ac:dyDescent="0.2">
      <c r="A29" s="23"/>
      <c r="B29" s="16"/>
    </row>
    <row r="30" spans="1:2" ht="14.1" customHeight="1" x14ac:dyDescent="0.2">
      <c r="A30" s="23"/>
      <c r="B30" s="16"/>
    </row>
    <row r="31" spans="1:2" ht="14.1" customHeight="1" x14ac:dyDescent="0.2">
      <c r="A31" s="23"/>
      <c r="B31" s="16"/>
    </row>
    <row r="32" spans="1:2" ht="14.1" customHeight="1" x14ac:dyDescent="0.2">
      <c r="A32" s="23"/>
    </row>
    <row r="33" spans="1:2" ht="14.1" customHeight="1" x14ac:dyDescent="0.2">
      <c r="A33" s="23"/>
    </row>
    <row r="34" spans="1:2" ht="14.1" customHeight="1" x14ac:dyDescent="0.2">
      <c r="A34" s="23"/>
      <c r="B34" s="16"/>
    </row>
    <row r="35" spans="1:2" ht="14.1" customHeight="1" x14ac:dyDescent="0.2">
      <c r="A35" s="23"/>
      <c r="B35" s="16"/>
    </row>
    <row r="36" spans="1:2" ht="14.1" customHeight="1" x14ac:dyDescent="0.2">
      <c r="A36" s="23"/>
      <c r="B36" s="16"/>
    </row>
    <row r="37" spans="1:2" ht="14.1" customHeight="1" x14ac:dyDescent="0.2">
      <c r="A37" s="23"/>
    </row>
    <row r="38" spans="1:2" ht="14.1" customHeight="1" x14ac:dyDescent="0.2">
      <c r="A38" s="23"/>
    </row>
    <row r="39" spans="1:2" ht="14.1" customHeight="1" x14ac:dyDescent="0.2">
      <c r="A39" s="23"/>
    </row>
    <row r="40" spans="1:2" ht="14.1" customHeight="1" x14ac:dyDescent="0.2">
      <c r="A40" s="23"/>
    </row>
    <row r="41" spans="1:2" ht="14.1" customHeight="1" x14ac:dyDescent="0.2">
      <c r="A41" s="23"/>
    </row>
    <row r="42" spans="1:2" ht="14.1" customHeight="1" x14ac:dyDescent="0.2">
      <c r="A42" s="23"/>
    </row>
    <row r="43" spans="1:2" ht="14.1" customHeight="1" x14ac:dyDescent="0.2">
      <c r="A43" s="23"/>
    </row>
    <row r="44" spans="1:2" ht="14.1" customHeight="1" x14ac:dyDescent="0.2">
      <c r="A44" s="23"/>
    </row>
    <row r="45" spans="1:2" ht="14.1" customHeight="1" x14ac:dyDescent="0.2">
      <c r="A45" s="23"/>
    </row>
    <row r="46" spans="1:2" ht="14.1" customHeight="1" x14ac:dyDescent="0.2">
      <c r="A46" s="23"/>
    </row>
    <row r="47" spans="1:2" ht="14.1" customHeight="1" x14ac:dyDescent="0.2">
      <c r="A47" s="23"/>
    </row>
    <row r="48" spans="1:2" ht="14.1" customHeight="1" x14ac:dyDescent="0.2">
      <c r="A48" s="23"/>
    </row>
    <row r="49" spans="1:1" ht="14.1" customHeight="1" x14ac:dyDescent="0.2">
      <c r="A49" s="23"/>
    </row>
    <row r="50" spans="1:1" ht="14.1" customHeight="1" x14ac:dyDescent="0.2">
      <c r="A50" s="23"/>
    </row>
    <row r="51" spans="1:1" ht="14.1" customHeight="1" x14ac:dyDescent="0.2">
      <c r="A51" s="23"/>
    </row>
    <row r="52" spans="1:1" ht="14.1" customHeight="1" x14ac:dyDescent="0.2">
      <c r="A52" s="23"/>
    </row>
    <row r="53" spans="1:1" ht="14.1" customHeight="1" x14ac:dyDescent="0.2">
      <c r="A53" s="23"/>
    </row>
    <row r="54" spans="1:1" ht="14.1" customHeight="1" x14ac:dyDescent="0.2">
      <c r="A54" s="23"/>
    </row>
    <row r="55" spans="1:1" ht="14.1" customHeight="1" x14ac:dyDescent="0.2">
      <c r="A55" s="23"/>
    </row>
    <row r="56" spans="1:1" ht="14.1" customHeight="1" x14ac:dyDescent="0.2">
      <c r="A56" s="23"/>
    </row>
    <row r="57" spans="1:1" ht="14.1" customHeight="1" x14ac:dyDescent="0.2">
      <c r="A57" s="23"/>
    </row>
    <row r="58" spans="1:1" ht="14.1" customHeight="1" x14ac:dyDescent="0.2">
      <c r="A58" s="23"/>
    </row>
    <row r="59" spans="1:1" ht="14.1" customHeight="1" x14ac:dyDescent="0.2">
      <c r="A59" s="23"/>
    </row>
    <row r="60" spans="1:1" ht="14.1" customHeight="1" x14ac:dyDescent="0.2">
      <c r="A60" s="23"/>
    </row>
    <row r="61" spans="1:1" ht="14.1" customHeight="1" x14ac:dyDescent="0.2">
      <c r="A61" s="23"/>
    </row>
    <row r="62" spans="1:1" ht="14.1" customHeight="1" x14ac:dyDescent="0.2">
      <c r="A62" s="23"/>
    </row>
    <row r="63" spans="1:1" ht="14.1" customHeight="1" x14ac:dyDescent="0.2">
      <c r="A63" s="23"/>
    </row>
    <row r="64" spans="1:1" ht="14.1" customHeight="1" x14ac:dyDescent="0.2">
      <c r="A64" s="23"/>
    </row>
    <row r="65" spans="1:1" ht="14.1" customHeight="1" x14ac:dyDescent="0.2">
      <c r="A65" s="23"/>
    </row>
    <row r="66" spans="1:1" ht="14.1" customHeight="1" x14ac:dyDescent="0.2">
      <c r="A66" s="23"/>
    </row>
    <row r="67" spans="1:1" ht="14.1" customHeight="1" x14ac:dyDescent="0.2">
      <c r="A67" s="23"/>
    </row>
    <row r="68" spans="1:1" ht="14.1" customHeight="1" x14ac:dyDescent="0.2">
      <c r="A68" s="23"/>
    </row>
    <row r="69" spans="1:1" ht="14.1" customHeight="1" x14ac:dyDescent="0.2">
      <c r="A69" s="23"/>
    </row>
    <row r="70" spans="1:1" ht="14.1" customHeight="1" x14ac:dyDescent="0.2">
      <c r="A70" s="23"/>
    </row>
    <row r="71" spans="1:1" ht="14.1" customHeight="1" x14ac:dyDescent="0.2">
      <c r="A71" s="23"/>
    </row>
    <row r="72" spans="1:1" ht="14.1" customHeight="1" x14ac:dyDescent="0.3"/>
    <row r="73" spans="1:1" ht="14.1" customHeight="1" x14ac:dyDescent="0.3"/>
    <row r="74" spans="1:1" ht="14.1" customHeight="1" x14ac:dyDescent="0.3"/>
  </sheetData>
  <dataConsolidate/>
  <mergeCells count="8">
    <mergeCell ref="O1:P1"/>
    <mergeCell ref="Q1:R1"/>
    <mergeCell ref="C1:D1"/>
    <mergeCell ref="E1:F1"/>
    <mergeCell ref="G1:H1"/>
    <mergeCell ref="I1:J1"/>
    <mergeCell ref="K1:L1"/>
    <mergeCell ref="M1:N1"/>
  </mergeCells>
  <phoneticPr fontId="8" type="noConversion"/>
  <conditionalFormatting sqref="A11">
    <cfRule type="duplicateValues" dxfId="22" priority="22"/>
  </conditionalFormatting>
  <conditionalFormatting sqref="A11">
    <cfRule type="duplicateValues" dxfId="21" priority="21"/>
  </conditionalFormatting>
  <conditionalFormatting sqref="A12:A17">
    <cfRule type="duplicateValues" dxfId="20" priority="20"/>
  </conditionalFormatting>
  <conditionalFormatting sqref="A12:A17">
    <cfRule type="duplicateValues" dxfId="19" priority="19"/>
  </conditionalFormatting>
  <conditionalFormatting sqref="A18:A23">
    <cfRule type="duplicateValues" dxfId="18" priority="18"/>
  </conditionalFormatting>
  <conditionalFormatting sqref="A18:A23">
    <cfRule type="duplicateValues" dxfId="17" priority="17"/>
  </conditionalFormatting>
  <conditionalFormatting sqref="A24:A29">
    <cfRule type="duplicateValues" dxfId="16" priority="16"/>
  </conditionalFormatting>
  <conditionalFormatting sqref="A24:A29">
    <cfRule type="duplicateValues" dxfId="15" priority="15"/>
  </conditionalFormatting>
  <conditionalFormatting sqref="A30:A35">
    <cfRule type="duplicateValues" dxfId="14" priority="14"/>
  </conditionalFormatting>
  <conditionalFormatting sqref="A30:A35">
    <cfRule type="duplicateValues" dxfId="13" priority="13"/>
  </conditionalFormatting>
  <conditionalFormatting sqref="A36:A41">
    <cfRule type="duplicateValues" dxfId="12" priority="12"/>
  </conditionalFormatting>
  <conditionalFormatting sqref="A36:A41">
    <cfRule type="duplicateValues" dxfId="11" priority="11"/>
  </conditionalFormatting>
  <conditionalFormatting sqref="A42:A47">
    <cfRule type="duplicateValues" dxfId="10" priority="10"/>
  </conditionalFormatting>
  <conditionalFormatting sqref="A42:A47">
    <cfRule type="duplicateValues" dxfId="9" priority="9"/>
  </conditionalFormatting>
  <conditionalFormatting sqref="A48:A53">
    <cfRule type="duplicateValues" dxfId="8" priority="8"/>
  </conditionalFormatting>
  <conditionalFormatting sqref="A48:A53">
    <cfRule type="duplicateValues" dxfId="7" priority="7"/>
  </conditionalFormatting>
  <conditionalFormatting sqref="A54:A59">
    <cfRule type="duplicateValues" dxfId="6" priority="6"/>
  </conditionalFormatting>
  <conditionalFormatting sqref="A54:A59">
    <cfRule type="duplicateValues" dxfId="5" priority="5"/>
  </conditionalFormatting>
  <conditionalFormatting sqref="A60:A65">
    <cfRule type="duplicateValues" dxfId="4" priority="4"/>
  </conditionalFormatting>
  <conditionalFormatting sqref="A60:A65">
    <cfRule type="duplicateValues" dxfId="3" priority="3"/>
  </conditionalFormatting>
  <conditionalFormatting sqref="A66:A71">
    <cfRule type="duplicateValues" dxfId="2" priority="2"/>
  </conditionalFormatting>
  <conditionalFormatting sqref="A66:A71">
    <cfRule type="duplicateValues" dxfId="1" priority="1"/>
  </conditionalFormatting>
  <conditionalFormatting sqref="A4:A10">
    <cfRule type="duplicateValues" dxfId="0" priority="23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5ED456-95D8-4562-BFD0-DCD7488D378F}">
          <x14:formula1>
            <xm:f>참고!$G$3:$G$9</xm:f>
          </x14:formula1>
          <xm:sqref>S1:S2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918-521C-4A1F-9C82-351A537AB60B}">
  <dimension ref="B2:Q102"/>
  <sheetViews>
    <sheetView workbookViewId="0">
      <selection activeCell="O2" sqref="O2:S2"/>
    </sheetView>
  </sheetViews>
  <sheetFormatPr defaultRowHeight="16.5" x14ac:dyDescent="0.3"/>
  <cols>
    <col min="3" max="3" width="11.625" style="15" bestFit="1" customWidth="1"/>
    <col min="4" max="4" width="15.875" bestFit="1" customWidth="1"/>
    <col min="8" max="8" width="11.75" bestFit="1" customWidth="1"/>
  </cols>
  <sheetData>
    <row r="2" spans="2:17" x14ac:dyDescent="0.3">
      <c r="C2" s="15" t="s">
        <v>167</v>
      </c>
      <c r="D2" t="s">
        <v>168</v>
      </c>
      <c r="H2" t="s">
        <v>192</v>
      </c>
      <c r="I2" t="s">
        <v>185</v>
      </c>
      <c r="J2" t="s">
        <v>186</v>
      </c>
      <c r="K2" t="s">
        <v>187</v>
      </c>
      <c r="L2" t="s">
        <v>188</v>
      </c>
      <c r="O2" s="31" t="s">
        <v>243</v>
      </c>
      <c r="Q2" s="15"/>
    </row>
    <row r="3" spans="2:17" x14ac:dyDescent="0.3">
      <c r="B3" t="s">
        <v>67</v>
      </c>
      <c r="C3" s="15">
        <v>1</v>
      </c>
      <c r="D3">
        <v>1001</v>
      </c>
      <c r="G3" t="s">
        <v>174</v>
      </c>
      <c r="H3" t="s">
        <v>189</v>
      </c>
      <c r="I3">
        <v>807026</v>
      </c>
      <c r="J3">
        <v>813026</v>
      </c>
      <c r="K3">
        <v>810026</v>
      </c>
      <c r="L3">
        <v>817026</v>
      </c>
    </row>
    <row r="4" spans="2:17" x14ac:dyDescent="0.3">
      <c r="B4" t="s">
        <v>68</v>
      </c>
      <c r="C4" s="15">
        <v>2</v>
      </c>
      <c r="D4">
        <v>1002</v>
      </c>
      <c r="G4" t="s">
        <v>172</v>
      </c>
      <c r="H4" t="s">
        <v>191</v>
      </c>
      <c r="I4">
        <v>807016</v>
      </c>
      <c r="J4">
        <v>814016</v>
      </c>
      <c r="K4">
        <v>810016</v>
      </c>
      <c r="L4">
        <v>817016</v>
      </c>
    </row>
    <row r="5" spans="2:17" x14ac:dyDescent="0.3">
      <c r="B5" t="s">
        <v>69</v>
      </c>
      <c r="C5" s="15">
        <v>3</v>
      </c>
      <c r="D5">
        <v>1003</v>
      </c>
      <c r="G5" t="s">
        <v>176</v>
      </c>
      <c r="H5" t="s">
        <v>191</v>
      </c>
      <c r="I5">
        <v>808016</v>
      </c>
      <c r="J5">
        <v>814016</v>
      </c>
      <c r="K5">
        <v>811016</v>
      </c>
      <c r="L5">
        <v>817016</v>
      </c>
    </row>
    <row r="6" spans="2:17" x14ac:dyDescent="0.3">
      <c r="B6" t="s">
        <v>70</v>
      </c>
      <c r="C6" s="15">
        <v>4</v>
      </c>
      <c r="D6">
        <v>1004</v>
      </c>
      <c r="G6" t="s">
        <v>178</v>
      </c>
      <c r="H6" t="s">
        <v>191</v>
      </c>
      <c r="I6">
        <v>808016</v>
      </c>
      <c r="J6">
        <v>814016</v>
      </c>
      <c r="K6">
        <v>811016</v>
      </c>
      <c r="L6">
        <v>817016</v>
      </c>
    </row>
    <row r="7" spans="2:17" x14ac:dyDescent="0.3">
      <c r="B7" t="s">
        <v>71</v>
      </c>
      <c r="C7" s="15">
        <v>5</v>
      </c>
      <c r="D7">
        <v>1005</v>
      </c>
      <c r="G7" t="s">
        <v>180</v>
      </c>
      <c r="H7" t="s">
        <v>191</v>
      </c>
      <c r="I7">
        <v>808016</v>
      </c>
      <c r="J7">
        <v>814016</v>
      </c>
      <c r="K7">
        <v>811016</v>
      </c>
      <c r="L7">
        <v>817016</v>
      </c>
    </row>
    <row r="8" spans="2:17" x14ac:dyDescent="0.3">
      <c r="B8" t="s">
        <v>72</v>
      </c>
      <c r="C8" s="15">
        <v>6</v>
      </c>
      <c r="D8">
        <v>1006</v>
      </c>
      <c r="G8" t="s">
        <v>182</v>
      </c>
      <c r="H8" t="s">
        <v>191</v>
      </c>
      <c r="I8">
        <v>809016</v>
      </c>
      <c r="J8">
        <v>814016</v>
      </c>
      <c r="K8">
        <v>812016</v>
      </c>
      <c r="L8">
        <v>817016</v>
      </c>
    </row>
    <row r="9" spans="2:17" x14ac:dyDescent="0.3">
      <c r="B9" t="s">
        <v>73</v>
      </c>
      <c r="C9" s="15">
        <v>7</v>
      </c>
      <c r="D9">
        <v>1007</v>
      </c>
      <c r="G9" t="s">
        <v>184</v>
      </c>
      <c r="H9" t="s">
        <v>190</v>
      </c>
      <c r="I9">
        <v>809027</v>
      </c>
      <c r="J9">
        <v>814027</v>
      </c>
      <c r="K9">
        <v>812027</v>
      </c>
      <c r="L9">
        <v>817027</v>
      </c>
    </row>
    <row r="10" spans="2:17" x14ac:dyDescent="0.3">
      <c r="B10" t="s">
        <v>74</v>
      </c>
      <c r="C10" s="15">
        <v>8</v>
      </c>
      <c r="D10">
        <v>1008</v>
      </c>
    </row>
    <row r="11" spans="2:17" x14ac:dyDescent="0.3">
      <c r="B11" t="s">
        <v>75</v>
      </c>
      <c r="C11" s="15">
        <v>9</v>
      </c>
      <c r="D11">
        <v>1009</v>
      </c>
    </row>
    <row r="12" spans="2:17" x14ac:dyDescent="0.3">
      <c r="B12" t="s">
        <v>76</v>
      </c>
      <c r="C12" s="15">
        <v>10</v>
      </c>
      <c r="D12">
        <v>1010</v>
      </c>
    </row>
    <row r="13" spans="2:17" x14ac:dyDescent="0.3">
      <c r="B13" t="s">
        <v>77</v>
      </c>
      <c r="C13" s="15">
        <v>11</v>
      </c>
      <c r="D13">
        <v>1011</v>
      </c>
      <c r="G13" t="s">
        <v>198</v>
      </c>
    </row>
    <row r="14" spans="2:17" x14ac:dyDescent="0.3">
      <c r="B14" t="s">
        <v>78</v>
      </c>
      <c r="C14" s="15">
        <v>12</v>
      </c>
      <c r="D14">
        <v>1012</v>
      </c>
      <c r="G14">
        <v>809027</v>
      </c>
      <c r="H14" t="s">
        <v>194</v>
      </c>
    </row>
    <row r="15" spans="2:17" x14ac:dyDescent="0.3">
      <c r="B15" t="s">
        <v>79</v>
      </c>
      <c r="C15" s="15">
        <v>13</v>
      </c>
      <c r="D15">
        <v>1013</v>
      </c>
      <c r="G15">
        <v>812027</v>
      </c>
      <c r="H15" t="s">
        <v>195</v>
      </c>
    </row>
    <row r="16" spans="2:17" x14ac:dyDescent="0.3">
      <c r="B16" t="s">
        <v>80</v>
      </c>
      <c r="C16" s="15">
        <v>14</v>
      </c>
      <c r="D16">
        <v>1014</v>
      </c>
      <c r="G16">
        <v>814027</v>
      </c>
      <c r="H16" t="s">
        <v>196</v>
      </c>
    </row>
    <row r="17" spans="2:8" x14ac:dyDescent="0.3">
      <c r="B17" t="s">
        <v>81</v>
      </c>
      <c r="C17" s="15">
        <v>15</v>
      </c>
      <c r="D17">
        <v>1015</v>
      </c>
      <c r="G17">
        <v>817027</v>
      </c>
      <c r="H17" t="s">
        <v>197</v>
      </c>
    </row>
    <row r="18" spans="2:8" x14ac:dyDescent="0.3">
      <c r="B18" t="s">
        <v>82</v>
      </c>
      <c r="C18" s="15">
        <v>16</v>
      </c>
      <c r="D18">
        <v>1016</v>
      </c>
      <c r="G18">
        <v>807026</v>
      </c>
      <c r="H18" t="s">
        <v>199</v>
      </c>
    </row>
    <row r="19" spans="2:8" x14ac:dyDescent="0.3">
      <c r="B19" t="s">
        <v>83</v>
      </c>
      <c r="C19" s="15">
        <v>17</v>
      </c>
      <c r="D19">
        <v>1017</v>
      </c>
      <c r="G19">
        <v>810026</v>
      </c>
      <c r="H19" t="s">
        <v>200</v>
      </c>
    </row>
    <row r="20" spans="2:8" x14ac:dyDescent="0.3">
      <c r="B20" t="s">
        <v>84</v>
      </c>
      <c r="C20" s="15">
        <v>18</v>
      </c>
      <c r="D20">
        <v>1018</v>
      </c>
      <c r="G20">
        <v>813026</v>
      </c>
      <c r="H20" t="s">
        <v>201</v>
      </c>
    </row>
    <row r="21" spans="2:8" x14ac:dyDescent="0.3">
      <c r="B21" t="s">
        <v>85</v>
      </c>
      <c r="C21" s="15">
        <v>19</v>
      </c>
      <c r="D21">
        <v>1019</v>
      </c>
      <c r="G21">
        <v>817026</v>
      </c>
      <c r="H21" t="s">
        <v>202</v>
      </c>
    </row>
    <row r="22" spans="2:8" x14ac:dyDescent="0.3">
      <c r="B22" t="s">
        <v>86</v>
      </c>
      <c r="C22" s="15">
        <v>20</v>
      </c>
      <c r="D22">
        <v>1020</v>
      </c>
      <c r="G22">
        <v>807016</v>
      </c>
      <c r="H22" t="s">
        <v>203</v>
      </c>
    </row>
    <row r="23" spans="2:8" x14ac:dyDescent="0.3">
      <c r="B23" t="s">
        <v>87</v>
      </c>
      <c r="C23" s="15">
        <v>21</v>
      </c>
      <c r="D23">
        <v>1021</v>
      </c>
      <c r="G23">
        <v>808016</v>
      </c>
      <c r="H23" t="s">
        <v>204</v>
      </c>
    </row>
    <row r="24" spans="2:8" x14ac:dyDescent="0.3">
      <c r="B24" t="s">
        <v>88</v>
      </c>
      <c r="C24" s="15">
        <v>22</v>
      </c>
      <c r="D24">
        <v>1022</v>
      </c>
      <c r="G24">
        <v>809016</v>
      </c>
      <c r="H24" t="s">
        <v>205</v>
      </c>
    </row>
    <row r="25" spans="2:8" x14ac:dyDescent="0.3">
      <c r="B25" t="s">
        <v>89</v>
      </c>
      <c r="C25" s="15">
        <v>23</v>
      </c>
      <c r="D25">
        <v>1023</v>
      </c>
      <c r="G25">
        <v>810016</v>
      </c>
      <c r="H25" t="s">
        <v>206</v>
      </c>
    </row>
    <row r="26" spans="2:8" x14ac:dyDescent="0.3">
      <c r="B26" t="s">
        <v>90</v>
      </c>
      <c r="C26" s="15">
        <v>24</v>
      </c>
      <c r="D26">
        <v>1024</v>
      </c>
      <c r="G26">
        <v>811016</v>
      </c>
      <c r="H26" t="s">
        <v>207</v>
      </c>
    </row>
    <row r="27" spans="2:8" x14ac:dyDescent="0.3">
      <c r="B27" t="s">
        <v>91</v>
      </c>
      <c r="C27" s="15">
        <v>25</v>
      </c>
      <c r="D27">
        <v>1025</v>
      </c>
      <c r="G27">
        <v>812016</v>
      </c>
      <c r="H27" t="s">
        <v>208</v>
      </c>
    </row>
    <row r="28" spans="2:8" x14ac:dyDescent="0.3">
      <c r="B28" t="s">
        <v>92</v>
      </c>
      <c r="C28" s="15">
        <v>26</v>
      </c>
      <c r="D28">
        <v>1026</v>
      </c>
      <c r="G28">
        <v>813016</v>
      </c>
      <c r="H28" t="s">
        <v>209</v>
      </c>
    </row>
    <row r="29" spans="2:8" x14ac:dyDescent="0.3">
      <c r="B29" t="s">
        <v>93</v>
      </c>
      <c r="C29" s="15">
        <v>27</v>
      </c>
      <c r="D29">
        <v>1027</v>
      </c>
      <c r="G29">
        <v>814016</v>
      </c>
      <c r="H29" t="s">
        <v>210</v>
      </c>
    </row>
    <row r="30" spans="2:8" x14ac:dyDescent="0.3">
      <c r="B30" t="s">
        <v>94</v>
      </c>
      <c r="C30" s="15">
        <v>28</v>
      </c>
      <c r="D30">
        <v>1028</v>
      </c>
      <c r="G30">
        <v>817016</v>
      </c>
      <c r="H30" t="s">
        <v>211</v>
      </c>
    </row>
    <row r="31" spans="2:8" x14ac:dyDescent="0.3">
      <c r="B31" t="s">
        <v>95</v>
      </c>
      <c r="C31" s="15">
        <v>29</v>
      </c>
      <c r="D31">
        <v>1029</v>
      </c>
    </row>
    <row r="32" spans="2:8" x14ac:dyDescent="0.3">
      <c r="B32" t="s">
        <v>96</v>
      </c>
      <c r="C32" s="15">
        <v>30</v>
      </c>
      <c r="D32">
        <v>1030</v>
      </c>
    </row>
    <row r="33" spans="2:8" x14ac:dyDescent="0.3">
      <c r="B33" t="s">
        <v>97</v>
      </c>
      <c r="C33" s="15">
        <v>31</v>
      </c>
      <c r="D33">
        <v>1031</v>
      </c>
    </row>
    <row r="34" spans="2:8" x14ac:dyDescent="0.3">
      <c r="B34" t="s">
        <v>98</v>
      </c>
      <c r="C34" s="15">
        <v>32</v>
      </c>
      <c r="D34">
        <v>1032</v>
      </c>
      <c r="G34" t="s">
        <v>242</v>
      </c>
    </row>
    <row r="35" spans="2:8" x14ac:dyDescent="0.3">
      <c r="B35" t="s">
        <v>99</v>
      </c>
      <c r="C35" s="15">
        <v>33</v>
      </c>
      <c r="D35">
        <v>1033</v>
      </c>
      <c r="G35" t="s">
        <v>174</v>
      </c>
      <c r="H35">
        <v>1</v>
      </c>
    </row>
    <row r="36" spans="2:8" x14ac:dyDescent="0.3">
      <c r="B36" t="s">
        <v>100</v>
      </c>
      <c r="C36" s="15">
        <v>34</v>
      </c>
      <c r="D36">
        <v>1034</v>
      </c>
      <c r="G36" t="s">
        <v>172</v>
      </c>
      <c r="H36">
        <v>2</v>
      </c>
    </row>
    <row r="37" spans="2:8" x14ac:dyDescent="0.3">
      <c r="B37" t="s">
        <v>101</v>
      </c>
      <c r="C37" s="15">
        <v>35</v>
      </c>
      <c r="D37">
        <v>1035</v>
      </c>
      <c r="G37" t="s">
        <v>176</v>
      </c>
      <c r="H37">
        <v>3</v>
      </c>
    </row>
    <row r="38" spans="2:8" x14ac:dyDescent="0.3">
      <c r="B38" t="s">
        <v>102</v>
      </c>
      <c r="C38" s="15">
        <v>36</v>
      </c>
      <c r="D38">
        <v>1036</v>
      </c>
      <c r="G38" t="s">
        <v>178</v>
      </c>
      <c r="H38">
        <v>4</v>
      </c>
    </row>
    <row r="39" spans="2:8" x14ac:dyDescent="0.3">
      <c r="B39" t="s">
        <v>103</v>
      </c>
      <c r="C39" s="15">
        <v>37</v>
      </c>
      <c r="D39">
        <v>1037</v>
      </c>
      <c r="G39" t="s">
        <v>180</v>
      </c>
      <c r="H39">
        <v>5</v>
      </c>
    </row>
    <row r="40" spans="2:8" x14ac:dyDescent="0.3">
      <c r="B40" t="s">
        <v>104</v>
      </c>
      <c r="C40" s="15">
        <v>38</v>
      </c>
      <c r="D40">
        <v>1038</v>
      </c>
      <c r="G40" t="s">
        <v>182</v>
      </c>
      <c r="H40">
        <v>6</v>
      </c>
    </row>
    <row r="41" spans="2:8" x14ac:dyDescent="0.3">
      <c r="B41" t="s">
        <v>105</v>
      </c>
      <c r="C41" s="15">
        <v>39</v>
      </c>
      <c r="D41">
        <v>1039</v>
      </c>
      <c r="G41" t="s">
        <v>184</v>
      </c>
      <c r="H41">
        <v>7</v>
      </c>
    </row>
    <row r="42" spans="2:8" x14ac:dyDescent="0.3">
      <c r="B42" t="s">
        <v>106</v>
      </c>
      <c r="C42" s="15">
        <v>40</v>
      </c>
      <c r="D42">
        <v>1040</v>
      </c>
    </row>
    <row r="43" spans="2:8" x14ac:dyDescent="0.3">
      <c r="B43" t="s">
        <v>107</v>
      </c>
      <c r="C43" s="15">
        <v>41</v>
      </c>
      <c r="D43">
        <v>1041</v>
      </c>
    </row>
    <row r="44" spans="2:8" x14ac:dyDescent="0.3">
      <c r="B44" t="s">
        <v>108</v>
      </c>
      <c r="C44" s="15">
        <v>42</v>
      </c>
      <c r="D44">
        <v>1042</v>
      </c>
    </row>
    <row r="45" spans="2:8" x14ac:dyDescent="0.3">
      <c r="B45" t="s">
        <v>109</v>
      </c>
      <c r="C45" s="15">
        <v>43</v>
      </c>
      <c r="D45">
        <v>1043</v>
      </c>
    </row>
    <row r="46" spans="2:8" x14ac:dyDescent="0.3">
      <c r="B46" t="s">
        <v>110</v>
      </c>
      <c r="C46" s="15">
        <v>44</v>
      </c>
      <c r="D46">
        <v>1044</v>
      </c>
    </row>
    <row r="47" spans="2:8" x14ac:dyDescent="0.3">
      <c r="B47" t="s">
        <v>111</v>
      </c>
      <c r="C47" s="15">
        <v>45</v>
      </c>
      <c r="D47">
        <v>1045</v>
      </c>
    </row>
    <row r="48" spans="2:8" x14ac:dyDescent="0.3">
      <c r="B48" t="s">
        <v>112</v>
      </c>
      <c r="C48" s="15">
        <v>46</v>
      </c>
      <c r="D48">
        <v>1046</v>
      </c>
    </row>
    <row r="49" spans="2:4" x14ac:dyDescent="0.3">
      <c r="B49" t="s">
        <v>113</v>
      </c>
      <c r="C49" s="15">
        <v>47</v>
      </c>
      <c r="D49">
        <v>1047</v>
      </c>
    </row>
    <row r="50" spans="2:4" x14ac:dyDescent="0.3">
      <c r="B50" t="s">
        <v>114</v>
      </c>
      <c r="C50" s="15">
        <v>48</v>
      </c>
      <c r="D50">
        <v>1048</v>
      </c>
    </row>
    <row r="51" spans="2:4" x14ac:dyDescent="0.3">
      <c r="B51" t="s">
        <v>115</v>
      </c>
      <c r="C51" s="15">
        <v>49</v>
      </c>
      <c r="D51">
        <v>1049</v>
      </c>
    </row>
    <row r="52" spans="2:4" x14ac:dyDescent="0.3">
      <c r="B52" t="s">
        <v>116</v>
      </c>
      <c r="C52" s="15">
        <v>50</v>
      </c>
      <c r="D52">
        <v>1050</v>
      </c>
    </row>
    <row r="53" spans="2:4" x14ac:dyDescent="0.3">
      <c r="B53" t="s">
        <v>117</v>
      </c>
      <c r="C53" s="15">
        <v>51</v>
      </c>
      <c r="D53">
        <v>1051</v>
      </c>
    </row>
    <row r="54" spans="2:4" x14ac:dyDescent="0.3">
      <c r="B54" t="s">
        <v>118</v>
      </c>
      <c r="C54" s="15">
        <v>52</v>
      </c>
      <c r="D54">
        <v>1052</v>
      </c>
    </row>
    <row r="55" spans="2:4" x14ac:dyDescent="0.3">
      <c r="B55" t="s">
        <v>119</v>
      </c>
      <c r="C55" s="15">
        <v>53</v>
      </c>
      <c r="D55">
        <v>1053</v>
      </c>
    </row>
    <row r="56" spans="2:4" x14ac:dyDescent="0.3">
      <c r="B56" t="s">
        <v>120</v>
      </c>
      <c r="C56" s="15">
        <v>54</v>
      </c>
      <c r="D56">
        <v>1054</v>
      </c>
    </row>
    <row r="57" spans="2:4" x14ac:dyDescent="0.3">
      <c r="B57" t="s">
        <v>121</v>
      </c>
      <c r="C57" s="15">
        <v>55</v>
      </c>
      <c r="D57">
        <v>1055</v>
      </c>
    </row>
    <row r="58" spans="2:4" x14ac:dyDescent="0.3">
      <c r="B58" t="s">
        <v>122</v>
      </c>
      <c r="C58" s="15">
        <v>56</v>
      </c>
      <c r="D58">
        <v>1056</v>
      </c>
    </row>
    <row r="59" spans="2:4" x14ac:dyDescent="0.3">
      <c r="B59" t="s">
        <v>123</v>
      </c>
      <c r="C59" s="15">
        <v>57</v>
      </c>
      <c r="D59">
        <v>1057</v>
      </c>
    </row>
    <row r="60" spans="2:4" x14ac:dyDescent="0.3">
      <c r="B60" t="s">
        <v>124</v>
      </c>
      <c r="C60" s="15">
        <v>58</v>
      </c>
      <c r="D60">
        <v>1058</v>
      </c>
    </row>
    <row r="61" spans="2:4" x14ac:dyDescent="0.3">
      <c r="B61" t="s">
        <v>125</v>
      </c>
      <c r="C61" s="15">
        <v>59</v>
      </c>
      <c r="D61">
        <v>1059</v>
      </c>
    </row>
    <row r="62" spans="2:4" x14ac:dyDescent="0.3">
      <c r="B62" t="s">
        <v>126</v>
      </c>
      <c r="C62" s="15">
        <v>60</v>
      </c>
      <c r="D62">
        <v>1060</v>
      </c>
    </row>
    <row r="63" spans="2:4" x14ac:dyDescent="0.3">
      <c r="B63" t="s">
        <v>127</v>
      </c>
      <c r="C63" s="15">
        <v>61</v>
      </c>
      <c r="D63">
        <v>1061</v>
      </c>
    </row>
    <row r="64" spans="2:4" x14ac:dyDescent="0.3">
      <c r="B64" t="s">
        <v>128</v>
      </c>
      <c r="C64" s="15">
        <v>62</v>
      </c>
      <c r="D64">
        <v>1062</v>
      </c>
    </row>
    <row r="65" spans="2:4" x14ac:dyDescent="0.3">
      <c r="B65" t="s">
        <v>129</v>
      </c>
      <c r="C65" s="15">
        <v>63</v>
      </c>
      <c r="D65">
        <v>1063</v>
      </c>
    </row>
    <row r="66" spans="2:4" x14ac:dyDescent="0.3">
      <c r="B66" t="s">
        <v>130</v>
      </c>
      <c r="C66" s="15">
        <v>64</v>
      </c>
      <c r="D66">
        <v>1064</v>
      </c>
    </row>
    <row r="67" spans="2:4" x14ac:dyDescent="0.3">
      <c r="B67" t="s">
        <v>131</v>
      </c>
      <c r="C67" s="15">
        <v>65</v>
      </c>
      <c r="D67">
        <v>1065</v>
      </c>
    </row>
    <row r="68" spans="2:4" x14ac:dyDescent="0.3">
      <c r="B68" t="s">
        <v>132</v>
      </c>
      <c r="C68" s="15">
        <v>66</v>
      </c>
      <c r="D68">
        <v>1066</v>
      </c>
    </row>
    <row r="69" spans="2:4" x14ac:dyDescent="0.3">
      <c r="B69" t="s">
        <v>133</v>
      </c>
      <c r="C69" s="15">
        <v>67</v>
      </c>
      <c r="D69">
        <v>1067</v>
      </c>
    </row>
    <row r="70" spans="2:4" x14ac:dyDescent="0.3">
      <c r="B70" t="s">
        <v>134</v>
      </c>
      <c r="C70" s="15">
        <v>68</v>
      </c>
      <c r="D70">
        <v>1068</v>
      </c>
    </row>
    <row r="71" spans="2:4" x14ac:dyDescent="0.3">
      <c r="B71" t="s">
        <v>135</v>
      </c>
      <c r="C71" s="15">
        <v>69</v>
      </c>
      <c r="D71">
        <v>1069</v>
      </c>
    </row>
    <row r="72" spans="2:4" x14ac:dyDescent="0.3">
      <c r="B72" t="s">
        <v>136</v>
      </c>
      <c r="C72" s="15">
        <v>70</v>
      </c>
      <c r="D72">
        <v>1070</v>
      </c>
    </row>
    <row r="73" spans="2:4" x14ac:dyDescent="0.3">
      <c r="B73" t="s">
        <v>137</v>
      </c>
      <c r="C73" s="15">
        <v>71</v>
      </c>
      <c r="D73">
        <v>1071</v>
      </c>
    </row>
    <row r="74" spans="2:4" x14ac:dyDescent="0.3">
      <c r="B74" t="s">
        <v>138</v>
      </c>
      <c r="C74" s="15">
        <v>72</v>
      </c>
      <c r="D74">
        <v>1072</v>
      </c>
    </row>
    <row r="75" spans="2:4" x14ac:dyDescent="0.3">
      <c r="B75" t="s">
        <v>139</v>
      </c>
      <c r="C75" s="15">
        <v>73</v>
      </c>
      <c r="D75">
        <v>1073</v>
      </c>
    </row>
    <row r="76" spans="2:4" x14ac:dyDescent="0.3">
      <c r="B76" t="s">
        <v>140</v>
      </c>
      <c r="C76" s="15">
        <v>74</v>
      </c>
      <c r="D76">
        <v>1074</v>
      </c>
    </row>
    <row r="77" spans="2:4" x14ac:dyDescent="0.3">
      <c r="B77" t="s">
        <v>141</v>
      </c>
      <c r="C77" s="15">
        <v>75</v>
      </c>
      <c r="D77">
        <v>1075</v>
      </c>
    </row>
    <row r="78" spans="2:4" x14ac:dyDescent="0.3">
      <c r="B78" t="s">
        <v>142</v>
      </c>
      <c r="C78" s="15">
        <v>76</v>
      </c>
      <c r="D78">
        <v>1076</v>
      </c>
    </row>
    <row r="79" spans="2:4" x14ac:dyDescent="0.3">
      <c r="B79" t="s">
        <v>143</v>
      </c>
      <c r="C79" s="15">
        <v>77</v>
      </c>
      <c r="D79">
        <v>1077</v>
      </c>
    </row>
    <row r="80" spans="2:4" x14ac:dyDescent="0.3">
      <c r="B80" t="s">
        <v>144</v>
      </c>
      <c r="C80" s="15">
        <v>78</v>
      </c>
      <c r="D80">
        <v>1078</v>
      </c>
    </row>
    <row r="81" spans="2:4" x14ac:dyDescent="0.3">
      <c r="B81" t="s">
        <v>145</v>
      </c>
      <c r="C81" s="15">
        <v>79</v>
      </c>
      <c r="D81">
        <v>1079</v>
      </c>
    </row>
    <row r="82" spans="2:4" x14ac:dyDescent="0.3">
      <c r="B82" t="s">
        <v>146</v>
      </c>
      <c r="C82" s="15">
        <v>80</v>
      </c>
      <c r="D82">
        <v>1080</v>
      </c>
    </row>
    <row r="83" spans="2:4" x14ac:dyDescent="0.3">
      <c r="B83" t="s">
        <v>147</v>
      </c>
      <c r="C83" s="15">
        <v>81</v>
      </c>
      <c r="D83">
        <v>1081</v>
      </c>
    </row>
    <row r="84" spans="2:4" x14ac:dyDescent="0.3">
      <c r="B84" t="s">
        <v>148</v>
      </c>
      <c r="C84" s="15">
        <v>82</v>
      </c>
      <c r="D84">
        <v>1082</v>
      </c>
    </row>
    <row r="85" spans="2:4" x14ac:dyDescent="0.3">
      <c r="B85" t="s">
        <v>149</v>
      </c>
      <c r="C85" s="15">
        <v>83</v>
      </c>
      <c r="D85">
        <v>1083</v>
      </c>
    </row>
    <row r="86" spans="2:4" x14ac:dyDescent="0.3">
      <c r="B86" t="s">
        <v>150</v>
      </c>
      <c r="C86" s="15">
        <v>84</v>
      </c>
      <c r="D86">
        <v>1084</v>
      </c>
    </row>
    <row r="87" spans="2:4" x14ac:dyDescent="0.3">
      <c r="B87" t="s">
        <v>151</v>
      </c>
      <c r="C87" s="15">
        <v>85</v>
      </c>
      <c r="D87">
        <v>1085</v>
      </c>
    </row>
    <row r="88" spans="2:4" x14ac:dyDescent="0.3">
      <c r="B88" t="s">
        <v>152</v>
      </c>
      <c r="C88" s="15">
        <v>86</v>
      </c>
      <c r="D88">
        <v>1086</v>
      </c>
    </row>
    <row r="89" spans="2:4" x14ac:dyDescent="0.3">
      <c r="B89" t="s">
        <v>153</v>
      </c>
      <c r="C89" s="15">
        <v>87</v>
      </c>
      <c r="D89">
        <v>1087</v>
      </c>
    </row>
    <row r="90" spans="2:4" x14ac:dyDescent="0.3">
      <c r="B90" t="s">
        <v>154</v>
      </c>
      <c r="C90" s="15">
        <v>88</v>
      </c>
      <c r="D90">
        <v>1088</v>
      </c>
    </row>
    <row r="91" spans="2:4" x14ac:dyDescent="0.3">
      <c r="B91" t="s">
        <v>155</v>
      </c>
      <c r="C91" s="15">
        <v>89</v>
      </c>
      <c r="D91">
        <v>1089</v>
      </c>
    </row>
    <row r="92" spans="2:4" x14ac:dyDescent="0.3">
      <c r="B92" t="s">
        <v>156</v>
      </c>
      <c r="C92" s="15">
        <v>90</v>
      </c>
      <c r="D92">
        <v>1090</v>
      </c>
    </row>
    <row r="93" spans="2:4" x14ac:dyDescent="0.3">
      <c r="B93" t="s">
        <v>157</v>
      </c>
      <c r="C93" s="15">
        <v>91</v>
      </c>
      <c r="D93">
        <v>1091</v>
      </c>
    </row>
    <row r="94" spans="2:4" x14ac:dyDescent="0.3">
      <c r="B94" t="s">
        <v>158</v>
      </c>
      <c r="C94" s="15">
        <v>92</v>
      </c>
      <c r="D94">
        <v>1092</v>
      </c>
    </row>
    <row r="95" spans="2:4" x14ac:dyDescent="0.3">
      <c r="B95" t="s">
        <v>159</v>
      </c>
      <c r="C95" s="15">
        <v>93</v>
      </c>
      <c r="D95">
        <v>1093</v>
      </c>
    </row>
    <row r="96" spans="2:4" x14ac:dyDescent="0.3">
      <c r="B96" t="s">
        <v>160</v>
      </c>
      <c r="C96" s="15">
        <v>94</v>
      </c>
      <c r="D96">
        <v>1094</v>
      </c>
    </row>
    <row r="97" spans="2:4" x14ac:dyDescent="0.3">
      <c r="B97" t="s">
        <v>161</v>
      </c>
      <c r="C97" s="15">
        <v>95</v>
      </c>
      <c r="D97">
        <v>1095</v>
      </c>
    </row>
    <row r="98" spans="2:4" x14ac:dyDescent="0.3">
      <c r="B98" t="s">
        <v>162</v>
      </c>
      <c r="C98" s="15">
        <v>96</v>
      </c>
      <c r="D98">
        <v>1096</v>
      </c>
    </row>
    <row r="99" spans="2:4" x14ac:dyDescent="0.3">
      <c r="B99" t="s">
        <v>163</v>
      </c>
      <c r="C99" s="15">
        <v>97</v>
      </c>
      <c r="D99">
        <v>1097</v>
      </c>
    </row>
    <row r="100" spans="2:4" x14ac:dyDescent="0.3">
      <c r="B100" t="s">
        <v>164</v>
      </c>
      <c r="C100" s="15">
        <v>98</v>
      </c>
      <c r="D100">
        <v>1098</v>
      </c>
    </row>
    <row r="101" spans="2:4" x14ac:dyDescent="0.3">
      <c r="B101" t="s">
        <v>165</v>
      </c>
      <c r="C101" s="15">
        <v>99</v>
      </c>
      <c r="D101">
        <v>1099</v>
      </c>
    </row>
    <row r="102" spans="2:4" x14ac:dyDescent="0.3">
      <c r="B102" t="s">
        <v>166</v>
      </c>
      <c r="C102" s="15">
        <v>100</v>
      </c>
      <c r="D102">
        <v>1100</v>
      </c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LuckyArenaHeroPresetTable</vt:lpstr>
      <vt:lpstr>LuckyArenaEquipPresetTable</vt:lpstr>
      <vt:lpstr>참고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2021-02-17T19:23:25Z</dcterms:modified>
</cp:coreProperties>
</file>